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. BQ RAPL" sheetId="1" r:id="rId5"/>
    <sheet state="hidden" name="2. SMDA BHN" sheetId="2" r:id="rId6"/>
    <sheet state="hidden" name="PO MTRL" sheetId="3" r:id="rId7"/>
    <sheet state="visible" name="PO LAPANGAN" sheetId="4" r:id="rId8"/>
    <sheet state="visible" name="MTRL MSK (TPDP)" sheetId="5" r:id="rId9"/>
    <sheet state="visible" name="MTRL KLR" sheetId="6" r:id="rId10"/>
  </sheets>
  <definedNames>
    <definedName name="REPAIR">#REF!</definedName>
    <definedName name="Tabel_Material">#REF!</definedName>
    <definedName name="SUBKON">#REF!</definedName>
    <definedName name="ANALISA">#REF!</definedName>
    <definedName name="Tabel_Sub_Contractor">#REF!</definedName>
    <definedName name="EQUIPMENT">#REF!</definedName>
    <definedName name="BOQ">#REF!</definedName>
    <definedName name="BAHAN">#REF!</definedName>
    <definedName name="Tabel_Alat">#REF!</definedName>
    <definedName name="Tabel_Upah">#REF!</definedName>
    <definedName name="MATERIAL">#REF!</definedName>
    <definedName name="LABOUR">#REF!</definedName>
  </definedNames>
  <calcPr/>
</workbook>
</file>

<file path=xl/sharedStrings.xml><?xml version="1.0" encoding="utf-8"?>
<sst xmlns="http://schemas.openxmlformats.org/spreadsheetml/2006/main" count="732" uniqueCount="123">
  <si>
    <t>CATATAN :</t>
  </si>
  <si>
    <t>1. B1</t>
  </si>
  <si>
    <t>1. A1</t>
  </si>
  <si>
    <t>KONTROL PO MATERIAL</t>
  </si>
  <si>
    <t xml:space="preserve">PERHATIAN :    
    &gt; ISI KOLOM WARNA KUNING
    &gt; SHEET TANDA KUNCI SEBAGAI REFERENSI
        (Tdk bisa diedit, tapi bisa dicoppy)
</t>
  </si>
  <si>
    <t>PIC: LOGISTIK DIVISI</t>
  </si>
  <si>
    <t>T O T A L</t>
  </si>
  <si>
    <t>NOT LINK https</t>
  </si>
  <si>
    <t>NOMOR</t>
  </si>
  <si>
    <t>KODE</t>
  </si>
  <si>
    <t>TANGGAL</t>
  </si>
  <si>
    <t>JENIS MATERIAL</t>
  </si>
  <si>
    <t>SATUAN</t>
  </si>
  <si>
    <t>HARSAT</t>
  </si>
  <si>
    <t>KUANTITAS PO</t>
  </si>
  <si>
    <t>JUMLAH HARGA PO</t>
  </si>
  <si>
    <t>SUMDA (RAPL)</t>
  </si>
  <si>
    <t>SELISIH PO THD RAPL</t>
  </si>
  <si>
    <t>PEMBELIAN</t>
  </si>
  <si>
    <t>KETERANGAN</t>
  </si>
  <si>
    <t>URUT PO</t>
  </si>
  <si>
    <t>PO</t>
  </si>
  <si>
    <t>AKUN</t>
  </si>
  <si>
    <t>MATERIAL</t>
  </si>
  <si>
    <t>SAAT INI</t>
  </si>
  <si>
    <t>AKUM (DIV+PROY)</t>
  </si>
  <si>
    <t>KUANTITAS</t>
  </si>
  <si>
    <t>JML HRG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</si>
  <si>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</si>
  <si>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</si>
  <si>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</si>
  <si>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</si>
  <si>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</si>
  <si>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</si>
  <si>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</si>
  <si>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</si>
  <si>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</si>
  <si>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J= H x G</t>
  </si>
  <si>
    <t>K</t>
  </si>
  <si>
    <t>L</t>
  </si>
  <si>
    <t>M</t>
  </si>
  <si>
    <t>N= L - I</t>
  </si>
  <si>
    <t>O= M - K</t>
  </si>
  <si>
    <t>P</t>
  </si>
  <si>
    <t>Q</t>
  </si>
  <si>
    <t>Cash Proyek</t>
  </si>
  <si>
    <t>PO5</t>
  </si>
  <si>
    <t>Kayu 5/7</t>
  </si>
  <si>
    <t>X</t>
  </si>
  <si>
    <t>-</t>
  </si>
  <si>
    <t>Paku</t>
  </si>
  <si>
    <t>PO6</t>
  </si>
  <si>
    <t>Concrete Mixer Beton</t>
  </si>
  <si>
    <t>Mesin gerinda tangan</t>
  </si>
  <si>
    <t>Rubber Cone</t>
  </si>
  <si>
    <t>TOTAL …......</t>
  </si>
  <si>
    <t>KONTROL MATERIAL MASUK</t>
  </si>
  <si>
    <t xml:space="preserve">    PIC: LOGISTIK PROYEK</t>
  </si>
  <si>
    <t>1. AA7 - AC7</t>
  </si>
  <si>
    <t>KUANTITAS MTR MSK (TPDP)</t>
  </si>
  <si>
    <t>JML HRG MTR MSK (TPDP)</t>
  </si>
  <si>
    <t>AKUM PO (DIV+PROYK)</t>
  </si>
  <si>
    <t>SELISIH TPDP THD PO</t>
  </si>
  <si>
    <t>NAMA SUPLYER</t>
  </si>
  <si>
    <t>ASET</t>
  </si>
  <si>
    <t>KOLOM BANTUAN DROPDOWN TIGA KOLOM</t>
  </si>
  <si>
    <t>TPDP</t>
  </si>
  <si>
    <t>AKUM</t>
  </si>
  <si>
    <t>KOLOM BANTUAN</t>
  </si>
  <si>
    <t>DATA-1</t>
  </si>
  <si>
    <t>DATA-2</t>
  </si>
  <si>
    <t>DATA-3</t>
  </si>
  <si>
    <t>FILTER-1</t>
  </si>
  <si>
    <t>FILTER-2</t>
  </si>
  <si>
    <t>FILTER-3</t>
  </si>
  <si>
    <t>GABUNG 1+2+3</t>
  </si>
  <si>
    <t>J</t>
  </si>
  <si>
    <t>L= I x J</t>
  </si>
  <si>
    <t>N</t>
  </si>
  <si>
    <t>O</t>
  </si>
  <si>
    <t>P= N - K</t>
  </si>
  <si>
    <t>Q= O - M</t>
  </si>
  <si>
    <t>R</t>
  </si>
  <si>
    <t>S</t>
  </si>
  <si>
    <t>T</t>
  </si>
  <si>
    <t>TPDP1</t>
  </si>
  <si>
    <t>TPDP2</t>
  </si>
  <si>
    <t>TPDP3</t>
  </si>
  <si>
    <t>TPDP4</t>
  </si>
  <si>
    <t>TPDP5</t>
  </si>
  <si>
    <t>TPDP6</t>
  </si>
  <si>
    <t>TPDP7</t>
  </si>
  <si>
    <t>KONTROL MATERIAL KELUAR</t>
  </si>
  <si>
    <t>KRN BASE DATA: KODE MTRL                                                  (PAKAI HARSAT AVG)</t>
  </si>
  <si>
    <t xml:space="preserve">SITE INCAPABLE </t>
  </si>
  <si>
    <t>NO TPDP SAMA TDK BSA</t>
  </si>
  <si>
    <t>NO PO SAMA TDK BSA</t>
  </si>
  <si>
    <t xml:space="preserve">   PIC: LOGISTIK PROYEK</t>
  </si>
  <si>
    <t>NO. PMKIAN</t>
  </si>
  <si>
    <t>HARSAT AVG</t>
  </si>
  <si>
    <t>KUANTITAS KELUAR</t>
  </si>
  <si>
    <t>JML HRG MTRL KELUAR</t>
  </si>
  <si>
    <t>AKUM QTY MTRL</t>
  </si>
  <si>
    <t>QTY STOK MTRL</t>
  </si>
  <si>
    <t>ITEM PEKERJAAN (BQ)</t>
  </si>
  <si>
    <t>BARANG</t>
  </si>
  <si>
    <t>MASUK (TPDP)</t>
  </si>
  <si>
    <t>MTRL MSK-KLR</t>
  </si>
  <si>
    <t>STOK MTRL</t>
  </si>
  <si>
    <t>URAIAN</t>
  </si>
  <si>
    <t>N= M - K</t>
  </si>
  <si>
    <t>O= N x I</t>
  </si>
  <si>
    <t>Baja Tul Ulir</t>
  </si>
  <si>
    <t>Baja Tulangan U 39 Ulir</t>
  </si>
  <si>
    <t>xxx</t>
  </si>
  <si>
    <t>FORM</t>
  </si>
  <si>
    <t>PNGAMBILAN</t>
  </si>
  <si>
    <t>Multipleks 18 mm</t>
  </si>
  <si>
    <t>Beton mutu sedang Fc’=30 MPa untuk Footing</t>
  </si>
  <si>
    <t>OLEH</t>
  </si>
  <si>
    <t>Beton Ready fc' 30 MPa</t>
  </si>
  <si>
    <t>PELAKSANA</t>
  </si>
  <si>
    <t>Tiang Bor Beton, diameter 500 mm, Beton K-350 Slump 18±2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</si>
</sst>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.00_-;\-* #,##0.00_-;_-* &quot;-&quot;??_-;_-@"/>
    <numFmt numFmtId="165" formatCode="_-* #,##0.00_-;\-* #,##0.00_-;_-* &quot;-&quot;_-;_-@"/>
    <numFmt numFmtId="166" formatCode="_(&quot;Rp&quot;* #,##0.00_);_(&quot;Rp&quot;* \(#,##0.00\);_(&quot;Rp&quot;* &quot;-&quot;??_);_(@_)"/>
    <numFmt numFmtId="167" formatCode="#,##0.0000"/>
    <numFmt numFmtId="168" formatCode="_(* #,##0_);_(* \(#,##0\);_(* &quot;-&quot;_);_(@_)"/>
    <numFmt numFmtId="169" formatCode="_(* #,##0.00_);_(* \(#,##0.00\);_(* &quot;-&quot;??_);_(@_)"/>
    <numFmt numFmtId="170" formatCode="_-&quot;Rp&quot;* #,##0.00_-;\-&quot;Rp&quot;* #,##0.00_-;_-&quot;Rp&quot;* &quot;-&quot;??_-;_-@"/>
    <numFmt numFmtId="171" formatCode="_(* #,##0.00_);_(* \(#,##0.00\);_(* &quot;-&quot;_);_(@_)"/>
    <numFmt numFmtId="172" formatCode="dd&quot;-&quot;mmm&quot;-&quot;yy"/>
  </numFmts>
  <fonts count="44">
    <font>
      <sz val="10.0"/>
      <color rgb="FF000000"/>
      <name val="Arial"/>
      <scheme val="minor"/>
    </font>
    <font>
      <color rgb="FF000000"/>
      <name val="Arial"/>
    </font>
    <font>
      <b/>
      <sz val="14.0"/>
      <color theme="1"/>
      <name val="Verdana"/>
    </font>
    <font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theme="0"/>
      <name val="Arial"/>
    </font>
    <font>
      <color theme="0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1.0"/>
      <color rgb="FF000000"/>
      <name val="Arial Narrow"/>
    </font>
    <font>
      <b/>
      <sz val="11.0"/>
      <color rgb="FF000000"/>
      <name val="Arial"/>
    </font>
    <font/>
    <font>
      <color rgb="FFFFFFFF"/>
      <name val="Arial"/>
    </font>
    <font>
      <sz val="10.0"/>
      <color rgb="FFFF0000"/>
      <name val="Arial"/>
    </font>
    <font>
      <sz val="10.0"/>
      <color rgb="FF000000"/>
      <name val="Times New Roman"/>
    </font>
    <font>
      <color rgb="FFFF0000"/>
      <name val="Arial"/>
    </font>
    <font>
      <b/>
      <sz val="8.0"/>
      <color theme="0"/>
      <name val="Arial"/>
    </font>
    <font>
      <b/>
      <color rgb="FF000000"/>
      <name val="Arial"/>
    </font>
    <font>
      <sz val="11.0"/>
      <color theme="1"/>
      <name val="Arial"/>
    </font>
    <font>
      <sz val="8.0"/>
      <color rgb="FF000000"/>
      <name val="Arial"/>
    </font>
    <font>
      <color rgb="FFFF0000"/>
      <name val="Arial"/>
      <scheme val="minor"/>
    </font>
    <font>
      <b/>
      <sz val="14.0"/>
      <color rgb="FF000000"/>
      <name val="Verdana"/>
    </font>
    <font>
      <b/>
      <sz val="8.0"/>
      <color rgb="FF000000"/>
      <name val="Arial"/>
    </font>
    <font>
      <sz val="9.0"/>
      <color theme="1"/>
      <name val="Arial"/>
    </font>
    <font>
      <b/>
      <sz val="12.0"/>
      <color rgb="FF000000"/>
      <name val="Arial"/>
    </font>
    <font>
      <b/>
      <sz val="15.0"/>
      <color rgb="FF000000"/>
      <name val="Arial"/>
    </font>
    <font>
      <sz val="8.0"/>
      <color rgb="FFFFFFFF"/>
      <name val="Arial"/>
    </font>
    <font>
      <b/>
      <color theme="1"/>
      <name val="Arial"/>
    </font>
    <font>
      <color rgb="FF0000FF"/>
      <name val="Arial"/>
    </font>
    <font>
      <color theme="1"/>
      <name val="Arial"/>
      <scheme val="minor"/>
    </font>
    <font>
      <b/>
      <sz val="8.0"/>
      <color rgb="FFFF0000"/>
      <name val="Arial"/>
    </font>
    <font>
      <sz val="10.0"/>
      <color theme="1"/>
      <name val="Arial"/>
    </font>
    <font>
      <b/>
      <sz val="10.0"/>
      <color rgb="FF0000FF"/>
      <name val="Arial"/>
    </font>
    <font>
      <sz val="10.0"/>
      <color rgb="FF0000FF"/>
      <name val="Arial"/>
    </font>
    <font>
      <b/>
      <color rgb="FF0000FF"/>
      <name val="Arial"/>
    </font>
    <font>
      <sz val="10.0"/>
      <color rgb="FF993300"/>
      <name val="Arial"/>
    </font>
    <font>
      <i/>
      <sz val="10.0"/>
      <color rgb="FF000000"/>
      <name val="Arial"/>
    </font>
    <font>
      <sz val="7.0"/>
      <color rgb="FF000000"/>
      <name val="Arial"/>
    </font>
    <font>
      <sz val="8.0"/>
      <color rgb="FFFF0000"/>
      <name val="Arial"/>
    </font>
    <font>
      <sz val="7.0"/>
      <color rgb="FFFF0000"/>
      <name val="Arial"/>
    </font>
    <font>
      <sz val="6.0"/>
      <color rgb="FFFF0000"/>
      <name val="Arial"/>
    </font>
    <font>
      <sz val="11.0"/>
      <color rgb="FFFFFFFF"/>
      <name val="Arial"/>
    </font>
    <font>
      <sz val="8.0"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</fills>
  <borders count="80">
    <border/>
    <border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shrinkToFit="0" vertical="center" wrapText="0"/>
    </xf>
    <xf borderId="0" fillId="0" fontId="1" numFmtId="0" xfId="0" applyAlignment="1" applyFont="1">
      <alignment vertical="center"/>
    </xf>
    <xf borderId="0" fillId="3" fontId="1" numFmtId="0" xfId="0" applyAlignment="1" applyFill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vertical="center"/>
    </xf>
    <xf borderId="0" fillId="4" fontId="3" numFmtId="0" xfId="0" applyAlignment="1" applyFill="1" applyFont="1">
      <alignment horizontal="center" vertical="center"/>
    </xf>
    <xf borderId="0" fillId="4" fontId="4" numFmtId="0" xfId="0" applyFont="1"/>
    <xf borderId="0" fillId="4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3" fontId="1" numFmtId="0" xfId="0" applyAlignment="1" applyFont="1">
      <alignment horizontal="left" vertical="center"/>
    </xf>
    <xf borderId="0" fillId="3" fontId="1" numFmtId="164" xfId="0" applyAlignment="1" applyFont="1" applyNumberFormat="1">
      <alignment horizontal="center" vertical="center"/>
    </xf>
    <xf borderId="0" fillId="3" fontId="1" numFmtId="164" xfId="0" applyAlignment="1" applyFont="1" applyNumberFormat="1">
      <alignment vertical="center"/>
    </xf>
    <xf borderId="0" fillId="3" fontId="1" numFmtId="165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vertical="center"/>
    </xf>
    <xf borderId="0" fillId="3" fontId="5" numFmtId="0" xfId="0" applyAlignment="1" applyFont="1">
      <alignment horizontal="left" shrinkToFit="0" vertical="center" wrapText="0"/>
    </xf>
    <xf borderId="0" fillId="3" fontId="5" numFmtId="0" xfId="0" applyAlignment="1" applyFont="1">
      <alignment vertical="center"/>
    </xf>
    <xf borderId="0" fillId="3" fontId="5" numFmtId="164" xfId="0" applyAlignment="1" applyFont="1" applyNumberFormat="1">
      <alignment horizontal="center" vertical="center"/>
    </xf>
    <xf borderId="0" fillId="3" fontId="5" numFmtId="164" xfId="0" applyAlignment="1" applyFont="1" applyNumberFormat="1">
      <alignment vertical="center"/>
    </xf>
    <xf borderId="0" fillId="3" fontId="5" numFmtId="165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3" fontId="6" numFmtId="164" xfId="0" applyAlignment="1" applyFont="1" applyNumberFormat="1">
      <alignment vertical="top"/>
    </xf>
    <xf borderId="0" fillId="0" fontId="6" numFmtId="0" xfId="0" applyAlignment="1" applyFont="1">
      <alignment vertical="top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3" fontId="1" numFmtId="164" xfId="0" applyAlignment="1" applyBorder="1" applyFont="1" applyNumberFormat="1">
      <alignment horizontal="center" vertical="center"/>
    </xf>
    <xf borderId="1" fillId="3" fontId="1" numFmtId="164" xfId="0" applyAlignment="1" applyBorder="1" applyFont="1" applyNumberFormat="1">
      <alignment vertical="center"/>
    </xf>
    <xf borderId="1" fillId="3" fontId="1" numFmtId="165" xfId="0" applyAlignment="1" applyBorder="1" applyFont="1" applyNumberFormat="1">
      <alignment vertical="center"/>
    </xf>
    <xf borderId="1" fillId="3" fontId="7" numFmtId="164" xfId="0" applyAlignment="1" applyBorder="1" applyFont="1" applyNumberFormat="1">
      <alignment vertical="top"/>
    </xf>
    <xf borderId="2" fillId="0" fontId="8" numFmtId="0" xfId="0" applyAlignment="1" applyBorder="1" applyFont="1">
      <alignment vertical="center"/>
    </xf>
    <xf borderId="3" fillId="5" fontId="8" numFmtId="0" xfId="0" applyAlignment="1" applyBorder="1" applyFill="1" applyFont="1">
      <alignment horizontal="center" vertical="center"/>
    </xf>
    <xf borderId="1" fillId="5" fontId="8" numFmtId="0" xfId="0" applyAlignment="1" applyBorder="1" applyFont="1">
      <alignment vertical="center"/>
    </xf>
    <xf borderId="1" fillId="5" fontId="9" numFmtId="0" xfId="0" applyAlignment="1" applyBorder="1" applyFont="1">
      <alignment horizontal="center" vertical="center"/>
    </xf>
    <xf borderId="3" fillId="5" fontId="8" numFmtId="0" xfId="0" applyAlignment="1" applyBorder="1" applyFont="1">
      <alignment vertical="center"/>
    </xf>
    <xf borderId="3" fillId="5" fontId="8" numFmtId="164" xfId="0" applyAlignment="1" applyBorder="1" applyFont="1" applyNumberFormat="1">
      <alignment horizontal="center" vertical="center"/>
    </xf>
    <xf borderId="3" fillId="5" fontId="8" numFmtId="164" xfId="0" applyAlignment="1" applyBorder="1" applyFont="1" applyNumberFormat="1">
      <alignment vertical="center"/>
    </xf>
    <xf borderId="3" fillId="5" fontId="8" numFmtId="165" xfId="0" applyAlignment="1" applyBorder="1" applyFont="1" applyNumberFormat="1">
      <alignment vertical="center"/>
    </xf>
    <xf borderId="3" fillId="5" fontId="8" numFmtId="166" xfId="0" applyAlignment="1" applyBorder="1" applyFont="1" applyNumberFormat="1">
      <alignment vertical="center"/>
    </xf>
    <xf borderId="4" fillId="5" fontId="8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0"/>
    </xf>
    <xf borderId="0" fillId="0" fontId="4" numFmtId="0" xfId="0" applyFont="1"/>
    <xf borderId="0" fillId="0" fontId="8" numFmtId="0" xfId="0" applyAlignment="1" applyFont="1">
      <alignment shrinkToFit="0" vertical="center" wrapText="0"/>
    </xf>
    <xf borderId="1" fillId="3" fontId="1" numFmtId="0" xfId="0" applyAlignment="1" applyBorder="1" applyFont="1">
      <alignment horizontal="center" vertical="center"/>
    </xf>
    <xf borderId="5" fillId="6" fontId="10" numFmtId="164" xfId="0" applyAlignment="1" applyBorder="1" applyFill="1" applyFont="1" applyNumberFormat="1">
      <alignment horizontal="center" shrinkToFit="0" vertical="center" wrapText="0"/>
    </xf>
    <xf borderId="0" fillId="0" fontId="4" numFmtId="164" xfId="0" applyFont="1" applyNumberFormat="1"/>
    <xf borderId="5" fillId="6" fontId="10" numFmtId="164" xfId="0" applyAlignment="1" applyBorder="1" applyFont="1" applyNumberFormat="1">
      <alignment shrinkToFit="0" vertical="center" wrapText="0"/>
    </xf>
    <xf borderId="2" fillId="0" fontId="5" numFmtId="165" xfId="0" applyAlignment="1" applyBorder="1" applyFont="1" applyNumberFormat="1">
      <alignment vertical="center"/>
    </xf>
    <xf borderId="6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6" fillId="0" fontId="12" numFmtId="0" xfId="0" applyBorder="1" applyFont="1"/>
    <xf borderId="6" fillId="0" fontId="11" numFmtId="167" xfId="0" applyAlignment="1" applyBorder="1" applyFont="1" applyNumberFormat="1">
      <alignment horizontal="center" vertical="center"/>
    </xf>
    <xf borderId="6" fillId="6" fontId="11" numFmtId="164" xfId="0" applyAlignment="1" applyBorder="1" applyFont="1" applyNumberFormat="1">
      <alignment horizontal="center" vertical="center"/>
    </xf>
    <xf borderId="2" fillId="0" fontId="11" numFmtId="164" xfId="0" applyAlignment="1" applyBorder="1" applyFont="1" applyNumberFormat="1">
      <alignment horizontal="center" vertical="center"/>
    </xf>
    <xf borderId="0" fillId="4" fontId="5" numFmtId="0" xfId="0" applyAlignment="1" applyFont="1">
      <alignment horizontal="center" vertical="center"/>
    </xf>
    <xf borderId="0" fillId="7" fontId="13" numFmtId="0" xfId="0" applyAlignment="1" applyFill="1" applyFont="1">
      <alignment vertical="bottom"/>
    </xf>
    <xf borderId="7" fillId="0" fontId="11" numFmtId="0" xfId="0" applyAlignment="1" applyBorder="1" applyFont="1">
      <alignment horizontal="center" shrinkToFit="0" vertical="center" wrapText="1"/>
    </xf>
    <xf borderId="8" fillId="0" fontId="5" numFmtId="164" xfId="0" applyAlignment="1" applyBorder="1" applyFont="1" applyNumberFormat="1">
      <alignment vertical="center"/>
    </xf>
    <xf borderId="8" fillId="0" fontId="12" numFmtId="0" xfId="0" applyBorder="1" applyFont="1"/>
    <xf borderId="7" fillId="0" fontId="12" numFmtId="0" xfId="0" applyBorder="1" applyFont="1"/>
    <xf borderId="7" fillId="0" fontId="5" numFmtId="0" xfId="0" applyAlignment="1" applyBorder="1" applyFont="1">
      <alignment horizontal="center" vertical="center"/>
    </xf>
    <xf borderId="7" fillId="6" fontId="11" numFmtId="164" xfId="0" applyAlignment="1" applyBorder="1" applyFont="1" applyNumberFormat="1">
      <alignment horizontal="center" vertical="center"/>
    </xf>
    <xf borderId="9" fillId="0" fontId="12" numFmtId="0" xfId="0" applyBorder="1" applyFont="1"/>
    <xf borderId="2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vertical="center"/>
    </xf>
    <xf borderId="10" fillId="0" fontId="1" numFmtId="165" xfId="0" applyAlignment="1" applyBorder="1" applyFont="1" applyNumberFormat="1">
      <alignment vertical="center"/>
    </xf>
    <xf borderId="12" fillId="0" fontId="1" numFmtId="0" xfId="0" applyAlignment="1" applyBorder="1" applyFont="1">
      <alignment vertical="center"/>
    </xf>
    <xf borderId="0" fillId="0" fontId="14" numFmtId="0" xfId="0" applyAlignment="1" applyFont="1">
      <alignment horizontal="center" shrinkToFit="0" vertical="center" wrapText="0"/>
    </xf>
    <xf borderId="0" fillId="0" fontId="4" numFmtId="0" xfId="0" applyAlignment="1" applyFont="1">
      <alignment vertical="bottom"/>
    </xf>
    <xf borderId="13" fillId="0" fontId="15" numFmtId="168" xfId="0" applyAlignment="1" applyBorder="1" applyFont="1" applyNumberFormat="1">
      <alignment horizontal="center" shrinkToFit="0" vertical="center" wrapText="0"/>
    </xf>
    <xf borderId="11" fillId="0" fontId="8" numFmtId="168" xfId="0" applyAlignment="1" applyBorder="1" applyFont="1" applyNumberFormat="1">
      <alignment vertical="center"/>
    </xf>
    <xf borderId="10" fillId="0" fontId="8" numFmtId="0" xfId="0" applyAlignment="1" applyBorder="1" applyFont="1">
      <alignment vertical="center"/>
    </xf>
    <xf borderId="10" fillId="0" fontId="8" numFmtId="168" xfId="0" applyAlignment="1" applyBorder="1" applyFont="1" applyNumberFormat="1">
      <alignment horizontal="center" vertical="center"/>
    </xf>
    <xf borderId="10" fillId="0" fontId="8" numFmtId="164" xfId="0" applyAlignment="1" applyBorder="1" applyFont="1" applyNumberFormat="1">
      <alignment vertical="center"/>
    </xf>
    <xf borderId="10" fillId="0" fontId="8" numFmtId="165" xfId="0" applyAlignment="1" applyBorder="1" applyFont="1" applyNumberFormat="1">
      <alignment vertical="center"/>
    </xf>
    <xf borderId="12" fillId="0" fontId="8" numFmtId="0" xfId="0" applyAlignment="1" applyBorder="1" applyFont="1">
      <alignment vertical="center"/>
    </xf>
    <xf borderId="10" fillId="0" fontId="8" numFmtId="0" xfId="0" applyAlignment="1" applyBorder="1" applyFont="1">
      <alignment horizontal="center" vertical="center"/>
    </xf>
    <xf borderId="11" fillId="0" fontId="9" numFmtId="168" xfId="0" applyAlignment="1" applyBorder="1" applyFont="1" applyNumberFormat="1">
      <alignment vertical="center"/>
    </xf>
    <xf borderId="10" fillId="0" fontId="8" numFmtId="164" xfId="0" applyAlignment="1" applyBorder="1" applyFont="1" applyNumberFormat="1">
      <alignment horizontal="center" vertical="center"/>
    </xf>
    <xf borderId="12" fillId="0" fontId="8" numFmtId="164" xfId="0" applyAlignment="1" applyBorder="1" applyFont="1" applyNumberFormat="1">
      <alignment vertical="center"/>
    </xf>
    <xf borderId="14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vertical="center"/>
    </xf>
    <xf borderId="14" fillId="0" fontId="8" numFmtId="0" xfId="0" applyAlignment="1" applyBorder="1" applyFont="1">
      <alignment vertical="center"/>
    </xf>
    <xf borderId="14" fillId="0" fontId="8" numFmtId="0" xfId="0" applyAlignment="1" applyBorder="1" applyFont="1">
      <alignment horizontal="center" vertical="center"/>
    </xf>
    <xf borderId="14" fillId="0" fontId="8" numFmtId="164" xfId="0" applyAlignment="1" applyBorder="1" applyFont="1" applyNumberFormat="1">
      <alignment vertical="center"/>
    </xf>
    <xf borderId="14" fillId="0" fontId="8" numFmtId="165" xfId="0" applyAlignment="1" applyBorder="1" applyFont="1" applyNumberFormat="1">
      <alignment vertical="center"/>
    </xf>
    <xf borderId="16" fillId="0" fontId="8" numFmtId="0" xfId="0" applyAlignment="1" applyBorder="1" applyFont="1">
      <alignment vertical="center"/>
    </xf>
    <xf borderId="3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vertical="center"/>
    </xf>
    <xf borderId="3" fillId="3" fontId="8" numFmtId="0" xfId="0" applyAlignment="1" applyBorder="1" applyFont="1">
      <alignment vertical="center"/>
    </xf>
    <xf borderId="3" fillId="0" fontId="8" numFmtId="0" xfId="0" applyAlignment="1" applyBorder="1" applyFont="1">
      <alignment horizontal="center" vertical="center"/>
    </xf>
    <xf borderId="3" fillId="3" fontId="8" numFmtId="164" xfId="0" applyAlignment="1" applyBorder="1" applyFont="1" applyNumberFormat="1">
      <alignment vertical="center"/>
    </xf>
    <xf borderId="3" fillId="0" fontId="8" numFmtId="165" xfId="0" applyAlignment="1" applyBorder="1" applyFont="1" applyNumberFormat="1">
      <alignment vertical="center"/>
    </xf>
    <xf borderId="3" fillId="8" fontId="9" numFmtId="164" xfId="0" applyAlignment="1" applyBorder="1" applyFill="1" applyFont="1" applyNumberFormat="1">
      <alignment horizontal="right" vertical="center"/>
    </xf>
    <xf borderId="4" fillId="3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4" xfId="0" applyAlignment="1" applyFont="1" applyNumberFormat="1">
      <alignment vertical="center"/>
    </xf>
    <xf borderId="5" fillId="3" fontId="1" numFmtId="4" xfId="0" applyAlignment="1" applyBorder="1" applyFont="1" applyNumberFormat="1">
      <alignment vertical="center"/>
    </xf>
    <xf borderId="0" fillId="4" fontId="1" numFmtId="166" xfId="0" applyAlignment="1" applyFont="1" applyNumberFormat="1">
      <alignment vertical="center"/>
    </xf>
    <xf borderId="0" fillId="4" fontId="16" numFmtId="168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4" numFmtId="0" xfId="0" applyAlignment="1" applyFont="1">
      <alignment vertical="center"/>
    </xf>
    <xf borderId="5" fillId="3" fontId="1" numFmtId="0" xfId="0" applyAlignment="1" applyBorder="1" applyFont="1">
      <alignment vertical="center"/>
    </xf>
    <xf borderId="5" fillId="3" fontId="1" numFmtId="0" xfId="0" applyAlignment="1" applyBorder="1" applyFont="1">
      <alignment horizontal="center" vertical="center"/>
    </xf>
    <xf borderId="5" fillId="3" fontId="1" numFmtId="165" xfId="0" applyAlignment="1" applyBorder="1" applyFont="1" applyNumberFormat="1">
      <alignment vertical="center"/>
    </xf>
    <xf borderId="5" fillId="3" fontId="16" numFmtId="168" xfId="0" applyAlignment="1" applyBorder="1" applyFont="1" applyNumberFormat="1">
      <alignment vertical="center"/>
    </xf>
    <xf borderId="5" fillId="3" fontId="1" numFmtId="164" xfId="0" applyAlignment="1" applyBorder="1" applyFont="1" applyNumberFormat="1">
      <alignment vertical="center"/>
    </xf>
    <xf borderId="5" fillId="3" fontId="4" numFmtId="165" xfId="0" applyAlignment="1" applyBorder="1" applyFont="1" applyNumberFormat="1">
      <alignment vertical="center"/>
    </xf>
    <xf borderId="5" fillId="3" fontId="4" numFmtId="16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5" fillId="3" fontId="5" numFmtId="0" xfId="0" applyAlignment="1" applyBorder="1" applyFont="1">
      <alignment vertical="center"/>
    </xf>
    <xf borderId="0" fillId="0" fontId="17" numFmtId="4" xfId="0" applyAlignment="1" applyFont="1" applyNumberFormat="1">
      <alignment vertical="top"/>
    </xf>
    <xf borderId="1" fillId="0" fontId="12" numFmtId="0" xfId="0" applyBorder="1" applyFont="1"/>
    <xf borderId="17" fillId="5" fontId="1" numFmtId="0" xfId="0" applyAlignment="1" applyBorder="1" applyFont="1">
      <alignment vertical="center"/>
    </xf>
    <xf borderId="18" fillId="5" fontId="18" numFmtId="0" xfId="0" applyAlignment="1" applyBorder="1" applyFont="1">
      <alignment vertical="center"/>
    </xf>
    <xf borderId="18" fillId="5" fontId="1" numFmtId="0" xfId="0" applyAlignment="1" applyBorder="1" applyFont="1">
      <alignment vertical="center"/>
    </xf>
    <xf borderId="18" fillId="5" fontId="1" numFmtId="0" xfId="0" applyAlignment="1" applyBorder="1" applyFont="1">
      <alignment horizontal="center" vertical="center"/>
    </xf>
    <xf borderId="18" fillId="5" fontId="1" numFmtId="169" xfId="0" applyAlignment="1" applyBorder="1" applyFont="1" applyNumberFormat="1">
      <alignment vertical="center"/>
    </xf>
    <xf borderId="18" fillId="5" fontId="1" numFmtId="4" xfId="0" applyAlignment="1" applyBorder="1" applyFont="1" applyNumberFormat="1">
      <alignment vertical="center"/>
    </xf>
    <xf borderId="19" fillId="5" fontId="1" numFmtId="4" xfId="0" applyAlignment="1" applyBorder="1" applyFont="1" applyNumberFormat="1">
      <alignment horizontal="center" vertical="center"/>
    </xf>
    <xf borderId="5" fillId="6" fontId="16" numFmtId="168" xfId="0" applyAlignment="1" applyBorder="1" applyFont="1" applyNumberFormat="1">
      <alignment vertical="center"/>
    </xf>
    <xf borderId="5" fillId="6" fontId="1" numFmtId="164" xfId="0" applyAlignment="1" applyBorder="1" applyFont="1" applyNumberFormat="1">
      <alignment vertical="center"/>
    </xf>
    <xf borderId="0" fillId="7" fontId="13" numFmtId="164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vertical="center"/>
    </xf>
    <xf borderId="0" fillId="6" fontId="16" numFmtId="168" xfId="0" applyAlignment="1" applyFont="1" applyNumberFormat="1">
      <alignment vertical="center"/>
    </xf>
    <xf borderId="0" fillId="6" fontId="1" numFmtId="0" xfId="0" applyAlignment="1" applyFont="1">
      <alignment vertical="center"/>
    </xf>
    <xf borderId="0" fillId="0" fontId="4" numFmtId="170" xfId="0" applyAlignment="1" applyFont="1" applyNumberFormat="1">
      <alignment vertical="center"/>
    </xf>
    <xf borderId="17" fillId="0" fontId="18" numFmtId="0" xfId="0" applyAlignment="1" applyBorder="1" applyFont="1">
      <alignment horizontal="center" shrinkToFit="0" vertical="center" wrapText="1"/>
    </xf>
    <xf borderId="18" fillId="0" fontId="18" numFmtId="0" xfId="0" applyAlignment="1" applyBorder="1" applyFont="1">
      <alignment horizontal="center" shrinkToFit="0" vertical="center" wrapText="1"/>
    </xf>
    <xf borderId="18" fillId="4" fontId="18" numFmtId="0" xfId="0" applyAlignment="1" applyBorder="1" applyFont="1">
      <alignment horizontal="center" shrinkToFit="0" vertical="center" wrapText="1"/>
    </xf>
    <xf borderId="18" fillId="0" fontId="18" numFmtId="166" xfId="0" applyAlignment="1" applyBorder="1" applyFont="1" applyNumberFormat="1">
      <alignment horizontal="center" shrinkToFit="0" vertical="center" wrapText="1"/>
    </xf>
    <xf borderId="18" fillId="4" fontId="18" numFmtId="4" xfId="0" applyAlignment="1" applyBorder="1" applyFont="1" applyNumberFormat="1">
      <alignment horizontal="center" shrinkToFit="0" vertical="center" wrapText="1"/>
    </xf>
    <xf borderId="20" fillId="4" fontId="18" numFmtId="4" xfId="0" applyAlignment="1" applyBorder="1" applyFont="1" applyNumberFormat="1">
      <alignment horizontal="center" shrinkToFit="0" vertical="center" wrapText="1"/>
    </xf>
    <xf borderId="0" fillId="7" fontId="13" numFmtId="168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vertical="center"/>
    </xf>
    <xf borderId="21" fillId="9" fontId="19" numFmtId="170" xfId="0" applyAlignment="1" applyBorder="1" applyFill="1" applyFont="1" applyNumberFormat="1">
      <alignment horizontal="center" vertical="center"/>
    </xf>
    <xf borderId="22" fillId="0" fontId="12" numFmtId="0" xfId="0" applyBorder="1" applyFont="1"/>
    <xf borderId="23" fillId="0" fontId="12" numFmtId="0" xfId="0" applyBorder="1" applyFont="1"/>
    <xf borderId="0" fillId="3" fontId="4" numFmtId="0" xfId="0" applyAlignment="1" applyFont="1">
      <alignment vertical="center"/>
    </xf>
    <xf borderId="21" fillId="10" fontId="4" numFmtId="0" xfId="0" applyAlignment="1" applyBorder="1" applyFill="1" applyFont="1">
      <alignment horizontal="center" vertical="center"/>
    </xf>
    <xf borderId="24" fillId="0" fontId="18" numFmtId="0" xfId="0" applyAlignment="1" applyBorder="1" applyFont="1">
      <alignment horizontal="center" vertical="center"/>
    </xf>
    <xf borderId="25" fillId="0" fontId="18" numFmtId="0" xfId="0" applyAlignment="1" applyBorder="1" applyFont="1">
      <alignment horizontal="center" vertical="center"/>
    </xf>
    <xf borderId="25" fillId="4" fontId="18" numFmtId="0" xfId="0" applyAlignment="1" applyBorder="1" applyFont="1">
      <alignment horizontal="center" vertical="center"/>
    </xf>
    <xf borderId="25" fillId="4" fontId="18" numFmtId="4" xfId="0" applyAlignment="1" applyBorder="1" applyFont="1" applyNumberFormat="1">
      <alignment horizontal="center" vertical="center"/>
    </xf>
    <xf borderId="26" fillId="4" fontId="18" numFmtId="4" xfId="0" applyAlignment="1" applyBorder="1" applyFont="1" applyNumberFormat="1">
      <alignment horizontal="center" vertical="center"/>
    </xf>
    <xf borderId="0" fillId="0" fontId="20" numFmtId="0" xfId="0" applyAlignment="1" applyFont="1">
      <alignment vertical="center"/>
    </xf>
    <xf borderId="0" fillId="9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11" fontId="4" numFmtId="0" xfId="0" applyAlignment="1" applyFill="1" applyFont="1">
      <alignment vertical="center"/>
    </xf>
    <xf borderId="27" fillId="0" fontId="1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28" fillId="0" fontId="1" numFmtId="0" xfId="0" applyAlignment="1" applyBorder="1" applyFont="1">
      <alignment horizontal="center" vertical="center"/>
    </xf>
    <xf borderId="28" fillId="0" fontId="1" numFmtId="4" xfId="0" applyAlignment="1" applyBorder="1" applyFont="1" applyNumberFormat="1">
      <alignment vertical="center"/>
    </xf>
    <xf borderId="12" fillId="0" fontId="1" numFmtId="4" xfId="0" applyAlignment="1" applyBorder="1" applyFont="1" applyNumberFormat="1">
      <alignment vertical="center"/>
    </xf>
    <xf borderId="0" fillId="0" fontId="16" numFmtId="168" xfId="0" applyAlignment="1" applyFont="1" applyNumberFormat="1">
      <alignment vertical="center"/>
    </xf>
    <xf borderId="13" fillId="6" fontId="1" numFmtId="0" xfId="0" applyAlignment="1" applyBorder="1" applyFont="1">
      <alignment horizontal="center" vertical="center"/>
    </xf>
    <xf borderId="29" fillId="6" fontId="1" numFmtId="0" xfId="0" applyAlignment="1" applyBorder="1" applyFont="1">
      <alignment vertical="center"/>
    </xf>
    <xf borderId="29" fillId="6" fontId="8" numFmtId="0" xfId="0" applyAlignment="1" applyBorder="1" applyFont="1">
      <alignment horizontal="center" readingOrder="0" shrinkToFit="0" vertical="center" wrapText="0"/>
    </xf>
    <xf borderId="30" fillId="6" fontId="1" numFmtId="0" xfId="0" applyAlignment="1" applyBorder="1" applyFont="1">
      <alignment horizontal="center" vertical="center"/>
    </xf>
    <xf borderId="30" fillId="6" fontId="1" numFmtId="169" xfId="0" applyAlignment="1" applyBorder="1" applyFont="1" applyNumberFormat="1">
      <alignment horizontal="center" vertical="center"/>
    </xf>
    <xf borderId="31" fillId="3" fontId="1" numFmtId="169" xfId="0" applyAlignment="1" applyBorder="1" applyFont="1" applyNumberFormat="1">
      <alignment horizontal="center" vertical="center"/>
    </xf>
    <xf borderId="0" fillId="0" fontId="4" numFmtId="168" xfId="0" applyAlignment="1" applyFont="1" applyNumberFormat="1">
      <alignment vertical="center"/>
    </xf>
    <xf borderId="27" fillId="6" fontId="1" numFmtId="0" xfId="0" applyAlignment="1" applyBorder="1" applyFont="1">
      <alignment horizontal="center" vertical="center"/>
    </xf>
    <xf borderId="28" fillId="6" fontId="1" numFmtId="0" xfId="0" applyAlignment="1" applyBorder="1" applyFont="1">
      <alignment vertical="center"/>
    </xf>
    <xf borderId="10" fillId="6" fontId="1" numFmtId="0" xfId="0" applyAlignment="1" applyBorder="1" applyFont="1">
      <alignment horizontal="center" vertical="center"/>
    </xf>
    <xf borderId="10" fillId="6" fontId="1" numFmtId="169" xfId="0" applyAlignment="1" applyBorder="1" applyFont="1" applyNumberFormat="1">
      <alignment horizontal="center" vertical="center"/>
    </xf>
    <xf borderId="29" fillId="6" fontId="1" numFmtId="0" xfId="0" applyAlignment="1" applyBorder="1" applyFont="1">
      <alignment horizontal="center" vertical="center"/>
    </xf>
    <xf borderId="29" fillId="6" fontId="1" numFmtId="169" xfId="0" applyAlignment="1" applyBorder="1" applyFont="1" applyNumberFormat="1">
      <alignment vertical="center"/>
    </xf>
    <xf borderId="29" fillId="6" fontId="1" numFmtId="0" xfId="0" applyAlignment="1" applyBorder="1" applyFont="1">
      <alignment shrinkToFit="0" vertical="center" wrapText="1"/>
    </xf>
    <xf borderId="32" fillId="6" fontId="1" numFmtId="0" xfId="0" applyAlignment="1" applyBorder="1" applyFont="1">
      <alignment vertical="center"/>
    </xf>
    <xf borderId="33" fillId="6" fontId="1" numFmtId="0" xfId="0" applyAlignment="1" applyBorder="1" applyFont="1">
      <alignment vertical="center"/>
    </xf>
    <xf borderId="33" fillId="6" fontId="1" numFmtId="0" xfId="0" applyAlignment="1" applyBorder="1" applyFont="1">
      <alignment horizontal="center" vertical="center"/>
    </xf>
    <xf borderId="33" fillId="6" fontId="1" numFmtId="169" xfId="0" applyAlignment="1" applyBorder="1" applyFont="1" applyNumberFormat="1">
      <alignment vertical="center"/>
    </xf>
    <xf borderId="33" fillId="6" fontId="1" numFmtId="4" xfId="0" applyAlignment="1" applyBorder="1" applyFont="1" applyNumberFormat="1">
      <alignment vertical="center"/>
    </xf>
    <xf borderId="34" fillId="0" fontId="1" numFmtId="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8" fillId="0" fontId="1" numFmtId="4" xfId="0" applyAlignment="1" applyBorder="1" applyFont="1" applyNumberFormat="1">
      <alignment vertical="center"/>
    </xf>
    <xf borderId="35" fillId="0" fontId="1" numFmtId="4" xfId="0" applyAlignment="1" applyBorder="1" applyFont="1" applyNumberFormat="1">
      <alignment horizontal="right" vertical="center"/>
    </xf>
    <xf borderId="0" fillId="0" fontId="21" numFmtId="0" xfId="0" applyAlignment="1" applyFont="1">
      <alignment vertical="center"/>
    </xf>
    <xf borderId="0" fillId="2" fontId="22" numFmtId="0" xfId="0" applyAlignment="1" applyFont="1">
      <alignment horizontal="left" vertical="center"/>
    </xf>
    <xf borderId="0" fillId="6" fontId="1" numFmtId="0" xfId="0" applyAlignment="1" applyFont="1">
      <alignment horizontal="center" vertical="center"/>
    </xf>
    <xf borderId="0" fillId="0" fontId="23" numFmtId="166" xfId="0" applyAlignment="1" applyFont="1" applyNumberFormat="1">
      <alignment vertical="top"/>
    </xf>
    <xf borderId="0" fillId="0" fontId="17" numFmtId="166" xfId="0" applyAlignment="1" applyFont="1" applyNumberFormat="1">
      <alignment vertical="top"/>
    </xf>
    <xf borderId="0" fillId="4" fontId="1" numFmtId="0" xfId="0" applyAlignment="1" applyFont="1">
      <alignment vertical="bottom"/>
    </xf>
    <xf borderId="1" fillId="0" fontId="23" numFmtId="166" xfId="0" applyAlignment="1" applyBorder="1" applyFont="1" applyNumberFormat="1">
      <alignment vertical="top"/>
    </xf>
    <xf borderId="0" fillId="0" fontId="1" numFmtId="0" xfId="0" applyAlignment="1" applyFont="1">
      <alignment vertical="bottom"/>
    </xf>
    <xf borderId="36" fillId="5" fontId="8" numFmtId="168" xfId="0" applyAlignment="1" applyBorder="1" applyFont="1" applyNumberFormat="1">
      <alignment horizontal="center" vertical="center"/>
    </xf>
    <xf borderId="3" fillId="5" fontId="8" numFmtId="168" xfId="0" applyAlignment="1" applyBorder="1" applyFont="1" applyNumberFormat="1">
      <alignment horizontal="center" vertical="center"/>
    </xf>
    <xf borderId="3" fillId="5" fontId="8" numFmtId="14" xfId="0" applyAlignment="1" applyBorder="1" applyFont="1" applyNumberFormat="1">
      <alignment vertical="center"/>
    </xf>
    <xf borderId="3" fillId="5" fontId="9" numFmtId="0" xfId="0" applyAlignment="1" applyBorder="1" applyFont="1">
      <alignment horizontal="center" vertical="center"/>
    </xf>
    <xf borderId="3" fillId="5" fontId="8" numFmtId="0" xfId="0" applyAlignment="1" applyBorder="1" applyFont="1">
      <alignment horizontal="center" vertical="center"/>
    </xf>
    <xf borderId="3" fillId="5" fontId="8" numFmtId="171" xfId="0" applyAlignment="1" applyBorder="1" applyFont="1" applyNumberFormat="1">
      <alignment vertical="center"/>
    </xf>
    <xf borderId="18" fillId="5" fontId="1" numFmtId="171" xfId="0" applyAlignment="1" applyBorder="1" applyFont="1" applyNumberFormat="1">
      <alignment vertical="center"/>
    </xf>
    <xf borderId="3" fillId="5" fontId="8" numFmtId="0" xfId="0" applyAlignment="1" applyBorder="1" applyFont="1">
      <alignment vertical="center"/>
    </xf>
    <xf borderId="18" fillId="5" fontId="1" numFmtId="4" xfId="0" applyAlignment="1" applyBorder="1" applyFont="1" applyNumberFormat="1">
      <alignment vertical="bottom"/>
    </xf>
    <xf borderId="35" fillId="5" fontId="1" numFmtId="4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37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vertical="center"/>
    </xf>
    <xf borderId="38" fillId="0" fontId="4" numFmtId="0" xfId="0" applyAlignment="1" applyBorder="1" applyFont="1">
      <alignment horizontal="center" vertical="center"/>
    </xf>
    <xf borderId="39" fillId="0" fontId="12" numFmtId="0" xfId="0" applyBorder="1" applyFont="1"/>
    <xf borderId="38" fillId="4" fontId="4" numFmtId="0" xfId="0" applyAlignment="1" applyBorder="1" applyFont="1">
      <alignment horizontal="center" vertical="center"/>
    </xf>
    <xf borderId="38" fillId="4" fontId="4" numFmtId="0" xfId="0" applyAlignment="1" applyBorder="1" applyFont="1">
      <alignment horizontal="center" vertical="center"/>
    </xf>
    <xf borderId="38" fillId="6" fontId="4" numFmtId="0" xfId="0" applyAlignment="1" applyBorder="1" applyFont="1">
      <alignment horizontal="center" vertical="center"/>
    </xf>
    <xf borderId="40" fillId="0" fontId="5" numFmtId="0" xfId="0" applyAlignment="1" applyBorder="1" applyFont="1">
      <alignment horizontal="center"/>
    </xf>
    <xf borderId="41" fillId="0" fontId="5" numFmtId="0" xfId="0" applyAlignment="1" applyBorder="1" applyFont="1">
      <alignment horizontal="center"/>
    </xf>
    <xf borderId="0" fillId="0" fontId="18" numFmtId="0" xfId="0" applyAlignment="1" applyFont="1">
      <alignment vertical="bottom"/>
    </xf>
    <xf borderId="24" fillId="0" fontId="5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7" fillId="4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5" fillId="0" fontId="24" numFmtId="0" xfId="0" applyAlignment="1" applyBorder="1" applyFont="1">
      <alignment horizontal="center" vertical="center"/>
    </xf>
    <xf borderId="25" fillId="4" fontId="4" numFmtId="0" xfId="0" applyAlignment="1" applyBorder="1" applyFont="1">
      <alignment horizontal="center" vertical="center"/>
    </xf>
    <xf borderId="25" fillId="4" fontId="24" numFmtId="0" xfId="0" applyAlignment="1" applyBorder="1" applyFont="1">
      <alignment horizontal="center" vertical="center"/>
    </xf>
    <xf borderId="25" fillId="4" fontId="4" numFmtId="0" xfId="0" applyAlignment="1" applyBorder="1" applyFont="1">
      <alignment horizontal="center" vertical="center"/>
    </xf>
    <xf borderId="25" fillId="6" fontId="4" numFmtId="0" xfId="0" applyAlignment="1" applyBorder="1" applyFont="1">
      <alignment horizontal="center" vertical="center"/>
    </xf>
    <xf borderId="25" fillId="0" fontId="1" numFmtId="0" xfId="0" applyBorder="1" applyFont="1"/>
    <xf borderId="26" fillId="0" fontId="1" numFmtId="0" xfId="0" applyBorder="1" applyFont="1"/>
    <xf borderId="0" fillId="0" fontId="20" numFmtId="0" xfId="0" applyAlignment="1" applyFont="1">
      <alignment vertical="bottom"/>
    </xf>
    <xf borderId="7" fillId="6" fontId="5" numFmtId="0" xfId="0" applyAlignment="1" applyBorder="1" applyFont="1">
      <alignment horizontal="center" vertical="center"/>
    </xf>
    <xf borderId="7" fillId="6" fontId="19" numFmtId="0" xfId="0" applyAlignment="1" applyBorder="1" applyFont="1">
      <alignment horizontal="center" vertical="center"/>
    </xf>
    <xf borderId="42" fillId="6" fontId="19" numFmtId="0" xfId="0" applyAlignment="1" applyBorder="1" applyFont="1">
      <alignment horizontal="center" vertical="center"/>
    </xf>
    <xf borderId="42" fillId="6" fontId="19" numFmtId="0" xfId="0" applyAlignment="1" applyBorder="1" applyFont="1">
      <alignment horizontal="center" vertical="center"/>
    </xf>
    <xf borderId="43" fillId="6" fontId="19" numFmtId="0" xfId="0" applyAlignment="1" applyBorder="1" applyFont="1">
      <alignment horizontal="center" vertical="center"/>
    </xf>
    <xf borderId="42" fillId="6" fontId="5" numFmtId="0" xfId="0" applyAlignment="1" applyBorder="1" applyFont="1">
      <alignment horizontal="center" vertical="bottom"/>
    </xf>
    <xf borderId="44" fillId="6" fontId="5" numFmtId="0" xfId="0" applyAlignment="1" applyBorder="1" applyFont="1">
      <alignment horizontal="center" vertical="bottom"/>
    </xf>
    <xf borderId="0" fillId="0" fontId="3" numFmtId="0" xfId="0" applyFont="1"/>
    <xf borderId="27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vertical="bottom"/>
    </xf>
    <xf borderId="10" fillId="6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45" fillId="0" fontId="1" numFmtId="0" xfId="0" applyAlignment="1" applyBorder="1" applyFont="1">
      <alignment vertical="bottom"/>
    </xf>
    <xf borderId="46" fillId="0" fontId="1" numFmtId="0" xfId="0" applyAlignment="1" applyBorder="1" applyFont="1">
      <alignment vertical="bottom"/>
    </xf>
    <xf borderId="0" fillId="6" fontId="8" numFmtId="0" xfId="0" applyAlignment="1" applyFont="1">
      <alignment vertical="center"/>
    </xf>
    <xf borderId="13" fillId="6" fontId="1" numFmtId="0" xfId="0" applyAlignment="1" applyBorder="1" applyFont="1">
      <alignment horizontal="center" vertical="center"/>
    </xf>
    <xf borderId="10" fillId="6" fontId="8" numFmtId="168" xfId="0" applyAlignment="1" applyBorder="1" applyFont="1" applyNumberFormat="1">
      <alignment horizontal="center" vertical="center"/>
    </xf>
    <xf borderId="10" fillId="6" fontId="1" numFmtId="0" xfId="0" applyAlignment="1" applyBorder="1" applyFont="1">
      <alignment horizontal="center" readingOrder="0" vertical="center"/>
    </xf>
    <xf borderId="30" fillId="6" fontId="1" numFmtId="168" xfId="0" applyAlignment="1" applyBorder="1" applyFont="1" applyNumberFormat="1">
      <alignment horizontal="center" vertical="center"/>
    </xf>
    <xf borderId="30" fillId="6" fontId="4" numFmtId="172" xfId="0" applyAlignment="1" applyBorder="1" applyFont="1" applyNumberFormat="1">
      <alignment horizontal="center" readingOrder="0" vertical="center"/>
    </xf>
    <xf borderId="10" fillId="6" fontId="8" numFmtId="168" xfId="0" applyAlignment="1" applyBorder="1" applyFont="1" applyNumberFormat="1">
      <alignment horizontal="left" vertical="center"/>
    </xf>
    <xf borderId="10" fillId="6" fontId="8" numFmtId="171" xfId="0" applyAlignment="1" applyBorder="1" applyFont="1" applyNumberFormat="1">
      <alignment horizontal="center" vertical="center"/>
    </xf>
    <xf borderId="10" fillId="6" fontId="8" numFmtId="171" xfId="0" applyAlignment="1" applyBorder="1" applyFont="1" applyNumberFormat="1">
      <alignment vertical="center"/>
    </xf>
    <xf borderId="28" fillId="6" fontId="1" numFmtId="0" xfId="0" applyAlignment="1" applyBorder="1" applyFont="1">
      <alignment vertical="bottom"/>
    </xf>
    <xf borderId="31" fillId="6" fontId="1" numFmtId="0" xfId="0" applyBorder="1" applyFont="1"/>
    <xf borderId="0" fillId="0" fontId="1" numFmtId="0" xfId="0" applyFont="1"/>
    <xf borderId="0" fillId="3" fontId="4" numFmtId="0" xfId="0" applyFont="1"/>
    <xf borderId="31" fillId="6" fontId="20" numFmtId="0" xfId="0" applyBorder="1" applyFont="1"/>
    <xf borderId="0" fillId="0" fontId="8" numFmtId="0" xfId="0" applyAlignment="1" applyFont="1">
      <alignment vertical="center"/>
    </xf>
    <xf borderId="24" fillId="6" fontId="8" numFmtId="0" xfId="0" applyAlignment="1" applyBorder="1" applyFont="1">
      <alignment horizontal="center" vertical="center"/>
    </xf>
    <xf borderId="7" fillId="6" fontId="8" numFmtId="0" xfId="0" applyAlignment="1" applyBorder="1" applyFont="1">
      <alignment horizontal="center" vertical="center"/>
    </xf>
    <xf borderId="7" fillId="6" fontId="8" numFmtId="14" xfId="0" applyAlignment="1" applyBorder="1" applyFont="1" applyNumberFormat="1">
      <alignment vertical="center"/>
    </xf>
    <xf borderId="7" fillId="6" fontId="8" numFmtId="168" xfId="0" applyAlignment="1" applyBorder="1" applyFont="1" applyNumberFormat="1">
      <alignment vertical="center"/>
    </xf>
    <xf borderId="7" fillId="6" fontId="8" numFmtId="0" xfId="0" applyAlignment="1" applyBorder="1" applyFont="1">
      <alignment vertical="center"/>
    </xf>
    <xf borderId="7" fillId="6" fontId="8" numFmtId="171" xfId="0" applyAlignment="1" applyBorder="1" applyFont="1" applyNumberFormat="1">
      <alignment vertical="center"/>
    </xf>
    <xf borderId="7" fillId="6" fontId="8" numFmtId="0" xfId="0" applyAlignment="1" applyBorder="1" applyFont="1">
      <alignment vertical="center"/>
    </xf>
    <xf borderId="29" fillId="6" fontId="1" numFmtId="0" xfId="0" applyBorder="1" applyFont="1"/>
    <xf borderId="36" fillId="6" fontId="8" numFmtId="0" xfId="0" applyAlignment="1" applyBorder="1" applyFont="1">
      <alignment horizontal="center" vertical="center"/>
    </xf>
    <xf borderId="3" fillId="6" fontId="8" numFmtId="0" xfId="0" applyAlignment="1" applyBorder="1" applyFont="1">
      <alignment horizontal="center" vertical="center"/>
    </xf>
    <xf borderId="3" fillId="6" fontId="8" numFmtId="0" xfId="0" applyAlignment="1" applyBorder="1" applyFont="1">
      <alignment vertical="center"/>
    </xf>
    <xf borderId="3" fillId="6" fontId="8" numFmtId="171" xfId="0" applyAlignment="1" applyBorder="1" applyFont="1" applyNumberFormat="1">
      <alignment horizontal="center" vertical="center"/>
    </xf>
    <xf borderId="3" fillId="6" fontId="8" numFmtId="0" xfId="0" applyAlignment="1" applyBorder="1" applyFont="1">
      <alignment vertical="center"/>
    </xf>
    <xf borderId="47" fillId="6" fontId="1" numFmtId="0" xfId="0" applyBorder="1" applyFont="1"/>
    <xf borderId="48" fillId="6" fontId="1" numFmtId="0" xfId="0" applyBorder="1" applyFont="1"/>
    <xf borderId="0" fillId="0" fontId="8" numFmtId="0" xfId="0" applyAlignment="1" applyFont="1">
      <alignment horizontal="center" vertical="center"/>
    </xf>
    <xf borderId="0" fillId="0" fontId="8" numFmtId="168" xfId="0" applyAlignment="1" applyFont="1" applyNumberFormat="1">
      <alignment shrinkToFit="0" vertical="center" wrapText="0"/>
    </xf>
    <xf borderId="0" fillId="3" fontId="1" numFmtId="0" xfId="0" applyAlignment="1" applyFont="1">
      <alignment vertical="center"/>
    </xf>
    <xf borderId="0" fillId="3" fontId="1" numFmtId="0" xfId="0" applyAlignment="1" applyFont="1">
      <alignment horizontal="center" vertical="center"/>
    </xf>
    <xf borderId="0" fillId="0" fontId="25" numFmtId="0" xfId="0" applyAlignment="1" applyFont="1">
      <alignment readingOrder="0" vertical="center"/>
    </xf>
    <xf borderId="0" fillId="7" fontId="26" numFmtId="0" xfId="0" applyAlignment="1" applyFont="1">
      <alignment vertical="center"/>
    </xf>
    <xf borderId="0" fillId="7" fontId="1" numFmtId="0" xfId="0" applyFont="1"/>
    <xf borderId="0" fillId="7" fontId="1" numFmtId="0" xfId="0" applyAlignment="1" applyFont="1">
      <alignment vertical="center"/>
    </xf>
    <xf borderId="0" fillId="7" fontId="1" numFmtId="168" xfId="0" applyFont="1" applyNumberFormat="1"/>
    <xf borderId="0" fillId="7" fontId="1" numFmtId="171" xfId="0" applyFont="1" applyNumberFormat="1"/>
    <xf borderId="0" fillId="0" fontId="4" numFmtId="0" xfId="0" applyAlignment="1" applyFont="1">
      <alignment vertical="bottom"/>
    </xf>
    <xf borderId="0" fillId="0" fontId="1" numFmtId="171" xfId="0" applyFont="1" applyNumberFormat="1"/>
    <xf borderId="0" fillId="4" fontId="2" numFmtId="0" xfId="0" applyFont="1"/>
    <xf borderId="0" fillId="0" fontId="4" numFmtId="168" xfId="0" applyFont="1" applyNumberFormat="1"/>
    <xf borderId="0" fillId="0" fontId="4" numFmtId="166" xfId="0" applyFont="1" applyNumberFormat="1"/>
    <xf borderId="0" fillId="0" fontId="4" numFmtId="171" xfId="0" applyFont="1" applyNumberFormat="1"/>
    <xf borderId="0" fillId="0" fontId="27" numFmtId="166" xfId="0" applyFont="1" applyNumberFormat="1"/>
    <xf borderId="1" fillId="0" fontId="4" numFmtId="166" xfId="0" applyBorder="1" applyFont="1" applyNumberFormat="1"/>
    <xf borderId="17" fillId="5" fontId="4" numFmtId="168" xfId="0" applyBorder="1" applyFont="1" applyNumberFormat="1"/>
    <xf borderId="18" fillId="5" fontId="4" numFmtId="168" xfId="0" applyBorder="1" applyFont="1" applyNumberFormat="1"/>
    <xf borderId="18" fillId="5" fontId="4" numFmtId="14" xfId="0" applyBorder="1" applyFont="1" applyNumberFormat="1"/>
    <xf borderId="18" fillId="5" fontId="28" numFmtId="0" xfId="0" applyAlignment="1" applyBorder="1" applyFont="1">
      <alignment horizontal="center"/>
    </xf>
    <xf borderId="18" fillId="5" fontId="29" numFmtId="0" xfId="0" applyAlignment="1" applyBorder="1" applyFont="1">
      <alignment horizontal="center"/>
    </xf>
    <xf borderId="18" fillId="5" fontId="4" numFmtId="171" xfId="0" applyBorder="1" applyFont="1" applyNumberFormat="1"/>
    <xf borderId="18" fillId="5" fontId="29" numFmtId="166" xfId="0" applyAlignment="1" applyBorder="1" applyFont="1" applyNumberFormat="1">
      <alignment horizontal="right"/>
    </xf>
    <xf borderId="35" fillId="5" fontId="4" numFmtId="171" xfId="0" applyBorder="1" applyFont="1" applyNumberFormat="1"/>
    <xf borderId="49" fillId="0" fontId="19" numFmtId="0" xfId="0" applyAlignment="1" applyBorder="1" applyFont="1">
      <alignment horizontal="center"/>
    </xf>
    <xf borderId="49" fillId="0" fontId="19" numFmtId="0" xfId="0" applyAlignment="1" applyBorder="1" applyFont="1">
      <alignment horizontal="center"/>
    </xf>
    <xf borderId="40" fillId="0" fontId="19" numFmtId="0" xfId="0" applyAlignment="1" applyBorder="1" applyFont="1">
      <alignment horizontal="center"/>
    </xf>
    <xf borderId="40" fillId="0" fontId="4" numFmtId="168" xfId="0" applyAlignment="1" applyBorder="1" applyFont="1" applyNumberFormat="1">
      <alignment horizontal="center" vertical="bottom"/>
    </xf>
    <xf borderId="38" fillId="0" fontId="4" numFmtId="168" xfId="0" applyAlignment="1" applyBorder="1" applyFont="1" applyNumberFormat="1">
      <alignment horizontal="center" vertical="bottom"/>
    </xf>
    <xf borderId="40" fillId="0" fontId="4" numFmtId="0" xfId="0" applyBorder="1" applyFont="1"/>
    <xf borderId="40" fillId="0" fontId="19" numFmtId="171" xfId="0" applyAlignment="1" applyBorder="1" applyFont="1" applyNumberFormat="1">
      <alignment horizontal="center"/>
    </xf>
    <xf borderId="41" fillId="0" fontId="19" numFmtId="171" xfId="0" applyAlignment="1" applyBorder="1" applyFont="1" applyNumberFormat="1">
      <alignment horizontal="center"/>
    </xf>
    <xf borderId="24" fillId="0" fontId="19" numFmtId="0" xfId="0" applyAlignment="1" applyBorder="1" applyFont="1">
      <alignment horizontal="center"/>
    </xf>
    <xf borderId="24" fillId="0" fontId="19" numFmtId="0" xfId="0" applyAlignment="1" applyBorder="1" applyFont="1">
      <alignment horizontal="center"/>
    </xf>
    <xf borderId="25" fillId="0" fontId="19" numFmtId="0" xfId="0" applyAlignment="1" applyBorder="1" applyFont="1">
      <alignment horizontal="center"/>
    </xf>
    <xf borderId="25" fillId="0" fontId="4" numFmtId="0" xfId="0" applyBorder="1" applyFont="1"/>
    <xf borderId="25" fillId="0" fontId="4" numFmtId="168" xfId="0" applyAlignment="1" applyBorder="1" applyFont="1" applyNumberFormat="1">
      <alignment horizontal="center" vertical="bottom"/>
    </xf>
    <xf borderId="25" fillId="0" fontId="4" numFmtId="0" xfId="0" applyAlignment="1" applyBorder="1" applyFont="1">
      <alignment horizontal="center" vertical="bottom"/>
    </xf>
    <xf borderId="25" fillId="0" fontId="4" numFmtId="0" xfId="0" applyAlignment="1" applyBorder="1" applyFont="1">
      <alignment horizontal="center"/>
    </xf>
    <xf borderId="25" fillId="0" fontId="4" numFmtId="171" xfId="0" applyBorder="1" applyFont="1" applyNumberFormat="1"/>
    <xf borderId="26" fillId="0" fontId="4" numFmtId="171" xfId="0" applyBorder="1" applyFont="1" applyNumberFormat="1"/>
    <xf borderId="50" fillId="0" fontId="19" numFmtId="0" xfId="0" applyAlignment="1" applyBorder="1" applyFont="1">
      <alignment horizontal="center"/>
    </xf>
    <xf borderId="50" fillId="0" fontId="19" numFmtId="0" xfId="0" applyAlignment="1" applyBorder="1" applyFont="1">
      <alignment horizontal="center"/>
    </xf>
    <xf borderId="42" fillId="0" fontId="19" numFmtId="0" xfId="0" applyAlignment="1" applyBorder="1" applyFont="1">
      <alignment horizontal="center"/>
    </xf>
    <xf borderId="42" fillId="0" fontId="19" numFmtId="168" xfId="0" applyAlignment="1" applyBorder="1" applyFont="1" applyNumberFormat="1">
      <alignment horizontal="center" vertical="bottom"/>
    </xf>
    <xf borderId="42" fillId="0" fontId="4" numFmtId="0" xfId="0" applyAlignment="1" applyBorder="1" applyFont="1">
      <alignment horizontal="center" vertical="bottom"/>
    </xf>
    <xf borderId="42" fillId="0" fontId="19" numFmtId="171" xfId="0" applyAlignment="1" applyBorder="1" applyFont="1" applyNumberFormat="1">
      <alignment horizontal="center"/>
    </xf>
    <xf borderId="44" fillId="0" fontId="19" numFmtId="171" xfId="0" applyAlignment="1" applyBorder="1" applyFont="1" applyNumberFormat="1">
      <alignment horizontal="center"/>
    </xf>
    <xf borderId="51" fillId="0" fontId="4" numFmtId="0" xfId="0" applyBorder="1" applyFont="1"/>
    <xf borderId="51" fillId="0" fontId="4" numFmtId="0" xfId="0" applyBorder="1" applyFont="1"/>
    <xf borderId="30" fillId="3" fontId="4" numFmtId="0" xfId="0" applyAlignment="1" applyBorder="1" applyFont="1">
      <alignment vertical="bottom"/>
    </xf>
    <xf borderId="45" fillId="0" fontId="4" numFmtId="0" xfId="0" applyBorder="1" applyFont="1"/>
    <xf borderId="52" fillId="0" fontId="4" numFmtId="0" xfId="0" applyBorder="1" applyFont="1"/>
    <xf borderId="52" fillId="0" fontId="4" numFmtId="168" xfId="0" applyBorder="1" applyFont="1" applyNumberFormat="1"/>
    <xf borderId="52" fillId="0" fontId="4" numFmtId="171" xfId="0" applyBorder="1" applyFont="1" applyNumberFormat="1"/>
    <xf borderId="53" fillId="0" fontId="4" numFmtId="171" xfId="0" applyBorder="1" applyFont="1" applyNumberFormat="1"/>
    <xf borderId="13" fillId="3" fontId="29" numFmtId="0" xfId="0" applyAlignment="1" applyBorder="1" applyFont="1">
      <alignment horizontal="center"/>
    </xf>
    <xf borderId="13" fillId="3" fontId="4" numFmtId="168" xfId="0" applyBorder="1" applyFont="1" applyNumberFormat="1"/>
    <xf borderId="30" fillId="3" fontId="29" numFmtId="0" xfId="0" applyAlignment="1" applyBorder="1" applyFont="1">
      <alignment horizontal="center" vertical="bottom"/>
    </xf>
    <xf borderId="29" fillId="3" fontId="4" numFmtId="168" xfId="0" applyAlignment="1" applyBorder="1" applyFont="1" applyNumberFormat="1">
      <alignment horizontal="center"/>
    </xf>
    <xf borderId="30" fillId="3" fontId="4" numFmtId="172" xfId="0" applyAlignment="1" applyBorder="1" applyFont="1" applyNumberFormat="1">
      <alignment horizontal="center"/>
    </xf>
    <xf borderId="29" fillId="3" fontId="4" numFmtId="168" xfId="0" applyBorder="1" applyFont="1" applyNumberFormat="1"/>
    <xf borderId="29" fillId="3" fontId="29" numFmtId="168" xfId="0" applyAlignment="1" applyBorder="1" applyFont="1" applyNumberFormat="1">
      <alignment horizontal="center"/>
    </xf>
    <xf borderId="30" fillId="3" fontId="4" numFmtId="171" xfId="0" applyAlignment="1" applyBorder="1" applyFont="1" applyNumberFormat="1">
      <alignment horizontal="right"/>
    </xf>
    <xf borderId="10" fillId="3" fontId="4" numFmtId="171" xfId="0" applyAlignment="1" applyBorder="1" applyFont="1" applyNumberFormat="1">
      <alignment horizontal="right"/>
    </xf>
    <xf borderId="29" fillId="3" fontId="29" numFmtId="171" xfId="0" applyAlignment="1" applyBorder="1" applyFont="1" applyNumberFormat="1">
      <alignment horizontal="center"/>
    </xf>
    <xf borderId="29" fillId="3" fontId="29" numFmtId="171" xfId="0" applyAlignment="1" applyBorder="1" applyFont="1" applyNumberFormat="1">
      <alignment horizontal="right"/>
    </xf>
    <xf borderId="29" fillId="3" fontId="4" numFmtId="171" xfId="0" applyBorder="1" applyFont="1" applyNumberFormat="1"/>
    <xf borderId="31" fillId="3" fontId="4" numFmtId="171" xfId="0" applyBorder="1" applyFont="1" applyNumberFormat="1"/>
    <xf borderId="0" fillId="3" fontId="4" numFmtId="0" xfId="0" applyAlignment="1" applyFont="1">
      <alignment vertical="bottom"/>
    </xf>
    <xf borderId="30" fillId="3" fontId="4" numFmtId="172" xfId="0" applyBorder="1" applyFont="1" applyNumberFormat="1"/>
    <xf borderId="30" fillId="3" fontId="4" numFmtId="171" xfId="0" applyBorder="1" applyFont="1" applyNumberFormat="1"/>
    <xf borderId="13" fillId="3" fontId="4" numFmtId="0" xfId="0" applyBorder="1" applyFont="1"/>
    <xf borderId="28" fillId="3" fontId="4" numFmtId="171" xfId="0" applyBorder="1" applyFont="1" applyNumberFormat="1"/>
    <xf borderId="10" fillId="3" fontId="4" numFmtId="171" xfId="0" applyBorder="1" applyFont="1" applyNumberFormat="1"/>
    <xf borderId="13" fillId="0" fontId="4" numFmtId="0" xfId="0" applyBorder="1" applyFont="1"/>
    <xf borderId="13" fillId="0" fontId="4" numFmtId="0" xfId="0" applyBorder="1" applyFont="1"/>
    <xf borderId="29" fillId="0" fontId="4" numFmtId="0" xfId="0" applyBorder="1" applyFont="1"/>
    <xf borderId="29" fillId="0" fontId="4" numFmtId="14" xfId="0" applyBorder="1" applyFont="1" applyNumberFormat="1"/>
    <xf borderId="29" fillId="0" fontId="4" numFmtId="168" xfId="0" applyBorder="1" applyFont="1" applyNumberFormat="1"/>
    <xf borderId="29" fillId="0" fontId="4" numFmtId="171" xfId="0" applyBorder="1" applyFont="1" applyNumberFormat="1"/>
    <xf borderId="31" fillId="0" fontId="4" numFmtId="171" xfId="0" applyBorder="1" applyFont="1" applyNumberFormat="1"/>
    <xf borderId="54" fillId="0" fontId="4" numFmtId="0" xfId="0" applyBorder="1" applyFont="1"/>
    <xf borderId="54" fillId="0" fontId="4" numFmtId="0" xfId="0" applyBorder="1" applyFont="1"/>
    <xf borderId="47" fillId="0" fontId="4" numFmtId="0" xfId="0" applyBorder="1" applyFont="1"/>
    <xf borderId="47" fillId="0" fontId="4" numFmtId="0" xfId="0" applyAlignment="1" applyBorder="1" applyFont="1">
      <alignment horizontal="center"/>
    </xf>
    <xf borderId="47" fillId="0" fontId="4" numFmtId="168" xfId="0" applyBorder="1" applyFont="1" applyNumberFormat="1"/>
    <xf borderId="47" fillId="0" fontId="29" numFmtId="171" xfId="0" applyAlignment="1" applyBorder="1" applyFont="1" applyNumberFormat="1">
      <alignment horizontal="center"/>
    </xf>
    <xf borderId="47" fillId="0" fontId="4" numFmtId="171" xfId="0" applyBorder="1" applyFont="1" applyNumberFormat="1"/>
    <xf borderId="48" fillId="0" fontId="4" numFmtId="171" xfId="0" applyBorder="1" applyFont="1" applyNumberFormat="1"/>
    <xf borderId="0" fillId="0" fontId="2" numFmtId="0" xfId="0" applyAlignment="1" applyFont="1">
      <alignment shrinkToFit="0" vertical="bottom" wrapText="0"/>
    </xf>
    <xf borderId="0" fillId="0" fontId="30" numFmtId="0" xfId="0" applyAlignment="1" applyFont="1">
      <alignment vertical="center"/>
    </xf>
    <xf borderId="0" fillId="0" fontId="8" numFmtId="0" xfId="0" applyAlignment="1" applyFont="1">
      <alignment shrinkToFit="0" vertical="bottom" wrapText="0"/>
    </xf>
    <xf borderId="0" fillId="0" fontId="30" numFmtId="166" xfId="0" applyFont="1" applyNumberFormat="1"/>
    <xf borderId="0" fillId="0" fontId="30" numFmtId="171" xfId="0" applyFont="1" applyNumberFormat="1"/>
    <xf borderId="0" fillId="0" fontId="30" numFmtId="171" xfId="0" applyAlignment="1" applyFont="1" applyNumberFormat="1">
      <alignment vertical="center"/>
    </xf>
    <xf borderId="0" fillId="0" fontId="31" numFmtId="166" xfId="0" applyAlignment="1" applyFont="1" applyNumberFormat="1">
      <alignment readingOrder="0" vertical="top"/>
    </xf>
    <xf borderId="0" fillId="4" fontId="30" numFmtId="0" xfId="0" applyFont="1"/>
    <xf borderId="0" fillId="4" fontId="4" numFmtId="0" xfId="0" applyAlignment="1" applyFont="1">
      <alignment vertical="bottom"/>
    </xf>
    <xf borderId="0" fillId="0" fontId="32" numFmtId="0" xfId="0" applyAlignment="1" applyFont="1">
      <alignment shrinkToFit="0" vertical="bottom" wrapText="0"/>
    </xf>
    <xf borderId="17" fillId="5" fontId="4" numFmtId="168" xfId="0" applyAlignment="1" applyBorder="1" applyFont="1" applyNumberFormat="1">
      <alignment vertical="bottom"/>
    </xf>
    <xf borderId="55" fillId="5" fontId="32" numFmtId="168" xfId="0" applyAlignment="1" applyBorder="1" applyFont="1" applyNumberFormat="1">
      <alignment horizontal="center" shrinkToFit="0" vertical="bottom" wrapText="0"/>
    </xf>
    <xf borderId="18" fillId="5" fontId="4" numFmtId="168" xfId="0" applyAlignment="1" applyBorder="1" applyFont="1" applyNumberFormat="1">
      <alignment vertical="center"/>
    </xf>
    <xf borderId="18" fillId="5" fontId="32" numFmtId="168" xfId="0" applyAlignment="1" applyBorder="1" applyFont="1" applyNumberFormat="1">
      <alignment horizontal="center" shrinkToFit="0" vertical="bottom" wrapText="0"/>
    </xf>
    <xf borderId="18" fillId="5" fontId="32" numFmtId="14" xfId="0" applyAlignment="1" applyBorder="1" applyFont="1" applyNumberFormat="1">
      <alignment horizontal="center" shrinkToFit="0" vertical="bottom" wrapText="0"/>
    </xf>
    <xf borderId="18" fillId="5" fontId="33" numFmtId="0" xfId="0" applyAlignment="1" applyBorder="1" applyFont="1">
      <alignment horizontal="center" shrinkToFit="0" vertical="center" wrapText="0"/>
    </xf>
    <xf borderId="18" fillId="5" fontId="34" numFmtId="0" xfId="0" applyAlignment="1" applyBorder="1" applyFont="1">
      <alignment horizontal="center" shrinkToFit="0" vertical="center" wrapText="0"/>
    </xf>
    <xf borderId="18" fillId="5" fontId="32" numFmtId="171" xfId="0" applyAlignment="1" applyBorder="1" applyFont="1" applyNumberFormat="1">
      <alignment horizontal="center" shrinkToFit="0" vertical="bottom" wrapText="0"/>
    </xf>
    <xf borderId="18" fillId="5" fontId="32" numFmtId="0" xfId="0" applyAlignment="1" applyBorder="1" applyFont="1">
      <alignment horizontal="center" shrinkToFit="0" vertical="bottom" wrapText="0"/>
    </xf>
    <xf borderId="18" fillId="5" fontId="29" numFmtId="171" xfId="0" applyAlignment="1" applyBorder="1" applyFont="1" applyNumberFormat="1">
      <alignment horizontal="right" vertical="center"/>
    </xf>
    <xf borderId="18" fillId="5" fontId="4" numFmtId="171" xfId="0" applyAlignment="1" applyBorder="1" applyFont="1" applyNumberFormat="1">
      <alignment vertical="center"/>
    </xf>
    <xf borderId="18" fillId="5" fontId="32" numFmtId="168" xfId="0" applyAlignment="1" applyBorder="1" applyFont="1" applyNumberFormat="1">
      <alignment shrinkToFit="0" vertical="bottom" wrapText="0"/>
    </xf>
    <xf borderId="35" fillId="5" fontId="32" numFmtId="0" xfId="0" applyAlignment="1" applyBorder="1" applyFont="1">
      <alignment shrinkToFit="0" vertical="bottom" wrapText="0"/>
    </xf>
    <xf borderId="0" fillId="7" fontId="13" numFmtId="164" xfId="0" applyAlignment="1" applyFont="1" applyNumberFormat="1">
      <alignment vertical="center"/>
    </xf>
    <xf borderId="0" fillId="7" fontId="13" numFmtId="164" xfId="0" applyAlignment="1" applyFont="1" applyNumberFormat="1">
      <alignment horizontal="center" shrinkToFit="0" vertical="center" wrapText="1"/>
    </xf>
    <xf borderId="0" fillId="0" fontId="19" numFmtId="0" xfId="0" applyFont="1"/>
    <xf borderId="49" fillId="0" fontId="19" numFmtId="0" xfId="0" applyAlignment="1" applyBorder="1" applyFont="1">
      <alignment horizontal="center" vertical="bottom"/>
    </xf>
    <xf borderId="56" fillId="0" fontId="19" numFmtId="0" xfId="0" applyAlignment="1" applyBorder="1" applyFont="1">
      <alignment horizontal="center" shrinkToFit="0" vertical="center" wrapText="0"/>
    </xf>
    <xf borderId="40" fillId="4" fontId="19" numFmtId="0" xfId="0" applyAlignment="1" applyBorder="1" applyFont="1">
      <alignment horizontal="center" readingOrder="0" vertical="center"/>
    </xf>
    <xf borderId="40" fillId="4" fontId="19" numFmtId="0" xfId="0" applyAlignment="1" applyBorder="1" applyFont="1">
      <alignment horizontal="center" shrinkToFit="0" vertical="center" wrapText="0"/>
    </xf>
    <xf borderId="40" fillId="0" fontId="19" numFmtId="0" xfId="0" applyAlignment="1" applyBorder="1" applyFont="1">
      <alignment horizontal="center" shrinkToFit="0" vertical="center" wrapText="0"/>
    </xf>
    <xf borderId="40" fillId="0" fontId="5" numFmtId="0" xfId="0" applyAlignment="1" applyBorder="1" applyFont="1">
      <alignment horizontal="center" shrinkToFit="0" vertical="center" wrapText="0"/>
    </xf>
    <xf borderId="38" fillId="6" fontId="4" numFmtId="0" xfId="0" applyAlignment="1" applyBorder="1" applyFont="1">
      <alignment horizontal="center" vertical="center"/>
    </xf>
    <xf borderId="40" fillId="4" fontId="19" numFmtId="0" xfId="0" applyAlignment="1" applyBorder="1" applyFont="1">
      <alignment horizontal="center" vertical="center"/>
    </xf>
    <xf borderId="41" fillId="0" fontId="19" numFmtId="0" xfId="0" applyAlignment="1" applyBorder="1" applyFont="1">
      <alignment horizontal="center" vertical="center"/>
    </xf>
    <xf borderId="2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shrinkToFit="0" vertical="center" wrapText="0"/>
    </xf>
    <xf borderId="25" fillId="4" fontId="19" numFmtId="0" xfId="0" applyAlignment="1" applyBorder="1" applyFont="1">
      <alignment horizontal="center" readingOrder="0" vertical="center"/>
    </xf>
    <xf borderId="25" fillId="4" fontId="19" numFmtId="0" xfId="0" applyAlignment="1" applyBorder="1" applyFont="1">
      <alignment horizontal="center" shrinkToFit="0" vertical="center" wrapText="0"/>
    </xf>
    <xf borderId="25" fillId="0" fontId="19" numFmtId="0" xfId="0" applyAlignment="1" applyBorder="1" applyFont="1">
      <alignment horizontal="center" shrinkToFit="0" vertical="center" wrapText="0"/>
    </xf>
    <xf borderId="25" fillId="0" fontId="5" numFmtId="0" xfId="0" applyAlignment="1" applyBorder="1" applyFont="1">
      <alignment horizontal="center" shrinkToFit="0" vertical="center" wrapText="0"/>
    </xf>
    <xf borderId="25" fillId="4" fontId="4" numFmtId="0" xfId="0" applyAlignment="1" applyBorder="1" applyFont="1">
      <alignment horizontal="center" vertical="center"/>
    </xf>
    <xf borderId="25" fillId="4" fontId="24" numFmtId="0" xfId="0" applyAlignment="1" applyBorder="1" applyFont="1">
      <alignment horizontal="center" vertical="center"/>
    </xf>
    <xf borderId="25" fillId="4" fontId="4" numFmtId="0" xfId="0" applyAlignment="1" applyBorder="1" applyFont="1">
      <alignment horizontal="center" readingOrder="0" vertical="center"/>
    </xf>
    <xf borderId="25" fillId="6" fontId="4" numFmtId="0" xfId="0" applyAlignment="1" applyBorder="1" applyFont="1">
      <alignment horizontal="center" vertical="center"/>
    </xf>
    <xf borderId="25" fillId="6" fontId="4" numFmtId="0" xfId="0" applyAlignment="1" applyBorder="1" applyFont="1">
      <alignment horizontal="center" readingOrder="0" vertical="center"/>
    </xf>
    <xf borderId="25" fillId="4" fontId="4" numFmtId="0" xfId="0" applyAlignment="1" applyBorder="1" applyFont="1">
      <alignment vertical="center"/>
    </xf>
    <xf borderId="26" fillId="0" fontId="4" numFmtId="0" xfId="0" applyAlignment="1" applyBorder="1" applyFont="1">
      <alignment vertical="center"/>
    </xf>
    <xf borderId="50" fillId="0" fontId="19" numFmtId="0" xfId="0" applyAlignment="1" applyBorder="1" applyFont="1">
      <alignment horizontal="center" vertical="bottom"/>
    </xf>
    <xf borderId="42" fillId="0" fontId="19" numFmtId="0" xfId="0" applyAlignment="1" applyBorder="1" applyFont="1">
      <alignment horizontal="center" shrinkToFit="0" vertical="center" wrapText="0"/>
    </xf>
    <xf borderId="42" fillId="6" fontId="19" numFmtId="0" xfId="0" applyAlignment="1" applyBorder="1" applyFont="1">
      <alignment horizontal="center" shrinkToFit="0" vertical="center" wrapText="0"/>
    </xf>
    <xf borderId="42" fillId="0" fontId="19" numFmtId="0" xfId="0" applyAlignment="1" applyBorder="1" applyFont="1">
      <alignment horizontal="center" readingOrder="0" shrinkToFit="0" vertical="center" wrapText="0"/>
    </xf>
    <xf borderId="42" fillId="0" fontId="5" numFmtId="0" xfId="0" applyAlignment="1" applyBorder="1" applyFont="1">
      <alignment horizontal="center" readingOrder="0" shrinkToFit="0" vertical="center" wrapText="0"/>
    </xf>
    <xf borderId="42" fillId="6" fontId="19" numFmtId="0" xfId="0" applyAlignment="1" applyBorder="1" applyFont="1">
      <alignment horizontal="center" readingOrder="0" shrinkToFit="0" vertical="center" wrapText="0"/>
    </xf>
    <xf borderId="42" fillId="6" fontId="4" numFmtId="0" xfId="0" applyAlignment="1" applyBorder="1" applyFont="1">
      <alignment horizontal="center" readingOrder="0" vertical="center"/>
    </xf>
    <xf borderId="43" fillId="6" fontId="4" numFmtId="0" xfId="0" applyAlignment="1" applyBorder="1" applyFont="1">
      <alignment horizontal="center" readingOrder="0" vertical="center"/>
    </xf>
    <xf borderId="42" fillId="0" fontId="19" numFmtId="0" xfId="0" applyAlignment="1" applyBorder="1" applyFont="1">
      <alignment horizontal="center" readingOrder="0" vertical="center"/>
    </xf>
    <xf borderId="44" fillId="0" fontId="19" numFmtId="0" xfId="0" applyAlignment="1" applyBorder="1" applyFont="1">
      <alignment horizontal="center" readingOrder="0" vertical="center"/>
    </xf>
    <xf borderId="0" fillId="0" fontId="35" numFmtId="0" xfId="0" applyFont="1"/>
    <xf borderId="57" fillId="0" fontId="4" numFmtId="0" xfId="0" applyAlignment="1" applyBorder="1" applyFont="1">
      <alignment vertical="bottom"/>
    </xf>
    <xf borderId="58" fillId="0" fontId="32" numFmtId="0" xfId="0" applyAlignment="1" applyBorder="1" applyFont="1">
      <alignment shrinkToFit="0" vertical="bottom" wrapText="0"/>
    </xf>
    <xf borderId="52" fillId="0" fontId="4" numFmtId="0" xfId="0" applyAlignment="1" applyBorder="1" applyFont="1">
      <alignment vertical="center"/>
    </xf>
    <xf borderId="45" fillId="0" fontId="32" numFmtId="0" xfId="0" applyAlignment="1" applyBorder="1" applyFont="1">
      <alignment shrinkToFit="0" vertical="bottom" wrapText="0"/>
    </xf>
    <xf borderId="45" fillId="0" fontId="8" numFmtId="0" xfId="0" applyAlignment="1" applyBorder="1" applyFont="1">
      <alignment shrinkToFit="0" vertical="bottom" wrapText="0"/>
    </xf>
    <xf borderId="45" fillId="0" fontId="4" numFmtId="0" xfId="0" applyAlignment="1" applyBorder="1" applyFont="1">
      <alignment vertical="center"/>
    </xf>
    <xf borderId="46" fillId="0" fontId="32" numFmtId="0" xfId="0" applyAlignment="1" applyBorder="1" applyFont="1">
      <alignment shrinkToFit="0" vertical="bottom" wrapText="0"/>
    </xf>
    <xf borderId="59" fillId="3" fontId="29" numFmtId="0" xfId="0" applyAlignment="1" applyBorder="1" applyFont="1">
      <alignment horizontal="center"/>
    </xf>
    <xf borderId="0" fillId="0" fontId="32" numFmtId="0" xfId="0" applyAlignment="1" applyFont="1">
      <alignment vertical="center"/>
    </xf>
    <xf borderId="13" fillId="6" fontId="29" numFmtId="0" xfId="0" applyAlignment="1" applyBorder="1" applyFont="1">
      <alignment horizontal="center" readingOrder="0" vertical="center"/>
    </xf>
    <xf borderId="30" fillId="11" fontId="32" numFmtId="168" xfId="0" applyAlignment="1" applyBorder="1" applyFont="1" applyNumberFormat="1">
      <alignment horizontal="left" readingOrder="0" shrinkToFit="0" vertical="center" wrapText="0"/>
    </xf>
    <xf borderId="30" fillId="6" fontId="29" numFmtId="0" xfId="0" applyAlignment="1" applyBorder="1" applyFont="1">
      <alignment horizontal="center" readingOrder="0" vertical="center"/>
    </xf>
    <xf borderId="30" fillId="6" fontId="29" numFmtId="168" xfId="0" applyAlignment="1" applyBorder="1" applyFont="1" applyNumberFormat="1">
      <alignment horizontal="center" vertical="center"/>
    </xf>
    <xf borderId="30" fillId="11" fontId="4" numFmtId="172" xfId="0" applyAlignment="1" applyBorder="1" applyFont="1" applyNumberFormat="1">
      <alignment horizontal="center" readingOrder="0" vertical="center"/>
    </xf>
    <xf borderId="29" fillId="12" fontId="32" numFmtId="168" xfId="0" applyAlignment="1" applyBorder="1" applyFill="1" applyFont="1" applyNumberFormat="1">
      <alignment horizontal="left" readingOrder="0" shrinkToFit="0" vertical="center" wrapText="1"/>
    </xf>
    <xf borderId="29" fillId="0" fontId="34" numFmtId="168" xfId="0" applyAlignment="1" applyBorder="1" applyFont="1" applyNumberFormat="1">
      <alignment horizontal="center" shrinkToFit="0" vertical="center" wrapText="0"/>
    </xf>
    <xf borderId="30" fillId="11" fontId="4" numFmtId="171" xfId="0" applyAlignment="1" applyBorder="1" applyFont="1" applyNumberFormat="1">
      <alignment horizontal="center" vertical="bottom"/>
    </xf>
    <xf borderId="29" fillId="0" fontId="34" numFmtId="171" xfId="0" applyAlignment="1" applyBorder="1" applyFont="1" applyNumberFormat="1">
      <alignment horizontal="center" shrinkToFit="0" vertical="center" wrapText="0"/>
    </xf>
    <xf borderId="29" fillId="0" fontId="34" numFmtId="171" xfId="0" applyAlignment="1" applyBorder="1" applyFont="1" applyNumberFormat="1">
      <alignment horizontal="left" shrinkToFit="0" vertical="center" wrapText="0"/>
    </xf>
    <xf borderId="29" fillId="0" fontId="29" numFmtId="171" xfId="0" applyAlignment="1" applyBorder="1" applyFont="1" applyNumberFormat="1">
      <alignment vertical="center"/>
    </xf>
    <xf borderId="29" fillId="11" fontId="4" numFmtId="0" xfId="0" applyAlignment="1" applyBorder="1" applyFont="1">
      <alignment horizontal="center" readingOrder="0" vertical="center"/>
    </xf>
    <xf borderId="31" fillId="11" fontId="8" numFmtId="0" xfId="0" applyAlignment="1" applyBorder="1" applyFont="1">
      <alignment readingOrder="0" shrinkToFit="0" vertical="center" wrapText="0"/>
    </xf>
    <xf borderId="60" fillId="3" fontId="29" numFmtId="0" xfId="0" applyBorder="1" applyFont="1"/>
    <xf borderId="13" fillId="6" fontId="29" numFmtId="0" xfId="0" applyAlignment="1" applyBorder="1" applyFont="1">
      <alignment horizontal="center" vertical="center"/>
    </xf>
    <xf borderId="30" fillId="11" fontId="4" numFmtId="168" xfId="0" applyAlignment="1" applyBorder="1" applyFont="1" applyNumberFormat="1">
      <alignment vertical="bottom"/>
    </xf>
    <xf borderId="30" fillId="11" fontId="4" numFmtId="172" xfId="0" applyAlignment="1" applyBorder="1" applyFont="1" applyNumberFormat="1">
      <alignment horizontal="center" vertical="bottom"/>
    </xf>
    <xf borderId="29" fillId="12" fontId="4" numFmtId="168" xfId="0" applyAlignment="1" applyBorder="1" applyFont="1" applyNumberFormat="1">
      <alignment shrinkToFit="0" vertical="bottom" wrapText="1"/>
    </xf>
    <xf borderId="10" fillId="11" fontId="4" numFmtId="169" xfId="0" applyAlignment="1" applyBorder="1" applyFont="1" applyNumberFormat="1">
      <alignment horizontal="center" vertical="bottom"/>
    </xf>
    <xf borderId="30" fillId="11" fontId="4" numFmtId="169" xfId="0" applyAlignment="1" applyBorder="1" applyFont="1" applyNumberFormat="1">
      <alignment horizontal="center" vertical="bottom"/>
    </xf>
    <xf borderId="10" fillId="11" fontId="4" numFmtId="171" xfId="0" applyAlignment="1" applyBorder="1" applyFont="1" applyNumberFormat="1">
      <alignment horizontal="center" readingOrder="0" vertical="bottom"/>
    </xf>
    <xf borderId="30" fillId="11" fontId="4" numFmtId="171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vertical="center"/>
    </xf>
    <xf borderId="30" fillId="11" fontId="4" numFmtId="168" xfId="0" applyAlignment="1" applyBorder="1" applyFont="1" applyNumberFormat="1">
      <alignment readingOrder="0" vertical="center"/>
    </xf>
    <xf borderId="31" fillId="11" fontId="32" numFmtId="0" xfId="0" applyAlignment="1" applyBorder="1" applyFont="1">
      <alignment readingOrder="0" shrinkToFit="0" vertical="center" wrapText="0"/>
    </xf>
    <xf borderId="10" fillId="11" fontId="4" numFmtId="171" xfId="0" applyAlignment="1" applyBorder="1" applyFont="1" applyNumberFormat="1">
      <alignment horizontal="right" readingOrder="0" vertical="center"/>
    </xf>
    <xf borderId="10" fillId="11" fontId="4" numFmtId="171" xfId="0" applyAlignment="1" applyBorder="1" applyFont="1" applyNumberFormat="1">
      <alignment horizontal="center" readingOrder="0" vertical="center"/>
    </xf>
    <xf borderId="29" fillId="12" fontId="8" numFmtId="168" xfId="0" applyAlignment="1" applyBorder="1" applyFont="1" applyNumberFormat="1">
      <alignment horizontal="left" readingOrder="0" shrinkToFit="0" vertical="center" wrapText="1"/>
    </xf>
    <xf borderId="30" fillId="11" fontId="1" numFmtId="168" xfId="0" applyAlignment="1" applyBorder="1" applyFont="1" applyNumberFormat="1">
      <alignment readingOrder="0" vertical="center"/>
    </xf>
    <xf borderId="30" fillId="11" fontId="4" numFmtId="171" xfId="0" applyAlignment="1" applyBorder="1" applyFont="1" applyNumberFormat="1">
      <alignment horizontal="center" readingOrder="0" vertical="center"/>
    </xf>
    <xf borderId="30" fillId="11" fontId="8" numFmtId="168" xfId="0" applyAlignment="1" applyBorder="1" applyFont="1" applyNumberFormat="1">
      <alignment horizontal="left" readingOrder="0" shrinkToFit="0" vertical="center" wrapText="0"/>
    </xf>
    <xf borderId="0" fillId="0" fontId="4" numFmtId="0" xfId="0" applyFont="1"/>
    <xf borderId="30" fillId="11" fontId="32" numFmtId="0" xfId="0" applyAlignment="1" applyBorder="1" applyFont="1">
      <alignment horizontal="left" readingOrder="0" shrinkToFit="0" vertical="center" wrapText="0"/>
    </xf>
    <xf borderId="10" fillId="11" fontId="4" numFmtId="171" xfId="0" applyAlignment="1" applyBorder="1" applyFont="1" applyNumberFormat="1">
      <alignment horizontal="center" vertical="bottom"/>
    </xf>
    <xf borderId="31" fillId="11" fontId="32" numFmtId="0" xfId="0" applyAlignment="1" applyBorder="1" applyFont="1">
      <alignment shrinkToFit="0" vertical="center" wrapText="0"/>
    </xf>
    <xf borderId="13" fillId="0" fontId="4" numFmtId="0" xfId="0" applyBorder="1" applyFont="1"/>
    <xf borderId="30" fillId="0" fontId="32" numFmtId="0" xfId="0" applyAlignment="1" applyBorder="1" applyFont="1">
      <alignment horizontal="center" shrinkToFit="0" vertical="center" wrapText="0"/>
    </xf>
    <xf borderId="29" fillId="0" fontId="32" numFmtId="0" xfId="0" applyAlignment="1" applyBorder="1" applyFont="1">
      <alignment horizontal="center" shrinkToFit="0" vertical="center" wrapText="0"/>
    </xf>
    <xf borderId="29" fillId="0" fontId="32" numFmtId="14" xfId="0" applyAlignment="1" applyBorder="1" applyFont="1" applyNumberFormat="1">
      <alignment horizontal="center" shrinkToFit="0" vertical="center" wrapText="0"/>
    </xf>
    <xf borderId="29" fillId="0" fontId="8" numFmtId="168" xfId="0" applyAlignment="1" applyBorder="1" applyFont="1" applyNumberFormat="1">
      <alignment horizontal="left" shrinkToFit="0" vertical="center" wrapText="0"/>
    </xf>
    <xf borderId="29" fillId="0" fontId="32" numFmtId="171" xfId="0" applyAlignment="1" applyBorder="1" applyFont="1" applyNumberFormat="1">
      <alignment horizontal="center" shrinkToFit="0" vertical="center" wrapText="0"/>
    </xf>
    <xf borderId="29" fillId="0" fontId="32" numFmtId="0" xfId="0" applyAlignment="1" applyBorder="1" applyFont="1">
      <alignment shrinkToFit="0" vertical="center" wrapText="0"/>
    </xf>
    <xf borderId="31" fillId="0" fontId="32" numFmtId="0" xfId="0" applyAlignment="1" applyBorder="1" applyFont="1">
      <alignment shrinkToFit="0" vertical="center" wrapText="0"/>
    </xf>
    <xf borderId="54" fillId="0" fontId="4" numFmtId="0" xfId="0" applyBorder="1" applyFont="1"/>
    <xf borderId="61" fillId="0" fontId="32" numFmtId="0" xfId="0" applyAlignment="1" applyBorder="1" applyFont="1">
      <alignment horizontal="center" shrinkToFit="0" vertical="center" wrapText="0"/>
    </xf>
    <xf borderId="47" fillId="0" fontId="32" numFmtId="0" xfId="0" applyAlignment="1" applyBorder="1" applyFont="1">
      <alignment horizontal="center" shrinkToFit="0" vertical="center" wrapText="0"/>
    </xf>
    <xf borderId="47" fillId="0" fontId="8" numFmtId="0" xfId="0" applyAlignment="1" applyBorder="1" applyFont="1">
      <alignment horizontal="center" shrinkToFit="0" vertical="center" wrapText="0"/>
    </xf>
    <xf borderId="47" fillId="0" fontId="34" numFmtId="171" xfId="0" applyAlignment="1" applyBorder="1" applyFont="1" applyNumberFormat="1">
      <alignment horizontal="center" shrinkToFit="0" vertical="center" wrapText="0"/>
    </xf>
    <xf borderId="48" fillId="0" fontId="32" numFmtId="0" xfId="0" applyAlignment="1" applyBorder="1" applyFont="1">
      <alignment horizontal="center" shrinkToFit="0" vertical="center" wrapText="0"/>
    </xf>
    <xf borderId="0" fillId="0" fontId="32" numFmtId="0" xfId="0" applyAlignment="1" applyFont="1">
      <alignment horizontal="center" shrinkToFit="0" vertical="center" wrapText="0"/>
    </xf>
    <xf borderId="0" fillId="0" fontId="34" numFmtId="0" xfId="0" applyAlignment="1" applyFont="1">
      <alignment shrinkToFit="0" vertical="center" wrapText="0"/>
    </xf>
    <xf borderId="0" fillId="0" fontId="32" numFmtId="168" xfId="0" applyAlignment="1" applyFont="1" applyNumberFormat="1">
      <alignment shrinkToFit="0" vertical="center" wrapText="0"/>
    </xf>
    <xf borderId="0" fillId="0" fontId="36" numFmtId="171" xfId="0" applyAlignment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31" numFmtId="166" xfId="0" applyAlignment="1" applyFont="1" applyNumberFormat="1">
      <alignment vertical="top"/>
    </xf>
    <xf borderId="0" fillId="0" fontId="32" numFmtId="0" xfId="0" applyAlignment="1" applyFont="1">
      <alignment shrinkToFit="0" vertical="center" wrapText="0"/>
    </xf>
    <xf borderId="17" fillId="5" fontId="32" numFmtId="168" xfId="0" applyAlignment="1" applyBorder="1" applyFont="1" applyNumberFormat="1">
      <alignment horizontal="center" shrinkToFit="0" vertical="center" wrapText="0"/>
    </xf>
    <xf borderId="55" fillId="5" fontId="4" numFmtId="168" xfId="0" applyAlignment="1" applyBorder="1" applyFont="1" applyNumberFormat="1">
      <alignment vertical="center"/>
    </xf>
    <xf borderId="18" fillId="5" fontId="33" numFmtId="0" xfId="0" applyAlignment="1" applyBorder="1" applyFont="1">
      <alignment horizontal="left" shrinkToFit="0" vertical="center" wrapText="0"/>
    </xf>
    <xf borderId="18" fillId="5" fontId="34" numFmtId="168" xfId="0" applyAlignment="1" applyBorder="1" applyFont="1" applyNumberFormat="1">
      <alignment horizontal="center" shrinkToFit="0" vertical="center" wrapText="0"/>
    </xf>
    <xf borderId="18" fillId="5" fontId="34" numFmtId="164" xfId="0" applyAlignment="1" applyBorder="1" applyFont="1" applyNumberFormat="1">
      <alignment horizontal="center" shrinkToFit="0" vertical="center" wrapText="0"/>
    </xf>
    <xf borderId="18" fillId="5" fontId="32" numFmtId="0" xfId="0" applyAlignment="1" applyBorder="1" applyFont="1">
      <alignment horizontal="center" shrinkToFit="0" vertical="center" wrapText="0"/>
    </xf>
    <xf borderId="18" fillId="5" fontId="34" numFmtId="171" xfId="0" applyAlignment="1" applyBorder="1" applyFont="1" applyNumberFormat="1">
      <alignment horizontal="center" shrinkToFit="0" vertical="center" wrapText="0"/>
    </xf>
    <xf borderId="18" fillId="5" fontId="29" numFmtId="164" xfId="0" applyAlignment="1" applyBorder="1" applyFont="1" applyNumberFormat="1">
      <alignment horizontal="right" vertical="center"/>
    </xf>
    <xf borderId="18" fillId="5" fontId="29" numFmtId="0" xfId="0" applyAlignment="1" applyBorder="1" applyFont="1">
      <alignment horizontal="right" vertical="center"/>
    </xf>
    <xf borderId="18" fillId="5" fontId="34" numFmtId="166" xfId="0" applyAlignment="1" applyBorder="1" applyFont="1" applyNumberFormat="1">
      <alignment horizontal="left" shrinkToFit="0" vertical="center" wrapText="0"/>
    </xf>
    <xf borderId="62" fillId="5" fontId="8" numFmtId="0" xfId="0" applyAlignment="1" applyBorder="1" applyFont="1">
      <alignment shrinkToFit="0" vertical="center" wrapText="0"/>
    </xf>
    <xf borderId="35" fillId="5" fontId="32" numFmtId="0" xfId="0" applyAlignment="1" applyBorder="1" applyFont="1">
      <alignment shrinkToFit="0" vertical="center" wrapText="0"/>
    </xf>
    <xf borderId="0" fillId="0" fontId="4" numFmtId="0" xfId="0" applyAlignment="1" applyFont="1">
      <alignment vertical="center"/>
    </xf>
    <xf borderId="49" fillId="0" fontId="32" numFmtId="0" xfId="0" applyAlignment="1" applyBorder="1" applyFont="1">
      <alignment horizontal="center" shrinkToFit="0" vertical="center" wrapText="0"/>
    </xf>
    <xf borderId="56" fillId="6" fontId="4" numFmtId="0" xfId="0" applyAlignment="1" applyBorder="1" applyFont="1">
      <alignment horizontal="center" readingOrder="0" vertical="center"/>
    </xf>
    <xf borderId="40" fillId="4" fontId="32" numFmtId="0" xfId="0" applyAlignment="1" applyBorder="1" applyFont="1">
      <alignment horizontal="center" shrinkToFit="0" vertical="center" wrapText="0"/>
    </xf>
    <xf borderId="40" fillId="0" fontId="32" numFmtId="0" xfId="0" applyAlignment="1" applyBorder="1" applyFont="1">
      <alignment horizontal="center" shrinkToFit="0" vertical="center" wrapText="0"/>
    </xf>
    <xf borderId="38" fillId="0" fontId="32" numFmtId="0" xfId="0" applyAlignment="1" applyBorder="1" applyFont="1">
      <alignment horizontal="center" readingOrder="0" shrinkToFit="0" vertical="center" wrapText="0"/>
    </xf>
    <xf borderId="38" fillId="4" fontId="4" numFmtId="0" xfId="0" applyAlignment="1" applyBorder="1" applyFont="1">
      <alignment horizontal="center" readingOrder="0" vertical="center"/>
    </xf>
    <xf borderId="38" fillId="4" fontId="4" numFmtId="0" xfId="0" applyAlignment="1" applyBorder="1" applyFont="1">
      <alignment horizontal="center" vertical="center"/>
    </xf>
    <xf borderId="38" fillId="6" fontId="4" numFmtId="0" xfId="0" applyAlignment="1" applyBorder="1" applyFont="1">
      <alignment horizontal="center" readingOrder="0" vertical="center"/>
    </xf>
    <xf borderId="63" fillId="0" fontId="9" numFmtId="0" xfId="0" applyAlignment="1" applyBorder="1" applyFont="1">
      <alignment horizontal="center" readingOrder="0" shrinkToFit="0" vertical="center" wrapText="0"/>
    </xf>
    <xf borderId="41" fillId="0" fontId="32" numFmtId="0" xfId="0" applyAlignment="1" applyBorder="1" applyFont="1">
      <alignment horizontal="center" shrinkToFit="0" vertical="center" wrapText="0"/>
    </xf>
    <xf borderId="0" fillId="7" fontId="13" numFmtId="168" xfId="0" applyAlignment="1" applyFont="1" applyNumberFormat="1">
      <alignment horizontal="center" vertical="center"/>
    </xf>
    <xf borderId="24" fillId="0" fontId="32" numFmtId="0" xfId="0" applyAlignment="1" applyBorder="1" applyFont="1">
      <alignment horizontal="center" readingOrder="0" shrinkToFit="0" vertical="center" wrapText="0"/>
    </xf>
    <xf borderId="7" fillId="6" fontId="4" numFmtId="0" xfId="0" applyAlignment="1" applyBorder="1" applyFont="1">
      <alignment horizontal="center" readingOrder="0" vertical="center"/>
    </xf>
    <xf borderId="25" fillId="4" fontId="32" numFmtId="0" xfId="0" applyAlignment="1" applyBorder="1" applyFont="1">
      <alignment horizontal="center" shrinkToFit="0" vertical="center" wrapText="0"/>
    </xf>
    <xf borderId="25" fillId="0" fontId="12" numFmtId="0" xfId="0" applyBorder="1" applyFont="1"/>
    <xf borderId="25" fillId="0" fontId="32" numFmtId="0" xfId="0" applyAlignment="1" applyBorder="1" applyFont="1">
      <alignment horizontal="center" shrinkToFit="0" vertical="center" wrapText="0"/>
    </xf>
    <xf borderId="25" fillId="4" fontId="19" numFmtId="0" xfId="0" applyAlignment="1" applyBorder="1" applyFont="1">
      <alignment horizontal="center" vertical="center"/>
    </xf>
    <xf borderId="25" fillId="6" fontId="4" numFmtId="0" xfId="0" applyAlignment="1" applyBorder="1" applyFont="1">
      <alignment horizontal="center" vertical="center"/>
    </xf>
    <xf borderId="64" fillId="0" fontId="12" numFmtId="0" xfId="0" applyBorder="1" applyFont="1"/>
    <xf borderId="26" fillId="0" fontId="32" numFmtId="0" xfId="0" applyAlignment="1" applyBorder="1" applyFont="1">
      <alignment horizontal="center" shrinkToFit="0" vertical="center" wrapText="0"/>
    </xf>
    <xf borderId="0" fillId="4" fontId="4" numFmtId="168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65" fillId="0" fontId="19" numFmtId="0" xfId="0" applyAlignment="1" applyBorder="1" applyFont="1">
      <alignment horizontal="center"/>
    </xf>
    <xf borderId="43" fillId="6" fontId="19" numFmtId="0" xfId="0" applyAlignment="1" applyBorder="1" applyFont="1">
      <alignment horizontal="center" readingOrder="0" vertical="center"/>
    </xf>
    <xf borderId="43" fillId="6" fontId="19" numFmtId="0" xfId="0" applyAlignment="1" applyBorder="1" applyFont="1">
      <alignment horizontal="center" readingOrder="0"/>
    </xf>
    <xf borderId="43" fillId="6" fontId="19" numFmtId="0" xfId="0" applyAlignment="1" applyBorder="1" applyFont="1">
      <alignment horizontal="center"/>
    </xf>
    <xf borderId="43" fillId="0" fontId="19" numFmtId="0" xfId="0" applyAlignment="1" applyBorder="1" applyFont="1">
      <alignment horizontal="center"/>
    </xf>
    <xf borderId="43" fillId="0" fontId="19" numFmtId="0" xfId="0" applyAlignment="1" applyBorder="1" applyFont="1">
      <alignment horizontal="center" readingOrder="0"/>
    </xf>
    <xf borderId="43" fillId="0" fontId="5" numFmtId="0" xfId="0" applyAlignment="1" applyBorder="1" applyFont="1">
      <alignment horizontal="center" readingOrder="0"/>
    </xf>
    <xf borderId="66" fillId="0" fontId="19" numFmtId="0" xfId="0" applyAlignment="1" applyBorder="1" applyFont="1">
      <alignment horizontal="center" readingOrder="0"/>
    </xf>
    <xf borderId="0" fillId="0" fontId="35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16" numFmtId="0" xfId="0" applyAlignment="1" applyFont="1">
      <alignment vertical="center"/>
    </xf>
    <xf borderId="51" fillId="0" fontId="32" numFmtId="0" xfId="0" applyAlignment="1" applyBorder="1" applyFont="1">
      <alignment shrinkToFit="0" vertical="bottom" wrapText="0"/>
    </xf>
    <xf borderId="58" fillId="0" fontId="4" numFmtId="0" xfId="0" applyAlignment="1" applyBorder="1" applyFont="1">
      <alignment vertical="center"/>
    </xf>
    <xf borderId="67" fillId="0" fontId="9" numFmtId="0" xfId="0" applyAlignment="1" applyBorder="1" applyFont="1">
      <alignment shrinkToFit="0" vertical="bottom" wrapText="0"/>
    </xf>
    <xf borderId="59" fillId="3" fontId="4" numFmtId="0" xfId="0" applyAlignment="1" applyBorder="1" applyFont="1">
      <alignment vertical="center"/>
    </xf>
    <xf borderId="13" fillId="11" fontId="4" numFmtId="0" xfId="0" applyAlignment="1" applyBorder="1" applyFont="1">
      <alignment horizontal="center" readingOrder="0" vertical="center"/>
    </xf>
    <xf borderId="29" fillId="12" fontId="4" numFmtId="0" xfId="0" applyAlignment="1" applyBorder="1" applyFont="1">
      <alignment horizontal="center" readingOrder="0" vertical="center"/>
    </xf>
    <xf borderId="29" fillId="6" fontId="29" numFmtId="0" xfId="0" applyAlignment="1" applyBorder="1" applyFont="1">
      <alignment horizontal="center" readingOrder="0" vertical="center"/>
    </xf>
    <xf borderId="29" fillId="6" fontId="34" numFmtId="168" xfId="0" applyAlignment="1" applyBorder="1" applyFont="1" applyNumberFormat="1">
      <alignment horizontal="center" shrinkToFit="0" vertical="center" wrapText="0"/>
    </xf>
    <xf borderId="29" fillId="0" fontId="34" numFmtId="168" xfId="0" applyAlignment="1" applyBorder="1" applyFont="1" applyNumberFormat="1">
      <alignment horizontal="left" shrinkToFit="0" vertical="center" wrapText="0"/>
    </xf>
    <xf borderId="29" fillId="0" fontId="34" numFmtId="164" xfId="0" applyAlignment="1" applyBorder="1" applyFont="1" applyNumberFormat="1">
      <alignment horizontal="center" shrinkToFit="0" vertical="center" wrapText="0"/>
    </xf>
    <xf borderId="29" fillId="11" fontId="4" numFmtId="171" xfId="0" applyAlignment="1" applyBorder="1" applyFont="1" applyNumberFormat="1">
      <alignment horizontal="right" readingOrder="0" vertical="center"/>
    </xf>
    <xf borderId="68" fillId="11" fontId="37" numFmtId="0" xfId="0" applyAlignment="1" applyBorder="1" applyFont="1">
      <alignment horizontal="center" readingOrder="0" shrinkToFit="0" vertical="center" wrapText="0"/>
    </xf>
    <xf borderId="31" fillId="0" fontId="38" numFmtId="168" xfId="0" applyAlignment="1" applyBorder="1" applyFont="1" applyNumberFormat="1">
      <alignment horizontal="left" shrinkToFit="0" vertical="center" wrapText="1"/>
    </xf>
    <xf borderId="0" fillId="0" fontId="16" numFmtId="0" xfId="0" applyAlignment="1" applyFont="1">
      <alignment vertical="center"/>
    </xf>
    <xf borderId="69" fillId="3" fontId="29" numFmtId="0" xfId="0" applyAlignment="1" applyBorder="1" applyFont="1">
      <alignment horizontal="center" vertical="center"/>
    </xf>
    <xf borderId="29" fillId="11" fontId="4" numFmtId="171" xfId="0" applyAlignment="1" applyBorder="1" applyFont="1" applyNumberFormat="1">
      <alignment horizontal="right" vertical="center"/>
    </xf>
    <xf borderId="60" fillId="0" fontId="4" numFmtId="0" xfId="0" applyAlignment="1" applyBorder="1" applyFont="1">
      <alignment vertical="center"/>
    </xf>
    <xf borderId="29" fillId="11" fontId="4" numFmtId="164" xfId="0" applyAlignment="1" applyBorder="1" applyFont="1" applyNumberFormat="1">
      <alignment horizontal="right" readingOrder="0" vertical="center"/>
    </xf>
    <xf borderId="0" fillId="0" fontId="16" numFmtId="168" xfId="0" applyAlignment="1" applyFont="1" applyNumberFormat="1">
      <alignment horizontal="center" vertical="center"/>
    </xf>
    <xf borderId="13" fillId="11" fontId="4" numFmtId="0" xfId="0" applyAlignment="1" applyBorder="1" applyFont="1">
      <alignment horizontal="center" vertical="center"/>
    </xf>
    <xf borderId="30" fillId="11" fontId="4" numFmtId="172" xfId="0" applyAlignment="1" applyBorder="1" applyFont="1" applyNumberFormat="1">
      <alignment horizontal="center" vertical="center"/>
    </xf>
    <xf borderId="29" fillId="11" fontId="4" numFmtId="169" xfId="0" applyAlignment="1" applyBorder="1" applyFont="1" applyNumberFormat="1">
      <alignment horizontal="right" vertical="center"/>
    </xf>
    <xf borderId="0" fillId="0" fontId="16" numFmtId="168" xfId="0" applyAlignment="1" applyFont="1" applyNumberFormat="1">
      <alignment horizontal="right" vertical="center"/>
    </xf>
    <xf borderId="24" fillId="0" fontId="32" numFmtId="0" xfId="0" applyAlignment="1" applyBorder="1" applyFont="1">
      <alignment horizontal="center" shrinkToFit="0" vertical="center" wrapText="0"/>
    </xf>
    <xf borderId="7" fillId="0" fontId="32" numFmtId="0" xfId="0" applyAlignment="1" applyBorder="1" applyFont="1">
      <alignment shrinkToFit="0" vertical="center" wrapText="0"/>
    </xf>
    <xf borderId="25" fillId="0" fontId="32" numFmtId="0" xfId="0" applyAlignment="1" applyBorder="1" applyFont="1">
      <alignment shrinkToFit="0" vertical="center" wrapText="0"/>
    </xf>
    <xf borderId="64" fillId="0" fontId="8" numFmtId="0" xfId="0" applyAlignment="1" applyBorder="1" applyFont="1">
      <alignment shrinkToFit="0" vertical="center" wrapText="0"/>
    </xf>
    <xf borderId="26" fillId="0" fontId="32" numFmtId="0" xfId="0" applyAlignment="1" applyBorder="1" applyFont="1">
      <alignment shrinkToFit="0" vertical="center" wrapText="0"/>
    </xf>
    <xf borderId="54" fillId="0" fontId="32" numFmtId="0" xfId="0" applyAlignment="1" applyBorder="1" applyFont="1">
      <alignment horizontal="center" shrinkToFit="0" vertical="center" wrapText="0"/>
    </xf>
    <xf borderId="70" fillId="0" fontId="8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right"/>
    </xf>
    <xf borderId="0" fillId="0" fontId="39" numFmtId="0" xfId="0" applyAlignment="1" applyFont="1">
      <alignment horizontal="center" shrinkToFit="0" vertical="center" wrapText="1"/>
    </xf>
    <xf borderId="17" fillId="5" fontId="40" numFmtId="168" xfId="0" applyAlignment="1" applyBorder="1" applyFont="1" applyNumberFormat="1">
      <alignment horizontal="center" vertical="center"/>
    </xf>
    <xf borderId="55" fillId="5" fontId="41" numFmtId="168" xfId="0" applyAlignment="1" applyBorder="1" applyFont="1" applyNumberFormat="1">
      <alignment horizontal="center" vertical="center"/>
    </xf>
    <xf borderId="62" fillId="5" fontId="40" numFmtId="168" xfId="0" applyAlignment="1" applyBorder="1" applyFont="1" applyNumberFormat="1">
      <alignment horizontal="center" vertical="center"/>
    </xf>
    <xf borderId="71" fillId="5" fontId="34" numFmtId="168" xfId="0" applyAlignment="1" applyBorder="1" applyFont="1" applyNumberFormat="1">
      <alignment horizontal="center" shrinkToFit="0" vertical="bottom" wrapText="0"/>
    </xf>
    <xf borderId="17" fillId="5" fontId="32" numFmtId="14" xfId="0" applyAlignment="1" applyBorder="1" applyFont="1" applyNumberFormat="1">
      <alignment horizontal="center" shrinkToFit="0" vertical="bottom" wrapText="0"/>
    </xf>
    <xf borderId="18" fillId="5" fontId="8" numFmtId="166" xfId="0" applyAlignment="1" applyBorder="1" applyFont="1" applyNumberFormat="1">
      <alignment horizontal="right" shrinkToFit="0" vertical="center" wrapText="0"/>
    </xf>
    <xf borderId="18" fillId="5" fontId="34" numFmtId="171" xfId="0" applyAlignment="1" applyBorder="1" applyFont="1" applyNumberFormat="1">
      <alignment horizontal="center" shrinkToFit="0" vertical="bottom" wrapText="0"/>
    </xf>
    <xf borderId="18" fillId="5" fontId="4" numFmtId="166" xfId="0" applyAlignment="1" applyBorder="1" applyFont="1" applyNumberFormat="1">
      <alignment vertical="center"/>
    </xf>
    <xf borderId="18" fillId="5" fontId="34" numFmtId="164" xfId="0" applyAlignment="1" applyBorder="1" applyFont="1" applyNumberFormat="1">
      <alignment horizontal="center" shrinkToFit="0" vertical="bottom" wrapText="0"/>
    </xf>
    <xf borderId="18" fillId="5" fontId="8" numFmtId="166" xfId="0" applyAlignment="1" applyBorder="1" applyFont="1" applyNumberFormat="1">
      <alignment horizontal="left" shrinkToFit="0" vertical="center" wrapText="0"/>
    </xf>
    <xf borderId="62" fillId="5" fontId="8" numFmtId="0" xfId="0" applyAlignment="1" applyBorder="1" applyFont="1">
      <alignment shrinkToFit="0" vertical="bottom" wrapText="0"/>
    </xf>
    <xf borderId="0" fillId="7" fontId="13" numFmtId="164" xfId="0" applyAlignment="1" applyFont="1" applyNumberFormat="1">
      <alignment horizontal="center"/>
    </xf>
    <xf borderId="0" fillId="7" fontId="13" numFmtId="164" xfId="0" applyAlignment="1" applyFont="1" applyNumberFormat="1">
      <alignment horizontal="center" shrinkToFit="0" wrapText="1"/>
    </xf>
    <xf borderId="49" fillId="13" fontId="13" numFmtId="0" xfId="0" applyAlignment="1" applyBorder="1" applyFill="1" applyFont="1">
      <alignment horizontal="center" vertical="center"/>
    </xf>
    <xf borderId="56" fillId="13" fontId="42" numFmtId="0" xfId="0" applyAlignment="1" applyBorder="1" applyFont="1">
      <alignment horizontal="center" vertical="center"/>
    </xf>
    <xf borderId="63" fillId="13" fontId="42" numFmtId="0" xfId="0" applyAlignment="1" applyBorder="1" applyFont="1">
      <alignment horizontal="center" vertical="center"/>
    </xf>
    <xf borderId="49" fillId="4" fontId="19" numFmtId="0" xfId="0" applyAlignment="1" applyBorder="1" applyFont="1">
      <alignment horizontal="center" readingOrder="0" vertical="center"/>
    </xf>
    <xf borderId="72" fillId="4" fontId="32" numFmtId="0" xfId="0" applyAlignment="1" applyBorder="1" applyFont="1">
      <alignment horizontal="center" readingOrder="0" shrinkToFit="0" vertical="center" wrapText="0"/>
    </xf>
    <xf borderId="49" fillId="0" fontId="19" numFmtId="0" xfId="0" applyAlignment="1" applyBorder="1" applyFont="1">
      <alignment horizontal="center" shrinkToFit="0" vertical="center" wrapText="0"/>
    </xf>
    <xf borderId="40" fillId="6" fontId="32" numFmtId="0" xfId="0" applyAlignment="1" applyBorder="1" applyFont="1">
      <alignment horizontal="center" readingOrder="0" vertical="center"/>
    </xf>
    <xf borderId="38" fillId="0" fontId="19" numFmtId="0" xfId="0" applyAlignment="1" applyBorder="1" applyFont="1">
      <alignment horizontal="center" shrinkToFit="0" vertical="center" wrapText="0"/>
    </xf>
    <xf borderId="40" fillId="0" fontId="24" numFmtId="0" xfId="0" applyAlignment="1" applyBorder="1" applyFont="1">
      <alignment horizontal="center" readingOrder="0" vertical="center"/>
    </xf>
    <xf borderId="40" fillId="0" fontId="24" numFmtId="0" xfId="0" applyAlignment="1" applyBorder="1" applyFont="1">
      <alignment horizontal="center" readingOrder="0" shrinkToFit="0" vertical="center" wrapText="0"/>
    </xf>
    <xf borderId="40" fillId="0" fontId="19" numFmtId="0" xfId="0" applyAlignment="1" applyBorder="1" applyFont="1">
      <alignment horizontal="center" readingOrder="0" vertical="center"/>
    </xf>
    <xf borderId="38" fillId="0" fontId="19" numFmtId="0" xfId="0" applyAlignment="1" applyBorder="1" applyFont="1">
      <alignment horizontal="center" vertical="center"/>
    </xf>
    <xf borderId="73" fillId="3" fontId="19" numFmtId="0" xfId="0" applyAlignment="1" applyBorder="1" applyFont="1">
      <alignment horizontal="center" vertical="bottom"/>
    </xf>
    <xf borderId="24" fillId="13" fontId="13" numFmtId="0" xfId="0" applyAlignment="1" applyBorder="1" applyFont="1">
      <alignment horizontal="center" vertical="center"/>
    </xf>
    <xf borderId="7" fillId="13" fontId="42" numFmtId="0" xfId="0" applyAlignment="1" applyBorder="1" applyFont="1">
      <alignment horizontal="center" vertical="center"/>
    </xf>
    <xf borderId="64" fillId="13" fontId="42" numFmtId="0" xfId="0" applyAlignment="1" applyBorder="1" applyFont="1">
      <alignment horizontal="center" vertical="center"/>
    </xf>
    <xf borderId="24" fillId="4" fontId="19" numFmtId="0" xfId="0" applyAlignment="1" applyBorder="1" applyFont="1">
      <alignment horizontal="center" readingOrder="0" vertical="center"/>
    </xf>
    <xf borderId="74" fillId="4" fontId="32" numFmtId="0" xfId="0" applyAlignment="1" applyBorder="1" applyFont="1">
      <alignment horizontal="center" readingOrder="0" shrinkToFit="0" vertical="center" wrapText="0"/>
    </xf>
    <xf borderId="24" fillId="0" fontId="19" numFmtId="0" xfId="0" applyAlignment="1" applyBorder="1" applyFont="1">
      <alignment horizontal="center" shrinkToFit="0" vertical="center" wrapText="0"/>
    </xf>
    <xf borderId="25" fillId="6" fontId="19" numFmtId="0" xfId="0" applyAlignment="1" applyBorder="1" applyFont="1">
      <alignment horizontal="center" readingOrder="0" vertical="center"/>
    </xf>
    <xf borderId="25" fillId="4" fontId="19" numFmtId="0" xfId="0" applyAlignment="1" applyBorder="1" applyFont="1">
      <alignment horizontal="center" vertical="center"/>
    </xf>
    <xf borderId="25" fillId="0" fontId="24" numFmtId="0" xfId="0" applyAlignment="1" applyBorder="1" applyFont="1">
      <alignment horizontal="center" vertical="center"/>
    </xf>
    <xf borderId="25" fillId="0" fontId="24" numFmtId="0" xfId="0" applyAlignment="1" applyBorder="1" applyFont="1">
      <alignment horizontal="center" readingOrder="0" shrinkToFit="0" vertical="center" wrapText="0"/>
    </xf>
    <xf borderId="25" fillId="0" fontId="19" numFmtId="0" xfId="0" applyAlignment="1" applyBorder="1" applyFont="1">
      <alignment horizontal="center" readingOrder="0" vertical="center"/>
    </xf>
    <xf borderId="25" fillId="0" fontId="19" numFmtId="0" xfId="0" applyAlignment="1" applyBorder="1" applyFont="1">
      <alignment horizontal="center" vertical="center"/>
    </xf>
    <xf borderId="9" fillId="3" fontId="19" numFmtId="0" xfId="0" applyAlignment="1" applyBorder="1" applyFont="1">
      <alignment vertical="bottom"/>
    </xf>
    <xf borderId="0" fillId="0" fontId="4" numFmtId="168" xfId="0" applyAlignment="1" applyFont="1" applyNumberFormat="1">
      <alignment vertical="bottom"/>
    </xf>
    <xf borderId="0" fillId="0" fontId="19" numFmtId="168" xfId="0" applyFont="1" applyNumberFormat="1"/>
    <xf borderId="0" fillId="0" fontId="19" numFmtId="171" xfId="0" applyFont="1" applyNumberFormat="1"/>
    <xf borderId="0" fillId="0" fontId="19" numFmtId="0" xfId="0" applyAlignment="1" applyFont="1">
      <alignment vertical="center"/>
    </xf>
    <xf borderId="50" fillId="13" fontId="42" numFmtId="0" xfId="0" applyAlignment="1" applyBorder="1" applyFont="1">
      <alignment horizontal="center" vertical="center"/>
    </xf>
    <xf borderId="43" fillId="13" fontId="42" numFmtId="0" xfId="0" applyAlignment="1" applyBorder="1" applyFont="1">
      <alignment horizontal="center" vertical="center"/>
    </xf>
    <xf borderId="75" fillId="13" fontId="42" numFmtId="0" xfId="0" applyAlignment="1" applyBorder="1" applyFont="1">
      <alignment horizontal="center" vertical="center"/>
    </xf>
    <xf borderId="50" fillId="0" fontId="4" numFmtId="0" xfId="0" applyAlignment="1" applyBorder="1" applyFont="1">
      <alignment horizontal="center" vertical="center"/>
    </xf>
    <xf borderId="76" fillId="0" fontId="19" numFmtId="0" xfId="0" applyAlignment="1" applyBorder="1" applyFont="1">
      <alignment horizontal="center" shrinkToFit="0" vertical="center" wrapText="0"/>
    </xf>
    <xf borderId="50" fillId="0" fontId="19" numFmtId="0" xfId="0" applyAlignment="1" applyBorder="1" applyFont="1">
      <alignment horizontal="center" shrinkToFit="0" vertical="center" wrapText="0"/>
    </xf>
    <xf borderId="42" fillId="0" fontId="5" numFmtId="0" xfId="0" applyAlignment="1" applyBorder="1" applyFont="1">
      <alignment horizontal="center" shrinkToFit="0" vertical="center" wrapText="0"/>
    </xf>
    <xf borderId="25" fillId="0" fontId="5" numFmtId="0" xfId="0" applyAlignment="1" applyBorder="1" applyFont="1">
      <alignment horizontal="center" readingOrder="0" vertical="center"/>
    </xf>
    <xf borderId="42" fillId="3" fontId="19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9" fillId="3" fontId="19" numFmtId="0" xfId="0" applyAlignment="1" applyBorder="1" applyFont="1">
      <alignment horizontal="center" readingOrder="0" vertical="center"/>
    </xf>
    <xf borderId="51" fillId="13" fontId="4" numFmtId="0" xfId="0" applyAlignment="1" applyBorder="1" applyFont="1">
      <alignment vertical="center"/>
    </xf>
    <xf borderId="58" fillId="13" fontId="4" numFmtId="0" xfId="0" applyAlignment="1" applyBorder="1" applyFont="1">
      <alignment vertical="center"/>
    </xf>
    <xf borderId="67" fillId="13" fontId="4" numFmtId="0" xfId="0" applyAlignment="1" applyBorder="1" applyFont="1">
      <alignment vertical="center"/>
    </xf>
    <xf borderId="57" fillId="0" fontId="4" numFmtId="0" xfId="0" applyAlignment="1" applyBorder="1" applyFont="1">
      <alignment vertical="center"/>
    </xf>
    <xf borderId="77" fillId="0" fontId="4" numFmtId="0" xfId="0" applyAlignment="1" applyBorder="1" applyFont="1">
      <alignment vertical="center"/>
    </xf>
    <xf borderId="51" fillId="0" fontId="32" numFmtId="0" xfId="0" applyAlignment="1" applyBorder="1" applyFont="1">
      <alignment shrinkToFit="0" vertical="center" wrapText="0"/>
    </xf>
    <xf borderId="45" fillId="0" fontId="8" numFmtId="0" xfId="0" applyAlignment="1" applyBorder="1" applyFont="1">
      <alignment shrinkToFit="0" vertical="center" wrapText="0"/>
    </xf>
    <xf borderId="45" fillId="0" fontId="32" numFmtId="0" xfId="0" applyAlignment="1" applyBorder="1" applyFont="1">
      <alignment shrinkToFit="0" vertical="center" wrapText="0"/>
    </xf>
    <xf borderId="69" fillId="0" fontId="1" numFmtId="0" xfId="0" applyAlignment="1" applyBorder="1" applyFont="1">
      <alignment horizontal="right" vertical="bottom"/>
    </xf>
    <xf borderId="69" fillId="0" fontId="1" numFmtId="0" xfId="0" applyAlignment="1" applyBorder="1" applyFont="1">
      <alignment vertical="bottom"/>
    </xf>
    <xf borderId="28" fillId="0" fontId="1" numFmtId="0" xfId="0" applyAlignment="1" applyBorder="1" applyFont="1">
      <alignment vertical="bottom"/>
    </xf>
    <xf borderId="12" fillId="3" fontId="4" numFmtId="0" xfId="0" applyAlignment="1" applyBorder="1" applyFont="1">
      <alignment vertical="bottom"/>
    </xf>
    <xf borderId="13" fillId="13" fontId="13" numFmtId="0" xfId="0" applyAlignment="1" applyBorder="1" applyFont="1">
      <alignment horizontal="center" vertical="center"/>
    </xf>
    <xf borderId="68" fillId="13" fontId="13" numFmtId="168" xfId="0" applyAlignment="1" applyBorder="1" applyFont="1" applyNumberFormat="1">
      <alignment horizontal="center" vertical="center"/>
    </xf>
    <xf borderId="78" fillId="3" fontId="29" numFmtId="0" xfId="0" applyAlignment="1" applyBorder="1" applyFont="1">
      <alignment horizontal="center" vertical="center"/>
    </xf>
    <xf borderId="13" fillId="0" fontId="34" numFmtId="168" xfId="0" applyAlignment="1" applyBorder="1" applyFont="1" applyNumberFormat="1">
      <alignment horizontal="center" shrinkToFit="0" vertical="center" wrapText="0"/>
    </xf>
    <xf borderId="13" fillId="11" fontId="4" numFmtId="172" xfId="0" applyAlignment="1" applyBorder="1" applyFont="1" applyNumberFormat="1">
      <alignment horizontal="center" readingOrder="0" vertical="center"/>
    </xf>
    <xf borderId="29" fillId="14" fontId="8" numFmtId="168" xfId="0" applyAlignment="1" applyBorder="1" applyFill="1" applyFont="1" applyNumberFormat="1">
      <alignment horizontal="left" readingOrder="0" shrinkToFit="0" vertical="center" wrapText="0"/>
    </xf>
    <xf borderId="29" fillId="0" fontId="29" numFmtId="171" xfId="0" applyAlignment="1" applyBorder="1" applyFont="1" applyNumberFormat="1">
      <alignment horizontal="center" vertical="center"/>
    </xf>
    <xf borderId="29" fillId="0" fontId="34" numFmtId="0" xfId="0" applyAlignment="1" applyBorder="1" applyFont="1">
      <alignment horizontal="center" shrinkToFit="0" vertical="center" wrapText="0"/>
    </xf>
    <xf borderId="10" fillId="11" fontId="1" numFmtId="168" xfId="0" applyAlignment="1" applyBorder="1" applyFont="1" applyNumberFormat="1">
      <alignment readingOrder="0" shrinkToFit="0" vertical="center" wrapText="1"/>
    </xf>
    <xf borderId="31" fillId="11" fontId="4" numFmtId="0" xfId="0" applyAlignment="1" applyBorder="1" applyFont="1">
      <alignment readingOrder="0" vertical="center"/>
    </xf>
    <xf borderId="13" fillId="13" fontId="13" numFmtId="0" xfId="0" applyAlignment="1" applyBorder="1" applyFont="1">
      <alignment horizontal="center" readingOrder="0" vertical="center"/>
    </xf>
    <xf borderId="13" fillId="13" fontId="4" numFmtId="0" xfId="0" applyAlignment="1" applyBorder="1" applyFont="1">
      <alignment vertical="center"/>
    </xf>
    <xf borderId="13" fillId="11" fontId="4" numFmtId="172" xfId="0" applyAlignment="1" applyBorder="1" applyFont="1" applyNumberFormat="1">
      <alignment horizontal="center" vertical="center"/>
    </xf>
    <xf borderId="29" fillId="12" fontId="4" numFmtId="168" xfId="0" applyAlignment="1" applyBorder="1" applyFont="1" applyNumberFormat="1">
      <alignment vertical="center"/>
    </xf>
    <xf borderId="10" fillId="11" fontId="4" numFmtId="168" xfId="0" applyAlignment="1" applyBorder="1" applyFont="1" applyNumberFormat="1">
      <alignment shrinkToFit="0" vertical="center" wrapText="1"/>
    </xf>
    <xf borderId="24" fillId="13" fontId="4" numFmtId="0" xfId="0" applyAlignment="1" applyBorder="1" applyFont="1">
      <alignment vertical="center"/>
    </xf>
    <xf borderId="7" fillId="13" fontId="4" numFmtId="0" xfId="0" applyAlignment="1" applyBorder="1" applyFont="1">
      <alignment vertical="center"/>
    </xf>
    <xf borderId="64" fillId="13" fontId="4" numFmtId="0" xfId="0" applyAlignment="1" applyBorder="1" applyFont="1">
      <alignment vertical="center"/>
    </xf>
    <xf borderId="74" fillId="0" fontId="32" numFmtId="0" xfId="0" applyAlignment="1" applyBorder="1" applyFont="1">
      <alignment shrinkToFit="0" vertical="center" wrapText="0"/>
    </xf>
    <xf borderId="25" fillId="0" fontId="8" numFmtId="0" xfId="0" applyAlignment="1" applyBorder="1" applyFont="1">
      <alignment shrinkToFit="0" vertical="center" wrapText="0"/>
    </xf>
    <xf borderId="25" fillId="0" fontId="8" numFmtId="0" xfId="0" applyAlignment="1" applyBorder="1" applyFont="1">
      <alignment horizontal="right" shrinkToFit="0" vertical="center" wrapText="0"/>
    </xf>
    <xf borderId="25" fillId="0" fontId="4" numFmtId="0" xfId="0" applyAlignment="1" applyBorder="1" applyFont="1">
      <alignment vertical="center"/>
    </xf>
    <xf borderId="54" fillId="13" fontId="4" numFmtId="0" xfId="0" applyAlignment="1" applyBorder="1" applyFont="1">
      <alignment vertical="center"/>
    </xf>
    <xf borderId="61" fillId="13" fontId="4" numFmtId="0" xfId="0" applyAlignment="1" applyBorder="1" applyFont="1">
      <alignment vertical="center"/>
    </xf>
    <xf borderId="70" fillId="13" fontId="4" numFmtId="0" xfId="0" applyAlignment="1" applyBorder="1" applyFont="1">
      <alignment vertical="center"/>
    </xf>
    <xf borderId="79" fillId="0" fontId="32" numFmtId="0" xfId="0" applyAlignment="1" applyBorder="1" applyFont="1">
      <alignment horizontal="center" shrinkToFit="0" vertical="center" wrapText="0"/>
    </xf>
    <xf borderId="47" fillId="0" fontId="8" numFmtId="0" xfId="0" applyAlignment="1" applyBorder="1" applyFont="1">
      <alignment horizontal="right" shrinkToFit="0" vertical="center" wrapText="0"/>
    </xf>
    <xf borderId="47" fillId="0" fontId="4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43" numFmtId="0" xfId="0" applyAlignment="1" applyFont="1">
      <alignment shrinkToFit="0" vertical="center" wrapText="0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horizontal="right" shrinkToFit="0" vertical="center" wrapText="0"/>
    </xf>
    <xf borderId="0" fillId="0" fontId="43" numFmtId="168" xfId="0" applyAlignment="1" applyFont="1" applyNumberFormat="1">
      <alignment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6.38"/>
    <col customWidth="1" min="3" max="3" width="2.5"/>
    <col customWidth="1" min="4" max="4" width="32.25"/>
    <col customWidth="1" min="5" max="5" width="14.88"/>
    <col customWidth="1" min="6" max="6" width="8.88"/>
    <col customWidth="1" min="7" max="7" width="16.5"/>
    <col customWidth="1" min="8" max="8" width="13.5"/>
    <col customWidth="1" min="9" max="9" width="18.75"/>
    <col customWidth="1" min="10" max="10" width="20.75"/>
    <col customWidth="1" min="11" max="11" width="8.5"/>
    <col customWidth="1" min="12" max="12" width="3.5"/>
    <col customWidth="1" min="13" max="13" width="9.75"/>
    <col customWidth="1" min="14" max="14" width="4.0"/>
    <col customWidth="1" min="15" max="16" width="8.0"/>
  </cols>
  <sheetData>
    <row r="1" ht="17.25" customHeight="1">
      <c r="A1" s="1"/>
      <c r="B1" s="2" t="str">
        <f>IFERROR(__xludf.DUMMYFUNCTION("IMPORTRANGE(""https://docs.google.com/spreadsheets/d/1xXTZ6iashDzALZxE9Km6nYXccX51ap95QEp6rlrrs8E/edit?gid=666458065#gid=666458065"",""1. BQ RAPL!$B$1:$k"")"),"SUMMARY ITEM PEKERJAAN")</f>
        <v>SUMMARY ITEM PEKERJAAN</v>
      </c>
      <c r="C1" s="3"/>
      <c r="D1" s="4"/>
      <c r="E1" s="1"/>
      <c r="F1" s="5"/>
      <c r="G1" s="6"/>
      <c r="H1" s="1"/>
      <c r="I1" s="6"/>
      <c r="J1" s="1"/>
      <c r="K1" s="7"/>
      <c r="L1" s="8"/>
      <c r="M1" s="8"/>
      <c r="N1" s="9"/>
      <c r="O1" s="10"/>
      <c r="P1" s="10"/>
    </row>
    <row r="2" ht="13.5" customHeight="1">
      <c r="A2" s="1"/>
      <c r="B2" s="11"/>
      <c r="C2" s="4"/>
      <c r="D2" s="4"/>
      <c r="E2" s="4"/>
      <c r="F2" s="12"/>
      <c r="G2" s="13"/>
      <c r="H2" s="14"/>
      <c r="I2" s="13"/>
      <c r="J2" s="1"/>
      <c r="K2" s="15"/>
      <c r="L2" s="16"/>
      <c r="M2" s="16"/>
      <c r="N2" s="10"/>
      <c r="O2" s="10"/>
      <c r="P2" s="10"/>
    </row>
    <row r="3" ht="13.5" customHeight="1">
      <c r="A3" s="17"/>
      <c r="B3" s="18" t="str">
        <f>IFERROR(__xludf.DUMMYFUNCTION("""COMPUTED_VALUE"""),"RINCIAN KEGIATAN   ")</f>
        <v>RINCIAN KEGIATAN   </v>
      </c>
      <c r="C3" s="19"/>
      <c r="D3" s="19" t="str">
        <f>IFERROR(__xludf.DUMMYFUNCTION("""COMPUTED_VALUE"""),": Pembangunan 
")</f>
        <v>: Pembangunan 
</v>
      </c>
      <c r="E3" s="19"/>
      <c r="F3" s="20"/>
      <c r="G3" s="21"/>
      <c r="H3" s="22"/>
      <c r="I3" s="21"/>
      <c r="J3" s="17"/>
      <c r="K3" s="23"/>
      <c r="L3" s="16"/>
      <c r="M3" s="16"/>
      <c r="N3" s="17"/>
      <c r="O3" s="17"/>
      <c r="P3" s="17"/>
    </row>
    <row r="4" ht="13.5" customHeight="1">
      <c r="A4" s="17"/>
      <c r="B4" s="18" t="str">
        <f>IFERROR(__xludf.DUMMYFUNCTION("""COMPUTED_VALUE"""),"LOKASI KEGIATAN    ")</f>
        <v>LOKASI KEGIATAN    </v>
      </c>
      <c r="C4" s="19"/>
      <c r="D4" s="19" t="str">
        <f>IFERROR(__xludf.DUMMYFUNCTION("""COMPUTED_VALUE"""),": MWT Infra")</f>
        <v>: MWT Infra</v>
      </c>
      <c r="E4" s="17"/>
      <c r="F4" s="20"/>
      <c r="G4" s="21"/>
      <c r="H4" s="22"/>
      <c r="I4" s="21"/>
      <c r="J4" s="17"/>
      <c r="K4" s="23"/>
      <c r="L4" s="16"/>
      <c r="M4" s="16"/>
      <c r="N4" s="17"/>
      <c r="O4" s="17"/>
      <c r="P4" s="17"/>
    </row>
    <row r="5" ht="13.5" customHeight="1">
      <c r="A5" s="17"/>
      <c r="B5" s="18" t="str">
        <f>IFERROR(__xludf.DUMMYFUNCTION("""COMPUTED_VALUE"""),"TAHUN ANGGARAN  ")</f>
        <v>TAHUN ANGGARAN  </v>
      </c>
      <c r="C5" s="19"/>
      <c r="D5" s="19" t="str">
        <f>IFERROR(__xludf.DUMMYFUNCTION("""COMPUTED_VALUE"""),": 2026")</f>
        <v>: 2026</v>
      </c>
      <c r="E5" s="17"/>
      <c r="F5" s="20"/>
      <c r="G5" s="21"/>
      <c r="H5" s="22"/>
      <c r="I5" s="24" t="str">
        <f>IFERROR(__xludf.DUMMYFUNCTION("""COMPUTED_VALUE""")," PERHATIAN :    
    &gt; ISI KOLOM WARNA KUNING 
")</f>
        <v>PERHATIAN :    
    &gt; ISI KOLOM WARNA KUNING 
</v>
      </c>
      <c r="J5" s="25"/>
      <c r="K5" s="23"/>
      <c r="L5" s="16"/>
      <c r="M5" s="16"/>
      <c r="N5" s="17"/>
      <c r="O5" s="17"/>
      <c r="P5" s="17"/>
    </row>
    <row r="6" ht="14.25" customHeight="1">
      <c r="A6" s="1"/>
      <c r="B6" s="26"/>
      <c r="C6" s="27"/>
      <c r="D6" s="27"/>
      <c r="E6" s="27"/>
      <c r="F6" s="28"/>
      <c r="G6" s="29"/>
      <c r="H6" s="30"/>
      <c r="I6" s="31"/>
      <c r="J6" s="31"/>
      <c r="K6" s="15"/>
      <c r="L6" s="16"/>
      <c r="M6" s="16"/>
      <c r="N6" s="10"/>
      <c r="O6" s="10"/>
      <c r="P6" s="10"/>
    </row>
    <row r="7" ht="16.5" customHeight="1">
      <c r="A7" s="32"/>
      <c r="B7" s="33"/>
      <c r="C7" s="34"/>
      <c r="D7" s="35" t="str">
        <f>IFERROR(__xludf.DUMMYFUNCTION("""COMPUTED_VALUE"""),"PIC: PROJECT MANAGER")</f>
        <v>PIC: PROJECT MANAGER</v>
      </c>
      <c r="E7" s="36"/>
      <c r="F7" s="37"/>
      <c r="G7" s="38"/>
      <c r="H7" s="39"/>
      <c r="I7" s="40">
        <f>IFERROR(__xludf.DUMMYFUNCTION("""COMPUTED_VALUE"""),4.887009375E9)</f>
        <v>4887009375</v>
      </c>
      <c r="J7" s="41"/>
      <c r="K7" s="42"/>
      <c r="L7" s="16"/>
      <c r="M7" s="43"/>
      <c r="N7" s="44"/>
      <c r="O7" s="44"/>
      <c r="P7" s="44"/>
    </row>
    <row r="8" ht="8.25" customHeight="1">
      <c r="A8" s="13"/>
      <c r="B8" s="45"/>
      <c r="C8" s="29"/>
      <c r="D8" s="29"/>
      <c r="E8" s="29"/>
      <c r="F8" s="28"/>
      <c r="G8" s="29"/>
      <c r="H8" s="29"/>
      <c r="I8" s="29"/>
      <c r="J8" s="29"/>
      <c r="K8" s="46"/>
      <c r="L8" s="16"/>
      <c r="M8" s="47"/>
      <c r="N8" s="48"/>
      <c r="O8" s="48"/>
      <c r="P8" s="48"/>
    </row>
    <row r="9" ht="23.25" customHeight="1">
      <c r="A9" s="49"/>
      <c r="B9" s="50" t="str">
        <f>IFERROR(__xludf.DUMMYFUNCTION("""COMPUTED_VALUE"""),"NOMOR ITEM")</f>
        <v>NOMOR ITEM</v>
      </c>
      <c r="C9" s="51" t="str">
        <f>IFERROR(__xludf.DUMMYFUNCTION("""COMPUTED_VALUE"""),"URAIAN PEKERJAAN")</f>
        <v>URAIAN PEKERJAAN</v>
      </c>
      <c r="E9" s="52"/>
      <c r="F9" s="53" t="str">
        <f>IFERROR(__xludf.DUMMYFUNCTION("""COMPUTED_VALUE"""),"SATUAN")</f>
        <v>SATUAN</v>
      </c>
      <c r="G9" s="54" t="str">
        <f>IFERROR(__xludf.DUMMYFUNCTION("""COMPUTED_VALUE""")," HARGA SATUAN")</f>
        <v>HARGA SATUAN</v>
      </c>
      <c r="H9" s="54" t="str">
        <f>IFERROR(__xludf.DUMMYFUNCTION("""COMPUTED_VALUE""")," KUANTITAS")</f>
        <v>KUANTITAS</v>
      </c>
      <c r="I9" s="54" t="str">
        <f>IFERROR(__xludf.DUMMYFUNCTION("""COMPUTED_VALUE""")," JUMLAH HARGA")</f>
        <v>JUMLAH HARGA</v>
      </c>
      <c r="J9" s="55" t="str">
        <f>IFERROR(__xludf.DUMMYFUNCTION("""COMPUTED_VALUE""")," KETERANGAN")</f>
        <v>KETERANGAN</v>
      </c>
      <c r="K9" s="56"/>
      <c r="L9" s="16"/>
      <c r="M9" s="57" t="s">
        <v>0</v>
      </c>
      <c r="N9" s="17"/>
      <c r="O9" s="17"/>
      <c r="P9" s="17"/>
    </row>
    <row r="10" ht="23.25" customHeight="1">
      <c r="A10" s="49"/>
      <c r="B10" s="58" t="str">
        <f>IFERROR(__xludf.DUMMYFUNCTION("""COMPUTED_VALUE"""),"PEKERJAAN")</f>
        <v>PEKERJAAN</v>
      </c>
      <c r="C10" s="59"/>
      <c r="D10" s="60"/>
      <c r="E10" s="61"/>
      <c r="F10" s="62"/>
      <c r="G10" s="63" t="str">
        <f>IFERROR(__xludf.DUMMYFUNCTION("""COMPUTED_VALUE""")," RAPL")</f>
        <v>RAPL</v>
      </c>
      <c r="H10" s="63" t="str">
        <f>IFERROR(__xludf.DUMMYFUNCTION("""COMPUTED_VALUE""")," RAPL")</f>
        <v>RAPL</v>
      </c>
      <c r="I10" s="63" t="str">
        <f>IFERROR(__xludf.DUMMYFUNCTION("""COMPUTED_VALUE""")," RAPL")</f>
        <v>RAPL</v>
      </c>
      <c r="J10" s="64"/>
      <c r="K10" s="56"/>
      <c r="L10" s="16"/>
      <c r="M10" s="57" t="s">
        <v>1</v>
      </c>
      <c r="N10" s="17"/>
      <c r="O10" s="17"/>
      <c r="P10" s="17"/>
    </row>
    <row r="11" ht="14.25" customHeight="1">
      <c r="A11" s="65"/>
      <c r="B11" s="66"/>
      <c r="C11" s="67"/>
      <c r="D11" s="67"/>
      <c r="E11" s="68"/>
      <c r="F11" s="69"/>
      <c r="G11" s="70"/>
      <c r="H11" s="71"/>
      <c r="I11" s="70"/>
      <c r="J11" s="72"/>
      <c r="K11" s="73"/>
      <c r="L11" s="16"/>
      <c r="M11" s="74"/>
      <c r="N11" s="44"/>
      <c r="O11" s="44"/>
      <c r="P11" s="44"/>
    </row>
    <row r="12" ht="15.0" customHeight="1">
      <c r="A12" s="32"/>
      <c r="B12" s="75"/>
      <c r="C12" s="76"/>
      <c r="D12" s="76"/>
      <c r="E12" s="77"/>
      <c r="F12" s="78"/>
      <c r="G12" s="79"/>
      <c r="H12" s="80"/>
      <c r="I12" s="79"/>
      <c r="J12" s="81"/>
      <c r="K12" s="73"/>
      <c r="L12" s="16"/>
      <c r="M12" s="74"/>
      <c r="N12" s="44"/>
      <c r="O12" s="44"/>
      <c r="P12" s="44"/>
    </row>
    <row r="13" ht="15.0" customHeight="1">
      <c r="A13" s="32"/>
      <c r="B13" s="82" t="str">
        <f>IFERROR(__xludf.DUMMYFUNCTION("""COMPUTED_VALUE"""),"I")</f>
        <v>I</v>
      </c>
      <c r="C13" s="76"/>
      <c r="D13" s="83" t="str">
        <f>IFERROR(__xludf.DUMMYFUNCTION("""COMPUTED_VALUE""")," BIAYA LANGSUNG : ")</f>
        <v>BIAYA LANGSUNG :</v>
      </c>
      <c r="E13" s="77"/>
      <c r="F13" s="78"/>
      <c r="G13" s="79"/>
      <c r="H13" s="80"/>
      <c r="I13" s="79"/>
      <c r="J13" s="81"/>
      <c r="K13" s="73" t="str">
        <f>IFERROR(__xludf.DUMMYFUNCTION("""COMPUTED_VALUE"""),"I")</f>
        <v>I</v>
      </c>
      <c r="L13" s="16"/>
      <c r="M13" s="43"/>
      <c r="N13" s="44"/>
      <c r="O13" s="44"/>
      <c r="P13" s="44"/>
    </row>
    <row r="14" ht="15.0" customHeight="1">
      <c r="A14" s="32"/>
      <c r="B14" s="82"/>
      <c r="C14" s="76"/>
      <c r="D14" s="76"/>
      <c r="E14" s="77"/>
      <c r="F14" s="84"/>
      <c r="G14" s="79"/>
      <c r="H14" s="80"/>
      <c r="I14" s="79"/>
      <c r="J14" s="85"/>
      <c r="K14" s="73"/>
      <c r="L14" s="16"/>
      <c r="M14" s="43"/>
      <c r="N14" s="44"/>
      <c r="O14" s="44"/>
      <c r="P14" s="44"/>
    </row>
    <row r="15" ht="15.0" customHeight="1">
      <c r="A15" s="32"/>
      <c r="B15" s="82">
        <f>IFERROR(__xludf.DUMMYFUNCTION("""COMPUTED_VALUE"""),1.0)</f>
        <v>1</v>
      </c>
      <c r="C15" s="76"/>
      <c r="D15" s="76" t="str">
        <f>IFERROR(__xludf.DUMMYFUNCTION("""COMPUTED_VALUE""")," PERKERASAN BETON SEMEN ")</f>
        <v>PERKERASAN BETON SEMEN</v>
      </c>
      <c r="E15" s="77"/>
      <c r="F15" s="84"/>
      <c r="G15" s="79"/>
      <c r="H15" s="80"/>
      <c r="I15" s="79"/>
      <c r="J15" s="85"/>
      <c r="K15" s="73">
        <f>IFERROR(__xludf.DUMMYFUNCTION("""COMPUTED_VALUE"""),1.0)</f>
        <v>1</v>
      </c>
      <c r="L15" s="43"/>
      <c r="M15" s="43"/>
      <c r="N15" s="44"/>
      <c r="O15" s="44"/>
      <c r="P15" s="44"/>
    </row>
    <row r="16" ht="15.0" customHeight="1">
      <c r="A16" s="32"/>
      <c r="B16" s="82">
        <f>IFERROR(__xludf.DUMMYFUNCTION("""COMPUTED_VALUE"""),2.0)</f>
        <v>2</v>
      </c>
      <c r="C16" s="76"/>
      <c r="D16" s="76" t="str">
        <f>IFERROR(__xludf.DUMMYFUNCTION("""COMPUTED_VALUE""")," Cor beton readymix FS-45 fast track 7 hari ")</f>
        <v>Cor beton readymix FS-45 fast track 7 hari</v>
      </c>
      <c r="E16" s="77"/>
      <c r="F16" s="84" t="str">
        <f>IFERROR(__xludf.DUMMYFUNCTION("""COMPUTED_VALUE""")," m3")</f>
        <v>m3</v>
      </c>
      <c r="G16" s="79">
        <f>IFERROR(__xludf.DUMMYFUNCTION("""COMPUTED_VALUE"""),4000000.0)</f>
        <v>4000000</v>
      </c>
      <c r="H16" s="80">
        <f>IFERROR(__xludf.DUMMYFUNCTION("""COMPUTED_VALUE"""),450.0)</f>
        <v>450</v>
      </c>
      <c r="I16" s="79">
        <f>IFERROR(__xludf.DUMMYFUNCTION("""COMPUTED_VALUE"""),1.8E9)</f>
        <v>1800000000</v>
      </c>
      <c r="J16" s="85"/>
      <c r="K16" s="73">
        <f>IFERROR(__xludf.DUMMYFUNCTION("""COMPUTED_VALUE"""),2.0)</f>
        <v>2</v>
      </c>
      <c r="L16" s="43"/>
      <c r="M16" s="43"/>
      <c r="N16" s="44"/>
      <c r="O16" s="44"/>
      <c r="P16" s="44"/>
    </row>
    <row r="17" ht="15.0" customHeight="1">
      <c r="A17" s="32"/>
      <c r="B17" s="82">
        <f>IFERROR(__xludf.DUMMYFUNCTION("""COMPUTED_VALUE"""),3.0)</f>
        <v>3</v>
      </c>
      <c r="C17" s="76"/>
      <c r="D17" s="76" t="str">
        <f>IFERROR(__xludf.DUMMYFUNCTION("""COMPUTED_VALUE""")," Agregat klas B ")</f>
        <v>Agregat klas B</v>
      </c>
      <c r="E17" s="77"/>
      <c r="F17" s="84" t="str">
        <f>IFERROR(__xludf.DUMMYFUNCTION("""COMPUTED_VALUE""")," m3")</f>
        <v>m3</v>
      </c>
      <c r="G17" s="79">
        <f>IFERROR(__xludf.DUMMYFUNCTION("""COMPUTED_VALUE"""),366000.0)</f>
        <v>366000</v>
      </c>
      <c r="H17" s="80">
        <f>IFERROR(__xludf.DUMMYFUNCTION("""COMPUTED_VALUE"""),1250.0)</f>
        <v>1250</v>
      </c>
      <c r="I17" s="79">
        <f>IFERROR(__xludf.DUMMYFUNCTION("""COMPUTED_VALUE"""),4.575E8)</f>
        <v>457500000</v>
      </c>
      <c r="J17" s="85"/>
      <c r="K17" s="73">
        <f>IFERROR(__xludf.DUMMYFUNCTION("""COMPUTED_VALUE"""),3.0)</f>
        <v>3</v>
      </c>
      <c r="L17" s="43"/>
      <c r="M17" s="43"/>
      <c r="N17" s="44"/>
      <c r="O17" s="44"/>
      <c r="P17" s="44"/>
    </row>
    <row r="18" ht="15.0" customHeight="1">
      <c r="A18" s="32"/>
      <c r="B18" s="82"/>
      <c r="C18" s="76"/>
      <c r="D18" s="76"/>
      <c r="E18" s="77"/>
      <c r="F18" s="84"/>
      <c r="G18" s="79"/>
      <c r="H18" s="80"/>
      <c r="I18" s="79">
        <f>IFERROR(__xludf.DUMMYFUNCTION("""COMPUTED_VALUE"""),0.0)</f>
        <v>0</v>
      </c>
      <c r="J18" s="85"/>
      <c r="K18" s="73"/>
      <c r="L18" s="43"/>
      <c r="M18" s="43"/>
      <c r="N18" s="44"/>
      <c r="O18" s="44"/>
      <c r="P18" s="44"/>
    </row>
    <row r="19" ht="15.0" customHeight="1">
      <c r="A19" s="32"/>
      <c r="B19" s="82">
        <f>IFERROR(__xludf.DUMMYFUNCTION("""COMPUTED_VALUE"""),5.0)</f>
        <v>5</v>
      </c>
      <c r="C19" s="76"/>
      <c r="D19" s="76" t="str">
        <f>IFERROR(__xludf.DUMMYFUNCTION("""COMPUTED_VALUE""")," STRUKTUR ")</f>
        <v>STRUKTUR</v>
      </c>
      <c r="E19" s="77"/>
      <c r="F19" s="84"/>
      <c r="G19" s="79"/>
      <c r="H19" s="80"/>
      <c r="I19" s="79">
        <f>IFERROR(__xludf.DUMMYFUNCTION("""COMPUTED_VALUE"""),0.0)</f>
        <v>0</v>
      </c>
      <c r="J19" s="85"/>
      <c r="K19" s="73">
        <f>IFERROR(__xludf.DUMMYFUNCTION("""COMPUTED_VALUE"""),5.0)</f>
        <v>5</v>
      </c>
      <c r="L19" s="43"/>
      <c r="M19" s="43"/>
      <c r="N19" s="44"/>
      <c r="O19" s="44"/>
      <c r="P19" s="44"/>
    </row>
    <row r="20" ht="15.0" customHeight="1">
      <c r="A20" s="32"/>
      <c r="B20" s="82">
        <f>IFERROR(__xludf.DUMMYFUNCTION("""COMPUTED_VALUE"""),6.0)</f>
        <v>6</v>
      </c>
      <c r="C20" s="76"/>
      <c r="D20" s="76" t="str">
        <f>IFERROR(__xludf.DUMMYFUNCTION("""COMPUTED_VALUE""")," Beton mutu sedang Fc’=30 MPa untuk Footing ")</f>
        <v>Beton mutu sedang Fc’=30 MPa untuk Footing</v>
      </c>
      <c r="E20" s="77"/>
      <c r="F20" s="84" t="str">
        <f>IFERROR(__xludf.DUMMYFUNCTION("""COMPUTED_VALUE""")," m3")</f>
        <v>m3</v>
      </c>
      <c r="G20" s="79">
        <f>IFERROR(__xludf.DUMMYFUNCTION("""COMPUTED_VALUE"""),2525000.0)</f>
        <v>2525000</v>
      </c>
      <c r="H20" s="80">
        <f>IFERROR(__xludf.DUMMYFUNCTION("""COMPUTED_VALUE"""),180.0)</f>
        <v>180</v>
      </c>
      <c r="I20" s="79">
        <f>IFERROR(__xludf.DUMMYFUNCTION("""COMPUTED_VALUE"""),4.545E8)</f>
        <v>454500000</v>
      </c>
      <c r="J20" s="85"/>
      <c r="K20" s="73">
        <f>IFERROR(__xludf.DUMMYFUNCTION("""COMPUTED_VALUE"""),6.0)</f>
        <v>6</v>
      </c>
      <c r="L20" s="43"/>
      <c r="M20" s="43"/>
      <c r="N20" s="44"/>
      <c r="O20" s="44"/>
      <c r="P20" s="44"/>
    </row>
    <row r="21" ht="15.0" customHeight="1">
      <c r="A21" s="32"/>
      <c r="B21" s="82">
        <f>IFERROR(__xludf.DUMMYFUNCTION("""COMPUTED_VALUE"""),7.0)</f>
        <v>7</v>
      </c>
      <c r="C21" s="76"/>
      <c r="D21" s="76" t="str">
        <f>IFERROR(__xludf.DUMMYFUNCTION("""COMPUTED_VALUE""")," Baja Tulangan U 39 Ulir ")</f>
        <v>Baja Tulangan U 39 Ulir</v>
      </c>
      <c r="E21" s="77"/>
      <c r="F21" s="84" t="str">
        <f>IFERROR(__xludf.DUMMYFUNCTION("""COMPUTED_VALUE""")," kg")</f>
        <v>kg</v>
      </c>
      <c r="G21" s="79">
        <f>IFERROR(__xludf.DUMMYFUNCTION("""COMPUTED_VALUE"""),10400.0)</f>
        <v>10400</v>
      </c>
      <c r="H21" s="80">
        <f>IFERROR(__xludf.DUMMYFUNCTION("""COMPUTED_VALUE"""),146156.25)</f>
        <v>146156.25</v>
      </c>
      <c r="I21" s="79">
        <f>IFERROR(__xludf.DUMMYFUNCTION("""COMPUTED_VALUE"""),1.520025E9)</f>
        <v>1520025000</v>
      </c>
      <c r="J21" s="85"/>
      <c r="K21" s="73">
        <f>IFERROR(__xludf.DUMMYFUNCTION("""COMPUTED_VALUE"""),7.0)</f>
        <v>7</v>
      </c>
      <c r="L21" s="43"/>
      <c r="M21" s="43"/>
      <c r="N21" s="44"/>
      <c r="O21" s="44"/>
      <c r="P21" s="44"/>
    </row>
    <row r="22" ht="15.0" customHeight="1">
      <c r="A22" s="32"/>
      <c r="B22" s="82">
        <f>IFERROR(__xludf.DUMMYFUNCTION("""COMPUTED_VALUE"""),8.0)</f>
        <v>8</v>
      </c>
      <c r="C22" s="76"/>
      <c r="D22" s="76" t="str">
        <f>IFERROR(__xludf.DUMMYFUNCTION("""COMPUTED_VALUE""")," Tiang Bor Beton, diameter 500 mm, Beton K-350 Slump 18±2 ")</f>
        <v>Tiang Bor Beton, diameter 500 mm, Beton K-350 Slump 18±2</v>
      </c>
      <c r="E22" s="77"/>
      <c r="F22" s="84" t="str">
        <f>IFERROR(__xludf.DUMMYFUNCTION("""COMPUTED_VALUE""")," m'")</f>
        <v>m'</v>
      </c>
      <c r="G22" s="79">
        <f>IFERROR(__xludf.DUMMYFUNCTION("""COMPUTED_VALUE"""),2225000.0)</f>
        <v>2225000</v>
      </c>
      <c r="H22" s="80">
        <f>IFERROR(__xludf.DUMMYFUNCTION("""COMPUTED_VALUE"""),294.375)</f>
        <v>294.375</v>
      </c>
      <c r="I22" s="79">
        <f>IFERROR(__xludf.DUMMYFUNCTION("""COMPUTED_VALUE"""),6.54984375E8)</f>
        <v>654984375</v>
      </c>
      <c r="J22" s="85"/>
      <c r="K22" s="73">
        <f>IFERROR(__xludf.DUMMYFUNCTION("""COMPUTED_VALUE"""),8.0)</f>
        <v>8</v>
      </c>
      <c r="L22" s="43"/>
      <c r="M22" s="43"/>
      <c r="N22" s="44"/>
      <c r="O22" s="44"/>
      <c r="P22" s="44"/>
    </row>
    <row r="23" ht="15.0" customHeight="1">
      <c r="A23" s="32"/>
      <c r="B23" s="82"/>
      <c r="C23" s="76"/>
      <c r="D23" s="76"/>
      <c r="E23" s="77"/>
      <c r="F23" s="84"/>
      <c r="G23" s="79"/>
      <c r="H23" s="80"/>
      <c r="I23" s="79">
        <f>IFERROR(__xludf.DUMMYFUNCTION("""COMPUTED_VALUE"""),0.0)</f>
        <v>0</v>
      </c>
      <c r="J23" s="85"/>
      <c r="K23" s="73"/>
      <c r="L23" s="43"/>
      <c r="M23" s="43"/>
      <c r="N23" s="44"/>
      <c r="O23" s="44"/>
      <c r="P23" s="44"/>
    </row>
    <row r="24" ht="15.0" customHeight="1">
      <c r="A24" s="32"/>
      <c r="B24" s="82"/>
      <c r="C24" s="76"/>
      <c r="D24" s="76"/>
      <c r="E24" s="77"/>
      <c r="F24" s="84"/>
      <c r="G24" s="79"/>
      <c r="H24" s="80"/>
      <c r="I24" s="79">
        <f>IFERROR(__xludf.DUMMYFUNCTION("""COMPUTED_VALUE"""),0.0)</f>
        <v>0</v>
      </c>
      <c r="J24" s="85"/>
      <c r="K24" s="73"/>
      <c r="L24" s="43"/>
      <c r="M24" s="43"/>
      <c r="N24" s="44"/>
      <c r="O24" s="44"/>
      <c r="P24" s="44"/>
    </row>
    <row r="25" ht="15.0" customHeight="1">
      <c r="A25" s="32"/>
      <c r="B25" s="82"/>
      <c r="C25" s="76"/>
      <c r="D25" s="76"/>
      <c r="E25" s="77"/>
      <c r="F25" s="84"/>
      <c r="G25" s="79"/>
      <c r="H25" s="80"/>
      <c r="I25" s="79">
        <f>IFERROR(__xludf.DUMMYFUNCTION("""COMPUTED_VALUE"""),0.0)</f>
        <v>0</v>
      </c>
      <c r="J25" s="85"/>
      <c r="K25" s="73"/>
      <c r="L25" s="43"/>
      <c r="M25" s="43"/>
      <c r="N25" s="44"/>
      <c r="O25" s="44"/>
      <c r="P25" s="44"/>
    </row>
    <row r="26" ht="15.0" customHeight="1">
      <c r="A26" s="32"/>
      <c r="B26" s="82"/>
      <c r="C26" s="76"/>
      <c r="D26" s="76"/>
      <c r="E26" s="77"/>
      <c r="F26" s="84"/>
      <c r="G26" s="79"/>
      <c r="H26" s="80"/>
      <c r="I26" s="79">
        <f>IFERROR(__xludf.DUMMYFUNCTION("""COMPUTED_VALUE"""),0.0)</f>
        <v>0</v>
      </c>
      <c r="J26" s="85"/>
      <c r="K26" s="73"/>
      <c r="L26" s="43"/>
      <c r="M26" s="43"/>
      <c r="N26" s="44"/>
      <c r="O26" s="44"/>
      <c r="P26" s="44"/>
    </row>
    <row r="27" ht="15.0" customHeight="1">
      <c r="A27" s="32"/>
      <c r="B27" s="82"/>
      <c r="C27" s="76"/>
      <c r="D27" s="76"/>
      <c r="E27" s="77"/>
      <c r="F27" s="84"/>
      <c r="G27" s="79"/>
      <c r="H27" s="80"/>
      <c r="I27" s="79">
        <f>IFERROR(__xludf.DUMMYFUNCTION("""COMPUTED_VALUE"""),0.0)</f>
        <v>0</v>
      </c>
      <c r="J27" s="85"/>
      <c r="K27" s="73"/>
      <c r="L27" s="43"/>
      <c r="M27" s="43"/>
      <c r="N27" s="44"/>
      <c r="O27" s="44"/>
      <c r="P27" s="44"/>
    </row>
    <row r="28" ht="15.0" customHeight="1">
      <c r="A28" s="32"/>
      <c r="B28" s="82"/>
      <c r="C28" s="76"/>
      <c r="D28" s="76"/>
      <c r="E28" s="77"/>
      <c r="F28" s="84"/>
      <c r="G28" s="79"/>
      <c r="H28" s="80"/>
      <c r="I28" s="79">
        <f>IFERROR(__xludf.DUMMYFUNCTION("""COMPUTED_VALUE"""),0.0)</f>
        <v>0</v>
      </c>
      <c r="J28" s="85"/>
      <c r="K28" s="73"/>
      <c r="L28" s="43"/>
      <c r="M28" s="43"/>
      <c r="N28" s="44"/>
      <c r="O28" s="44"/>
      <c r="P28" s="44"/>
    </row>
    <row r="29" ht="15.0" customHeight="1">
      <c r="A29" s="32"/>
      <c r="B29" s="82"/>
      <c r="C29" s="76"/>
      <c r="D29" s="76"/>
      <c r="E29" s="77"/>
      <c r="F29" s="84"/>
      <c r="G29" s="79"/>
      <c r="H29" s="80"/>
      <c r="I29" s="79">
        <f>IFERROR(__xludf.DUMMYFUNCTION("""COMPUTED_VALUE"""),0.0)</f>
        <v>0</v>
      </c>
      <c r="J29" s="85"/>
      <c r="K29" s="73"/>
      <c r="L29" s="43"/>
      <c r="M29" s="43"/>
      <c r="N29" s="44"/>
      <c r="O29" s="44"/>
      <c r="P29" s="44"/>
    </row>
    <row r="30" ht="15.0" customHeight="1">
      <c r="A30" s="32"/>
      <c r="B30" s="82"/>
      <c r="C30" s="76"/>
      <c r="D30" s="76"/>
      <c r="E30" s="77"/>
      <c r="F30" s="84"/>
      <c r="G30" s="79"/>
      <c r="H30" s="80"/>
      <c r="I30" s="79">
        <f>IFERROR(__xludf.DUMMYFUNCTION("""COMPUTED_VALUE"""),0.0)</f>
        <v>0</v>
      </c>
      <c r="J30" s="85"/>
      <c r="K30" s="73"/>
      <c r="L30" s="43"/>
      <c r="M30" s="43"/>
      <c r="N30" s="44"/>
      <c r="O30" s="44"/>
      <c r="P30" s="44"/>
    </row>
    <row r="31" ht="15.0" customHeight="1">
      <c r="A31" s="32"/>
      <c r="B31" s="82"/>
      <c r="C31" s="76"/>
      <c r="D31" s="76"/>
      <c r="E31" s="77"/>
      <c r="F31" s="84"/>
      <c r="G31" s="79"/>
      <c r="H31" s="80"/>
      <c r="I31" s="79">
        <f>IFERROR(__xludf.DUMMYFUNCTION("""COMPUTED_VALUE"""),0.0)</f>
        <v>0</v>
      </c>
      <c r="J31" s="85"/>
      <c r="K31" s="73"/>
      <c r="L31" s="43"/>
      <c r="M31" s="43"/>
      <c r="N31" s="44"/>
      <c r="O31" s="44"/>
      <c r="P31" s="44"/>
    </row>
    <row r="32" ht="15.0" customHeight="1">
      <c r="A32" s="32"/>
      <c r="B32" s="82"/>
      <c r="C32" s="76"/>
      <c r="D32" s="76"/>
      <c r="E32" s="77"/>
      <c r="F32" s="84"/>
      <c r="G32" s="79"/>
      <c r="H32" s="80"/>
      <c r="I32" s="79">
        <f>IFERROR(__xludf.DUMMYFUNCTION("""COMPUTED_VALUE"""),0.0)</f>
        <v>0</v>
      </c>
      <c r="J32" s="85"/>
      <c r="K32" s="73"/>
      <c r="L32" s="43"/>
      <c r="M32" s="43"/>
      <c r="N32" s="44"/>
      <c r="O32" s="44"/>
      <c r="P32" s="44"/>
    </row>
    <row r="33" ht="15.0" customHeight="1">
      <c r="A33" s="32"/>
      <c r="B33" s="82"/>
      <c r="C33" s="76"/>
      <c r="D33" s="76"/>
      <c r="E33" s="77"/>
      <c r="F33" s="84"/>
      <c r="G33" s="79"/>
      <c r="H33" s="80"/>
      <c r="I33" s="79">
        <f>IFERROR(__xludf.DUMMYFUNCTION("""COMPUTED_VALUE"""),0.0)</f>
        <v>0</v>
      </c>
      <c r="J33" s="85"/>
      <c r="K33" s="73"/>
      <c r="L33" s="43"/>
      <c r="M33" s="43"/>
      <c r="N33" s="44"/>
      <c r="O33" s="44"/>
      <c r="P33" s="44"/>
    </row>
    <row r="34" ht="15.0" customHeight="1">
      <c r="A34" s="32"/>
      <c r="B34" s="82"/>
      <c r="C34" s="76"/>
      <c r="D34" s="76"/>
      <c r="E34" s="77"/>
      <c r="F34" s="84"/>
      <c r="G34" s="79"/>
      <c r="H34" s="80"/>
      <c r="I34" s="79">
        <f>IFERROR(__xludf.DUMMYFUNCTION("""COMPUTED_VALUE"""),0.0)</f>
        <v>0</v>
      </c>
      <c r="J34" s="85"/>
      <c r="K34" s="73"/>
      <c r="L34" s="43"/>
      <c r="M34" s="43"/>
      <c r="N34" s="44"/>
      <c r="O34" s="44"/>
      <c r="P34" s="44"/>
    </row>
    <row r="35" ht="15.0" customHeight="1">
      <c r="A35" s="32"/>
      <c r="B35" s="82"/>
      <c r="C35" s="76"/>
      <c r="D35" s="76"/>
      <c r="E35" s="77"/>
      <c r="F35" s="84"/>
      <c r="G35" s="79"/>
      <c r="H35" s="80"/>
      <c r="I35" s="79">
        <f>IFERROR(__xludf.DUMMYFUNCTION("""COMPUTED_VALUE"""),0.0)</f>
        <v>0</v>
      </c>
      <c r="J35" s="85"/>
      <c r="K35" s="73"/>
      <c r="L35" s="43"/>
      <c r="M35" s="43"/>
      <c r="N35" s="44"/>
      <c r="O35" s="44"/>
      <c r="P35" s="44"/>
    </row>
    <row r="36" ht="15.0" customHeight="1">
      <c r="A36" s="32"/>
      <c r="B36" s="82"/>
      <c r="C36" s="76"/>
      <c r="D36" s="76"/>
      <c r="E36" s="77"/>
      <c r="F36" s="84"/>
      <c r="G36" s="79"/>
      <c r="H36" s="80"/>
      <c r="I36" s="79">
        <f>IFERROR(__xludf.DUMMYFUNCTION("""COMPUTED_VALUE"""),0.0)</f>
        <v>0</v>
      </c>
      <c r="J36" s="85"/>
      <c r="K36" s="73"/>
      <c r="L36" s="43"/>
      <c r="M36" s="43"/>
      <c r="N36" s="44"/>
      <c r="O36" s="44"/>
      <c r="P36" s="44"/>
    </row>
    <row r="37" ht="15.0" customHeight="1">
      <c r="A37" s="32"/>
      <c r="B37" s="82"/>
      <c r="C37" s="76"/>
      <c r="D37" s="76"/>
      <c r="E37" s="77"/>
      <c r="F37" s="84"/>
      <c r="G37" s="79"/>
      <c r="H37" s="80"/>
      <c r="I37" s="79">
        <f>IFERROR(__xludf.DUMMYFUNCTION("""COMPUTED_VALUE"""),0.0)</f>
        <v>0</v>
      </c>
      <c r="J37" s="85"/>
      <c r="K37" s="73"/>
      <c r="L37" s="43"/>
      <c r="M37" s="43"/>
      <c r="N37" s="44"/>
      <c r="O37" s="44"/>
      <c r="P37" s="44"/>
    </row>
    <row r="38" ht="15.0" customHeight="1">
      <c r="A38" s="32"/>
      <c r="B38" s="82"/>
      <c r="C38" s="76"/>
      <c r="D38" s="76"/>
      <c r="E38" s="77"/>
      <c r="F38" s="84"/>
      <c r="G38" s="79"/>
      <c r="H38" s="80"/>
      <c r="I38" s="79">
        <f>IFERROR(__xludf.DUMMYFUNCTION("""COMPUTED_VALUE"""),0.0)</f>
        <v>0</v>
      </c>
      <c r="J38" s="85"/>
      <c r="K38" s="73"/>
      <c r="L38" s="43"/>
      <c r="M38" s="43"/>
      <c r="N38" s="44"/>
      <c r="O38" s="44"/>
      <c r="P38" s="44"/>
    </row>
    <row r="39" ht="15.0" customHeight="1">
      <c r="A39" s="32"/>
      <c r="B39" s="82"/>
      <c r="C39" s="76"/>
      <c r="D39" s="76"/>
      <c r="E39" s="77"/>
      <c r="F39" s="84"/>
      <c r="G39" s="79"/>
      <c r="H39" s="80"/>
      <c r="I39" s="79">
        <f>IFERROR(__xludf.DUMMYFUNCTION("""COMPUTED_VALUE"""),0.0)</f>
        <v>0</v>
      </c>
      <c r="J39" s="85"/>
      <c r="K39" s="73"/>
      <c r="L39" s="43"/>
      <c r="M39" s="43"/>
      <c r="N39" s="44"/>
      <c r="O39" s="44"/>
      <c r="P39" s="44"/>
    </row>
    <row r="40" ht="15.0" customHeight="1">
      <c r="A40" s="32"/>
      <c r="B40" s="82"/>
      <c r="C40" s="76"/>
      <c r="D40" s="76"/>
      <c r="E40" s="77"/>
      <c r="F40" s="84"/>
      <c r="G40" s="79"/>
      <c r="H40" s="80"/>
      <c r="I40" s="79">
        <f>IFERROR(__xludf.DUMMYFUNCTION("""COMPUTED_VALUE"""),0.0)</f>
        <v>0</v>
      </c>
      <c r="J40" s="85"/>
      <c r="K40" s="73"/>
      <c r="L40" s="43"/>
      <c r="M40" s="43"/>
      <c r="N40" s="44"/>
      <c r="O40" s="44"/>
      <c r="P40" s="44"/>
    </row>
    <row r="41" ht="15.0" customHeight="1">
      <c r="A41" s="32"/>
      <c r="B41" s="82"/>
      <c r="C41" s="76"/>
      <c r="D41" s="76"/>
      <c r="E41" s="77"/>
      <c r="F41" s="84"/>
      <c r="G41" s="79"/>
      <c r="H41" s="80"/>
      <c r="I41" s="79">
        <f>IFERROR(__xludf.DUMMYFUNCTION("""COMPUTED_VALUE"""),0.0)</f>
        <v>0</v>
      </c>
      <c r="J41" s="85"/>
      <c r="K41" s="73"/>
      <c r="L41" s="43"/>
      <c r="M41" s="43"/>
      <c r="N41" s="44"/>
      <c r="O41" s="44"/>
      <c r="P41" s="44"/>
    </row>
    <row r="42" ht="15.0" customHeight="1">
      <c r="A42" s="32"/>
      <c r="B42" s="82"/>
      <c r="C42" s="76"/>
      <c r="D42" s="76"/>
      <c r="E42" s="77"/>
      <c r="F42" s="84"/>
      <c r="G42" s="79"/>
      <c r="H42" s="80"/>
      <c r="I42" s="79">
        <f>IFERROR(__xludf.DUMMYFUNCTION("""COMPUTED_VALUE"""),0.0)</f>
        <v>0</v>
      </c>
      <c r="J42" s="85"/>
      <c r="K42" s="73"/>
      <c r="L42" s="43"/>
      <c r="M42" s="43"/>
      <c r="N42" s="44"/>
      <c r="O42" s="44"/>
      <c r="P42" s="44"/>
    </row>
    <row r="43" ht="15.0" customHeight="1">
      <c r="A43" s="32"/>
      <c r="B43" s="82"/>
      <c r="C43" s="76"/>
      <c r="D43" s="76"/>
      <c r="E43" s="77"/>
      <c r="F43" s="84"/>
      <c r="G43" s="79"/>
      <c r="H43" s="80"/>
      <c r="I43" s="79">
        <f>IFERROR(__xludf.DUMMYFUNCTION("""COMPUTED_VALUE"""),0.0)</f>
        <v>0</v>
      </c>
      <c r="J43" s="85"/>
      <c r="K43" s="73"/>
      <c r="L43" s="43"/>
      <c r="M43" s="43"/>
      <c r="N43" s="44"/>
      <c r="O43" s="44"/>
      <c r="P43" s="44"/>
    </row>
    <row r="44" ht="15.0" customHeight="1">
      <c r="A44" s="32"/>
      <c r="B44" s="82"/>
      <c r="C44" s="76"/>
      <c r="D44" s="76"/>
      <c r="E44" s="77"/>
      <c r="F44" s="84"/>
      <c r="G44" s="79"/>
      <c r="H44" s="80"/>
      <c r="I44" s="79">
        <f>IFERROR(__xludf.DUMMYFUNCTION("""COMPUTED_VALUE"""),0.0)</f>
        <v>0</v>
      </c>
      <c r="J44" s="85"/>
      <c r="K44" s="73"/>
      <c r="L44" s="43"/>
      <c r="M44" s="43"/>
      <c r="N44" s="44"/>
      <c r="O44" s="44"/>
      <c r="P44" s="44"/>
    </row>
    <row r="45" ht="15.0" customHeight="1">
      <c r="A45" s="32"/>
      <c r="B45" s="82"/>
      <c r="C45" s="76"/>
      <c r="D45" s="76"/>
      <c r="E45" s="77"/>
      <c r="F45" s="84"/>
      <c r="G45" s="79"/>
      <c r="H45" s="80"/>
      <c r="I45" s="79">
        <f>IFERROR(__xludf.DUMMYFUNCTION("""COMPUTED_VALUE"""),0.0)</f>
        <v>0</v>
      </c>
      <c r="J45" s="85"/>
      <c r="K45" s="73"/>
      <c r="L45" s="43"/>
      <c r="M45" s="43"/>
      <c r="N45" s="44"/>
      <c r="O45" s="44"/>
      <c r="P45" s="44"/>
    </row>
    <row r="46" ht="15.0" customHeight="1">
      <c r="A46" s="32"/>
      <c r="B46" s="82"/>
      <c r="C46" s="76"/>
      <c r="D46" s="76"/>
      <c r="E46" s="77"/>
      <c r="F46" s="84"/>
      <c r="G46" s="79"/>
      <c r="H46" s="80"/>
      <c r="I46" s="79">
        <f>IFERROR(__xludf.DUMMYFUNCTION("""COMPUTED_VALUE"""),0.0)</f>
        <v>0</v>
      </c>
      <c r="J46" s="85"/>
      <c r="K46" s="73"/>
      <c r="L46" s="43"/>
      <c r="M46" s="43"/>
      <c r="N46" s="44"/>
      <c r="O46" s="44"/>
      <c r="P46" s="44"/>
    </row>
    <row r="47" ht="15.0" customHeight="1">
      <c r="A47" s="32"/>
      <c r="B47" s="82"/>
      <c r="C47" s="76"/>
      <c r="D47" s="76"/>
      <c r="E47" s="77"/>
      <c r="F47" s="84"/>
      <c r="G47" s="79"/>
      <c r="H47" s="80"/>
      <c r="I47" s="79">
        <f>IFERROR(__xludf.DUMMYFUNCTION("""COMPUTED_VALUE"""),0.0)</f>
        <v>0</v>
      </c>
      <c r="J47" s="85"/>
      <c r="K47" s="73"/>
      <c r="L47" s="43"/>
      <c r="M47" s="43"/>
      <c r="N47" s="44"/>
      <c r="O47" s="44"/>
      <c r="P47" s="44"/>
    </row>
    <row r="48" ht="15.0" customHeight="1">
      <c r="A48" s="32"/>
      <c r="B48" s="82"/>
      <c r="C48" s="76"/>
      <c r="D48" s="76"/>
      <c r="E48" s="77"/>
      <c r="F48" s="84"/>
      <c r="G48" s="79"/>
      <c r="H48" s="80"/>
      <c r="I48" s="79">
        <f>IFERROR(__xludf.DUMMYFUNCTION("""COMPUTED_VALUE"""),0.0)</f>
        <v>0</v>
      </c>
      <c r="J48" s="85"/>
      <c r="K48" s="73"/>
      <c r="L48" s="43"/>
      <c r="M48" s="43"/>
      <c r="N48" s="44"/>
      <c r="O48" s="44"/>
      <c r="P48" s="44"/>
    </row>
    <row r="49" ht="15.0" customHeight="1">
      <c r="A49" s="32"/>
      <c r="B49" s="82"/>
      <c r="C49" s="76"/>
      <c r="D49" s="76"/>
      <c r="E49" s="77"/>
      <c r="F49" s="84"/>
      <c r="G49" s="79"/>
      <c r="H49" s="80"/>
      <c r="I49" s="79">
        <f>IFERROR(__xludf.DUMMYFUNCTION("""COMPUTED_VALUE"""),0.0)</f>
        <v>0</v>
      </c>
      <c r="J49" s="85"/>
      <c r="K49" s="73"/>
      <c r="L49" s="43"/>
      <c r="M49" s="43"/>
      <c r="N49" s="44"/>
      <c r="O49" s="44"/>
      <c r="P49" s="44"/>
    </row>
    <row r="50" ht="15.0" customHeight="1">
      <c r="A50" s="32"/>
      <c r="B50" s="82"/>
      <c r="C50" s="76"/>
      <c r="D50" s="76"/>
      <c r="E50" s="77"/>
      <c r="F50" s="84"/>
      <c r="G50" s="79"/>
      <c r="H50" s="80"/>
      <c r="I50" s="79">
        <f>IFERROR(__xludf.DUMMYFUNCTION("""COMPUTED_VALUE"""),0.0)</f>
        <v>0</v>
      </c>
      <c r="J50" s="85"/>
      <c r="K50" s="73"/>
      <c r="L50" s="43"/>
      <c r="M50" s="43"/>
      <c r="N50" s="44"/>
      <c r="O50" s="44"/>
      <c r="P50" s="44"/>
    </row>
    <row r="51" ht="15.0" customHeight="1">
      <c r="A51" s="32"/>
      <c r="B51" s="82"/>
      <c r="C51" s="76"/>
      <c r="D51" s="76"/>
      <c r="E51" s="77"/>
      <c r="F51" s="84"/>
      <c r="G51" s="79"/>
      <c r="H51" s="80"/>
      <c r="I51" s="79">
        <f>IFERROR(__xludf.DUMMYFUNCTION("""COMPUTED_VALUE"""),0.0)</f>
        <v>0</v>
      </c>
      <c r="J51" s="85"/>
      <c r="K51" s="73"/>
      <c r="L51" s="43"/>
      <c r="M51" s="43"/>
      <c r="N51" s="44"/>
      <c r="O51" s="44"/>
      <c r="P51" s="44"/>
    </row>
    <row r="52" ht="15.0" customHeight="1">
      <c r="A52" s="32"/>
      <c r="B52" s="82"/>
      <c r="C52" s="76"/>
      <c r="D52" s="76"/>
      <c r="E52" s="77"/>
      <c r="F52" s="84"/>
      <c r="G52" s="79"/>
      <c r="H52" s="80"/>
      <c r="I52" s="79">
        <f>IFERROR(__xludf.DUMMYFUNCTION("""COMPUTED_VALUE"""),0.0)</f>
        <v>0</v>
      </c>
      <c r="J52" s="85"/>
      <c r="K52" s="73"/>
      <c r="L52" s="43"/>
      <c r="M52" s="43"/>
      <c r="N52" s="44"/>
      <c r="O52" s="44"/>
      <c r="P52" s="44"/>
    </row>
    <row r="53" ht="15.0" customHeight="1">
      <c r="A53" s="32"/>
      <c r="B53" s="82"/>
      <c r="C53" s="76"/>
      <c r="D53" s="76"/>
      <c r="E53" s="77"/>
      <c r="F53" s="84"/>
      <c r="G53" s="79"/>
      <c r="H53" s="80"/>
      <c r="I53" s="79">
        <f>IFERROR(__xludf.DUMMYFUNCTION("""COMPUTED_VALUE"""),0.0)</f>
        <v>0</v>
      </c>
      <c r="J53" s="85"/>
      <c r="K53" s="73"/>
      <c r="L53" s="43"/>
      <c r="M53" s="43"/>
      <c r="N53" s="44"/>
      <c r="O53" s="44"/>
      <c r="P53" s="44"/>
    </row>
    <row r="54" ht="15.0" customHeight="1">
      <c r="A54" s="32"/>
      <c r="B54" s="82"/>
      <c r="C54" s="76"/>
      <c r="D54" s="76"/>
      <c r="E54" s="77"/>
      <c r="F54" s="84"/>
      <c r="G54" s="79"/>
      <c r="H54" s="80"/>
      <c r="I54" s="79">
        <f>IFERROR(__xludf.DUMMYFUNCTION("""COMPUTED_VALUE"""),0.0)</f>
        <v>0</v>
      </c>
      <c r="J54" s="85"/>
      <c r="K54" s="73"/>
      <c r="L54" s="43"/>
      <c r="M54" s="43"/>
      <c r="N54" s="44"/>
      <c r="O54" s="44"/>
      <c r="P54" s="44"/>
    </row>
    <row r="55" ht="15.0" customHeight="1">
      <c r="A55" s="32"/>
      <c r="B55" s="82"/>
      <c r="C55" s="76"/>
      <c r="D55" s="76"/>
      <c r="E55" s="77"/>
      <c r="F55" s="84"/>
      <c r="G55" s="79"/>
      <c r="H55" s="80"/>
      <c r="I55" s="79">
        <f>IFERROR(__xludf.DUMMYFUNCTION("""COMPUTED_VALUE"""),0.0)</f>
        <v>0</v>
      </c>
      <c r="J55" s="85"/>
      <c r="K55" s="73"/>
      <c r="L55" s="43"/>
      <c r="M55" s="43"/>
      <c r="N55" s="44"/>
      <c r="O55" s="44"/>
      <c r="P55" s="44"/>
    </row>
    <row r="56" ht="15.0" customHeight="1">
      <c r="A56" s="32"/>
      <c r="B56" s="82"/>
      <c r="C56" s="76"/>
      <c r="D56" s="76"/>
      <c r="E56" s="77"/>
      <c r="F56" s="84"/>
      <c r="G56" s="79"/>
      <c r="H56" s="80"/>
      <c r="I56" s="79">
        <f>IFERROR(__xludf.DUMMYFUNCTION("""COMPUTED_VALUE"""),0.0)</f>
        <v>0</v>
      </c>
      <c r="J56" s="85"/>
      <c r="K56" s="73"/>
      <c r="L56" s="43"/>
      <c r="M56" s="43"/>
      <c r="N56" s="44"/>
      <c r="O56" s="44"/>
      <c r="P56" s="44"/>
    </row>
    <row r="57" ht="15.0" customHeight="1">
      <c r="A57" s="32"/>
      <c r="B57" s="82"/>
      <c r="C57" s="76"/>
      <c r="D57" s="76"/>
      <c r="E57" s="77"/>
      <c r="F57" s="84"/>
      <c r="G57" s="79"/>
      <c r="H57" s="80"/>
      <c r="I57" s="79">
        <f>IFERROR(__xludf.DUMMYFUNCTION("""COMPUTED_VALUE"""),0.0)</f>
        <v>0</v>
      </c>
      <c r="J57" s="85"/>
      <c r="K57" s="73"/>
      <c r="L57" s="43"/>
      <c r="M57" s="43"/>
      <c r="N57" s="44"/>
      <c r="O57" s="44"/>
      <c r="P57" s="44"/>
    </row>
    <row r="58" ht="15.0" customHeight="1">
      <c r="A58" s="32"/>
      <c r="B58" s="82"/>
      <c r="C58" s="76"/>
      <c r="D58" s="76"/>
      <c r="E58" s="77"/>
      <c r="F58" s="84"/>
      <c r="G58" s="79"/>
      <c r="H58" s="80"/>
      <c r="I58" s="79">
        <f>IFERROR(__xludf.DUMMYFUNCTION("""COMPUTED_VALUE"""),0.0)</f>
        <v>0</v>
      </c>
      <c r="J58" s="85"/>
      <c r="K58" s="73"/>
      <c r="L58" s="43"/>
      <c r="M58" s="43"/>
      <c r="N58" s="44"/>
      <c r="O58" s="44"/>
      <c r="P58" s="44"/>
    </row>
    <row r="59" ht="15.0" customHeight="1">
      <c r="A59" s="32"/>
      <c r="B59" s="82"/>
      <c r="C59" s="76"/>
      <c r="D59" s="76"/>
      <c r="E59" s="77"/>
      <c r="F59" s="84"/>
      <c r="G59" s="79"/>
      <c r="H59" s="80"/>
      <c r="I59" s="79">
        <f>IFERROR(__xludf.DUMMYFUNCTION("""COMPUTED_VALUE"""),0.0)</f>
        <v>0</v>
      </c>
      <c r="J59" s="85"/>
      <c r="K59" s="73"/>
      <c r="L59" s="43"/>
      <c r="M59" s="43"/>
      <c r="N59" s="44"/>
      <c r="O59" s="44"/>
      <c r="P59" s="44"/>
    </row>
    <row r="60" ht="15.0" customHeight="1">
      <c r="A60" s="32"/>
      <c r="B60" s="82"/>
      <c r="C60" s="76"/>
      <c r="D60" s="76"/>
      <c r="E60" s="77"/>
      <c r="F60" s="84"/>
      <c r="G60" s="79"/>
      <c r="H60" s="80"/>
      <c r="I60" s="79">
        <f>IFERROR(__xludf.DUMMYFUNCTION("""COMPUTED_VALUE"""),0.0)</f>
        <v>0</v>
      </c>
      <c r="J60" s="85"/>
      <c r="K60" s="73"/>
      <c r="L60" s="43"/>
      <c r="M60" s="43"/>
      <c r="N60" s="44"/>
      <c r="O60" s="44"/>
      <c r="P60" s="44"/>
    </row>
    <row r="61" ht="15.0" customHeight="1">
      <c r="A61" s="32"/>
      <c r="B61" s="82"/>
      <c r="C61" s="76"/>
      <c r="D61" s="76"/>
      <c r="E61" s="77"/>
      <c r="F61" s="84"/>
      <c r="G61" s="79"/>
      <c r="H61" s="80"/>
      <c r="I61" s="79">
        <f>IFERROR(__xludf.DUMMYFUNCTION("""COMPUTED_VALUE"""),0.0)</f>
        <v>0</v>
      </c>
      <c r="J61" s="85"/>
      <c r="K61" s="73"/>
      <c r="L61" s="43"/>
      <c r="M61" s="43"/>
      <c r="N61" s="44"/>
      <c r="O61" s="44"/>
      <c r="P61" s="44"/>
    </row>
    <row r="62" ht="15.0" customHeight="1">
      <c r="A62" s="32"/>
      <c r="B62" s="82"/>
      <c r="C62" s="76"/>
      <c r="D62" s="76"/>
      <c r="E62" s="77"/>
      <c r="F62" s="84"/>
      <c r="G62" s="79"/>
      <c r="H62" s="80"/>
      <c r="I62" s="79">
        <f>IFERROR(__xludf.DUMMYFUNCTION("""COMPUTED_VALUE"""),0.0)</f>
        <v>0</v>
      </c>
      <c r="J62" s="85"/>
      <c r="K62" s="73"/>
      <c r="L62" s="43"/>
      <c r="M62" s="43"/>
      <c r="N62" s="44"/>
      <c r="O62" s="44"/>
      <c r="P62" s="44"/>
    </row>
    <row r="63" ht="15.0" customHeight="1">
      <c r="A63" s="32"/>
      <c r="B63" s="82"/>
      <c r="C63" s="76"/>
      <c r="D63" s="76"/>
      <c r="E63" s="77"/>
      <c r="F63" s="84"/>
      <c r="G63" s="79"/>
      <c r="H63" s="80"/>
      <c r="I63" s="79">
        <f>IFERROR(__xludf.DUMMYFUNCTION("""COMPUTED_VALUE"""),0.0)</f>
        <v>0</v>
      </c>
      <c r="J63" s="85"/>
      <c r="K63" s="73"/>
      <c r="L63" s="43"/>
      <c r="M63" s="43"/>
      <c r="N63" s="44"/>
      <c r="O63" s="44"/>
      <c r="P63" s="44"/>
    </row>
    <row r="64" ht="15.0" customHeight="1">
      <c r="A64" s="32"/>
      <c r="B64" s="82"/>
      <c r="C64" s="76"/>
      <c r="D64" s="76"/>
      <c r="E64" s="77"/>
      <c r="F64" s="84"/>
      <c r="G64" s="79"/>
      <c r="H64" s="80"/>
      <c r="I64" s="79">
        <f>IFERROR(__xludf.DUMMYFUNCTION("""COMPUTED_VALUE"""),0.0)</f>
        <v>0</v>
      </c>
      <c r="J64" s="85"/>
      <c r="K64" s="73"/>
      <c r="L64" s="43"/>
      <c r="M64" s="43"/>
      <c r="N64" s="44"/>
      <c r="O64" s="44"/>
      <c r="P64" s="44"/>
    </row>
    <row r="65" ht="15.0" customHeight="1">
      <c r="A65" s="32"/>
      <c r="B65" s="82"/>
      <c r="C65" s="76"/>
      <c r="D65" s="76"/>
      <c r="E65" s="77"/>
      <c r="F65" s="84"/>
      <c r="G65" s="79"/>
      <c r="H65" s="80"/>
      <c r="I65" s="79">
        <f>IFERROR(__xludf.DUMMYFUNCTION("""COMPUTED_VALUE"""),0.0)</f>
        <v>0</v>
      </c>
      <c r="J65" s="85"/>
      <c r="K65" s="73"/>
      <c r="L65" s="43"/>
      <c r="M65" s="43"/>
      <c r="N65" s="44"/>
      <c r="O65" s="44"/>
      <c r="P65" s="44"/>
    </row>
    <row r="66" ht="15.0" customHeight="1">
      <c r="A66" s="32"/>
      <c r="B66" s="82"/>
      <c r="C66" s="76"/>
      <c r="D66" s="76"/>
      <c r="E66" s="77"/>
      <c r="F66" s="84"/>
      <c r="G66" s="79"/>
      <c r="H66" s="80"/>
      <c r="I66" s="79">
        <f>IFERROR(__xludf.DUMMYFUNCTION("""COMPUTED_VALUE"""),0.0)</f>
        <v>0</v>
      </c>
      <c r="J66" s="85"/>
      <c r="K66" s="73"/>
      <c r="L66" s="43"/>
      <c r="M66" s="43"/>
      <c r="N66" s="44"/>
      <c r="O66" s="44"/>
      <c r="P66" s="44"/>
    </row>
    <row r="67" ht="15.0" customHeight="1">
      <c r="A67" s="32"/>
      <c r="B67" s="82"/>
      <c r="C67" s="76"/>
      <c r="D67" s="76"/>
      <c r="E67" s="77"/>
      <c r="F67" s="84"/>
      <c r="G67" s="79"/>
      <c r="H67" s="80"/>
      <c r="I67" s="79">
        <f>IFERROR(__xludf.DUMMYFUNCTION("""COMPUTED_VALUE"""),0.0)</f>
        <v>0</v>
      </c>
      <c r="J67" s="85"/>
      <c r="K67" s="73"/>
      <c r="L67" s="43"/>
      <c r="M67" s="43"/>
      <c r="N67" s="44"/>
      <c r="O67" s="44"/>
      <c r="P67" s="44"/>
    </row>
    <row r="68" ht="15.0" customHeight="1">
      <c r="A68" s="32"/>
      <c r="B68" s="82"/>
      <c r="C68" s="76"/>
      <c r="D68" s="76"/>
      <c r="E68" s="77"/>
      <c r="F68" s="84"/>
      <c r="G68" s="79"/>
      <c r="H68" s="80"/>
      <c r="I68" s="79">
        <f>IFERROR(__xludf.DUMMYFUNCTION("""COMPUTED_VALUE"""),0.0)</f>
        <v>0</v>
      </c>
      <c r="J68" s="85"/>
      <c r="K68" s="73"/>
      <c r="L68" s="43"/>
      <c r="M68" s="43"/>
      <c r="N68" s="44"/>
      <c r="O68" s="44"/>
      <c r="P68" s="44"/>
    </row>
    <row r="69" ht="15.0" customHeight="1">
      <c r="A69" s="32"/>
      <c r="B69" s="82"/>
      <c r="C69" s="76"/>
      <c r="D69" s="76"/>
      <c r="E69" s="77"/>
      <c r="F69" s="84"/>
      <c r="G69" s="79"/>
      <c r="H69" s="80"/>
      <c r="I69" s="79">
        <f>IFERROR(__xludf.DUMMYFUNCTION("""COMPUTED_VALUE"""),0.0)</f>
        <v>0</v>
      </c>
      <c r="J69" s="85"/>
      <c r="K69" s="73"/>
      <c r="L69" s="43"/>
      <c r="M69" s="43"/>
      <c r="N69" s="44"/>
      <c r="O69" s="44"/>
      <c r="P69" s="44"/>
    </row>
    <row r="70" ht="15.0" customHeight="1">
      <c r="A70" s="32"/>
      <c r="B70" s="82"/>
      <c r="C70" s="76"/>
      <c r="D70" s="76"/>
      <c r="E70" s="77"/>
      <c r="F70" s="84"/>
      <c r="G70" s="79"/>
      <c r="H70" s="80"/>
      <c r="I70" s="79">
        <f>IFERROR(__xludf.DUMMYFUNCTION("""COMPUTED_VALUE"""),0.0)</f>
        <v>0</v>
      </c>
      <c r="J70" s="85"/>
      <c r="K70" s="73"/>
      <c r="L70" s="43"/>
      <c r="M70" s="43"/>
      <c r="N70" s="44"/>
      <c r="O70" s="44"/>
      <c r="P70" s="44"/>
    </row>
    <row r="71" ht="15.0" customHeight="1">
      <c r="A71" s="32"/>
      <c r="B71" s="82"/>
      <c r="C71" s="76"/>
      <c r="D71" s="76"/>
      <c r="E71" s="77"/>
      <c r="F71" s="84"/>
      <c r="G71" s="79"/>
      <c r="H71" s="80"/>
      <c r="I71" s="79">
        <f>IFERROR(__xludf.DUMMYFUNCTION("""COMPUTED_VALUE"""),0.0)</f>
        <v>0</v>
      </c>
      <c r="J71" s="85"/>
      <c r="K71" s="73"/>
      <c r="L71" s="43"/>
      <c r="M71" s="43"/>
      <c r="N71" s="44"/>
      <c r="O71" s="44"/>
      <c r="P71" s="44"/>
    </row>
    <row r="72" ht="15.0" customHeight="1">
      <c r="A72" s="32"/>
      <c r="B72" s="82"/>
      <c r="C72" s="76"/>
      <c r="D72" s="76"/>
      <c r="E72" s="77"/>
      <c r="F72" s="84"/>
      <c r="G72" s="79"/>
      <c r="H72" s="80"/>
      <c r="I72" s="79">
        <f>IFERROR(__xludf.DUMMYFUNCTION("""COMPUTED_VALUE"""),0.0)</f>
        <v>0</v>
      </c>
      <c r="J72" s="85"/>
      <c r="K72" s="73"/>
      <c r="L72" s="43"/>
      <c r="M72" s="43"/>
      <c r="N72" s="44"/>
      <c r="O72" s="44"/>
      <c r="P72" s="44"/>
    </row>
    <row r="73" ht="15.0" customHeight="1">
      <c r="A73" s="32"/>
      <c r="B73" s="82"/>
      <c r="C73" s="76"/>
      <c r="D73" s="76"/>
      <c r="E73" s="77"/>
      <c r="F73" s="84"/>
      <c r="G73" s="79"/>
      <c r="H73" s="80"/>
      <c r="I73" s="79">
        <f>IFERROR(__xludf.DUMMYFUNCTION("""COMPUTED_VALUE"""),0.0)</f>
        <v>0</v>
      </c>
      <c r="J73" s="85"/>
      <c r="K73" s="73"/>
      <c r="L73" s="43"/>
      <c r="M73" s="43"/>
      <c r="N73" s="44"/>
      <c r="O73" s="44"/>
      <c r="P73" s="44"/>
    </row>
    <row r="74" ht="15.0" customHeight="1">
      <c r="A74" s="32"/>
      <c r="B74" s="82"/>
      <c r="C74" s="76"/>
      <c r="D74" s="76"/>
      <c r="E74" s="77"/>
      <c r="F74" s="84"/>
      <c r="G74" s="79"/>
      <c r="H74" s="80"/>
      <c r="I74" s="79">
        <f>IFERROR(__xludf.DUMMYFUNCTION("""COMPUTED_VALUE"""),0.0)</f>
        <v>0</v>
      </c>
      <c r="J74" s="85"/>
      <c r="K74" s="73"/>
      <c r="L74" s="43"/>
      <c r="M74" s="43"/>
      <c r="N74" s="44"/>
      <c r="O74" s="44"/>
      <c r="P74" s="44"/>
    </row>
    <row r="75" ht="15.0" customHeight="1">
      <c r="A75" s="32"/>
      <c r="B75" s="82"/>
      <c r="C75" s="76"/>
      <c r="D75" s="76"/>
      <c r="E75" s="77"/>
      <c r="F75" s="84"/>
      <c r="G75" s="79"/>
      <c r="H75" s="80"/>
      <c r="I75" s="79">
        <f>IFERROR(__xludf.DUMMYFUNCTION("""COMPUTED_VALUE"""),0.0)</f>
        <v>0</v>
      </c>
      <c r="J75" s="85"/>
      <c r="K75" s="73"/>
      <c r="L75" s="43"/>
      <c r="M75" s="43"/>
      <c r="N75" s="44"/>
      <c r="O75" s="44"/>
      <c r="P75" s="44"/>
    </row>
    <row r="76" ht="15.0" customHeight="1">
      <c r="A76" s="32"/>
      <c r="B76" s="82"/>
      <c r="C76" s="76"/>
      <c r="D76" s="76"/>
      <c r="E76" s="77"/>
      <c r="F76" s="84"/>
      <c r="G76" s="79"/>
      <c r="H76" s="80"/>
      <c r="I76" s="79">
        <f>IFERROR(__xludf.DUMMYFUNCTION("""COMPUTED_VALUE"""),0.0)</f>
        <v>0</v>
      </c>
      <c r="J76" s="85"/>
      <c r="K76" s="73"/>
      <c r="L76" s="43"/>
      <c r="M76" s="43"/>
      <c r="N76" s="44"/>
      <c r="O76" s="44"/>
      <c r="P76" s="44"/>
    </row>
    <row r="77" ht="15.0" customHeight="1">
      <c r="A77" s="32"/>
      <c r="B77" s="82"/>
      <c r="C77" s="76"/>
      <c r="D77" s="76"/>
      <c r="E77" s="77"/>
      <c r="F77" s="84"/>
      <c r="G77" s="79"/>
      <c r="H77" s="80"/>
      <c r="I77" s="79">
        <f>IFERROR(__xludf.DUMMYFUNCTION("""COMPUTED_VALUE"""),0.0)</f>
        <v>0</v>
      </c>
      <c r="J77" s="85"/>
      <c r="K77" s="73"/>
      <c r="L77" s="43"/>
      <c r="M77" s="43"/>
      <c r="N77" s="44"/>
      <c r="O77" s="44"/>
      <c r="P77" s="44"/>
    </row>
    <row r="78" ht="15.0" customHeight="1">
      <c r="A78" s="32"/>
      <c r="B78" s="82"/>
      <c r="C78" s="76"/>
      <c r="D78" s="76"/>
      <c r="E78" s="77"/>
      <c r="F78" s="84"/>
      <c r="G78" s="79"/>
      <c r="H78" s="80"/>
      <c r="I78" s="79">
        <f>IFERROR(__xludf.DUMMYFUNCTION("""COMPUTED_VALUE"""),0.0)</f>
        <v>0</v>
      </c>
      <c r="J78" s="85"/>
      <c r="K78" s="73"/>
      <c r="L78" s="43"/>
      <c r="M78" s="43"/>
      <c r="N78" s="44"/>
      <c r="O78" s="44"/>
      <c r="P78" s="44"/>
    </row>
    <row r="79" ht="15.0" customHeight="1">
      <c r="A79" s="32"/>
      <c r="B79" s="82"/>
      <c r="C79" s="76"/>
      <c r="D79" s="76"/>
      <c r="E79" s="77"/>
      <c r="F79" s="84"/>
      <c r="G79" s="79"/>
      <c r="H79" s="80"/>
      <c r="I79" s="79">
        <f>IFERROR(__xludf.DUMMYFUNCTION("""COMPUTED_VALUE"""),0.0)</f>
        <v>0</v>
      </c>
      <c r="J79" s="85"/>
      <c r="K79" s="73"/>
      <c r="L79" s="43"/>
      <c r="M79" s="43"/>
      <c r="N79" s="44"/>
      <c r="O79" s="44"/>
      <c r="P79" s="44"/>
    </row>
    <row r="80" ht="15.0" customHeight="1">
      <c r="A80" s="32"/>
      <c r="B80" s="82"/>
      <c r="C80" s="76"/>
      <c r="D80" s="76"/>
      <c r="E80" s="77"/>
      <c r="F80" s="84"/>
      <c r="G80" s="79"/>
      <c r="H80" s="80"/>
      <c r="I80" s="79">
        <f>IFERROR(__xludf.DUMMYFUNCTION("""COMPUTED_VALUE"""),0.0)</f>
        <v>0</v>
      </c>
      <c r="J80" s="85"/>
      <c r="K80" s="73"/>
      <c r="L80" s="43"/>
      <c r="M80" s="43"/>
      <c r="N80" s="44"/>
      <c r="O80" s="44"/>
      <c r="P80" s="44"/>
    </row>
    <row r="81" ht="15.0" customHeight="1">
      <c r="A81" s="32"/>
      <c r="B81" s="82"/>
      <c r="C81" s="76"/>
      <c r="D81" s="76"/>
      <c r="E81" s="77"/>
      <c r="F81" s="84"/>
      <c r="G81" s="79"/>
      <c r="H81" s="80"/>
      <c r="I81" s="79">
        <f>IFERROR(__xludf.DUMMYFUNCTION("""COMPUTED_VALUE"""),0.0)</f>
        <v>0</v>
      </c>
      <c r="J81" s="85"/>
      <c r="K81" s="73"/>
      <c r="L81" s="43"/>
      <c r="M81" s="43"/>
      <c r="N81" s="44"/>
      <c r="O81" s="44"/>
      <c r="P81" s="44"/>
    </row>
    <row r="82" ht="15.0" customHeight="1">
      <c r="A82" s="32"/>
      <c r="B82" s="82"/>
      <c r="C82" s="76"/>
      <c r="D82" s="76"/>
      <c r="E82" s="77"/>
      <c r="F82" s="84"/>
      <c r="G82" s="79"/>
      <c r="H82" s="80"/>
      <c r="I82" s="79">
        <f>IFERROR(__xludf.DUMMYFUNCTION("""COMPUTED_VALUE"""),0.0)</f>
        <v>0</v>
      </c>
      <c r="J82" s="85"/>
      <c r="K82" s="73"/>
      <c r="L82" s="43"/>
      <c r="M82" s="43"/>
      <c r="N82" s="44"/>
      <c r="O82" s="44"/>
      <c r="P82" s="44"/>
    </row>
    <row r="83" ht="15.0" customHeight="1">
      <c r="A83" s="32"/>
      <c r="B83" s="82"/>
      <c r="C83" s="76"/>
      <c r="D83" s="76"/>
      <c r="E83" s="77"/>
      <c r="F83" s="84"/>
      <c r="G83" s="79"/>
      <c r="H83" s="80"/>
      <c r="I83" s="79">
        <f>IFERROR(__xludf.DUMMYFUNCTION("""COMPUTED_VALUE"""),0.0)</f>
        <v>0</v>
      </c>
      <c r="J83" s="85"/>
      <c r="K83" s="73"/>
      <c r="L83" s="43"/>
      <c r="M83" s="43"/>
      <c r="N83" s="44"/>
      <c r="O83" s="44"/>
      <c r="P83" s="44"/>
    </row>
    <row r="84" ht="15.0" customHeight="1">
      <c r="A84" s="32"/>
      <c r="B84" s="82"/>
      <c r="C84" s="76"/>
      <c r="D84" s="76"/>
      <c r="E84" s="77"/>
      <c r="F84" s="84"/>
      <c r="G84" s="79"/>
      <c r="H84" s="80"/>
      <c r="I84" s="79">
        <f>IFERROR(__xludf.DUMMYFUNCTION("""COMPUTED_VALUE"""),0.0)</f>
        <v>0</v>
      </c>
      <c r="J84" s="85"/>
      <c r="K84" s="73"/>
      <c r="L84" s="43"/>
      <c r="M84" s="43"/>
      <c r="N84" s="44"/>
      <c r="O84" s="44"/>
      <c r="P84" s="44"/>
    </row>
    <row r="85" ht="15.0" customHeight="1">
      <c r="A85" s="32"/>
      <c r="B85" s="82"/>
      <c r="C85" s="76"/>
      <c r="D85" s="76"/>
      <c r="E85" s="77"/>
      <c r="F85" s="84"/>
      <c r="G85" s="79"/>
      <c r="H85" s="80"/>
      <c r="I85" s="79">
        <f>IFERROR(__xludf.DUMMYFUNCTION("""COMPUTED_VALUE"""),0.0)</f>
        <v>0</v>
      </c>
      <c r="J85" s="85"/>
      <c r="K85" s="73"/>
      <c r="L85" s="43"/>
      <c r="M85" s="43"/>
      <c r="N85" s="44"/>
      <c r="O85" s="44"/>
      <c r="P85" s="44"/>
    </row>
    <row r="86" ht="15.0" customHeight="1">
      <c r="A86" s="32"/>
      <c r="B86" s="82"/>
      <c r="C86" s="76"/>
      <c r="D86" s="76"/>
      <c r="E86" s="77"/>
      <c r="F86" s="84"/>
      <c r="G86" s="79"/>
      <c r="H86" s="80"/>
      <c r="I86" s="79">
        <f>IFERROR(__xludf.DUMMYFUNCTION("""COMPUTED_VALUE"""),0.0)</f>
        <v>0</v>
      </c>
      <c r="J86" s="85"/>
      <c r="K86" s="73"/>
      <c r="L86" s="43"/>
      <c r="M86" s="43"/>
      <c r="N86" s="44"/>
      <c r="O86" s="44"/>
      <c r="P86" s="44"/>
    </row>
    <row r="87" ht="15.0" customHeight="1">
      <c r="A87" s="32"/>
      <c r="B87" s="82"/>
      <c r="C87" s="76"/>
      <c r="D87" s="76"/>
      <c r="E87" s="77"/>
      <c r="F87" s="84"/>
      <c r="G87" s="79"/>
      <c r="H87" s="80"/>
      <c r="I87" s="79">
        <f>IFERROR(__xludf.DUMMYFUNCTION("""COMPUTED_VALUE"""),0.0)</f>
        <v>0</v>
      </c>
      <c r="J87" s="85"/>
      <c r="K87" s="73"/>
      <c r="L87" s="43"/>
      <c r="M87" s="43"/>
      <c r="N87" s="44"/>
      <c r="O87" s="44"/>
      <c r="P87" s="44"/>
    </row>
    <row r="88" ht="15.0" customHeight="1">
      <c r="A88" s="32"/>
      <c r="B88" s="82"/>
      <c r="C88" s="76"/>
      <c r="D88" s="76"/>
      <c r="E88" s="77"/>
      <c r="F88" s="84"/>
      <c r="G88" s="79"/>
      <c r="H88" s="80"/>
      <c r="I88" s="79">
        <f>IFERROR(__xludf.DUMMYFUNCTION("""COMPUTED_VALUE"""),0.0)</f>
        <v>0</v>
      </c>
      <c r="J88" s="85"/>
      <c r="K88" s="73"/>
      <c r="L88" s="43"/>
      <c r="M88" s="43"/>
      <c r="N88" s="44"/>
      <c r="O88" s="44"/>
      <c r="P88" s="44"/>
    </row>
    <row r="89" ht="15.0" customHeight="1">
      <c r="A89" s="32"/>
      <c r="B89" s="82"/>
      <c r="C89" s="76"/>
      <c r="D89" s="76"/>
      <c r="E89" s="77"/>
      <c r="F89" s="84"/>
      <c r="G89" s="79"/>
      <c r="H89" s="80"/>
      <c r="I89" s="79">
        <f>IFERROR(__xludf.DUMMYFUNCTION("""COMPUTED_VALUE"""),0.0)</f>
        <v>0</v>
      </c>
      <c r="J89" s="85"/>
      <c r="K89" s="73"/>
      <c r="L89" s="43"/>
      <c r="M89" s="43"/>
      <c r="N89" s="44"/>
      <c r="O89" s="44"/>
      <c r="P89" s="44"/>
    </row>
    <row r="90" ht="15.0" customHeight="1">
      <c r="A90" s="32"/>
      <c r="B90" s="82"/>
      <c r="C90" s="76"/>
      <c r="D90" s="76"/>
      <c r="E90" s="77"/>
      <c r="F90" s="84"/>
      <c r="G90" s="79"/>
      <c r="H90" s="80"/>
      <c r="I90" s="79">
        <f>IFERROR(__xludf.DUMMYFUNCTION("""COMPUTED_VALUE"""),0.0)</f>
        <v>0</v>
      </c>
      <c r="J90" s="85"/>
      <c r="K90" s="73"/>
      <c r="L90" s="43"/>
      <c r="M90" s="43"/>
      <c r="N90" s="44"/>
      <c r="O90" s="44"/>
      <c r="P90" s="44"/>
    </row>
    <row r="91" ht="15.0" customHeight="1">
      <c r="A91" s="32"/>
      <c r="B91" s="82"/>
      <c r="C91" s="76"/>
      <c r="D91" s="76"/>
      <c r="E91" s="77"/>
      <c r="F91" s="84"/>
      <c r="G91" s="79"/>
      <c r="H91" s="80"/>
      <c r="I91" s="79">
        <f>IFERROR(__xludf.DUMMYFUNCTION("""COMPUTED_VALUE"""),0.0)</f>
        <v>0</v>
      </c>
      <c r="J91" s="85"/>
      <c r="K91" s="73"/>
      <c r="L91" s="43"/>
      <c r="M91" s="43"/>
      <c r="N91" s="44"/>
      <c r="O91" s="44"/>
      <c r="P91" s="44"/>
    </row>
    <row r="92" ht="15.0" customHeight="1">
      <c r="A92" s="32"/>
      <c r="B92" s="82"/>
      <c r="C92" s="76"/>
      <c r="D92" s="76"/>
      <c r="E92" s="77"/>
      <c r="F92" s="84"/>
      <c r="G92" s="79"/>
      <c r="H92" s="80"/>
      <c r="I92" s="79">
        <f>IFERROR(__xludf.DUMMYFUNCTION("""COMPUTED_VALUE"""),0.0)</f>
        <v>0</v>
      </c>
      <c r="J92" s="85"/>
      <c r="K92" s="73"/>
      <c r="L92" s="43"/>
      <c r="M92" s="43"/>
      <c r="N92" s="44"/>
      <c r="O92" s="44"/>
      <c r="P92" s="44"/>
    </row>
    <row r="93" ht="15.0" customHeight="1">
      <c r="A93" s="32"/>
      <c r="B93" s="82"/>
      <c r="C93" s="76"/>
      <c r="D93" s="76"/>
      <c r="E93" s="77"/>
      <c r="F93" s="84"/>
      <c r="G93" s="79"/>
      <c r="H93" s="80"/>
      <c r="I93" s="79">
        <f>IFERROR(__xludf.DUMMYFUNCTION("""COMPUTED_VALUE"""),0.0)</f>
        <v>0</v>
      </c>
      <c r="J93" s="85"/>
      <c r="K93" s="73"/>
      <c r="L93" s="43"/>
      <c r="M93" s="43"/>
      <c r="N93" s="44"/>
      <c r="O93" s="44"/>
      <c r="P93" s="44"/>
    </row>
    <row r="94" ht="15.0" customHeight="1">
      <c r="A94" s="32"/>
      <c r="B94" s="82"/>
      <c r="C94" s="76"/>
      <c r="D94" s="76"/>
      <c r="E94" s="77"/>
      <c r="F94" s="84"/>
      <c r="G94" s="79"/>
      <c r="H94" s="80"/>
      <c r="I94" s="79">
        <f>IFERROR(__xludf.DUMMYFUNCTION("""COMPUTED_VALUE"""),0.0)</f>
        <v>0</v>
      </c>
      <c r="J94" s="85"/>
      <c r="K94" s="73"/>
      <c r="L94" s="43"/>
      <c r="M94" s="43"/>
      <c r="N94" s="44"/>
      <c r="O94" s="44"/>
      <c r="P94" s="44"/>
    </row>
    <row r="95" ht="15.0" customHeight="1">
      <c r="A95" s="32"/>
      <c r="B95" s="82"/>
      <c r="C95" s="76"/>
      <c r="D95" s="76"/>
      <c r="E95" s="77"/>
      <c r="F95" s="84"/>
      <c r="G95" s="79"/>
      <c r="H95" s="80"/>
      <c r="I95" s="79">
        <f>IFERROR(__xludf.DUMMYFUNCTION("""COMPUTED_VALUE"""),0.0)</f>
        <v>0</v>
      </c>
      <c r="J95" s="85"/>
      <c r="K95" s="73"/>
      <c r="L95" s="43"/>
      <c r="M95" s="43"/>
      <c r="N95" s="44"/>
      <c r="O95" s="44"/>
      <c r="P95" s="44"/>
    </row>
    <row r="96" ht="15.0" customHeight="1">
      <c r="A96" s="32"/>
      <c r="B96" s="82"/>
      <c r="C96" s="76"/>
      <c r="D96" s="76"/>
      <c r="E96" s="77"/>
      <c r="F96" s="84"/>
      <c r="G96" s="79"/>
      <c r="H96" s="80"/>
      <c r="I96" s="79">
        <f>IFERROR(__xludf.DUMMYFUNCTION("""COMPUTED_VALUE"""),0.0)</f>
        <v>0</v>
      </c>
      <c r="J96" s="85"/>
      <c r="K96" s="73"/>
      <c r="L96" s="43"/>
      <c r="M96" s="43"/>
      <c r="N96" s="44"/>
      <c r="O96" s="44"/>
      <c r="P96" s="44"/>
    </row>
    <row r="97" ht="15.0" customHeight="1">
      <c r="A97" s="32"/>
      <c r="B97" s="82"/>
      <c r="C97" s="76"/>
      <c r="D97" s="76"/>
      <c r="E97" s="77"/>
      <c r="F97" s="84"/>
      <c r="G97" s="79"/>
      <c r="H97" s="80"/>
      <c r="I97" s="79">
        <f>IFERROR(__xludf.DUMMYFUNCTION("""COMPUTED_VALUE"""),0.0)</f>
        <v>0</v>
      </c>
      <c r="J97" s="85"/>
      <c r="K97" s="73"/>
      <c r="L97" s="43"/>
      <c r="M97" s="43"/>
      <c r="N97" s="44"/>
      <c r="O97" s="44"/>
      <c r="P97" s="44"/>
    </row>
    <row r="98" ht="15.0" customHeight="1">
      <c r="A98" s="32"/>
      <c r="B98" s="82"/>
      <c r="C98" s="76"/>
      <c r="D98" s="76"/>
      <c r="E98" s="77"/>
      <c r="F98" s="84"/>
      <c r="G98" s="79"/>
      <c r="H98" s="80"/>
      <c r="I98" s="79">
        <f>IFERROR(__xludf.DUMMYFUNCTION("""COMPUTED_VALUE"""),0.0)</f>
        <v>0</v>
      </c>
      <c r="J98" s="85"/>
      <c r="K98" s="73"/>
      <c r="L98" s="43"/>
      <c r="M98" s="43"/>
      <c r="N98" s="44"/>
      <c r="O98" s="44"/>
      <c r="P98" s="44"/>
    </row>
    <row r="99" ht="15.0" customHeight="1">
      <c r="A99" s="32"/>
      <c r="B99" s="82"/>
      <c r="C99" s="76"/>
      <c r="D99" s="76"/>
      <c r="E99" s="77"/>
      <c r="F99" s="84"/>
      <c r="G99" s="79"/>
      <c r="H99" s="80"/>
      <c r="I99" s="79">
        <f>IFERROR(__xludf.DUMMYFUNCTION("""COMPUTED_VALUE"""),0.0)</f>
        <v>0</v>
      </c>
      <c r="J99" s="85"/>
      <c r="K99" s="73"/>
      <c r="L99" s="43"/>
      <c r="M99" s="43"/>
      <c r="N99" s="44"/>
      <c r="O99" s="44"/>
      <c r="P99" s="44"/>
    </row>
    <row r="100" ht="15.0" customHeight="1">
      <c r="A100" s="32"/>
      <c r="B100" s="82"/>
      <c r="C100" s="76"/>
      <c r="D100" s="76"/>
      <c r="E100" s="77"/>
      <c r="F100" s="84"/>
      <c r="G100" s="79"/>
      <c r="H100" s="80"/>
      <c r="I100" s="79">
        <f>IFERROR(__xludf.DUMMYFUNCTION("""COMPUTED_VALUE"""),0.0)</f>
        <v>0</v>
      </c>
      <c r="J100" s="85"/>
      <c r="K100" s="73"/>
      <c r="L100" s="43"/>
      <c r="M100" s="43"/>
      <c r="N100" s="44"/>
      <c r="O100" s="44"/>
      <c r="P100" s="44"/>
    </row>
    <row r="101" ht="15.0" customHeight="1">
      <c r="A101" s="32"/>
      <c r="B101" s="82"/>
      <c r="C101" s="76"/>
      <c r="D101" s="76"/>
      <c r="E101" s="77"/>
      <c r="F101" s="84"/>
      <c r="G101" s="79"/>
      <c r="H101" s="80"/>
      <c r="I101" s="79">
        <f>IFERROR(__xludf.DUMMYFUNCTION("""COMPUTED_VALUE"""),0.0)</f>
        <v>0</v>
      </c>
      <c r="J101" s="85"/>
      <c r="K101" s="73"/>
      <c r="L101" s="43"/>
      <c r="M101" s="43"/>
      <c r="N101" s="44"/>
      <c r="O101" s="44"/>
      <c r="P101" s="44"/>
    </row>
    <row r="102" ht="15.0" customHeight="1">
      <c r="A102" s="32"/>
      <c r="B102" s="82"/>
      <c r="C102" s="76"/>
      <c r="D102" s="76"/>
      <c r="E102" s="77"/>
      <c r="F102" s="84"/>
      <c r="G102" s="79"/>
      <c r="H102" s="80"/>
      <c r="I102" s="79">
        <f>IFERROR(__xludf.DUMMYFUNCTION("""COMPUTED_VALUE"""),0.0)</f>
        <v>0</v>
      </c>
      <c r="J102" s="85"/>
      <c r="K102" s="73"/>
      <c r="L102" s="43"/>
      <c r="M102" s="43"/>
      <c r="N102" s="44"/>
      <c r="O102" s="44"/>
      <c r="P102" s="44"/>
    </row>
    <row r="103" ht="15.0" customHeight="1">
      <c r="A103" s="32"/>
      <c r="B103" s="82"/>
      <c r="C103" s="76"/>
      <c r="D103" s="76"/>
      <c r="E103" s="77"/>
      <c r="F103" s="84"/>
      <c r="G103" s="79"/>
      <c r="H103" s="80"/>
      <c r="I103" s="79">
        <f>IFERROR(__xludf.DUMMYFUNCTION("""COMPUTED_VALUE"""),0.0)</f>
        <v>0</v>
      </c>
      <c r="J103" s="85"/>
      <c r="K103" s="73"/>
      <c r="L103" s="43"/>
      <c r="M103" s="43"/>
      <c r="N103" s="44"/>
      <c r="O103" s="44"/>
      <c r="P103" s="44"/>
    </row>
    <row r="104" ht="15.0" customHeight="1">
      <c r="A104" s="32"/>
      <c r="B104" s="82"/>
      <c r="C104" s="76"/>
      <c r="D104" s="76"/>
      <c r="E104" s="77"/>
      <c r="F104" s="84"/>
      <c r="G104" s="79"/>
      <c r="H104" s="80"/>
      <c r="I104" s="79">
        <f>IFERROR(__xludf.DUMMYFUNCTION("""COMPUTED_VALUE"""),0.0)</f>
        <v>0</v>
      </c>
      <c r="J104" s="85"/>
      <c r="K104" s="73"/>
      <c r="L104" s="43"/>
      <c r="M104" s="43"/>
      <c r="N104" s="44"/>
      <c r="O104" s="44"/>
      <c r="P104" s="44"/>
    </row>
    <row r="105" ht="15.0" customHeight="1">
      <c r="A105" s="32"/>
      <c r="B105" s="82"/>
      <c r="C105" s="76"/>
      <c r="D105" s="76"/>
      <c r="E105" s="77"/>
      <c r="F105" s="84"/>
      <c r="G105" s="79"/>
      <c r="H105" s="80"/>
      <c r="I105" s="79">
        <f>IFERROR(__xludf.DUMMYFUNCTION("""COMPUTED_VALUE"""),0.0)</f>
        <v>0</v>
      </c>
      <c r="J105" s="85"/>
      <c r="K105" s="73"/>
      <c r="L105" s="43"/>
      <c r="M105" s="43"/>
      <c r="N105" s="44"/>
      <c r="O105" s="44"/>
      <c r="P105" s="44"/>
    </row>
    <row r="106" ht="15.0" customHeight="1">
      <c r="A106" s="32"/>
      <c r="B106" s="82"/>
      <c r="C106" s="76"/>
      <c r="D106" s="76"/>
      <c r="E106" s="77"/>
      <c r="F106" s="84"/>
      <c r="G106" s="79"/>
      <c r="H106" s="80"/>
      <c r="I106" s="79">
        <f>IFERROR(__xludf.DUMMYFUNCTION("""COMPUTED_VALUE"""),0.0)</f>
        <v>0</v>
      </c>
      <c r="J106" s="85"/>
      <c r="K106" s="73"/>
      <c r="L106" s="43"/>
      <c r="M106" s="43"/>
      <c r="N106" s="44"/>
      <c r="O106" s="44"/>
      <c r="P106" s="44"/>
    </row>
    <row r="107" ht="15.0" customHeight="1">
      <c r="A107" s="32"/>
      <c r="B107" s="82"/>
      <c r="C107" s="76"/>
      <c r="D107" s="76"/>
      <c r="E107" s="77"/>
      <c r="F107" s="84"/>
      <c r="G107" s="79"/>
      <c r="H107" s="80"/>
      <c r="I107" s="79">
        <f>IFERROR(__xludf.DUMMYFUNCTION("""COMPUTED_VALUE"""),0.0)</f>
        <v>0</v>
      </c>
      <c r="J107" s="85"/>
      <c r="K107" s="73"/>
      <c r="L107" s="43"/>
      <c r="M107" s="43"/>
      <c r="N107" s="44"/>
      <c r="O107" s="44"/>
      <c r="P107" s="44"/>
    </row>
    <row r="108" ht="15.0" customHeight="1">
      <c r="A108" s="32"/>
      <c r="B108" s="82"/>
      <c r="C108" s="76"/>
      <c r="D108" s="76"/>
      <c r="E108" s="77"/>
      <c r="F108" s="84"/>
      <c r="G108" s="79"/>
      <c r="H108" s="80"/>
      <c r="I108" s="79">
        <f>IFERROR(__xludf.DUMMYFUNCTION("""COMPUTED_VALUE"""),0.0)</f>
        <v>0</v>
      </c>
      <c r="J108" s="85"/>
      <c r="K108" s="73"/>
      <c r="L108" s="43"/>
      <c r="M108" s="43"/>
      <c r="N108" s="44"/>
      <c r="O108" s="44"/>
      <c r="P108" s="44"/>
    </row>
    <row r="109" ht="15.0" customHeight="1">
      <c r="A109" s="32"/>
      <c r="B109" s="82"/>
      <c r="C109" s="76"/>
      <c r="D109" s="76"/>
      <c r="E109" s="77"/>
      <c r="F109" s="84"/>
      <c r="G109" s="79"/>
      <c r="H109" s="80"/>
      <c r="I109" s="79">
        <f>IFERROR(__xludf.DUMMYFUNCTION("""COMPUTED_VALUE"""),0.0)</f>
        <v>0</v>
      </c>
      <c r="J109" s="85"/>
      <c r="K109" s="73"/>
      <c r="L109" s="43"/>
      <c r="M109" s="43"/>
      <c r="N109" s="44"/>
      <c r="O109" s="44"/>
      <c r="P109" s="44"/>
    </row>
    <row r="110" ht="15.0" customHeight="1">
      <c r="A110" s="32"/>
      <c r="B110" s="82"/>
      <c r="C110" s="76"/>
      <c r="D110" s="76"/>
      <c r="E110" s="77"/>
      <c r="F110" s="84"/>
      <c r="G110" s="79"/>
      <c r="H110" s="80"/>
      <c r="I110" s="79">
        <f>IFERROR(__xludf.DUMMYFUNCTION("""COMPUTED_VALUE"""),0.0)</f>
        <v>0</v>
      </c>
      <c r="J110" s="85"/>
      <c r="K110" s="73"/>
      <c r="L110" s="43"/>
      <c r="M110" s="43"/>
      <c r="N110" s="44"/>
      <c r="O110" s="44"/>
      <c r="P110" s="44"/>
    </row>
    <row r="111" ht="15.0" customHeight="1">
      <c r="A111" s="32"/>
      <c r="B111" s="82"/>
      <c r="C111" s="76"/>
      <c r="D111" s="76"/>
      <c r="E111" s="77"/>
      <c r="F111" s="84"/>
      <c r="G111" s="79"/>
      <c r="H111" s="80"/>
      <c r="I111" s="79">
        <f>IFERROR(__xludf.DUMMYFUNCTION("""COMPUTED_VALUE"""),0.0)</f>
        <v>0</v>
      </c>
      <c r="J111" s="85"/>
      <c r="K111" s="73"/>
      <c r="L111" s="43"/>
      <c r="M111" s="43"/>
      <c r="N111" s="44"/>
      <c r="O111" s="44"/>
      <c r="P111" s="44"/>
    </row>
    <row r="112" ht="15.0" customHeight="1">
      <c r="A112" s="32"/>
      <c r="B112" s="82"/>
      <c r="C112" s="76"/>
      <c r="D112" s="76"/>
      <c r="E112" s="77"/>
      <c r="F112" s="84"/>
      <c r="G112" s="79"/>
      <c r="H112" s="80"/>
      <c r="I112" s="79">
        <f>IFERROR(__xludf.DUMMYFUNCTION("""COMPUTED_VALUE"""),0.0)</f>
        <v>0</v>
      </c>
      <c r="J112" s="85"/>
      <c r="K112" s="73"/>
      <c r="L112" s="43"/>
      <c r="M112" s="43"/>
      <c r="N112" s="44"/>
      <c r="O112" s="44"/>
      <c r="P112" s="44"/>
    </row>
    <row r="113" ht="15.0" customHeight="1">
      <c r="A113" s="32"/>
      <c r="B113" s="82"/>
      <c r="C113" s="76"/>
      <c r="D113" s="76"/>
      <c r="E113" s="77"/>
      <c r="F113" s="84"/>
      <c r="G113" s="79"/>
      <c r="H113" s="80"/>
      <c r="I113" s="79">
        <f>IFERROR(__xludf.DUMMYFUNCTION("""COMPUTED_VALUE"""),0.0)</f>
        <v>0</v>
      </c>
      <c r="J113" s="85"/>
      <c r="K113" s="73"/>
      <c r="L113" s="43"/>
      <c r="M113" s="43"/>
      <c r="N113" s="44"/>
      <c r="O113" s="44"/>
      <c r="P113" s="44"/>
    </row>
    <row r="114" ht="15.0" customHeight="1">
      <c r="A114" s="32"/>
      <c r="B114" s="82"/>
      <c r="C114" s="76"/>
      <c r="D114" s="76"/>
      <c r="E114" s="77"/>
      <c r="F114" s="84"/>
      <c r="G114" s="79"/>
      <c r="H114" s="80"/>
      <c r="I114" s="79">
        <f>IFERROR(__xludf.DUMMYFUNCTION("""COMPUTED_VALUE"""),0.0)</f>
        <v>0</v>
      </c>
      <c r="J114" s="85"/>
      <c r="K114" s="73"/>
      <c r="L114" s="43"/>
      <c r="M114" s="43"/>
      <c r="N114" s="44"/>
      <c r="O114" s="44"/>
      <c r="P114" s="44"/>
    </row>
    <row r="115" ht="15.0" customHeight="1">
      <c r="A115" s="32"/>
      <c r="B115" s="82"/>
      <c r="C115" s="76"/>
      <c r="D115" s="76"/>
      <c r="E115" s="77"/>
      <c r="F115" s="84"/>
      <c r="G115" s="79"/>
      <c r="H115" s="80"/>
      <c r="I115" s="79">
        <f>IFERROR(__xludf.DUMMYFUNCTION("""COMPUTED_VALUE"""),0.0)</f>
        <v>0</v>
      </c>
      <c r="J115" s="85"/>
      <c r="K115" s="73"/>
      <c r="L115" s="43"/>
      <c r="M115" s="43"/>
      <c r="N115" s="44"/>
      <c r="O115" s="44"/>
      <c r="P115" s="44"/>
    </row>
    <row r="116" ht="15.0" customHeight="1">
      <c r="A116" s="32"/>
      <c r="B116" s="82"/>
      <c r="C116" s="76"/>
      <c r="D116" s="76"/>
      <c r="E116" s="77"/>
      <c r="F116" s="84"/>
      <c r="G116" s="79"/>
      <c r="H116" s="80"/>
      <c r="I116" s="79">
        <f>IFERROR(__xludf.DUMMYFUNCTION("""COMPUTED_VALUE"""),0.0)</f>
        <v>0</v>
      </c>
      <c r="J116" s="85"/>
      <c r="K116" s="73"/>
      <c r="L116" s="43"/>
      <c r="M116" s="43"/>
      <c r="N116" s="44"/>
      <c r="O116" s="44"/>
      <c r="P116" s="44"/>
    </row>
    <row r="117" ht="15.0" customHeight="1">
      <c r="A117" s="32"/>
      <c r="B117" s="82"/>
      <c r="C117" s="76"/>
      <c r="D117" s="76"/>
      <c r="E117" s="77"/>
      <c r="F117" s="84"/>
      <c r="G117" s="79"/>
      <c r="H117" s="80"/>
      <c r="I117" s="79">
        <f>IFERROR(__xludf.DUMMYFUNCTION("""COMPUTED_VALUE"""),0.0)</f>
        <v>0</v>
      </c>
      <c r="J117" s="85"/>
      <c r="K117" s="73"/>
      <c r="L117" s="43"/>
      <c r="M117" s="43"/>
      <c r="N117" s="44"/>
      <c r="O117" s="44"/>
      <c r="P117" s="44"/>
    </row>
    <row r="118" ht="15.0" customHeight="1">
      <c r="A118" s="32"/>
      <c r="B118" s="82"/>
      <c r="C118" s="76"/>
      <c r="D118" s="76"/>
      <c r="E118" s="77"/>
      <c r="F118" s="84"/>
      <c r="G118" s="79"/>
      <c r="H118" s="80"/>
      <c r="I118" s="79">
        <f>IFERROR(__xludf.DUMMYFUNCTION("""COMPUTED_VALUE"""),0.0)</f>
        <v>0</v>
      </c>
      <c r="J118" s="85"/>
      <c r="K118" s="73"/>
      <c r="L118" s="43"/>
      <c r="M118" s="43"/>
      <c r="N118" s="44"/>
      <c r="O118" s="44"/>
      <c r="P118" s="44"/>
    </row>
    <row r="119" ht="15.0" customHeight="1">
      <c r="A119" s="32"/>
      <c r="B119" s="82"/>
      <c r="C119" s="76"/>
      <c r="D119" s="76"/>
      <c r="E119" s="77"/>
      <c r="F119" s="84"/>
      <c r="G119" s="79"/>
      <c r="H119" s="80"/>
      <c r="I119" s="79">
        <f>IFERROR(__xludf.DUMMYFUNCTION("""COMPUTED_VALUE"""),0.0)</f>
        <v>0</v>
      </c>
      <c r="J119" s="85"/>
      <c r="K119" s="73"/>
      <c r="L119" s="43"/>
      <c r="M119" s="43"/>
      <c r="N119" s="44"/>
      <c r="O119" s="44"/>
      <c r="P119" s="44"/>
    </row>
    <row r="120" ht="15.0" customHeight="1">
      <c r="A120" s="32"/>
      <c r="B120" s="82"/>
      <c r="C120" s="76"/>
      <c r="D120" s="76"/>
      <c r="E120" s="77"/>
      <c r="F120" s="84"/>
      <c r="G120" s="79"/>
      <c r="H120" s="80"/>
      <c r="I120" s="79">
        <f>IFERROR(__xludf.DUMMYFUNCTION("""COMPUTED_VALUE"""),0.0)</f>
        <v>0</v>
      </c>
      <c r="J120" s="85"/>
      <c r="K120" s="73"/>
      <c r="L120" s="43"/>
      <c r="M120" s="43"/>
      <c r="N120" s="44"/>
      <c r="O120" s="44"/>
      <c r="P120" s="44"/>
    </row>
    <row r="121" ht="15.0" customHeight="1">
      <c r="A121" s="32"/>
      <c r="B121" s="82"/>
      <c r="C121" s="76"/>
      <c r="D121" s="76"/>
      <c r="E121" s="77"/>
      <c r="F121" s="84"/>
      <c r="G121" s="79"/>
      <c r="H121" s="80"/>
      <c r="I121" s="79">
        <f>IFERROR(__xludf.DUMMYFUNCTION("""COMPUTED_VALUE"""),0.0)</f>
        <v>0</v>
      </c>
      <c r="J121" s="85"/>
      <c r="K121" s="73"/>
      <c r="L121" s="43"/>
      <c r="M121" s="43"/>
      <c r="N121" s="44"/>
      <c r="O121" s="44"/>
      <c r="P121" s="44"/>
    </row>
    <row r="122" ht="15.0" customHeight="1">
      <c r="A122" s="32"/>
      <c r="B122" s="82"/>
      <c r="C122" s="76"/>
      <c r="D122" s="76"/>
      <c r="E122" s="77"/>
      <c r="F122" s="84"/>
      <c r="G122" s="79"/>
      <c r="H122" s="80"/>
      <c r="I122" s="79">
        <f>IFERROR(__xludf.DUMMYFUNCTION("""COMPUTED_VALUE"""),0.0)</f>
        <v>0</v>
      </c>
      <c r="J122" s="85"/>
      <c r="K122" s="73"/>
      <c r="L122" s="43"/>
      <c r="M122" s="43"/>
      <c r="N122" s="44"/>
      <c r="O122" s="44"/>
      <c r="P122" s="44"/>
    </row>
    <row r="123" ht="15.0" customHeight="1">
      <c r="A123" s="32"/>
      <c r="B123" s="82"/>
      <c r="C123" s="76"/>
      <c r="D123" s="76"/>
      <c r="E123" s="77"/>
      <c r="F123" s="84"/>
      <c r="G123" s="79"/>
      <c r="H123" s="80"/>
      <c r="I123" s="79">
        <f>IFERROR(__xludf.DUMMYFUNCTION("""COMPUTED_VALUE"""),0.0)</f>
        <v>0</v>
      </c>
      <c r="J123" s="85"/>
      <c r="K123" s="73"/>
      <c r="L123" s="43"/>
      <c r="M123" s="43"/>
      <c r="N123" s="44"/>
      <c r="O123" s="44"/>
      <c r="P123" s="44"/>
    </row>
    <row r="124" ht="15.0" customHeight="1">
      <c r="A124" s="32"/>
      <c r="B124" s="82"/>
      <c r="C124" s="76"/>
      <c r="D124" s="76"/>
      <c r="E124" s="77"/>
      <c r="F124" s="84"/>
      <c r="G124" s="79"/>
      <c r="H124" s="80"/>
      <c r="I124" s="79">
        <f>IFERROR(__xludf.DUMMYFUNCTION("""COMPUTED_VALUE"""),0.0)</f>
        <v>0</v>
      </c>
      <c r="J124" s="85"/>
      <c r="K124" s="73"/>
      <c r="L124" s="43"/>
      <c r="M124" s="43"/>
      <c r="N124" s="44"/>
      <c r="O124" s="44"/>
      <c r="P124" s="44"/>
    </row>
    <row r="125" ht="15.0" customHeight="1">
      <c r="A125" s="32"/>
      <c r="B125" s="82"/>
      <c r="C125" s="76"/>
      <c r="D125" s="76"/>
      <c r="E125" s="77"/>
      <c r="F125" s="84"/>
      <c r="G125" s="79"/>
      <c r="H125" s="80"/>
      <c r="I125" s="79">
        <f>IFERROR(__xludf.DUMMYFUNCTION("""COMPUTED_VALUE"""),0.0)</f>
        <v>0</v>
      </c>
      <c r="J125" s="85"/>
      <c r="K125" s="73"/>
      <c r="L125" s="43"/>
      <c r="M125" s="43"/>
      <c r="N125" s="44"/>
      <c r="O125" s="44"/>
      <c r="P125" s="44"/>
    </row>
    <row r="126" ht="15.0" customHeight="1">
      <c r="A126" s="32"/>
      <c r="B126" s="82"/>
      <c r="C126" s="76"/>
      <c r="D126" s="76"/>
      <c r="E126" s="77"/>
      <c r="F126" s="84"/>
      <c r="G126" s="79"/>
      <c r="H126" s="80"/>
      <c r="I126" s="79">
        <f>IFERROR(__xludf.DUMMYFUNCTION("""COMPUTED_VALUE"""),0.0)</f>
        <v>0</v>
      </c>
      <c r="J126" s="85"/>
      <c r="K126" s="73"/>
      <c r="L126" s="43"/>
      <c r="M126" s="43"/>
      <c r="N126" s="44"/>
      <c r="O126" s="44"/>
      <c r="P126" s="44"/>
    </row>
    <row r="127" ht="15.0" customHeight="1">
      <c r="A127" s="32"/>
      <c r="B127" s="82"/>
      <c r="C127" s="76"/>
      <c r="D127" s="76"/>
      <c r="E127" s="77"/>
      <c r="F127" s="84"/>
      <c r="G127" s="79"/>
      <c r="H127" s="80"/>
      <c r="I127" s="79">
        <f>IFERROR(__xludf.DUMMYFUNCTION("""COMPUTED_VALUE"""),0.0)</f>
        <v>0</v>
      </c>
      <c r="J127" s="85"/>
      <c r="K127" s="73"/>
      <c r="L127" s="43"/>
      <c r="M127" s="43"/>
      <c r="N127" s="44"/>
      <c r="O127" s="44"/>
      <c r="P127" s="44"/>
    </row>
    <row r="128" ht="15.0" customHeight="1">
      <c r="A128" s="32"/>
      <c r="B128" s="82"/>
      <c r="C128" s="76"/>
      <c r="D128" s="76"/>
      <c r="E128" s="77"/>
      <c r="F128" s="84"/>
      <c r="G128" s="79"/>
      <c r="H128" s="80"/>
      <c r="I128" s="79">
        <f>IFERROR(__xludf.DUMMYFUNCTION("""COMPUTED_VALUE"""),0.0)</f>
        <v>0</v>
      </c>
      <c r="J128" s="85"/>
      <c r="K128" s="73"/>
      <c r="L128" s="43"/>
      <c r="M128" s="43"/>
      <c r="N128" s="44"/>
      <c r="O128" s="44"/>
      <c r="P128" s="44"/>
    </row>
    <row r="129" ht="15.0" customHeight="1">
      <c r="A129" s="32"/>
      <c r="B129" s="82"/>
      <c r="C129" s="76"/>
      <c r="D129" s="76"/>
      <c r="E129" s="77"/>
      <c r="F129" s="84"/>
      <c r="G129" s="79"/>
      <c r="H129" s="80"/>
      <c r="I129" s="79">
        <f>IFERROR(__xludf.DUMMYFUNCTION("""COMPUTED_VALUE"""),0.0)</f>
        <v>0</v>
      </c>
      <c r="J129" s="85"/>
      <c r="K129" s="73"/>
      <c r="L129" s="43"/>
      <c r="M129" s="43"/>
      <c r="N129" s="44"/>
      <c r="O129" s="44"/>
      <c r="P129" s="44"/>
    </row>
    <row r="130" ht="15.0" customHeight="1">
      <c r="A130" s="32"/>
      <c r="B130" s="82"/>
      <c r="C130" s="76"/>
      <c r="D130" s="76"/>
      <c r="E130" s="77"/>
      <c r="F130" s="84"/>
      <c r="G130" s="79"/>
      <c r="H130" s="80"/>
      <c r="I130" s="79">
        <f>IFERROR(__xludf.DUMMYFUNCTION("""COMPUTED_VALUE"""),0.0)</f>
        <v>0</v>
      </c>
      <c r="J130" s="85"/>
      <c r="K130" s="73"/>
      <c r="L130" s="43"/>
      <c r="M130" s="43"/>
      <c r="N130" s="44"/>
      <c r="O130" s="44"/>
      <c r="P130" s="44"/>
    </row>
    <row r="131" ht="15.0" customHeight="1">
      <c r="A131" s="32"/>
      <c r="B131" s="82"/>
      <c r="C131" s="76"/>
      <c r="D131" s="76"/>
      <c r="E131" s="77"/>
      <c r="F131" s="84"/>
      <c r="G131" s="79"/>
      <c r="H131" s="80"/>
      <c r="I131" s="79">
        <f>IFERROR(__xludf.DUMMYFUNCTION("""COMPUTED_VALUE"""),0.0)</f>
        <v>0</v>
      </c>
      <c r="J131" s="85"/>
      <c r="K131" s="73"/>
      <c r="L131" s="43"/>
      <c r="M131" s="43"/>
      <c r="N131" s="44"/>
      <c r="O131" s="44"/>
      <c r="P131" s="44"/>
    </row>
    <row r="132" ht="15.0" customHeight="1">
      <c r="A132" s="32"/>
      <c r="B132" s="82"/>
      <c r="C132" s="76"/>
      <c r="D132" s="76"/>
      <c r="E132" s="77"/>
      <c r="F132" s="84"/>
      <c r="G132" s="79"/>
      <c r="H132" s="80"/>
      <c r="I132" s="79">
        <f>IFERROR(__xludf.DUMMYFUNCTION("""COMPUTED_VALUE"""),0.0)</f>
        <v>0</v>
      </c>
      <c r="J132" s="85"/>
      <c r="K132" s="73"/>
      <c r="L132" s="43"/>
      <c r="M132" s="43"/>
      <c r="N132" s="44"/>
      <c r="O132" s="44"/>
      <c r="P132" s="44"/>
    </row>
    <row r="133" ht="15.0" customHeight="1">
      <c r="A133" s="32"/>
      <c r="B133" s="82"/>
      <c r="C133" s="76"/>
      <c r="D133" s="76"/>
      <c r="E133" s="77"/>
      <c r="F133" s="84"/>
      <c r="G133" s="79"/>
      <c r="H133" s="80"/>
      <c r="I133" s="79">
        <f>IFERROR(__xludf.DUMMYFUNCTION("""COMPUTED_VALUE"""),0.0)</f>
        <v>0</v>
      </c>
      <c r="J133" s="85"/>
      <c r="K133" s="73"/>
      <c r="L133" s="43"/>
      <c r="M133" s="43"/>
      <c r="N133" s="44"/>
      <c r="O133" s="44"/>
      <c r="P133" s="44"/>
    </row>
    <row r="134" ht="15.0" customHeight="1">
      <c r="A134" s="32"/>
      <c r="B134" s="82"/>
      <c r="C134" s="76"/>
      <c r="D134" s="76"/>
      <c r="E134" s="77"/>
      <c r="F134" s="84"/>
      <c r="G134" s="79"/>
      <c r="H134" s="80"/>
      <c r="I134" s="79">
        <f>IFERROR(__xludf.DUMMYFUNCTION("""COMPUTED_VALUE"""),0.0)</f>
        <v>0</v>
      </c>
      <c r="J134" s="85"/>
      <c r="K134" s="73"/>
      <c r="L134" s="43"/>
      <c r="M134" s="43"/>
      <c r="N134" s="44"/>
      <c r="O134" s="44"/>
      <c r="P134" s="44"/>
    </row>
    <row r="135" ht="15.0" customHeight="1">
      <c r="A135" s="32"/>
      <c r="B135" s="82"/>
      <c r="C135" s="76"/>
      <c r="D135" s="76"/>
      <c r="E135" s="77"/>
      <c r="F135" s="84"/>
      <c r="G135" s="79"/>
      <c r="H135" s="80"/>
      <c r="I135" s="79">
        <f>IFERROR(__xludf.DUMMYFUNCTION("""COMPUTED_VALUE"""),0.0)</f>
        <v>0</v>
      </c>
      <c r="J135" s="85"/>
      <c r="K135" s="73"/>
      <c r="L135" s="43"/>
      <c r="M135" s="43"/>
      <c r="N135" s="44"/>
      <c r="O135" s="44"/>
      <c r="P135" s="44"/>
    </row>
    <row r="136" ht="15.0" customHeight="1">
      <c r="A136" s="32"/>
      <c r="B136" s="82"/>
      <c r="C136" s="76"/>
      <c r="D136" s="76"/>
      <c r="E136" s="77"/>
      <c r="F136" s="84"/>
      <c r="G136" s="79"/>
      <c r="H136" s="80"/>
      <c r="I136" s="79">
        <f>IFERROR(__xludf.DUMMYFUNCTION("""COMPUTED_VALUE"""),0.0)</f>
        <v>0</v>
      </c>
      <c r="J136" s="85"/>
      <c r="K136" s="73"/>
      <c r="L136" s="43"/>
      <c r="M136" s="43"/>
      <c r="N136" s="44"/>
      <c r="O136" s="44"/>
      <c r="P136" s="44"/>
    </row>
    <row r="137" ht="15.0" customHeight="1">
      <c r="A137" s="32"/>
      <c r="B137" s="82"/>
      <c r="C137" s="76"/>
      <c r="D137" s="76"/>
      <c r="E137" s="77"/>
      <c r="F137" s="84"/>
      <c r="G137" s="79"/>
      <c r="H137" s="80"/>
      <c r="I137" s="79">
        <f>IFERROR(__xludf.DUMMYFUNCTION("""COMPUTED_VALUE"""),0.0)</f>
        <v>0</v>
      </c>
      <c r="J137" s="85"/>
      <c r="K137" s="73"/>
      <c r="L137" s="43"/>
      <c r="M137" s="43"/>
      <c r="N137" s="44"/>
      <c r="O137" s="44"/>
      <c r="P137" s="44"/>
    </row>
    <row r="138" ht="15.0" customHeight="1">
      <c r="A138" s="32"/>
      <c r="B138" s="82"/>
      <c r="C138" s="76"/>
      <c r="D138" s="76"/>
      <c r="E138" s="77"/>
      <c r="F138" s="84"/>
      <c r="G138" s="79"/>
      <c r="H138" s="80"/>
      <c r="I138" s="79">
        <f>IFERROR(__xludf.DUMMYFUNCTION("""COMPUTED_VALUE"""),0.0)</f>
        <v>0</v>
      </c>
      <c r="J138" s="85"/>
      <c r="K138" s="73"/>
      <c r="L138" s="43"/>
      <c r="M138" s="43"/>
      <c r="N138" s="44"/>
      <c r="O138" s="44"/>
      <c r="P138" s="44"/>
    </row>
    <row r="139" ht="15.0" customHeight="1">
      <c r="A139" s="32"/>
      <c r="B139" s="82"/>
      <c r="C139" s="76"/>
      <c r="D139" s="76"/>
      <c r="E139" s="77"/>
      <c r="F139" s="84"/>
      <c r="G139" s="79"/>
      <c r="H139" s="80"/>
      <c r="I139" s="79">
        <f>IFERROR(__xludf.DUMMYFUNCTION("""COMPUTED_VALUE"""),0.0)</f>
        <v>0</v>
      </c>
      <c r="J139" s="85"/>
      <c r="K139" s="73"/>
      <c r="L139" s="43"/>
      <c r="M139" s="43"/>
      <c r="N139" s="44"/>
      <c r="O139" s="44"/>
      <c r="P139" s="44"/>
    </row>
    <row r="140" ht="15.0" customHeight="1">
      <c r="A140" s="32"/>
      <c r="B140" s="82"/>
      <c r="C140" s="76"/>
      <c r="D140" s="76"/>
      <c r="E140" s="77"/>
      <c r="F140" s="84"/>
      <c r="G140" s="79"/>
      <c r="H140" s="80"/>
      <c r="I140" s="79">
        <f>IFERROR(__xludf.DUMMYFUNCTION("""COMPUTED_VALUE"""),0.0)</f>
        <v>0</v>
      </c>
      <c r="J140" s="85"/>
      <c r="K140" s="73"/>
      <c r="L140" s="43"/>
      <c r="M140" s="43"/>
      <c r="N140" s="44"/>
      <c r="O140" s="44"/>
      <c r="P140" s="44"/>
    </row>
    <row r="141" ht="15.0" customHeight="1">
      <c r="A141" s="32"/>
      <c r="B141" s="82"/>
      <c r="C141" s="76"/>
      <c r="D141" s="76"/>
      <c r="E141" s="77"/>
      <c r="F141" s="84"/>
      <c r="G141" s="79"/>
      <c r="H141" s="80"/>
      <c r="I141" s="79">
        <f>IFERROR(__xludf.DUMMYFUNCTION("""COMPUTED_VALUE"""),0.0)</f>
        <v>0</v>
      </c>
      <c r="J141" s="85"/>
      <c r="K141" s="73"/>
      <c r="L141" s="43"/>
      <c r="M141" s="43"/>
      <c r="N141" s="44"/>
      <c r="O141" s="44"/>
      <c r="P141" s="44"/>
    </row>
    <row r="142" ht="15.0" customHeight="1">
      <c r="A142" s="32"/>
      <c r="B142" s="82"/>
      <c r="C142" s="76"/>
      <c r="D142" s="76"/>
      <c r="E142" s="77"/>
      <c r="F142" s="84"/>
      <c r="G142" s="79"/>
      <c r="H142" s="80"/>
      <c r="I142" s="79">
        <f>IFERROR(__xludf.DUMMYFUNCTION("""COMPUTED_VALUE"""),0.0)</f>
        <v>0</v>
      </c>
      <c r="J142" s="85"/>
      <c r="K142" s="73"/>
      <c r="L142" s="43"/>
      <c r="M142" s="43"/>
      <c r="N142" s="44"/>
      <c r="O142" s="44"/>
      <c r="P142" s="44"/>
    </row>
    <row r="143" ht="15.0" customHeight="1">
      <c r="A143" s="32"/>
      <c r="B143" s="82"/>
      <c r="C143" s="76"/>
      <c r="D143" s="76"/>
      <c r="E143" s="77"/>
      <c r="F143" s="84"/>
      <c r="G143" s="79"/>
      <c r="H143" s="80"/>
      <c r="I143" s="79">
        <f>IFERROR(__xludf.DUMMYFUNCTION("""COMPUTED_VALUE"""),0.0)</f>
        <v>0</v>
      </c>
      <c r="J143" s="85"/>
      <c r="K143" s="73"/>
      <c r="L143" s="43"/>
      <c r="M143" s="43"/>
      <c r="N143" s="44"/>
      <c r="O143" s="44"/>
      <c r="P143" s="44"/>
    </row>
    <row r="144" ht="15.0" customHeight="1">
      <c r="A144" s="32"/>
      <c r="B144" s="82"/>
      <c r="C144" s="76"/>
      <c r="D144" s="76"/>
      <c r="E144" s="77"/>
      <c r="F144" s="84"/>
      <c r="G144" s="79"/>
      <c r="H144" s="80"/>
      <c r="I144" s="79">
        <f>IFERROR(__xludf.DUMMYFUNCTION("""COMPUTED_VALUE"""),0.0)</f>
        <v>0</v>
      </c>
      <c r="J144" s="85"/>
      <c r="K144" s="73"/>
      <c r="L144" s="43"/>
      <c r="M144" s="43"/>
      <c r="N144" s="44"/>
      <c r="O144" s="44"/>
      <c r="P144" s="44"/>
    </row>
    <row r="145" ht="15.0" customHeight="1">
      <c r="A145" s="32"/>
      <c r="B145" s="82"/>
      <c r="C145" s="76"/>
      <c r="D145" s="76"/>
      <c r="E145" s="77"/>
      <c r="F145" s="84"/>
      <c r="G145" s="79"/>
      <c r="H145" s="80"/>
      <c r="I145" s="79">
        <f>IFERROR(__xludf.DUMMYFUNCTION("""COMPUTED_VALUE"""),0.0)</f>
        <v>0</v>
      </c>
      <c r="J145" s="85"/>
      <c r="K145" s="73"/>
      <c r="L145" s="43"/>
      <c r="M145" s="43"/>
      <c r="N145" s="44"/>
      <c r="O145" s="44"/>
      <c r="P145" s="44"/>
    </row>
    <row r="146" ht="15.0" customHeight="1">
      <c r="A146" s="32"/>
      <c r="B146" s="82"/>
      <c r="C146" s="76"/>
      <c r="D146" s="76"/>
      <c r="E146" s="77"/>
      <c r="F146" s="84"/>
      <c r="G146" s="79"/>
      <c r="H146" s="80"/>
      <c r="I146" s="79">
        <f>IFERROR(__xludf.DUMMYFUNCTION("""COMPUTED_VALUE"""),0.0)</f>
        <v>0</v>
      </c>
      <c r="J146" s="85"/>
      <c r="K146" s="73"/>
      <c r="L146" s="43"/>
      <c r="M146" s="43"/>
      <c r="N146" s="44"/>
      <c r="O146" s="44"/>
      <c r="P146" s="44"/>
    </row>
    <row r="147" ht="15.0" customHeight="1">
      <c r="A147" s="32"/>
      <c r="B147" s="82"/>
      <c r="C147" s="76"/>
      <c r="D147" s="76"/>
      <c r="E147" s="77"/>
      <c r="F147" s="84"/>
      <c r="G147" s="79"/>
      <c r="H147" s="80"/>
      <c r="I147" s="79">
        <f>IFERROR(__xludf.DUMMYFUNCTION("""COMPUTED_VALUE"""),0.0)</f>
        <v>0</v>
      </c>
      <c r="J147" s="85"/>
      <c r="K147" s="73"/>
      <c r="L147" s="43"/>
      <c r="M147" s="43"/>
      <c r="N147" s="44"/>
      <c r="O147" s="44"/>
      <c r="P147" s="44"/>
    </row>
    <row r="148" ht="15.0" customHeight="1">
      <c r="A148" s="32"/>
      <c r="B148" s="82"/>
      <c r="C148" s="76"/>
      <c r="D148" s="76"/>
      <c r="E148" s="77"/>
      <c r="F148" s="84"/>
      <c r="G148" s="79"/>
      <c r="H148" s="80"/>
      <c r="I148" s="79">
        <f>IFERROR(__xludf.DUMMYFUNCTION("""COMPUTED_VALUE"""),0.0)</f>
        <v>0</v>
      </c>
      <c r="J148" s="85"/>
      <c r="K148" s="73"/>
      <c r="L148" s="43"/>
      <c r="M148" s="43"/>
      <c r="N148" s="44"/>
      <c r="O148" s="44"/>
      <c r="P148" s="44"/>
    </row>
    <row r="149" ht="15.0" customHeight="1">
      <c r="A149" s="32"/>
      <c r="B149" s="82"/>
      <c r="C149" s="76"/>
      <c r="D149" s="76"/>
      <c r="E149" s="77"/>
      <c r="F149" s="84"/>
      <c r="G149" s="79"/>
      <c r="H149" s="80"/>
      <c r="I149" s="79">
        <f>IFERROR(__xludf.DUMMYFUNCTION("""COMPUTED_VALUE"""),0.0)</f>
        <v>0</v>
      </c>
      <c r="J149" s="85"/>
      <c r="K149" s="73"/>
      <c r="L149" s="43"/>
      <c r="M149" s="43"/>
      <c r="N149" s="44"/>
      <c r="O149" s="44"/>
      <c r="P149" s="44"/>
    </row>
    <row r="150" ht="15.0" customHeight="1">
      <c r="A150" s="32"/>
      <c r="B150" s="82"/>
      <c r="C150" s="76"/>
      <c r="D150" s="76"/>
      <c r="E150" s="77"/>
      <c r="F150" s="84"/>
      <c r="G150" s="79"/>
      <c r="H150" s="80"/>
      <c r="I150" s="79">
        <f>IFERROR(__xludf.DUMMYFUNCTION("""COMPUTED_VALUE"""),0.0)</f>
        <v>0</v>
      </c>
      <c r="J150" s="85"/>
      <c r="K150" s="73"/>
      <c r="L150" s="43"/>
      <c r="M150" s="43"/>
      <c r="N150" s="44"/>
      <c r="O150" s="44"/>
      <c r="P150" s="44"/>
    </row>
    <row r="151" ht="15.0" customHeight="1">
      <c r="A151" s="32"/>
      <c r="B151" s="82"/>
      <c r="C151" s="76"/>
      <c r="D151" s="76"/>
      <c r="E151" s="77"/>
      <c r="F151" s="84"/>
      <c r="G151" s="79"/>
      <c r="H151" s="80"/>
      <c r="I151" s="79">
        <f>IFERROR(__xludf.DUMMYFUNCTION("""COMPUTED_VALUE"""),0.0)</f>
        <v>0</v>
      </c>
      <c r="J151" s="85"/>
      <c r="K151" s="73"/>
      <c r="L151" s="43"/>
      <c r="M151" s="43"/>
      <c r="N151" s="44"/>
      <c r="O151" s="44"/>
      <c r="P151" s="44"/>
    </row>
    <row r="152" ht="15.0" customHeight="1">
      <c r="A152" s="32"/>
      <c r="B152" s="82"/>
      <c r="C152" s="76"/>
      <c r="D152" s="76"/>
      <c r="E152" s="77"/>
      <c r="F152" s="84"/>
      <c r="G152" s="79"/>
      <c r="H152" s="80"/>
      <c r="I152" s="79">
        <f>IFERROR(__xludf.DUMMYFUNCTION("""COMPUTED_VALUE"""),0.0)</f>
        <v>0</v>
      </c>
      <c r="J152" s="85"/>
      <c r="K152" s="73"/>
      <c r="L152" s="43"/>
      <c r="M152" s="43"/>
      <c r="N152" s="44"/>
      <c r="O152" s="44"/>
      <c r="P152" s="44"/>
    </row>
    <row r="153" ht="15.0" customHeight="1">
      <c r="A153" s="32"/>
      <c r="B153" s="82"/>
      <c r="C153" s="76"/>
      <c r="D153" s="76"/>
      <c r="E153" s="77"/>
      <c r="F153" s="84"/>
      <c r="G153" s="79"/>
      <c r="H153" s="80"/>
      <c r="I153" s="79">
        <f>IFERROR(__xludf.DUMMYFUNCTION("""COMPUTED_VALUE"""),0.0)</f>
        <v>0</v>
      </c>
      <c r="J153" s="85"/>
      <c r="K153" s="73"/>
      <c r="L153" s="43"/>
      <c r="M153" s="43"/>
      <c r="N153" s="44"/>
      <c r="O153" s="44"/>
      <c r="P153" s="44"/>
    </row>
    <row r="154" ht="15.0" customHeight="1">
      <c r="A154" s="32"/>
      <c r="B154" s="82"/>
      <c r="C154" s="76"/>
      <c r="D154" s="76"/>
      <c r="E154" s="77"/>
      <c r="F154" s="84"/>
      <c r="G154" s="79"/>
      <c r="H154" s="80"/>
      <c r="I154" s="79">
        <f>IFERROR(__xludf.DUMMYFUNCTION("""COMPUTED_VALUE"""),0.0)</f>
        <v>0</v>
      </c>
      <c r="J154" s="85"/>
      <c r="K154" s="73"/>
      <c r="L154" s="43"/>
      <c r="M154" s="43"/>
      <c r="N154" s="44"/>
      <c r="O154" s="44"/>
      <c r="P154" s="44"/>
    </row>
    <row r="155" ht="15.0" customHeight="1">
      <c r="A155" s="32"/>
      <c r="B155" s="82"/>
      <c r="C155" s="76"/>
      <c r="D155" s="76"/>
      <c r="E155" s="77"/>
      <c r="F155" s="84"/>
      <c r="G155" s="79"/>
      <c r="H155" s="80"/>
      <c r="I155" s="79">
        <f>IFERROR(__xludf.DUMMYFUNCTION("""COMPUTED_VALUE"""),0.0)</f>
        <v>0</v>
      </c>
      <c r="J155" s="85"/>
      <c r="K155" s="73"/>
      <c r="L155" s="43"/>
      <c r="M155" s="43"/>
      <c r="N155" s="44"/>
      <c r="O155" s="44"/>
      <c r="P155" s="44"/>
    </row>
    <row r="156" ht="15.0" customHeight="1">
      <c r="A156" s="32"/>
      <c r="B156" s="82"/>
      <c r="C156" s="76"/>
      <c r="D156" s="76"/>
      <c r="E156" s="77"/>
      <c r="F156" s="84"/>
      <c r="G156" s="79"/>
      <c r="H156" s="80"/>
      <c r="I156" s="79">
        <f>IFERROR(__xludf.DUMMYFUNCTION("""COMPUTED_VALUE"""),0.0)</f>
        <v>0</v>
      </c>
      <c r="J156" s="85"/>
      <c r="K156" s="73"/>
      <c r="L156" s="43"/>
      <c r="M156" s="43"/>
      <c r="N156" s="44"/>
      <c r="O156" s="44"/>
      <c r="P156" s="44"/>
    </row>
    <row r="157" ht="15.0" customHeight="1">
      <c r="A157" s="32"/>
      <c r="B157" s="82"/>
      <c r="C157" s="76"/>
      <c r="D157" s="76"/>
      <c r="E157" s="77"/>
      <c r="F157" s="84"/>
      <c r="G157" s="79"/>
      <c r="H157" s="80"/>
      <c r="I157" s="79">
        <f>IFERROR(__xludf.DUMMYFUNCTION("""COMPUTED_VALUE"""),0.0)</f>
        <v>0</v>
      </c>
      <c r="J157" s="85"/>
      <c r="K157" s="73"/>
      <c r="L157" s="43"/>
      <c r="M157" s="43"/>
      <c r="N157" s="44"/>
      <c r="O157" s="44"/>
      <c r="P157" s="44"/>
    </row>
    <row r="158" ht="15.0" customHeight="1">
      <c r="A158" s="32"/>
      <c r="B158" s="82"/>
      <c r="C158" s="76"/>
      <c r="D158" s="76"/>
      <c r="E158" s="77"/>
      <c r="F158" s="84"/>
      <c r="G158" s="79"/>
      <c r="H158" s="80"/>
      <c r="I158" s="79">
        <f>IFERROR(__xludf.DUMMYFUNCTION("""COMPUTED_VALUE"""),0.0)</f>
        <v>0</v>
      </c>
      <c r="J158" s="85"/>
      <c r="K158" s="73"/>
      <c r="L158" s="43"/>
      <c r="M158" s="43"/>
      <c r="N158" s="44"/>
      <c r="O158" s="44"/>
      <c r="P158" s="44"/>
    </row>
    <row r="159" ht="15.0" customHeight="1">
      <c r="A159" s="32"/>
      <c r="B159" s="82"/>
      <c r="C159" s="76"/>
      <c r="D159" s="76"/>
      <c r="E159" s="77"/>
      <c r="F159" s="84"/>
      <c r="G159" s="79"/>
      <c r="H159" s="80"/>
      <c r="I159" s="79">
        <f>IFERROR(__xludf.DUMMYFUNCTION("""COMPUTED_VALUE"""),0.0)</f>
        <v>0</v>
      </c>
      <c r="J159" s="85"/>
      <c r="K159" s="73"/>
      <c r="L159" s="43"/>
      <c r="M159" s="43"/>
      <c r="N159" s="44"/>
      <c r="O159" s="44"/>
      <c r="P159" s="44"/>
    </row>
    <row r="160" ht="15.0" customHeight="1">
      <c r="A160" s="32"/>
      <c r="B160" s="82"/>
      <c r="C160" s="76"/>
      <c r="D160" s="76"/>
      <c r="E160" s="77"/>
      <c r="F160" s="84"/>
      <c r="G160" s="79"/>
      <c r="H160" s="80"/>
      <c r="I160" s="79">
        <f>IFERROR(__xludf.DUMMYFUNCTION("""COMPUTED_VALUE"""),0.0)</f>
        <v>0</v>
      </c>
      <c r="J160" s="85"/>
      <c r="K160" s="73"/>
      <c r="L160" s="43"/>
      <c r="M160" s="43"/>
      <c r="N160" s="44"/>
      <c r="O160" s="44"/>
      <c r="P160" s="44"/>
    </row>
    <row r="161" ht="15.0" customHeight="1">
      <c r="A161" s="32"/>
      <c r="B161" s="82"/>
      <c r="C161" s="76"/>
      <c r="D161" s="76"/>
      <c r="E161" s="77"/>
      <c r="F161" s="84"/>
      <c r="G161" s="79"/>
      <c r="H161" s="80"/>
      <c r="I161" s="79">
        <f>IFERROR(__xludf.DUMMYFUNCTION("""COMPUTED_VALUE"""),0.0)</f>
        <v>0</v>
      </c>
      <c r="J161" s="85"/>
      <c r="K161" s="73"/>
      <c r="L161" s="43"/>
      <c r="M161" s="43"/>
      <c r="N161" s="44"/>
      <c r="O161" s="44"/>
      <c r="P161" s="44"/>
    </row>
    <row r="162" ht="15.0" customHeight="1">
      <c r="A162" s="32"/>
      <c r="B162" s="82"/>
      <c r="C162" s="76"/>
      <c r="D162" s="76"/>
      <c r="E162" s="77"/>
      <c r="F162" s="84"/>
      <c r="G162" s="79"/>
      <c r="H162" s="80"/>
      <c r="I162" s="79">
        <f>IFERROR(__xludf.DUMMYFUNCTION("""COMPUTED_VALUE"""),0.0)</f>
        <v>0</v>
      </c>
      <c r="J162" s="85"/>
      <c r="K162" s="73"/>
      <c r="L162" s="43"/>
      <c r="M162" s="43"/>
      <c r="N162" s="44"/>
      <c r="O162" s="44"/>
      <c r="P162" s="44"/>
    </row>
    <row r="163" ht="15.0" customHeight="1">
      <c r="A163" s="32"/>
      <c r="B163" s="82"/>
      <c r="C163" s="76"/>
      <c r="D163" s="76"/>
      <c r="E163" s="77"/>
      <c r="F163" s="84"/>
      <c r="G163" s="79"/>
      <c r="H163" s="80"/>
      <c r="I163" s="79">
        <f>IFERROR(__xludf.DUMMYFUNCTION("""COMPUTED_VALUE"""),0.0)</f>
        <v>0</v>
      </c>
      <c r="J163" s="85"/>
      <c r="K163" s="73"/>
      <c r="L163" s="43"/>
      <c r="M163" s="43"/>
      <c r="N163" s="44"/>
      <c r="O163" s="44"/>
      <c r="P163" s="44"/>
    </row>
    <row r="164" ht="15.0" customHeight="1">
      <c r="A164" s="32"/>
      <c r="B164" s="82"/>
      <c r="C164" s="76"/>
      <c r="D164" s="76"/>
      <c r="E164" s="77"/>
      <c r="F164" s="84"/>
      <c r="G164" s="79"/>
      <c r="H164" s="80"/>
      <c r="I164" s="79">
        <f>IFERROR(__xludf.DUMMYFUNCTION("""COMPUTED_VALUE"""),0.0)</f>
        <v>0</v>
      </c>
      <c r="J164" s="85"/>
      <c r="K164" s="73"/>
      <c r="L164" s="43"/>
      <c r="M164" s="43"/>
      <c r="N164" s="44"/>
      <c r="O164" s="44"/>
      <c r="P164" s="44"/>
    </row>
    <row r="165" ht="15.0" customHeight="1">
      <c r="A165" s="32"/>
      <c r="B165" s="82"/>
      <c r="C165" s="76"/>
      <c r="D165" s="76"/>
      <c r="E165" s="77"/>
      <c r="F165" s="84"/>
      <c r="G165" s="79"/>
      <c r="H165" s="80"/>
      <c r="I165" s="79">
        <f>IFERROR(__xludf.DUMMYFUNCTION("""COMPUTED_VALUE"""),0.0)</f>
        <v>0</v>
      </c>
      <c r="J165" s="85"/>
      <c r="K165" s="73"/>
      <c r="L165" s="43"/>
      <c r="M165" s="43"/>
      <c r="N165" s="44"/>
      <c r="O165" s="44"/>
      <c r="P165" s="44"/>
    </row>
    <row r="166" ht="15.0" customHeight="1">
      <c r="A166" s="32"/>
      <c r="B166" s="82"/>
      <c r="C166" s="76"/>
      <c r="D166" s="76"/>
      <c r="E166" s="77"/>
      <c r="F166" s="84"/>
      <c r="G166" s="79"/>
      <c r="H166" s="80"/>
      <c r="I166" s="79">
        <f>IFERROR(__xludf.DUMMYFUNCTION("""COMPUTED_VALUE"""),0.0)</f>
        <v>0</v>
      </c>
      <c r="J166" s="85"/>
      <c r="K166" s="73"/>
      <c r="L166" s="43"/>
      <c r="M166" s="43"/>
      <c r="N166" s="44"/>
      <c r="O166" s="44"/>
      <c r="P166" s="44"/>
    </row>
    <row r="167" ht="15.0" customHeight="1">
      <c r="A167" s="32"/>
      <c r="B167" s="82"/>
      <c r="C167" s="76"/>
      <c r="D167" s="76"/>
      <c r="E167" s="77"/>
      <c r="F167" s="84"/>
      <c r="G167" s="79"/>
      <c r="H167" s="80"/>
      <c r="I167" s="79">
        <f>IFERROR(__xludf.DUMMYFUNCTION("""COMPUTED_VALUE"""),0.0)</f>
        <v>0</v>
      </c>
      <c r="J167" s="85"/>
      <c r="K167" s="73"/>
      <c r="L167" s="43"/>
      <c r="M167" s="43"/>
      <c r="N167" s="44"/>
      <c r="O167" s="44"/>
      <c r="P167" s="44"/>
    </row>
    <row r="168" ht="15.0" customHeight="1">
      <c r="A168" s="32"/>
      <c r="B168" s="82"/>
      <c r="C168" s="76"/>
      <c r="D168" s="76"/>
      <c r="E168" s="77"/>
      <c r="F168" s="84"/>
      <c r="G168" s="79"/>
      <c r="H168" s="80"/>
      <c r="I168" s="79">
        <f>IFERROR(__xludf.DUMMYFUNCTION("""COMPUTED_VALUE"""),0.0)</f>
        <v>0</v>
      </c>
      <c r="J168" s="85"/>
      <c r="K168" s="73"/>
      <c r="L168" s="43"/>
      <c r="M168" s="43"/>
      <c r="N168" s="44"/>
      <c r="O168" s="44"/>
      <c r="P168" s="44"/>
    </row>
    <row r="169" ht="15.0" customHeight="1">
      <c r="A169" s="32"/>
      <c r="B169" s="82"/>
      <c r="C169" s="76"/>
      <c r="D169" s="76"/>
      <c r="E169" s="77"/>
      <c r="F169" s="84"/>
      <c r="G169" s="79"/>
      <c r="H169" s="80"/>
      <c r="I169" s="79">
        <f>IFERROR(__xludf.DUMMYFUNCTION("""COMPUTED_VALUE"""),0.0)</f>
        <v>0</v>
      </c>
      <c r="J169" s="85"/>
      <c r="K169" s="73"/>
      <c r="L169" s="43"/>
      <c r="M169" s="43"/>
      <c r="N169" s="44"/>
      <c r="O169" s="44"/>
      <c r="P169" s="44"/>
    </row>
    <row r="170" ht="15.0" customHeight="1">
      <c r="A170" s="32"/>
      <c r="B170" s="82"/>
      <c r="C170" s="76"/>
      <c r="D170" s="76"/>
      <c r="E170" s="77"/>
      <c r="F170" s="84"/>
      <c r="G170" s="79"/>
      <c r="H170" s="80"/>
      <c r="I170" s="79">
        <f>IFERROR(__xludf.DUMMYFUNCTION("""COMPUTED_VALUE"""),0.0)</f>
        <v>0</v>
      </c>
      <c r="J170" s="85"/>
      <c r="K170" s="73"/>
      <c r="L170" s="43"/>
      <c r="M170" s="43"/>
      <c r="N170" s="44"/>
      <c r="O170" s="44"/>
      <c r="P170" s="44"/>
    </row>
    <row r="171" ht="15.0" customHeight="1">
      <c r="A171" s="32"/>
      <c r="B171" s="82"/>
      <c r="C171" s="76"/>
      <c r="D171" s="76"/>
      <c r="E171" s="77"/>
      <c r="F171" s="84"/>
      <c r="G171" s="79"/>
      <c r="H171" s="80"/>
      <c r="I171" s="79">
        <f>IFERROR(__xludf.DUMMYFUNCTION("""COMPUTED_VALUE"""),0.0)</f>
        <v>0</v>
      </c>
      <c r="J171" s="85"/>
      <c r="K171" s="73"/>
      <c r="L171" s="43"/>
      <c r="M171" s="43"/>
      <c r="N171" s="44"/>
      <c r="O171" s="44"/>
      <c r="P171" s="44"/>
    </row>
    <row r="172" ht="15.0" customHeight="1">
      <c r="A172" s="32"/>
      <c r="B172" s="82"/>
      <c r="C172" s="76"/>
      <c r="D172" s="76"/>
      <c r="E172" s="77"/>
      <c r="F172" s="84"/>
      <c r="G172" s="79"/>
      <c r="H172" s="80"/>
      <c r="I172" s="79">
        <f>IFERROR(__xludf.DUMMYFUNCTION("""COMPUTED_VALUE"""),0.0)</f>
        <v>0</v>
      </c>
      <c r="J172" s="85"/>
      <c r="K172" s="73"/>
      <c r="L172" s="43"/>
      <c r="M172" s="43"/>
      <c r="N172" s="44"/>
      <c r="O172" s="44"/>
      <c r="P172" s="44"/>
    </row>
    <row r="173" ht="15.0" customHeight="1">
      <c r="A173" s="32"/>
      <c r="B173" s="82"/>
      <c r="C173" s="76"/>
      <c r="D173" s="76"/>
      <c r="E173" s="77"/>
      <c r="F173" s="84"/>
      <c r="G173" s="79"/>
      <c r="H173" s="80"/>
      <c r="I173" s="79">
        <f>IFERROR(__xludf.DUMMYFUNCTION("""COMPUTED_VALUE"""),0.0)</f>
        <v>0</v>
      </c>
      <c r="J173" s="85"/>
      <c r="K173" s="73"/>
      <c r="L173" s="43"/>
      <c r="M173" s="43"/>
      <c r="N173" s="44"/>
      <c r="O173" s="44"/>
      <c r="P173" s="44"/>
    </row>
    <row r="174" ht="15.0" customHeight="1">
      <c r="A174" s="32"/>
      <c r="B174" s="82"/>
      <c r="C174" s="76"/>
      <c r="D174" s="76"/>
      <c r="E174" s="77"/>
      <c r="F174" s="84"/>
      <c r="G174" s="79"/>
      <c r="H174" s="80"/>
      <c r="I174" s="79">
        <f>IFERROR(__xludf.DUMMYFUNCTION("""COMPUTED_VALUE"""),0.0)</f>
        <v>0</v>
      </c>
      <c r="J174" s="85"/>
      <c r="K174" s="73"/>
      <c r="L174" s="43"/>
      <c r="M174" s="43"/>
      <c r="N174" s="44"/>
      <c r="O174" s="44"/>
      <c r="P174" s="44"/>
    </row>
    <row r="175" ht="15.0" customHeight="1">
      <c r="A175" s="32"/>
      <c r="B175" s="82"/>
      <c r="C175" s="76"/>
      <c r="D175" s="76"/>
      <c r="E175" s="77"/>
      <c r="F175" s="84"/>
      <c r="G175" s="79"/>
      <c r="H175" s="80"/>
      <c r="I175" s="79">
        <f>IFERROR(__xludf.DUMMYFUNCTION("""COMPUTED_VALUE"""),0.0)</f>
        <v>0</v>
      </c>
      <c r="J175" s="85"/>
      <c r="K175" s="73"/>
      <c r="L175" s="43"/>
      <c r="M175" s="43"/>
      <c r="N175" s="44"/>
      <c r="O175" s="44"/>
      <c r="P175" s="44"/>
    </row>
    <row r="176" ht="15.0" customHeight="1">
      <c r="A176" s="32"/>
      <c r="B176" s="82"/>
      <c r="C176" s="76"/>
      <c r="D176" s="76"/>
      <c r="E176" s="77"/>
      <c r="F176" s="84"/>
      <c r="G176" s="79"/>
      <c r="H176" s="80"/>
      <c r="I176" s="79">
        <f>IFERROR(__xludf.DUMMYFUNCTION("""COMPUTED_VALUE"""),0.0)</f>
        <v>0</v>
      </c>
      <c r="J176" s="85"/>
      <c r="K176" s="73"/>
      <c r="L176" s="43"/>
      <c r="M176" s="43"/>
      <c r="N176" s="44"/>
      <c r="O176" s="44"/>
      <c r="P176" s="44"/>
    </row>
    <row r="177" ht="15.0" customHeight="1">
      <c r="A177" s="32"/>
      <c r="B177" s="82"/>
      <c r="C177" s="76"/>
      <c r="D177" s="76"/>
      <c r="E177" s="77"/>
      <c r="F177" s="84"/>
      <c r="G177" s="79"/>
      <c r="H177" s="80"/>
      <c r="I177" s="79">
        <f>IFERROR(__xludf.DUMMYFUNCTION("""COMPUTED_VALUE"""),0.0)</f>
        <v>0</v>
      </c>
      <c r="J177" s="85"/>
      <c r="K177" s="73"/>
      <c r="L177" s="43"/>
      <c r="M177" s="43"/>
      <c r="N177" s="44"/>
      <c r="O177" s="44"/>
      <c r="P177" s="44"/>
    </row>
    <row r="178" ht="15.0" customHeight="1">
      <c r="A178" s="32"/>
      <c r="B178" s="82"/>
      <c r="C178" s="76"/>
      <c r="D178" s="76"/>
      <c r="E178" s="77"/>
      <c r="F178" s="84"/>
      <c r="G178" s="79"/>
      <c r="H178" s="80"/>
      <c r="I178" s="79">
        <f>IFERROR(__xludf.DUMMYFUNCTION("""COMPUTED_VALUE"""),0.0)</f>
        <v>0</v>
      </c>
      <c r="J178" s="85"/>
      <c r="K178" s="73"/>
      <c r="L178" s="43"/>
      <c r="M178" s="43"/>
      <c r="N178" s="44"/>
      <c r="O178" s="44"/>
      <c r="P178" s="44"/>
    </row>
    <row r="179" ht="15.0" customHeight="1">
      <c r="A179" s="32"/>
      <c r="B179" s="82"/>
      <c r="C179" s="76"/>
      <c r="D179" s="76"/>
      <c r="E179" s="77"/>
      <c r="F179" s="84"/>
      <c r="G179" s="79"/>
      <c r="H179" s="80"/>
      <c r="I179" s="79">
        <f>IFERROR(__xludf.DUMMYFUNCTION("""COMPUTED_VALUE"""),0.0)</f>
        <v>0</v>
      </c>
      <c r="J179" s="85"/>
      <c r="K179" s="73"/>
      <c r="L179" s="43"/>
      <c r="M179" s="43"/>
      <c r="N179" s="44"/>
      <c r="O179" s="44"/>
      <c r="P179" s="44"/>
    </row>
    <row r="180" ht="15.0" customHeight="1">
      <c r="A180" s="32"/>
      <c r="B180" s="82"/>
      <c r="C180" s="76"/>
      <c r="D180" s="76"/>
      <c r="E180" s="77"/>
      <c r="F180" s="84"/>
      <c r="G180" s="79"/>
      <c r="H180" s="80"/>
      <c r="I180" s="79">
        <f>IFERROR(__xludf.DUMMYFUNCTION("""COMPUTED_VALUE"""),0.0)</f>
        <v>0</v>
      </c>
      <c r="J180" s="85"/>
      <c r="K180" s="73"/>
      <c r="L180" s="43"/>
      <c r="M180" s="43"/>
      <c r="N180" s="44"/>
      <c r="O180" s="44"/>
      <c r="P180" s="44"/>
    </row>
    <row r="181" ht="15.0" customHeight="1">
      <c r="A181" s="32"/>
      <c r="B181" s="82"/>
      <c r="C181" s="76"/>
      <c r="D181" s="76"/>
      <c r="E181" s="77"/>
      <c r="F181" s="84"/>
      <c r="G181" s="79"/>
      <c r="H181" s="80"/>
      <c r="I181" s="79">
        <f>IFERROR(__xludf.DUMMYFUNCTION("""COMPUTED_VALUE"""),0.0)</f>
        <v>0</v>
      </c>
      <c r="J181" s="85"/>
      <c r="K181" s="73"/>
      <c r="L181" s="43"/>
      <c r="M181" s="43"/>
      <c r="N181" s="44"/>
      <c r="O181" s="44"/>
      <c r="P181" s="44"/>
    </row>
    <row r="182" ht="15.0" customHeight="1">
      <c r="A182" s="32"/>
      <c r="B182" s="82"/>
      <c r="C182" s="76"/>
      <c r="D182" s="76"/>
      <c r="E182" s="77"/>
      <c r="F182" s="84"/>
      <c r="G182" s="79"/>
      <c r="H182" s="80"/>
      <c r="I182" s="79">
        <f>IFERROR(__xludf.DUMMYFUNCTION("""COMPUTED_VALUE"""),0.0)</f>
        <v>0</v>
      </c>
      <c r="J182" s="85"/>
      <c r="K182" s="73"/>
      <c r="L182" s="43"/>
      <c r="M182" s="43"/>
      <c r="N182" s="44"/>
      <c r="O182" s="44"/>
      <c r="P182" s="44"/>
    </row>
    <row r="183" ht="15.0" customHeight="1">
      <c r="A183" s="32"/>
      <c r="B183" s="82"/>
      <c r="C183" s="76"/>
      <c r="D183" s="76"/>
      <c r="E183" s="77"/>
      <c r="F183" s="84"/>
      <c r="G183" s="79"/>
      <c r="H183" s="80"/>
      <c r="I183" s="79">
        <f>IFERROR(__xludf.DUMMYFUNCTION("""COMPUTED_VALUE"""),0.0)</f>
        <v>0</v>
      </c>
      <c r="J183" s="85"/>
      <c r="K183" s="73"/>
      <c r="L183" s="43"/>
      <c r="M183" s="43"/>
      <c r="N183" s="44"/>
      <c r="O183" s="44"/>
      <c r="P183" s="44"/>
    </row>
    <row r="184" ht="15.0" customHeight="1">
      <c r="A184" s="32"/>
      <c r="B184" s="82"/>
      <c r="C184" s="76"/>
      <c r="D184" s="76"/>
      <c r="E184" s="77"/>
      <c r="F184" s="84"/>
      <c r="G184" s="79"/>
      <c r="H184" s="80"/>
      <c r="I184" s="79">
        <f>IFERROR(__xludf.DUMMYFUNCTION("""COMPUTED_VALUE"""),0.0)</f>
        <v>0</v>
      </c>
      <c r="J184" s="85"/>
      <c r="K184" s="73"/>
      <c r="L184" s="43"/>
      <c r="M184" s="43"/>
      <c r="N184" s="44"/>
      <c r="O184" s="44"/>
      <c r="P184" s="44"/>
    </row>
    <row r="185" ht="15.0" customHeight="1">
      <c r="A185" s="32"/>
      <c r="B185" s="82"/>
      <c r="C185" s="76"/>
      <c r="D185" s="76"/>
      <c r="E185" s="77"/>
      <c r="F185" s="84"/>
      <c r="G185" s="79"/>
      <c r="H185" s="80"/>
      <c r="I185" s="79">
        <f>IFERROR(__xludf.DUMMYFUNCTION("""COMPUTED_VALUE"""),0.0)</f>
        <v>0</v>
      </c>
      <c r="J185" s="85"/>
      <c r="K185" s="73"/>
      <c r="L185" s="43"/>
      <c r="M185" s="43"/>
      <c r="N185" s="44"/>
      <c r="O185" s="44"/>
      <c r="P185" s="44"/>
    </row>
    <row r="186" ht="15.0" customHeight="1">
      <c r="A186" s="32"/>
      <c r="B186" s="82"/>
      <c r="C186" s="76"/>
      <c r="D186" s="76"/>
      <c r="E186" s="77"/>
      <c r="F186" s="84"/>
      <c r="G186" s="79"/>
      <c r="H186" s="80"/>
      <c r="I186" s="79">
        <f>IFERROR(__xludf.DUMMYFUNCTION("""COMPUTED_VALUE"""),0.0)</f>
        <v>0</v>
      </c>
      <c r="J186" s="85"/>
      <c r="K186" s="73"/>
      <c r="L186" s="43"/>
      <c r="M186" s="43"/>
      <c r="N186" s="44"/>
      <c r="O186" s="44"/>
      <c r="P186" s="44"/>
    </row>
    <row r="187" ht="15.0" customHeight="1">
      <c r="A187" s="32"/>
      <c r="B187" s="82"/>
      <c r="C187" s="76"/>
      <c r="D187" s="76"/>
      <c r="E187" s="77"/>
      <c r="F187" s="84"/>
      <c r="G187" s="79"/>
      <c r="H187" s="80"/>
      <c r="I187" s="79">
        <f>IFERROR(__xludf.DUMMYFUNCTION("""COMPUTED_VALUE"""),0.0)</f>
        <v>0</v>
      </c>
      <c r="J187" s="85"/>
      <c r="K187" s="73"/>
      <c r="L187" s="43"/>
      <c r="M187" s="43"/>
      <c r="N187" s="44"/>
      <c r="O187" s="44"/>
      <c r="P187" s="44"/>
    </row>
    <row r="188" ht="15.0" customHeight="1">
      <c r="A188" s="32"/>
      <c r="B188" s="82"/>
      <c r="C188" s="76"/>
      <c r="D188" s="76"/>
      <c r="E188" s="77"/>
      <c r="F188" s="84"/>
      <c r="G188" s="79"/>
      <c r="H188" s="80"/>
      <c r="I188" s="79">
        <f>IFERROR(__xludf.DUMMYFUNCTION("""COMPUTED_VALUE"""),0.0)</f>
        <v>0</v>
      </c>
      <c r="J188" s="85"/>
      <c r="K188" s="73"/>
      <c r="L188" s="43"/>
      <c r="M188" s="43"/>
      <c r="N188" s="44"/>
      <c r="O188" s="44"/>
      <c r="P188" s="44"/>
    </row>
    <row r="189" ht="15.0" customHeight="1">
      <c r="A189" s="32"/>
      <c r="B189" s="82"/>
      <c r="C189" s="76"/>
      <c r="D189" s="76"/>
      <c r="E189" s="77"/>
      <c r="F189" s="84"/>
      <c r="G189" s="79"/>
      <c r="H189" s="80"/>
      <c r="I189" s="79">
        <f>IFERROR(__xludf.DUMMYFUNCTION("""COMPUTED_VALUE"""),0.0)</f>
        <v>0</v>
      </c>
      <c r="J189" s="85"/>
      <c r="K189" s="73"/>
      <c r="L189" s="43"/>
      <c r="M189" s="43"/>
      <c r="N189" s="44"/>
      <c r="O189" s="44"/>
      <c r="P189" s="44"/>
    </row>
    <row r="190" ht="15.0" customHeight="1">
      <c r="A190" s="32"/>
      <c r="B190" s="82"/>
      <c r="C190" s="76"/>
      <c r="D190" s="76"/>
      <c r="E190" s="77"/>
      <c r="F190" s="84"/>
      <c r="G190" s="79"/>
      <c r="H190" s="80"/>
      <c r="I190" s="79">
        <f>IFERROR(__xludf.DUMMYFUNCTION("""COMPUTED_VALUE"""),0.0)</f>
        <v>0</v>
      </c>
      <c r="J190" s="85"/>
      <c r="K190" s="73"/>
      <c r="L190" s="43"/>
      <c r="M190" s="43"/>
      <c r="N190" s="44"/>
      <c r="O190" s="44"/>
      <c r="P190" s="44"/>
    </row>
    <row r="191" ht="15.0" customHeight="1">
      <c r="A191" s="32"/>
      <c r="B191" s="82"/>
      <c r="C191" s="76"/>
      <c r="D191" s="76"/>
      <c r="E191" s="77"/>
      <c r="F191" s="84"/>
      <c r="G191" s="79"/>
      <c r="H191" s="80"/>
      <c r="I191" s="79">
        <f>IFERROR(__xludf.DUMMYFUNCTION("""COMPUTED_VALUE"""),0.0)</f>
        <v>0</v>
      </c>
      <c r="J191" s="85"/>
      <c r="K191" s="73"/>
      <c r="L191" s="43"/>
      <c r="M191" s="43"/>
      <c r="N191" s="44"/>
      <c r="O191" s="44"/>
      <c r="P191" s="44"/>
    </row>
    <row r="192" ht="15.0" customHeight="1">
      <c r="A192" s="32"/>
      <c r="B192" s="82"/>
      <c r="C192" s="76"/>
      <c r="D192" s="76"/>
      <c r="E192" s="77"/>
      <c r="F192" s="84"/>
      <c r="G192" s="79"/>
      <c r="H192" s="80"/>
      <c r="I192" s="79">
        <f>IFERROR(__xludf.DUMMYFUNCTION("""COMPUTED_VALUE"""),0.0)</f>
        <v>0</v>
      </c>
      <c r="J192" s="85"/>
      <c r="K192" s="73"/>
      <c r="L192" s="43"/>
      <c r="M192" s="43"/>
      <c r="N192" s="44"/>
      <c r="O192" s="44"/>
      <c r="P192" s="44"/>
    </row>
    <row r="193" ht="15.0" customHeight="1">
      <c r="A193" s="32"/>
      <c r="B193" s="82"/>
      <c r="C193" s="76"/>
      <c r="D193" s="76"/>
      <c r="E193" s="77"/>
      <c r="F193" s="84"/>
      <c r="G193" s="79"/>
      <c r="H193" s="80"/>
      <c r="I193" s="79">
        <f>IFERROR(__xludf.DUMMYFUNCTION("""COMPUTED_VALUE"""),0.0)</f>
        <v>0</v>
      </c>
      <c r="J193" s="85"/>
      <c r="K193" s="73"/>
      <c r="L193" s="43"/>
      <c r="M193" s="43"/>
      <c r="N193" s="44"/>
      <c r="O193" s="44"/>
      <c r="P193" s="44"/>
    </row>
    <row r="194" ht="15.0" customHeight="1">
      <c r="A194" s="32"/>
      <c r="B194" s="82"/>
      <c r="C194" s="76"/>
      <c r="D194" s="76"/>
      <c r="E194" s="77"/>
      <c r="F194" s="84"/>
      <c r="G194" s="79"/>
      <c r="H194" s="80"/>
      <c r="I194" s="79">
        <f>IFERROR(__xludf.DUMMYFUNCTION("""COMPUTED_VALUE"""),0.0)</f>
        <v>0</v>
      </c>
      <c r="J194" s="85"/>
      <c r="K194" s="73"/>
      <c r="L194" s="43"/>
      <c r="M194" s="43"/>
      <c r="N194" s="44"/>
      <c r="O194" s="44"/>
      <c r="P194" s="44"/>
    </row>
    <row r="195" ht="15.0" customHeight="1">
      <c r="A195" s="32"/>
      <c r="B195" s="82"/>
      <c r="C195" s="76"/>
      <c r="D195" s="76"/>
      <c r="E195" s="77"/>
      <c r="F195" s="84"/>
      <c r="G195" s="79"/>
      <c r="H195" s="80"/>
      <c r="I195" s="79">
        <f>IFERROR(__xludf.DUMMYFUNCTION("""COMPUTED_VALUE"""),0.0)</f>
        <v>0</v>
      </c>
      <c r="J195" s="85"/>
      <c r="K195" s="73"/>
      <c r="L195" s="43"/>
      <c r="M195" s="43"/>
      <c r="N195" s="44"/>
      <c r="O195" s="44"/>
      <c r="P195" s="44"/>
    </row>
    <row r="196" ht="15.0" customHeight="1">
      <c r="A196" s="32"/>
      <c r="B196" s="82"/>
      <c r="C196" s="76"/>
      <c r="D196" s="76"/>
      <c r="E196" s="77"/>
      <c r="F196" s="84"/>
      <c r="G196" s="79"/>
      <c r="H196" s="80"/>
      <c r="I196" s="79">
        <f>IFERROR(__xludf.DUMMYFUNCTION("""COMPUTED_VALUE"""),0.0)</f>
        <v>0</v>
      </c>
      <c r="J196" s="85"/>
      <c r="K196" s="73"/>
      <c r="L196" s="43"/>
      <c r="M196" s="43"/>
      <c r="N196" s="44"/>
      <c r="O196" s="44"/>
      <c r="P196" s="44"/>
    </row>
    <row r="197" ht="15.0" customHeight="1">
      <c r="A197" s="32"/>
      <c r="B197" s="82"/>
      <c r="C197" s="76"/>
      <c r="D197" s="76"/>
      <c r="E197" s="77"/>
      <c r="F197" s="84"/>
      <c r="G197" s="79"/>
      <c r="H197" s="80"/>
      <c r="I197" s="79">
        <f>IFERROR(__xludf.DUMMYFUNCTION("""COMPUTED_VALUE"""),0.0)</f>
        <v>0</v>
      </c>
      <c r="J197" s="85"/>
      <c r="K197" s="73"/>
      <c r="L197" s="43"/>
      <c r="M197" s="43"/>
      <c r="N197" s="44"/>
      <c r="O197" s="44"/>
      <c r="P197" s="44"/>
    </row>
    <row r="198" ht="15.0" customHeight="1">
      <c r="A198" s="32"/>
      <c r="B198" s="82"/>
      <c r="C198" s="76"/>
      <c r="D198" s="76"/>
      <c r="E198" s="77"/>
      <c r="F198" s="84"/>
      <c r="G198" s="79"/>
      <c r="H198" s="80"/>
      <c r="I198" s="79">
        <f>IFERROR(__xludf.DUMMYFUNCTION("""COMPUTED_VALUE"""),0.0)</f>
        <v>0</v>
      </c>
      <c r="J198" s="85"/>
      <c r="K198" s="73"/>
      <c r="L198" s="43"/>
      <c r="M198" s="43"/>
      <c r="N198" s="44"/>
      <c r="O198" s="44"/>
      <c r="P198" s="44"/>
    </row>
    <row r="199" ht="15.0" customHeight="1">
      <c r="A199" s="32"/>
      <c r="B199" s="82"/>
      <c r="C199" s="76"/>
      <c r="D199" s="76"/>
      <c r="E199" s="77"/>
      <c r="F199" s="84"/>
      <c r="G199" s="79"/>
      <c r="H199" s="80"/>
      <c r="I199" s="79">
        <f>IFERROR(__xludf.DUMMYFUNCTION("""COMPUTED_VALUE"""),0.0)</f>
        <v>0</v>
      </c>
      <c r="J199" s="85"/>
      <c r="K199" s="73"/>
      <c r="L199" s="43"/>
      <c r="M199" s="43"/>
      <c r="N199" s="44"/>
      <c r="O199" s="44"/>
      <c r="P199" s="44"/>
    </row>
    <row r="200" ht="15.0" customHeight="1">
      <c r="A200" s="32"/>
      <c r="B200" s="82"/>
      <c r="C200" s="76"/>
      <c r="D200" s="76"/>
      <c r="E200" s="77"/>
      <c r="F200" s="84"/>
      <c r="G200" s="79"/>
      <c r="H200" s="80"/>
      <c r="I200" s="79">
        <f>IFERROR(__xludf.DUMMYFUNCTION("""COMPUTED_VALUE"""),0.0)</f>
        <v>0</v>
      </c>
      <c r="J200" s="85"/>
      <c r="K200" s="73"/>
      <c r="L200" s="43"/>
      <c r="M200" s="43"/>
      <c r="N200" s="44"/>
      <c r="O200" s="44"/>
      <c r="P200" s="44"/>
    </row>
    <row r="201" ht="15.0" customHeight="1">
      <c r="A201" s="32"/>
      <c r="B201" s="82"/>
      <c r="C201" s="76"/>
      <c r="D201" s="76"/>
      <c r="E201" s="77"/>
      <c r="F201" s="84"/>
      <c r="G201" s="79"/>
      <c r="H201" s="80"/>
      <c r="I201" s="79">
        <f>IFERROR(__xludf.DUMMYFUNCTION("""COMPUTED_VALUE"""),0.0)</f>
        <v>0</v>
      </c>
      <c r="J201" s="85"/>
      <c r="K201" s="73"/>
      <c r="L201" s="43"/>
      <c r="M201" s="43"/>
      <c r="N201" s="44"/>
      <c r="O201" s="44"/>
      <c r="P201" s="44"/>
    </row>
    <row r="202" ht="15.0" customHeight="1">
      <c r="A202" s="32"/>
      <c r="B202" s="82"/>
      <c r="C202" s="76"/>
      <c r="D202" s="76"/>
      <c r="E202" s="77"/>
      <c r="F202" s="84"/>
      <c r="G202" s="79"/>
      <c r="H202" s="80"/>
      <c r="I202" s="79">
        <f>IFERROR(__xludf.DUMMYFUNCTION("""COMPUTED_VALUE"""),0.0)</f>
        <v>0</v>
      </c>
      <c r="J202" s="85"/>
      <c r="K202" s="73"/>
      <c r="L202" s="43"/>
      <c r="M202" s="43"/>
      <c r="N202" s="44"/>
      <c r="O202" s="44"/>
      <c r="P202" s="44"/>
    </row>
    <row r="203" ht="15.0" customHeight="1">
      <c r="A203" s="32"/>
      <c r="B203" s="82"/>
      <c r="C203" s="76"/>
      <c r="D203" s="76"/>
      <c r="E203" s="77"/>
      <c r="F203" s="84"/>
      <c r="G203" s="79"/>
      <c r="H203" s="80"/>
      <c r="I203" s="79">
        <f>IFERROR(__xludf.DUMMYFUNCTION("""COMPUTED_VALUE"""),0.0)</f>
        <v>0</v>
      </c>
      <c r="J203" s="85"/>
      <c r="K203" s="73"/>
      <c r="L203" s="43"/>
      <c r="M203" s="43"/>
      <c r="N203" s="44"/>
      <c r="O203" s="44"/>
      <c r="P203" s="44"/>
    </row>
    <row r="204" ht="15.0" customHeight="1">
      <c r="A204" s="32"/>
      <c r="B204" s="82"/>
      <c r="C204" s="76"/>
      <c r="D204" s="76"/>
      <c r="E204" s="77"/>
      <c r="F204" s="84"/>
      <c r="G204" s="79"/>
      <c r="H204" s="80"/>
      <c r="I204" s="79">
        <f>IFERROR(__xludf.DUMMYFUNCTION("""COMPUTED_VALUE"""),0.0)</f>
        <v>0</v>
      </c>
      <c r="J204" s="85"/>
      <c r="K204" s="73"/>
      <c r="L204" s="43"/>
      <c r="M204" s="43"/>
      <c r="N204" s="44"/>
      <c r="O204" s="44"/>
      <c r="P204" s="44"/>
    </row>
    <row r="205" ht="15.0" customHeight="1">
      <c r="A205" s="32"/>
      <c r="B205" s="82"/>
      <c r="C205" s="76"/>
      <c r="D205" s="76"/>
      <c r="E205" s="77"/>
      <c r="F205" s="84"/>
      <c r="G205" s="79"/>
      <c r="H205" s="80"/>
      <c r="I205" s="79">
        <f>IFERROR(__xludf.DUMMYFUNCTION("""COMPUTED_VALUE"""),0.0)</f>
        <v>0</v>
      </c>
      <c r="J205" s="85"/>
      <c r="K205" s="73"/>
      <c r="L205" s="43"/>
      <c r="M205" s="43"/>
      <c r="N205" s="44"/>
      <c r="O205" s="44"/>
      <c r="P205" s="44"/>
    </row>
    <row r="206" ht="15.0" customHeight="1">
      <c r="A206" s="32"/>
      <c r="B206" s="82"/>
      <c r="C206" s="76"/>
      <c r="D206" s="76"/>
      <c r="E206" s="77"/>
      <c r="F206" s="84"/>
      <c r="G206" s="79"/>
      <c r="H206" s="80"/>
      <c r="I206" s="79">
        <f>IFERROR(__xludf.DUMMYFUNCTION("""COMPUTED_VALUE"""),0.0)</f>
        <v>0</v>
      </c>
      <c r="J206" s="85"/>
      <c r="K206" s="73"/>
      <c r="L206" s="43"/>
      <c r="M206" s="43"/>
      <c r="N206" s="44"/>
      <c r="O206" s="44"/>
      <c r="P206" s="44"/>
    </row>
    <row r="207" ht="15.0" customHeight="1">
      <c r="A207" s="32"/>
      <c r="B207" s="82"/>
      <c r="C207" s="76"/>
      <c r="D207" s="76"/>
      <c r="E207" s="77"/>
      <c r="F207" s="84"/>
      <c r="G207" s="79"/>
      <c r="H207" s="80"/>
      <c r="I207" s="79">
        <f>IFERROR(__xludf.DUMMYFUNCTION("""COMPUTED_VALUE"""),0.0)</f>
        <v>0</v>
      </c>
      <c r="J207" s="85"/>
      <c r="K207" s="73"/>
      <c r="L207" s="43"/>
      <c r="M207" s="43"/>
      <c r="N207" s="44"/>
      <c r="O207" s="44"/>
      <c r="P207" s="44"/>
    </row>
    <row r="208" ht="15.0" customHeight="1">
      <c r="A208" s="32"/>
      <c r="B208" s="82"/>
      <c r="C208" s="76"/>
      <c r="D208" s="76"/>
      <c r="E208" s="77"/>
      <c r="F208" s="84"/>
      <c r="G208" s="79"/>
      <c r="H208" s="80"/>
      <c r="I208" s="79">
        <f>IFERROR(__xludf.DUMMYFUNCTION("""COMPUTED_VALUE"""),0.0)</f>
        <v>0</v>
      </c>
      <c r="J208" s="85"/>
      <c r="K208" s="73"/>
      <c r="L208" s="43"/>
      <c r="M208" s="43"/>
      <c r="N208" s="44"/>
      <c r="O208" s="44"/>
      <c r="P208" s="44"/>
    </row>
    <row r="209" ht="15.0" customHeight="1">
      <c r="A209" s="32"/>
      <c r="B209" s="82"/>
      <c r="C209" s="76"/>
      <c r="D209" s="76"/>
      <c r="E209" s="77"/>
      <c r="F209" s="84"/>
      <c r="G209" s="79"/>
      <c r="H209" s="80"/>
      <c r="I209" s="79">
        <f>IFERROR(__xludf.DUMMYFUNCTION("""COMPUTED_VALUE"""),0.0)</f>
        <v>0</v>
      </c>
      <c r="J209" s="85"/>
      <c r="K209" s="73"/>
      <c r="L209" s="43"/>
      <c r="M209" s="43"/>
      <c r="N209" s="44"/>
      <c r="O209" s="44"/>
      <c r="P209" s="44"/>
    </row>
    <row r="210" ht="15.0" customHeight="1">
      <c r="A210" s="32"/>
      <c r="B210" s="82"/>
      <c r="C210" s="76"/>
      <c r="D210" s="76"/>
      <c r="E210" s="77"/>
      <c r="F210" s="84"/>
      <c r="G210" s="79"/>
      <c r="H210" s="80"/>
      <c r="I210" s="79">
        <f>IFERROR(__xludf.DUMMYFUNCTION("""COMPUTED_VALUE"""),0.0)</f>
        <v>0</v>
      </c>
      <c r="J210" s="85"/>
      <c r="K210" s="73"/>
      <c r="L210" s="43"/>
      <c r="M210" s="43"/>
      <c r="N210" s="44"/>
      <c r="O210" s="44"/>
      <c r="P210" s="44"/>
    </row>
    <row r="211" ht="15.0" customHeight="1">
      <c r="A211" s="32"/>
      <c r="B211" s="82"/>
      <c r="C211" s="76"/>
      <c r="D211" s="76"/>
      <c r="E211" s="77"/>
      <c r="F211" s="84"/>
      <c r="G211" s="79"/>
      <c r="H211" s="80"/>
      <c r="I211" s="79">
        <f>IFERROR(__xludf.DUMMYFUNCTION("""COMPUTED_VALUE"""),0.0)</f>
        <v>0</v>
      </c>
      <c r="J211" s="85"/>
      <c r="K211" s="73"/>
      <c r="L211" s="43"/>
      <c r="M211" s="43"/>
      <c r="N211" s="44"/>
      <c r="O211" s="44"/>
      <c r="P211" s="44"/>
    </row>
    <row r="212" ht="15.0" customHeight="1">
      <c r="A212" s="32"/>
      <c r="B212" s="82"/>
      <c r="C212" s="76"/>
      <c r="D212" s="76"/>
      <c r="E212" s="77"/>
      <c r="F212" s="84"/>
      <c r="G212" s="79"/>
      <c r="H212" s="80"/>
      <c r="I212" s="79">
        <f>IFERROR(__xludf.DUMMYFUNCTION("""COMPUTED_VALUE"""),0.0)</f>
        <v>0</v>
      </c>
      <c r="J212" s="85"/>
      <c r="K212" s="73"/>
      <c r="L212" s="43"/>
      <c r="M212" s="43"/>
      <c r="N212" s="44"/>
      <c r="O212" s="44"/>
      <c r="P212" s="44"/>
    </row>
    <row r="213" ht="15.0" customHeight="1">
      <c r="A213" s="32"/>
      <c r="B213" s="82"/>
      <c r="C213" s="76"/>
      <c r="D213" s="76"/>
      <c r="E213" s="77"/>
      <c r="F213" s="84"/>
      <c r="G213" s="79"/>
      <c r="H213" s="80"/>
      <c r="I213" s="79">
        <f>IFERROR(__xludf.DUMMYFUNCTION("""COMPUTED_VALUE"""),0.0)</f>
        <v>0</v>
      </c>
      <c r="J213" s="85"/>
      <c r="K213" s="73"/>
      <c r="L213" s="43"/>
      <c r="M213" s="43"/>
      <c r="N213" s="44"/>
      <c r="O213" s="44"/>
      <c r="P213" s="44"/>
    </row>
    <row r="214" ht="15.0" customHeight="1">
      <c r="A214" s="32"/>
      <c r="B214" s="82"/>
      <c r="C214" s="76"/>
      <c r="D214" s="76"/>
      <c r="E214" s="77"/>
      <c r="F214" s="84"/>
      <c r="G214" s="79"/>
      <c r="H214" s="80"/>
      <c r="I214" s="79">
        <f>IFERROR(__xludf.DUMMYFUNCTION("""COMPUTED_VALUE"""),0.0)</f>
        <v>0</v>
      </c>
      <c r="J214" s="85"/>
      <c r="K214" s="73"/>
      <c r="L214" s="43"/>
      <c r="M214" s="43"/>
      <c r="N214" s="44"/>
      <c r="O214" s="44"/>
      <c r="P214" s="44"/>
    </row>
    <row r="215" ht="15.0" customHeight="1">
      <c r="A215" s="32"/>
      <c r="B215" s="82"/>
      <c r="C215" s="76"/>
      <c r="D215" s="76"/>
      <c r="E215" s="77"/>
      <c r="F215" s="84"/>
      <c r="G215" s="79"/>
      <c r="H215" s="80"/>
      <c r="I215" s="79">
        <f>IFERROR(__xludf.DUMMYFUNCTION("""COMPUTED_VALUE"""),0.0)</f>
        <v>0</v>
      </c>
      <c r="J215" s="85"/>
      <c r="K215" s="73"/>
      <c r="L215" s="43"/>
      <c r="M215" s="43"/>
      <c r="N215" s="44"/>
      <c r="O215" s="44"/>
      <c r="P215" s="44"/>
    </row>
    <row r="216" ht="15.0" customHeight="1">
      <c r="A216" s="32"/>
      <c r="B216" s="82"/>
      <c r="C216" s="76"/>
      <c r="D216" s="76"/>
      <c r="E216" s="77"/>
      <c r="F216" s="84"/>
      <c r="G216" s="79"/>
      <c r="H216" s="80"/>
      <c r="I216" s="79">
        <f>IFERROR(__xludf.DUMMYFUNCTION("""COMPUTED_VALUE"""),0.0)</f>
        <v>0</v>
      </c>
      <c r="J216" s="85"/>
      <c r="K216" s="73"/>
      <c r="L216" s="43"/>
      <c r="M216" s="43"/>
      <c r="N216" s="44"/>
      <c r="O216" s="44"/>
      <c r="P216" s="44"/>
    </row>
    <row r="217" ht="15.0" customHeight="1">
      <c r="A217" s="32"/>
      <c r="B217" s="82"/>
      <c r="C217" s="76"/>
      <c r="D217" s="76"/>
      <c r="E217" s="77"/>
      <c r="F217" s="84"/>
      <c r="G217" s="79"/>
      <c r="H217" s="80"/>
      <c r="I217" s="79">
        <f>IFERROR(__xludf.DUMMYFUNCTION("""COMPUTED_VALUE"""),0.0)</f>
        <v>0</v>
      </c>
      <c r="J217" s="85"/>
      <c r="K217" s="73"/>
      <c r="L217" s="43"/>
      <c r="M217" s="43"/>
      <c r="N217" s="44"/>
      <c r="O217" s="44"/>
      <c r="P217" s="44"/>
    </row>
    <row r="218" ht="15.0" customHeight="1">
      <c r="A218" s="32"/>
      <c r="B218" s="82"/>
      <c r="C218" s="76"/>
      <c r="D218" s="76"/>
      <c r="E218" s="77"/>
      <c r="F218" s="84"/>
      <c r="G218" s="79"/>
      <c r="H218" s="80"/>
      <c r="I218" s="79">
        <f>IFERROR(__xludf.DUMMYFUNCTION("""COMPUTED_VALUE"""),0.0)</f>
        <v>0</v>
      </c>
      <c r="J218" s="85"/>
      <c r="K218" s="73"/>
      <c r="L218" s="43"/>
      <c r="M218" s="43"/>
      <c r="N218" s="44"/>
      <c r="O218" s="44"/>
      <c r="P218" s="44"/>
    </row>
    <row r="219" ht="15.0" customHeight="1">
      <c r="A219" s="32"/>
      <c r="B219" s="82"/>
      <c r="C219" s="76"/>
      <c r="D219" s="76"/>
      <c r="E219" s="77"/>
      <c r="F219" s="84"/>
      <c r="G219" s="79"/>
      <c r="H219" s="80"/>
      <c r="I219" s="79">
        <f>IFERROR(__xludf.DUMMYFUNCTION("""COMPUTED_VALUE"""),0.0)</f>
        <v>0</v>
      </c>
      <c r="J219" s="85"/>
      <c r="K219" s="73"/>
      <c r="L219" s="43"/>
      <c r="M219" s="43"/>
      <c r="N219" s="44"/>
      <c r="O219" s="44"/>
      <c r="P219" s="44"/>
    </row>
    <row r="220" ht="15.0" customHeight="1">
      <c r="A220" s="32"/>
      <c r="B220" s="82"/>
      <c r="C220" s="76"/>
      <c r="D220" s="76"/>
      <c r="E220" s="77"/>
      <c r="F220" s="84"/>
      <c r="G220" s="79"/>
      <c r="H220" s="80"/>
      <c r="I220" s="79">
        <f>IFERROR(__xludf.DUMMYFUNCTION("""COMPUTED_VALUE"""),0.0)</f>
        <v>0</v>
      </c>
      <c r="J220" s="85"/>
      <c r="K220" s="73"/>
      <c r="L220" s="43"/>
      <c r="M220" s="43"/>
      <c r="N220" s="44"/>
      <c r="O220" s="44"/>
      <c r="P220" s="44"/>
    </row>
    <row r="221" ht="15.0" customHeight="1">
      <c r="A221" s="32"/>
      <c r="B221" s="82"/>
      <c r="C221" s="76"/>
      <c r="D221" s="76"/>
      <c r="E221" s="77"/>
      <c r="F221" s="84"/>
      <c r="G221" s="79"/>
      <c r="H221" s="80"/>
      <c r="I221" s="79">
        <f>IFERROR(__xludf.DUMMYFUNCTION("""COMPUTED_VALUE"""),0.0)</f>
        <v>0</v>
      </c>
      <c r="J221" s="85"/>
      <c r="K221" s="73"/>
      <c r="L221" s="43"/>
      <c r="M221" s="43"/>
      <c r="N221" s="44"/>
      <c r="O221" s="44"/>
      <c r="P221" s="44"/>
    </row>
    <row r="222" ht="15.0" customHeight="1">
      <c r="A222" s="32"/>
      <c r="B222" s="82"/>
      <c r="C222" s="76"/>
      <c r="D222" s="76"/>
      <c r="E222" s="77"/>
      <c r="F222" s="84"/>
      <c r="G222" s="79"/>
      <c r="H222" s="80"/>
      <c r="I222" s="79">
        <f>IFERROR(__xludf.DUMMYFUNCTION("""COMPUTED_VALUE"""),0.0)</f>
        <v>0</v>
      </c>
      <c r="J222" s="85"/>
      <c r="K222" s="73"/>
      <c r="L222" s="43"/>
      <c r="M222" s="43"/>
      <c r="N222" s="44"/>
      <c r="O222" s="44"/>
      <c r="P222" s="44"/>
    </row>
    <row r="223" ht="15.0" customHeight="1">
      <c r="A223" s="32"/>
      <c r="B223" s="82"/>
      <c r="C223" s="76"/>
      <c r="D223" s="76"/>
      <c r="E223" s="77"/>
      <c r="F223" s="84"/>
      <c r="G223" s="79"/>
      <c r="H223" s="80"/>
      <c r="I223" s="79">
        <f>IFERROR(__xludf.DUMMYFUNCTION("""COMPUTED_VALUE"""),0.0)</f>
        <v>0</v>
      </c>
      <c r="J223" s="85"/>
      <c r="K223" s="73"/>
      <c r="L223" s="43"/>
      <c r="M223" s="43"/>
      <c r="N223" s="44"/>
      <c r="O223" s="44"/>
      <c r="P223" s="44"/>
    </row>
    <row r="224" ht="15.0" customHeight="1">
      <c r="A224" s="32"/>
      <c r="B224" s="82"/>
      <c r="C224" s="76"/>
      <c r="D224" s="76"/>
      <c r="E224" s="77"/>
      <c r="F224" s="84"/>
      <c r="G224" s="79"/>
      <c r="H224" s="80"/>
      <c r="I224" s="79"/>
      <c r="J224" s="85"/>
      <c r="K224" s="73"/>
      <c r="L224" s="43"/>
      <c r="M224" s="43"/>
      <c r="N224" s="44"/>
      <c r="O224" s="44"/>
      <c r="P224" s="44"/>
    </row>
    <row r="225" ht="15.0" customHeight="1">
      <c r="A225" s="32"/>
      <c r="B225" s="82"/>
      <c r="C225" s="76"/>
      <c r="D225" s="76"/>
      <c r="E225" s="77"/>
      <c r="F225" s="84"/>
      <c r="G225" s="79"/>
      <c r="H225" s="80"/>
      <c r="I225" s="79"/>
      <c r="J225" s="85"/>
      <c r="K225" s="73"/>
      <c r="L225" s="43"/>
      <c r="M225" s="43"/>
      <c r="N225" s="44"/>
      <c r="O225" s="44"/>
      <c r="P225" s="44"/>
    </row>
    <row r="226" ht="15.0" customHeight="1">
      <c r="A226" s="32"/>
      <c r="B226" s="82"/>
      <c r="C226" s="76"/>
      <c r="D226" s="76"/>
      <c r="E226" s="77"/>
      <c r="F226" s="84"/>
      <c r="G226" s="79"/>
      <c r="H226" s="80"/>
      <c r="I226" s="79"/>
      <c r="J226" s="85"/>
      <c r="K226" s="73"/>
      <c r="L226" s="43"/>
      <c r="M226" s="43"/>
      <c r="N226" s="44"/>
      <c r="O226" s="44"/>
      <c r="P226" s="44"/>
    </row>
    <row r="227" ht="15.0" customHeight="1">
      <c r="A227" s="32"/>
      <c r="B227" s="82"/>
      <c r="C227" s="76"/>
      <c r="D227" s="76"/>
      <c r="E227" s="77"/>
      <c r="F227" s="84"/>
      <c r="G227" s="79"/>
      <c r="H227" s="80"/>
      <c r="I227" s="79"/>
      <c r="J227" s="85"/>
      <c r="K227" s="73"/>
      <c r="L227" s="43"/>
      <c r="M227" s="43"/>
      <c r="N227" s="44"/>
      <c r="O227" s="44"/>
      <c r="P227" s="44"/>
    </row>
    <row r="228" ht="15.0" customHeight="1">
      <c r="A228" s="32"/>
      <c r="B228" s="82"/>
      <c r="C228" s="76"/>
      <c r="D228" s="76"/>
      <c r="E228" s="77"/>
      <c r="F228" s="84"/>
      <c r="G228" s="79"/>
      <c r="H228" s="80"/>
      <c r="I228" s="79"/>
      <c r="J228" s="85"/>
      <c r="K228" s="73"/>
      <c r="L228" s="43"/>
      <c r="M228" s="43"/>
      <c r="N228" s="44"/>
      <c r="O228" s="44"/>
      <c r="P228" s="44"/>
    </row>
    <row r="229" ht="15.0" customHeight="1">
      <c r="A229" s="32"/>
      <c r="B229" s="82"/>
      <c r="C229" s="76"/>
      <c r="D229" s="76"/>
      <c r="E229" s="77"/>
      <c r="F229" s="84"/>
      <c r="G229" s="79"/>
      <c r="H229" s="80"/>
      <c r="I229" s="79"/>
      <c r="J229" s="85"/>
      <c r="K229" s="73"/>
      <c r="L229" s="43"/>
      <c r="M229" s="43"/>
      <c r="N229" s="44"/>
      <c r="O229" s="44"/>
      <c r="P229" s="44"/>
    </row>
    <row r="230" ht="15.0" customHeight="1">
      <c r="A230" s="32"/>
      <c r="B230" s="82"/>
      <c r="C230" s="76"/>
      <c r="D230" s="76"/>
      <c r="E230" s="77"/>
      <c r="F230" s="84"/>
      <c r="G230" s="79"/>
      <c r="H230" s="80"/>
      <c r="I230" s="79"/>
      <c r="J230" s="85"/>
      <c r="K230" s="73"/>
      <c r="L230" s="43"/>
      <c r="M230" s="43"/>
      <c r="N230" s="44"/>
      <c r="O230" s="44"/>
      <c r="P230" s="44"/>
    </row>
    <row r="231" ht="15.0" customHeight="1">
      <c r="A231" s="32"/>
      <c r="B231" s="82"/>
      <c r="C231" s="76"/>
      <c r="D231" s="76"/>
      <c r="E231" s="77"/>
      <c r="F231" s="84"/>
      <c r="G231" s="79"/>
      <c r="H231" s="80"/>
      <c r="I231" s="79"/>
      <c r="J231" s="85"/>
      <c r="K231" s="73"/>
      <c r="L231" s="43"/>
      <c r="M231" s="43"/>
      <c r="N231" s="44"/>
      <c r="O231" s="44"/>
      <c r="P231" s="44"/>
    </row>
    <row r="232" ht="15.0" customHeight="1">
      <c r="A232" s="32"/>
      <c r="B232" s="82"/>
      <c r="C232" s="76"/>
      <c r="D232" s="76"/>
      <c r="E232" s="77"/>
      <c r="F232" s="84"/>
      <c r="G232" s="79"/>
      <c r="H232" s="80"/>
      <c r="I232" s="79"/>
      <c r="J232" s="85"/>
      <c r="K232" s="73"/>
      <c r="L232" s="43"/>
      <c r="M232" s="43"/>
      <c r="N232" s="44"/>
      <c r="O232" s="44"/>
      <c r="P232" s="44"/>
    </row>
    <row r="233" ht="15.0" customHeight="1">
      <c r="A233" s="32"/>
      <c r="B233" s="82"/>
      <c r="C233" s="76"/>
      <c r="D233" s="76"/>
      <c r="E233" s="77"/>
      <c r="F233" s="84"/>
      <c r="G233" s="79"/>
      <c r="H233" s="80"/>
      <c r="I233" s="79"/>
      <c r="J233" s="85"/>
      <c r="K233" s="73"/>
      <c r="L233" s="43"/>
      <c r="M233" s="43"/>
      <c r="N233" s="44"/>
      <c r="O233" s="44"/>
      <c r="P233" s="44"/>
    </row>
    <row r="234" ht="15.0" customHeight="1">
      <c r="A234" s="32"/>
      <c r="B234" s="82"/>
      <c r="C234" s="76"/>
      <c r="D234" s="76"/>
      <c r="E234" s="77"/>
      <c r="F234" s="84"/>
      <c r="G234" s="79"/>
      <c r="H234" s="80"/>
      <c r="I234" s="79"/>
      <c r="J234" s="85"/>
      <c r="K234" s="73"/>
      <c r="L234" s="43"/>
      <c r="M234" s="43"/>
      <c r="N234" s="44"/>
      <c r="O234" s="44"/>
      <c r="P234" s="44"/>
    </row>
    <row r="235" ht="15.0" customHeight="1">
      <c r="A235" s="32"/>
      <c r="B235" s="82"/>
      <c r="C235" s="76"/>
      <c r="D235" s="76"/>
      <c r="E235" s="77"/>
      <c r="F235" s="84"/>
      <c r="G235" s="79"/>
      <c r="H235" s="80"/>
      <c r="I235" s="79"/>
      <c r="J235" s="85"/>
      <c r="K235" s="73"/>
      <c r="L235" s="43"/>
      <c r="M235" s="43"/>
      <c r="N235" s="44"/>
      <c r="O235" s="44"/>
      <c r="P235" s="44"/>
    </row>
    <row r="236" ht="15.0" customHeight="1">
      <c r="A236" s="32"/>
      <c r="B236" s="82"/>
      <c r="C236" s="76"/>
      <c r="D236" s="76"/>
      <c r="E236" s="77"/>
      <c r="F236" s="84"/>
      <c r="G236" s="79"/>
      <c r="H236" s="80"/>
      <c r="I236" s="79"/>
      <c r="J236" s="85"/>
      <c r="K236" s="73"/>
      <c r="L236" s="43"/>
      <c r="M236" s="43"/>
      <c r="N236" s="44"/>
      <c r="O236" s="44"/>
      <c r="P236" s="44"/>
    </row>
    <row r="237" ht="15.0" customHeight="1">
      <c r="A237" s="32"/>
      <c r="B237" s="82"/>
      <c r="C237" s="76"/>
      <c r="D237" s="76"/>
      <c r="E237" s="77"/>
      <c r="F237" s="84"/>
      <c r="G237" s="79"/>
      <c r="H237" s="80"/>
      <c r="I237" s="79"/>
      <c r="J237" s="85"/>
      <c r="K237" s="73"/>
      <c r="L237" s="43"/>
      <c r="M237" s="43"/>
      <c r="N237" s="44"/>
      <c r="O237" s="44"/>
      <c r="P237" s="44"/>
    </row>
    <row r="238" ht="15.0" customHeight="1">
      <c r="A238" s="32"/>
      <c r="B238" s="82"/>
      <c r="C238" s="76"/>
      <c r="D238" s="76"/>
      <c r="E238" s="77"/>
      <c r="F238" s="84"/>
      <c r="G238" s="79"/>
      <c r="H238" s="80"/>
      <c r="I238" s="79"/>
      <c r="J238" s="85"/>
      <c r="K238" s="73"/>
      <c r="L238" s="43"/>
      <c r="M238" s="43"/>
      <c r="N238" s="44"/>
      <c r="O238" s="44"/>
      <c r="P238" s="44"/>
    </row>
    <row r="239" ht="15.0" customHeight="1">
      <c r="A239" s="32"/>
      <c r="B239" s="82"/>
      <c r="C239" s="76"/>
      <c r="D239" s="76"/>
      <c r="E239" s="77"/>
      <c r="F239" s="84"/>
      <c r="G239" s="79"/>
      <c r="H239" s="80"/>
      <c r="I239" s="79"/>
      <c r="J239" s="85"/>
      <c r="K239" s="73"/>
      <c r="L239" s="43"/>
      <c r="M239" s="43"/>
      <c r="N239" s="44"/>
      <c r="O239" s="44"/>
      <c r="P239" s="44"/>
    </row>
    <row r="240" ht="15.0" customHeight="1">
      <c r="A240" s="32"/>
      <c r="B240" s="82"/>
      <c r="C240" s="76"/>
      <c r="D240" s="76"/>
      <c r="E240" s="77"/>
      <c r="F240" s="84"/>
      <c r="G240" s="79"/>
      <c r="H240" s="80"/>
      <c r="I240" s="79"/>
      <c r="J240" s="85"/>
      <c r="K240" s="73"/>
      <c r="L240" s="43"/>
      <c r="M240" s="43"/>
      <c r="N240" s="44"/>
      <c r="O240" s="44"/>
      <c r="P240" s="44"/>
    </row>
    <row r="241" ht="15.0" customHeight="1">
      <c r="A241" s="32"/>
      <c r="B241" s="82"/>
      <c r="C241" s="76"/>
      <c r="D241" s="76"/>
      <c r="E241" s="77"/>
      <c r="F241" s="84"/>
      <c r="G241" s="79"/>
      <c r="H241" s="80"/>
      <c r="I241" s="79"/>
      <c r="J241" s="85"/>
      <c r="K241" s="73"/>
      <c r="L241" s="43"/>
      <c r="M241" s="43"/>
      <c r="N241" s="44"/>
      <c r="O241" s="44"/>
      <c r="P241" s="44"/>
    </row>
    <row r="242" ht="15.0" customHeight="1">
      <c r="A242" s="32"/>
      <c r="B242" s="82"/>
      <c r="C242" s="76"/>
      <c r="D242" s="76"/>
      <c r="E242" s="77"/>
      <c r="F242" s="84"/>
      <c r="G242" s="79"/>
      <c r="H242" s="80"/>
      <c r="I242" s="79"/>
      <c r="J242" s="85"/>
      <c r="K242" s="73"/>
      <c r="L242" s="43"/>
      <c r="M242" s="43"/>
      <c r="N242" s="44"/>
      <c r="O242" s="44"/>
      <c r="P242" s="44"/>
    </row>
    <row r="243" ht="15.0" customHeight="1">
      <c r="A243" s="32"/>
      <c r="B243" s="82"/>
      <c r="C243" s="76"/>
      <c r="D243" s="76"/>
      <c r="E243" s="77"/>
      <c r="F243" s="84"/>
      <c r="G243" s="79"/>
      <c r="H243" s="80"/>
      <c r="I243" s="79"/>
      <c r="J243" s="85"/>
      <c r="K243" s="73"/>
      <c r="L243" s="43"/>
      <c r="M243" s="43"/>
      <c r="N243" s="44"/>
      <c r="O243" s="44"/>
      <c r="P243" s="44"/>
    </row>
    <row r="244" ht="15.0" customHeight="1">
      <c r="A244" s="32"/>
      <c r="B244" s="82"/>
      <c r="C244" s="76"/>
      <c r="D244" s="76"/>
      <c r="E244" s="77"/>
      <c r="F244" s="84"/>
      <c r="G244" s="79"/>
      <c r="H244" s="80"/>
      <c r="I244" s="79"/>
      <c r="J244" s="85"/>
      <c r="K244" s="73"/>
      <c r="L244" s="43"/>
      <c r="M244" s="43"/>
      <c r="N244" s="44"/>
      <c r="O244" s="44"/>
      <c r="P244" s="44"/>
    </row>
    <row r="245" ht="15.0" customHeight="1">
      <c r="A245" s="32"/>
      <c r="B245" s="82"/>
      <c r="C245" s="76"/>
      <c r="D245" s="76"/>
      <c r="E245" s="77"/>
      <c r="F245" s="84"/>
      <c r="G245" s="79"/>
      <c r="H245" s="80"/>
      <c r="I245" s="79"/>
      <c r="J245" s="85"/>
      <c r="K245" s="73"/>
      <c r="L245" s="43"/>
      <c r="M245" s="43"/>
      <c r="N245" s="44"/>
      <c r="O245" s="44"/>
      <c r="P245" s="44"/>
    </row>
    <row r="246" ht="15.0" customHeight="1">
      <c r="A246" s="32"/>
      <c r="B246" s="82"/>
      <c r="C246" s="76"/>
      <c r="D246" s="76"/>
      <c r="E246" s="77"/>
      <c r="F246" s="84"/>
      <c r="G246" s="79"/>
      <c r="H246" s="80"/>
      <c r="I246" s="79"/>
      <c r="J246" s="85"/>
      <c r="K246" s="73"/>
      <c r="L246" s="43"/>
      <c r="M246" s="43"/>
      <c r="N246" s="44"/>
      <c r="O246" s="44"/>
      <c r="P246" s="44"/>
    </row>
    <row r="247" ht="15.0" customHeight="1">
      <c r="A247" s="32"/>
      <c r="B247" s="82"/>
      <c r="C247" s="76"/>
      <c r="D247" s="76"/>
      <c r="E247" s="77"/>
      <c r="F247" s="84"/>
      <c r="G247" s="79"/>
      <c r="H247" s="80"/>
      <c r="I247" s="79"/>
      <c r="J247" s="85"/>
      <c r="K247" s="73"/>
      <c r="L247" s="43"/>
      <c r="M247" s="43"/>
      <c r="N247" s="44"/>
      <c r="O247" s="44"/>
      <c r="P247" s="44"/>
    </row>
    <row r="248" ht="15.0" customHeight="1">
      <c r="A248" s="32"/>
      <c r="B248" s="82"/>
      <c r="C248" s="76"/>
      <c r="D248" s="76"/>
      <c r="E248" s="77"/>
      <c r="F248" s="84"/>
      <c r="G248" s="79"/>
      <c r="H248" s="80"/>
      <c r="I248" s="79"/>
      <c r="J248" s="85"/>
      <c r="K248" s="73"/>
      <c r="L248" s="43"/>
      <c r="M248" s="43"/>
      <c r="N248" s="44"/>
      <c r="O248" s="44"/>
      <c r="P248" s="44"/>
    </row>
    <row r="249" ht="15.0" customHeight="1">
      <c r="A249" s="32"/>
      <c r="B249" s="82"/>
      <c r="C249" s="76"/>
      <c r="D249" s="76"/>
      <c r="E249" s="77"/>
      <c r="F249" s="84"/>
      <c r="G249" s="79"/>
      <c r="H249" s="80"/>
      <c r="I249" s="79"/>
      <c r="J249" s="85"/>
      <c r="K249" s="73"/>
      <c r="L249" s="43"/>
      <c r="M249" s="43"/>
      <c r="N249" s="44"/>
      <c r="O249" s="44"/>
      <c r="P249" s="44"/>
    </row>
    <row r="250" ht="15.0" customHeight="1">
      <c r="A250" s="32"/>
      <c r="B250" s="82"/>
      <c r="C250" s="76"/>
      <c r="D250" s="76"/>
      <c r="E250" s="77"/>
      <c r="F250" s="84"/>
      <c r="G250" s="79"/>
      <c r="H250" s="80"/>
      <c r="I250" s="79"/>
      <c r="J250" s="85"/>
      <c r="K250" s="73"/>
      <c r="L250" s="43"/>
      <c r="M250" s="43"/>
      <c r="N250" s="44"/>
      <c r="O250" s="44"/>
      <c r="P250" s="44"/>
    </row>
    <row r="251" ht="15.0" customHeight="1">
      <c r="A251" s="32"/>
      <c r="B251" s="82"/>
      <c r="C251" s="76"/>
      <c r="D251" s="76"/>
      <c r="E251" s="77"/>
      <c r="F251" s="84"/>
      <c r="G251" s="79"/>
      <c r="H251" s="80"/>
      <c r="I251" s="79"/>
      <c r="J251" s="85"/>
      <c r="K251" s="73"/>
      <c r="L251" s="43"/>
      <c r="M251" s="43"/>
      <c r="N251" s="44"/>
      <c r="O251" s="44"/>
      <c r="P251" s="44"/>
    </row>
    <row r="252" ht="15.0" customHeight="1">
      <c r="A252" s="32"/>
      <c r="B252" s="82"/>
      <c r="C252" s="76"/>
      <c r="D252" s="76"/>
      <c r="E252" s="77"/>
      <c r="F252" s="84"/>
      <c r="G252" s="79"/>
      <c r="H252" s="80"/>
      <c r="I252" s="79"/>
      <c r="J252" s="85"/>
      <c r="K252" s="73"/>
      <c r="L252" s="43"/>
      <c r="M252" s="43"/>
      <c r="N252" s="44"/>
      <c r="O252" s="44"/>
      <c r="P252" s="44"/>
    </row>
    <row r="253" ht="15.0" customHeight="1">
      <c r="A253" s="32"/>
      <c r="B253" s="82"/>
      <c r="C253" s="76"/>
      <c r="D253" s="76"/>
      <c r="E253" s="77"/>
      <c r="F253" s="84"/>
      <c r="G253" s="79"/>
      <c r="H253" s="80"/>
      <c r="I253" s="79"/>
      <c r="J253" s="85"/>
      <c r="K253" s="73"/>
      <c r="L253" s="43"/>
      <c r="M253" s="43"/>
      <c r="N253" s="44"/>
      <c r="O253" s="44"/>
      <c r="P253" s="44"/>
    </row>
    <row r="254" ht="15.0" customHeight="1">
      <c r="A254" s="32"/>
      <c r="B254" s="82"/>
      <c r="C254" s="76"/>
      <c r="D254" s="76"/>
      <c r="E254" s="77"/>
      <c r="F254" s="84"/>
      <c r="G254" s="79"/>
      <c r="H254" s="80"/>
      <c r="I254" s="79"/>
      <c r="J254" s="85"/>
      <c r="K254" s="73"/>
      <c r="L254" s="43"/>
      <c r="M254" s="43"/>
      <c r="N254" s="44"/>
      <c r="O254" s="44"/>
      <c r="P254" s="44"/>
    </row>
    <row r="255" ht="15.0" customHeight="1">
      <c r="A255" s="32"/>
      <c r="B255" s="82"/>
      <c r="C255" s="76"/>
      <c r="D255" s="76"/>
      <c r="E255" s="77"/>
      <c r="F255" s="84"/>
      <c r="G255" s="79"/>
      <c r="H255" s="80"/>
      <c r="I255" s="79"/>
      <c r="J255" s="85"/>
      <c r="K255" s="73"/>
      <c r="L255" s="43"/>
      <c r="M255" s="43"/>
      <c r="N255" s="44"/>
      <c r="O255" s="44"/>
      <c r="P255" s="44"/>
    </row>
    <row r="256" ht="15.0" customHeight="1">
      <c r="A256" s="32"/>
      <c r="B256" s="82"/>
      <c r="C256" s="76"/>
      <c r="D256" s="76"/>
      <c r="E256" s="77"/>
      <c r="F256" s="84"/>
      <c r="G256" s="79"/>
      <c r="H256" s="80"/>
      <c r="I256" s="79"/>
      <c r="J256" s="85"/>
      <c r="K256" s="73"/>
      <c r="L256" s="43"/>
      <c r="M256" s="43"/>
      <c r="N256" s="44"/>
      <c r="O256" s="44"/>
      <c r="P256" s="44"/>
    </row>
    <row r="257" ht="15.0" customHeight="1">
      <c r="A257" s="32"/>
      <c r="B257" s="82"/>
      <c r="C257" s="76"/>
      <c r="D257" s="76"/>
      <c r="E257" s="77"/>
      <c r="F257" s="84"/>
      <c r="G257" s="79"/>
      <c r="H257" s="80"/>
      <c r="I257" s="79"/>
      <c r="J257" s="85"/>
      <c r="K257" s="73"/>
      <c r="L257" s="43"/>
      <c r="M257" s="43"/>
      <c r="N257" s="44"/>
      <c r="O257" s="44"/>
      <c r="P257" s="44"/>
    </row>
    <row r="258" ht="15.0" customHeight="1">
      <c r="A258" s="32"/>
      <c r="B258" s="82"/>
      <c r="C258" s="76"/>
      <c r="D258" s="76"/>
      <c r="E258" s="77"/>
      <c r="F258" s="84"/>
      <c r="G258" s="79"/>
      <c r="H258" s="80"/>
      <c r="I258" s="79"/>
      <c r="J258" s="85"/>
      <c r="K258" s="73"/>
      <c r="L258" s="43"/>
      <c r="M258" s="43"/>
      <c r="N258" s="44"/>
      <c r="O258" s="44"/>
      <c r="P258" s="44"/>
    </row>
    <row r="259" ht="15.0" customHeight="1">
      <c r="A259" s="32"/>
      <c r="B259" s="82"/>
      <c r="C259" s="76"/>
      <c r="D259" s="76"/>
      <c r="E259" s="77"/>
      <c r="F259" s="84"/>
      <c r="G259" s="79"/>
      <c r="H259" s="80"/>
      <c r="I259" s="79"/>
      <c r="J259" s="85"/>
      <c r="K259" s="73"/>
      <c r="L259" s="43"/>
      <c r="M259" s="43"/>
      <c r="N259" s="44"/>
      <c r="O259" s="44"/>
      <c r="P259" s="44"/>
    </row>
    <row r="260" ht="15.0" customHeight="1">
      <c r="A260" s="32"/>
      <c r="B260" s="82"/>
      <c r="C260" s="76"/>
      <c r="D260" s="76"/>
      <c r="E260" s="77"/>
      <c r="F260" s="84"/>
      <c r="G260" s="79"/>
      <c r="H260" s="80"/>
      <c r="I260" s="79"/>
      <c r="J260" s="85"/>
      <c r="K260" s="73"/>
      <c r="L260" s="43"/>
      <c r="M260" s="43"/>
      <c r="N260" s="44"/>
      <c r="O260" s="44"/>
      <c r="P260" s="44"/>
    </row>
    <row r="261" ht="15.0" customHeight="1">
      <c r="A261" s="32"/>
      <c r="B261" s="82"/>
      <c r="C261" s="76"/>
      <c r="D261" s="76"/>
      <c r="E261" s="77"/>
      <c r="F261" s="84"/>
      <c r="G261" s="79"/>
      <c r="H261" s="80"/>
      <c r="I261" s="79"/>
      <c r="J261" s="85"/>
      <c r="K261" s="73"/>
      <c r="L261" s="43"/>
      <c r="M261" s="43"/>
      <c r="N261" s="44"/>
      <c r="O261" s="44"/>
      <c r="P261" s="44"/>
    </row>
    <row r="262" ht="15.0" customHeight="1">
      <c r="A262" s="32"/>
      <c r="B262" s="82"/>
      <c r="C262" s="76"/>
      <c r="D262" s="76"/>
      <c r="E262" s="77"/>
      <c r="F262" s="84"/>
      <c r="G262" s="79"/>
      <c r="H262" s="80"/>
      <c r="I262" s="79"/>
      <c r="J262" s="85"/>
      <c r="K262" s="73"/>
      <c r="L262" s="43"/>
      <c r="M262" s="43"/>
      <c r="N262" s="44"/>
      <c r="O262" s="44"/>
      <c r="P262" s="44"/>
    </row>
    <row r="263" ht="15.0" customHeight="1">
      <c r="A263" s="32"/>
      <c r="B263" s="82"/>
      <c r="C263" s="76"/>
      <c r="D263" s="76"/>
      <c r="E263" s="77"/>
      <c r="F263" s="84"/>
      <c r="G263" s="79"/>
      <c r="H263" s="80"/>
      <c r="I263" s="79"/>
      <c r="J263" s="85"/>
      <c r="K263" s="73"/>
      <c r="L263" s="43"/>
      <c r="M263" s="43"/>
      <c r="N263" s="44"/>
      <c r="O263" s="44"/>
      <c r="P263" s="44"/>
    </row>
    <row r="264" ht="15.0" customHeight="1">
      <c r="A264" s="32"/>
      <c r="B264" s="82"/>
      <c r="C264" s="76"/>
      <c r="D264" s="76"/>
      <c r="E264" s="77"/>
      <c r="F264" s="84"/>
      <c r="G264" s="79"/>
      <c r="H264" s="80"/>
      <c r="I264" s="79"/>
      <c r="J264" s="85"/>
      <c r="K264" s="73"/>
      <c r="L264" s="43"/>
      <c r="M264" s="43"/>
      <c r="N264" s="44"/>
      <c r="O264" s="44"/>
      <c r="P264" s="44"/>
    </row>
    <row r="265" ht="15.0" customHeight="1">
      <c r="A265" s="32"/>
      <c r="B265" s="82"/>
      <c r="C265" s="76"/>
      <c r="D265" s="76"/>
      <c r="E265" s="77"/>
      <c r="F265" s="84"/>
      <c r="G265" s="79"/>
      <c r="H265" s="80"/>
      <c r="I265" s="79"/>
      <c r="J265" s="85"/>
      <c r="K265" s="73"/>
      <c r="L265" s="43"/>
      <c r="M265" s="43"/>
      <c r="N265" s="44"/>
      <c r="O265" s="44"/>
      <c r="P265" s="44"/>
    </row>
    <row r="266" ht="15.0" customHeight="1">
      <c r="A266" s="32"/>
      <c r="B266" s="82"/>
      <c r="C266" s="76"/>
      <c r="D266" s="76"/>
      <c r="E266" s="77"/>
      <c r="F266" s="84"/>
      <c r="G266" s="79"/>
      <c r="H266" s="80"/>
      <c r="I266" s="79"/>
      <c r="J266" s="85"/>
      <c r="K266" s="73"/>
      <c r="L266" s="43"/>
      <c r="M266" s="43"/>
      <c r="N266" s="44"/>
      <c r="O266" s="44"/>
      <c r="P266" s="44"/>
    </row>
    <row r="267" ht="15.0" customHeight="1">
      <c r="A267" s="32"/>
      <c r="B267" s="82"/>
      <c r="C267" s="76"/>
      <c r="D267" s="76"/>
      <c r="E267" s="77"/>
      <c r="F267" s="84"/>
      <c r="G267" s="79"/>
      <c r="H267" s="80"/>
      <c r="I267" s="79"/>
      <c r="J267" s="85"/>
      <c r="K267" s="73"/>
      <c r="L267" s="43"/>
      <c r="M267" s="43"/>
      <c r="N267" s="44"/>
      <c r="O267" s="44"/>
      <c r="P267" s="44"/>
    </row>
    <row r="268" ht="15.0" customHeight="1">
      <c r="A268" s="32"/>
      <c r="B268" s="82"/>
      <c r="C268" s="76"/>
      <c r="D268" s="76"/>
      <c r="E268" s="77"/>
      <c r="F268" s="84"/>
      <c r="G268" s="79"/>
      <c r="H268" s="80"/>
      <c r="I268" s="79"/>
      <c r="J268" s="85"/>
      <c r="K268" s="73"/>
      <c r="L268" s="43"/>
      <c r="M268" s="43"/>
      <c r="N268" s="44"/>
      <c r="O268" s="44"/>
      <c r="P268" s="44"/>
    </row>
    <row r="269" ht="15.0" customHeight="1">
      <c r="A269" s="32"/>
      <c r="B269" s="82"/>
      <c r="C269" s="76"/>
      <c r="D269" s="76"/>
      <c r="E269" s="77"/>
      <c r="F269" s="84"/>
      <c r="G269" s="79"/>
      <c r="H269" s="80"/>
      <c r="I269" s="79"/>
      <c r="J269" s="85"/>
      <c r="K269" s="73"/>
      <c r="L269" s="43"/>
      <c r="M269" s="43"/>
      <c r="N269" s="44"/>
      <c r="O269" s="44"/>
      <c r="P269" s="44"/>
    </row>
    <row r="270" ht="15.0" customHeight="1">
      <c r="A270" s="32"/>
      <c r="B270" s="82"/>
      <c r="C270" s="76"/>
      <c r="D270" s="76"/>
      <c r="E270" s="77"/>
      <c r="F270" s="84"/>
      <c r="G270" s="79"/>
      <c r="H270" s="80"/>
      <c r="I270" s="79"/>
      <c r="J270" s="85"/>
      <c r="K270" s="73"/>
      <c r="L270" s="43"/>
      <c r="M270" s="43"/>
      <c r="N270" s="44"/>
      <c r="O270" s="44"/>
      <c r="P270" s="44"/>
    </row>
    <row r="271" ht="15.0" customHeight="1">
      <c r="A271" s="32"/>
      <c r="B271" s="82"/>
      <c r="C271" s="76"/>
      <c r="D271" s="76"/>
      <c r="E271" s="77"/>
      <c r="F271" s="84"/>
      <c r="G271" s="79"/>
      <c r="H271" s="80"/>
      <c r="I271" s="79"/>
      <c r="J271" s="85"/>
      <c r="K271" s="73"/>
      <c r="L271" s="43"/>
      <c r="M271" s="43"/>
      <c r="N271" s="44"/>
      <c r="O271" s="44"/>
      <c r="P271" s="44"/>
    </row>
    <row r="272" ht="15.0" customHeight="1">
      <c r="A272" s="32"/>
      <c r="B272" s="82"/>
      <c r="C272" s="76"/>
      <c r="D272" s="76"/>
      <c r="E272" s="77"/>
      <c r="F272" s="84"/>
      <c r="G272" s="79"/>
      <c r="H272" s="80"/>
      <c r="I272" s="79"/>
      <c r="J272" s="85"/>
      <c r="K272" s="73"/>
      <c r="L272" s="43"/>
      <c r="M272" s="43"/>
      <c r="N272" s="44"/>
      <c r="O272" s="44"/>
      <c r="P272" s="44"/>
    </row>
    <row r="273" ht="15.0" customHeight="1">
      <c r="A273" s="32"/>
      <c r="B273" s="82"/>
      <c r="C273" s="76"/>
      <c r="D273" s="76"/>
      <c r="E273" s="77"/>
      <c r="F273" s="84"/>
      <c r="G273" s="79"/>
      <c r="H273" s="80"/>
      <c r="I273" s="79"/>
      <c r="J273" s="85"/>
      <c r="K273" s="73"/>
      <c r="L273" s="43"/>
      <c r="M273" s="43"/>
      <c r="N273" s="44"/>
      <c r="O273" s="44"/>
      <c r="P273" s="44"/>
    </row>
    <row r="274" ht="15.0" customHeight="1">
      <c r="A274" s="32"/>
      <c r="B274" s="82"/>
      <c r="C274" s="76"/>
      <c r="D274" s="76"/>
      <c r="E274" s="77"/>
      <c r="F274" s="84"/>
      <c r="G274" s="79"/>
      <c r="H274" s="80"/>
      <c r="I274" s="79"/>
      <c r="J274" s="85"/>
      <c r="K274" s="73"/>
      <c r="L274" s="43"/>
      <c r="M274" s="43"/>
      <c r="N274" s="44"/>
      <c r="O274" s="44"/>
      <c r="P274" s="44"/>
    </row>
    <row r="275" ht="15.0" customHeight="1">
      <c r="A275" s="32"/>
      <c r="B275" s="82"/>
      <c r="C275" s="76"/>
      <c r="D275" s="76"/>
      <c r="E275" s="77"/>
      <c r="F275" s="84"/>
      <c r="G275" s="79"/>
      <c r="H275" s="80"/>
      <c r="I275" s="79"/>
      <c r="J275" s="85"/>
      <c r="K275" s="73"/>
      <c r="L275" s="43"/>
      <c r="M275" s="43"/>
      <c r="N275" s="44"/>
      <c r="O275" s="44"/>
      <c r="P275" s="44"/>
    </row>
    <row r="276" ht="15.0" customHeight="1">
      <c r="A276" s="32"/>
      <c r="B276" s="82"/>
      <c r="C276" s="76"/>
      <c r="D276" s="76"/>
      <c r="E276" s="77"/>
      <c r="F276" s="84"/>
      <c r="G276" s="79"/>
      <c r="H276" s="80"/>
      <c r="I276" s="79"/>
      <c r="J276" s="85"/>
      <c r="K276" s="73"/>
      <c r="L276" s="43"/>
      <c r="M276" s="43"/>
      <c r="N276" s="44"/>
      <c r="O276" s="44"/>
      <c r="P276" s="44"/>
    </row>
    <row r="277" ht="15.0" customHeight="1">
      <c r="A277" s="32"/>
      <c r="B277" s="82"/>
      <c r="C277" s="76"/>
      <c r="D277" s="76"/>
      <c r="E277" s="77"/>
      <c r="F277" s="84"/>
      <c r="G277" s="79"/>
      <c r="H277" s="80"/>
      <c r="I277" s="79"/>
      <c r="J277" s="85"/>
      <c r="K277" s="73"/>
      <c r="L277" s="43"/>
      <c r="M277" s="43"/>
      <c r="N277" s="44"/>
      <c r="O277" s="44"/>
      <c r="P277" s="44"/>
    </row>
    <row r="278" ht="15.0" customHeight="1">
      <c r="A278" s="32"/>
      <c r="B278" s="82"/>
      <c r="C278" s="76"/>
      <c r="D278" s="76"/>
      <c r="E278" s="77"/>
      <c r="F278" s="84"/>
      <c r="G278" s="79"/>
      <c r="H278" s="80"/>
      <c r="I278" s="79"/>
      <c r="J278" s="85"/>
      <c r="K278" s="73"/>
      <c r="L278" s="43"/>
      <c r="M278" s="43"/>
      <c r="N278" s="44"/>
      <c r="O278" s="44"/>
      <c r="P278" s="44"/>
    </row>
    <row r="279" ht="15.0" customHeight="1">
      <c r="A279" s="32"/>
      <c r="B279" s="82"/>
      <c r="C279" s="76"/>
      <c r="D279" s="76"/>
      <c r="E279" s="77"/>
      <c r="F279" s="84"/>
      <c r="G279" s="79"/>
      <c r="H279" s="80"/>
      <c r="I279" s="79"/>
      <c r="J279" s="85"/>
      <c r="K279" s="73"/>
      <c r="L279" s="43"/>
      <c r="M279" s="43"/>
      <c r="N279" s="44"/>
      <c r="O279" s="44"/>
      <c r="P279" s="44"/>
    </row>
    <row r="280" ht="15.0" customHeight="1">
      <c r="A280" s="32"/>
      <c r="B280" s="82"/>
      <c r="C280" s="76"/>
      <c r="D280" s="76"/>
      <c r="E280" s="77"/>
      <c r="F280" s="84"/>
      <c r="G280" s="79"/>
      <c r="H280" s="80"/>
      <c r="I280" s="79"/>
      <c r="J280" s="85"/>
      <c r="K280" s="73"/>
      <c r="L280" s="43"/>
      <c r="M280" s="43"/>
      <c r="N280" s="44"/>
      <c r="O280" s="44"/>
      <c r="P280" s="44"/>
    </row>
    <row r="281" ht="15.0" customHeight="1">
      <c r="A281" s="32"/>
      <c r="B281" s="82"/>
      <c r="C281" s="76"/>
      <c r="D281" s="76"/>
      <c r="E281" s="77"/>
      <c r="F281" s="84"/>
      <c r="G281" s="79"/>
      <c r="H281" s="80"/>
      <c r="I281" s="79"/>
      <c r="J281" s="85"/>
      <c r="K281" s="73"/>
      <c r="L281" s="43"/>
      <c r="M281" s="43"/>
      <c r="N281" s="44"/>
      <c r="O281" s="44"/>
      <c r="P281" s="44"/>
    </row>
    <row r="282" ht="15.0" customHeight="1">
      <c r="A282" s="32"/>
      <c r="B282" s="82"/>
      <c r="C282" s="76"/>
      <c r="D282" s="76"/>
      <c r="E282" s="77"/>
      <c r="F282" s="84"/>
      <c r="G282" s="79"/>
      <c r="H282" s="80"/>
      <c r="I282" s="79"/>
      <c r="J282" s="85"/>
      <c r="K282" s="73"/>
      <c r="L282" s="43"/>
      <c r="M282" s="43"/>
      <c r="N282" s="44"/>
      <c r="O282" s="44"/>
      <c r="P282" s="44"/>
    </row>
    <row r="283" ht="15.0" customHeight="1">
      <c r="A283" s="32"/>
      <c r="B283" s="82"/>
      <c r="C283" s="76"/>
      <c r="D283" s="76"/>
      <c r="E283" s="77"/>
      <c r="F283" s="84"/>
      <c r="G283" s="79"/>
      <c r="H283" s="80"/>
      <c r="I283" s="79"/>
      <c r="J283" s="85"/>
      <c r="K283" s="73"/>
      <c r="L283" s="43"/>
      <c r="M283" s="43"/>
      <c r="N283" s="44"/>
      <c r="O283" s="44"/>
      <c r="P283" s="44"/>
    </row>
    <row r="284" ht="15.0" customHeight="1">
      <c r="A284" s="32"/>
      <c r="B284" s="82"/>
      <c r="C284" s="76"/>
      <c r="D284" s="76"/>
      <c r="E284" s="77"/>
      <c r="F284" s="84"/>
      <c r="G284" s="79"/>
      <c r="H284" s="80"/>
      <c r="I284" s="79"/>
      <c r="J284" s="85"/>
      <c r="K284" s="73"/>
      <c r="L284" s="43"/>
      <c r="M284" s="43"/>
      <c r="N284" s="44"/>
      <c r="O284" s="44"/>
      <c r="P284" s="44"/>
    </row>
    <row r="285" ht="15.0" customHeight="1">
      <c r="A285" s="32"/>
      <c r="B285" s="82"/>
      <c r="C285" s="76"/>
      <c r="D285" s="76"/>
      <c r="E285" s="77"/>
      <c r="F285" s="84"/>
      <c r="G285" s="79"/>
      <c r="H285" s="80"/>
      <c r="I285" s="79"/>
      <c r="J285" s="85"/>
      <c r="K285" s="73"/>
      <c r="L285" s="43"/>
      <c r="M285" s="43"/>
      <c r="N285" s="44"/>
      <c r="O285" s="44"/>
      <c r="P285" s="44"/>
    </row>
    <row r="286" ht="15.0" customHeight="1">
      <c r="A286" s="32"/>
      <c r="B286" s="82"/>
      <c r="C286" s="76"/>
      <c r="D286" s="76"/>
      <c r="E286" s="77"/>
      <c r="F286" s="84"/>
      <c r="G286" s="79"/>
      <c r="H286" s="80"/>
      <c r="I286" s="79"/>
      <c r="J286" s="85"/>
      <c r="K286" s="73"/>
      <c r="L286" s="43"/>
      <c r="M286" s="43"/>
      <c r="N286" s="44"/>
      <c r="O286" s="44"/>
      <c r="P286" s="44"/>
    </row>
    <row r="287" ht="15.0" customHeight="1">
      <c r="A287" s="32"/>
      <c r="B287" s="82"/>
      <c r="C287" s="76"/>
      <c r="D287" s="76"/>
      <c r="E287" s="77"/>
      <c r="F287" s="84"/>
      <c r="G287" s="79"/>
      <c r="H287" s="80"/>
      <c r="I287" s="79"/>
      <c r="J287" s="85"/>
      <c r="K287" s="73"/>
      <c r="L287" s="43"/>
      <c r="M287" s="43"/>
      <c r="N287" s="44"/>
      <c r="O287" s="44"/>
      <c r="P287" s="44"/>
    </row>
    <row r="288" ht="15.0" customHeight="1">
      <c r="A288" s="32"/>
      <c r="B288" s="82"/>
      <c r="C288" s="76"/>
      <c r="D288" s="76"/>
      <c r="E288" s="77"/>
      <c r="F288" s="84"/>
      <c r="G288" s="79"/>
      <c r="H288" s="80"/>
      <c r="I288" s="79"/>
      <c r="J288" s="85"/>
      <c r="K288" s="73"/>
      <c r="L288" s="43"/>
      <c r="M288" s="43"/>
      <c r="N288" s="44"/>
      <c r="O288" s="44"/>
      <c r="P288" s="44"/>
    </row>
    <row r="289" ht="15.0" customHeight="1">
      <c r="A289" s="32"/>
      <c r="B289" s="82"/>
      <c r="C289" s="76"/>
      <c r="D289" s="76"/>
      <c r="E289" s="77"/>
      <c r="F289" s="84"/>
      <c r="G289" s="79"/>
      <c r="H289" s="80"/>
      <c r="I289" s="79"/>
      <c r="J289" s="85"/>
      <c r="K289" s="73"/>
      <c r="L289" s="43"/>
      <c r="M289" s="43"/>
      <c r="N289" s="44"/>
      <c r="O289" s="44"/>
      <c r="P289" s="44"/>
    </row>
    <row r="290" ht="15.0" customHeight="1">
      <c r="A290" s="32"/>
      <c r="B290" s="82"/>
      <c r="C290" s="76"/>
      <c r="D290" s="76"/>
      <c r="E290" s="77"/>
      <c r="F290" s="84"/>
      <c r="G290" s="79"/>
      <c r="H290" s="80"/>
      <c r="I290" s="79"/>
      <c r="J290" s="85"/>
      <c r="K290" s="73"/>
      <c r="L290" s="43"/>
      <c r="M290" s="43"/>
      <c r="N290" s="44"/>
      <c r="O290" s="44"/>
      <c r="P290" s="44"/>
    </row>
    <row r="291" ht="15.0" customHeight="1">
      <c r="A291" s="32"/>
      <c r="B291" s="82"/>
      <c r="C291" s="76"/>
      <c r="D291" s="76"/>
      <c r="E291" s="77"/>
      <c r="F291" s="84"/>
      <c r="G291" s="79"/>
      <c r="H291" s="80"/>
      <c r="I291" s="79"/>
      <c r="J291" s="85"/>
      <c r="K291" s="73"/>
      <c r="L291" s="43"/>
      <c r="M291" s="43"/>
      <c r="N291" s="44"/>
      <c r="O291" s="44"/>
      <c r="P291" s="44"/>
    </row>
    <row r="292" ht="15.0" customHeight="1">
      <c r="A292" s="32"/>
      <c r="B292" s="82"/>
      <c r="C292" s="76"/>
      <c r="D292" s="76"/>
      <c r="E292" s="77"/>
      <c r="F292" s="84"/>
      <c r="G292" s="79"/>
      <c r="H292" s="80"/>
      <c r="I292" s="79"/>
      <c r="J292" s="85"/>
      <c r="K292" s="73"/>
      <c r="L292" s="43"/>
      <c r="M292" s="43"/>
      <c r="N292" s="44"/>
      <c r="O292" s="44"/>
      <c r="P292" s="44"/>
    </row>
    <row r="293" ht="15.0" customHeight="1">
      <c r="A293" s="32"/>
      <c r="B293" s="82"/>
      <c r="C293" s="76"/>
      <c r="D293" s="76"/>
      <c r="E293" s="77"/>
      <c r="F293" s="84"/>
      <c r="G293" s="79"/>
      <c r="H293" s="80"/>
      <c r="I293" s="79"/>
      <c r="J293" s="85"/>
      <c r="K293" s="73"/>
      <c r="L293" s="43"/>
      <c r="M293" s="43"/>
      <c r="N293" s="44"/>
      <c r="O293" s="44"/>
      <c r="P293" s="44"/>
    </row>
    <row r="294" ht="15.0" customHeight="1">
      <c r="A294" s="32"/>
      <c r="B294" s="82"/>
      <c r="C294" s="76"/>
      <c r="D294" s="76"/>
      <c r="E294" s="77"/>
      <c r="F294" s="84"/>
      <c r="G294" s="79"/>
      <c r="H294" s="80"/>
      <c r="I294" s="79"/>
      <c r="J294" s="85"/>
      <c r="K294" s="73"/>
      <c r="L294" s="43"/>
      <c r="M294" s="43"/>
      <c r="N294" s="44"/>
      <c r="O294" s="44"/>
      <c r="P294" s="44"/>
    </row>
    <row r="295" ht="15.0" customHeight="1">
      <c r="A295" s="32"/>
      <c r="B295" s="82"/>
      <c r="C295" s="76"/>
      <c r="D295" s="76"/>
      <c r="E295" s="77"/>
      <c r="F295" s="84"/>
      <c r="G295" s="79"/>
      <c r="H295" s="80"/>
      <c r="I295" s="79"/>
      <c r="J295" s="85"/>
      <c r="K295" s="73"/>
      <c r="L295" s="43"/>
      <c r="M295" s="43"/>
      <c r="N295" s="44"/>
      <c r="O295" s="44"/>
      <c r="P295" s="44"/>
    </row>
    <row r="296" ht="15.0" customHeight="1">
      <c r="A296" s="32"/>
      <c r="B296" s="82"/>
      <c r="C296" s="76"/>
      <c r="D296" s="76"/>
      <c r="E296" s="77"/>
      <c r="F296" s="84"/>
      <c r="G296" s="79"/>
      <c r="H296" s="80"/>
      <c r="I296" s="79"/>
      <c r="J296" s="85"/>
      <c r="K296" s="73"/>
      <c r="L296" s="43"/>
      <c r="M296" s="43"/>
      <c r="N296" s="44"/>
      <c r="O296" s="44"/>
      <c r="P296" s="44"/>
    </row>
    <row r="297" ht="15.0" customHeight="1">
      <c r="A297" s="32"/>
      <c r="B297" s="82"/>
      <c r="C297" s="76"/>
      <c r="D297" s="76"/>
      <c r="E297" s="77"/>
      <c r="F297" s="84"/>
      <c r="G297" s="79"/>
      <c r="H297" s="80"/>
      <c r="I297" s="79"/>
      <c r="J297" s="85"/>
      <c r="K297" s="73"/>
      <c r="L297" s="43"/>
      <c r="M297" s="43"/>
      <c r="N297" s="44"/>
      <c r="O297" s="44"/>
      <c r="P297" s="44"/>
    </row>
    <row r="298" ht="15.0" customHeight="1">
      <c r="A298" s="32"/>
      <c r="B298" s="82"/>
      <c r="C298" s="76"/>
      <c r="D298" s="76"/>
      <c r="E298" s="77"/>
      <c r="F298" s="84"/>
      <c r="G298" s="79"/>
      <c r="H298" s="80"/>
      <c r="I298" s="79"/>
      <c r="J298" s="85"/>
      <c r="K298" s="73"/>
      <c r="L298" s="43"/>
      <c r="M298" s="43"/>
      <c r="N298" s="44"/>
      <c r="O298" s="44"/>
      <c r="P298" s="44"/>
    </row>
    <row r="299" ht="15.0" customHeight="1">
      <c r="A299" s="32"/>
      <c r="B299" s="82"/>
      <c r="C299" s="76"/>
      <c r="D299" s="76"/>
      <c r="E299" s="77"/>
      <c r="F299" s="84"/>
      <c r="G299" s="79"/>
      <c r="H299" s="80"/>
      <c r="I299" s="79"/>
      <c r="J299" s="85"/>
      <c r="K299" s="73"/>
      <c r="L299" s="43"/>
      <c r="M299" s="43"/>
      <c r="N299" s="44"/>
      <c r="O299" s="44"/>
      <c r="P299" s="44"/>
    </row>
    <row r="300" ht="15.0" customHeight="1">
      <c r="A300" s="32"/>
      <c r="B300" s="82"/>
      <c r="C300" s="76"/>
      <c r="D300" s="76"/>
      <c r="E300" s="77"/>
      <c r="F300" s="84"/>
      <c r="G300" s="79"/>
      <c r="H300" s="80"/>
      <c r="I300" s="79"/>
      <c r="J300" s="85"/>
      <c r="K300" s="73"/>
      <c r="L300" s="43"/>
      <c r="M300" s="43"/>
      <c r="N300" s="44"/>
      <c r="O300" s="44"/>
      <c r="P300" s="44"/>
    </row>
    <row r="301" ht="15.0" customHeight="1">
      <c r="A301" s="32"/>
      <c r="B301" s="82"/>
      <c r="C301" s="76"/>
      <c r="D301" s="76"/>
      <c r="E301" s="77"/>
      <c r="F301" s="84"/>
      <c r="G301" s="79"/>
      <c r="H301" s="80"/>
      <c r="I301" s="79"/>
      <c r="J301" s="85"/>
      <c r="K301" s="73"/>
      <c r="L301" s="43"/>
      <c r="M301" s="43"/>
      <c r="N301" s="44"/>
      <c r="O301" s="44"/>
      <c r="P301" s="44"/>
    </row>
    <row r="302" ht="15.0" customHeight="1">
      <c r="A302" s="32"/>
      <c r="B302" s="82"/>
      <c r="C302" s="76"/>
      <c r="D302" s="76"/>
      <c r="E302" s="77"/>
      <c r="F302" s="84"/>
      <c r="G302" s="79"/>
      <c r="H302" s="80"/>
      <c r="I302" s="79"/>
      <c r="J302" s="85"/>
      <c r="K302" s="73"/>
      <c r="L302" s="43"/>
      <c r="M302" s="43"/>
      <c r="N302" s="44"/>
      <c r="O302" s="44"/>
      <c r="P302" s="44"/>
    </row>
    <row r="303" ht="15.0" customHeight="1">
      <c r="A303" s="32"/>
      <c r="B303" s="82"/>
      <c r="C303" s="76"/>
      <c r="D303" s="76"/>
      <c r="E303" s="77"/>
      <c r="F303" s="84"/>
      <c r="G303" s="79"/>
      <c r="H303" s="80"/>
      <c r="I303" s="79"/>
      <c r="J303" s="85"/>
      <c r="K303" s="73"/>
      <c r="L303" s="43"/>
      <c r="M303" s="43"/>
      <c r="N303" s="44"/>
      <c r="O303" s="44"/>
      <c r="P303" s="44"/>
    </row>
    <row r="304" ht="15.0" customHeight="1">
      <c r="A304" s="32"/>
      <c r="B304" s="82"/>
      <c r="C304" s="76"/>
      <c r="D304" s="76"/>
      <c r="E304" s="77"/>
      <c r="F304" s="84"/>
      <c r="G304" s="79"/>
      <c r="H304" s="80"/>
      <c r="I304" s="79"/>
      <c r="J304" s="85"/>
      <c r="K304" s="73"/>
      <c r="L304" s="43"/>
      <c r="M304" s="43"/>
      <c r="N304" s="44"/>
      <c r="O304" s="44"/>
      <c r="P304" s="44"/>
    </row>
    <row r="305" ht="15.0" customHeight="1">
      <c r="A305" s="32"/>
      <c r="B305" s="82"/>
      <c r="C305" s="76"/>
      <c r="D305" s="76"/>
      <c r="E305" s="77"/>
      <c r="F305" s="84"/>
      <c r="G305" s="79"/>
      <c r="H305" s="80"/>
      <c r="I305" s="79"/>
      <c r="J305" s="85"/>
      <c r="K305" s="73"/>
      <c r="L305" s="43"/>
      <c r="M305" s="43"/>
      <c r="N305" s="44"/>
      <c r="O305" s="44"/>
      <c r="P305" s="44"/>
    </row>
    <row r="306" ht="15.0" customHeight="1">
      <c r="A306" s="32"/>
      <c r="B306" s="82"/>
      <c r="C306" s="76"/>
      <c r="D306" s="76"/>
      <c r="E306" s="77"/>
      <c r="F306" s="84"/>
      <c r="G306" s="79"/>
      <c r="H306" s="80"/>
      <c r="I306" s="79"/>
      <c r="J306" s="85"/>
      <c r="K306" s="73"/>
      <c r="L306" s="43"/>
      <c r="M306" s="43"/>
      <c r="N306" s="44"/>
      <c r="O306" s="44"/>
      <c r="P306" s="44"/>
    </row>
    <row r="307" ht="15.0" customHeight="1">
      <c r="A307" s="32"/>
      <c r="B307" s="82"/>
      <c r="C307" s="76"/>
      <c r="D307" s="76"/>
      <c r="E307" s="77"/>
      <c r="F307" s="84"/>
      <c r="G307" s="79"/>
      <c r="H307" s="80"/>
      <c r="I307" s="79"/>
      <c r="J307" s="85"/>
      <c r="K307" s="73"/>
      <c r="L307" s="43"/>
      <c r="M307" s="43"/>
      <c r="N307" s="44"/>
      <c r="O307" s="44"/>
      <c r="P307" s="44"/>
    </row>
    <row r="308" ht="15.0" customHeight="1">
      <c r="A308" s="32"/>
      <c r="B308" s="82"/>
      <c r="C308" s="76"/>
      <c r="D308" s="76"/>
      <c r="E308" s="77"/>
      <c r="F308" s="84"/>
      <c r="G308" s="79"/>
      <c r="H308" s="80"/>
      <c r="I308" s="79"/>
      <c r="J308" s="85"/>
      <c r="K308" s="73"/>
      <c r="L308" s="43"/>
      <c r="M308" s="43"/>
      <c r="N308" s="44"/>
      <c r="O308" s="44"/>
      <c r="P308" s="44"/>
    </row>
    <row r="309" ht="15.0" customHeight="1">
      <c r="A309" s="32"/>
      <c r="B309" s="82"/>
      <c r="C309" s="76"/>
      <c r="D309" s="76"/>
      <c r="E309" s="77"/>
      <c r="F309" s="84"/>
      <c r="G309" s="79"/>
      <c r="H309" s="80"/>
      <c r="I309" s="79"/>
      <c r="J309" s="85"/>
      <c r="K309" s="73"/>
      <c r="L309" s="43"/>
      <c r="M309" s="43"/>
      <c r="N309" s="44"/>
      <c r="O309" s="44"/>
      <c r="P309" s="44"/>
    </row>
    <row r="310" ht="15.0" customHeight="1">
      <c r="A310" s="32"/>
      <c r="B310" s="82"/>
      <c r="C310" s="76"/>
      <c r="D310" s="76"/>
      <c r="E310" s="77"/>
      <c r="F310" s="84"/>
      <c r="G310" s="79"/>
      <c r="H310" s="80"/>
      <c r="I310" s="79"/>
      <c r="J310" s="85"/>
      <c r="K310" s="73"/>
      <c r="L310" s="43"/>
      <c r="M310" s="43"/>
      <c r="N310" s="44"/>
      <c r="O310" s="44"/>
      <c r="P310" s="44"/>
    </row>
    <row r="311" ht="15.0" customHeight="1">
      <c r="A311" s="32"/>
      <c r="B311" s="82"/>
      <c r="C311" s="76"/>
      <c r="D311" s="76"/>
      <c r="E311" s="77"/>
      <c r="F311" s="84"/>
      <c r="G311" s="79"/>
      <c r="H311" s="80"/>
      <c r="I311" s="79"/>
      <c r="J311" s="85"/>
      <c r="K311" s="73"/>
      <c r="L311" s="43"/>
      <c r="M311" s="43"/>
      <c r="N311" s="44"/>
      <c r="O311" s="44"/>
      <c r="P311" s="44"/>
    </row>
    <row r="312" ht="15.0" customHeight="1">
      <c r="A312" s="32"/>
      <c r="B312" s="82"/>
      <c r="C312" s="76"/>
      <c r="D312" s="76"/>
      <c r="E312" s="77"/>
      <c r="F312" s="84"/>
      <c r="G312" s="79"/>
      <c r="H312" s="80"/>
      <c r="I312" s="79"/>
      <c r="J312" s="85"/>
      <c r="K312" s="73"/>
      <c r="L312" s="43"/>
      <c r="M312" s="43"/>
      <c r="N312" s="44"/>
      <c r="O312" s="44"/>
      <c r="P312" s="44"/>
    </row>
    <row r="313" ht="15.0" customHeight="1">
      <c r="A313" s="32"/>
      <c r="B313" s="82"/>
      <c r="C313" s="76"/>
      <c r="D313" s="76"/>
      <c r="E313" s="77"/>
      <c r="F313" s="84"/>
      <c r="G313" s="79"/>
      <c r="H313" s="80"/>
      <c r="I313" s="79"/>
      <c r="J313" s="85"/>
      <c r="K313" s="73"/>
      <c r="L313" s="43"/>
      <c r="M313" s="43"/>
      <c r="N313" s="44"/>
      <c r="O313" s="44"/>
      <c r="P313" s="44"/>
    </row>
    <row r="314" ht="15.0" customHeight="1">
      <c r="A314" s="32"/>
      <c r="B314" s="82"/>
      <c r="C314" s="76"/>
      <c r="D314" s="76"/>
      <c r="E314" s="77"/>
      <c r="F314" s="84"/>
      <c r="G314" s="79"/>
      <c r="H314" s="80"/>
      <c r="I314" s="79"/>
      <c r="J314" s="85"/>
      <c r="K314" s="73"/>
      <c r="L314" s="43"/>
      <c r="M314" s="43"/>
      <c r="N314" s="44"/>
      <c r="O314" s="44"/>
      <c r="P314" s="44"/>
    </row>
    <row r="315" ht="15.0" customHeight="1">
      <c r="A315" s="32"/>
      <c r="B315" s="82"/>
      <c r="C315" s="76"/>
      <c r="D315" s="76"/>
      <c r="E315" s="77"/>
      <c r="F315" s="84"/>
      <c r="G315" s="79"/>
      <c r="H315" s="80"/>
      <c r="I315" s="79"/>
      <c r="J315" s="85"/>
      <c r="K315" s="73"/>
      <c r="L315" s="43"/>
      <c r="M315" s="43"/>
      <c r="N315" s="44"/>
      <c r="O315" s="44"/>
      <c r="P315" s="44"/>
    </row>
    <row r="316" ht="15.0" customHeight="1">
      <c r="A316" s="32"/>
      <c r="B316" s="82"/>
      <c r="C316" s="76"/>
      <c r="D316" s="76"/>
      <c r="E316" s="77"/>
      <c r="F316" s="84"/>
      <c r="G316" s="79"/>
      <c r="H316" s="80"/>
      <c r="I316" s="79"/>
      <c r="J316" s="85"/>
      <c r="K316" s="73"/>
      <c r="L316" s="43"/>
      <c r="M316" s="43"/>
      <c r="N316" s="44"/>
      <c r="O316" s="44"/>
      <c r="P316" s="44"/>
    </row>
    <row r="317" ht="15.0" customHeight="1">
      <c r="A317" s="32"/>
      <c r="B317" s="82"/>
      <c r="C317" s="76"/>
      <c r="D317" s="76"/>
      <c r="E317" s="77"/>
      <c r="F317" s="84"/>
      <c r="G317" s="79"/>
      <c r="H317" s="80"/>
      <c r="I317" s="79"/>
      <c r="J317" s="85"/>
      <c r="K317" s="73"/>
      <c r="L317" s="43"/>
      <c r="M317" s="43"/>
      <c r="N317" s="44"/>
      <c r="O317" s="44"/>
      <c r="P317" s="44"/>
    </row>
    <row r="318" ht="15.0" customHeight="1">
      <c r="A318" s="32"/>
      <c r="B318" s="82"/>
      <c r="C318" s="76"/>
      <c r="D318" s="76"/>
      <c r="E318" s="77"/>
      <c r="F318" s="84"/>
      <c r="G318" s="79"/>
      <c r="H318" s="80"/>
      <c r="I318" s="79"/>
      <c r="J318" s="85"/>
      <c r="K318" s="73"/>
      <c r="L318" s="43"/>
      <c r="M318" s="43"/>
      <c r="N318" s="44"/>
      <c r="O318" s="44"/>
      <c r="P318" s="44"/>
    </row>
    <row r="319" ht="15.0" customHeight="1">
      <c r="A319" s="32"/>
      <c r="B319" s="82"/>
      <c r="C319" s="76"/>
      <c r="D319" s="76"/>
      <c r="E319" s="77"/>
      <c r="F319" s="84"/>
      <c r="G319" s="79"/>
      <c r="H319" s="80"/>
      <c r="I319" s="79"/>
      <c r="J319" s="85"/>
      <c r="K319" s="73"/>
      <c r="L319" s="43"/>
      <c r="M319" s="43"/>
      <c r="N319" s="44"/>
      <c r="O319" s="44"/>
      <c r="P319" s="44"/>
    </row>
    <row r="320" ht="15.0" customHeight="1">
      <c r="A320" s="32"/>
      <c r="B320" s="82"/>
      <c r="C320" s="76"/>
      <c r="D320" s="76"/>
      <c r="E320" s="77"/>
      <c r="F320" s="84"/>
      <c r="G320" s="79"/>
      <c r="H320" s="80"/>
      <c r="I320" s="79"/>
      <c r="J320" s="85"/>
      <c r="K320" s="73"/>
      <c r="L320" s="43"/>
      <c r="M320" s="43"/>
      <c r="N320" s="44"/>
      <c r="O320" s="44"/>
      <c r="P320" s="44"/>
    </row>
    <row r="321" ht="15.0" customHeight="1">
      <c r="A321" s="32"/>
      <c r="B321" s="82"/>
      <c r="C321" s="76"/>
      <c r="D321" s="76"/>
      <c r="E321" s="77"/>
      <c r="F321" s="84"/>
      <c r="G321" s="79"/>
      <c r="H321" s="80"/>
      <c r="I321" s="79"/>
      <c r="J321" s="85"/>
      <c r="K321" s="73"/>
      <c r="L321" s="43"/>
      <c r="M321" s="43"/>
      <c r="N321" s="44"/>
      <c r="O321" s="44"/>
      <c r="P321" s="44"/>
    </row>
    <row r="322" ht="15.0" customHeight="1">
      <c r="A322" s="32"/>
      <c r="B322" s="82"/>
      <c r="C322" s="76"/>
      <c r="D322" s="76"/>
      <c r="E322" s="77"/>
      <c r="F322" s="84"/>
      <c r="G322" s="79"/>
      <c r="H322" s="80"/>
      <c r="I322" s="79"/>
      <c r="J322" s="85"/>
      <c r="K322" s="73"/>
      <c r="L322" s="43"/>
      <c r="M322" s="43"/>
      <c r="N322" s="44"/>
      <c r="O322" s="44"/>
      <c r="P322" s="44"/>
    </row>
    <row r="323" ht="15.0" customHeight="1">
      <c r="A323" s="32"/>
      <c r="B323" s="82"/>
      <c r="C323" s="76"/>
      <c r="D323" s="76"/>
      <c r="E323" s="77"/>
      <c r="F323" s="84"/>
      <c r="G323" s="79"/>
      <c r="H323" s="80"/>
      <c r="I323" s="79"/>
      <c r="J323" s="85"/>
      <c r="K323" s="73"/>
      <c r="L323" s="43"/>
      <c r="M323" s="43"/>
      <c r="N323" s="44"/>
      <c r="O323" s="44"/>
      <c r="P323" s="44"/>
    </row>
    <row r="324" ht="15.0" customHeight="1">
      <c r="A324" s="32"/>
      <c r="B324" s="82"/>
      <c r="C324" s="76"/>
      <c r="D324" s="76"/>
      <c r="E324" s="77"/>
      <c r="F324" s="84"/>
      <c r="G324" s="79"/>
      <c r="H324" s="80"/>
      <c r="I324" s="79"/>
      <c r="J324" s="85"/>
      <c r="K324" s="73"/>
      <c r="L324" s="43"/>
      <c r="M324" s="43"/>
      <c r="N324" s="44"/>
      <c r="O324" s="44"/>
      <c r="P324" s="44"/>
    </row>
    <row r="325" ht="15.0" customHeight="1">
      <c r="A325" s="32"/>
      <c r="B325" s="82"/>
      <c r="C325" s="76"/>
      <c r="D325" s="76"/>
      <c r="E325" s="77"/>
      <c r="F325" s="84"/>
      <c r="G325" s="79"/>
      <c r="H325" s="80"/>
      <c r="I325" s="79"/>
      <c r="J325" s="85"/>
      <c r="K325" s="73"/>
      <c r="L325" s="43"/>
      <c r="M325" s="43"/>
      <c r="N325" s="44"/>
      <c r="O325" s="44"/>
      <c r="P325" s="44"/>
    </row>
    <row r="326" ht="15.0" customHeight="1">
      <c r="A326" s="32"/>
      <c r="B326" s="82"/>
      <c r="C326" s="76"/>
      <c r="D326" s="76"/>
      <c r="E326" s="77"/>
      <c r="F326" s="84"/>
      <c r="G326" s="79"/>
      <c r="H326" s="80"/>
      <c r="I326" s="79"/>
      <c r="J326" s="85"/>
      <c r="K326" s="73"/>
      <c r="L326" s="43"/>
      <c r="M326" s="43"/>
      <c r="N326" s="44"/>
      <c r="O326" s="44"/>
      <c r="P326" s="44"/>
    </row>
    <row r="327" ht="15.0" customHeight="1">
      <c r="A327" s="32"/>
      <c r="B327" s="82"/>
      <c r="C327" s="76"/>
      <c r="D327" s="76"/>
      <c r="E327" s="77"/>
      <c r="F327" s="84"/>
      <c r="G327" s="79"/>
      <c r="H327" s="80"/>
      <c r="I327" s="79"/>
      <c r="J327" s="85"/>
      <c r="K327" s="73"/>
      <c r="L327" s="43"/>
      <c r="M327" s="43"/>
      <c r="N327" s="44"/>
      <c r="O327" s="44"/>
      <c r="P327" s="44"/>
    </row>
    <row r="328" ht="15.0" customHeight="1">
      <c r="A328" s="32"/>
      <c r="B328" s="82"/>
      <c r="C328" s="76"/>
      <c r="D328" s="76"/>
      <c r="E328" s="77"/>
      <c r="F328" s="84"/>
      <c r="G328" s="79"/>
      <c r="H328" s="80"/>
      <c r="I328" s="79"/>
      <c r="J328" s="85"/>
      <c r="K328" s="73"/>
      <c r="L328" s="43"/>
      <c r="M328" s="43"/>
      <c r="N328" s="44"/>
      <c r="O328" s="44"/>
      <c r="P328" s="44"/>
    </row>
    <row r="329" ht="15.0" customHeight="1">
      <c r="A329" s="32"/>
      <c r="B329" s="82"/>
      <c r="C329" s="76"/>
      <c r="D329" s="76"/>
      <c r="E329" s="77"/>
      <c r="F329" s="84"/>
      <c r="G329" s="79"/>
      <c r="H329" s="80"/>
      <c r="I329" s="79"/>
      <c r="J329" s="85"/>
      <c r="K329" s="73"/>
      <c r="L329" s="43"/>
      <c r="M329" s="43"/>
      <c r="N329" s="44"/>
      <c r="O329" s="44"/>
      <c r="P329" s="44"/>
    </row>
    <row r="330" ht="15.0" customHeight="1">
      <c r="A330" s="32"/>
      <c r="B330" s="82"/>
      <c r="C330" s="76"/>
      <c r="D330" s="76"/>
      <c r="E330" s="77"/>
      <c r="F330" s="84"/>
      <c r="G330" s="79"/>
      <c r="H330" s="80"/>
      <c r="I330" s="79"/>
      <c r="J330" s="85"/>
      <c r="K330" s="73"/>
      <c r="L330" s="43"/>
      <c r="M330" s="43"/>
      <c r="N330" s="44"/>
      <c r="O330" s="44"/>
      <c r="P330" s="44"/>
    </row>
    <row r="331" ht="15.0" customHeight="1">
      <c r="A331" s="32"/>
      <c r="B331" s="82"/>
      <c r="C331" s="76"/>
      <c r="D331" s="76"/>
      <c r="E331" s="77"/>
      <c r="F331" s="84"/>
      <c r="G331" s="79"/>
      <c r="H331" s="80"/>
      <c r="I331" s="79"/>
      <c r="J331" s="85"/>
      <c r="K331" s="73"/>
      <c r="L331" s="43"/>
      <c r="M331" s="43"/>
      <c r="N331" s="44"/>
      <c r="O331" s="44"/>
      <c r="P331" s="44"/>
    </row>
    <row r="332" ht="15.0" customHeight="1">
      <c r="A332" s="32"/>
      <c r="B332" s="82"/>
      <c r="C332" s="76"/>
      <c r="D332" s="76"/>
      <c r="E332" s="77"/>
      <c r="F332" s="84"/>
      <c r="G332" s="79"/>
      <c r="H332" s="80"/>
      <c r="I332" s="79"/>
      <c r="J332" s="85"/>
      <c r="K332" s="73"/>
      <c r="L332" s="43"/>
      <c r="M332" s="43"/>
      <c r="N332" s="44"/>
      <c r="O332" s="44"/>
      <c r="P332" s="44"/>
    </row>
    <row r="333" ht="15.0" customHeight="1">
      <c r="A333" s="32"/>
      <c r="B333" s="82"/>
      <c r="C333" s="76"/>
      <c r="D333" s="76"/>
      <c r="E333" s="77"/>
      <c r="F333" s="84"/>
      <c r="G333" s="79"/>
      <c r="H333" s="80"/>
      <c r="I333" s="79"/>
      <c r="J333" s="85"/>
      <c r="K333" s="73"/>
      <c r="L333" s="43"/>
      <c r="M333" s="43"/>
      <c r="N333" s="44"/>
      <c r="O333" s="44"/>
      <c r="P333" s="44"/>
    </row>
    <row r="334" ht="15.0" customHeight="1">
      <c r="A334" s="32"/>
      <c r="B334" s="82"/>
      <c r="C334" s="76"/>
      <c r="D334" s="76"/>
      <c r="E334" s="77"/>
      <c r="F334" s="84"/>
      <c r="G334" s="79"/>
      <c r="H334" s="80"/>
      <c r="I334" s="79"/>
      <c r="J334" s="85"/>
      <c r="K334" s="73"/>
      <c r="L334" s="43"/>
      <c r="M334" s="43"/>
      <c r="N334" s="44"/>
      <c r="O334" s="44"/>
      <c r="P334" s="44"/>
    </row>
    <row r="335" ht="15.0" customHeight="1">
      <c r="A335" s="32"/>
      <c r="B335" s="82"/>
      <c r="C335" s="76"/>
      <c r="D335" s="76"/>
      <c r="E335" s="77"/>
      <c r="F335" s="84"/>
      <c r="G335" s="79"/>
      <c r="H335" s="80"/>
      <c r="I335" s="79"/>
      <c r="J335" s="85"/>
      <c r="K335" s="73"/>
      <c r="L335" s="43"/>
      <c r="M335" s="43"/>
      <c r="N335" s="44"/>
      <c r="O335" s="44"/>
      <c r="P335" s="44"/>
    </row>
    <row r="336" ht="15.0" customHeight="1">
      <c r="A336" s="32"/>
      <c r="B336" s="82"/>
      <c r="C336" s="76"/>
      <c r="D336" s="76"/>
      <c r="E336" s="77"/>
      <c r="F336" s="84"/>
      <c r="G336" s="79"/>
      <c r="H336" s="80"/>
      <c r="I336" s="79"/>
      <c r="J336" s="85"/>
      <c r="K336" s="73"/>
      <c r="L336" s="43"/>
      <c r="M336" s="43"/>
      <c r="N336" s="44"/>
      <c r="O336" s="44"/>
      <c r="P336" s="44"/>
    </row>
    <row r="337" ht="15.0" customHeight="1">
      <c r="A337" s="32"/>
      <c r="B337" s="82"/>
      <c r="C337" s="76"/>
      <c r="D337" s="76"/>
      <c r="E337" s="77"/>
      <c r="F337" s="84"/>
      <c r="G337" s="79"/>
      <c r="H337" s="80"/>
      <c r="I337" s="79"/>
      <c r="J337" s="85"/>
      <c r="K337" s="73"/>
      <c r="L337" s="43"/>
      <c r="M337" s="43"/>
      <c r="N337" s="44"/>
      <c r="O337" s="44"/>
      <c r="P337" s="44"/>
    </row>
    <row r="338" ht="15.0" customHeight="1">
      <c r="A338" s="32"/>
      <c r="B338" s="82"/>
      <c r="C338" s="76"/>
      <c r="D338" s="76"/>
      <c r="E338" s="77"/>
      <c r="F338" s="84"/>
      <c r="G338" s="79"/>
      <c r="H338" s="80"/>
      <c r="I338" s="79"/>
      <c r="J338" s="85"/>
      <c r="K338" s="73"/>
      <c r="L338" s="43"/>
      <c r="M338" s="43"/>
      <c r="N338" s="44"/>
      <c r="O338" s="44"/>
      <c r="P338" s="44"/>
    </row>
    <row r="339" ht="15.0" customHeight="1">
      <c r="A339" s="32"/>
      <c r="B339" s="82"/>
      <c r="C339" s="76"/>
      <c r="D339" s="76"/>
      <c r="E339" s="77"/>
      <c r="F339" s="84"/>
      <c r="G339" s="79"/>
      <c r="H339" s="80"/>
      <c r="I339" s="79"/>
      <c r="J339" s="85"/>
      <c r="K339" s="73"/>
      <c r="L339" s="43"/>
      <c r="M339" s="43"/>
      <c r="N339" s="44"/>
      <c r="O339" s="44"/>
      <c r="P339" s="44"/>
    </row>
    <row r="340" ht="15.0" customHeight="1">
      <c r="A340" s="32"/>
      <c r="B340" s="82"/>
      <c r="C340" s="76"/>
      <c r="D340" s="76"/>
      <c r="E340" s="77"/>
      <c r="F340" s="84"/>
      <c r="G340" s="79"/>
      <c r="H340" s="80"/>
      <c r="I340" s="79"/>
      <c r="J340" s="85"/>
      <c r="K340" s="73"/>
      <c r="L340" s="43"/>
      <c r="M340" s="43"/>
      <c r="N340" s="44"/>
      <c r="O340" s="44"/>
      <c r="P340" s="44"/>
    </row>
    <row r="341" ht="15.0" customHeight="1">
      <c r="A341" s="32"/>
      <c r="B341" s="82"/>
      <c r="C341" s="76"/>
      <c r="D341" s="76"/>
      <c r="E341" s="77"/>
      <c r="F341" s="84"/>
      <c r="G341" s="79"/>
      <c r="H341" s="80"/>
      <c r="I341" s="79"/>
      <c r="J341" s="85"/>
      <c r="K341" s="73"/>
      <c r="L341" s="43"/>
      <c r="M341" s="43"/>
      <c r="N341" s="44"/>
      <c r="O341" s="44"/>
      <c r="P341" s="44"/>
    </row>
    <row r="342" ht="15.0" customHeight="1">
      <c r="A342" s="32"/>
      <c r="B342" s="82"/>
      <c r="C342" s="76"/>
      <c r="D342" s="76"/>
      <c r="E342" s="77"/>
      <c r="F342" s="84"/>
      <c r="G342" s="79"/>
      <c r="H342" s="80"/>
      <c r="I342" s="79"/>
      <c r="J342" s="85"/>
      <c r="K342" s="73"/>
      <c r="L342" s="43"/>
      <c r="M342" s="43"/>
      <c r="N342" s="44"/>
      <c r="O342" s="44"/>
      <c r="P342" s="44"/>
    </row>
    <row r="343" ht="15.0" customHeight="1">
      <c r="A343" s="32"/>
      <c r="B343" s="82"/>
      <c r="C343" s="76"/>
      <c r="D343" s="76"/>
      <c r="E343" s="77"/>
      <c r="F343" s="84"/>
      <c r="G343" s="79"/>
      <c r="H343" s="80"/>
      <c r="I343" s="79"/>
      <c r="J343" s="85"/>
      <c r="K343" s="73"/>
      <c r="L343" s="43"/>
      <c r="M343" s="43"/>
      <c r="N343" s="44"/>
      <c r="O343" s="44"/>
      <c r="P343" s="44"/>
    </row>
    <row r="344" ht="15.0" customHeight="1">
      <c r="A344" s="32"/>
      <c r="B344" s="82"/>
      <c r="C344" s="76"/>
      <c r="D344" s="76"/>
      <c r="E344" s="77"/>
      <c r="F344" s="84"/>
      <c r="G344" s="79"/>
      <c r="H344" s="80"/>
      <c r="I344" s="79"/>
      <c r="J344" s="85"/>
      <c r="K344" s="73"/>
      <c r="L344" s="43"/>
      <c r="M344" s="43"/>
      <c r="N344" s="44"/>
      <c r="O344" s="44"/>
      <c r="P344" s="44"/>
    </row>
    <row r="345" ht="15.0" customHeight="1">
      <c r="A345" s="32"/>
      <c r="B345" s="82"/>
      <c r="C345" s="76"/>
      <c r="D345" s="76"/>
      <c r="E345" s="77"/>
      <c r="F345" s="84"/>
      <c r="G345" s="79"/>
      <c r="H345" s="80"/>
      <c r="I345" s="79"/>
      <c r="J345" s="85"/>
      <c r="K345" s="73"/>
      <c r="L345" s="43"/>
      <c r="M345" s="43"/>
      <c r="N345" s="44"/>
      <c r="O345" s="44"/>
      <c r="P345" s="44"/>
    </row>
    <row r="346" ht="15.0" customHeight="1">
      <c r="A346" s="32"/>
      <c r="B346" s="82"/>
      <c r="C346" s="76"/>
      <c r="D346" s="76"/>
      <c r="E346" s="77"/>
      <c r="F346" s="84"/>
      <c r="G346" s="79"/>
      <c r="H346" s="80"/>
      <c r="I346" s="79"/>
      <c r="J346" s="85"/>
      <c r="K346" s="73"/>
      <c r="L346" s="43"/>
      <c r="M346" s="43"/>
      <c r="N346" s="44"/>
      <c r="O346" s="44"/>
      <c r="P346" s="44"/>
    </row>
    <row r="347" ht="15.0" customHeight="1">
      <c r="A347" s="32"/>
      <c r="B347" s="82"/>
      <c r="C347" s="76"/>
      <c r="D347" s="76"/>
      <c r="E347" s="77"/>
      <c r="F347" s="84"/>
      <c r="G347" s="79"/>
      <c r="H347" s="80"/>
      <c r="I347" s="79"/>
      <c r="J347" s="85"/>
      <c r="K347" s="73"/>
      <c r="L347" s="43"/>
      <c r="M347" s="43"/>
      <c r="N347" s="44"/>
      <c r="O347" s="44"/>
      <c r="P347" s="44"/>
    </row>
    <row r="348" ht="15.0" customHeight="1">
      <c r="A348" s="32"/>
      <c r="B348" s="82"/>
      <c r="C348" s="76"/>
      <c r="D348" s="76"/>
      <c r="E348" s="77"/>
      <c r="F348" s="84"/>
      <c r="G348" s="79"/>
      <c r="H348" s="80"/>
      <c r="I348" s="79"/>
      <c r="J348" s="85"/>
      <c r="K348" s="73"/>
      <c r="L348" s="43"/>
      <c r="M348" s="43"/>
      <c r="N348" s="44"/>
      <c r="O348" s="44"/>
      <c r="P348" s="44"/>
    </row>
    <row r="349" ht="15.0" customHeight="1">
      <c r="A349" s="32"/>
      <c r="B349" s="82"/>
      <c r="C349" s="76"/>
      <c r="D349" s="76"/>
      <c r="E349" s="77"/>
      <c r="F349" s="84"/>
      <c r="G349" s="79"/>
      <c r="H349" s="80"/>
      <c r="I349" s="79"/>
      <c r="J349" s="85"/>
      <c r="K349" s="73"/>
      <c r="L349" s="43"/>
      <c r="M349" s="43"/>
      <c r="N349" s="44"/>
      <c r="O349" s="44"/>
      <c r="P349" s="44"/>
    </row>
    <row r="350" ht="15.0" customHeight="1">
      <c r="A350" s="32"/>
      <c r="B350" s="82"/>
      <c r="C350" s="76"/>
      <c r="D350" s="76"/>
      <c r="E350" s="77"/>
      <c r="F350" s="84"/>
      <c r="G350" s="79"/>
      <c r="H350" s="80"/>
      <c r="I350" s="79"/>
      <c r="J350" s="85"/>
      <c r="K350" s="73"/>
      <c r="L350" s="43"/>
      <c r="M350" s="43"/>
      <c r="N350" s="44"/>
      <c r="O350" s="44"/>
      <c r="P350" s="44"/>
    </row>
    <row r="351" ht="15.0" customHeight="1">
      <c r="A351" s="32"/>
      <c r="B351" s="82"/>
      <c r="C351" s="76"/>
      <c r="D351" s="76"/>
      <c r="E351" s="77"/>
      <c r="F351" s="84"/>
      <c r="G351" s="79"/>
      <c r="H351" s="80"/>
      <c r="I351" s="79"/>
      <c r="J351" s="85"/>
      <c r="K351" s="73"/>
      <c r="L351" s="43"/>
      <c r="M351" s="43"/>
      <c r="N351" s="44"/>
      <c r="O351" s="44"/>
      <c r="P351" s="44"/>
    </row>
    <row r="352" ht="15.0" customHeight="1">
      <c r="A352" s="32"/>
      <c r="B352" s="82"/>
      <c r="C352" s="76"/>
      <c r="D352" s="76"/>
      <c r="E352" s="77"/>
      <c r="F352" s="84"/>
      <c r="G352" s="79"/>
      <c r="H352" s="80"/>
      <c r="I352" s="79"/>
      <c r="J352" s="85"/>
      <c r="K352" s="73"/>
      <c r="L352" s="43"/>
      <c r="M352" s="43"/>
      <c r="N352" s="44"/>
      <c r="O352" s="44"/>
      <c r="P352" s="44"/>
    </row>
    <row r="353" ht="15.0" customHeight="1">
      <c r="A353" s="32"/>
      <c r="B353" s="82"/>
      <c r="C353" s="76"/>
      <c r="D353" s="76"/>
      <c r="E353" s="77"/>
      <c r="F353" s="84"/>
      <c r="G353" s="79"/>
      <c r="H353" s="80"/>
      <c r="I353" s="79"/>
      <c r="J353" s="85"/>
      <c r="K353" s="73"/>
      <c r="L353" s="43"/>
      <c r="M353" s="43"/>
      <c r="N353" s="44"/>
      <c r="O353" s="44"/>
      <c r="P353" s="44"/>
    </row>
    <row r="354" ht="15.0" customHeight="1">
      <c r="A354" s="32"/>
      <c r="B354" s="82"/>
      <c r="C354" s="76"/>
      <c r="D354" s="76"/>
      <c r="E354" s="77"/>
      <c r="F354" s="84"/>
      <c r="G354" s="79"/>
      <c r="H354" s="80"/>
      <c r="I354" s="79"/>
      <c r="J354" s="85"/>
      <c r="K354" s="73"/>
      <c r="L354" s="43"/>
      <c r="M354" s="43"/>
      <c r="N354" s="44"/>
      <c r="O354" s="44"/>
      <c r="P354" s="44"/>
    </row>
    <row r="355" ht="15.0" customHeight="1">
      <c r="A355" s="32"/>
      <c r="B355" s="82"/>
      <c r="C355" s="76"/>
      <c r="D355" s="76"/>
      <c r="E355" s="77"/>
      <c r="F355" s="84"/>
      <c r="G355" s="79"/>
      <c r="H355" s="80"/>
      <c r="I355" s="79"/>
      <c r="J355" s="85"/>
      <c r="K355" s="73"/>
      <c r="L355" s="43"/>
      <c r="M355" s="43"/>
      <c r="N355" s="44"/>
      <c r="O355" s="44"/>
      <c r="P355" s="44"/>
    </row>
    <row r="356" ht="15.0" customHeight="1">
      <c r="A356" s="32"/>
      <c r="B356" s="82"/>
      <c r="C356" s="76"/>
      <c r="D356" s="76"/>
      <c r="E356" s="77"/>
      <c r="F356" s="84"/>
      <c r="G356" s="79"/>
      <c r="H356" s="80"/>
      <c r="I356" s="79"/>
      <c r="J356" s="85"/>
      <c r="K356" s="73"/>
      <c r="L356" s="43"/>
      <c r="M356" s="43"/>
      <c r="N356" s="44"/>
      <c r="O356" s="44"/>
      <c r="P356" s="44"/>
    </row>
    <row r="357" ht="15.0" customHeight="1">
      <c r="A357" s="32"/>
      <c r="B357" s="82"/>
      <c r="C357" s="76"/>
      <c r="D357" s="76"/>
      <c r="E357" s="77"/>
      <c r="F357" s="84"/>
      <c r="G357" s="79"/>
      <c r="H357" s="80"/>
      <c r="I357" s="79"/>
      <c r="J357" s="85"/>
      <c r="K357" s="73"/>
      <c r="L357" s="43"/>
      <c r="M357" s="43"/>
      <c r="N357" s="44"/>
      <c r="O357" s="44"/>
      <c r="P357" s="44"/>
    </row>
    <row r="358" ht="15.0" customHeight="1">
      <c r="A358" s="32"/>
      <c r="B358" s="82"/>
      <c r="C358" s="76"/>
      <c r="D358" s="76"/>
      <c r="E358" s="77"/>
      <c r="F358" s="84"/>
      <c r="G358" s="79"/>
      <c r="H358" s="80"/>
      <c r="I358" s="79"/>
      <c r="J358" s="85"/>
      <c r="K358" s="73"/>
      <c r="L358" s="43"/>
      <c r="M358" s="43"/>
      <c r="N358" s="44"/>
      <c r="O358" s="44"/>
      <c r="P358" s="44"/>
    </row>
    <row r="359" ht="15.0" customHeight="1">
      <c r="A359" s="32"/>
      <c r="B359" s="82"/>
      <c r="C359" s="76"/>
      <c r="D359" s="76"/>
      <c r="E359" s="77"/>
      <c r="F359" s="84"/>
      <c r="G359" s="79"/>
      <c r="H359" s="80"/>
      <c r="I359" s="79"/>
      <c r="J359" s="85"/>
      <c r="K359" s="73"/>
      <c r="L359" s="43"/>
      <c r="M359" s="43"/>
      <c r="N359" s="44"/>
      <c r="O359" s="44"/>
      <c r="P359" s="44"/>
    </row>
    <row r="360" ht="15.0" customHeight="1">
      <c r="A360" s="32"/>
      <c r="B360" s="82"/>
      <c r="C360" s="76"/>
      <c r="D360" s="76"/>
      <c r="E360" s="77"/>
      <c r="F360" s="84"/>
      <c r="G360" s="79"/>
      <c r="H360" s="80"/>
      <c r="I360" s="79"/>
      <c r="J360" s="85"/>
      <c r="K360" s="73"/>
      <c r="L360" s="43"/>
      <c r="M360" s="43"/>
      <c r="N360" s="44"/>
      <c r="O360" s="44"/>
      <c r="P360" s="44"/>
    </row>
    <row r="361" ht="15.0" customHeight="1">
      <c r="A361" s="32"/>
      <c r="B361" s="82"/>
      <c r="C361" s="76"/>
      <c r="D361" s="76"/>
      <c r="E361" s="77"/>
      <c r="F361" s="84"/>
      <c r="G361" s="79"/>
      <c r="H361" s="80"/>
      <c r="I361" s="79"/>
      <c r="J361" s="85"/>
      <c r="K361" s="73"/>
      <c r="L361" s="43"/>
      <c r="M361" s="43"/>
      <c r="N361" s="44"/>
      <c r="O361" s="44"/>
      <c r="P361" s="44"/>
    </row>
    <row r="362" ht="15.0" customHeight="1">
      <c r="A362" s="32"/>
      <c r="B362" s="82"/>
      <c r="C362" s="76"/>
      <c r="D362" s="76"/>
      <c r="E362" s="77"/>
      <c r="F362" s="84"/>
      <c r="G362" s="79"/>
      <c r="H362" s="80"/>
      <c r="I362" s="79"/>
      <c r="J362" s="85"/>
      <c r="K362" s="73"/>
      <c r="L362" s="43"/>
      <c r="M362" s="43"/>
      <c r="N362" s="44"/>
      <c r="O362" s="44"/>
      <c r="P362" s="44"/>
    </row>
    <row r="363" ht="15.0" customHeight="1">
      <c r="A363" s="32"/>
      <c r="B363" s="82"/>
      <c r="C363" s="76"/>
      <c r="D363" s="76"/>
      <c r="E363" s="77"/>
      <c r="F363" s="84"/>
      <c r="G363" s="79"/>
      <c r="H363" s="80"/>
      <c r="I363" s="79"/>
      <c r="J363" s="85"/>
      <c r="K363" s="73"/>
      <c r="L363" s="43"/>
      <c r="M363" s="43"/>
      <c r="N363" s="44"/>
      <c r="O363" s="44"/>
      <c r="P363" s="44"/>
    </row>
    <row r="364" ht="15.0" customHeight="1">
      <c r="A364" s="32"/>
      <c r="B364" s="82"/>
      <c r="C364" s="76"/>
      <c r="D364" s="76"/>
      <c r="E364" s="77"/>
      <c r="F364" s="84"/>
      <c r="G364" s="79"/>
      <c r="H364" s="80"/>
      <c r="I364" s="79"/>
      <c r="J364" s="85"/>
      <c r="K364" s="73"/>
      <c r="L364" s="43"/>
      <c r="M364" s="43"/>
      <c r="N364" s="44"/>
      <c r="O364" s="44"/>
      <c r="P364" s="44"/>
    </row>
    <row r="365" ht="15.0" customHeight="1">
      <c r="A365" s="32"/>
      <c r="B365" s="82"/>
      <c r="C365" s="76"/>
      <c r="D365" s="76"/>
      <c r="E365" s="77"/>
      <c r="F365" s="84"/>
      <c r="G365" s="79"/>
      <c r="H365" s="80"/>
      <c r="I365" s="79"/>
      <c r="J365" s="85"/>
      <c r="K365" s="73"/>
      <c r="L365" s="43"/>
      <c r="M365" s="43"/>
      <c r="N365" s="44"/>
      <c r="O365" s="44"/>
      <c r="P365" s="44"/>
    </row>
    <row r="366" ht="15.0" customHeight="1">
      <c r="A366" s="32"/>
      <c r="B366" s="82"/>
      <c r="C366" s="76"/>
      <c r="D366" s="76"/>
      <c r="E366" s="77"/>
      <c r="F366" s="84"/>
      <c r="G366" s="79"/>
      <c r="H366" s="80"/>
      <c r="I366" s="79"/>
      <c r="J366" s="85"/>
      <c r="K366" s="73"/>
      <c r="L366" s="43"/>
      <c r="M366" s="43"/>
      <c r="N366" s="44"/>
      <c r="O366" s="44"/>
      <c r="P366" s="44"/>
    </row>
    <row r="367" ht="15.0" customHeight="1">
      <c r="A367" s="32"/>
      <c r="B367" s="82"/>
      <c r="C367" s="76"/>
      <c r="D367" s="76"/>
      <c r="E367" s="77"/>
      <c r="F367" s="84"/>
      <c r="G367" s="79"/>
      <c r="H367" s="80"/>
      <c r="I367" s="79"/>
      <c r="J367" s="85"/>
      <c r="K367" s="73"/>
      <c r="L367" s="43"/>
      <c r="M367" s="43"/>
      <c r="N367" s="44"/>
      <c r="O367" s="44"/>
      <c r="P367" s="44"/>
    </row>
    <row r="368" ht="15.0" customHeight="1">
      <c r="A368" s="32"/>
      <c r="B368" s="82"/>
      <c r="C368" s="76"/>
      <c r="D368" s="76"/>
      <c r="E368" s="77"/>
      <c r="F368" s="84"/>
      <c r="G368" s="79"/>
      <c r="H368" s="80"/>
      <c r="I368" s="79"/>
      <c r="J368" s="85"/>
      <c r="K368" s="73"/>
      <c r="L368" s="43"/>
      <c r="M368" s="43"/>
      <c r="N368" s="44"/>
      <c r="O368" s="44"/>
      <c r="P368" s="44"/>
    </row>
    <row r="369" ht="15.0" customHeight="1">
      <c r="A369" s="32"/>
      <c r="B369" s="82"/>
      <c r="C369" s="76"/>
      <c r="D369" s="76"/>
      <c r="E369" s="77"/>
      <c r="F369" s="84"/>
      <c r="G369" s="79"/>
      <c r="H369" s="80"/>
      <c r="I369" s="79"/>
      <c r="J369" s="85"/>
      <c r="K369" s="73"/>
      <c r="L369" s="43"/>
      <c r="M369" s="43"/>
      <c r="N369" s="44"/>
      <c r="O369" s="44"/>
      <c r="P369" s="44"/>
    </row>
    <row r="370" ht="15.0" customHeight="1">
      <c r="A370" s="32"/>
      <c r="B370" s="82"/>
      <c r="C370" s="76"/>
      <c r="D370" s="76"/>
      <c r="E370" s="77"/>
      <c r="F370" s="84"/>
      <c r="G370" s="79"/>
      <c r="H370" s="80"/>
      <c r="I370" s="79"/>
      <c r="J370" s="85"/>
      <c r="K370" s="73"/>
      <c r="L370" s="43"/>
      <c r="M370" s="43"/>
      <c r="N370" s="44"/>
      <c r="O370" s="44"/>
      <c r="P370" s="44"/>
    </row>
    <row r="371" ht="15.0" customHeight="1">
      <c r="A371" s="32"/>
      <c r="B371" s="82"/>
      <c r="C371" s="76"/>
      <c r="D371" s="76"/>
      <c r="E371" s="77"/>
      <c r="F371" s="84"/>
      <c r="G371" s="79"/>
      <c r="H371" s="80"/>
      <c r="I371" s="79"/>
      <c r="J371" s="85"/>
      <c r="K371" s="73"/>
      <c r="L371" s="43"/>
      <c r="M371" s="43"/>
      <c r="N371" s="44"/>
      <c r="O371" s="44"/>
      <c r="P371" s="44"/>
    </row>
    <row r="372" ht="15.0" customHeight="1">
      <c r="A372" s="32"/>
      <c r="B372" s="82"/>
      <c r="C372" s="76"/>
      <c r="D372" s="76"/>
      <c r="E372" s="77"/>
      <c r="F372" s="84"/>
      <c r="G372" s="79"/>
      <c r="H372" s="80"/>
      <c r="I372" s="79"/>
      <c r="J372" s="85"/>
      <c r="K372" s="73"/>
      <c r="L372" s="43"/>
      <c r="M372" s="43"/>
      <c r="N372" s="44"/>
      <c r="O372" s="44"/>
      <c r="P372" s="44"/>
    </row>
    <row r="373" ht="15.0" customHeight="1">
      <c r="A373" s="32"/>
      <c r="B373" s="82"/>
      <c r="C373" s="76"/>
      <c r="D373" s="76"/>
      <c r="E373" s="77"/>
      <c r="F373" s="84"/>
      <c r="G373" s="79"/>
      <c r="H373" s="80"/>
      <c r="I373" s="79"/>
      <c r="J373" s="85"/>
      <c r="K373" s="73"/>
      <c r="L373" s="43"/>
      <c r="M373" s="43"/>
      <c r="N373" s="44"/>
      <c r="O373" s="44"/>
      <c r="P373" s="44"/>
    </row>
    <row r="374" ht="15.0" customHeight="1">
      <c r="A374" s="32"/>
      <c r="B374" s="82"/>
      <c r="C374" s="76"/>
      <c r="D374" s="76"/>
      <c r="E374" s="77"/>
      <c r="F374" s="84"/>
      <c r="G374" s="79"/>
      <c r="H374" s="80"/>
      <c r="I374" s="79"/>
      <c r="J374" s="85"/>
      <c r="K374" s="73"/>
      <c r="L374" s="43"/>
      <c r="M374" s="43"/>
      <c r="N374" s="44"/>
      <c r="O374" s="44"/>
      <c r="P374" s="44"/>
    </row>
    <row r="375" ht="15.0" customHeight="1">
      <c r="A375" s="32"/>
      <c r="B375" s="82"/>
      <c r="C375" s="76"/>
      <c r="D375" s="76"/>
      <c r="E375" s="77"/>
      <c r="F375" s="84"/>
      <c r="G375" s="79"/>
      <c r="H375" s="80"/>
      <c r="I375" s="79"/>
      <c r="J375" s="85"/>
      <c r="K375" s="73"/>
      <c r="L375" s="43"/>
      <c r="M375" s="43"/>
      <c r="N375" s="44"/>
      <c r="O375" s="44"/>
      <c r="P375" s="44"/>
    </row>
    <row r="376" ht="15.0" customHeight="1">
      <c r="A376" s="32"/>
      <c r="B376" s="82"/>
      <c r="C376" s="76"/>
      <c r="D376" s="76"/>
      <c r="E376" s="77"/>
      <c r="F376" s="84"/>
      <c r="G376" s="79"/>
      <c r="H376" s="80"/>
      <c r="I376" s="79"/>
      <c r="J376" s="85"/>
      <c r="K376" s="73"/>
      <c r="L376" s="43"/>
      <c r="M376" s="43"/>
      <c r="N376" s="44"/>
      <c r="O376" s="44"/>
      <c r="P376" s="44"/>
    </row>
    <row r="377" ht="15.0" customHeight="1">
      <c r="A377" s="32"/>
      <c r="B377" s="82"/>
      <c r="C377" s="76"/>
      <c r="D377" s="76"/>
      <c r="E377" s="77"/>
      <c r="F377" s="84"/>
      <c r="G377" s="79"/>
      <c r="H377" s="80"/>
      <c r="I377" s="79"/>
      <c r="J377" s="85"/>
      <c r="K377" s="73"/>
      <c r="L377" s="43"/>
      <c r="M377" s="43"/>
      <c r="N377" s="44"/>
      <c r="O377" s="44"/>
      <c r="P377" s="44"/>
    </row>
    <row r="378" ht="15.0" customHeight="1">
      <c r="A378" s="32"/>
      <c r="B378" s="82"/>
      <c r="C378" s="76"/>
      <c r="D378" s="76"/>
      <c r="E378" s="77"/>
      <c r="F378" s="84"/>
      <c r="G378" s="79"/>
      <c r="H378" s="80"/>
      <c r="I378" s="79"/>
      <c r="J378" s="85"/>
      <c r="K378" s="73"/>
      <c r="L378" s="43"/>
      <c r="M378" s="43"/>
      <c r="N378" s="44"/>
      <c r="O378" s="44"/>
      <c r="P378" s="44"/>
    </row>
    <row r="379" ht="15.0" customHeight="1">
      <c r="A379" s="32"/>
      <c r="B379" s="82"/>
      <c r="C379" s="76"/>
      <c r="D379" s="76"/>
      <c r="E379" s="77"/>
      <c r="F379" s="84"/>
      <c r="G379" s="79"/>
      <c r="H379" s="80"/>
      <c r="I379" s="79"/>
      <c r="J379" s="85"/>
      <c r="K379" s="73"/>
      <c r="L379" s="43"/>
      <c r="M379" s="43"/>
      <c r="N379" s="44"/>
      <c r="O379" s="44"/>
      <c r="P379" s="44"/>
    </row>
    <row r="380" ht="15.0" customHeight="1">
      <c r="A380" s="32"/>
      <c r="B380" s="82"/>
      <c r="C380" s="76"/>
      <c r="D380" s="76"/>
      <c r="E380" s="77"/>
      <c r="F380" s="84"/>
      <c r="G380" s="79"/>
      <c r="H380" s="80"/>
      <c r="I380" s="79"/>
      <c r="J380" s="85"/>
      <c r="K380" s="73"/>
      <c r="L380" s="43"/>
      <c r="M380" s="43"/>
      <c r="N380" s="44"/>
      <c r="O380" s="44"/>
      <c r="P380" s="44"/>
    </row>
    <row r="381" ht="15.0" customHeight="1">
      <c r="A381" s="32"/>
      <c r="B381" s="82"/>
      <c r="C381" s="76"/>
      <c r="D381" s="76"/>
      <c r="E381" s="77"/>
      <c r="F381" s="84"/>
      <c r="G381" s="79"/>
      <c r="H381" s="80"/>
      <c r="I381" s="79"/>
      <c r="J381" s="85"/>
      <c r="K381" s="73"/>
      <c r="L381" s="43"/>
      <c r="M381" s="43"/>
      <c r="N381" s="44"/>
      <c r="O381" s="44"/>
      <c r="P381" s="44"/>
    </row>
    <row r="382" ht="15.0" customHeight="1">
      <c r="A382" s="32"/>
      <c r="B382" s="82"/>
      <c r="C382" s="76"/>
      <c r="D382" s="76"/>
      <c r="E382" s="77"/>
      <c r="F382" s="84"/>
      <c r="G382" s="79"/>
      <c r="H382" s="80"/>
      <c r="I382" s="79"/>
      <c r="J382" s="85"/>
      <c r="K382" s="73"/>
      <c r="L382" s="43"/>
      <c r="M382" s="43"/>
      <c r="N382" s="44"/>
      <c r="O382" s="44"/>
      <c r="P382" s="44"/>
    </row>
    <row r="383" ht="15.0" customHeight="1">
      <c r="A383" s="32"/>
      <c r="B383" s="82"/>
      <c r="C383" s="76"/>
      <c r="D383" s="76"/>
      <c r="E383" s="77"/>
      <c r="F383" s="84"/>
      <c r="G383" s="79"/>
      <c r="H383" s="80"/>
      <c r="I383" s="79"/>
      <c r="J383" s="85"/>
      <c r="K383" s="73"/>
      <c r="L383" s="43"/>
      <c r="M383" s="43"/>
      <c r="N383" s="44"/>
      <c r="O383" s="44"/>
      <c r="P383" s="44"/>
    </row>
    <row r="384" ht="15.0" customHeight="1">
      <c r="A384" s="32"/>
      <c r="B384" s="82"/>
      <c r="C384" s="76"/>
      <c r="D384" s="76"/>
      <c r="E384" s="77"/>
      <c r="F384" s="84"/>
      <c r="G384" s="79"/>
      <c r="H384" s="80"/>
      <c r="I384" s="79"/>
      <c r="J384" s="85"/>
      <c r="K384" s="73"/>
      <c r="L384" s="43"/>
      <c r="M384" s="43"/>
      <c r="N384" s="44"/>
      <c r="O384" s="44"/>
      <c r="P384" s="44"/>
    </row>
    <row r="385" ht="15.0" customHeight="1">
      <c r="A385" s="32"/>
      <c r="B385" s="82"/>
      <c r="C385" s="76"/>
      <c r="D385" s="76"/>
      <c r="E385" s="77"/>
      <c r="F385" s="84"/>
      <c r="G385" s="79"/>
      <c r="H385" s="80"/>
      <c r="I385" s="79"/>
      <c r="J385" s="85"/>
      <c r="K385" s="73"/>
      <c r="L385" s="43"/>
      <c r="M385" s="43"/>
      <c r="N385" s="44"/>
      <c r="O385" s="44"/>
      <c r="P385" s="44"/>
    </row>
    <row r="386" ht="15.0" customHeight="1">
      <c r="A386" s="32"/>
      <c r="B386" s="82"/>
      <c r="C386" s="76"/>
      <c r="D386" s="76"/>
      <c r="E386" s="77"/>
      <c r="F386" s="84"/>
      <c r="G386" s="79"/>
      <c r="H386" s="80"/>
      <c r="I386" s="79"/>
      <c r="J386" s="85"/>
      <c r="K386" s="73"/>
      <c r="L386" s="43"/>
      <c r="M386" s="43"/>
      <c r="N386" s="44"/>
      <c r="O386" s="44"/>
      <c r="P386" s="44"/>
    </row>
    <row r="387" ht="15.0" customHeight="1">
      <c r="A387" s="32"/>
      <c r="B387" s="82"/>
      <c r="C387" s="76"/>
      <c r="D387" s="76"/>
      <c r="E387" s="77"/>
      <c r="F387" s="84"/>
      <c r="G387" s="79"/>
      <c r="H387" s="80"/>
      <c r="I387" s="79"/>
      <c r="J387" s="85"/>
      <c r="K387" s="73"/>
      <c r="L387" s="43"/>
      <c r="M387" s="43"/>
      <c r="N387" s="44"/>
      <c r="O387" s="44"/>
      <c r="P387" s="44"/>
    </row>
    <row r="388" ht="15.0" customHeight="1">
      <c r="A388" s="32"/>
      <c r="B388" s="82"/>
      <c r="C388" s="76"/>
      <c r="D388" s="76"/>
      <c r="E388" s="77"/>
      <c r="F388" s="84"/>
      <c r="G388" s="79"/>
      <c r="H388" s="80"/>
      <c r="I388" s="79"/>
      <c r="J388" s="85"/>
      <c r="K388" s="73"/>
      <c r="L388" s="43"/>
      <c r="M388" s="43"/>
      <c r="N388" s="44"/>
      <c r="O388" s="44"/>
      <c r="P388" s="44"/>
    </row>
    <row r="389" ht="15.0" customHeight="1">
      <c r="A389" s="32"/>
      <c r="B389" s="82"/>
      <c r="C389" s="76"/>
      <c r="D389" s="76"/>
      <c r="E389" s="77"/>
      <c r="F389" s="84"/>
      <c r="G389" s="79"/>
      <c r="H389" s="80"/>
      <c r="I389" s="79"/>
      <c r="J389" s="85"/>
      <c r="K389" s="73"/>
      <c r="L389" s="43"/>
      <c r="M389" s="43"/>
      <c r="N389" s="44"/>
      <c r="O389" s="44"/>
      <c r="P389" s="44"/>
    </row>
    <row r="390" ht="15.0" customHeight="1">
      <c r="A390" s="32"/>
      <c r="B390" s="82"/>
      <c r="C390" s="76"/>
      <c r="D390" s="76"/>
      <c r="E390" s="77"/>
      <c r="F390" s="84"/>
      <c r="G390" s="79"/>
      <c r="H390" s="80"/>
      <c r="I390" s="79"/>
      <c r="J390" s="85"/>
      <c r="K390" s="73"/>
      <c r="L390" s="43"/>
      <c r="M390" s="43"/>
      <c r="N390" s="44"/>
      <c r="O390" s="44"/>
      <c r="P390" s="44"/>
    </row>
    <row r="391" ht="15.0" customHeight="1">
      <c r="A391" s="32"/>
      <c r="B391" s="82"/>
      <c r="C391" s="76"/>
      <c r="D391" s="76"/>
      <c r="E391" s="77"/>
      <c r="F391" s="84"/>
      <c r="G391" s="79"/>
      <c r="H391" s="80"/>
      <c r="I391" s="79"/>
      <c r="J391" s="85"/>
      <c r="K391" s="73"/>
      <c r="L391" s="43"/>
      <c r="M391" s="43"/>
      <c r="N391" s="44"/>
      <c r="O391" s="44"/>
      <c r="P391" s="44"/>
    </row>
    <row r="392" ht="15.0" customHeight="1">
      <c r="A392" s="32"/>
      <c r="B392" s="82"/>
      <c r="C392" s="76"/>
      <c r="D392" s="76"/>
      <c r="E392" s="77"/>
      <c r="F392" s="84"/>
      <c r="G392" s="79"/>
      <c r="H392" s="80"/>
      <c r="I392" s="79"/>
      <c r="J392" s="85"/>
      <c r="K392" s="73"/>
      <c r="L392" s="43"/>
      <c r="M392" s="43"/>
      <c r="N392" s="44"/>
      <c r="O392" s="44"/>
      <c r="P392" s="44"/>
    </row>
    <row r="393" ht="15.0" customHeight="1">
      <c r="A393" s="32"/>
      <c r="B393" s="82"/>
      <c r="C393" s="76"/>
      <c r="D393" s="76"/>
      <c r="E393" s="77"/>
      <c r="F393" s="84"/>
      <c r="G393" s="79"/>
      <c r="H393" s="80"/>
      <c r="I393" s="79"/>
      <c r="J393" s="85"/>
      <c r="K393" s="73"/>
      <c r="L393" s="43"/>
      <c r="M393" s="43"/>
      <c r="N393" s="44"/>
      <c r="O393" s="44"/>
      <c r="P393" s="44"/>
    </row>
    <row r="394" ht="15.0" customHeight="1">
      <c r="A394" s="32"/>
      <c r="B394" s="82"/>
      <c r="C394" s="76"/>
      <c r="D394" s="76"/>
      <c r="E394" s="77"/>
      <c r="F394" s="84"/>
      <c r="G394" s="79"/>
      <c r="H394" s="80"/>
      <c r="I394" s="79"/>
      <c r="J394" s="85"/>
      <c r="K394" s="73"/>
      <c r="L394" s="43"/>
      <c r="M394" s="43"/>
      <c r="N394" s="44"/>
      <c r="O394" s="44"/>
      <c r="P394" s="44"/>
    </row>
    <row r="395" ht="15.0" customHeight="1">
      <c r="A395" s="32"/>
      <c r="B395" s="82"/>
      <c r="C395" s="76"/>
      <c r="D395" s="76"/>
      <c r="E395" s="77"/>
      <c r="F395" s="84"/>
      <c r="G395" s="79"/>
      <c r="H395" s="80"/>
      <c r="I395" s="79"/>
      <c r="J395" s="85"/>
      <c r="K395" s="73"/>
      <c r="L395" s="43"/>
      <c r="M395" s="43"/>
      <c r="N395" s="44"/>
      <c r="O395" s="44"/>
      <c r="P395" s="44"/>
    </row>
    <row r="396" ht="15.0" customHeight="1">
      <c r="A396" s="32"/>
      <c r="B396" s="82"/>
      <c r="C396" s="76"/>
      <c r="D396" s="76"/>
      <c r="E396" s="77"/>
      <c r="F396" s="84"/>
      <c r="G396" s="79"/>
      <c r="H396" s="80"/>
      <c r="I396" s="79"/>
      <c r="J396" s="85"/>
      <c r="K396" s="73"/>
      <c r="L396" s="43"/>
      <c r="M396" s="43"/>
      <c r="N396" s="44"/>
      <c r="O396" s="44"/>
      <c r="P396" s="44"/>
    </row>
    <row r="397" ht="15.0" customHeight="1">
      <c r="A397" s="32"/>
      <c r="B397" s="82"/>
      <c r="C397" s="76"/>
      <c r="D397" s="76"/>
      <c r="E397" s="77"/>
      <c r="F397" s="84"/>
      <c r="G397" s="79"/>
      <c r="H397" s="80"/>
      <c r="I397" s="79"/>
      <c r="J397" s="85"/>
      <c r="K397" s="73"/>
      <c r="L397" s="43"/>
      <c r="M397" s="43"/>
      <c r="N397" s="44"/>
      <c r="O397" s="44"/>
      <c r="P397" s="44"/>
    </row>
    <row r="398" ht="15.0" customHeight="1">
      <c r="A398" s="32"/>
      <c r="B398" s="82"/>
      <c r="C398" s="76"/>
      <c r="D398" s="76"/>
      <c r="E398" s="77"/>
      <c r="F398" s="84"/>
      <c r="G398" s="79"/>
      <c r="H398" s="80"/>
      <c r="I398" s="79"/>
      <c r="J398" s="85"/>
      <c r="K398" s="73"/>
      <c r="L398" s="43"/>
      <c r="M398" s="43"/>
      <c r="N398" s="44"/>
      <c r="O398" s="44"/>
      <c r="P398" s="44"/>
    </row>
    <row r="399" ht="15.0" customHeight="1">
      <c r="A399" s="32"/>
      <c r="B399" s="82"/>
      <c r="C399" s="76"/>
      <c r="D399" s="76"/>
      <c r="E399" s="77"/>
      <c r="F399" s="84"/>
      <c r="G399" s="79"/>
      <c r="H399" s="80"/>
      <c r="I399" s="79"/>
      <c r="J399" s="85"/>
      <c r="K399" s="73"/>
      <c r="L399" s="43"/>
      <c r="M399" s="43"/>
      <c r="N399" s="44"/>
      <c r="O399" s="44"/>
      <c r="P399" s="44"/>
    </row>
    <row r="400" ht="15.0" customHeight="1">
      <c r="A400" s="32"/>
      <c r="B400" s="82"/>
      <c r="C400" s="76"/>
      <c r="D400" s="76"/>
      <c r="E400" s="77"/>
      <c r="F400" s="84"/>
      <c r="G400" s="79"/>
      <c r="H400" s="80"/>
      <c r="I400" s="79"/>
      <c r="J400" s="85"/>
      <c r="K400" s="73"/>
      <c r="L400" s="43"/>
      <c r="M400" s="43"/>
      <c r="N400" s="44"/>
      <c r="O400" s="44"/>
      <c r="P400" s="44"/>
    </row>
    <row r="401" ht="15.0" customHeight="1">
      <c r="A401" s="32"/>
      <c r="B401" s="82"/>
      <c r="C401" s="76"/>
      <c r="D401" s="76"/>
      <c r="E401" s="77"/>
      <c r="F401" s="84"/>
      <c r="G401" s="79"/>
      <c r="H401" s="80"/>
      <c r="I401" s="79"/>
      <c r="J401" s="85"/>
      <c r="K401" s="73"/>
      <c r="L401" s="43"/>
      <c r="M401" s="43"/>
      <c r="N401" s="44"/>
      <c r="O401" s="44"/>
      <c r="P401" s="44"/>
    </row>
    <row r="402" ht="15.0" customHeight="1">
      <c r="A402" s="32"/>
      <c r="B402" s="82"/>
      <c r="C402" s="76"/>
      <c r="D402" s="76"/>
      <c r="E402" s="77"/>
      <c r="F402" s="84"/>
      <c r="G402" s="79"/>
      <c r="H402" s="80"/>
      <c r="I402" s="79"/>
      <c r="J402" s="85"/>
      <c r="K402" s="73"/>
      <c r="L402" s="43"/>
      <c r="M402" s="43"/>
      <c r="N402" s="44"/>
      <c r="O402" s="44"/>
      <c r="P402" s="44"/>
    </row>
    <row r="403" ht="15.0" customHeight="1">
      <c r="A403" s="32"/>
      <c r="B403" s="82"/>
      <c r="C403" s="76"/>
      <c r="D403" s="76"/>
      <c r="E403" s="77"/>
      <c r="F403" s="84"/>
      <c r="G403" s="79"/>
      <c r="H403" s="80"/>
      <c r="I403" s="79"/>
      <c r="J403" s="85"/>
      <c r="K403" s="73"/>
      <c r="L403" s="43"/>
      <c r="M403" s="43"/>
      <c r="N403" s="44"/>
      <c r="O403" s="44"/>
      <c r="P403" s="44"/>
    </row>
    <row r="404" ht="15.0" customHeight="1">
      <c r="A404" s="32"/>
      <c r="B404" s="82"/>
      <c r="C404" s="76"/>
      <c r="D404" s="76"/>
      <c r="E404" s="77"/>
      <c r="F404" s="84"/>
      <c r="G404" s="79"/>
      <c r="H404" s="80"/>
      <c r="I404" s="79"/>
      <c r="J404" s="85"/>
      <c r="K404" s="73"/>
      <c r="L404" s="43"/>
      <c r="M404" s="43"/>
      <c r="N404" s="44"/>
      <c r="O404" s="44"/>
      <c r="P404" s="44"/>
    </row>
    <row r="405" ht="15.0" customHeight="1">
      <c r="A405" s="32"/>
      <c r="B405" s="82"/>
      <c r="C405" s="76"/>
      <c r="D405" s="76"/>
      <c r="E405" s="77"/>
      <c r="F405" s="84"/>
      <c r="G405" s="79"/>
      <c r="H405" s="80"/>
      <c r="I405" s="79"/>
      <c r="J405" s="85"/>
      <c r="K405" s="73"/>
      <c r="L405" s="43"/>
      <c r="M405" s="43"/>
      <c r="N405" s="44"/>
      <c r="O405" s="44"/>
      <c r="P405" s="44"/>
    </row>
    <row r="406" ht="15.0" customHeight="1">
      <c r="A406" s="32"/>
      <c r="B406" s="82"/>
      <c r="C406" s="76"/>
      <c r="D406" s="76"/>
      <c r="E406" s="77"/>
      <c r="F406" s="84"/>
      <c r="G406" s="79"/>
      <c r="H406" s="80"/>
      <c r="I406" s="79"/>
      <c r="J406" s="85"/>
      <c r="K406" s="73"/>
      <c r="L406" s="43"/>
      <c r="M406" s="43"/>
      <c r="N406" s="44"/>
      <c r="O406" s="44"/>
      <c r="P406" s="44"/>
    </row>
    <row r="407" ht="15.0" customHeight="1">
      <c r="A407" s="32"/>
      <c r="B407" s="82"/>
      <c r="C407" s="76"/>
      <c r="D407" s="76"/>
      <c r="E407" s="77"/>
      <c r="F407" s="84"/>
      <c r="G407" s="79"/>
      <c r="H407" s="80"/>
      <c r="I407" s="79"/>
      <c r="J407" s="85"/>
      <c r="K407" s="73"/>
      <c r="L407" s="43"/>
      <c r="M407" s="43"/>
      <c r="N407" s="44"/>
      <c r="O407" s="44"/>
      <c r="P407" s="44"/>
    </row>
    <row r="408" ht="15.0" customHeight="1">
      <c r="A408" s="32"/>
      <c r="B408" s="82"/>
      <c r="C408" s="76"/>
      <c r="D408" s="76"/>
      <c r="E408" s="77"/>
      <c r="F408" s="84"/>
      <c r="G408" s="79"/>
      <c r="H408" s="80"/>
      <c r="I408" s="79"/>
      <c r="J408" s="85"/>
      <c r="K408" s="73"/>
      <c r="L408" s="43"/>
      <c r="M408" s="43"/>
      <c r="N408" s="44"/>
      <c r="O408" s="44"/>
      <c r="P408" s="44"/>
    </row>
    <row r="409" ht="15.0" customHeight="1">
      <c r="A409" s="32"/>
      <c r="B409" s="82"/>
      <c r="C409" s="76"/>
      <c r="D409" s="76"/>
      <c r="E409" s="77"/>
      <c r="F409" s="84"/>
      <c r="G409" s="79"/>
      <c r="H409" s="80"/>
      <c r="I409" s="79"/>
      <c r="J409" s="85"/>
      <c r="K409" s="73"/>
      <c r="L409" s="43"/>
      <c r="M409" s="43"/>
      <c r="N409" s="44"/>
      <c r="O409" s="44"/>
      <c r="P409" s="44"/>
    </row>
    <row r="410" ht="15.0" customHeight="1">
      <c r="A410" s="32"/>
      <c r="B410" s="82"/>
      <c r="C410" s="76"/>
      <c r="D410" s="76"/>
      <c r="E410" s="77"/>
      <c r="F410" s="84"/>
      <c r="G410" s="79"/>
      <c r="H410" s="80"/>
      <c r="I410" s="79"/>
      <c r="J410" s="85"/>
      <c r="K410" s="73"/>
      <c r="L410" s="43"/>
      <c r="M410" s="43"/>
      <c r="N410" s="44"/>
      <c r="O410" s="44"/>
      <c r="P410" s="44"/>
    </row>
    <row r="411" ht="15.0" customHeight="1">
      <c r="A411" s="32"/>
      <c r="B411" s="82"/>
      <c r="C411" s="76"/>
      <c r="D411" s="76"/>
      <c r="E411" s="77"/>
      <c r="F411" s="84"/>
      <c r="G411" s="79"/>
      <c r="H411" s="80"/>
      <c r="I411" s="79"/>
      <c r="J411" s="85"/>
      <c r="K411" s="73"/>
      <c r="L411" s="43"/>
      <c r="M411" s="43"/>
      <c r="N411" s="44"/>
      <c r="O411" s="44"/>
      <c r="P411" s="44"/>
    </row>
    <row r="412" ht="15.0" customHeight="1">
      <c r="A412" s="32"/>
      <c r="B412" s="82"/>
      <c r="C412" s="76"/>
      <c r="D412" s="76"/>
      <c r="E412" s="77"/>
      <c r="F412" s="84"/>
      <c r="G412" s="79"/>
      <c r="H412" s="80"/>
      <c r="I412" s="79"/>
      <c r="J412" s="85"/>
      <c r="K412" s="73"/>
      <c r="L412" s="43"/>
      <c r="M412" s="43"/>
      <c r="N412" s="44"/>
      <c r="O412" s="44"/>
      <c r="P412" s="44"/>
    </row>
    <row r="413" ht="15.0" customHeight="1">
      <c r="A413" s="32"/>
      <c r="B413" s="82"/>
      <c r="C413" s="76"/>
      <c r="D413" s="76"/>
      <c r="E413" s="77"/>
      <c r="F413" s="84"/>
      <c r="G413" s="79"/>
      <c r="H413" s="80"/>
      <c r="I413" s="79"/>
      <c r="J413" s="85"/>
      <c r="K413" s="73"/>
      <c r="L413" s="43"/>
      <c r="M413" s="43"/>
      <c r="N413" s="44"/>
      <c r="O413" s="44"/>
      <c r="P413" s="44"/>
    </row>
    <row r="414" ht="15.0" customHeight="1">
      <c r="A414" s="32"/>
      <c r="B414" s="82"/>
      <c r="C414" s="76"/>
      <c r="D414" s="76"/>
      <c r="E414" s="77"/>
      <c r="F414" s="84"/>
      <c r="G414" s="79"/>
      <c r="H414" s="80"/>
      <c r="I414" s="79"/>
      <c r="J414" s="85"/>
      <c r="K414" s="73"/>
      <c r="L414" s="43"/>
      <c r="M414" s="43"/>
      <c r="N414" s="44"/>
      <c r="O414" s="44"/>
      <c r="P414" s="44"/>
    </row>
    <row r="415" ht="15.0" customHeight="1">
      <c r="A415" s="32"/>
      <c r="B415" s="82"/>
      <c r="C415" s="76"/>
      <c r="D415" s="76"/>
      <c r="E415" s="77"/>
      <c r="F415" s="84"/>
      <c r="G415" s="79"/>
      <c r="H415" s="80"/>
      <c r="I415" s="79"/>
      <c r="J415" s="85"/>
      <c r="K415" s="73"/>
      <c r="L415" s="43"/>
      <c r="M415" s="43"/>
      <c r="N415" s="44"/>
      <c r="O415" s="44"/>
      <c r="P415" s="44"/>
    </row>
    <row r="416" ht="15.0" customHeight="1">
      <c r="A416" s="32"/>
      <c r="B416" s="82"/>
      <c r="C416" s="76"/>
      <c r="D416" s="76"/>
      <c r="E416" s="77"/>
      <c r="F416" s="84"/>
      <c r="G416" s="79"/>
      <c r="H416" s="80"/>
      <c r="I416" s="79"/>
      <c r="J416" s="85"/>
      <c r="K416" s="73"/>
      <c r="L416" s="43"/>
      <c r="M416" s="43"/>
      <c r="N416" s="44"/>
      <c r="O416" s="44"/>
      <c r="P416" s="44"/>
    </row>
    <row r="417" ht="15.0" customHeight="1">
      <c r="A417" s="32"/>
      <c r="B417" s="82"/>
      <c r="C417" s="76"/>
      <c r="D417" s="76"/>
      <c r="E417" s="77"/>
      <c r="F417" s="84"/>
      <c r="G417" s="79"/>
      <c r="H417" s="80"/>
      <c r="I417" s="79"/>
      <c r="J417" s="85"/>
      <c r="K417" s="73"/>
      <c r="L417" s="43"/>
      <c r="M417" s="43"/>
      <c r="N417" s="44"/>
      <c r="O417" s="44"/>
      <c r="P417" s="44"/>
    </row>
    <row r="418" ht="15.0" customHeight="1">
      <c r="A418" s="32"/>
      <c r="B418" s="82"/>
      <c r="C418" s="76"/>
      <c r="D418" s="76"/>
      <c r="E418" s="77"/>
      <c r="F418" s="84"/>
      <c r="G418" s="79"/>
      <c r="H418" s="80"/>
      <c r="I418" s="79"/>
      <c r="J418" s="85"/>
      <c r="K418" s="73"/>
      <c r="L418" s="43"/>
      <c r="M418" s="43"/>
      <c r="N418" s="44"/>
      <c r="O418" s="44"/>
      <c r="P418" s="44"/>
    </row>
    <row r="419" ht="15.0" customHeight="1">
      <c r="A419" s="32"/>
      <c r="B419" s="82"/>
      <c r="C419" s="76"/>
      <c r="D419" s="76"/>
      <c r="E419" s="77"/>
      <c r="F419" s="84"/>
      <c r="G419" s="79"/>
      <c r="H419" s="80"/>
      <c r="I419" s="79"/>
      <c r="J419" s="85"/>
      <c r="K419" s="73"/>
      <c r="L419" s="43"/>
      <c r="M419" s="43"/>
      <c r="N419" s="44"/>
      <c r="O419" s="44"/>
      <c r="P419" s="44"/>
    </row>
    <row r="420" ht="15.0" customHeight="1">
      <c r="A420" s="32"/>
      <c r="B420" s="82"/>
      <c r="C420" s="76"/>
      <c r="D420" s="76"/>
      <c r="E420" s="77"/>
      <c r="F420" s="84"/>
      <c r="G420" s="79"/>
      <c r="H420" s="80"/>
      <c r="I420" s="79"/>
      <c r="J420" s="85"/>
      <c r="K420" s="73"/>
      <c r="L420" s="43"/>
      <c r="M420" s="43"/>
      <c r="N420" s="44"/>
      <c r="O420" s="44"/>
      <c r="P420" s="44"/>
    </row>
    <row r="421" ht="15.0" customHeight="1">
      <c r="A421" s="32"/>
      <c r="B421" s="82"/>
      <c r="C421" s="76"/>
      <c r="D421" s="76"/>
      <c r="E421" s="77"/>
      <c r="F421" s="84"/>
      <c r="G421" s="79"/>
      <c r="H421" s="80"/>
      <c r="I421" s="79"/>
      <c r="J421" s="85"/>
      <c r="K421" s="73"/>
      <c r="L421" s="43"/>
      <c r="M421" s="43"/>
      <c r="N421" s="44"/>
      <c r="O421" s="44"/>
      <c r="P421" s="44"/>
    </row>
    <row r="422" ht="15.0" customHeight="1">
      <c r="A422" s="32"/>
      <c r="B422" s="82"/>
      <c r="C422" s="76"/>
      <c r="D422" s="76"/>
      <c r="E422" s="77"/>
      <c r="F422" s="84"/>
      <c r="G422" s="79"/>
      <c r="H422" s="80"/>
      <c r="I422" s="79"/>
      <c r="J422" s="85"/>
      <c r="K422" s="73"/>
      <c r="L422" s="43"/>
      <c r="M422" s="43"/>
      <c r="N422" s="44"/>
      <c r="O422" s="44"/>
      <c r="P422" s="44"/>
    </row>
    <row r="423" ht="15.0" customHeight="1">
      <c r="A423" s="32"/>
      <c r="B423" s="82"/>
      <c r="C423" s="76"/>
      <c r="D423" s="76"/>
      <c r="E423" s="77"/>
      <c r="F423" s="84"/>
      <c r="G423" s="79"/>
      <c r="H423" s="80"/>
      <c r="I423" s="79"/>
      <c r="J423" s="85"/>
      <c r="K423" s="73"/>
      <c r="L423" s="43"/>
      <c r="M423" s="43"/>
      <c r="N423" s="44"/>
      <c r="O423" s="44"/>
      <c r="P423" s="44"/>
    </row>
    <row r="424" ht="15.0" customHeight="1">
      <c r="A424" s="32"/>
      <c r="B424" s="82"/>
      <c r="C424" s="76"/>
      <c r="D424" s="76"/>
      <c r="E424" s="77"/>
      <c r="F424" s="84"/>
      <c r="G424" s="79"/>
      <c r="H424" s="80"/>
      <c r="I424" s="79"/>
      <c r="J424" s="85"/>
      <c r="K424" s="73"/>
      <c r="L424" s="43"/>
      <c r="M424" s="43"/>
      <c r="N424" s="44"/>
      <c r="O424" s="44"/>
      <c r="P424" s="44"/>
    </row>
    <row r="425" ht="15.0" customHeight="1">
      <c r="A425" s="32"/>
      <c r="B425" s="82"/>
      <c r="C425" s="76"/>
      <c r="D425" s="76"/>
      <c r="E425" s="77"/>
      <c r="F425" s="84"/>
      <c r="G425" s="79"/>
      <c r="H425" s="80"/>
      <c r="I425" s="79"/>
      <c r="J425" s="85"/>
      <c r="K425" s="73"/>
      <c r="L425" s="43"/>
      <c r="M425" s="43"/>
      <c r="N425" s="44"/>
      <c r="O425" s="44"/>
      <c r="P425" s="44"/>
    </row>
    <row r="426" ht="15.0" customHeight="1">
      <c r="A426" s="32"/>
      <c r="B426" s="82"/>
      <c r="C426" s="76"/>
      <c r="D426" s="76"/>
      <c r="E426" s="77"/>
      <c r="F426" s="84"/>
      <c r="G426" s="79"/>
      <c r="H426" s="80"/>
      <c r="I426" s="79"/>
      <c r="J426" s="85"/>
      <c r="K426" s="73"/>
      <c r="L426" s="43"/>
      <c r="M426" s="43"/>
      <c r="N426" s="44"/>
      <c r="O426" s="44"/>
      <c r="P426" s="44"/>
    </row>
    <row r="427" ht="15.0" customHeight="1">
      <c r="A427" s="32"/>
      <c r="B427" s="82"/>
      <c r="C427" s="76"/>
      <c r="D427" s="76"/>
      <c r="E427" s="77"/>
      <c r="F427" s="84"/>
      <c r="G427" s="79"/>
      <c r="H427" s="80"/>
      <c r="I427" s="79"/>
      <c r="J427" s="85"/>
      <c r="K427" s="73"/>
      <c r="L427" s="43"/>
      <c r="M427" s="43"/>
      <c r="N427" s="44"/>
      <c r="O427" s="44"/>
      <c r="P427" s="44"/>
    </row>
    <row r="428" ht="15.0" customHeight="1">
      <c r="A428" s="32"/>
      <c r="B428" s="82"/>
      <c r="C428" s="76"/>
      <c r="D428" s="76"/>
      <c r="E428" s="77"/>
      <c r="F428" s="84"/>
      <c r="G428" s="79"/>
      <c r="H428" s="80"/>
      <c r="I428" s="79"/>
      <c r="J428" s="85"/>
      <c r="K428" s="73"/>
      <c r="L428" s="43"/>
      <c r="M428" s="43"/>
      <c r="N428" s="44"/>
      <c r="O428" s="44"/>
      <c r="P428" s="44"/>
    </row>
    <row r="429" ht="15.0" customHeight="1">
      <c r="A429" s="32"/>
      <c r="B429" s="82"/>
      <c r="C429" s="76"/>
      <c r="D429" s="76"/>
      <c r="E429" s="77"/>
      <c r="F429" s="84"/>
      <c r="G429" s="79"/>
      <c r="H429" s="80"/>
      <c r="I429" s="79"/>
      <c r="J429" s="85"/>
      <c r="K429" s="73"/>
      <c r="L429" s="43"/>
      <c r="M429" s="43"/>
      <c r="N429" s="44"/>
      <c r="O429" s="44"/>
      <c r="P429" s="44"/>
    </row>
    <row r="430" ht="15.0" customHeight="1">
      <c r="A430" s="32"/>
      <c r="B430" s="82"/>
      <c r="C430" s="76"/>
      <c r="D430" s="76"/>
      <c r="E430" s="77"/>
      <c r="F430" s="84"/>
      <c r="G430" s="79"/>
      <c r="H430" s="80"/>
      <c r="I430" s="79"/>
      <c r="J430" s="85"/>
      <c r="K430" s="73"/>
      <c r="L430" s="43"/>
      <c r="M430" s="43"/>
      <c r="N430" s="44"/>
      <c r="O430" s="44"/>
      <c r="P430" s="44"/>
    </row>
    <row r="431" ht="15.0" customHeight="1">
      <c r="A431" s="32"/>
      <c r="B431" s="82"/>
      <c r="C431" s="76"/>
      <c r="D431" s="76"/>
      <c r="E431" s="77"/>
      <c r="F431" s="84"/>
      <c r="G431" s="79"/>
      <c r="H431" s="80"/>
      <c r="I431" s="79"/>
      <c r="J431" s="85"/>
      <c r="K431" s="73"/>
      <c r="L431" s="43"/>
      <c r="M431" s="43"/>
      <c r="N431" s="44"/>
      <c r="O431" s="44"/>
      <c r="P431" s="44"/>
    </row>
    <row r="432" ht="15.0" customHeight="1">
      <c r="A432" s="32"/>
      <c r="B432" s="82"/>
      <c r="C432" s="76"/>
      <c r="D432" s="76"/>
      <c r="E432" s="77"/>
      <c r="F432" s="84"/>
      <c r="G432" s="79"/>
      <c r="H432" s="80"/>
      <c r="I432" s="79"/>
      <c r="J432" s="85"/>
      <c r="K432" s="73"/>
      <c r="L432" s="43"/>
      <c r="M432" s="43"/>
      <c r="N432" s="44"/>
      <c r="O432" s="44"/>
      <c r="P432" s="44"/>
    </row>
    <row r="433" ht="15.0" customHeight="1">
      <c r="A433" s="32"/>
      <c r="B433" s="82"/>
      <c r="C433" s="76"/>
      <c r="D433" s="76"/>
      <c r="E433" s="77"/>
      <c r="F433" s="84"/>
      <c r="G433" s="79"/>
      <c r="H433" s="80"/>
      <c r="I433" s="79"/>
      <c r="J433" s="85"/>
      <c r="K433" s="73"/>
      <c r="L433" s="43"/>
      <c r="M433" s="43"/>
      <c r="N433" s="44"/>
      <c r="O433" s="44"/>
      <c r="P433" s="44"/>
    </row>
    <row r="434" ht="15.0" customHeight="1">
      <c r="A434" s="32"/>
      <c r="B434" s="82"/>
      <c r="C434" s="76"/>
      <c r="D434" s="76"/>
      <c r="E434" s="77"/>
      <c r="F434" s="84"/>
      <c r="G434" s="79"/>
      <c r="H434" s="80"/>
      <c r="I434" s="79"/>
      <c r="J434" s="85"/>
      <c r="K434" s="73"/>
      <c r="L434" s="43"/>
      <c r="M434" s="43"/>
      <c r="N434" s="44"/>
      <c r="O434" s="44"/>
      <c r="P434" s="44"/>
    </row>
    <row r="435" ht="15.0" customHeight="1">
      <c r="A435" s="32"/>
      <c r="B435" s="82"/>
      <c r="C435" s="76"/>
      <c r="D435" s="76"/>
      <c r="E435" s="77"/>
      <c r="F435" s="84"/>
      <c r="G435" s="79"/>
      <c r="H435" s="80"/>
      <c r="I435" s="79"/>
      <c r="J435" s="85"/>
      <c r="K435" s="73"/>
      <c r="L435" s="43"/>
      <c r="M435" s="43"/>
      <c r="N435" s="44"/>
      <c r="O435" s="44"/>
      <c r="P435" s="44"/>
    </row>
    <row r="436" ht="15.0" customHeight="1">
      <c r="A436" s="32"/>
      <c r="B436" s="82"/>
      <c r="C436" s="76"/>
      <c r="D436" s="76"/>
      <c r="E436" s="77"/>
      <c r="F436" s="84"/>
      <c r="G436" s="79"/>
      <c r="H436" s="80"/>
      <c r="I436" s="79"/>
      <c r="J436" s="85"/>
      <c r="K436" s="73"/>
      <c r="L436" s="43"/>
      <c r="M436" s="43"/>
      <c r="N436" s="44"/>
      <c r="O436" s="44"/>
      <c r="P436" s="44"/>
    </row>
    <row r="437" ht="15.0" customHeight="1">
      <c r="A437" s="32"/>
      <c r="B437" s="82"/>
      <c r="C437" s="76"/>
      <c r="D437" s="76"/>
      <c r="E437" s="77"/>
      <c r="F437" s="84"/>
      <c r="G437" s="79"/>
      <c r="H437" s="80"/>
      <c r="I437" s="79"/>
      <c r="J437" s="85"/>
      <c r="K437" s="73"/>
      <c r="L437" s="43"/>
      <c r="M437" s="43"/>
      <c r="N437" s="44"/>
      <c r="O437" s="44"/>
      <c r="P437" s="44"/>
    </row>
    <row r="438" ht="15.0" customHeight="1">
      <c r="A438" s="32"/>
      <c r="B438" s="82"/>
      <c r="C438" s="76"/>
      <c r="D438" s="76"/>
      <c r="E438" s="77"/>
      <c r="F438" s="84"/>
      <c r="G438" s="79"/>
      <c r="H438" s="80"/>
      <c r="I438" s="79"/>
      <c r="J438" s="85"/>
      <c r="K438" s="73"/>
      <c r="L438" s="43"/>
      <c r="M438" s="43"/>
      <c r="N438" s="44"/>
      <c r="O438" s="44"/>
      <c r="P438" s="44"/>
    </row>
    <row r="439" ht="15.0" customHeight="1">
      <c r="A439" s="32"/>
      <c r="B439" s="82"/>
      <c r="C439" s="76"/>
      <c r="D439" s="76"/>
      <c r="E439" s="77"/>
      <c r="F439" s="84"/>
      <c r="G439" s="79"/>
      <c r="H439" s="80"/>
      <c r="I439" s="79"/>
      <c r="J439" s="85"/>
      <c r="K439" s="73"/>
      <c r="L439" s="43"/>
      <c r="M439" s="43"/>
      <c r="N439" s="44"/>
      <c r="O439" s="44"/>
      <c r="P439" s="44"/>
    </row>
    <row r="440" ht="15.0" customHeight="1">
      <c r="A440" s="32"/>
      <c r="B440" s="82"/>
      <c r="C440" s="76"/>
      <c r="D440" s="76"/>
      <c r="E440" s="77"/>
      <c r="F440" s="84"/>
      <c r="G440" s="79"/>
      <c r="H440" s="80"/>
      <c r="I440" s="79"/>
      <c r="J440" s="85"/>
      <c r="K440" s="73"/>
      <c r="L440" s="43"/>
      <c r="M440" s="43"/>
      <c r="N440" s="44"/>
      <c r="O440" s="44"/>
      <c r="P440" s="44"/>
    </row>
    <row r="441" ht="15.0" customHeight="1">
      <c r="A441" s="32"/>
      <c r="B441" s="82"/>
      <c r="C441" s="76"/>
      <c r="D441" s="76"/>
      <c r="E441" s="77"/>
      <c r="F441" s="84"/>
      <c r="G441" s="79"/>
      <c r="H441" s="80"/>
      <c r="I441" s="79"/>
      <c r="J441" s="85"/>
      <c r="K441" s="73"/>
      <c r="L441" s="43"/>
      <c r="M441" s="43"/>
      <c r="N441" s="44"/>
      <c r="O441" s="44"/>
      <c r="P441" s="44"/>
    </row>
    <row r="442" ht="15.0" customHeight="1">
      <c r="A442" s="32"/>
      <c r="B442" s="82"/>
      <c r="C442" s="76"/>
      <c r="D442" s="76"/>
      <c r="E442" s="77"/>
      <c r="F442" s="84"/>
      <c r="G442" s="79"/>
      <c r="H442" s="80"/>
      <c r="I442" s="79"/>
      <c r="J442" s="85"/>
      <c r="K442" s="73"/>
      <c r="L442" s="43"/>
      <c r="M442" s="43"/>
      <c r="N442" s="44"/>
      <c r="O442" s="44"/>
      <c r="P442" s="44"/>
    </row>
    <row r="443" ht="15.0" customHeight="1">
      <c r="A443" s="32"/>
      <c r="B443" s="82"/>
      <c r="C443" s="76"/>
      <c r="D443" s="76"/>
      <c r="E443" s="77"/>
      <c r="F443" s="84"/>
      <c r="G443" s="79"/>
      <c r="H443" s="80"/>
      <c r="I443" s="79"/>
      <c r="J443" s="85"/>
      <c r="K443" s="73"/>
      <c r="L443" s="43"/>
      <c r="M443" s="43"/>
      <c r="N443" s="44"/>
      <c r="O443" s="44"/>
      <c r="P443" s="44"/>
    </row>
    <row r="444" ht="15.0" customHeight="1">
      <c r="A444" s="32"/>
      <c r="B444" s="82"/>
      <c r="C444" s="76"/>
      <c r="D444" s="76"/>
      <c r="E444" s="77"/>
      <c r="F444" s="84"/>
      <c r="G444" s="79"/>
      <c r="H444" s="80"/>
      <c r="I444" s="79"/>
      <c r="J444" s="85"/>
      <c r="K444" s="73"/>
      <c r="L444" s="43"/>
      <c r="M444" s="43"/>
      <c r="N444" s="44"/>
      <c r="O444" s="44"/>
      <c r="P444" s="44"/>
    </row>
    <row r="445" ht="15.0" customHeight="1">
      <c r="A445" s="32"/>
      <c r="B445" s="82"/>
      <c r="C445" s="76"/>
      <c r="D445" s="76"/>
      <c r="E445" s="77"/>
      <c r="F445" s="84"/>
      <c r="G445" s="79"/>
      <c r="H445" s="80"/>
      <c r="I445" s="79"/>
      <c r="J445" s="85"/>
      <c r="K445" s="73"/>
      <c r="L445" s="43"/>
      <c r="M445" s="43"/>
      <c r="N445" s="44"/>
      <c r="O445" s="44"/>
      <c r="P445" s="44"/>
    </row>
    <row r="446" ht="15.0" customHeight="1">
      <c r="A446" s="32"/>
      <c r="B446" s="82"/>
      <c r="C446" s="76"/>
      <c r="D446" s="76"/>
      <c r="E446" s="77"/>
      <c r="F446" s="84"/>
      <c r="G446" s="79"/>
      <c r="H446" s="80"/>
      <c r="I446" s="79"/>
      <c r="J446" s="85"/>
      <c r="K446" s="73"/>
      <c r="L446" s="43"/>
      <c r="M446" s="43"/>
      <c r="N446" s="44"/>
      <c r="O446" s="44"/>
      <c r="P446" s="44"/>
    </row>
    <row r="447" ht="15.0" customHeight="1">
      <c r="A447" s="32"/>
      <c r="B447" s="82"/>
      <c r="C447" s="76"/>
      <c r="D447" s="76"/>
      <c r="E447" s="77"/>
      <c r="F447" s="84"/>
      <c r="G447" s="79"/>
      <c r="H447" s="80"/>
      <c r="I447" s="79"/>
      <c r="J447" s="85"/>
      <c r="K447" s="73"/>
      <c r="L447" s="43"/>
      <c r="M447" s="43"/>
      <c r="N447" s="44"/>
      <c r="O447" s="44"/>
      <c r="P447" s="44"/>
    </row>
    <row r="448" ht="15.0" customHeight="1">
      <c r="A448" s="32"/>
      <c r="B448" s="82"/>
      <c r="C448" s="76"/>
      <c r="D448" s="76"/>
      <c r="E448" s="77"/>
      <c r="F448" s="84"/>
      <c r="G448" s="79"/>
      <c r="H448" s="80"/>
      <c r="I448" s="79"/>
      <c r="J448" s="85"/>
      <c r="K448" s="73"/>
      <c r="L448" s="43"/>
      <c r="M448" s="43"/>
      <c r="N448" s="44"/>
      <c r="O448" s="44"/>
      <c r="P448" s="44"/>
    </row>
    <row r="449" ht="15.0" customHeight="1">
      <c r="A449" s="32"/>
      <c r="B449" s="82"/>
      <c r="C449" s="76"/>
      <c r="D449" s="76"/>
      <c r="E449" s="77"/>
      <c r="F449" s="84"/>
      <c r="G449" s="79"/>
      <c r="H449" s="80"/>
      <c r="I449" s="79"/>
      <c r="J449" s="85"/>
      <c r="K449" s="73"/>
      <c r="L449" s="43"/>
      <c r="M449" s="43"/>
      <c r="N449" s="44"/>
      <c r="O449" s="44"/>
      <c r="P449" s="44"/>
    </row>
    <row r="450" ht="15.0" customHeight="1">
      <c r="A450" s="32"/>
      <c r="B450" s="82"/>
      <c r="C450" s="76"/>
      <c r="D450" s="76"/>
      <c r="E450" s="77"/>
      <c r="F450" s="84"/>
      <c r="G450" s="79"/>
      <c r="H450" s="80"/>
      <c r="I450" s="79"/>
      <c r="J450" s="85"/>
      <c r="K450" s="73"/>
      <c r="L450" s="43"/>
      <c r="M450" s="43"/>
      <c r="N450" s="44"/>
      <c r="O450" s="44"/>
      <c r="P450" s="44"/>
    </row>
    <row r="451" ht="15.0" customHeight="1">
      <c r="A451" s="32"/>
      <c r="B451" s="82"/>
      <c r="C451" s="76"/>
      <c r="D451" s="76"/>
      <c r="E451" s="77"/>
      <c r="F451" s="84"/>
      <c r="G451" s="79"/>
      <c r="H451" s="80"/>
      <c r="I451" s="79"/>
      <c r="J451" s="85"/>
      <c r="K451" s="73"/>
      <c r="L451" s="43"/>
      <c r="M451" s="43"/>
      <c r="N451" s="44"/>
      <c r="O451" s="44"/>
      <c r="P451" s="44"/>
    </row>
    <row r="452" ht="15.0" customHeight="1">
      <c r="A452" s="32"/>
      <c r="B452" s="82"/>
      <c r="C452" s="76"/>
      <c r="D452" s="76"/>
      <c r="E452" s="77"/>
      <c r="F452" s="84"/>
      <c r="G452" s="79"/>
      <c r="H452" s="80"/>
      <c r="I452" s="79"/>
      <c r="J452" s="85"/>
      <c r="K452" s="73"/>
      <c r="L452" s="43"/>
      <c r="M452" s="43"/>
      <c r="N452" s="44"/>
      <c r="O452" s="44"/>
      <c r="P452" s="44"/>
    </row>
    <row r="453" ht="15.0" customHeight="1">
      <c r="A453" s="32"/>
      <c r="B453" s="82"/>
      <c r="C453" s="76"/>
      <c r="D453" s="76"/>
      <c r="E453" s="77"/>
      <c r="F453" s="84"/>
      <c r="G453" s="79"/>
      <c r="H453" s="80"/>
      <c r="I453" s="79"/>
      <c r="J453" s="85"/>
      <c r="K453" s="73"/>
      <c r="L453" s="43"/>
      <c r="M453" s="43"/>
      <c r="N453" s="44"/>
      <c r="O453" s="44"/>
      <c r="P453" s="44"/>
    </row>
    <row r="454" ht="15.0" customHeight="1">
      <c r="A454" s="32"/>
      <c r="B454" s="82"/>
      <c r="C454" s="76"/>
      <c r="D454" s="76"/>
      <c r="E454" s="77"/>
      <c r="F454" s="84"/>
      <c r="G454" s="79"/>
      <c r="H454" s="80"/>
      <c r="I454" s="79"/>
      <c r="J454" s="85"/>
      <c r="K454" s="73"/>
      <c r="L454" s="43"/>
      <c r="M454" s="43"/>
      <c r="N454" s="44"/>
      <c r="O454" s="44"/>
      <c r="P454" s="44"/>
    </row>
    <row r="455" ht="15.0" customHeight="1">
      <c r="A455" s="32"/>
      <c r="B455" s="82"/>
      <c r="C455" s="76"/>
      <c r="D455" s="76"/>
      <c r="E455" s="77"/>
      <c r="F455" s="84"/>
      <c r="G455" s="79"/>
      <c r="H455" s="80"/>
      <c r="I455" s="79"/>
      <c r="J455" s="85"/>
      <c r="K455" s="73"/>
      <c r="L455" s="43"/>
      <c r="M455" s="43"/>
      <c r="N455" s="44"/>
      <c r="O455" s="44"/>
      <c r="P455" s="44"/>
    </row>
    <row r="456" ht="15.0" customHeight="1">
      <c r="A456" s="32"/>
      <c r="B456" s="82"/>
      <c r="C456" s="76"/>
      <c r="D456" s="76"/>
      <c r="E456" s="77"/>
      <c r="F456" s="84"/>
      <c r="G456" s="79"/>
      <c r="H456" s="80"/>
      <c r="I456" s="79"/>
      <c r="J456" s="85"/>
      <c r="K456" s="73"/>
      <c r="L456" s="43"/>
      <c r="M456" s="43"/>
      <c r="N456" s="44"/>
      <c r="O456" s="44"/>
      <c r="P456" s="44"/>
    </row>
    <row r="457" ht="15.0" customHeight="1">
      <c r="A457" s="32"/>
      <c r="B457" s="82"/>
      <c r="C457" s="76"/>
      <c r="D457" s="76"/>
      <c r="E457" s="77"/>
      <c r="F457" s="84"/>
      <c r="G457" s="79"/>
      <c r="H457" s="80"/>
      <c r="I457" s="79"/>
      <c r="J457" s="85"/>
      <c r="K457" s="73"/>
      <c r="L457" s="43"/>
      <c r="M457" s="43"/>
      <c r="N457" s="44"/>
      <c r="O457" s="44"/>
      <c r="P457" s="44"/>
    </row>
    <row r="458" ht="15.0" customHeight="1">
      <c r="A458" s="32"/>
      <c r="B458" s="82"/>
      <c r="C458" s="76"/>
      <c r="D458" s="76"/>
      <c r="E458" s="77"/>
      <c r="F458" s="84"/>
      <c r="G458" s="79"/>
      <c r="H458" s="80"/>
      <c r="I458" s="79"/>
      <c r="J458" s="85"/>
      <c r="K458" s="73"/>
      <c r="L458" s="43"/>
      <c r="M458" s="43"/>
      <c r="N458" s="44"/>
      <c r="O458" s="44"/>
      <c r="P458" s="44"/>
    </row>
    <row r="459" ht="15.0" customHeight="1">
      <c r="A459" s="32"/>
      <c r="B459" s="82"/>
      <c r="C459" s="76"/>
      <c r="D459" s="76"/>
      <c r="E459" s="77"/>
      <c r="F459" s="84"/>
      <c r="G459" s="79"/>
      <c r="H459" s="80"/>
      <c r="I459" s="79"/>
      <c r="J459" s="85"/>
      <c r="K459" s="73"/>
      <c r="L459" s="43"/>
      <c r="M459" s="43"/>
      <c r="N459" s="44"/>
      <c r="O459" s="44"/>
      <c r="P459" s="44"/>
    </row>
    <row r="460" ht="15.0" customHeight="1">
      <c r="A460" s="32"/>
      <c r="B460" s="82"/>
      <c r="C460" s="76"/>
      <c r="D460" s="76"/>
      <c r="E460" s="77"/>
      <c r="F460" s="84"/>
      <c r="G460" s="79"/>
      <c r="H460" s="80"/>
      <c r="I460" s="79"/>
      <c r="J460" s="85"/>
      <c r="K460" s="73"/>
      <c r="L460" s="43"/>
      <c r="M460" s="43"/>
      <c r="N460" s="44"/>
      <c r="O460" s="44"/>
      <c r="P460" s="44"/>
    </row>
    <row r="461" ht="15.0" customHeight="1">
      <c r="A461" s="32"/>
      <c r="B461" s="82"/>
      <c r="C461" s="76"/>
      <c r="D461" s="76"/>
      <c r="E461" s="77"/>
      <c r="F461" s="84"/>
      <c r="G461" s="79"/>
      <c r="H461" s="80"/>
      <c r="I461" s="79"/>
      <c r="J461" s="85"/>
      <c r="K461" s="73"/>
      <c r="L461" s="43"/>
      <c r="M461" s="43"/>
      <c r="N461" s="44"/>
      <c r="O461" s="44"/>
      <c r="P461" s="44"/>
    </row>
    <row r="462" ht="15.0" customHeight="1">
      <c r="A462" s="32"/>
      <c r="B462" s="82"/>
      <c r="C462" s="76"/>
      <c r="D462" s="76"/>
      <c r="E462" s="77"/>
      <c r="F462" s="84"/>
      <c r="G462" s="79"/>
      <c r="H462" s="80"/>
      <c r="I462" s="79"/>
      <c r="J462" s="85"/>
      <c r="K462" s="73"/>
      <c r="L462" s="43"/>
      <c r="M462" s="43"/>
      <c r="N462" s="44"/>
      <c r="O462" s="44"/>
      <c r="P462" s="44"/>
    </row>
    <row r="463" ht="15.0" customHeight="1">
      <c r="A463" s="32"/>
      <c r="B463" s="82"/>
      <c r="C463" s="76"/>
      <c r="D463" s="76"/>
      <c r="E463" s="77"/>
      <c r="F463" s="84"/>
      <c r="G463" s="79"/>
      <c r="H463" s="80"/>
      <c r="I463" s="79"/>
      <c r="J463" s="85"/>
      <c r="K463" s="73"/>
      <c r="L463" s="43"/>
      <c r="M463" s="43"/>
      <c r="N463" s="44"/>
      <c r="O463" s="44"/>
      <c r="P463" s="44"/>
    </row>
    <row r="464" ht="15.0" customHeight="1">
      <c r="A464" s="32"/>
      <c r="B464" s="82"/>
      <c r="C464" s="76"/>
      <c r="D464" s="76"/>
      <c r="E464" s="77"/>
      <c r="F464" s="84"/>
      <c r="G464" s="79"/>
      <c r="H464" s="80"/>
      <c r="I464" s="79"/>
      <c r="J464" s="85"/>
      <c r="K464" s="73"/>
      <c r="L464" s="43"/>
      <c r="M464" s="43"/>
      <c r="N464" s="44"/>
      <c r="O464" s="44"/>
      <c r="P464" s="44"/>
    </row>
    <row r="465" ht="15.0" customHeight="1">
      <c r="A465" s="32"/>
      <c r="B465" s="82"/>
      <c r="C465" s="76"/>
      <c r="D465" s="76"/>
      <c r="E465" s="77"/>
      <c r="F465" s="84"/>
      <c r="G465" s="79"/>
      <c r="H465" s="80"/>
      <c r="I465" s="79"/>
      <c r="J465" s="85"/>
      <c r="K465" s="73"/>
      <c r="L465" s="43"/>
      <c r="M465" s="43"/>
      <c r="N465" s="44"/>
      <c r="O465" s="44"/>
      <c r="P465" s="44"/>
    </row>
    <row r="466" ht="15.0" customHeight="1">
      <c r="A466" s="32"/>
      <c r="B466" s="82"/>
      <c r="C466" s="76"/>
      <c r="D466" s="76"/>
      <c r="E466" s="77"/>
      <c r="F466" s="84"/>
      <c r="G466" s="79"/>
      <c r="H466" s="80"/>
      <c r="I466" s="79"/>
      <c r="J466" s="85"/>
      <c r="K466" s="73"/>
      <c r="L466" s="43"/>
      <c r="M466" s="43"/>
      <c r="N466" s="44"/>
      <c r="O466" s="44"/>
      <c r="P466" s="44"/>
    </row>
    <row r="467" ht="15.0" customHeight="1">
      <c r="A467" s="32"/>
      <c r="B467" s="82"/>
      <c r="C467" s="76"/>
      <c r="D467" s="76"/>
      <c r="E467" s="77"/>
      <c r="F467" s="84"/>
      <c r="G467" s="79"/>
      <c r="H467" s="80"/>
      <c r="I467" s="79"/>
      <c r="J467" s="85"/>
      <c r="K467" s="73"/>
      <c r="L467" s="43"/>
      <c r="M467" s="43"/>
      <c r="N467" s="44"/>
      <c r="O467" s="44"/>
      <c r="P467" s="44"/>
    </row>
    <row r="468" ht="15.0" customHeight="1">
      <c r="A468" s="32"/>
      <c r="B468" s="82"/>
      <c r="C468" s="76"/>
      <c r="D468" s="76"/>
      <c r="E468" s="77"/>
      <c r="F468" s="84"/>
      <c r="G468" s="79"/>
      <c r="H468" s="80"/>
      <c r="I468" s="79"/>
      <c r="J468" s="85"/>
      <c r="K468" s="73"/>
      <c r="L468" s="43"/>
      <c r="M468" s="43"/>
      <c r="N468" s="44"/>
      <c r="O468" s="44"/>
      <c r="P468" s="44"/>
    </row>
    <row r="469" ht="15.0" customHeight="1">
      <c r="A469" s="32"/>
      <c r="B469" s="82"/>
      <c r="C469" s="76"/>
      <c r="D469" s="76"/>
      <c r="E469" s="77"/>
      <c r="F469" s="84"/>
      <c r="G469" s="79"/>
      <c r="H469" s="80"/>
      <c r="I469" s="79"/>
      <c r="J469" s="85"/>
      <c r="K469" s="73"/>
      <c r="L469" s="43"/>
      <c r="M469" s="43"/>
      <c r="N469" s="44"/>
      <c r="O469" s="44"/>
      <c r="P469" s="44"/>
    </row>
    <row r="470" ht="15.0" customHeight="1">
      <c r="A470" s="32"/>
      <c r="B470" s="82"/>
      <c r="C470" s="76"/>
      <c r="D470" s="76"/>
      <c r="E470" s="77"/>
      <c r="F470" s="84"/>
      <c r="G470" s="79"/>
      <c r="H470" s="80"/>
      <c r="I470" s="79"/>
      <c r="J470" s="85"/>
      <c r="K470" s="73"/>
      <c r="L470" s="43"/>
      <c r="M470" s="43"/>
      <c r="N470" s="44"/>
      <c r="O470" s="44"/>
      <c r="P470" s="44"/>
    </row>
    <row r="471" ht="15.0" customHeight="1">
      <c r="A471" s="32"/>
      <c r="B471" s="82"/>
      <c r="C471" s="76"/>
      <c r="D471" s="76"/>
      <c r="E471" s="77"/>
      <c r="F471" s="84"/>
      <c r="G471" s="79"/>
      <c r="H471" s="80"/>
      <c r="I471" s="79"/>
      <c r="J471" s="85"/>
      <c r="K471" s="73"/>
      <c r="L471" s="43"/>
      <c r="M471" s="43"/>
      <c r="N471" s="44"/>
      <c r="O471" s="44"/>
      <c r="P471" s="44"/>
    </row>
    <row r="472" ht="15.0" customHeight="1">
      <c r="A472" s="32"/>
      <c r="B472" s="82"/>
      <c r="C472" s="76"/>
      <c r="D472" s="76"/>
      <c r="E472" s="77"/>
      <c r="F472" s="84"/>
      <c r="G472" s="79"/>
      <c r="H472" s="80"/>
      <c r="I472" s="79"/>
      <c r="J472" s="85"/>
      <c r="K472" s="73"/>
      <c r="L472" s="43"/>
      <c r="M472" s="43"/>
      <c r="N472" s="44"/>
      <c r="O472" s="44"/>
      <c r="P472" s="44"/>
    </row>
    <row r="473" ht="15.0" customHeight="1">
      <c r="A473" s="32"/>
      <c r="B473" s="82"/>
      <c r="C473" s="76"/>
      <c r="D473" s="76"/>
      <c r="E473" s="77"/>
      <c r="F473" s="84"/>
      <c r="G473" s="79"/>
      <c r="H473" s="80"/>
      <c r="I473" s="79"/>
      <c r="J473" s="85"/>
      <c r="K473" s="73"/>
      <c r="L473" s="43"/>
      <c r="M473" s="43"/>
      <c r="N473" s="44"/>
      <c r="O473" s="44"/>
      <c r="P473" s="44"/>
    </row>
    <row r="474" ht="15.0" customHeight="1">
      <c r="A474" s="32"/>
      <c r="B474" s="82"/>
      <c r="C474" s="76"/>
      <c r="D474" s="76"/>
      <c r="E474" s="77"/>
      <c r="F474" s="84"/>
      <c r="G474" s="79"/>
      <c r="H474" s="80"/>
      <c r="I474" s="79"/>
      <c r="J474" s="85"/>
      <c r="K474" s="73"/>
      <c r="L474" s="43"/>
      <c r="M474" s="43"/>
      <c r="N474" s="44"/>
      <c r="O474" s="44"/>
      <c r="P474" s="44"/>
    </row>
    <row r="475" ht="15.0" customHeight="1">
      <c r="A475" s="32"/>
      <c r="B475" s="82"/>
      <c r="C475" s="76"/>
      <c r="D475" s="76"/>
      <c r="E475" s="77"/>
      <c r="F475" s="84"/>
      <c r="G475" s="79"/>
      <c r="H475" s="80"/>
      <c r="I475" s="79"/>
      <c r="J475" s="85"/>
      <c r="K475" s="73"/>
      <c r="L475" s="43"/>
      <c r="M475" s="43"/>
      <c r="N475" s="44"/>
      <c r="O475" s="44"/>
      <c r="P475" s="44"/>
    </row>
    <row r="476" ht="15.0" customHeight="1">
      <c r="A476" s="32"/>
      <c r="B476" s="82"/>
      <c r="C476" s="76"/>
      <c r="D476" s="76"/>
      <c r="E476" s="77"/>
      <c r="F476" s="84"/>
      <c r="G476" s="79"/>
      <c r="H476" s="80"/>
      <c r="I476" s="79"/>
      <c r="J476" s="85"/>
      <c r="K476" s="73"/>
      <c r="L476" s="43"/>
      <c r="M476" s="43"/>
      <c r="N476" s="44"/>
      <c r="O476" s="44"/>
      <c r="P476" s="44"/>
    </row>
    <row r="477" ht="15.0" customHeight="1">
      <c r="A477" s="32"/>
      <c r="B477" s="82"/>
      <c r="C477" s="76"/>
      <c r="D477" s="76"/>
      <c r="E477" s="77"/>
      <c r="F477" s="84"/>
      <c r="G477" s="79"/>
      <c r="H477" s="80"/>
      <c r="I477" s="79"/>
      <c r="J477" s="85"/>
      <c r="K477" s="73"/>
      <c r="L477" s="43"/>
      <c r="M477" s="43"/>
      <c r="N477" s="44"/>
      <c r="O477" s="44"/>
      <c r="P477" s="44"/>
    </row>
    <row r="478" ht="15.0" customHeight="1">
      <c r="A478" s="32"/>
      <c r="B478" s="82"/>
      <c r="C478" s="76"/>
      <c r="D478" s="76"/>
      <c r="E478" s="77"/>
      <c r="F478" s="84"/>
      <c r="G478" s="79"/>
      <c r="H478" s="80"/>
      <c r="I478" s="79"/>
      <c r="J478" s="85"/>
      <c r="K478" s="73"/>
      <c r="L478" s="43"/>
      <c r="M478" s="43"/>
      <c r="N478" s="44"/>
      <c r="O478" s="44"/>
      <c r="P478" s="44"/>
    </row>
    <row r="479" ht="15.0" customHeight="1">
      <c r="A479" s="32"/>
      <c r="B479" s="82"/>
      <c r="C479" s="76"/>
      <c r="D479" s="76"/>
      <c r="E479" s="77"/>
      <c r="F479" s="84"/>
      <c r="G479" s="79"/>
      <c r="H479" s="80"/>
      <c r="I479" s="79"/>
      <c r="J479" s="85"/>
      <c r="K479" s="73"/>
      <c r="L479" s="43"/>
      <c r="M479" s="43"/>
      <c r="N479" s="44"/>
      <c r="O479" s="44"/>
      <c r="P479" s="44"/>
    </row>
    <row r="480" ht="15.0" customHeight="1">
      <c r="A480" s="32"/>
      <c r="B480" s="82"/>
      <c r="C480" s="76"/>
      <c r="D480" s="76"/>
      <c r="E480" s="77"/>
      <c r="F480" s="84"/>
      <c r="G480" s="79"/>
      <c r="H480" s="80"/>
      <c r="I480" s="79"/>
      <c r="J480" s="85"/>
      <c r="K480" s="73"/>
      <c r="L480" s="43"/>
      <c r="M480" s="43"/>
      <c r="N480" s="44"/>
      <c r="O480" s="44"/>
      <c r="P480" s="44"/>
    </row>
    <row r="481" ht="15.0" customHeight="1">
      <c r="A481" s="32"/>
      <c r="B481" s="82"/>
      <c r="C481" s="76"/>
      <c r="D481" s="76"/>
      <c r="E481" s="77"/>
      <c r="F481" s="84"/>
      <c r="G481" s="79"/>
      <c r="H481" s="80"/>
      <c r="I481" s="79"/>
      <c r="J481" s="85"/>
      <c r="K481" s="73"/>
      <c r="L481" s="43"/>
      <c r="M481" s="43"/>
      <c r="N481" s="44"/>
      <c r="O481" s="44"/>
      <c r="P481" s="44"/>
    </row>
    <row r="482" ht="15.0" customHeight="1">
      <c r="A482" s="32"/>
      <c r="B482" s="82"/>
      <c r="C482" s="76"/>
      <c r="D482" s="76"/>
      <c r="E482" s="77"/>
      <c r="F482" s="84"/>
      <c r="G482" s="79"/>
      <c r="H482" s="80"/>
      <c r="I482" s="79"/>
      <c r="J482" s="85"/>
      <c r="K482" s="73"/>
      <c r="L482" s="43"/>
      <c r="M482" s="43"/>
      <c r="N482" s="44"/>
      <c r="O482" s="44"/>
      <c r="P482" s="44"/>
    </row>
    <row r="483" ht="15.0" customHeight="1">
      <c r="A483" s="32"/>
      <c r="B483" s="82"/>
      <c r="C483" s="76"/>
      <c r="D483" s="76"/>
      <c r="E483" s="77"/>
      <c r="F483" s="84"/>
      <c r="G483" s="79"/>
      <c r="H483" s="80"/>
      <c r="I483" s="79"/>
      <c r="J483" s="85"/>
      <c r="K483" s="73"/>
      <c r="L483" s="43"/>
      <c r="M483" s="43"/>
      <c r="N483" s="44"/>
      <c r="O483" s="44"/>
      <c r="P483" s="44"/>
    </row>
    <row r="484" ht="15.0" customHeight="1">
      <c r="A484" s="32"/>
      <c r="B484" s="82"/>
      <c r="C484" s="76"/>
      <c r="D484" s="76"/>
      <c r="E484" s="77"/>
      <c r="F484" s="84"/>
      <c r="G484" s="79"/>
      <c r="H484" s="80"/>
      <c r="I484" s="79"/>
      <c r="J484" s="85"/>
      <c r="K484" s="73"/>
      <c r="L484" s="43"/>
      <c r="M484" s="43"/>
      <c r="N484" s="44"/>
      <c r="O484" s="44"/>
      <c r="P484" s="44"/>
    </row>
    <row r="485" ht="15.0" customHeight="1">
      <c r="A485" s="32"/>
      <c r="B485" s="82"/>
      <c r="C485" s="76"/>
      <c r="D485" s="76"/>
      <c r="E485" s="77"/>
      <c r="F485" s="84"/>
      <c r="G485" s="79"/>
      <c r="H485" s="80"/>
      <c r="I485" s="79"/>
      <c r="J485" s="85"/>
      <c r="K485" s="73"/>
      <c r="L485" s="43"/>
      <c r="M485" s="43"/>
      <c r="N485" s="44"/>
      <c r="O485" s="44"/>
      <c r="P485" s="44"/>
    </row>
    <row r="486" ht="15.0" customHeight="1">
      <c r="A486" s="32"/>
      <c r="B486" s="82"/>
      <c r="C486" s="76"/>
      <c r="D486" s="76"/>
      <c r="E486" s="77"/>
      <c r="F486" s="84"/>
      <c r="G486" s="79"/>
      <c r="H486" s="80"/>
      <c r="I486" s="79"/>
      <c r="J486" s="85"/>
      <c r="K486" s="73"/>
      <c r="L486" s="43"/>
      <c r="M486" s="43"/>
      <c r="N486" s="44"/>
      <c r="O486" s="44"/>
      <c r="P486" s="44"/>
    </row>
    <row r="487" ht="15.0" customHeight="1">
      <c r="A487" s="32"/>
      <c r="B487" s="82"/>
      <c r="C487" s="76"/>
      <c r="D487" s="76"/>
      <c r="E487" s="77"/>
      <c r="F487" s="84"/>
      <c r="G487" s="79"/>
      <c r="H487" s="80"/>
      <c r="I487" s="79"/>
      <c r="J487" s="85"/>
      <c r="K487" s="73"/>
      <c r="L487" s="43"/>
      <c r="M487" s="43"/>
      <c r="N487" s="44"/>
      <c r="O487" s="44"/>
      <c r="P487" s="44"/>
    </row>
    <row r="488" ht="15.0" customHeight="1">
      <c r="A488" s="32"/>
      <c r="B488" s="82"/>
      <c r="C488" s="76"/>
      <c r="D488" s="76"/>
      <c r="E488" s="77"/>
      <c r="F488" s="84"/>
      <c r="G488" s="79"/>
      <c r="H488" s="80"/>
      <c r="I488" s="79"/>
      <c r="J488" s="85"/>
      <c r="K488" s="73"/>
      <c r="L488" s="43"/>
      <c r="M488" s="43"/>
      <c r="N488" s="44"/>
      <c r="O488" s="44"/>
      <c r="P488" s="44"/>
    </row>
    <row r="489" ht="15.0" customHeight="1">
      <c r="A489" s="32"/>
      <c r="B489" s="82"/>
      <c r="C489" s="76"/>
      <c r="D489" s="76"/>
      <c r="E489" s="77"/>
      <c r="F489" s="84"/>
      <c r="G489" s="79"/>
      <c r="H489" s="80"/>
      <c r="I489" s="79"/>
      <c r="J489" s="85"/>
      <c r="K489" s="73"/>
      <c r="L489" s="43"/>
      <c r="M489" s="43"/>
      <c r="N489" s="44"/>
      <c r="O489" s="44"/>
      <c r="P489" s="44"/>
    </row>
    <row r="490" ht="15.0" customHeight="1">
      <c r="A490" s="32"/>
      <c r="B490" s="82"/>
      <c r="C490" s="76"/>
      <c r="D490" s="76"/>
      <c r="E490" s="77"/>
      <c r="F490" s="84"/>
      <c r="G490" s="79"/>
      <c r="H490" s="80"/>
      <c r="I490" s="79"/>
      <c r="J490" s="85"/>
      <c r="K490" s="73"/>
      <c r="L490" s="43"/>
      <c r="M490" s="43"/>
      <c r="N490" s="44"/>
      <c r="O490" s="44"/>
      <c r="P490" s="44"/>
    </row>
    <row r="491" ht="15.0" customHeight="1">
      <c r="A491" s="32"/>
      <c r="B491" s="82"/>
      <c r="C491" s="76"/>
      <c r="D491" s="76"/>
      <c r="E491" s="77"/>
      <c r="F491" s="84"/>
      <c r="G491" s="79"/>
      <c r="H491" s="80"/>
      <c r="I491" s="79"/>
      <c r="J491" s="85"/>
      <c r="K491" s="73"/>
      <c r="L491" s="43"/>
      <c r="M491" s="43"/>
      <c r="N491" s="44"/>
      <c r="O491" s="44"/>
      <c r="P491" s="44"/>
    </row>
    <row r="492" ht="15.0" customHeight="1">
      <c r="A492" s="32"/>
      <c r="B492" s="82"/>
      <c r="C492" s="76"/>
      <c r="D492" s="76"/>
      <c r="E492" s="77"/>
      <c r="F492" s="84"/>
      <c r="G492" s="79"/>
      <c r="H492" s="80"/>
      <c r="I492" s="79"/>
      <c r="J492" s="85"/>
      <c r="K492" s="73"/>
      <c r="L492" s="43"/>
      <c r="M492" s="43"/>
      <c r="N492" s="44"/>
      <c r="O492" s="44"/>
      <c r="P492" s="44"/>
    </row>
    <row r="493" ht="15.0" customHeight="1">
      <c r="A493" s="32"/>
      <c r="B493" s="82"/>
      <c r="C493" s="76"/>
      <c r="D493" s="76"/>
      <c r="E493" s="77"/>
      <c r="F493" s="84"/>
      <c r="G493" s="79"/>
      <c r="H493" s="80"/>
      <c r="I493" s="79"/>
      <c r="J493" s="85"/>
      <c r="K493" s="73"/>
      <c r="L493" s="43"/>
      <c r="M493" s="43"/>
      <c r="N493" s="44"/>
      <c r="O493" s="44"/>
      <c r="P493" s="44"/>
    </row>
    <row r="494" ht="15.0" customHeight="1">
      <c r="A494" s="32"/>
      <c r="B494" s="82"/>
      <c r="C494" s="76"/>
      <c r="D494" s="76"/>
      <c r="E494" s="77"/>
      <c r="F494" s="84"/>
      <c r="G494" s="79"/>
      <c r="H494" s="80"/>
      <c r="I494" s="79"/>
      <c r="J494" s="85"/>
      <c r="K494" s="73"/>
      <c r="L494" s="43"/>
      <c r="M494" s="43"/>
      <c r="N494" s="44"/>
      <c r="O494" s="44"/>
      <c r="P494" s="44"/>
    </row>
    <row r="495" ht="15.0" customHeight="1">
      <c r="A495" s="32"/>
      <c r="B495" s="82"/>
      <c r="C495" s="76"/>
      <c r="D495" s="76"/>
      <c r="E495" s="77"/>
      <c r="F495" s="84"/>
      <c r="G495" s="79"/>
      <c r="H495" s="80"/>
      <c r="I495" s="79"/>
      <c r="J495" s="85"/>
      <c r="K495" s="73"/>
      <c r="L495" s="43"/>
      <c r="M495" s="43"/>
      <c r="N495" s="44"/>
      <c r="O495" s="44"/>
      <c r="P495" s="44"/>
    </row>
    <row r="496" ht="15.0" customHeight="1">
      <c r="A496" s="32"/>
      <c r="B496" s="82"/>
      <c r="C496" s="76"/>
      <c r="D496" s="76"/>
      <c r="E496" s="77"/>
      <c r="F496" s="84"/>
      <c r="G496" s="79"/>
      <c r="H496" s="80"/>
      <c r="I496" s="79"/>
      <c r="J496" s="85"/>
      <c r="K496" s="73"/>
      <c r="L496" s="43"/>
      <c r="M496" s="43"/>
      <c r="N496" s="44"/>
      <c r="O496" s="44"/>
      <c r="P496" s="44"/>
    </row>
    <row r="497" ht="15.0" customHeight="1">
      <c r="A497" s="32"/>
      <c r="B497" s="82"/>
      <c r="C497" s="76"/>
      <c r="D497" s="76"/>
      <c r="E497" s="77"/>
      <c r="F497" s="84"/>
      <c r="G497" s="79"/>
      <c r="H497" s="80"/>
      <c r="I497" s="79"/>
      <c r="J497" s="85"/>
      <c r="K497" s="73"/>
      <c r="L497" s="43"/>
      <c r="M497" s="43"/>
      <c r="N497" s="44"/>
      <c r="O497" s="44"/>
      <c r="P497" s="44"/>
    </row>
    <row r="498" ht="15.0" customHeight="1">
      <c r="A498" s="32"/>
      <c r="B498" s="82"/>
      <c r="C498" s="76"/>
      <c r="D498" s="76"/>
      <c r="E498" s="77"/>
      <c r="F498" s="84"/>
      <c r="G498" s="79"/>
      <c r="H498" s="80"/>
      <c r="I498" s="79"/>
      <c r="J498" s="85"/>
      <c r="K498" s="73"/>
      <c r="L498" s="43"/>
      <c r="M498" s="43"/>
      <c r="N498" s="44"/>
      <c r="O498" s="44"/>
      <c r="P498" s="44"/>
    </row>
    <row r="499" ht="15.0" customHeight="1">
      <c r="A499" s="32"/>
      <c r="B499" s="82"/>
      <c r="C499" s="76"/>
      <c r="D499" s="76"/>
      <c r="E499" s="77"/>
      <c r="F499" s="84"/>
      <c r="G499" s="79"/>
      <c r="H499" s="80"/>
      <c r="I499" s="79"/>
      <c r="J499" s="85"/>
      <c r="K499" s="73"/>
      <c r="L499" s="43"/>
      <c r="M499" s="43"/>
      <c r="N499" s="44"/>
      <c r="O499" s="44"/>
      <c r="P499" s="44"/>
    </row>
    <row r="500" ht="15.0" customHeight="1">
      <c r="A500" s="32"/>
      <c r="B500" s="82"/>
      <c r="C500" s="76"/>
      <c r="D500" s="76"/>
      <c r="E500" s="77"/>
      <c r="F500" s="84"/>
      <c r="G500" s="79"/>
      <c r="H500" s="80"/>
      <c r="I500" s="79"/>
      <c r="J500" s="85"/>
      <c r="K500" s="73"/>
      <c r="L500" s="43"/>
      <c r="M500" s="43"/>
      <c r="N500" s="44"/>
      <c r="O500" s="44"/>
      <c r="P500" s="44"/>
    </row>
    <row r="501" ht="15.0" customHeight="1">
      <c r="A501" s="32"/>
      <c r="B501" s="86"/>
      <c r="C501" s="87"/>
      <c r="D501" s="87"/>
      <c r="E501" s="88"/>
      <c r="F501" s="89"/>
      <c r="G501" s="90"/>
      <c r="H501" s="91"/>
      <c r="I501" s="90"/>
      <c r="J501" s="92"/>
      <c r="K501" s="73"/>
      <c r="L501" s="43"/>
      <c r="M501" s="43"/>
      <c r="N501" s="44"/>
      <c r="O501" s="44"/>
      <c r="P501" s="44"/>
    </row>
    <row r="502" ht="15.0" customHeight="1">
      <c r="A502" s="32"/>
      <c r="B502" s="93"/>
      <c r="C502" s="94"/>
      <c r="D502" s="94"/>
      <c r="E502" s="95"/>
      <c r="F502" s="96"/>
      <c r="G502" s="97"/>
      <c r="H502" s="98"/>
      <c r="I502" s="99"/>
      <c r="J502" s="100"/>
      <c r="K502" s="73"/>
      <c r="L502" s="43"/>
      <c r="M502" s="43"/>
      <c r="N502" s="44"/>
      <c r="O502" s="44"/>
      <c r="P502" s="44"/>
    </row>
    <row r="503" ht="12.75" customHeight="1">
      <c r="A503" s="101"/>
      <c r="B503" s="102"/>
      <c r="C503" s="101"/>
      <c r="D503" s="101"/>
      <c r="E503" s="101"/>
      <c r="F503" s="103"/>
      <c r="G503" s="104"/>
      <c r="H503" s="101"/>
      <c r="I503" s="104">
        <f>IFERROR(__xludf.DUMMYFUNCTION("""COMPUTED_VALUE"""),4.887009375E9)</f>
        <v>4887009375</v>
      </c>
      <c r="J503" s="101"/>
      <c r="K503" s="42"/>
      <c r="L503" s="43"/>
      <c r="M503" s="43"/>
      <c r="N503" s="44"/>
      <c r="O503" s="44"/>
      <c r="P503" s="44"/>
    </row>
    <row r="504" ht="12.75" customHeight="1">
      <c r="A504" s="101"/>
      <c r="B504" s="102"/>
      <c r="C504" s="101"/>
      <c r="D504" s="101"/>
      <c r="E504" s="101"/>
      <c r="F504" s="103"/>
      <c r="G504" s="104"/>
      <c r="H504" s="101"/>
      <c r="I504" s="104"/>
      <c r="J504" s="101"/>
      <c r="K504" s="42"/>
      <c r="L504" s="43"/>
      <c r="M504" s="43"/>
      <c r="N504" s="44"/>
      <c r="O504" s="44"/>
      <c r="P504" s="44"/>
    </row>
    <row r="505" ht="12.75" customHeight="1">
      <c r="A505" s="101"/>
      <c r="B505" s="102"/>
      <c r="C505" s="101"/>
      <c r="D505" s="101"/>
      <c r="E505" s="101"/>
      <c r="F505" s="103"/>
      <c r="G505" s="104"/>
      <c r="H505" s="101"/>
      <c r="I505" s="104"/>
      <c r="J505" s="101"/>
      <c r="K505" s="42"/>
      <c r="L505" s="43"/>
      <c r="M505" s="43"/>
      <c r="N505" s="44"/>
      <c r="O505" s="44"/>
      <c r="P505" s="44"/>
    </row>
  </sheetData>
  <mergeCells count="3">
    <mergeCell ref="C9:E9"/>
    <mergeCell ref="J9:J10"/>
    <mergeCell ref="C10:E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8.63"/>
    <col customWidth="1" hidden="1" min="3" max="3" width="12.25"/>
    <col customWidth="1" min="4" max="4" width="10.75"/>
    <col customWidth="1" min="5" max="5" width="11.88"/>
    <col customWidth="1" min="6" max="6" width="11.5"/>
    <col customWidth="1" min="8" max="8" width="18.0"/>
    <col customWidth="1" min="9" max="9" width="2.63"/>
    <col customWidth="1" min="16" max="16" width="5.63"/>
    <col customWidth="1" min="20" max="20" width="9.75"/>
    <col customWidth="1" min="21" max="21" width="4.88"/>
  </cols>
  <sheetData>
    <row r="1" ht="19.5" customHeight="1">
      <c r="A1" s="2" t="str">
        <f>IFERROR(__xludf.DUMMYFUNCTION("IMPORTRANGE(""https://docs.google.com/spreadsheets/d/1xXTZ6iashDzALZxE9Km6nYXccX51ap95QEp6rlrrs8E/edit?gid=870182660#gid=870182660"",""2. SMDA BHN!$A$1:$S"")"),"HARGA DASAR SATUAN BAHAN")</f>
        <v>HARGA DASAR SATUAN BAHAN</v>
      </c>
      <c r="B1" s="1"/>
      <c r="C1" s="1"/>
      <c r="D1" s="1"/>
      <c r="E1" s="5"/>
      <c r="F1" s="105"/>
      <c r="G1" s="106"/>
      <c r="H1" s="107"/>
      <c r="I1" s="108"/>
      <c r="J1" s="109"/>
      <c r="K1" s="110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"/>
      <c r="W1" s="1"/>
      <c r="X1" s="1"/>
      <c r="Y1" s="1"/>
      <c r="Z1" s="1"/>
    </row>
    <row r="2" ht="9.0" customHeight="1">
      <c r="A2" s="112"/>
      <c r="B2" s="1"/>
      <c r="C2" s="112"/>
      <c r="D2" s="1"/>
      <c r="E2" s="113"/>
      <c r="F2" s="112"/>
      <c r="G2" s="107"/>
      <c r="H2" s="107"/>
      <c r="I2" s="114"/>
      <c r="J2" s="115"/>
      <c r="K2" s="116"/>
      <c r="L2" s="117"/>
      <c r="M2" s="118"/>
      <c r="N2" s="119"/>
      <c r="O2" s="119"/>
      <c r="P2" s="119"/>
      <c r="Q2" s="119"/>
      <c r="R2" s="119"/>
      <c r="S2" s="119"/>
      <c r="T2" s="119"/>
      <c r="U2" s="119"/>
      <c r="V2" s="1"/>
      <c r="W2" s="1"/>
      <c r="X2" s="1"/>
      <c r="Y2" s="1"/>
      <c r="Z2" s="1"/>
    </row>
    <row r="3" ht="18.0" customHeight="1">
      <c r="A3" s="120" t="str">
        <f>IFERROR(__xludf.DUMMYFUNCTION("""COMPUTED_VALUE"""),"RINCIAN KEGIATAN   ")</f>
        <v>RINCIAN KEGIATAN   </v>
      </c>
      <c r="B3" s="1"/>
      <c r="C3" s="120"/>
      <c r="D3" s="120" t="str">
        <f>IFERROR(__xludf.DUMMYFUNCTION("""COMPUTED_VALUE"""),": Pembangunan 
")</f>
        <v>: Pembangunan 
</v>
      </c>
      <c r="E3" s="113"/>
      <c r="F3" s="112"/>
      <c r="G3" s="107"/>
      <c r="H3" s="107"/>
      <c r="I3" s="114"/>
      <c r="J3" s="115"/>
      <c r="K3" s="116"/>
      <c r="L3" s="117"/>
      <c r="M3" s="118"/>
      <c r="N3" s="119"/>
      <c r="O3" s="119"/>
      <c r="P3" s="119"/>
      <c r="Q3" s="119"/>
      <c r="R3" s="119"/>
      <c r="S3" s="119"/>
      <c r="T3" s="57" t="s">
        <v>0</v>
      </c>
      <c r="U3" s="119"/>
      <c r="V3" s="1"/>
      <c r="W3" s="1"/>
      <c r="X3" s="1"/>
      <c r="Y3" s="1"/>
      <c r="Z3" s="1"/>
    </row>
    <row r="4" ht="18.0" customHeight="1">
      <c r="A4" s="120" t="str">
        <f>IFERROR(__xludf.DUMMYFUNCTION("""COMPUTED_VALUE"""),"LOKASI KEGIATAN    ")</f>
        <v>LOKASI KEGIATAN    </v>
      </c>
      <c r="B4" s="1"/>
      <c r="C4" s="120"/>
      <c r="D4" s="120" t="str">
        <f>IFERROR(__xludf.DUMMYFUNCTION("""COMPUTED_VALUE"""),": MWT Infra")</f>
        <v>: MWT Infra</v>
      </c>
      <c r="E4" s="5"/>
      <c r="F4" s="105"/>
      <c r="G4" s="107"/>
      <c r="H4" s="107"/>
      <c r="I4" s="114"/>
      <c r="J4" s="115"/>
      <c r="K4" s="116"/>
      <c r="L4" s="117"/>
      <c r="M4" s="118"/>
      <c r="N4" s="119"/>
      <c r="O4" s="119"/>
      <c r="P4" s="119"/>
      <c r="Q4" s="119"/>
      <c r="R4" s="119"/>
      <c r="S4" s="119"/>
      <c r="T4" s="57" t="s">
        <v>2</v>
      </c>
      <c r="U4" s="119"/>
      <c r="V4" s="1"/>
      <c r="W4" s="1"/>
      <c r="X4" s="1"/>
      <c r="Y4" s="1"/>
      <c r="Z4" s="1"/>
    </row>
    <row r="5" ht="18.0" customHeight="1">
      <c r="A5" s="120" t="str">
        <f>IFERROR(__xludf.DUMMYFUNCTION("""COMPUTED_VALUE"""),"TAHUN ANGGARAN  ")</f>
        <v>TAHUN ANGGARAN  </v>
      </c>
      <c r="B5" s="1"/>
      <c r="C5" s="120"/>
      <c r="D5" s="120" t="str">
        <f>IFERROR(__xludf.DUMMYFUNCTION("""COMPUTED_VALUE"""),": 2026")</f>
        <v>: 2026</v>
      </c>
      <c r="E5" s="5"/>
      <c r="F5" s="105"/>
      <c r="G5" s="121" t="str">
        <f>IFERROR(__xludf.DUMMYFUNCTION("""COMPUTED_VALUE"""),"PERHATIAN :    
    &gt; ISI KOLOM WARNA KUNING 
")</f>
        <v>PERHATIAN :    
    &gt; ISI KOLOM WARNA KUNING 
</v>
      </c>
      <c r="I5" s="114"/>
      <c r="J5" s="115"/>
      <c r="K5" s="116"/>
      <c r="L5" s="117"/>
      <c r="M5" s="118"/>
      <c r="N5" s="119"/>
      <c r="O5" s="119"/>
      <c r="P5" s="119"/>
      <c r="Q5" s="119"/>
      <c r="R5" s="119"/>
      <c r="S5" s="119"/>
      <c r="T5" s="119"/>
      <c r="U5" s="119"/>
      <c r="V5" s="1"/>
      <c r="W5" s="1"/>
      <c r="X5" s="1"/>
      <c r="Y5" s="1"/>
      <c r="Z5" s="1"/>
    </row>
    <row r="6" ht="9.75" customHeight="1">
      <c r="A6" s="1"/>
      <c r="B6" s="1"/>
      <c r="C6" s="1"/>
      <c r="D6" s="112"/>
      <c r="E6" s="5"/>
      <c r="F6" s="105"/>
      <c r="G6" s="122"/>
      <c r="H6" s="122"/>
      <c r="I6" s="114"/>
      <c r="J6" s="115"/>
      <c r="K6" s="116"/>
      <c r="L6" s="117"/>
      <c r="M6" s="118"/>
      <c r="N6" s="119"/>
      <c r="O6" s="119"/>
      <c r="P6" s="119"/>
      <c r="Q6" s="119"/>
      <c r="R6" s="119"/>
      <c r="S6" s="119"/>
      <c r="T6" s="119"/>
      <c r="U6" s="119"/>
      <c r="V6" s="1"/>
      <c r="W6" s="1"/>
      <c r="X6" s="1"/>
      <c r="Y6" s="1"/>
      <c r="Z6" s="1"/>
    </row>
    <row r="7" ht="20.25" customHeight="1">
      <c r="A7" s="123"/>
      <c r="B7" s="124" t="str">
        <f>IFERROR(__xludf.DUMMYFUNCTION("""COMPUTED_VALUE"""),"   PIC: PROJECT MANAGER")</f>
        <v>   PIC: PROJECT MANAGER</v>
      </c>
      <c r="C7" s="125"/>
      <c r="D7" s="126" t="str">
        <f>IFERROR(__xludf.DUMMYFUNCTION("""COMPUTED_VALUE"""),"T O T A L")</f>
        <v>T O T A L</v>
      </c>
      <c r="E7" s="126"/>
      <c r="F7" s="127"/>
      <c r="G7" s="128"/>
      <c r="H7" s="129">
        <f>IFERROR(__xludf.DUMMYFUNCTION("""COMPUTED_VALUE"""),4.38710625E9)</f>
        <v>4387106250</v>
      </c>
      <c r="I7" s="114"/>
      <c r="J7" s="130"/>
      <c r="K7" s="131"/>
      <c r="L7" s="118"/>
      <c r="M7" s="132" t="str">
        <f>IFERROR(__xludf.DUMMYFUNCTION("""COMPUTED_VALUE""")," KONVERSI DATA KE KODE AKUN TAS")</f>
        <v>KONVERSI DATA KE KODE AKUN TAS</v>
      </c>
      <c r="P7" s="119"/>
      <c r="Q7" s="132" t="str">
        <f>IFERROR(__xludf.DUMMYFUNCTION("""COMPUTED_VALUE""")," KONVERSI DATA KE KODE BARANG TAS")</f>
        <v>KONVERSI DATA KE KODE BARANG TAS</v>
      </c>
      <c r="T7" s="119"/>
      <c r="U7" s="119"/>
      <c r="V7" s="1"/>
      <c r="W7" s="1"/>
      <c r="X7" s="1"/>
      <c r="Y7" s="1"/>
      <c r="Z7" s="1"/>
    </row>
    <row r="8" ht="6.75" customHeight="1">
      <c r="A8" s="27"/>
      <c r="B8" s="27"/>
      <c r="C8" s="27"/>
      <c r="D8" s="27"/>
      <c r="E8" s="133"/>
      <c r="F8" s="27"/>
      <c r="G8" s="27"/>
      <c r="H8" s="134"/>
      <c r="I8" s="105"/>
      <c r="J8" s="135"/>
      <c r="K8" s="136"/>
      <c r="L8" s="119"/>
      <c r="M8" s="137"/>
      <c r="N8" s="119"/>
      <c r="O8" s="119"/>
      <c r="P8" s="119"/>
      <c r="Q8" s="119"/>
      <c r="R8" s="119"/>
      <c r="S8" s="119"/>
      <c r="T8" s="119"/>
      <c r="U8" s="119"/>
      <c r="V8" s="1"/>
      <c r="W8" s="1"/>
      <c r="X8" s="1"/>
      <c r="Y8" s="1"/>
      <c r="Z8" s="1"/>
    </row>
    <row r="9">
      <c r="A9" s="138" t="str">
        <f>IFERROR(__xludf.DUMMYFUNCTION("""COMPUTED_VALUE"""),"No")</f>
        <v>No</v>
      </c>
      <c r="B9" s="139" t="str">
        <f>IFERROR(__xludf.DUMMYFUNCTION("""COMPUTED_VALUE"""),"URAIAN")</f>
        <v>URAIAN</v>
      </c>
      <c r="C9" s="140" t="str">
        <f>IFERROR(__xludf.DUMMYFUNCTION("""COMPUTED_VALUE"""),"KODE        AKUN")</f>
        <v>KODE        AKUN</v>
      </c>
      <c r="D9" s="139" t="str">
        <f>IFERROR(__xludf.DUMMYFUNCTION("""COMPUTED_VALUE"""),"KODE        MATERIAL ")</f>
        <v>KODE        MATERIAL </v>
      </c>
      <c r="E9" s="139" t="str">
        <f>IFERROR(__xludf.DUMMYFUNCTION("""COMPUTED_VALUE"""),"SATUAN")</f>
        <v>SATUAN</v>
      </c>
      <c r="F9" s="141" t="str">
        <f>IFERROR(__xludf.DUMMYFUNCTION("""COMPUTED_VALUE""")," KUANTITAS ")</f>
        <v>KUANTITAS</v>
      </c>
      <c r="G9" s="142" t="str">
        <f>IFERROR(__xludf.DUMMYFUNCTION("""COMPUTED_VALUE"""),"HARGA SATUAN         (Rp.)")</f>
        <v>HARGA SATUAN         (Rp.)</v>
      </c>
      <c r="H9" s="143" t="str">
        <f>IFERROR(__xludf.DUMMYFUNCTION("""COMPUTED_VALUE"""),"JUMLAH HARGA                  (Rp.)")</f>
        <v>JUMLAH HARGA                  (Rp.)</v>
      </c>
      <c r="I9" s="105"/>
      <c r="J9" s="144" t="str">
        <f>IFERROR(__xludf.DUMMYFUNCTION("""COMPUTED_VALUE""")," KOLOM BANTUAN ")</f>
        <v>KOLOM BANTUAN</v>
      </c>
      <c r="K9" s="145"/>
      <c r="L9" s="119"/>
      <c r="M9" s="146" t="str">
        <f>IFERROR(__xludf.DUMMYFUNCTION("""COMPUTED_VALUE""")," DATA UNTUK INPUT TAS")</f>
        <v>DATA UNTUK INPUT TAS</v>
      </c>
      <c r="N9" s="147"/>
      <c r="O9" s="148"/>
      <c r="P9" s="149"/>
      <c r="Q9" s="150" t="str">
        <f>IFERROR(__xludf.DUMMYFUNCTION("""COMPUTED_VALUE"""),"DATA UNTUK INPUT TAS")</f>
        <v>DATA UNTUK INPUT TAS</v>
      </c>
      <c r="R9" s="147"/>
      <c r="S9" s="148"/>
      <c r="T9" s="119"/>
      <c r="U9" s="119"/>
      <c r="V9" s="1"/>
      <c r="W9" s="1"/>
      <c r="X9" s="1"/>
      <c r="Y9" s="1"/>
      <c r="Z9" s="1"/>
    </row>
    <row r="10">
      <c r="A10" s="151" t="str">
        <f>IFERROR(__xludf.DUMMYFUNCTION("""COMPUTED_VALUE"""),"A")</f>
        <v>A</v>
      </c>
      <c r="B10" s="152" t="str">
        <f>IFERROR(__xludf.DUMMYFUNCTION("""COMPUTED_VALUE"""),"B")</f>
        <v>B</v>
      </c>
      <c r="C10" s="153" t="str">
        <f>IFERROR(__xludf.DUMMYFUNCTION("""COMPUTED_VALUE"""),"C")</f>
        <v>C</v>
      </c>
      <c r="D10" s="152" t="str">
        <f>IFERROR(__xludf.DUMMYFUNCTION("""COMPUTED_VALUE"""),"D")</f>
        <v>D</v>
      </c>
      <c r="E10" s="152" t="str">
        <f>IFERROR(__xludf.DUMMYFUNCTION("""COMPUTED_VALUE"""),"E")</f>
        <v>E</v>
      </c>
      <c r="F10" s="152" t="str">
        <f>IFERROR(__xludf.DUMMYFUNCTION("""COMPUTED_VALUE"""),"F")</f>
        <v>F</v>
      </c>
      <c r="G10" s="154" t="str">
        <f>IFERROR(__xludf.DUMMYFUNCTION("""COMPUTED_VALUE"""),"G")</f>
        <v>G</v>
      </c>
      <c r="H10" s="155" t="str">
        <f>IFERROR(__xludf.DUMMYFUNCTION("""COMPUTED_VALUE"""),"H= (F x G)")</f>
        <v>H= (F x G)</v>
      </c>
      <c r="I10" s="1"/>
      <c r="J10" s="135"/>
      <c r="K10" s="156"/>
      <c r="L10" s="119"/>
      <c r="M10" s="157" t="str">
        <f>IFERROR(__xludf.DUMMYFUNCTION("""COMPUTED_VALUE"""),"KODE AKUN")</f>
        <v>KODE AKUN</v>
      </c>
      <c r="N10" s="119" t="str">
        <f>IFERROR(__xludf.DUMMYFUNCTION("""COMPUTED_VALUE"""),"NAMA AKUN")</f>
        <v>NAMA AKUN</v>
      </c>
      <c r="O10" s="158" t="str">
        <f>IFERROR(__xludf.DUMMYFUNCTION("""COMPUTED_VALUE"""),"SATUAN")</f>
        <v>SATUAN</v>
      </c>
      <c r="P10" s="119"/>
      <c r="Q10" s="159" t="str">
        <f>IFERROR(__xludf.DUMMYFUNCTION("""COMPUTED_VALUE"""),"KODE BARANG")</f>
        <v>KODE BARANG</v>
      </c>
      <c r="R10" s="119" t="str">
        <f>IFERROR(__xludf.DUMMYFUNCTION("""COMPUTED_VALUE"""),"NAMA BARANG")</f>
        <v>NAMA BARANG</v>
      </c>
      <c r="S10" s="158" t="str">
        <f>IFERROR(__xludf.DUMMYFUNCTION("""COMPUTED_VALUE"""),"SATUAN")</f>
        <v>SATUAN</v>
      </c>
      <c r="T10" s="119"/>
      <c r="U10" s="119"/>
      <c r="V10" s="1"/>
      <c r="W10" s="1"/>
      <c r="X10" s="1"/>
      <c r="Y10" s="1"/>
      <c r="Z10" s="1"/>
    </row>
    <row r="11">
      <c r="A11" s="160"/>
      <c r="B11" s="161"/>
      <c r="C11" s="161"/>
      <c r="D11" s="161"/>
      <c r="E11" s="162"/>
      <c r="F11" s="161"/>
      <c r="G11" s="163"/>
      <c r="H11" s="164"/>
      <c r="I11" s="1"/>
      <c r="J11" s="165"/>
      <c r="K11" s="1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"/>
      <c r="W11" s="1"/>
      <c r="X11" s="1"/>
      <c r="Y11" s="1"/>
      <c r="Z11" s="1"/>
    </row>
    <row r="12">
      <c r="A12" s="166">
        <f>IFERROR(__xludf.DUMMYFUNCTION("""COMPUTED_VALUE"""),1.0)</f>
        <v>1</v>
      </c>
      <c r="B12" s="167" t="str">
        <f>IFERROR(__xludf.DUMMYFUNCTION("""COMPUTED_VALUE"""),"Agregat klas B")</f>
        <v>Agregat klas B</v>
      </c>
      <c r="C12" s="168">
        <f>IFERROR(__xludf.DUMMYFUNCTION("""COMPUTED_VALUE"""),1.0)</f>
        <v>1</v>
      </c>
      <c r="D12" s="169" t="str">
        <f>IFERROR(__xludf.DUMMYFUNCTION("""COMPUTED_VALUE"""),"M001")</f>
        <v>M001</v>
      </c>
      <c r="E12" s="169" t="str">
        <f>IFERROR(__xludf.DUMMYFUNCTION("""COMPUTED_VALUE"""),"M3")</f>
        <v>M3</v>
      </c>
      <c r="F12" s="170">
        <f>IFERROR(__xludf.DUMMYFUNCTION("""COMPUTED_VALUE"""),1250.0)</f>
        <v>1250</v>
      </c>
      <c r="G12" s="170">
        <f>IFERROR(__xludf.DUMMYFUNCTION("""COMPUTED_VALUE"""),275000.0)</f>
        <v>275000</v>
      </c>
      <c r="H12" s="171">
        <f>IFERROR(__xludf.DUMMYFUNCTION("""COMPUTED_VALUE"""),3.4375E8)</f>
        <v>343750000</v>
      </c>
      <c r="I12" s="105"/>
      <c r="J12" s="165" t="str">
        <f>IFERROR(__xludf.DUMMYFUNCTION("""COMPUTED_VALUE""")," Agregat klas B ")</f>
        <v>Agregat klas B</v>
      </c>
      <c r="K12" s="1"/>
      <c r="L12" s="119"/>
      <c r="M12" s="158">
        <f>IFERROR(__xludf.DUMMYFUNCTION("""COMPUTED_VALUE"""),1.0)</f>
        <v>1</v>
      </c>
      <c r="N12" s="137" t="str">
        <f>IFERROR(__xludf.DUMMYFUNCTION("""COMPUTED_VALUE""")," Agregat klas B")</f>
        <v>Agregat klas B</v>
      </c>
      <c r="O12" s="158" t="str">
        <f>IFERROR(__xludf.DUMMYFUNCTION("""COMPUTED_VALUE"""),"M3")</f>
        <v>M3</v>
      </c>
      <c r="P12" s="119"/>
      <c r="Q12" s="119">
        <f>IFERROR(__xludf.DUMMYFUNCTION("""COMPUTED_VALUE"""),20.0)</f>
        <v>20</v>
      </c>
      <c r="R12" s="172" t="str">
        <f>IFERROR(__xludf.DUMMYFUNCTION("""COMPUTED_VALUE""")," Agregat klas B ")</f>
        <v>Agregat klas B</v>
      </c>
      <c r="S12" s="158" t="str">
        <f>IFERROR(__xludf.DUMMYFUNCTION("""COMPUTED_VALUE"""),"M3")</f>
        <v>M3</v>
      </c>
      <c r="T12" s="119"/>
      <c r="U12" s="119"/>
      <c r="V12" s="1"/>
      <c r="W12" s="1"/>
      <c r="X12" s="1"/>
      <c r="Y12" s="1"/>
      <c r="Z12" s="1"/>
    </row>
    <row r="13">
      <c r="A13" s="173">
        <f>IFERROR(__xludf.DUMMYFUNCTION("""COMPUTED_VALUE"""),2.0)</f>
        <v>2</v>
      </c>
      <c r="B13" s="174" t="str">
        <f>IFERROR(__xludf.DUMMYFUNCTION("""COMPUTED_VALUE"""),"Baja Tul Ulir")</f>
        <v>Baja Tul Ulir</v>
      </c>
      <c r="C13" s="168">
        <f>IFERROR(__xludf.DUMMYFUNCTION("""COMPUTED_VALUE"""),2.0)</f>
        <v>2</v>
      </c>
      <c r="D13" s="169" t="str">
        <f>IFERROR(__xludf.DUMMYFUNCTION("""COMPUTED_VALUE"""),"M002")</f>
        <v>M002</v>
      </c>
      <c r="E13" s="175" t="str">
        <f>IFERROR(__xludf.DUMMYFUNCTION("""COMPUTED_VALUE"""),"KG")</f>
        <v>KG</v>
      </c>
      <c r="F13" s="176">
        <f>IFERROR(__xludf.DUMMYFUNCTION("""COMPUTED_VALUE"""),146156.25)</f>
        <v>146156.25</v>
      </c>
      <c r="G13" s="176">
        <f>IFERROR(__xludf.DUMMYFUNCTION("""COMPUTED_VALUE"""),8500.0)</f>
        <v>8500</v>
      </c>
      <c r="H13" s="171">
        <f>IFERROR(__xludf.DUMMYFUNCTION("""COMPUTED_VALUE"""),1.242328125E9)</f>
        <v>1242328125</v>
      </c>
      <c r="I13" s="105"/>
      <c r="J13" s="165" t="str">
        <f>IFERROR(__xludf.DUMMYFUNCTION("""COMPUTED_VALUE""")," Baja Tul Ulir ")</f>
        <v>Baja Tul Ulir</v>
      </c>
      <c r="K13" s="1"/>
      <c r="L13" s="119"/>
      <c r="M13" s="158">
        <f>IFERROR(__xludf.DUMMYFUNCTION("""COMPUTED_VALUE"""),2.0)</f>
        <v>2</v>
      </c>
      <c r="N13" s="137" t="str">
        <f>IFERROR(__xludf.DUMMYFUNCTION("""COMPUTED_VALUE""")," Baja Tul Ulir")</f>
        <v>Baja Tul Ulir</v>
      </c>
      <c r="O13" s="158" t="str">
        <f>IFERROR(__xludf.DUMMYFUNCTION("""COMPUTED_VALUE"""),"KG")</f>
        <v>KG</v>
      </c>
      <c r="P13" s="119"/>
      <c r="Q13" s="119">
        <f>IFERROR(__xludf.DUMMYFUNCTION("""COMPUTED_VALUE"""),21.0)</f>
        <v>21</v>
      </c>
      <c r="R13" s="172" t="str">
        <f>IFERROR(__xludf.DUMMYFUNCTION("""COMPUTED_VALUE""")," Baja Tul Ulir ")</f>
        <v>Baja Tul Ulir</v>
      </c>
      <c r="S13" s="158" t="str">
        <f>IFERROR(__xludf.DUMMYFUNCTION("""COMPUTED_VALUE"""),"KG")</f>
        <v>KG</v>
      </c>
      <c r="T13" s="119"/>
      <c r="U13" s="119"/>
      <c r="V13" s="1"/>
      <c r="W13" s="1"/>
      <c r="X13" s="1"/>
      <c r="Y13" s="1"/>
      <c r="Z13" s="1"/>
    </row>
    <row r="14">
      <c r="A14" s="173">
        <f>IFERROR(__xludf.DUMMYFUNCTION("""COMPUTED_VALUE"""),3.0)</f>
        <v>3</v>
      </c>
      <c r="B14" s="174" t="str">
        <f>IFERROR(__xludf.DUMMYFUNCTION("""COMPUTED_VALUE"""),"Beton Ready fc' 30 MPa")</f>
        <v>Beton Ready fc' 30 MPa</v>
      </c>
      <c r="C14" s="168">
        <f>IFERROR(__xludf.DUMMYFUNCTION("""COMPUTED_VALUE"""),3.0)</f>
        <v>3</v>
      </c>
      <c r="D14" s="169" t="str">
        <f>IFERROR(__xludf.DUMMYFUNCTION("""COMPUTED_VALUE"""),"M003")</f>
        <v>M003</v>
      </c>
      <c r="E14" s="175" t="str">
        <f>IFERROR(__xludf.DUMMYFUNCTION("""COMPUTED_VALUE"""),"M3")</f>
        <v>M3</v>
      </c>
      <c r="F14" s="176">
        <f>IFERROR(__xludf.DUMMYFUNCTION("""COMPUTED_VALUE"""),474.375)</f>
        <v>474.375</v>
      </c>
      <c r="G14" s="176">
        <f>IFERROR(__xludf.DUMMYFUNCTION("""COMPUTED_VALUE"""),1040000.0)</f>
        <v>1040000</v>
      </c>
      <c r="H14" s="171">
        <f>IFERROR(__xludf.DUMMYFUNCTION("""COMPUTED_VALUE"""),4.9335E8)</f>
        <v>493350000</v>
      </c>
      <c r="I14" s="105"/>
      <c r="J14" s="165" t="str">
        <f>IFERROR(__xludf.DUMMYFUNCTION("""COMPUTED_VALUE""")," Beton Ready fc' 30 MPa ")</f>
        <v>Beton Ready fc' 30 MPa</v>
      </c>
      <c r="K14" s="1"/>
      <c r="L14" s="119"/>
      <c r="M14" s="158">
        <f>IFERROR(__xludf.DUMMYFUNCTION("""COMPUTED_VALUE"""),3.0)</f>
        <v>3</v>
      </c>
      <c r="N14" s="137" t="str">
        <f>IFERROR(__xludf.DUMMYFUNCTION("""COMPUTED_VALUE""")," Beton Ready fc' 30 MPa")</f>
        <v>Beton Ready fc' 30 MPa</v>
      </c>
      <c r="O14" s="158" t="str">
        <f>IFERROR(__xludf.DUMMYFUNCTION("""COMPUTED_VALUE"""),"M3")</f>
        <v>M3</v>
      </c>
      <c r="P14" s="119"/>
      <c r="Q14" s="119">
        <f>IFERROR(__xludf.DUMMYFUNCTION("""COMPUTED_VALUE"""),22.0)</f>
        <v>22</v>
      </c>
      <c r="R14" s="172" t="str">
        <f>IFERROR(__xludf.DUMMYFUNCTION("""COMPUTED_VALUE""")," Beton Ready fc' 30 MPa ")</f>
        <v>Beton Ready fc' 30 MPa</v>
      </c>
      <c r="S14" s="158" t="str">
        <f>IFERROR(__xludf.DUMMYFUNCTION("""COMPUTED_VALUE"""),"M3")</f>
        <v>M3</v>
      </c>
      <c r="T14" s="119"/>
      <c r="U14" s="119"/>
      <c r="V14" s="1"/>
      <c r="W14" s="1"/>
      <c r="X14" s="1"/>
      <c r="Y14" s="1"/>
      <c r="Z14" s="1"/>
    </row>
    <row r="15">
      <c r="A15" s="173">
        <f>IFERROR(__xludf.DUMMYFUNCTION("""COMPUTED_VALUE"""),4.0)</f>
        <v>4</v>
      </c>
      <c r="B15" s="174" t="str">
        <f>IFERROR(__xludf.DUMMYFUNCTION("""COMPUTED_VALUE"""),"Beton Ready Mix fs' 45, Slump 12±2")</f>
        <v>Beton Ready Mix fs' 45, Slump 12±2</v>
      </c>
      <c r="C15" s="168">
        <f>IFERROR(__xludf.DUMMYFUNCTION("""COMPUTED_VALUE"""),4.0)</f>
        <v>4</v>
      </c>
      <c r="D15" s="169" t="str">
        <f>IFERROR(__xludf.DUMMYFUNCTION("""COMPUTED_VALUE"""),"M004")</f>
        <v>M004</v>
      </c>
      <c r="E15" s="175" t="str">
        <f>IFERROR(__xludf.DUMMYFUNCTION("""COMPUTED_VALUE"""),"M3")</f>
        <v>M3</v>
      </c>
      <c r="F15" s="176">
        <f>IFERROR(__xludf.DUMMYFUNCTION("""COMPUTED_VALUE"""),1500.0)</f>
        <v>1500</v>
      </c>
      <c r="G15" s="176">
        <f>IFERROR(__xludf.DUMMYFUNCTION("""COMPUTED_VALUE"""),1195000.0)</f>
        <v>1195000</v>
      </c>
      <c r="H15" s="171">
        <f>IFERROR(__xludf.DUMMYFUNCTION("""COMPUTED_VALUE"""),1.7925E9)</f>
        <v>1792500000</v>
      </c>
      <c r="I15" s="105"/>
      <c r="J15" s="165" t="str">
        <f>IFERROR(__xludf.DUMMYFUNCTION("""COMPUTED_VALUE""")," Beton Ready Mix fs' 45, Slump 12±2 ")</f>
        <v>Beton Ready Mix fs' 45, Slump 12±2</v>
      </c>
      <c r="K15" s="1"/>
      <c r="L15" s="119"/>
      <c r="M15" s="158">
        <f>IFERROR(__xludf.DUMMYFUNCTION("""COMPUTED_VALUE"""),4.0)</f>
        <v>4</v>
      </c>
      <c r="N15" s="137" t="str">
        <f>IFERROR(__xludf.DUMMYFUNCTION("""COMPUTED_VALUE""")," Beton Ready Mix fs' 45, Slump 12±2")</f>
        <v>Beton Ready Mix fs' 45, Slump 12±2</v>
      </c>
      <c r="O15" s="158" t="str">
        <f>IFERROR(__xludf.DUMMYFUNCTION("""COMPUTED_VALUE"""),"M3")</f>
        <v>M3</v>
      </c>
      <c r="P15" s="119"/>
      <c r="Q15" s="119">
        <f>IFERROR(__xludf.DUMMYFUNCTION("""COMPUTED_VALUE"""),23.0)</f>
        <v>23</v>
      </c>
      <c r="R15" s="172" t="str">
        <f>IFERROR(__xludf.DUMMYFUNCTION("""COMPUTED_VALUE""")," Beton Ready Mix fs' 45, Slump 12±2 ")</f>
        <v>Beton Ready Mix fs' 45, Slump 12±2</v>
      </c>
      <c r="S15" s="158" t="str">
        <f>IFERROR(__xludf.DUMMYFUNCTION("""COMPUTED_VALUE"""),"M3")</f>
        <v>M3</v>
      </c>
      <c r="T15" s="119"/>
      <c r="U15" s="119"/>
      <c r="V15" s="1"/>
      <c r="W15" s="1"/>
      <c r="X15" s="1"/>
      <c r="Y15" s="1"/>
      <c r="Z15" s="1"/>
    </row>
    <row r="16">
      <c r="A16" s="173">
        <f>IFERROR(__xludf.DUMMYFUNCTION("""COMPUTED_VALUE"""),5.0)</f>
        <v>5</v>
      </c>
      <c r="B16" s="174" t="str">
        <f>IFERROR(__xludf.DUMMYFUNCTION("""COMPUTED_VALUE"""),"Kawat Bendrat")</f>
        <v>Kawat Bendrat</v>
      </c>
      <c r="C16" s="168">
        <f>IFERROR(__xludf.DUMMYFUNCTION("""COMPUTED_VALUE"""),5.0)</f>
        <v>5</v>
      </c>
      <c r="D16" s="169" t="str">
        <f>IFERROR(__xludf.DUMMYFUNCTION("""COMPUTED_VALUE"""),"M005")</f>
        <v>M005</v>
      </c>
      <c r="E16" s="175" t="str">
        <f>IFERROR(__xludf.DUMMYFUNCTION("""COMPUTED_VALUE"""),"KG")</f>
        <v>KG</v>
      </c>
      <c r="F16" s="176">
        <f>IFERROR(__xludf.DUMMYFUNCTION("""COMPUTED_VALUE"""),3653.90625)</f>
        <v>3653.90625</v>
      </c>
      <c r="G16" s="176">
        <f>IFERROR(__xludf.DUMMYFUNCTION("""COMPUTED_VALUE"""),20000.0)</f>
        <v>20000</v>
      </c>
      <c r="H16" s="171">
        <f>IFERROR(__xludf.DUMMYFUNCTION("""COMPUTED_VALUE"""),7.3078125E7)</f>
        <v>73078125</v>
      </c>
      <c r="I16" s="105"/>
      <c r="J16" s="165" t="str">
        <f>IFERROR(__xludf.DUMMYFUNCTION("""COMPUTED_VALUE""")," Kawat Bendrat ")</f>
        <v>Kawat Bendrat</v>
      </c>
      <c r="K16" s="1"/>
      <c r="L16" s="119"/>
      <c r="M16" s="158">
        <f>IFERROR(__xludf.DUMMYFUNCTION("""COMPUTED_VALUE"""),5.0)</f>
        <v>5</v>
      </c>
      <c r="N16" s="137" t="str">
        <f>IFERROR(__xludf.DUMMYFUNCTION("""COMPUTED_VALUE""")," Kawat Bendrat")</f>
        <v>Kawat Bendrat</v>
      </c>
      <c r="O16" s="158" t="str">
        <f>IFERROR(__xludf.DUMMYFUNCTION("""COMPUTED_VALUE"""),"KG")</f>
        <v>KG</v>
      </c>
      <c r="P16" s="119"/>
      <c r="Q16" s="119">
        <f>IFERROR(__xludf.DUMMYFUNCTION("""COMPUTED_VALUE"""),24.0)</f>
        <v>24</v>
      </c>
      <c r="R16" s="172" t="str">
        <f>IFERROR(__xludf.DUMMYFUNCTION("""COMPUTED_VALUE""")," Kawat Bendrat ")</f>
        <v>Kawat Bendrat</v>
      </c>
      <c r="S16" s="158" t="str">
        <f>IFERROR(__xludf.DUMMYFUNCTION("""COMPUTED_VALUE"""),"KG")</f>
        <v>KG</v>
      </c>
      <c r="T16" s="119"/>
      <c r="U16" s="119"/>
      <c r="V16" s="1"/>
      <c r="W16" s="1"/>
      <c r="X16" s="1"/>
      <c r="Y16" s="1"/>
      <c r="Z16" s="1"/>
    </row>
    <row r="17">
      <c r="A17" s="173">
        <f>IFERROR(__xludf.DUMMYFUNCTION("""COMPUTED_VALUE"""),6.0)</f>
        <v>6</v>
      </c>
      <c r="B17" s="174" t="str">
        <f>IFERROR(__xludf.DUMMYFUNCTION("""COMPUTED_VALUE"""),"Kayu 5/7")</f>
        <v>Kayu 5/7</v>
      </c>
      <c r="C17" s="168">
        <f>IFERROR(__xludf.DUMMYFUNCTION("""COMPUTED_VALUE"""),6.0)</f>
        <v>6</v>
      </c>
      <c r="D17" s="169" t="str">
        <f>IFERROR(__xludf.DUMMYFUNCTION("""COMPUTED_VALUE"""),"M006")</f>
        <v>M006</v>
      </c>
      <c r="E17" s="175" t="str">
        <f>IFERROR(__xludf.DUMMYFUNCTION("""COMPUTED_VALUE"""),"M3")</f>
        <v>M3</v>
      </c>
      <c r="F17" s="176">
        <f>IFERROR(__xludf.DUMMYFUNCTION("""COMPUTED_VALUE"""),3.0)</f>
        <v>3</v>
      </c>
      <c r="G17" s="176">
        <f>IFERROR(__xludf.DUMMYFUNCTION("""COMPUTED_VALUE"""),2000000.0)</f>
        <v>2000000</v>
      </c>
      <c r="H17" s="171">
        <f>IFERROR(__xludf.DUMMYFUNCTION("""COMPUTED_VALUE"""),6000000.0)</f>
        <v>6000000</v>
      </c>
      <c r="I17" s="105"/>
      <c r="J17" s="165" t="str">
        <f>IFERROR(__xludf.DUMMYFUNCTION("""COMPUTED_VALUE""")," Kayu 5/7 ")</f>
        <v>Kayu 5/7</v>
      </c>
      <c r="K17" s="1"/>
      <c r="L17" s="119"/>
      <c r="M17" s="158">
        <f>IFERROR(__xludf.DUMMYFUNCTION("""COMPUTED_VALUE"""),6.0)</f>
        <v>6</v>
      </c>
      <c r="N17" s="137" t="str">
        <f>IFERROR(__xludf.DUMMYFUNCTION("""COMPUTED_VALUE""")," Kayu 5/7")</f>
        <v>Kayu 5/7</v>
      </c>
      <c r="O17" s="158" t="str">
        <f>IFERROR(__xludf.DUMMYFUNCTION("""COMPUTED_VALUE"""),"M3")</f>
        <v>M3</v>
      </c>
      <c r="P17" s="119"/>
      <c r="Q17" s="119">
        <f>IFERROR(__xludf.DUMMYFUNCTION("""COMPUTED_VALUE"""),25.0)</f>
        <v>25</v>
      </c>
      <c r="R17" s="172" t="str">
        <f>IFERROR(__xludf.DUMMYFUNCTION("""COMPUTED_VALUE""")," MTRL BEKISTING ")</f>
        <v>MTRL BEKISTING</v>
      </c>
      <c r="S17" s="158" t="str">
        <f>IFERROR(__xludf.DUMMYFUNCTION("""COMPUTED_VALUE"""),"M2")</f>
        <v>M2</v>
      </c>
      <c r="T17" s="119"/>
      <c r="U17" s="119"/>
      <c r="V17" s="1"/>
      <c r="W17" s="1"/>
      <c r="X17" s="1"/>
      <c r="Y17" s="1"/>
      <c r="Z17" s="1"/>
    </row>
    <row r="18">
      <c r="A18" s="173">
        <f>IFERROR(__xludf.DUMMYFUNCTION("""COMPUTED_VALUE"""),7.0)</f>
        <v>7</v>
      </c>
      <c r="B18" s="174" t="str">
        <f>IFERROR(__xludf.DUMMYFUNCTION("""COMPUTED_VALUE"""),"Multipleks 18 mm")</f>
        <v>Multipleks 18 mm</v>
      </c>
      <c r="C18" s="168">
        <f>IFERROR(__xludf.DUMMYFUNCTION("""COMPUTED_VALUE"""),7.0)</f>
        <v>7</v>
      </c>
      <c r="D18" s="169" t="str">
        <f>IFERROR(__xludf.DUMMYFUNCTION("""COMPUTED_VALUE"""),"M007")</f>
        <v>M007</v>
      </c>
      <c r="E18" s="175" t="str">
        <f>IFERROR(__xludf.DUMMYFUNCTION("""COMPUTED_VALUE"""),"LBR")</f>
        <v>LBR</v>
      </c>
      <c r="F18" s="176">
        <f>IFERROR(__xludf.DUMMYFUNCTION("""COMPUTED_VALUE"""),60.0)</f>
        <v>60</v>
      </c>
      <c r="G18" s="176">
        <f>IFERROR(__xludf.DUMMYFUNCTION("""COMPUTED_VALUE"""),250000.0)</f>
        <v>250000</v>
      </c>
      <c r="H18" s="171">
        <f>IFERROR(__xludf.DUMMYFUNCTION("""COMPUTED_VALUE"""),1.5E7)</f>
        <v>15000000</v>
      </c>
      <c r="I18" s="105"/>
      <c r="J18" s="165" t="str">
        <f>IFERROR(__xludf.DUMMYFUNCTION("""COMPUTED_VALUE""")," Multipleks 18 mm ")</f>
        <v>Multipleks 18 mm</v>
      </c>
      <c r="K18" s="1"/>
      <c r="L18" s="119"/>
      <c r="M18" s="158">
        <f>IFERROR(__xludf.DUMMYFUNCTION("""COMPUTED_VALUE"""),7.0)</f>
        <v>7</v>
      </c>
      <c r="N18" s="137" t="str">
        <f>IFERROR(__xludf.DUMMYFUNCTION("""COMPUTED_VALUE""")," Multipleks 18 mm")</f>
        <v>Multipleks 18 mm</v>
      </c>
      <c r="O18" s="158" t="str">
        <f>IFERROR(__xludf.DUMMYFUNCTION("""COMPUTED_VALUE"""),"LBR")</f>
        <v>LBR</v>
      </c>
      <c r="P18" s="119"/>
      <c r="Q18" s="119">
        <f>IFERROR(__xludf.DUMMYFUNCTION("""COMPUTED_VALUE"""),26.0)</f>
        <v>26</v>
      </c>
      <c r="R18" s="172" t="str">
        <f>IFERROR(__xludf.DUMMYFUNCTION("""COMPUTED_VALUE""")," MTRL BEKISTING ")</f>
        <v>MTRL BEKISTING</v>
      </c>
      <c r="S18" s="158" t="str">
        <f>IFERROR(__xludf.DUMMYFUNCTION("""COMPUTED_VALUE"""),"M2")</f>
        <v>M2</v>
      </c>
      <c r="T18" s="119"/>
      <c r="U18" s="119"/>
      <c r="V18" s="1"/>
      <c r="W18" s="1"/>
      <c r="X18" s="1"/>
      <c r="Y18" s="1"/>
      <c r="Z18" s="1"/>
    </row>
    <row r="19">
      <c r="A19" s="173">
        <f>IFERROR(__xludf.DUMMYFUNCTION("""COMPUTED_VALUE"""),8.0)</f>
        <v>8</v>
      </c>
      <c r="B19" s="174" t="str">
        <f>IFERROR(__xludf.DUMMYFUNCTION("""COMPUTED_VALUE"""),"Paku")</f>
        <v>Paku</v>
      </c>
      <c r="C19" s="168">
        <f>IFERROR(__xludf.DUMMYFUNCTION("""COMPUTED_VALUE"""),8.0)</f>
        <v>8</v>
      </c>
      <c r="D19" s="169" t="str">
        <f>IFERROR(__xludf.DUMMYFUNCTION("""COMPUTED_VALUE"""),"M008")</f>
        <v>M008</v>
      </c>
      <c r="E19" s="175" t="str">
        <f>IFERROR(__xludf.DUMMYFUNCTION("""COMPUTED_VALUE"""),"KG")</f>
        <v>KG</v>
      </c>
      <c r="F19" s="176">
        <f>IFERROR(__xludf.DUMMYFUNCTION("""COMPUTED_VALUE"""),30.0)</f>
        <v>30</v>
      </c>
      <c r="G19" s="176">
        <f>IFERROR(__xludf.DUMMYFUNCTION("""COMPUTED_VALUE"""),20000.0)</f>
        <v>20000</v>
      </c>
      <c r="H19" s="171">
        <f>IFERROR(__xludf.DUMMYFUNCTION("""COMPUTED_VALUE"""),600000.0)</f>
        <v>600000</v>
      </c>
      <c r="I19" s="105"/>
      <c r="J19" s="165" t="str">
        <f>IFERROR(__xludf.DUMMYFUNCTION("""COMPUTED_VALUE""")," Paku ")</f>
        <v>Paku</v>
      </c>
      <c r="K19" s="1"/>
      <c r="L19" s="119"/>
      <c r="M19" s="158">
        <f>IFERROR(__xludf.DUMMYFUNCTION("""COMPUTED_VALUE"""),8.0)</f>
        <v>8</v>
      </c>
      <c r="N19" s="137" t="str">
        <f>IFERROR(__xludf.DUMMYFUNCTION("""COMPUTED_VALUE""")," MTRL PENUNJANG")</f>
        <v>MTRL PENUNJANG</v>
      </c>
      <c r="O19" s="158" t="str">
        <f>IFERROR(__xludf.DUMMYFUNCTION("""COMPUTED_VALUE"""),"LS")</f>
        <v>LS</v>
      </c>
      <c r="P19" s="119"/>
      <c r="Q19" s="119">
        <f>IFERROR(__xludf.DUMMYFUNCTION("""COMPUTED_VALUE"""),27.0)</f>
        <v>27</v>
      </c>
      <c r="R19" s="172" t="str">
        <f>IFERROR(__xludf.DUMMYFUNCTION("""COMPUTED_VALUE""")," MTRL BEKISTING ")</f>
        <v>MTRL BEKISTING</v>
      </c>
      <c r="S19" s="158" t="str">
        <f>IFERROR(__xludf.DUMMYFUNCTION("""COMPUTED_VALUE"""),"M2")</f>
        <v>M2</v>
      </c>
      <c r="T19" s="119"/>
      <c r="U19" s="119"/>
      <c r="V19" s="1"/>
      <c r="W19" s="1"/>
      <c r="X19" s="1"/>
      <c r="Y19" s="1"/>
      <c r="Z19" s="1"/>
    </row>
    <row r="20">
      <c r="A20" s="173">
        <f>IFERROR(__xludf.DUMMYFUNCTION("""COMPUTED_VALUE"""),9.0)</f>
        <v>9</v>
      </c>
      <c r="B20" s="174" t="str">
        <f>IFERROR(__xludf.DUMMYFUNCTION("""COMPUTED_VALUE"""),"Concrete Mixer Beton")</f>
        <v>Concrete Mixer Beton</v>
      </c>
      <c r="C20" s="168">
        <f>IFERROR(__xludf.DUMMYFUNCTION("""COMPUTED_VALUE"""),9.0)</f>
        <v>9</v>
      </c>
      <c r="D20" s="169" t="str">
        <f>IFERROR(__xludf.DUMMYFUNCTION("""COMPUTED_VALUE"""),"M010")</f>
        <v>M010</v>
      </c>
      <c r="E20" s="175" t="str">
        <f>IFERROR(__xludf.DUMMYFUNCTION("""COMPUTED_VALUE"""),"UNIT")</f>
        <v>UNIT</v>
      </c>
      <c r="F20" s="176">
        <f>IFERROR(__xludf.DUMMYFUNCTION("""COMPUTED_VALUE"""),1.0)</f>
        <v>1</v>
      </c>
      <c r="G20" s="176">
        <f>IFERROR(__xludf.DUMMYFUNCTION("""COMPUTED_VALUE"""),2.5E7)</f>
        <v>25000000</v>
      </c>
      <c r="H20" s="171">
        <f>IFERROR(__xludf.DUMMYFUNCTION("""COMPUTED_VALUE"""),2.5E7)</f>
        <v>25000000</v>
      </c>
      <c r="I20" s="105"/>
      <c r="J20" s="165" t="str">
        <f>IFERROR(__xludf.DUMMYFUNCTION("""COMPUTED_VALUE""")," Concrete Mixer Beton ")</f>
        <v>Concrete Mixer Beton</v>
      </c>
      <c r="K20" s="1"/>
      <c r="L20" s="119"/>
      <c r="M20" s="158">
        <f>IFERROR(__xludf.DUMMYFUNCTION("""COMPUTED_VALUE"""),9.0)</f>
        <v>9</v>
      </c>
      <c r="N20" s="137"/>
      <c r="O20" s="158"/>
      <c r="P20" s="119"/>
      <c r="Q20" s="119">
        <f>IFERROR(__xludf.DUMMYFUNCTION("""COMPUTED_VALUE"""),28.0)</f>
        <v>28</v>
      </c>
      <c r="R20" s="172"/>
      <c r="S20" s="158"/>
      <c r="T20" s="119"/>
      <c r="U20" s="119"/>
      <c r="V20" s="1"/>
      <c r="W20" s="1"/>
      <c r="X20" s="1"/>
      <c r="Y20" s="1"/>
      <c r="Z20" s="1"/>
    </row>
    <row r="21">
      <c r="A21" s="173">
        <f>IFERROR(__xludf.DUMMYFUNCTION("""COMPUTED_VALUE"""),10.0)</f>
        <v>10</v>
      </c>
      <c r="B21" s="174" t="str">
        <f>IFERROR(__xludf.DUMMYFUNCTION("""COMPUTED_VALUE"""),"Mesin gerinda tangan")</f>
        <v>Mesin gerinda tangan</v>
      </c>
      <c r="C21" s="168">
        <f>IFERROR(__xludf.DUMMYFUNCTION("""COMPUTED_VALUE"""),10.0)</f>
        <v>10</v>
      </c>
      <c r="D21" s="169" t="str">
        <f>IFERROR(__xludf.DUMMYFUNCTION("""COMPUTED_VALUE"""),"M011")</f>
        <v>M011</v>
      </c>
      <c r="E21" s="175" t="str">
        <f>IFERROR(__xludf.DUMMYFUNCTION("""COMPUTED_VALUE"""),"UNIT")</f>
        <v>UNIT</v>
      </c>
      <c r="F21" s="176">
        <f>IFERROR(__xludf.DUMMYFUNCTION("""COMPUTED_VALUE"""),2.0)</f>
        <v>2</v>
      </c>
      <c r="G21" s="176">
        <f>IFERROR(__xludf.DUMMYFUNCTION("""COMPUTED_VALUE"""),500000.0)</f>
        <v>500000</v>
      </c>
      <c r="H21" s="171">
        <f>IFERROR(__xludf.DUMMYFUNCTION("""COMPUTED_VALUE"""),1000000.0)</f>
        <v>1000000</v>
      </c>
      <c r="I21" s="105"/>
      <c r="J21" s="165" t="str">
        <f>IFERROR(__xludf.DUMMYFUNCTION("""COMPUTED_VALUE""")," Mesin gerinda tangan ")</f>
        <v>Mesin gerinda tangan</v>
      </c>
      <c r="K21" s="1"/>
      <c r="L21" s="119"/>
      <c r="M21" s="158">
        <f>IFERROR(__xludf.DUMMYFUNCTION("""COMPUTED_VALUE"""),10.0)</f>
        <v>10</v>
      </c>
      <c r="N21" s="137" t="str">
        <f>IFERROR(__xludf.DUMMYFUNCTION("""COMPUTED_VALUE""")," Solar")</f>
        <v>Solar</v>
      </c>
      <c r="O21" s="158" t="str">
        <f>IFERROR(__xludf.DUMMYFUNCTION("""COMPUTED_VALUE"""),"Liter")</f>
        <v>Liter</v>
      </c>
      <c r="P21" s="119"/>
      <c r="Q21" s="119">
        <f>IFERROR(__xludf.DUMMYFUNCTION("""COMPUTED_VALUE"""),29.0)</f>
        <v>29</v>
      </c>
      <c r="R21" s="172" t="str">
        <f>IFERROR(__xludf.DUMMYFUNCTION("""COMPUTED_VALUE""")," Solar ")</f>
        <v>Solar</v>
      </c>
      <c r="S21" s="158" t="str">
        <f>IFERROR(__xludf.DUMMYFUNCTION("""COMPUTED_VALUE"""),"Liter")</f>
        <v>Liter</v>
      </c>
      <c r="T21" s="119"/>
      <c r="U21" s="119"/>
      <c r="V21" s="1"/>
      <c r="W21" s="1"/>
      <c r="X21" s="1"/>
      <c r="Y21" s="1"/>
      <c r="Z21" s="1"/>
    </row>
    <row r="22">
      <c r="A22" s="173">
        <f>IFERROR(__xludf.DUMMYFUNCTION("""COMPUTED_VALUE"""),11.0)</f>
        <v>11</v>
      </c>
      <c r="B22" s="174" t="str">
        <f>IFERROR(__xludf.DUMMYFUNCTION("""COMPUTED_VALUE"""),"Rubber Cone")</f>
        <v>Rubber Cone</v>
      </c>
      <c r="C22" s="168">
        <f>IFERROR(__xludf.DUMMYFUNCTION("""COMPUTED_VALUE"""),11.0)</f>
        <v>11</v>
      </c>
      <c r="D22" s="169" t="str">
        <f>IFERROR(__xludf.DUMMYFUNCTION("""COMPUTED_VALUE"""),"M012")</f>
        <v>M012</v>
      </c>
      <c r="E22" s="175" t="str">
        <f>IFERROR(__xludf.DUMMYFUNCTION("""COMPUTED_VALUE"""),"BUAH")</f>
        <v>BUAH</v>
      </c>
      <c r="F22" s="176">
        <f>IFERROR(__xludf.DUMMYFUNCTION("""COMPUTED_VALUE"""),20.0)</f>
        <v>20</v>
      </c>
      <c r="G22" s="176">
        <f>IFERROR(__xludf.DUMMYFUNCTION("""COMPUTED_VALUE"""),100000.0)</f>
        <v>100000</v>
      </c>
      <c r="H22" s="171">
        <f>IFERROR(__xludf.DUMMYFUNCTION("""COMPUTED_VALUE"""),2000000.0)</f>
        <v>2000000</v>
      </c>
      <c r="I22" s="105"/>
      <c r="J22" s="165" t="str">
        <f>IFERROR(__xludf.DUMMYFUNCTION("""COMPUTED_VALUE""")," Rubber Cone ")</f>
        <v>Rubber Cone</v>
      </c>
      <c r="K22" s="1"/>
      <c r="L22" s="119"/>
      <c r="M22" s="158">
        <f>IFERROR(__xludf.DUMMYFUNCTION("""COMPUTED_VALUE"""),11.0)</f>
        <v>11</v>
      </c>
      <c r="N22" s="137" t="str">
        <f>IFERROR(__xludf.DUMMYFUNCTION("""COMPUTED_VALUE""")," Pertalite")</f>
        <v>Pertalite</v>
      </c>
      <c r="O22" s="158" t="str">
        <f>IFERROR(__xludf.DUMMYFUNCTION("""COMPUTED_VALUE"""),"Liter")</f>
        <v>Liter</v>
      </c>
      <c r="P22" s="119"/>
      <c r="Q22" s="119">
        <f>IFERROR(__xludf.DUMMYFUNCTION("""COMPUTED_VALUE"""),30.0)</f>
        <v>30</v>
      </c>
      <c r="R22" s="172" t="str">
        <f>IFERROR(__xludf.DUMMYFUNCTION("""COMPUTED_VALUE""")," Pertalite ")</f>
        <v>Pertalite</v>
      </c>
      <c r="S22" s="158" t="str">
        <f>IFERROR(__xludf.DUMMYFUNCTION("""COMPUTED_VALUE"""),"Liter")</f>
        <v>Liter</v>
      </c>
      <c r="T22" s="119"/>
      <c r="U22" s="119"/>
      <c r="V22" s="1"/>
      <c r="W22" s="1"/>
      <c r="X22" s="1"/>
      <c r="Y22" s="1"/>
      <c r="Z22" s="1"/>
    </row>
    <row r="23">
      <c r="A23" s="173">
        <f>IFERROR(__xludf.DUMMYFUNCTION("""COMPUTED_VALUE"""),12.0)</f>
        <v>12</v>
      </c>
      <c r="B23" s="174"/>
      <c r="C23" s="168"/>
      <c r="D23" s="169"/>
      <c r="E23" s="175"/>
      <c r="F23" s="176"/>
      <c r="G23" s="176"/>
      <c r="H23" s="171">
        <f>IFERROR(__xludf.DUMMYFUNCTION("""COMPUTED_VALUE"""),0.0)</f>
        <v>0</v>
      </c>
      <c r="I23" s="105"/>
      <c r="J23" s="165"/>
      <c r="K23" s="1"/>
      <c r="L23" s="119"/>
      <c r="M23" s="158"/>
      <c r="N23" s="137"/>
      <c r="O23" s="119"/>
      <c r="P23" s="119"/>
      <c r="Q23" s="119"/>
      <c r="R23" s="119"/>
      <c r="S23" s="119"/>
      <c r="T23" s="119"/>
      <c r="U23" s="119"/>
      <c r="V23" s="1"/>
      <c r="W23" s="1"/>
      <c r="X23" s="1"/>
      <c r="Y23" s="1"/>
      <c r="Z23" s="1"/>
    </row>
    <row r="24">
      <c r="A24" s="173">
        <f>IFERROR(__xludf.DUMMYFUNCTION("""COMPUTED_VALUE"""),13.0)</f>
        <v>13</v>
      </c>
      <c r="B24" s="174"/>
      <c r="C24" s="168"/>
      <c r="D24" s="169"/>
      <c r="E24" s="175"/>
      <c r="F24" s="176"/>
      <c r="G24" s="176"/>
      <c r="H24" s="171">
        <f>IFERROR(__xludf.DUMMYFUNCTION("""COMPUTED_VALUE"""),0.0)</f>
        <v>0</v>
      </c>
      <c r="I24" s="105"/>
      <c r="J24" s="165"/>
      <c r="K24" s="1"/>
      <c r="L24" s="119"/>
      <c r="M24" s="158"/>
      <c r="N24" s="137"/>
      <c r="O24" s="119"/>
      <c r="P24" s="119"/>
      <c r="Q24" s="119"/>
      <c r="R24" s="119"/>
      <c r="S24" s="119"/>
      <c r="T24" s="119"/>
      <c r="U24" s="119"/>
      <c r="V24" s="1"/>
      <c r="W24" s="1"/>
      <c r="X24" s="1"/>
      <c r="Y24" s="1"/>
      <c r="Z24" s="1"/>
    </row>
    <row r="25">
      <c r="A25" s="173">
        <f>IFERROR(__xludf.DUMMYFUNCTION("""COMPUTED_VALUE"""),14.0)</f>
        <v>14</v>
      </c>
      <c r="B25" s="174" t="str">
        <f>IFERROR(__xludf.DUMMYFUNCTION("""COMPUTED_VALUE"""),"Solar")</f>
        <v>Solar</v>
      </c>
      <c r="C25" s="168">
        <f>IFERROR(__xludf.DUMMYFUNCTION("""COMPUTED_VALUE"""),12.0)</f>
        <v>12</v>
      </c>
      <c r="D25" s="169" t="str">
        <f>IFERROR(__xludf.DUMMYFUNCTION("""COMPUTED_VALUE"""),"M014")</f>
        <v>M014</v>
      </c>
      <c r="E25" s="175" t="str">
        <f>IFERROR(__xludf.DUMMYFUNCTION("""COMPUTED_VALUE"""),"Liter")</f>
        <v>Liter</v>
      </c>
      <c r="F25" s="176">
        <f>IFERROR(__xludf.DUMMYFUNCTION("""COMPUTED_VALUE"""),25000.0)</f>
        <v>25000</v>
      </c>
      <c r="G25" s="176">
        <f>IFERROR(__xludf.DUMMYFUNCTION("""COMPUTED_VALUE"""),12500.0)</f>
        <v>12500</v>
      </c>
      <c r="H25" s="171">
        <f>IFERROR(__xludf.DUMMYFUNCTION("""COMPUTED_VALUE"""),3.125E8)</f>
        <v>312500000</v>
      </c>
      <c r="I25" s="105"/>
      <c r="J25" s="165" t="str">
        <f>IFERROR(__xludf.DUMMYFUNCTION("""COMPUTED_VALUE""")," Solar ")</f>
        <v>Solar</v>
      </c>
      <c r="K25" s="1"/>
      <c r="L25" s="119"/>
      <c r="M25" s="158"/>
      <c r="N25" s="137"/>
      <c r="O25" s="158"/>
      <c r="P25" s="119"/>
      <c r="Q25" s="119"/>
      <c r="R25" s="172"/>
      <c r="S25" s="158"/>
      <c r="T25" s="119"/>
      <c r="U25" s="119"/>
      <c r="V25" s="1"/>
      <c r="W25" s="1"/>
      <c r="X25" s="1"/>
      <c r="Y25" s="1"/>
      <c r="Z25" s="1"/>
    </row>
    <row r="26">
      <c r="A26" s="166">
        <f>IFERROR(__xludf.DUMMYFUNCTION("""COMPUTED_VALUE"""),15.0)</f>
        <v>15</v>
      </c>
      <c r="B26" s="167" t="str">
        <f>IFERROR(__xludf.DUMMYFUNCTION("""COMPUTED_VALUE"""),"Pertalite")</f>
        <v>Pertalite</v>
      </c>
      <c r="C26" s="168">
        <f>IFERROR(__xludf.DUMMYFUNCTION("""COMPUTED_VALUE"""),13.0)</f>
        <v>13</v>
      </c>
      <c r="D26" s="169" t="str">
        <f>IFERROR(__xludf.DUMMYFUNCTION("""COMPUTED_VALUE"""),"M015")</f>
        <v>M015</v>
      </c>
      <c r="E26" s="177" t="str">
        <f>IFERROR(__xludf.DUMMYFUNCTION("""COMPUTED_VALUE"""),"Liter")</f>
        <v>Liter</v>
      </c>
      <c r="F26" s="178">
        <f>IFERROR(__xludf.DUMMYFUNCTION("""COMPUTED_VALUE"""),8000.0)</f>
        <v>8000</v>
      </c>
      <c r="G26" s="178">
        <f>IFERROR(__xludf.DUMMYFUNCTION("""COMPUTED_VALUE"""),10000.0)</f>
        <v>10000</v>
      </c>
      <c r="H26" s="171">
        <f>IFERROR(__xludf.DUMMYFUNCTION("""COMPUTED_VALUE"""),8.0E7)</f>
        <v>80000000</v>
      </c>
      <c r="I26" s="105"/>
      <c r="J26" s="165" t="str">
        <f>IFERROR(__xludf.DUMMYFUNCTION("""COMPUTED_VALUE""")," Pertalite ")</f>
        <v>Pertalite</v>
      </c>
      <c r="K26" s="1"/>
      <c r="L26" s="119"/>
      <c r="M26" s="158"/>
      <c r="N26" s="137"/>
      <c r="O26" s="158"/>
      <c r="P26" s="119"/>
      <c r="Q26" s="119"/>
      <c r="R26" s="172"/>
      <c r="S26" s="158"/>
      <c r="T26" s="119"/>
      <c r="U26" s="119"/>
      <c r="V26" s="1"/>
      <c r="W26" s="1"/>
      <c r="X26" s="1"/>
      <c r="Y26" s="1"/>
      <c r="Z26" s="1"/>
    </row>
    <row r="27">
      <c r="A27" s="166">
        <f>IFERROR(__xludf.DUMMYFUNCTION("""COMPUTED_VALUE"""),16.0)</f>
        <v>16</v>
      </c>
      <c r="B27" s="167"/>
      <c r="C27" s="168"/>
      <c r="D27" s="169"/>
      <c r="E27" s="177"/>
      <c r="F27" s="178"/>
      <c r="G27" s="178"/>
      <c r="H27" s="171">
        <f>IFERROR(__xludf.DUMMYFUNCTION("""COMPUTED_VALUE"""),0.0)</f>
        <v>0</v>
      </c>
      <c r="I27" s="105"/>
      <c r="J27" s="165"/>
      <c r="K27" s="1"/>
      <c r="L27" s="119"/>
      <c r="M27" s="119"/>
      <c r="N27" s="137"/>
      <c r="O27" s="119"/>
      <c r="P27" s="119"/>
      <c r="Q27" s="119"/>
      <c r="R27" s="119"/>
      <c r="S27" s="119"/>
      <c r="T27" s="119"/>
      <c r="U27" s="119"/>
      <c r="V27" s="1"/>
      <c r="W27" s="1"/>
      <c r="X27" s="1"/>
      <c r="Y27" s="1"/>
      <c r="Z27" s="1"/>
    </row>
    <row r="28">
      <c r="A28" s="166">
        <f>IFERROR(__xludf.DUMMYFUNCTION("""COMPUTED_VALUE"""),17.0)</f>
        <v>17</v>
      </c>
      <c r="B28" s="179"/>
      <c r="C28" s="168"/>
      <c r="D28" s="169"/>
      <c r="E28" s="177"/>
      <c r="F28" s="178"/>
      <c r="G28" s="178"/>
      <c r="H28" s="171">
        <f>IFERROR(__xludf.DUMMYFUNCTION("""COMPUTED_VALUE"""),0.0)</f>
        <v>0</v>
      </c>
      <c r="I28" s="105"/>
      <c r="J28" s="165"/>
      <c r="K28" s="1"/>
      <c r="L28" s="119"/>
      <c r="M28" s="119"/>
      <c r="N28" s="137"/>
      <c r="O28" s="119"/>
      <c r="P28" s="119"/>
      <c r="Q28" s="119"/>
      <c r="R28" s="119"/>
      <c r="S28" s="119"/>
      <c r="T28" s="119"/>
      <c r="U28" s="119"/>
      <c r="V28" s="1"/>
      <c r="W28" s="1"/>
      <c r="X28" s="1"/>
      <c r="Y28" s="1"/>
      <c r="Z28" s="1"/>
    </row>
    <row r="29">
      <c r="A29" s="166">
        <f>IFERROR(__xludf.DUMMYFUNCTION("""COMPUTED_VALUE"""),18.0)</f>
        <v>18</v>
      </c>
      <c r="B29" s="167"/>
      <c r="C29" s="168"/>
      <c r="D29" s="169"/>
      <c r="E29" s="177"/>
      <c r="F29" s="178"/>
      <c r="G29" s="178"/>
      <c r="H29" s="171">
        <f>IFERROR(__xludf.DUMMYFUNCTION("""COMPUTED_VALUE"""),0.0)</f>
        <v>0</v>
      </c>
      <c r="I29" s="105"/>
      <c r="J29" s="165"/>
      <c r="K29" s="1"/>
      <c r="L29" s="119"/>
      <c r="M29" s="119"/>
      <c r="N29" s="137"/>
      <c r="O29" s="119"/>
      <c r="P29" s="119"/>
      <c r="Q29" s="119"/>
      <c r="R29" s="119"/>
      <c r="S29" s="119"/>
      <c r="T29" s="119"/>
      <c r="U29" s="119"/>
      <c r="V29" s="1"/>
      <c r="W29" s="1"/>
      <c r="X29" s="1"/>
      <c r="Y29" s="1"/>
      <c r="Z29" s="1"/>
    </row>
    <row r="30">
      <c r="A30" s="166">
        <f>IFERROR(__xludf.DUMMYFUNCTION("""COMPUTED_VALUE"""),19.0)</f>
        <v>19</v>
      </c>
      <c r="B30" s="179"/>
      <c r="C30" s="168"/>
      <c r="D30" s="169"/>
      <c r="E30" s="177"/>
      <c r="F30" s="178"/>
      <c r="G30" s="178"/>
      <c r="H30" s="171">
        <f>IFERROR(__xludf.DUMMYFUNCTION("""COMPUTED_VALUE"""),0.0)</f>
        <v>0</v>
      </c>
      <c r="I30" s="105"/>
      <c r="J30" s="165"/>
      <c r="K30" s="1"/>
      <c r="L30" s="119"/>
      <c r="M30" s="119"/>
      <c r="N30" s="137"/>
      <c r="O30" s="119"/>
      <c r="P30" s="119"/>
      <c r="Q30" s="119"/>
      <c r="R30" s="119"/>
      <c r="S30" s="119"/>
      <c r="T30" s="119"/>
      <c r="U30" s="119"/>
      <c r="V30" s="1"/>
      <c r="W30" s="1"/>
      <c r="X30" s="1"/>
      <c r="Y30" s="1"/>
      <c r="Z30" s="1"/>
    </row>
    <row r="31">
      <c r="A31" s="166">
        <f>IFERROR(__xludf.DUMMYFUNCTION("""COMPUTED_VALUE"""),20.0)</f>
        <v>20</v>
      </c>
      <c r="B31" s="179"/>
      <c r="C31" s="168"/>
      <c r="D31" s="169"/>
      <c r="E31" s="177"/>
      <c r="F31" s="178"/>
      <c r="G31" s="178"/>
      <c r="H31" s="171">
        <f>IFERROR(__xludf.DUMMYFUNCTION("""COMPUTED_VALUE"""),0.0)</f>
        <v>0</v>
      </c>
      <c r="I31" s="105"/>
      <c r="J31" s="165"/>
      <c r="K31" s="1"/>
      <c r="L31" s="119"/>
      <c r="M31" s="119"/>
      <c r="N31" s="137"/>
      <c r="O31" s="119"/>
      <c r="P31" s="119"/>
      <c r="Q31" s="119"/>
      <c r="R31" s="119"/>
      <c r="S31" s="119"/>
      <c r="T31" s="119"/>
      <c r="U31" s="119"/>
      <c r="V31" s="1"/>
      <c r="W31" s="1"/>
      <c r="X31" s="1"/>
      <c r="Y31" s="1"/>
      <c r="Z31" s="1"/>
    </row>
    <row r="32">
      <c r="A32" s="166">
        <f>IFERROR(__xludf.DUMMYFUNCTION("""COMPUTED_VALUE"""),21.0)</f>
        <v>21</v>
      </c>
      <c r="B32" s="179"/>
      <c r="C32" s="168"/>
      <c r="D32" s="169"/>
      <c r="E32" s="177"/>
      <c r="F32" s="178"/>
      <c r="G32" s="178"/>
      <c r="H32" s="171">
        <f>IFERROR(__xludf.DUMMYFUNCTION("""COMPUTED_VALUE"""),0.0)</f>
        <v>0</v>
      </c>
      <c r="I32" s="105"/>
      <c r="J32" s="165"/>
      <c r="K32" s="1"/>
      <c r="L32" s="119"/>
      <c r="M32" s="119"/>
      <c r="N32" s="137"/>
      <c r="O32" s="119"/>
      <c r="P32" s="119"/>
      <c r="Q32" s="119"/>
      <c r="R32" s="119"/>
      <c r="S32" s="119"/>
      <c r="T32" s="119"/>
      <c r="U32" s="119"/>
      <c r="V32" s="1"/>
      <c r="W32" s="1"/>
      <c r="X32" s="1"/>
      <c r="Y32" s="1"/>
      <c r="Z32" s="1"/>
    </row>
    <row r="33">
      <c r="A33" s="166">
        <f>IFERROR(__xludf.DUMMYFUNCTION("""COMPUTED_VALUE"""),22.0)</f>
        <v>22</v>
      </c>
      <c r="B33" s="179"/>
      <c r="C33" s="168"/>
      <c r="D33" s="169"/>
      <c r="E33" s="177"/>
      <c r="F33" s="178"/>
      <c r="G33" s="178"/>
      <c r="H33" s="171">
        <f>IFERROR(__xludf.DUMMYFUNCTION("""COMPUTED_VALUE"""),0.0)</f>
        <v>0</v>
      </c>
      <c r="I33" s="105"/>
      <c r="J33" s="165"/>
      <c r="K33" s="1"/>
      <c r="L33" s="119"/>
      <c r="M33" s="119"/>
      <c r="N33" s="137"/>
      <c r="O33" s="119"/>
      <c r="P33" s="119"/>
      <c r="Q33" s="119"/>
      <c r="R33" s="119"/>
      <c r="S33" s="119"/>
      <c r="T33" s="119"/>
      <c r="U33" s="119"/>
      <c r="V33" s="1"/>
      <c r="W33" s="1"/>
      <c r="X33" s="1"/>
      <c r="Y33" s="1"/>
      <c r="Z33" s="1"/>
    </row>
    <row r="34">
      <c r="A34" s="166">
        <f>IFERROR(__xludf.DUMMYFUNCTION("""COMPUTED_VALUE"""),23.0)</f>
        <v>23</v>
      </c>
      <c r="B34" s="179"/>
      <c r="C34" s="168"/>
      <c r="D34" s="169"/>
      <c r="E34" s="177"/>
      <c r="F34" s="178"/>
      <c r="G34" s="178"/>
      <c r="H34" s="171">
        <f>IFERROR(__xludf.DUMMYFUNCTION("""COMPUTED_VALUE"""),0.0)</f>
        <v>0</v>
      </c>
      <c r="I34" s="105"/>
      <c r="J34" s="165"/>
      <c r="K34" s="1"/>
      <c r="L34" s="119"/>
      <c r="M34" s="119"/>
      <c r="N34" s="137"/>
      <c r="O34" s="119"/>
      <c r="P34" s="119"/>
      <c r="Q34" s="119"/>
      <c r="R34" s="119"/>
      <c r="S34" s="119"/>
      <c r="T34" s="119"/>
      <c r="U34" s="119"/>
      <c r="V34" s="1"/>
      <c r="W34" s="1"/>
      <c r="X34" s="1"/>
      <c r="Y34" s="1"/>
      <c r="Z34" s="1"/>
    </row>
    <row r="35">
      <c r="A35" s="166">
        <f>IFERROR(__xludf.DUMMYFUNCTION("""COMPUTED_VALUE"""),24.0)</f>
        <v>24</v>
      </c>
      <c r="B35" s="167"/>
      <c r="C35" s="168"/>
      <c r="D35" s="169"/>
      <c r="E35" s="177"/>
      <c r="F35" s="178"/>
      <c r="G35" s="178"/>
      <c r="H35" s="171">
        <f>IFERROR(__xludf.DUMMYFUNCTION("""COMPUTED_VALUE"""),0.0)</f>
        <v>0</v>
      </c>
      <c r="I35" s="105"/>
      <c r="J35" s="165"/>
      <c r="K35" s="1"/>
      <c r="L35" s="119"/>
      <c r="M35" s="119"/>
      <c r="N35" s="137"/>
      <c r="O35" s="119"/>
      <c r="P35" s="119"/>
      <c r="Q35" s="119"/>
      <c r="R35" s="119"/>
      <c r="S35" s="119"/>
      <c r="T35" s="119"/>
      <c r="U35" s="119"/>
      <c r="V35" s="1"/>
      <c r="W35" s="1"/>
      <c r="X35" s="1"/>
      <c r="Y35" s="1"/>
      <c r="Z35" s="1"/>
    </row>
    <row r="36">
      <c r="A36" s="166">
        <f>IFERROR(__xludf.DUMMYFUNCTION("""COMPUTED_VALUE"""),25.0)</f>
        <v>25</v>
      </c>
      <c r="B36" s="167"/>
      <c r="C36" s="168"/>
      <c r="D36" s="169"/>
      <c r="E36" s="177"/>
      <c r="F36" s="178"/>
      <c r="G36" s="178"/>
      <c r="H36" s="171">
        <f>IFERROR(__xludf.DUMMYFUNCTION("""COMPUTED_VALUE"""),0.0)</f>
        <v>0</v>
      </c>
      <c r="I36" s="105"/>
      <c r="J36" s="165"/>
      <c r="K36" s="1"/>
      <c r="L36" s="119"/>
      <c r="M36" s="119"/>
      <c r="N36" s="137"/>
      <c r="O36" s="119"/>
      <c r="P36" s="119"/>
      <c r="Q36" s="119"/>
      <c r="R36" s="119"/>
      <c r="S36" s="119"/>
      <c r="T36" s="119"/>
      <c r="U36" s="119"/>
      <c r="V36" s="1"/>
      <c r="W36" s="1"/>
      <c r="X36" s="1"/>
      <c r="Y36" s="1"/>
      <c r="Z36" s="1"/>
    </row>
    <row r="37">
      <c r="A37" s="166">
        <f>IFERROR(__xludf.DUMMYFUNCTION("""COMPUTED_VALUE"""),26.0)</f>
        <v>26</v>
      </c>
      <c r="B37" s="167"/>
      <c r="C37" s="168"/>
      <c r="D37" s="169"/>
      <c r="E37" s="177"/>
      <c r="F37" s="178"/>
      <c r="G37" s="178"/>
      <c r="H37" s="171">
        <f>IFERROR(__xludf.DUMMYFUNCTION("""COMPUTED_VALUE"""),0.0)</f>
        <v>0</v>
      </c>
      <c r="I37" s="105"/>
      <c r="J37" s="165"/>
      <c r="K37" s="1"/>
      <c r="L37" s="119"/>
      <c r="M37" s="119"/>
      <c r="N37" s="137"/>
      <c r="O37" s="119"/>
      <c r="P37" s="119"/>
      <c r="Q37" s="119"/>
      <c r="R37" s="119"/>
      <c r="S37" s="119"/>
      <c r="T37" s="119"/>
      <c r="U37" s="119"/>
      <c r="V37" s="1"/>
      <c r="W37" s="1"/>
      <c r="X37" s="1"/>
      <c r="Y37" s="1"/>
      <c r="Z37" s="1"/>
    </row>
    <row r="38">
      <c r="A38" s="166">
        <f>IFERROR(__xludf.DUMMYFUNCTION("""COMPUTED_VALUE"""),27.0)</f>
        <v>27</v>
      </c>
      <c r="B38" s="167"/>
      <c r="C38" s="168"/>
      <c r="D38" s="169"/>
      <c r="E38" s="177"/>
      <c r="F38" s="178"/>
      <c r="G38" s="178"/>
      <c r="H38" s="171">
        <f>IFERROR(__xludf.DUMMYFUNCTION("""COMPUTED_VALUE"""),0.0)</f>
        <v>0</v>
      </c>
      <c r="I38" s="105"/>
      <c r="J38" s="165"/>
      <c r="K38" s="1"/>
      <c r="L38" s="119"/>
      <c r="M38" s="119"/>
      <c r="N38" s="137"/>
      <c r="O38" s="119"/>
      <c r="P38" s="119"/>
      <c r="Q38" s="119"/>
      <c r="R38" s="119"/>
      <c r="S38" s="119"/>
      <c r="T38" s="119"/>
      <c r="U38" s="119"/>
      <c r="V38" s="1"/>
      <c r="W38" s="1"/>
      <c r="X38" s="1"/>
      <c r="Y38" s="1"/>
      <c r="Z38" s="1"/>
    </row>
    <row r="39">
      <c r="A39" s="166">
        <f>IFERROR(__xludf.DUMMYFUNCTION("""COMPUTED_VALUE"""),28.0)</f>
        <v>28</v>
      </c>
      <c r="B39" s="167"/>
      <c r="C39" s="168"/>
      <c r="D39" s="169"/>
      <c r="E39" s="177"/>
      <c r="F39" s="178"/>
      <c r="G39" s="178"/>
      <c r="H39" s="171">
        <f>IFERROR(__xludf.DUMMYFUNCTION("""COMPUTED_VALUE"""),0.0)</f>
        <v>0</v>
      </c>
      <c r="I39" s="105"/>
      <c r="J39" s="165"/>
      <c r="K39" s="1"/>
      <c r="L39" s="119"/>
      <c r="M39" s="119"/>
      <c r="N39" s="137"/>
      <c r="O39" s="119"/>
      <c r="P39" s="119"/>
      <c r="Q39" s="119"/>
      <c r="R39" s="119"/>
      <c r="S39" s="119"/>
      <c r="T39" s="119"/>
      <c r="U39" s="119"/>
      <c r="V39" s="1"/>
      <c r="W39" s="1"/>
      <c r="X39" s="1"/>
      <c r="Y39" s="1"/>
      <c r="Z39" s="1"/>
    </row>
    <row r="40">
      <c r="A40" s="166">
        <f>IFERROR(__xludf.DUMMYFUNCTION("""COMPUTED_VALUE"""),29.0)</f>
        <v>29</v>
      </c>
      <c r="B40" s="167"/>
      <c r="C40" s="168"/>
      <c r="D40" s="169"/>
      <c r="E40" s="177"/>
      <c r="F40" s="178"/>
      <c r="G40" s="178"/>
      <c r="H40" s="171">
        <f>IFERROR(__xludf.DUMMYFUNCTION("""COMPUTED_VALUE"""),0.0)</f>
        <v>0</v>
      </c>
      <c r="I40" s="105"/>
      <c r="J40" s="165"/>
      <c r="K40" s="1"/>
      <c r="L40" s="119"/>
      <c r="M40" s="119"/>
      <c r="N40" s="137"/>
      <c r="O40" s="119"/>
      <c r="P40" s="119"/>
      <c r="Q40" s="119"/>
      <c r="R40" s="119"/>
      <c r="S40" s="119"/>
      <c r="T40" s="119"/>
      <c r="U40" s="119"/>
      <c r="V40" s="1"/>
      <c r="W40" s="1"/>
      <c r="X40" s="1"/>
      <c r="Y40" s="1"/>
      <c r="Z40" s="1"/>
    </row>
    <row r="41">
      <c r="A41" s="166">
        <f>IFERROR(__xludf.DUMMYFUNCTION("""COMPUTED_VALUE"""),30.0)</f>
        <v>30</v>
      </c>
      <c r="B41" s="167"/>
      <c r="C41" s="168"/>
      <c r="D41" s="169"/>
      <c r="E41" s="177"/>
      <c r="F41" s="178"/>
      <c r="G41" s="178"/>
      <c r="H41" s="171">
        <f>IFERROR(__xludf.DUMMYFUNCTION("""COMPUTED_VALUE"""),0.0)</f>
        <v>0</v>
      </c>
      <c r="I41" s="105"/>
      <c r="J41" s="165"/>
      <c r="K41" s="1"/>
      <c r="L41" s="119"/>
      <c r="M41" s="119"/>
      <c r="N41" s="137"/>
      <c r="O41" s="119"/>
      <c r="P41" s="119"/>
      <c r="Q41" s="119"/>
      <c r="R41" s="119"/>
      <c r="S41" s="119"/>
      <c r="T41" s="119"/>
      <c r="U41" s="119"/>
      <c r="V41" s="1"/>
      <c r="W41" s="1"/>
      <c r="X41" s="1"/>
      <c r="Y41" s="1"/>
      <c r="Z41" s="1"/>
    </row>
    <row r="42">
      <c r="A42" s="166">
        <f>IFERROR(__xludf.DUMMYFUNCTION("""COMPUTED_VALUE"""),31.0)</f>
        <v>31</v>
      </c>
      <c r="B42" s="167"/>
      <c r="C42" s="168"/>
      <c r="D42" s="169"/>
      <c r="E42" s="177"/>
      <c r="F42" s="178"/>
      <c r="G42" s="178"/>
      <c r="H42" s="171">
        <f>IFERROR(__xludf.DUMMYFUNCTION("""COMPUTED_VALUE"""),0.0)</f>
        <v>0</v>
      </c>
      <c r="I42" s="105"/>
      <c r="J42" s="165"/>
      <c r="K42" s="1"/>
      <c r="L42" s="119"/>
      <c r="M42" s="119"/>
      <c r="N42" s="137"/>
      <c r="O42" s="119"/>
      <c r="P42" s="119"/>
      <c r="Q42" s="119"/>
      <c r="R42" s="119"/>
      <c r="S42" s="119"/>
      <c r="T42" s="119"/>
      <c r="U42" s="119"/>
      <c r="V42" s="1"/>
      <c r="W42" s="1"/>
      <c r="X42" s="1"/>
      <c r="Y42" s="1"/>
      <c r="Z42" s="1"/>
    </row>
    <row r="43">
      <c r="A43" s="166">
        <f>IFERROR(__xludf.DUMMYFUNCTION("""COMPUTED_VALUE"""),32.0)</f>
        <v>32</v>
      </c>
      <c r="B43" s="167"/>
      <c r="C43" s="168"/>
      <c r="D43" s="169"/>
      <c r="E43" s="177"/>
      <c r="F43" s="178"/>
      <c r="G43" s="178"/>
      <c r="H43" s="171">
        <f>IFERROR(__xludf.DUMMYFUNCTION("""COMPUTED_VALUE"""),0.0)</f>
        <v>0</v>
      </c>
      <c r="I43" s="105"/>
      <c r="J43" s="165"/>
      <c r="K43" s="1"/>
      <c r="L43" s="119"/>
      <c r="M43" s="119"/>
      <c r="N43" s="137"/>
      <c r="O43" s="119"/>
      <c r="P43" s="119"/>
      <c r="Q43" s="119"/>
      <c r="R43" s="119"/>
      <c r="S43" s="119"/>
      <c r="T43" s="119"/>
      <c r="U43" s="119"/>
      <c r="V43" s="1"/>
      <c r="W43" s="1"/>
      <c r="X43" s="1"/>
      <c r="Y43" s="1"/>
      <c r="Z43" s="1"/>
    </row>
    <row r="44">
      <c r="A44" s="166">
        <f>IFERROR(__xludf.DUMMYFUNCTION("""COMPUTED_VALUE"""),33.0)</f>
        <v>33</v>
      </c>
      <c r="B44" s="167"/>
      <c r="C44" s="168"/>
      <c r="D44" s="169"/>
      <c r="E44" s="177"/>
      <c r="F44" s="178"/>
      <c r="G44" s="178"/>
      <c r="H44" s="171">
        <f>IFERROR(__xludf.DUMMYFUNCTION("""COMPUTED_VALUE"""),0.0)</f>
        <v>0</v>
      </c>
      <c r="I44" s="105"/>
      <c r="J44" s="165"/>
      <c r="K44" s="1"/>
      <c r="L44" s="119"/>
      <c r="M44" s="119"/>
      <c r="N44" s="137"/>
      <c r="O44" s="119"/>
      <c r="P44" s="119"/>
      <c r="Q44" s="119"/>
      <c r="R44" s="119"/>
      <c r="S44" s="119"/>
      <c r="T44" s="119"/>
      <c r="U44" s="119"/>
      <c r="V44" s="1"/>
      <c r="W44" s="1"/>
      <c r="X44" s="1"/>
      <c r="Y44" s="1"/>
      <c r="Z44" s="1"/>
    </row>
    <row r="45">
      <c r="A45" s="166">
        <f>IFERROR(__xludf.DUMMYFUNCTION("""COMPUTED_VALUE"""),34.0)</f>
        <v>34</v>
      </c>
      <c r="B45" s="167"/>
      <c r="C45" s="168"/>
      <c r="D45" s="169"/>
      <c r="E45" s="177"/>
      <c r="F45" s="178"/>
      <c r="G45" s="178"/>
      <c r="H45" s="171">
        <f>IFERROR(__xludf.DUMMYFUNCTION("""COMPUTED_VALUE"""),0.0)</f>
        <v>0</v>
      </c>
      <c r="I45" s="105"/>
      <c r="J45" s="165"/>
      <c r="K45" s="1"/>
      <c r="L45" s="119"/>
      <c r="M45" s="119"/>
      <c r="N45" s="137"/>
      <c r="O45" s="119"/>
      <c r="P45" s="119"/>
      <c r="Q45" s="119"/>
      <c r="R45" s="119"/>
      <c r="S45" s="119"/>
      <c r="T45" s="119"/>
      <c r="U45" s="119"/>
      <c r="V45" s="1"/>
      <c r="W45" s="1"/>
      <c r="X45" s="1"/>
      <c r="Y45" s="1"/>
      <c r="Z45" s="1"/>
    </row>
    <row r="46">
      <c r="A46" s="166">
        <f>IFERROR(__xludf.DUMMYFUNCTION("""COMPUTED_VALUE"""),35.0)</f>
        <v>35</v>
      </c>
      <c r="B46" s="167"/>
      <c r="C46" s="168"/>
      <c r="D46" s="169"/>
      <c r="E46" s="177"/>
      <c r="F46" s="178"/>
      <c r="G46" s="178"/>
      <c r="H46" s="171">
        <f>IFERROR(__xludf.DUMMYFUNCTION("""COMPUTED_VALUE"""),0.0)</f>
        <v>0</v>
      </c>
      <c r="I46" s="105"/>
      <c r="J46" s="165"/>
      <c r="K46" s="1"/>
      <c r="L46" s="119"/>
      <c r="M46" s="119"/>
      <c r="N46" s="137"/>
      <c r="O46" s="119"/>
      <c r="P46" s="119"/>
      <c r="Q46" s="119"/>
      <c r="R46" s="119"/>
      <c r="S46" s="119"/>
      <c r="T46" s="119"/>
      <c r="U46" s="119"/>
      <c r="V46" s="1"/>
      <c r="W46" s="1"/>
      <c r="X46" s="1"/>
      <c r="Y46" s="1"/>
      <c r="Z46" s="1"/>
    </row>
    <row r="47">
      <c r="A47" s="166">
        <f>IFERROR(__xludf.DUMMYFUNCTION("""COMPUTED_VALUE"""),36.0)</f>
        <v>36</v>
      </c>
      <c r="B47" s="167"/>
      <c r="C47" s="168"/>
      <c r="D47" s="169"/>
      <c r="E47" s="177"/>
      <c r="F47" s="178"/>
      <c r="G47" s="178"/>
      <c r="H47" s="171">
        <f>IFERROR(__xludf.DUMMYFUNCTION("""COMPUTED_VALUE"""),0.0)</f>
        <v>0</v>
      </c>
      <c r="I47" s="105"/>
      <c r="J47" s="165"/>
      <c r="K47" s="1"/>
      <c r="L47" s="119"/>
      <c r="M47" s="119"/>
      <c r="N47" s="137"/>
      <c r="O47" s="119"/>
      <c r="P47" s="119"/>
      <c r="Q47" s="119"/>
      <c r="R47" s="119"/>
      <c r="S47" s="119"/>
      <c r="T47" s="119"/>
      <c r="U47" s="119"/>
      <c r="V47" s="1"/>
      <c r="W47" s="1"/>
      <c r="X47" s="1"/>
      <c r="Y47" s="1"/>
      <c r="Z47" s="1"/>
    </row>
    <row r="48">
      <c r="A48" s="166">
        <f>IFERROR(__xludf.DUMMYFUNCTION("""COMPUTED_VALUE"""),37.0)</f>
        <v>37</v>
      </c>
      <c r="B48" s="167"/>
      <c r="C48" s="168"/>
      <c r="D48" s="169"/>
      <c r="E48" s="177"/>
      <c r="F48" s="178"/>
      <c r="G48" s="178"/>
      <c r="H48" s="171">
        <f>IFERROR(__xludf.DUMMYFUNCTION("""COMPUTED_VALUE"""),0.0)</f>
        <v>0</v>
      </c>
      <c r="I48" s="105"/>
      <c r="J48" s="165"/>
      <c r="K48" s="1"/>
      <c r="L48" s="119"/>
      <c r="M48" s="119"/>
      <c r="N48" s="137"/>
      <c r="O48" s="119"/>
      <c r="P48" s="119"/>
      <c r="Q48" s="119"/>
      <c r="R48" s="119"/>
      <c r="S48" s="119"/>
      <c r="T48" s="119"/>
      <c r="U48" s="119"/>
      <c r="V48" s="1"/>
      <c r="W48" s="1"/>
      <c r="X48" s="1"/>
      <c r="Y48" s="1"/>
      <c r="Z48" s="1"/>
    </row>
    <row r="49">
      <c r="A49" s="166">
        <f>IFERROR(__xludf.DUMMYFUNCTION("""COMPUTED_VALUE"""),38.0)</f>
        <v>38</v>
      </c>
      <c r="B49" s="167"/>
      <c r="C49" s="168"/>
      <c r="D49" s="169"/>
      <c r="E49" s="177"/>
      <c r="F49" s="178"/>
      <c r="G49" s="178"/>
      <c r="H49" s="171">
        <f>IFERROR(__xludf.DUMMYFUNCTION("""COMPUTED_VALUE"""),0.0)</f>
        <v>0</v>
      </c>
      <c r="I49" s="105"/>
      <c r="J49" s="165"/>
      <c r="K49" s="1"/>
      <c r="L49" s="119"/>
      <c r="M49" s="119"/>
      <c r="N49" s="137"/>
      <c r="O49" s="119"/>
      <c r="P49" s="119"/>
      <c r="Q49" s="119"/>
      <c r="R49" s="119"/>
      <c r="S49" s="119"/>
      <c r="T49" s="119"/>
      <c r="U49" s="119"/>
      <c r="V49" s="1"/>
      <c r="W49" s="1"/>
      <c r="X49" s="1"/>
      <c r="Y49" s="1"/>
      <c r="Z49" s="1"/>
    </row>
    <row r="50">
      <c r="A50" s="166">
        <f>IFERROR(__xludf.DUMMYFUNCTION("""COMPUTED_VALUE"""),39.0)</f>
        <v>39</v>
      </c>
      <c r="B50" s="167"/>
      <c r="C50" s="168"/>
      <c r="D50" s="169"/>
      <c r="E50" s="177"/>
      <c r="F50" s="178"/>
      <c r="G50" s="178"/>
      <c r="H50" s="171">
        <f>IFERROR(__xludf.DUMMYFUNCTION("""COMPUTED_VALUE"""),0.0)</f>
        <v>0</v>
      </c>
      <c r="I50" s="105"/>
      <c r="J50" s="165"/>
      <c r="K50" s="1"/>
      <c r="L50" s="119"/>
      <c r="M50" s="119"/>
      <c r="N50" s="137"/>
      <c r="O50" s="119"/>
      <c r="P50" s="119"/>
      <c r="Q50" s="119"/>
      <c r="R50" s="119"/>
      <c r="S50" s="119"/>
      <c r="T50" s="119"/>
      <c r="U50" s="119"/>
      <c r="V50" s="1"/>
      <c r="W50" s="1"/>
      <c r="X50" s="1"/>
      <c r="Y50" s="1"/>
      <c r="Z50" s="1"/>
    </row>
    <row r="51">
      <c r="A51" s="166">
        <f>IFERROR(__xludf.DUMMYFUNCTION("""COMPUTED_VALUE"""),40.0)</f>
        <v>40</v>
      </c>
      <c r="B51" s="167"/>
      <c r="C51" s="168"/>
      <c r="D51" s="169"/>
      <c r="E51" s="177"/>
      <c r="F51" s="178"/>
      <c r="G51" s="178"/>
      <c r="H51" s="171">
        <f>IFERROR(__xludf.DUMMYFUNCTION("""COMPUTED_VALUE"""),0.0)</f>
        <v>0</v>
      </c>
      <c r="I51" s="105"/>
      <c r="J51" s="165"/>
      <c r="K51" s="1"/>
      <c r="L51" s="119"/>
      <c r="M51" s="119"/>
      <c r="N51" s="137"/>
      <c r="O51" s="119"/>
      <c r="P51" s="119"/>
      <c r="Q51" s="119"/>
      <c r="R51" s="119"/>
      <c r="S51" s="119"/>
      <c r="T51" s="119"/>
      <c r="U51" s="119"/>
      <c r="V51" s="1"/>
      <c r="W51" s="1"/>
      <c r="X51" s="1"/>
      <c r="Y51" s="1"/>
      <c r="Z51" s="1"/>
    </row>
    <row r="52">
      <c r="A52" s="166">
        <f>IFERROR(__xludf.DUMMYFUNCTION("""COMPUTED_VALUE"""),41.0)</f>
        <v>41</v>
      </c>
      <c r="B52" s="167"/>
      <c r="C52" s="168"/>
      <c r="D52" s="169"/>
      <c r="E52" s="177"/>
      <c r="F52" s="178"/>
      <c r="G52" s="178"/>
      <c r="H52" s="171">
        <f>IFERROR(__xludf.DUMMYFUNCTION("""COMPUTED_VALUE"""),0.0)</f>
        <v>0</v>
      </c>
      <c r="I52" s="105"/>
      <c r="J52" s="165"/>
      <c r="K52" s="1"/>
      <c r="L52" s="119"/>
      <c r="M52" s="119"/>
      <c r="N52" s="137"/>
      <c r="O52" s="119"/>
      <c r="P52" s="119"/>
      <c r="Q52" s="119"/>
      <c r="R52" s="119"/>
      <c r="S52" s="119"/>
      <c r="T52" s="119"/>
      <c r="U52" s="119"/>
      <c r="V52" s="1"/>
      <c r="W52" s="1"/>
      <c r="X52" s="1"/>
      <c r="Y52" s="1"/>
      <c r="Z52" s="1"/>
    </row>
    <row r="53">
      <c r="A53" s="166">
        <f>IFERROR(__xludf.DUMMYFUNCTION("""COMPUTED_VALUE"""),42.0)</f>
        <v>42</v>
      </c>
      <c r="B53" s="167"/>
      <c r="C53" s="168"/>
      <c r="D53" s="169"/>
      <c r="E53" s="177"/>
      <c r="F53" s="178"/>
      <c r="G53" s="178"/>
      <c r="H53" s="171">
        <f>IFERROR(__xludf.DUMMYFUNCTION("""COMPUTED_VALUE"""),0.0)</f>
        <v>0</v>
      </c>
      <c r="I53" s="105"/>
      <c r="J53" s="165"/>
      <c r="K53" s="1"/>
      <c r="L53" s="119"/>
      <c r="M53" s="119"/>
      <c r="N53" s="137"/>
      <c r="O53" s="119"/>
      <c r="P53" s="119"/>
      <c r="Q53" s="119"/>
      <c r="R53" s="119"/>
      <c r="S53" s="119"/>
      <c r="T53" s="119"/>
      <c r="U53" s="119"/>
      <c r="V53" s="1"/>
      <c r="W53" s="1"/>
      <c r="X53" s="1"/>
      <c r="Y53" s="1"/>
      <c r="Z53" s="1"/>
    </row>
    <row r="54">
      <c r="A54" s="166">
        <f>IFERROR(__xludf.DUMMYFUNCTION("""COMPUTED_VALUE"""),43.0)</f>
        <v>43</v>
      </c>
      <c r="B54" s="167"/>
      <c r="C54" s="168"/>
      <c r="D54" s="169"/>
      <c r="E54" s="177"/>
      <c r="F54" s="178"/>
      <c r="G54" s="178"/>
      <c r="H54" s="171">
        <f>IFERROR(__xludf.DUMMYFUNCTION("""COMPUTED_VALUE"""),0.0)</f>
        <v>0</v>
      </c>
      <c r="I54" s="105"/>
      <c r="J54" s="165"/>
      <c r="K54" s="1"/>
      <c r="L54" s="119"/>
      <c r="M54" s="119"/>
      <c r="N54" s="137"/>
      <c r="O54" s="119"/>
      <c r="P54" s="119"/>
      <c r="Q54" s="119"/>
      <c r="R54" s="119"/>
      <c r="S54" s="119"/>
      <c r="T54" s="119"/>
      <c r="U54" s="119"/>
      <c r="V54" s="1"/>
      <c r="W54" s="1"/>
      <c r="X54" s="1"/>
      <c r="Y54" s="1"/>
      <c r="Z54" s="1"/>
    </row>
    <row r="55">
      <c r="A55" s="166">
        <f>IFERROR(__xludf.DUMMYFUNCTION("""COMPUTED_VALUE"""),44.0)</f>
        <v>44</v>
      </c>
      <c r="B55" s="167"/>
      <c r="C55" s="168"/>
      <c r="D55" s="169"/>
      <c r="E55" s="177"/>
      <c r="F55" s="178"/>
      <c r="G55" s="178"/>
      <c r="H55" s="171">
        <f>IFERROR(__xludf.DUMMYFUNCTION("""COMPUTED_VALUE"""),0.0)</f>
        <v>0</v>
      </c>
      <c r="I55" s="105"/>
      <c r="J55" s="165"/>
      <c r="K55" s="1"/>
      <c r="L55" s="119"/>
      <c r="M55" s="119"/>
      <c r="N55" s="137"/>
      <c r="O55" s="119"/>
      <c r="P55" s="119"/>
      <c r="Q55" s="119"/>
      <c r="R55" s="119"/>
      <c r="S55" s="119"/>
      <c r="T55" s="119"/>
      <c r="U55" s="119"/>
      <c r="V55" s="1"/>
      <c r="W55" s="1"/>
      <c r="X55" s="1"/>
      <c r="Y55" s="1"/>
      <c r="Z55" s="1"/>
    </row>
    <row r="56">
      <c r="A56" s="166">
        <f>IFERROR(__xludf.DUMMYFUNCTION("""COMPUTED_VALUE"""),45.0)</f>
        <v>45</v>
      </c>
      <c r="B56" s="167"/>
      <c r="C56" s="168"/>
      <c r="D56" s="169"/>
      <c r="E56" s="177"/>
      <c r="F56" s="178"/>
      <c r="G56" s="178"/>
      <c r="H56" s="171">
        <f>IFERROR(__xludf.DUMMYFUNCTION("""COMPUTED_VALUE"""),0.0)</f>
        <v>0</v>
      </c>
      <c r="I56" s="105"/>
      <c r="J56" s="165"/>
      <c r="K56" s="1"/>
      <c r="L56" s="119"/>
      <c r="M56" s="119"/>
      <c r="N56" s="137"/>
      <c r="O56" s="119"/>
      <c r="P56" s="119"/>
      <c r="Q56" s="119"/>
      <c r="R56" s="119"/>
      <c r="S56" s="119"/>
      <c r="T56" s="119"/>
      <c r="U56" s="119"/>
      <c r="V56" s="1"/>
      <c r="W56" s="1"/>
      <c r="X56" s="1"/>
      <c r="Y56" s="1"/>
      <c r="Z56" s="1"/>
    </row>
    <row r="57">
      <c r="A57" s="166">
        <f>IFERROR(__xludf.DUMMYFUNCTION("""COMPUTED_VALUE"""),46.0)</f>
        <v>46</v>
      </c>
      <c r="B57" s="167"/>
      <c r="C57" s="168"/>
      <c r="D57" s="169"/>
      <c r="E57" s="177"/>
      <c r="F57" s="178"/>
      <c r="G57" s="178"/>
      <c r="H57" s="171">
        <f>IFERROR(__xludf.DUMMYFUNCTION("""COMPUTED_VALUE"""),0.0)</f>
        <v>0</v>
      </c>
      <c r="I57" s="105"/>
      <c r="J57" s="165"/>
      <c r="K57" s="1"/>
      <c r="L57" s="119"/>
      <c r="M57" s="119"/>
      <c r="N57" s="137"/>
      <c r="O57" s="119"/>
      <c r="P57" s="119"/>
      <c r="Q57" s="119"/>
      <c r="R57" s="119"/>
      <c r="S57" s="119"/>
      <c r="T57" s="119"/>
      <c r="U57" s="119"/>
      <c r="V57" s="1"/>
      <c r="W57" s="1"/>
      <c r="X57" s="1"/>
      <c r="Y57" s="1"/>
      <c r="Z57" s="1"/>
    </row>
    <row r="58">
      <c r="A58" s="166">
        <f>IFERROR(__xludf.DUMMYFUNCTION("""COMPUTED_VALUE"""),47.0)</f>
        <v>47</v>
      </c>
      <c r="B58" s="167"/>
      <c r="C58" s="168"/>
      <c r="D58" s="169"/>
      <c r="E58" s="177"/>
      <c r="F58" s="178"/>
      <c r="G58" s="178"/>
      <c r="H58" s="171">
        <f>IFERROR(__xludf.DUMMYFUNCTION("""COMPUTED_VALUE"""),0.0)</f>
        <v>0</v>
      </c>
      <c r="I58" s="105"/>
      <c r="J58" s="165"/>
      <c r="K58" s="1"/>
      <c r="L58" s="119"/>
      <c r="M58" s="119"/>
      <c r="N58" s="137"/>
      <c r="O58" s="119"/>
      <c r="P58" s="119"/>
      <c r="Q58" s="119"/>
      <c r="R58" s="119"/>
      <c r="S58" s="119"/>
      <c r="T58" s="119"/>
      <c r="U58" s="119"/>
      <c r="V58" s="1"/>
      <c r="W58" s="1"/>
      <c r="X58" s="1"/>
      <c r="Y58" s="1"/>
      <c r="Z58" s="1"/>
    </row>
    <row r="59">
      <c r="A59" s="166">
        <f>IFERROR(__xludf.DUMMYFUNCTION("""COMPUTED_VALUE"""),48.0)</f>
        <v>48</v>
      </c>
      <c r="B59" s="167"/>
      <c r="C59" s="168"/>
      <c r="D59" s="169"/>
      <c r="E59" s="177"/>
      <c r="F59" s="178"/>
      <c r="G59" s="178"/>
      <c r="H59" s="171">
        <f>IFERROR(__xludf.DUMMYFUNCTION("""COMPUTED_VALUE"""),0.0)</f>
        <v>0</v>
      </c>
      <c r="I59" s="105"/>
      <c r="J59" s="165"/>
      <c r="K59" s="1"/>
      <c r="L59" s="119"/>
      <c r="M59" s="119"/>
      <c r="N59" s="137"/>
      <c r="O59" s="119"/>
      <c r="P59" s="119"/>
      <c r="Q59" s="119"/>
      <c r="R59" s="119"/>
      <c r="S59" s="119"/>
      <c r="T59" s="119"/>
      <c r="U59" s="119"/>
      <c r="V59" s="1"/>
      <c r="W59" s="1"/>
      <c r="X59" s="1"/>
      <c r="Y59" s="1"/>
      <c r="Z59" s="1"/>
    </row>
    <row r="60">
      <c r="A60" s="166">
        <f>IFERROR(__xludf.DUMMYFUNCTION("""COMPUTED_VALUE"""),49.0)</f>
        <v>49</v>
      </c>
      <c r="B60" s="167"/>
      <c r="C60" s="168"/>
      <c r="D60" s="169"/>
      <c r="E60" s="177"/>
      <c r="F60" s="178"/>
      <c r="G60" s="178"/>
      <c r="H60" s="171">
        <f>IFERROR(__xludf.DUMMYFUNCTION("""COMPUTED_VALUE"""),0.0)</f>
        <v>0</v>
      </c>
      <c r="I60" s="105"/>
      <c r="J60" s="165"/>
      <c r="K60" s="1"/>
      <c r="L60" s="119"/>
      <c r="M60" s="119"/>
      <c r="N60" s="137"/>
      <c r="O60" s="119"/>
      <c r="P60" s="119"/>
      <c r="Q60" s="119"/>
      <c r="R60" s="119"/>
      <c r="S60" s="119"/>
      <c r="T60" s="119"/>
      <c r="U60" s="119"/>
      <c r="V60" s="1"/>
      <c r="W60" s="1"/>
      <c r="X60" s="1"/>
      <c r="Y60" s="1"/>
      <c r="Z60" s="1"/>
    </row>
    <row r="61">
      <c r="A61" s="166">
        <f>IFERROR(__xludf.DUMMYFUNCTION("""COMPUTED_VALUE"""),50.0)</f>
        <v>50</v>
      </c>
      <c r="B61" s="167"/>
      <c r="C61" s="168"/>
      <c r="D61" s="169"/>
      <c r="E61" s="177"/>
      <c r="F61" s="178"/>
      <c r="G61" s="178"/>
      <c r="H61" s="171">
        <f>IFERROR(__xludf.DUMMYFUNCTION("""COMPUTED_VALUE"""),0.0)</f>
        <v>0</v>
      </c>
      <c r="I61" s="105"/>
      <c r="J61" s="165"/>
      <c r="K61" s="1"/>
      <c r="L61" s="119"/>
      <c r="M61" s="119"/>
      <c r="N61" s="137"/>
      <c r="O61" s="119"/>
      <c r="P61" s="119"/>
      <c r="Q61" s="119"/>
      <c r="R61" s="119"/>
      <c r="S61" s="119"/>
      <c r="T61" s="119"/>
      <c r="U61" s="119"/>
      <c r="V61" s="1"/>
      <c r="W61" s="1"/>
      <c r="X61" s="1"/>
      <c r="Y61" s="1"/>
      <c r="Z61" s="1"/>
    </row>
    <row r="62">
      <c r="A62" s="166">
        <f>IFERROR(__xludf.DUMMYFUNCTION("""COMPUTED_VALUE"""),51.0)</f>
        <v>51</v>
      </c>
      <c r="B62" s="167"/>
      <c r="C62" s="168"/>
      <c r="D62" s="169"/>
      <c r="E62" s="177"/>
      <c r="F62" s="178"/>
      <c r="G62" s="178"/>
      <c r="H62" s="171">
        <f>IFERROR(__xludf.DUMMYFUNCTION("""COMPUTED_VALUE"""),0.0)</f>
        <v>0</v>
      </c>
      <c r="I62" s="105"/>
      <c r="J62" s="165"/>
      <c r="K62" s="1"/>
      <c r="L62" s="119"/>
      <c r="M62" s="119"/>
      <c r="N62" s="137"/>
      <c r="O62" s="119"/>
      <c r="P62" s="119"/>
      <c r="Q62" s="119"/>
      <c r="R62" s="119"/>
      <c r="S62" s="119"/>
      <c r="T62" s="119"/>
      <c r="U62" s="119"/>
      <c r="V62" s="1"/>
      <c r="W62" s="1"/>
      <c r="X62" s="1"/>
      <c r="Y62" s="1"/>
      <c r="Z62" s="1"/>
    </row>
    <row r="63">
      <c r="A63" s="166">
        <f>IFERROR(__xludf.DUMMYFUNCTION("""COMPUTED_VALUE"""),52.0)</f>
        <v>52</v>
      </c>
      <c r="B63" s="167"/>
      <c r="C63" s="168"/>
      <c r="D63" s="169"/>
      <c r="E63" s="177"/>
      <c r="F63" s="178"/>
      <c r="G63" s="178"/>
      <c r="H63" s="171">
        <f>IFERROR(__xludf.DUMMYFUNCTION("""COMPUTED_VALUE"""),0.0)</f>
        <v>0</v>
      </c>
      <c r="I63" s="105"/>
      <c r="J63" s="165"/>
      <c r="K63" s="1"/>
      <c r="L63" s="119"/>
      <c r="M63" s="119"/>
      <c r="N63" s="137"/>
      <c r="O63" s="119"/>
      <c r="P63" s="119"/>
      <c r="Q63" s="119"/>
      <c r="R63" s="119"/>
      <c r="S63" s="119"/>
      <c r="T63" s="119"/>
      <c r="U63" s="119"/>
      <c r="V63" s="1"/>
      <c r="W63" s="1"/>
      <c r="X63" s="1"/>
      <c r="Y63" s="1"/>
      <c r="Z63" s="1"/>
    </row>
    <row r="64">
      <c r="A64" s="166">
        <f>IFERROR(__xludf.DUMMYFUNCTION("""COMPUTED_VALUE"""),53.0)</f>
        <v>53</v>
      </c>
      <c r="B64" s="167"/>
      <c r="C64" s="168"/>
      <c r="D64" s="169"/>
      <c r="E64" s="177"/>
      <c r="F64" s="178"/>
      <c r="G64" s="178"/>
      <c r="H64" s="171">
        <f>IFERROR(__xludf.DUMMYFUNCTION("""COMPUTED_VALUE"""),0.0)</f>
        <v>0</v>
      </c>
      <c r="I64" s="105"/>
      <c r="J64" s="165"/>
      <c r="K64" s="1"/>
      <c r="L64" s="119"/>
      <c r="M64" s="119"/>
      <c r="N64" s="137"/>
      <c r="O64" s="119"/>
      <c r="P64" s="119"/>
      <c r="Q64" s="119"/>
      <c r="R64" s="119"/>
      <c r="S64" s="119"/>
      <c r="T64" s="119"/>
      <c r="U64" s="119"/>
      <c r="V64" s="1"/>
      <c r="W64" s="1"/>
      <c r="X64" s="1"/>
      <c r="Y64" s="1"/>
      <c r="Z64" s="1"/>
    </row>
    <row r="65">
      <c r="A65" s="166">
        <f>IFERROR(__xludf.DUMMYFUNCTION("""COMPUTED_VALUE"""),54.0)</f>
        <v>54</v>
      </c>
      <c r="B65" s="167"/>
      <c r="C65" s="168"/>
      <c r="D65" s="169"/>
      <c r="E65" s="177"/>
      <c r="F65" s="178"/>
      <c r="G65" s="178"/>
      <c r="H65" s="171">
        <f>IFERROR(__xludf.DUMMYFUNCTION("""COMPUTED_VALUE"""),0.0)</f>
        <v>0</v>
      </c>
      <c r="I65" s="105"/>
      <c r="J65" s="165"/>
      <c r="K65" s="1"/>
      <c r="L65" s="119"/>
      <c r="M65" s="119"/>
      <c r="N65" s="137"/>
      <c r="O65" s="119"/>
      <c r="P65" s="119"/>
      <c r="Q65" s="119"/>
      <c r="R65" s="119"/>
      <c r="S65" s="119"/>
      <c r="T65" s="119"/>
      <c r="U65" s="119"/>
      <c r="V65" s="1"/>
      <c r="W65" s="1"/>
      <c r="X65" s="1"/>
      <c r="Y65" s="1"/>
      <c r="Z65" s="1"/>
    </row>
    <row r="66">
      <c r="A66" s="166">
        <f>IFERROR(__xludf.DUMMYFUNCTION("""COMPUTED_VALUE"""),55.0)</f>
        <v>55</v>
      </c>
      <c r="B66" s="167"/>
      <c r="C66" s="168"/>
      <c r="D66" s="169"/>
      <c r="E66" s="177"/>
      <c r="F66" s="178"/>
      <c r="G66" s="178"/>
      <c r="H66" s="171">
        <f>IFERROR(__xludf.DUMMYFUNCTION("""COMPUTED_VALUE"""),0.0)</f>
        <v>0</v>
      </c>
      <c r="I66" s="105"/>
      <c r="J66" s="165"/>
      <c r="K66" s="1"/>
      <c r="L66" s="119"/>
      <c r="M66" s="119"/>
      <c r="N66" s="137"/>
      <c r="O66" s="119"/>
      <c r="P66" s="119"/>
      <c r="Q66" s="119"/>
      <c r="R66" s="119"/>
      <c r="S66" s="119"/>
      <c r="T66" s="119"/>
      <c r="U66" s="119"/>
      <c r="V66" s="1"/>
      <c r="W66" s="1"/>
      <c r="X66" s="1"/>
      <c r="Y66" s="1"/>
      <c r="Z66" s="1"/>
    </row>
    <row r="67">
      <c r="A67" s="166">
        <f>IFERROR(__xludf.DUMMYFUNCTION("""COMPUTED_VALUE"""),56.0)</f>
        <v>56</v>
      </c>
      <c r="B67" s="167"/>
      <c r="C67" s="168"/>
      <c r="D67" s="169"/>
      <c r="E67" s="177"/>
      <c r="F67" s="178"/>
      <c r="G67" s="178"/>
      <c r="H67" s="171">
        <f>IFERROR(__xludf.DUMMYFUNCTION("""COMPUTED_VALUE"""),0.0)</f>
        <v>0</v>
      </c>
      <c r="I67" s="105"/>
      <c r="J67" s="165"/>
      <c r="K67" s="1"/>
      <c r="L67" s="119"/>
      <c r="M67" s="119"/>
      <c r="N67" s="137"/>
      <c r="O67" s="119"/>
      <c r="P67" s="119"/>
      <c r="Q67" s="119"/>
      <c r="R67" s="119"/>
      <c r="S67" s="119"/>
      <c r="T67" s="119"/>
      <c r="U67" s="119"/>
      <c r="V67" s="1"/>
      <c r="W67" s="1"/>
      <c r="X67" s="1"/>
      <c r="Y67" s="1"/>
      <c r="Z67" s="1"/>
    </row>
    <row r="68">
      <c r="A68" s="166">
        <f>IFERROR(__xludf.DUMMYFUNCTION("""COMPUTED_VALUE"""),57.0)</f>
        <v>57</v>
      </c>
      <c r="B68" s="167"/>
      <c r="C68" s="168"/>
      <c r="D68" s="169"/>
      <c r="E68" s="177"/>
      <c r="F68" s="178"/>
      <c r="G68" s="178"/>
      <c r="H68" s="171">
        <f>IFERROR(__xludf.DUMMYFUNCTION("""COMPUTED_VALUE"""),0.0)</f>
        <v>0</v>
      </c>
      <c r="I68" s="105"/>
      <c r="J68" s="165"/>
      <c r="K68" s="1"/>
      <c r="L68" s="119"/>
      <c r="M68" s="119"/>
      <c r="N68" s="137"/>
      <c r="O68" s="119"/>
      <c r="P68" s="119"/>
      <c r="Q68" s="119"/>
      <c r="R68" s="119"/>
      <c r="S68" s="119"/>
      <c r="T68" s="119"/>
      <c r="U68" s="119"/>
      <c r="V68" s="1"/>
      <c r="W68" s="1"/>
      <c r="X68" s="1"/>
      <c r="Y68" s="1"/>
      <c r="Z68" s="1"/>
    </row>
    <row r="69">
      <c r="A69" s="166">
        <f>IFERROR(__xludf.DUMMYFUNCTION("""COMPUTED_VALUE"""),58.0)</f>
        <v>58</v>
      </c>
      <c r="B69" s="167"/>
      <c r="C69" s="168"/>
      <c r="D69" s="169"/>
      <c r="E69" s="177"/>
      <c r="F69" s="178"/>
      <c r="G69" s="178"/>
      <c r="H69" s="171">
        <f>IFERROR(__xludf.DUMMYFUNCTION("""COMPUTED_VALUE"""),0.0)</f>
        <v>0</v>
      </c>
      <c r="I69" s="105"/>
      <c r="J69" s="165"/>
      <c r="K69" s="1"/>
      <c r="L69" s="119"/>
      <c r="M69" s="119"/>
      <c r="N69" s="137"/>
      <c r="O69" s="119"/>
      <c r="P69" s="119"/>
      <c r="Q69" s="119"/>
      <c r="R69" s="119"/>
      <c r="S69" s="119"/>
      <c r="T69" s="119"/>
      <c r="U69" s="119"/>
      <c r="V69" s="1"/>
      <c r="W69" s="1"/>
      <c r="X69" s="1"/>
      <c r="Y69" s="1"/>
      <c r="Z69" s="1"/>
    </row>
    <row r="70">
      <c r="A70" s="166">
        <f>IFERROR(__xludf.DUMMYFUNCTION("""COMPUTED_VALUE"""),59.0)</f>
        <v>59</v>
      </c>
      <c r="B70" s="167"/>
      <c r="C70" s="168"/>
      <c r="D70" s="169"/>
      <c r="E70" s="177"/>
      <c r="F70" s="178"/>
      <c r="G70" s="178"/>
      <c r="H70" s="171">
        <f>IFERROR(__xludf.DUMMYFUNCTION("""COMPUTED_VALUE"""),0.0)</f>
        <v>0</v>
      </c>
      <c r="I70" s="105"/>
      <c r="J70" s="165"/>
      <c r="K70" s="1"/>
      <c r="L70" s="119"/>
      <c r="M70" s="119"/>
      <c r="N70" s="137"/>
      <c r="O70" s="119"/>
      <c r="P70" s="119"/>
      <c r="Q70" s="119"/>
      <c r="R70" s="119"/>
      <c r="S70" s="119"/>
      <c r="T70" s="119"/>
      <c r="U70" s="119"/>
      <c r="V70" s="1"/>
      <c r="W70" s="1"/>
      <c r="X70" s="1"/>
      <c r="Y70" s="1"/>
      <c r="Z70" s="1"/>
    </row>
    <row r="71">
      <c r="A71" s="166">
        <f>IFERROR(__xludf.DUMMYFUNCTION("""COMPUTED_VALUE"""),60.0)</f>
        <v>60</v>
      </c>
      <c r="B71" s="167"/>
      <c r="C71" s="168"/>
      <c r="D71" s="169"/>
      <c r="E71" s="177"/>
      <c r="F71" s="178"/>
      <c r="G71" s="178"/>
      <c r="H71" s="171">
        <f>IFERROR(__xludf.DUMMYFUNCTION("""COMPUTED_VALUE"""),0.0)</f>
        <v>0</v>
      </c>
      <c r="I71" s="105"/>
      <c r="J71" s="165"/>
      <c r="K71" s="1"/>
      <c r="L71" s="119"/>
      <c r="M71" s="119"/>
      <c r="N71" s="137"/>
      <c r="O71" s="119"/>
      <c r="P71" s="119"/>
      <c r="Q71" s="119"/>
      <c r="R71" s="119"/>
      <c r="S71" s="119"/>
      <c r="T71" s="119"/>
      <c r="U71" s="119"/>
      <c r="V71" s="1"/>
      <c r="W71" s="1"/>
      <c r="X71" s="1"/>
      <c r="Y71" s="1"/>
      <c r="Z71" s="1"/>
    </row>
    <row r="72">
      <c r="A72" s="166">
        <f>IFERROR(__xludf.DUMMYFUNCTION("""COMPUTED_VALUE"""),61.0)</f>
        <v>61</v>
      </c>
      <c r="B72" s="167"/>
      <c r="C72" s="168"/>
      <c r="D72" s="169"/>
      <c r="E72" s="177"/>
      <c r="F72" s="178"/>
      <c r="G72" s="178"/>
      <c r="H72" s="171">
        <f>IFERROR(__xludf.DUMMYFUNCTION("""COMPUTED_VALUE"""),0.0)</f>
        <v>0</v>
      </c>
      <c r="I72" s="105"/>
      <c r="J72" s="165"/>
      <c r="K72" s="1"/>
      <c r="L72" s="119"/>
      <c r="M72" s="119"/>
      <c r="N72" s="137"/>
      <c r="O72" s="119"/>
      <c r="P72" s="119"/>
      <c r="Q72" s="119"/>
      <c r="R72" s="119"/>
      <c r="S72" s="119"/>
      <c r="T72" s="119"/>
      <c r="U72" s="119"/>
      <c r="V72" s="1"/>
      <c r="W72" s="1"/>
      <c r="X72" s="1"/>
      <c r="Y72" s="1"/>
      <c r="Z72" s="1"/>
    </row>
    <row r="73">
      <c r="A73" s="166">
        <f>IFERROR(__xludf.DUMMYFUNCTION("""COMPUTED_VALUE"""),62.0)</f>
        <v>62</v>
      </c>
      <c r="B73" s="167"/>
      <c r="C73" s="168"/>
      <c r="D73" s="169"/>
      <c r="E73" s="177"/>
      <c r="F73" s="178"/>
      <c r="G73" s="178"/>
      <c r="H73" s="171">
        <f>IFERROR(__xludf.DUMMYFUNCTION("""COMPUTED_VALUE"""),0.0)</f>
        <v>0</v>
      </c>
      <c r="I73" s="105"/>
      <c r="J73" s="165"/>
      <c r="K73" s="1"/>
      <c r="L73" s="119"/>
      <c r="M73" s="119"/>
      <c r="N73" s="137"/>
      <c r="O73" s="119"/>
      <c r="P73" s="119"/>
      <c r="Q73" s="119"/>
      <c r="R73" s="119"/>
      <c r="S73" s="119"/>
      <c r="T73" s="119"/>
      <c r="U73" s="119"/>
      <c r="V73" s="1"/>
      <c r="W73" s="1"/>
      <c r="X73" s="1"/>
      <c r="Y73" s="1"/>
      <c r="Z73" s="1"/>
    </row>
    <row r="74">
      <c r="A74" s="166">
        <f>IFERROR(__xludf.DUMMYFUNCTION("""COMPUTED_VALUE"""),63.0)</f>
        <v>63</v>
      </c>
      <c r="B74" s="167"/>
      <c r="C74" s="168"/>
      <c r="D74" s="169"/>
      <c r="E74" s="177"/>
      <c r="F74" s="178"/>
      <c r="G74" s="178"/>
      <c r="H74" s="171">
        <f>IFERROR(__xludf.DUMMYFUNCTION("""COMPUTED_VALUE"""),0.0)</f>
        <v>0</v>
      </c>
      <c r="I74" s="105"/>
      <c r="J74" s="165"/>
      <c r="K74" s="1"/>
      <c r="L74" s="119"/>
      <c r="M74" s="119"/>
      <c r="N74" s="137"/>
      <c r="O74" s="119"/>
      <c r="P74" s="119"/>
      <c r="Q74" s="119"/>
      <c r="R74" s="119"/>
      <c r="S74" s="119"/>
      <c r="T74" s="119"/>
      <c r="U74" s="119"/>
      <c r="V74" s="1"/>
      <c r="W74" s="1"/>
      <c r="X74" s="1"/>
      <c r="Y74" s="1"/>
      <c r="Z74" s="1"/>
    </row>
    <row r="75">
      <c r="A75" s="166">
        <f>IFERROR(__xludf.DUMMYFUNCTION("""COMPUTED_VALUE"""),64.0)</f>
        <v>64</v>
      </c>
      <c r="B75" s="167"/>
      <c r="C75" s="168"/>
      <c r="D75" s="169"/>
      <c r="E75" s="177"/>
      <c r="F75" s="178"/>
      <c r="G75" s="178"/>
      <c r="H75" s="171">
        <f>IFERROR(__xludf.DUMMYFUNCTION("""COMPUTED_VALUE"""),0.0)</f>
        <v>0</v>
      </c>
      <c r="I75" s="105"/>
      <c r="J75" s="165"/>
      <c r="K75" s="1"/>
      <c r="L75" s="119"/>
      <c r="M75" s="119"/>
      <c r="N75" s="137"/>
      <c r="O75" s="119"/>
      <c r="P75" s="119"/>
      <c r="Q75" s="119"/>
      <c r="R75" s="119"/>
      <c r="S75" s="119"/>
      <c r="T75" s="119"/>
      <c r="U75" s="119"/>
      <c r="V75" s="1"/>
      <c r="W75" s="1"/>
      <c r="X75" s="1"/>
      <c r="Y75" s="1"/>
      <c r="Z75" s="1"/>
    </row>
    <row r="76">
      <c r="A76" s="166">
        <f>IFERROR(__xludf.DUMMYFUNCTION("""COMPUTED_VALUE"""),65.0)</f>
        <v>65</v>
      </c>
      <c r="B76" s="167"/>
      <c r="C76" s="168"/>
      <c r="D76" s="169"/>
      <c r="E76" s="177"/>
      <c r="F76" s="178"/>
      <c r="G76" s="178"/>
      <c r="H76" s="171">
        <f>IFERROR(__xludf.DUMMYFUNCTION("""COMPUTED_VALUE"""),0.0)</f>
        <v>0</v>
      </c>
      <c r="I76" s="105"/>
      <c r="J76" s="165"/>
      <c r="K76" s="1"/>
      <c r="L76" s="119"/>
      <c r="M76" s="119"/>
      <c r="N76" s="137"/>
      <c r="O76" s="119"/>
      <c r="P76" s="119"/>
      <c r="Q76" s="119"/>
      <c r="R76" s="119"/>
      <c r="S76" s="119"/>
      <c r="T76" s="119"/>
      <c r="U76" s="119"/>
      <c r="V76" s="1"/>
      <c r="W76" s="1"/>
      <c r="X76" s="1"/>
      <c r="Y76" s="1"/>
      <c r="Z76" s="1"/>
    </row>
    <row r="77">
      <c r="A77" s="166">
        <f>IFERROR(__xludf.DUMMYFUNCTION("""COMPUTED_VALUE"""),66.0)</f>
        <v>66</v>
      </c>
      <c r="B77" s="167"/>
      <c r="C77" s="168"/>
      <c r="D77" s="169"/>
      <c r="E77" s="177"/>
      <c r="F77" s="178"/>
      <c r="G77" s="178"/>
      <c r="H77" s="171">
        <f>IFERROR(__xludf.DUMMYFUNCTION("""COMPUTED_VALUE"""),0.0)</f>
        <v>0</v>
      </c>
      <c r="I77" s="105"/>
      <c r="J77" s="165"/>
      <c r="K77" s="1"/>
      <c r="L77" s="119"/>
      <c r="M77" s="119"/>
      <c r="N77" s="137"/>
      <c r="O77" s="119"/>
      <c r="P77" s="119"/>
      <c r="Q77" s="119"/>
      <c r="R77" s="119"/>
      <c r="S77" s="119"/>
      <c r="T77" s="119"/>
      <c r="U77" s="119"/>
      <c r="V77" s="1"/>
      <c r="W77" s="1"/>
      <c r="X77" s="1"/>
      <c r="Y77" s="1"/>
      <c r="Z77" s="1"/>
    </row>
    <row r="78">
      <c r="A78" s="166">
        <f>IFERROR(__xludf.DUMMYFUNCTION("""COMPUTED_VALUE"""),67.0)</f>
        <v>67</v>
      </c>
      <c r="B78" s="167"/>
      <c r="C78" s="168"/>
      <c r="D78" s="169"/>
      <c r="E78" s="177"/>
      <c r="F78" s="178"/>
      <c r="G78" s="178"/>
      <c r="H78" s="171">
        <f>IFERROR(__xludf.DUMMYFUNCTION("""COMPUTED_VALUE"""),0.0)</f>
        <v>0</v>
      </c>
      <c r="I78" s="105"/>
      <c r="J78" s="165"/>
      <c r="K78" s="1"/>
      <c r="L78" s="119"/>
      <c r="M78" s="119"/>
      <c r="N78" s="137"/>
      <c r="O78" s="119"/>
      <c r="P78" s="119"/>
      <c r="Q78" s="119"/>
      <c r="R78" s="119"/>
      <c r="S78" s="119"/>
      <c r="T78" s="119"/>
      <c r="U78" s="119"/>
      <c r="V78" s="1"/>
      <c r="W78" s="1"/>
      <c r="X78" s="1"/>
      <c r="Y78" s="1"/>
      <c r="Z78" s="1"/>
    </row>
    <row r="79">
      <c r="A79" s="166">
        <f>IFERROR(__xludf.DUMMYFUNCTION("""COMPUTED_VALUE"""),68.0)</f>
        <v>68</v>
      </c>
      <c r="B79" s="167"/>
      <c r="C79" s="168"/>
      <c r="D79" s="169"/>
      <c r="E79" s="177"/>
      <c r="F79" s="178"/>
      <c r="G79" s="178"/>
      <c r="H79" s="171">
        <f>IFERROR(__xludf.DUMMYFUNCTION("""COMPUTED_VALUE"""),0.0)</f>
        <v>0</v>
      </c>
      <c r="I79" s="105"/>
      <c r="J79" s="165"/>
      <c r="K79" s="1"/>
      <c r="L79" s="119"/>
      <c r="M79" s="119"/>
      <c r="N79" s="137"/>
      <c r="O79" s="119"/>
      <c r="P79" s="119"/>
      <c r="Q79" s="119"/>
      <c r="R79" s="119"/>
      <c r="S79" s="119"/>
      <c r="T79" s="119"/>
      <c r="U79" s="119"/>
      <c r="V79" s="1"/>
      <c r="W79" s="1"/>
      <c r="X79" s="1"/>
      <c r="Y79" s="1"/>
      <c r="Z79" s="1"/>
    </row>
    <row r="80">
      <c r="A80" s="166">
        <f>IFERROR(__xludf.DUMMYFUNCTION("""COMPUTED_VALUE"""),69.0)</f>
        <v>69</v>
      </c>
      <c r="B80" s="167"/>
      <c r="C80" s="168"/>
      <c r="D80" s="169"/>
      <c r="E80" s="177"/>
      <c r="F80" s="178"/>
      <c r="G80" s="178"/>
      <c r="H80" s="171">
        <f>IFERROR(__xludf.DUMMYFUNCTION("""COMPUTED_VALUE"""),0.0)</f>
        <v>0</v>
      </c>
      <c r="I80" s="105"/>
      <c r="J80" s="165"/>
      <c r="K80" s="1"/>
      <c r="L80" s="119"/>
      <c r="M80" s="119"/>
      <c r="N80" s="137"/>
      <c r="O80" s="119"/>
      <c r="P80" s="119"/>
      <c r="Q80" s="119"/>
      <c r="R80" s="119"/>
      <c r="S80" s="119"/>
      <c r="T80" s="119"/>
      <c r="U80" s="119"/>
      <c r="V80" s="1"/>
      <c r="W80" s="1"/>
      <c r="X80" s="1"/>
      <c r="Y80" s="1"/>
      <c r="Z80" s="1"/>
    </row>
    <row r="81">
      <c r="A81" s="166">
        <f>IFERROR(__xludf.DUMMYFUNCTION("""COMPUTED_VALUE"""),70.0)</f>
        <v>70</v>
      </c>
      <c r="B81" s="167"/>
      <c r="C81" s="168"/>
      <c r="D81" s="169"/>
      <c r="E81" s="177"/>
      <c r="F81" s="178"/>
      <c r="G81" s="178"/>
      <c r="H81" s="171">
        <f>IFERROR(__xludf.DUMMYFUNCTION("""COMPUTED_VALUE"""),0.0)</f>
        <v>0</v>
      </c>
      <c r="I81" s="105"/>
      <c r="J81" s="165"/>
      <c r="K81" s="1"/>
      <c r="L81" s="119"/>
      <c r="M81" s="119"/>
      <c r="N81" s="137"/>
      <c r="O81" s="119"/>
      <c r="P81" s="119"/>
      <c r="Q81" s="119"/>
      <c r="R81" s="119"/>
      <c r="S81" s="119"/>
      <c r="T81" s="119"/>
      <c r="U81" s="119"/>
      <c r="V81" s="1"/>
      <c r="W81" s="1"/>
      <c r="X81" s="1"/>
      <c r="Y81" s="1"/>
      <c r="Z81" s="1"/>
    </row>
    <row r="82">
      <c r="A82" s="166">
        <f>IFERROR(__xludf.DUMMYFUNCTION("""COMPUTED_VALUE"""),71.0)</f>
        <v>71</v>
      </c>
      <c r="B82" s="167"/>
      <c r="C82" s="168"/>
      <c r="D82" s="169"/>
      <c r="E82" s="177"/>
      <c r="F82" s="178"/>
      <c r="G82" s="178"/>
      <c r="H82" s="171">
        <f>IFERROR(__xludf.DUMMYFUNCTION("""COMPUTED_VALUE"""),0.0)</f>
        <v>0</v>
      </c>
      <c r="I82" s="105"/>
      <c r="J82" s="165"/>
      <c r="K82" s="1"/>
      <c r="L82" s="119"/>
      <c r="M82" s="119"/>
      <c r="N82" s="137"/>
      <c r="O82" s="119"/>
      <c r="P82" s="119"/>
      <c r="Q82" s="119"/>
      <c r="R82" s="119"/>
      <c r="S82" s="119"/>
      <c r="T82" s="119"/>
      <c r="U82" s="119"/>
      <c r="V82" s="1"/>
      <c r="W82" s="1"/>
      <c r="X82" s="1"/>
      <c r="Y82" s="1"/>
      <c r="Z82" s="1"/>
    </row>
    <row r="83">
      <c r="A83" s="166">
        <f>IFERROR(__xludf.DUMMYFUNCTION("""COMPUTED_VALUE"""),72.0)</f>
        <v>72</v>
      </c>
      <c r="B83" s="167"/>
      <c r="C83" s="168"/>
      <c r="D83" s="169"/>
      <c r="E83" s="177"/>
      <c r="F83" s="178"/>
      <c r="G83" s="178"/>
      <c r="H83" s="171">
        <f>IFERROR(__xludf.DUMMYFUNCTION("""COMPUTED_VALUE"""),0.0)</f>
        <v>0</v>
      </c>
      <c r="I83" s="105"/>
      <c r="J83" s="165"/>
      <c r="K83" s="1"/>
      <c r="L83" s="119"/>
      <c r="M83" s="119"/>
      <c r="N83" s="137"/>
      <c r="O83" s="119"/>
      <c r="P83" s="119"/>
      <c r="Q83" s="119"/>
      <c r="R83" s="119"/>
      <c r="S83" s="119"/>
      <c r="T83" s="119"/>
      <c r="U83" s="119"/>
      <c r="V83" s="1"/>
      <c r="W83" s="1"/>
      <c r="X83" s="1"/>
      <c r="Y83" s="1"/>
      <c r="Z83" s="1"/>
    </row>
    <row r="84">
      <c r="A84" s="166">
        <f>IFERROR(__xludf.DUMMYFUNCTION("""COMPUTED_VALUE"""),73.0)</f>
        <v>73</v>
      </c>
      <c r="B84" s="167"/>
      <c r="C84" s="168"/>
      <c r="D84" s="169"/>
      <c r="E84" s="177"/>
      <c r="F84" s="178"/>
      <c r="G84" s="178"/>
      <c r="H84" s="171">
        <f>IFERROR(__xludf.DUMMYFUNCTION("""COMPUTED_VALUE"""),0.0)</f>
        <v>0</v>
      </c>
      <c r="I84" s="105"/>
      <c r="J84" s="165"/>
      <c r="K84" s="1"/>
      <c r="L84" s="119"/>
      <c r="M84" s="119"/>
      <c r="N84" s="137"/>
      <c r="O84" s="119"/>
      <c r="P84" s="119"/>
      <c r="Q84" s="119"/>
      <c r="R84" s="119"/>
      <c r="S84" s="119"/>
      <c r="T84" s="119"/>
      <c r="U84" s="119"/>
      <c r="V84" s="1"/>
      <c r="W84" s="1"/>
      <c r="X84" s="1"/>
      <c r="Y84" s="1"/>
      <c r="Z84" s="1"/>
    </row>
    <row r="85">
      <c r="A85" s="166">
        <f>IFERROR(__xludf.DUMMYFUNCTION("""COMPUTED_VALUE"""),74.0)</f>
        <v>74</v>
      </c>
      <c r="B85" s="167"/>
      <c r="C85" s="168"/>
      <c r="D85" s="169"/>
      <c r="E85" s="177"/>
      <c r="F85" s="178"/>
      <c r="G85" s="178"/>
      <c r="H85" s="171">
        <f>IFERROR(__xludf.DUMMYFUNCTION("""COMPUTED_VALUE"""),0.0)</f>
        <v>0</v>
      </c>
      <c r="I85" s="105"/>
      <c r="J85" s="165"/>
      <c r="K85" s="1"/>
      <c r="L85" s="119"/>
      <c r="M85" s="119"/>
      <c r="N85" s="137"/>
      <c r="O85" s="119"/>
      <c r="P85" s="119"/>
      <c r="Q85" s="119"/>
      <c r="R85" s="119"/>
      <c r="S85" s="119"/>
      <c r="T85" s="119"/>
      <c r="U85" s="119"/>
      <c r="V85" s="1"/>
      <c r="W85" s="1"/>
      <c r="X85" s="1"/>
      <c r="Y85" s="1"/>
      <c r="Z85" s="1"/>
    </row>
    <row r="86">
      <c r="A86" s="166">
        <f>IFERROR(__xludf.DUMMYFUNCTION("""COMPUTED_VALUE"""),75.0)</f>
        <v>75</v>
      </c>
      <c r="B86" s="167"/>
      <c r="C86" s="168"/>
      <c r="D86" s="169"/>
      <c r="E86" s="177"/>
      <c r="F86" s="178"/>
      <c r="G86" s="178"/>
      <c r="H86" s="171">
        <f>IFERROR(__xludf.DUMMYFUNCTION("""COMPUTED_VALUE"""),0.0)</f>
        <v>0</v>
      </c>
      <c r="I86" s="105"/>
      <c r="J86" s="165"/>
      <c r="K86" s="1"/>
      <c r="L86" s="119"/>
      <c r="M86" s="119"/>
      <c r="N86" s="137"/>
      <c r="O86" s="119"/>
      <c r="P86" s="119"/>
      <c r="Q86" s="119"/>
      <c r="R86" s="119"/>
      <c r="S86" s="119"/>
      <c r="T86" s="119"/>
      <c r="U86" s="119"/>
      <c r="V86" s="1"/>
      <c r="W86" s="1"/>
      <c r="X86" s="1"/>
      <c r="Y86" s="1"/>
      <c r="Z86" s="1"/>
    </row>
    <row r="87">
      <c r="A87" s="166">
        <f>IFERROR(__xludf.DUMMYFUNCTION("""COMPUTED_VALUE"""),76.0)</f>
        <v>76</v>
      </c>
      <c r="B87" s="167"/>
      <c r="C87" s="168"/>
      <c r="D87" s="169"/>
      <c r="E87" s="177"/>
      <c r="F87" s="178"/>
      <c r="G87" s="178"/>
      <c r="H87" s="171">
        <f>IFERROR(__xludf.DUMMYFUNCTION("""COMPUTED_VALUE"""),0.0)</f>
        <v>0</v>
      </c>
      <c r="I87" s="105"/>
      <c r="J87" s="165"/>
      <c r="K87" s="1"/>
      <c r="L87" s="119"/>
      <c r="M87" s="119"/>
      <c r="N87" s="137"/>
      <c r="O87" s="119"/>
      <c r="P87" s="119"/>
      <c r="Q87" s="119"/>
      <c r="R87" s="119"/>
      <c r="S87" s="119"/>
      <c r="T87" s="119"/>
      <c r="U87" s="119"/>
      <c r="V87" s="1"/>
      <c r="W87" s="1"/>
      <c r="X87" s="1"/>
      <c r="Y87" s="1"/>
      <c r="Z87" s="1"/>
    </row>
    <row r="88">
      <c r="A88" s="166">
        <f>IFERROR(__xludf.DUMMYFUNCTION("""COMPUTED_VALUE"""),77.0)</f>
        <v>77</v>
      </c>
      <c r="B88" s="167"/>
      <c r="C88" s="168"/>
      <c r="D88" s="169"/>
      <c r="E88" s="177"/>
      <c r="F88" s="178"/>
      <c r="G88" s="178"/>
      <c r="H88" s="171">
        <f>IFERROR(__xludf.DUMMYFUNCTION("""COMPUTED_VALUE"""),0.0)</f>
        <v>0</v>
      </c>
      <c r="I88" s="105"/>
      <c r="J88" s="165"/>
      <c r="K88" s="1"/>
      <c r="L88" s="119"/>
      <c r="M88" s="119"/>
      <c r="N88" s="137"/>
      <c r="O88" s="119"/>
      <c r="P88" s="119"/>
      <c r="Q88" s="119"/>
      <c r="R88" s="119"/>
      <c r="S88" s="119"/>
      <c r="T88" s="119"/>
      <c r="U88" s="119"/>
      <c r="V88" s="1"/>
      <c r="W88" s="1"/>
      <c r="X88" s="1"/>
      <c r="Y88" s="1"/>
      <c r="Z88" s="1"/>
    </row>
    <row r="89">
      <c r="A89" s="166">
        <f>IFERROR(__xludf.DUMMYFUNCTION("""COMPUTED_VALUE"""),78.0)</f>
        <v>78</v>
      </c>
      <c r="B89" s="167"/>
      <c r="C89" s="168"/>
      <c r="D89" s="169"/>
      <c r="E89" s="177"/>
      <c r="F89" s="178"/>
      <c r="G89" s="178"/>
      <c r="H89" s="171">
        <f>IFERROR(__xludf.DUMMYFUNCTION("""COMPUTED_VALUE"""),0.0)</f>
        <v>0</v>
      </c>
      <c r="I89" s="105"/>
      <c r="J89" s="165"/>
      <c r="K89" s="1"/>
      <c r="L89" s="119"/>
      <c r="M89" s="119"/>
      <c r="N89" s="137"/>
      <c r="O89" s="119"/>
      <c r="P89" s="119"/>
      <c r="Q89" s="119"/>
      <c r="R89" s="119"/>
      <c r="S89" s="119"/>
      <c r="T89" s="119"/>
      <c r="U89" s="119"/>
      <c r="V89" s="1"/>
      <c r="W89" s="1"/>
      <c r="X89" s="1"/>
      <c r="Y89" s="1"/>
      <c r="Z89" s="1"/>
    </row>
    <row r="90">
      <c r="A90" s="166">
        <f>IFERROR(__xludf.DUMMYFUNCTION("""COMPUTED_VALUE"""),79.0)</f>
        <v>79</v>
      </c>
      <c r="B90" s="167"/>
      <c r="C90" s="168"/>
      <c r="D90" s="169"/>
      <c r="E90" s="177"/>
      <c r="F90" s="178"/>
      <c r="G90" s="178"/>
      <c r="H90" s="171">
        <f>IFERROR(__xludf.DUMMYFUNCTION("""COMPUTED_VALUE"""),0.0)</f>
        <v>0</v>
      </c>
      <c r="I90" s="105"/>
      <c r="J90" s="165"/>
      <c r="K90" s="1"/>
      <c r="L90" s="119"/>
      <c r="M90" s="119"/>
      <c r="N90" s="137"/>
      <c r="O90" s="119"/>
      <c r="P90" s="119"/>
      <c r="Q90" s="119"/>
      <c r="R90" s="119"/>
      <c r="S90" s="119"/>
      <c r="T90" s="119"/>
      <c r="U90" s="119"/>
      <c r="V90" s="1"/>
      <c r="W90" s="1"/>
      <c r="X90" s="1"/>
      <c r="Y90" s="1"/>
      <c r="Z90" s="1"/>
    </row>
    <row r="91">
      <c r="A91" s="166">
        <f>IFERROR(__xludf.DUMMYFUNCTION("""COMPUTED_VALUE"""),80.0)</f>
        <v>80</v>
      </c>
      <c r="B91" s="167"/>
      <c r="C91" s="168"/>
      <c r="D91" s="169"/>
      <c r="E91" s="177"/>
      <c r="F91" s="178"/>
      <c r="G91" s="178"/>
      <c r="H91" s="171">
        <f>IFERROR(__xludf.DUMMYFUNCTION("""COMPUTED_VALUE"""),0.0)</f>
        <v>0</v>
      </c>
      <c r="I91" s="105"/>
      <c r="J91" s="165"/>
      <c r="K91" s="1"/>
      <c r="L91" s="119"/>
      <c r="M91" s="119"/>
      <c r="N91" s="137"/>
      <c r="O91" s="119"/>
      <c r="P91" s="119"/>
      <c r="Q91" s="119"/>
      <c r="R91" s="119"/>
      <c r="S91" s="119"/>
      <c r="T91" s="119"/>
      <c r="U91" s="119"/>
      <c r="V91" s="1"/>
      <c r="W91" s="1"/>
      <c r="X91" s="1"/>
      <c r="Y91" s="1"/>
      <c r="Z91" s="1"/>
    </row>
    <row r="92">
      <c r="A92" s="166">
        <f>IFERROR(__xludf.DUMMYFUNCTION("""COMPUTED_VALUE"""),81.0)</f>
        <v>81</v>
      </c>
      <c r="B92" s="167"/>
      <c r="C92" s="168"/>
      <c r="D92" s="169"/>
      <c r="E92" s="177"/>
      <c r="F92" s="178"/>
      <c r="G92" s="178"/>
      <c r="H92" s="171">
        <f>IFERROR(__xludf.DUMMYFUNCTION("""COMPUTED_VALUE"""),0.0)</f>
        <v>0</v>
      </c>
      <c r="I92" s="105"/>
      <c r="J92" s="165"/>
      <c r="K92" s="1"/>
      <c r="L92" s="119"/>
      <c r="M92" s="119"/>
      <c r="N92" s="137"/>
      <c r="O92" s="119"/>
      <c r="P92" s="119"/>
      <c r="Q92" s="119"/>
      <c r="R92" s="119"/>
      <c r="S92" s="119"/>
      <c r="T92" s="119"/>
      <c r="U92" s="119"/>
      <c r="V92" s="1"/>
      <c r="W92" s="1"/>
      <c r="X92" s="1"/>
      <c r="Y92" s="1"/>
      <c r="Z92" s="1"/>
    </row>
    <row r="93">
      <c r="A93" s="166">
        <f>IFERROR(__xludf.DUMMYFUNCTION("""COMPUTED_VALUE"""),82.0)</f>
        <v>82</v>
      </c>
      <c r="B93" s="167"/>
      <c r="C93" s="168"/>
      <c r="D93" s="169"/>
      <c r="E93" s="177"/>
      <c r="F93" s="178"/>
      <c r="G93" s="178"/>
      <c r="H93" s="171">
        <f>IFERROR(__xludf.DUMMYFUNCTION("""COMPUTED_VALUE"""),0.0)</f>
        <v>0</v>
      </c>
      <c r="I93" s="105"/>
      <c r="J93" s="165"/>
      <c r="K93" s="1"/>
      <c r="L93" s="119"/>
      <c r="M93" s="119"/>
      <c r="N93" s="137"/>
      <c r="O93" s="119"/>
      <c r="P93" s="119"/>
      <c r="Q93" s="119"/>
      <c r="R93" s="119"/>
      <c r="S93" s="119"/>
      <c r="T93" s="119"/>
      <c r="U93" s="119"/>
      <c r="V93" s="1"/>
      <c r="W93" s="1"/>
      <c r="X93" s="1"/>
      <c r="Y93" s="1"/>
      <c r="Z93" s="1"/>
    </row>
    <row r="94">
      <c r="A94" s="166">
        <f>IFERROR(__xludf.DUMMYFUNCTION("""COMPUTED_VALUE"""),83.0)</f>
        <v>83</v>
      </c>
      <c r="B94" s="167"/>
      <c r="C94" s="168"/>
      <c r="D94" s="169"/>
      <c r="E94" s="177"/>
      <c r="F94" s="178"/>
      <c r="G94" s="178"/>
      <c r="H94" s="171">
        <f>IFERROR(__xludf.DUMMYFUNCTION("""COMPUTED_VALUE"""),0.0)</f>
        <v>0</v>
      </c>
      <c r="I94" s="105"/>
      <c r="J94" s="165"/>
      <c r="K94" s="1"/>
      <c r="L94" s="119"/>
      <c r="M94" s="119"/>
      <c r="N94" s="137"/>
      <c r="O94" s="119"/>
      <c r="P94" s="119"/>
      <c r="Q94" s="119"/>
      <c r="R94" s="119"/>
      <c r="S94" s="119"/>
      <c r="T94" s="119"/>
      <c r="U94" s="119"/>
      <c r="V94" s="1"/>
      <c r="W94" s="1"/>
      <c r="X94" s="1"/>
      <c r="Y94" s="1"/>
      <c r="Z94" s="1"/>
    </row>
    <row r="95">
      <c r="A95" s="166">
        <f>IFERROR(__xludf.DUMMYFUNCTION("""COMPUTED_VALUE"""),84.0)</f>
        <v>84</v>
      </c>
      <c r="B95" s="167"/>
      <c r="C95" s="168"/>
      <c r="D95" s="169"/>
      <c r="E95" s="177"/>
      <c r="F95" s="178"/>
      <c r="G95" s="178"/>
      <c r="H95" s="171">
        <f>IFERROR(__xludf.DUMMYFUNCTION("""COMPUTED_VALUE"""),0.0)</f>
        <v>0</v>
      </c>
      <c r="I95" s="105"/>
      <c r="J95" s="165"/>
      <c r="K95" s="1"/>
      <c r="L95" s="119"/>
      <c r="M95" s="119"/>
      <c r="N95" s="137"/>
      <c r="O95" s="119"/>
      <c r="P95" s="119"/>
      <c r="Q95" s="119"/>
      <c r="R95" s="119"/>
      <c r="S95" s="119"/>
      <c r="T95" s="119"/>
      <c r="U95" s="119"/>
      <c r="V95" s="1"/>
      <c r="W95" s="1"/>
      <c r="X95" s="1"/>
      <c r="Y95" s="1"/>
      <c r="Z95" s="1"/>
    </row>
    <row r="96">
      <c r="A96" s="166">
        <f>IFERROR(__xludf.DUMMYFUNCTION("""COMPUTED_VALUE"""),85.0)</f>
        <v>85</v>
      </c>
      <c r="B96" s="167"/>
      <c r="C96" s="168"/>
      <c r="D96" s="169"/>
      <c r="E96" s="177"/>
      <c r="F96" s="178"/>
      <c r="G96" s="178"/>
      <c r="H96" s="171">
        <f>IFERROR(__xludf.DUMMYFUNCTION("""COMPUTED_VALUE"""),0.0)</f>
        <v>0</v>
      </c>
      <c r="I96" s="105"/>
      <c r="J96" s="165"/>
      <c r="K96" s="1"/>
      <c r="L96" s="119"/>
      <c r="M96" s="119"/>
      <c r="N96" s="137"/>
      <c r="O96" s="119"/>
      <c r="P96" s="119"/>
      <c r="Q96" s="119"/>
      <c r="R96" s="119"/>
      <c r="S96" s="119"/>
      <c r="T96" s="119"/>
      <c r="U96" s="119"/>
      <c r="V96" s="1"/>
      <c r="W96" s="1"/>
      <c r="X96" s="1"/>
      <c r="Y96" s="1"/>
      <c r="Z96" s="1"/>
    </row>
    <row r="97">
      <c r="A97" s="166">
        <f>IFERROR(__xludf.DUMMYFUNCTION("""COMPUTED_VALUE"""),86.0)</f>
        <v>86</v>
      </c>
      <c r="B97" s="167"/>
      <c r="C97" s="168"/>
      <c r="D97" s="169"/>
      <c r="E97" s="177"/>
      <c r="F97" s="178"/>
      <c r="G97" s="178"/>
      <c r="H97" s="171">
        <f>IFERROR(__xludf.DUMMYFUNCTION("""COMPUTED_VALUE"""),0.0)</f>
        <v>0</v>
      </c>
      <c r="I97" s="105"/>
      <c r="J97" s="165"/>
      <c r="K97" s="1"/>
      <c r="L97" s="119"/>
      <c r="M97" s="119"/>
      <c r="N97" s="137"/>
      <c r="O97" s="119"/>
      <c r="P97" s="119"/>
      <c r="Q97" s="119"/>
      <c r="R97" s="119"/>
      <c r="S97" s="119"/>
      <c r="T97" s="119"/>
      <c r="U97" s="119"/>
      <c r="V97" s="1"/>
      <c r="W97" s="1"/>
      <c r="X97" s="1"/>
      <c r="Y97" s="1"/>
      <c r="Z97" s="1"/>
    </row>
    <row r="98">
      <c r="A98" s="166">
        <f>IFERROR(__xludf.DUMMYFUNCTION("""COMPUTED_VALUE"""),87.0)</f>
        <v>87</v>
      </c>
      <c r="B98" s="167"/>
      <c r="C98" s="168"/>
      <c r="D98" s="169"/>
      <c r="E98" s="177"/>
      <c r="F98" s="178"/>
      <c r="G98" s="178"/>
      <c r="H98" s="171">
        <f>IFERROR(__xludf.DUMMYFUNCTION("""COMPUTED_VALUE"""),0.0)</f>
        <v>0</v>
      </c>
      <c r="I98" s="105"/>
      <c r="J98" s="165"/>
      <c r="K98" s="1"/>
      <c r="L98" s="119"/>
      <c r="M98" s="119"/>
      <c r="N98" s="137"/>
      <c r="O98" s="119"/>
      <c r="P98" s="119"/>
      <c r="Q98" s="119"/>
      <c r="R98" s="119"/>
      <c r="S98" s="119"/>
      <c r="T98" s="119"/>
      <c r="U98" s="119"/>
      <c r="V98" s="1"/>
      <c r="W98" s="1"/>
      <c r="X98" s="1"/>
      <c r="Y98" s="1"/>
      <c r="Z98" s="1"/>
    </row>
    <row r="99">
      <c r="A99" s="166">
        <f>IFERROR(__xludf.DUMMYFUNCTION("""COMPUTED_VALUE"""),88.0)</f>
        <v>88</v>
      </c>
      <c r="B99" s="167"/>
      <c r="C99" s="168"/>
      <c r="D99" s="169"/>
      <c r="E99" s="177"/>
      <c r="F99" s="178"/>
      <c r="G99" s="178"/>
      <c r="H99" s="171">
        <f>IFERROR(__xludf.DUMMYFUNCTION("""COMPUTED_VALUE"""),0.0)</f>
        <v>0</v>
      </c>
      <c r="I99" s="105"/>
      <c r="J99" s="165"/>
      <c r="K99" s="1"/>
      <c r="L99" s="119"/>
      <c r="M99" s="119"/>
      <c r="N99" s="137"/>
      <c r="O99" s="119"/>
      <c r="P99" s="119"/>
      <c r="Q99" s="119"/>
      <c r="R99" s="119"/>
      <c r="S99" s="119"/>
      <c r="T99" s="119"/>
      <c r="U99" s="119"/>
      <c r="V99" s="1"/>
      <c r="W99" s="1"/>
      <c r="X99" s="1"/>
      <c r="Y99" s="1"/>
      <c r="Z99" s="1"/>
    </row>
    <row r="100">
      <c r="A100" s="166">
        <f>IFERROR(__xludf.DUMMYFUNCTION("""COMPUTED_VALUE"""),89.0)</f>
        <v>89</v>
      </c>
      <c r="B100" s="167"/>
      <c r="C100" s="168"/>
      <c r="D100" s="169"/>
      <c r="E100" s="177"/>
      <c r="F100" s="178"/>
      <c r="G100" s="178"/>
      <c r="H100" s="171">
        <f>IFERROR(__xludf.DUMMYFUNCTION("""COMPUTED_VALUE"""),0.0)</f>
        <v>0</v>
      </c>
      <c r="I100" s="105"/>
      <c r="J100" s="165"/>
      <c r="K100" s="1"/>
      <c r="L100" s="119"/>
      <c r="M100" s="119"/>
      <c r="N100" s="137"/>
      <c r="O100" s="119"/>
      <c r="P100" s="119"/>
      <c r="Q100" s="119"/>
      <c r="R100" s="119"/>
      <c r="S100" s="119"/>
      <c r="T100" s="119"/>
      <c r="U100" s="119"/>
      <c r="V100" s="1"/>
      <c r="W100" s="1"/>
      <c r="X100" s="1"/>
      <c r="Y100" s="1"/>
      <c r="Z100" s="1"/>
    </row>
    <row r="101">
      <c r="A101" s="166">
        <f>IFERROR(__xludf.DUMMYFUNCTION("""COMPUTED_VALUE"""),90.0)</f>
        <v>90</v>
      </c>
      <c r="B101" s="167"/>
      <c r="C101" s="168"/>
      <c r="D101" s="169"/>
      <c r="E101" s="177"/>
      <c r="F101" s="178"/>
      <c r="G101" s="178"/>
      <c r="H101" s="171">
        <f>IFERROR(__xludf.DUMMYFUNCTION("""COMPUTED_VALUE"""),0.0)</f>
        <v>0</v>
      </c>
      <c r="I101" s="105"/>
      <c r="J101" s="165"/>
      <c r="K101" s="1"/>
      <c r="L101" s="119"/>
      <c r="M101" s="119"/>
      <c r="N101" s="137"/>
      <c r="O101" s="119"/>
      <c r="P101" s="119"/>
      <c r="Q101" s="119"/>
      <c r="R101" s="119"/>
      <c r="S101" s="119"/>
      <c r="T101" s="119"/>
      <c r="U101" s="119"/>
      <c r="V101" s="1"/>
      <c r="W101" s="1"/>
      <c r="X101" s="1"/>
      <c r="Y101" s="1"/>
      <c r="Z101" s="1"/>
    </row>
    <row r="102">
      <c r="A102" s="166">
        <f>IFERROR(__xludf.DUMMYFUNCTION("""COMPUTED_VALUE"""),91.0)</f>
        <v>91</v>
      </c>
      <c r="B102" s="167"/>
      <c r="C102" s="168"/>
      <c r="D102" s="169"/>
      <c r="E102" s="177"/>
      <c r="F102" s="178"/>
      <c r="G102" s="178"/>
      <c r="H102" s="171">
        <f>IFERROR(__xludf.DUMMYFUNCTION("""COMPUTED_VALUE"""),0.0)</f>
        <v>0</v>
      </c>
      <c r="I102" s="105"/>
      <c r="J102" s="165"/>
      <c r="K102" s="1"/>
      <c r="L102" s="119"/>
      <c r="M102" s="119"/>
      <c r="N102" s="137"/>
      <c r="O102" s="119"/>
      <c r="P102" s="119"/>
      <c r="Q102" s="119"/>
      <c r="R102" s="119"/>
      <c r="S102" s="119"/>
      <c r="T102" s="119"/>
      <c r="U102" s="119"/>
      <c r="V102" s="1"/>
      <c r="W102" s="1"/>
      <c r="X102" s="1"/>
      <c r="Y102" s="1"/>
      <c r="Z102" s="1"/>
    </row>
    <row r="103">
      <c r="A103" s="166">
        <f>IFERROR(__xludf.DUMMYFUNCTION("""COMPUTED_VALUE"""),92.0)</f>
        <v>92</v>
      </c>
      <c r="B103" s="167"/>
      <c r="C103" s="168"/>
      <c r="D103" s="169"/>
      <c r="E103" s="177"/>
      <c r="F103" s="178"/>
      <c r="G103" s="178"/>
      <c r="H103" s="171">
        <f>IFERROR(__xludf.DUMMYFUNCTION("""COMPUTED_VALUE"""),0.0)</f>
        <v>0</v>
      </c>
      <c r="I103" s="105"/>
      <c r="J103" s="165"/>
      <c r="K103" s="1"/>
      <c r="L103" s="119"/>
      <c r="M103" s="119"/>
      <c r="N103" s="137"/>
      <c r="O103" s="119"/>
      <c r="P103" s="119"/>
      <c r="Q103" s="119"/>
      <c r="R103" s="119"/>
      <c r="S103" s="119"/>
      <c r="T103" s="119"/>
      <c r="U103" s="119"/>
      <c r="V103" s="1"/>
      <c r="W103" s="1"/>
      <c r="X103" s="1"/>
      <c r="Y103" s="1"/>
      <c r="Z103" s="1"/>
    </row>
    <row r="104">
      <c r="A104" s="166">
        <f>IFERROR(__xludf.DUMMYFUNCTION("""COMPUTED_VALUE"""),93.0)</f>
        <v>93</v>
      </c>
      <c r="B104" s="167"/>
      <c r="C104" s="168"/>
      <c r="D104" s="169"/>
      <c r="E104" s="177"/>
      <c r="F104" s="178"/>
      <c r="G104" s="178"/>
      <c r="H104" s="171">
        <f>IFERROR(__xludf.DUMMYFUNCTION("""COMPUTED_VALUE"""),0.0)</f>
        <v>0</v>
      </c>
      <c r="I104" s="105"/>
      <c r="J104" s="165"/>
      <c r="K104" s="1"/>
      <c r="L104" s="119"/>
      <c r="M104" s="119"/>
      <c r="N104" s="137"/>
      <c r="O104" s="119"/>
      <c r="P104" s="119"/>
      <c r="Q104" s="119"/>
      <c r="R104" s="119"/>
      <c r="S104" s="119"/>
      <c r="T104" s="119"/>
      <c r="U104" s="119"/>
      <c r="V104" s="1"/>
      <c r="W104" s="1"/>
      <c r="X104" s="1"/>
      <c r="Y104" s="1"/>
      <c r="Z104" s="1"/>
    </row>
    <row r="105">
      <c r="A105" s="166">
        <f>IFERROR(__xludf.DUMMYFUNCTION("""COMPUTED_VALUE"""),94.0)</f>
        <v>94</v>
      </c>
      <c r="B105" s="167"/>
      <c r="C105" s="168"/>
      <c r="D105" s="169"/>
      <c r="E105" s="177"/>
      <c r="F105" s="178"/>
      <c r="G105" s="178"/>
      <c r="H105" s="171">
        <f>IFERROR(__xludf.DUMMYFUNCTION("""COMPUTED_VALUE"""),0.0)</f>
        <v>0</v>
      </c>
      <c r="I105" s="105"/>
      <c r="J105" s="165"/>
      <c r="K105" s="1"/>
      <c r="L105" s="119"/>
      <c r="M105" s="119"/>
      <c r="N105" s="137"/>
      <c r="O105" s="119"/>
      <c r="P105" s="119"/>
      <c r="Q105" s="119"/>
      <c r="R105" s="119"/>
      <c r="S105" s="119"/>
      <c r="T105" s="119"/>
      <c r="U105" s="119"/>
      <c r="V105" s="1"/>
      <c r="W105" s="1"/>
      <c r="X105" s="1"/>
      <c r="Y105" s="1"/>
      <c r="Z105" s="1"/>
    </row>
    <row r="106">
      <c r="A106" s="166">
        <f>IFERROR(__xludf.DUMMYFUNCTION("""COMPUTED_VALUE"""),95.0)</f>
        <v>95</v>
      </c>
      <c r="B106" s="167"/>
      <c r="C106" s="168"/>
      <c r="D106" s="169"/>
      <c r="E106" s="177"/>
      <c r="F106" s="178"/>
      <c r="G106" s="178"/>
      <c r="H106" s="171">
        <f>IFERROR(__xludf.DUMMYFUNCTION("""COMPUTED_VALUE"""),0.0)</f>
        <v>0</v>
      </c>
      <c r="I106" s="105"/>
      <c r="J106" s="165"/>
      <c r="K106" s="1"/>
      <c r="L106" s="119"/>
      <c r="M106" s="119"/>
      <c r="N106" s="137"/>
      <c r="O106" s="119"/>
      <c r="P106" s="119"/>
      <c r="Q106" s="119"/>
      <c r="R106" s="119"/>
      <c r="S106" s="119"/>
      <c r="T106" s="119"/>
      <c r="U106" s="119"/>
      <c r="V106" s="1"/>
      <c r="W106" s="1"/>
      <c r="X106" s="1"/>
      <c r="Y106" s="1"/>
      <c r="Z106" s="1"/>
    </row>
    <row r="107">
      <c r="A107" s="166">
        <f>IFERROR(__xludf.DUMMYFUNCTION("""COMPUTED_VALUE"""),96.0)</f>
        <v>96</v>
      </c>
      <c r="B107" s="167"/>
      <c r="C107" s="168"/>
      <c r="D107" s="169"/>
      <c r="E107" s="177"/>
      <c r="F107" s="178"/>
      <c r="G107" s="178"/>
      <c r="H107" s="171">
        <f>IFERROR(__xludf.DUMMYFUNCTION("""COMPUTED_VALUE"""),0.0)</f>
        <v>0</v>
      </c>
      <c r="I107" s="105"/>
      <c r="J107" s="165"/>
      <c r="K107" s="1"/>
      <c r="L107" s="119"/>
      <c r="M107" s="119"/>
      <c r="N107" s="137"/>
      <c r="O107" s="119"/>
      <c r="P107" s="119"/>
      <c r="Q107" s="119"/>
      <c r="R107" s="119"/>
      <c r="S107" s="119"/>
      <c r="T107" s="119"/>
      <c r="U107" s="119"/>
      <c r="V107" s="1"/>
      <c r="W107" s="1"/>
      <c r="X107" s="1"/>
      <c r="Y107" s="1"/>
      <c r="Z107" s="1"/>
    </row>
    <row r="108">
      <c r="A108" s="166">
        <f>IFERROR(__xludf.DUMMYFUNCTION("""COMPUTED_VALUE"""),97.0)</f>
        <v>97</v>
      </c>
      <c r="B108" s="167"/>
      <c r="C108" s="168"/>
      <c r="D108" s="169"/>
      <c r="E108" s="177"/>
      <c r="F108" s="178"/>
      <c r="G108" s="178"/>
      <c r="H108" s="171">
        <f>IFERROR(__xludf.DUMMYFUNCTION("""COMPUTED_VALUE"""),0.0)</f>
        <v>0</v>
      </c>
      <c r="I108" s="105"/>
      <c r="J108" s="165"/>
      <c r="K108" s="1"/>
      <c r="L108" s="119"/>
      <c r="M108" s="119"/>
      <c r="N108" s="137"/>
      <c r="O108" s="119"/>
      <c r="P108" s="119"/>
      <c r="Q108" s="119"/>
      <c r="R108" s="119"/>
      <c r="S108" s="119"/>
      <c r="T108" s="119"/>
      <c r="U108" s="119"/>
      <c r="V108" s="1"/>
      <c r="W108" s="1"/>
      <c r="X108" s="1"/>
      <c r="Y108" s="1"/>
      <c r="Z108" s="1"/>
    </row>
    <row r="109">
      <c r="A109" s="166">
        <f>IFERROR(__xludf.DUMMYFUNCTION("""COMPUTED_VALUE"""),98.0)</f>
        <v>98</v>
      </c>
      <c r="B109" s="167"/>
      <c r="C109" s="168"/>
      <c r="D109" s="169"/>
      <c r="E109" s="177"/>
      <c r="F109" s="178"/>
      <c r="G109" s="178"/>
      <c r="H109" s="171">
        <f>IFERROR(__xludf.DUMMYFUNCTION("""COMPUTED_VALUE"""),0.0)</f>
        <v>0</v>
      </c>
      <c r="I109" s="105"/>
      <c r="J109" s="165"/>
      <c r="K109" s="1"/>
      <c r="L109" s="119"/>
      <c r="M109" s="119"/>
      <c r="N109" s="137"/>
      <c r="O109" s="119"/>
      <c r="P109" s="119"/>
      <c r="Q109" s="119"/>
      <c r="R109" s="119"/>
      <c r="S109" s="119"/>
      <c r="T109" s="119"/>
      <c r="U109" s="119"/>
      <c r="V109" s="1"/>
      <c r="W109" s="1"/>
      <c r="X109" s="1"/>
      <c r="Y109" s="1"/>
      <c r="Z109" s="1"/>
    </row>
    <row r="110">
      <c r="A110" s="166">
        <f>IFERROR(__xludf.DUMMYFUNCTION("""COMPUTED_VALUE"""),99.0)</f>
        <v>99</v>
      </c>
      <c r="B110" s="167"/>
      <c r="C110" s="168"/>
      <c r="D110" s="169"/>
      <c r="E110" s="177"/>
      <c r="F110" s="178"/>
      <c r="G110" s="178"/>
      <c r="H110" s="171">
        <f>IFERROR(__xludf.DUMMYFUNCTION("""COMPUTED_VALUE"""),0.0)</f>
        <v>0</v>
      </c>
      <c r="I110" s="105"/>
      <c r="J110" s="165"/>
      <c r="K110" s="1"/>
      <c r="L110" s="119"/>
      <c r="M110" s="119"/>
      <c r="N110" s="137"/>
      <c r="O110" s="119"/>
      <c r="P110" s="119"/>
      <c r="Q110" s="119"/>
      <c r="R110" s="119"/>
      <c r="S110" s="119"/>
      <c r="T110" s="119"/>
      <c r="U110" s="119"/>
      <c r="V110" s="1"/>
      <c r="W110" s="1"/>
      <c r="X110" s="1"/>
      <c r="Y110" s="1"/>
      <c r="Z110" s="1"/>
    </row>
    <row r="111">
      <c r="A111" s="166">
        <f>IFERROR(__xludf.DUMMYFUNCTION("""COMPUTED_VALUE"""),100.0)</f>
        <v>100</v>
      </c>
      <c r="B111" s="167"/>
      <c r="C111" s="168"/>
      <c r="D111" s="169"/>
      <c r="E111" s="177"/>
      <c r="F111" s="178"/>
      <c r="G111" s="178"/>
      <c r="H111" s="171">
        <f>IFERROR(__xludf.DUMMYFUNCTION("""COMPUTED_VALUE"""),0.0)</f>
        <v>0</v>
      </c>
      <c r="I111" s="105"/>
      <c r="J111" s="165"/>
      <c r="K111" s="1"/>
      <c r="L111" s="119"/>
      <c r="M111" s="119"/>
      <c r="N111" s="137"/>
      <c r="O111" s="119"/>
      <c r="P111" s="119"/>
      <c r="Q111" s="119"/>
      <c r="R111" s="119"/>
      <c r="S111" s="119"/>
      <c r="T111" s="119"/>
      <c r="U111" s="119"/>
      <c r="V111" s="1"/>
      <c r="W111" s="1"/>
      <c r="X111" s="1"/>
      <c r="Y111" s="1"/>
      <c r="Z111" s="1"/>
    </row>
    <row r="112">
      <c r="A112" s="166">
        <f>IFERROR(__xludf.DUMMYFUNCTION("""COMPUTED_VALUE"""),101.0)</f>
        <v>101</v>
      </c>
      <c r="B112" s="167"/>
      <c r="C112" s="168"/>
      <c r="D112" s="169"/>
      <c r="E112" s="177"/>
      <c r="F112" s="178"/>
      <c r="G112" s="178"/>
      <c r="H112" s="171">
        <f>IFERROR(__xludf.DUMMYFUNCTION("""COMPUTED_VALUE"""),0.0)</f>
        <v>0</v>
      </c>
      <c r="I112" s="105"/>
      <c r="J112" s="165"/>
      <c r="K112" s="1"/>
      <c r="L112" s="119"/>
      <c r="M112" s="119"/>
      <c r="N112" s="137"/>
      <c r="O112" s="119"/>
      <c r="P112" s="119"/>
      <c r="Q112" s="119"/>
      <c r="R112" s="119"/>
      <c r="S112" s="119"/>
      <c r="T112" s="119"/>
      <c r="U112" s="119"/>
      <c r="V112" s="1"/>
      <c r="W112" s="1"/>
      <c r="X112" s="1"/>
      <c r="Y112" s="1"/>
      <c r="Z112" s="1"/>
    </row>
    <row r="113">
      <c r="A113" s="166">
        <f>IFERROR(__xludf.DUMMYFUNCTION("""COMPUTED_VALUE"""),102.0)</f>
        <v>102</v>
      </c>
      <c r="B113" s="167"/>
      <c r="C113" s="168"/>
      <c r="D113" s="169"/>
      <c r="E113" s="177"/>
      <c r="F113" s="178"/>
      <c r="G113" s="178"/>
      <c r="H113" s="171">
        <f>IFERROR(__xludf.DUMMYFUNCTION("""COMPUTED_VALUE"""),0.0)</f>
        <v>0</v>
      </c>
      <c r="I113" s="105"/>
      <c r="J113" s="165"/>
      <c r="K113" s="1"/>
      <c r="L113" s="119"/>
      <c r="M113" s="119"/>
      <c r="N113" s="137"/>
      <c r="O113" s="119"/>
      <c r="P113" s="119"/>
      <c r="Q113" s="119"/>
      <c r="R113" s="119"/>
      <c r="S113" s="119"/>
      <c r="T113" s="119"/>
      <c r="U113" s="119"/>
      <c r="V113" s="1"/>
      <c r="W113" s="1"/>
      <c r="X113" s="1"/>
      <c r="Y113" s="1"/>
      <c r="Z113" s="1"/>
    </row>
    <row r="114">
      <c r="A114" s="166">
        <f>IFERROR(__xludf.DUMMYFUNCTION("""COMPUTED_VALUE"""),103.0)</f>
        <v>103</v>
      </c>
      <c r="B114" s="167"/>
      <c r="C114" s="168"/>
      <c r="D114" s="169"/>
      <c r="E114" s="177"/>
      <c r="F114" s="178"/>
      <c r="G114" s="178"/>
      <c r="H114" s="171">
        <f>IFERROR(__xludf.DUMMYFUNCTION("""COMPUTED_VALUE"""),0.0)</f>
        <v>0</v>
      </c>
      <c r="I114" s="105"/>
      <c r="J114" s="165"/>
      <c r="K114" s="1"/>
      <c r="L114" s="119"/>
      <c r="M114" s="119"/>
      <c r="N114" s="137"/>
      <c r="O114" s="119"/>
      <c r="P114" s="119"/>
      <c r="Q114" s="119"/>
      <c r="R114" s="119"/>
      <c r="S114" s="119"/>
      <c r="T114" s="119"/>
      <c r="U114" s="119"/>
      <c r="V114" s="1"/>
      <c r="W114" s="1"/>
      <c r="X114" s="1"/>
      <c r="Y114" s="1"/>
      <c r="Z114" s="1"/>
    </row>
    <row r="115">
      <c r="A115" s="166">
        <f>IFERROR(__xludf.DUMMYFUNCTION("""COMPUTED_VALUE"""),104.0)</f>
        <v>104</v>
      </c>
      <c r="B115" s="167"/>
      <c r="C115" s="168"/>
      <c r="D115" s="169"/>
      <c r="E115" s="177"/>
      <c r="F115" s="178"/>
      <c r="G115" s="178"/>
      <c r="H115" s="171">
        <f>IFERROR(__xludf.DUMMYFUNCTION("""COMPUTED_VALUE"""),0.0)</f>
        <v>0</v>
      </c>
      <c r="I115" s="105"/>
      <c r="J115" s="165"/>
      <c r="K115" s="1"/>
      <c r="L115" s="119"/>
      <c r="M115" s="119"/>
      <c r="N115" s="137"/>
      <c r="O115" s="119"/>
      <c r="P115" s="119"/>
      <c r="Q115" s="119"/>
      <c r="R115" s="119"/>
      <c r="S115" s="119"/>
      <c r="T115" s="119"/>
      <c r="U115" s="119"/>
      <c r="V115" s="1"/>
      <c r="W115" s="1"/>
      <c r="X115" s="1"/>
      <c r="Y115" s="1"/>
      <c r="Z115" s="1"/>
    </row>
    <row r="116">
      <c r="A116" s="166">
        <f>IFERROR(__xludf.DUMMYFUNCTION("""COMPUTED_VALUE"""),105.0)</f>
        <v>105</v>
      </c>
      <c r="B116" s="167"/>
      <c r="C116" s="168"/>
      <c r="D116" s="169"/>
      <c r="E116" s="177"/>
      <c r="F116" s="178"/>
      <c r="G116" s="178"/>
      <c r="H116" s="171">
        <f>IFERROR(__xludf.DUMMYFUNCTION("""COMPUTED_VALUE"""),0.0)</f>
        <v>0</v>
      </c>
      <c r="I116" s="105"/>
      <c r="J116" s="165"/>
      <c r="K116" s="1"/>
      <c r="L116" s="119"/>
      <c r="M116" s="119"/>
      <c r="N116" s="137"/>
      <c r="O116" s="119"/>
      <c r="P116" s="119"/>
      <c r="Q116" s="119"/>
      <c r="R116" s="119"/>
      <c r="S116" s="119"/>
      <c r="T116" s="119"/>
      <c r="U116" s="119"/>
      <c r="V116" s="1"/>
      <c r="W116" s="1"/>
      <c r="X116" s="1"/>
      <c r="Y116" s="1"/>
      <c r="Z116" s="1"/>
    </row>
    <row r="117">
      <c r="A117" s="166">
        <f>IFERROR(__xludf.DUMMYFUNCTION("""COMPUTED_VALUE"""),106.0)</f>
        <v>106</v>
      </c>
      <c r="B117" s="167"/>
      <c r="C117" s="168"/>
      <c r="D117" s="169"/>
      <c r="E117" s="177"/>
      <c r="F117" s="178"/>
      <c r="G117" s="178"/>
      <c r="H117" s="171">
        <f>IFERROR(__xludf.DUMMYFUNCTION("""COMPUTED_VALUE"""),0.0)</f>
        <v>0</v>
      </c>
      <c r="I117" s="105"/>
      <c r="J117" s="165"/>
      <c r="K117" s="1"/>
      <c r="L117" s="119"/>
      <c r="M117" s="119"/>
      <c r="N117" s="137"/>
      <c r="O117" s="119"/>
      <c r="P117" s="119"/>
      <c r="Q117" s="119"/>
      <c r="R117" s="119"/>
      <c r="S117" s="119"/>
      <c r="T117" s="119"/>
      <c r="U117" s="119"/>
      <c r="V117" s="1"/>
      <c r="W117" s="1"/>
      <c r="X117" s="1"/>
      <c r="Y117" s="1"/>
      <c r="Z117" s="1"/>
    </row>
    <row r="118">
      <c r="A118" s="166">
        <f>IFERROR(__xludf.DUMMYFUNCTION("""COMPUTED_VALUE"""),107.0)</f>
        <v>107</v>
      </c>
      <c r="B118" s="167"/>
      <c r="C118" s="168"/>
      <c r="D118" s="169"/>
      <c r="E118" s="177"/>
      <c r="F118" s="178"/>
      <c r="G118" s="178"/>
      <c r="H118" s="171">
        <f>IFERROR(__xludf.DUMMYFUNCTION("""COMPUTED_VALUE"""),0.0)</f>
        <v>0</v>
      </c>
      <c r="I118" s="105"/>
      <c r="J118" s="165"/>
      <c r="K118" s="1"/>
      <c r="L118" s="119"/>
      <c r="M118" s="119"/>
      <c r="N118" s="137"/>
      <c r="O118" s="119"/>
      <c r="P118" s="119"/>
      <c r="Q118" s="119"/>
      <c r="R118" s="119"/>
      <c r="S118" s="119"/>
      <c r="T118" s="119"/>
      <c r="U118" s="119"/>
      <c r="V118" s="1"/>
      <c r="W118" s="1"/>
      <c r="X118" s="1"/>
      <c r="Y118" s="1"/>
      <c r="Z118" s="1"/>
    </row>
    <row r="119">
      <c r="A119" s="166">
        <f>IFERROR(__xludf.DUMMYFUNCTION("""COMPUTED_VALUE"""),108.0)</f>
        <v>108</v>
      </c>
      <c r="B119" s="167"/>
      <c r="C119" s="168"/>
      <c r="D119" s="169"/>
      <c r="E119" s="177"/>
      <c r="F119" s="178"/>
      <c r="G119" s="178"/>
      <c r="H119" s="171">
        <f>IFERROR(__xludf.DUMMYFUNCTION("""COMPUTED_VALUE"""),0.0)</f>
        <v>0</v>
      </c>
      <c r="I119" s="105"/>
      <c r="J119" s="165"/>
      <c r="K119" s="1"/>
      <c r="L119" s="119"/>
      <c r="M119" s="119"/>
      <c r="N119" s="137"/>
      <c r="O119" s="119"/>
      <c r="P119" s="119"/>
      <c r="Q119" s="119"/>
      <c r="R119" s="119"/>
      <c r="S119" s="119"/>
      <c r="T119" s="119"/>
      <c r="U119" s="119"/>
      <c r="V119" s="1"/>
      <c r="W119" s="1"/>
      <c r="X119" s="1"/>
      <c r="Y119" s="1"/>
      <c r="Z119" s="1"/>
    </row>
    <row r="120">
      <c r="A120" s="166">
        <f>IFERROR(__xludf.DUMMYFUNCTION("""COMPUTED_VALUE"""),109.0)</f>
        <v>109</v>
      </c>
      <c r="B120" s="167"/>
      <c r="C120" s="168"/>
      <c r="D120" s="169"/>
      <c r="E120" s="177"/>
      <c r="F120" s="178"/>
      <c r="G120" s="178"/>
      <c r="H120" s="171">
        <f>IFERROR(__xludf.DUMMYFUNCTION("""COMPUTED_VALUE"""),0.0)</f>
        <v>0</v>
      </c>
      <c r="I120" s="105"/>
      <c r="J120" s="165"/>
      <c r="K120" s="1"/>
      <c r="L120" s="119"/>
      <c r="M120" s="119"/>
      <c r="N120" s="137"/>
      <c r="O120" s="119"/>
      <c r="P120" s="119"/>
      <c r="Q120" s="119"/>
      <c r="R120" s="119"/>
      <c r="S120" s="119"/>
      <c r="T120" s="119"/>
      <c r="U120" s="119"/>
      <c r="V120" s="1"/>
      <c r="W120" s="1"/>
      <c r="X120" s="1"/>
      <c r="Y120" s="1"/>
      <c r="Z120" s="1"/>
    </row>
    <row r="121">
      <c r="A121" s="166">
        <f>IFERROR(__xludf.DUMMYFUNCTION("""COMPUTED_VALUE"""),110.0)</f>
        <v>110</v>
      </c>
      <c r="B121" s="167"/>
      <c r="C121" s="168"/>
      <c r="D121" s="169"/>
      <c r="E121" s="177"/>
      <c r="F121" s="178"/>
      <c r="G121" s="178"/>
      <c r="H121" s="171">
        <f>IFERROR(__xludf.DUMMYFUNCTION("""COMPUTED_VALUE"""),0.0)</f>
        <v>0</v>
      </c>
      <c r="I121" s="105"/>
      <c r="J121" s="165"/>
      <c r="K121" s="1"/>
      <c r="L121" s="119"/>
      <c r="M121" s="119"/>
      <c r="N121" s="137"/>
      <c r="O121" s="119"/>
      <c r="P121" s="119"/>
      <c r="Q121" s="119"/>
      <c r="R121" s="119"/>
      <c r="S121" s="119"/>
      <c r="T121" s="119"/>
      <c r="U121" s="119"/>
      <c r="V121" s="1"/>
      <c r="W121" s="1"/>
      <c r="X121" s="1"/>
      <c r="Y121" s="1"/>
      <c r="Z121" s="1"/>
    </row>
    <row r="122">
      <c r="A122" s="166">
        <f>IFERROR(__xludf.DUMMYFUNCTION("""COMPUTED_VALUE"""),111.0)</f>
        <v>111</v>
      </c>
      <c r="B122" s="167"/>
      <c r="C122" s="168"/>
      <c r="D122" s="169"/>
      <c r="E122" s="177"/>
      <c r="F122" s="178"/>
      <c r="G122" s="178"/>
      <c r="H122" s="171">
        <f>IFERROR(__xludf.DUMMYFUNCTION("""COMPUTED_VALUE"""),0.0)</f>
        <v>0</v>
      </c>
      <c r="I122" s="105"/>
      <c r="J122" s="165"/>
      <c r="K122" s="1"/>
      <c r="L122" s="119"/>
      <c r="M122" s="119"/>
      <c r="N122" s="137"/>
      <c r="O122" s="119"/>
      <c r="P122" s="119"/>
      <c r="Q122" s="119"/>
      <c r="R122" s="119"/>
      <c r="S122" s="119"/>
      <c r="T122" s="119"/>
      <c r="U122" s="119"/>
      <c r="V122" s="1"/>
      <c r="W122" s="1"/>
      <c r="X122" s="1"/>
      <c r="Y122" s="1"/>
      <c r="Z122" s="1"/>
    </row>
    <row r="123">
      <c r="A123" s="166">
        <f>IFERROR(__xludf.DUMMYFUNCTION("""COMPUTED_VALUE"""),112.0)</f>
        <v>112</v>
      </c>
      <c r="B123" s="167"/>
      <c r="C123" s="168"/>
      <c r="D123" s="169"/>
      <c r="E123" s="177"/>
      <c r="F123" s="178"/>
      <c r="G123" s="178"/>
      <c r="H123" s="171">
        <f>IFERROR(__xludf.DUMMYFUNCTION("""COMPUTED_VALUE"""),0.0)</f>
        <v>0</v>
      </c>
      <c r="I123" s="105"/>
      <c r="J123" s="165"/>
      <c r="K123" s="1"/>
      <c r="L123" s="119"/>
      <c r="M123" s="119"/>
      <c r="N123" s="137"/>
      <c r="O123" s="119"/>
      <c r="P123" s="119"/>
      <c r="Q123" s="119"/>
      <c r="R123" s="119"/>
      <c r="S123" s="119"/>
      <c r="T123" s="119"/>
      <c r="U123" s="119"/>
      <c r="V123" s="1"/>
      <c r="W123" s="1"/>
      <c r="X123" s="1"/>
      <c r="Y123" s="1"/>
      <c r="Z123" s="1"/>
    </row>
    <row r="124">
      <c r="A124" s="166">
        <f>IFERROR(__xludf.DUMMYFUNCTION("""COMPUTED_VALUE"""),113.0)</f>
        <v>113</v>
      </c>
      <c r="B124" s="167"/>
      <c r="C124" s="168"/>
      <c r="D124" s="169"/>
      <c r="E124" s="177"/>
      <c r="F124" s="178"/>
      <c r="G124" s="178"/>
      <c r="H124" s="171">
        <f>IFERROR(__xludf.DUMMYFUNCTION("""COMPUTED_VALUE"""),0.0)</f>
        <v>0</v>
      </c>
      <c r="I124" s="105"/>
      <c r="J124" s="165"/>
      <c r="K124" s="1"/>
      <c r="L124" s="119"/>
      <c r="M124" s="119"/>
      <c r="N124" s="137"/>
      <c r="O124" s="119"/>
      <c r="P124" s="119"/>
      <c r="Q124" s="119"/>
      <c r="R124" s="119"/>
      <c r="S124" s="119"/>
      <c r="T124" s="119"/>
      <c r="U124" s="119"/>
      <c r="V124" s="1"/>
      <c r="W124" s="1"/>
      <c r="X124" s="1"/>
      <c r="Y124" s="1"/>
      <c r="Z124" s="1"/>
    </row>
    <row r="125">
      <c r="A125" s="166">
        <f>IFERROR(__xludf.DUMMYFUNCTION("""COMPUTED_VALUE"""),114.0)</f>
        <v>114</v>
      </c>
      <c r="B125" s="167"/>
      <c r="C125" s="168"/>
      <c r="D125" s="169"/>
      <c r="E125" s="177"/>
      <c r="F125" s="178"/>
      <c r="G125" s="178"/>
      <c r="H125" s="171">
        <f>IFERROR(__xludf.DUMMYFUNCTION("""COMPUTED_VALUE"""),0.0)</f>
        <v>0</v>
      </c>
      <c r="I125" s="105"/>
      <c r="J125" s="165"/>
      <c r="K125" s="1"/>
      <c r="L125" s="119"/>
      <c r="M125" s="119"/>
      <c r="N125" s="137"/>
      <c r="O125" s="119"/>
      <c r="P125" s="119"/>
      <c r="Q125" s="119"/>
      <c r="R125" s="119"/>
      <c r="S125" s="119"/>
      <c r="T125" s="119"/>
      <c r="U125" s="119"/>
      <c r="V125" s="1"/>
      <c r="W125" s="1"/>
      <c r="X125" s="1"/>
      <c r="Y125" s="1"/>
      <c r="Z125" s="1"/>
    </row>
    <row r="126">
      <c r="A126" s="166">
        <f>IFERROR(__xludf.DUMMYFUNCTION("""COMPUTED_VALUE"""),115.0)</f>
        <v>115</v>
      </c>
      <c r="B126" s="167"/>
      <c r="C126" s="168"/>
      <c r="D126" s="169"/>
      <c r="E126" s="177"/>
      <c r="F126" s="178"/>
      <c r="G126" s="178"/>
      <c r="H126" s="171">
        <f>IFERROR(__xludf.DUMMYFUNCTION("""COMPUTED_VALUE"""),0.0)</f>
        <v>0</v>
      </c>
      <c r="I126" s="105"/>
      <c r="J126" s="165"/>
      <c r="K126" s="1"/>
      <c r="L126" s="119"/>
      <c r="M126" s="119"/>
      <c r="N126" s="137"/>
      <c r="O126" s="119"/>
      <c r="P126" s="119"/>
      <c r="Q126" s="119"/>
      <c r="R126" s="119"/>
      <c r="S126" s="119"/>
      <c r="T126" s="119"/>
      <c r="U126" s="119"/>
      <c r="V126" s="1"/>
      <c r="W126" s="1"/>
      <c r="X126" s="1"/>
      <c r="Y126" s="1"/>
      <c r="Z126" s="1"/>
    </row>
    <row r="127">
      <c r="A127" s="166">
        <f>IFERROR(__xludf.DUMMYFUNCTION("""COMPUTED_VALUE"""),116.0)</f>
        <v>116</v>
      </c>
      <c r="B127" s="167"/>
      <c r="C127" s="168"/>
      <c r="D127" s="169"/>
      <c r="E127" s="177"/>
      <c r="F127" s="178"/>
      <c r="G127" s="178"/>
      <c r="H127" s="171">
        <f>IFERROR(__xludf.DUMMYFUNCTION("""COMPUTED_VALUE"""),0.0)</f>
        <v>0</v>
      </c>
      <c r="I127" s="105"/>
      <c r="J127" s="165"/>
      <c r="K127" s="1"/>
      <c r="L127" s="119"/>
      <c r="M127" s="119"/>
      <c r="N127" s="137"/>
      <c r="O127" s="119"/>
      <c r="P127" s="119"/>
      <c r="Q127" s="119"/>
      <c r="R127" s="119"/>
      <c r="S127" s="119"/>
      <c r="T127" s="119"/>
      <c r="U127" s="119"/>
      <c r="V127" s="1"/>
      <c r="W127" s="1"/>
      <c r="X127" s="1"/>
      <c r="Y127" s="1"/>
      <c r="Z127" s="1"/>
    </row>
    <row r="128">
      <c r="A128" s="166">
        <f>IFERROR(__xludf.DUMMYFUNCTION("""COMPUTED_VALUE"""),117.0)</f>
        <v>117</v>
      </c>
      <c r="B128" s="167"/>
      <c r="C128" s="168"/>
      <c r="D128" s="169"/>
      <c r="E128" s="177"/>
      <c r="F128" s="178"/>
      <c r="G128" s="178"/>
      <c r="H128" s="171">
        <f>IFERROR(__xludf.DUMMYFUNCTION("""COMPUTED_VALUE"""),0.0)</f>
        <v>0</v>
      </c>
      <c r="I128" s="105"/>
      <c r="J128" s="165"/>
      <c r="K128" s="1"/>
      <c r="L128" s="119"/>
      <c r="M128" s="119"/>
      <c r="N128" s="137"/>
      <c r="O128" s="119"/>
      <c r="P128" s="119"/>
      <c r="Q128" s="119"/>
      <c r="R128" s="119"/>
      <c r="S128" s="119"/>
      <c r="T128" s="119"/>
      <c r="U128" s="119"/>
      <c r="V128" s="1"/>
      <c r="W128" s="1"/>
      <c r="X128" s="1"/>
      <c r="Y128" s="1"/>
      <c r="Z128" s="1"/>
    </row>
    <row r="129">
      <c r="A129" s="166">
        <f>IFERROR(__xludf.DUMMYFUNCTION("""COMPUTED_VALUE"""),118.0)</f>
        <v>118</v>
      </c>
      <c r="B129" s="167"/>
      <c r="C129" s="168"/>
      <c r="D129" s="169"/>
      <c r="E129" s="177"/>
      <c r="F129" s="178"/>
      <c r="G129" s="178"/>
      <c r="H129" s="171">
        <f>IFERROR(__xludf.DUMMYFUNCTION("""COMPUTED_VALUE"""),0.0)</f>
        <v>0</v>
      </c>
      <c r="I129" s="105"/>
      <c r="J129" s="165"/>
      <c r="K129" s="1"/>
      <c r="L129" s="119"/>
      <c r="M129" s="119"/>
      <c r="N129" s="137"/>
      <c r="O129" s="119"/>
      <c r="P129" s="119"/>
      <c r="Q129" s="119"/>
      <c r="R129" s="119"/>
      <c r="S129" s="119"/>
      <c r="T129" s="119"/>
      <c r="U129" s="119"/>
      <c r="V129" s="1"/>
      <c r="W129" s="1"/>
      <c r="X129" s="1"/>
      <c r="Y129" s="1"/>
      <c r="Z129" s="1"/>
    </row>
    <row r="130">
      <c r="A130" s="166">
        <f>IFERROR(__xludf.DUMMYFUNCTION("""COMPUTED_VALUE"""),119.0)</f>
        <v>119</v>
      </c>
      <c r="B130" s="167"/>
      <c r="C130" s="168"/>
      <c r="D130" s="169"/>
      <c r="E130" s="177"/>
      <c r="F130" s="178"/>
      <c r="G130" s="178"/>
      <c r="H130" s="171">
        <f>IFERROR(__xludf.DUMMYFUNCTION("""COMPUTED_VALUE"""),0.0)</f>
        <v>0</v>
      </c>
      <c r="I130" s="105"/>
      <c r="J130" s="165"/>
      <c r="K130" s="1"/>
      <c r="L130" s="119"/>
      <c r="M130" s="119"/>
      <c r="N130" s="137"/>
      <c r="O130" s="119"/>
      <c r="P130" s="119"/>
      <c r="Q130" s="119"/>
      <c r="R130" s="119"/>
      <c r="S130" s="119"/>
      <c r="T130" s="119"/>
      <c r="U130" s="119"/>
      <c r="V130" s="1"/>
      <c r="W130" s="1"/>
      <c r="X130" s="1"/>
      <c r="Y130" s="1"/>
      <c r="Z130" s="1"/>
    </row>
    <row r="131">
      <c r="A131" s="166">
        <f>IFERROR(__xludf.DUMMYFUNCTION("""COMPUTED_VALUE"""),120.0)</f>
        <v>120</v>
      </c>
      <c r="B131" s="167"/>
      <c r="C131" s="168"/>
      <c r="D131" s="169"/>
      <c r="E131" s="177"/>
      <c r="F131" s="178"/>
      <c r="G131" s="178"/>
      <c r="H131" s="171">
        <f>IFERROR(__xludf.DUMMYFUNCTION("""COMPUTED_VALUE"""),0.0)</f>
        <v>0</v>
      </c>
      <c r="I131" s="105"/>
      <c r="J131" s="165"/>
      <c r="K131" s="1"/>
      <c r="L131" s="119"/>
      <c r="M131" s="119"/>
      <c r="N131" s="137"/>
      <c r="O131" s="119"/>
      <c r="P131" s="119"/>
      <c r="Q131" s="119"/>
      <c r="R131" s="119"/>
      <c r="S131" s="119"/>
      <c r="T131" s="119"/>
      <c r="U131" s="119"/>
      <c r="V131" s="1"/>
      <c r="W131" s="1"/>
      <c r="X131" s="1"/>
      <c r="Y131" s="1"/>
      <c r="Z131" s="1"/>
    </row>
    <row r="132">
      <c r="A132" s="166">
        <f>IFERROR(__xludf.DUMMYFUNCTION("""COMPUTED_VALUE"""),121.0)</f>
        <v>121</v>
      </c>
      <c r="B132" s="167"/>
      <c r="C132" s="168"/>
      <c r="D132" s="169"/>
      <c r="E132" s="177"/>
      <c r="F132" s="178"/>
      <c r="G132" s="178"/>
      <c r="H132" s="171">
        <f>IFERROR(__xludf.DUMMYFUNCTION("""COMPUTED_VALUE"""),0.0)</f>
        <v>0</v>
      </c>
      <c r="I132" s="105"/>
      <c r="J132" s="165"/>
      <c r="K132" s="1"/>
      <c r="L132" s="119"/>
      <c r="M132" s="119"/>
      <c r="N132" s="137"/>
      <c r="O132" s="119"/>
      <c r="P132" s="119"/>
      <c r="Q132" s="119"/>
      <c r="R132" s="119"/>
      <c r="S132" s="119"/>
      <c r="T132" s="119"/>
      <c r="U132" s="119"/>
      <c r="V132" s="1"/>
      <c r="W132" s="1"/>
      <c r="X132" s="1"/>
      <c r="Y132" s="1"/>
      <c r="Z132" s="1"/>
    </row>
    <row r="133">
      <c r="A133" s="166">
        <f>IFERROR(__xludf.DUMMYFUNCTION("""COMPUTED_VALUE"""),122.0)</f>
        <v>122</v>
      </c>
      <c r="B133" s="167"/>
      <c r="C133" s="168"/>
      <c r="D133" s="169"/>
      <c r="E133" s="177"/>
      <c r="F133" s="178"/>
      <c r="G133" s="178"/>
      <c r="H133" s="171">
        <f>IFERROR(__xludf.DUMMYFUNCTION("""COMPUTED_VALUE"""),0.0)</f>
        <v>0</v>
      </c>
      <c r="I133" s="105"/>
      <c r="J133" s="165"/>
      <c r="K133" s="1"/>
      <c r="L133" s="119"/>
      <c r="M133" s="119"/>
      <c r="N133" s="137"/>
      <c r="O133" s="119"/>
      <c r="P133" s="119"/>
      <c r="Q133" s="119"/>
      <c r="R133" s="119"/>
      <c r="S133" s="119"/>
      <c r="T133" s="119"/>
      <c r="U133" s="119"/>
      <c r="V133" s="1"/>
      <c r="W133" s="1"/>
      <c r="X133" s="1"/>
      <c r="Y133" s="1"/>
      <c r="Z133" s="1"/>
    </row>
    <row r="134">
      <c r="A134" s="166">
        <f>IFERROR(__xludf.DUMMYFUNCTION("""COMPUTED_VALUE"""),123.0)</f>
        <v>123</v>
      </c>
      <c r="B134" s="167"/>
      <c r="C134" s="168"/>
      <c r="D134" s="169"/>
      <c r="E134" s="177"/>
      <c r="F134" s="178"/>
      <c r="G134" s="178"/>
      <c r="H134" s="171">
        <f>IFERROR(__xludf.DUMMYFUNCTION("""COMPUTED_VALUE"""),0.0)</f>
        <v>0</v>
      </c>
      <c r="I134" s="105"/>
      <c r="J134" s="165"/>
      <c r="K134" s="1"/>
      <c r="L134" s="119"/>
      <c r="M134" s="119"/>
      <c r="N134" s="137"/>
      <c r="O134" s="119"/>
      <c r="P134" s="119"/>
      <c r="Q134" s="119"/>
      <c r="R134" s="119"/>
      <c r="S134" s="119"/>
      <c r="T134" s="119"/>
      <c r="U134" s="119"/>
      <c r="V134" s="1"/>
      <c r="W134" s="1"/>
      <c r="X134" s="1"/>
      <c r="Y134" s="1"/>
      <c r="Z134" s="1"/>
    </row>
    <row r="135">
      <c r="A135" s="166">
        <f>IFERROR(__xludf.DUMMYFUNCTION("""COMPUTED_VALUE"""),124.0)</f>
        <v>124</v>
      </c>
      <c r="B135" s="167"/>
      <c r="C135" s="168"/>
      <c r="D135" s="169"/>
      <c r="E135" s="177"/>
      <c r="F135" s="178"/>
      <c r="G135" s="178"/>
      <c r="H135" s="171">
        <f>IFERROR(__xludf.DUMMYFUNCTION("""COMPUTED_VALUE"""),0.0)</f>
        <v>0</v>
      </c>
      <c r="I135" s="105"/>
      <c r="J135" s="165"/>
      <c r="K135" s="1"/>
      <c r="L135" s="119"/>
      <c r="M135" s="119"/>
      <c r="N135" s="137"/>
      <c r="O135" s="119"/>
      <c r="P135" s="119"/>
      <c r="Q135" s="119"/>
      <c r="R135" s="119"/>
      <c r="S135" s="119"/>
      <c r="T135" s="119"/>
      <c r="U135" s="119"/>
      <c r="V135" s="1"/>
      <c r="W135" s="1"/>
      <c r="X135" s="1"/>
      <c r="Y135" s="1"/>
      <c r="Z135" s="1"/>
    </row>
    <row r="136">
      <c r="A136" s="166">
        <f>IFERROR(__xludf.DUMMYFUNCTION("""COMPUTED_VALUE"""),125.0)</f>
        <v>125</v>
      </c>
      <c r="B136" s="167"/>
      <c r="C136" s="168"/>
      <c r="D136" s="169"/>
      <c r="E136" s="177"/>
      <c r="F136" s="178"/>
      <c r="G136" s="178"/>
      <c r="H136" s="171">
        <f>IFERROR(__xludf.DUMMYFUNCTION("""COMPUTED_VALUE"""),0.0)</f>
        <v>0</v>
      </c>
      <c r="I136" s="105"/>
      <c r="J136" s="165"/>
      <c r="K136" s="1"/>
      <c r="L136" s="119"/>
      <c r="M136" s="119"/>
      <c r="N136" s="137"/>
      <c r="O136" s="119"/>
      <c r="P136" s="119"/>
      <c r="Q136" s="119"/>
      <c r="R136" s="119"/>
      <c r="S136" s="119"/>
      <c r="T136" s="119"/>
      <c r="U136" s="119"/>
      <c r="V136" s="1"/>
      <c r="W136" s="1"/>
      <c r="X136" s="1"/>
      <c r="Y136" s="1"/>
      <c r="Z136" s="1"/>
    </row>
    <row r="137">
      <c r="A137" s="166">
        <f>IFERROR(__xludf.DUMMYFUNCTION("""COMPUTED_VALUE"""),126.0)</f>
        <v>126</v>
      </c>
      <c r="B137" s="167"/>
      <c r="C137" s="168"/>
      <c r="D137" s="169"/>
      <c r="E137" s="177"/>
      <c r="F137" s="178"/>
      <c r="G137" s="178"/>
      <c r="H137" s="171">
        <f>IFERROR(__xludf.DUMMYFUNCTION("""COMPUTED_VALUE"""),0.0)</f>
        <v>0</v>
      </c>
      <c r="I137" s="105"/>
      <c r="J137" s="165"/>
      <c r="K137" s="1"/>
      <c r="L137" s="119"/>
      <c r="M137" s="119"/>
      <c r="N137" s="137"/>
      <c r="O137" s="119"/>
      <c r="P137" s="119"/>
      <c r="Q137" s="119"/>
      <c r="R137" s="119"/>
      <c r="S137" s="119"/>
      <c r="T137" s="119"/>
      <c r="U137" s="119"/>
      <c r="V137" s="1"/>
      <c r="W137" s="1"/>
      <c r="X137" s="1"/>
      <c r="Y137" s="1"/>
      <c r="Z137" s="1"/>
    </row>
    <row r="138">
      <c r="A138" s="166">
        <f>IFERROR(__xludf.DUMMYFUNCTION("""COMPUTED_VALUE"""),127.0)</f>
        <v>127</v>
      </c>
      <c r="B138" s="167"/>
      <c r="C138" s="168"/>
      <c r="D138" s="169"/>
      <c r="E138" s="177"/>
      <c r="F138" s="178"/>
      <c r="G138" s="178"/>
      <c r="H138" s="171">
        <f>IFERROR(__xludf.DUMMYFUNCTION("""COMPUTED_VALUE"""),0.0)</f>
        <v>0</v>
      </c>
      <c r="I138" s="105"/>
      <c r="J138" s="165"/>
      <c r="K138" s="1"/>
      <c r="L138" s="119"/>
      <c r="M138" s="119"/>
      <c r="N138" s="137"/>
      <c r="O138" s="119"/>
      <c r="P138" s="119"/>
      <c r="Q138" s="119"/>
      <c r="R138" s="119"/>
      <c r="S138" s="119"/>
      <c r="T138" s="119"/>
      <c r="U138" s="119"/>
      <c r="V138" s="1"/>
      <c r="W138" s="1"/>
      <c r="X138" s="1"/>
      <c r="Y138" s="1"/>
      <c r="Z138" s="1"/>
    </row>
    <row r="139">
      <c r="A139" s="166">
        <f>IFERROR(__xludf.DUMMYFUNCTION("""COMPUTED_VALUE"""),128.0)</f>
        <v>128</v>
      </c>
      <c r="B139" s="167"/>
      <c r="C139" s="168"/>
      <c r="D139" s="169"/>
      <c r="E139" s="177"/>
      <c r="F139" s="178"/>
      <c r="G139" s="178"/>
      <c r="H139" s="171">
        <f>IFERROR(__xludf.DUMMYFUNCTION("""COMPUTED_VALUE"""),0.0)</f>
        <v>0</v>
      </c>
      <c r="I139" s="105"/>
      <c r="J139" s="165"/>
      <c r="K139" s="1"/>
      <c r="L139" s="119"/>
      <c r="M139" s="119"/>
      <c r="N139" s="137"/>
      <c r="O139" s="119"/>
      <c r="P139" s="119"/>
      <c r="Q139" s="119"/>
      <c r="R139" s="119"/>
      <c r="S139" s="119"/>
      <c r="T139" s="119"/>
      <c r="U139" s="119"/>
      <c r="V139" s="1"/>
      <c r="W139" s="1"/>
      <c r="X139" s="1"/>
      <c r="Y139" s="1"/>
      <c r="Z139" s="1"/>
    </row>
    <row r="140">
      <c r="A140" s="166">
        <f>IFERROR(__xludf.DUMMYFUNCTION("""COMPUTED_VALUE"""),129.0)</f>
        <v>129</v>
      </c>
      <c r="B140" s="167"/>
      <c r="C140" s="168"/>
      <c r="D140" s="169"/>
      <c r="E140" s="177"/>
      <c r="F140" s="178"/>
      <c r="G140" s="178"/>
      <c r="H140" s="171">
        <f>IFERROR(__xludf.DUMMYFUNCTION("""COMPUTED_VALUE"""),0.0)</f>
        <v>0</v>
      </c>
      <c r="I140" s="105"/>
      <c r="J140" s="165"/>
      <c r="K140" s="1"/>
      <c r="L140" s="119"/>
      <c r="M140" s="119"/>
      <c r="N140" s="137"/>
      <c r="O140" s="119"/>
      <c r="P140" s="119"/>
      <c r="Q140" s="119"/>
      <c r="R140" s="119"/>
      <c r="S140" s="119"/>
      <c r="T140" s="119"/>
      <c r="U140" s="119"/>
      <c r="V140" s="1"/>
      <c r="W140" s="1"/>
      <c r="X140" s="1"/>
      <c r="Y140" s="1"/>
      <c r="Z140" s="1"/>
    </row>
    <row r="141">
      <c r="A141" s="166">
        <f>IFERROR(__xludf.DUMMYFUNCTION("""COMPUTED_VALUE"""),130.0)</f>
        <v>130</v>
      </c>
      <c r="B141" s="167"/>
      <c r="C141" s="168"/>
      <c r="D141" s="169"/>
      <c r="E141" s="177"/>
      <c r="F141" s="178"/>
      <c r="G141" s="178"/>
      <c r="H141" s="171">
        <f>IFERROR(__xludf.DUMMYFUNCTION("""COMPUTED_VALUE"""),0.0)</f>
        <v>0</v>
      </c>
      <c r="I141" s="105"/>
      <c r="J141" s="165"/>
      <c r="K141" s="1"/>
      <c r="L141" s="119"/>
      <c r="M141" s="119"/>
      <c r="N141" s="137"/>
      <c r="O141" s="119"/>
      <c r="P141" s="119"/>
      <c r="Q141" s="119"/>
      <c r="R141" s="119"/>
      <c r="S141" s="119"/>
      <c r="T141" s="119"/>
      <c r="U141" s="119"/>
      <c r="V141" s="1"/>
      <c r="W141" s="1"/>
      <c r="X141" s="1"/>
      <c r="Y141" s="1"/>
      <c r="Z141" s="1"/>
    </row>
    <row r="142">
      <c r="A142" s="166">
        <f>IFERROR(__xludf.DUMMYFUNCTION("""COMPUTED_VALUE"""),131.0)</f>
        <v>131</v>
      </c>
      <c r="B142" s="167"/>
      <c r="C142" s="168"/>
      <c r="D142" s="169"/>
      <c r="E142" s="177"/>
      <c r="F142" s="178"/>
      <c r="G142" s="178"/>
      <c r="H142" s="171">
        <f>IFERROR(__xludf.DUMMYFUNCTION("""COMPUTED_VALUE"""),0.0)</f>
        <v>0</v>
      </c>
      <c r="I142" s="105"/>
      <c r="J142" s="165"/>
      <c r="K142" s="1"/>
      <c r="L142" s="119"/>
      <c r="M142" s="119"/>
      <c r="N142" s="137"/>
      <c r="O142" s="119"/>
      <c r="P142" s="119"/>
      <c r="Q142" s="119"/>
      <c r="R142" s="119"/>
      <c r="S142" s="119"/>
      <c r="T142" s="119"/>
      <c r="U142" s="119"/>
      <c r="V142" s="1"/>
      <c r="W142" s="1"/>
      <c r="X142" s="1"/>
      <c r="Y142" s="1"/>
      <c r="Z142" s="1"/>
    </row>
    <row r="143">
      <c r="A143" s="166">
        <f>IFERROR(__xludf.DUMMYFUNCTION("""COMPUTED_VALUE"""),132.0)</f>
        <v>132</v>
      </c>
      <c r="B143" s="167"/>
      <c r="C143" s="168"/>
      <c r="D143" s="169"/>
      <c r="E143" s="177"/>
      <c r="F143" s="178"/>
      <c r="G143" s="178"/>
      <c r="H143" s="171">
        <f>IFERROR(__xludf.DUMMYFUNCTION("""COMPUTED_VALUE"""),0.0)</f>
        <v>0</v>
      </c>
      <c r="I143" s="105"/>
      <c r="J143" s="165"/>
      <c r="K143" s="1"/>
      <c r="L143" s="119"/>
      <c r="M143" s="119"/>
      <c r="N143" s="137"/>
      <c r="O143" s="119"/>
      <c r="P143" s="119"/>
      <c r="Q143" s="119"/>
      <c r="R143" s="119"/>
      <c r="S143" s="119"/>
      <c r="T143" s="119"/>
      <c r="U143" s="119"/>
      <c r="V143" s="1"/>
      <c r="W143" s="1"/>
      <c r="X143" s="1"/>
      <c r="Y143" s="1"/>
      <c r="Z143" s="1"/>
    </row>
    <row r="144">
      <c r="A144" s="166">
        <f>IFERROR(__xludf.DUMMYFUNCTION("""COMPUTED_VALUE"""),133.0)</f>
        <v>133</v>
      </c>
      <c r="B144" s="167"/>
      <c r="C144" s="168"/>
      <c r="D144" s="169"/>
      <c r="E144" s="177"/>
      <c r="F144" s="178"/>
      <c r="G144" s="178"/>
      <c r="H144" s="171">
        <f>IFERROR(__xludf.DUMMYFUNCTION("""COMPUTED_VALUE"""),0.0)</f>
        <v>0</v>
      </c>
      <c r="I144" s="105"/>
      <c r="J144" s="165"/>
      <c r="K144" s="1"/>
      <c r="L144" s="119"/>
      <c r="M144" s="119"/>
      <c r="N144" s="137"/>
      <c r="O144" s="119"/>
      <c r="P144" s="119"/>
      <c r="Q144" s="119"/>
      <c r="R144" s="119"/>
      <c r="S144" s="119"/>
      <c r="T144" s="119"/>
      <c r="U144" s="119"/>
      <c r="V144" s="1"/>
      <c r="W144" s="1"/>
      <c r="X144" s="1"/>
      <c r="Y144" s="1"/>
      <c r="Z144" s="1"/>
    </row>
    <row r="145">
      <c r="A145" s="166">
        <f>IFERROR(__xludf.DUMMYFUNCTION("""COMPUTED_VALUE"""),134.0)</f>
        <v>134</v>
      </c>
      <c r="B145" s="167"/>
      <c r="C145" s="168"/>
      <c r="D145" s="169"/>
      <c r="E145" s="177"/>
      <c r="F145" s="178"/>
      <c r="G145" s="178"/>
      <c r="H145" s="171">
        <f>IFERROR(__xludf.DUMMYFUNCTION("""COMPUTED_VALUE"""),0.0)</f>
        <v>0</v>
      </c>
      <c r="I145" s="105"/>
      <c r="J145" s="165"/>
      <c r="K145" s="1"/>
      <c r="L145" s="119"/>
      <c r="M145" s="119"/>
      <c r="N145" s="137"/>
      <c r="O145" s="119"/>
      <c r="P145" s="119"/>
      <c r="Q145" s="119"/>
      <c r="R145" s="119"/>
      <c r="S145" s="119"/>
      <c r="T145" s="119"/>
      <c r="U145" s="119"/>
      <c r="V145" s="1"/>
      <c r="W145" s="1"/>
      <c r="X145" s="1"/>
      <c r="Y145" s="1"/>
      <c r="Z145" s="1"/>
    </row>
    <row r="146">
      <c r="A146" s="166">
        <f>IFERROR(__xludf.DUMMYFUNCTION("""COMPUTED_VALUE"""),135.0)</f>
        <v>135</v>
      </c>
      <c r="B146" s="167"/>
      <c r="C146" s="168"/>
      <c r="D146" s="169"/>
      <c r="E146" s="177"/>
      <c r="F146" s="178"/>
      <c r="G146" s="178"/>
      <c r="H146" s="171">
        <f>IFERROR(__xludf.DUMMYFUNCTION("""COMPUTED_VALUE"""),0.0)</f>
        <v>0</v>
      </c>
      <c r="I146" s="105"/>
      <c r="J146" s="165"/>
      <c r="K146" s="1"/>
      <c r="L146" s="119"/>
      <c r="M146" s="119"/>
      <c r="N146" s="137"/>
      <c r="O146" s="119"/>
      <c r="P146" s="119"/>
      <c r="Q146" s="119"/>
      <c r="R146" s="119"/>
      <c r="S146" s="119"/>
      <c r="T146" s="119"/>
      <c r="U146" s="119"/>
      <c r="V146" s="1"/>
      <c r="W146" s="1"/>
      <c r="X146" s="1"/>
      <c r="Y146" s="1"/>
      <c r="Z146" s="1"/>
    </row>
    <row r="147">
      <c r="A147" s="166">
        <f>IFERROR(__xludf.DUMMYFUNCTION("""COMPUTED_VALUE"""),136.0)</f>
        <v>136</v>
      </c>
      <c r="B147" s="167"/>
      <c r="C147" s="168"/>
      <c r="D147" s="169"/>
      <c r="E147" s="177"/>
      <c r="F147" s="178"/>
      <c r="G147" s="178"/>
      <c r="H147" s="171">
        <f>IFERROR(__xludf.DUMMYFUNCTION("""COMPUTED_VALUE"""),0.0)</f>
        <v>0</v>
      </c>
      <c r="I147" s="105"/>
      <c r="J147" s="165"/>
      <c r="K147" s="1"/>
      <c r="L147" s="119"/>
      <c r="M147" s="119"/>
      <c r="N147" s="137"/>
      <c r="O147" s="119"/>
      <c r="P147" s="119"/>
      <c r="Q147" s="119"/>
      <c r="R147" s="119"/>
      <c r="S147" s="119"/>
      <c r="T147" s="119"/>
      <c r="U147" s="119"/>
      <c r="V147" s="1"/>
      <c r="W147" s="1"/>
      <c r="X147" s="1"/>
      <c r="Y147" s="1"/>
      <c r="Z147" s="1"/>
    </row>
    <row r="148">
      <c r="A148" s="166">
        <f>IFERROR(__xludf.DUMMYFUNCTION("""COMPUTED_VALUE"""),137.0)</f>
        <v>137</v>
      </c>
      <c r="B148" s="167"/>
      <c r="C148" s="168"/>
      <c r="D148" s="169"/>
      <c r="E148" s="177"/>
      <c r="F148" s="178"/>
      <c r="G148" s="178"/>
      <c r="H148" s="171">
        <f>IFERROR(__xludf.DUMMYFUNCTION("""COMPUTED_VALUE"""),0.0)</f>
        <v>0</v>
      </c>
      <c r="I148" s="105"/>
      <c r="J148" s="165"/>
      <c r="K148" s="1"/>
      <c r="L148" s="119"/>
      <c r="M148" s="119"/>
      <c r="N148" s="137"/>
      <c r="O148" s="119"/>
      <c r="P148" s="119"/>
      <c r="Q148" s="119"/>
      <c r="R148" s="119"/>
      <c r="S148" s="119"/>
      <c r="T148" s="119"/>
      <c r="U148" s="119"/>
      <c r="V148" s="1"/>
      <c r="W148" s="1"/>
      <c r="X148" s="1"/>
      <c r="Y148" s="1"/>
      <c r="Z148" s="1"/>
    </row>
    <row r="149">
      <c r="A149" s="166">
        <f>IFERROR(__xludf.DUMMYFUNCTION("""COMPUTED_VALUE"""),138.0)</f>
        <v>138</v>
      </c>
      <c r="B149" s="167"/>
      <c r="C149" s="168"/>
      <c r="D149" s="169"/>
      <c r="E149" s="177"/>
      <c r="F149" s="178"/>
      <c r="G149" s="178"/>
      <c r="H149" s="171">
        <f>IFERROR(__xludf.DUMMYFUNCTION("""COMPUTED_VALUE"""),0.0)</f>
        <v>0</v>
      </c>
      <c r="I149" s="105"/>
      <c r="J149" s="165"/>
      <c r="K149" s="1"/>
      <c r="L149" s="119"/>
      <c r="M149" s="119"/>
      <c r="N149" s="137"/>
      <c r="O149" s="119"/>
      <c r="P149" s="119"/>
      <c r="Q149" s="119"/>
      <c r="R149" s="119"/>
      <c r="S149" s="119"/>
      <c r="T149" s="119"/>
      <c r="U149" s="119"/>
      <c r="V149" s="1"/>
      <c r="W149" s="1"/>
      <c r="X149" s="1"/>
      <c r="Y149" s="1"/>
      <c r="Z149" s="1"/>
    </row>
    <row r="150">
      <c r="A150" s="166">
        <f>IFERROR(__xludf.DUMMYFUNCTION("""COMPUTED_VALUE"""),139.0)</f>
        <v>139</v>
      </c>
      <c r="B150" s="167"/>
      <c r="C150" s="168"/>
      <c r="D150" s="169"/>
      <c r="E150" s="177"/>
      <c r="F150" s="178"/>
      <c r="G150" s="178"/>
      <c r="H150" s="171">
        <f>IFERROR(__xludf.DUMMYFUNCTION("""COMPUTED_VALUE"""),0.0)</f>
        <v>0</v>
      </c>
      <c r="I150" s="105"/>
      <c r="J150" s="165"/>
      <c r="K150" s="1"/>
      <c r="L150" s="119"/>
      <c r="M150" s="119"/>
      <c r="N150" s="137"/>
      <c r="O150" s="119"/>
      <c r="P150" s="119"/>
      <c r="Q150" s="119"/>
      <c r="R150" s="119"/>
      <c r="S150" s="119"/>
      <c r="T150" s="119"/>
      <c r="U150" s="119"/>
      <c r="V150" s="1"/>
      <c r="W150" s="1"/>
      <c r="X150" s="1"/>
      <c r="Y150" s="1"/>
      <c r="Z150" s="1"/>
    </row>
    <row r="151">
      <c r="A151" s="166">
        <f>IFERROR(__xludf.DUMMYFUNCTION("""COMPUTED_VALUE"""),140.0)</f>
        <v>140</v>
      </c>
      <c r="B151" s="167"/>
      <c r="C151" s="168"/>
      <c r="D151" s="169"/>
      <c r="E151" s="177"/>
      <c r="F151" s="178"/>
      <c r="G151" s="178"/>
      <c r="H151" s="171">
        <f>IFERROR(__xludf.DUMMYFUNCTION("""COMPUTED_VALUE"""),0.0)</f>
        <v>0</v>
      </c>
      <c r="I151" s="105"/>
      <c r="J151" s="165"/>
      <c r="K151" s="1"/>
      <c r="L151" s="119"/>
      <c r="M151" s="119"/>
      <c r="N151" s="137"/>
      <c r="O151" s="119"/>
      <c r="P151" s="119"/>
      <c r="Q151" s="119"/>
      <c r="R151" s="119"/>
      <c r="S151" s="119"/>
      <c r="T151" s="119"/>
      <c r="U151" s="119"/>
      <c r="V151" s="1"/>
      <c r="W151" s="1"/>
      <c r="X151" s="1"/>
      <c r="Y151" s="1"/>
      <c r="Z151" s="1"/>
    </row>
    <row r="152">
      <c r="A152" s="166">
        <f>IFERROR(__xludf.DUMMYFUNCTION("""COMPUTED_VALUE"""),141.0)</f>
        <v>141</v>
      </c>
      <c r="B152" s="167"/>
      <c r="C152" s="168"/>
      <c r="D152" s="169"/>
      <c r="E152" s="177"/>
      <c r="F152" s="178"/>
      <c r="G152" s="178"/>
      <c r="H152" s="171">
        <f>IFERROR(__xludf.DUMMYFUNCTION("""COMPUTED_VALUE"""),0.0)</f>
        <v>0</v>
      </c>
      <c r="I152" s="105"/>
      <c r="J152" s="165"/>
      <c r="K152" s="1"/>
      <c r="L152" s="119"/>
      <c r="M152" s="119"/>
      <c r="N152" s="137"/>
      <c r="O152" s="119"/>
      <c r="P152" s="119"/>
      <c r="Q152" s="119"/>
      <c r="R152" s="119"/>
      <c r="S152" s="119"/>
      <c r="T152" s="119"/>
      <c r="U152" s="119"/>
      <c r="V152" s="1"/>
      <c r="W152" s="1"/>
      <c r="X152" s="1"/>
      <c r="Y152" s="1"/>
      <c r="Z152" s="1"/>
    </row>
    <row r="153">
      <c r="A153" s="166">
        <f>IFERROR(__xludf.DUMMYFUNCTION("""COMPUTED_VALUE"""),142.0)</f>
        <v>142</v>
      </c>
      <c r="B153" s="167"/>
      <c r="C153" s="168"/>
      <c r="D153" s="169"/>
      <c r="E153" s="177"/>
      <c r="F153" s="178"/>
      <c r="G153" s="178"/>
      <c r="H153" s="171">
        <f>IFERROR(__xludf.DUMMYFUNCTION("""COMPUTED_VALUE"""),0.0)</f>
        <v>0</v>
      </c>
      <c r="I153" s="105"/>
      <c r="J153" s="165"/>
      <c r="K153" s="1"/>
      <c r="L153" s="119"/>
      <c r="M153" s="119"/>
      <c r="N153" s="137"/>
      <c r="O153" s="119"/>
      <c r="P153" s="119"/>
      <c r="Q153" s="119"/>
      <c r="R153" s="119"/>
      <c r="S153" s="119"/>
      <c r="T153" s="119"/>
      <c r="U153" s="119"/>
      <c r="V153" s="1"/>
      <c r="W153" s="1"/>
      <c r="X153" s="1"/>
      <c r="Y153" s="1"/>
      <c r="Z153" s="1"/>
    </row>
    <row r="154">
      <c r="A154" s="166">
        <f>IFERROR(__xludf.DUMMYFUNCTION("""COMPUTED_VALUE"""),143.0)</f>
        <v>143</v>
      </c>
      <c r="B154" s="167"/>
      <c r="C154" s="168"/>
      <c r="D154" s="169"/>
      <c r="E154" s="177"/>
      <c r="F154" s="178"/>
      <c r="G154" s="178"/>
      <c r="H154" s="171">
        <f>IFERROR(__xludf.DUMMYFUNCTION("""COMPUTED_VALUE"""),0.0)</f>
        <v>0</v>
      </c>
      <c r="I154" s="105"/>
      <c r="J154" s="165"/>
      <c r="K154" s="1"/>
      <c r="L154" s="119"/>
      <c r="M154" s="119"/>
      <c r="N154" s="137"/>
      <c r="O154" s="119"/>
      <c r="P154" s="119"/>
      <c r="Q154" s="119"/>
      <c r="R154" s="119"/>
      <c r="S154" s="119"/>
      <c r="T154" s="119"/>
      <c r="U154" s="119"/>
      <c r="V154" s="1"/>
      <c r="W154" s="1"/>
      <c r="X154" s="1"/>
      <c r="Y154" s="1"/>
      <c r="Z154" s="1"/>
    </row>
    <row r="155">
      <c r="A155" s="166">
        <f>IFERROR(__xludf.DUMMYFUNCTION("""COMPUTED_VALUE"""),144.0)</f>
        <v>144</v>
      </c>
      <c r="B155" s="167"/>
      <c r="C155" s="168"/>
      <c r="D155" s="169"/>
      <c r="E155" s="177"/>
      <c r="F155" s="178"/>
      <c r="G155" s="178"/>
      <c r="H155" s="171">
        <f>IFERROR(__xludf.DUMMYFUNCTION("""COMPUTED_VALUE"""),0.0)</f>
        <v>0</v>
      </c>
      <c r="I155" s="105"/>
      <c r="J155" s="165"/>
      <c r="K155" s="1"/>
      <c r="L155" s="119"/>
      <c r="M155" s="119"/>
      <c r="N155" s="137"/>
      <c r="O155" s="119"/>
      <c r="P155" s="119"/>
      <c r="Q155" s="119"/>
      <c r="R155" s="119"/>
      <c r="S155" s="119"/>
      <c r="T155" s="119"/>
      <c r="U155" s="119"/>
      <c r="V155" s="1"/>
      <c r="W155" s="1"/>
      <c r="X155" s="1"/>
      <c r="Y155" s="1"/>
      <c r="Z155" s="1"/>
    </row>
    <row r="156">
      <c r="A156" s="166">
        <f>IFERROR(__xludf.DUMMYFUNCTION("""COMPUTED_VALUE"""),145.0)</f>
        <v>145</v>
      </c>
      <c r="B156" s="167"/>
      <c r="C156" s="168"/>
      <c r="D156" s="169"/>
      <c r="E156" s="177"/>
      <c r="F156" s="178"/>
      <c r="G156" s="178"/>
      <c r="H156" s="171">
        <f>IFERROR(__xludf.DUMMYFUNCTION("""COMPUTED_VALUE"""),0.0)</f>
        <v>0</v>
      </c>
      <c r="I156" s="105"/>
      <c r="J156" s="165"/>
      <c r="K156" s="1"/>
      <c r="L156" s="119"/>
      <c r="M156" s="119"/>
      <c r="N156" s="137"/>
      <c r="O156" s="119"/>
      <c r="P156" s="119"/>
      <c r="Q156" s="119"/>
      <c r="R156" s="119"/>
      <c r="S156" s="119"/>
      <c r="T156" s="119"/>
      <c r="U156" s="119"/>
      <c r="V156" s="1"/>
      <c r="W156" s="1"/>
      <c r="X156" s="1"/>
      <c r="Y156" s="1"/>
      <c r="Z156" s="1"/>
    </row>
    <row r="157">
      <c r="A157" s="166">
        <f>IFERROR(__xludf.DUMMYFUNCTION("""COMPUTED_VALUE"""),146.0)</f>
        <v>146</v>
      </c>
      <c r="B157" s="167"/>
      <c r="C157" s="168"/>
      <c r="D157" s="169"/>
      <c r="E157" s="177"/>
      <c r="F157" s="178"/>
      <c r="G157" s="178"/>
      <c r="H157" s="171">
        <f>IFERROR(__xludf.DUMMYFUNCTION("""COMPUTED_VALUE"""),0.0)</f>
        <v>0</v>
      </c>
      <c r="I157" s="105"/>
      <c r="J157" s="165"/>
      <c r="K157" s="1"/>
      <c r="L157" s="119"/>
      <c r="M157" s="119"/>
      <c r="N157" s="137"/>
      <c r="O157" s="119"/>
      <c r="P157" s="119"/>
      <c r="Q157" s="119"/>
      <c r="R157" s="119"/>
      <c r="S157" s="119"/>
      <c r="T157" s="119"/>
      <c r="U157" s="119"/>
      <c r="V157" s="1"/>
      <c r="W157" s="1"/>
      <c r="X157" s="1"/>
      <c r="Y157" s="1"/>
      <c r="Z157" s="1"/>
    </row>
    <row r="158">
      <c r="A158" s="166">
        <f>IFERROR(__xludf.DUMMYFUNCTION("""COMPUTED_VALUE"""),147.0)</f>
        <v>147</v>
      </c>
      <c r="B158" s="167"/>
      <c r="C158" s="168"/>
      <c r="D158" s="169"/>
      <c r="E158" s="177"/>
      <c r="F158" s="178"/>
      <c r="G158" s="178"/>
      <c r="H158" s="171">
        <f>IFERROR(__xludf.DUMMYFUNCTION("""COMPUTED_VALUE"""),0.0)</f>
        <v>0</v>
      </c>
      <c r="I158" s="105"/>
      <c r="J158" s="165"/>
      <c r="K158" s="1"/>
      <c r="L158" s="119"/>
      <c r="M158" s="119"/>
      <c r="N158" s="137"/>
      <c r="O158" s="119"/>
      <c r="P158" s="119"/>
      <c r="Q158" s="119"/>
      <c r="R158" s="119"/>
      <c r="S158" s="119"/>
      <c r="T158" s="119"/>
      <c r="U158" s="119"/>
      <c r="V158" s="1"/>
      <c r="W158" s="1"/>
      <c r="X158" s="1"/>
      <c r="Y158" s="1"/>
      <c r="Z158" s="1"/>
    </row>
    <row r="159">
      <c r="A159" s="166">
        <f>IFERROR(__xludf.DUMMYFUNCTION("""COMPUTED_VALUE"""),148.0)</f>
        <v>148</v>
      </c>
      <c r="B159" s="167"/>
      <c r="C159" s="168"/>
      <c r="D159" s="169"/>
      <c r="E159" s="177"/>
      <c r="F159" s="178"/>
      <c r="G159" s="178"/>
      <c r="H159" s="171">
        <f>IFERROR(__xludf.DUMMYFUNCTION("""COMPUTED_VALUE"""),0.0)</f>
        <v>0</v>
      </c>
      <c r="I159" s="105"/>
      <c r="J159" s="165"/>
      <c r="K159" s="1"/>
      <c r="L159" s="119"/>
      <c r="M159" s="119"/>
      <c r="N159" s="137"/>
      <c r="O159" s="119"/>
      <c r="P159" s="119"/>
      <c r="Q159" s="119"/>
      <c r="R159" s="119"/>
      <c r="S159" s="119"/>
      <c r="T159" s="119"/>
      <c r="U159" s="119"/>
      <c r="V159" s="1"/>
      <c r="W159" s="1"/>
      <c r="X159" s="1"/>
      <c r="Y159" s="1"/>
      <c r="Z159" s="1"/>
    </row>
    <row r="160">
      <c r="A160" s="166">
        <f>IFERROR(__xludf.DUMMYFUNCTION("""COMPUTED_VALUE"""),149.0)</f>
        <v>149</v>
      </c>
      <c r="B160" s="167"/>
      <c r="C160" s="168"/>
      <c r="D160" s="169"/>
      <c r="E160" s="177"/>
      <c r="F160" s="178"/>
      <c r="G160" s="178"/>
      <c r="H160" s="171">
        <f>IFERROR(__xludf.DUMMYFUNCTION("""COMPUTED_VALUE"""),0.0)</f>
        <v>0</v>
      </c>
      <c r="I160" s="105"/>
      <c r="J160" s="165"/>
      <c r="K160" s="1"/>
      <c r="L160" s="119"/>
      <c r="M160" s="119"/>
      <c r="N160" s="137"/>
      <c r="O160" s="119"/>
      <c r="P160" s="119"/>
      <c r="Q160" s="119"/>
      <c r="R160" s="119"/>
      <c r="S160" s="119"/>
      <c r="T160" s="119"/>
      <c r="U160" s="119"/>
      <c r="V160" s="1"/>
      <c r="W160" s="1"/>
      <c r="X160" s="1"/>
      <c r="Y160" s="1"/>
      <c r="Z160" s="1"/>
    </row>
    <row r="161">
      <c r="A161" s="166">
        <f>IFERROR(__xludf.DUMMYFUNCTION("""COMPUTED_VALUE"""),150.0)</f>
        <v>150</v>
      </c>
      <c r="B161" s="167"/>
      <c r="C161" s="168"/>
      <c r="D161" s="169"/>
      <c r="E161" s="177"/>
      <c r="F161" s="178"/>
      <c r="G161" s="178"/>
      <c r="H161" s="171">
        <f>IFERROR(__xludf.DUMMYFUNCTION("""COMPUTED_VALUE"""),0.0)</f>
        <v>0</v>
      </c>
      <c r="I161" s="105"/>
      <c r="J161" s="165"/>
      <c r="K161" s="1"/>
      <c r="L161" s="119"/>
      <c r="M161" s="119"/>
      <c r="N161" s="137"/>
      <c r="O161" s="119"/>
      <c r="P161" s="119"/>
      <c r="Q161" s="119"/>
      <c r="R161" s="119"/>
      <c r="S161" s="119"/>
      <c r="T161" s="119"/>
      <c r="U161" s="119"/>
      <c r="V161" s="1"/>
      <c r="W161" s="1"/>
      <c r="X161" s="1"/>
      <c r="Y161" s="1"/>
      <c r="Z161" s="1"/>
    </row>
    <row r="162">
      <c r="A162" s="166">
        <f>IFERROR(__xludf.DUMMYFUNCTION("""COMPUTED_VALUE"""),151.0)</f>
        <v>151</v>
      </c>
      <c r="B162" s="167"/>
      <c r="C162" s="168"/>
      <c r="D162" s="169"/>
      <c r="E162" s="177"/>
      <c r="F162" s="178"/>
      <c r="G162" s="178"/>
      <c r="H162" s="171">
        <f>IFERROR(__xludf.DUMMYFUNCTION("""COMPUTED_VALUE"""),0.0)</f>
        <v>0</v>
      </c>
      <c r="I162" s="105"/>
      <c r="J162" s="165"/>
      <c r="K162" s="1"/>
      <c r="L162" s="119"/>
      <c r="M162" s="119"/>
      <c r="N162" s="137"/>
      <c r="O162" s="119"/>
      <c r="P162" s="119"/>
      <c r="Q162" s="119"/>
      <c r="R162" s="119"/>
      <c r="S162" s="119"/>
      <c r="T162" s="119"/>
      <c r="U162" s="119"/>
      <c r="V162" s="1"/>
      <c r="W162" s="1"/>
      <c r="X162" s="1"/>
      <c r="Y162" s="1"/>
      <c r="Z162" s="1"/>
    </row>
    <row r="163">
      <c r="A163" s="166">
        <f>IFERROR(__xludf.DUMMYFUNCTION("""COMPUTED_VALUE"""),152.0)</f>
        <v>152</v>
      </c>
      <c r="B163" s="167"/>
      <c r="C163" s="168"/>
      <c r="D163" s="169"/>
      <c r="E163" s="177"/>
      <c r="F163" s="178"/>
      <c r="G163" s="178"/>
      <c r="H163" s="171">
        <f>IFERROR(__xludf.DUMMYFUNCTION("""COMPUTED_VALUE"""),0.0)</f>
        <v>0</v>
      </c>
      <c r="I163" s="105"/>
      <c r="J163" s="165"/>
      <c r="K163" s="1"/>
      <c r="L163" s="119"/>
      <c r="M163" s="119"/>
      <c r="N163" s="137"/>
      <c r="O163" s="119"/>
      <c r="P163" s="119"/>
      <c r="Q163" s="119"/>
      <c r="R163" s="119"/>
      <c r="S163" s="119"/>
      <c r="T163" s="119"/>
      <c r="U163" s="119"/>
      <c r="V163" s="1"/>
      <c r="W163" s="1"/>
      <c r="X163" s="1"/>
      <c r="Y163" s="1"/>
      <c r="Z163" s="1"/>
    </row>
    <row r="164">
      <c r="A164" s="166">
        <f>IFERROR(__xludf.DUMMYFUNCTION("""COMPUTED_VALUE"""),153.0)</f>
        <v>153</v>
      </c>
      <c r="B164" s="167"/>
      <c r="C164" s="168"/>
      <c r="D164" s="169"/>
      <c r="E164" s="177"/>
      <c r="F164" s="178"/>
      <c r="G164" s="178"/>
      <c r="H164" s="171">
        <f>IFERROR(__xludf.DUMMYFUNCTION("""COMPUTED_VALUE"""),0.0)</f>
        <v>0</v>
      </c>
      <c r="I164" s="105"/>
      <c r="J164" s="165"/>
      <c r="K164" s="1"/>
      <c r="L164" s="119"/>
      <c r="M164" s="119"/>
      <c r="N164" s="137"/>
      <c r="O164" s="119"/>
      <c r="P164" s="119"/>
      <c r="Q164" s="119"/>
      <c r="R164" s="119"/>
      <c r="S164" s="119"/>
      <c r="T164" s="119"/>
      <c r="U164" s="119"/>
      <c r="V164" s="1"/>
      <c r="W164" s="1"/>
      <c r="X164" s="1"/>
      <c r="Y164" s="1"/>
      <c r="Z164" s="1"/>
    </row>
    <row r="165">
      <c r="A165" s="166">
        <f>IFERROR(__xludf.DUMMYFUNCTION("""COMPUTED_VALUE"""),154.0)</f>
        <v>154</v>
      </c>
      <c r="B165" s="167"/>
      <c r="C165" s="168"/>
      <c r="D165" s="169"/>
      <c r="E165" s="177"/>
      <c r="F165" s="178"/>
      <c r="G165" s="178"/>
      <c r="H165" s="171">
        <f>IFERROR(__xludf.DUMMYFUNCTION("""COMPUTED_VALUE"""),0.0)</f>
        <v>0</v>
      </c>
      <c r="I165" s="105"/>
      <c r="J165" s="165"/>
      <c r="K165" s="1"/>
      <c r="L165" s="119"/>
      <c r="M165" s="119"/>
      <c r="N165" s="137"/>
      <c r="O165" s="119"/>
      <c r="P165" s="119"/>
      <c r="Q165" s="119"/>
      <c r="R165" s="119"/>
      <c r="S165" s="119"/>
      <c r="T165" s="119"/>
      <c r="U165" s="119"/>
      <c r="V165" s="1"/>
      <c r="W165" s="1"/>
      <c r="X165" s="1"/>
      <c r="Y165" s="1"/>
      <c r="Z165" s="1"/>
    </row>
    <row r="166">
      <c r="A166" s="166">
        <f>IFERROR(__xludf.DUMMYFUNCTION("""COMPUTED_VALUE"""),155.0)</f>
        <v>155</v>
      </c>
      <c r="B166" s="167"/>
      <c r="C166" s="168"/>
      <c r="D166" s="169"/>
      <c r="E166" s="177"/>
      <c r="F166" s="178"/>
      <c r="G166" s="178"/>
      <c r="H166" s="171">
        <f>IFERROR(__xludf.DUMMYFUNCTION("""COMPUTED_VALUE"""),0.0)</f>
        <v>0</v>
      </c>
      <c r="I166" s="105"/>
      <c r="J166" s="165"/>
      <c r="K166" s="1"/>
      <c r="L166" s="119"/>
      <c r="M166" s="119"/>
      <c r="N166" s="137"/>
      <c r="O166" s="119"/>
      <c r="P166" s="119"/>
      <c r="Q166" s="119"/>
      <c r="R166" s="119"/>
      <c r="S166" s="119"/>
      <c r="T166" s="119"/>
      <c r="U166" s="119"/>
      <c r="V166" s="1"/>
      <c r="W166" s="1"/>
      <c r="X166" s="1"/>
      <c r="Y166" s="1"/>
      <c r="Z166" s="1"/>
    </row>
    <row r="167">
      <c r="A167" s="166">
        <f>IFERROR(__xludf.DUMMYFUNCTION("""COMPUTED_VALUE"""),156.0)</f>
        <v>156</v>
      </c>
      <c r="B167" s="167"/>
      <c r="C167" s="168"/>
      <c r="D167" s="169"/>
      <c r="E167" s="177"/>
      <c r="F167" s="178"/>
      <c r="G167" s="178"/>
      <c r="H167" s="171">
        <f>IFERROR(__xludf.DUMMYFUNCTION("""COMPUTED_VALUE"""),0.0)</f>
        <v>0</v>
      </c>
      <c r="I167" s="105"/>
      <c r="J167" s="165"/>
      <c r="K167" s="1"/>
      <c r="L167" s="119"/>
      <c r="M167" s="119"/>
      <c r="N167" s="137"/>
      <c r="O167" s="119"/>
      <c r="P167" s="119"/>
      <c r="Q167" s="119"/>
      <c r="R167" s="119"/>
      <c r="S167" s="119"/>
      <c r="T167" s="119"/>
      <c r="U167" s="119"/>
      <c r="V167" s="1"/>
      <c r="W167" s="1"/>
      <c r="X167" s="1"/>
      <c r="Y167" s="1"/>
      <c r="Z167" s="1"/>
    </row>
    <row r="168">
      <c r="A168" s="166">
        <f>IFERROR(__xludf.DUMMYFUNCTION("""COMPUTED_VALUE"""),157.0)</f>
        <v>157</v>
      </c>
      <c r="B168" s="167"/>
      <c r="C168" s="168"/>
      <c r="D168" s="169"/>
      <c r="E168" s="177"/>
      <c r="F168" s="178"/>
      <c r="G168" s="178"/>
      <c r="H168" s="171">
        <f>IFERROR(__xludf.DUMMYFUNCTION("""COMPUTED_VALUE"""),0.0)</f>
        <v>0</v>
      </c>
      <c r="I168" s="105"/>
      <c r="J168" s="165"/>
      <c r="K168" s="1"/>
      <c r="L168" s="119"/>
      <c r="M168" s="119"/>
      <c r="N168" s="137"/>
      <c r="O168" s="119"/>
      <c r="P168" s="119"/>
      <c r="Q168" s="119"/>
      <c r="R168" s="119"/>
      <c r="S168" s="119"/>
      <c r="T168" s="119"/>
      <c r="U168" s="119"/>
      <c r="V168" s="1"/>
      <c r="W168" s="1"/>
      <c r="X168" s="1"/>
      <c r="Y168" s="1"/>
      <c r="Z168" s="1"/>
    </row>
    <row r="169">
      <c r="A169" s="166">
        <f>IFERROR(__xludf.DUMMYFUNCTION("""COMPUTED_VALUE"""),158.0)</f>
        <v>158</v>
      </c>
      <c r="B169" s="167"/>
      <c r="C169" s="168"/>
      <c r="D169" s="169"/>
      <c r="E169" s="177"/>
      <c r="F169" s="178"/>
      <c r="G169" s="178"/>
      <c r="H169" s="171">
        <f>IFERROR(__xludf.DUMMYFUNCTION("""COMPUTED_VALUE"""),0.0)</f>
        <v>0</v>
      </c>
      <c r="I169" s="105"/>
      <c r="J169" s="165"/>
      <c r="K169" s="1"/>
      <c r="L169" s="119"/>
      <c r="M169" s="119"/>
      <c r="N169" s="137"/>
      <c r="O169" s="119"/>
      <c r="P169" s="119"/>
      <c r="Q169" s="119"/>
      <c r="R169" s="119"/>
      <c r="S169" s="119"/>
      <c r="T169" s="119"/>
      <c r="U169" s="119"/>
      <c r="V169" s="1"/>
      <c r="W169" s="1"/>
      <c r="X169" s="1"/>
      <c r="Y169" s="1"/>
      <c r="Z169" s="1"/>
    </row>
    <row r="170">
      <c r="A170" s="166">
        <f>IFERROR(__xludf.DUMMYFUNCTION("""COMPUTED_VALUE"""),159.0)</f>
        <v>159</v>
      </c>
      <c r="B170" s="167"/>
      <c r="C170" s="168"/>
      <c r="D170" s="169"/>
      <c r="E170" s="177"/>
      <c r="F170" s="178"/>
      <c r="G170" s="178"/>
      <c r="H170" s="171">
        <f>IFERROR(__xludf.DUMMYFUNCTION("""COMPUTED_VALUE"""),0.0)</f>
        <v>0</v>
      </c>
      <c r="I170" s="105"/>
      <c r="J170" s="165"/>
      <c r="K170" s="1"/>
      <c r="L170" s="119"/>
      <c r="M170" s="119"/>
      <c r="N170" s="137"/>
      <c r="O170" s="119"/>
      <c r="P170" s="119"/>
      <c r="Q170" s="119"/>
      <c r="R170" s="119"/>
      <c r="S170" s="119"/>
      <c r="T170" s="119"/>
      <c r="U170" s="119"/>
      <c r="V170" s="1"/>
      <c r="W170" s="1"/>
      <c r="X170" s="1"/>
      <c r="Y170" s="1"/>
      <c r="Z170" s="1"/>
    </row>
    <row r="171">
      <c r="A171" s="166">
        <f>IFERROR(__xludf.DUMMYFUNCTION("""COMPUTED_VALUE"""),160.0)</f>
        <v>160</v>
      </c>
      <c r="B171" s="167"/>
      <c r="C171" s="168"/>
      <c r="D171" s="169"/>
      <c r="E171" s="177"/>
      <c r="F171" s="178"/>
      <c r="G171" s="178"/>
      <c r="H171" s="171">
        <f>IFERROR(__xludf.DUMMYFUNCTION("""COMPUTED_VALUE"""),0.0)</f>
        <v>0</v>
      </c>
      <c r="I171" s="105"/>
      <c r="J171" s="165"/>
      <c r="K171" s="1"/>
      <c r="L171" s="119"/>
      <c r="M171" s="119"/>
      <c r="N171" s="137"/>
      <c r="O171" s="119"/>
      <c r="P171" s="119"/>
      <c r="Q171" s="119"/>
      <c r="R171" s="119"/>
      <c r="S171" s="119"/>
      <c r="T171" s="119"/>
      <c r="U171" s="119"/>
      <c r="V171" s="1"/>
      <c r="W171" s="1"/>
      <c r="X171" s="1"/>
      <c r="Y171" s="1"/>
      <c r="Z171" s="1"/>
    </row>
    <row r="172">
      <c r="A172" s="166"/>
      <c r="B172" s="179"/>
      <c r="C172" s="168"/>
      <c r="D172" s="169"/>
      <c r="E172" s="177"/>
      <c r="F172" s="178"/>
      <c r="G172" s="178"/>
      <c r="H172" s="171"/>
      <c r="I172" s="105"/>
      <c r="J172" s="165"/>
      <c r="K172" s="1"/>
      <c r="L172" s="119"/>
      <c r="M172" s="119"/>
      <c r="N172" s="137"/>
      <c r="O172" s="119"/>
      <c r="P172" s="119"/>
      <c r="Q172" s="119"/>
      <c r="R172" s="119"/>
      <c r="S172" s="119"/>
      <c r="T172" s="119"/>
      <c r="U172" s="119"/>
      <c r="V172" s="1"/>
      <c r="W172" s="1"/>
      <c r="X172" s="1"/>
      <c r="Y172" s="1"/>
      <c r="Z172" s="1"/>
    </row>
    <row r="173">
      <c r="A173" s="166"/>
      <c r="B173" s="179"/>
      <c r="C173" s="168"/>
      <c r="D173" s="169"/>
      <c r="E173" s="177"/>
      <c r="F173" s="178"/>
      <c r="G173" s="178"/>
      <c r="H173" s="171"/>
      <c r="I173" s="105"/>
      <c r="J173" s="165"/>
      <c r="K173" s="1"/>
      <c r="L173" s="119"/>
      <c r="M173" s="119"/>
      <c r="N173" s="137"/>
      <c r="O173" s="119"/>
      <c r="P173" s="119"/>
      <c r="Q173" s="119"/>
      <c r="R173" s="119"/>
      <c r="S173" s="119"/>
      <c r="T173" s="119"/>
      <c r="U173" s="119"/>
      <c r="V173" s="1"/>
      <c r="W173" s="1"/>
      <c r="X173" s="1"/>
      <c r="Y173" s="1"/>
      <c r="Z173" s="1"/>
    </row>
    <row r="174">
      <c r="A174" s="166"/>
      <c r="B174" s="167"/>
      <c r="C174" s="168"/>
      <c r="D174" s="169"/>
      <c r="E174" s="177"/>
      <c r="F174" s="178"/>
      <c r="G174" s="178"/>
      <c r="H174" s="171"/>
      <c r="I174" s="105"/>
      <c r="J174" s="165"/>
      <c r="K174" s="1"/>
      <c r="L174" s="119"/>
      <c r="M174" s="119"/>
      <c r="N174" s="137"/>
      <c r="O174" s="119"/>
      <c r="P174" s="119"/>
      <c r="Q174" s="119"/>
      <c r="R174" s="119"/>
      <c r="S174" s="119"/>
      <c r="T174" s="119"/>
      <c r="U174" s="119"/>
      <c r="V174" s="1"/>
      <c r="W174" s="1"/>
      <c r="X174" s="1"/>
      <c r="Y174" s="1"/>
      <c r="Z174" s="1"/>
    </row>
    <row r="175">
      <c r="A175" s="166"/>
      <c r="B175" s="167"/>
      <c r="C175" s="168"/>
      <c r="D175" s="169"/>
      <c r="E175" s="177"/>
      <c r="F175" s="178"/>
      <c r="G175" s="178"/>
      <c r="H175" s="171"/>
      <c r="I175" s="105"/>
      <c r="J175" s="165"/>
      <c r="K175" s="1"/>
      <c r="L175" s="119"/>
      <c r="M175" s="119"/>
      <c r="N175" s="137"/>
      <c r="O175" s="119"/>
      <c r="P175" s="119"/>
      <c r="Q175" s="119"/>
      <c r="R175" s="119"/>
      <c r="S175" s="119"/>
      <c r="T175" s="119"/>
      <c r="U175" s="119"/>
      <c r="V175" s="1"/>
      <c r="W175" s="1"/>
      <c r="X175" s="1"/>
      <c r="Y175" s="1"/>
      <c r="Z175" s="1"/>
    </row>
    <row r="176">
      <c r="A176" s="166"/>
      <c r="B176" s="179"/>
      <c r="C176" s="168"/>
      <c r="D176" s="169"/>
      <c r="E176" s="177"/>
      <c r="F176" s="178"/>
      <c r="G176" s="178"/>
      <c r="H176" s="171"/>
      <c r="I176" s="105"/>
      <c r="J176" s="165"/>
      <c r="K176" s="1"/>
      <c r="L176" s="119"/>
      <c r="M176" s="119"/>
      <c r="N176" s="137"/>
      <c r="O176" s="119"/>
      <c r="P176" s="119"/>
      <c r="Q176" s="119"/>
      <c r="R176" s="119"/>
      <c r="S176" s="119"/>
      <c r="T176" s="119"/>
      <c r="U176" s="119"/>
      <c r="V176" s="1"/>
      <c r="W176" s="1"/>
      <c r="X176" s="1"/>
      <c r="Y176" s="1"/>
      <c r="Z176" s="1"/>
    </row>
    <row r="177">
      <c r="A177" s="166"/>
      <c r="B177" s="179"/>
      <c r="C177" s="168"/>
      <c r="D177" s="169"/>
      <c r="E177" s="177"/>
      <c r="F177" s="178"/>
      <c r="G177" s="178"/>
      <c r="H177" s="171"/>
      <c r="I177" s="105"/>
      <c r="J177" s="165"/>
      <c r="K177" s="1"/>
      <c r="L177" s="119"/>
      <c r="M177" s="119"/>
      <c r="N177" s="137"/>
      <c r="O177" s="119"/>
      <c r="P177" s="119"/>
      <c r="Q177" s="119"/>
      <c r="R177" s="119"/>
      <c r="S177" s="119"/>
      <c r="T177" s="119"/>
      <c r="U177" s="119"/>
      <c r="V177" s="1"/>
      <c r="W177" s="1"/>
      <c r="X177" s="1"/>
      <c r="Y177" s="1"/>
      <c r="Z177" s="1"/>
    </row>
    <row r="178">
      <c r="A178" s="166"/>
      <c r="B178" s="179"/>
      <c r="C178" s="168"/>
      <c r="D178" s="169"/>
      <c r="E178" s="177"/>
      <c r="F178" s="178"/>
      <c r="G178" s="178"/>
      <c r="H178" s="171"/>
      <c r="I178" s="105"/>
      <c r="J178" s="165"/>
      <c r="K178" s="1"/>
      <c r="L178" s="119"/>
      <c r="M178" s="119"/>
      <c r="N178" s="137"/>
      <c r="O178" s="119"/>
      <c r="P178" s="119"/>
      <c r="Q178" s="119"/>
      <c r="R178" s="119"/>
      <c r="S178" s="119"/>
      <c r="T178" s="119"/>
      <c r="U178" s="119"/>
      <c r="V178" s="1"/>
      <c r="W178" s="1"/>
      <c r="X178" s="1"/>
      <c r="Y178" s="1"/>
      <c r="Z178" s="1"/>
    </row>
    <row r="179">
      <c r="A179" s="166"/>
      <c r="B179" s="167"/>
      <c r="C179" s="168"/>
      <c r="D179" s="169"/>
      <c r="E179" s="177"/>
      <c r="F179" s="178"/>
      <c r="G179" s="178"/>
      <c r="H179" s="171"/>
      <c r="I179" s="105"/>
      <c r="J179" s="165"/>
      <c r="K179" s="1"/>
      <c r="L179" s="119"/>
      <c r="M179" s="119"/>
      <c r="N179" s="137"/>
      <c r="O179" s="119"/>
      <c r="P179" s="119"/>
      <c r="Q179" s="119"/>
      <c r="R179" s="119"/>
      <c r="S179" s="119"/>
      <c r="T179" s="119"/>
      <c r="U179" s="119"/>
      <c r="V179" s="1"/>
      <c r="W179" s="1"/>
      <c r="X179" s="1"/>
      <c r="Y179" s="1"/>
      <c r="Z179" s="1"/>
    </row>
    <row r="180">
      <c r="A180" s="166"/>
      <c r="B180" s="167"/>
      <c r="C180" s="168"/>
      <c r="D180" s="169"/>
      <c r="E180" s="177"/>
      <c r="F180" s="178"/>
      <c r="G180" s="178"/>
      <c r="H180" s="171"/>
      <c r="I180" s="105"/>
      <c r="J180" s="165"/>
      <c r="K180" s="1"/>
      <c r="L180" s="119"/>
      <c r="M180" s="119"/>
      <c r="N180" s="137"/>
      <c r="O180" s="119"/>
      <c r="P180" s="119"/>
      <c r="Q180" s="119"/>
      <c r="R180" s="119"/>
      <c r="S180" s="119"/>
      <c r="T180" s="119"/>
      <c r="U180" s="119"/>
      <c r="V180" s="1"/>
      <c r="W180" s="1"/>
      <c r="X180" s="1"/>
      <c r="Y180" s="1"/>
      <c r="Z180" s="1"/>
    </row>
    <row r="181">
      <c r="A181" s="166"/>
      <c r="B181" s="167"/>
      <c r="C181" s="168"/>
      <c r="D181" s="169"/>
      <c r="E181" s="177"/>
      <c r="F181" s="178"/>
      <c r="G181" s="178"/>
      <c r="H181" s="171"/>
      <c r="I181" s="105"/>
      <c r="J181" s="165"/>
      <c r="K181" s="1"/>
      <c r="L181" s="119"/>
      <c r="M181" s="119"/>
      <c r="N181" s="137"/>
      <c r="O181" s="119"/>
      <c r="P181" s="119"/>
      <c r="Q181" s="119"/>
      <c r="R181" s="119"/>
      <c r="S181" s="119"/>
      <c r="T181" s="119"/>
      <c r="U181" s="119"/>
      <c r="V181" s="1"/>
      <c r="W181" s="1"/>
      <c r="X181" s="1"/>
      <c r="Y181" s="1"/>
      <c r="Z181" s="1"/>
    </row>
    <row r="182">
      <c r="A182" s="166"/>
      <c r="B182" s="167"/>
      <c r="C182" s="168"/>
      <c r="D182" s="169"/>
      <c r="E182" s="177"/>
      <c r="F182" s="178"/>
      <c r="G182" s="178"/>
      <c r="H182" s="171"/>
      <c r="I182" s="105"/>
      <c r="J182" s="165"/>
      <c r="K182" s="1"/>
      <c r="L182" s="119"/>
      <c r="M182" s="119"/>
      <c r="N182" s="137"/>
      <c r="O182" s="119"/>
      <c r="P182" s="119"/>
      <c r="Q182" s="119"/>
      <c r="R182" s="119"/>
      <c r="S182" s="119"/>
      <c r="T182" s="119"/>
      <c r="U182" s="119"/>
      <c r="V182" s="1"/>
      <c r="W182" s="1"/>
      <c r="X182" s="1"/>
      <c r="Y182" s="1"/>
      <c r="Z182" s="1"/>
    </row>
    <row r="183">
      <c r="A183" s="166"/>
      <c r="B183" s="179"/>
      <c r="C183" s="168"/>
      <c r="D183" s="169"/>
      <c r="E183" s="177"/>
      <c r="F183" s="178"/>
      <c r="G183" s="178"/>
      <c r="H183" s="171"/>
      <c r="I183" s="105"/>
      <c r="J183" s="165"/>
      <c r="K183" s="1"/>
      <c r="L183" s="119"/>
      <c r="M183" s="119"/>
      <c r="N183" s="137"/>
      <c r="O183" s="119"/>
      <c r="P183" s="119"/>
      <c r="Q183" s="119"/>
      <c r="R183" s="119"/>
      <c r="S183" s="119"/>
      <c r="T183" s="119"/>
      <c r="U183" s="119"/>
      <c r="V183" s="1"/>
      <c r="W183" s="1"/>
      <c r="X183" s="1"/>
      <c r="Y183" s="1"/>
      <c r="Z183" s="1"/>
    </row>
    <row r="184">
      <c r="A184" s="166"/>
      <c r="B184" s="179"/>
      <c r="C184" s="168"/>
      <c r="D184" s="169"/>
      <c r="E184" s="177"/>
      <c r="F184" s="178"/>
      <c r="G184" s="178"/>
      <c r="H184" s="171"/>
      <c r="I184" s="105"/>
      <c r="J184" s="165"/>
      <c r="K184" s="1"/>
      <c r="L184" s="119"/>
      <c r="M184" s="119"/>
      <c r="N184" s="137"/>
      <c r="O184" s="119"/>
      <c r="P184" s="119"/>
      <c r="Q184" s="119"/>
      <c r="R184" s="119"/>
      <c r="S184" s="119"/>
      <c r="T184" s="119"/>
      <c r="U184" s="119"/>
      <c r="V184" s="1"/>
      <c r="W184" s="1"/>
      <c r="X184" s="1"/>
      <c r="Y184" s="1"/>
      <c r="Z184" s="1"/>
    </row>
    <row r="185">
      <c r="A185" s="166"/>
      <c r="B185" s="179"/>
      <c r="C185" s="168"/>
      <c r="D185" s="169"/>
      <c r="E185" s="177"/>
      <c r="F185" s="178"/>
      <c r="G185" s="178"/>
      <c r="H185" s="171"/>
      <c r="I185" s="105"/>
      <c r="J185" s="165"/>
      <c r="K185" s="1"/>
      <c r="L185" s="119"/>
      <c r="M185" s="119"/>
      <c r="N185" s="137"/>
      <c r="O185" s="119"/>
      <c r="P185" s="119"/>
      <c r="Q185" s="119"/>
      <c r="R185" s="119"/>
      <c r="S185" s="119"/>
      <c r="T185" s="119"/>
      <c r="U185" s="119"/>
      <c r="V185" s="1"/>
      <c r="W185" s="1"/>
      <c r="X185" s="1"/>
      <c r="Y185" s="1"/>
      <c r="Z185" s="1"/>
    </row>
    <row r="186">
      <c r="A186" s="166"/>
      <c r="B186" s="179"/>
      <c r="C186" s="168"/>
      <c r="D186" s="169"/>
      <c r="E186" s="177"/>
      <c r="F186" s="178"/>
      <c r="G186" s="178"/>
      <c r="H186" s="171"/>
      <c r="I186" s="105"/>
      <c r="J186" s="165"/>
      <c r="K186" s="1"/>
      <c r="L186" s="119"/>
      <c r="M186" s="119"/>
      <c r="N186" s="137"/>
      <c r="O186" s="119"/>
      <c r="P186" s="119"/>
      <c r="Q186" s="119"/>
      <c r="R186" s="119"/>
      <c r="S186" s="119"/>
      <c r="T186" s="119"/>
      <c r="U186" s="119"/>
      <c r="V186" s="1"/>
      <c r="W186" s="1"/>
      <c r="X186" s="1"/>
      <c r="Y186" s="1"/>
      <c r="Z186" s="1"/>
    </row>
    <row r="187">
      <c r="A187" s="166"/>
      <c r="B187" s="179"/>
      <c r="C187" s="168"/>
      <c r="D187" s="169"/>
      <c r="E187" s="177"/>
      <c r="F187" s="178"/>
      <c r="G187" s="178"/>
      <c r="H187" s="171"/>
      <c r="I187" s="105"/>
      <c r="J187" s="165"/>
      <c r="K187" s="1"/>
      <c r="L187" s="119"/>
      <c r="M187" s="119"/>
      <c r="N187" s="137"/>
      <c r="O187" s="119"/>
      <c r="P187" s="119"/>
      <c r="Q187" s="119"/>
      <c r="R187" s="119"/>
      <c r="S187" s="119"/>
      <c r="T187" s="119"/>
      <c r="U187" s="119"/>
      <c r="V187" s="1"/>
      <c r="W187" s="1"/>
      <c r="X187" s="1"/>
      <c r="Y187" s="1"/>
      <c r="Z187" s="1"/>
    </row>
    <row r="188">
      <c r="A188" s="166"/>
      <c r="B188" s="167"/>
      <c r="C188" s="168"/>
      <c r="D188" s="169"/>
      <c r="E188" s="177"/>
      <c r="F188" s="178"/>
      <c r="G188" s="178"/>
      <c r="H188" s="171"/>
      <c r="I188" s="105"/>
      <c r="J188" s="165"/>
      <c r="K188" s="1"/>
      <c r="L188" s="119"/>
      <c r="M188" s="119"/>
      <c r="N188" s="137"/>
      <c r="O188" s="119"/>
      <c r="P188" s="119"/>
      <c r="Q188" s="119"/>
      <c r="R188" s="119"/>
      <c r="S188" s="119"/>
      <c r="T188" s="119"/>
      <c r="U188" s="119"/>
      <c r="V188" s="1"/>
      <c r="W188" s="1"/>
      <c r="X188" s="1"/>
      <c r="Y188" s="1"/>
      <c r="Z188" s="1"/>
    </row>
    <row r="189">
      <c r="A189" s="166"/>
      <c r="B189" s="167"/>
      <c r="C189" s="168"/>
      <c r="D189" s="169"/>
      <c r="E189" s="177"/>
      <c r="F189" s="178"/>
      <c r="G189" s="178"/>
      <c r="H189" s="171"/>
      <c r="I189" s="105"/>
      <c r="J189" s="165"/>
      <c r="K189" s="1"/>
      <c r="L189" s="119"/>
      <c r="M189" s="119"/>
      <c r="N189" s="137"/>
      <c r="O189" s="119"/>
      <c r="P189" s="119"/>
      <c r="Q189" s="119"/>
      <c r="R189" s="119"/>
      <c r="S189" s="119"/>
      <c r="T189" s="119"/>
      <c r="U189" s="119"/>
      <c r="V189" s="1"/>
      <c r="W189" s="1"/>
      <c r="X189" s="1"/>
      <c r="Y189" s="1"/>
      <c r="Z189" s="1"/>
    </row>
    <row r="190">
      <c r="A190" s="166"/>
      <c r="B190" s="167"/>
      <c r="C190" s="168"/>
      <c r="D190" s="169"/>
      <c r="E190" s="177"/>
      <c r="F190" s="178"/>
      <c r="G190" s="178"/>
      <c r="H190" s="171"/>
      <c r="I190" s="105"/>
      <c r="J190" s="165"/>
      <c r="K190" s="1"/>
      <c r="L190" s="119"/>
      <c r="M190" s="119"/>
      <c r="N190" s="137"/>
      <c r="O190" s="119"/>
      <c r="P190" s="119"/>
      <c r="Q190" s="119"/>
      <c r="R190" s="119"/>
      <c r="S190" s="119"/>
      <c r="T190" s="119"/>
      <c r="U190" s="119"/>
      <c r="V190" s="1"/>
      <c r="W190" s="1"/>
      <c r="X190" s="1"/>
      <c r="Y190" s="1"/>
      <c r="Z190" s="1"/>
    </row>
    <row r="191">
      <c r="A191" s="166"/>
      <c r="B191" s="167"/>
      <c r="C191" s="168"/>
      <c r="D191" s="169"/>
      <c r="E191" s="177"/>
      <c r="F191" s="178"/>
      <c r="G191" s="178"/>
      <c r="H191" s="171"/>
      <c r="I191" s="105"/>
      <c r="J191" s="165"/>
      <c r="K191" s="1"/>
      <c r="L191" s="119"/>
      <c r="M191" s="119"/>
      <c r="N191" s="137"/>
      <c r="O191" s="119"/>
      <c r="P191" s="119"/>
      <c r="Q191" s="119"/>
      <c r="R191" s="119"/>
      <c r="S191" s="119"/>
      <c r="T191" s="119"/>
      <c r="U191" s="119"/>
      <c r="V191" s="1"/>
      <c r="W191" s="1"/>
      <c r="X191" s="1"/>
      <c r="Y191" s="1"/>
      <c r="Z191" s="1"/>
    </row>
    <row r="192">
      <c r="A192" s="166"/>
      <c r="B192" s="167"/>
      <c r="C192" s="168"/>
      <c r="D192" s="169"/>
      <c r="E192" s="177"/>
      <c r="F192" s="178"/>
      <c r="G192" s="178"/>
      <c r="H192" s="171"/>
      <c r="I192" s="105"/>
      <c r="J192" s="165"/>
      <c r="K192" s="1"/>
      <c r="L192" s="119"/>
      <c r="M192" s="119"/>
      <c r="N192" s="137"/>
      <c r="O192" s="119"/>
      <c r="P192" s="119"/>
      <c r="Q192" s="119"/>
      <c r="R192" s="119"/>
      <c r="S192" s="119"/>
      <c r="T192" s="119"/>
      <c r="U192" s="119"/>
      <c r="V192" s="1"/>
      <c r="W192" s="1"/>
      <c r="X192" s="1"/>
      <c r="Y192" s="1"/>
      <c r="Z192" s="1"/>
    </row>
    <row r="193">
      <c r="A193" s="166"/>
      <c r="B193" s="167"/>
      <c r="C193" s="168"/>
      <c r="D193" s="169"/>
      <c r="E193" s="177"/>
      <c r="F193" s="178"/>
      <c r="G193" s="178"/>
      <c r="H193" s="171"/>
      <c r="I193" s="105"/>
      <c r="J193" s="165"/>
      <c r="K193" s="1"/>
      <c r="L193" s="119"/>
      <c r="M193" s="119"/>
      <c r="N193" s="137"/>
      <c r="O193" s="119"/>
      <c r="P193" s="119"/>
      <c r="Q193" s="119"/>
      <c r="R193" s="119"/>
      <c r="S193" s="119"/>
      <c r="T193" s="119"/>
      <c r="U193" s="119"/>
      <c r="V193" s="1"/>
      <c r="W193" s="1"/>
      <c r="X193" s="1"/>
      <c r="Y193" s="1"/>
      <c r="Z193" s="1"/>
    </row>
    <row r="194">
      <c r="A194" s="166"/>
      <c r="B194" s="167"/>
      <c r="C194" s="168"/>
      <c r="D194" s="169"/>
      <c r="E194" s="177"/>
      <c r="F194" s="178"/>
      <c r="G194" s="178"/>
      <c r="H194" s="171"/>
      <c r="I194" s="105"/>
      <c r="J194" s="165"/>
      <c r="K194" s="1"/>
      <c r="L194" s="119"/>
      <c r="M194" s="119"/>
      <c r="N194" s="137"/>
      <c r="O194" s="119"/>
      <c r="P194" s="119"/>
      <c r="Q194" s="119"/>
      <c r="R194" s="119"/>
      <c r="S194" s="119"/>
      <c r="T194" s="119"/>
      <c r="U194" s="119"/>
      <c r="V194" s="1"/>
      <c r="W194" s="1"/>
      <c r="X194" s="1"/>
      <c r="Y194" s="1"/>
      <c r="Z194" s="1"/>
    </row>
    <row r="195">
      <c r="A195" s="166"/>
      <c r="B195" s="167"/>
      <c r="C195" s="168"/>
      <c r="D195" s="169"/>
      <c r="E195" s="177"/>
      <c r="F195" s="178"/>
      <c r="G195" s="178"/>
      <c r="H195" s="171"/>
      <c r="I195" s="105"/>
      <c r="J195" s="165"/>
      <c r="K195" s="1"/>
      <c r="L195" s="119"/>
      <c r="M195" s="119"/>
      <c r="N195" s="137"/>
      <c r="O195" s="119"/>
      <c r="P195" s="119"/>
      <c r="Q195" s="119"/>
      <c r="R195" s="119"/>
      <c r="S195" s="119"/>
      <c r="T195" s="119"/>
      <c r="U195" s="119"/>
      <c r="V195" s="1"/>
      <c r="W195" s="1"/>
      <c r="X195" s="1"/>
      <c r="Y195" s="1"/>
      <c r="Z195" s="1"/>
    </row>
    <row r="196">
      <c r="A196" s="166"/>
      <c r="B196" s="167"/>
      <c r="C196" s="168"/>
      <c r="D196" s="169"/>
      <c r="E196" s="177"/>
      <c r="F196" s="178"/>
      <c r="G196" s="178"/>
      <c r="H196" s="171"/>
      <c r="I196" s="105"/>
      <c r="J196" s="165"/>
      <c r="K196" s="1"/>
      <c r="L196" s="119"/>
      <c r="M196" s="119"/>
      <c r="N196" s="137"/>
      <c r="O196" s="119"/>
      <c r="P196" s="119"/>
      <c r="Q196" s="119"/>
      <c r="R196" s="119"/>
      <c r="S196" s="119"/>
      <c r="T196" s="119"/>
      <c r="U196" s="119"/>
      <c r="V196" s="1"/>
      <c r="W196" s="1"/>
      <c r="X196" s="1"/>
      <c r="Y196" s="1"/>
      <c r="Z196" s="1"/>
    </row>
    <row r="197">
      <c r="A197" s="166"/>
      <c r="B197" s="167"/>
      <c r="C197" s="168"/>
      <c r="D197" s="169"/>
      <c r="E197" s="177"/>
      <c r="F197" s="178"/>
      <c r="G197" s="178"/>
      <c r="H197" s="171"/>
      <c r="I197" s="105"/>
      <c r="J197" s="165"/>
      <c r="K197" s="1"/>
      <c r="L197" s="119"/>
      <c r="M197" s="119"/>
      <c r="N197" s="137"/>
      <c r="O197" s="119"/>
      <c r="P197" s="119"/>
      <c r="Q197" s="119"/>
      <c r="R197" s="119"/>
      <c r="S197" s="119"/>
      <c r="T197" s="119"/>
      <c r="U197" s="119"/>
      <c r="V197" s="1"/>
      <c r="W197" s="1"/>
      <c r="X197" s="1"/>
      <c r="Y197" s="1"/>
      <c r="Z197" s="1"/>
    </row>
    <row r="198">
      <c r="A198" s="166"/>
      <c r="B198" s="167"/>
      <c r="C198" s="168"/>
      <c r="D198" s="169"/>
      <c r="E198" s="177"/>
      <c r="F198" s="178"/>
      <c r="G198" s="178"/>
      <c r="H198" s="171"/>
      <c r="I198" s="105"/>
      <c r="J198" s="165"/>
      <c r="K198" s="1"/>
      <c r="L198" s="119"/>
      <c r="M198" s="119"/>
      <c r="N198" s="137"/>
      <c r="O198" s="119"/>
      <c r="P198" s="119"/>
      <c r="Q198" s="119"/>
      <c r="R198" s="119"/>
      <c r="S198" s="119"/>
      <c r="T198" s="119"/>
      <c r="U198" s="119"/>
      <c r="V198" s="1"/>
      <c r="W198" s="1"/>
      <c r="X198" s="1"/>
      <c r="Y198" s="1"/>
      <c r="Z198" s="1"/>
    </row>
    <row r="199">
      <c r="A199" s="166"/>
      <c r="B199" s="167"/>
      <c r="C199" s="168"/>
      <c r="D199" s="169"/>
      <c r="E199" s="177"/>
      <c r="F199" s="178"/>
      <c r="G199" s="178"/>
      <c r="H199" s="171"/>
      <c r="I199" s="105"/>
      <c r="J199" s="165"/>
      <c r="K199" s="1"/>
      <c r="L199" s="119"/>
      <c r="M199" s="119"/>
      <c r="N199" s="137"/>
      <c r="O199" s="119"/>
      <c r="P199" s="119"/>
      <c r="Q199" s="119"/>
      <c r="R199" s="119"/>
      <c r="S199" s="119"/>
      <c r="T199" s="119"/>
      <c r="U199" s="119"/>
      <c r="V199" s="1"/>
      <c r="W199" s="1"/>
      <c r="X199" s="1"/>
      <c r="Y199" s="1"/>
      <c r="Z199" s="1"/>
    </row>
    <row r="200">
      <c r="A200" s="166"/>
      <c r="B200" s="167"/>
      <c r="C200" s="168"/>
      <c r="D200" s="169"/>
      <c r="E200" s="177"/>
      <c r="F200" s="178"/>
      <c r="G200" s="178"/>
      <c r="H200" s="171"/>
      <c r="I200" s="105"/>
      <c r="J200" s="165"/>
      <c r="K200" s="1"/>
      <c r="L200" s="119"/>
      <c r="M200" s="119"/>
      <c r="N200" s="137"/>
      <c r="O200" s="119"/>
      <c r="P200" s="119"/>
      <c r="Q200" s="119"/>
      <c r="R200" s="119"/>
      <c r="S200" s="119"/>
      <c r="T200" s="119"/>
      <c r="U200" s="119"/>
      <c r="V200" s="1"/>
      <c r="W200" s="1"/>
      <c r="X200" s="1"/>
      <c r="Y200" s="1"/>
      <c r="Z200" s="1"/>
    </row>
    <row r="201">
      <c r="A201" s="166"/>
      <c r="B201" s="167"/>
      <c r="C201" s="168"/>
      <c r="D201" s="169"/>
      <c r="E201" s="177"/>
      <c r="F201" s="178"/>
      <c r="G201" s="178"/>
      <c r="H201" s="171"/>
      <c r="I201" s="105"/>
      <c r="J201" s="165"/>
      <c r="K201" s="1"/>
      <c r="L201" s="119"/>
      <c r="M201" s="119"/>
      <c r="N201" s="137"/>
      <c r="O201" s="119"/>
      <c r="P201" s="119"/>
      <c r="Q201" s="119"/>
      <c r="R201" s="119"/>
      <c r="S201" s="119"/>
      <c r="T201" s="119"/>
      <c r="U201" s="119"/>
      <c r="V201" s="1"/>
      <c r="W201" s="1"/>
      <c r="X201" s="1"/>
      <c r="Y201" s="1"/>
      <c r="Z201" s="1"/>
    </row>
    <row r="202">
      <c r="A202" s="166"/>
      <c r="B202" s="167"/>
      <c r="C202" s="168"/>
      <c r="D202" s="169"/>
      <c r="E202" s="177"/>
      <c r="F202" s="178"/>
      <c r="G202" s="178"/>
      <c r="H202" s="171"/>
      <c r="I202" s="105"/>
      <c r="J202" s="165"/>
      <c r="K202" s="1"/>
      <c r="L202" s="119"/>
      <c r="M202" s="119"/>
      <c r="N202" s="137"/>
      <c r="O202" s="119"/>
      <c r="P202" s="119"/>
      <c r="Q202" s="119"/>
      <c r="R202" s="119"/>
      <c r="S202" s="119"/>
      <c r="T202" s="119"/>
      <c r="U202" s="119"/>
      <c r="V202" s="1"/>
      <c r="W202" s="1"/>
      <c r="X202" s="1"/>
      <c r="Y202" s="1"/>
      <c r="Z202" s="1"/>
    </row>
    <row r="203">
      <c r="A203" s="166"/>
      <c r="B203" s="167"/>
      <c r="C203" s="168"/>
      <c r="D203" s="169"/>
      <c r="E203" s="177"/>
      <c r="F203" s="178"/>
      <c r="G203" s="178"/>
      <c r="H203" s="171"/>
      <c r="I203" s="105"/>
      <c r="J203" s="165"/>
      <c r="K203" s="1"/>
      <c r="L203" s="119"/>
      <c r="M203" s="119"/>
      <c r="N203" s="137"/>
      <c r="O203" s="119"/>
      <c r="P203" s="119"/>
      <c r="Q203" s="119"/>
      <c r="R203" s="119"/>
      <c r="S203" s="119"/>
      <c r="T203" s="119"/>
      <c r="U203" s="119"/>
      <c r="V203" s="1"/>
      <c r="W203" s="1"/>
      <c r="X203" s="1"/>
      <c r="Y203" s="1"/>
      <c r="Z203" s="1"/>
    </row>
    <row r="204">
      <c r="A204" s="166"/>
      <c r="B204" s="167"/>
      <c r="C204" s="168"/>
      <c r="D204" s="169"/>
      <c r="E204" s="177"/>
      <c r="F204" s="178"/>
      <c r="G204" s="178"/>
      <c r="H204" s="171"/>
      <c r="I204" s="105"/>
      <c r="J204" s="165"/>
      <c r="K204" s="1"/>
      <c r="L204" s="119"/>
      <c r="M204" s="119"/>
      <c r="N204" s="137"/>
      <c r="O204" s="119"/>
      <c r="P204" s="119"/>
      <c r="Q204" s="119"/>
      <c r="R204" s="119"/>
      <c r="S204" s="119"/>
      <c r="T204" s="119"/>
      <c r="U204" s="119"/>
      <c r="V204" s="1"/>
      <c r="W204" s="1"/>
      <c r="X204" s="1"/>
      <c r="Y204" s="1"/>
      <c r="Z204" s="1"/>
    </row>
    <row r="205">
      <c r="A205" s="166"/>
      <c r="B205" s="179"/>
      <c r="C205" s="168"/>
      <c r="D205" s="169"/>
      <c r="E205" s="177"/>
      <c r="F205" s="178"/>
      <c r="G205" s="178"/>
      <c r="H205" s="171"/>
      <c r="I205" s="105"/>
      <c r="J205" s="165"/>
      <c r="K205" s="1"/>
      <c r="L205" s="119"/>
      <c r="M205" s="119"/>
      <c r="N205" s="137"/>
      <c r="O205" s="119"/>
      <c r="P205" s="119"/>
      <c r="Q205" s="119"/>
      <c r="R205" s="119"/>
      <c r="S205" s="119"/>
      <c r="T205" s="119"/>
      <c r="U205" s="119"/>
      <c r="V205" s="1"/>
      <c r="W205" s="1"/>
      <c r="X205" s="1"/>
      <c r="Y205" s="1"/>
      <c r="Z205" s="1"/>
    </row>
    <row r="206">
      <c r="A206" s="166"/>
      <c r="B206" s="167"/>
      <c r="C206" s="168"/>
      <c r="D206" s="169"/>
      <c r="E206" s="177"/>
      <c r="F206" s="178"/>
      <c r="G206" s="178"/>
      <c r="H206" s="171"/>
      <c r="I206" s="105"/>
      <c r="J206" s="165"/>
      <c r="K206" s="1"/>
      <c r="L206" s="119"/>
      <c r="M206" s="119"/>
      <c r="N206" s="137"/>
      <c r="O206" s="119"/>
      <c r="P206" s="119"/>
      <c r="Q206" s="119"/>
      <c r="R206" s="119"/>
      <c r="S206" s="119"/>
      <c r="T206" s="119"/>
      <c r="U206" s="119"/>
      <c r="V206" s="1"/>
      <c r="W206" s="1"/>
      <c r="X206" s="1"/>
      <c r="Y206" s="1"/>
      <c r="Z206" s="1"/>
    </row>
    <row r="207">
      <c r="A207" s="166"/>
      <c r="B207" s="167"/>
      <c r="C207" s="168"/>
      <c r="D207" s="169"/>
      <c r="E207" s="177"/>
      <c r="F207" s="178"/>
      <c r="G207" s="178"/>
      <c r="H207" s="171"/>
      <c r="I207" s="105"/>
      <c r="J207" s="165"/>
      <c r="K207" s="1"/>
      <c r="L207" s="119"/>
      <c r="M207" s="119"/>
      <c r="N207" s="137"/>
      <c r="O207" s="119"/>
      <c r="P207" s="119"/>
      <c r="Q207" s="119"/>
      <c r="R207" s="119"/>
      <c r="S207" s="119"/>
      <c r="T207" s="119"/>
      <c r="U207" s="119"/>
      <c r="V207" s="1"/>
      <c r="W207" s="1"/>
      <c r="X207" s="1"/>
      <c r="Y207" s="1"/>
      <c r="Z207" s="1"/>
    </row>
    <row r="208">
      <c r="A208" s="166"/>
      <c r="B208" s="167"/>
      <c r="C208" s="168"/>
      <c r="D208" s="169"/>
      <c r="E208" s="177"/>
      <c r="F208" s="178"/>
      <c r="G208" s="178"/>
      <c r="H208" s="171"/>
      <c r="I208" s="105"/>
      <c r="J208" s="165"/>
      <c r="K208" s="1"/>
      <c r="L208" s="119"/>
      <c r="M208" s="119"/>
      <c r="N208" s="137"/>
      <c r="O208" s="119"/>
      <c r="P208" s="119"/>
      <c r="Q208" s="119"/>
      <c r="R208" s="119"/>
      <c r="S208" s="119"/>
      <c r="T208" s="119"/>
      <c r="U208" s="119"/>
      <c r="V208" s="1"/>
      <c r="W208" s="1"/>
      <c r="X208" s="1"/>
      <c r="Y208" s="1"/>
      <c r="Z208" s="1"/>
    </row>
    <row r="209">
      <c r="A209" s="166"/>
      <c r="B209" s="167"/>
      <c r="C209" s="168"/>
      <c r="D209" s="169"/>
      <c r="E209" s="177"/>
      <c r="F209" s="178"/>
      <c r="G209" s="178"/>
      <c r="H209" s="171"/>
      <c r="I209" s="105"/>
      <c r="J209" s="165"/>
      <c r="K209" s="1"/>
      <c r="L209" s="119"/>
      <c r="M209" s="119"/>
      <c r="N209" s="137"/>
      <c r="O209" s="119"/>
      <c r="P209" s="119"/>
      <c r="Q209" s="119"/>
      <c r="R209" s="119"/>
      <c r="S209" s="119"/>
      <c r="T209" s="119"/>
      <c r="U209" s="119"/>
      <c r="V209" s="1"/>
      <c r="W209" s="1"/>
      <c r="X209" s="1"/>
      <c r="Y209" s="1"/>
      <c r="Z209" s="1"/>
    </row>
    <row r="210">
      <c r="A210" s="166"/>
      <c r="B210" s="167"/>
      <c r="C210" s="168"/>
      <c r="D210" s="169"/>
      <c r="E210" s="177"/>
      <c r="F210" s="178"/>
      <c r="G210" s="178"/>
      <c r="H210" s="171"/>
      <c r="I210" s="105"/>
      <c r="J210" s="165"/>
      <c r="K210" s="1"/>
      <c r="L210" s="119"/>
      <c r="M210" s="119"/>
      <c r="N210" s="137"/>
      <c r="O210" s="119"/>
      <c r="P210" s="119"/>
      <c r="Q210" s="119"/>
      <c r="R210" s="119"/>
      <c r="S210" s="119"/>
      <c r="T210" s="119"/>
      <c r="U210" s="119"/>
      <c r="V210" s="1"/>
      <c r="W210" s="1"/>
      <c r="X210" s="1"/>
      <c r="Y210" s="1"/>
      <c r="Z210" s="1"/>
    </row>
    <row r="211">
      <c r="A211" s="166"/>
      <c r="B211" s="167"/>
      <c r="C211" s="168"/>
      <c r="D211" s="169"/>
      <c r="E211" s="177"/>
      <c r="F211" s="178"/>
      <c r="G211" s="178"/>
      <c r="H211" s="171"/>
      <c r="I211" s="105"/>
      <c r="J211" s="165"/>
      <c r="K211" s="1"/>
      <c r="L211" s="119"/>
      <c r="M211" s="119"/>
      <c r="N211" s="137"/>
      <c r="O211" s="119"/>
      <c r="P211" s="119"/>
      <c r="Q211" s="119"/>
      <c r="R211" s="119"/>
      <c r="S211" s="119"/>
      <c r="T211" s="119"/>
      <c r="U211" s="119"/>
      <c r="V211" s="1"/>
      <c r="W211" s="1"/>
      <c r="X211" s="1"/>
      <c r="Y211" s="1"/>
      <c r="Z211" s="1"/>
    </row>
    <row r="212">
      <c r="A212" s="166"/>
      <c r="B212" s="167"/>
      <c r="C212" s="168"/>
      <c r="D212" s="169"/>
      <c r="E212" s="177"/>
      <c r="F212" s="178"/>
      <c r="G212" s="178"/>
      <c r="H212" s="171"/>
      <c r="I212" s="105"/>
      <c r="J212" s="165"/>
      <c r="K212" s="1"/>
      <c r="L212" s="119"/>
      <c r="M212" s="119"/>
      <c r="N212" s="137"/>
      <c r="O212" s="119"/>
      <c r="P212" s="119"/>
      <c r="Q212" s="119"/>
      <c r="R212" s="119"/>
      <c r="S212" s="119"/>
      <c r="T212" s="119"/>
      <c r="U212" s="119"/>
      <c r="V212" s="1"/>
      <c r="W212" s="1"/>
      <c r="X212" s="1"/>
      <c r="Y212" s="1"/>
      <c r="Z212" s="1"/>
    </row>
    <row r="213">
      <c r="A213" s="166"/>
      <c r="B213" s="167"/>
      <c r="C213" s="168"/>
      <c r="D213" s="169"/>
      <c r="E213" s="177"/>
      <c r="F213" s="178"/>
      <c r="G213" s="178"/>
      <c r="H213" s="171"/>
      <c r="I213" s="105"/>
      <c r="J213" s="165"/>
      <c r="K213" s="1"/>
      <c r="L213" s="119"/>
      <c r="M213" s="119"/>
      <c r="N213" s="137"/>
      <c r="O213" s="119"/>
      <c r="P213" s="119"/>
      <c r="Q213" s="119"/>
      <c r="R213" s="119"/>
      <c r="S213" s="119"/>
      <c r="T213" s="119"/>
      <c r="U213" s="119"/>
      <c r="V213" s="1"/>
      <c r="W213" s="1"/>
      <c r="X213" s="1"/>
      <c r="Y213" s="1"/>
      <c r="Z213" s="1"/>
    </row>
    <row r="214">
      <c r="A214" s="166"/>
      <c r="B214" s="167"/>
      <c r="C214" s="168"/>
      <c r="D214" s="169"/>
      <c r="E214" s="177"/>
      <c r="F214" s="178"/>
      <c r="G214" s="178"/>
      <c r="H214" s="171"/>
      <c r="I214" s="105"/>
      <c r="J214" s="165"/>
      <c r="K214" s="1"/>
      <c r="L214" s="119"/>
      <c r="M214" s="119"/>
      <c r="N214" s="137"/>
      <c r="O214" s="119"/>
      <c r="P214" s="119"/>
      <c r="Q214" s="119"/>
      <c r="R214" s="119"/>
      <c r="S214" s="119"/>
      <c r="T214" s="119"/>
      <c r="U214" s="119"/>
      <c r="V214" s="1"/>
      <c r="W214" s="1"/>
      <c r="X214" s="1"/>
      <c r="Y214" s="1"/>
      <c r="Z214" s="1"/>
    </row>
    <row r="215">
      <c r="A215" s="166"/>
      <c r="B215" s="167"/>
      <c r="C215" s="168"/>
      <c r="D215" s="169"/>
      <c r="E215" s="177"/>
      <c r="F215" s="178"/>
      <c r="G215" s="178"/>
      <c r="H215" s="171"/>
      <c r="I215" s="105"/>
      <c r="J215" s="165"/>
      <c r="K215" s="1"/>
      <c r="L215" s="119"/>
      <c r="M215" s="119"/>
      <c r="N215" s="137"/>
      <c r="O215" s="119"/>
      <c r="P215" s="119"/>
      <c r="Q215" s="119"/>
      <c r="R215" s="119"/>
      <c r="S215" s="119"/>
      <c r="T215" s="119"/>
      <c r="U215" s="119"/>
      <c r="V215" s="1"/>
      <c r="W215" s="1"/>
      <c r="X215" s="1"/>
      <c r="Y215" s="1"/>
      <c r="Z215" s="1"/>
    </row>
    <row r="216">
      <c r="A216" s="166"/>
      <c r="B216" s="167"/>
      <c r="C216" s="168"/>
      <c r="D216" s="169"/>
      <c r="E216" s="177"/>
      <c r="F216" s="178"/>
      <c r="G216" s="178"/>
      <c r="H216" s="171"/>
      <c r="I216" s="105"/>
      <c r="J216" s="165"/>
      <c r="K216" s="1"/>
      <c r="L216" s="119"/>
      <c r="M216" s="119"/>
      <c r="N216" s="137"/>
      <c r="O216" s="119"/>
      <c r="P216" s="119"/>
      <c r="Q216" s="119"/>
      <c r="R216" s="119"/>
      <c r="S216" s="119"/>
      <c r="T216" s="119"/>
      <c r="U216" s="119"/>
      <c r="V216" s="1"/>
      <c r="W216" s="1"/>
      <c r="X216" s="1"/>
      <c r="Y216" s="1"/>
      <c r="Z216" s="1"/>
    </row>
    <row r="217">
      <c r="A217" s="166"/>
      <c r="B217" s="167"/>
      <c r="C217" s="168"/>
      <c r="D217" s="169"/>
      <c r="E217" s="177"/>
      <c r="F217" s="178"/>
      <c r="G217" s="178"/>
      <c r="H217" s="171"/>
      <c r="I217" s="105"/>
      <c r="J217" s="165"/>
      <c r="K217" s="1"/>
      <c r="L217" s="119"/>
      <c r="M217" s="119"/>
      <c r="N217" s="137"/>
      <c r="O217" s="119"/>
      <c r="P217" s="119"/>
      <c r="Q217" s="119"/>
      <c r="R217" s="119"/>
      <c r="S217" s="119"/>
      <c r="T217" s="119"/>
      <c r="U217" s="119"/>
      <c r="V217" s="1"/>
      <c r="W217" s="1"/>
      <c r="X217" s="1"/>
      <c r="Y217" s="1"/>
      <c r="Z217" s="1"/>
    </row>
    <row r="218">
      <c r="A218" s="166"/>
      <c r="B218" s="167"/>
      <c r="C218" s="168"/>
      <c r="D218" s="169"/>
      <c r="E218" s="177"/>
      <c r="F218" s="178"/>
      <c r="G218" s="178"/>
      <c r="H218" s="171"/>
      <c r="I218" s="105"/>
      <c r="J218" s="165"/>
      <c r="K218" s="1"/>
      <c r="L218" s="119"/>
      <c r="M218" s="119"/>
      <c r="N218" s="137"/>
      <c r="O218" s="119"/>
      <c r="P218" s="119"/>
      <c r="Q218" s="119"/>
      <c r="R218" s="119"/>
      <c r="S218" s="119"/>
      <c r="T218" s="119"/>
      <c r="U218" s="119"/>
      <c r="V218" s="1"/>
      <c r="W218" s="1"/>
      <c r="X218" s="1"/>
      <c r="Y218" s="1"/>
      <c r="Z218" s="1"/>
    </row>
    <row r="219">
      <c r="A219" s="166"/>
      <c r="B219" s="167"/>
      <c r="C219" s="168"/>
      <c r="D219" s="169"/>
      <c r="E219" s="177"/>
      <c r="F219" s="178"/>
      <c r="G219" s="178"/>
      <c r="H219" s="171"/>
      <c r="I219" s="105"/>
      <c r="J219" s="165"/>
      <c r="K219" s="1"/>
      <c r="L219" s="119"/>
      <c r="M219" s="119"/>
      <c r="N219" s="137"/>
      <c r="O219" s="119"/>
      <c r="P219" s="119"/>
      <c r="Q219" s="119"/>
      <c r="R219" s="119"/>
      <c r="S219" s="119"/>
      <c r="T219" s="119"/>
      <c r="U219" s="119"/>
      <c r="V219" s="1"/>
      <c r="W219" s="1"/>
      <c r="X219" s="1"/>
      <c r="Y219" s="1"/>
      <c r="Z219" s="1"/>
    </row>
    <row r="220">
      <c r="A220" s="166"/>
      <c r="B220" s="167"/>
      <c r="C220" s="168"/>
      <c r="D220" s="169"/>
      <c r="E220" s="177"/>
      <c r="F220" s="178"/>
      <c r="G220" s="178"/>
      <c r="H220" s="171"/>
      <c r="I220" s="105"/>
      <c r="J220" s="165"/>
      <c r="K220" s="1"/>
      <c r="L220" s="119"/>
      <c r="M220" s="119"/>
      <c r="N220" s="137"/>
      <c r="O220" s="119"/>
      <c r="P220" s="119"/>
      <c r="Q220" s="119"/>
      <c r="R220" s="119"/>
      <c r="S220" s="119"/>
      <c r="T220" s="119"/>
      <c r="U220" s="119"/>
      <c r="V220" s="1"/>
      <c r="W220" s="1"/>
      <c r="X220" s="1"/>
      <c r="Y220" s="1"/>
      <c r="Z220" s="1"/>
    </row>
    <row r="221">
      <c r="A221" s="166"/>
      <c r="B221" s="167"/>
      <c r="C221" s="168"/>
      <c r="D221" s="169"/>
      <c r="E221" s="177"/>
      <c r="F221" s="178"/>
      <c r="G221" s="178"/>
      <c r="H221" s="171"/>
      <c r="I221" s="105"/>
      <c r="J221" s="165"/>
      <c r="K221" s="1"/>
      <c r="L221" s="119"/>
      <c r="M221" s="119"/>
      <c r="N221" s="137"/>
      <c r="O221" s="119"/>
      <c r="P221" s="119"/>
      <c r="Q221" s="119"/>
      <c r="R221" s="119"/>
      <c r="S221" s="119"/>
      <c r="T221" s="119"/>
      <c r="U221" s="119"/>
      <c r="V221" s="1"/>
      <c r="W221" s="1"/>
      <c r="X221" s="1"/>
      <c r="Y221" s="1"/>
      <c r="Z221" s="1"/>
    </row>
    <row r="222">
      <c r="A222" s="166"/>
      <c r="B222" s="167"/>
      <c r="C222" s="168"/>
      <c r="D222" s="169"/>
      <c r="E222" s="177"/>
      <c r="F222" s="178"/>
      <c r="G222" s="178"/>
      <c r="H222" s="171"/>
      <c r="I222" s="105"/>
      <c r="J222" s="165"/>
      <c r="K222" s="1"/>
      <c r="L222" s="119"/>
      <c r="M222" s="119"/>
      <c r="N222" s="137"/>
      <c r="O222" s="119"/>
      <c r="P222" s="119"/>
      <c r="Q222" s="119"/>
      <c r="R222" s="119"/>
      <c r="S222" s="119"/>
      <c r="T222" s="119"/>
      <c r="U222" s="119"/>
      <c r="V222" s="1"/>
      <c r="W222" s="1"/>
      <c r="X222" s="1"/>
      <c r="Y222" s="1"/>
      <c r="Z222" s="1"/>
    </row>
    <row r="223">
      <c r="A223" s="166"/>
      <c r="B223" s="167"/>
      <c r="C223" s="168"/>
      <c r="D223" s="169"/>
      <c r="E223" s="177"/>
      <c r="F223" s="178"/>
      <c r="G223" s="178"/>
      <c r="H223" s="171"/>
      <c r="I223" s="105"/>
      <c r="J223" s="165"/>
      <c r="K223" s="1"/>
      <c r="L223" s="119"/>
      <c r="M223" s="119"/>
      <c r="N223" s="137"/>
      <c r="O223" s="119"/>
      <c r="P223" s="119"/>
      <c r="Q223" s="119"/>
      <c r="R223" s="119"/>
      <c r="S223" s="119"/>
      <c r="T223" s="119"/>
      <c r="U223" s="119"/>
      <c r="V223" s="1"/>
      <c r="W223" s="1"/>
      <c r="X223" s="1"/>
      <c r="Y223" s="1"/>
      <c r="Z223" s="1"/>
    </row>
    <row r="224">
      <c r="A224" s="166"/>
      <c r="B224" s="167"/>
      <c r="C224" s="168"/>
      <c r="D224" s="169"/>
      <c r="E224" s="177"/>
      <c r="F224" s="178"/>
      <c r="G224" s="178"/>
      <c r="H224" s="171"/>
      <c r="I224" s="105"/>
      <c r="J224" s="165"/>
      <c r="K224" s="1"/>
      <c r="L224" s="119"/>
      <c r="M224" s="119"/>
      <c r="N224" s="137"/>
      <c r="O224" s="119"/>
      <c r="P224" s="119"/>
      <c r="Q224" s="119"/>
      <c r="R224" s="119"/>
      <c r="S224" s="119"/>
      <c r="T224" s="119"/>
      <c r="U224" s="119"/>
      <c r="V224" s="1"/>
      <c r="W224" s="1"/>
      <c r="X224" s="1"/>
      <c r="Y224" s="1"/>
      <c r="Z224" s="1"/>
    </row>
    <row r="225">
      <c r="A225" s="166"/>
      <c r="B225" s="167"/>
      <c r="C225" s="168"/>
      <c r="D225" s="169"/>
      <c r="E225" s="177"/>
      <c r="F225" s="178"/>
      <c r="G225" s="178"/>
      <c r="H225" s="171"/>
      <c r="I225" s="105"/>
      <c r="J225" s="165"/>
      <c r="K225" s="1"/>
      <c r="L225" s="119"/>
      <c r="M225" s="119"/>
      <c r="N225" s="137"/>
      <c r="O225" s="119"/>
      <c r="P225" s="119"/>
      <c r="Q225" s="119"/>
      <c r="R225" s="119"/>
      <c r="S225" s="119"/>
      <c r="T225" s="119"/>
      <c r="U225" s="119"/>
      <c r="V225" s="1"/>
      <c r="W225" s="1"/>
      <c r="X225" s="1"/>
      <c r="Y225" s="1"/>
      <c r="Z225" s="1"/>
    </row>
    <row r="226">
      <c r="A226" s="166"/>
      <c r="B226" s="167"/>
      <c r="C226" s="168"/>
      <c r="D226" s="169"/>
      <c r="E226" s="177"/>
      <c r="F226" s="178"/>
      <c r="G226" s="178"/>
      <c r="H226" s="171"/>
      <c r="I226" s="105"/>
      <c r="J226" s="165"/>
      <c r="K226" s="1"/>
      <c r="L226" s="119"/>
      <c r="M226" s="119"/>
      <c r="N226" s="137"/>
      <c r="O226" s="119"/>
      <c r="P226" s="119"/>
      <c r="Q226" s="119"/>
      <c r="R226" s="119"/>
      <c r="S226" s="119"/>
      <c r="T226" s="119"/>
      <c r="U226" s="119"/>
      <c r="V226" s="1"/>
      <c r="W226" s="1"/>
      <c r="X226" s="1"/>
      <c r="Y226" s="1"/>
      <c r="Z226" s="1"/>
    </row>
    <row r="227">
      <c r="A227" s="166"/>
      <c r="B227" s="167"/>
      <c r="C227" s="168"/>
      <c r="D227" s="169"/>
      <c r="E227" s="177"/>
      <c r="F227" s="178"/>
      <c r="G227" s="178"/>
      <c r="H227" s="171"/>
      <c r="I227" s="105"/>
      <c r="J227" s="165"/>
      <c r="K227" s="1"/>
      <c r="L227" s="119"/>
      <c r="M227" s="119"/>
      <c r="N227" s="137"/>
      <c r="O227" s="119"/>
      <c r="P227" s="119"/>
      <c r="Q227" s="119"/>
      <c r="R227" s="119"/>
      <c r="S227" s="119"/>
      <c r="T227" s="119"/>
      <c r="U227" s="119"/>
      <c r="V227" s="1"/>
      <c r="W227" s="1"/>
      <c r="X227" s="1"/>
      <c r="Y227" s="1"/>
      <c r="Z227" s="1"/>
    </row>
    <row r="228">
      <c r="A228" s="166"/>
      <c r="B228" s="167"/>
      <c r="C228" s="168"/>
      <c r="D228" s="169"/>
      <c r="E228" s="177"/>
      <c r="F228" s="178"/>
      <c r="G228" s="178"/>
      <c r="H228" s="171"/>
      <c r="I228" s="105"/>
      <c r="J228" s="165"/>
      <c r="K228" s="1"/>
      <c r="L228" s="119"/>
      <c r="M228" s="119"/>
      <c r="N228" s="137"/>
      <c r="O228" s="119"/>
      <c r="P228" s="119"/>
      <c r="Q228" s="119"/>
      <c r="R228" s="119"/>
      <c r="S228" s="119"/>
      <c r="T228" s="119"/>
      <c r="U228" s="119"/>
      <c r="V228" s="1"/>
      <c r="W228" s="1"/>
      <c r="X228" s="1"/>
      <c r="Y228" s="1"/>
      <c r="Z228" s="1"/>
    </row>
    <row r="229">
      <c r="A229" s="166"/>
      <c r="B229" s="167"/>
      <c r="C229" s="168"/>
      <c r="D229" s="169"/>
      <c r="E229" s="177"/>
      <c r="F229" s="178"/>
      <c r="G229" s="178"/>
      <c r="H229" s="171"/>
      <c r="I229" s="105"/>
      <c r="J229" s="165"/>
      <c r="K229" s="1"/>
      <c r="L229" s="119"/>
      <c r="M229" s="119"/>
      <c r="N229" s="137"/>
      <c r="O229" s="119"/>
      <c r="P229" s="119"/>
      <c r="Q229" s="119"/>
      <c r="R229" s="119"/>
      <c r="S229" s="119"/>
      <c r="T229" s="119"/>
      <c r="U229" s="119"/>
      <c r="V229" s="1"/>
      <c r="W229" s="1"/>
      <c r="X229" s="1"/>
      <c r="Y229" s="1"/>
      <c r="Z229" s="1"/>
    </row>
    <row r="230">
      <c r="A230" s="166"/>
      <c r="B230" s="167"/>
      <c r="C230" s="168"/>
      <c r="D230" s="169"/>
      <c r="E230" s="177"/>
      <c r="F230" s="178"/>
      <c r="G230" s="178"/>
      <c r="H230" s="171"/>
      <c r="I230" s="105"/>
      <c r="J230" s="165"/>
      <c r="K230" s="1"/>
      <c r="L230" s="119"/>
      <c r="M230" s="119"/>
      <c r="N230" s="137"/>
      <c r="O230" s="119"/>
      <c r="P230" s="119"/>
      <c r="Q230" s="119"/>
      <c r="R230" s="119"/>
      <c r="S230" s="119"/>
      <c r="T230" s="119"/>
      <c r="U230" s="119"/>
      <c r="V230" s="1"/>
      <c r="W230" s="1"/>
      <c r="X230" s="1"/>
      <c r="Y230" s="1"/>
      <c r="Z230" s="1"/>
    </row>
    <row r="231">
      <c r="A231" s="166"/>
      <c r="B231" s="167"/>
      <c r="C231" s="168"/>
      <c r="D231" s="169"/>
      <c r="E231" s="177"/>
      <c r="F231" s="178"/>
      <c r="G231" s="178"/>
      <c r="H231" s="171"/>
      <c r="I231" s="105"/>
      <c r="J231" s="165"/>
      <c r="K231" s="1"/>
      <c r="L231" s="119"/>
      <c r="M231" s="119"/>
      <c r="N231" s="137"/>
      <c r="O231" s="119"/>
      <c r="P231" s="119"/>
      <c r="Q231" s="119"/>
      <c r="R231" s="119"/>
      <c r="S231" s="119"/>
      <c r="T231" s="119"/>
      <c r="U231" s="119"/>
      <c r="V231" s="1"/>
      <c r="W231" s="1"/>
      <c r="X231" s="1"/>
      <c r="Y231" s="1"/>
      <c r="Z231" s="1"/>
    </row>
    <row r="232">
      <c r="A232" s="166"/>
      <c r="B232" s="167"/>
      <c r="C232" s="168"/>
      <c r="D232" s="169"/>
      <c r="E232" s="177"/>
      <c r="F232" s="178"/>
      <c r="G232" s="178"/>
      <c r="H232" s="171"/>
      <c r="I232" s="105"/>
      <c r="J232" s="165"/>
      <c r="K232" s="1"/>
      <c r="L232" s="119"/>
      <c r="M232" s="119"/>
      <c r="N232" s="137"/>
      <c r="O232" s="119"/>
      <c r="P232" s="119"/>
      <c r="Q232" s="119"/>
      <c r="R232" s="119"/>
      <c r="S232" s="119"/>
      <c r="T232" s="119"/>
      <c r="U232" s="119"/>
      <c r="V232" s="1"/>
      <c r="W232" s="1"/>
      <c r="X232" s="1"/>
      <c r="Y232" s="1"/>
      <c r="Z232" s="1"/>
    </row>
    <row r="233">
      <c r="A233" s="166"/>
      <c r="B233" s="167"/>
      <c r="C233" s="168"/>
      <c r="D233" s="169"/>
      <c r="E233" s="177"/>
      <c r="F233" s="178"/>
      <c r="G233" s="178"/>
      <c r="H233" s="171"/>
      <c r="I233" s="105"/>
      <c r="J233" s="165"/>
      <c r="K233" s="1"/>
      <c r="L233" s="119"/>
      <c r="M233" s="119"/>
      <c r="N233" s="137"/>
      <c r="O233" s="119"/>
      <c r="P233" s="119"/>
      <c r="Q233" s="119"/>
      <c r="R233" s="119"/>
      <c r="S233" s="119"/>
      <c r="T233" s="119"/>
      <c r="U233" s="119"/>
      <c r="V233" s="1"/>
      <c r="W233" s="1"/>
      <c r="X233" s="1"/>
      <c r="Y233" s="1"/>
      <c r="Z233" s="1"/>
    </row>
    <row r="234">
      <c r="A234" s="166"/>
      <c r="B234" s="167"/>
      <c r="C234" s="168"/>
      <c r="D234" s="169"/>
      <c r="E234" s="177"/>
      <c r="F234" s="178"/>
      <c r="G234" s="178"/>
      <c r="H234" s="171"/>
      <c r="I234" s="105"/>
      <c r="J234" s="165"/>
      <c r="K234" s="1"/>
      <c r="L234" s="119"/>
      <c r="M234" s="119"/>
      <c r="N234" s="137"/>
      <c r="O234" s="119"/>
      <c r="P234" s="119"/>
      <c r="Q234" s="119"/>
      <c r="R234" s="119"/>
      <c r="S234" s="119"/>
      <c r="T234" s="119"/>
      <c r="U234" s="119"/>
      <c r="V234" s="1"/>
      <c r="W234" s="1"/>
      <c r="X234" s="1"/>
      <c r="Y234" s="1"/>
      <c r="Z234" s="1"/>
    </row>
    <row r="235">
      <c r="A235" s="166"/>
      <c r="B235" s="167"/>
      <c r="C235" s="168"/>
      <c r="D235" s="169"/>
      <c r="E235" s="177"/>
      <c r="F235" s="178"/>
      <c r="G235" s="178"/>
      <c r="H235" s="171"/>
      <c r="I235" s="105"/>
      <c r="J235" s="165"/>
      <c r="K235" s="1"/>
      <c r="L235" s="119"/>
      <c r="M235" s="119"/>
      <c r="N235" s="137"/>
      <c r="O235" s="119"/>
      <c r="P235" s="119"/>
      <c r="Q235" s="119"/>
      <c r="R235" s="119"/>
      <c r="S235" s="119"/>
      <c r="T235" s="119"/>
      <c r="U235" s="119"/>
      <c r="V235" s="1"/>
      <c r="W235" s="1"/>
      <c r="X235" s="1"/>
      <c r="Y235" s="1"/>
      <c r="Z235" s="1"/>
    </row>
    <row r="236">
      <c r="A236" s="166"/>
      <c r="B236" s="167"/>
      <c r="C236" s="168"/>
      <c r="D236" s="169"/>
      <c r="E236" s="177"/>
      <c r="F236" s="178"/>
      <c r="G236" s="178"/>
      <c r="H236" s="171"/>
      <c r="I236" s="105"/>
      <c r="J236" s="165"/>
      <c r="K236" s="1"/>
      <c r="L236" s="119"/>
      <c r="M236" s="119"/>
      <c r="N236" s="137"/>
      <c r="O236" s="119"/>
      <c r="P236" s="119"/>
      <c r="Q236" s="119"/>
      <c r="R236" s="119"/>
      <c r="S236" s="119"/>
      <c r="T236" s="119"/>
      <c r="U236" s="119"/>
      <c r="V236" s="1"/>
      <c r="W236" s="1"/>
      <c r="X236" s="1"/>
      <c r="Y236" s="1"/>
      <c r="Z236" s="1"/>
    </row>
    <row r="237">
      <c r="A237" s="166"/>
      <c r="B237" s="167"/>
      <c r="C237" s="168"/>
      <c r="D237" s="169"/>
      <c r="E237" s="177"/>
      <c r="F237" s="178"/>
      <c r="G237" s="178"/>
      <c r="H237" s="171"/>
      <c r="I237" s="105"/>
      <c r="J237" s="165"/>
      <c r="K237" s="1"/>
      <c r="L237" s="119"/>
      <c r="M237" s="119"/>
      <c r="N237" s="137"/>
      <c r="O237" s="119"/>
      <c r="P237" s="119"/>
      <c r="Q237" s="119"/>
      <c r="R237" s="119"/>
      <c r="S237" s="119"/>
      <c r="T237" s="119"/>
      <c r="U237" s="119"/>
      <c r="V237" s="1"/>
      <c r="W237" s="1"/>
      <c r="X237" s="1"/>
      <c r="Y237" s="1"/>
      <c r="Z237" s="1"/>
    </row>
    <row r="238">
      <c r="A238" s="166"/>
      <c r="B238" s="167"/>
      <c r="C238" s="168"/>
      <c r="D238" s="169"/>
      <c r="E238" s="177"/>
      <c r="F238" s="178"/>
      <c r="G238" s="178"/>
      <c r="H238" s="171"/>
      <c r="I238" s="105"/>
      <c r="J238" s="165"/>
      <c r="K238" s="1"/>
      <c r="L238" s="119"/>
      <c r="M238" s="119"/>
      <c r="N238" s="137"/>
      <c r="O238" s="119"/>
      <c r="P238" s="119"/>
      <c r="Q238" s="119"/>
      <c r="R238" s="119"/>
      <c r="S238" s="119"/>
      <c r="T238" s="119"/>
      <c r="U238" s="119"/>
      <c r="V238" s="1"/>
      <c r="W238" s="1"/>
      <c r="X238" s="1"/>
      <c r="Y238" s="1"/>
      <c r="Z238" s="1"/>
    </row>
    <row r="239">
      <c r="A239" s="166"/>
      <c r="B239" s="167"/>
      <c r="C239" s="168"/>
      <c r="D239" s="169"/>
      <c r="E239" s="177"/>
      <c r="F239" s="178"/>
      <c r="G239" s="178"/>
      <c r="H239" s="171"/>
      <c r="I239" s="105"/>
      <c r="J239" s="165"/>
      <c r="K239" s="1"/>
      <c r="L239" s="119"/>
      <c r="M239" s="119"/>
      <c r="N239" s="137"/>
      <c r="O239" s="119"/>
      <c r="P239" s="119"/>
      <c r="Q239" s="119"/>
      <c r="R239" s="119"/>
      <c r="S239" s="119"/>
      <c r="T239" s="119"/>
      <c r="U239" s="119"/>
      <c r="V239" s="1"/>
      <c r="W239" s="1"/>
      <c r="X239" s="1"/>
      <c r="Y239" s="1"/>
      <c r="Z239" s="1"/>
    </row>
    <row r="240">
      <c r="A240" s="166"/>
      <c r="B240" s="167"/>
      <c r="C240" s="168"/>
      <c r="D240" s="169"/>
      <c r="E240" s="177"/>
      <c r="F240" s="178"/>
      <c r="G240" s="178"/>
      <c r="H240" s="171"/>
      <c r="I240" s="105"/>
      <c r="J240" s="165"/>
      <c r="K240" s="1"/>
      <c r="L240" s="119"/>
      <c r="M240" s="119"/>
      <c r="N240" s="137"/>
      <c r="O240" s="119"/>
      <c r="P240" s="119"/>
      <c r="Q240" s="119"/>
      <c r="R240" s="119"/>
      <c r="S240" s="119"/>
      <c r="T240" s="119"/>
      <c r="U240" s="119"/>
      <c r="V240" s="1"/>
      <c r="W240" s="1"/>
      <c r="X240" s="1"/>
      <c r="Y240" s="1"/>
      <c r="Z240" s="1"/>
    </row>
    <row r="241">
      <c r="A241" s="166"/>
      <c r="B241" s="167"/>
      <c r="C241" s="168"/>
      <c r="D241" s="169"/>
      <c r="E241" s="177"/>
      <c r="F241" s="178"/>
      <c r="G241" s="178"/>
      <c r="H241" s="171"/>
      <c r="I241" s="105"/>
      <c r="J241" s="165"/>
      <c r="K241" s="1"/>
      <c r="L241" s="119"/>
      <c r="M241" s="119"/>
      <c r="N241" s="137"/>
      <c r="O241" s="119"/>
      <c r="P241" s="119"/>
      <c r="Q241" s="119"/>
      <c r="R241" s="119"/>
      <c r="S241" s="119"/>
      <c r="T241" s="119"/>
      <c r="U241" s="119"/>
      <c r="V241" s="1"/>
      <c r="W241" s="1"/>
      <c r="X241" s="1"/>
      <c r="Y241" s="1"/>
      <c r="Z241" s="1"/>
    </row>
    <row r="242">
      <c r="A242" s="166"/>
      <c r="B242" s="167"/>
      <c r="C242" s="168"/>
      <c r="D242" s="169"/>
      <c r="E242" s="177"/>
      <c r="F242" s="178"/>
      <c r="G242" s="178"/>
      <c r="H242" s="171"/>
      <c r="I242" s="105"/>
      <c r="J242" s="165"/>
      <c r="K242" s="1"/>
      <c r="L242" s="119"/>
      <c r="M242" s="119"/>
      <c r="N242" s="137"/>
      <c r="O242" s="119"/>
      <c r="P242" s="119"/>
      <c r="Q242" s="119"/>
      <c r="R242" s="119"/>
      <c r="S242" s="119"/>
      <c r="T242" s="119"/>
      <c r="U242" s="119"/>
      <c r="V242" s="1"/>
      <c r="W242" s="1"/>
      <c r="X242" s="1"/>
      <c r="Y242" s="1"/>
      <c r="Z242" s="1"/>
    </row>
    <row r="243">
      <c r="A243" s="166"/>
      <c r="B243" s="167"/>
      <c r="C243" s="168"/>
      <c r="D243" s="169"/>
      <c r="E243" s="177"/>
      <c r="F243" s="178"/>
      <c r="G243" s="178"/>
      <c r="H243" s="171"/>
      <c r="I243" s="105"/>
      <c r="J243" s="165"/>
      <c r="K243" s="1"/>
      <c r="L243" s="119"/>
      <c r="M243" s="119"/>
      <c r="N243" s="137"/>
      <c r="O243" s="119"/>
      <c r="P243" s="119"/>
      <c r="Q243" s="119"/>
      <c r="R243" s="119"/>
      <c r="S243" s="119"/>
      <c r="T243" s="119"/>
      <c r="U243" s="119"/>
      <c r="V243" s="1"/>
      <c r="W243" s="1"/>
      <c r="X243" s="1"/>
      <c r="Y243" s="1"/>
      <c r="Z243" s="1"/>
    </row>
    <row r="244">
      <c r="A244" s="166"/>
      <c r="B244" s="167"/>
      <c r="C244" s="168"/>
      <c r="D244" s="169"/>
      <c r="E244" s="177"/>
      <c r="F244" s="178"/>
      <c r="G244" s="178"/>
      <c r="H244" s="171"/>
      <c r="I244" s="105"/>
      <c r="J244" s="165"/>
      <c r="K244" s="1"/>
      <c r="L244" s="119"/>
      <c r="M244" s="119"/>
      <c r="N244" s="137"/>
      <c r="O244" s="119"/>
      <c r="P244" s="119"/>
      <c r="Q244" s="119"/>
      <c r="R244" s="119"/>
      <c r="S244" s="119"/>
      <c r="T244" s="119"/>
      <c r="U244" s="119"/>
      <c r="V244" s="1"/>
      <c r="W244" s="1"/>
      <c r="X244" s="1"/>
      <c r="Y244" s="1"/>
      <c r="Z244" s="1"/>
    </row>
    <row r="245">
      <c r="A245" s="166"/>
      <c r="B245" s="167"/>
      <c r="C245" s="168"/>
      <c r="D245" s="169"/>
      <c r="E245" s="177"/>
      <c r="F245" s="178"/>
      <c r="G245" s="178"/>
      <c r="H245" s="171"/>
      <c r="I245" s="105"/>
      <c r="J245" s="165"/>
      <c r="K245" s="1"/>
      <c r="L245" s="119"/>
      <c r="M245" s="119"/>
      <c r="N245" s="137"/>
      <c r="O245" s="119"/>
      <c r="P245" s="119"/>
      <c r="Q245" s="119"/>
      <c r="R245" s="119"/>
      <c r="S245" s="119"/>
      <c r="T245" s="119"/>
      <c r="U245" s="119"/>
      <c r="V245" s="1"/>
      <c r="W245" s="1"/>
      <c r="X245" s="1"/>
      <c r="Y245" s="1"/>
      <c r="Z245" s="1"/>
    </row>
    <row r="246">
      <c r="A246" s="166"/>
      <c r="B246" s="167"/>
      <c r="C246" s="168"/>
      <c r="D246" s="169"/>
      <c r="E246" s="177"/>
      <c r="F246" s="178"/>
      <c r="G246" s="178"/>
      <c r="H246" s="171"/>
      <c r="I246" s="105"/>
      <c r="J246" s="165"/>
      <c r="K246" s="1"/>
      <c r="L246" s="119"/>
      <c r="M246" s="119"/>
      <c r="N246" s="137"/>
      <c r="O246" s="119"/>
      <c r="P246" s="119"/>
      <c r="Q246" s="119"/>
      <c r="R246" s="119"/>
      <c r="S246" s="119"/>
      <c r="T246" s="119"/>
      <c r="U246" s="119"/>
      <c r="V246" s="1"/>
      <c r="W246" s="1"/>
      <c r="X246" s="1"/>
      <c r="Y246" s="1"/>
      <c r="Z246" s="1"/>
    </row>
    <row r="247">
      <c r="A247" s="166"/>
      <c r="B247" s="167"/>
      <c r="C247" s="168"/>
      <c r="D247" s="169"/>
      <c r="E247" s="177"/>
      <c r="F247" s="178"/>
      <c r="G247" s="178"/>
      <c r="H247" s="171"/>
      <c r="I247" s="105"/>
      <c r="J247" s="165"/>
      <c r="K247" s="1"/>
      <c r="L247" s="119"/>
      <c r="M247" s="119"/>
      <c r="N247" s="137"/>
      <c r="O247" s="119"/>
      <c r="P247" s="119"/>
      <c r="Q247" s="119"/>
      <c r="R247" s="119"/>
      <c r="S247" s="119"/>
      <c r="T247" s="119"/>
      <c r="U247" s="119"/>
      <c r="V247" s="1"/>
      <c r="W247" s="1"/>
      <c r="X247" s="1"/>
      <c r="Y247" s="1"/>
      <c r="Z247" s="1"/>
    </row>
    <row r="248">
      <c r="A248" s="166"/>
      <c r="B248" s="167"/>
      <c r="C248" s="168"/>
      <c r="D248" s="169"/>
      <c r="E248" s="177"/>
      <c r="F248" s="178"/>
      <c r="G248" s="178"/>
      <c r="H248" s="171"/>
      <c r="I248" s="105"/>
      <c r="J248" s="165"/>
      <c r="K248" s="1"/>
      <c r="L248" s="119"/>
      <c r="M248" s="119"/>
      <c r="N248" s="137"/>
      <c r="O248" s="119"/>
      <c r="P248" s="119"/>
      <c r="Q248" s="119"/>
      <c r="R248" s="119"/>
      <c r="S248" s="119"/>
      <c r="T248" s="119"/>
      <c r="U248" s="119"/>
      <c r="V248" s="1"/>
      <c r="W248" s="1"/>
      <c r="X248" s="1"/>
      <c r="Y248" s="1"/>
      <c r="Z248" s="1"/>
    </row>
    <row r="249">
      <c r="A249" s="166"/>
      <c r="B249" s="167"/>
      <c r="C249" s="168"/>
      <c r="D249" s="169"/>
      <c r="E249" s="177"/>
      <c r="F249" s="178"/>
      <c r="G249" s="178"/>
      <c r="H249" s="171"/>
      <c r="I249" s="105"/>
      <c r="J249" s="165"/>
      <c r="K249" s="1"/>
      <c r="L249" s="119"/>
      <c r="M249" s="119"/>
      <c r="N249" s="137"/>
      <c r="O249" s="119"/>
      <c r="P249" s="119"/>
      <c r="Q249" s="119"/>
      <c r="R249" s="119"/>
      <c r="S249" s="119"/>
      <c r="T249" s="119"/>
      <c r="U249" s="119"/>
      <c r="V249" s="1"/>
      <c r="W249" s="1"/>
      <c r="X249" s="1"/>
      <c r="Y249" s="1"/>
      <c r="Z249" s="1"/>
    </row>
    <row r="250">
      <c r="A250" s="166"/>
      <c r="B250" s="167"/>
      <c r="C250" s="168"/>
      <c r="D250" s="169"/>
      <c r="E250" s="177"/>
      <c r="F250" s="178"/>
      <c r="G250" s="178"/>
      <c r="H250" s="171"/>
      <c r="I250" s="105"/>
      <c r="J250" s="165"/>
      <c r="K250" s="1"/>
      <c r="L250" s="119"/>
      <c r="M250" s="119"/>
      <c r="N250" s="137"/>
      <c r="O250" s="119"/>
      <c r="P250" s="119"/>
      <c r="Q250" s="119"/>
      <c r="R250" s="119"/>
      <c r="S250" s="119"/>
      <c r="T250" s="119"/>
      <c r="U250" s="119"/>
      <c r="V250" s="1"/>
      <c r="W250" s="1"/>
      <c r="X250" s="1"/>
      <c r="Y250" s="1"/>
      <c r="Z250" s="1"/>
    </row>
    <row r="251">
      <c r="A251" s="166"/>
      <c r="B251" s="167"/>
      <c r="C251" s="168"/>
      <c r="D251" s="169"/>
      <c r="E251" s="177"/>
      <c r="F251" s="178"/>
      <c r="G251" s="178"/>
      <c r="H251" s="171"/>
      <c r="I251" s="105"/>
      <c r="J251" s="165"/>
      <c r="K251" s="1"/>
      <c r="L251" s="119"/>
      <c r="M251" s="119"/>
      <c r="N251" s="137"/>
      <c r="O251" s="119"/>
      <c r="P251" s="119"/>
      <c r="Q251" s="119"/>
      <c r="R251" s="119"/>
      <c r="S251" s="119"/>
      <c r="T251" s="119"/>
      <c r="U251" s="119"/>
      <c r="V251" s="1"/>
      <c r="W251" s="1"/>
      <c r="X251" s="1"/>
      <c r="Y251" s="1"/>
      <c r="Z251" s="1"/>
    </row>
    <row r="252">
      <c r="A252" s="166"/>
      <c r="B252" s="167"/>
      <c r="C252" s="168"/>
      <c r="D252" s="169"/>
      <c r="E252" s="177"/>
      <c r="F252" s="178"/>
      <c r="G252" s="178"/>
      <c r="H252" s="171"/>
      <c r="I252" s="105"/>
      <c r="J252" s="165"/>
      <c r="K252" s="1"/>
      <c r="L252" s="119"/>
      <c r="M252" s="119"/>
      <c r="N252" s="137"/>
      <c r="O252" s="119"/>
      <c r="P252" s="119"/>
      <c r="Q252" s="119"/>
      <c r="R252" s="119"/>
      <c r="S252" s="119"/>
      <c r="T252" s="119"/>
      <c r="U252" s="119"/>
      <c r="V252" s="1"/>
      <c r="W252" s="1"/>
      <c r="X252" s="1"/>
      <c r="Y252" s="1"/>
      <c r="Z252" s="1"/>
    </row>
    <row r="253">
      <c r="A253" s="166"/>
      <c r="B253" s="167"/>
      <c r="C253" s="168"/>
      <c r="D253" s="169"/>
      <c r="E253" s="177"/>
      <c r="F253" s="178"/>
      <c r="G253" s="178"/>
      <c r="H253" s="171"/>
      <c r="I253" s="105"/>
      <c r="J253" s="165"/>
      <c r="K253" s="1"/>
      <c r="L253" s="119"/>
      <c r="M253" s="119"/>
      <c r="N253" s="137"/>
      <c r="O253" s="119"/>
      <c r="P253" s="119"/>
      <c r="Q253" s="119"/>
      <c r="R253" s="119"/>
      <c r="S253" s="119"/>
      <c r="T253" s="119"/>
      <c r="U253" s="119"/>
      <c r="V253" s="1"/>
      <c r="W253" s="1"/>
      <c r="X253" s="1"/>
      <c r="Y253" s="1"/>
      <c r="Z253" s="1"/>
    </row>
    <row r="254">
      <c r="A254" s="166"/>
      <c r="B254" s="167"/>
      <c r="C254" s="168"/>
      <c r="D254" s="169"/>
      <c r="E254" s="177"/>
      <c r="F254" s="178"/>
      <c r="G254" s="178"/>
      <c r="H254" s="171"/>
      <c r="I254" s="105"/>
      <c r="J254" s="165"/>
      <c r="K254" s="1"/>
      <c r="L254" s="119"/>
      <c r="M254" s="119"/>
      <c r="N254" s="137"/>
      <c r="O254" s="119"/>
      <c r="P254" s="119"/>
      <c r="Q254" s="119"/>
      <c r="R254" s="119"/>
      <c r="S254" s="119"/>
      <c r="T254" s="119"/>
      <c r="U254" s="119"/>
      <c r="V254" s="1"/>
      <c r="W254" s="1"/>
      <c r="X254" s="1"/>
      <c r="Y254" s="1"/>
      <c r="Z254" s="1"/>
    </row>
    <row r="255">
      <c r="A255" s="166"/>
      <c r="B255" s="167"/>
      <c r="C255" s="168"/>
      <c r="D255" s="169"/>
      <c r="E255" s="177"/>
      <c r="F255" s="178"/>
      <c r="G255" s="178"/>
      <c r="H255" s="171"/>
      <c r="I255" s="105"/>
      <c r="J255" s="165"/>
      <c r="K255" s="1"/>
      <c r="L255" s="119"/>
      <c r="M255" s="119"/>
      <c r="N255" s="137"/>
      <c r="O255" s="119"/>
      <c r="P255" s="119"/>
      <c r="Q255" s="119"/>
      <c r="R255" s="119"/>
      <c r="S255" s="119"/>
      <c r="T255" s="119"/>
      <c r="U255" s="119"/>
      <c r="V255" s="1"/>
      <c r="W255" s="1"/>
      <c r="X255" s="1"/>
      <c r="Y255" s="1"/>
      <c r="Z255" s="1"/>
    </row>
    <row r="256">
      <c r="A256" s="166"/>
      <c r="B256" s="167"/>
      <c r="C256" s="168"/>
      <c r="D256" s="169"/>
      <c r="E256" s="177"/>
      <c r="F256" s="178"/>
      <c r="G256" s="178"/>
      <c r="H256" s="171"/>
      <c r="I256" s="105"/>
      <c r="J256" s="165"/>
      <c r="K256" s="1"/>
      <c r="L256" s="119"/>
      <c r="M256" s="119"/>
      <c r="N256" s="137"/>
      <c r="O256" s="119"/>
      <c r="P256" s="119"/>
      <c r="Q256" s="119"/>
      <c r="R256" s="119"/>
      <c r="S256" s="119"/>
      <c r="T256" s="119"/>
      <c r="U256" s="119"/>
      <c r="V256" s="1"/>
      <c r="W256" s="1"/>
      <c r="X256" s="1"/>
      <c r="Y256" s="1"/>
      <c r="Z256" s="1"/>
    </row>
    <row r="257">
      <c r="A257" s="166"/>
      <c r="B257" s="167"/>
      <c r="C257" s="168"/>
      <c r="D257" s="169"/>
      <c r="E257" s="177"/>
      <c r="F257" s="178"/>
      <c r="G257" s="178"/>
      <c r="H257" s="171"/>
      <c r="I257" s="105"/>
      <c r="J257" s="165"/>
      <c r="K257" s="1"/>
      <c r="L257" s="119"/>
      <c r="M257" s="119"/>
      <c r="N257" s="137"/>
      <c r="O257" s="119"/>
      <c r="P257" s="119"/>
      <c r="Q257" s="119"/>
      <c r="R257" s="119"/>
      <c r="S257" s="119"/>
      <c r="T257" s="119"/>
      <c r="U257" s="119"/>
      <c r="V257" s="1"/>
      <c r="W257" s="1"/>
      <c r="X257" s="1"/>
      <c r="Y257" s="1"/>
      <c r="Z257" s="1"/>
    </row>
    <row r="258">
      <c r="A258" s="166"/>
      <c r="B258" s="167"/>
      <c r="C258" s="168"/>
      <c r="D258" s="169"/>
      <c r="E258" s="177"/>
      <c r="F258" s="178"/>
      <c r="G258" s="178"/>
      <c r="H258" s="171"/>
      <c r="I258" s="105"/>
      <c r="J258" s="165"/>
      <c r="K258" s="1"/>
      <c r="L258" s="119"/>
      <c r="M258" s="119"/>
      <c r="N258" s="137"/>
      <c r="O258" s="119"/>
      <c r="P258" s="119"/>
      <c r="Q258" s="119"/>
      <c r="R258" s="119"/>
      <c r="S258" s="119"/>
      <c r="T258" s="119"/>
      <c r="U258" s="119"/>
      <c r="V258" s="1"/>
      <c r="W258" s="1"/>
      <c r="X258" s="1"/>
      <c r="Y258" s="1"/>
      <c r="Z258" s="1"/>
    </row>
    <row r="259">
      <c r="A259" s="166"/>
      <c r="B259" s="167"/>
      <c r="C259" s="168"/>
      <c r="D259" s="169"/>
      <c r="E259" s="177"/>
      <c r="F259" s="178"/>
      <c r="G259" s="178"/>
      <c r="H259" s="171"/>
      <c r="I259" s="105"/>
      <c r="J259" s="165"/>
      <c r="K259" s="1"/>
      <c r="L259" s="119"/>
      <c r="M259" s="119"/>
      <c r="N259" s="137"/>
      <c r="O259" s="119"/>
      <c r="P259" s="119"/>
      <c r="Q259" s="119"/>
      <c r="R259" s="119"/>
      <c r="S259" s="119"/>
      <c r="T259" s="119"/>
      <c r="U259" s="119"/>
      <c r="V259" s="1"/>
      <c r="W259" s="1"/>
      <c r="X259" s="1"/>
      <c r="Y259" s="1"/>
      <c r="Z259" s="1"/>
    </row>
    <row r="260">
      <c r="A260" s="166"/>
      <c r="B260" s="167"/>
      <c r="C260" s="168"/>
      <c r="D260" s="169"/>
      <c r="E260" s="177"/>
      <c r="F260" s="178"/>
      <c r="G260" s="178"/>
      <c r="H260" s="171"/>
      <c r="I260" s="105"/>
      <c r="J260" s="165"/>
      <c r="K260" s="1"/>
      <c r="L260" s="119"/>
      <c r="M260" s="119"/>
      <c r="N260" s="137"/>
      <c r="O260" s="119"/>
      <c r="P260" s="119"/>
      <c r="Q260" s="119"/>
      <c r="R260" s="119"/>
      <c r="S260" s="119"/>
      <c r="T260" s="119"/>
      <c r="U260" s="119"/>
      <c r="V260" s="1"/>
      <c r="W260" s="1"/>
      <c r="X260" s="1"/>
      <c r="Y260" s="1"/>
      <c r="Z260" s="1"/>
    </row>
    <row r="261">
      <c r="A261" s="166"/>
      <c r="B261" s="167"/>
      <c r="C261" s="168"/>
      <c r="D261" s="169"/>
      <c r="E261" s="177"/>
      <c r="F261" s="178"/>
      <c r="G261" s="178"/>
      <c r="H261" s="171"/>
      <c r="I261" s="105"/>
      <c r="J261" s="165"/>
      <c r="K261" s="1"/>
      <c r="L261" s="119"/>
      <c r="M261" s="119"/>
      <c r="N261" s="137"/>
      <c r="O261" s="119"/>
      <c r="P261" s="119"/>
      <c r="Q261" s="119"/>
      <c r="R261" s="119"/>
      <c r="S261" s="119"/>
      <c r="T261" s="119"/>
      <c r="U261" s="119"/>
      <c r="V261" s="1"/>
      <c r="W261" s="1"/>
      <c r="X261" s="1"/>
      <c r="Y261" s="1"/>
      <c r="Z261" s="1"/>
    </row>
    <row r="262">
      <c r="A262" s="166"/>
      <c r="B262" s="167"/>
      <c r="C262" s="168"/>
      <c r="D262" s="169"/>
      <c r="E262" s="177"/>
      <c r="F262" s="178"/>
      <c r="G262" s="178"/>
      <c r="H262" s="171"/>
      <c r="I262" s="105"/>
      <c r="J262" s="165"/>
      <c r="K262" s="1"/>
      <c r="L262" s="119"/>
      <c r="M262" s="119"/>
      <c r="N262" s="137"/>
      <c r="O262" s="119"/>
      <c r="P262" s="119"/>
      <c r="Q262" s="119"/>
      <c r="R262" s="119"/>
      <c r="S262" s="119"/>
      <c r="T262" s="119"/>
      <c r="U262" s="119"/>
      <c r="V262" s="1"/>
      <c r="W262" s="1"/>
      <c r="X262" s="1"/>
      <c r="Y262" s="1"/>
      <c r="Z262" s="1"/>
    </row>
    <row r="263">
      <c r="A263" s="166"/>
      <c r="B263" s="167"/>
      <c r="C263" s="168"/>
      <c r="D263" s="169"/>
      <c r="E263" s="177"/>
      <c r="F263" s="178"/>
      <c r="G263" s="178"/>
      <c r="H263" s="171"/>
      <c r="I263" s="105"/>
      <c r="J263" s="165"/>
      <c r="K263" s="1"/>
      <c r="L263" s="119"/>
      <c r="M263" s="119"/>
      <c r="N263" s="137"/>
      <c r="O263" s="119"/>
      <c r="P263" s="119"/>
      <c r="Q263" s="119"/>
      <c r="R263" s="119"/>
      <c r="S263" s="119"/>
      <c r="T263" s="119"/>
      <c r="U263" s="119"/>
      <c r="V263" s="1"/>
      <c r="W263" s="1"/>
      <c r="X263" s="1"/>
      <c r="Y263" s="1"/>
      <c r="Z263" s="1"/>
    </row>
    <row r="264">
      <c r="A264" s="166"/>
      <c r="B264" s="167"/>
      <c r="C264" s="168"/>
      <c r="D264" s="169"/>
      <c r="E264" s="177"/>
      <c r="F264" s="178"/>
      <c r="G264" s="178"/>
      <c r="H264" s="171"/>
      <c r="I264" s="105"/>
      <c r="J264" s="165"/>
      <c r="K264" s="1"/>
      <c r="L264" s="119"/>
      <c r="M264" s="119"/>
      <c r="N264" s="137"/>
      <c r="O264" s="119"/>
      <c r="P264" s="119"/>
      <c r="Q264" s="119"/>
      <c r="R264" s="119"/>
      <c r="S264" s="119"/>
      <c r="T264" s="119"/>
      <c r="U264" s="119"/>
      <c r="V264" s="1"/>
      <c r="W264" s="1"/>
      <c r="X264" s="1"/>
      <c r="Y264" s="1"/>
      <c r="Z264" s="1"/>
    </row>
    <row r="265">
      <c r="A265" s="166"/>
      <c r="B265" s="167"/>
      <c r="C265" s="168"/>
      <c r="D265" s="169"/>
      <c r="E265" s="177"/>
      <c r="F265" s="178"/>
      <c r="G265" s="178"/>
      <c r="H265" s="171"/>
      <c r="I265" s="105"/>
      <c r="J265" s="165"/>
      <c r="K265" s="1"/>
      <c r="L265" s="119"/>
      <c r="M265" s="119"/>
      <c r="N265" s="137"/>
      <c r="O265" s="119"/>
      <c r="P265" s="119"/>
      <c r="Q265" s="119"/>
      <c r="R265" s="119"/>
      <c r="S265" s="119"/>
      <c r="T265" s="119"/>
      <c r="U265" s="119"/>
      <c r="V265" s="1"/>
      <c r="W265" s="1"/>
      <c r="X265" s="1"/>
      <c r="Y265" s="1"/>
      <c r="Z265" s="1"/>
    </row>
    <row r="266">
      <c r="A266" s="166"/>
      <c r="B266" s="167"/>
      <c r="C266" s="168"/>
      <c r="D266" s="169"/>
      <c r="E266" s="177"/>
      <c r="F266" s="178"/>
      <c r="G266" s="178"/>
      <c r="H266" s="171"/>
      <c r="I266" s="105"/>
      <c r="J266" s="165"/>
      <c r="K266" s="1"/>
      <c r="L266" s="119"/>
      <c r="M266" s="119"/>
      <c r="N266" s="137"/>
      <c r="O266" s="119"/>
      <c r="P266" s="119"/>
      <c r="Q266" s="119"/>
      <c r="R266" s="119"/>
      <c r="S266" s="119"/>
      <c r="T266" s="119"/>
      <c r="U266" s="119"/>
      <c r="V266" s="1"/>
      <c r="W266" s="1"/>
      <c r="X266" s="1"/>
      <c r="Y266" s="1"/>
      <c r="Z266" s="1"/>
    </row>
    <row r="267">
      <c r="A267" s="166"/>
      <c r="B267" s="167"/>
      <c r="C267" s="168"/>
      <c r="D267" s="169"/>
      <c r="E267" s="177"/>
      <c r="F267" s="178"/>
      <c r="G267" s="178"/>
      <c r="H267" s="171"/>
      <c r="I267" s="105"/>
      <c r="J267" s="165"/>
      <c r="K267" s="1"/>
      <c r="L267" s="119"/>
      <c r="M267" s="119"/>
      <c r="N267" s="137"/>
      <c r="O267" s="119"/>
      <c r="P267" s="119"/>
      <c r="Q267" s="119"/>
      <c r="R267" s="119"/>
      <c r="S267" s="119"/>
      <c r="T267" s="119"/>
      <c r="U267" s="119"/>
      <c r="V267" s="1"/>
      <c r="W267" s="1"/>
      <c r="X267" s="1"/>
      <c r="Y267" s="1"/>
      <c r="Z267" s="1"/>
    </row>
    <row r="268">
      <c r="A268" s="166"/>
      <c r="B268" s="167"/>
      <c r="C268" s="168"/>
      <c r="D268" s="169"/>
      <c r="E268" s="177"/>
      <c r="F268" s="178"/>
      <c r="G268" s="178"/>
      <c r="H268" s="171"/>
      <c r="I268" s="105"/>
      <c r="J268" s="165"/>
      <c r="K268" s="1"/>
      <c r="L268" s="119"/>
      <c r="M268" s="119"/>
      <c r="N268" s="137"/>
      <c r="O268" s="119"/>
      <c r="P268" s="119"/>
      <c r="Q268" s="119"/>
      <c r="R268" s="119"/>
      <c r="S268" s="119"/>
      <c r="T268" s="119"/>
      <c r="U268" s="119"/>
      <c r="V268" s="1"/>
      <c r="W268" s="1"/>
      <c r="X268" s="1"/>
      <c r="Y268" s="1"/>
      <c r="Z268" s="1"/>
    </row>
    <row r="269">
      <c r="A269" s="166"/>
      <c r="B269" s="167"/>
      <c r="C269" s="168"/>
      <c r="D269" s="169"/>
      <c r="E269" s="177"/>
      <c r="F269" s="178"/>
      <c r="G269" s="178"/>
      <c r="H269" s="171"/>
      <c r="I269" s="105"/>
      <c r="J269" s="165"/>
      <c r="K269" s="1"/>
      <c r="L269" s="119"/>
      <c r="M269" s="119"/>
      <c r="N269" s="137"/>
      <c r="O269" s="119"/>
      <c r="P269" s="119"/>
      <c r="Q269" s="119"/>
      <c r="R269" s="119"/>
      <c r="S269" s="119"/>
      <c r="T269" s="119"/>
      <c r="U269" s="119"/>
      <c r="V269" s="1"/>
      <c r="W269" s="1"/>
      <c r="X269" s="1"/>
      <c r="Y269" s="1"/>
      <c r="Z269" s="1"/>
    </row>
    <row r="270">
      <c r="A270" s="166"/>
      <c r="B270" s="167"/>
      <c r="C270" s="168"/>
      <c r="D270" s="169"/>
      <c r="E270" s="177"/>
      <c r="F270" s="178"/>
      <c r="G270" s="178"/>
      <c r="H270" s="171"/>
      <c r="I270" s="105"/>
      <c r="J270" s="165"/>
      <c r="K270" s="1"/>
      <c r="L270" s="119"/>
      <c r="M270" s="119"/>
      <c r="N270" s="137"/>
      <c r="O270" s="119"/>
      <c r="P270" s="119"/>
      <c r="Q270" s="119"/>
      <c r="R270" s="119"/>
      <c r="S270" s="119"/>
      <c r="T270" s="119"/>
      <c r="U270" s="119"/>
      <c r="V270" s="1"/>
      <c r="W270" s="1"/>
      <c r="X270" s="1"/>
      <c r="Y270" s="1"/>
      <c r="Z270" s="1"/>
    </row>
    <row r="271">
      <c r="A271" s="166"/>
      <c r="B271" s="167"/>
      <c r="C271" s="168"/>
      <c r="D271" s="169"/>
      <c r="E271" s="177"/>
      <c r="F271" s="178"/>
      <c r="G271" s="178"/>
      <c r="H271" s="171"/>
      <c r="I271" s="105"/>
      <c r="J271" s="165"/>
      <c r="K271" s="1"/>
      <c r="L271" s="119"/>
      <c r="M271" s="119"/>
      <c r="N271" s="137"/>
      <c r="O271" s="119"/>
      <c r="P271" s="119"/>
      <c r="Q271" s="119"/>
      <c r="R271" s="119"/>
      <c r="S271" s="119"/>
      <c r="T271" s="119"/>
      <c r="U271" s="119"/>
      <c r="V271" s="1"/>
      <c r="W271" s="1"/>
      <c r="X271" s="1"/>
      <c r="Y271" s="1"/>
      <c r="Z271" s="1"/>
    </row>
    <row r="272">
      <c r="A272" s="166"/>
      <c r="B272" s="167"/>
      <c r="C272" s="168"/>
      <c r="D272" s="169"/>
      <c r="E272" s="177"/>
      <c r="F272" s="178"/>
      <c r="G272" s="178"/>
      <c r="H272" s="171"/>
      <c r="I272" s="105"/>
      <c r="J272" s="165"/>
      <c r="K272" s="1"/>
      <c r="L272" s="119"/>
      <c r="M272" s="119"/>
      <c r="N272" s="137"/>
      <c r="O272" s="119"/>
      <c r="P272" s="119"/>
      <c r="Q272" s="119"/>
      <c r="R272" s="119"/>
      <c r="S272" s="119"/>
      <c r="T272" s="119"/>
      <c r="U272" s="119"/>
      <c r="V272" s="1"/>
      <c r="W272" s="1"/>
      <c r="X272" s="1"/>
      <c r="Y272" s="1"/>
      <c r="Z272" s="1"/>
    </row>
    <row r="273">
      <c r="A273" s="166"/>
      <c r="B273" s="167"/>
      <c r="C273" s="168"/>
      <c r="D273" s="169"/>
      <c r="E273" s="177"/>
      <c r="F273" s="178"/>
      <c r="G273" s="178"/>
      <c r="H273" s="171"/>
      <c r="I273" s="105"/>
      <c r="J273" s="165"/>
      <c r="K273" s="1"/>
      <c r="L273" s="119"/>
      <c r="M273" s="119"/>
      <c r="N273" s="137"/>
      <c r="O273" s="119"/>
      <c r="P273" s="119"/>
      <c r="Q273" s="119"/>
      <c r="R273" s="119"/>
      <c r="S273" s="119"/>
      <c r="T273" s="119"/>
      <c r="U273" s="119"/>
      <c r="V273" s="1"/>
      <c r="W273" s="1"/>
      <c r="X273" s="1"/>
      <c r="Y273" s="1"/>
      <c r="Z273" s="1"/>
    </row>
    <row r="274">
      <c r="A274" s="166"/>
      <c r="B274" s="167"/>
      <c r="C274" s="168"/>
      <c r="D274" s="169"/>
      <c r="E274" s="177"/>
      <c r="F274" s="178"/>
      <c r="G274" s="178"/>
      <c r="H274" s="171"/>
      <c r="I274" s="105"/>
      <c r="J274" s="165"/>
      <c r="K274" s="1"/>
      <c r="L274" s="119"/>
      <c r="M274" s="119"/>
      <c r="N274" s="137"/>
      <c r="O274" s="119"/>
      <c r="P274" s="119"/>
      <c r="Q274" s="119"/>
      <c r="R274" s="119"/>
      <c r="S274" s="119"/>
      <c r="T274" s="119"/>
      <c r="U274" s="119"/>
      <c r="V274" s="1"/>
      <c r="W274" s="1"/>
      <c r="X274" s="1"/>
      <c r="Y274" s="1"/>
      <c r="Z274" s="1"/>
    </row>
    <row r="275">
      <c r="A275" s="166"/>
      <c r="B275" s="167"/>
      <c r="C275" s="168"/>
      <c r="D275" s="169"/>
      <c r="E275" s="177"/>
      <c r="F275" s="178"/>
      <c r="G275" s="178"/>
      <c r="H275" s="171"/>
      <c r="I275" s="105"/>
      <c r="J275" s="165"/>
      <c r="K275" s="1"/>
      <c r="L275" s="119"/>
      <c r="M275" s="119"/>
      <c r="N275" s="137"/>
      <c r="O275" s="119"/>
      <c r="P275" s="119"/>
      <c r="Q275" s="119"/>
      <c r="R275" s="119"/>
      <c r="S275" s="119"/>
      <c r="T275" s="119"/>
      <c r="U275" s="119"/>
      <c r="V275" s="1"/>
      <c r="W275" s="1"/>
      <c r="X275" s="1"/>
      <c r="Y275" s="1"/>
      <c r="Z275" s="1"/>
    </row>
    <row r="276">
      <c r="A276" s="166"/>
      <c r="B276" s="167"/>
      <c r="C276" s="168"/>
      <c r="D276" s="169"/>
      <c r="E276" s="177"/>
      <c r="F276" s="178"/>
      <c r="G276" s="178"/>
      <c r="H276" s="171"/>
      <c r="I276" s="105"/>
      <c r="J276" s="165"/>
      <c r="K276" s="1"/>
      <c r="L276" s="119"/>
      <c r="M276" s="119"/>
      <c r="N276" s="137"/>
      <c r="O276" s="119"/>
      <c r="P276" s="119"/>
      <c r="Q276" s="119"/>
      <c r="R276" s="119"/>
      <c r="S276" s="119"/>
      <c r="T276" s="119"/>
      <c r="U276" s="119"/>
      <c r="V276" s="1"/>
      <c r="W276" s="1"/>
      <c r="X276" s="1"/>
      <c r="Y276" s="1"/>
      <c r="Z276" s="1"/>
    </row>
    <row r="277">
      <c r="A277" s="166"/>
      <c r="B277" s="167"/>
      <c r="C277" s="168"/>
      <c r="D277" s="169"/>
      <c r="E277" s="177"/>
      <c r="F277" s="178"/>
      <c r="G277" s="178"/>
      <c r="H277" s="171"/>
      <c r="I277" s="105"/>
      <c r="J277" s="165"/>
      <c r="K277" s="1"/>
      <c r="L277" s="119"/>
      <c r="M277" s="119"/>
      <c r="N277" s="137"/>
      <c r="O277" s="119"/>
      <c r="P277" s="119"/>
      <c r="Q277" s="119"/>
      <c r="R277" s="119"/>
      <c r="S277" s="119"/>
      <c r="T277" s="119"/>
      <c r="U277" s="119"/>
      <c r="V277" s="1"/>
      <c r="W277" s="1"/>
      <c r="X277" s="1"/>
      <c r="Y277" s="1"/>
      <c r="Z277" s="1"/>
    </row>
    <row r="278">
      <c r="A278" s="166"/>
      <c r="B278" s="167"/>
      <c r="C278" s="168"/>
      <c r="D278" s="169"/>
      <c r="E278" s="177"/>
      <c r="F278" s="178"/>
      <c r="G278" s="178"/>
      <c r="H278" s="171"/>
      <c r="I278" s="105"/>
      <c r="J278" s="165"/>
      <c r="K278" s="1"/>
      <c r="L278" s="119"/>
      <c r="M278" s="119"/>
      <c r="N278" s="137"/>
      <c r="O278" s="119"/>
      <c r="P278" s="119"/>
      <c r="Q278" s="119"/>
      <c r="R278" s="119"/>
      <c r="S278" s="119"/>
      <c r="T278" s="119"/>
      <c r="U278" s="119"/>
      <c r="V278" s="1"/>
      <c r="W278" s="1"/>
      <c r="X278" s="1"/>
      <c r="Y278" s="1"/>
      <c r="Z278" s="1"/>
    </row>
    <row r="279">
      <c r="A279" s="166"/>
      <c r="B279" s="167"/>
      <c r="C279" s="168"/>
      <c r="D279" s="169"/>
      <c r="E279" s="177"/>
      <c r="F279" s="178"/>
      <c r="G279" s="178"/>
      <c r="H279" s="171"/>
      <c r="I279" s="105"/>
      <c r="J279" s="165"/>
      <c r="K279" s="1"/>
      <c r="L279" s="119"/>
      <c r="M279" s="119"/>
      <c r="N279" s="137"/>
      <c r="O279" s="119"/>
      <c r="P279" s="119"/>
      <c r="Q279" s="119"/>
      <c r="R279" s="119"/>
      <c r="S279" s="119"/>
      <c r="T279" s="119"/>
      <c r="U279" s="119"/>
      <c r="V279" s="1"/>
      <c r="W279" s="1"/>
      <c r="X279" s="1"/>
      <c r="Y279" s="1"/>
      <c r="Z279" s="1"/>
    </row>
    <row r="280">
      <c r="A280" s="166"/>
      <c r="B280" s="167"/>
      <c r="C280" s="168"/>
      <c r="D280" s="169"/>
      <c r="E280" s="177"/>
      <c r="F280" s="178"/>
      <c r="G280" s="178"/>
      <c r="H280" s="171"/>
      <c r="I280" s="105"/>
      <c r="J280" s="165"/>
      <c r="K280" s="1"/>
      <c r="L280" s="119"/>
      <c r="M280" s="119"/>
      <c r="N280" s="137"/>
      <c r="O280" s="119"/>
      <c r="P280" s="119"/>
      <c r="Q280" s="119"/>
      <c r="R280" s="119"/>
      <c r="S280" s="119"/>
      <c r="T280" s="119"/>
      <c r="U280" s="119"/>
      <c r="V280" s="1"/>
      <c r="W280" s="1"/>
      <c r="X280" s="1"/>
      <c r="Y280" s="1"/>
      <c r="Z280" s="1"/>
    </row>
    <row r="281">
      <c r="A281" s="166"/>
      <c r="B281" s="167"/>
      <c r="C281" s="168"/>
      <c r="D281" s="169"/>
      <c r="E281" s="177"/>
      <c r="F281" s="178"/>
      <c r="G281" s="178"/>
      <c r="H281" s="171"/>
      <c r="I281" s="105"/>
      <c r="J281" s="165"/>
      <c r="K281" s="1"/>
      <c r="L281" s="119"/>
      <c r="M281" s="119"/>
      <c r="N281" s="137"/>
      <c r="O281" s="119"/>
      <c r="P281" s="119"/>
      <c r="Q281" s="119"/>
      <c r="R281" s="119"/>
      <c r="S281" s="119"/>
      <c r="T281" s="119"/>
      <c r="U281" s="119"/>
      <c r="V281" s="1"/>
      <c r="W281" s="1"/>
      <c r="X281" s="1"/>
      <c r="Y281" s="1"/>
      <c r="Z281" s="1"/>
    </row>
    <row r="282">
      <c r="A282" s="166"/>
      <c r="B282" s="167"/>
      <c r="C282" s="168"/>
      <c r="D282" s="169"/>
      <c r="E282" s="177"/>
      <c r="F282" s="178"/>
      <c r="G282" s="178"/>
      <c r="H282" s="171"/>
      <c r="I282" s="105"/>
      <c r="J282" s="165"/>
      <c r="K282" s="1"/>
      <c r="L282" s="119"/>
      <c r="M282" s="119"/>
      <c r="N282" s="137"/>
      <c r="O282" s="119"/>
      <c r="P282" s="119"/>
      <c r="Q282" s="119"/>
      <c r="R282" s="119"/>
      <c r="S282" s="119"/>
      <c r="T282" s="119"/>
      <c r="U282" s="119"/>
      <c r="V282" s="1"/>
      <c r="W282" s="1"/>
      <c r="X282" s="1"/>
      <c r="Y282" s="1"/>
      <c r="Z282" s="1"/>
    </row>
    <row r="283">
      <c r="A283" s="166"/>
      <c r="B283" s="167"/>
      <c r="C283" s="168"/>
      <c r="D283" s="169"/>
      <c r="E283" s="177"/>
      <c r="F283" s="178"/>
      <c r="G283" s="178"/>
      <c r="H283" s="171"/>
      <c r="I283" s="105"/>
      <c r="J283" s="165"/>
      <c r="K283" s="1"/>
      <c r="L283" s="119"/>
      <c r="M283" s="119"/>
      <c r="N283" s="137"/>
      <c r="O283" s="119"/>
      <c r="P283" s="119"/>
      <c r="Q283" s="119"/>
      <c r="R283" s="119"/>
      <c r="S283" s="119"/>
      <c r="T283" s="119"/>
      <c r="U283" s="119"/>
      <c r="V283" s="1"/>
      <c r="W283" s="1"/>
      <c r="X283" s="1"/>
      <c r="Y283" s="1"/>
      <c r="Z283" s="1"/>
    </row>
    <row r="284">
      <c r="A284" s="166"/>
      <c r="B284" s="167"/>
      <c r="C284" s="168"/>
      <c r="D284" s="169"/>
      <c r="E284" s="177"/>
      <c r="F284" s="178"/>
      <c r="G284" s="178"/>
      <c r="H284" s="171"/>
      <c r="I284" s="105"/>
      <c r="J284" s="165"/>
      <c r="K284" s="1"/>
      <c r="L284" s="119"/>
      <c r="M284" s="119"/>
      <c r="N284" s="137"/>
      <c r="O284" s="119"/>
      <c r="P284" s="119"/>
      <c r="Q284" s="119"/>
      <c r="R284" s="119"/>
      <c r="S284" s="119"/>
      <c r="T284" s="119"/>
      <c r="U284" s="119"/>
      <c r="V284" s="1"/>
      <c r="W284" s="1"/>
      <c r="X284" s="1"/>
      <c r="Y284" s="1"/>
      <c r="Z284" s="1"/>
    </row>
    <row r="285">
      <c r="A285" s="166"/>
      <c r="B285" s="167"/>
      <c r="C285" s="168"/>
      <c r="D285" s="169"/>
      <c r="E285" s="177"/>
      <c r="F285" s="178"/>
      <c r="G285" s="178"/>
      <c r="H285" s="171"/>
      <c r="I285" s="105"/>
      <c r="J285" s="165"/>
      <c r="K285" s="1"/>
      <c r="L285" s="119"/>
      <c r="M285" s="119"/>
      <c r="N285" s="137"/>
      <c r="O285" s="119"/>
      <c r="P285" s="119"/>
      <c r="Q285" s="119"/>
      <c r="R285" s="119"/>
      <c r="S285" s="119"/>
      <c r="T285" s="119"/>
      <c r="U285" s="119"/>
      <c r="V285" s="1"/>
      <c r="W285" s="1"/>
      <c r="X285" s="1"/>
      <c r="Y285" s="1"/>
      <c r="Z285" s="1"/>
    </row>
    <row r="286">
      <c r="A286" s="166"/>
      <c r="B286" s="167"/>
      <c r="C286" s="168"/>
      <c r="D286" s="169"/>
      <c r="E286" s="177"/>
      <c r="F286" s="178"/>
      <c r="G286" s="178"/>
      <c r="H286" s="171"/>
      <c r="I286" s="105"/>
      <c r="J286" s="165"/>
      <c r="K286" s="1"/>
      <c r="L286" s="119"/>
      <c r="M286" s="119"/>
      <c r="N286" s="137"/>
      <c r="O286" s="119"/>
      <c r="P286" s="119"/>
      <c r="Q286" s="119"/>
      <c r="R286" s="119"/>
      <c r="S286" s="119"/>
      <c r="T286" s="119"/>
      <c r="U286" s="119"/>
      <c r="V286" s="1"/>
      <c r="W286" s="1"/>
      <c r="X286" s="1"/>
      <c r="Y286" s="1"/>
      <c r="Z286" s="1"/>
    </row>
    <row r="287">
      <c r="A287" s="166"/>
      <c r="B287" s="167"/>
      <c r="C287" s="168"/>
      <c r="D287" s="169"/>
      <c r="E287" s="177"/>
      <c r="F287" s="178"/>
      <c r="G287" s="178"/>
      <c r="H287" s="171"/>
      <c r="I287" s="105"/>
      <c r="J287" s="165"/>
      <c r="K287" s="1"/>
      <c r="L287" s="119"/>
      <c r="M287" s="119"/>
      <c r="N287" s="137"/>
      <c r="O287" s="119"/>
      <c r="P287" s="119"/>
      <c r="Q287" s="119"/>
      <c r="R287" s="119"/>
      <c r="S287" s="119"/>
      <c r="T287" s="119"/>
      <c r="U287" s="119"/>
      <c r="V287" s="1"/>
      <c r="W287" s="1"/>
      <c r="X287" s="1"/>
      <c r="Y287" s="1"/>
      <c r="Z287" s="1"/>
    </row>
    <row r="288">
      <c r="A288" s="166"/>
      <c r="B288" s="167"/>
      <c r="C288" s="168"/>
      <c r="D288" s="169"/>
      <c r="E288" s="177"/>
      <c r="F288" s="178"/>
      <c r="G288" s="178"/>
      <c r="H288" s="171"/>
      <c r="I288" s="105"/>
      <c r="J288" s="165"/>
      <c r="K288" s="1"/>
      <c r="L288" s="119"/>
      <c r="M288" s="119"/>
      <c r="N288" s="137"/>
      <c r="O288" s="119"/>
      <c r="P288" s="119"/>
      <c r="Q288" s="119"/>
      <c r="R288" s="119"/>
      <c r="S288" s="119"/>
      <c r="T288" s="119"/>
      <c r="U288" s="119"/>
      <c r="V288" s="1"/>
      <c r="W288" s="1"/>
      <c r="X288" s="1"/>
      <c r="Y288" s="1"/>
      <c r="Z288" s="1"/>
    </row>
    <row r="289">
      <c r="A289" s="166"/>
      <c r="B289" s="167"/>
      <c r="C289" s="168"/>
      <c r="D289" s="169"/>
      <c r="E289" s="177"/>
      <c r="F289" s="178"/>
      <c r="G289" s="178"/>
      <c r="H289" s="171"/>
      <c r="I289" s="105"/>
      <c r="J289" s="165"/>
      <c r="K289" s="1"/>
      <c r="L289" s="119"/>
      <c r="M289" s="119"/>
      <c r="N289" s="137"/>
      <c r="O289" s="119"/>
      <c r="P289" s="119"/>
      <c r="Q289" s="119"/>
      <c r="R289" s="119"/>
      <c r="S289" s="119"/>
      <c r="T289" s="119"/>
      <c r="U289" s="119"/>
      <c r="V289" s="1"/>
      <c r="W289" s="1"/>
      <c r="X289" s="1"/>
      <c r="Y289" s="1"/>
      <c r="Z289" s="1"/>
    </row>
    <row r="290">
      <c r="A290" s="166"/>
      <c r="B290" s="167"/>
      <c r="C290" s="168"/>
      <c r="D290" s="169"/>
      <c r="E290" s="177"/>
      <c r="F290" s="178"/>
      <c r="G290" s="178"/>
      <c r="H290" s="171"/>
      <c r="I290" s="105"/>
      <c r="J290" s="165"/>
      <c r="K290" s="1"/>
      <c r="L290" s="119"/>
      <c r="M290" s="119"/>
      <c r="N290" s="137"/>
      <c r="O290" s="119"/>
      <c r="P290" s="119"/>
      <c r="Q290" s="119"/>
      <c r="R290" s="119"/>
      <c r="S290" s="119"/>
      <c r="T290" s="119"/>
      <c r="U290" s="119"/>
      <c r="V290" s="1"/>
      <c r="W290" s="1"/>
      <c r="X290" s="1"/>
      <c r="Y290" s="1"/>
      <c r="Z290" s="1"/>
    </row>
    <row r="291">
      <c r="A291" s="166"/>
      <c r="B291" s="167"/>
      <c r="C291" s="168"/>
      <c r="D291" s="169"/>
      <c r="E291" s="177"/>
      <c r="F291" s="178"/>
      <c r="G291" s="178"/>
      <c r="H291" s="171"/>
      <c r="I291" s="105"/>
      <c r="J291" s="165"/>
      <c r="K291" s="1"/>
      <c r="L291" s="119"/>
      <c r="M291" s="119"/>
      <c r="N291" s="137"/>
      <c r="O291" s="119"/>
      <c r="P291" s="119"/>
      <c r="Q291" s="119"/>
      <c r="R291" s="119"/>
      <c r="S291" s="119"/>
      <c r="T291" s="119"/>
      <c r="U291" s="119"/>
      <c r="V291" s="1"/>
      <c r="W291" s="1"/>
      <c r="X291" s="1"/>
      <c r="Y291" s="1"/>
      <c r="Z291" s="1"/>
    </row>
    <row r="292">
      <c r="A292" s="166"/>
      <c r="B292" s="167"/>
      <c r="C292" s="168"/>
      <c r="D292" s="169"/>
      <c r="E292" s="177"/>
      <c r="F292" s="178"/>
      <c r="G292" s="178"/>
      <c r="H292" s="171"/>
      <c r="I292" s="105"/>
      <c r="J292" s="165"/>
      <c r="K292" s="1"/>
      <c r="L292" s="119"/>
      <c r="M292" s="119"/>
      <c r="N292" s="137"/>
      <c r="O292" s="119"/>
      <c r="P292" s="119"/>
      <c r="Q292" s="119"/>
      <c r="R292" s="119"/>
      <c r="S292" s="119"/>
      <c r="T292" s="119"/>
      <c r="U292" s="119"/>
      <c r="V292" s="1"/>
      <c r="W292" s="1"/>
      <c r="X292" s="1"/>
      <c r="Y292" s="1"/>
      <c r="Z292" s="1"/>
    </row>
    <row r="293">
      <c r="A293" s="166"/>
      <c r="B293" s="167"/>
      <c r="C293" s="168"/>
      <c r="D293" s="169"/>
      <c r="E293" s="177"/>
      <c r="F293" s="178"/>
      <c r="G293" s="178"/>
      <c r="H293" s="171"/>
      <c r="I293" s="105"/>
      <c r="J293" s="165"/>
      <c r="K293" s="1"/>
      <c r="L293" s="119"/>
      <c r="M293" s="119"/>
      <c r="N293" s="137"/>
      <c r="O293" s="119"/>
      <c r="P293" s="119"/>
      <c r="Q293" s="119"/>
      <c r="R293" s="119"/>
      <c r="S293" s="119"/>
      <c r="T293" s="119"/>
      <c r="U293" s="119"/>
      <c r="V293" s="1"/>
      <c r="W293" s="1"/>
      <c r="X293" s="1"/>
      <c r="Y293" s="1"/>
      <c r="Z293" s="1"/>
    </row>
    <row r="294">
      <c r="A294" s="166"/>
      <c r="B294" s="167"/>
      <c r="C294" s="168"/>
      <c r="D294" s="169"/>
      <c r="E294" s="177"/>
      <c r="F294" s="178"/>
      <c r="G294" s="178"/>
      <c r="H294" s="171"/>
      <c r="I294" s="105"/>
      <c r="J294" s="165"/>
      <c r="K294" s="1"/>
      <c r="L294" s="119"/>
      <c r="M294" s="119"/>
      <c r="N294" s="137"/>
      <c r="O294" s="119"/>
      <c r="P294" s="119"/>
      <c r="Q294" s="119"/>
      <c r="R294" s="119"/>
      <c r="S294" s="119"/>
      <c r="T294" s="119"/>
      <c r="U294" s="119"/>
      <c r="V294" s="1"/>
      <c r="W294" s="1"/>
      <c r="X294" s="1"/>
      <c r="Y294" s="1"/>
      <c r="Z294" s="1"/>
    </row>
    <row r="295">
      <c r="A295" s="166"/>
      <c r="B295" s="167"/>
      <c r="C295" s="168"/>
      <c r="D295" s="169"/>
      <c r="E295" s="177"/>
      <c r="F295" s="178"/>
      <c r="G295" s="178"/>
      <c r="H295" s="171"/>
      <c r="I295" s="105"/>
      <c r="J295" s="165"/>
      <c r="K295" s="1"/>
      <c r="L295" s="119"/>
      <c r="M295" s="119"/>
      <c r="N295" s="137"/>
      <c r="O295" s="119"/>
      <c r="P295" s="119"/>
      <c r="Q295" s="119"/>
      <c r="R295" s="119"/>
      <c r="S295" s="119"/>
      <c r="T295" s="119"/>
      <c r="U295" s="119"/>
      <c r="V295" s="1"/>
      <c r="W295" s="1"/>
      <c r="X295" s="1"/>
      <c r="Y295" s="1"/>
      <c r="Z295" s="1"/>
    </row>
    <row r="296">
      <c r="A296" s="166"/>
      <c r="B296" s="167"/>
      <c r="C296" s="168"/>
      <c r="D296" s="169"/>
      <c r="E296" s="177"/>
      <c r="F296" s="178"/>
      <c r="G296" s="178"/>
      <c r="H296" s="171"/>
      <c r="I296" s="105"/>
      <c r="J296" s="165"/>
      <c r="K296" s="1"/>
      <c r="L296" s="119"/>
      <c r="M296" s="119"/>
      <c r="N296" s="137"/>
      <c r="O296" s="119"/>
      <c r="P296" s="119"/>
      <c r="Q296" s="119"/>
      <c r="R296" s="119"/>
      <c r="S296" s="119"/>
      <c r="T296" s="119"/>
      <c r="U296" s="119"/>
      <c r="V296" s="1"/>
      <c r="W296" s="1"/>
      <c r="X296" s="1"/>
      <c r="Y296" s="1"/>
      <c r="Z296" s="1"/>
    </row>
    <row r="297">
      <c r="A297" s="166"/>
      <c r="B297" s="167"/>
      <c r="C297" s="168"/>
      <c r="D297" s="169"/>
      <c r="E297" s="177"/>
      <c r="F297" s="178"/>
      <c r="G297" s="178"/>
      <c r="H297" s="171"/>
      <c r="I297" s="105"/>
      <c r="J297" s="165"/>
      <c r="K297" s="1"/>
      <c r="L297" s="119"/>
      <c r="M297" s="119"/>
      <c r="N297" s="137"/>
      <c r="O297" s="119"/>
      <c r="P297" s="119"/>
      <c r="Q297" s="119"/>
      <c r="R297" s="119"/>
      <c r="S297" s="119"/>
      <c r="T297" s="119"/>
      <c r="U297" s="119"/>
      <c r="V297" s="1"/>
      <c r="W297" s="1"/>
      <c r="X297" s="1"/>
      <c r="Y297" s="1"/>
      <c r="Z297" s="1"/>
    </row>
    <row r="298">
      <c r="A298" s="166"/>
      <c r="B298" s="167"/>
      <c r="C298" s="168"/>
      <c r="D298" s="169"/>
      <c r="E298" s="177"/>
      <c r="F298" s="178"/>
      <c r="G298" s="178"/>
      <c r="H298" s="171"/>
      <c r="I298" s="105"/>
      <c r="J298" s="165"/>
      <c r="K298" s="1"/>
      <c r="L298" s="119"/>
      <c r="M298" s="119"/>
      <c r="N298" s="137"/>
      <c r="O298" s="119"/>
      <c r="P298" s="119"/>
      <c r="Q298" s="119"/>
      <c r="R298" s="119"/>
      <c r="S298" s="119"/>
      <c r="T298" s="119"/>
      <c r="U298" s="119"/>
      <c r="V298" s="1"/>
      <c r="W298" s="1"/>
      <c r="X298" s="1"/>
      <c r="Y298" s="1"/>
      <c r="Z298" s="1"/>
    </row>
    <row r="299">
      <c r="A299" s="166"/>
      <c r="B299" s="167"/>
      <c r="C299" s="168"/>
      <c r="D299" s="169"/>
      <c r="E299" s="177"/>
      <c r="F299" s="178"/>
      <c r="G299" s="178"/>
      <c r="H299" s="171"/>
      <c r="I299" s="105"/>
      <c r="J299" s="165"/>
      <c r="K299" s="1"/>
      <c r="L299" s="119"/>
      <c r="M299" s="119"/>
      <c r="N299" s="137"/>
      <c r="O299" s="119"/>
      <c r="P299" s="119"/>
      <c r="Q299" s="119"/>
      <c r="R299" s="119"/>
      <c r="S299" s="119"/>
      <c r="T299" s="119"/>
      <c r="U299" s="119"/>
      <c r="V299" s="1"/>
      <c r="W299" s="1"/>
      <c r="X299" s="1"/>
      <c r="Y299" s="1"/>
      <c r="Z299" s="1"/>
    </row>
    <row r="300">
      <c r="A300" s="166"/>
      <c r="B300" s="167"/>
      <c r="C300" s="168"/>
      <c r="D300" s="169"/>
      <c r="E300" s="177"/>
      <c r="F300" s="178"/>
      <c r="G300" s="178"/>
      <c r="H300" s="171"/>
      <c r="I300" s="105"/>
      <c r="J300" s="165"/>
      <c r="K300" s="1"/>
      <c r="L300" s="119"/>
      <c r="M300" s="119"/>
      <c r="N300" s="137"/>
      <c r="O300" s="119"/>
      <c r="P300" s="119"/>
      <c r="Q300" s="119"/>
      <c r="R300" s="119"/>
      <c r="S300" s="119"/>
      <c r="T300" s="119"/>
      <c r="U300" s="119"/>
      <c r="V300" s="1"/>
      <c r="W300" s="1"/>
      <c r="X300" s="1"/>
      <c r="Y300" s="1"/>
      <c r="Z300" s="1"/>
    </row>
    <row r="301">
      <c r="A301" s="166"/>
      <c r="B301" s="167"/>
      <c r="C301" s="168"/>
      <c r="D301" s="169"/>
      <c r="E301" s="177"/>
      <c r="F301" s="178"/>
      <c r="G301" s="178"/>
      <c r="H301" s="171"/>
      <c r="I301" s="105"/>
      <c r="J301" s="165"/>
      <c r="K301" s="1"/>
      <c r="L301" s="119"/>
      <c r="M301" s="119"/>
      <c r="N301" s="137"/>
      <c r="O301" s="119"/>
      <c r="P301" s="119"/>
      <c r="Q301" s="119"/>
      <c r="R301" s="119"/>
      <c r="S301" s="119"/>
      <c r="T301" s="119"/>
      <c r="U301" s="119"/>
      <c r="V301" s="1"/>
      <c r="W301" s="1"/>
      <c r="X301" s="1"/>
      <c r="Y301" s="1"/>
      <c r="Z301" s="1"/>
    </row>
    <row r="302">
      <c r="A302" s="166"/>
      <c r="B302" s="167"/>
      <c r="C302" s="168"/>
      <c r="D302" s="169"/>
      <c r="E302" s="177"/>
      <c r="F302" s="178"/>
      <c r="G302" s="178"/>
      <c r="H302" s="171"/>
      <c r="I302" s="105"/>
      <c r="J302" s="165"/>
      <c r="K302" s="1"/>
      <c r="L302" s="119"/>
      <c r="M302" s="119"/>
      <c r="N302" s="137"/>
      <c r="O302" s="119"/>
      <c r="P302" s="119"/>
      <c r="Q302" s="119"/>
      <c r="R302" s="119"/>
      <c r="S302" s="119"/>
      <c r="T302" s="119"/>
      <c r="U302" s="119"/>
      <c r="V302" s="1"/>
      <c r="W302" s="1"/>
      <c r="X302" s="1"/>
      <c r="Y302" s="1"/>
      <c r="Z302" s="1"/>
    </row>
    <row r="303">
      <c r="A303" s="166"/>
      <c r="B303" s="167"/>
      <c r="C303" s="168"/>
      <c r="D303" s="169"/>
      <c r="E303" s="177"/>
      <c r="F303" s="178"/>
      <c r="G303" s="178"/>
      <c r="H303" s="171"/>
      <c r="I303" s="105"/>
      <c r="J303" s="165"/>
      <c r="K303" s="1"/>
      <c r="L303" s="119"/>
      <c r="M303" s="119"/>
      <c r="N303" s="137"/>
      <c r="O303" s="119"/>
      <c r="P303" s="119"/>
      <c r="Q303" s="119"/>
      <c r="R303" s="119"/>
      <c r="S303" s="119"/>
      <c r="T303" s="119"/>
      <c r="U303" s="119"/>
      <c r="V303" s="1"/>
      <c r="W303" s="1"/>
      <c r="X303" s="1"/>
      <c r="Y303" s="1"/>
      <c r="Z303" s="1"/>
    </row>
    <row r="304">
      <c r="A304" s="166"/>
      <c r="B304" s="167"/>
      <c r="C304" s="168"/>
      <c r="D304" s="169"/>
      <c r="E304" s="177"/>
      <c r="F304" s="178"/>
      <c r="G304" s="178"/>
      <c r="H304" s="171"/>
      <c r="I304" s="105"/>
      <c r="J304" s="165"/>
      <c r="K304" s="1"/>
      <c r="L304" s="119"/>
      <c r="M304" s="119"/>
      <c r="N304" s="137"/>
      <c r="O304" s="119"/>
      <c r="P304" s="119"/>
      <c r="Q304" s="119"/>
      <c r="R304" s="119"/>
      <c r="S304" s="119"/>
      <c r="T304" s="119"/>
      <c r="U304" s="119"/>
      <c r="V304" s="1"/>
      <c r="W304" s="1"/>
      <c r="X304" s="1"/>
      <c r="Y304" s="1"/>
      <c r="Z304" s="1"/>
    </row>
    <row r="305">
      <c r="A305" s="166"/>
      <c r="B305" s="167"/>
      <c r="C305" s="168"/>
      <c r="D305" s="169"/>
      <c r="E305" s="177"/>
      <c r="F305" s="178"/>
      <c r="G305" s="178"/>
      <c r="H305" s="171"/>
      <c r="I305" s="105"/>
      <c r="J305" s="165"/>
      <c r="K305" s="1"/>
      <c r="L305" s="119"/>
      <c r="M305" s="119"/>
      <c r="N305" s="137"/>
      <c r="O305" s="119"/>
      <c r="P305" s="119"/>
      <c r="Q305" s="119"/>
      <c r="R305" s="119"/>
      <c r="S305" s="119"/>
      <c r="T305" s="119"/>
      <c r="U305" s="119"/>
      <c r="V305" s="1"/>
      <c r="W305" s="1"/>
      <c r="X305" s="1"/>
      <c r="Y305" s="1"/>
      <c r="Z305" s="1"/>
    </row>
    <row r="306">
      <c r="A306" s="166"/>
      <c r="B306" s="167"/>
      <c r="C306" s="168"/>
      <c r="D306" s="169"/>
      <c r="E306" s="177"/>
      <c r="F306" s="178"/>
      <c r="G306" s="178"/>
      <c r="H306" s="171"/>
      <c r="I306" s="105"/>
      <c r="J306" s="165"/>
      <c r="K306" s="1"/>
      <c r="L306" s="119"/>
      <c r="M306" s="119"/>
      <c r="N306" s="137"/>
      <c r="O306" s="119"/>
      <c r="P306" s="119"/>
      <c r="Q306" s="119"/>
      <c r="R306" s="119"/>
      <c r="S306" s="119"/>
      <c r="T306" s="119"/>
      <c r="U306" s="119"/>
      <c r="V306" s="1"/>
      <c r="W306" s="1"/>
      <c r="X306" s="1"/>
      <c r="Y306" s="1"/>
      <c r="Z306" s="1"/>
    </row>
    <row r="307">
      <c r="A307" s="166"/>
      <c r="B307" s="167"/>
      <c r="C307" s="168"/>
      <c r="D307" s="169"/>
      <c r="E307" s="177"/>
      <c r="F307" s="178"/>
      <c r="G307" s="178"/>
      <c r="H307" s="171"/>
      <c r="I307" s="105"/>
      <c r="J307" s="165"/>
      <c r="K307" s="1"/>
      <c r="L307" s="119"/>
      <c r="M307" s="119"/>
      <c r="N307" s="137"/>
      <c r="O307" s="119"/>
      <c r="P307" s="119"/>
      <c r="Q307" s="119"/>
      <c r="R307" s="119"/>
      <c r="S307" s="119"/>
      <c r="T307" s="119"/>
      <c r="U307" s="119"/>
      <c r="V307" s="1"/>
      <c r="W307" s="1"/>
      <c r="X307" s="1"/>
      <c r="Y307" s="1"/>
      <c r="Z307" s="1"/>
    </row>
    <row r="308">
      <c r="A308" s="166"/>
      <c r="B308" s="167"/>
      <c r="C308" s="168"/>
      <c r="D308" s="169"/>
      <c r="E308" s="177"/>
      <c r="F308" s="178"/>
      <c r="G308" s="178"/>
      <c r="H308" s="171"/>
      <c r="I308" s="105"/>
      <c r="J308" s="165"/>
      <c r="K308" s="1"/>
      <c r="L308" s="119"/>
      <c r="M308" s="119"/>
      <c r="N308" s="137"/>
      <c r="O308" s="119"/>
      <c r="P308" s="119"/>
      <c r="Q308" s="119"/>
      <c r="R308" s="119"/>
      <c r="S308" s="119"/>
      <c r="T308" s="119"/>
      <c r="U308" s="119"/>
      <c r="V308" s="1"/>
      <c r="W308" s="1"/>
      <c r="X308" s="1"/>
      <c r="Y308" s="1"/>
      <c r="Z308" s="1"/>
    </row>
    <row r="309">
      <c r="A309" s="166"/>
      <c r="B309" s="167"/>
      <c r="C309" s="168"/>
      <c r="D309" s="169"/>
      <c r="E309" s="177"/>
      <c r="F309" s="178"/>
      <c r="G309" s="178"/>
      <c r="H309" s="171"/>
      <c r="I309" s="105"/>
      <c r="J309" s="165"/>
      <c r="K309" s="1"/>
      <c r="L309" s="119"/>
      <c r="M309" s="119"/>
      <c r="N309" s="137"/>
      <c r="O309" s="119"/>
      <c r="P309" s="119"/>
      <c r="Q309" s="119"/>
      <c r="R309" s="119"/>
      <c r="S309" s="119"/>
      <c r="T309" s="119"/>
      <c r="U309" s="119"/>
      <c r="V309" s="1"/>
      <c r="W309" s="1"/>
      <c r="X309" s="1"/>
      <c r="Y309" s="1"/>
      <c r="Z309" s="1"/>
    </row>
    <row r="310">
      <c r="A310" s="166"/>
      <c r="B310" s="167"/>
      <c r="C310" s="168"/>
      <c r="D310" s="169"/>
      <c r="E310" s="177"/>
      <c r="F310" s="178"/>
      <c r="G310" s="178"/>
      <c r="H310" s="171"/>
      <c r="I310" s="105"/>
      <c r="J310" s="165"/>
      <c r="K310" s="1"/>
      <c r="L310" s="119"/>
      <c r="M310" s="119"/>
      <c r="N310" s="137"/>
      <c r="O310" s="119"/>
      <c r="P310" s="119"/>
      <c r="Q310" s="119"/>
      <c r="R310" s="119"/>
      <c r="S310" s="119"/>
      <c r="T310" s="119"/>
      <c r="U310" s="119"/>
      <c r="V310" s="1"/>
      <c r="W310" s="1"/>
      <c r="X310" s="1"/>
      <c r="Y310" s="1"/>
      <c r="Z310" s="1"/>
    </row>
    <row r="311">
      <c r="A311" s="166"/>
      <c r="B311" s="167"/>
      <c r="C311" s="168"/>
      <c r="D311" s="169"/>
      <c r="E311" s="177"/>
      <c r="F311" s="178"/>
      <c r="G311" s="178"/>
      <c r="H311" s="171"/>
      <c r="I311" s="105"/>
      <c r="J311" s="165"/>
      <c r="K311" s="1"/>
      <c r="L311" s="119"/>
      <c r="M311" s="119"/>
      <c r="N311" s="137"/>
      <c r="O311" s="119"/>
      <c r="P311" s="119"/>
      <c r="Q311" s="119"/>
      <c r="R311" s="119"/>
      <c r="S311" s="119"/>
      <c r="T311" s="119"/>
      <c r="U311" s="119"/>
      <c r="V311" s="1"/>
      <c r="W311" s="1"/>
      <c r="X311" s="1"/>
      <c r="Y311" s="1"/>
      <c r="Z311" s="1"/>
    </row>
    <row r="312">
      <c r="A312" s="166"/>
      <c r="B312" s="167"/>
      <c r="C312" s="168"/>
      <c r="D312" s="169"/>
      <c r="E312" s="177"/>
      <c r="F312" s="178"/>
      <c r="G312" s="178"/>
      <c r="H312" s="171"/>
      <c r="I312" s="105"/>
      <c r="J312" s="165"/>
      <c r="K312" s="1"/>
      <c r="L312" s="119"/>
      <c r="M312" s="119"/>
      <c r="N312" s="137"/>
      <c r="O312" s="119"/>
      <c r="P312" s="119"/>
      <c r="Q312" s="119"/>
      <c r="R312" s="119"/>
      <c r="S312" s="119"/>
      <c r="T312" s="119"/>
      <c r="U312" s="119"/>
      <c r="V312" s="1"/>
      <c r="W312" s="1"/>
      <c r="X312" s="1"/>
      <c r="Y312" s="1"/>
      <c r="Z312" s="1"/>
    </row>
    <row r="313">
      <c r="A313" s="166"/>
      <c r="B313" s="167"/>
      <c r="C313" s="168"/>
      <c r="D313" s="169"/>
      <c r="E313" s="177"/>
      <c r="F313" s="178"/>
      <c r="G313" s="178"/>
      <c r="H313" s="171"/>
      <c r="I313" s="105"/>
      <c r="J313" s="165"/>
      <c r="K313" s="1"/>
      <c r="L313" s="119"/>
      <c r="M313" s="119"/>
      <c r="N313" s="137"/>
      <c r="O313" s="119"/>
      <c r="P313" s="119"/>
      <c r="Q313" s="119"/>
      <c r="R313" s="119"/>
      <c r="S313" s="119"/>
      <c r="T313" s="119"/>
      <c r="U313" s="119"/>
      <c r="V313" s="1"/>
      <c r="W313" s="1"/>
      <c r="X313" s="1"/>
      <c r="Y313" s="1"/>
      <c r="Z313" s="1"/>
    </row>
    <row r="314">
      <c r="A314" s="166"/>
      <c r="B314" s="167"/>
      <c r="C314" s="168"/>
      <c r="D314" s="169"/>
      <c r="E314" s="177"/>
      <c r="F314" s="178"/>
      <c r="G314" s="178"/>
      <c r="H314" s="171"/>
      <c r="I314" s="105"/>
      <c r="J314" s="165"/>
      <c r="K314" s="1"/>
      <c r="L314" s="119"/>
      <c r="M314" s="119"/>
      <c r="N314" s="137"/>
      <c r="O314" s="119"/>
      <c r="P314" s="119"/>
      <c r="Q314" s="119"/>
      <c r="R314" s="119"/>
      <c r="S314" s="119"/>
      <c r="T314" s="119"/>
      <c r="U314" s="119"/>
      <c r="V314" s="1"/>
      <c r="W314" s="1"/>
      <c r="X314" s="1"/>
      <c r="Y314" s="1"/>
      <c r="Z314" s="1"/>
    </row>
    <row r="315">
      <c r="A315" s="166"/>
      <c r="B315" s="167"/>
      <c r="C315" s="168"/>
      <c r="D315" s="169"/>
      <c r="E315" s="177"/>
      <c r="F315" s="178"/>
      <c r="G315" s="178"/>
      <c r="H315" s="171"/>
      <c r="I315" s="105"/>
      <c r="J315" s="165"/>
      <c r="K315" s="1"/>
      <c r="L315" s="119"/>
      <c r="M315" s="119"/>
      <c r="N315" s="137"/>
      <c r="O315" s="119"/>
      <c r="P315" s="119"/>
      <c r="Q315" s="119"/>
      <c r="R315" s="119"/>
      <c r="S315" s="119"/>
      <c r="T315" s="119"/>
      <c r="U315" s="119"/>
      <c r="V315" s="1"/>
      <c r="W315" s="1"/>
      <c r="X315" s="1"/>
      <c r="Y315" s="1"/>
      <c r="Z315" s="1"/>
    </row>
    <row r="316">
      <c r="A316" s="166"/>
      <c r="B316" s="167"/>
      <c r="C316" s="168"/>
      <c r="D316" s="169"/>
      <c r="E316" s="177"/>
      <c r="F316" s="178"/>
      <c r="G316" s="178"/>
      <c r="H316" s="171"/>
      <c r="I316" s="105"/>
      <c r="J316" s="165"/>
      <c r="K316" s="1"/>
      <c r="L316" s="119"/>
      <c r="M316" s="119"/>
      <c r="N316" s="137"/>
      <c r="O316" s="119"/>
      <c r="P316" s="119"/>
      <c r="Q316" s="119"/>
      <c r="R316" s="119"/>
      <c r="S316" s="119"/>
      <c r="T316" s="119"/>
      <c r="U316" s="119"/>
      <c r="V316" s="1"/>
      <c r="W316" s="1"/>
      <c r="X316" s="1"/>
      <c r="Y316" s="1"/>
      <c r="Z316" s="1"/>
    </row>
    <row r="317">
      <c r="A317" s="166"/>
      <c r="B317" s="167"/>
      <c r="C317" s="168"/>
      <c r="D317" s="169"/>
      <c r="E317" s="177"/>
      <c r="F317" s="178"/>
      <c r="G317" s="178"/>
      <c r="H317" s="171"/>
      <c r="I317" s="105"/>
      <c r="J317" s="165"/>
      <c r="K317" s="1"/>
      <c r="L317" s="119"/>
      <c r="M317" s="119"/>
      <c r="N317" s="137"/>
      <c r="O317" s="119"/>
      <c r="P317" s="119"/>
      <c r="Q317" s="119"/>
      <c r="R317" s="119"/>
      <c r="S317" s="119"/>
      <c r="T317" s="119"/>
      <c r="U317" s="119"/>
      <c r="V317" s="1"/>
      <c r="W317" s="1"/>
      <c r="X317" s="1"/>
      <c r="Y317" s="1"/>
      <c r="Z317" s="1"/>
    </row>
    <row r="318">
      <c r="A318" s="166"/>
      <c r="B318" s="167"/>
      <c r="C318" s="168"/>
      <c r="D318" s="169"/>
      <c r="E318" s="177"/>
      <c r="F318" s="178"/>
      <c r="G318" s="178"/>
      <c r="H318" s="171"/>
      <c r="I318" s="105"/>
      <c r="J318" s="165"/>
      <c r="K318" s="1"/>
      <c r="L318" s="119"/>
      <c r="M318" s="119"/>
      <c r="N318" s="137"/>
      <c r="O318" s="119"/>
      <c r="P318" s="119"/>
      <c r="Q318" s="119"/>
      <c r="R318" s="119"/>
      <c r="S318" s="119"/>
      <c r="T318" s="119"/>
      <c r="U318" s="119"/>
      <c r="V318" s="1"/>
      <c r="W318" s="1"/>
      <c r="X318" s="1"/>
      <c r="Y318" s="1"/>
      <c r="Z318" s="1"/>
    </row>
    <row r="319">
      <c r="A319" s="166"/>
      <c r="B319" s="167"/>
      <c r="C319" s="168"/>
      <c r="D319" s="169"/>
      <c r="E319" s="177"/>
      <c r="F319" s="178"/>
      <c r="G319" s="178"/>
      <c r="H319" s="171"/>
      <c r="I319" s="105"/>
      <c r="J319" s="165"/>
      <c r="K319" s="1"/>
      <c r="L319" s="119"/>
      <c r="M319" s="119"/>
      <c r="N319" s="137"/>
      <c r="O319" s="119"/>
      <c r="P319" s="119"/>
      <c r="Q319" s="119"/>
      <c r="R319" s="119"/>
      <c r="S319" s="119"/>
      <c r="T319" s="119"/>
      <c r="U319" s="119"/>
      <c r="V319" s="1"/>
      <c r="W319" s="1"/>
      <c r="X319" s="1"/>
      <c r="Y319" s="1"/>
      <c r="Z319" s="1"/>
    </row>
    <row r="320">
      <c r="A320" s="166"/>
      <c r="B320" s="167"/>
      <c r="C320" s="168"/>
      <c r="D320" s="169"/>
      <c r="E320" s="177"/>
      <c r="F320" s="178"/>
      <c r="G320" s="178"/>
      <c r="H320" s="171"/>
      <c r="I320" s="105"/>
      <c r="J320" s="165"/>
      <c r="K320" s="1"/>
      <c r="L320" s="119"/>
      <c r="M320" s="119"/>
      <c r="N320" s="137"/>
      <c r="O320" s="119"/>
      <c r="P320" s="119"/>
      <c r="Q320" s="119"/>
      <c r="R320" s="119"/>
      <c r="S320" s="119"/>
      <c r="T320" s="119"/>
      <c r="U320" s="119"/>
      <c r="V320" s="1"/>
      <c r="W320" s="1"/>
      <c r="X320" s="1"/>
      <c r="Y320" s="1"/>
      <c r="Z320" s="1"/>
    </row>
    <row r="321">
      <c r="A321" s="166"/>
      <c r="B321" s="167"/>
      <c r="C321" s="168"/>
      <c r="D321" s="169"/>
      <c r="E321" s="177"/>
      <c r="F321" s="178"/>
      <c r="G321" s="178"/>
      <c r="H321" s="171"/>
      <c r="I321" s="105"/>
      <c r="J321" s="165"/>
      <c r="K321" s="1"/>
      <c r="L321" s="119"/>
      <c r="M321" s="119"/>
      <c r="N321" s="137"/>
      <c r="O321" s="119"/>
      <c r="P321" s="119"/>
      <c r="Q321" s="119"/>
      <c r="R321" s="119"/>
      <c r="S321" s="119"/>
      <c r="T321" s="119"/>
      <c r="U321" s="119"/>
      <c r="V321" s="1"/>
      <c r="W321" s="1"/>
      <c r="X321" s="1"/>
      <c r="Y321" s="1"/>
      <c r="Z321" s="1"/>
    </row>
    <row r="322">
      <c r="A322" s="166"/>
      <c r="B322" s="167"/>
      <c r="C322" s="168"/>
      <c r="D322" s="169"/>
      <c r="E322" s="177"/>
      <c r="F322" s="178"/>
      <c r="G322" s="178"/>
      <c r="H322" s="171"/>
      <c r="I322" s="105"/>
      <c r="J322" s="165"/>
      <c r="K322" s="1"/>
      <c r="L322" s="119"/>
      <c r="M322" s="119"/>
      <c r="N322" s="137"/>
      <c r="O322" s="119"/>
      <c r="P322" s="119"/>
      <c r="Q322" s="119"/>
      <c r="R322" s="119"/>
      <c r="S322" s="119"/>
      <c r="T322" s="119"/>
      <c r="U322" s="119"/>
      <c r="V322" s="1"/>
      <c r="W322" s="1"/>
      <c r="X322" s="1"/>
      <c r="Y322" s="1"/>
      <c r="Z322" s="1"/>
    </row>
    <row r="323">
      <c r="A323" s="166"/>
      <c r="B323" s="167"/>
      <c r="C323" s="168"/>
      <c r="D323" s="169"/>
      <c r="E323" s="177"/>
      <c r="F323" s="178"/>
      <c r="G323" s="178"/>
      <c r="H323" s="171"/>
      <c r="I323" s="105"/>
      <c r="J323" s="165"/>
      <c r="K323" s="1"/>
      <c r="L323" s="119"/>
      <c r="M323" s="119"/>
      <c r="N323" s="137"/>
      <c r="O323" s="119"/>
      <c r="P323" s="119"/>
      <c r="Q323" s="119"/>
      <c r="R323" s="119"/>
      <c r="S323" s="119"/>
      <c r="T323" s="119"/>
      <c r="U323" s="119"/>
      <c r="V323" s="1"/>
      <c r="W323" s="1"/>
      <c r="X323" s="1"/>
      <c r="Y323" s="1"/>
      <c r="Z323" s="1"/>
    </row>
    <row r="324">
      <c r="A324" s="166"/>
      <c r="B324" s="167"/>
      <c r="C324" s="168"/>
      <c r="D324" s="169"/>
      <c r="E324" s="177"/>
      <c r="F324" s="178"/>
      <c r="G324" s="178"/>
      <c r="H324" s="171"/>
      <c r="I324" s="105"/>
      <c r="J324" s="165"/>
      <c r="K324" s="1"/>
      <c r="L324" s="119"/>
      <c r="M324" s="119"/>
      <c r="N324" s="137"/>
      <c r="O324" s="119"/>
      <c r="P324" s="119"/>
      <c r="Q324" s="119"/>
      <c r="R324" s="119"/>
      <c r="S324" s="119"/>
      <c r="T324" s="119"/>
      <c r="U324" s="119"/>
      <c r="V324" s="1"/>
      <c r="W324" s="1"/>
      <c r="X324" s="1"/>
      <c r="Y324" s="1"/>
      <c r="Z324" s="1"/>
    </row>
    <row r="325">
      <c r="A325" s="166"/>
      <c r="B325" s="167"/>
      <c r="C325" s="168"/>
      <c r="D325" s="169"/>
      <c r="E325" s="177"/>
      <c r="F325" s="178"/>
      <c r="G325" s="178"/>
      <c r="H325" s="171"/>
      <c r="I325" s="105"/>
      <c r="J325" s="165"/>
      <c r="K325" s="1"/>
      <c r="L325" s="119"/>
      <c r="M325" s="119"/>
      <c r="N325" s="137"/>
      <c r="O325" s="119"/>
      <c r="P325" s="119"/>
      <c r="Q325" s="119"/>
      <c r="R325" s="119"/>
      <c r="S325" s="119"/>
      <c r="T325" s="119"/>
      <c r="U325" s="119"/>
      <c r="V325" s="1"/>
      <c r="W325" s="1"/>
      <c r="X325" s="1"/>
      <c r="Y325" s="1"/>
      <c r="Z325" s="1"/>
    </row>
    <row r="326">
      <c r="A326" s="166"/>
      <c r="B326" s="167"/>
      <c r="C326" s="168"/>
      <c r="D326" s="169"/>
      <c r="E326" s="177"/>
      <c r="F326" s="178"/>
      <c r="G326" s="178"/>
      <c r="H326" s="171"/>
      <c r="I326" s="105"/>
      <c r="J326" s="165"/>
      <c r="K326" s="1"/>
      <c r="L326" s="119"/>
      <c r="M326" s="119"/>
      <c r="N326" s="137"/>
      <c r="O326" s="119"/>
      <c r="P326" s="119"/>
      <c r="Q326" s="119"/>
      <c r="R326" s="119"/>
      <c r="S326" s="119"/>
      <c r="T326" s="119"/>
      <c r="U326" s="119"/>
      <c r="V326" s="1"/>
      <c r="W326" s="1"/>
      <c r="X326" s="1"/>
      <c r="Y326" s="1"/>
      <c r="Z326" s="1"/>
    </row>
    <row r="327">
      <c r="A327" s="166"/>
      <c r="B327" s="167"/>
      <c r="C327" s="168"/>
      <c r="D327" s="169"/>
      <c r="E327" s="177"/>
      <c r="F327" s="178"/>
      <c r="G327" s="178"/>
      <c r="H327" s="171"/>
      <c r="I327" s="105"/>
      <c r="J327" s="165"/>
      <c r="K327" s="1"/>
      <c r="L327" s="119"/>
      <c r="M327" s="119"/>
      <c r="N327" s="137"/>
      <c r="O327" s="119"/>
      <c r="P327" s="119"/>
      <c r="Q327" s="119"/>
      <c r="R327" s="119"/>
      <c r="S327" s="119"/>
      <c r="T327" s="119"/>
      <c r="U327" s="119"/>
      <c r="V327" s="1"/>
      <c r="W327" s="1"/>
      <c r="X327" s="1"/>
      <c r="Y327" s="1"/>
      <c r="Z327" s="1"/>
    </row>
    <row r="328">
      <c r="A328" s="166"/>
      <c r="B328" s="167"/>
      <c r="C328" s="168"/>
      <c r="D328" s="169"/>
      <c r="E328" s="177"/>
      <c r="F328" s="178"/>
      <c r="G328" s="178"/>
      <c r="H328" s="171"/>
      <c r="I328" s="105"/>
      <c r="J328" s="165"/>
      <c r="K328" s="1"/>
      <c r="L328" s="119"/>
      <c r="M328" s="119"/>
      <c r="N328" s="137"/>
      <c r="O328" s="119"/>
      <c r="P328" s="119"/>
      <c r="Q328" s="119"/>
      <c r="R328" s="119"/>
      <c r="S328" s="119"/>
      <c r="T328" s="119"/>
      <c r="U328" s="119"/>
      <c r="V328" s="1"/>
      <c r="W328" s="1"/>
      <c r="X328" s="1"/>
      <c r="Y328" s="1"/>
      <c r="Z328" s="1"/>
    </row>
    <row r="329">
      <c r="A329" s="166"/>
      <c r="B329" s="167"/>
      <c r="C329" s="168"/>
      <c r="D329" s="169"/>
      <c r="E329" s="177"/>
      <c r="F329" s="178"/>
      <c r="G329" s="178"/>
      <c r="H329" s="171"/>
      <c r="I329" s="105"/>
      <c r="J329" s="165"/>
      <c r="K329" s="1"/>
      <c r="L329" s="119"/>
      <c r="M329" s="119"/>
      <c r="N329" s="137"/>
      <c r="O329" s="119"/>
      <c r="P329" s="119"/>
      <c r="Q329" s="119"/>
      <c r="R329" s="119"/>
      <c r="S329" s="119"/>
      <c r="T329" s="119"/>
      <c r="U329" s="119"/>
      <c r="V329" s="1"/>
      <c r="W329" s="1"/>
      <c r="X329" s="1"/>
      <c r="Y329" s="1"/>
      <c r="Z329" s="1"/>
    </row>
    <row r="330">
      <c r="A330" s="166"/>
      <c r="B330" s="167"/>
      <c r="C330" s="168"/>
      <c r="D330" s="169"/>
      <c r="E330" s="177"/>
      <c r="F330" s="178"/>
      <c r="G330" s="178"/>
      <c r="H330" s="171"/>
      <c r="I330" s="105"/>
      <c r="J330" s="165"/>
      <c r="K330" s="1"/>
      <c r="L330" s="119"/>
      <c r="M330" s="119"/>
      <c r="N330" s="137"/>
      <c r="O330" s="119"/>
      <c r="P330" s="119"/>
      <c r="Q330" s="119"/>
      <c r="R330" s="119"/>
      <c r="S330" s="119"/>
      <c r="T330" s="119"/>
      <c r="U330" s="119"/>
      <c r="V330" s="1"/>
      <c r="W330" s="1"/>
      <c r="X330" s="1"/>
      <c r="Y330" s="1"/>
      <c r="Z330" s="1"/>
    </row>
    <row r="331">
      <c r="A331" s="166"/>
      <c r="B331" s="167"/>
      <c r="C331" s="168"/>
      <c r="D331" s="169"/>
      <c r="E331" s="177"/>
      <c r="F331" s="178"/>
      <c r="G331" s="178"/>
      <c r="H331" s="171"/>
      <c r="I331" s="105"/>
      <c r="J331" s="165"/>
      <c r="K331" s="1"/>
      <c r="L331" s="119"/>
      <c r="M331" s="119"/>
      <c r="N331" s="137"/>
      <c r="O331" s="119"/>
      <c r="P331" s="119"/>
      <c r="Q331" s="119"/>
      <c r="R331" s="119"/>
      <c r="S331" s="119"/>
      <c r="T331" s="119"/>
      <c r="U331" s="119"/>
      <c r="V331" s="1"/>
      <c r="W331" s="1"/>
      <c r="X331" s="1"/>
      <c r="Y331" s="1"/>
      <c r="Z331" s="1"/>
    </row>
    <row r="332">
      <c r="A332" s="166"/>
      <c r="B332" s="167"/>
      <c r="C332" s="168"/>
      <c r="D332" s="169"/>
      <c r="E332" s="177"/>
      <c r="F332" s="178"/>
      <c r="G332" s="178"/>
      <c r="H332" s="171"/>
      <c r="I332" s="105"/>
      <c r="J332" s="165"/>
      <c r="K332" s="1"/>
      <c r="L332" s="119"/>
      <c r="M332" s="119"/>
      <c r="N332" s="137"/>
      <c r="O332" s="119"/>
      <c r="P332" s="119"/>
      <c r="Q332" s="119"/>
      <c r="R332" s="119"/>
      <c r="S332" s="119"/>
      <c r="T332" s="119"/>
      <c r="U332" s="119"/>
      <c r="V332" s="1"/>
      <c r="W332" s="1"/>
      <c r="X332" s="1"/>
      <c r="Y332" s="1"/>
      <c r="Z332" s="1"/>
    </row>
    <row r="333">
      <c r="A333" s="166"/>
      <c r="B333" s="167"/>
      <c r="C333" s="168"/>
      <c r="D333" s="169"/>
      <c r="E333" s="177"/>
      <c r="F333" s="178"/>
      <c r="G333" s="178"/>
      <c r="H333" s="171"/>
      <c r="I333" s="105"/>
      <c r="J333" s="165"/>
      <c r="K333" s="1"/>
      <c r="L333" s="119"/>
      <c r="M333" s="119"/>
      <c r="N333" s="137"/>
      <c r="O333" s="119"/>
      <c r="P333" s="119"/>
      <c r="Q333" s="119"/>
      <c r="R333" s="119"/>
      <c r="S333" s="119"/>
      <c r="T333" s="119"/>
      <c r="U333" s="119"/>
      <c r="V333" s="1"/>
      <c r="W333" s="1"/>
      <c r="X333" s="1"/>
      <c r="Y333" s="1"/>
      <c r="Z333" s="1"/>
    </row>
    <row r="334">
      <c r="A334" s="166"/>
      <c r="B334" s="167"/>
      <c r="C334" s="168"/>
      <c r="D334" s="169"/>
      <c r="E334" s="177"/>
      <c r="F334" s="178"/>
      <c r="G334" s="178"/>
      <c r="H334" s="171"/>
      <c r="I334" s="105"/>
      <c r="J334" s="165"/>
      <c r="K334" s="1"/>
      <c r="L334" s="119"/>
      <c r="M334" s="119"/>
      <c r="N334" s="137"/>
      <c r="O334" s="119"/>
      <c r="P334" s="119"/>
      <c r="Q334" s="119"/>
      <c r="R334" s="119"/>
      <c r="S334" s="119"/>
      <c r="T334" s="119"/>
      <c r="U334" s="119"/>
      <c r="V334" s="1"/>
      <c r="W334" s="1"/>
      <c r="X334" s="1"/>
      <c r="Y334" s="1"/>
      <c r="Z334" s="1"/>
    </row>
    <row r="335">
      <c r="A335" s="166"/>
      <c r="B335" s="167"/>
      <c r="C335" s="168"/>
      <c r="D335" s="169"/>
      <c r="E335" s="177"/>
      <c r="F335" s="178"/>
      <c r="G335" s="178"/>
      <c r="H335" s="171"/>
      <c r="I335" s="105"/>
      <c r="J335" s="165"/>
      <c r="K335" s="1"/>
      <c r="L335" s="119"/>
      <c r="M335" s="119"/>
      <c r="N335" s="137"/>
      <c r="O335" s="119"/>
      <c r="P335" s="119"/>
      <c r="Q335" s="119"/>
      <c r="R335" s="119"/>
      <c r="S335" s="119"/>
      <c r="T335" s="119"/>
      <c r="U335" s="119"/>
      <c r="V335" s="1"/>
      <c r="W335" s="1"/>
      <c r="X335" s="1"/>
      <c r="Y335" s="1"/>
      <c r="Z335" s="1"/>
    </row>
    <row r="336">
      <c r="A336" s="166"/>
      <c r="B336" s="167"/>
      <c r="C336" s="168"/>
      <c r="D336" s="169"/>
      <c r="E336" s="177"/>
      <c r="F336" s="178"/>
      <c r="G336" s="178"/>
      <c r="H336" s="171"/>
      <c r="I336" s="105"/>
      <c r="J336" s="165"/>
      <c r="K336" s="1"/>
      <c r="L336" s="119"/>
      <c r="M336" s="119"/>
      <c r="N336" s="137"/>
      <c r="O336" s="119"/>
      <c r="P336" s="119"/>
      <c r="Q336" s="119"/>
      <c r="R336" s="119"/>
      <c r="S336" s="119"/>
      <c r="T336" s="119"/>
      <c r="U336" s="119"/>
      <c r="V336" s="1"/>
      <c r="W336" s="1"/>
      <c r="X336" s="1"/>
      <c r="Y336" s="1"/>
      <c r="Z336" s="1"/>
    </row>
    <row r="337">
      <c r="A337" s="166"/>
      <c r="B337" s="167"/>
      <c r="C337" s="168"/>
      <c r="D337" s="169"/>
      <c r="E337" s="177"/>
      <c r="F337" s="178"/>
      <c r="G337" s="178"/>
      <c r="H337" s="171"/>
      <c r="I337" s="105"/>
      <c r="J337" s="165"/>
      <c r="K337" s="1"/>
      <c r="L337" s="119"/>
      <c r="M337" s="119"/>
      <c r="N337" s="137"/>
      <c r="O337" s="119"/>
      <c r="P337" s="119"/>
      <c r="Q337" s="119"/>
      <c r="R337" s="119"/>
      <c r="S337" s="119"/>
      <c r="T337" s="119"/>
      <c r="U337" s="119"/>
      <c r="V337" s="1"/>
      <c r="W337" s="1"/>
      <c r="X337" s="1"/>
      <c r="Y337" s="1"/>
      <c r="Z337" s="1"/>
    </row>
    <row r="338">
      <c r="A338" s="166"/>
      <c r="B338" s="167"/>
      <c r="C338" s="168"/>
      <c r="D338" s="169"/>
      <c r="E338" s="177"/>
      <c r="F338" s="178"/>
      <c r="G338" s="178"/>
      <c r="H338" s="171"/>
      <c r="I338" s="105"/>
      <c r="J338" s="165"/>
      <c r="K338" s="1"/>
      <c r="L338" s="119"/>
      <c r="M338" s="119"/>
      <c r="N338" s="137"/>
      <c r="O338" s="119"/>
      <c r="P338" s="119"/>
      <c r="Q338" s="119"/>
      <c r="R338" s="119"/>
      <c r="S338" s="119"/>
      <c r="T338" s="119"/>
      <c r="U338" s="119"/>
      <c r="V338" s="1"/>
      <c r="W338" s="1"/>
      <c r="X338" s="1"/>
      <c r="Y338" s="1"/>
      <c r="Z338" s="1"/>
    </row>
    <row r="339">
      <c r="A339" s="166"/>
      <c r="B339" s="167"/>
      <c r="C339" s="168"/>
      <c r="D339" s="169"/>
      <c r="E339" s="177"/>
      <c r="F339" s="178"/>
      <c r="G339" s="178"/>
      <c r="H339" s="171"/>
      <c r="I339" s="105"/>
      <c r="J339" s="165"/>
      <c r="K339" s="1"/>
      <c r="L339" s="119"/>
      <c r="M339" s="119"/>
      <c r="N339" s="137"/>
      <c r="O339" s="119"/>
      <c r="P339" s="119"/>
      <c r="Q339" s="119"/>
      <c r="R339" s="119"/>
      <c r="S339" s="119"/>
      <c r="T339" s="119"/>
      <c r="U339" s="119"/>
      <c r="V339" s="1"/>
      <c r="W339" s="1"/>
      <c r="X339" s="1"/>
      <c r="Y339" s="1"/>
      <c r="Z339" s="1"/>
    </row>
    <row r="340">
      <c r="A340" s="166"/>
      <c r="B340" s="167"/>
      <c r="C340" s="168"/>
      <c r="D340" s="169"/>
      <c r="E340" s="177"/>
      <c r="F340" s="178"/>
      <c r="G340" s="178"/>
      <c r="H340" s="171"/>
      <c r="I340" s="105"/>
      <c r="J340" s="165"/>
      <c r="K340" s="1"/>
      <c r="L340" s="119"/>
      <c r="M340" s="119"/>
      <c r="N340" s="137"/>
      <c r="O340" s="119"/>
      <c r="P340" s="119"/>
      <c r="Q340" s="119"/>
      <c r="R340" s="119"/>
      <c r="S340" s="119"/>
      <c r="T340" s="119"/>
      <c r="U340" s="119"/>
      <c r="V340" s="1"/>
      <c r="W340" s="1"/>
      <c r="X340" s="1"/>
      <c r="Y340" s="1"/>
      <c r="Z340" s="1"/>
    </row>
    <row r="341">
      <c r="A341" s="166"/>
      <c r="B341" s="167"/>
      <c r="C341" s="168"/>
      <c r="D341" s="169"/>
      <c r="E341" s="177"/>
      <c r="F341" s="178"/>
      <c r="G341" s="178"/>
      <c r="H341" s="171"/>
      <c r="I341" s="105"/>
      <c r="J341" s="165"/>
      <c r="K341" s="1"/>
      <c r="L341" s="119"/>
      <c r="M341" s="119"/>
      <c r="N341" s="137"/>
      <c r="O341" s="119"/>
      <c r="P341" s="119"/>
      <c r="Q341" s="119"/>
      <c r="R341" s="119"/>
      <c r="S341" s="119"/>
      <c r="T341" s="119"/>
      <c r="U341" s="119"/>
      <c r="V341" s="1"/>
      <c r="W341" s="1"/>
      <c r="X341" s="1"/>
      <c r="Y341" s="1"/>
      <c r="Z341" s="1"/>
    </row>
    <row r="342">
      <c r="A342" s="166"/>
      <c r="B342" s="167"/>
      <c r="C342" s="168"/>
      <c r="D342" s="169"/>
      <c r="E342" s="177"/>
      <c r="F342" s="178"/>
      <c r="G342" s="178"/>
      <c r="H342" s="171"/>
      <c r="I342" s="105"/>
      <c r="J342" s="165"/>
      <c r="K342" s="1"/>
      <c r="L342" s="119"/>
      <c r="M342" s="119"/>
      <c r="N342" s="137"/>
      <c r="O342" s="119"/>
      <c r="P342" s="119"/>
      <c r="Q342" s="119"/>
      <c r="R342" s="119"/>
      <c r="S342" s="119"/>
      <c r="T342" s="119"/>
      <c r="U342" s="119"/>
      <c r="V342" s="1"/>
      <c r="W342" s="1"/>
      <c r="X342" s="1"/>
      <c r="Y342" s="1"/>
      <c r="Z342" s="1"/>
    </row>
    <row r="343">
      <c r="A343" s="166"/>
      <c r="B343" s="167"/>
      <c r="C343" s="168"/>
      <c r="D343" s="169"/>
      <c r="E343" s="177"/>
      <c r="F343" s="178"/>
      <c r="G343" s="178"/>
      <c r="H343" s="171"/>
      <c r="I343" s="105"/>
      <c r="J343" s="165"/>
      <c r="K343" s="1"/>
      <c r="L343" s="119"/>
      <c r="M343" s="119"/>
      <c r="N343" s="137"/>
      <c r="O343" s="119"/>
      <c r="P343" s="119"/>
      <c r="Q343" s="119"/>
      <c r="R343" s="119"/>
      <c r="S343" s="119"/>
      <c r="T343" s="119"/>
      <c r="U343" s="119"/>
      <c r="V343" s="1"/>
      <c r="W343" s="1"/>
      <c r="X343" s="1"/>
      <c r="Y343" s="1"/>
      <c r="Z343" s="1"/>
    </row>
    <row r="344">
      <c r="A344" s="166"/>
      <c r="B344" s="167"/>
      <c r="C344" s="168"/>
      <c r="D344" s="169"/>
      <c r="E344" s="177"/>
      <c r="F344" s="178"/>
      <c r="G344" s="178"/>
      <c r="H344" s="171"/>
      <c r="I344" s="105"/>
      <c r="J344" s="165"/>
      <c r="K344" s="1"/>
      <c r="L344" s="119"/>
      <c r="M344" s="119"/>
      <c r="N344" s="137"/>
      <c r="O344" s="119"/>
      <c r="P344" s="119"/>
      <c r="Q344" s="119"/>
      <c r="R344" s="119"/>
      <c r="S344" s="119"/>
      <c r="T344" s="119"/>
      <c r="U344" s="119"/>
      <c r="V344" s="1"/>
      <c r="W344" s="1"/>
      <c r="X344" s="1"/>
      <c r="Y344" s="1"/>
      <c r="Z344" s="1"/>
    </row>
    <row r="345">
      <c r="A345" s="166"/>
      <c r="B345" s="167"/>
      <c r="C345" s="168"/>
      <c r="D345" s="169"/>
      <c r="E345" s="177"/>
      <c r="F345" s="178"/>
      <c r="G345" s="178"/>
      <c r="H345" s="171"/>
      <c r="I345" s="105"/>
      <c r="J345" s="165"/>
      <c r="K345" s="1"/>
      <c r="L345" s="119"/>
      <c r="M345" s="119"/>
      <c r="N345" s="137"/>
      <c r="O345" s="119"/>
      <c r="P345" s="119"/>
      <c r="Q345" s="119"/>
      <c r="R345" s="119"/>
      <c r="S345" s="119"/>
      <c r="T345" s="119"/>
      <c r="U345" s="119"/>
      <c r="V345" s="1"/>
      <c r="W345" s="1"/>
      <c r="X345" s="1"/>
      <c r="Y345" s="1"/>
      <c r="Z345" s="1"/>
    </row>
    <row r="346">
      <c r="A346" s="166"/>
      <c r="B346" s="167"/>
      <c r="C346" s="168"/>
      <c r="D346" s="169"/>
      <c r="E346" s="177"/>
      <c r="F346" s="178"/>
      <c r="G346" s="178"/>
      <c r="H346" s="171"/>
      <c r="I346" s="105"/>
      <c r="J346" s="165"/>
      <c r="K346" s="1"/>
      <c r="L346" s="119"/>
      <c r="M346" s="119"/>
      <c r="N346" s="137"/>
      <c r="O346" s="119"/>
      <c r="P346" s="119"/>
      <c r="Q346" s="119"/>
      <c r="R346" s="119"/>
      <c r="S346" s="119"/>
      <c r="T346" s="119"/>
      <c r="U346" s="119"/>
      <c r="V346" s="1"/>
      <c r="W346" s="1"/>
      <c r="X346" s="1"/>
      <c r="Y346" s="1"/>
      <c r="Z346" s="1"/>
    </row>
    <row r="347">
      <c r="A347" s="166"/>
      <c r="B347" s="167"/>
      <c r="C347" s="168"/>
      <c r="D347" s="169"/>
      <c r="E347" s="177"/>
      <c r="F347" s="178"/>
      <c r="G347" s="178"/>
      <c r="H347" s="171"/>
      <c r="I347" s="105"/>
      <c r="J347" s="165"/>
      <c r="K347" s="1"/>
      <c r="L347" s="119"/>
      <c r="M347" s="119"/>
      <c r="N347" s="137"/>
      <c r="O347" s="119"/>
      <c r="P347" s="119"/>
      <c r="Q347" s="119"/>
      <c r="R347" s="119"/>
      <c r="S347" s="119"/>
      <c r="T347" s="119"/>
      <c r="U347" s="119"/>
      <c r="V347" s="1"/>
      <c r="W347" s="1"/>
      <c r="X347" s="1"/>
      <c r="Y347" s="1"/>
      <c r="Z347" s="1"/>
    </row>
    <row r="348">
      <c r="A348" s="166"/>
      <c r="B348" s="167"/>
      <c r="C348" s="168"/>
      <c r="D348" s="169"/>
      <c r="E348" s="177"/>
      <c r="F348" s="178"/>
      <c r="G348" s="178"/>
      <c r="H348" s="171"/>
      <c r="I348" s="105"/>
      <c r="J348" s="165"/>
      <c r="K348" s="1"/>
      <c r="L348" s="119"/>
      <c r="M348" s="119"/>
      <c r="N348" s="137"/>
      <c r="O348" s="119"/>
      <c r="P348" s="119"/>
      <c r="Q348" s="119"/>
      <c r="R348" s="119"/>
      <c r="S348" s="119"/>
      <c r="T348" s="119"/>
      <c r="U348" s="119"/>
      <c r="V348" s="1"/>
      <c r="W348" s="1"/>
      <c r="X348" s="1"/>
      <c r="Y348" s="1"/>
      <c r="Z348" s="1"/>
    </row>
    <row r="349">
      <c r="A349" s="166"/>
      <c r="B349" s="167"/>
      <c r="C349" s="168"/>
      <c r="D349" s="169"/>
      <c r="E349" s="177"/>
      <c r="F349" s="178"/>
      <c r="G349" s="178"/>
      <c r="H349" s="171"/>
      <c r="I349" s="105"/>
      <c r="J349" s="165"/>
      <c r="K349" s="1"/>
      <c r="L349" s="119"/>
      <c r="M349" s="119"/>
      <c r="N349" s="137"/>
      <c r="O349" s="119"/>
      <c r="P349" s="119"/>
      <c r="Q349" s="119"/>
      <c r="R349" s="119"/>
      <c r="S349" s="119"/>
      <c r="T349" s="119"/>
      <c r="U349" s="119"/>
      <c r="V349" s="1"/>
      <c r="W349" s="1"/>
      <c r="X349" s="1"/>
      <c r="Y349" s="1"/>
      <c r="Z349" s="1"/>
    </row>
    <row r="350">
      <c r="A350" s="166"/>
      <c r="B350" s="167"/>
      <c r="C350" s="168"/>
      <c r="D350" s="169"/>
      <c r="E350" s="177"/>
      <c r="F350" s="178"/>
      <c r="G350" s="178"/>
      <c r="H350" s="171"/>
      <c r="I350" s="105"/>
      <c r="J350" s="165"/>
      <c r="K350" s="1"/>
      <c r="L350" s="119"/>
      <c r="M350" s="119"/>
      <c r="N350" s="137"/>
      <c r="O350" s="119"/>
      <c r="P350" s="119"/>
      <c r="Q350" s="119"/>
      <c r="R350" s="119"/>
      <c r="S350" s="119"/>
      <c r="T350" s="119"/>
      <c r="U350" s="119"/>
      <c r="V350" s="1"/>
      <c r="W350" s="1"/>
      <c r="X350" s="1"/>
      <c r="Y350" s="1"/>
      <c r="Z350" s="1"/>
    </row>
    <row r="351">
      <c r="A351" s="166"/>
      <c r="B351" s="167"/>
      <c r="C351" s="168"/>
      <c r="D351" s="169"/>
      <c r="E351" s="177"/>
      <c r="F351" s="178"/>
      <c r="G351" s="178"/>
      <c r="H351" s="171"/>
      <c r="I351" s="105"/>
      <c r="J351" s="165"/>
      <c r="K351" s="1"/>
      <c r="L351" s="119"/>
      <c r="M351" s="119"/>
      <c r="N351" s="137"/>
      <c r="O351" s="119"/>
      <c r="P351" s="119"/>
      <c r="Q351" s="119"/>
      <c r="R351" s="119"/>
      <c r="S351" s="119"/>
      <c r="T351" s="119"/>
      <c r="U351" s="119"/>
      <c r="V351" s="1"/>
      <c r="W351" s="1"/>
      <c r="X351" s="1"/>
      <c r="Y351" s="1"/>
      <c r="Z351" s="1"/>
    </row>
    <row r="352">
      <c r="A352" s="166"/>
      <c r="B352" s="167"/>
      <c r="C352" s="168"/>
      <c r="D352" s="169"/>
      <c r="E352" s="177"/>
      <c r="F352" s="178"/>
      <c r="G352" s="178"/>
      <c r="H352" s="171"/>
      <c r="I352" s="105"/>
      <c r="J352" s="165"/>
      <c r="K352" s="1"/>
      <c r="L352" s="119"/>
      <c r="M352" s="119"/>
      <c r="N352" s="137"/>
      <c r="O352" s="119"/>
      <c r="P352" s="119"/>
      <c r="Q352" s="119"/>
      <c r="R352" s="119"/>
      <c r="S352" s="119"/>
      <c r="T352" s="119"/>
      <c r="U352" s="119"/>
      <c r="V352" s="1"/>
      <c r="W352" s="1"/>
      <c r="X352" s="1"/>
      <c r="Y352" s="1"/>
      <c r="Z352" s="1"/>
    </row>
    <row r="353">
      <c r="A353" s="166"/>
      <c r="B353" s="167"/>
      <c r="C353" s="168"/>
      <c r="D353" s="169"/>
      <c r="E353" s="177"/>
      <c r="F353" s="178"/>
      <c r="G353" s="178"/>
      <c r="H353" s="171"/>
      <c r="I353" s="105"/>
      <c r="J353" s="165"/>
      <c r="K353" s="1"/>
      <c r="L353" s="119"/>
      <c r="M353" s="119"/>
      <c r="N353" s="137"/>
      <c r="O353" s="119"/>
      <c r="P353" s="119"/>
      <c r="Q353" s="119"/>
      <c r="R353" s="119"/>
      <c r="S353" s="119"/>
      <c r="T353" s="119"/>
      <c r="U353" s="119"/>
      <c r="V353" s="1"/>
      <c r="W353" s="1"/>
      <c r="X353" s="1"/>
      <c r="Y353" s="1"/>
      <c r="Z353" s="1"/>
    </row>
    <row r="354">
      <c r="A354" s="166"/>
      <c r="B354" s="167"/>
      <c r="C354" s="168"/>
      <c r="D354" s="169"/>
      <c r="E354" s="177"/>
      <c r="F354" s="178"/>
      <c r="G354" s="178"/>
      <c r="H354" s="171"/>
      <c r="I354" s="105"/>
      <c r="J354" s="165"/>
      <c r="K354" s="1"/>
      <c r="L354" s="119"/>
      <c r="M354" s="119"/>
      <c r="N354" s="137"/>
      <c r="O354" s="119"/>
      <c r="P354" s="119"/>
      <c r="Q354" s="119"/>
      <c r="R354" s="119"/>
      <c r="S354" s="119"/>
      <c r="T354" s="119"/>
      <c r="U354" s="119"/>
      <c r="V354" s="1"/>
      <c r="W354" s="1"/>
      <c r="X354" s="1"/>
      <c r="Y354" s="1"/>
      <c r="Z354" s="1"/>
    </row>
    <row r="355">
      <c r="A355" s="166"/>
      <c r="B355" s="167"/>
      <c r="C355" s="168"/>
      <c r="D355" s="169"/>
      <c r="E355" s="177"/>
      <c r="F355" s="178"/>
      <c r="G355" s="178"/>
      <c r="H355" s="171"/>
      <c r="I355" s="105"/>
      <c r="J355" s="165"/>
      <c r="K355" s="1"/>
      <c r="L355" s="119"/>
      <c r="M355" s="119"/>
      <c r="N355" s="137"/>
      <c r="O355" s="119"/>
      <c r="P355" s="119"/>
      <c r="Q355" s="119"/>
      <c r="R355" s="119"/>
      <c r="S355" s="119"/>
      <c r="T355" s="119"/>
      <c r="U355" s="119"/>
      <c r="V355" s="1"/>
      <c r="W355" s="1"/>
      <c r="X355" s="1"/>
      <c r="Y355" s="1"/>
      <c r="Z355" s="1"/>
    </row>
    <row r="356">
      <c r="A356" s="166"/>
      <c r="B356" s="167"/>
      <c r="C356" s="168"/>
      <c r="D356" s="169"/>
      <c r="E356" s="177"/>
      <c r="F356" s="178"/>
      <c r="G356" s="178"/>
      <c r="H356" s="171"/>
      <c r="I356" s="105"/>
      <c r="J356" s="165"/>
      <c r="K356" s="1"/>
      <c r="L356" s="119"/>
      <c r="M356" s="119"/>
      <c r="N356" s="137"/>
      <c r="O356" s="119"/>
      <c r="P356" s="119"/>
      <c r="Q356" s="119"/>
      <c r="R356" s="119"/>
      <c r="S356" s="119"/>
      <c r="T356" s="119"/>
      <c r="U356" s="119"/>
      <c r="V356" s="1"/>
      <c r="W356" s="1"/>
      <c r="X356" s="1"/>
      <c r="Y356" s="1"/>
      <c r="Z356" s="1"/>
    </row>
    <row r="357">
      <c r="A357" s="166"/>
      <c r="B357" s="167"/>
      <c r="C357" s="168"/>
      <c r="D357" s="169"/>
      <c r="E357" s="177"/>
      <c r="F357" s="178"/>
      <c r="G357" s="178"/>
      <c r="H357" s="171"/>
      <c r="I357" s="105"/>
      <c r="J357" s="165"/>
      <c r="K357" s="1"/>
      <c r="L357" s="119"/>
      <c r="M357" s="119"/>
      <c r="N357" s="137"/>
      <c r="O357" s="119"/>
      <c r="P357" s="119"/>
      <c r="Q357" s="119"/>
      <c r="R357" s="119"/>
      <c r="S357" s="119"/>
      <c r="T357" s="119"/>
      <c r="U357" s="119"/>
      <c r="V357" s="1"/>
      <c r="W357" s="1"/>
      <c r="X357" s="1"/>
      <c r="Y357" s="1"/>
      <c r="Z357" s="1"/>
    </row>
    <row r="358">
      <c r="A358" s="166"/>
      <c r="B358" s="167"/>
      <c r="C358" s="168"/>
      <c r="D358" s="169"/>
      <c r="E358" s="177"/>
      <c r="F358" s="178"/>
      <c r="G358" s="178"/>
      <c r="H358" s="171"/>
      <c r="I358" s="105"/>
      <c r="J358" s="165"/>
      <c r="K358" s="1"/>
      <c r="L358" s="119"/>
      <c r="M358" s="119"/>
      <c r="N358" s="137"/>
      <c r="O358" s="119"/>
      <c r="P358" s="119"/>
      <c r="Q358" s="119"/>
      <c r="R358" s="119"/>
      <c r="S358" s="119"/>
      <c r="T358" s="119"/>
      <c r="U358" s="119"/>
      <c r="V358" s="1"/>
      <c r="W358" s="1"/>
      <c r="X358" s="1"/>
      <c r="Y358" s="1"/>
      <c r="Z358" s="1"/>
    </row>
    <row r="359">
      <c r="A359" s="166"/>
      <c r="B359" s="167"/>
      <c r="C359" s="168"/>
      <c r="D359" s="169"/>
      <c r="E359" s="177"/>
      <c r="F359" s="178"/>
      <c r="G359" s="178"/>
      <c r="H359" s="171"/>
      <c r="I359" s="105"/>
      <c r="J359" s="165"/>
      <c r="K359" s="1"/>
      <c r="L359" s="119"/>
      <c r="M359" s="119"/>
      <c r="N359" s="137"/>
      <c r="O359" s="119"/>
      <c r="P359" s="119"/>
      <c r="Q359" s="119"/>
      <c r="R359" s="119"/>
      <c r="S359" s="119"/>
      <c r="T359" s="119"/>
      <c r="U359" s="119"/>
      <c r="V359" s="1"/>
      <c r="W359" s="1"/>
      <c r="X359" s="1"/>
      <c r="Y359" s="1"/>
      <c r="Z359" s="1"/>
    </row>
    <row r="360">
      <c r="A360" s="166"/>
      <c r="B360" s="167"/>
      <c r="C360" s="168"/>
      <c r="D360" s="169"/>
      <c r="E360" s="177"/>
      <c r="F360" s="178"/>
      <c r="G360" s="178"/>
      <c r="H360" s="171"/>
      <c r="I360" s="105"/>
      <c r="J360" s="165"/>
      <c r="K360" s="1"/>
      <c r="L360" s="119"/>
      <c r="M360" s="119"/>
      <c r="N360" s="137"/>
      <c r="O360" s="119"/>
      <c r="P360" s="119"/>
      <c r="Q360" s="119"/>
      <c r="R360" s="119"/>
      <c r="S360" s="119"/>
      <c r="T360" s="119"/>
      <c r="U360" s="119"/>
      <c r="V360" s="1"/>
      <c r="W360" s="1"/>
      <c r="X360" s="1"/>
      <c r="Y360" s="1"/>
      <c r="Z360" s="1"/>
    </row>
    <row r="361">
      <c r="A361" s="166"/>
      <c r="B361" s="167"/>
      <c r="C361" s="168"/>
      <c r="D361" s="169"/>
      <c r="E361" s="177"/>
      <c r="F361" s="178"/>
      <c r="G361" s="178"/>
      <c r="H361" s="171"/>
      <c r="I361" s="105"/>
      <c r="J361" s="165"/>
      <c r="K361" s="1"/>
      <c r="L361" s="119"/>
      <c r="M361" s="119"/>
      <c r="N361" s="137"/>
      <c r="O361" s="119"/>
      <c r="P361" s="119"/>
      <c r="Q361" s="119"/>
      <c r="R361" s="119"/>
      <c r="S361" s="119"/>
      <c r="T361" s="119"/>
      <c r="U361" s="119"/>
      <c r="V361" s="1"/>
      <c r="W361" s="1"/>
      <c r="X361" s="1"/>
      <c r="Y361" s="1"/>
      <c r="Z361" s="1"/>
    </row>
    <row r="362">
      <c r="A362" s="166"/>
      <c r="B362" s="167"/>
      <c r="C362" s="168"/>
      <c r="D362" s="169"/>
      <c r="E362" s="177"/>
      <c r="F362" s="178"/>
      <c r="G362" s="178"/>
      <c r="H362" s="171"/>
      <c r="I362" s="105"/>
      <c r="J362" s="165"/>
      <c r="K362" s="1"/>
      <c r="L362" s="119"/>
      <c r="M362" s="119"/>
      <c r="N362" s="137"/>
      <c r="O362" s="119"/>
      <c r="P362" s="119"/>
      <c r="Q362" s="119"/>
      <c r="R362" s="119"/>
      <c r="S362" s="119"/>
      <c r="T362" s="119"/>
      <c r="U362" s="119"/>
      <c r="V362" s="1"/>
      <c r="W362" s="1"/>
      <c r="X362" s="1"/>
      <c r="Y362" s="1"/>
      <c r="Z362" s="1"/>
    </row>
    <row r="363">
      <c r="A363" s="166"/>
      <c r="B363" s="167"/>
      <c r="C363" s="168"/>
      <c r="D363" s="169"/>
      <c r="E363" s="177"/>
      <c r="F363" s="178"/>
      <c r="G363" s="178"/>
      <c r="H363" s="171"/>
      <c r="I363" s="105"/>
      <c r="J363" s="165"/>
      <c r="K363" s="1"/>
      <c r="L363" s="119"/>
      <c r="M363" s="119"/>
      <c r="N363" s="137"/>
      <c r="O363" s="119"/>
      <c r="P363" s="119"/>
      <c r="Q363" s="119"/>
      <c r="R363" s="119"/>
      <c r="S363" s="119"/>
      <c r="T363" s="119"/>
      <c r="U363" s="119"/>
      <c r="V363" s="1"/>
      <c r="W363" s="1"/>
      <c r="X363" s="1"/>
      <c r="Y363" s="1"/>
      <c r="Z363" s="1"/>
    </row>
    <row r="364">
      <c r="A364" s="166"/>
      <c r="B364" s="167"/>
      <c r="C364" s="168"/>
      <c r="D364" s="169"/>
      <c r="E364" s="177"/>
      <c r="F364" s="178"/>
      <c r="G364" s="178"/>
      <c r="H364" s="171"/>
      <c r="I364" s="105"/>
      <c r="J364" s="165"/>
      <c r="K364" s="1"/>
      <c r="L364" s="119"/>
      <c r="M364" s="119"/>
      <c r="N364" s="137"/>
      <c r="O364" s="119"/>
      <c r="P364" s="119"/>
      <c r="Q364" s="119"/>
      <c r="R364" s="119"/>
      <c r="S364" s="119"/>
      <c r="T364" s="119"/>
      <c r="U364" s="119"/>
      <c r="V364" s="1"/>
      <c r="W364" s="1"/>
      <c r="X364" s="1"/>
      <c r="Y364" s="1"/>
      <c r="Z364" s="1"/>
    </row>
    <row r="365">
      <c r="A365" s="166"/>
      <c r="B365" s="167"/>
      <c r="C365" s="168"/>
      <c r="D365" s="169"/>
      <c r="E365" s="177"/>
      <c r="F365" s="178"/>
      <c r="G365" s="178"/>
      <c r="H365" s="171"/>
      <c r="I365" s="105"/>
      <c r="J365" s="165"/>
      <c r="K365" s="1"/>
      <c r="L365" s="119"/>
      <c r="M365" s="119"/>
      <c r="N365" s="137"/>
      <c r="O365" s="119"/>
      <c r="P365" s="119"/>
      <c r="Q365" s="119"/>
      <c r="R365" s="119"/>
      <c r="S365" s="119"/>
      <c r="T365" s="119"/>
      <c r="U365" s="119"/>
      <c r="V365" s="1"/>
      <c r="W365" s="1"/>
      <c r="X365" s="1"/>
      <c r="Y365" s="1"/>
      <c r="Z365" s="1"/>
    </row>
    <row r="366">
      <c r="A366" s="166"/>
      <c r="B366" s="167"/>
      <c r="C366" s="168"/>
      <c r="D366" s="169"/>
      <c r="E366" s="177"/>
      <c r="F366" s="178"/>
      <c r="G366" s="178"/>
      <c r="H366" s="171"/>
      <c r="I366" s="105"/>
      <c r="J366" s="165"/>
      <c r="K366" s="1"/>
      <c r="L366" s="119"/>
      <c r="M366" s="119"/>
      <c r="N366" s="137"/>
      <c r="O366" s="119"/>
      <c r="P366" s="119"/>
      <c r="Q366" s="119"/>
      <c r="R366" s="119"/>
      <c r="S366" s="119"/>
      <c r="T366" s="119"/>
      <c r="U366" s="119"/>
      <c r="V366" s="1"/>
      <c r="W366" s="1"/>
      <c r="X366" s="1"/>
      <c r="Y366" s="1"/>
      <c r="Z366" s="1"/>
    </row>
    <row r="367">
      <c r="A367" s="166"/>
      <c r="B367" s="167"/>
      <c r="C367" s="168"/>
      <c r="D367" s="169"/>
      <c r="E367" s="177"/>
      <c r="F367" s="178"/>
      <c r="G367" s="178"/>
      <c r="H367" s="171"/>
      <c r="I367" s="105"/>
      <c r="J367" s="165"/>
      <c r="K367" s="1"/>
      <c r="L367" s="119"/>
      <c r="M367" s="119"/>
      <c r="N367" s="137"/>
      <c r="O367" s="119"/>
      <c r="P367" s="119"/>
      <c r="Q367" s="119"/>
      <c r="R367" s="119"/>
      <c r="S367" s="119"/>
      <c r="T367" s="119"/>
      <c r="U367" s="119"/>
      <c r="V367" s="1"/>
      <c r="W367" s="1"/>
      <c r="X367" s="1"/>
      <c r="Y367" s="1"/>
      <c r="Z367" s="1"/>
    </row>
    <row r="368">
      <c r="A368" s="166"/>
      <c r="B368" s="167"/>
      <c r="C368" s="168"/>
      <c r="D368" s="169"/>
      <c r="E368" s="177"/>
      <c r="F368" s="178"/>
      <c r="G368" s="178"/>
      <c r="H368" s="171"/>
      <c r="I368" s="105"/>
      <c r="J368" s="165"/>
      <c r="K368" s="1"/>
      <c r="L368" s="119"/>
      <c r="M368" s="119"/>
      <c r="N368" s="137"/>
      <c r="O368" s="119"/>
      <c r="P368" s="119"/>
      <c r="Q368" s="119"/>
      <c r="R368" s="119"/>
      <c r="S368" s="119"/>
      <c r="T368" s="119"/>
      <c r="U368" s="119"/>
      <c r="V368" s="1"/>
      <c r="W368" s="1"/>
      <c r="X368" s="1"/>
      <c r="Y368" s="1"/>
      <c r="Z368" s="1"/>
    </row>
    <row r="369">
      <c r="A369" s="166"/>
      <c r="B369" s="167"/>
      <c r="C369" s="168"/>
      <c r="D369" s="169"/>
      <c r="E369" s="177"/>
      <c r="F369" s="178"/>
      <c r="G369" s="178"/>
      <c r="H369" s="171"/>
      <c r="I369" s="105"/>
      <c r="J369" s="165"/>
      <c r="K369" s="1"/>
      <c r="L369" s="119"/>
      <c r="M369" s="119"/>
      <c r="N369" s="137"/>
      <c r="O369" s="119"/>
      <c r="P369" s="119"/>
      <c r="Q369" s="119"/>
      <c r="R369" s="119"/>
      <c r="S369" s="119"/>
      <c r="T369" s="119"/>
      <c r="U369" s="119"/>
      <c r="V369" s="1"/>
      <c r="W369" s="1"/>
      <c r="X369" s="1"/>
      <c r="Y369" s="1"/>
      <c r="Z369" s="1"/>
    </row>
    <row r="370">
      <c r="A370" s="166"/>
      <c r="B370" s="167"/>
      <c r="C370" s="168"/>
      <c r="D370" s="169"/>
      <c r="E370" s="177"/>
      <c r="F370" s="178"/>
      <c r="G370" s="178"/>
      <c r="H370" s="171"/>
      <c r="I370" s="105"/>
      <c r="J370" s="165"/>
      <c r="K370" s="1"/>
      <c r="L370" s="119"/>
      <c r="M370" s="119"/>
      <c r="N370" s="137"/>
      <c r="O370" s="119"/>
      <c r="P370" s="119"/>
      <c r="Q370" s="119"/>
      <c r="R370" s="119"/>
      <c r="S370" s="119"/>
      <c r="T370" s="119"/>
      <c r="U370" s="119"/>
      <c r="V370" s="1"/>
      <c r="W370" s="1"/>
      <c r="X370" s="1"/>
      <c r="Y370" s="1"/>
      <c r="Z370" s="1"/>
    </row>
    <row r="371">
      <c r="A371" s="166"/>
      <c r="B371" s="167"/>
      <c r="C371" s="168"/>
      <c r="D371" s="169"/>
      <c r="E371" s="177"/>
      <c r="F371" s="178"/>
      <c r="G371" s="178"/>
      <c r="H371" s="171"/>
      <c r="I371" s="105"/>
      <c r="J371" s="165"/>
      <c r="K371" s="1"/>
      <c r="L371" s="119"/>
      <c r="M371" s="119"/>
      <c r="N371" s="137"/>
      <c r="O371" s="119"/>
      <c r="P371" s="119"/>
      <c r="Q371" s="119"/>
      <c r="R371" s="119"/>
      <c r="S371" s="119"/>
      <c r="T371" s="119"/>
      <c r="U371" s="119"/>
      <c r="V371" s="1"/>
      <c r="W371" s="1"/>
      <c r="X371" s="1"/>
      <c r="Y371" s="1"/>
      <c r="Z371" s="1"/>
    </row>
    <row r="372">
      <c r="A372" s="166"/>
      <c r="B372" s="167"/>
      <c r="C372" s="168"/>
      <c r="D372" s="169"/>
      <c r="E372" s="177"/>
      <c r="F372" s="178"/>
      <c r="G372" s="178"/>
      <c r="H372" s="171"/>
      <c r="I372" s="105"/>
      <c r="J372" s="165"/>
      <c r="K372" s="1"/>
      <c r="L372" s="119"/>
      <c r="M372" s="119"/>
      <c r="N372" s="137"/>
      <c r="O372" s="119"/>
      <c r="P372" s="119"/>
      <c r="Q372" s="119"/>
      <c r="R372" s="119"/>
      <c r="S372" s="119"/>
      <c r="T372" s="119"/>
      <c r="U372" s="119"/>
      <c r="V372" s="1"/>
      <c r="W372" s="1"/>
      <c r="X372" s="1"/>
      <c r="Y372" s="1"/>
      <c r="Z372" s="1"/>
    </row>
    <row r="373">
      <c r="A373" s="166"/>
      <c r="B373" s="167"/>
      <c r="C373" s="168"/>
      <c r="D373" s="169"/>
      <c r="E373" s="177"/>
      <c r="F373" s="178"/>
      <c r="G373" s="178"/>
      <c r="H373" s="171"/>
      <c r="I373" s="105"/>
      <c r="J373" s="165"/>
      <c r="K373" s="1"/>
      <c r="L373" s="119"/>
      <c r="M373" s="119"/>
      <c r="N373" s="137"/>
      <c r="O373" s="119"/>
      <c r="P373" s="119"/>
      <c r="Q373" s="119"/>
      <c r="R373" s="119"/>
      <c r="S373" s="119"/>
      <c r="T373" s="119"/>
      <c r="U373" s="119"/>
      <c r="V373" s="1"/>
      <c r="W373" s="1"/>
      <c r="X373" s="1"/>
      <c r="Y373" s="1"/>
      <c r="Z373" s="1"/>
    </row>
    <row r="374">
      <c r="A374" s="166"/>
      <c r="B374" s="167"/>
      <c r="C374" s="168"/>
      <c r="D374" s="169"/>
      <c r="E374" s="177"/>
      <c r="F374" s="178"/>
      <c r="G374" s="178"/>
      <c r="H374" s="171"/>
      <c r="I374" s="105"/>
      <c r="J374" s="165"/>
      <c r="K374" s="1"/>
      <c r="L374" s="119"/>
      <c r="M374" s="119"/>
      <c r="N374" s="137"/>
      <c r="O374" s="119"/>
      <c r="P374" s="119"/>
      <c r="Q374" s="119"/>
      <c r="R374" s="119"/>
      <c r="S374" s="119"/>
      <c r="T374" s="119"/>
      <c r="U374" s="119"/>
      <c r="V374" s="1"/>
      <c r="W374" s="1"/>
      <c r="X374" s="1"/>
      <c r="Y374" s="1"/>
      <c r="Z374" s="1"/>
    </row>
    <row r="375">
      <c r="A375" s="166"/>
      <c r="B375" s="167"/>
      <c r="C375" s="168"/>
      <c r="D375" s="169"/>
      <c r="E375" s="177"/>
      <c r="F375" s="178"/>
      <c r="G375" s="178"/>
      <c r="H375" s="171"/>
      <c r="I375" s="105"/>
      <c r="J375" s="165"/>
      <c r="K375" s="1"/>
      <c r="L375" s="119"/>
      <c r="M375" s="119"/>
      <c r="N375" s="137"/>
      <c r="O375" s="119"/>
      <c r="P375" s="119"/>
      <c r="Q375" s="119"/>
      <c r="R375" s="119"/>
      <c r="S375" s="119"/>
      <c r="T375" s="119"/>
      <c r="U375" s="119"/>
      <c r="V375" s="1"/>
      <c r="W375" s="1"/>
      <c r="X375" s="1"/>
      <c r="Y375" s="1"/>
      <c r="Z375" s="1"/>
    </row>
    <row r="376">
      <c r="A376" s="166"/>
      <c r="B376" s="167"/>
      <c r="C376" s="168"/>
      <c r="D376" s="169"/>
      <c r="E376" s="177"/>
      <c r="F376" s="178"/>
      <c r="G376" s="178"/>
      <c r="H376" s="171"/>
      <c r="I376" s="105"/>
      <c r="J376" s="165"/>
      <c r="K376" s="1"/>
      <c r="L376" s="119"/>
      <c r="M376" s="119"/>
      <c r="N376" s="137"/>
      <c r="O376" s="119"/>
      <c r="P376" s="119"/>
      <c r="Q376" s="119"/>
      <c r="R376" s="119"/>
      <c r="S376" s="119"/>
      <c r="T376" s="119"/>
      <c r="U376" s="119"/>
      <c r="V376" s="1"/>
      <c r="W376" s="1"/>
      <c r="X376" s="1"/>
      <c r="Y376" s="1"/>
      <c r="Z376" s="1"/>
    </row>
    <row r="377">
      <c r="A377" s="166"/>
      <c r="B377" s="167"/>
      <c r="C377" s="168"/>
      <c r="D377" s="169"/>
      <c r="E377" s="177"/>
      <c r="F377" s="178"/>
      <c r="G377" s="178"/>
      <c r="H377" s="171"/>
      <c r="I377" s="105"/>
      <c r="J377" s="165"/>
      <c r="K377" s="1"/>
      <c r="L377" s="119"/>
      <c r="M377" s="119"/>
      <c r="N377" s="137"/>
      <c r="O377" s="119"/>
      <c r="P377" s="119"/>
      <c r="Q377" s="119"/>
      <c r="R377" s="119"/>
      <c r="S377" s="119"/>
      <c r="T377" s="119"/>
      <c r="U377" s="119"/>
      <c r="V377" s="1"/>
      <c r="W377" s="1"/>
      <c r="X377" s="1"/>
      <c r="Y377" s="1"/>
      <c r="Z377" s="1"/>
    </row>
    <row r="378">
      <c r="A378" s="166"/>
      <c r="B378" s="167"/>
      <c r="C378" s="168"/>
      <c r="D378" s="169"/>
      <c r="E378" s="177"/>
      <c r="F378" s="178"/>
      <c r="G378" s="178"/>
      <c r="H378" s="171"/>
      <c r="I378" s="105"/>
      <c r="J378" s="165"/>
      <c r="K378" s="1"/>
      <c r="L378" s="119"/>
      <c r="M378" s="119"/>
      <c r="N378" s="137"/>
      <c r="O378" s="119"/>
      <c r="P378" s="119"/>
      <c r="Q378" s="119"/>
      <c r="R378" s="119"/>
      <c r="S378" s="119"/>
      <c r="T378" s="119"/>
      <c r="U378" s="119"/>
      <c r="V378" s="1"/>
      <c r="W378" s="1"/>
      <c r="X378" s="1"/>
      <c r="Y378" s="1"/>
      <c r="Z378" s="1"/>
    </row>
    <row r="379">
      <c r="A379" s="166"/>
      <c r="B379" s="167"/>
      <c r="C379" s="168"/>
      <c r="D379" s="169"/>
      <c r="E379" s="177"/>
      <c r="F379" s="178"/>
      <c r="G379" s="178"/>
      <c r="H379" s="171"/>
      <c r="I379" s="105"/>
      <c r="J379" s="165"/>
      <c r="K379" s="1"/>
      <c r="L379" s="119"/>
      <c r="M379" s="119"/>
      <c r="N379" s="137"/>
      <c r="O379" s="119"/>
      <c r="P379" s="119"/>
      <c r="Q379" s="119"/>
      <c r="R379" s="119"/>
      <c r="S379" s="119"/>
      <c r="T379" s="119"/>
      <c r="U379" s="119"/>
      <c r="V379" s="1"/>
      <c r="W379" s="1"/>
      <c r="X379" s="1"/>
      <c r="Y379" s="1"/>
      <c r="Z379" s="1"/>
    </row>
    <row r="380">
      <c r="A380" s="166"/>
      <c r="B380" s="167"/>
      <c r="C380" s="168"/>
      <c r="D380" s="169"/>
      <c r="E380" s="177"/>
      <c r="F380" s="178"/>
      <c r="G380" s="178"/>
      <c r="H380" s="171"/>
      <c r="I380" s="105"/>
      <c r="J380" s="165"/>
      <c r="K380" s="1"/>
      <c r="L380" s="119"/>
      <c r="M380" s="119"/>
      <c r="N380" s="137"/>
      <c r="O380" s="119"/>
      <c r="P380" s="119"/>
      <c r="Q380" s="119"/>
      <c r="R380" s="119"/>
      <c r="S380" s="119"/>
      <c r="T380" s="119"/>
      <c r="U380" s="119"/>
      <c r="V380" s="1"/>
      <c r="W380" s="1"/>
      <c r="X380" s="1"/>
      <c r="Y380" s="1"/>
      <c r="Z380" s="1"/>
    </row>
    <row r="381">
      <c r="A381" s="166"/>
      <c r="B381" s="167"/>
      <c r="C381" s="168"/>
      <c r="D381" s="169"/>
      <c r="E381" s="177"/>
      <c r="F381" s="178"/>
      <c r="G381" s="178"/>
      <c r="H381" s="171"/>
      <c r="I381" s="105"/>
      <c r="J381" s="165"/>
      <c r="K381" s="1"/>
      <c r="L381" s="119"/>
      <c r="M381" s="119"/>
      <c r="N381" s="137"/>
      <c r="O381" s="119"/>
      <c r="P381" s="119"/>
      <c r="Q381" s="119"/>
      <c r="R381" s="119"/>
      <c r="S381" s="119"/>
      <c r="T381" s="119"/>
      <c r="U381" s="119"/>
      <c r="V381" s="1"/>
      <c r="W381" s="1"/>
      <c r="X381" s="1"/>
      <c r="Y381" s="1"/>
      <c r="Z381" s="1"/>
    </row>
    <row r="382">
      <c r="A382" s="166"/>
      <c r="B382" s="167"/>
      <c r="C382" s="168"/>
      <c r="D382" s="169"/>
      <c r="E382" s="177"/>
      <c r="F382" s="178"/>
      <c r="G382" s="178"/>
      <c r="H382" s="171"/>
      <c r="I382" s="105"/>
      <c r="J382" s="165"/>
      <c r="K382" s="1"/>
      <c r="L382" s="119"/>
      <c r="M382" s="119"/>
      <c r="N382" s="137"/>
      <c r="O382" s="119"/>
      <c r="P382" s="119"/>
      <c r="Q382" s="119"/>
      <c r="R382" s="119"/>
      <c r="S382" s="119"/>
      <c r="T382" s="119"/>
      <c r="U382" s="119"/>
      <c r="V382" s="1"/>
      <c r="W382" s="1"/>
      <c r="X382" s="1"/>
      <c r="Y382" s="1"/>
      <c r="Z382" s="1"/>
    </row>
    <row r="383">
      <c r="A383" s="166"/>
      <c r="B383" s="167"/>
      <c r="C383" s="168"/>
      <c r="D383" s="169"/>
      <c r="E383" s="177"/>
      <c r="F383" s="178"/>
      <c r="G383" s="178"/>
      <c r="H383" s="171"/>
      <c r="I383" s="105"/>
      <c r="J383" s="165"/>
      <c r="K383" s="1"/>
      <c r="L383" s="119"/>
      <c r="M383" s="119"/>
      <c r="N383" s="137"/>
      <c r="O383" s="119"/>
      <c r="P383" s="119"/>
      <c r="Q383" s="119"/>
      <c r="R383" s="119"/>
      <c r="S383" s="119"/>
      <c r="T383" s="119"/>
      <c r="U383" s="119"/>
      <c r="V383" s="1"/>
      <c r="W383" s="1"/>
      <c r="X383" s="1"/>
      <c r="Y383" s="1"/>
      <c r="Z383" s="1"/>
    </row>
    <row r="384">
      <c r="A384" s="166"/>
      <c r="B384" s="167"/>
      <c r="C384" s="168"/>
      <c r="D384" s="169"/>
      <c r="E384" s="177"/>
      <c r="F384" s="178"/>
      <c r="G384" s="178"/>
      <c r="H384" s="171"/>
      <c r="I384" s="105"/>
      <c r="J384" s="165"/>
      <c r="K384" s="1"/>
      <c r="L384" s="119"/>
      <c r="M384" s="119"/>
      <c r="N384" s="137"/>
      <c r="O384" s="119"/>
      <c r="P384" s="119"/>
      <c r="Q384" s="119"/>
      <c r="R384" s="119"/>
      <c r="S384" s="119"/>
      <c r="T384" s="119"/>
      <c r="U384" s="119"/>
      <c r="V384" s="1"/>
      <c r="W384" s="1"/>
      <c r="X384" s="1"/>
      <c r="Y384" s="1"/>
      <c r="Z384" s="1"/>
    </row>
    <row r="385">
      <c r="A385" s="166"/>
      <c r="B385" s="167"/>
      <c r="C385" s="168"/>
      <c r="D385" s="169"/>
      <c r="E385" s="177"/>
      <c r="F385" s="178"/>
      <c r="G385" s="178"/>
      <c r="H385" s="171"/>
      <c r="I385" s="105"/>
      <c r="J385" s="165"/>
      <c r="K385" s="1"/>
      <c r="L385" s="119"/>
      <c r="M385" s="119"/>
      <c r="N385" s="137"/>
      <c r="O385" s="119"/>
      <c r="P385" s="119"/>
      <c r="Q385" s="119"/>
      <c r="R385" s="119"/>
      <c r="S385" s="119"/>
      <c r="T385" s="119"/>
      <c r="U385" s="119"/>
      <c r="V385" s="1"/>
      <c r="W385" s="1"/>
      <c r="X385" s="1"/>
      <c r="Y385" s="1"/>
      <c r="Z385" s="1"/>
    </row>
    <row r="386">
      <c r="A386" s="166"/>
      <c r="B386" s="167"/>
      <c r="C386" s="168"/>
      <c r="D386" s="169"/>
      <c r="E386" s="177"/>
      <c r="F386" s="178"/>
      <c r="G386" s="178"/>
      <c r="H386" s="171"/>
      <c r="I386" s="105"/>
      <c r="J386" s="165"/>
      <c r="K386" s="1"/>
      <c r="L386" s="119"/>
      <c r="M386" s="119"/>
      <c r="N386" s="137"/>
      <c r="O386" s="119"/>
      <c r="P386" s="119"/>
      <c r="Q386" s="119"/>
      <c r="R386" s="119"/>
      <c r="S386" s="119"/>
      <c r="T386" s="119"/>
      <c r="U386" s="119"/>
      <c r="V386" s="1"/>
      <c r="W386" s="1"/>
      <c r="X386" s="1"/>
      <c r="Y386" s="1"/>
      <c r="Z386" s="1"/>
    </row>
    <row r="387">
      <c r="A387" s="166"/>
      <c r="B387" s="167"/>
      <c r="C387" s="168"/>
      <c r="D387" s="169"/>
      <c r="E387" s="177"/>
      <c r="F387" s="178"/>
      <c r="G387" s="178"/>
      <c r="H387" s="171"/>
      <c r="I387" s="105"/>
      <c r="J387" s="165"/>
      <c r="K387" s="1"/>
      <c r="L387" s="119"/>
      <c r="M387" s="119"/>
      <c r="N387" s="137"/>
      <c r="O387" s="119"/>
      <c r="P387" s="119"/>
      <c r="Q387" s="119"/>
      <c r="R387" s="119"/>
      <c r="S387" s="119"/>
      <c r="T387" s="119"/>
      <c r="U387" s="119"/>
      <c r="V387" s="1"/>
      <c r="W387" s="1"/>
      <c r="X387" s="1"/>
      <c r="Y387" s="1"/>
      <c r="Z387" s="1"/>
    </row>
    <row r="388">
      <c r="A388" s="166"/>
      <c r="B388" s="167"/>
      <c r="C388" s="168"/>
      <c r="D388" s="169"/>
      <c r="E388" s="177"/>
      <c r="F388" s="178"/>
      <c r="G388" s="178"/>
      <c r="H388" s="171"/>
      <c r="I388" s="105"/>
      <c r="J388" s="165"/>
      <c r="K388" s="1"/>
      <c r="L388" s="119"/>
      <c r="M388" s="119"/>
      <c r="N388" s="137"/>
      <c r="O388" s="119"/>
      <c r="P388" s="119"/>
      <c r="Q388" s="119"/>
      <c r="R388" s="119"/>
      <c r="S388" s="119"/>
      <c r="T388" s="119"/>
      <c r="U388" s="119"/>
      <c r="V388" s="1"/>
      <c r="W388" s="1"/>
      <c r="X388" s="1"/>
      <c r="Y388" s="1"/>
      <c r="Z388" s="1"/>
    </row>
    <row r="389">
      <c r="A389" s="166"/>
      <c r="B389" s="167"/>
      <c r="C389" s="168"/>
      <c r="D389" s="169"/>
      <c r="E389" s="177"/>
      <c r="F389" s="178"/>
      <c r="G389" s="178"/>
      <c r="H389" s="171"/>
      <c r="I389" s="105"/>
      <c r="J389" s="165"/>
      <c r="K389" s="1"/>
      <c r="L389" s="119"/>
      <c r="M389" s="119"/>
      <c r="N389" s="137"/>
      <c r="O389" s="119"/>
      <c r="P389" s="119"/>
      <c r="Q389" s="119"/>
      <c r="R389" s="119"/>
      <c r="S389" s="119"/>
      <c r="T389" s="119"/>
      <c r="U389" s="119"/>
      <c r="V389" s="1"/>
      <c r="W389" s="1"/>
      <c r="X389" s="1"/>
      <c r="Y389" s="1"/>
      <c r="Z389" s="1"/>
    </row>
    <row r="390">
      <c r="A390" s="166"/>
      <c r="B390" s="167"/>
      <c r="C390" s="168"/>
      <c r="D390" s="169"/>
      <c r="E390" s="177"/>
      <c r="F390" s="178"/>
      <c r="G390" s="178"/>
      <c r="H390" s="171"/>
      <c r="I390" s="105"/>
      <c r="J390" s="165"/>
      <c r="K390" s="1"/>
      <c r="L390" s="119"/>
      <c r="M390" s="119"/>
      <c r="N390" s="137"/>
      <c r="O390" s="119"/>
      <c r="P390" s="119"/>
      <c r="Q390" s="119"/>
      <c r="R390" s="119"/>
      <c r="S390" s="119"/>
      <c r="T390" s="119"/>
      <c r="U390" s="119"/>
      <c r="V390" s="1"/>
      <c r="W390" s="1"/>
      <c r="X390" s="1"/>
      <c r="Y390" s="1"/>
      <c r="Z390" s="1"/>
    </row>
    <row r="391">
      <c r="A391" s="166"/>
      <c r="B391" s="167"/>
      <c r="C391" s="168"/>
      <c r="D391" s="169"/>
      <c r="E391" s="177"/>
      <c r="F391" s="178"/>
      <c r="G391" s="178"/>
      <c r="H391" s="171"/>
      <c r="I391" s="105"/>
      <c r="J391" s="165"/>
      <c r="K391" s="1"/>
      <c r="L391" s="119"/>
      <c r="M391" s="119"/>
      <c r="N391" s="137"/>
      <c r="O391" s="119"/>
      <c r="P391" s="119"/>
      <c r="Q391" s="119"/>
      <c r="R391" s="119"/>
      <c r="S391" s="119"/>
      <c r="T391" s="119"/>
      <c r="U391" s="119"/>
      <c r="V391" s="1"/>
      <c r="W391" s="1"/>
      <c r="X391" s="1"/>
      <c r="Y391" s="1"/>
      <c r="Z391" s="1"/>
    </row>
    <row r="392">
      <c r="A392" s="166"/>
      <c r="B392" s="167"/>
      <c r="C392" s="168"/>
      <c r="D392" s="169"/>
      <c r="E392" s="177"/>
      <c r="F392" s="178"/>
      <c r="G392" s="178"/>
      <c r="H392" s="171"/>
      <c r="I392" s="105"/>
      <c r="J392" s="165"/>
      <c r="K392" s="1"/>
      <c r="L392" s="119"/>
      <c r="M392" s="119"/>
      <c r="N392" s="137"/>
      <c r="O392" s="119"/>
      <c r="P392" s="119"/>
      <c r="Q392" s="119"/>
      <c r="R392" s="119"/>
      <c r="S392" s="119"/>
      <c r="T392" s="119"/>
      <c r="U392" s="119"/>
      <c r="V392" s="1"/>
      <c r="W392" s="1"/>
      <c r="X392" s="1"/>
      <c r="Y392" s="1"/>
      <c r="Z392" s="1"/>
    </row>
    <row r="393">
      <c r="A393" s="166"/>
      <c r="B393" s="167"/>
      <c r="C393" s="168"/>
      <c r="D393" s="169"/>
      <c r="E393" s="177"/>
      <c r="F393" s="178"/>
      <c r="G393" s="178"/>
      <c r="H393" s="171"/>
      <c r="I393" s="105"/>
      <c r="J393" s="165"/>
      <c r="K393" s="1"/>
      <c r="L393" s="119"/>
      <c r="M393" s="119"/>
      <c r="N393" s="137"/>
      <c r="O393" s="119"/>
      <c r="P393" s="119"/>
      <c r="Q393" s="119"/>
      <c r="R393" s="119"/>
      <c r="S393" s="119"/>
      <c r="T393" s="119"/>
      <c r="U393" s="119"/>
      <c r="V393" s="1"/>
      <c r="W393" s="1"/>
      <c r="X393" s="1"/>
      <c r="Y393" s="1"/>
      <c r="Z393" s="1"/>
    </row>
    <row r="394">
      <c r="A394" s="166"/>
      <c r="B394" s="167"/>
      <c r="C394" s="168"/>
      <c r="D394" s="169"/>
      <c r="E394" s="177"/>
      <c r="F394" s="178"/>
      <c r="G394" s="178"/>
      <c r="H394" s="171"/>
      <c r="I394" s="105"/>
      <c r="J394" s="165"/>
      <c r="K394" s="1"/>
      <c r="L394" s="119"/>
      <c r="M394" s="119"/>
      <c r="N394" s="137"/>
      <c r="O394" s="119"/>
      <c r="P394" s="119"/>
      <c r="Q394" s="119"/>
      <c r="R394" s="119"/>
      <c r="S394" s="119"/>
      <c r="T394" s="119"/>
      <c r="U394" s="119"/>
      <c r="V394" s="1"/>
      <c r="W394" s="1"/>
      <c r="X394" s="1"/>
      <c r="Y394" s="1"/>
      <c r="Z394" s="1"/>
    </row>
    <row r="395">
      <c r="A395" s="166"/>
      <c r="B395" s="167"/>
      <c r="C395" s="168"/>
      <c r="D395" s="169"/>
      <c r="E395" s="177"/>
      <c r="F395" s="178"/>
      <c r="G395" s="178"/>
      <c r="H395" s="171"/>
      <c r="I395" s="105"/>
      <c r="J395" s="165"/>
      <c r="K395" s="1"/>
      <c r="L395" s="119"/>
      <c r="M395" s="119"/>
      <c r="N395" s="137"/>
      <c r="O395" s="119"/>
      <c r="P395" s="119"/>
      <c r="Q395" s="119"/>
      <c r="R395" s="119"/>
      <c r="S395" s="119"/>
      <c r="T395" s="119"/>
      <c r="U395" s="119"/>
      <c r="V395" s="1"/>
      <c r="W395" s="1"/>
      <c r="X395" s="1"/>
      <c r="Y395" s="1"/>
      <c r="Z395" s="1"/>
    </row>
    <row r="396">
      <c r="A396" s="166"/>
      <c r="B396" s="167"/>
      <c r="C396" s="168"/>
      <c r="D396" s="169"/>
      <c r="E396" s="177"/>
      <c r="F396" s="178"/>
      <c r="G396" s="178"/>
      <c r="H396" s="171"/>
      <c r="I396" s="105"/>
      <c r="J396" s="165"/>
      <c r="K396" s="1"/>
      <c r="L396" s="119"/>
      <c r="M396" s="119"/>
      <c r="N396" s="137"/>
      <c r="O396" s="119"/>
      <c r="P396" s="119"/>
      <c r="Q396" s="119"/>
      <c r="R396" s="119"/>
      <c r="S396" s="119"/>
      <c r="T396" s="119"/>
      <c r="U396" s="119"/>
      <c r="V396" s="1"/>
      <c r="W396" s="1"/>
      <c r="X396" s="1"/>
      <c r="Y396" s="1"/>
      <c r="Z396" s="1"/>
    </row>
    <row r="397">
      <c r="A397" s="166"/>
      <c r="B397" s="167"/>
      <c r="C397" s="168"/>
      <c r="D397" s="169"/>
      <c r="E397" s="177"/>
      <c r="F397" s="178"/>
      <c r="G397" s="178"/>
      <c r="H397" s="171"/>
      <c r="I397" s="105"/>
      <c r="J397" s="165"/>
      <c r="K397" s="1"/>
      <c r="L397" s="119"/>
      <c r="M397" s="119"/>
      <c r="N397" s="137"/>
      <c r="O397" s="119"/>
      <c r="P397" s="119"/>
      <c r="Q397" s="119"/>
      <c r="R397" s="119"/>
      <c r="S397" s="119"/>
      <c r="T397" s="119"/>
      <c r="U397" s="119"/>
      <c r="V397" s="1"/>
      <c r="W397" s="1"/>
      <c r="X397" s="1"/>
      <c r="Y397" s="1"/>
      <c r="Z397" s="1"/>
    </row>
    <row r="398">
      <c r="A398" s="166"/>
      <c r="B398" s="167"/>
      <c r="C398" s="168"/>
      <c r="D398" s="169"/>
      <c r="E398" s="177"/>
      <c r="F398" s="178"/>
      <c r="G398" s="178"/>
      <c r="H398" s="171"/>
      <c r="I398" s="105"/>
      <c r="J398" s="165"/>
      <c r="K398" s="1"/>
      <c r="L398" s="119"/>
      <c r="M398" s="119"/>
      <c r="N398" s="137"/>
      <c r="O398" s="119"/>
      <c r="P398" s="119"/>
      <c r="Q398" s="119"/>
      <c r="R398" s="119"/>
      <c r="S398" s="119"/>
      <c r="T398" s="119"/>
      <c r="U398" s="119"/>
      <c r="V398" s="1"/>
      <c r="W398" s="1"/>
      <c r="X398" s="1"/>
      <c r="Y398" s="1"/>
      <c r="Z398" s="1"/>
    </row>
    <row r="399">
      <c r="A399" s="166"/>
      <c r="B399" s="167"/>
      <c r="C399" s="168"/>
      <c r="D399" s="169"/>
      <c r="E399" s="177"/>
      <c r="F399" s="178"/>
      <c r="G399" s="178"/>
      <c r="H399" s="171"/>
      <c r="I399" s="105"/>
      <c r="J399" s="165"/>
      <c r="K399" s="1"/>
      <c r="L399" s="119"/>
      <c r="M399" s="119"/>
      <c r="N399" s="137"/>
      <c r="O399" s="119"/>
      <c r="P399" s="119"/>
      <c r="Q399" s="119"/>
      <c r="R399" s="119"/>
      <c r="S399" s="119"/>
      <c r="T399" s="119"/>
      <c r="U399" s="119"/>
      <c r="V399" s="1"/>
      <c r="W399" s="1"/>
      <c r="X399" s="1"/>
      <c r="Y399" s="1"/>
      <c r="Z399" s="1"/>
    </row>
    <row r="400">
      <c r="A400" s="166"/>
      <c r="B400" s="167"/>
      <c r="C400" s="168"/>
      <c r="D400" s="169"/>
      <c r="E400" s="177"/>
      <c r="F400" s="178"/>
      <c r="G400" s="178"/>
      <c r="H400" s="171"/>
      <c r="I400" s="105"/>
      <c r="J400" s="165"/>
      <c r="K400" s="1"/>
      <c r="L400" s="119"/>
      <c r="M400" s="119"/>
      <c r="N400" s="137"/>
      <c r="O400" s="119"/>
      <c r="P400" s="119"/>
      <c r="Q400" s="119"/>
      <c r="R400" s="119"/>
      <c r="S400" s="119"/>
      <c r="T400" s="119"/>
      <c r="U400" s="119"/>
      <c r="V400" s="1"/>
      <c r="W400" s="1"/>
      <c r="X400" s="1"/>
      <c r="Y400" s="1"/>
      <c r="Z400" s="1"/>
    </row>
    <row r="401">
      <c r="A401" s="166"/>
      <c r="B401" s="167"/>
      <c r="C401" s="168"/>
      <c r="D401" s="169"/>
      <c r="E401" s="177"/>
      <c r="F401" s="178"/>
      <c r="G401" s="178"/>
      <c r="H401" s="171"/>
      <c r="I401" s="105"/>
      <c r="J401" s="165"/>
      <c r="K401" s="1"/>
      <c r="L401" s="119"/>
      <c r="M401" s="119"/>
      <c r="N401" s="137"/>
      <c r="O401" s="119"/>
      <c r="P401" s="119"/>
      <c r="Q401" s="119"/>
      <c r="R401" s="119"/>
      <c r="S401" s="119"/>
      <c r="T401" s="119"/>
      <c r="U401" s="119"/>
      <c r="V401" s="1"/>
      <c r="W401" s="1"/>
      <c r="X401" s="1"/>
      <c r="Y401" s="1"/>
      <c r="Z401" s="1"/>
    </row>
    <row r="402">
      <c r="A402" s="166"/>
      <c r="B402" s="167"/>
      <c r="C402" s="168"/>
      <c r="D402" s="169"/>
      <c r="E402" s="177"/>
      <c r="F402" s="178"/>
      <c r="G402" s="178"/>
      <c r="H402" s="171"/>
      <c r="I402" s="105"/>
      <c r="J402" s="165"/>
      <c r="K402" s="1"/>
      <c r="L402" s="119"/>
      <c r="M402" s="119"/>
      <c r="N402" s="137"/>
      <c r="O402" s="119"/>
      <c r="P402" s="119"/>
      <c r="Q402" s="119"/>
      <c r="R402" s="119"/>
      <c r="S402" s="119"/>
      <c r="T402" s="119"/>
      <c r="U402" s="119"/>
      <c r="V402" s="1"/>
      <c r="W402" s="1"/>
      <c r="X402" s="1"/>
      <c r="Y402" s="1"/>
      <c r="Z402" s="1"/>
    </row>
    <row r="403">
      <c r="A403" s="166"/>
      <c r="B403" s="167"/>
      <c r="C403" s="168"/>
      <c r="D403" s="169"/>
      <c r="E403" s="177"/>
      <c r="F403" s="178"/>
      <c r="G403" s="178"/>
      <c r="H403" s="171"/>
      <c r="I403" s="105"/>
      <c r="J403" s="165"/>
      <c r="K403" s="1"/>
      <c r="L403" s="119"/>
      <c r="M403" s="119"/>
      <c r="N403" s="137"/>
      <c r="O403" s="119"/>
      <c r="P403" s="119"/>
      <c r="Q403" s="119"/>
      <c r="R403" s="119"/>
      <c r="S403" s="119"/>
      <c r="T403" s="119"/>
      <c r="U403" s="119"/>
      <c r="V403" s="1"/>
      <c r="W403" s="1"/>
      <c r="X403" s="1"/>
      <c r="Y403" s="1"/>
      <c r="Z403" s="1"/>
    </row>
    <row r="404">
      <c r="A404" s="166"/>
      <c r="B404" s="167"/>
      <c r="C404" s="168"/>
      <c r="D404" s="169"/>
      <c r="E404" s="177"/>
      <c r="F404" s="178"/>
      <c r="G404" s="178"/>
      <c r="H404" s="171"/>
      <c r="I404" s="105"/>
      <c r="J404" s="165"/>
      <c r="K404" s="1"/>
      <c r="L404" s="119"/>
      <c r="M404" s="119"/>
      <c r="N404" s="137"/>
      <c r="O404" s="119"/>
      <c r="P404" s="119"/>
      <c r="Q404" s="119"/>
      <c r="R404" s="119"/>
      <c r="S404" s="119"/>
      <c r="T404" s="119"/>
      <c r="U404" s="119"/>
      <c r="V404" s="1"/>
      <c r="W404" s="1"/>
      <c r="X404" s="1"/>
      <c r="Y404" s="1"/>
      <c r="Z404" s="1"/>
    </row>
    <row r="405">
      <c r="A405" s="166"/>
      <c r="B405" s="167"/>
      <c r="C405" s="168"/>
      <c r="D405" s="169"/>
      <c r="E405" s="177"/>
      <c r="F405" s="178"/>
      <c r="G405" s="178"/>
      <c r="H405" s="171"/>
      <c r="I405" s="105"/>
      <c r="J405" s="165"/>
      <c r="K405" s="1"/>
      <c r="L405" s="119"/>
      <c r="M405" s="119"/>
      <c r="N405" s="137"/>
      <c r="O405" s="119"/>
      <c r="P405" s="119"/>
      <c r="Q405" s="119"/>
      <c r="R405" s="119"/>
      <c r="S405" s="119"/>
      <c r="T405" s="119"/>
      <c r="U405" s="119"/>
      <c r="V405" s="1"/>
      <c r="W405" s="1"/>
      <c r="X405" s="1"/>
      <c r="Y405" s="1"/>
      <c r="Z405" s="1"/>
    </row>
    <row r="406">
      <c r="A406" s="166"/>
      <c r="B406" s="167"/>
      <c r="C406" s="168"/>
      <c r="D406" s="169"/>
      <c r="E406" s="177"/>
      <c r="F406" s="178"/>
      <c r="G406" s="178"/>
      <c r="H406" s="171"/>
      <c r="I406" s="105"/>
      <c r="J406" s="165"/>
      <c r="K406" s="1"/>
      <c r="L406" s="119"/>
      <c r="M406" s="119"/>
      <c r="N406" s="137"/>
      <c r="O406" s="119"/>
      <c r="P406" s="119"/>
      <c r="Q406" s="119"/>
      <c r="R406" s="119"/>
      <c r="S406" s="119"/>
      <c r="T406" s="119"/>
      <c r="U406" s="119"/>
      <c r="V406" s="1"/>
      <c r="W406" s="1"/>
      <c r="X406" s="1"/>
      <c r="Y406" s="1"/>
      <c r="Z406" s="1"/>
    </row>
    <row r="407">
      <c r="A407" s="166"/>
      <c r="B407" s="167"/>
      <c r="C407" s="168"/>
      <c r="D407" s="169"/>
      <c r="E407" s="177"/>
      <c r="F407" s="178"/>
      <c r="G407" s="178"/>
      <c r="H407" s="171"/>
      <c r="I407" s="105"/>
      <c r="J407" s="165"/>
      <c r="K407" s="1"/>
      <c r="L407" s="119"/>
      <c r="M407" s="119"/>
      <c r="N407" s="137"/>
      <c r="O407" s="119"/>
      <c r="P407" s="119"/>
      <c r="Q407" s="119"/>
      <c r="R407" s="119"/>
      <c r="S407" s="119"/>
      <c r="T407" s="119"/>
      <c r="U407" s="119"/>
      <c r="V407" s="1"/>
      <c r="W407" s="1"/>
      <c r="X407" s="1"/>
      <c r="Y407" s="1"/>
      <c r="Z407" s="1"/>
    </row>
    <row r="408">
      <c r="A408" s="166"/>
      <c r="B408" s="167"/>
      <c r="C408" s="168"/>
      <c r="D408" s="169"/>
      <c r="E408" s="177"/>
      <c r="F408" s="178"/>
      <c r="G408" s="178"/>
      <c r="H408" s="171"/>
      <c r="I408" s="105"/>
      <c r="J408" s="165"/>
      <c r="K408" s="1"/>
      <c r="L408" s="119"/>
      <c r="M408" s="119"/>
      <c r="N408" s="137"/>
      <c r="O408" s="119"/>
      <c r="P408" s="119"/>
      <c r="Q408" s="119"/>
      <c r="R408" s="119"/>
      <c r="S408" s="119"/>
      <c r="T408" s="119"/>
      <c r="U408" s="119"/>
      <c r="V408" s="1"/>
      <c r="W408" s="1"/>
      <c r="X408" s="1"/>
      <c r="Y408" s="1"/>
      <c r="Z408" s="1"/>
    </row>
    <row r="409">
      <c r="A409" s="166"/>
      <c r="B409" s="167"/>
      <c r="C409" s="168"/>
      <c r="D409" s="169"/>
      <c r="E409" s="177"/>
      <c r="F409" s="178"/>
      <c r="G409" s="178"/>
      <c r="H409" s="171"/>
      <c r="I409" s="105"/>
      <c r="J409" s="165"/>
      <c r="K409" s="1"/>
      <c r="L409" s="119"/>
      <c r="M409" s="119"/>
      <c r="N409" s="137"/>
      <c r="O409" s="119"/>
      <c r="P409" s="119"/>
      <c r="Q409" s="119"/>
      <c r="R409" s="119"/>
      <c r="S409" s="119"/>
      <c r="T409" s="119"/>
      <c r="U409" s="119"/>
      <c r="V409" s="1"/>
      <c r="W409" s="1"/>
      <c r="X409" s="1"/>
      <c r="Y409" s="1"/>
      <c r="Z409" s="1"/>
    </row>
    <row r="410">
      <c r="A410" s="166"/>
      <c r="B410" s="167"/>
      <c r="C410" s="168"/>
      <c r="D410" s="169"/>
      <c r="E410" s="177"/>
      <c r="F410" s="178"/>
      <c r="G410" s="178"/>
      <c r="H410" s="171"/>
      <c r="I410" s="105"/>
      <c r="J410" s="165"/>
      <c r="K410" s="1"/>
      <c r="L410" s="119"/>
      <c r="M410" s="119"/>
      <c r="N410" s="137"/>
      <c r="O410" s="119"/>
      <c r="P410" s="119"/>
      <c r="Q410" s="119"/>
      <c r="R410" s="119"/>
      <c r="S410" s="119"/>
      <c r="T410" s="119"/>
      <c r="U410" s="119"/>
      <c r="V410" s="1"/>
      <c r="W410" s="1"/>
      <c r="X410" s="1"/>
      <c r="Y410" s="1"/>
      <c r="Z410" s="1"/>
    </row>
    <row r="411">
      <c r="A411" s="166"/>
      <c r="B411" s="167"/>
      <c r="C411" s="168"/>
      <c r="D411" s="169"/>
      <c r="E411" s="177"/>
      <c r="F411" s="178"/>
      <c r="G411" s="178"/>
      <c r="H411" s="171"/>
      <c r="I411" s="105"/>
      <c r="J411" s="165"/>
      <c r="K411" s="1"/>
      <c r="L411" s="119"/>
      <c r="M411" s="119"/>
      <c r="N411" s="137"/>
      <c r="O411" s="119"/>
      <c r="P411" s="119"/>
      <c r="Q411" s="119"/>
      <c r="R411" s="119"/>
      <c r="S411" s="119"/>
      <c r="T411" s="119"/>
      <c r="U411" s="119"/>
      <c r="V411" s="1"/>
      <c r="W411" s="1"/>
      <c r="X411" s="1"/>
      <c r="Y411" s="1"/>
      <c r="Z411" s="1"/>
    </row>
    <row r="412">
      <c r="A412" s="166"/>
      <c r="B412" s="167"/>
      <c r="C412" s="168"/>
      <c r="D412" s="169"/>
      <c r="E412" s="177"/>
      <c r="F412" s="178"/>
      <c r="G412" s="178"/>
      <c r="H412" s="171"/>
      <c r="I412" s="105"/>
      <c r="J412" s="165"/>
      <c r="K412" s="1"/>
      <c r="L412" s="119"/>
      <c r="M412" s="119"/>
      <c r="N412" s="137"/>
      <c r="O412" s="119"/>
      <c r="P412" s="119"/>
      <c r="Q412" s="119"/>
      <c r="R412" s="119"/>
      <c r="S412" s="119"/>
      <c r="T412" s="119"/>
      <c r="U412" s="119"/>
      <c r="V412" s="1"/>
      <c r="W412" s="1"/>
      <c r="X412" s="1"/>
      <c r="Y412" s="1"/>
      <c r="Z412" s="1"/>
    </row>
    <row r="413">
      <c r="A413" s="166"/>
      <c r="B413" s="167"/>
      <c r="C413" s="168"/>
      <c r="D413" s="169"/>
      <c r="E413" s="177"/>
      <c r="F413" s="178"/>
      <c r="G413" s="178"/>
      <c r="H413" s="171"/>
      <c r="I413" s="105"/>
      <c r="J413" s="165"/>
      <c r="K413" s="1"/>
      <c r="L413" s="119"/>
      <c r="M413" s="119"/>
      <c r="N413" s="137"/>
      <c r="O413" s="119"/>
      <c r="P413" s="119"/>
      <c r="Q413" s="119"/>
      <c r="R413" s="119"/>
      <c r="S413" s="119"/>
      <c r="T413" s="119"/>
      <c r="U413" s="119"/>
      <c r="V413" s="1"/>
      <c r="W413" s="1"/>
      <c r="X413" s="1"/>
      <c r="Y413" s="1"/>
      <c r="Z413" s="1"/>
    </row>
    <row r="414">
      <c r="A414" s="166"/>
      <c r="B414" s="167"/>
      <c r="C414" s="168"/>
      <c r="D414" s="169"/>
      <c r="E414" s="177"/>
      <c r="F414" s="178"/>
      <c r="G414" s="178"/>
      <c r="H414" s="171"/>
      <c r="I414" s="105"/>
      <c r="J414" s="165"/>
      <c r="K414" s="1"/>
      <c r="L414" s="119"/>
      <c r="M414" s="119"/>
      <c r="N414" s="137"/>
      <c r="O414" s="119"/>
      <c r="P414" s="119"/>
      <c r="Q414" s="119"/>
      <c r="R414" s="119"/>
      <c r="S414" s="119"/>
      <c r="T414" s="119"/>
      <c r="U414" s="119"/>
      <c r="V414" s="1"/>
      <c r="W414" s="1"/>
      <c r="X414" s="1"/>
      <c r="Y414" s="1"/>
      <c r="Z414" s="1"/>
    </row>
    <row r="415">
      <c r="A415" s="166"/>
      <c r="B415" s="167"/>
      <c r="C415" s="168"/>
      <c r="D415" s="169"/>
      <c r="E415" s="177"/>
      <c r="F415" s="178"/>
      <c r="G415" s="178"/>
      <c r="H415" s="171"/>
      <c r="I415" s="105"/>
      <c r="J415" s="165"/>
      <c r="K415" s="1"/>
      <c r="L415" s="119"/>
      <c r="M415" s="119"/>
      <c r="N415" s="137"/>
      <c r="O415" s="119"/>
      <c r="P415" s="119"/>
      <c r="Q415" s="119"/>
      <c r="R415" s="119"/>
      <c r="S415" s="119"/>
      <c r="T415" s="119"/>
      <c r="U415" s="119"/>
      <c r="V415" s="1"/>
      <c r="W415" s="1"/>
      <c r="X415" s="1"/>
      <c r="Y415" s="1"/>
      <c r="Z415" s="1"/>
    </row>
    <row r="416">
      <c r="A416" s="166"/>
      <c r="B416" s="167"/>
      <c r="C416" s="168"/>
      <c r="D416" s="169"/>
      <c r="E416" s="177"/>
      <c r="F416" s="178"/>
      <c r="G416" s="178"/>
      <c r="H416" s="171"/>
      <c r="I416" s="105"/>
      <c r="J416" s="165"/>
      <c r="K416" s="1"/>
      <c r="L416" s="119"/>
      <c r="M416" s="119"/>
      <c r="N416" s="137"/>
      <c r="O416" s="119"/>
      <c r="P416" s="119"/>
      <c r="Q416" s="119"/>
      <c r="R416" s="119"/>
      <c r="S416" s="119"/>
      <c r="T416" s="119"/>
      <c r="U416" s="119"/>
      <c r="V416" s="1"/>
      <c r="W416" s="1"/>
      <c r="X416" s="1"/>
      <c r="Y416" s="1"/>
      <c r="Z416" s="1"/>
    </row>
    <row r="417">
      <c r="A417" s="166"/>
      <c r="B417" s="167"/>
      <c r="C417" s="168"/>
      <c r="D417" s="169"/>
      <c r="E417" s="177"/>
      <c r="F417" s="178"/>
      <c r="G417" s="178"/>
      <c r="H417" s="171"/>
      <c r="I417" s="105"/>
      <c r="J417" s="165"/>
      <c r="K417" s="1"/>
      <c r="L417" s="119"/>
      <c r="M417" s="119"/>
      <c r="N417" s="137"/>
      <c r="O417" s="119"/>
      <c r="P417" s="119"/>
      <c r="Q417" s="119"/>
      <c r="R417" s="119"/>
      <c r="S417" s="119"/>
      <c r="T417" s="119"/>
      <c r="U417" s="119"/>
      <c r="V417" s="1"/>
      <c r="W417" s="1"/>
      <c r="X417" s="1"/>
      <c r="Y417" s="1"/>
      <c r="Z417" s="1"/>
    </row>
    <row r="418">
      <c r="A418" s="166"/>
      <c r="B418" s="167"/>
      <c r="C418" s="168"/>
      <c r="D418" s="169"/>
      <c r="E418" s="177"/>
      <c r="F418" s="178"/>
      <c r="G418" s="178"/>
      <c r="H418" s="171"/>
      <c r="I418" s="105"/>
      <c r="J418" s="165"/>
      <c r="K418" s="1"/>
      <c r="L418" s="119"/>
      <c r="M418" s="119"/>
      <c r="N418" s="137"/>
      <c r="O418" s="119"/>
      <c r="P418" s="119"/>
      <c r="Q418" s="119"/>
      <c r="R418" s="119"/>
      <c r="S418" s="119"/>
      <c r="T418" s="119"/>
      <c r="U418" s="119"/>
      <c r="V418" s="1"/>
      <c r="W418" s="1"/>
      <c r="X418" s="1"/>
      <c r="Y418" s="1"/>
      <c r="Z418" s="1"/>
    </row>
    <row r="419">
      <c r="A419" s="166"/>
      <c r="B419" s="167"/>
      <c r="C419" s="168"/>
      <c r="D419" s="169"/>
      <c r="E419" s="177"/>
      <c r="F419" s="178"/>
      <c r="G419" s="178"/>
      <c r="H419" s="171"/>
      <c r="I419" s="105"/>
      <c r="J419" s="165"/>
      <c r="K419" s="1"/>
      <c r="L419" s="119"/>
      <c r="M419" s="119"/>
      <c r="N419" s="137"/>
      <c r="O419" s="119"/>
      <c r="P419" s="119"/>
      <c r="Q419" s="119"/>
      <c r="R419" s="119"/>
      <c r="S419" s="119"/>
      <c r="T419" s="119"/>
      <c r="U419" s="119"/>
      <c r="V419" s="1"/>
      <c r="W419" s="1"/>
      <c r="X419" s="1"/>
      <c r="Y419" s="1"/>
      <c r="Z419" s="1"/>
    </row>
    <row r="420">
      <c r="A420" s="166"/>
      <c r="B420" s="167"/>
      <c r="C420" s="168"/>
      <c r="D420" s="169"/>
      <c r="E420" s="177"/>
      <c r="F420" s="178"/>
      <c r="G420" s="178"/>
      <c r="H420" s="171"/>
      <c r="I420" s="105"/>
      <c r="J420" s="165"/>
      <c r="K420" s="1"/>
      <c r="L420" s="119"/>
      <c r="M420" s="119"/>
      <c r="N420" s="137"/>
      <c r="O420" s="119"/>
      <c r="P420" s="119"/>
      <c r="Q420" s="119"/>
      <c r="R420" s="119"/>
      <c r="S420" s="119"/>
      <c r="T420" s="119"/>
      <c r="U420" s="119"/>
      <c r="V420" s="1"/>
      <c r="W420" s="1"/>
      <c r="X420" s="1"/>
      <c r="Y420" s="1"/>
      <c r="Z420" s="1"/>
    </row>
    <row r="421">
      <c r="A421" s="166"/>
      <c r="B421" s="167"/>
      <c r="C421" s="168"/>
      <c r="D421" s="169"/>
      <c r="E421" s="177"/>
      <c r="F421" s="178"/>
      <c r="G421" s="178"/>
      <c r="H421" s="171"/>
      <c r="I421" s="105"/>
      <c r="J421" s="165"/>
      <c r="K421" s="1"/>
      <c r="L421" s="119"/>
      <c r="M421" s="119"/>
      <c r="N421" s="137"/>
      <c r="O421" s="119"/>
      <c r="P421" s="119"/>
      <c r="Q421" s="119"/>
      <c r="R421" s="119"/>
      <c r="S421" s="119"/>
      <c r="T421" s="119"/>
      <c r="U421" s="119"/>
      <c r="V421" s="1"/>
      <c r="W421" s="1"/>
      <c r="X421" s="1"/>
      <c r="Y421" s="1"/>
      <c r="Z421" s="1"/>
    </row>
    <row r="422">
      <c r="A422" s="166"/>
      <c r="B422" s="167"/>
      <c r="C422" s="168"/>
      <c r="D422" s="169"/>
      <c r="E422" s="177"/>
      <c r="F422" s="178"/>
      <c r="G422" s="178"/>
      <c r="H422" s="171"/>
      <c r="I422" s="105"/>
      <c r="J422" s="165"/>
      <c r="K422" s="1"/>
      <c r="L422" s="119"/>
      <c r="M422" s="119"/>
      <c r="N422" s="137"/>
      <c r="O422" s="119"/>
      <c r="P422" s="119"/>
      <c r="Q422" s="119"/>
      <c r="R422" s="119"/>
      <c r="S422" s="119"/>
      <c r="T422" s="119"/>
      <c r="U422" s="119"/>
      <c r="V422" s="1"/>
      <c r="W422" s="1"/>
      <c r="X422" s="1"/>
      <c r="Y422" s="1"/>
      <c r="Z422" s="1"/>
    </row>
    <row r="423">
      <c r="A423" s="166"/>
      <c r="B423" s="167"/>
      <c r="C423" s="168"/>
      <c r="D423" s="169"/>
      <c r="E423" s="177"/>
      <c r="F423" s="178"/>
      <c r="G423" s="178"/>
      <c r="H423" s="171"/>
      <c r="I423" s="105"/>
      <c r="J423" s="165"/>
      <c r="K423" s="1"/>
      <c r="L423" s="119"/>
      <c r="M423" s="119"/>
      <c r="N423" s="137"/>
      <c r="O423" s="119"/>
      <c r="P423" s="119"/>
      <c r="Q423" s="119"/>
      <c r="R423" s="119"/>
      <c r="S423" s="119"/>
      <c r="T423" s="119"/>
      <c r="U423" s="119"/>
      <c r="V423" s="1"/>
      <c r="W423" s="1"/>
      <c r="X423" s="1"/>
      <c r="Y423" s="1"/>
      <c r="Z423" s="1"/>
    </row>
    <row r="424">
      <c r="A424" s="166"/>
      <c r="B424" s="167"/>
      <c r="C424" s="168"/>
      <c r="D424" s="169"/>
      <c r="E424" s="177"/>
      <c r="F424" s="178"/>
      <c r="G424" s="178"/>
      <c r="H424" s="171"/>
      <c r="I424" s="105"/>
      <c r="J424" s="165"/>
      <c r="K424" s="1"/>
      <c r="L424" s="119"/>
      <c r="M424" s="119"/>
      <c r="N424" s="137"/>
      <c r="O424" s="119"/>
      <c r="P424" s="119"/>
      <c r="Q424" s="119"/>
      <c r="R424" s="119"/>
      <c r="S424" s="119"/>
      <c r="T424" s="119"/>
      <c r="U424" s="119"/>
      <c r="V424" s="1"/>
      <c r="W424" s="1"/>
      <c r="X424" s="1"/>
      <c r="Y424" s="1"/>
      <c r="Z424" s="1"/>
    </row>
    <row r="425">
      <c r="A425" s="166"/>
      <c r="B425" s="167"/>
      <c r="C425" s="168"/>
      <c r="D425" s="169"/>
      <c r="E425" s="177"/>
      <c r="F425" s="178"/>
      <c r="G425" s="178"/>
      <c r="H425" s="171"/>
      <c r="I425" s="105"/>
      <c r="J425" s="165"/>
      <c r="K425" s="1"/>
      <c r="L425" s="119"/>
      <c r="M425" s="119"/>
      <c r="N425" s="137"/>
      <c r="O425" s="119"/>
      <c r="P425" s="119"/>
      <c r="Q425" s="119"/>
      <c r="R425" s="119"/>
      <c r="S425" s="119"/>
      <c r="T425" s="119"/>
      <c r="U425" s="119"/>
      <c r="V425" s="1"/>
      <c r="W425" s="1"/>
      <c r="X425" s="1"/>
      <c r="Y425" s="1"/>
      <c r="Z425" s="1"/>
    </row>
    <row r="426">
      <c r="A426" s="166"/>
      <c r="B426" s="167"/>
      <c r="C426" s="168"/>
      <c r="D426" s="169"/>
      <c r="E426" s="177"/>
      <c r="F426" s="178"/>
      <c r="G426" s="178"/>
      <c r="H426" s="171"/>
      <c r="I426" s="105"/>
      <c r="J426" s="165"/>
      <c r="K426" s="1"/>
      <c r="L426" s="119"/>
      <c r="M426" s="119"/>
      <c r="N426" s="137"/>
      <c r="O426" s="119"/>
      <c r="P426" s="119"/>
      <c r="Q426" s="119"/>
      <c r="R426" s="119"/>
      <c r="S426" s="119"/>
      <c r="T426" s="119"/>
      <c r="U426" s="119"/>
      <c r="V426" s="1"/>
      <c r="W426" s="1"/>
      <c r="X426" s="1"/>
      <c r="Y426" s="1"/>
      <c r="Z426" s="1"/>
    </row>
    <row r="427">
      <c r="A427" s="166"/>
      <c r="B427" s="167"/>
      <c r="C427" s="168"/>
      <c r="D427" s="169"/>
      <c r="E427" s="177"/>
      <c r="F427" s="178"/>
      <c r="G427" s="178"/>
      <c r="H427" s="171"/>
      <c r="I427" s="105"/>
      <c r="J427" s="165"/>
      <c r="K427" s="1"/>
      <c r="L427" s="119"/>
      <c r="M427" s="119"/>
      <c r="N427" s="137"/>
      <c r="O427" s="119"/>
      <c r="P427" s="119"/>
      <c r="Q427" s="119"/>
      <c r="R427" s="119"/>
      <c r="S427" s="119"/>
      <c r="T427" s="119"/>
      <c r="U427" s="119"/>
      <c r="V427" s="1"/>
      <c r="W427" s="1"/>
      <c r="X427" s="1"/>
      <c r="Y427" s="1"/>
      <c r="Z427" s="1"/>
    </row>
    <row r="428">
      <c r="A428" s="166"/>
      <c r="B428" s="167"/>
      <c r="C428" s="168"/>
      <c r="D428" s="169"/>
      <c r="E428" s="177"/>
      <c r="F428" s="178"/>
      <c r="G428" s="178"/>
      <c r="H428" s="171"/>
      <c r="I428" s="105"/>
      <c r="J428" s="165"/>
      <c r="K428" s="1"/>
      <c r="L428" s="119"/>
      <c r="M428" s="119"/>
      <c r="N428" s="137"/>
      <c r="O428" s="119"/>
      <c r="P428" s="119"/>
      <c r="Q428" s="119"/>
      <c r="R428" s="119"/>
      <c r="S428" s="119"/>
      <c r="T428" s="119"/>
      <c r="U428" s="119"/>
      <c r="V428" s="1"/>
      <c r="W428" s="1"/>
      <c r="X428" s="1"/>
      <c r="Y428" s="1"/>
      <c r="Z428" s="1"/>
    </row>
    <row r="429">
      <c r="A429" s="166"/>
      <c r="B429" s="167"/>
      <c r="C429" s="168"/>
      <c r="D429" s="169"/>
      <c r="E429" s="177"/>
      <c r="F429" s="178"/>
      <c r="G429" s="178"/>
      <c r="H429" s="171"/>
      <c r="I429" s="105"/>
      <c r="J429" s="165"/>
      <c r="K429" s="1"/>
      <c r="L429" s="119"/>
      <c r="M429" s="119"/>
      <c r="N429" s="137"/>
      <c r="O429" s="119"/>
      <c r="P429" s="119"/>
      <c r="Q429" s="119"/>
      <c r="R429" s="119"/>
      <c r="S429" s="119"/>
      <c r="T429" s="119"/>
      <c r="U429" s="119"/>
      <c r="V429" s="1"/>
      <c r="W429" s="1"/>
      <c r="X429" s="1"/>
      <c r="Y429" s="1"/>
      <c r="Z429" s="1"/>
    </row>
    <row r="430">
      <c r="A430" s="166"/>
      <c r="B430" s="167"/>
      <c r="C430" s="168"/>
      <c r="D430" s="169"/>
      <c r="E430" s="177"/>
      <c r="F430" s="178"/>
      <c r="G430" s="178"/>
      <c r="H430" s="171"/>
      <c r="I430" s="105"/>
      <c r="J430" s="165"/>
      <c r="K430" s="1"/>
      <c r="L430" s="119"/>
      <c r="M430" s="119"/>
      <c r="N430" s="137"/>
      <c r="O430" s="119"/>
      <c r="P430" s="119"/>
      <c r="Q430" s="119"/>
      <c r="R430" s="119"/>
      <c r="S430" s="119"/>
      <c r="T430" s="119"/>
      <c r="U430" s="119"/>
      <c r="V430" s="1"/>
      <c r="W430" s="1"/>
      <c r="X430" s="1"/>
      <c r="Y430" s="1"/>
      <c r="Z430" s="1"/>
    </row>
    <row r="431">
      <c r="A431" s="166"/>
      <c r="B431" s="167"/>
      <c r="C431" s="168"/>
      <c r="D431" s="169"/>
      <c r="E431" s="177"/>
      <c r="F431" s="178"/>
      <c r="G431" s="178"/>
      <c r="H431" s="171"/>
      <c r="I431" s="105"/>
      <c r="J431" s="165"/>
      <c r="K431" s="1"/>
      <c r="L431" s="119"/>
      <c r="M431" s="119"/>
      <c r="N431" s="137"/>
      <c r="O431" s="119"/>
      <c r="P431" s="119"/>
      <c r="Q431" s="119"/>
      <c r="R431" s="119"/>
      <c r="S431" s="119"/>
      <c r="T431" s="119"/>
      <c r="U431" s="119"/>
      <c r="V431" s="1"/>
      <c r="W431" s="1"/>
      <c r="X431" s="1"/>
      <c r="Y431" s="1"/>
      <c r="Z431" s="1"/>
    </row>
    <row r="432">
      <c r="A432" s="166"/>
      <c r="B432" s="167"/>
      <c r="C432" s="168"/>
      <c r="D432" s="169"/>
      <c r="E432" s="177"/>
      <c r="F432" s="178"/>
      <c r="G432" s="178"/>
      <c r="H432" s="171"/>
      <c r="I432" s="105"/>
      <c r="J432" s="165"/>
      <c r="K432" s="1"/>
      <c r="L432" s="119"/>
      <c r="M432" s="119"/>
      <c r="N432" s="137"/>
      <c r="O432" s="119"/>
      <c r="P432" s="119"/>
      <c r="Q432" s="119"/>
      <c r="R432" s="119"/>
      <c r="S432" s="119"/>
      <c r="T432" s="119"/>
      <c r="U432" s="119"/>
      <c r="V432" s="1"/>
      <c r="W432" s="1"/>
      <c r="X432" s="1"/>
      <c r="Y432" s="1"/>
      <c r="Z432" s="1"/>
    </row>
    <row r="433">
      <c r="A433" s="166"/>
      <c r="B433" s="167"/>
      <c r="C433" s="168"/>
      <c r="D433" s="169"/>
      <c r="E433" s="177"/>
      <c r="F433" s="178"/>
      <c r="G433" s="178"/>
      <c r="H433" s="171"/>
      <c r="I433" s="105"/>
      <c r="J433" s="165"/>
      <c r="K433" s="1"/>
      <c r="L433" s="119"/>
      <c r="M433" s="119"/>
      <c r="N433" s="137"/>
      <c r="O433" s="119"/>
      <c r="P433" s="119"/>
      <c r="Q433" s="119"/>
      <c r="R433" s="119"/>
      <c r="S433" s="119"/>
      <c r="T433" s="119"/>
      <c r="U433" s="119"/>
      <c r="V433" s="1"/>
      <c r="W433" s="1"/>
      <c r="X433" s="1"/>
      <c r="Y433" s="1"/>
      <c r="Z433" s="1"/>
    </row>
    <row r="434">
      <c r="A434" s="166"/>
      <c r="B434" s="167"/>
      <c r="C434" s="168"/>
      <c r="D434" s="169"/>
      <c r="E434" s="177"/>
      <c r="F434" s="178"/>
      <c r="G434" s="178"/>
      <c r="H434" s="171"/>
      <c r="I434" s="105"/>
      <c r="J434" s="165"/>
      <c r="K434" s="1"/>
      <c r="L434" s="119"/>
      <c r="M434" s="119"/>
      <c r="N434" s="137"/>
      <c r="O434" s="119"/>
      <c r="P434" s="119"/>
      <c r="Q434" s="119"/>
      <c r="R434" s="119"/>
      <c r="S434" s="119"/>
      <c r="T434" s="119"/>
      <c r="U434" s="119"/>
      <c r="V434" s="1"/>
      <c r="W434" s="1"/>
      <c r="X434" s="1"/>
      <c r="Y434" s="1"/>
      <c r="Z434" s="1"/>
    </row>
    <row r="435">
      <c r="A435" s="166"/>
      <c r="B435" s="167"/>
      <c r="C435" s="168"/>
      <c r="D435" s="169"/>
      <c r="E435" s="177"/>
      <c r="F435" s="178"/>
      <c r="G435" s="178"/>
      <c r="H435" s="171"/>
      <c r="I435" s="105"/>
      <c r="J435" s="165"/>
      <c r="K435" s="1"/>
      <c r="L435" s="119"/>
      <c r="M435" s="119"/>
      <c r="N435" s="137"/>
      <c r="O435" s="119"/>
      <c r="P435" s="119"/>
      <c r="Q435" s="119"/>
      <c r="R435" s="119"/>
      <c r="S435" s="119"/>
      <c r="T435" s="119"/>
      <c r="U435" s="119"/>
      <c r="V435" s="1"/>
      <c r="W435" s="1"/>
      <c r="X435" s="1"/>
      <c r="Y435" s="1"/>
      <c r="Z435" s="1"/>
    </row>
    <row r="436">
      <c r="A436" s="166"/>
      <c r="B436" s="167"/>
      <c r="C436" s="168"/>
      <c r="D436" s="169"/>
      <c r="E436" s="177"/>
      <c r="F436" s="178"/>
      <c r="G436" s="178"/>
      <c r="H436" s="171"/>
      <c r="I436" s="105"/>
      <c r="J436" s="165"/>
      <c r="K436" s="1"/>
      <c r="L436" s="119"/>
      <c r="M436" s="119"/>
      <c r="N436" s="137"/>
      <c r="O436" s="119"/>
      <c r="P436" s="119"/>
      <c r="Q436" s="119"/>
      <c r="R436" s="119"/>
      <c r="S436" s="119"/>
      <c r="T436" s="119"/>
      <c r="U436" s="119"/>
      <c r="V436" s="1"/>
      <c r="W436" s="1"/>
      <c r="X436" s="1"/>
      <c r="Y436" s="1"/>
      <c r="Z436" s="1"/>
    </row>
    <row r="437">
      <c r="A437" s="166"/>
      <c r="B437" s="167"/>
      <c r="C437" s="168"/>
      <c r="D437" s="169"/>
      <c r="E437" s="177"/>
      <c r="F437" s="178"/>
      <c r="G437" s="178"/>
      <c r="H437" s="171"/>
      <c r="I437" s="105"/>
      <c r="J437" s="165"/>
      <c r="K437" s="1"/>
      <c r="L437" s="119"/>
      <c r="M437" s="119"/>
      <c r="N437" s="137"/>
      <c r="O437" s="119"/>
      <c r="P437" s="119"/>
      <c r="Q437" s="119"/>
      <c r="R437" s="119"/>
      <c r="S437" s="119"/>
      <c r="T437" s="119"/>
      <c r="U437" s="119"/>
      <c r="V437" s="1"/>
      <c r="W437" s="1"/>
      <c r="X437" s="1"/>
      <c r="Y437" s="1"/>
      <c r="Z437" s="1"/>
    </row>
    <row r="438">
      <c r="A438" s="166"/>
      <c r="B438" s="167"/>
      <c r="C438" s="168"/>
      <c r="D438" s="169"/>
      <c r="E438" s="177"/>
      <c r="F438" s="178"/>
      <c r="G438" s="178"/>
      <c r="H438" s="171"/>
      <c r="I438" s="105"/>
      <c r="J438" s="165"/>
      <c r="K438" s="1"/>
      <c r="L438" s="119"/>
      <c r="M438" s="119"/>
      <c r="N438" s="137"/>
      <c r="O438" s="119"/>
      <c r="P438" s="119"/>
      <c r="Q438" s="119"/>
      <c r="R438" s="119"/>
      <c r="S438" s="119"/>
      <c r="T438" s="119"/>
      <c r="U438" s="119"/>
      <c r="V438" s="1"/>
      <c r="W438" s="1"/>
      <c r="X438" s="1"/>
      <c r="Y438" s="1"/>
      <c r="Z438" s="1"/>
    </row>
    <row r="439">
      <c r="A439" s="166"/>
      <c r="B439" s="167"/>
      <c r="C439" s="168"/>
      <c r="D439" s="169"/>
      <c r="E439" s="177"/>
      <c r="F439" s="178"/>
      <c r="G439" s="178"/>
      <c r="H439" s="171"/>
      <c r="I439" s="105"/>
      <c r="J439" s="165"/>
      <c r="K439" s="1"/>
      <c r="L439" s="119"/>
      <c r="M439" s="119"/>
      <c r="N439" s="137"/>
      <c r="O439" s="119"/>
      <c r="P439" s="119"/>
      <c r="Q439" s="119"/>
      <c r="R439" s="119"/>
      <c r="S439" s="119"/>
      <c r="T439" s="119"/>
      <c r="U439" s="119"/>
      <c r="V439" s="1"/>
      <c r="W439" s="1"/>
      <c r="X439" s="1"/>
      <c r="Y439" s="1"/>
      <c r="Z439" s="1"/>
    </row>
    <row r="440">
      <c r="A440" s="166"/>
      <c r="B440" s="167"/>
      <c r="C440" s="168"/>
      <c r="D440" s="169"/>
      <c r="E440" s="177"/>
      <c r="F440" s="178"/>
      <c r="G440" s="178"/>
      <c r="H440" s="171"/>
      <c r="I440" s="105"/>
      <c r="J440" s="165"/>
      <c r="K440" s="1"/>
      <c r="L440" s="119"/>
      <c r="M440" s="119"/>
      <c r="N440" s="137"/>
      <c r="O440" s="119"/>
      <c r="P440" s="119"/>
      <c r="Q440" s="119"/>
      <c r="R440" s="119"/>
      <c r="S440" s="119"/>
      <c r="T440" s="119"/>
      <c r="U440" s="119"/>
      <c r="V440" s="1"/>
      <c r="W440" s="1"/>
      <c r="X440" s="1"/>
      <c r="Y440" s="1"/>
      <c r="Z440" s="1"/>
    </row>
    <row r="441">
      <c r="A441" s="166"/>
      <c r="B441" s="167"/>
      <c r="C441" s="168"/>
      <c r="D441" s="169"/>
      <c r="E441" s="177"/>
      <c r="F441" s="178"/>
      <c r="G441" s="178"/>
      <c r="H441" s="171"/>
      <c r="I441" s="105"/>
      <c r="J441" s="165"/>
      <c r="K441" s="1"/>
      <c r="L441" s="119"/>
      <c r="M441" s="119"/>
      <c r="N441" s="137"/>
      <c r="O441" s="119"/>
      <c r="P441" s="119"/>
      <c r="Q441" s="119"/>
      <c r="R441" s="119"/>
      <c r="S441" s="119"/>
      <c r="T441" s="119"/>
      <c r="U441" s="119"/>
      <c r="V441" s="1"/>
      <c r="W441" s="1"/>
      <c r="X441" s="1"/>
      <c r="Y441" s="1"/>
      <c r="Z441" s="1"/>
    </row>
    <row r="442">
      <c r="A442" s="166"/>
      <c r="B442" s="167"/>
      <c r="C442" s="168"/>
      <c r="D442" s="169"/>
      <c r="E442" s="177"/>
      <c r="F442" s="178"/>
      <c r="G442" s="178"/>
      <c r="H442" s="171"/>
      <c r="I442" s="105"/>
      <c r="J442" s="165"/>
      <c r="K442" s="1"/>
      <c r="L442" s="119"/>
      <c r="M442" s="119"/>
      <c r="N442" s="137"/>
      <c r="O442" s="119"/>
      <c r="P442" s="119"/>
      <c r="Q442" s="119"/>
      <c r="R442" s="119"/>
      <c r="S442" s="119"/>
      <c r="T442" s="119"/>
      <c r="U442" s="119"/>
      <c r="V442" s="1"/>
      <c r="W442" s="1"/>
      <c r="X442" s="1"/>
      <c r="Y442" s="1"/>
      <c r="Z442" s="1"/>
    </row>
    <row r="443">
      <c r="A443" s="166"/>
      <c r="B443" s="167"/>
      <c r="C443" s="168"/>
      <c r="D443" s="169"/>
      <c r="E443" s="177"/>
      <c r="F443" s="178"/>
      <c r="G443" s="178"/>
      <c r="H443" s="171"/>
      <c r="I443" s="105"/>
      <c r="J443" s="165"/>
      <c r="K443" s="1"/>
      <c r="L443" s="119"/>
      <c r="M443" s="119"/>
      <c r="N443" s="137"/>
      <c r="O443" s="119"/>
      <c r="P443" s="119"/>
      <c r="Q443" s="119"/>
      <c r="R443" s="119"/>
      <c r="S443" s="119"/>
      <c r="T443" s="119"/>
      <c r="U443" s="119"/>
      <c r="V443" s="1"/>
      <c r="W443" s="1"/>
      <c r="X443" s="1"/>
      <c r="Y443" s="1"/>
      <c r="Z443" s="1"/>
    </row>
    <row r="444">
      <c r="A444" s="166"/>
      <c r="B444" s="167"/>
      <c r="C444" s="168"/>
      <c r="D444" s="169"/>
      <c r="E444" s="177"/>
      <c r="F444" s="178"/>
      <c r="G444" s="178"/>
      <c r="H444" s="171"/>
      <c r="I444" s="105"/>
      <c r="J444" s="165"/>
      <c r="K444" s="1"/>
      <c r="L444" s="119"/>
      <c r="M444" s="119"/>
      <c r="N444" s="137"/>
      <c r="O444" s="119"/>
      <c r="P444" s="119"/>
      <c r="Q444" s="119"/>
      <c r="R444" s="119"/>
      <c r="S444" s="119"/>
      <c r="T444" s="119"/>
      <c r="U444" s="119"/>
      <c r="V444" s="1"/>
      <c r="W444" s="1"/>
      <c r="X444" s="1"/>
      <c r="Y444" s="1"/>
      <c r="Z444" s="1"/>
    </row>
    <row r="445">
      <c r="A445" s="166"/>
      <c r="B445" s="167"/>
      <c r="C445" s="168"/>
      <c r="D445" s="169"/>
      <c r="E445" s="177"/>
      <c r="F445" s="178"/>
      <c r="G445" s="178"/>
      <c r="H445" s="171"/>
      <c r="I445" s="105"/>
      <c r="J445" s="165"/>
      <c r="K445" s="1"/>
      <c r="L445" s="119"/>
      <c r="M445" s="119"/>
      <c r="N445" s="137"/>
      <c r="O445" s="119"/>
      <c r="P445" s="119"/>
      <c r="Q445" s="119"/>
      <c r="R445" s="119"/>
      <c r="S445" s="119"/>
      <c r="T445" s="119"/>
      <c r="U445" s="119"/>
      <c r="V445" s="1"/>
      <c r="W445" s="1"/>
      <c r="X445" s="1"/>
      <c r="Y445" s="1"/>
      <c r="Z445" s="1"/>
    </row>
    <row r="446">
      <c r="A446" s="166"/>
      <c r="B446" s="167"/>
      <c r="C446" s="168"/>
      <c r="D446" s="169"/>
      <c r="E446" s="177"/>
      <c r="F446" s="178"/>
      <c r="G446" s="178"/>
      <c r="H446" s="171"/>
      <c r="I446" s="105"/>
      <c r="J446" s="165"/>
      <c r="K446" s="1"/>
      <c r="L446" s="119"/>
      <c r="M446" s="119"/>
      <c r="N446" s="137"/>
      <c r="O446" s="119"/>
      <c r="P446" s="119"/>
      <c r="Q446" s="119"/>
      <c r="R446" s="119"/>
      <c r="S446" s="119"/>
      <c r="T446" s="119"/>
      <c r="U446" s="119"/>
      <c r="V446" s="1"/>
      <c r="W446" s="1"/>
      <c r="X446" s="1"/>
      <c r="Y446" s="1"/>
      <c r="Z446" s="1"/>
    </row>
    <row r="447">
      <c r="A447" s="166"/>
      <c r="B447" s="167"/>
      <c r="C447" s="168"/>
      <c r="D447" s="169"/>
      <c r="E447" s="177"/>
      <c r="F447" s="178"/>
      <c r="G447" s="178"/>
      <c r="H447" s="171"/>
      <c r="I447" s="105"/>
      <c r="J447" s="165"/>
      <c r="K447" s="1"/>
      <c r="L447" s="119"/>
      <c r="M447" s="119"/>
      <c r="N447" s="137"/>
      <c r="O447" s="119"/>
      <c r="P447" s="119"/>
      <c r="Q447" s="119"/>
      <c r="R447" s="119"/>
      <c r="S447" s="119"/>
      <c r="T447" s="119"/>
      <c r="U447" s="119"/>
      <c r="V447" s="1"/>
      <c r="W447" s="1"/>
      <c r="X447" s="1"/>
      <c r="Y447" s="1"/>
      <c r="Z447" s="1"/>
    </row>
    <row r="448">
      <c r="A448" s="166"/>
      <c r="B448" s="167"/>
      <c r="C448" s="168"/>
      <c r="D448" s="169"/>
      <c r="E448" s="177"/>
      <c r="F448" s="178"/>
      <c r="G448" s="178"/>
      <c r="H448" s="171"/>
      <c r="I448" s="105"/>
      <c r="J448" s="165"/>
      <c r="K448" s="1"/>
      <c r="L448" s="119"/>
      <c r="M448" s="119"/>
      <c r="N448" s="137"/>
      <c r="O448" s="119"/>
      <c r="P448" s="119"/>
      <c r="Q448" s="119"/>
      <c r="R448" s="119"/>
      <c r="S448" s="119"/>
      <c r="T448" s="119"/>
      <c r="U448" s="119"/>
      <c r="V448" s="1"/>
      <c r="W448" s="1"/>
      <c r="X448" s="1"/>
      <c r="Y448" s="1"/>
      <c r="Z448" s="1"/>
    </row>
    <row r="449">
      <c r="A449" s="166"/>
      <c r="B449" s="167"/>
      <c r="C449" s="168"/>
      <c r="D449" s="169"/>
      <c r="E449" s="177"/>
      <c r="F449" s="178"/>
      <c r="G449" s="178"/>
      <c r="H449" s="171"/>
      <c r="I449" s="105"/>
      <c r="J449" s="165"/>
      <c r="K449" s="1"/>
      <c r="L449" s="119"/>
      <c r="M449" s="119"/>
      <c r="N449" s="137"/>
      <c r="O449" s="119"/>
      <c r="P449" s="119"/>
      <c r="Q449" s="119"/>
      <c r="R449" s="119"/>
      <c r="S449" s="119"/>
      <c r="T449" s="119"/>
      <c r="U449" s="119"/>
      <c r="V449" s="1"/>
      <c r="W449" s="1"/>
      <c r="X449" s="1"/>
      <c r="Y449" s="1"/>
      <c r="Z449" s="1"/>
    </row>
    <row r="450">
      <c r="A450" s="166"/>
      <c r="B450" s="167"/>
      <c r="C450" s="168"/>
      <c r="D450" s="169"/>
      <c r="E450" s="177"/>
      <c r="F450" s="178"/>
      <c r="G450" s="178"/>
      <c r="H450" s="171"/>
      <c r="I450" s="105"/>
      <c r="J450" s="165"/>
      <c r="K450" s="1"/>
      <c r="L450" s="119"/>
      <c r="M450" s="119"/>
      <c r="N450" s="137"/>
      <c r="O450" s="119"/>
      <c r="P450" s="119"/>
      <c r="Q450" s="119"/>
      <c r="R450" s="119"/>
      <c r="S450" s="119"/>
      <c r="T450" s="119"/>
      <c r="U450" s="119"/>
      <c r="V450" s="1"/>
      <c r="W450" s="1"/>
      <c r="X450" s="1"/>
      <c r="Y450" s="1"/>
      <c r="Z450" s="1"/>
    </row>
    <row r="451">
      <c r="A451" s="166"/>
      <c r="B451" s="167"/>
      <c r="C451" s="168"/>
      <c r="D451" s="169"/>
      <c r="E451" s="177"/>
      <c r="F451" s="178"/>
      <c r="G451" s="178"/>
      <c r="H451" s="171"/>
      <c r="I451" s="105"/>
      <c r="J451" s="165"/>
      <c r="K451" s="1"/>
      <c r="L451" s="119"/>
      <c r="M451" s="119"/>
      <c r="N451" s="137"/>
      <c r="O451" s="119"/>
      <c r="P451" s="119"/>
      <c r="Q451" s="119"/>
      <c r="R451" s="119"/>
      <c r="S451" s="119"/>
      <c r="T451" s="119"/>
      <c r="U451" s="119"/>
      <c r="V451" s="1"/>
      <c r="W451" s="1"/>
      <c r="X451" s="1"/>
      <c r="Y451" s="1"/>
      <c r="Z451" s="1"/>
    </row>
    <row r="452">
      <c r="A452" s="166"/>
      <c r="B452" s="167"/>
      <c r="C452" s="168"/>
      <c r="D452" s="169"/>
      <c r="E452" s="177"/>
      <c r="F452" s="178"/>
      <c r="G452" s="178"/>
      <c r="H452" s="171"/>
      <c r="I452" s="105"/>
      <c r="J452" s="165"/>
      <c r="K452" s="1"/>
      <c r="L452" s="119"/>
      <c r="M452" s="119"/>
      <c r="N452" s="137"/>
      <c r="O452" s="119"/>
      <c r="P452" s="119"/>
      <c r="Q452" s="119"/>
      <c r="R452" s="119"/>
      <c r="S452" s="119"/>
      <c r="T452" s="119"/>
      <c r="U452" s="119"/>
      <c r="V452" s="1"/>
      <c r="W452" s="1"/>
      <c r="X452" s="1"/>
      <c r="Y452" s="1"/>
      <c r="Z452" s="1"/>
    </row>
    <row r="453">
      <c r="A453" s="166"/>
      <c r="B453" s="167"/>
      <c r="C453" s="168"/>
      <c r="D453" s="169"/>
      <c r="E453" s="177"/>
      <c r="F453" s="178"/>
      <c r="G453" s="178"/>
      <c r="H453" s="171"/>
      <c r="I453" s="105"/>
      <c r="J453" s="165"/>
      <c r="K453" s="1"/>
      <c r="L453" s="119"/>
      <c r="M453" s="119"/>
      <c r="N453" s="137"/>
      <c r="O453" s="119"/>
      <c r="P453" s="119"/>
      <c r="Q453" s="119"/>
      <c r="R453" s="119"/>
      <c r="S453" s="119"/>
      <c r="T453" s="119"/>
      <c r="U453" s="119"/>
      <c r="V453" s="1"/>
      <c r="W453" s="1"/>
      <c r="X453" s="1"/>
      <c r="Y453" s="1"/>
      <c r="Z453" s="1"/>
    </row>
    <row r="454">
      <c r="A454" s="166"/>
      <c r="B454" s="167"/>
      <c r="C454" s="168"/>
      <c r="D454" s="169"/>
      <c r="E454" s="177"/>
      <c r="F454" s="178"/>
      <c r="G454" s="178"/>
      <c r="H454" s="171"/>
      <c r="I454" s="105"/>
      <c r="J454" s="165"/>
      <c r="K454" s="1"/>
      <c r="L454" s="119"/>
      <c r="M454" s="119"/>
      <c r="N454" s="137"/>
      <c r="O454" s="119"/>
      <c r="P454" s="119"/>
      <c r="Q454" s="119"/>
      <c r="R454" s="119"/>
      <c r="S454" s="119"/>
      <c r="T454" s="119"/>
      <c r="U454" s="119"/>
      <c r="V454" s="1"/>
      <c r="W454" s="1"/>
      <c r="X454" s="1"/>
      <c r="Y454" s="1"/>
      <c r="Z454" s="1"/>
    </row>
    <row r="455">
      <c r="A455" s="166"/>
      <c r="B455" s="167"/>
      <c r="C455" s="168"/>
      <c r="D455" s="169"/>
      <c r="E455" s="177"/>
      <c r="F455" s="178"/>
      <c r="G455" s="178"/>
      <c r="H455" s="171"/>
      <c r="I455" s="105"/>
      <c r="J455" s="165"/>
      <c r="K455" s="1"/>
      <c r="L455" s="119"/>
      <c r="M455" s="119"/>
      <c r="N455" s="137"/>
      <c r="O455" s="119"/>
      <c r="P455" s="119"/>
      <c r="Q455" s="119"/>
      <c r="R455" s="119"/>
      <c r="S455" s="119"/>
      <c r="T455" s="119"/>
      <c r="U455" s="119"/>
      <c r="V455" s="1"/>
      <c r="W455" s="1"/>
      <c r="X455" s="1"/>
      <c r="Y455" s="1"/>
      <c r="Z455" s="1"/>
    </row>
    <row r="456">
      <c r="A456" s="166"/>
      <c r="B456" s="167"/>
      <c r="C456" s="168"/>
      <c r="D456" s="169"/>
      <c r="E456" s="177"/>
      <c r="F456" s="178"/>
      <c r="G456" s="178"/>
      <c r="H456" s="171"/>
      <c r="I456" s="105"/>
      <c r="J456" s="165"/>
      <c r="K456" s="1"/>
      <c r="L456" s="119"/>
      <c r="M456" s="119"/>
      <c r="N456" s="137"/>
      <c r="O456" s="119"/>
      <c r="P456" s="119"/>
      <c r="Q456" s="119"/>
      <c r="R456" s="119"/>
      <c r="S456" s="119"/>
      <c r="T456" s="119"/>
      <c r="U456" s="119"/>
      <c r="V456" s="1"/>
      <c r="W456" s="1"/>
      <c r="X456" s="1"/>
      <c r="Y456" s="1"/>
      <c r="Z456" s="1"/>
    </row>
    <row r="457">
      <c r="A457" s="166"/>
      <c r="B457" s="167"/>
      <c r="C457" s="168"/>
      <c r="D457" s="169"/>
      <c r="E457" s="177"/>
      <c r="F457" s="178"/>
      <c r="G457" s="178"/>
      <c r="H457" s="171"/>
      <c r="I457" s="105"/>
      <c r="J457" s="165"/>
      <c r="K457" s="1"/>
      <c r="L457" s="119"/>
      <c r="M457" s="119"/>
      <c r="N457" s="137"/>
      <c r="O457" s="119"/>
      <c r="P457" s="119"/>
      <c r="Q457" s="119"/>
      <c r="R457" s="119"/>
      <c r="S457" s="119"/>
      <c r="T457" s="119"/>
      <c r="U457" s="119"/>
      <c r="V457" s="1"/>
      <c r="W457" s="1"/>
      <c r="X457" s="1"/>
      <c r="Y457" s="1"/>
      <c r="Z457" s="1"/>
    </row>
    <row r="458">
      <c r="A458" s="166"/>
      <c r="B458" s="167"/>
      <c r="C458" s="168"/>
      <c r="D458" s="169"/>
      <c r="E458" s="177"/>
      <c r="F458" s="178"/>
      <c r="G458" s="178"/>
      <c r="H458" s="171"/>
      <c r="I458" s="105"/>
      <c r="J458" s="165"/>
      <c r="K458" s="1"/>
      <c r="L458" s="119"/>
      <c r="M458" s="119"/>
      <c r="N458" s="137"/>
      <c r="O458" s="119"/>
      <c r="P458" s="119"/>
      <c r="Q458" s="119"/>
      <c r="R458" s="119"/>
      <c r="S458" s="119"/>
      <c r="T458" s="119"/>
      <c r="U458" s="119"/>
      <c r="V458" s="1"/>
      <c r="W458" s="1"/>
      <c r="X458" s="1"/>
      <c r="Y458" s="1"/>
      <c r="Z458" s="1"/>
    </row>
    <row r="459">
      <c r="A459" s="166"/>
      <c r="B459" s="167"/>
      <c r="C459" s="168"/>
      <c r="D459" s="169"/>
      <c r="E459" s="177"/>
      <c r="F459" s="178"/>
      <c r="G459" s="178"/>
      <c r="H459" s="171"/>
      <c r="I459" s="105"/>
      <c r="J459" s="165"/>
      <c r="K459" s="1"/>
      <c r="L459" s="119"/>
      <c r="M459" s="119"/>
      <c r="N459" s="137"/>
      <c r="O459" s="119"/>
      <c r="P459" s="119"/>
      <c r="Q459" s="119"/>
      <c r="R459" s="119"/>
      <c r="S459" s="119"/>
      <c r="T459" s="119"/>
      <c r="U459" s="119"/>
      <c r="V459" s="1"/>
      <c r="W459" s="1"/>
      <c r="X459" s="1"/>
      <c r="Y459" s="1"/>
      <c r="Z459" s="1"/>
    </row>
    <row r="460">
      <c r="A460" s="166"/>
      <c r="B460" s="167"/>
      <c r="C460" s="168"/>
      <c r="D460" s="169"/>
      <c r="E460" s="177"/>
      <c r="F460" s="178"/>
      <c r="G460" s="178"/>
      <c r="H460" s="171"/>
      <c r="I460" s="105"/>
      <c r="J460" s="165"/>
      <c r="K460" s="1"/>
      <c r="L460" s="119"/>
      <c r="M460" s="119"/>
      <c r="N460" s="137"/>
      <c r="O460" s="119"/>
      <c r="P460" s="119"/>
      <c r="Q460" s="119"/>
      <c r="R460" s="119"/>
      <c r="S460" s="119"/>
      <c r="T460" s="119"/>
      <c r="U460" s="119"/>
      <c r="V460" s="1"/>
      <c r="W460" s="1"/>
      <c r="X460" s="1"/>
      <c r="Y460" s="1"/>
      <c r="Z460" s="1"/>
    </row>
    <row r="461">
      <c r="A461" s="166"/>
      <c r="B461" s="167"/>
      <c r="C461" s="168"/>
      <c r="D461" s="169"/>
      <c r="E461" s="177"/>
      <c r="F461" s="178"/>
      <c r="G461" s="178"/>
      <c r="H461" s="171"/>
      <c r="I461" s="105"/>
      <c r="J461" s="165"/>
      <c r="K461" s="1"/>
      <c r="L461" s="119"/>
      <c r="M461" s="119"/>
      <c r="N461" s="137"/>
      <c r="O461" s="119"/>
      <c r="P461" s="119"/>
      <c r="Q461" s="119"/>
      <c r="R461" s="119"/>
      <c r="S461" s="119"/>
      <c r="T461" s="119"/>
      <c r="U461" s="119"/>
      <c r="V461" s="1"/>
      <c r="W461" s="1"/>
      <c r="X461" s="1"/>
      <c r="Y461" s="1"/>
      <c r="Z461" s="1"/>
    </row>
    <row r="462">
      <c r="A462" s="166"/>
      <c r="B462" s="167"/>
      <c r="C462" s="168"/>
      <c r="D462" s="169"/>
      <c r="E462" s="177"/>
      <c r="F462" s="178"/>
      <c r="G462" s="178"/>
      <c r="H462" s="171"/>
      <c r="I462" s="105"/>
      <c r="J462" s="165"/>
      <c r="K462" s="1"/>
      <c r="L462" s="119"/>
      <c r="M462" s="119"/>
      <c r="N462" s="137"/>
      <c r="O462" s="119"/>
      <c r="P462" s="119"/>
      <c r="Q462" s="119"/>
      <c r="R462" s="119"/>
      <c r="S462" s="119"/>
      <c r="T462" s="119"/>
      <c r="U462" s="119"/>
      <c r="V462" s="1"/>
      <c r="W462" s="1"/>
      <c r="X462" s="1"/>
      <c r="Y462" s="1"/>
      <c r="Z462" s="1"/>
    </row>
    <row r="463">
      <c r="A463" s="166"/>
      <c r="B463" s="167"/>
      <c r="C463" s="168"/>
      <c r="D463" s="169"/>
      <c r="E463" s="177"/>
      <c r="F463" s="178"/>
      <c r="G463" s="178"/>
      <c r="H463" s="171"/>
      <c r="I463" s="105"/>
      <c r="J463" s="165"/>
      <c r="K463" s="1"/>
      <c r="L463" s="119"/>
      <c r="M463" s="119"/>
      <c r="N463" s="137"/>
      <c r="O463" s="119"/>
      <c r="P463" s="119"/>
      <c r="Q463" s="119"/>
      <c r="R463" s="119"/>
      <c r="S463" s="119"/>
      <c r="T463" s="119"/>
      <c r="U463" s="119"/>
      <c r="V463" s="1"/>
      <c r="W463" s="1"/>
      <c r="X463" s="1"/>
      <c r="Y463" s="1"/>
      <c r="Z463" s="1"/>
    </row>
    <row r="464">
      <c r="A464" s="166"/>
      <c r="B464" s="167"/>
      <c r="C464" s="168"/>
      <c r="D464" s="169"/>
      <c r="E464" s="177"/>
      <c r="F464" s="178"/>
      <c r="G464" s="178"/>
      <c r="H464" s="171"/>
      <c r="I464" s="105"/>
      <c r="J464" s="165"/>
      <c r="K464" s="1"/>
      <c r="L464" s="119"/>
      <c r="M464" s="119"/>
      <c r="N464" s="137"/>
      <c r="O464" s="119"/>
      <c r="P464" s="119"/>
      <c r="Q464" s="119"/>
      <c r="R464" s="119"/>
      <c r="S464" s="119"/>
      <c r="T464" s="119"/>
      <c r="U464" s="119"/>
      <c r="V464" s="1"/>
      <c r="W464" s="1"/>
      <c r="X464" s="1"/>
      <c r="Y464" s="1"/>
      <c r="Z464" s="1"/>
    </row>
    <row r="465">
      <c r="A465" s="166"/>
      <c r="B465" s="167"/>
      <c r="C465" s="168"/>
      <c r="D465" s="169"/>
      <c r="E465" s="177"/>
      <c r="F465" s="178"/>
      <c r="G465" s="178"/>
      <c r="H465" s="171"/>
      <c r="I465" s="105"/>
      <c r="J465" s="165"/>
      <c r="K465" s="1"/>
      <c r="L465" s="119"/>
      <c r="M465" s="119"/>
      <c r="N465" s="137"/>
      <c r="O465" s="119"/>
      <c r="P465" s="119"/>
      <c r="Q465" s="119"/>
      <c r="R465" s="119"/>
      <c r="S465" s="119"/>
      <c r="T465" s="119"/>
      <c r="U465" s="119"/>
      <c r="V465" s="1"/>
      <c r="W465" s="1"/>
      <c r="X465" s="1"/>
      <c r="Y465" s="1"/>
      <c r="Z465" s="1"/>
    </row>
    <row r="466">
      <c r="A466" s="166"/>
      <c r="B466" s="167"/>
      <c r="C466" s="168"/>
      <c r="D466" s="169"/>
      <c r="E466" s="177"/>
      <c r="F466" s="178"/>
      <c r="G466" s="178"/>
      <c r="H466" s="171"/>
      <c r="I466" s="105"/>
      <c r="J466" s="165"/>
      <c r="K466" s="1"/>
      <c r="L466" s="119"/>
      <c r="M466" s="119"/>
      <c r="N466" s="137"/>
      <c r="O466" s="119"/>
      <c r="P466" s="119"/>
      <c r="Q466" s="119"/>
      <c r="R466" s="119"/>
      <c r="S466" s="119"/>
      <c r="T466" s="119"/>
      <c r="U466" s="119"/>
      <c r="V466" s="1"/>
      <c r="W466" s="1"/>
      <c r="X466" s="1"/>
      <c r="Y466" s="1"/>
      <c r="Z466" s="1"/>
    </row>
    <row r="467">
      <c r="A467" s="166"/>
      <c r="B467" s="167"/>
      <c r="C467" s="168"/>
      <c r="D467" s="169"/>
      <c r="E467" s="177"/>
      <c r="F467" s="178"/>
      <c r="G467" s="178"/>
      <c r="H467" s="171"/>
      <c r="I467" s="105"/>
      <c r="J467" s="165"/>
      <c r="K467" s="1"/>
      <c r="L467" s="119"/>
      <c r="M467" s="119"/>
      <c r="N467" s="137"/>
      <c r="O467" s="119"/>
      <c r="P467" s="119"/>
      <c r="Q467" s="119"/>
      <c r="R467" s="119"/>
      <c r="S467" s="119"/>
      <c r="T467" s="119"/>
      <c r="U467" s="119"/>
      <c r="V467" s="1"/>
      <c r="W467" s="1"/>
      <c r="X467" s="1"/>
      <c r="Y467" s="1"/>
      <c r="Z467" s="1"/>
    </row>
    <row r="468">
      <c r="A468" s="166"/>
      <c r="B468" s="167"/>
      <c r="C468" s="168"/>
      <c r="D468" s="169"/>
      <c r="E468" s="177"/>
      <c r="F468" s="178"/>
      <c r="G468" s="178"/>
      <c r="H468" s="171"/>
      <c r="I468" s="105"/>
      <c r="J468" s="165"/>
      <c r="K468" s="1"/>
      <c r="L468" s="119"/>
      <c r="M468" s="119"/>
      <c r="N468" s="137"/>
      <c r="O468" s="119"/>
      <c r="P468" s="119"/>
      <c r="Q468" s="119"/>
      <c r="R468" s="119"/>
      <c r="S468" s="119"/>
      <c r="T468" s="119"/>
      <c r="U468" s="119"/>
      <c r="V468" s="1"/>
      <c r="W468" s="1"/>
      <c r="X468" s="1"/>
      <c r="Y468" s="1"/>
      <c r="Z468" s="1"/>
    </row>
    <row r="469">
      <c r="A469" s="166"/>
      <c r="B469" s="167"/>
      <c r="C469" s="168"/>
      <c r="D469" s="169"/>
      <c r="E469" s="177"/>
      <c r="F469" s="178"/>
      <c r="G469" s="178"/>
      <c r="H469" s="171"/>
      <c r="I469" s="105"/>
      <c r="J469" s="165"/>
      <c r="K469" s="1"/>
      <c r="L469" s="119"/>
      <c r="M469" s="119"/>
      <c r="N469" s="137"/>
      <c r="O469" s="119"/>
      <c r="P469" s="119"/>
      <c r="Q469" s="119"/>
      <c r="R469" s="119"/>
      <c r="S469" s="119"/>
      <c r="T469" s="119"/>
      <c r="U469" s="119"/>
      <c r="V469" s="1"/>
      <c r="W469" s="1"/>
      <c r="X469" s="1"/>
      <c r="Y469" s="1"/>
      <c r="Z469" s="1"/>
    </row>
    <row r="470">
      <c r="A470" s="166"/>
      <c r="B470" s="167"/>
      <c r="C470" s="168"/>
      <c r="D470" s="169"/>
      <c r="E470" s="177"/>
      <c r="F470" s="178"/>
      <c r="G470" s="178"/>
      <c r="H470" s="171"/>
      <c r="I470" s="105"/>
      <c r="J470" s="165"/>
      <c r="K470" s="1"/>
      <c r="L470" s="119"/>
      <c r="M470" s="119"/>
      <c r="N470" s="137"/>
      <c r="O470" s="119"/>
      <c r="P470" s="119"/>
      <c r="Q470" s="119"/>
      <c r="R470" s="119"/>
      <c r="S470" s="119"/>
      <c r="T470" s="119"/>
      <c r="U470" s="119"/>
      <c r="V470" s="1"/>
      <c r="W470" s="1"/>
      <c r="X470" s="1"/>
      <c r="Y470" s="1"/>
      <c r="Z470" s="1"/>
    </row>
    <row r="471">
      <c r="A471" s="166"/>
      <c r="B471" s="167"/>
      <c r="C471" s="168"/>
      <c r="D471" s="169"/>
      <c r="E471" s="177"/>
      <c r="F471" s="178"/>
      <c r="G471" s="178"/>
      <c r="H471" s="171"/>
      <c r="I471" s="105"/>
      <c r="J471" s="165"/>
      <c r="K471" s="1"/>
      <c r="L471" s="119"/>
      <c r="M471" s="119"/>
      <c r="N471" s="137"/>
      <c r="O471" s="119"/>
      <c r="P471" s="119"/>
      <c r="Q471" s="119"/>
      <c r="R471" s="119"/>
      <c r="S471" s="119"/>
      <c r="T471" s="119"/>
      <c r="U471" s="119"/>
      <c r="V471" s="1"/>
      <c r="W471" s="1"/>
      <c r="X471" s="1"/>
      <c r="Y471" s="1"/>
      <c r="Z471" s="1"/>
    </row>
    <row r="472">
      <c r="A472" s="166"/>
      <c r="B472" s="167"/>
      <c r="C472" s="168"/>
      <c r="D472" s="169"/>
      <c r="E472" s="177"/>
      <c r="F472" s="178"/>
      <c r="G472" s="178"/>
      <c r="H472" s="171"/>
      <c r="I472" s="105"/>
      <c r="J472" s="165"/>
      <c r="K472" s="1"/>
      <c r="L472" s="119"/>
      <c r="M472" s="119"/>
      <c r="N472" s="137"/>
      <c r="O472" s="119"/>
      <c r="P472" s="119"/>
      <c r="Q472" s="119"/>
      <c r="R472" s="119"/>
      <c r="S472" s="119"/>
      <c r="T472" s="119"/>
      <c r="U472" s="119"/>
      <c r="V472" s="1"/>
      <c r="W472" s="1"/>
      <c r="X472" s="1"/>
      <c r="Y472" s="1"/>
      <c r="Z472" s="1"/>
    </row>
    <row r="473">
      <c r="A473" s="166"/>
      <c r="B473" s="167"/>
      <c r="C473" s="168"/>
      <c r="D473" s="169"/>
      <c r="E473" s="177"/>
      <c r="F473" s="178"/>
      <c r="G473" s="178"/>
      <c r="H473" s="171"/>
      <c r="I473" s="105"/>
      <c r="J473" s="165"/>
      <c r="K473" s="1"/>
      <c r="L473" s="119"/>
      <c r="M473" s="119"/>
      <c r="N473" s="137"/>
      <c r="O473" s="119"/>
      <c r="P473" s="119"/>
      <c r="Q473" s="119"/>
      <c r="R473" s="119"/>
      <c r="S473" s="119"/>
      <c r="T473" s="119"/>
      <c r="U473" s="119"/>
      <c r="V473" s="1"/>
      <c r="W473" s="1"/>
      <c r="X473" s="1"/>
      <c r="Y473" s="1"/>
      <c r="Z473" s="1"/>
    </row>
    <row r="474">
      <c r="A474" s="166"/>
      <c r="B474" s="167"/>
      <c r="C474" s="168"/>
      <c r="D474" s="169"/>
      <c r="E474" s="177"/>
      <c r="F474" s="178"/>
      <c r="G474" s="178"/>
      <c r="H474" s="171"/>
      <c r="I474" s="105"/>
      <c r="J474" s="165"/>
      <c r="K474" s="1"/>
      <c r="L474" s="119"/>
      <c r="M474" s="119"/>
      <c r="N474" s="137"/>
      <c r="O474" s="119"/>
      <c r="P474" s="119"/>
      <c r="Q474" s="119"/>
      <c r="R474" s="119"/>
      <c r="S474" s="119"/>
      <c r="T474" s="119"/>
      <c r="U474" s="119"/>
      <c r="V474" s="1"/>
      <c r="W474" s="1"/>
      <c r="X474" s="1"/>
      <c r="Y474" s="1"/>
      <c r="Z474" s="1"/>
    </row>
    <row r="475">
      <c r="A475" s="166"/>
      <c r="B475" s="167"/>
      <c r="C475" s="168"/>
      <c r="D475" s="169"/>
      <c r="E475" s="177"/>
      <c r="F475" s="178"/>
      <c r="G475" s="178"/>
      <c r="H475" s="171"/>
      <c r="I475" s="105"/>
      <c r="J475" s="165"/>
      <c r="K475" s="1"/>
      <c r="L475" s="119"/>
      <c r="M475" s="119"/>
      <c r="N475" s="137"/>
      <c r="O475" s="119"/>
      <c r="P475" s="119"/>
      <c r="Q475" s="119"/>
      <c r="R475" s="119"/>
      <c r="S475" s="119"/>
      <c r="T475" s="119"/>
      <c r="U475" s="119"/>
      <c r="V475" s="1"/>
      <c r="W475" s="1"/>
      <c r="X475" s="1"/>
      <c r="Y475" s="1"/>
      <c r="Z475" s="1"/>
    </row>
    <row r="476">
      <c r="A476" s="166"/>
      <c r="B476" s="167"/>
      <c r="C476" s="168"/>
      <c r="D476" s="169"/>
      <c r="E476" s="177"/>
      <c r="F476" s="178"/>
      <c r="G476" s="178"/>
      <c r="H476" s="171"/>
      <c r="I476" s="105"/>
      <c r="J476" s="165"/>
      <c r="K476" s="1"/>
      <c r="L476" s="119"/>
      <c r="M476" s="119"/>
      <c r="N476" s="137"/>
      <c r="O476" s="119"/>
      <c r="P476" s="119"/>
      <c r="Q476" s="119"/>
      <c r="R476" s="119"/>
      <c r="S476" s="119"/>
      <c r="T476" s="119"/>
      <c r="U476" s="119"/>
      <c r="V476" s="1"/>
      <c r="W476" s="1"/>
      <c r="X476" s="1"/>
      <c r="Y476" s="1"/>
      <c r="Z476" s="1"/>
    </row>
    <row r="477">
      <c r="A477" s="166"/>
      <c r="B477" s="167"/>
      <c r="C477" s="168"/>
      <c r="D477" s="169"/>
      <c r="E477" s="177"/>
      <c r="F477" s="178"/>
      <c r="G477" s="178"/>
      <c r="H477" s="171"/>
      <c r="I477" s="105"/>
      <c r="J477" s="165"/>
      <c r="K477" s="1"/>
      <c r="L477" s="119"/>
      <c r="M477" s="119"/>
      <c r="N477" s="137"/>
      <c r="O477" s="119"/>
      <c r="P477" s="119"/>
      <c r="Q477" s="119"/>
      <c r="R477" s="119"/>
      <c r="S477" s="119"/>
      <c r="T477" s="119"/>
      <c r="U477" s="119"/>
      <c r="V477" s="1"/>
      <c r="W477" s="1"/>
      <c r="X477" s="1"/>
      <c r="Y477" s="1"/>
      <c r="Z477" s="1"/>
    </row>
    <row r="478">
      <c r="A478" s="166"/>
      <c r="B478" s="167"/>
      <c r="C478" s="168"/>
      <c r="D478" s="169"/>
      <c r="E478" s="177"/>
      <c r="F478" s="178"/>
      <c r="G478" s="178"/>
      <c r="H478" s="171"/>
      <c r="I478" s="105"/>
      <c r="J478" s="165"/>
      <c r="K478" s="1"/>
      <c r="L478" s="119"/>
      <c r="M478" s="119"/>
      <c r="N478" s="137"/>
      <c r="O478" s="119"/>
      <c r="P478" s="119"/>
      <c r="Q478" s="119"/>
      <c r="R478" s="119"/>
      <c r="S478" s="119"/>
      <c r="T478" s="119"/>
      <c r="U478" s="119"/>
      <c r="V478" s="1"/>
      <c r="W478" s="1"/>
      <c r="X478" s="1"/>
      <c r="Y478" s="1"/>
      <c r="Z478" s="1"/>
    </row>
    <row r="479">
      <c r="A479" s="166"/>
      <c r="B479" s="167"/>
      <c r="C479" s="168"/>
      <c r="D479" s="169"/>
      <c r="E479" s="177"/>
      <c r="F479" s="178"/>
      <c r="G479" s="178"/>
      <c r="H479" s="171"/>
      <c r="I479" s="105"/>
      <c r="J479" s="165"/>
      <c r="K479" s="1"/>
      <c r="L479" s="119"/>
      <c r="M479" s="119"/>
      <c r="N479" s="137"/>
      <c r="O479" s="119"/>
      <c r="P479" s="119"/>
      <c r="Q479" s="119"/>
      <c r="R479" s="119"/>
      <c r="S479" s="119"/>
      <c r="T479" s="119"/>
      <c r="U479" s="119"/>
      <c r="V479" s="1"/>
      <c r="W479" s="1"/>
      <c r="X479" s="1"/>
      <c r="Y479" s="1"/>
      <c r="Z479" s="1"/>
    </row>
    <row r="480">
      <c r="A480" s="166"/>
      <c r="B480" s="167"/>
      <c r="C480" s="168"/>
      <c r="D480" s="169"/>
      <c r="E480" s="177"/>
      <c r="F480" s="178"/>
      <c r="G480" s="178"/>
      <c r="H480" s="171"/>
      <c r="I480" s="105"/>
      <c r="J480" s="165"/>
      <c r="K480" s="1"/>
      <c r="L480" s="119"/>
      <c r="M480" s="119"/>
      <c r="N480" s="137"/>
      <c r="O480" s="119"/>
      <c r="P480" s="119"/>
      <c r="Q480" s="119"/>
      <c r="R480" s="119"/>
      <c r="S480" s="119"/>
      <c r="T480" s="119"/>
      <c r="U480" s="119"/>
      <c r="V480" s="1"/>
      <c r="W480" s="1"/>
      <c r="X480" s="1"/>
      <c r="Y480" s="1"/>
      <c r="Z480" s="1"/>
    </row>
    <row r="481">
      <c r="A481" s="166"/>
      <c r="B481" s="167"/>
      <c r="C481" s="168"/>
      <c r="D481" s="169"/>
      <c r="E481" s="177"/>
      <c r="F481" s="178"/>
      <c r="G481" s="178"/>
      <c r="H481" s="171"/>
      <c r="I481" s="105"/>
      <c r="J481" s="165"/>
      <c r="K481" s="1"/>
      <c r="L481" s="119"/>
      <c r="M481" s="119"/>
      <c r="N481" s="137"/>
      <c r="O481" s="119"/>
      <c r="P481" s="119"/>
      <c r="Q481" s="119"/>
      <c r="R481" s="119"/>
      <c r="S481" s="119"/>
      <c r="T481" s="119"/>
      <c r="U481" s="119"/>
      <c r="V481" s="1"/>
      <c r="W481" s="1"/>
      <c r="X481" s="1"/>
      <c r="Y481" s="1"/>
      <c r="Z481" s="1"/>
    </row>
    <row r="482">
      <c r="A482" s="166"/>
      <c r="B482" s="167"/>
      <c r="C482" s="168"/>
      <c r="D482" s="169"/>
      <c r="E482" s="177"/>
      <c r="F482" s="178"/>
      <c r="G482" s="178"/>
      <c r="H482" s="171"/>
      <c r="I482" s="105"/>
      <c r="J482" s="165"/>
      <c r="K482" s="1"/>
      <c r="L482" s="119"/>
      <c r="M482" s="119"/>
      <c r="N482" s="137"/>
      <c r="O482" s="119"/>
      <c r="P482" s="119"/>
      <c r="Q482" s="119"/>
      <c r="R482" s="119"/>
      <c r="S482" s="119"/>
      <c r="T482" s="119"/>
      <c r="U482" s="119"/>
      <c r="V482" s="1"/>
      <c r="W482" s="1"/>
      <c r="X482" s="1"/>
      <c r="Y482" s="1"/>
      <c r="Z482" s="1"/>
    </row>
    <row r="483">
      <c r="A483" s="166"/>
      <c r="B483" s="167"/>
      <c r="C483" s="168"/>
      <c r="D483" s="169"/>
      <c r="E483" s="177"/>
      <c r="F483" s="178"/>
      <c r="G483" s="178"/>
      <c r="H483" s="171"/>
      <c r="I483" s="105"/>
      <c r="J483" s="165"/>
      <c r="K483" s="1"/>
      <c r="L483" s="119"/>
      <c r="M483" s="119"/>
      <c r="N483" s="137"/>
      <c r="O483" s="119"/>
      <c r="P483" s="119"/>
      <c r="Q483" s="119"/>
      <c r="R483" s="119"/>
      <c r="S483" s="119"/>
      <c r="T483" s="119"/>
      <c r="U483" s="119"/>
      <c r="V483" s="1"/>
      <c r="W483" s="1"/>
      <c r="X483" s="1"/>
      <c r="Y483" s="1"/>
      <c r="Z483" s="1"/>
    </row>
    <row r="484">
      <c r="A484" s="166"/>
      <c r="B484" s="167"/>
      <c r="C484" s="168"/>
      <c r="D484" s="169"/>
      <c r="E484" s="177"/>
      <c r="F484" s="178"/>
      <c r="G484" s="178"/>
      <c r="H484" s="171"/>
      <c r="I484" s="105"/>
      <c r="J484" s="165"/>
      <c r="K484" s="1"/>
      <c r="L484" s="119"/>
      <c r="M484" s="119"/>
      <c r="N484" s="137"/>
      <c r="O484" s="119"/>
      <c r="P484" s="119"/>
      <c r="Q484" s="119"/>
      <c r="R484" s="119"/>
      <c r="S484" s="119"/>
      <c r="T484" s="119"/>
      <c r="U484" s="119"/>
      <c r="V484" s="1"/>
      <c r="W484" s="1"/>
      <c r="X484" s="1"/>
      <c r="Y484" s="1"/>
      <c r="Z484" s="1"/>
    </row>
    <row r="485">
      <c r="A485" s="166"/>
      <c r="B485" s="167"/>
      <c r="C485" s="168"/>
      <c r="D485" s="169"/>
      <c r="E485" s="177"/>
      <c r="F485" s="178"/>
      <c r="G485" s="178"/>
      <c r="H485" s="171"/>
      <c r="I485" s="105"/>
      <c r="J485" s="165"/>
      <c r="K485" s="1"/>
      <c r="L485" s="119"/>
      <c r="M485" s="119"/>
      <c r="N485" s="137"/>
      <c r="O485" s="119"/>
      <c r="P485" s="119"/>
      <c r="Q485" s="119"/>
      <c r="R485" s="119"/>
      <c r="S485" s="119"/>
      <c r="T485" s="119"/>
      <c r="U485" s="119"/>
      <c r="V485" s="1"/>
      <c r="W485" s="1"/>
      <c r="X485" s="1"/>
      <c r="Y485" s="1"/>
      <c r="Z485" s="1"/>
    </row>
    <row r="486">
      <c r="A486" s="166"/>
      <c r="B486" s="167"/>
      <c r="C486" s="168"/>
      <c r="D486" s="169"/>
      <c r="E486" s="177"/>
      <c r="F486" s="178"/>
      <c r="G486" s="178"/>
      <c r="H486" s="171"/>
      <c r="I486" s="105"/>
      <c r="J486" s="165"/>
      <c r="K486" s="1"/>
      <c r="L486" s="119"/>
      <c r="M486" s="119"/>
      <c r="N486" s="137"/>
      <c r="O486" s="119"/>
      <c r="P486" s="119"/>
      <c r="Q486" s="119"/>
      <c r="R486" s="119"/>
      <c r="S486" s="119"/>
      <c r="T486" s="119"/>
      <c r="U486" s="119"/>
      <c r="V486" s="1"/>
      <c r="W486" s="1"/>
      <c r="X486" s="1"/>
      <c r="Y486" s="1"/>
      <c r="Z486" s="1"/>
    </row>
    <row r="487">
      <c r="A487" s="166"/>
      <c r="B487" s="167"/>
      <c r="C487" s="168"/>
      <c r="D487" s="169"/>
      <c r="E487" s="177"/>
      <c r="F487" s="178"/>
      <c r="G487" s="178"/>
      <c r="H487" s="171"/>
      <c r="I487" s="105"/>
      <c r="J487" s="165"/>
      <c r="K487" s="1"/>
      <c r="L487" s="119"/>
      <c r="M487" s="119"/>
      <c r="N487" s="137"/>
      <c r="O487" s="119"/>
      <c r="P487" s="119"/>
      <c r="Q487" s="119"/>
      <c r="R487" s="119"/>
      <c r="S487" s="119"/>
      <c r="T487" s="119"/>
      <c r="U487" s="119"/>
      <c r="V487" s="1"/>
      <c r="W487" s="1"/>
      <c r="X487" s="1"/>
      <c r="Y487" s="1"/>
      <c r="Z487" s="1"/>
    </row>
    <row r="488">
      <c r="A488" s="166"/>
      <c r="B488" s="167"/>
      <c r="C488" s="168"/>
      <c r="D488" s="169"/>
      <c r="E488" s="177"/>
      <c r="F488" s="178"/>
      <c r="G488" s="178"/>
      <c r="H488" s="171"/>
      <c r="I488" s="105"/>
      <c r="J488" s="165"/>
      <c r="K488" s="1"/>
      <c r="L488" s="119"/>
      <c r="M488" s="119"/>
      <c r="N488" s="137"/>
      <c r="O488" s="119"/>
      <c r="P488" s="119"/>
      <c r="Q488" s="119"/>
      <c r="R488" s="119"/>
      <c r="S488" s="119"/>
      <c r="T488" s="119"/>
      <c r="U488" s="119"/>
      <c r="V488" s="1"/>
      <c r="W488" s="1"/>
      <c r="X488" s="1"/>
      <c r="Y488" s="1"/>
      <c r="Z488" s="1"/>
    </row>
    <row r="489">
      <c r="A489" s="166"/>
      <c r="B489" s="167"/>
      <c r="C489" s="168"/>
      <c r="D489" s="169"/>
      <c r="E489" s="177"/>
      <c r="F489" s="178"/>
      <c r="G489" s="178"/>
      <c r="H489" s="171"/>
      <c r="I489" s="105"/>
      <c r="J489" s="165"/>
      <c r="K489" s="1"/>
      <c r="L489" s="119"/>
      <c r="M489" s="119"/>
      <c r="N489" s="137"/>
      <c r="O489" s="119"/>
      <c r="P489" s="119"/>
      <c r="Q489" s="119"/>
      <c r="R489" s="119"/>
      <c r="S489" s="119"/>
      <c r="T489" s="119"/>
      <c r="U489" s="119"/>
      <c r="V489" s="1"/>
      <c r="W489" s="1"/>
      <c r="X489" s="1"/>
      <c r="Y489" s="1"/>
      <c r="Z489" s="1"/>
    </row>
    <row r="490">
      <c r="A490" s="166"/>
      <c r="B490" s="167"/>
      <c r="C490" s="168"/>
      <c r="D490" s="169"/>
      <c r="E490" s="177"/>
      <c r="F490" s="178"/>
      <c r="G490" s="178"/>
      <c r="H490" s="171"/>
      <c r="I490" s="105"/>
      <c r="J490" s="165"/>
      <c r="K490" s="1"/>
      <c r="L490" s="119"/>
      <c r="M490" s="119"/>
      <c r="N490" s="137"/>
      <c r="O490" s="119"/>
      <c r="P490" s="119"/>
      <c r="Q490" s="119"/>
      <c r="R490" s="119"/>
      <c r="S490" s="119"/>
      <c r="T490" s="119"/>
      <c r="U490" s="119"/>
      <c r="V490" s="1"/>
      <c r="W490" s="1"/>
      <c r="X490" s="1"/>
      <c r="Y490" s="1"/>
      <c r="Z490" s="1"/>
    </row>
    <row r="491">
      <c r="A491" s="166"/>
      <c r="B491" s="167"/>
      <c r="C491" s="168"/>
      <c r="D491" s="169"/>
      <c r="E491" s="177"/>
      <c r="F491" s="178"/>
      <c r="G491" s="178"/>
      <c r="H491" s="171"/>
      <c r="I491" s="105"/>
      <c r="J491" s="165"/>
      <c r="K491" s="1"/>
      <c r="L491" s="119"/>
      <c r="M491" s="119"/>
      <c r="N491" s="137"/>
      <c r="O491" s="119"/>
      <c r="P491" s="119"/>
      <c r="Q491" s="119"/>
      <c r="R491" s="119"/>
      <c r="S491" s="119"/>
      <c r="T491" s="119"/>
      <c r="U491" s="119"/>
      <c r="V491" s="1"/>
      <c r="W491" s="1"/>
      <c r="X491" s="1"/>
      <c r="Y491" s="1"/>
      <c r="Z491" s="1"/>
    </row>
    <row r="492">
      <c r="A492" s="166"/>
      <c r="B492" s="167"/>
      <c r="C492" s="168"/>
      <c r="D492" s="169"/>
      <c r="E492" s="177"/>
      <c r="F492" s="178"/>
      <c r="G492" s="178"/>
      <c r="H492" s="171"/>
      <c r="I492" s="105"/>
      <c r="J492" s="165"/>
      <c r="K492" s="1"/>
      <c r="L492" s="119"/>
      <c r="M492" s="119"/>
      <c r="N492" s="137"/>
      <c r="O492" s="119"/>
      <c r="P492" s="119"/>
      <c r="Q492" s="119"/>
      <c r="R492" s="119"/>
      <c r="S492" s="119"/>
      <c r="T492" s="119"/>
      <c r="U492" s="119"/>
      <c r="V492" s="1"/>
      <c r="W492" s="1"/>
      <c r="X492" s="1"/>
      <c r="Y492" s="1"/>
      <c r="Z492" s="1"/>
    </row>
    <row r="493">
      <c r="A493" s="166"/>
      <c r="B493" s="167"/>
      <c r="C493" s="168"/>
      <c r="D493" s="169"/>
      <c r="E493" s="177"/>
      <c r="F493" s="178"/>
      <c r="G493" s="178"/>
      <c r="H493" s="171"/>
      <c r="I493" s="105"/>
      <c r="J493" s="165"/>
      <c r="K493" s="1"/>
      <c r="L493" s="119"/>
      <c r="M493" s="119"/>
      <c r="N493" s="137"/>
      <c r="O493" s="119"/>
      <c r="P493" s="119"/>
      <c r="Q493" s="119"/>
      <c r="R493" s="119"/>
      <c r="S493" s="119"/>
      <c r="T493" s="119"/>
      <c r="U493" s="119"/>
      <c r="V493" s="1"/>
      <c r="W493" s="1"/>
      <c r="X493" s="1"/>
      <c r="Y493" s="1"/>
      <c r="Z493" s="1"/>
    </row>
    <row r="494">
      <c r="A494" s="166"/>
      <c r="B494" s="167"/>
      <c r="C494" s="168"/>
      <c r="D494" s="169"/>
      <c r="E494" s="177"/>
      <c r="F494" s="178"/>
      <c r="G494" s="178"/>
      <c r="H494" s="171"/>
      <c r="I494" s="105"/>
      <c r="J494" s="165"/>
      <c r="K494" s="1"/>
      <c r="L494" s="119"/>
      <c r="M494" s="119"/>
      <c r="N494" s="137"/>
      <c r="O494" s="119"/>
      <c r="P494" s="119"/>
      <c r="Q494" s="119"/>
      <c r="R494" s="119"/>
      <c r="S494" s="119"/>
      <c r="T494" s="119"/>
      <c r="U494" s="119"/>
      <c r="V494" s="1"/>
      <c r="W494" s="1"/>
      <c r="X494" s="1"/>
      <c r="Y494" s="1"/>
      <c r="Z494" s="1"/>
    </row>
    <row r="495">
      <c r="A495" s="166"/>
      <c r="B495" s="167"/>
      <c r="C495" s="168"/>
      <c r="D495" s="169"/>
      <c r="E495" s="177"/>
      <c r="F495" s="178"/>
      <c r="G495" s="178"/>
      <c r="H495" s="171"/>
      <c r="I495" s="105"/>
      <c r="J495" s="165"/>
      <c r="K495" s="1"/>
      <c r="L495" s="119"/>
      <c r="M495" s="119"/>
      <c r="N495" s="137"/>
      <c r="O495" s="119"/>
      <c r="P495" s="119"/>
      <c r="Q495" s="119"/>
      <c r="R495" s="119"/>
      <c r="S495" s="119"/>
      <c r="T495" s="119"/>
      <c r="U495" s="119"/>
      <c r="V495" s="1"/>
      <c r="W495" s="1"/>
      <c r="X495" s="1"/>
      <c r="Y495" s="1"/>
      <c r="Z495" s="1"/>
    </row>
    <row r="496">
      <c r="A496" s="166"/>
      <c r="B496" s="167"/>
      <c r="C496" s="168"/>
      <c r="D496" s="169"/>
      <c r="E496" s="177"/>
      <c r="F496" s="178"/>
      <c r="G496" s="178"/>
      <c r="H496" s="171"/>
      <c r="I496" s="105"/>
      <c r="J496" s="165"/>
      <c r="K496" s="1"/>
      <c r="L496" s="119"/>
      <c r="M496" s="119"/>
      <c r="N496" s="137"/>
      <c r="O496" s="119"/>
      <c r="P496" s="119"/>
      <c r="Q496" s="119"/>
      <c r="R496" s="119"/>
      <c r="S496" s="119"/>
      <c r="T496" s="119"/>
      <c r="U496" s="119"/>
      <c r="V496" s="1"/>
      <c r="W496" s="1"/>
      <c r="X496" s="1"/>
      <c r="Y496" s="1"/>
      <c r="Z496" s="1"/>
    </row>
    <row r="497">
      <c r="A497" s="166"/>
      <c r="B497" s="167"/>
      <c r="C497" s="168"/>
      <c r="D497" s="169"/>
      <c r="E497" s="177"/>
      <c r="F497" s="178"/>
      <c r="G497" s="178"/>
      <c r="H497" s="171"/>
      <c r="I497" s="105"/>
      <c r="J497" s="165"/>
      <c r="K497" s="1"/>
      <c r="L497" s="119"/>
      <c r="M497" s="119"/>
      <c r="N497" s="137"/>
      <c r="O497" s="119"/>
      <c r="P497" s="119"/>
      <c r="Q497" s="119"/>
      <c r="R497" s="119"/>
      <c r="S497" s="119"/>
      <c r="T497" s="119"/>
      <c r="U497" s="119"/>
      <c r="V497" s="1"/>
      <c r="W497" s="1"/>
      <c r="X497" s="1"/>
      <c r="Y497" s="1"/>
      <c r="Z497" s="1"/>
    </row>
    <row r="498">
      <c r="A498" s="166"/>
      <c r="B498" s="167"/>
      <c r="C498" s="168"/>
      <c r="D498" s="169"/>
      <c r="E498" s="177"/>
      <c r="F498" s="178"/>
      <c r="G498" s="178"/>
      <c r="H498" s="171"/>
      <c r="I498" s="105"/>
      <c r="J498" s="165"/>
      <c r="K498" s="1"/>
      <c r="L498" s="119"/>
      <c r="M498" s="119"/>
      <c r="N498" s="137"/>
      <c r="O498" s="119"/>
      <c r="P498" s="119"/>
      <c r="Q498" s="119"/>
      <c r="R498" s="119"/>
      <c r="S498" s="119"/>
      <c r="T498" s="119"/>
      <c r="U498" s="119"/>
      <c r="V498" s="1"/>
      <c r="W498" s="1"/>
      <c r="X498" s="1"/>
      <c r="Y498" s="1"/>
      <c r="Z498" s="1"/>
    </row>
    <row r="499">
      <c r="A499" s="166"/>
      <c r="B499" s="167"/>
      <c r="C499" s="168"/>
      <c r="D499" s="169"/>
      <c r="E499" s="177"/>
      <c r="F499" s="178"/>
      <c r="G499" s="178"/>
      <c r="H499" s="171"/>
      <c r="I499" s="105"/>
      <c r="J499" s="165"/>
      <c r="K499" s="1"/>
      <c r="L499" s="119"/>
      <c r="M499" s="119"/>
      <c r="N499" s="137"/>
      <c r="O499" s="119"/>
      <c r="P499" s="119"/>
      <c r="Q499" s="119"/>
      <c r="R499" s="119"/>
      <c r="S499" s="119"/>
      <c r="T499" s="119"/>
      <c r="U499" s="119"/>
      <c r="V499" s="1"/>
      <c r="W499" s="1"/>
      <c r="X499" s="1"/>
      <c r="Y499" s="1"/>
      <c r="Z499" s="1"/>
    </row>
    <row r="500">
      <c r="A500" s="166"/>
      <c r="B500" s="167"/>
      <c r="C500" s="168"/>
      <c r="D500" s="169"/>
      <c r="E500" s="177"/>
      <c r="F500" s="178"/>
      <c r="G500" s="178"/>
      <c r="H500" s="171"/>
      <c r="I500" s="105"/>
      <c r="J500" s="165"/>
      <c r="K500" s="1"/>
      <c r="L500" s="119"/>
      <c r="M500" s="119"/>
      <c r="N500" s="137"/>
      <c r="O500" s="119"/>
      <c r="P500" s="119"/>
      <c r="Q500" s="119"/>
      <c r="R500" s="119"/>
      <c r="S500" s="119"/>
      <c r="T500" s="119"/>
      <c r="U500" s="119"/>
      <c r="V500" s="1"/>
      <c r="W500" s="1"/>
      <c r="X500" s="1"/>
      <c r="Y500" s="1"/>
      <c r="Z500" s="1"/>
    </row>
    <row r="501">
      <c r="A501" s="166"/>
      <c r="B501" s="167"/>
      <c r="C501" s="168"/>
      <c r="D501" s="169"/>
      <c r="E501" s="177"/>
      <c r="F501" s="178"/>
      <c r="G501" s="178"/>
      <c r="H501" s="171"/>
      <c r="I501" s="105"/>
      <c r="J501" s="165"/>
      <c r="K501" s="1"/>
      <c r="L501" s="119"/>
      <c r="M501" s="119"/>
      <c r="N501" s="137"/>
      <c r="O501" s="119"/>
      <c r="P501" s="119"/>
      <c r="Q501" s="119"/>
      <c r="R501" s="119"/>
      <c r="S501" s="119"/>
      <c r="T501" s="119"/>
      <c r="U501" s="119"/>
      <c r="V501" s="1"/>
      <c r="W501" s="1"/>
      <c r="X501" s="1"/>
      <c r="Y501" s="1"/>
      <c r="Z501" s="1"/>
    </row>
    <row r="502">
      <c r="A502" s="166"/>
      <c r="B502" s="167"/>
      <c r="C502" s="168"/>
      <c r="D502" s="169"/>
      <c r="E502" s="177"/>
      <c r="F502" s="178"/>
      <c r="G502" s="178"/>
      <c r="H502" s="171"/>
      <c r="I502" s="105"/>
      <c r="J502" s="165"/>
      <c r="K502" s="1"/>
      <c r="L502" s="119"/>
      <c r="M502" s="119"/>
      <c r="N502" s="137"/>
      <c r="O502" s="119"/>
      <c r="P502" s="119"/>
      <c r="Q502" s="119"/>
      <c r="R502" s="119"/>
      <c r="S502" s="119"/>
      <c r="T502" s="119"/>
      <c r="U502" s="119"/>
      <c r="V502" s="1"/>
      <c r="W502" s="1"/>
      <c r="X502" s="1"/>
      <c r="Y502" s="1"/>
      <c r="Z502" s="1"/>
    </row>
    <row r="503">
      <c r="A503" s="166"/>
      <c r="B503" s="167"/>
      <c r="C503" s="168"/>
      <c r="D503" s="169"/>
      <c r="E503" s="177"/>
      <c r="F503" s="178"/>
      <c r="G503" s="178"/>
      <c r="H503" s="171"/>
      <c r="I503" s="105"/>
      <c r="J503" s="165"/>
      <c r="K503" s="1"/>
      <c r="L503" s="119"/>
      <c r="M503" s="119"/>
      <c r="N503" s="137"/>
      <c r="O503" s="119"/>
      <c r="P503" s="119"/>
      <c r="Q503" s="119"/>
      <c r="R503" s="119"/>
      <c r="S503" s="119"/>
      <c r="T503" s="119"/>
      <c r="U503" s="119"/>
      <c r="V503" s="1"/>
      <c r="W503" s="1"/>
      <c r="X503" s="1"/>
      <c r="Y503" s="1"/>
      <c r="Z503" s="1"/>
    </row>
    <row r="504">
      <c r="A504" s="166"/>
      <c r="B504" s="167"/>
      <c r="C504" s="168"/>
      <c r="D504" s="169"/>
      <c r="E504" s="177"/>
      <c r="F504" s="178"/>
      <c r="G504" s="178"/>
      <c r="H504" s="171"/>
      <c r="I504" s="105"/>
      <c r="J504" s="165"/>
      <c r="K504" s="1"/>
      <c r="L504" s="119"/>
      <c r="M504" s="119"/>
      <c r="N504" s="137"/>
      <c r="O504" s="119"/>
      <c r="P504" s="119"/>
      <c r="Q504" s="119"/>
      <c r="R504" s="119"/>
      <c r="S504" s="119"/>
      <c r="T504" s="119"/>
      <c r="U504" s="119"/>
      <c r="V504" s="1"/>
      <c r="W504" s="1"/>
      <c r="X504" s="1"/>
      <c r="Y504" s="1"/>
      <c r="Z504" s="1"/>
    </row>
    <row r="505">
      <c r="A505" s="166"/>
      <c r="B505" s="167"/>
      <c r="C505" s="168"/>
      <c r="D505" s="169"/>
      <c r="E505" s="177"/>
      <c r="F505" s="178"/>
      <c r="G505" s="178"/>
      <c r="H505" s="171"/>
      <c r="I505" s="105"/>
      <c r="J505" s="165"/>
      <c r="K505" s="1"/>
      <c r="L505" s="119"/>
      <c r="M505" s="119"/>
      <c r="N505" s="137"/>
      <c r="O505" s="119"/>
      <c r="P505" s="119"/>
      <c r="Q505" s="119"/>
      <c r="R505" s="119"/>
      <c r="S505" s="119"/>
      <c r="T505" s="119"/>
      <c r="U505" s="119"/>
      <c r="V505" s="1"/>
      <c r="W505" s="1"/>
      <c r="X505" s="1"/>
      <c r="Y505" s="1"/>
      <c r="Z505" s="1"/>
    </row>
    <row r="506">
      <c r="A506" s="166"/>
      <c r="B506" s="167"/>
      <c r="C506" s="168"/>
      <c r="D506" s="169"/>
      <c r="E506" s="177"/>
      <c r="F506" s="178"/>
      <c r="G506" s="178"/>
      <c r="H506" s="171"/>
      <c r="I506" s="105"/>
      <c r="J506" s="165"/>
      <c r="K506" s="1"/>
      <c r="L506" s="119"/>
      <c r="M506" s="119"/>
      <c r="N506" s="137"/>
      <c r="O506" s="119"/>
      <c r="P506" s="119"/>
      <c r="Q506" s="119"/>
      <c r="R506" s="119"/>
      <c r="S506" s="119"/>
      <c r="T506" s="119"/>
      <c r="U506" s="119"/>
      <c r="V506" s="1"/>
      <c r="W506" s="1"/>
      <c r="X506" s="1"/>
      <c r="Y506" s="1"/>
      <c r="Z506" s="1"/>
    </row>
    <row r="507">
      <c r="A507" s="166"/>
      <c r="B507" s="167"/>
      <c r="C507" s="168"/>
      <c r="D507" s="169"/>
      <c r="E507" s="177"/>
      <c r="F507" s="178"/>
      <c r="G507" s="178"/>
      <c r="H507" s="171"/>
      <c r="I507" s="105"/>
      <c r="J507" s="165"/>
      <c r="K507" s="1"/>
      <c r="L507" s="119"/>
      <c r="M507" s="119"/>
      <c r="N507" s="137"/>
      <c r="O507" s="119"/>
      <c r="P507" s="119"/>
      <c r="Q507" s="119"/>
      <c r="R507" s="119"/>
      <c r="S507" s="119"/>
      <c r="T507" s="119"/>
      <c r="U507" s="119"/>
      <c r="V507" s="1"/>
      <c r="W507" s="1"/>
      <c r="X507" s="1"/>
      <c r="Y507" s="1"/>
      <c r="Z507" s="1"/>
    </row>
    <row r="508">
      <c r="A508" s="166"/>
      <c r="B508" s="167"/>
      <c r="C508" s="168"/>
      <c r="D508" s="169"/>
      <c r="E508" s="177"/>
      <c r="F508" s="178"/>
      <c r="G508" s="178"/>
      <c r="H508" s="171"/>
      <c r="I508" s="105"/>
      <c r="J508" s="165"/>
      <c r="K508" s="1"/>
      <c r="L508" s="119"/>
      <c r="M508" s="119"/>
      <c r="N508" s="137"/>
      <c r="O508" s="119"/>
      <c r="P508" s="119"/>
      <c r="Q508" s="119"/>
      <c r="R508" s="119"/>
      <c r="S508" s="119"/>
      <c r="T508" s="119"/>
      <c r="U508" s="119"/>
      <c r="V508" s="1"/>
      <c r="W508" s="1"/>
      <c r="X508" s="1"/>
      <c r="Y508" s="1"/>
      <c r="Z508" s="1"/>
    </row>
    <row r="509">
      <c r="A509" s="166"/>
      <c r="B509" s="167"/>
      <c r="C509" s="168"/>
      <c r="D509" s="169"/>
      <c r="E509" s="177"/>
      <c r="F509" s="178"/>
      <c r="G509" s="178"/>
      <c r="H509" s="171"/>
      <c r="I509" s="105"/>
      <c r="J509" s="165"/>
      <c r="K509" s="1"/>
      <c r="L509" s="119"/>
      <c r="M509" s="119"/>
      <c r="N509" s="137"/>
      <c r="O509" s="119"/>
      <c r="P509" s="119"/>
      <c r="Q509" s="119"/>
      <c r="R509" s="119"/>
      <c r="S509" s="119"/>
      <c r="T509" s="119"/>
      <c r="U509" s="119"/>
      <c r="V509" s="1"/>
      <c r="W509" s="1"/>
      <c r="X509" s="1"/>
      <c r="Y509" s="1"/>
      <c r="Z509" s="1"/>
    </row>
    <row r="510">
      <c r="A510" s="166"/>
      <c r="B510" s="167"/>
      <c r="C510" s="168"/>
      <c r="D510" s="169"/>
      <c r="E510" s="177"/>
      <c r="F510" s="178"/>
      <c r="G510" s="178"/>
      <c r="H510" s="171"/>
      <c r="I510" s="105"/>
      <c r="J510" s="165"/>
      <c r="K510" s="1"/>
      <c r="L510" s="119"/>
      <c r="M510" s="119"/>
      <c r="N510" s="137"/>
      <c r="O510" s="119"/>
      <c r="P510" s="119"/>
      <c r="Q510" s="119"/>
      <c r="R510" s="119"/>
      <c r="S510" s="119"/>
      <c r="T510" s="119"/>
      <c r="U510" s="119"/>
      <c r="V510" s="1"/>
      <c r="W510" s="1"/>
      <c r="X510" s="1"/>
      <c r="Y510" s="1"/>
      <c r="Z510" s="1"/>
    </row>
    <row r="511">
      <c r="A511" s="166"/>
      <c r="B511" s="167"/>
      <c r="C511" s="168"/>
      <c r="D511" s="169"/>
      <c r="E511" s="177"/>
      <c r="F511" s="178"/>
      <c r="G511" s="178"/>
      <c r="H511" s="171"/>
      <c r="I511" s="105"/>
      <c r="J511" s="165"/>
      <c r="K511" s="1"/>
      <c r="L511" s="119"/>
      <c r="M511" s="119"/>
      <c r="N511" s="137"/>
      <c r="O511" s="119"/>
      <c r="P511" s="119"/>
      <c r="Q511" s="119"/>
      <c r="R511" s="119"/>
      <c r="S511" s="119"/>
      <c r="T511" s="119"/>
      <c r="U511" s="119"/>
      <c r="V511" s="1"/>
      <c r="W511" s="1"/>
      <c r="X511" s="1"/>
      <c r="Y511" s="1"/>
      <c r="Z511" s="1"/>
    </row>
    <row r="512">
      <c r="A512" s="180"/>
      <c r="B512" s="181"/>
      <c r="C512" s="181"/>
      <c r="D512" s="181"/>
      <c r="E512" s="182"/>
      <c r="F512" s="183"/>
      <c r="G512" s="184"/>
      <c r="H512" s="185"/>
      <c r="I512" s="105"/>
      <c r="J512" s="165"/>
      <c r="K512" s="1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"/>
      <c r="W512" s="1"/>
      <c r="X512" s="1"/>
      <c r="Y512" s="1"/>
      <c r="Z512" s="1"/>
    </row>
    <row r="513">
      <c r="A513" s="186"/>
      <c r="B513" s="187"/>
      <c r="C513" s="187"/>
      <c r="D513" s="187"/>
      <c r="E513" s="188"/>
      <c r="F513" s="187"/>
      <c r="G513" s="189"/>
      <c r="H513" s="190">
        <f>IFERROR(__xludf.DUMMYFUNCTION("""COMPUTED_VALUE"""),4.38710625E9)</f>
        <v>4387106250</v>
      </c>
      <c r="I513" s="105"/>
      <c r="J513" s="165"/>
      <c r="K513" s="1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5"/>
      <c r="F514" s="105"/>
      <c r="G514" s="106"/>
      <c r="H514" s="106"/>
      <c r="I514" s="105"/>
      <c r="J514" s="165"/>
      <c r="K514" s="1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5"/>
      <c r="F515" s="105"/>
      <c r="G515" s="106"/>
      <c r="H515" s="106"/>
      <c r="I515" s="105"/>
      <c r="J515" s="165"/>
      <c r="K515" s="1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5"/>
      <c r="F516" s="105"/>
      <c r="G516" s="106"/>
      <c r="H516" s="106"/>
      <c r="I516" s="105"/>
      <c r="J516" s="165"/>
      <c r="K516" s="1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"/>
      <c r="W516" s="1"/>
      <c r="X516" s="1"/>
      <c r="Y516" s="1"/>
      <c r="Z516" s="1"/>
    </row>
    <row r="517">
      <c r="A517" s="10"/>
      <c r="B517" s="10"/>
      <c r="C517" s="10"/>
      <c r="D517" s="10"/>
      <c r="E517" s="15"/>
      <c r="F517" s="10"/>
      <c r="G517" s="10"/>
      <c r="H517" s="10"/>
      <c r="I517" s="10"/>
      <c r="J517" s="191"/>
      <c r="K517" s="10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5"/>
      <c r="F518" s="10"/>
      <c r="G518" s="10"/>
      <c r="H518" s="10"/>
      <c r="I518" s="10"/>
      <c r="J518" s="191"/>
      <c r="K518" s="10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5"/>
      <c r="F519" s="10"/>
      <c r="G519" s="10"/>
      <c r="H519" s="10"/>
      <c r="I519" s="10"/>
      <c r="J519" s="191"/>
      <c r="K519" s="10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5"/>
      <c r="F520" s="10"/>
      <c r="G520" s="10"/>
      <c r="H520" s="10"/>
      <c r="I520" s="10"/>
      <c r="J520" s="191"/>
      <c r="K520" s="10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5"/>
      <c r="F521" s="10"/>
      <c r="G521" s="10"/>
      <c r="H521" s="10"/>
      <c r="I521" s="10"/>
      <c r="J521" s="191"/>
      <c r="K521" s="10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5"/>
      <c r="F522" s="10"/>
      <c r="G522" s="10"/>
      <c r="H522" s="10"/>
      <c r="I522" s="10"/>
      <c r="J522" s="191"/>
      <c r="K522" s="10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5"/>
      <c r="F523" s="10"/>
      <c r="G523" s="10"/>
      <c r="H523" s="10"/>
      <c r="I523" s="10"/>
      <c r="J523" s="191"/>
      <c r="K523" s="10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5"/>
      <c r="F524" s="10"/>
      <c r="G524" s="10"/>
      <c r="H524" s="10"/>
      <c r="I524" s="10"/>
      <c r="J524" s="191"/>
      <c r="K524" s="10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5"/>
      <c r="F525" s="10"/>
      <c r="G525" s="10"/>
      <c r="H525" s="10"/>
      <c r="I525" s="10"/>
      <c r="J525" s="191"/>
      <c r="K525" s="10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5"/>
      <c r="F526" s="10"/>
      <c r="G526" s="10"/>
      <c r="H526" s="10"/>
      <c r="I526" s="10"/>
      <c r="J526" s="191"/>
      <c r="K526" s="10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5"/>
      <c r="F527" s="10"/>
      <c r="G527" s="10"/>
      <c r="H527" s="10"/>
      <c r="I527" s="10"/>
      <c r="J527" s="191"/>
      <c r="K527" s="10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5"/>
      <c r="F528" s="10"/>
      <c r="G528" s="10"/>
      <c r="H528" s="10"/>
      <c r="I528" s="10"/>
      <c r="J528" s="191"/>
      <c r="K528" s="10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5"/>
      <c r="F529" s="10"/>
      <c r="G529" s="10"/>
      <c r="H529" s="10"/>
      <c r="I529" s="10"/>
      <c r="J529" s="191"/>
      <c r="K529" s="10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5"/>
      <c r="F530" s="10"/>
      <c r="G530" s="10"/>
      <c r="H530" s="10"/>
      <c r="I530" s="10"/>
      <c r="J530" s="191"/>
      <c r="K530" s="10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5"/>
      <c r="F531" s="10"/>
      <c r="G531" s="10"/>
      <c r="H531" s="10"/>
      <c r="I531" s="10"/>
      <c r="J531" s="191"/>
      <c r="K531" s="10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5"/>
      <c r="F532" s="10"/>
      <c r="G532" s="10"/>
      <c r="H532" s="10"/>
      <c r="I532" s="10"/>
      <c r="J532" s="191"/>
      <c r="K532" s="10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5"/>
      <c r="F533" s="10"/>
      <c r="G533" s="10"/>
      <c r="H533" s="10"/>
      <c r="I533" s="10"/>
      <c r="J533" s="191"/>
      <c r="K533" s="10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5"/>
      <c r="F534" s="10"/>
      <c r="G534" s="10"/>
      <c r="H534" s="10"/>
      <c r="I534" s="10"/>
      <c r="J534" s="191"/>
      <c r="K534" s="10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5"/>
      <c r="F535" s="10"/>
      <c r="G535" s="10"/>
      <c r="H535" s="10"/>
      <c r="I535" s="10"/>
      <c r="J535" s="191"/>
      <c r="K535" s="10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5"/>
      <c r="F536" s="10"/>
      <c r="G536" s="10"/>
      <c r="H536" s="10"/>
      <c r="I536" s="10"/>
      <c r="J536" s="191"/>
      <c r="K536" s="10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5"/>
      <c r="F537" s="10"/>
      <c r="G537" s="10"/>
      <c r="H537" s="10"/>
      <c r="I537" s="10"/>
      <c r="J537" s="191"/>
      <c r="K537" s="10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5"/>
      <c r="F538" s="10"/>
      <c r="G538" s="10"/>
      <c r="H538" s="10"/>
      <c r="I538" s="10"/>
      <c r="J538" s="191"/>
      <c r="K538" s="10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5"/>
      <c r="F539" s="10"/>
      <c r="G539" s="10"/>
      <c r="H539" s="10"/>
      <c r="I539" s="10"/>
      <c r="J539" s="191"/>
      <c r="K539" s="10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5"/>
      <c r="F540" s="10"/>
      <c r="G540" s="10"/>
      <c r="H540" s="10"/>
      <c r="I540" s="10"/>
      <c r="J540" s="191"/>
      <c r="K540" s="10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5"/>
      <c r="F541" s="10"/>
      <c r="G541" s="10"/>
      <c r="H541" s="10"/>
      <c r="I541" s="10"/>
      <c r="J541" s="191"/>
      <c r="K541" s="10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5"/>
      <c r="F542" s="10"/>
      <c r="G542" s="10"/>
      <c r="H542" s="10"/>
      <c r="I542" s="10"/>
      <c r="J542" s="191"/>
      <c r="K542" s="10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5"/>
      <c r="F543" s="10"/>
      <c r="G543" s="10"/>
      <c r="H543" s="10"/>
      <c r="I543" s="10"/>
      <c r="J543" s="191"/>
      <c r="K543" s="10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5"/>
      <c r="F544" s="10"/>
      <c r="G544" s="10"/>
      <c r="H544" s="10"/>
      <c r="I544" s="10"/>
      <c r="J544" s="191"/>
      <c r="K544" s="10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5"/>
      <c r="F545" s="10"/>
      <c r="G545" s="10"/>
      <c r="H545" s="10"/>
      <c r="I545" s="10"/>
      <c r="J545" s="191"/>
      <c r="K545" s="10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5"/>
      <c r="F546" s="10"/>
      <c r="G546" s="10"/>
      <c r="H546" s="10"/>
      <c r="I546" s="10"/>
      <c r="J546" s="191"/>
      <c r="K546" s="10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5"/>
      <c r="F547" s="10"/>
      <c r="G547" s="10"/>
      <c r="H547" s="10"/>
      <c r="I547" s="10"/>
      <c r="J547" s="191"/>
      <c r="K547" s="10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5"/>
      <c r="F548" s="10"/>
      <c r="G548" s="10"/>
      <c r="H548" s="10"/>
      <c r="I548" s="10"/>
      <c r="J548" s="191"/>
      <c r="K548" s="10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5"/>
      <c r="F549" s="10"/>
      <c r="G549" s="10"/>
      <c r="H549" s="10"/>
      <c r="I549" s="10"/>
      <c r="J549" s="191"/>
      <c r="K549" s="10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5"/>
      <c r="F550" s="10"/>
      <c r="G550" s="10"/>
      <c r="H550" s="10"/>
      <c r="I550" s="10"/>
      <c r="J550" s="191"/>
      <c r="K550" s="10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5"/>
      <c r="F551" s="10"/>
      <c r="G551" s="10"/>
      <c r="H551" s="10"/>
      <c r="I551" s="10"/>
      <c r="J551" s="191"/>
      <c r="K551" s="10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5"/>
      <c r="F552" s="10"/>
      <c r="G552" s="10"/>
      <c r="H552" s="10"/>
      <c r="I552" s="10"/>
      <c r="J552" s="191"/>
      <c r="K552" s="10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5"/>
      <c r="F553" s="10"/>
      <c r="G553" s="10"/>
      <c r="H553" s="10"/>
      <c r="I553" s="10"/>
      <c r="J553" s="191"/>
      <c r="K553" s="10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5"/>
      <c r="F554" s="10"/>
      <c r="G554" s="10"/>
      <c r="H554" s="10"/>
      <c r="I554" s="10"/>
      <c r="J554" s="191"/>
      <c r="K554" s="10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5"/>
      <c r="F555" s="10"/>
      <c r="G555" s="10"/>
      <c r="H555" s="10"/>
      <c r="I555" s="10"/>
      <c r="J555" s="191"/>
      <c r="K555" s="10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5"/>
      <c r="F556" s="10"/>
      <c r="G556" s="10"/>
      <c r="H556" s="10"/>
      <c r="I556" s="10"/>
      <c r="J556" s="191"/>
      <c r="K556" s="10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5"/>
      <c r="F557" s="10"/>
      <c r="G557" s="10"/>
      <c r="H557" s="10"/>
      <c r="I557" s="10"/>
      <c r="J557" s="191"/>
      <c r="K557" s="10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5"/>
      <c r="F558" s="10"/>
      <c r="G558" s="10"/>
      <c r="H558" s="10"/>
      <c r="I558" s="10"/>
      <c r="J558" s="191"/>
      <c r="K558" s="10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5"/>
      <c r="F559" s="10"/>
      <c r="G559" s="10"/>
      <c r="H559" s="10"/>
      <c r="I559" s="10"/>
      <c r="J559" s="191"/>
      <c r="K559" s="10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5"/>
      <c r="F560" s="10"/>
      <c r="G560" s="10"/>
      <c r="H560" s="10"/>
      <c r="I560" s="10"/>
      <c r="J560" s="191"/>
      <c r="K560" s="10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5"/>
      <c r="F561" s="10"/>
      <c r="G561" s="10"/>
      <c r="H561" s="10"/>
      <c r="I561" s="10"/>
      <c r="J561" s="191"/>
      <c r="K561" s="10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5"/>
      <c r="F562" s="10"/>
      <c r="G562" s="10"/>
      <c r="H562" s="10"/>
      <c r="I562" s="10"/>
      <c r="J562" s="191"/>
      <c r="K562" s="10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5"/>
      <c r="F563" s="10"/>
      <c r="G563" s="10"/>
      <c r="H563" s="10"/>
      <c r="I563" s="10"/>
      <c r="J563" s="191"/>
      <c r="K563" s="10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5"/>
      <c r="F564" s="10"/>
      <c r="G564" s="10"/>
      <c r="H564" s="10"/>
      <c r="I564" s="10"/>
      <c r="J564" s="191"/>
      <c r="K564" s="10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5"/>
      <c r="F565" s="10"/>
      <c r="G565" s="10"/>
      <c r="H565" s="10"/>
      <c r="I565" s="10"/>
      <c r="J565" s="191"/>
      <c r="K565" s="10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5"/>
      <c r="F566" s="10"/>
      <c r="G566" s="10"/>
      <c r="H566" s="10"/>
      <c r="I566" s="10"/>
      <c r="J566" s="191"/>
      <c r="K566" s="10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5"/>
      <c r="F567" s="10"/>
      <c r="G567" s="10"/>
      <c r="H567" s="10"/>
      <c r="I567" s="10"/>
      <c r="J567" s="191"/>
      <c r="K567" s="10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5"/>
      <c r="F568" s="10"/>
      <c r="G568" s="10"/>
      <c r="H568" s="10"/>
      <c r="I568" s="10"/>
      <c r="J568" s="191"/>
      <c r="K568" s="10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5"/>
      <c r="F569" s="10"/>
      <c r="G569" s="10"/>
      <c r="H569" s="10"/>
      <c r="I569" s="10"/>
      <c r="J569" s="191"/>
      <c r="K569" s="10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5"/>
      <c r="F570" s="10"/>
      <c r="G570" s="10"/>
      <c r="H570" s="10"/>
      <c r="I570" s="10"/>
      <c r="J570" s="191"/>
      <c r="K570" s="10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5"/>
      <c r="F571" s="10"/>
      <c r="G571" s="10"/>
      <c r="H571" s="10"/>
      <c r="I571" s="10"/>
      <c r="J571" s="191"/>
      <c r="K571" s="10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5"/>
      <c r="F572" s="10"/>
      <c r="G572" s="10"/>
      <c r="H572" s="10"/>
      <c r="I572" s="10"/>
      <c r="J572" s="191"/>
      <c r="K572" s="10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5"/>
      <c r="F573" s="10"/>
      <c r="G573" s="10"/>
      <c r="H573" s="10"/>
      <c r="I573" s="10"/>
      <c r="J573" s="191"/>
      <c r="K573" s="10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5"/>
      <c r="F574" s="10"/>
      <c r="G574" s="10"/>
      <c r="H574" s="10"/>
      <c r="I574" s="10"/>
      <c r="J574" s="191"/>
      <c r="K574" s="10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5"/>
      <c r="F575" s="10"/>
      <c r="G575" s="10"/>
      <c r="H575" s="10"/>
      <c r="I575" s="10"/>
      <c r="J575" s="191"/>
      <c r="K575" s="10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5"/>
      <c r="F576" s="10"/>
      <c r="G576" s="10"/>
      <c r="H576" s="10"/>
      <c r="I576" s="10"/>
      <c r="J576" s="191"/>
      <c r="K576" s="10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5"/>
      <c r="F577" s="10"/>
      <c r="G577" s="10"/>
      <c r="H577" s="10"/>
      <c r="I577" s="10"/>
      <c r="J577" s="191"/>
      <c r="K577" s="10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5"/>
      <c r="F578" s="10"/>
      <c r="G578" s="10"/>
      <c r="H578" s="10"/>
      <c r="I578" s="10"/>
      <c r="J578" s="191"/>
      <c r="K578" s="10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5"/>
      <c r="F579" s="10"/>
      <c r="G579" s="10"/>
      <c r="H579" s="10"/>
      <c r="I579" s="10"/>
      <c r="J579" s="191"/>
      <c r="K579" s="10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5"/>
      <c r="F580" s="10"/>
      <c r="G580" s="10"/>
      <c r="H580" s="10"/>
      <c r="I580" s="10"/>
      <c r="J580" s="191"/>
      <c r="K580" s="10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5"/>
      <c r="F581" s="10"/>
      <c r="G581" s="10"/>
      <c r="H581" s="10"/>
      <c r="I581" s="10"/>
      <c r="J581" s="191"/>
      <c r="K581" s="10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5"/>
      <c r="F582" s="10"/>
      <c r="G582" s="10"/>
      <c r="H582" s="10"/>
      <c r="I582" s="10"/>
      <c r="J582" s="191"/>
      <c r="K582" s="10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5"/>
      <c r="F583" s="10"/>
      <c r="G583" s="10"/>
      <c r="H583" s="10"/>
      <c r="I583" s="10"/>
      <c r="J583" s="191"/>
      <c r="K583" s="10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5"/>
      <c r="F584" s="10"/>
      <c r="G584" s="10"/>
      <c r="H584" s="10"/>
      <c r="I584" s="10"/>
      <c r="J584" s="191"/>
      <c r="K584" s="10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5"/>
      <c r="F585" s="10"/>
      <c r="G585" s="10"/>
      <c r="H585" s="10"/>
      <c r="I585" s="10"/>
      <c r="J585" s="191"/>
      <c r="K585" s="10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5"/>
      <c r="F586" s="10"/>
      <c r="G586" s="10"/>
      <c r="H586" s="10"/>
      <c r="I586" s="10"/>
      <c r="J586" s="191"/>
      <c r="K586" s="10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5"/>
      <c r="F587" s="10"/>
      <c r="G587" s="10"/>
      <c r="H587" s="10"/>
      <c r="I587" s="10"/>
      <c r="J587" s="191"/>
      <c r="K587" s="10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5"/>
      <c r="F588" s="10"/>
      <c r="G588" s="10"/>
      <c r="H588" s="10"/>
      <c r="I588" s="10"/>
      <c r="J588" s="191"/>
      <c r="K588" s="10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5"/>
      <c r="F589" s="10"/>
      <c r="G589" s="10"/>
      <c r="H589" s="10"/>
      <c r="I589" s="10"/>
      <c r="J589" s="191"/>
      <c r="K589" s="10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5"/>
      <c r="F590" s="10"/>
      <c r="G590" s="10"/>
      <c r="H590" s="10"/>
      <c r="I590" s="10"/>
      <c r="J590" s="191"/>
      <c r="K590" s="10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5"/>
      <c r="F591" s="10"/>
      <c r="G591" s="10"/>
      <c r="H591" s="10"/>
      <c r="I591" s="10"/>
      <c r="J591" s="191"/>
      <c r="K591" s="10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5"/>
      <c r="F592" s="10"/>
      <c r="G592" s="10"/>
      <c r="H592" s="10"/>
      <c r="I592" s="10"/>
      <c r="J592" s="191"/>
      <c r="K592" s="10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5"/>
      <c r="F593" s="10"/>
      <c r="G593" s="10"/>
      <c r="H593" s="10"/>
      <c r="I593" s="10"/>
      <c r="J593" s="191"/>
      <c r="K593" s="10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5"/>
      <c r="F594" s="10"/>
      <c r="G594" s="10"/>
      <c r="H594" s="10"/>
      <c r="I594" s="10"/>
      <c r="J594" s="191"/>
      <c r="K594" s="10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5"/>
      <c r="F595" s="10"/>
      <c r="G595" s="10"/>
      <c r="H595" s="10"/>
      <c r="I595" s="10"/>
      <c r="J595" s="191"/>
      <c r="K595" s="10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5"/>
      <c r="F596" s="10"/>
      <c r="G596" s="10"/>
      <c r="H596" s="10"/>
      <c r="I596" s="10"/>
      <c r="J596" s="191"/>
      <c r="K596" s="10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5"/>
      <c r="F597" s="10"/>
      <c r="G597" s="10"/>
      <c r="H597" s="10"/>
      <c r="I597" s="10"/>
      <c r="J597" s="191"/>
      <c r="K597" s="10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5"/>
      <c r="F598" s="10"/>
      <c r="G598" s="10"/>
      <c r="H598" s="10"/>
      <c r="I598" s="10"/>
      <c r="J598" s="191"/>
      <c r="K598" s="10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5"/>
      <c r="F599" s="10"/>
      <c r="G599" s="10"/>
      <c r="H599" s="10"/>
      <c r="I599" s="10"/>
      <c r="J599" s="191"/>
      <c r="K599" s="10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5"/>
      <c r="F600" s="10"/>
      <c r="G600" s="10"/>
      <c r="H600" s="10"/>
      <c r="I600" s="10"/>
      <c r="J600" s="191"/>
      <c r="K600" s="10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5"/>
      <c r="F601" s="10"/>
      <c r="G601" s="10"/>
      <c r="H601" s="10"/>
      <c r="I601" s="10"/>
      <c r="J601" s="191"/>
      <c r="K601" s="10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5"/>
      <c r="F602" s="10"/>
      <c r="G602" s="10"/>
      <c r="H602" s="10"/>
      <c r="I602" s="10"/>
      <c r="J602" s="191"/>
      <c r="K602" s="10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5"/>
      <c r="F603" s="10"/>
      <c r="G603" s="10"/>
      <c r="H603" s="10"/>
      <c r="I603" s="10"/>
      <c r="J603" s="191"/>
      <c r="K603" s="10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5"/>
      <c r="F604" s="10"/>
      <c r="G604" s="10"/>
      <c r="H604" s="10"/>
      <c r="I604" s="10"/>
      <c r="J604" s="191"/>
      <c r="K604" s="10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5"/>
      <c r="F605" s="10"/>
      <c r="G605" s="10"/>
      <c r="H605" s="10"/>
      <c r="I605" s="10"/>
      <c r="J605" s="191"/>
      <c r="K605" s="10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5"/>
      <c r="F606" s="10"/>
      <c r="G606" s="10"/>
      <c r="H606" s="10"/>
      <c r="I606" s="10"/>
      <c r="J606" s="191"/>
      <c r="K606" s="10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5"/>
      <c r="F607" s="10"/>
      <c r="G607" s="10"/>
      <c r="H607" s="10"/>
      <c r="I607" s="10"/>
      <c r="J607" s="191"/>
      <c r="K607" s="10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5"/>
      <c r="F608" s="10"/>
      <c r="G608" s="10"/>
      <c r="H608" s="10"/>
      <c r="I608" s="10"/>
      <c r="J608" s="191"/>
      <c r="K608" s="10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5"/>
      <c r="F609" s="10"/>
      <c r="G609" s="10"/>
      <c r="H609" s="10"/>
      <c r="I609" s="10"/>
      <c r="J609" s="191"/>
      <c r="K609" s="10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5"/>
      <c r="F610" s="10"/>
      <c r="G610" s="10"/>
      <c r="H610" s="10"/>
      <c r="I610" s="10"/>
      <c r="J610" s="191"/>
      <c r="K610" s="10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5"/>
      <c r="F611" s="10"/>
      <c r="G611" s="10"/>
      <c r="H611" s="10"/>
      <c r="I611" s="10"/>
      <c r="J611" s="191"/>
      <c r="K611" s="10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5"/>
      <c r="F612" s="10"/>
      <c r="G612" s="10"/>
      <c r="H612" s="10"/>
      <c r="I612" s="10"/>
      <c r="J612" s="191"/>
      <c r="K612" s="10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5"/>
      <c r="F613" s="10"/>
      <c r="G613" s="10"/>
      <c r="H613" s="10"/>
      <c r="I613" s="10"/>
      <c r="J613" s="191"/>
      <c r="K613" s="10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5"/>
      <c r="F614" s="10"/>
      <c r="G614" s="10"/>
      <c r="H614" s="10"/>
      <c r="I614" s="10"/>
      <c r="J614" s="191"/>
      <c r="K614" s="10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5"/>
      <c r="F615" s="10"/>
      <c r="G615" s="10"/>
      <c r="H615" s="10"/>
      <c r="I615" s="10"/>
      <c r="J615" s="191"/>
      <c r="K615" s="10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5"/>
      <c r="F616" s="10"/>
      <c r="G616" s="10"/>
      <c r="H616" s="10"/>
      <c r="I616" s="10"/>
      <c r="J616" s="191"/>
      <c r="K616" s="10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5"/>
      <c r="F617" s="10"/>
      <c r="G617" s="10"/>
      <c r="H617" s="10"/>
      <c r="I617" s="10"/>
      <c r="J617" s="191"/>
      <c r="K617" s="10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5"/>
      <c r="F618" s="10"/>
      <c r="G618" s="10"/>
      <c r="H618" s="10"/>
      <c r="I618" s="10"/>
      <c r="J618" s="191"/>
      <c r="K618" s="10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5"/>
      <c r="F619" s="10"/>
      <c r="G619" s="10"/>
      <c r="H619" s="10"/>
      <c r="I619" s="10"/>
      <c r="J619" s="191"/>
      <c r="K619" s="10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5"/>
      <c r="F620" s="10"/>
      <c r="G620" s="10"/>
      <c r="H620" s="10"/>
      <c r="I620" s="10"/>
      <c r="J620" s="191"/>
      <c r="K620" s="10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5"/>
      <c r="F621" s="10"/>
      <c r="G621" s="10"/>
      <c r="H621" s="10"/>
      <c r="I621" s="10"/>
      <c r="J621" s="191"/>
      <c r="K621" s="10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5"/>
      <c r="F622" s="10"/>
      <c r="G622" s="10"/>
      <c r="H622" s="10"/>
      <c r="I622" s="10"/>
      <c r="J622" s="191"/>
      <c r="K622" s="10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5"/>
      <c r="F623" s="10"/>
      <c r="G623" s="10"/>
      <c r="H623" s="10"/>
      <c r="I623" s="10"/>
      <c r="J623" s="191"/>
      <c r="K623" s="10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5"/>
      <c r="F624" s="10"/>
      <c r="G624" s="10"/>
      <c r="H624" s="10"/>
      <c r="I624" s="10"/>
      <c r="J624" s="191"/>
      <c r="K624" s="10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5"/>
      <c r="F625" s="10"/>
      <c r="G625" s="10"/>
      <c r="H625" s="10"/>
      <c r="I625" s="10"/>
      <c r="J625" s="191"/>
      <c r="K625" s="10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5"/>
      <c r="F626" s="10"/>
      <c r="G626" s="10"/>
      <c r="H626" s="10"/>
      <c r="I626" s="10"/>
      <c r="J626" s="191"/>
      <c r="K626" s="10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5"/>
      <c r="F627" s="10"/>
      <c r="G627" s="10"/>
      <c r="H627" s="10"/>
      <c r="I627" s="10"/>
      <c r="J627" s="191"/>
      <c r="K627" s="10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5"/>
      <c r="F628" s="10"/>
      <c r="G628" s="10"/>
      <c r="H628" s="10"/>
      <c r="I628" s="10"/>
      <c r="J628" s="191"/>
      <c r="K628" s="10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5"/>
      <c r="F629" s="10"/>
      <c r="G629" s="10"/>
      <c r="H629" s="10"/>
      <c r="I629" s="10"/>
      <c r="J629" s="191"/>
      <c r="K629" s="10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5"/>
      <c r="F630" s="10"/>
      <c r="G630" s="10"/>
      <c r="H630" s="10"/>
      <c r="I630" s="10"/>
      <c r="J630" s="191"/>
      <c r="K630" s="10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5"/>
      <c r="F631" s="10"/>
      <c r="G631" s="10"/>
      <c r="H631" s="10"/>
      <c r="I631" s="10"/>
      <c r="J631" s="191"/>
      <c r="K631" s="10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5"/>
      <c r="F632" s="10"/>
      <c r="G632" s="10"/>
      <c r="H632" s="10"/>
      <c r="I632" s="10"/>
      <c r="J632" s="191"/>
      <c r="K632" s="10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5"/>
      <c r="F633" s="10"/>
      <c r="G633" s="10"/>
      <c r="H633" s="10"/>
      <c r="I633" s="10"/>
      <c r="J633" s="191"/>
      <c r="K633" s="10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5"/>
      <c r="F634" s="10"/>
      <c r="G634" s="10"/>
      <c r="H634" s="10"/>
      <c r="I634" s="10"/>
      <c r="J634" s="191"/>
      <c r="K634" s="10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5"/>
      <c r="F635" s="10"/>
      <c r="G635" s="10"/>
      <c r="H635" s="10"/>
      <c r="I635" s="10"/>
      <c r="J635" s="191"/>
      <c r="K635" s="10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5"/>
      <c r="F636" s="10"/>
      <c r="G636" s="10"/>
      <c r="H636" s="10"/>
      <c r="I636" s="10"/>
      <c r="J636" s="191"/>
      <c r="K636" s="10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5"/>
      <c r="F637" s="10"/>
      <c r="G637" s="10"/>
      <c r="H637" s="10"/>
      <c r="I637" s="10"/>
      <c r="J637" s="191"/>
      <c r="K637" s="10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5"/>
      <c r="F638" s="10"/>
      <c r="G638" s="10"/>
      <c r="H638" s="10"/>
      <c r="I638" s="10"/>
      <c r="J638" s="191"/>
      <c r="K638" s="10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5"/>
      <c r="F639" s="10"/>
      <c r="G639" s="10"/>
      <c r="H639" s="10"/>
      <c r="I639" s="10"/>
      <c r="J639" s="191"/>
      <c r="K639" s="10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5"/>
      <c r="F640" s="10"/>
      <c r="G640" s="10"/>
      <c r="H640" s="10"/>
      <c r="I640" s="10"/>
      <c r="J640" s="191"/>
      <c r="K640" s="10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5"/>
      <c r="F641" s="10"/>
      <c r="G641" s="10"/>
      <c r="H641" s="10"/>
      <c r="I641" s="10"/>
      <c r="J641" s="191"/>
      <c r="K641" s="10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5"/>
      <c r="F642" s="10"/>
      <c r="G642" s="10"/>
      <c r="H642" s="10"/>
      <c r="I642" s="10"/>
      <c r="J642" s="191"/>
      <c r="K642" s="10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5"/>
      <c r="F643" s="10"/>
      <c r="G643" s="10"/>
      <c r="H643" s="10"/>
      <c r="I643" s="10"/>
      <c r="J643" s="191"/>
      <c r="K643" s="10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5"/>
      <c r="F644" s="10"/>
      <c r="G644" s="10"/>
      <c r="H644" s="10"/>
      <c r="I644" s="10"/>
      <c r="J644" s="191"/>
      <c r="K644" s="10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5"/>
      <c r="F645" s="10"/>
      <c r="G645" s="10"/>
      <c r="H645" s="10"/>
      <c r="I645" s="10"/>
      <c r="J645" s="191"/>
      <c r="K645" s="10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5"/>
      <c r="F646" s="10"/>
      <c r="G646" s="10"/>
      <c r="H646" s="10"/>
      <c r="I646" s="10"/>
      <c r="J646" s="191"/>
      <c r="K646" s="10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5"/>
      <c r="F647" s="10"/>
      <c r="G647" s="10"/>
      <c r="H647" s="10"/>
      <c r="I647" s="10"/>
      <c r="J647" s="191"/>
      <c r="K647" s="10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5"/>
      <c r="F648" s="10"/>
      <c r="G648" s="10"/>
      <c r="H648" s="10"/>
      <c r="I648" s="10"/>
      <c r="J648" s="191"/>
      <c r="K648" s="10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5"/>
      <c r="F649" s="10"/>
      <c r="G649" s="10"/>
      <c r="H649" s="10"/>
      <c r="I649" s="10"/>
      <c r="J649" s="191"/>
      <c r="K649" s="10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5"/>
      <c r="F650" s="10"/>
      <c r="G650" s="10"/>
      <c r="H650" s="10"/>
      <c r="I650" s="10"/>
      <c r="J650" s="191"/>
      <c r="K650" s="10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5"/>
      <c r="F651" s="10"/>
      <c r="G651" s="10"/>
      <c r="H651" s="10"/>
      <c r="I651" s="10"/>
      <c r="J651" s="191"/>
      <c r="K651" s="10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5"/>
      <c r="F652" s="10"/>
      <c r="G652" s="10"/>
      <c r="H652" s="10"/>
      <c r="I652" s="10"/>
      <c r="J652" s="191"/>
      <c r="K652" s="10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5"/>
      <c r="F653" s="10"/>
      <c r="G653" s="10"/>
      <c r="H653" s="10"/>
      <c r="I653" s="10"/>
      <c r="J653" s="191"/>
      <c r="K653" s="10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5"/>
      <c r="F654" s="10"/>
      <c r="G654" s="10"/>
      <c r="H654" s="10"/>
      <c r="I654" s="10"/>
      <c r="J654" s="191"/>
      <c r="K654" s="10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5"/>
      <c r="F655" s="10"/>
      <c r="G655" s="10"/>
      <c r="H655" s="10"/>
      <c r="I655" s="10"/>
      <c r="J655" s="191"/>
      <c r="K655" s="10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5"/>
      <c r="F656" s="10"/>
      <c r="G656" s="10"/>
      <c r="H656" s="10"/>
      <c r="I656" s="10"/>
      <c r="J656" s="191"/>
      <c r="K656" s="10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5"/>
      <c r="F657" s="10"/>
      <c r="G657" s="10"/>
      <c r="H657" s="10"/>
      <c r="I657" s="10"/>
      <c r="J657" s="191"/>
      <c r="K657" s="10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5"/>
      <c r="F658" s="10"/>
      <c r="G658" s="10"/>
      <c r="H658" s="10"/>
      <c r="I658" s="10"/>
      <c r="J658" s="191"/>
      <c r="K658" s="10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5"/>
      <c r="F659" s="10"/>
      <c r="G659" s="10"/>
      <c r="H659" s="10"/>
      <c r="I659" s="10"/>
      <c r="J659" s="191"/>
      <c r="K659" s="10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5"/>
      <c r="F660" s="10"/>
      <c r="G660" s="10"/>
      <c r="H660" s="10"/>
      <c r="I660" s="10"/>
      <c r="J660" s="191"/>
      <c r="K660" s="10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5"/>
      <c r="F661" s="10"/>
      <c r="G661" s="10"/>
      <c r="H661" s="10"/>
      <c r="I661" s="10"/>
      <c r="J661" s="191"/>
      <c r="K661" s="10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5"/>
      <c r="F662" s="10"/>
      <c r="G662" s="10"/>
      <c r="H662" s="10"/>
      <c r="I662" s="10"/>
      <c r="J662" s="191"/>
      <c r="K662" s="10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5"/>
      <c r="F663" s="10"/>
      <c r="G663" s="10"/>
      <c r="H663" s="10"/>
      <c r="I663" s="10"/>
      <c r="J663" s="191"/>
      <c r="K663" s="10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5"/>
      <c r="F664" s="10"/>
      <c r="G664" s="10"/>
      <c r="H664" s="10"/>
      <c r="I664" s="10"/>
      <c r="J664" s="191"/>
      <c r="K664" s="10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5"/>
      <c r="F665" s="10"/>
      <c r="G665" s="10"/>
      <c r="H665" s="10"/>
      <c r="I665" s="10"/>
      <c r="J665" s="191"/>
      <c r="K665" s="10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5"/>
      <c r="F666" s="10"/>
      <c r="G666" s="10"/>
      <c r="H666" s="10"/>
      <c r="I666" s="10"/>
      <c r="J666" s="191"/>
      <c r="K666" s="10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5"/>
      <c r="F667" s="10"/>
      <c r="G667" s="10"/>
      <c r="H667" s="10"/>
      <c r="I667" s="10"/>
      <c r="J667" s="191"/>
      <c r="K667" s="10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5"/>
      <c r="F668" s="10"/>
      <c r="G668" s="10"/>
      <c r="H668" s="10"/>
      <c r="I668" s="10"/>
      <c r="J668" s="191"/>
      <c r="K668" s="10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5"/>
      <c r="F669" s="10"/>
      <c r="G669" s="10"/>
      <c r="H669" s="10"/>
      <c r="I669" s="10"/>
      <c r="J669" s="191"/>
      <c r="K669" s="10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5"/>
      <c r="F670" s="10"/>
      <c r="G670" s="10"/>
      <c r="H670" s="10"/>
      <c r="I670" s="10"/>
      <c r="J670" s="191"/>
      <c r="K670" s="10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5"/>
      <c r="F671" s="10"/>
      <c r="G671" s="10"/>
      <c r="H671" s="10"/>
      <c r="I671" s="10"/>
      <c r="J671" s="191"/>
      <c r="K671" s="10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5"/>
      <c r="F672" s="10"/>
      <c r="G672" s="10"/>
      <c r="H672" s="10"/>
      <c r="I672" s="10"/>
      <c r="J672" s="191"/>
      <c r="K672" s="10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5"/>
      <c r="F673" s="10"/>
      <c r="G673" s="10"/>
      <c r="H673" s="10"/>
      <c r="I673" s="10"/>
      <c r="J673" s="191"/>
      <c r="K673" s="10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5"/>
      <c r="F674" s="10"/>
      <c r="G674" s="10"/>
      <c r="H674" s="10"/>
      <c r="I674" s="10"/>
      <c r="J674" s="191"/>
      <c r="K674" s="10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5"/>
      <c r="F675" s="10"/>
      <c r="G675" s="10"/>
      <c r="H675" s="10"/>
      <c r="I675" s="10"/>
      <c r="J675" s="191"/>
      <c r="K675" s="10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5"/>
      <c r="F676" s="10"/>
      <c r="G676" s="10"/>
      <c r="H676" s="10"/>
      <c r="I676" s="10"/>
      <c r="J676" s="191"/>
      <c r="K676" s="10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5"/>
      <c r="F677" s="10"/>
      <c r="G677" s="10"/>
      <c r="H677" s="10"/>
      <c r="I677" s="10"/>
      <c r="J677" s="191"/>
      <c r="K677" s="10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5"/>
      <c r="F678" s="10"/>
      <c r="G678" s="10"/>
      <c r="H678" s="10"/>
      <c r="I678" s="10"/>
      <c r="J678" s="191"/>
      <c r="K678" s="10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5"/>
      <c r="F679" s="10"/>
      <c r="G679" s="10"/>
      <c r="H679" s="10"/>
      <c r="I679" s="10"/>
      <c r="J679" s="191"/>
      <c r="K679" s="10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5"/>
      <c r="F680" s="10"/>
      <c r="G680" s="10"/>
      <c r="H680" s="10"/>
      <c r="I680" s="10"/>
      <c r="J680" s="191"/>
      <c r="K680" s="10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5"/>
      <c r="F681" s="10"/>
      <c r="G681" s="10"/>
      <c r="H681" s="10"/>
      <c r="I681" s="10"/>
      <c r="J681" s="191"/>
      <c r="K681" s="10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5"/>
      <c r="F682" s="10"/>
      <c r="G682" s="10"/>
      <c r="H682" s="10"/>
      <c r="I682" s="10"/>
      <c r="J682" s="191"/>
      <c r="K682" s="10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5"/>
      <c r="F683" s="10"/>
      <c r="G683" s="10"/>
      <c r="H683" s="10"/>
      <c r="I683" s="10"/>
      <c r="J683" s="191"/>
      <c r="K683" s="10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5"/>
      <c r="F684" s="10"/>
      <c r="G684" s="10"/>
      <c r="H684" s="10"/>
      <c r="I684" s="10"/>
      <c r="J684" s="191"/>
      <c r="K684" s="10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5"/>
      <c r="F685" s="10"/>
      <c r="G685" s="10"/>
      <c r="H685" s="10"/>
      <c r="I685" s="10"/>
      <c r="J685" s="191"/>
      <c r="K685" s="10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5"/>
      <c r="F686" s="10"/>
      <c r="G686" s="10"/>
      <c r="H686" s="10"/>
      <c r="I686" s="10"/>
      <c r="J686" s="191"/>
      <c r="K686" s="10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5"/>
      <c r="F687" s="10"/>
      <c r="G687" s="10"/>
      <c r="H687" s="10"/>
      <c r="I687" s="10"/>
      <c r="J687" s="191"/>
      <c r="K687" s="10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5"/>
      <c r="F688" s="10"/>
      <c r="G688" s="10"/>
      <c r="H688" s="10"/>
      <c r="I688" s="10"/>
      <c r="J688" s="191"/>
      <c r="K688" s="10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5"/>
      <c r="F689" s="10"/>
      <c r="G689" s="10"/>
      <c r="H689" s="10"/>
      <c r="I689" s="10"/>
      <c r="J689" s="191"/>
      <c r="K689" s="10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5"/>
      <c r="F690" s="10"/>
      <c r="G690" s="10"/>
      <c r="H690" s="10"/>
      <c r="I690" s="10"/>
      <c r="J690" s="191"/>
      <c r="K690" s="10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5"/>
      <c r="F691" s="10"/>
      <c r="G691" s="10"/>
      <c r="H691" s="10"/>
      <c r="I691" s="10"/>
      <c r="J691" s="191"/>
      <c r="K691" s="10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5"/>
      <c r="F692" s="10"/>
      <c r="G692" s="10"/>
      <c r="H692" s="10"/>
      <c r="I692" s="10"/>
      <c r="J692" s="191"/>
      <c r="K692" s="10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5"/>
      <c r="F693" s="10"/>
      <c r="G693" s="10"/>
      <c r="H693" s="10"/>
      <c r="I693" s="10"/>
      <c r="J693" s="191"/>
      <c r="K693" s="10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5"/>
      <c r="F694" s="10"/>
      <c r="G694" s="10"/>
      <c r="H694" s="10"/>
      <c r="I694" s="10"/>
      <c r="J694" s="191"/>
      <c r="K694" s="10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5"/>
      <c r="F695" s="10"/>
      <c r="G695" s="10"/>
      <c r="H695" s="10"/>
      <c r="I695" s="10"/>
      <c r="J695" s="191"/>
      <c r="K695" s="10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5"/>
      <c r="F696" s="10"/>
      <c r="G696" s="10"/>
      <c r="H696" s="10"/>
      <c r="I696" s="10"/>
      <c r="J696" s="191"/>
      <c r="K696" s="10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5"/>
      <c r="F697" s="10"/>
      <c r="G697" s="10"/>
      <c r="H697" s="10"/>
      <c r="I697" s="10"/>
      <c r="J697" s="191"/>
      <c r="K697" s="10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5"/>
      <c r="F698" s="10"/>
      <c r="G698" s="10"/>
      <c r="H698" s="10"/>
      <c r="I698" s="10"/>
      <c r="J698" s="191"/>
      <c r="K698" s="10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5"/>
      <c r="F699" s="10"/>
      <c r="G699" s="10"/>
      <c r="H699" s="10"/>
      <c r="I699" s="10"/>
      <c r="J699" s="191"/>
      <c r="K699" s="10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5"/>
      <c r="F700" s="10"/>
      <c r="G700" s="10"/>
      <c r="H700" s="10"/>
      <c r="I700" s="10"/>
      <c r="J700" s="191"/>
      <c r="K700" s="10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5"/>
      <c r="F701" s="10"/>
      <c r="G701" s="10"/>
      <c r="H701" s="10"/>
      <c r="I701" s="10"/>
      <c r="J701" s="191"/>
      <c r="K701" s="10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5"/>
      <c r="F702" s="10"/>
      <c r="G702" s="10"/>
      <c r="H702" s="10"/>
      <c r="I702" s="10"/>
      <c r="J702" s="191"/>
      <c r="K702" s="10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5"/>
      <c r="F703" s="10"/>
      <c r="G703" s="10"/>
      <c r="H703" s="10"/>
      <c r="I703" s="10"/>
      <c r="J703" s="191"/>
      <c r="K703" s="10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5"/>
      <c r="F704" s="10"/>
      <c r="G704" s="10"/>
      <c r="H704" s="10"/>
      <c r="I704" s="10"/>
      <c r="J704" s="191"/>
      <c r="K704" s="10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5"/>
      <c r="F705" s="10"/>
      <c r="G705" s="10"/>
      <c r="H705" s="10"/>
      <c r="I705" s="10"/>
      <c r="J705" s="191"/>
      <c r="K705" s="10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5"/>
      <c r="F706" s="10"/>
      <c r="G706" s="10"/>
      <c r="H706" s="10"/>
      <c r="I706" s="10"/>
      <c r="J706" s="191"/>
      <c r="K706" s="10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5"/>
      <c r="F707" s="10"/>
      <c r="G707" s="10"/>
      <c r="H707" s="10"/>
      <c r="I707" s="10"/>
      <c r="J707" s="191"/>
      <c r="K707" s="10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5"/>
      <c r="F708" s="10"/>
      <c r="G708" s="10"/>
      <c r="H708" s="10"/>
      <c r="I708" s="10"/>
      <c r="J708" s="191"/>
      <c r="K708" s="10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5"/>
      <c r="F709" s="10"/>
      <c r="G709" s="10"/>
      <c r="H709" s="10"/>
      <c r="I709" s="10"/>
      <c r="J709" s="191"/>
      <c r="K709" s="10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5"/>
      <c r="F710" s="10"/>
      <c r="G710" s="10"/>
      <c r="H710" s="10"/>
      <c r="I710" s="10"/>
      <c r="J710" s="191"/>
      <c r="K710" s="10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5"/>
      <c r="F711" s="10"/>
      <c r="G711" s="10"/>
      <c r="H711" s="10"/>
      <c r="I711" s="10"/>
      <c r="J711" s="191"/>
      <c r="K711" s="10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5"/>
      <c r="F712" s="10"/>
      <c r="G712" s="10"/>
      <c r="H712" s="10"/>
      <c r="I712" s="10"/>
      <c r="J712" s="191"/>
      <c r="K712" s="10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5"/>
      <c r="F713" s="10"/>
      <c r="G713" s="10"/>
      <c r="H713" s="10"/>
      <c r="I713" s="10"/>
      <c r="J713" s="191"/>
      <c r="K713" s="10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5"/>
      <c r="F714" s="10"/>
      <c r="G714" s="10"/>
      <c r="H714" s="10"/>
      <c r="I714" s="10"/>
      <c r="J714" s="191"/>
      <c r="K714" s="10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5"/>
      <c r="F715" s="10"/>
      <c r="G715" s="10"/>
      <c r="H715" s="10"/>
      <c r="I715" s="10"/>
      <c r="J715" s="191"/>
      <c r="K715" s="10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5"/>
      <c r="F716" s="10"/>
      <c r="G716" s="10"/>
      <c r="H716" s="10"/>
      <c r="I716" s="10"/>
      <c r="J716" s="191"/>
      <c r="K716" s="10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5"/>
      <c r="F717" s="10"/>
      <c r="G717" s="10"/>
      <c r="H717" s="10"/>
      <c r="I717" s="10"/>
      <c r="J717" s="191"/>
      <c r="K717" s="10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5"/>
      <c r="F718" s="10"/>
      <c r="G718" s="10"/>
      <c r="H718" s="10"/>
      <c r="I718" s="10"/>
      <c r="J718" s="191"/>
      <c r="K718" s="10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5"/>
      <c r="F719" s="10"/>
      <c r="G719" s="10"/>
      <c r="H719" s="10"/>
      <c r="I719" s="10"/>
      <c r="J719" s="191"/>
      <c r="K719" s="10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5"/>
      <c r="F720" s="10"/>
      <c r="G720" s="10"/>
      <c r="H720" s="10"/>
      <c r="I720" s="10"/>
      <c r="J720" s="191"/>
      <c r="K720" s="10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5"/>
      <c r="F721" s="10"/>
      <c r="G721" s="10"/>
      <c r="H721" s="10"/>
      <c r="I721" s="10"/>
      <c r="J721" s="191"/>
      <c r="K721" s="10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5"/>
      <c r="F722" s="10"/>
      <c r="G722" s="10"/>
      <c r="H722" s="10"/>
      <c r="I722" s="10"/>
      <c r="J722" s="191"/>
      <c r="K722" s="10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5"/>
      <c r="F723" s="10"/>
      <c r="G723" s="10"/>
      <c r="H723" s="10"/>
      <c r="I723" s="10"/>
      <c r="J723" s="191"/>
      <c r="K723" s="10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5"/>
      <c r="F724" s="10"/>
      <c r="G724" s="10"/>
      <c r="H724" s="10"/>
      <c r="I724" s="10"/>
      <c r="J724" s="191"/>
      <c r="K724" s="10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5"/>
      <c r="F725" s="10"/>
      <c r="G725" s="10"/>
      <c r="H725" s="10"/>
      <c r="I725" s="10"/>
      <c r="J725" s="191"/>
      <c r="K725" s="10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5"/>
      <c r="F726" s="10"/>
      <c r="G726" s="10"/>
      <c r="H726" s="10"/>
      <c r="I726" s="10"/>
      <c r="J726" s="191"/>
      <c r="K726" s="10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5"/>
      <c r="F727" s="10"/>
      <c r="G727" s="10"/>
      <c r="H727" s="10"/>
      <c r="I727" s="10"/>
      <c r="J727" s="191"/>
      <c r="K727" s="10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5"/>
      <c r="F728" s="10"/>
      <c r="G728" s="10"/>
      <c r="H728" s="10"/>
      <c r="I728" s="10"/>
      <c r="J728" s="191"/>
      <c r="K728" s="10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5"/>
      <c r="F729" s="10"/>
      <c r="G729" s="10"/>
      <c r="H729" s="10"/>
      <c r="I729" s="10"/>
      <c r="J729" s="191"/>
      <c r="K729" s="10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5"/>
      <c r="F730" s="10"/>
      <c r="G730" s="10"/>
      <c r="H730" s="10"/>
      <c r="I730" s="10"/>
      <c r="J730" s="191"/>
      <c r="K730" s="10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5"/>
      <c r="F731" s="10"/>
      <c r="G731" s="10"/>
      <c r="H731" s="10"/>
      <c r="I731" s="10"/>
      <c r="J731" s="191"/>
      <c r="K731" s="10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5"/>
      <c r="F732" s="10"/>
      <c r="G732" s="10"/>
      <c r="H732" s="10"/>
      <c r="I732" s="10"/>
      <c r="J732" s="191"/>
      <c r="K732" s="10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5"/>
      <c r="F733" s="10"/>
      <c r="G733" s="10"/>
      <c r="H733" s="10"/>
      <c r="I733" s="10"/>
      <c r="J733" s="191"/>
      <c r="K733" s="10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5"/>
      <c r="F734" s="10"/>
      <c r="G734" s="10"/>
      <c r="H734" s="10"/>
      <c r="I734" s="10"/>
      <c r="J734" s="191"/>
      <c r="K734" s="10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5"/>
      <c r="F735" s="10"/>
      <c r="G735" s="10"/>
      <c r="H735" s="10"/>
      <c r="I735" s="10"/>
      <c r="J735" s="191"/>
      <c r="K735" s="10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5"/>
      <c r="F736" s="10"/>
      <c r="G736" s="10"/>
      <c r="H736" s="10"/>
      <c r="I736" s="10"/>
      <c r="J736" s="191"/>
      <c r="K736" s="10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5"/>
      <c r="F737" s="10"/>
      <c r="G737" s="10"/>
      <c r="H737" s="10"/>
      <c r="I737" s="10"/>
      <c r="J737" s="191"/>
      <c r="K737" s="10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5"/>
      <c r="F738" s="10"/>
      <c r="G738" s="10"/>
      <c r="H738" s="10"/>
      <c r="I738" s="10"/>
      <c r="J738" s="191"/>
      <c r="K738" s="10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5"/>
      <c r="F739" s="10"/>
      <c r="G739" s="10"/>
      <c r="H739" s="10"/>
      <c r="I739" s="10"/>
      <c r="J739" s="191"/>
      <c r="K739" s="10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5"/>
      <c r="F740" s="10"/>
      <c r="G740" s="10"/>
      <c r="H740" s="10"/>
      <c r="I740" s="10"/>
      <c r="J740" s="191"/>
      <c r="K740" s="10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5"/>
      <c r="F741" s="10"/>
      <c r="G741" s="10"/>
      <c r="H741" s="10"/>
      <c r="I741" s="10"/>
      <c r="J741" s="191"/>
      <c r="K741" s="10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5"/>
      <c r="F742" s="10"/>
      <c r="G742" s="10"/>
      <c r="H742" s="10"/>
      <c r="I742" s="10"/>
      <c r="J742" s="191"/>
      <c r="K742" s="10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5"/>
      <c r="F743" s="10"/>
      <c r="G743" s="10"/>
      <c r="H743" s="10"/>
      <c r="I743" s="10"/>
      <c r="J743" s="191"/>
      <c r="K743" s="10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5"/>
      <c r="F744" s="10"/>
      <c r="G744" s="10"/>
      <c r="H744" s="10"/>
      <c r="I744" s="10"/>
      <c r="J744" s="191"/>
      <c r="K744" s="10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5"/>
      <c r="F745" s="10"/>
      <c r="G745" s="10"/>
      <c r="H745" s="10"/>
      <c r="I745" s="10"/>
      <c r="J745" s="191"/>
      <c r="K745" s="10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5"/>
      <c r="F746" s="10"/>
      <c r="G746" s="10"/>
      <c r="H746" s="10"/>
      <c r="I746" s="10"/>
      <c r="J746" s="191"/>
      <c r="K746" s="10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5"/>
      <c r="F747" s="10"/>
      <c r="G747" s="10"/>
      <c r="H747" s="10"/>
      <c r="I747" s="10"/>
      <c r="J747" s="191"/>
      <c r="K747" s="10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5"/>
      <c r="F748" s="10"/>
      <c r="G748" s="10"/>
      <c r="H748" s="10"/>
      <c r="I748" s="10"/>
      <c r="J748" s="191"/>
      <c r="K748" s="10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5"/>
      <c r="F749" s="10"/>
      <c r="G749" s="10"/>
      <c r="H749" s="10"/>
      <c r="I749" s="10"/>
      <c r="J749" s="191"/>
      <c r="K749" s="10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5"/>
      <c r="F750" s="10"/>
      <c r="G750" s="10"/>
      <c r="H750" s="10"/>
      <c r="I750" s="10"/>
      <c r="J750" s="191"/>
      <c r="K750" s="10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5"/>
      <c r="F751" s="10"/>
      <c r="G751" s="10"/>
      <c r="H751" s="10"/>
      <c r="I751" s="10"/>
      <c r="J751" s="191"/>
      <c r="K751" s="10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5"/>
      <c r="F752" s="10"/>
      <c r="G752" s="10"/>
      <c r="H752" s="10"/>
      <c r="I752" s="10"/>
      <c r="J752" s="191"/>
      <c r="K752" s="10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5"/>
      <c r="F753" s="10"/>
      <c r="G753" s="10"/>
      <c r="H753" s="10"/>
      <c r="I753" s="10"/>
      <c r="J753" s="191"/>
      <c r="K753" s="10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5"/>
      <c r="F754" s="10"/>
      <c r="G754" s="10"/>
      <c r="H754" s="10"/>
      <c r="I754" s="10"/>
      <c r="J754" s="191"/>
      <c r="K754" s="10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5"/>
      <c r="F755" s="10"/>
      <c r="G755" s="10"/>
      <c r="H755" s="10"/>
      <c r="I755" s="10"/>
      <c r="J755" s="191"/>
      <c r="K755" s="10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5"/>
      <c r="F756" s="10"/>
      <c r="G756" s="10"/>
      <c r="H756" s="10"/>
      <c r="I756" s="10"/>
      <c r="J756" s="191"/>
      <c r="K756" s="10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5"/>
      <c r="F757" s="10"/>
      <c r="G757" s="10"/>
      <c r="H757" s="10"/>
      <c r="I757" s="10"/>
      <c r="J757" s="191"/>
      <c r="K757" s="10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5"/>
      <c r="F758" s="10"/>
      <c r="G758" s="10"/>
      <c r="H758" s="10"/>
      <c r="I758" s="10"/>
      <c r="J758" s="191"/>
      <c r="K758" s="10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5"/>
      <c r="F759" s="10"/>
      <c r="G759" s="10"/>
      <c r="H759" s="10"/>
      <c r="I759" s="10"/>
      <c r="J759" s="191"/>
      <c r="K759" s="10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5"/>
      <c r="F760" s="10"/>
      <c r="G760" s="10"/>
      <c r="H760" s="10"/>
      <c r="I760" s="10"/>
      <c r="J760" s="191"/>
      <c r="K760" s="10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5"/>
      <c r="F761" s="10"/>
      <c r="G761" s="10"/>
      <c r="H761" s="10"/>
      <c r="I761" s="10"/>
      <c r="J761" s="191"/>
      <c r="K761" s="10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5"/>
      <c r="F762" s="10"/>
      <c r="G762" s="10"/>
      <c r="H762" s="10"/>
      <c r="I762" s="10"/>
      <c r="J762" s="191"/>
      <c r="K762" s="10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5"/>
      <c r="F763" s="10"/>
      <c r="G763" s="10"/>
      <c r="H763" s="10"/>
      <c r="I763" s="10"/>
      <c r="J763" s="191"/>
      <c r="K763" s="10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5"/>
      <c r="F764" s="10"/>
      <c r="G764" s="10"/>
      <c r="H764" s="10"/>
      <c r="I764" s="10"/>
      <c r="J764" s="191"/>
      <c r="K764" s="10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5"/>
      <c r="F765" s="10"/>
      <c r="G765" s="10"/>
      <c r="H765" s="10"/>
      <c r="I765" s="10"/>
      <c r="J765" s="191"/>
      <c r="K765" s="10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5"/>
      <c r="F766" s="10"/>
      <c r="G766" s="10"/>
      <c r="H766" s="10"/>
      <c r="I766" s="10"/>
      <c r="J766" s="191"/>
      <c r="K766" s="10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5"/>
      <c r="F767" s="10"/>
      <c r="G767" s="10"/>
      <c r="H767" s="10"/>
      <c r="I767" s="10"/>
      <c r="J767" s="191"/>
      <c r="K767" s="10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5"/>
      <c r="F768" s="10"/>
      <c r="G768" s="10"/>
      <c r="H768" s="10"/>
      <c r="I768" s="10"/>
      <c r="J768" s="191"/>
      <c r="K768" s="10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5"/>
      <c r="F769" s="10"/>
      <c r="G769" s="10"/>
      <c r="H769" s="10"/>
      <c r="I769" s="10"/>
      <c r="J769" s="191"/>
      <c r="K769" s="10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5"/>
      <c r="F770" s="10"/>
      <c r="G770" s="10"/>
      <c r="H770" s="10"/>
      <c r="I770" s="10"/>
      <c r="J770" s="191"/>
      <c r="K770" s="10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5"/>
      <c r="F771" s="10"/>
      <c r="G771" s="10"/>
      <c r="H771" s="10"/>
      <c r="I771" s="10"/>
      <c r="J771" s="191"/>
      <c r="K771" s="10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5"/>
      <c r="F772" s="10"/>
      <c r="G772" s="10"/>
      <c r="H772" s="10"/>
      <c r="I772" s="10"/>
      <c r="J772" s="191"/>
      <c r="K772" s="10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5"/>
      <c r="F773" s="10"/>
      <c r="G773" s="10"/>
      <c r="H773" s="10"/>
      <c r="I773" s="10"/>
      <c r="J773" s="191"/>
      <c r="K773" s="10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5"/>
      <c r="F774" s="10"/>
      <c r="G774" s="10"/>
      <c r="H774" s="10"/>
      <c r="I774" s="10"/>
      <c r="J774" s="191"/>
      <c r="K774" s="10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5"/>
      <c r="F775" s="10"/>
      <c r="G775" s="10"/>
      <c r="H775" s="10"/>
      <c r="I775" s="10"/>
      <c r="J775" s="191"/>
      <c r="K775" s="10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5"/>
      <c r="F776" s="10"/>
      <c r="G776" s="10"/>
      <c r="H776" s="10"/>
      <c r="I776" s="10"/>
      <c r="J776" s="191"/>
      <c r="K776" s="10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5"/>
      <c r="F777" s="10"/>
      <c r="G777" s="10"/>
      <c r="H777" s="10"/>
      <c r="I777" s="10"/>
      <c r="J777" s="191"/>
      <c r="K777" s="10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5"/>
      <c r="F778" s="10"/>
      <c r="G778" s="10"/>
      <c r="H778" s="10"/>
      <c r="I778" s="10"/>
      <c r="J778" s="191"/>
      <c r="K778" s="10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5"/>
      <c r="F779" s="10"/>
      <c r="G779" s="10"/>
      <c r="H779" s="10"/>
      <c r="I779" s="10"/>
      <c r="J779" s="191"/>
      <c r="K779" s="10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5"/>
      <c r="F780" s="10"/>
      <c r="G780" s="10"/>
      <c r="H780" s="10"/>
      <c r="I780" s="10"/>
      <c r="J780" s="191"/>
      <c r="K780" s="10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5"/>
      <c r="F781" s="10"/>
      <c r="G781" s="10"/>
      <c r="H781" s="10"/>
      <c r="I781" s="10"/>
      <c r="J781" s="191"/>
      <c r="K781" s="10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5"/>
      <c r="F782" s="10"/>
      <c r="G782" s="10"/>
      <c r="H782" s="10"/>
      <c r="I782" s="10"/>
      <c r="J782" s="191"/>
      <c r="K782" s="10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5"/>
      <c r="F783" s="10"/>
      <c r="G783" s="10"/>
      <c r="H783" s="10"/>
      <c r="I783" s="10"/>
      <c r="J783" s="191"/>
      <c r="K783" s="10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5"/>
      <c r="F784" s="10"/>
      <c r="G784" s="10"/>
      <c r="H784" s="10"/>
      <c r="I784" s="10"/>
      <c r="J784" s="191"/>
      <c r="K784" s="10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5"/>
      <c r="F785" s="10"/>
      <c r="G785" s="10"/>
      <c r="H785" s="10"/>
      <c r="I785" s="10"/>
      <c r="J785" s="191"/>
      <c r="K785" s="10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5"/>
      <c r="F786" s="10"/>
      <c r="G786" s="10"/>
      <c r="H786" s="10"/>
      <c r="I786" s="10"/>
      <c r="J786" s="191"/>
      <c r="K786" s="10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5"/>
      <c r="F787" s="10"/>
      <c r="G787" s="10"/>
      <c r="H787" s="10"/>
      <c r="I787" s="10"/>
      <c r="J787" s="191"/>
      <c r="K787" s="10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5"/>
      <c r="F788" s="10"/>
      <c r="G788" s="10"/>
      <c r="H788" s="10"/>
      <c r="I788" s="10"/>
      <c r="J788" s="191"/>
      <c r="K788" s="10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5"/>
      <c r="F789" s="10"/>
      <c r="G789" s="10"/>
      <c r="H789" s="10"/>
      <c r="I789" s="10"/>
      <c r="J789" s="191"/>
      <c r="K789" s="10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5"/>
      <c r="F790" s="10"/>
      <c r="G790" s="10"/>
      <c r="H790" s="10"/>
      <c r="I790" s="10"/>
      <c r="J790" s="191"/>
      <c r="K790" s="10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5"/>
      <c r="F791" s="10"/>
      <c r="G791" s="10"/>
      <c r="H791" s="10"/>
      <c r="I791" s="10"/>
      <c r="J791" s="191"/>
      <c r="K791" s="10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5"/>
      <c r="F792" s="10"/>
      <c r="G792" s="10"/>
      <c r="H792" s="10"/>
      <c r="I792" s="10"/>
      <c r="J792" s="191"/>
      <c r="K792" s="10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5"/>
      <c r="F793" s="10"/>
      <c r="G793" s="10"/>
      <c r="H793" s="10"/>
      <c r="I793" s="10"/>
      <c r="J793" s="191"/>
      <c r="K793" s="10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5"/>
      <c r="F794" s="10"/>
      <c r="G794" s="10"/>
      <c r="H794" s="10"/>
      <c r="I794" s="10"/>
      <c r="J794" s="191"/>
      <c r="K794" s="10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5"/>
      <c r="F795" s="10"/>
      <c r="G795" s="10"/>
      <c r="H795" s="10"/>
      <c r="I795" s="10"/>
      <c r="J795" s="191"/>
      <c r="K795" s="10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5"/>
      <c r="F796" s="10"/>
      <c r="G796" s="10"/>
      <c r="H796" s="10"/>
      <c r="I796" s="10"/>
      <c r="J796" s="191"/>
      <c r="K796" s="10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5"/>
      <c r="F797" s="10"/>
      <c r="G797" s="10"/>
      <c r="H797" s="10"/>
      <c r="I797" s="10"/>
      <c r="J797" s="191"/>
      <c r="K797" s="10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5"/>
      <c r="F798" s="10"/>
      <c r="G798" s="10"/>
      <c r="H798" s="10"/>
      <c r="I798" s="10"/>
      <c r="J798" s="191"/>
      <c r="K798" s="10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5"/>
      <c r="F799" s="10"/>
      <c r="G799" s="10"/>
      <c r="H799" s="10"/>
      <c r="I799" s="10"/>
      <c r="J799" s="191"/>
      <c r="K799" s="10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5"/>
      <c r="F800" s="10"/>
      <c r="G800" s="10"/>
      <c r="H800" s="10"/>
      <c r="I800" s="10"/>
      <c r="J800" s="191"/>
      <c r="K800" s="10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5"/>
      <c r="F801" s="10"/>
      <c r="G801" s="10"/>
      <c r="H801" s="10"/>
      <c r="I801" s="10"/>
      <c r="J801" s="191"/>
      <c r="K801" s="10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5"/>
      <c r="F802" s="10"/>
      <c r="G802" s="10"/>
      <c r="H802" s="10"/>
      <c r="I802" s="10"/>
      <c r="J802" s="191"/>
      <c r="K802" s="10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5"/>
      <c r="F803" s="10"/>
      <c r="G803" s="10"/>
      <c r="H803" s="10"/>
      <c r="I803" s="10"/>
      <c r="J803" s="191"/>
      <c r="K803" s="10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5"/>
      <c r="F804" s="10"/>
      <c r="G804" s="10"/>
      <c r="H804" s="10"/>
      <c r="I804" s="10"/>
      <c r="J804" s="191"/>
      <c r="K804" s="10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5"/>
      <c r="F805" s="10"/>
      <c r="G805" s="10"/>
      <c r="H805" s="10"/>
      <c r="I805" s="10"/>
      <c r="J805" s="191"/>
      <c r="K805" s="10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5"/>
      <c r="F806" s="10"/>
      <c r="G806" s="10"/>
      <c r="H806" s="10"/>
      <c r="I806" s="10"/>
      <c r="J806" s="191"/>
      <c r="K806" s="10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5"/>
      <c r="F807" s="10"/>
      <c r="G807" s="10"/>
      <c r="H807" s="10"/>
      <c r="I807" s="10"/>
      <c r="J807" s="191"/>
      <c r="K807" s="10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5"/>
      <c r="F808" s="10"/>
      <c r="G808" s="10"/>
      <c r="H808" s="10"/>
      <c r="I808" s="10"/>
      <c r="J808" s="191"/>
      <c r="K808" s="10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5"/>
      <c r="F809" s="10"/>
      <c r="G809" s="10"/>
      <c r="H809" s="10"/>
      <c r="I809" s="10"/>
      <c r="J809" s="191"/>
      <c r="K809" s="10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5"/>
      <c r="F810" s="10"/>
      <c r="G810" s="10"/>
      <c r="H810" s="10"/>
      <c r="I810" s="10"/>
      <c r="J810" s="191"/>
      <c r="K810" s="10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5"/>
      <c r="F811" s="10"/>
      <c r="G811" s="10"/>
      <c r="H811" s="10"/>
      <c r="I811" s="10"/>
      <c r="J811" s="191"/>
      <c r="K811" s="10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5"/>
      <c r="F812" s="10"/>
      <c r="G812" s="10"/>
      <c r="H812" s="10"/>
      <c r="I812" s="10"/>
      <c r="J812" s="191"/>
      <c r="K812" s="10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5"/>
      <c r="F813" s="10"/>
      <c r="G813" s="10"/>
      <c r="H813" s="10"/>
      <c r="I813" s="10"/>
      <c r="J813" s="191"/>
      <c r="K813" s="10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5"/>
      <c r="F814" s="10"/>
      <c r="G814" s="10"/>
      <c r="H814" s="10"/>
      <c r="I814" s="10"/>
      <c r="J814" s="191"/>
      <c r="K814" s="10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5"/>
      <c r="F815" s="10"/>
      <c r="G815" s="10"/>
      <c r="H815" s="10"/>
      <c r="I815" s="10"/>
      <c r="J815" s="191"/>
      <c r="K815" s="10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5"/>
      <c r="F816" s="10"/>
      <c r="G816" s="10"/>
      <c r="H816" s="10"/>
      <c r="I816" s="10"/>
      <c r="J816" s="191"/>
      <c r="K816" s="10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5"/>
      <c r="F817" s="10"/>
      <c r="G817" s="10"/>
      <c r="H817" s="10"/>
      <c r="I817" s="10"/>
      <c r="J817" s="191"/>
      <c r="K817" s="10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5"/>
      <c r="F818" s="10"/>
      <c r="G818" s="10"/>
      <c r="H818" s="10"/>
      <c r="I818" s="10"/>
      <c r="J818" s="191"/>
      <c r="K818" s="10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5"/>
      <c r="F819" s="10"/>
      <c r="G819" s="10"/>
      <c r="H819" s="10"/>
      <c r="I819" s="10"/>
      <c r="J819" s="191"/>
      <c r="K819" s="10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5"/>
      <c r="F820" s="10"/>
      <c r="G820" s="10"/>
      <c r="H820" s="10"/>
      <c r="I820" s="10"/>
      <c r="J820" s="191"/>
      <c r="K820" s="10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5"/>
      <c r="F821" s="10"/>
      <c r="G821" s="10"/>
      <c r="H821" s="10"/>
      <c r="I821" s="10"/>
      <c r="J821" s="191"/>
      <c r="K821" s="10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5"/>
      <c r="F822" s="10"/>
      <c r="G822" s="10"/>
      <c r="H822" s="10"/>
      <c r="I822" s="10"/>
      <c r="J822" s="191"/>
      <c r="K822" s="10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5"/>
      <c r="F823" s="10"/>
      <c r="G823" s="10"/>
      <c r="H823" s="10"/>
      <c r="I823" s="10"/>
      <c r="J823" s="191"/>
      <c r="K823" s="10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5"/>
      <c r="F824" s="10"/>
      <c r="G824" s="10"/>
      <c r="H824" s="10"/>
      <c r="I824" s="10"/>
      <c r="J824" s="191"/>
      <c r="K824" s="10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5"/>
      <c r="F825" s="10"/>
      <c r="G825" s="10"/>
      <c r="H825" s="10"/>
      <c r="I825" s="10"/>
      <c r="J825" s="191"/>
      <c r="K825" s="10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5"/>
      <c r="F826" s="10"/>
      <c r="G826" s="10"/>
      <c r="H826" s="10"/>
      <c r="I826" s="10"/>
      <c r="J826" s="191"/>
      <c r="K826" s="10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5"/>
      <c r="F827" s="10"/>
      <c r="G827" s="10"/>
      <c r="H827" s="10"/>
      <c r="I827" s="10"/>
      <c r="J827" s="191"/>
      <c r="K827" s="10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5"/>
      <c r="F828" s="10"/>
      <c r="G828" s="10"/>
      <c r="H828" s="10"/>
      <c r="I828" s="10"/>
      <c r="J828" s="191"/>
      <c r="K828" s="10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5"/>
      <c r="F829" s="10"/>
      <c r="G829" s="10"/>
      <c r="H829" s="10"/>
      <c r="I829" s="10"/>
      <c r="J829" s="191"/>
      <c r="K829" s="10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5"/>
      <c r="F830" s="10"/>
      <c r="G830" s="10"/>
      <c r="H830" s="10"/>
      <c r="I830" s="10"/>
      <c r="J830" s="191"/>
      <c r="K830" s="10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5"/>
      <c r="F831" s="10"/>
      <c r="G831" s="10"/>
      <c r="H831" s="10"/>
      <c r="I831" s="10"/>
      <c r="J831" s="191"/>
      <c r="K831" s="10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5"/>
      <c r="F832" s="10"/>
      <c r="G832" s="10"/>
      <c r="H832" s="10"/>
      <c r="I832" s="10"/>
      <c r="J832" s="191"/>
      <c r="K832" s="10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5"/>
      <c r="F833" s="10"/>
      <c r="G833" s="10"/>
      <c r="H833" s="10"/>
      <c r="I833" s="10"/>
      <c r="J833" s="191"/>
      <c r="K833" s="10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5"/>
      <c r="F834" s="10"/>
      <c r="G834" s="10"/>
      <c r="H834" s="10"/>
      <c r="I834" s="10"/>
      <c r="J834" s="191"/>
      <c r="K834" s="10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5"/>
      <c r="F835" s="10"/>
      <c r="G835" s="10"/>
      <c r="H835" s="10"/>
      <c r="I835" s="10"/>
      <c r="J835" s="191"/>
      <c r="K835" s="10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5"/>
      <c r="F836" s="10"/>
      <c r="G836" s="10"/>
      <c r="H836" s="10"/>
      <c r="I836" s="10"/>
      <c r="J836" s="191"/>
      <c r="K836" s="10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5"/>
      <c r="F837" s="10"/>
      <c r="G837" s="10"/>
      <c r="H837" s="10"/>
      <c r="I837" s="10"/>
      <c r="J837" s="191"/>
      <c r="K837" s="10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5"/>
      <c r="F838" s="10"/>
      <c r="G838" s="10"/>
      <c r="H838" s="10"/>
      <c r="I838" s="10"/>
      <c r="J838" s="191"/>
      <c r="K838" s="10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5"/>
      <c r="F839" s="10"/>
      <c r="G839" s="10"/>
      <c r="H839" s="10"/>
      <c r="I839" s="10"/>
      <c r="J839" s="191"/>
      <c r="K839" s="10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5"/>
      <c r="F840" s="10"/>
      <c r="G840" s="10"/>
      <c r="H840" s="10"/>
      <c r="I840" s="10"/>
      <c r="J840" s="191"/>
      <c r="K840" s="10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5"/>
      <c r="F841" s="10"/>
      <c r="G841" s="10"/>
      <c r="H841" s="10"/>
      <c r="I841" s="10"/>
      <c r="J841" s="191"/>
      <c r="K841" s="10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5"/>
      <c r="F842" s="10"/>
      <c r="G842" s="10"/>
      <c r="H842" s="10"/>
      <c r="I842" s="10"/>
      <c r="J842" s="191"/>
      <c r="K842" s="10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5"/>
      <c r="F843" s="10"/>
      <c r="G843" s="10"/>
      <c r="H843" s="10"/>
      <c r="I843" s="10"/>
      <c r="J843" s="191"/>
      <c r="K843" s="10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5"/>
      <c r="F844" s="10"/>
      <c r="G844" s="10"/>
      <c r="H844" s="10"/>
      <c r="I844" s="10"/>
      <c r="J844" s="191"/>
      <c r="K844" s="10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5"/>
      <c r="F845" s="10"/>
      <c r="G845" s="10"/>
      <c r="H845" s="10"/>
      <c r="I845" s="10"/>
      <c r="J845" s="191"/>
      <c r="K845" s="10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5"/>
      <c r="F846" s="10"/>
      <c r="G846" s="10"/>
      <c r="H846" s="10"/>
      <c r="I846" s="10"/>
      <c r="J846" s="191"/>
      <c r="K846" s="10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5"/>
      <c r="F847" s="10"/>
      <c r="G847" s="10"/>
      <c r="H847" s="10"/>
      <c r="I847" s="10"/>
      <c r="J847" s="191"/>
      <c r="K847" s="10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5"/>
      <c r="F848" s="10"/>
      <c r="G848" s="10"/>
      <c r="H848" s="10"/>
      <c r="I848" s="10"/>
      <c r="J848" s="191"/>
      <c r="K848" s="10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5"/>
      <c r="F849" s="10"/>
      <c r="G849" s="10"/>
      <c r="H849" s="10"/>
      <c r="I849" s="10"/>
      <c r="J849" s="191"/>
      <c r="K849" s="10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5"/>
      <c r="F850" s="10"/>
      <c r="G850" s="10"/>
      <c r="H850" s="10"/>
      <c r="I850" s="10"/>
      <c r="J850" s="191"/>
      <c r="K850" s="10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5"/>
      <c r="F851" s="10"/>
      <c r="G851" s="10"/>
      <c r="H851" s="10"/>
      <c r="I851" s="10"/>
      <c r="J851" s="191"/>
      <c r="K851" s="10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5"/>
      <c r="F852" s="10"/>
      <c r="G852" s="10"/>
      <c r="H852" s="10"/>
      <c r="I852" s="10"/>
      <c r="J852" s="191"/>
      <c r="K852" s="10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5"/>
      <c r="F853" s="10"/>
      <c r="G853" s="10"/>
      <c r="H853" s="10"/>
      <c r="I853" s="10"/>
      <c r="J853" s="191"/>
      <c r="K853" s="10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5"/>
      <c r="F854" s="10"/>
      <c r="G854" s="10"/>
      <c r="H854" s="10"/>
      <c r="I854" s="10"/>
      <c r="J854" s="191"/>
      <c r="K854" s="10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5"/>
      <c r="F855" s="10"/>
      <c r="G855" s="10"/>
      <c r="H855" s="10"/>
      <c r="I855" s="10"/>
      <c r="J855" s="191"/>
      <c r="K855" s="10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5"/>
      <c r="F856" s="10"/>
      <c r="G856" s="10"/>
      <c r="H856" s="10"/>
      <c r="I856" s="10"/>
      <c r="J856" s="191"/>
      <c r="K856" s="10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5"/>
      <c r="F857" s="10"/>
      <c r="G857" s="10"/>
      <c r="H857" s="10"/>
      <c r="I857" s="10"/>
      <c r="J857" s="191"/>
      <c r="K857" s="10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5"/>
      <c r="F858" s="10"/>
      <c r="G858" s="10"/>
      <c r="H858" s="10"/>
      <c r="I858" s="10"/>
      <c r="J858" s="191"/>
      <c r="K858" s="10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5"/>
      <c r="F859" s="10"/>
      <c r="G859" s="10"/>
      <c r="H859" s="10"/>
      <c r="I859" s="10"/>
      <c r="J859" s="191"/>
      <c r="K859" s="10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5"/>
      <c r="F860" s="10"/>
      <c r="G860" s="10"/>
      <c r="H860" s="10"/>
      <c r="I860" s="10"/>
      <c r="J860" s="191"/>
      <c r="K860" s="10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5"/>
      <c r="F861" s="10"/>
      <c r="G861" s="10"/>
      <c r="H861" s="10"/>
      <c r="I861" s="10"/>
      <c r="J861" s="191"/>
      <c r="K861" s="10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5"/>
      <c r="F862" s="10"/>
      <c r="G862" s="10"/>
      <c r="H862" s="10"/>
      <c r="I862" s="10"/>
      <c r="J862" s="191"/>
      <c r="K862" s="10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5"/>
      <c r="F863" s="10"/>
      <c r="G863" s="10"/>
      <c r="H863" s="10"/>
      <c r="I863" s="10"/>
      <c r="J863" s="191"/>
      <c r="K863" s="10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5"/>
      <c r="F864" s="10"/>
      <c r="G864" s="10"/>
      <c r="H864" s="10"/>
      <c r="I864" s="10"/>
      <c r="J864" s="191"/>
      <c r="K864" s="10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5"/>
      <c r="F865" s="10"/>
      <c r="G865" s="10"/>
      <c r="H865" s="10"/>
      <c r="I865" s="10"/>
      <c r="J865" s="191"/>
      <c r="K865" s="10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5"/>
      <c r="F866" s="10"/>
      <c r="G866" s="10"/>
      <c r="H866" s="10"/>
      <c r="I866" s="10"/>
      <c r="J866" s="191"/>
      <c r="K866" s="10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5"/>
      <c r="F867" s="10"/>
      <c r="G867" s="10"/>
      <c r="H867" s="10"/>
      <c r="I867" s="10"/>
      <c r="J867" s="191"/>
      <c r="K867" s="10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5"/>
      <c r="F868" s="10"/>
      <c r="G868" s="10"/>
      <c r="H868" s="10"/>
      <c r="I868" s="10"/>
      <c r="J868" s="191"/>
      <c r="K868" s="10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5"/>
      <c r="F869" s="10"/>
      <c r="G869" s="10"/>
      <c r="H869" s="10"/>
      <c r="I869" s="10"/>
      <c r="J869" s="191"/>
      <c r="K869" s="10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5"/>
      <c r="F870" s="10"/>
      <c r="G870" s="10"/>
      <c r="H870" s="10"/>
      <c r="I870" s="10"/>
      <c r="J870" s="191"/>
      <c r="K870" s="10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5"/>
      <c r="F871" s="10"/>
      <c r="G871" s="10"/>
      <c r="H871" s="10"/>
      <c r="I871" s="10"/>
      <c r="J871" s="191"/>
      <c r="K871" s="10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5"/>
      <c r="F872" s="10"/>
      <c r="G872" s="10"/>
      <c r="H872" s="10"/>
      <c r="I872" s="10"/>
      <c r="J872" s="191"/>
      <c r="K872" s="10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5"/>
      <c r="F873" s="10"/>
      <c r="G873" s="10"/>
      <c r="H873" s="10"/>
      <c r="I873" s="10"/>
      <c r="J873" s="191"/>
      <c r="K873" s="10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5"/>
      <c r="F874" s="10"/>
      <c r="G874" s="10"/>
      <c r="H874" s="10"/>
      <c r="I874" s="10"/>
      <c r="J874" s="191"/>
      <c r="K874" s="10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5"/>
      <c r="F875" s="10"/>
      <c r="G875" s="10"/>
      <c r="H875" s="10"/>
      <c r="I875" s="10"/>
      <c r="J875" s="191"/>
      <c r="K875" s="10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5"/>
      <c r="F876" s="10"/>
      <c r="G876" s="10"/>
      <c r="H876" s="10"/>
      <c r="I876" s="10"/>
      <c r="J876" s="191"/>
      <c r="K876" s="10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5"/>
      <c r="F877" s="10"/>
      <c r="G877" s="10"/>
      <c r="H877" s="10"/>
      <c r="I877" s="10"/>
      <c r="J877" s="191"/>
      <c r="K877" s="10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5"/>
      <c r="F878" s="10"/>
      <c r="G878" s="10"/>
      <c r="H878" s="10"/>
      <c r="I878" s="10"/>
      <c r="J878" s="191"/>
      <c r="K878" s="10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5"/>
      <c r="F879" s="10"/>
      <c r="G879" s="10"/>
      <c r="H879" s="10"/>
      <c r="I879" s="10"/>
      <c r="J879" s="191"/>
      <c r="K879" s="10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5"/>
      <c r="F880" s="10"/>
      <c r="G880" s="10"/>
      <c r="H880" s="10"/>
      <c r="I880" s="10"/>
      <c r="J880" s="191"/>
      <c r="K880" s="10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5"/>
      <c r="F881" s="10"/>
      <c r="G881" s="10"/>
      <c r="H881" s="10"/>
      <c r="I881" s="10"/>
      <c r="J881" s="191"/>
      <c r="K881" s="10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5"/>
      <c r="F882" s="10"/>
      <c r="G882" s="10"/>
      <c r="H882" s="10"/>
      <c r="I882" s="10"/>
      <c r="J882" s="191"/>
      <c r="K882" s="10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5"/>
      <c r="F883" s="10"/>
      <c r="G883" s="10"/>
      <c r="H883" s="10"/>
      <c r="I883" s="10"/>
      <c r="J883" s="191"/>
      <c r="K883" s="10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5"/>
      <c r="F884" s="10"/>
      <c r="G884" s="10"/>
      <c r="H884" s="10"/>
      <c r="I884" s="10"/>
      <c r="J884" s="191"/>
      <c r="K884" s="10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5"/>
      <c r="F885" s="10"/>
      <c r="G885" s="10"/>
      <c r="H885" s="10"/>
      <c r="I885" s="10"/>
      <c r="J885" s="191"/>
      <c r="K885" s="10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5"/>
      <c r="F886" s="10"/>
      <c r="G886" s="10"/>
      <c r="H886" s="10"/>
      <c r="I886" s="10"/>
      <c r="J886" s="191"/>
      <c r="K886" s="10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5"/>
      <c r="F887" s="10"/>
      <c r="G887" s="10"/>
      <c r="H887" s="10"/>
      <c r="I887" s="10"/>
      <c r="J887" s="191"/>
      <c r="K887" s="10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5"/>
      <c r="F888" s="10"/>
      <c r="G888" s="10"/>
      <c r="H888" s="10"/>
      <c r="I888" s="10"/>
      <c r="J888" s="191"/>
      <c r="K888" s="10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5"/>
      <c r="F889" s="10"/>
      <c r="G889" s="10"/>
      <c r="H889" s="10"/>
      <c r="I889" s="10"/>
      <c r="J889" s="191"/>
      <c r="K889" s="10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5"/>
      <c r="F890" s="10"/>
      <c r="G890" s="10"/>
      <c r="H890" s="10"/>
      <c r="I890" s="10"/>
      <c r="J890" s="191"/>
      <c r="K890" s="10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5"/>
      <c r="F891" s="10"/>
      <c r="G891" s="10"/>
      <c r="H891" s="10"/>
      <c r="I891" s="10"/>
      <c r="J891" s="191"/>
      <c r="K891" s="10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5"/>
      <c r="F892" s="10"/>
      <c r="G892" s="10"/>
      <c r="H892" s="10"/>
      <c r="I892" s="10"/>
      <c r="J892" s="191"/>
      <c r="K892" s="10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5"/>
      <c r="F893" s="10"/>
      <c r="G893" s="10"/>
      <c r="H893" s="10"/>
      <c r="I893" s="10"/>
      <c r="J893" s="191"/>
      <c r="K893" s="10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5"/>
      <c r="F894" s="10"/>
      <c r="G894" s="10"/>
      <c r="H894" s="10"/>
      <c r="I894" s="10"/>
      <c r="J894" s="191"/>
      <c r="K894" s="10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5"/>
      <c r="F895" s="10"/>
      <c r="G895" s="10"/>
      <c r="H895" s="10"/>
      <c r="I895" s="10"/>
      <c r="J895" s="191"/>
      <c r="K895" s="10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5"/>
      <c r="F896" s="10"/>
      <c r="G896" s="10"/>
      <c r="H896" s="10"/>
      <c r="I896" s="10"/>
      <c r="J896" s="191"/>
      <c r="K896" s="10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5"/>
      <c r="F897" s="10"/>
      <c r="G897" s="10"/>
      <c r="H897" s="10"/>
      <c r="I897" s="10"/>
      <c r="J897" s="191"/>
      <c r="K897" s="10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5"/>
      <c r="F898" s="10"/>
      <c r="G898" s="10"/>
      <c r="H898" s="10"/>
      <c r="I898" s="10"/>
      <c r="J898" s="191"/>
      <c r="K898" s="10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5"/>
      <c r="F899" s="10"/>
      <c r="G899" s="10"/>
      <c r="H899" s="10"/>
      <c r="I899" s="10"/>
      <c r="J899" s="191"/>
      <c r="K899" s="10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5"/>
      <c r="F900" s="10"/>
      <c r="G900" s="10"/>
      <c r="H900" s="10"/>
      <c r="I900" s="10"/>
      <c r="J900" s="191"/>
      <c r="K900" s="10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5"/>
      <c r="F901" s="10"/>
      <c r="G901" s="10"/>
      <c r="H901" s="10"/>
      <c r="I901" s="10"/>
      <c r="J901" s="191"/>
      <c r="K901" s="10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5"/>
      <c r="F902" s="10"/>
      <c r="G902" s="10"/>
      <c r="H902" s="10"/>
      <c r="I902" s="10"/>
      <c r="J902" s="191"/>
      <c r="K902" s="10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5"/>
      <c r="F903" s="10"/>
      <c r="G903" s="10"/>
      <c r="H903" s="10"/>
      <c r="I903" s="10"/>
      <c r="J903" s="191"/>
      <c r="K903" s="10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5"/>
      <c r="F904" s="10"/>
      <c r="G904" s="10"/>
      <c r="H904" s="10"/>
      <c r="I904" s="10"/>
      <c r="J904" s="191"/>
      <c r="K904" s="10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5"/>
      <c r="F905" s="10"/>
      <c r="G905" s="10"/>
      <c r="H905" s="10"/>
      <c r="I905" s="10"/>
      <c r="J905" s="191"/>
      <c r="K905" s="10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5"/>
      <c r="F906" s="10"/>
      <c r="G906" s="10"/>
      <c r="H906" s="10"/>
      <c r="I906" s="10"/>
      <c r="J906" s="191"/>
      <c r="K906" s="10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5"/>
      <c r="F907" s="10"/>
      <c r="G907" s="10"/>
      <c r="H907" s="10"/>
      <c r="I907" s="10"/>
      <c r="J907" s="191"/>
      <c r="K907" s="10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5"/>
      <c r="F908" s="10"/>
      <c r="G908" s="10"/>
      <c r="H908" s="10"/>
      <c r="I908" s="10"/>
      <c r="J908" s="191"/>
      <c r="K908" s="10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5"/>
      <c r="F909" s="10"/>
      <c r="G909" s="10"/>
      <c r="H909" s="10"/>
      <c r="I909" s="10"/>
      <c r="J909" s="191"/>
      <c r="K909" s="10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5"/>
      <c r="F910" s="10"/>
      <c r="G910" s="10"/>
      <c r="H910" s="10"/>
      <c r="I910" s="10"/>
      <c r="J910" s="191"/>
      <c r="K910" s="10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5"/>
      <c r="F911" s="10"/>
      <c r="G911" s="10"/>
      <c r="H911" s="10"/>
      <c r="I911" s="10"/>
      <c r="J911" s="191"/>
      <c r="K911" s="10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5"/>
      <c r="F912" s="10"/>
      <c r="G912" s="10"/>
      <c r="H912" s="10"/>
      <c r="I912" s="10"/>
      <c r="J912" s="191"/>
      <c r="K912" s="10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5"/>
      <c r="F913" s="10"/>
      <c r="G913" s="10"/>
      <c r="H913" s="10"/>
      <c r="I913" s="10"/>
      <c r="J913" s="191"/>
      <c r="K913" s="10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5"/>
      <c r="F914" s="10"/>
      <c r="G914" s="10"/>
      <c r="H914" s="10"/>
      <c r="I914" s="10"/>
      <c r="J914" s="191"/>
      <c r="K914" s="10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5"/>
      <c r="F915" s="10"/>
      <c r="G915" s="10"/>
      <c r="H915" s="10"/>
      <c r="I915" s="10"/>
      <c r="J915" s="191"/>
      <c r="K915" s="10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5"/>
      <c r="F916" s="10"/>
      <c r="G916" s="10"/>
      <c r="H916" s="10"/>
      <c r="I916" s="10"/>
      <c r="J916" s="191"/>
      <c r="K916" s="10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5"/>
      <c r="F917" s="10"/>
      <c r="G917" s="10"/>
      <c r="H917" s="10"/>
      <c r="I917" s="10"/>
      <c r="J917" s="191"/>
      <c r="K917" s="10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5"/>
      <c r="F918" s="10"/>
      <c r="G918" s="10"/>
      <c r="H918" s="10"/>
      <c r="I918" s="10"/>
      <c r="J918" s="191"/>
      <c r="K918" s="10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5"/>
      <c r="F919" s="10"/>
      <c r="G919" s="10"/>
      <c r="H919" s="10"/>
      <c r="I919" s="10"/>
      <c r="J919" s="191"/>
      <c r="K919" s="10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5"/>
      <c r="F920" s="10"/>
      <c r="G920" s="10"/>
      <c r="H920" s="10"/>
      <c r="I920" s="10"/>
      <c r="J920" s="191"/>
      <c r="K920" s="10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5"/>
      <c r="F921" s="10"/>
      <c r="G921" s="10"/>
      <c r="H921" s="10"/>
      <c r="I921" s="10"/>
      <c r="J921" s="191"/>
      <c r="K921" s="10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5"/>
      <c r="F922" s="10"/>
      <c r="G922" s="10"/>
      <c r="H922" s="10"/>
      <c r="I922" s="10"/>
      <c r="J922" s="191"/>
      <c r="K922" s="10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5"/>
      <c r="F923" s="10"/>
      <c r="G923" s="10"/>
      <c r="H923" s="10"/>
      <c r="I923" s="10"/>
      <c r="J923" s="191"/>
      <c r="K923" s="10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5"/>
      <c r="F924" s="10"/>
      <c r="G924" s="10"/>
      <c r="H924" s="10"/>
      <c r="I924" s="10"/>
      <c r="J924" s="191"/>
      <c r="K924" s="10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5"/>
      <c r="F925" s="10"/>
      <c r="G925" s="10"/>
      <c r="H925" s="10"/>
      <c r="I925" s="10"/>
      <c r="J925" s="191"/>
      <c r="K925" s="10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5"/>
      <c r="F926" s="10"/>
      <c r="G926" s="10"/>
      <c r="H926" s="10"/>
      <c r="I926" s="10"/>
      <c r="J926" s="191"/>
      <c r="K926" s="10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5"/>
      <c r="F927" s="10"/>
      <c r="G927" s="10"/>
      <c r="H927" s="10"/>
      <c r="I927" s="10"/>
      <c r="J927" s="191"/>
      <c r="K927" s="10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5"/>
      <c r="F928" s="10"/>
      <c r="G928" s="10"/>
      <c r="H928" s="10"/>
      <c r="I928" s="10"/>
      <c r="J928" s="191"/>
      <c r="K928" s="10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5"/>
      <c r="F929" s="10"/>
      <c r="G929" s="10"/>
      <c r="H929" s="10"/>
      <c r="I929" s="10"/>
      <c r="J929" s="191"/>
      <c r="K929" s="10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5"/>
      <c r="F930" s="10"/>
      <c r="G930" s="10"/>
      <c r="H930" s="10"/>
      <c r="I930" s="10"/>
      <c r="J930" s="191"/>
      <c r="K930" s="10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5"/>
      <c r="F931" s="10"/>
      <c r="G931" s="10"/>
      <c r="H931" s="10"/>
      <c r="I931" s="10"/>
      <c r="J931" s="191"/>
      <c r="K931" s="10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5"/>
      <c r="F932" s="10"/>
      <c r="G932" s="10"/>
      <c r="H932" s="10"/>
      <c r="I932" s="10"/>
      <c r="J932" s="191"/>
      <c r="K932" s="10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5"/>
      <c r="F933" s="10"/>
      <c r="G933" s="10"/>
      <c r="H933" s="10"/>
      <c r="I933" s="10"/>
      <c r="J933" s="191"/>
      <c r="K933" s="10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5"/>
      <c r="F934" s="10"/>
      <c r="G934" s="10"/>
      <c r="H934" s="10"/>
      <c r="I934" s="10"/>
      <c r="J934" s="191"/>
      <c r="K934" s="10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5"/>
      <c r="F935" s="10"/>
      <c r="G935" s="10"/>
      <c r="H935" s="10"/>
      <c r="I935" s="10"/>
      <c r="J935" s="191"/>
      <c r="K935" s="10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5"/>
      <c r="F936" s="10"/>
      <c r="G936" s="10"/>
      <c r="H936" s="10"/>
      <c r="I936" s="10"/>
      <c r="J936" s="191"/>
      <c r="K936" s="10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5"/>
      <c r="F937" s="10"/>
      <c r="G937" s="10"/>
      <c r="H937" s="10"/>
      <c r="I937" s="10"/>
      <c r="J937" s="191"/>
      <c r="K937" s="10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5"/>
      <c r="F938" s="10"/>
      <c r="G938" s="10"/>
      <c r="H938" s="10"/>
      <c r="I938" s="10"/>
      <c r="J938" s="191"/>
      <c r="K938" s="10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5"/>
      <c r="F939" s="10"/>
      <c r="G939" s="10"/>
      <c r="H939" s="10"/>
      <c r="I939" s="10"/>
      <c r="J939" s="191"/>
      <c r="K939" s="10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5"/>
      <c r="F940" s="10"/>
      <c r="G940" s="10"/>
      <c r="H940" s="10"/>
      <c r="I940" s="10"/>
      <c r="J940" s="191"/>
      <c r="K940" s="10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5"/>
      <c r="F941" s="10"/>
      <c r="G941" s="10"/>
      <c r="H941" s="10"/>
      <c r="I941" s="10"/>
      <c r="J941" s="191"/>
      <c r="K941" s="10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5"/>
      <c r="F942" s="10"/>
      <c r="G942" s="10"/>
      <c r="H942" s="10"/>
      <c r="I942" s="10"/>
      <c r="J942" s="191"/>
      <c r="K942" s="10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5"/>
      <c r="F943" s="10"/>
      <c r="G943" s="10"/>
      <c r="H943" s="10"/>
      <c r="I943" s="10"/>
      <c r="J943" s="191"/>
      <c r="K943" s="10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5"/>
      <c r="F944" s="10"/>
      <c r="G944" s="10"/>
      <c r="H944" s="10"/>
      <c r="I944" s="10"/>
      <c r="J944" s="191"/>
      <c r="K944" s="10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5"/>
      <c r="F945" s="10"/>
      <c r="G945" s="10"/>
      <c r="H945" s="10"/>
      <c r="I945" s="10"/>
      <c r="J945" s="191"/>
      <c r="K945" s="10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5"/>
      <c r="F946" s="10"/>
      <c r="G946" s="10"/>
      <c r="H946" s="10"/>
      <c r="I946" s="10"/>
      <c r="J946" s="191"/>
      <c r="K946" s="10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5"/>
      <c r="F947" s="10"/>
      <c r="G947" s="10"/>
      <c r="H947" s="10"/>
      <c r="I947" s="10"/>
      <c r="J947" s="191"/>
      <c r="K947" s="10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5"/>
      <c r="F948" s="10"/>
      <c r="G948" s="10"/>
      <c r="H948" s="10"/>
      <c r="I948" s="10"/>
      <c r="J948" s="191"/>
      <c r="K948" s="10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5"/>
      <c r="F949" s="10"/>
      <c r="G949" s="10"/>
      <c r="H949" s="10"/>
      <c r="I949" s="10"/>
      <c r="J949" s="191"/>
      <c r="K949" s="10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5"/>
      <c r="F950" s="10"/>
      <c r="G950" s="10"/>
      <c r="H950" s="10"/>
      <c r="I950" s="10"/>
      <c r="J950" s="191"/>
      <c r="K950" s="10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5"/>
      <c r="F951" s="10"/>
      <c r="G951" s="10"/>
      <c r="H951" s="10"/>
      <c r="I951" s="10"/>
      <c r="J951" s="191"/>
      <c r="K951" s="10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5"/>
      <c r="F952" s="10"/>
      <c r="G952" s="10"/>
      <c r="H952" s="10"/>
      <c r="I952" s="10"/>
      <c r="J952" s="191"/>
      <c r="K952" s="10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5"/>
      <c r="F953" s="10"/>
      <c r="G953" s="10"/>
      <c r="H953" s="10"/>
      <c r="I953" s="10"/>
      <c r="J953" s="191"/>
      <c r="K953" s="10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5"/>
      <c r="F954" s="10"/>
      <c r="G954" s="10"/>
      <c r="H954" s="10"/>
      <c r="I954" s="10"/>
      <c r="J954" s="191"/>
      <c r="K954" s="10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5"/>
      <c r="F955" s="10"/>
      <c r="G955" s="10"/>
      <c r="H955" s="10"/>
      <c r="I955" s="10"/>
      <c r="J955" s="191"/>
      <c r="K955" s="10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5"/>
      <c r="F956" s="10"/>
      <c r="G956" s="10"/>
      <c r="H956" s="10"/>
      <c r="I956" s="10"/>
      <c r="J956" s="191"/>
      <c r="K956" s="10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5"/>
      <c r="F957" s="10"/>
      <c r="G957" s="10"/>
      <c r="H957" s="10"/>
      <c r="I957" s="10"/>
      <c r="J957" s="191"/>
      <c r="K957" s="10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5"/>
      <c r="F958" s="10"/>
      <c r="G958" s="10"/>
      <c r="H958" s="10"/>
      <c r="I958" s="10"/>
      <c r="J958" s="191"/>
      <c r="K958" s="10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5"/>
      <c r="F959" s="10"/>
      <c r="G959" s="10"/>
      <c r="H959" s="10"/>
      <c r="I959" s="10"/>
      <c r="J959" s="191"/>
      <c r="K959" s="10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5"/>
      <c r="F960" s="10"/>
      <c r="G960" s="10"/>
      <c r="H960" s="10"/>
      <c r="I960" s="10"/>
      <c r="J960" s="191"/>
      <c r="K960" s="10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5"/>
      <c r="F961" s="10"/>
      <c r="G961" s="10"/>
      <c r="H961" s="10"/>
      <c r="I961" s="10"/>
      <c r="J961" s="191"/>
      <c r="K961" s="10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5"/>
      <c r="F962" s="10"/>
      <c r="G962" s="10"/>
      <c r="H962" s="10"/>
      <c r="I962" s="10"/>
      <c r="J962" s="191"/>
      <c r="K962" s="10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5"/>
      <c r="F963" s="10"/>
      <c r="G963" s="10"/>
      <c r="H963" s="10"/>
      <c r="I963" s="10"/>
      <c r="J963" s="191"/>
      <c r="K963" s="10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5"/>
      <c r="F964" s="10"/>
      <c r="G964" s="10"/>
      <c r="H964" s="10"/>
      <c r="I964" s="10"/>
      <c r="J964" s="191"/>
      <c r="K964" s="10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5"/>
      <c r="F965" s="10"/>
      <c r="G965" s="10"/>
      <c r="H965" s="10"/>
      <c r="I965" s="10"/>
      <c r="J965" s="191"/>
      <c r="K965" s="10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5"/>
      <c r="F966" s="10"/>
      <c r="G966" s="10"/>
      <c r="H966" s="10"/>
      <c r="I966" s="10"/>
      <c r="J966" s="191"/>
      <c r="K966" s="10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5"/>
      <c r="F967" s="10"/>
      <c r="G967" s="10"/>
      <c r="H967" s="10"/>
      <c r="I967" s="10"/>
      <c r="J967" s="191"/>
      <c r="K967" s="10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5"/>
      <c r="F968" s="10"/>
      <c r="G968" s="10"/>
      <c r="H968" s="10"/>
      <c r="I968" s="10"/>
      <c r="J968" s="191"/>
      <c r="K968" s="10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5"/>
      <c r="F969" s="10"/>
      <c r="G969" s="10"/>
      <c r="H969" s="10"/>
      <c r="I969" s="10"/>
      <c r="J969" s="191"/>
      <c r="K969" s="10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5"/>
      <c r="F970" s="10"/>
      <c r="G970" s="10"/>
      <c r="H970" s="10"/>
      <c r="I970" s="10"/>
      <c r="J970" s="191"/>
      <c r="K970" s="10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5"/>
      <c r="F971" s="10"/>
      <c r="G971" s="10"/>
      <c r="H971" s="10"/>
      <c r="I971" s="10"/>
      <c r="J971" s="191"/>
      <c r="K971" s="10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5"/>
      <c r="F972" s="10"/>
      <c r="G972" s="10"/>
      <c r="H972" s="10"/>
      <c r="I972" s="10"/>
      <c r="J972" s="191"/>
      <c r="K972" s="10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5"/>
      <c r="F973" s="10"/>
      <c r="G973" s="10"/>
      <c r="H973" s="10"/>
      <c r="I973" s="10"/>
      <c r="J973" s="191"/>
      <c r="K973" s="10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5"/>
      <c r="F974" s="10"/>
      <c r="G974" s="10"/>
      <c r="H974" s="10"/>
      <c r="I974" s="10"/>
      <c r="J974" s="191"/>
      <c r="K974" s="10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5"/>
      <c r="F975" s="10"/>
      <c r="G975" s="10"/>
      <c r="H975" s="10"/>
      <c r="I975" s="10"/>
      <c r="J975" s="191"/>
      <c r="K975" s="10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5"/>
      <c r="F976" s="10"/>
      <c r="G976" s="10"/>
      <c r="H976" s="10"/>
      <c r="I976" s="10"/>
      <c r="J976" s="191"/>
      <c r="K976" s="10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5"/>
      <c r="F977" s="10"/>
      <c r="G977" s="10"/>
      <c r="H977" s="10"/>
      <c r="I977" s="10"/>
      <c r="J977" s="191"/>
      <c r="K977" s="10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5"/>
      <c r="F978" s="10"/>
      <c r="G978" s="10"/>
      <c r="H978" s="10"/>
      <c r="I978" s="10"/>
      <c r="J978" s="191"/>
      <c r="K978" s="10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5"/>
      <c r="F979" s="10"/>
      <c r="G979" s="10"/>
      <c r="H979" s="10"/>
      <c r="I979" s="10"/>
      <c r="J979" s="191"/>
      <c r="K979" s="10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5"/>
      <c r="F980" s="10"/>
      <c r="G980" s="10"/>
      <c r="H980" s="10"/>
      <c r="I980" s="10"/>
      <c r="J980" s="191"/>
      <c r="K980" s="10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5"/>
      <c r="F981" s="10"/>
      <c r="G981" s="10"/>
      <c r="H981" s="10"/>
      <c r="I981" s="10"/>
      <c r="J981" s="191"/>
      <c r="K981" s="10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5"/>
      <c r="F982" s="10"/>
      <c r="G982" s="10"/>
      <c r="H982" s="10"/>
      <c r="I982" s="10"/>
      <c r="J982" s="191"/>
      <c r="K982" s="10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5"/>
      <c r="F983" s="10"/>
      <c r="G983" s="10"/>
      <c r="H983" s="10"/>
      <c r="I983" s="10"/>
      <c r="J983" s="191"/>
      <c r="K983" s="10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5"/>
      <c r="F984" s="10"/>
      <c r="G984" s="10"/>
      <c r="H984" s="10"/>
      <c r="I984" s="10"/>
      <c r="J984" s="191"/>
      <c r="K984" s="10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5"/>
      <c r="F985" s="10"/>
      <c r="G985" s="10"/>
      <c r="H985" s="10"/>
      <c r="I985" s="10"/>
      <c r="J985" s="191"/>
      <c r="K985" s="10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5"/>
      <c r="F986" s="10"/>
      <c r="G986" s="10"/>
      <c r="H986" s="10"/>
      <c r="I986" s="10"/>
      <c r="J986" s="191"/>
      <c r="K986" s="10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5"/>
      <c r="F987" s="10"/>
      <c r="G987" s="10"/>
      <c r="H987" s="10"/>
      <c r="I987" s="10"/>
      <c r="J987" s="191"/>
      <c r="K987" s="10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5"/>
      <c r="F988" s="10"/>
      <c r="G988" s="10"/>
      <c r="H988" s="10"/>
      <c r="I988" s="10"/>
      <c r="J988" s="191"/>
      <c r="K988" s="10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5"/>
      <c r="F989" s="10"/>
      <c r="G989" s="10"/>
      <c r="H989" s="10"/>
      <c r="I989" s="10"/>
      <c r="J989" s="191"/>
      <c r="K989" s="10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5"/>
      <c r="F990" s="10"/>
      <c r="G990" s="10"/>
      <c r="H990" s="10"/>
      <c r="I990" s="10"/>
      <c r="J990" s="191"/>
      <c r="K990" s="10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5"/>
      <c r="F991" s="10"/>
      <c r="G991" s="10"/>
      <c r="H991" s="10"/>
      <c r="I991" s="10"/>
      <c r="J991" s="191"/>
      <c r="K991" s="10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5"/>
      <c r="F992" s="10"/>
      <c r="G992" s="10"/>
      <c r="H992" s="10"/>
      <c r="I992" s="10"/>
      <c r="J992" s="191"/>
      <c r="K992" s="10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5"/>
      <c r="F993" s="10"/>
      <c r="G993" s="10"/>
      <c r="H993" s="10"/>
      <c r="I993" s="10"/>
      <c r="J993" s="191"/>
      <c r="K993" s="10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5"/>
      <c r="F994" s="10"/>
      <c r="G994" s="10"/>
      <c r="H994" s="10"/>
      <c r="I994" s="10"/>
      <c r="J994" s="191"/>
      <c r="K994" s="10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5"/>
      <c r="F995" s="10"/>
      <c r="G995" s="10"/>
      <c r="H995" s="10"/>
      <c r="I995" s="10"/>
      <c r="J995" s="191"/>
      <c r="K995" s="10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5"/>
      <c r="F996" s="10"/>
      <c r="G996" s="10"/>
      <c r="H996" s="10"/>
      <c r="I996" s="10"/>
      <c r="J996" s="191"/>
      <c r="K996" s="10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5"/>
      <c r="F997" s="10"/>
      <c r="G997" s="10"/>
      <c r="H997" s="10"/>
      <c r="I997" s="10"/>
      <c r="J997" s="191"/>
      <c r="K997" s="10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5"/>
      <c r="F998" s="10"/>
      <c r="G998" s="10"/>
      <c r="H998" s="10"/>
      <c r="I998" s="10"/>
      <c r="J998" s="191"/>
      <c r="K998" s="10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5"/>
      <c r="F999" s="10"/>
      <c r="G999" s="10"/>
      <c r="H999" s="10"/>
      <c r="I999" s="10"/>
      <c r="J999" s="191"/>
      <c r="K999" s="10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5"/>
      <c r="F1000" s="10"/>
      <c r="G1000" s="10"/>
      <c r="H1000" s="10"/>
      <c r="I1000" s="10"/>
      <c r="J1000" s="191"/>
      <c r="K1000" s="10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5"/>
      <c r="F1001" s="10"/>
      <c r="G1001" s="10"/>
      <c r="H1001" s="10"/>
      <c r="I1001" s="10"/>
      <c r="J1001" s="191"/>
      <c r="K1001" s="10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0"/>
      <c r="W1001" s="10"/>
      <c r="X1001" s="10"/>
      <c r="Y1001" s="10"/>
      <c r="Z1001" s="10"/>
    </row>
    <row r="1002">
      <c r="A1002" s="10"/>
      <c r="B1002" s="10"/>
      <c r="C1002" s="10"/>
      <c r="D1002" s="10"/>
      <c r="E1002" s="15"/>
      <c r="F1002" s="10"/>
      <c r="G1002" s="10"/>
      <c r="H1002" s="10"/>
      <c r="I1002" s="10"/>
      <c r="J1002" s="191"/>
      <c r="K1002" s="10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0"/>
      <c r="W1002" s="10"/>
      <c r="X1002" s="10"/>
      <c r="Y1002" s="10"/>
      <c r="Z1002" s="10"/>
    </row>
    <row r="1003">
      <c r="A1003" s="10"/>
      <c r="B1003" s="10"/>
      <c r="C1003" s="10"/>
      <c r="D1003" s="10"/>
      <c r="E1003" s="15"/>
      <c r="F1003" s="10"/>
      <c r="G1003" s="10"/>
      <c r="H1003" s="10"/>
      <c r="I1003" s="10"/>
      <c r="J1003" s="191"/>
      <c r="K1003" s="10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0"/>
      <c r="W1003" s="10"/>
      <c r="X1003" s="10"/>
      <c r="Y1003" s="10"/>
      <c r="Z1003" s="10"/>
    </row>
    <row r="1004">
      <c r="A1004" s="10"/>
      <c r="B1004" s="10"/>
      <c r="C1004" s="10"/>
      <c r="D1004" s="10"/>
      <c r="E1004" s="15"/>
      <c r="F1004" s="10"/>
      <c r="G1004" s="10"/>
      <c r="H1004" s="10"/>
      <c r="I1004" s="10"/>
      <c r="J1004" s="191"/>
      <c r="K1004" s="10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0"/>
      <c r="W1004" s="10"/>
      <c r="X1004" s="10"/>
      <c r="Y1004" s="10"/>
      <c r="Z1004" s="10"/>
    </row>
    <row r="1005">
      <c r="A1005" s="10"/>
      <c r="B1005" s="10"/>
      <c r="C1005" s="10"/>
      <c r="D1005" s="10"/>
      <c r="E1005" s="15"/>
      <c r="F1005" s="10"/>
      <c r="G1005" s="10"/>
      <c r="H1005" s="10"/>
      <c r="I1005" s="10"/>
      <c r="J1005" s="191"/>
      <c r="K1005" s="10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0"/>
      <c r="W1005" s="10"/>
      <c r="X1005" s="10"/>
      <c r="Y1005" s="10"/>
      <c r="Z1005" s="10"/>
    </row>
    <row r="1006">
      <c r="A1006" s="10"/>
      <c r="B1006" s="10"/>
      <c r="C1006" s="10"/>
      <c r="D1006" s="10"/>
      <c r="E1006" s="15"/>
      <c r="F1006" s="10"/>
      <c r="G1006" s="10"/>
      <c r="H1006" s="10"/>
      <c r="I1006" s="10"/>
      <c r="J1006" s="191"/>
      <c r="K1006" s="10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0"/>
      <c r="W1006" s="10"/>
      <c r="X1006" s="10"/>
      <c r="Y1006" s="10"/>
      <c r="Z1006" s="10"/>
    </row>
    <row r="1007">
      <c r="A1007" s="10"/>
      <c r="B1007" s="10"/>
      <c r="C1007" s="10"/>
      <c r="D1007" s="10"/>
      <c r="E1007" s="15"/>
      <c r="F1007" s="10"/>
      <c r="G1007" s="10"/>
      <c r="H1007" s="10"/>
      <c r="I1007" s="10"/>
      <c r="J1007" s="191"/>
      <c r="K1007" s="10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  <c r="V1007" s="10"/>
      <c r="W1007" s="10"/>
      <c r="X1007" s="10"/>
      <c r="Y1007" s="10"/>
      <c r="Z1007" s="10"/>
    </row>
    <row r="1008">
      <c r="A1008" s="10"/>
      <c r="B1008" s="10"/>
      <c r="C1008" s="10"/>
      <c r="D1008" s="10"/>
      <c r="E1008" s="15"/>
      <c r="F1008" s="10"/>
      <c r="G1008" s="10"/>
      <c r="H1008" s="10"/>
      <c r="I1008" s="10"/>
      <c r="J1008" s="191"/>
      <c r="K1008" s="10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  <c r="V1008" s="10"/>
      <c r="W1008" s="10"/>
      <c r="X1008" s="10"/>
      <c r="Y1008" s="10"/>
      <c r="Z1008" s="10"/>
    </row>
    <row r="1009">
      <c r="A1009" s="10"/>
      <c r="B1009" s="10"/>
      <c r="C1009" s="10"/>
      <c r="D1009" s="10"/>
      <c r="E1009" s="15"/>
      <c r="F1009" s="10"/>
      <c r="G1009" s="10"/>
      <c r="H1009" s="10"/>
      <c r="I1009" s="10"/>
      <c r="J1009" s="191"/>
      <c r="K1009" s="10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  <c r="V1009" s="10"/>
      <c r="W1009" s="10"/>
      <c r="X1009" s="10"/>
      <c r="Y1009" s="10"/>
      <c r="Z1009" s="10"/>
    </row>
    <row r="1010">
      <c r="A1010" s="10"/>
      <c r="B1010" s="10"/>
      <c r="C1010" s="10"/>
      <c r="D1010" s="10"/>
      <c r="E1010" s="15"/>
      <c r="F1010" s="10"/>
      <c r="G1010" s="10"/>
      <c r="H1010" s="10"/>
      <c r="I1010" s="10"/>
      <c r="J1010" s="191"/>
      <c r="K1010" s="10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  <c r="V1010" s="10"/>
      <c r="W1010" s="10"/>
      <c r="X1010" s="10"/>
      <c r="Y1010" s="10"/>
      <c r="Z1010" s="10"/>
    </row>
    <row r="1011">
      <c r="A1011" s="10"/>
      <c r="B1011" s="10"/>
      <c r="C1011" s="10"/>
      <c r="D1011" s="10"/>
      <c r="E1011" s="15"/>
      <c r="F1011" s="10"/>
      <c r="G1011" s="10"/>
      <c r="H1011" s="10"/>
      <c r="I1011" s="10"/>
      <c r="J1011" s="191"/>
      <c r="K1011" s="10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  <c r="V1011" s="10"/>
      <c r="W1011" s="10"/>
      <c r="X1011" s="10"/>
      <c r="Y1011" s="10"/>
      <c r="Z1011" s="10"/>
    </row>
  </sheetData>
  <mergeCells count="5">
    <mergeCell ref="G5:H6"/>
    <mergeCell ref="M7:O7"/>
    <mergeCell ref="Q7:S7"/>
    <mergeCell ref="M9:O9"/>
    <mergeCell ref="Q9:S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9.5"/>
    <col customWidth="1" min="3" max="3" width="14.88"/>
    <col customWidth="1" min="4" max="5" width="11.63"/>
    <col customWidth="1" min="6" max="6" width="12.88"/>
    <col customWidth="1" min="7" max="7" width="22.25"/>
    <col customWidth="1" min="8" max="8" width="11.63"/>
    <col customWidth="1" min="9" max="10" width="13.13"/>
    <col customWidth="1" min="11" max="11" width="15.25"/>
    <col customWidth="1" min="12" max="12" width="15.63"/>
    <col customWidth="1" min="13" max="13" width="15.25"/>
    <col customWidth="1" min="14" max="14" width="13.25"/>
    <col customWidth="1" min="15" max="15" width="15.5"/>
    <col customWidth="1" min="16" max="16" width="15.25"/>
    <col customWidth="1" min="17" max="17" width="18.25"/>
    <col customWidth="1" min="18" max="18" width="19.5"/>
    <col customWidth="1" min="19" max="19" width="18.75"/>
    <col customWidth="1" min="20" max="20" width="3.13"/>
    <col customWidth="1" min="21" max="21" width="9.88"/>
    <col customWidth="1" min="22" max="22" width="3.5"/>
    <col customWidth="1" min="23" max="40" width="8.0"/>
  </cols>
  <sheetData>
    <row r="1" ht="18.0" customHeight="1">
      <c r="A1" s="10"/>
      <c r="B1" s="192" t="str">
        <f>IFERROR(__xludf.DUMMYFUNCTION("IMPORTRANGE(""https://docs.google.com/spreadsheets/d/1j-8kBYYPqmcXqtsp1nk42pAatSq0tHG-RvDmkOpWhbc/edit?gid=1519252238#gid=1519252238"",""PO MTRL!$B$1:$U"")"),"KONTROL PO MATERIAL")</f>
        <v>KONTROL PO MATERIAL</v>
      </c>
      <c r="C1" s="193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94"/>
      <c r="R1" s="195" t="str">
        <f>IFERROR(__xludf.DUMMYFUNCTION("""COMPUTED_VALUE""")," PERHATIAN :    
    &gt; ISI KOLOM WARNA KUNING
    &gt; SHEET TANDA KUNCI SEBAGAI REFERENSI
        (Tdk bisa diedit, tapi bisa dicoppy)
 ")</f>
        <v>PERHATIAN :    
    &gt; ISI KOLOM WARNA KUNING
    &gt; SHEET TANDA KUNCI SEBAGAI REFERENSI
        (Tdk bisa diedit, tapi bisa dicoppy)
</v>
      </c>
      <c r="T1" s="196"/>
      <c r="U1" s="8"/>
      <c r="V1" s="110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3.25" customHeight="1">
      <c r="A2" s="10"/>
      <c r="B2" s="133"/>
      <c r="C2" s="133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197"/>
      <c r="R2" s="122"/>
      <c r="S2" s="122"/>
      <c r="T2" s="198"/>
      <c r="U2" s="1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ht="21.75" customHeight="1">
      <c r="A3" s="44"/>
      <c r="B3" s="199"/>
      <c r="C3" s="200"/>
      <c r="D3" s="201"/>
      <c r="E3" s="201"/>
      <c r="F3" s="202"/>
      <c r="G3" s="203" t="str">
        <f>IFERROR(__xludf.DUMMYFUNCTION("""COMPUTED_VALUE"""),"PIC: LOGISTIK DIVISI")</f>
        <v>PIC: LOGISTIK DIVISI</v>
      </c>
      <c r="H3" s="203" t="str">
        <f>IFERROR(__xludf.DUMMYFUNCTION("""COMPUTED_VALUE"""),"T O T A L")</f>
        <v>T O T A L</v>
      </c>
      <c r="I3" s="204"/>
      <c r="J3" s="204"/>
      <c r="K3" s="40"/>
      <c r="L3" s="205">
        <f>IFERROR(__xludf.DUMMYFUNCTION("""COMPUTED_VALUE"""),1.58886E8)</f>
        <v>158886000</v>
      </c>
      <c r="M3" s="206"/>
      <c r="N3" s="206"/>
      <c r="O3" s="206"/>
      <c r="P3" s="206"/>
      <c r="Q3" s="205">
        <f>IFERROR(__xludf.DUMMYFUNCTION("""COMPUTED_VALUE"""),2.86910225E9)</f>
        <v>2869102250</v>
      </c>
      <c r="R3" s="207"/>
      <c r="S3" s="208"/>
      <c r="T3" s="209"/>
      <c r="U3" s="43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</row>
    <row r="4" ht="9.0" customHeight="1">
      <c r="A4" s="10"/>
      <c r="B4" s="133"/>
      <c r="C4" s="133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198"/>
      <c r="S4" s="198"/>
      <c r="T4" s="198"/>
      <c r="U4" s="16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ht="18.0" customHeight="1">
      <c r="A5" s="17"/>
      <c r="B5" s="210" t="str">
        <f>IFERROR(__xludf.DUMMYFUNCTION("""COMPUTED_VALUE"""),"NOMOR")</f>
        <v>NOMOR</v>
      </c>
      <c r="C5" s="211" t="str">
        <f>IFERROR(__xludf.DUMMYFUNCTION("""COMPUTED_VALUE"""),"NOMOR")</f>
        <v>NOMOR</v>
      </c>
      <c r="D5" s="212" t="str">
        <f>IFERROR(__xludf.DUMMYFUNCTION("""COMPUTED_VALUE"""),"KODE")</f>
        <v>KODE</v>
      </c>
      <c r="E5" s="212" t="str">
        <f>IFERROR(__xludf.DUMMYFUNCTION("""COMPUTED_VALUE"""),"KODE")</f>
        <v>KODE</v>
      </c>
      <c r="F5" s="211" t="str">
        <f>IFERROR(__xludf.DUMMYFUNCTION("""COMPUTED_VALUE"""),"TANGGAL")</f>
        <v>TANGGAL</v>
      </c>
      <c r="G5" s="211" t="str">
        <f>IFERROR(__xludf.DUMMYFUNCTION("""COMPUTED_VALUE"""),"JENIS MATERIAL")</f>
        <v>JENIS MATERIAL</v>
      </c>
      <c r="H5" s="211" t="str">
        <f>IFERROR(__xludf.DUMMYFUNCTION("""COMPUTED_VALUE"""),"SATUAN")</f>
        <v>SATUAN</v>
      </c>
      <c r="I5" s="213" t="str">
        <f>IFERROR(__xludf.DUMMYFUNCTION("""COMPUTED_VALUE"""),"HARSAT")</f>
        <v>HARSAT</v>
      </c>
      <c r="J5" s="214" t="str">
        <f>IFERROR(__xludf.DUMMYFUNCTION("""COMPUTED_VALUE"""),"KUANTITAS PO")</f>
        <v>KUANTITAS PO</v>
      </c>
      <c r="K5" s="215"/>
      <c r="L5" s="216" t="str">
        <f>IFERROR(__xludf.DUMMYFUNCTION("""COMPUTED_VALUE"""),"JUMLAH HARGA PO")</f>
        <v>JUMLAH HARGA PO</v>
      </c>
      <c r="M5" s="215"/>
      <c r="N5" s="217" t="str">
        <f>IFERROR(__xludf.DUMMYFUNCTION("""COMPUTED_VALUE"""),"SUMDA (RAPL)")</f>
        <v>SUMDA (RAPL)</v>
      </c>
      <c r="O5" s="215"/>
      <c r="P5" s="218" t="str">
        <f>IFERROR(__xludf.DUMMYFUNCTION("""COMPUTED_VALUE"""),"SELISIH PO THD RAPL")</f>
        <v>SELISIH PO THD RAPL</v>
      </c>
      <c r="Q5" s="215"/>
      <c r="R5" s="219" t="str">
        <f>IFERROR(__xludf.DUMMYFUNCTION("""COMPUTED_VALUE"""),"NAMA SUPLYER")</f>
        <v>NAMA SUPLYER</v>
      </c>
      <c r="S5" s="220" t="str">
        <f>IFERROR(__xludf.DUMMYFUNCTION("""COMPUTED_VALUE"""),"KETERANGAN")</f>
        <v>KETERANGAN</v>
      </c>
      <c r="T5" s="221"/>
      <c r="U5" s="16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</row>
    <row r="6" ht="18.0" customHeight="1">
      <c r="A6" s="17"/>
      <c r="B6" s="222" t="str">
        <f>IFERROR(__xludf.DUMMYFUNCTION("""COMPUTED_VALUE"""),"URUT PO")</f>
        <v>URUT PO</v>
      </c>
      <c r="C6" s="62" t="str">
        <f>IFERROR(__xludf.DUMMYFUNCTION("""COMPUTED_VALUE"""),"PO")</f>
        <v>PO</v>
      </c>
      <c r="D6" s="223" t="str">
        <f>IFERROR(__xludf.DUMMYFUNCTION("""COMPUTED_VALUE"""),"AKUN")</f>
        <v>AKUN</v>
      </c>
      <c r="E6" s="223" t="str">
        <f>IFERROR(__xludf.DUMMYFUNCTION("""COMPUTED_VALUE"""),"MATERIAL")</f>
        <v>MATERIAL</v>
      </c>
      <c r="F6" s="224"/>
      <c r="G6" s="224"/>
      <c r="H6" s="62"/>
      <c r="I6" s="225" t="str">
        <f>IFERROR(__xludf.DUMMYFUNCTION("""COMPUTED_VALUE"""),"PO")</f>
        <v>PO</v>
      </c>
      <c r="J6" s="226" t="str">
        <f>IFERROR(__xludf.DUMMYFUNCTION("""COMPUTED_VALUE"""),"SAAT INI")</f>
        <v>SAAT INI</v>
      </c>
      <c r="K6" s="227" t="str">
        <f>IFERROR(__xludf.DUMMYFUNCTION("""COMPUTED_VALUE"""),"AKUM (DIV+PROY)")</f>
        <v>AKUM (DIV+PROY)</v>
      </c>
      <c r="L6" s="228" t="str">
        <f>IFERROR(__xludf.DUMMYFUNCTION("""COMPUTED_VALUE"""),"SAAT INI")</f>
        <v>SAAT INI</v>
      </c>
      <c r="M6" s="229" t="str">
        <f>IFERROR(__xludf.DUMMYFUNCTION("""COMPUTED_VALUE"""),"AKUM (DIV+PROY)")</f>
        <v>AKUM (DIV+PROY)</v>
      </c>
      <c r="N6" s="230" t="str">
        <f>IFERROR(__xludf.DUMMYFUNCTION("""COMPUTED_VALUE"""),"KUANTITAS")</f>
        <v>KUANTITAS</v>
      </c>
      <c r="O6" s="230" t="str">
        <f>IFERROR(__xludf.DUMMYFUNCTION("""COMPUTED_VALUE"""),"JMH HRG")</f>
        <v>JMH HRG</v>
      </c>
      <c r="P6" s="231" t="str">
        <f>IFERROR(__xludf.DUMMYFUNCTION("""COMPUTED_VALUE"""),"KUANTITAS")</f>
        <v>KUANTITAS</v>
      </c>
      <c r="Q6" s="231" t="str">
        <f>IFERROR(__xludf.DUMMYFUNCTION("""COMPUTED_VALUE"""),"JMH HRG")</f>
        <v>JMH HRG</v>
      </c>
      <c r="R6" s="232"/>
      <c r="S6" s="233"/>
      <c r="T6" s="234"/>
      <c r="U6" s="16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</row>
    <row r="7" ht="18.0" customHeight="1">
      <c r="A7" s="17"/>
      <c r="B7" s="222" t="str">
        <f>IFERROR(__xludf.DUMMYFUNCTION("""COMPUTED_VALUE"""),"A")</f>
        <v>A</v>
      </c>
      <c r="C7" s="62" t="str">
        <f>IFERROR(__xludf.DUMMYFUNCTION("""COMPUTED_VALUE"""),"B")</f>
        <v>B</v>
      </c>
      <c r="D7" s="235" t="str">
        <f>IFERROR(__xludf.DUMMYFUNCTION("""COMPUTED_VALUE"""),"C")</f>
        <v>C</v>
      </c>
      <c r="E7" s="235" t="str">
        <f>IFERROR(__xludf.DUMMYFUNCTION("""COMPUTED_VALUE"""),"D")</f>
        <v>D</v>
      </c>
      <c r="F7" s="235" t="str">
        <f>IFERROR(__xludf.DUMMYFUNCTION("""COMPUTED_VALUE"""),"E")</f>
        <v>E</v>
      </c>
      <c r="G7" s="235" t="str">
        <f>IFERROR(__xludf.DUMMYFUNCTION("""COMPUTED_VALUE"""),"F")</f>
        <v>F</v>
      </c>
      <c r="H7" s="235" t="str">
        <f>IFERROR(__xludf.DUMMYFUNCTION("""COMPUTED_VALUE"""),"G")</f>
        <v>G</v>
      </c>
      <c r="I7" s="236" t="str">
        <f>IFERROR(__xludf.DUMMYFUNCTION("""COMPUTED_VALUE"""),"H")</f>
        <v>H</v>
      </c>
      <c r="J7" s="237" t="str">
        <f>IFERROR(__xludf.DUMMYFUNCTION("""COMPUTED_VALUE"""),"I")</f>
        <v>I</v>
      </c>
      <c r="K7" s="237" t="str">
        <f>IFERROR(__xludf.DUMMYFUNCTION("""COMPUTED_VALUE"""),"J")</f>
        <v>J</v>
      </c>
      <c r="L7" s="237" t="str">
        <f>IFERROR(__xludf.DUMMYFUNCTION("""COMPUTED_VALUE"""),"K= H x I")</f>
        <v>K= H x I</v>
      </c>
      <c r="M7" s="238" t="str">
        <f>IFERROR(__xludf.DUMMYFUNCTION("""COMPUTED_VALUE"""),"L")</f>
        <v>L</v>
      </c>
      <c r="N7" s="239" t="str">
        <f>IFERROR(__xludf.DUMMYFUNCTION("""COMPUTED_VALUE"""),"M")</f>
        <v>M</v>
      </c>
      <c r="O7" s="239" t="str">
        <f>IFERROR(__xludf.DUMMYFUNCTION("""COMPUTED_VALUE"""),"N")</f>
        <v>N</v>
      </c>
      <c r="P7" s="238" t="str">
        <f>IFERROR(__xludf.DUMMYFUNCTION("""COMPUTED_VALUE"""),"O= M - J")</f>
        <v>O= M - J</v>
      </c>
      <c r="Q7" s="238" t="str">
        <f>IFERROR(__xludf.DUMMYFUNCTION("""COMPUTED_VALUE"""),"P= N - L")</f>
        <v>P= N - L</v>
      </c>
      <c r="R7" s="240" t="str">
        <f>IFERROR(__xludf.DUMMYFUNCTION("""COMPUTED_VALUE"""),"Q")</f>
        <v>Q</v>
      </c>
      <c r="S7" s="241" t="str">
        <f>IFERROR(__xludf.DUMMYFUNCTION("""COMPUTED_VALUE"""),"R")</f>
        <v>R</v>
      </c>
      <c r="T7" s="198"/>
      <c r="U7" s="57" t="str">
        <f>IFERROR(__xludf.DUMMYFUNCTION("""COMPUTED_VALUE"""),"CATATAN :")</f>
        <v>CATATAN :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</row>
    <row r="8" ht="13.5" customHeight="1">
      <c r="A8" s="242"/>
      <c r="B8" s="243"/>
      <c r="C8" s="244"/>
      <c r="D8" s="68"/>
      <c r="E8" s="245"/>
      <c r="F8" s="245"/>
      <c r="G8" s="245"/>
      <c r="H8" s="245"/>
      <c r="I8" s="246"/>
      <c r="J8" s="246"/>
      <c r="K8" s="245"/>
      <c r="L8" s="245"/>
      <c r="M8" s="247"/>
      <c r="N8" s="247"/>
      <c r="O8" s="247"/>
      <c r="P8" s="247"/>
      <c r="Q8" s="247"/>
      <c r="R8" s="248"/>
      <c r="S8" s="249"/>
      <c r="T8" s="198"/>
      <c r="U8" s="57" t="str">
        <f>IFERROR(__xludf.DUMMYFUNCTION("""COMPUTED_VALUE"""),"1. B511")</f>
        <v>1. B511</v>
      </c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</row>
    <row r="9" ht="15.75" customHeight="1">
      <c r="A9" s="250"/>
      <c r="B9" s="251">
        <f>IFERROR(__xludf.DUMMYFUNCTION("""COMPUTED_VALUE"""),1.0)</f>
        <v>1</v>
      </c>
      <c r="C9" s="252" t="str">
        <f>IFERROR(__xludf.DUMMYFUNCTION("""COMPUTED_VALUE""")," PO1 ")</f>
        <v>PO1</v>
      </c>
      <c r="D9" s="253">
        <f>IFERROR(__xludf.DUMMYFUNCTION("""COMPUTED_VALUE"""),2.0)</f>
        <v>2</v>
      </c>
      <c r="E9" s="254" t="str">
        <f>IFERROR(__xludf.DUMMYFUNCTION("""COMPUTED_VALUE""")," M002 ")</f>
        <v>M002</v>
      </c>
      <c r="F9" s="255">
        <f>IFERROR(__xludf.DUMMYFUNCTION("""COMPUTED_VALUE"""),46154.0)</f>
        <v>46154</v>
      </c>
      <c r="G9" s="256" t="str">
        <f>IFERROR(__xludf.DUMMYFUNCTION("""COMPUTED_VALUE""")," Baja Tul Ulir ")</f>
        <v>Baja Tul Ulir</v>
      </c>
      <c r="H9" s="252" t="str">
        <f>IFERROR(__xludf.DUMMYFUNCTION("""COMPUTED_VALUE""")," KG ")</f>
        <v>KG</v>
      </c>
      <c r="I9" s="257">
        <f>IFERROR(__xludf.DUMMYFUNCTION("""COMPUTED_VALUE"""),8500.0)</f>
        <v>8500</v>
      </c>
      <c r="J9" s="257">
        <f>IFERROR(__xludf.DUMMYFUNCTION("""COMPUTED_VALUE"""),5000.0)</f>
        <v>5000</v>
      </c>
      <c r="K9" s="257">
        <f>IFERROR(__xludf.DUMMYFUNCTION("""COMPUTED_VALUE"""),7000.0)</f>
        <v>7000</v>
      </c>
      <c r="L9" s="258">
        <f>IFERROR(__xludf.DUMMYFUNCTION("""COMPUTED_VALUE"""),4.25E7)</f>
        <v>42500000</v>
      </c>
      <c r="M9" s="258">
        <f>IFERROR(__xludf.DUMMYFUNCTION("""COMPUTED_VALUE"""),6.05E7)</f>
        <v>60500000</v>
      </c>
      <c r="N9" s="258">
        <f>IFERROR(__xludf.DUMMYFUNCTION("""COMPUTED_VALUE"""),146156.25)</f>
        <v>146156.25</v>
      </c>
      <c r="O9" s="258">
        <f>IFERROR(__xludf.DUMMYFUNCTION("""COMPUTED_VALUE"""),1.242328125E9)</f>
        <v>1242328125</v>
      </c>
      <c r="P9" s="258">
        <f>IFERROR(__xludf.DUMMYFUNCTION("""COMPUTED_VALUE"""),139156.25)</f>
        <v>139156.25</v>
      </c>
      <c r="Q9" s="258">
        <f>IFERROR(__xludf.DUMMYFUNCTION("""COMPUTED_VALUE"""),1.181828125E9)</f>
        <v>1181828125</v>
      </c>
      <c r="R9" s="259" t="str">
        <f>IFERROR(__xludf.DUMMYFUNCTION("""COMPUTED_VALUE"""),"KKK")</f>
        <v>KKK</v>
      </c>
      <c r="S9" s="260" t="str">
        <f>IFERROR(__xludf.DUMMYFUNCTION("""COMPUTED_VALUE"""),"XXX")</f>
        <v>XXX</v>
      </c>
      <c r="T9" s="261"/>
      <c r="U9" s="262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</row>
    <row r="10" ht="15.75" customHeight="1">
      <c r="A10" s="250"/>
      <c r="B10" s="251">
        <f>IFERROR(__xludf.DUMMYFUNCTION("""COMPUTED_VALUE"""),2.0)</f>
        <v>2</v>
      </c>
      <c r="C10" s="252" t="str">
        <f>IFERROR(__xludf.DUMMYFUNCTION("""COMPUTED_VALUE""")," PO2 ")</f>
        <v>PO2</v>
      </c>
      <c r="D10" s="253">
        <f>IFERROR(__xludf.DUMMYFUNCTION("""COMPUTED_VALUE"""),2.0)</f>
        <v>2</v>
      </c>
      <c r="E10" s="254" t="str">
        <f>IFERROR(__xludf.DUMMYFUNCTION("""COMPUTED_VALUE""")," M002 ")</f>
        <v>M002</v>
      </c>
      <c r="F10" s="255">
        <f>IFERROR(__xludf.DUMMYFUNCTION("""COMPUTED_VALUE"""),46157.0)</f>
        <v>46157</v>
      </c>
      <c r="G10" s="256" t="str">
        <f>IFERROR(__xludf.DUMMYFUNCTION("""COMPUTED_VALUE""")," Baja Tul Ulir ")</f>
        <v>Baja Tul Ulir</v>
      </c>
      <c r="H10" s="252" t="str">
        <f>IFERROR(__xludf.DUMMYFUNCTION("""COMPUTED_VALUE""")," KG ")</f>
        <v>KG</v>
      </c>
      <c r="I10" s="257">
        <f>IFERROR(__xludf.DUMMYFUNCTION("""COMPUTED_VALUE"""),9000.0)</f>
        <v>9000</v>
      </c>
      <c r="J10" s="257">
        <f>IFERROR(__xludf.DUMMYFUNCTION("""COMPUTED_VALUE"""),2000.0)</f>
        <v>2000</v>
      </c>
      <c r="K10" s="257">
        <f>IFERROR(__xludf.DUMMYFUNCTION("""COMPUTED_VALUE"""),7000.0)</f>
        <v>7000</v>
      </c>
      <c r="L10" s="258">
        <f>IFERROR(__xludf.DUMMYFUNCTION("""COMPUTED_VALUE"""),1.8E7)</f>
        <v>18000000</v>
      </c>
      <c r="M10" s="258">
        <f>IFERROR(__xludf.DUMMYFUNCTION("""COMPUTED_VALUE"""),6.05E7)</f>
        <v>60500000</v>
      </c>
      <c r="N10" s="258">
        <f>IFERROR(__xludf.DUMMYFUNCTION("""COMPUTED_VALUE"""),146156.25)</f>
        <v>146156.25</v>
      </c>
      <c r="O10" s="258">
        <f>IFERROR(__xludf.DUMMYFUNCTION("""COMPUTED_VALUE"""),1.242328125E9)</f>
        <v>1242328125</v>
      </c>
      <c r="P10" s="258">
        <f>IFERROR(__xludf.DUMMYFUNCTION("""COMPUTED_VALUE"""),139156.25)</f>
        <v>139156.25</v>
      </c>
      <c r="Q10" s="258">
        <f>IFERROR(__xludf.DUMMYFUNCTION("""COMPUTED_VALUE"""),1.181828125E9)</f>
        <v>1181828125</v>
      </c>
      <c r="R10" s="259" t="str">
        <f>IFERROR(__xludf.DUMMYFUNCTION("""COMPUTED_VALUE"""),"LLL")</f>
        <v>LLL</v>
      </c>
      <c r="S10" s="260" t="str">
        <f>IFERROR(__xludf.DUMMYFUNCTION("""COMPUTED_VALUE"""),"XXX")</f>
        <v>XXX</v>
      </c>
      <c r="T10" s="261"/>
      <c r="U10" s="262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</row>
    <row r="11" ht="15.75" customHeight="1">
      <c r="A11" s="250"/>
      <c r="B11" s="251">
        <f>IFERROR(__xludf.DUMMYFUNCTION("""COMPUTED_VALUE"""),3.0)</f>
        <v>3</v>
      </c>
      <c r="C11" s="252"/>
      <c r="D11" s="253" t="str">
        <f>IFERROR(__xludf.DUMMYFUNCTION("""COMPUTED_VALUE"""),"")</f>
        <v/>
      </c>
      <c r="E11" s="254">
        <f>IFERROR(__xludf.DUMMYFUNCTION("""COMPUTED_VALUE"""),0.0)</f>
        <v>0</v>
      </c>
      <c r="F11" s="255"/>
      <c r="G11" s="256"/>
      <c r="H11" s="252">
        <f>IFERROR(__xludf.DUMMYFUNCTION("""COMPUTED_VALUE"""),0.0)</f>
        <v>0</v>
      </c>
      <c r="I11" s="257"/>
      <c r="J11" s="257"/>
      <c r="K11" s="257">
        <f>IFERROR(__xludf.DUMMYFUNCTION("""COMPUTED_VALUE"""),0.0)</f>
        <v>0</v>
      </c>
      <c r="L11" s="258">
        <f>IFERROR(__xludf.DUMMYFUNCTION("""COMPUTED_VALUE"""),0.0)</f>
        <v>0</v>
      </c>
      <c r="M11" s="258">
        <f>IFERROR(__xludf.DUMMYFUNCTION("""COMPUTED_VALUE"""),0.0)</f>
        <v>0</v>
      </c>
      <c r="N11" s="258">
        <f>IFERROR(__xludf.DUMMYFUNCTION("""COMPUTED_VALUE"""),0.0)</f>
        <v>0</v>
      </c>
      <c r="O11" s="258">
        <f>IFERROR(__xludf.DUMMYFUNCTION("""COMPUTED_VALUE"""),0.0)</f>
        <v>0</v>
      </c>
      <c r="P11" s="258">
        <f>IFERROR(__xludf.DUMMYFUNCTION("""COMPUTED_VALUE"""),0.0)</f>
        <v>0</v>
      </c>
      <c r="Q11" s="258">
        <f>IFERROR(__xludf.DUMMYFUNCTION("""COMPUTED_VALUE"""),0.0)</f>
        <v>0</v>
      </c>
      <c r="R11" s="259"/>
      <c r="S11" s="260"/>
      <c r="T11" s="261"/>
      <c r="U11" s="262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</row>
    <row r="12" ht="15.75" customHeight="1">
      <c r="A12" s="250"/>
      <c r="B12" s="251">
        <f>IFERROR(__xludf.DUMMYFUNCTION("""COMPUTED_VALUE"""),4.0)</f>
        <v>4</v>
      </c>
      <c r="C12" s="252" t="str">
        <f>IFERROR(__xludf.DUMMYFUNCTION("""COMPUTED_VALUE""")," PO3 ")</f>
        <v>PO3</v>
      </c>
      <c r="D12" s="253">
        <f>IFERROR(__xludf.DUMMYFUNCTION("""COMPUTED_VALUE"""),7.0)</f>
        <v>7</v>
      </c>
      <c r="E12" s="254" t="str">
        <f>IFERROR(__xludf.DUMMYFUNCTION("""COMPUTED_VALUE""")," M007 ")</f>
        <v>M007</v>
      </c>
      <c r="F12" s="255">
        <f>IFERROR(__xludf.DUMMYFUNCTION("""COMPUTED_VALUE"""),46158.0)</f>
        <v>46158</v>
      </c>
      <c r="G12" s="256" t="str">
        <f>IFERROR(__xludf.DUMMYFUNCTION("""COMPUTED_VALUE""")," Multipleks 18 mm ")</f>
        <v>Multipleks 18 mm</v>
      </c>
      <c r="H12" s="252" t="str">
        <f>IFERROR(__xludf.DUMMYFUNCTION("""COMPUTED_VALUE""")," LBR ")</f>
        <v>LBR</v>
      </c>
      <c r="I12" s="257">
        <f>IFERROR(__xludf.DUMMYFUNCTION("""COMPUTED_VALUE"""),250000.0)</f>
        <v>250000</v>
      </c>
      <c r="J12" s="257">
        <f>IFERROR(__xludf.DUMMYFUNCTION("""COMPUTED_VALUE"""),10.0)</f>
        <v>10</v>
      </c>
      <c r="K12" s="257">
        <f>IFERROR(__xludf.DUMMYFUNCTION("""COMPUTED_VALUE"""),10.0)</f>
        <v>10</v>
      </c>
      <c r="L12" s="258">
        <f>IFERROR(__xludf.DUMMYFUNCTION("""COMPUTED_VALUE"""),2500000.0)</f>
        <v>2500000</v>
      </c>
      <c r="M12" s="258">
        <f>IFERROR(__xludf.DUMMYFUNCTION("""COMPUTED_VALUE"""),2500000.0)</f>
        <v>2500000</v>
      </c>
      <c r="N12" s="258">
        <f>IFERROR(__xludf.DUMMYFUNCTION("""COMPUTED_VALUE"""),60.0)</f>
        <v>60</v>
      </c>
      <c r="O12" s="258">
        <f>IFERROR(__xludf.DUMMYFUNCTION("""COMPUTED_VALUE"""),1.5E7)</f>
        <v>15000000</v>
      </c>
      <c r="P12" s="258">
        <f>IFERROR(__xludf.DUMMYFUNCTION("""COMPUTED_VALUE"""),50.0)</f>
        <v>50</v>
      </c>
      <c r="Q12" s="258">
        <f>IFERROR(__xludf.DUMMYFUNCTION("""COMPUTED_VALUE"""),1.25E7)</f>
        <v>12500000</v>
      </c>
      <c r="R12" s="259" t="str">
        <f>IFERROR(__xludf.DUMMYFUNCTION("""COMPUTED_VALUE"""),"GGG")</f>
        <v>GGG</v>
      </c>
      <c r="S12" s="260" t="str">
        <f>IFERROR(__xludf.DUMMYFUNCTION("""COMPUTED_VALUE"""),"XXX")</f>
        <v>XXX</v>
      </c>
      <c r="T12" s="261"/>
      <c r="U12" s="262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</row>
    <row r="13" ht="15.75" customHeight="1">
      <c r="A13" s="250"/>
      <c r="B13" s="251">
        <f>IFERROR(__xludf.DUMMYFUNCTION("""COMPUTED_VALUE"""),5.0)</f>
        <v>5</v>
      </c>
      <c r="C13" s="252" t="str">
        <f>IFERROR(__xludf.DUMMYFUNCTION("""COMPUTED_VALUE""")," PO3 ")</f>
        <v>PO3</v>
      </c>
      <c r="D13" s="253">
        <f>IFERROR(__xludf.DUMMYFUNCTION("""COMPUTED_VALUE"""),8.0)</f>
        <v>8</v>
      </c>
      <c r="E13" s="254" t="str">
        <f>IFERROR(__xludf.DUMMYFUNCTION("""COMPUTED_VALUE""")," M008 ")</f>
        <v>M008</v>
      </c>
      <c r="F13" s="255">
        <f>IFERROR(__xludf.DUMMYFUNCTION("""COMPUTED_VALUE"""),46158.0)</f>
        <v>46158</v>
      </c>
      <c r="G13" s="256" t="str">
        <f>IFERROR(__xludf.DUMMYFUNCTION("""COMPUTED_VALUE""")," Paku ")</f>
        <v>Paku</v>
      </c>
      <c r="H13" s="252" t="str">
        <f>IFERROR(__xludf.DUMMYFUNCTION("""COMPUTED_VALUE""")," KG ")</f>
        <v>KG</v>
      </c>
      <c r="I13" s="257">
        <f>IFERROR(__xludf.DUMMYFUNCTION("""COMPUTED_VALUE"""),20000.0)</f>
        <v>20000</v>
      </c>
      <c r="J13" s="257">
        <f>IFERROR(__xludf.DUMMYFUNCTION("""COMPUTED_VALUE"""),8.0)</f>
        <v>8</v>
      </c>
      <c r="K13" s="257">
        <f>IFERROR(__xludf.DUMMYFUNCTION("""COMPUTED_VALUE"""),10.0)</f>
        <v>10</v>
      </c>
      <c r="L13" s="258">
        <f>IFERROR(__xludf.DUMMYFUNCTION("""COMPUTED_VALUE"""),160000.0)</f>
        <v>160000</v>
      </c>
      <c r="M13" s="258">
        <f>IFERROR(__xludf.DUMMYFUNCTION("""COMPUTED_VALUE"""),202000.0)</f>
        <v>202000</v>
      </c>
      <c r="N13" s="258">
        <f>IFERROR(__xludf.DUMMYFUNCTION("""COMPUTED_VALUE"""),30.0)</f>
        <v>30</v>
      </c>
      <c r="O13" s="258">
        <f>IFERROR(__xludf.DUMMYFUNCTION("""COMPUTED_VALUE"""),600000.0)</f>
        <v>600000</v>
      </c>
      <c r="P13" s="258">
        <f>IFERROR(__xludf.DUMMYFUNCTION("""COMPUTED_VALUE"""),20.0)</f>
        <v>20</v>
      </c>
      <c r="Q13" s="258">
        <f>IFERROR(__xludf.DUMMYFUNCTION("""COMPUTED_VALUE"""),398000.0)</f>
        <v>398000</v>
      </c>
      <c r="R13" s="259" t="str">
        <f>IFERROR(__xludf.DUMMYFUNCTION("""COMPUTED_VALUE"""),"GGG")</f>
        <v>GGG</v>
      </c>
      <c r="S13" s="260" t="str">
        <f>IFERROR(__xludf.DUMMYFUNCTION("""COMPUTED_VALUE"""),"XXX")</f>
        <v>XXX</v>
      </c>
      <c r="T13" s="261"/>
      <c r="U13" s="262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</row>
    <row r="14" ht="15.75" customHeight="1">
      <c r="A14" s="250"/>
      <c r="B14" s="251">
        <f>IFERROR(__xludf.DUMMYFUNCTION("""COMPUTED_VALUE"""),6.0)</f>
        <v>6</v>
      </c>
      <c r="C14" s="252"/>
      <c r="D14" s="253" t="str">
        <f>IFERROR(__xludf.DUMMYFUNCTION("""COMPUTED_VALUE"""),"")</f>
        <v/>
      </c>
      <c r="E14" s="254">
        <f>IFERROR(__xludf.DUMMYFUNCTION("""COMPUTED_VALUE"""),0.0)</f>
        <v>0</v>
      </c>
      <c r="F14" s="255"/>
      <c r="G14" s="256"/>
      <c r="H14" s="252">
        <f>IFERROR(__xludf.DUMMYFUNCTION("""COMPUTED_VALUE"""),0.0)</f>
        <v>0</v>
      </c>
      <c r="I14" s="257"/>
      <c r="J14" s="257"/>
      <c r="K14" s="257">
        <f>IFERROR(__xludf.DUMMYFUNCTION("""COMPUTED_VALUE"""),0.0)</f>
        <v>0</v>
      </c>
      <c r="L14" s="258">
        <f>IFERROR(__xludf.DUMMYFUNCTION("""COMPUTED_VALUE"""),0.0)</f>
        <v>0</v>
      </c>
      <c r="M14" s="258">
        <f>IFERROR(__xludf.DUMMYFUNCTION("""COMPUTED_VALUE"""),0.0)</f>
        <v>0</v>
      </c>
      <c r="N14" s="258">
        <f>IFERROR(__xludf.DUMMYFUNCTION("""COMPUTED_VALUE"""),0.0)</f>
        <v>0</v>
      </c>
      <c r="O14" s="258">
        <f>IFERROR(__xludf.DUMMYFUNCTION("""COMPUTED_VALUE"""),0.0)</f>
        <v>0</v>
      </c>
      <c r="P14" s="258">
        <f>IFERROR(__xludf.DUMMYFUNCTION("""COMPUTED_VALUE"""),0.0)</f>
        <v>0</v>
      </c>
      <c r="Q14" s="258">
        <f>IFERROR(__xludf.DUMMYFUNCTION("""COMPUTED_VALUE"""),0.0)</f>
        <v>0</v>
      </c>
      <c r="R14" s="259"/>
      <c r="S14" s="260"/>
      <c r="T14" s="261"/>
      <c r="U14" s="262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</row>
    <row r="15" ht="15.75" customHeight="1">
      <c r="A15" s="250"/>
      <c r="B15" s="251">
        <f>IFERROR(__xludf.DUMMYFUNCTION("""COMPUTED_VALUE"""),7.0)</f>
        <v>7</v>
      </c>
      <c r="C15" s="252" t="str">
        <f>IFERROR(__xludf.DUMMYFUNCTION("""COMPUTED_VALUE""")," PO4 ")</f>
        <v>PO4</v>
      </c>
      <c r="D15" s="253">
        <f>IFERROR(__xludf.DUMMYFUNCTION("""COMPUTED_VALUE"""),3.0)</f>
        <v>3</v>
      </c>
      <c r="E15" s="254" t="str">
        <f>IFERROR(__xludf.DUMMYFUNCTION("""COMPUTED_VALUE""")," M003 ")</f>
        <v>M003</v>
      </c>
      <c r="F15" s="255">
        <f>IFERROR(__xludf.DUMMYFUNCTION("""COMPUTED_VALUE"""),46160.0)</f>
        <v>46160</v>
      </c>
      <c r="G15" s="256" t="str">
        <f>IFERROR(__xludf.DUMMYFUNCTION("""COMPUTED_VALUE""")," Beton Ready fc' 30 MPa ")</f>
        <v>Beton Ready fc' 30 MPa</v>
      </c>
      <c r="H15" s="252" t="str">
        <f>IFERROR(__xludf.DUMMYFUNCTION("""COMPUTED_VALUE""")," M3 ")</f>
        <v>M3</v>
      </c>
      <c r="I15" s="258">
        <f>IFERROR(__xludf.DUMMYFUNCTION("""COMPUTED_VALUE"""),200000.0)</f>
        <v>200000</v>
      </c>
      <c r="J15" s="258">
        <f>IFERROR(__xludf.DUMMYFUNCTION("""COMPUTED_VALUE"""),25.0)</f>
        <v>25</v>
      </c>
      <c r="K15" s="257">
        <f>IFERROR(__xludf.DUMMYFUNCTION("""COMPUTED_VALUE"""),25.0)</f>
        <v>25</v>
      </c>
      <c r="L15" s="258">
        <f>IFERROR(__xludf.DUMMYFUNCTION("""COMPUTED_VALUE"""),5000000.0)</f>
        <v>5000000</v>
      </c>
      <c r="M15" s="258">
        <f>IFERROR(__xludf.DUMMYFUNCTION("""COMPUTED_VALUE"""),5000000.0)</f>
        <v>5000000</v>
      </c>
      <c r="N15" s="258">
        <f>IFERROR(__xludf.DUMMYFUNCTION("""COMPUTED_VALUE"""),474.375)</f>
        <v>474.375</v>
      </c>
      <c r="O15" s="258">
        <f>IFERROR(__xludf.DUMMYFUNCTION("""COMPUTED_VALUE"""),4.9335E8)</f>
        <v>493350000</v>
      </c>
      <c r="P15" s="258">
        <f>IFERROR(__xludf.DUMMYFUNCTION("""COMPUTED_VALUE"""),449.375)</f>
        <v>449.375</v>
      </c>
      <c r="Q15" s="258">
        <f>IFERROR(__xludf.DUMMYFUNCTION("""COMPUTED_VALUE"""),4.8835E8)</f>
        <v>488350000</v>
      </c>
      <c r="R15" s="259" t="str">
        <f>IFERROR(__xludf.DUMMYFUNCTION("""COMPUTED_VALUE"""),"JJJ")</f>
        <v>JJJ</v>
      </c>
      <c r="S15" s="260" t="str">
        <f>IFERROR(__xludf.DUMMYFUNCTION("""COMPUTED_VALUE"""),"XXX")</f>
        <v>XXX</v>
      </c>
      <c r="T15" s="261"/>
      <c r="U15" s="262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</row>
    <row r="16" ht="15.75" customHeight="1">
      <c r="A16" s="250"/>
      <c r="B16" s="251">
        <f>IFERROR(__xludf.DUMMYFUNCTION("""COMPUTED_VALUE"""),8.0)</f>
        <v>8</v>
      </c>
      <c r="C16" s="252"/>
      <c r="D16" s="253" t="str">
        <f>IFERROR(__xludf.DUMMYFUNCTION("""COMPUTED_VALUE"""),"")</f>
        <v/>
      </c>
      <c r="E16" s="254">
        <f>IFERROR(__xludf.DUMMYFUNCTION("""COMPUTED_VALUE"""),0.0)</f>
        <v>0</v>
      </c>
      <c r="F16" s="255"/>
      <c r="G16" s="256"/>
      <c r="H16" s="252">
        <f>IFERROR(__xludf.DUMMYFUNCTION("""COMPUTED_VALUE"""),0.0)</f>
        <v>0</v>
      </c>
      <c r="I16" s="258"/>
      <c r="J16" s="258"/>
      <c r="K16" s="257">
        <f>IFERROR(__xludf.DUMMYFUNCTION("""COMPUTED_VALUE"""),0.0)</f>
        <v>0</v>
      </c>
      <c r="L16" s="258">
        <f>IFERROR(__xludf.DUMMYFUNCTION("""COMPUTED_VALUE"""),0.0)</f>
        <v>0</v>
      </c>
      <c r="M16" s="258">
        <f>IFERROR(__xludf.DUMMYFUNCTION("""COMPUTED_VALUE"""),0.0)</f>
        <v>0</v>
      </c>
      <c r="N16" s="258">
        <f>IFERROR(__xludf.DUMMYFUNCTION("""COMPUTED_VALUE"""),0.0)</f>
        <v>0</v>
      </c>
      <c r="O16" s="258">
        <f>IFERROR(__xludf.DUMMYFUNCTION("""COMPUTED_VALUE"""),0.0)</f>
        <v>0</v>
      </c>
      <c r="P16" s="258">
        <f>IFERROR(__xludf.DUMMYFUNCTION("""COMPUTED_VALUE"""),0.0)</f>
        <v>0</v>
      </c>
      <c r="Q16" s="258">
        <f>IFERROR(__xludf.DUMMYFUNCTION("""COMPUTED_VALUE"""),0.0)</f>
        <v>0</v>
      </c>
      <c r="R16" s="259"/>
      <c r="S16" s="260"/>
      <c r="T16" s="261"/>
      <c r="U16" s="262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</row>
    <row r="17" ht="15.75" customHeight="1">
      <c r="A17" s="250"/>
      <c r="B17" s="251">
        <f>IFERROR(__xludf.DUMMYFUNCTION("""COMPUTED_VALUE"""),9.0)</f>
        <v>9</v>
      </c>
      <c r="C17" s="252"/>
      <c r="D17" s="253" t="str">
        <f>IFERROR(__xludf.DUMMYFUNCTION("""COMPUTED_VALUE"""),"")</f>
        <v/>
      </c>
      <c r="E17" s="254">
        <f>IFERROR(__xludf.DUMMYFUNCTION("""COMPUTED_VALUE"""),0.0)</f>
        <v>0</v>
      </c>
      <c r="F17" s="255"/>
      <c r="G17" s="256"/>
      <c r="H17" s="252">
        <f>IFERROR(__xludf.DUMMYFUNCTION("""COMPUTED_VALUE"""),0.0)</f>
        <v>0</v>
      </c>
      <c r="I17" s="258"/>
      <c r="J17" s="258"/>
      <c r="K17" s="257">
        <f>IFERROR(__xludf.DUMMYFUNCTION("""COMPUTED_VALUE"""),0.0)</f>
        <v>0</v>
      </c>
      <c r="L17" s="258">
        <f>IFERROR(__xludf.DUMMYFUNCTION("""COMPUTED_VALUE"""),0.0)</f>
        <v>0</v>
      </c>
      <c r="M17" s="258">
        <f>IFERROR(__xludf.DUMMYFUNCTION("""COMPUTED_VALUE"""),0.0)</f>
        <v>0</v>
      </c>
      <c r="N17" s="258">
        <f>IFERROR(__xludf.DUMMYFUNCTION("""COMPUTED_VALUE"""),0.0)</f>
        <v>0</v>
      </c>
      <c r="O17" s="258">
        <f>IFERROR(__xludf.DUMMYFUNCTION("""COMPUTED_VALUE"""),0.0)</f>
        <v>0</v>
      </c>
      <c r="P17" s="258">
        <f>IFERROR(__xludf.DUMMYFUNCTION("""COMPUTED_VALUE"""),0.0)</f>
        <v>0</v>
      </c>
      <c r="Q17" s="258">
        <f>IFERROR(__xludf.DUMMYFUNCTION("""COMPUTED_VALUE"""),0.0)</f>
        <v>0</v>
      </c>
      <c r="R17" s="259"/>
      <c r="S17" s="260"/>
      <c r="T17" s="261"/>
      <c r="U17" s="262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</row>
    <row r="18" ht="15.75" customHeight="1">
      <c r="A18" s="250"/>
      <c r="B18" s="251">
        <f>IFERROR(__xludf.DUMMYFUNCTION("""COMPUTED_VALUE"""),10.0)</f>
        <v>10</v>
      </c>
      <c r="C18" s="252"/>
      <c r="D18" s="253" t="str">
        <f>IFERROR(__xludf.DUMMYFUNCTION("""COMPUTED_VALUE"""),"")</f>
        <v/>
      </c>
      <c r="E18" s="254">
        <f>IFERROR(__xludf.DUMMYFUNCTION("""COMPUTED_VALUE"""),0.0)</f>
        <v>0</v>
      </c>
      <c r="F18" s="255"/>
      <c r="G18" s="256"/>
      <c r="H18" s="252">
        <f>IFERROR(__xludf.DUMMYFUNCTION("""COMPUTED_VALUE"""),0.0)</f>
        <v>0</v>
      </c>
      <c r="I18" s="258"/>
      <c r="J18" s="258"/>
      <c r="K18" s="257">
        <f>IFERROR(__xludf.DUMMYFUNCTION("""COMPUTED_VALUE"""),0.0)</f>
        <v>0</v>
      </c>
      <c r="L18" s="258">
        <f>IFERROR(__xludf.DUMMYFUNCTION("""COMPUTED_VALUE"""),0.0)</f>
        <v>0</v>
      </c>
      <c r="M18" s="258">
        <f>IFERROR(__xludf.DUMMYFUNCTION("""COMPUTED_VALUE"""),0.0)</f>
        <v>0</v>
      </c>
      <c r="N18" s="258">
        <f>IFERROR(__xludf.DUMMYFUNCTION("""COMPUTED_VALUE"""),0.0)</f>
        <v>0</v>
      </c>
      <c r="O18" s="258">
        <f>IFERROR(__xludf.DUMMYFUNCTION("""COMPUTED_VALUE"""),0.0)</f>
        <v>0</v>
      </c>
      <c r="P18" s="258">
        <f>IFERROR(__xludf.DUMMYFUNCTION("""COMPUTED_VALUE"""),0.0)</f>
        <v>0</v>
      </c>
      <c r="Q18" s="258">
        <f>IFERROR(__xludf.DUMMYFUNCTION("""COMPUTED_VALUE"""),0.0)</f>
        <v>0</v>
      </c>
      <c r="R18" s="259"/>
      <c r="S18" s="260"/>
      <c r="T18" s="261"/>
      <c r="U18" s="262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</row>
    <row r="19" ht="15.75" customHeight="1">
      <c r="A19" s="250"/>
      <c r="B19" s="251">
        <f>IFERROR(__xludf.DUMMYFUNCTION("""COMPUTED_VALUE"""),11.0)</f>
        <v>11</v>
      </c>
      <c r="C19" s="252"/>
      <c r="D19" s="253" t="str">
        <f>IFERROR(__xludf.DUMMYFUNCTION("""COMPUTED_VALUE"""),"")</f>
        <v/>
      </c>
      <c r="E19" s="254">
        <f>IFERROR(__xludf.DUMMYFUNCTION("""COMPUTED_VALUE"""),0.0)</f>
        <v>0</v>
      </c>
      <c r="F19" s="255"/>
      <c r="G19" s="256"/>
      <c r="H19" s="252">
        <f>IFERROR(__xludf.DUMMYFUNCTION("""COMPUTED_VALUE"""),0.0)</f>
        <v>0</v>
      </c>
      <c r="I19" s="258"/>
      <c r="J19" s="258"/>
      <c r="K19" s="257">
        <f>IFERROR(__xludf.DUMMYFUNCTION("""COMPUTED_VALUE"""),0.0)</f>
        <v>0</v>
      </c>
      <c r="L19" s="258">
        <f>IFERROR(__xludf.DUMMYFUNCTION("""COMPUTED_VALUE"""),0.0)</f>
        <v>0</v>
      </c>
      <c r="M19" s="258">
        <f>IFERROR(__xludf.DUMMYFUNCTION("""COMPUTED_VALUE"""),0.0)</f>
        <v>0</v>
      </c>
      <c r="N19" s="258">
        <f>IFERROR(__xludf.DUMMYFUNCTION("""COMPUTED_VALUE"""),0.0)</f>
        <v>0</v>
      </c>
      <c r="O19" s="258">
        <f>IFERROR(__xludf.DUMMYFUNCTION("""COMPUTED_VALUE"""),0.0)</f>
        <v>0</v>
      </c>
      <c r="P19" s="258">
        <f>IFERROR(__xludf.DUMMYFUNCTION("""COMPUTED_VALUE"""),0.0)</f>
        <v>0</v>
      </c>
      <c r="Q19" s="258">
        <f>IFERROR(__xludf.DUMMYFUNCTION("""COMPUTED_VALUE"""),0.0)</f>
        <v>0</v>
      </c>
      <c r="R19" s="259"/>
      <c r="S19" s="260"/>
      <c r="T19" s="261"/>
      <c r="U19" s="262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</row>
    <row r="20" ht="15.75" customHeight="1">
      <c r="A20" s="250"/>
      <c r="B20" s="251">
        <f>IFERROR(__xludf.DUMMYFUNCTION("""COMPUTED_VALUE"""),12.0)</f>
        <v>12</v>
      </c>
      <c r="C20" s="252"/>
      <c r="D20" s="253" t="str">
        <f>IFERROR(__xludf.DUMMYFUNCTION("""COMPUTED_VALUE"""),"")</f>
        <v/>
      </c>
      <c r="E20" s="254">
        <f>IFERROR(__xludf.DUMMYFUNCTION("""COMPUTED_VALUE"""),0.0)</f>
        <v>0</v>
      </c>
      <c r="F20" s="255"/>
      <c r="G20" s="256"/>
      <c r="H20" s="252">
        <f>IFERROR(__xludf.DUMMYFUNCTION("""COMPUTED_VALUE"""),0.0)</f>
        <v>0</v>
      </c>
      <c r="I20" s="258"/>
      <c r="J20" s="258"/>
      <c r="K20" s="257">
        <f>IFERROR(__xludf.DUMMYFUNCTION("""COMPUTED_VALUE"""),0.0)</f>
        <v>0</v>
      </c>
      <c r="L20" s="258">
        <f>IFERROR(__xludf.DUMMYFUNCTION("""COMPUTED_VALUE"""),0.0)</f>
        <v>0</v>
      </c>
      <c r="M20" s="258">
        <f>IFERROR(__xludf.DUMMYFUNCTION("""COMPUTED_VALUE"""),0.0)</f>
        <v>0</v>
      </c>
      <c r="N20" s="258">
        <f>IFERROR(__xludf.DUMMYFUNCTION("""COMPUTED_VALUE"""),0.0)</f>
        <v>0</v>
      </c>
      <c r="O20" s="258">
        <f>IFERROR(__xludf.DUMMYFUNCTION("""COMPUTED_VALUE"""),0.0)</f>
        <v>0</v>
      </c>
      <c r="P20" s="258">
        <f>IFERROR(__xludf.DUMMYFUNCTION("""COMPUTED_VALUE"""),0.0)</f>
        <v>0</v>
      </c>
      <c r="Q20" s="258">
        <f>IFERROR(__xludf.DUMMYFUNCTION("""COMPUTED_VALUE"""),0.0)</f>
        <v>0</v>
      </c>
      <c r="R20" s="259"/>
      <c r="S20" s="260"/>
      <c r="T20" s="261"/>
      <c r="U20" s="262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</row>
    <row r="21" ht="15.75" customHeight="1">
      <c r="A21" s="250"/>
      <c r="B21" s="251">
        <f>IFERROR(__xludf.DUMMYFUNCTION("""COMPUTED_VALUE"""),13.0)</f>
        <v>13</v>
      </c>
      <c r="C21" s="252"/>
      <c r="D21" s="253" t="str">
        <f>IFERROR(__xludf.DUMMYFUNCTION("""COMPUTED_VALUE"""),"")</f>
        <v/>
      </c>
      <c r="E21" s="254">
        <f>IFERROR(__xludf.DUMMYFUNCTION("""COMPUTED_VALUE"""),0.0)</f>
        <v>0</v>
      </c>
      <c r="F21" s="255"/>
      <c r="G21" s="256"/>
      <c r="H21" s="252">
        <f>IFERROR(__xludf.DUMMYFUNCTION("""COMPUTED_VALUE"""),0.0)</f>
        <v>0</v>
      </c>
      <c r="I21" s="258"/>
      <c r="J21" s="258"/>
      <c r="K21" s="257">
        <f>IFERROR(__xludf.DUMMYFUNCTION("""COMPUTED_VALUE"""),0.0)</f>
        <v>0</v>
      </c>
      <c r="L21" s="258">
        <f>IFERROR(__xludf.DUMMYFUNCTION("""COMPUTED_VALUE"""),0.0)</f>
        <v>0</v>
      </c>
      <c r="M21" s="258">
        <f>IFERROR(__xludf.DUMMYFUNCTION("""COMPUTED_VALUE"""),0.0)</f>
        <v>0</v>
      </c>
      <c r="N21" s="258">
        <f>IFERROR(__xludf.DUMMYFUNCTION("""COMPUTED_VALUE"""),0.0)</f>
        <v>0</v>
      </c>
      <c r="O21" s="258">
        <f>IFERROR(__xludf.DUMMYFUNCTION("""COMPUTED_VALUE"""),0.0)</f>
        <v>0</v>
      </c>
      <c r="P21" s="258">
        <f>IFERROR(__xludf.DUMMYFUNCTION("""COMPUTED_VALUE"""),0.0)</f>
        <v>0</v>
      </c>
      <c r="Q21" s="258">
        <f>IFERROR(__xludf.DUMMYFUNCTION("""COMPUTED_VALUE"""),0.0)</f>
        <v>0</v>
      </c>
      <c r="R21" s="259"/>
      <c r="S21" s="260"/>
      <c r="T21" s="261"/>
      <c r="U21" s="262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</row>
    <row r="22" ht="15.75" customHeight="1">
      <c r="A22" s="250"/>
      <c r="B22" s="251">
        <f>IFERROR(__xludf.DUMMYFUNCTION("""COMPUTED_VALUE"""),14.0)</f>
        <v>14</v>
      </c>
      <c r="C22" s="252"/>
      <c r="D22" s="253" t="str">
        <f>IFERROR(__xludf.DUMMYFUNCTION("""COMPUTED_VALUE"""),"")</f>
        <v/>
      </c>
      <c r="E22" s="254">
        <f>IFERROR(__xludf.DUMMYFUNCTION("""COMPUTED_VALUE"""),0.0)</f>
        <v>0</v>
      </c>
      <c r="F22" s="255"/>
      <c r="G22" s="256"/>
      <c r="H22" s="252">
        <f>IFERROR(__xludf.DUMMYFUNCTION("""COMPUTED_VALUE"""),0.0)</f>
        <v>0</v>
      </c>
      <c r="I22" s="258"/>
      <c r="J22" s="258"/>
      <c r="K22" s="257">
        <f>IFERROR(__xludf.DUMMYFUNCTION("""COMPUTED_VALUE"""),0.0)</f>
        <v>0</v>
      </c>
      <c r="L22" s="258">
        <f>IFERROR(__xludf.DUMMYFUNCTION("""COMPUTED_VALUE"""),0.0)</f>
        <v>0</v>
      </c>
      <c r="M22" s="258">
        <f>IFERROR(__xludf.DUMMYFUNCTION("""COMPUTED_VALUE"""),0.0)</f>
        <v>0</v>
      </c>
      <c r="N22" s="258">
        <f>IFERROR(__xludf.DUMMYFUNCTION("""COMPUTED_VALUE"""),0.0)</f>
        <v>0</v>
      </c>
      <c r="O22" s="258">
        <f>IFERROR(__xludf.DUMMYFUNCTION("""COMPUTED_VALUE"""),0.0)</f>
        <v>0</v>
      </c>
      <c r="P22" s="258">
        <f>IFERROR(__xludf.DUMMYFUNCTION("""COMPUTED_VALUE"""),0.0)</f>
        <v>0</v>
      </c>
      <c r="Q22" s="258">
        <f>IFERROR(__xludf.DUMMYFUNCTION("""COMPUTED_VALUE"""),0.0)</f>
        <v>0</v>
      </c>
      <c r="R22" s="259"/>
      <c r="S22" s="260"/>
      <c r="T22" s="261"/>
      <c r="U22" s="262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</row>
    <row r="23" ht="15.75" customHeight="1">
      <c r="A23" s="250"/>
      <c r="B23" s="251">
        <f>IFERROR(__xludf.DUMMYFUNCTION("""COMPUTED_VALUE"""),15.0)</f>
        <v>15</v>
      </c>
      <c r="C23" s="252"/>
      <c r="D23" s="253" t="str">
        <f>IFERROR(__xludf.DUMMYFUNCTION("""COMPUTED_VALUE"""),"")</f>
        <v/>
      </c>
      <c r="E23" s="254">
        <f>IFERROR(__xludf.DUMMYFUNCTION("""COMPUTED_VALUE"""),0.0)</f>
        <v>0</v>
      </c>
      <c r="F23" s="255"/>
      <c r="G23" s="256"/>
      <c r="H23" s="252">
        <f>IFERROR(__xludf.DUMMYFUNCTION("""COMPUTED_VALUE"""),0.0)</f>
        <v>0</v>
      </c>
      <c r="I23" s="258"/>
      <c r="J23" s="258"/>
      <c r="K23" s="257">
        <f>IFERROR(__xludf.DUMMYFUNCTION("""COMPUTED_VALUE"""),0.0)</f>
        <v>0</v>
      </c>
      <c r="L23" s="258">
        <f>IFERROR(__xludf.DUMMYFUNCTION("""COMPUTED_VALUE"""),0.0)</f>
        <v>0</v>
      </c>
      <c r="M23" s="258">
        <f>IFERROR(__xludf.DUMMYFUNCTION("""COMPUTED_VALUE"""),0.0)</f>
        <v>0</v>
      </c>
      <c r="N23" s="258">
        <f>IFERROR(__xludf.DUMMYFUNCTION("""COMPUTED_VALUE"""),0.0)</f>
        <v>0</v>
      </c>
      <c r="O23" s="258">
        <f>IFERROR(__xludf.DUMMYFUNCTION("""COMPUTED_VALUE"""),0.0)</f>
        <v>0</v>
      </c>
      <c r="P23" s="258">
        <f>IFERROR(__xludf.DUMMYFUNCTION("""COMPUTED_VALUE"""),0.0)</f>
        <v>0</v>
      </c>
      <c r="Q23" s="258">
        <f>IFERROR(__xludf.DUMMYFUNCTION("""COMPUTED_VALUE"""),0.0)</f>
        <v>0</v>
      </c>
      <c r="R23" s="259"/>
      <c r="S23" s="260"/>
      <c r="T23" s="261"/>
      <c r="U23" s="262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</row>
    <row r="24" ht="15.75" customHeight="1">
      <c r="A24" s="250"/>
      <c r="B24" s="251">
        <f>IFERROR(__xludf.DUMMYFUNCTION("""COMPUTED_VALUE"""),16.0)</f>
        <v>16</v>
      </c>
      <c r="C24" s="252"/>
      <c r="D24" s="253" t="str">
        <f>IFERROR(__xludf.DUMMYFUNCTION("""COMPUTED_VALUE"""),"")</f>
        <v/>
      </c>
      <c r="E24" s="254">
        <f>IFERROR(__xludf.DUMMYFUNCTION("""COMPUTED_VALUE"""),0.0)</f>
        <v>0</v>
      </c>
      <c r="F24" s="255"/>
      <c r="G24" s="256"/>
      <c r="H24" s="252">
        <f>IFERROR(__xludf.DUMMYFUNCTION("""COMPUTED_VALUE"""),0.0)</f>
        <v>0</v>
      </c>
      <c r="I24" s="258"/>
      <c r="J24" s="258"/>
      <c r="K24" s="257">
        <f>IFERROR(__xludf.DUMMYFUNCTION("""COMPUTED_VALUE"""),0.0)</f>
        <v>0</v>
      </c>
      <c r="L24" s="258">
        <f>IFERROR(__xludf.DUMMYFUNCTION("""COMPUTED_VALUE"""),0.0)</f>
        <v>0</v>
      </c>
      <c r="M24" s="258">
        <f>IFERROR(__xludf.DUMMYFUNCTION("""COMPUTED_VALUE"""),0.0)</f>
        <v>0</v>
      </c>
      <c r="N24" s="258">
        <f>IFERROR(__xludf.DUMMYFUNCTION("""COMPUTED_VALUE"""),0.0)</f>
        <v>0</v>
      </c>
      <c r="O24" s="258">
        <f>IFERROR(__xludf.DUMMYFUNCTION("""COMPUTED_VALUE"""),0.0)</f>
        <v>0</v>
      </c>
      <c r="P24" s="258">
        <f>IFERROR(__xludf.DUMMYFUNCTION("""COMPUTED_VALUE"""),0.0)</f>
        <v>0</v>
      </c>
      <c r="Q24" s="258">
        <f>IFERROR(__xludf.DUMMYFUNCTION("""COMPUTED_VALUE"""),0.0)</f>
        <v>0</v>
      </c>
      <c r="R24" s="259"/>
      <c r="S24" s="260"/>
      <c r="T24" s="261"/>
      <c r="U24" s="262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</row>
    <row r="25" ht="15.75" customHeight="1">
      <c r="A25" s="250"/>
      <c r="B25" s="251">
        <f>IFERROR(__xludf.DUMMYFUNCTION("""COMPUTED_VALUE"""),17.0)</f>
        <v>17</v>
      </c>
      <c r="C25" s="252"/>
      <c r="D25" s="253" t="str">
        <f>IFERROR(__xludf.DUMMYFUNCTION("""COMPUTED_VALUE"""),"")</f>
        <v/>
      </c>
      <c r="E25" s="254">
        <f>IFERROR(__xludf.DUMMYFUNCTION("""COMPUTED_VALUE"""),0.0)</f>
        <v>0</v>
      </c>
      <c r="F25" s="255"/>
      <c r="G25" s="256"/>
      <c r="H25" s="252">
        <f>IFERROR(__xludf.DUMMYFUNCTION("""COMPUTED_VALUE"""),0.0)</f>
        <v>0</v>
      </c>
      <c r="I25" s="258"/>
      <c r="J25" s="258"/>
      <c r="K25" s="257">
        <f>IFERROR(__xludf.DUMMYFUNCTION("""COMPUTED_VALUE"""),0.0)</f>
        <v>0</v>
      </c>
      <c r="L25" s="258">
        <f>IFERROR(__xludf.DUMMYFUNCTION("""COMPUTED_VALUE"""),0.0)</f>
        <v>0</v>
      </c>
      <c r="M25" s="258">
        <f>IFERROR(__xludf.DUMMYFUNCTION("""COMPUTED_VALUE"""),0.0)</f>
        <v>0</v>
      </c>
      <c r="N25" s="258">
        <f>IFERROR(__xludf.DUMMYFUNCTION("""COMPUTED_VALUE"""),0.0)</f>
        <v>0</v>
      </c>
      <c r="O25" s="258">
        <f>IFERROR(__xludf.DUMMYFUNCTION("""COMPUTED_VALUE"""),0.0)</f>
        <v>0</v>
      </c>
      <c r="P25" s="258">
        <f>IFERROR(__xludf.DUMMYFUNCTION("""COMPUTED_VALUE"""),0.0)</f>
        <v>0</v>
      </c>
      <c r="Q25" s="258">
        <f>IFERROR(__xludf.DUMMYFUNCTION("""COMPUTED_VALUE"""),0.0)</f>
        <v>0</v>
      </c>
      <c r="R25" s="259"/>
      <c r="S25" s="260"/>
      <c r="T25" s="261"/>
      <c r="U25" s="262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</row>
    <row r="26" ht="15.75" customHeight="1">
      <c r="A26" s="250"/>
      <c r="B26" s="251">
        <f>IFERROR(__xludf.DUMMYFUNCTION("""COMPUTED_VALUE"""),18.0)</f>
        <v>18</v>
      </c>
      <c r="C26" s="252"/>
      <c r="D26" s="253" t="str">
        <f>IFERROR(__xludf.DUMMYFUNCTION("""COMPUTED_VALUE"""),"")</f>
        <v/>
      </c>
      <c r="E26" s="254">
        <f>IFERROR(__xludf.DUMMYFUNCTION("""COMPUTED_VALUE"""),0.0)</f>
        <v>0</v>
      </c>
      <c r="F26" s="255"/>
      <c r="G26" s="256"/>
      <c r="H26" s="252">
        <f>IFERROR(__xludf.DUMMYFUNCTION("""COMPUTED_VALUE"""),0.0)</f>
        <v>0</v>
      </c>
      <c r="I26" s="258"/>
      <c r="J26" s="258"/>
      <c r="K26" s="257">
        <f>IFERROR(__xludf.DUMMYFUNCTION("""COMPUTED_VALUE"""),0.0)</f>
        <v>0</v>
      </c>
      <c r="L26" s="258">
        <f>IFERROR(__xludf.DUMMYFUNCTION("""COMPUTED_VALUE"""),0.0)</f>
        <v>0</v>
      </c>
      <c r="M26" s="258">
        <f>IFERROR(__xludf.DUMMYFUNCTION("""COMPUTED_VALUE"""),0.0)</f>
        <v>0</v>
      </c>
      <c r="N26" s="258">
        <f>IFERROR(__xludf.DUMMYFUNCTION("""COMPUTED_VALUE"""),0.0)</f>
        <v>0</v>
      </c>
      <c r="O26" s="258">
        <f>IFERROR(__xludf.DUMMYFUNCTION("""COMPUTED_VALUE"""),0.0)</f>
        <v>0</v>
      </c>
      <c r="P26" s="258">
        <f>IFERROR(__xludf.DUMMYFUNCTION("""COMPUTED_VALUE"""),0.0)</f>
        <v>0</v>
      </c>
      <c r="Q26" s="258">
        <f>IFERROR(__xludf.DUMMYFUNCTION("""COMPUTED_VALUE"""),0.0)</f>
        <v>0</v>
      </c>
      <c r="R26" s="259"/>
      <c r="S26" s="260"/>
      <c r="T26" s="261"/>
      <c r="U26" s="262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</row>
    <row r="27" ht="15.75" customHeight="1">
      <c r="A27" s="250"/>
      <c r="B27" s="251">
        <f>IFERROR(__xludf.DUMMYFUNCTION("""COMPUTED_VALUE"""),19.0)</f>
        <v>19</v>
      </c>
      <c r="C27" s="252"/>
      <c r="D27" s="253" t="str">
        <f>IFERROR(__xludf.DUMMYFUNCTION("""COMPUTED_VALUE"""),"")</f>
        <v/>
      </c>
      <c r="E27" s="254">
        <f>IFERROR(__xludf.DUMMYFUNCTION("""COMPUTED_VALUE"""),0.0)</f>
        <v>0</v>
      </c>
      <c r="F27" s="255"/>
      <c r="G27" s="256"/>
      <c r="H27" s="252">
        <f>IFERROR(__xludf.DUMMYFUNCTION("""COMPUTED_VALUE"""),0.0)</f>
        <v>0</v>
      </c>
      <c r="I27" s="258"/>
      <c r="J27" s="258"/>
      <c r="K27" s="257">
        <f>IFERROR(__xludf.DUMMYFUNCTION("""COMPUTED_VALUE"""),0.0)</f>
        <v>0</v>
      </c>
      <c r="L27" s="258">
        <f>IFERROR(__xludf.DUMMYFUNCTION("""COMPUTED_VALUE"""),0.0)</f>
        <v>0</v>
      </c>
      <c r="M27" s="258">
        <f>IFERROR(__xludf.DUMMYFUNCTION("""COMPUTED_VALUE"""),0.0)</f>
        <v>0</v>
      </c>
      <c r="N27" s="258">
        <f>IFERROR(__xludf.DUMMYFUNCTION("""COMPUTED_VALUE"""),0.0)</f>
        <v>0</v>
      </c>
      <c r="O27" s="258">
        <f>IFERROR(__xludf.DUMMYFUNCTION("""COMPUTED_VALUE"""),0.0)</f>
        <v>0</v>
      </c>
      <c r="P27" s="258">
        <f>IFERROR(__xludf.DUMMYFUNCTION("""COMPUTED_VALUE"""),0.0)</f>
        <v>0</v>
      </c>
      <c r="Q27" s="258">
        <f>IFERROR(__xludf.DUMMYFUNCTION("""COMPUTED_VALUE"""),0.0)</f>
        <v>0</v>
      </c>
      <c r="R27" s="259"/>
      <c r="S27" s="260"/>
      <c r="T27" s="261"/>
      <c r="U27" s="262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</row>
    <row r="28" ht="15.75" customHeight="1">
      <c r="A28" s="250"/>
      <c r="B28" s="251">
        <f>IFERROR(__xludf.DUMMYFUNCTION("""COMPUTED_VALUE"""),20.0)</f>
        <v>20</v>
      </c>
      <c r="C28" s="252"/>
      <c r="D28" s="253" t="str">
        <f>IFERROR(__xludf.DUMMYFUNCTION("""COMPUTED_VALUE"""),"")</f>
        <v/>
      </c>
      <c r="E28" s="254">
        <f>IFERROR(__xludf.DUMMYFUNCTION("""COMPUTED_VALUE"""),0.0)</f>
        <v>0</v>
      </c>
      <c r="F28" s="255"/>
      <c r="G28" s="256"/>
      <c r="H28" s="252">
        <f>IFERROR(__xludf.DUMMYFUNCTION("""COMPUTED_VALUE"""),0.0)</f>
        <v>0</v>
      </c>
      <c r="I28" s="258"/>
      <c r="J28" s="258"/>
      <c r="K28" s="257">
        <f>IFERROR(__xludf.DUMMYFUNCTION("""COMPUTED_VALUE"""),0.0)</f>
        <v>0</v>
      </c>
      <c r="L28" s="258">
        <f>IFERROR(__xludf.DUMMYFUNCTION("""COMPUTED_VALUE"""),0.0)</f>
        <v>0</v>
      </c>
      <c r="M28" s="258">
        <f>IFERROR(__xludf.DUMMYFUNCTION("""COMPUTED_VALUE"""),0.0)</f>
        <v>0</v>
      </c>
      <c r="N28" s="258">
        <f>IFERROR(__xludf.DUMMYFUNCTION("""COMPUTED_VALUE"""),0.0)</f>
        <v>0</v>
      </c>
      <c r="O28" s="258">
        <f>IFERROR(__xludf.DUMMYFUNCTION("""COMPUTED_VALUE"""),0.0)</f>
        <v>0</v>
      </c>
      <c r="P28" s="258">
        <f>IFERROR(__xludf.DUMMYFUNCTION("""COMPUTED_VALUE"""),0.0)</f>
        <v>0</v>
      </c>
      <c r="Q28" s="258">
        <f>IFERROR(__xludf.DUMMYFUNCTION("""COMPUTED_VALUE"""),0.0)</f>
        <v>0</v>
      </c>
      <c r="R28" s="259"/>
      <c r="S28" s="260"/>
      <c r="T28" s="261"/>
      <c r="U28" s="262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</row>
    <row r="29" ht="15.75" customHeight="1">
      <c r="A29" s="250"/>
      <c r="B29" s="251">
        <f>IFERROR(__xludf.DUMMYFUNCTION("""COMPUTED_VALUE"""),21.0)</f>
        <v>21</v>
      </c>
      <c r="C29" s="252"/>
      <c r="D29" s="253" t="str">
        <f>IFERROR(__xludf.DUMMYFUNCTION("""COMPUTED_VALUE"""),"")</f>
        <v/>
      </c>
      <c r="E29" s="254">
        <f>IFERROR(__xludf.DUMMYFUNCTION("""COMPUTED_VALUE"""),0.0)</f>
        <v>0</v>
      </c>
      <c r="F29" s="255"/>
      <c r="G29" s="256"/>
      <c r="H29" s="252">
        <f>IFERROR(__xludf.DUMMYFUNCTION("""COMPUTED_VALUE"""),0.0)</f>
        <v>0</v>
      </c>
      <c r="I29" s="258"/>
      <c r="J29" s="258"/>
      <c r="K29" s="257">
        <f>IFERROR(__xludf.DUMMYFUNCTION("""COMPUTED_VALUE"""),0.0)</f>
        <v>0</v>
      </c>
      <c r="L29" s="258">
        <f>IFERROR(__xludf.DUMMYFUNCTION("""COMPUTED_VALUE"""),0.0)</f>
        <v>0</v>
      </c>
      <c r="M29" s="258">
        <f>IFERROR(__xludf.DUMMYFUNCTION("""COMPUTED_VALUE"""),0.0)</f>
        <v>0</v>
      </c>
      <c r="N29" s="258">
        <f>IFERROR(__xludf.DUMMYFUNCTION("""COMPUTED_VALUE"""),0.0)</f>
        <v>0</v>
      </c>
      <c r="O29" s="258">
        <f>IFERROR(__xludf.DUMMYFUNCTION("""COMPUTED_VALUE"""),0.0)</f>
        <v>0</v>
      </c>
      <c r="P29" s="258">
        <f>IFERROR(__xludf.DUMMYFUNCTION("""COMPUTED_VALUE"""),0.0)</f>
        <v>0</v>
      </c>
      <c r="Q29" s="258">
        <f>IFERROR(__xludf.DUMMYFUNCTION("""COMPUTED_VALUE"""),0.0)</f>
        <v>0</v>
      </c>
      <c r="R29" s="259"/>
      <c r="S29" s="260"/>
      <c r="T29" s="261"/>
      <c r="U29" s="262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</row>
    <row r="30" ht="15.75" customHeight="1">
      <c r="A30" s="250"/>
      <c r="B30" s="251">
        <f>IFERROR(__xludf.DUMMYFUNCTION("""COMPUTED_VALUE"""),22.0)</f>
        <v>22</v>
      </c>
      <c r="C30" s="252"/>
      <c r="D30" s="253" t="str">
        <f>IFERROR(__xludf.DUMMYFUNCTION("""COMPUTED_VALUE"""),"")</f>
        <v/>
      </c>
      <c r="E30" s="254">
        <f>IFERROR(__xludf.DUMMYFUNCTION("""COMPUTED_VALUE"""),0.0)</f>
        <v>0</v>
      </c>
      <c r="F30" s="255"/>
      <c r="G30" s="256"/>
      <c r="H30" s="252">
        <f>IFERROR(__xludf.DUMMYFUNCTION("""COMPUTED_VALUE"""),0.0)</f>
        <v>0</v>
      </c>
      <c r="I30" s="258"/>
      <c r="J30" s="258"/>
      <c r="K30" s="257">
        <f>IFERROR(__xludf.DUMMYFUNCTION("""COMPUTED_VALUE"""),0.0)</f>
        <v>0</v>
      </c>
      <c r="L30" s="258">
        <f>IFERROR(__xludf.DUMMYFUNCTION("""COMPUTED_VALUE"""),0.0)</f>
        <v>0</v>
      </c>
      <c r="M30" s="258">
        <f>IFERROR(__xludf.DUMMYFUNCTION("""COMPUTED_VALUE"""),0.0)</f>
        <v>0</v>
      </c>
      <c r="N30" s="258">
        <f>IFERROR(__xludf.DUMMYFUNCTION("""COMPUTED_VALUE"""),0.0)</f>
        <v>0</v>
      </c>
      <c r="O30" s="258">
        <f>IFERROR(__xludf.DUMMYFUNCTION("""COMPUTED_VALUE"""),0.0)</f>
        <v>0</v>
      </c>
      <c r="P30" s="258">
        <f>IFERROR(__xludf.DUMMYFUNCTION("""COMPUTED_VALUE"""),0.0)</f>
        <v>0</v>
      </c>
      <c r="Q30" s="258">
        <f>IFERROR(__xludf.DUMMYFUNCTION("""COMPUTED_VALUE"""),0.0)</f>
        <v>0</v>
      </c>
      <c r="R30" s="259"/>
      <c r="S30" s="260"/>
      <c r="T30" s="261"/>
      <c r="U30" s="262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</row>
    <row r="31" ht="15.75" customHeight="1">
      <c r="A31" s="250"/>
      <c r="B31" s="251">
        <f>IFERROR(__xludf.DUMMYFUNCTION("""COMPUTED_VALUE"""),23.0)</f>
        <v>23</v>
      </c>
      <c r="C31" s="252"/>
      <c r="D31" s="253" t="str">
        <f>IFERROR(__xludf.DUMMYFUNCTION("""COMPUTED_VALUE"""),"")</f>
        <v/>
      </c>
      <c r="E31" s="254">
        <f>IFERROR(__xludf.DUMMYFUNCTION("""COMPUTED_VALUE"""),0.0)</f>
        <v>0</v>
      </c>
      <c r="F31" s="255"/>
      <c r="G31" s="256"/>
      <c r="H31" s="252">
        <f>IFERROR(__xludf.DUMMYFUNCTION("""COMPUTED_VALUE"""),0.0)</f>
        <v>0</v>
      </c>
      <c r="I31" s="258"/>
      <c r="J31" s="258"/>
      <c r="K31" s="257">
        <f>IFERROR(__xludf.DUMMYFUNCTION("""COMPUTED_VALUE"""),0.0)</f>
        <v>0</v>
      </c>
      <c r="L31" s="258">
        <f>IFERROR(__xludf.DUMMYFUNCTION("""COMPUTED_VALUE"""),0.0)</f>
        <v>0</v>
      </c>
      <c r="M31" s="258">
        <f>IFERROR(__xludf.DUMMYFUNCTION("""COMPUTED_VALUE"""),0.0)</f>
        <v>0</v>
      </c>
      <c r="N31" s="258">
        <f>IFERROR(__xludf.DUMMYFUNCTION("""COMPUTED_VALUE"""),0.0)</f>
        <v>0</v>
      </c>
      <c r="O31" s="258">
        <f>IFERROR(__xludf.DUMMYFUNCTION("""COMPUTED_VALUE"""),0.0)</f>
        <v>0</v>
      </c>
      <c r="P31" s="258">
        <f>IFERROR(__xludf.DUMMYFUNCTION("""COMPUTED_VALUE"""),0.0)</f>
        <v>0</v>
      </c>
      <c r="Q31" s="258">
        <f>IFERROR(__xludf.DUMMYFUNCTION("""COMPUTED_VALUE"""),0.0)</f>
        <v>0</v>
      </c>
      <c r="R31" s="259"/>
      <c r="S31" s="260"/>
      <c r="T31" s="261"/>
      <c r="U31" s="262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</row>
    <row r="32" ht="30.75" customHeight="1">
      <c r="A32" s="250"/>
      <c r="B32" s="251">
        <f>IFERROR(__xludf.DUMMYFUNCTION("""COMPUTED_VALUE"""),24.0)</f>
        <v>24</v>
      </c>
      <c r="C32" s="252"/>
      <c r="D32" s="253" t="str">
        <f>IFERROR(__xludf.DUMMYFUNCTION("""COMPUTED_VALUE"""),"")</f>
        <v/>
      </c>
      <c r="E32" s="254">
        <f>IFERROR(__xludf.DUMMYFUNCTION("""COMPUTED_VALUE"""),0.0)</f>
        <v>0</v>
      </c>
      <c r="F32" s="255"/>
      <c r="G32" s="256"/>
      <c r="H32" s="252">
        <f>IFERROR(__xludf.DUMMYFUNCTION("""COMPUTED_VALUE"""),0.0)</f>
        <v>0</v>
      </c>
      <c r="I32" s="258"/>
      <c r="J32" s="258"/>
      <c r="K32" s="257">
        <f>IFERROR(__xludf.DUMMYFUNCTION("""COMPUTED_VALUE"""),0.0)</f>
        <v>0</v>
      </c>
      <c r="L32" s="258">
        <f>IFERROR(__xludf.DUMMYFUNCTION("""COMPUTED_VALUE"""),0.0)</f>
        <v>0</v>
      </c>
      <c r="M32" s="258">
        <f>IFERROR(__xludf.DUMMYFUNCTION("""COMPUTED_VALUE"""),0.0)</f>
        <v>0</v>
      </c>
      <c r="N32" s="258">
        <f>IFERROR(__xludf.DUMMYFUNCTION("""COMPUTED_VALUE"""),0.0)</f>
        <v>0</v>
      </c>
      <c r="O32" s="258">
        <f>IFERROR(__xludf.DUMMYFUNCTION("""COMPUTED_VALUE"""),0.0)</f>
        <v>0</v>
      </c>
      <c r="P32" s="258">
        <f>IFERROR(__xludf.DUMMYFUNCTION("""COMPUTED_VALUE"""),0.0)</f>
        <v>0</v>
      </c>
      <c r="Q32" s="258">
        <f>IFERROR(__xludf.DUMMYFUNCTION("""COMPUTED_VALUE"""),0.0)</f>
        <v>0</v>
      </c>
      <c r="R32" s="259"/>
      <c r="S32" s="263"/>
      <c r="T32" s="261"/>
      <c r="U32" s="262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</row>
    <row r="33" ht="30.75" customHeight="1">
      <c r="A33" s="250"/>
      <c r="B33" s="251">
        <f>IFERROR(__xludf.DUMMYFUNCTION("""COMPUTED_VALUE"""),25.0)</f>
        <v>25</v>
      </c>
      <c r="C33" s="252"/>
      <c r="D33" s="253" t="str">
        <f>IFERROR(__xludf.DUMMYFUNCTION("""COMPUTED_VALUE"""),"")</f>
        <v/>
      </c>
      <c r="E33" s="254">
        <f>IFERROR(__xludf.DUMMYFUNCTION("""COMPUTED_VALUE"""),0.0)</f>
        <v>0</v>
      </c>
      <c r="F33" s="255"/>
      <c r="G33" s="256"/>
      <c r="H33" s="252">
        <f>IFERROR(__xludf.DUMMYFUNCTION("""COMPUTED_VALUE"""),0.0)</f>
        <v>0</v>
      </c>
      <c r="I33" s="258"/>
      <c r="J33" s="258"/>
      <c r="K33" s="257">
        <f>IFERROR(__xludf.DUMMYFUNCTION("""COMPUTED_VALUE"""),0.0)</f>
        <v>0</v>
      </c>
      <c r="L33" s="258">
        <f>IFERROR(__xludf.DUMMYFUNCTION("""COMPUTED_VALUE"""),0.0)</f>
        <v>0</v>
      </c>
      <c r="M33" s="258">
        <f>IFERROR(__xludf.DUMMYFUNCTION("""COMPUTED_VALUE"""),0.0)</f>
        <v>0</v>
      </c>
      <c r="N33" s="258">
        <f>IFERROR(__xludf.DUMMYFUNCTION("""COMPUTED_VALUE"""),0.0)</f>
        <v>0</v>
      </c>
      <c r="O33" s="258">
        <f>IFERROR(__xludf.DUMMYFUNCTION("""COMPUTED_VALUE"""),0.0)</f>
        <v>0</v>
      </c>
      <c r="P33" s="258">
        <f>IFERROR(__xludf.DUMMYFUNCTION("""COMPUTED_VALUE"""),0.0)</f>
        <v>0</v>
      </c>
      <c r="Q33" s="258">
        <f>IFERROR(__xludf.DUMMYFUNCTION("""COMPUTED_VALUE"""),0.0)</f>
        <v>0</v>
      </c>
      <c r="R33" s="259"/>
      <c r="S33" s="263"/>
      <c r="T33" s="261"/>
      <c r="U33" s="262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</row>
    <row r="34" ht="30.75" customHeight="1">
      <c r="A34" s="250"/>
      <c r="B34" s="251">
        <f>IFERROR(__xludf.DUMMYFUNCTION("""COMPUTED_VALUE"""),26.0)</f>
        <v>26</v>
      </c>
      <c r="C34" s="252"/>
      <c r="D34" s="253" t="str">
        <f>IFERROR(__xludf.DUMMYFUNCTION("""COMPUTED_VALUE"""),"")</f>
        <v/>
      </c>
      <c r="E34" s="254">
        <f>IFERROR(__xludf.DUMMYFUNCTION("""COMPUTED_VALUE"""),0.0)</f>
        <v>0</v>
      </c>
      <c r="F34" s="255"/>
      <c r="G34" s="256"/>
      <c r="H34" s="252">
        <f>IFERROR(__xludf.DUMMYFUNCTION("""COMPUTED_VALUE"""),0.0)</f>
        <v>0</v>
      </c>
      <c r="I34" s="258"/>
      <c r="J34" s="258"/>
      <c r="K34" s="257">
        <f>IFERROR(__xludf.DUMMYFUNCTION("""COMPUTED_VALUE"""),0.0)</f>
        <v>0</v>
      </c>
      <c r="L34" s="258">
        <f>IFERROR(__xludf.DUMMYFUNCTION("""COMPUTED_VALUE"""),0.0)</f>
        <v>0</v>
      </c>
      <c r="M34" s="258">
        <f>IFERROR(__xludf.DUMMYFUNCTION("""COMPUTED_VALUE"""),0.0)</f>
        <v>0</v>
      </c>
      <c r="N34" s="258">
        <f>IFERROR(__xludf.DUMMYFUNCTION("""COMPUTED_VALUE"""),0.0)</f>
        <v>0</v>
      </c>
      <c r="O34" s="258">
        <f>IFERROR(__xludf.DUMMYFUNCTION("""COMPUTED_VALUE"""),0.0)</f>
        <v>0</v>
      </c>
      <c r="P34" s="258">
        <f>IFERROR(__xludf.DUMMYFUNCTION("""COMPUTED_VALUE"""),0.0)</f>
        <v>0</v>
      </c>
      <c r="Q34" s="258">
        <f>IFERROR(__xludf.DUMMYFUNCTION("""COMPUTED_VALUE"""),0.0)</f>
        <v>0</v>
      </c>
      <c r="R34" s="259"/>
      <c r="S34" s="263"/>
      <c r="T34" s="261"/>
      <c r="U34" s="262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</row>
    <row r="35" ht="30.75" customHeight="1">
      <c r="A35" s="250"/>
      <c r="B35" s="251">
        <f>IFERROR(__xludf.DUMMYFUNCTION("""COMPUTED_VALUE"""),27.0)</f>
        <v>27</v>
      </c>
      <c r="C35" s="252"/>
      <c r="D35" s="253" t="str">
        <f>IFERROR(__xludf.DUMMYFUNCTION("""COMPUTED_VALUE"""),"")</f>
        <v/>
      </c>
      <c r="E35" s="254">
        <f>IFERROR(__xludf.DUMMYFUNCTION("""COMPUTED_VALUE"""),0.0)</f>
        <v>0</v>
      </c>
      <c r="F35" s="255"/>
      <c r="G35" s="256"/>
      <c r="H35" s="252">
        <f>IFERROR(__xludf.DUMMYFUNCTION("""COMPUTED_VALUE"""),0.0)</f>
        <v>0</v>
      </c>
      <c r="I35" s="258"/>
      <c r="J35" s="258"/>
      <c r="K35" s="257">
        <f>IFERROR(__xludf.DUMMYFUNCTION("""COMPUTED_VALUE"""),0.0)</f>
        <v>0</v>
      </c>
      <c r="L35" s="258">
        <f>IFERROR(__xludf.DUMMYFUNCTION("""COMPUTED_VALUE"""),0.0)</f>
        <v>0</v>
      </c>
      <c r="M35" s="258">
        <f>IFERROR(__xludf.DUMMYFUNCTION("""COMPUTED_VALUE"""),0.0)</f>
        <v>0</v>
      </c>
      <c r="N35" s="258">
        <f>IFERROR(__xludf.DUMMYFUNCTION("""COMPUTED_VALUE"""),0.0)</f>
        <v>0</v>
      </c>
      <c r="O35" s="258">
        <f>IFERROR(__xludf.DUMMYFUNCTION("""COMPUTED_VALUE"""),0.0)</f>
        <v>0</v>
      </c>
      <c r="P35" s="258">
        <f>IFERROR(__xludf.DUMMYFUNCTION("""COMPUTED_VALUE"""),0.0)</f>
        <v>0</v>
      </c>
      <c r="Q35" s="258">
        <f>IFERROR(__xludf.DUMMYFUNCTION("""COMPUTED_VALUE"""),0.0)</f>
        <v>0</v>
      </c>
      <c r="R35" s="259"/>
      <c r="S35" s="263"/>
      <c r="T35" s="261"/>
      <c r="U35" s="262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</row>
    <row r="36" ht="30.75" customHeight="1">
      <c r="A36" s="250"/>
      <c r="B36" s="251">
        <f>IFERROR(__xludf.DUMMYFUNCTION("""COMPUTED_VALUE"""),28.0)</f>
        <v>28</v>
      </c>
      <c r="C36" s="252"/>
      <c r="D36" s="253" t="str">
        <f>IFERROR(__xludf.DUMMYFUNCTION("""COMPUTED_VALUE"""),"")</f>
        <v/>
      </c>
      <c r="E36" s="254">
        <f>IFERROR(__xludf.DUMMYFUNCTION("""COMPUTED_VALUE"""),0.0)</f>
        <v>0</v>
      </c>
      <c r="F36" s="255"/>
      <c r="G36" s="256"/>
      <c r="H36" s="252">
        <f>IFERROR(__xludf.DUMMYFUNCTION("""COMPUTED_VALUE"""),0.0)</f>
        <v>0</v>
      </c>
      <c r="I36" s="258"/>
      <c r="J36" s="258"/>
      <c r="K36" s="257">
        <f>IFERROR(__xludf.DUMMYFUNCTION("""COMPUTED_VALUE"""),0.0)</f>
        <v>0</v>
      </c>
      <c r="L36" s="258">
        <f>IFERROR(__xludf.DUMMYFUNCTION("""COMPUTED_VALUE"""),0.0)</f>
        <v>0</v>
      </c>
      <c r="M36" s="258">
        <f>IFERROR(__xludf.DUMMYFUNCTION("""COMPUTED_VALUE"""),0.0)</f>
        <v>0</v>
      </c>
      <c r="N36" s="258">
        <f>IFERROR(__xludf.DUMMYFUNCTION("""COMPUTED_VALUE"""),0.0)</f>
        <v>0</v>
      </c>
      <c r="O36" s="258">
        <f>IFERROR(__xludf.DUMMYFUNCTION("""COMPUTED_VALUE"""),0.0)</f>
        <v>0</v>
      </c>
      <c r="P36" s="258">
        <f>IFERROR(__xludf.DUMMYFUNCTION("""COMPUTED_VALUE"""),0.0)</f>
        <v>0</v>
      </c>
      <c r="Q36" s="258">
        <f>IFERROR(__xludf.DUMMYFUNCTION("""COMPUTED_VALUE"""),0.0)</f>
        <v>0</v>
      </c>
      <c r="R36" s="259"/>
      <c r="S36" s="263"/>
      <c r="T36" s="261"/>
      <c r="U36" s="262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</row>
    <row r="37" ht="30.75" customHeight="1">
      <c r="A37" s="250"/>
      <c r="B37" s="251">
        <f>IFERROR(__xludf.DUMMYFUNCTION("""COMPUTED_VALUE"""),29.0)</f>
        <v>29</v>
      </c>
      <c r="C37" s="252"/>
      <c r="D37" s="253" t="str">
        <f>IFERROR(__xludf.DUMMYFUNCTION("""COMPUTED_VALUE"""),"")</f>
        <v/>
      </c>
      <c r="E37" s="254">
        <f>IFERROR(__xludf.DUMMYFUNCTION("""COMPUTED_VALUE"""),0.0)</f>
        <v>0</v>
      </c>
      <c r="F37" s="255"/>
      <c r="G37" s="256"/>
      <c r="H37" s="252">
        <f>IFERROR(__xludf.DUMMYFUNCTION("""COMPUTED_VALUE"""),0.0)</f>
        <v>0</v>
      </c>
      <c r="I37" s="258"/>
      <c r="J37" s="258"/>
      <c r="K37" s="257">
        <f>IFERROR(__xludf.DUMMYFUNCTION("""COMPUTED_VALUE"""),0.0)</f>
        <v>0</v>
      </c>
      <c r="L37" s="258">
        <f>IFERROR(__xludf.DUMMYFUNCTION("""COMPUTED_VALUE"""),0.0)</f>
        <v>0</v>
      </c>
      <c r="M37" s="258">
        <f>IFERROR(__xludf.DUMMYFUNCTION("""COMPUTED_VALUE"""),0.0)</f>
        <v>0</v>
      </c>
      <c r="N37" s="258">
        <f>IFERROR(__xludf.DUMMYFUNCTION("""COMPUTED_VALUE"""),0.0)</f>
        <v>0</v>
      </c>
      <c r="O37" s="258">
        <f>IFERROR(__xludf.DUMMYFUNCTION("""COMPUTED_VALUE"""),0.0)</f>
        <v>0</v>
      </c>
      <c r="P37" s="258">
        <f>IFERROR(__xludf.DUMMYFUNCTION("""COMPUTED_VALUE"""),0.0)</f>
        <v>0</v>
      </c>
      <c r="Q37" s="258">
        <f>IFERROR(__xludf.DUMMYFUNCTION("""COMPUTED_VALUE"""),0.0)</f>
        <v>0</v>
      </c>
      <c r="R37" s="259"/>
      <c r="S37" s="263"/>
      <c r="T37" s="261"/>
      <c r="U37" s="262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</row>
    <row r="38" ht="30.75" customHeight="1">
      <c r="A38" s="250"/>
      <c r="B38" s="251">
        <f>IFERROR(__xludf.DUMMYFUNCTION("""COMPUTED_VALUE"""),30.0)</f>
        <v>30</v>
      </c>
      <c r="C38" s="252"/>
      <c r="D38" s="253" t="str">
        <f>IFERROR(__xludf.DUMMYFUNCTION("""COMPUTED_VALUE"""),"")</f>
        <v/>
      </c>
      <c r="E38" s="254">
        <f>IFERROR(__xludf.DUMMYFUNCTION("""COMPUTED_VALUE"""),0.0)</f>
        <v>0</v>
      </c>
      <c r="F38" s="255"/>
      <c r="G38" s="256"/>
      <c r="H38" s="252">
        <f>IFERROR(__xludf.DUMMYFUNCTION("""COMPUTED_VALUE"""),0.0)</f>
        <v>0</v>
      </c>
      <c r="I38" s="258"/>
      <c r="J38" s="258"/>
      <c r="K38" s="257">
        <f>IFERROR(__xludf.DUMMYFUNCTION("""COMPUTED_VALUE"""),0.0)</f>
        <v>0</v>
      </c>
      <c r="L38" s="258">
        <f>IFERROR(__xludf.DUMMYFUNCTION("""COMPUTED_VALUE"""),0.0)</f>
        <v>0</v>
      </c>
      <c r="M38" s="258">
        <f>IFERROR(__xludf.DUMMYFUNCTION("""COMPUTED_VALUE"""),0.0)</f>
        <v>0</v>
      </c>
      <c r="N38" s="258">
        <f>IFERROR(__xludf.DUMMYFUNCTION("""COMPUTED_VALUE"""),0.0)</f>
        <v>0</v>
      </c>
      <c r="O38" s="258">
        <f>IFERROR(__xludf.DUMMYFUNCTION("""COMPUTED_VALUE"""),0.0)</f>
        <v>0</v>
      </c>
      <c r="P38" s="258">
        <f>IFERROR(__xludf.DUMMYFUNCTION("""COMPUTED_VALUE"""),0.0)</f>
        <v>0</v>
      </c>
      <c r="Q38" s="258">
        <f>IFERROR(__xludf.DUMMYFUNCTION("""COMPUTED_VALUE"""),0.0)</f>
        <v>0</v>
      </c>
      <c r="R38" s="259"/>
      <c r="S38" s="263"/>
      <c r="T38" s="261"/>
      <c r="U38" s="262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</row>
    <row r="39" ht="15.75" customHeight="1">
      <c r="A39" s="250"/>
      <c r="B39" s="251">
        <f>IFERROR(__xludf.DUMMYFUNCTION("""COMPUTED_VALUE"""),31.0)</f>
        <v>31</v>
      </c>
      <c r="C39" s="252"/>
      <c r="D39" s="253" t="str">
        <f>IFERROR(__xludf.DUMMYFUNCTION("""COMPUTED_VALUE"""),"")</f>
        <v/>
      </c>
      <c r="E39" s="254">
        <f>IFERROR(__xludf.DUMMYFUNCTION("""COMPUTED_VALUE"""),0.0)</f>
        <v>0</v>
      </c>
      <c r="F39" s="255"/>
      <c r="G39" s="256"/>
      <c r="H39" s="252">
        <f>IFERROR(__xludf.DUMMYFUNCTION("""COMPUTED_VALUE"""),0.0)</f>
        <v>0</v>
      </c>
      <c r="I39" s="258"/>
      <c r="J39" s="258"/>
      <c r="K39" s="257">
        <f>IFERROR(__xludf.DUMMYFUNCTION("""COMPUTED_VALUE"""),0.0)</f>
        <v>0</v>
      </c>
      <c r="L39" s="258">
        <f>IFERROR(__xludf.DUMMYFUNCTION("""COMPUTED_VALUE"""),0.0)</f>
        <v>0</v>
      </c>
      <c r="M39" s="258">
        <f>IFERROR(__xludf.DUMMYFUNCTION("""COMPUTED_VALUE"""),0.0)</f>
        <v>0</v>
      </c>
      <c r="N39" s="258">
        <f>IFERROR(__xludf.DUMMYFUNCTION("""COMPUTED_VALUE"""),0.0)</f>
        <v>0</v>
      </c>
      <c r="O39" s="258">
        <f>IFERROR(__xludf.DUMMYFUNCTION("""COMPUTED_VALUE"""),0.0)</f>
        <v>0</v>
      </c>
      <c r="P39" s="258">
        <f>IFERROR(__xludf.DUMMYFUNCTION("""COMPUTED_VALUE"""),0.0)</f>
        <v>0</v>
      </c>
      <c r="Q39" s="258">
        <f>IFERROR(__xludf.DUMMYFUNCTION("""COMPUTED_VALUE"""),0.0)</f>
        <v>0</v>
      </c>
      <c r="R39" s="259"/>
      <c r="S39" s="259"/>
      <c r="T39" s="261"/>
      <c r="U39" s="262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</row>
    <row r="40" ht="15.75" customHeight="1">
      <c r="A40" s="250"/>
      <c r="B40" s="251">
        <f>IFERROR(__xludf.DUMMYFUNCTION("""COMPUTED_VALUE"""),32.0)</f>
        <v>32</v>
      </c>
      <c r="C40" s="252"/>
      <c r="D40" s="253" t="str">
        <f>IFERROR(__xludf.DUMMYFUNCTION("""COMPUTED_VALUE"""),"")</f>
        <v/>
      </c>
      <c r="E40" s="254">
        <f>IFERROR(__xludf.DUMMYFUNCTION("""COMPUTED_VALUE"""),0.0)</f>
        <v>0</v>
      </c>
      <c r="F40" s="255"/>
      <c r="G40" s="256"/>
      <c r="H40" s="252">
        <f>IFERROR(__xludf.DUMMYFUNCTION("""COMPUTED_VALUE"""),0.0)</f>
        <v>0</v>
      </c>
      <c r="I40" s="258"/>
      <c r="J40" s="258"/>
      <c r="K40" s="257">
        <f>IFERROR(__xludf.DUMMYFUNCTION("""COMPUTED_VALUE"""),0.0)</f>
        <v>0</v>
      </c>
      <c r="L40" s="258">
        <f>IFERROR(__xludf.DUMMYFUNCTION("""COMPUTED_VALUE"""),0.0)</f>
        <v>0</v>
      </c>
      <c r="M40" s="258">
        <f>IFERROR(__xludf.DUMMYFUNCTION("""COMPUTED_VALUE"""),0.0)</f>
        <v>0</v>
      </c>
      <c r="N40" s="258">
        <f>IFERROR(__xludf.DUMMYFUNCTION("""COMPUTED_VALUE"""),0.0)</f>
        <v>0</v>
      </c>
      <c r="O40" s="258">
        <f>IFERROR(__xludf.DUMMYFUNCTION("""COMPUTED_VALUE"""),0.0)</f>
        <v>0</v>
      </c>
      <c r="P40" s="258">
        <f>IFERROR(__xludf.DUMMYFUNCTION("""COMPUTED_VALUE"""),0.0)</f>
        <v>0</v>
      </c>
      <c r="Q40" s="258">
        <f>IFERROR(__xludf.DUMMYFUNCTION("""COMPUTED_VALUE"""),0.0)</f>
        <v>0</v>
      </c>
      <c r="R40" s="259"/>
      <c r="S40" s="259"/>
      <c r="T40" s="261"/>
      <c r="U40" s="262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</row>
    <row r="41" ht="15.75" customHeight="1">
      <c r="A41" s="250"/>
      <c r="B41" s="251">
        <f>IFERROR(__xludf.DUMMYFUNCTION("""COMPUTED_VALUE"""),33.0)</f>
        <v>33</v>
      </c>
      <c r="C41" s="252"/>
      <c r="D41" s="253" t="str">
        <f>IFERROR(__xludf.DUMMYFUNCTION("""COMPUTED_VALUE"""),"")</f>
        <v/>
      </c>
      <c r="E41" s="254">
        <f>IFERROR(__xludf.DUMMYFUNCTION("""COMPUTED_VALUE"""),0.0)</f>
        <v>0</v>
      </c>
      <c r="F41" s="255"/>
      <c r="G41" s="256"/>
      <c r="H41" s="252">
        <f>IFERROR(__xludf.DUMMYFUNCTION("""COMPUTED_VALUE"""),0.0)</f>
        <v>0</v>
      </c>
      <c r="I41" s="258"/>
      <c r="J41" s="258"/>
      <c r="K41" s="257">
        <f>IFERROR(__xludf.DUMMYFUNCTION("""COMPUTED_VALUE"""),0.0)</f>
        <v>0</v>
      </c>
      <c r="L41" s="258">
        <f>IFERROR(__xludf.DUMMYFUNCTION("""COMPUTED_VALUE"""),0.0)</f>
        <v>0</v>
      </c>
      <c r="M41" s="258">
        <f>IFERROR(__xludf.DUMMYFUNCTION("""COMPUTED_VALUE"""),0.0)</f>
        <v>0</v>
      </c>
      <c r="N41" s="258">
        <f>IFERROR(__xludf.DUMMYFUNCTION("""COMPUTED_VALUE"""),0.0)</f>
        <v>0</v>
      </c>
      <c r="O41" s="258">
        <f>IFERROR(__xludf.DUMMYFUNCTION("""COMPUTED_VALUE"""),0.0)</f>
        <v>0</v>
      </c>
      <c r="P41" s="258">
        <f>IFERROR(__xludf.DUMMYFUNCTION("""COMPUTED_VALUE"""),0.0)</f>
        <v>0</v>
      </c>
      <c r="Q41" s="258">
        <f>IFERROR(__xludf.DUMMYFUNCTION("""COMPUTED_VALUE"""),0.0)</f>
        <v>0</v>
      </c>
      <c r="R41" s="259"/>
      <c r="S41" s="260"/>
      <c r="T41" s="261"/>
      <c r="U41" s="262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</row>
    <row r="42" ht="15.75" customHeight="1">
      <c r="A42" s="250"/>
      <c r="B42" s="251">
        <f>IFERROR(__xludf.DUMMYFUNCTION("""COMPUTED_VALUE"""),34.0)</f>
        <v>34</v>
      </c>
      <c r="C42" s="252"/>
      <c r="D42" s="253" t="str">
        <f>IFERROR(__xludf.DUMMYFUNCTION("""COMPUTED_VALUE"""),"")</f>
        <v/>
      </c>
      <c r="E42" s="254">
        <f>IFERROR(__xludf.DUMMYFUNCTION("""COMPUTED_VALUE"""),0.0)</f>
        <v>0</v>
      </c>
      <c r="F42" s="255"/>
      <c r="G42" s="256"/>
      <c r="H42" s="252">
        <f>IFERROR(__xludf.DUMMYFUNCTION("""COMPUTED_VALUE"""),0.0)</f>
        <v>0</v>
      </c>
      <c r="I42" s="258"/>
      <c r="J42" s="258"/>
      <c r="K42" s="257">
        <f>IFERROR(__xludf.DUMMYFUNCTION("""COMPUTED_VALUE"""),0.0)</f>
        <v>0</v>
      </c>
      <c r="L42" s="258">
        <f>IFERROR(__xludf.DUMMYFUNCTION("""COMPUTED_VALUE"""),0.0)</f>
        <v>0</v>
      </c>
      <c r="M42" s="258">
        <f>IFERROR(__xludf.DUMMYFUNCTION("""COMPUTED_VALUE"""),0.0)</f>
        <v>0</v>
      </c>
      <c r="N42" s="258">
        <f>IFERROR(__xludf.DUMMYFUNCTION("""COMPUTED_VALUE"""),0.0)</f>
        <v>0</v>
      </c>
      <c r="O42" s="258">
        <f>IFERROR(__xludf.DUMMYFUNCTION("""COMPUTED_VALUE"""),0.0)</f>
        <v>0</v>
      </c>
      <c r="P42" s="258">
        <f>IFERROR(__xludf.DUMMYFUNCTION("""COMPUTED_VALUE"""),0.0)</f>
        <v>0</v>
      </c>
      <c r="Q42" s="258">
        <f>IFERROR(__xludf.DUMMYFUNCTION("""COMPUTED_VALUE"""),0.0)</f>
        <v>0</v>
      </c>
      <c r="R42" s="259"/>
      <c r="S42" s="260"/>
      <c r="T42" s="261"/>
      <c r="U42" s="262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</row>
    <row r="43" ht="15.75" customHeight="1">
      <c r="A43" s="250"/>
      <c r="B43" s="251">
        <f>IFERROR(__xludf.DUMMYFUNCTION("""COMPUTED_VALUE"""),35.0)</f>
        <v>35</v>
      </c>
      <c r="C43" s="252"/>
      <c r="D43" s="253" t="str">
        <f>IFERROR(__xludf.DUMMYFUNCTION("""COMPUTED_VALUE"""),"")</f>
        <v/>
      </c>
      <c r="E43" s="254">
        <f>IFERROR(__xludf.DUMMYFUNCTION("""COMPUTED_VALUE"""),0.0)</f>
        <v>0</v>
      </c>
      <c r="F43" s="255"/>
      <c r="G43" s="256"/>
      <c r="H43" s="252">
        <f>IFERROR(__xludf.DUMMYFUNCTION("""COMPUTED_VALUE"""),0.0)</f>
        <v>0</v>
      </c>
      <c r="I43" s="258"/>
      <c r="J43" s="258"/>
      <c r="K43" s="257">
        <f>IFERROR(__xludf.DUMMYFUNCTION("""COMPUTED_VALUE"""),0.0)</f>
        <v>0</v>
      </c>
      <c r="L43" s="258">
        <f>IFERROR(__xludf.DUMMYFUNCTION("""COMPUTED_VALUE"""),0.0)</f>
        <v>0</v>
      </c>
      <c r="M43" s="258">
        <f>IFERROR(__xludf.DUMMYFUNCTION("""COMPUTED_VALUE"""),0.0)</f>
        <v>0</v>
      </c>
      <c r="N43" s="258">
        <f>IFERROR(__xludf.DUMMYFUNCTION("""COMPUTED_VALUE"""),0.0)</f>
        <v>0</v>
      </c>
      <c r="O43" s="258">
        <f>IFERROR(__xludf.DUMMYFUNCTION("""COMPUTED_VALUE"""),0.0)</f>
        <v>0</v>
      </c>
      <c r="P43" s="258">
        <f>IFERROR(__xludf.DUMMYFUNCTION("""COMPUTED_VALUE"""),0.0)</f>
        <v>0</v>
      </c>
      <c r="Q43" s="258">
        <f>IFERROR(__xludf.DUMMYFUNCTION("""COMPUTED_VALUE"""),0.0)</f>
        <v>0</v>
      </c>
      <c r="R43" s="259"/>
      <c r="S43" s="260"/>
      <c r="T43" s="261"/>
      <c r="U43" s="262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/>
      <c r="AL43" s="250"/>
      <c r="AM43" s="250"/>
      <c r="AN43" s="250"/>
    </row>
    <row r="44" ht="15.75" customHeight="1">
      <c r="A44" s="250"/>
      <c r="B44" s="251">
        <f>IFERROR(__xludf.DUMMYFUNCTION("""COMPUTED_VALUE"""),36.0)</f>
        <v>36</v>
      </c>
      <c r="C44" s="252"/>
      <c r="D44" s="253" t="str">
        <f>IFERROR(__xludf.DUMMYFUNCTION("""COMPUTED_VALUE"""),"")</f>
        <v/>
      </c>
      <c r="E44" s="254">
        <f>IFERROR(__xludf.DUMMYFUNCTION("""COMPUTED_VALUE"""),0.0)</f>
        <v>0</v>
      </c>
      <c r="F44" s="255"/>
      <c r="G44" s="256"/>
      <c r="H44" s="252">
        <f>IFERROR(__xludf.DUMMYFUNCTION("""COMPUTED_VALUE"""),0.0)</f>
        <v>0</v>
      </c>
      <c r="I44" s="258"/>
      <c r="J44" s="258"/>
      <c r="K44" s="257">
        <f>IFERROR(__xludf.DUMMYFUNCTION("""COMPUTED_VALUE"""),0.0)</f>
        <v>0</v>
      </c>
      <c r="L44" s="258">
        <f>IFERROR(__xludf.DUMMYFUNCTION("""COMPUTED_VALUE"""),0.0)</f>
        <v>0</v>
      </c>
      <c r="M44" s="258">
        <f>IFERROR(__xludf.DUMMYFUNCTION("""COMPUTED_VALUE"""),0.0)</f>
        <v>0</v>
      </c>
      <c r="N44" s="258">
        <f>IFERROR(__xludf.DUMMYFUNCTION("""COMPUTED_VALUE"""),0.0)</f>
        <v>0</v>
      </c>
      <c r="O44" s="258">
        <f>IFERROR(__xludf.DUMMYFUNCTION("""COMPUTED_VALUE"""),0.0)</f>
        <v>0</v>
      </c>
      <c r="P44" s="258">
        <f>IFERROR(__xludf.DUMMYFUNCTION("""COMPUTED_VALUE"""),0.0)</f>
        <v>0</v>
      </c>
      <c r="Q44" s="258">
        <f>IFERROR(__xludf.DUMMYFUNCTION("""COMPUTED_VALUE"""),0.0)</f>
        <v>0</v>
      </c>
      <c r="R44" s="259"/>
      <c r="S44" s="260"/>
      <c r="T44" s="261"/>
      <c r="U44" s="262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</row>
    <row r="45" ht="15.75" customHeight="1">
      <c r="A45" s="250"/>
      <c r="B45" s="251">
        <f>IFERROR(__xludf.DUMMYFUNCTION("""COMPUTED_VALUE"""),37.0)</f>
        <v>37</v>
      </c>
      <c r="C45" s="252"/>
      <c r="D45" s="253" t="str">
        <f>IFERROR(__xludf.DUMMYFUNCTION("""COMPUTED_VALUE"""),"")</f>
        <v/>
      </c>
      <c r="E45" s="254">
        <f>IFERROR(__xludf.DUMMYFUNCTION("""COMPUTED_VALUE"""),0.0)</f>
        <v>0</v>
      </c>
      <c r="F45" s="255"/>
      <c r="G45" s="256"/>
      <c r="H45" s="252">
        <f>IFERROR(__xludf.DUMMYFUNCTION("""COMPUTED_VALUE"""),0.0)</f>
        <v>0</v>
      </c>
      <c r="I45" s="258"/>
      <c r="J45" s="258"/>
      <c r="K45" s="257">
        <f>IFERROR(__xludf.DUMMYFUNCTION("""COMPUTED_VALUE"""),0.0)</f>
        <v>0</v>
      </c>
      <c r="L45" s="258">
        <f>IFERROR(__xludf.DUMMYFUNCTION("""COMPUTED_VALUE"""),0.0)</f>
        <v>0</v>
      </c>
      <c r="M45" s="258">
        <f>IFERROR(__xludf.DUMMYFUNCTION("""COMPUTED_VALUE"""),0.0)</f>
        <v>0</v>
      </c>
      <c r="N45" s="258">
        <f>IFERROR(__xludf.DUMMYFUNCTION("""COMPUTED_VALUE"""),0.0)</f>
        <v>0</v>
      </c>
      <c r="O45" s="258">
        <f>IFERROR(__xludf.DUMMYFUNCTION("""COMPUTED_VALUE"""),0.0)</f>
        <v>0</v>
      </c>
      <c r="P45" s="258">
        <f>IFERROR(__xludf.DUMMYFUNCTION("""COMPUTED_VALUE"""),0.0)</f>
        <v>0</v>
      </c>
      <c r="Q45" s="258">
        <f>IFERROR(__xludf.DUMMYFUNCTION("""COMPUTED_VALUE"""),0.0)</f>
        <v>0</v>
      </c>
      <c r="R45" s="259"/>
      <c r="S45" s="260"/>
      <c r="T45" s="261"/>
      <c r="U45" s="262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</row>
    <row r="46" ht="15.75" customHeight="1">
      <c r="A46" s="250"/>
      <c r="B46" s="251">
        <f>IFERROR(__xludf.DUMMYFUNCTION("""COMPUTED_VALUE"""),38.0)</f>
        <v>38</v>
      </c>
      <c r="C46" s="252"/>
      <c r="D46" s="253" t="str">
        <f>IFERROR(__xludf.DUMMYFUNCTION("""COMPUTED_VALUE"""),"")</f>
        <v/>
      </c>
      <c r="E46" s="254">
        <f>IFERROR(__xludf.DUMMYFUNCTION("""COMPUTED_VALUE"""),0.0)</f>
        <v>0</v>
      </c>
      <c r="F46" s="255"/>
      <c r="G46" s="256"/>
      <c r="H46" s="252">
        <f>IFERROR(__xludf.DUMMYFUNCTION("""COMPUTED_VALUE"""),0.0)</f>
        <v>0</v>
      </c>
      <c r="I46" s="258"/>
      <c r="J46" s="258"/>
      <c r="K46" s="257">
        <f>IFERROR(__xludf.DUMMYFUNCTION("""COMPUTED_VALUE"""),0.0)</f>
        <v>0</v>
      </c>
      <c r="L46" s="258">
        <f>IFERROR(__xludf.DUMMYFUNCTION("""COMPUTED_VALUE"""),0.0)</f>
        <v>0</v>
      </c>
      <c r="M46" s="258">
        <f>IFERROR(__xludf.DUMMYFUNCTION("""COMPUTED_VALUE"""),0.0)</f>
        <v>0</v>
      </c>
      <c r="N46" s="258">
        <f>IFERROR(__xludf.DUMMYFUNCTION("""COMPUTED_VALUE"""),0.0)</f>
        <v>0</v>
      </c>
      <c r="O46" s="258">
        <f>IFERROR(__xludf.DUMMYFUNCTION("""COMPUTED_VALUE"""),0.0)</f>
        <v>0</v>
      </c>
      <c r="P46" s="258">
        <f>IFERROR(__xludf.DUMMYFUNCTION("""COMPUTED_VALUE"""),0.0)</f>
        <v>0</v>
      </c>
      <c r="Q46" s="258">
        <f>IFERROR(__xludf.DUMMYFUNCTION("""COMPUTED_VALUE"""),0.0)</f>
        <v>0</v>
      </c>
      <c r="R46" s="259"/>
      <c r="S46" s="260"/>
      <c r="T46" s="261"/>
      <c r="U46" s="262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/>
    </row>
    <row r="47" ht="15.75" customHeight="1">
      <c r="A47" s="250"/>
      <c r="B47" s="251">
        <f>IFERROR(__xludf.DUMMYFUNCTION("""COMPUTED_VALUE"""),39.0)</f>
        <v>39</v>
      </c>
      <c r="C47" s="252"/>
      <c r="D47" s="253" t="str">
        <f>IFERROR(__xludf.DUMMYFUNCTION("""COMPUTED_VALUE"""),"")</f>
        <v/>
      </c>
      <c r="E47" s="254">
        <f>IFERROR(__xludf.DUMMYFUNCTION("""COMPUTED_VALUE"""),0.0)</f>
        <v>0</v>
      </c>
      <c r="F47" s="255"/>
      <c r="G47" s="256"/>
      <c r="H47" s="252">
        <f>IFERROR(__xludf.DUMMYFUNCTION("""COMPUTED_VALUE"""),0.0)</f>
        <v>0</v>
      </c>
      <c r="I47" s="258"/>
      <c r="J47" s="258"/>
      <c r="K47" s="257">
        <f>IFERROR(__xludf.DUMMYFUNCTION("""COMPUTED_VALUE"""),0.0)</f>
        <v>0</v>
      </c>
      <c r="L47" s="258">
        <f>IFERROR(__xludf.DUMMYFUNCTION("""COMPUTED_VALUE"""),0.0)</f>
        <v>0</v>
      </c>
      <c r="M47" s="258">
        <f>IFERROR(__xludf.DUMMYFUNCTION("""COMPUTED_VALUE"""),0.0)</f>
        <v>0</v>
      </c>
      <c r="N47" s="258">
        <f>IFERROR(__xludf.DUMMYFUNCTION("""COMPUTED_VALUE"""),0.0)</f>
        <v>0</v>
      </c>
      <c r="O47" s="258">
        <f>IFERROR(__xludf.DUMMYFUNCTION("""COMPUTED_VALUE"""),0.0)</f>
        <v>0</v>
      </c>
      <c r="P47" s="258">
        <f>IFERROR(__xludf.DUMMYFUNCTION("""COMPUTED_VALUE"""),0.0)</f>
        <v>0</v>
      </c>
      <c r="Q47" s="258">
        <f>IFERROR(__xludf.DUMMYFUNCTION("""COMPUTED_VALUE"""),0.0)</f>
        <v>0</v>
      </c>
      <c r="R47" s="259"/>
      <c r="S47" s="260"/>
      <c r="T47" s="261"/>
      <c r="U47" s="262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</row>
    <row r="48" ht="15.75" customHeight="1">
      <c r="A48" s="250"/>
      <c r="B48" s="251">
        <f>IFERROR(__xludf.DUMMYFUNCTION("""COMPUTED_VALUE"""),40.0)</f>
        <v>40</v>
      </c>
      <c r="C48" s="252"/>
      <c r="D48" s="253" t="str">
        <f>IFERROR(__xludf.DUMMYFUNCTION("""COMPUTED_VALUE"""),"")</f>
        <v/>
      </c>
      <c r="E48" s="254">
        <f>IFERROR(__xludf.DUMMYFUNCTION("""COMPUTED_VALUE"""),0.0)</f>
        <v>0</v>
      </c>
      <c r="F48" s="255"/>
      <c r="G48" s="256"/>
      <c r="H48" s="252">
        <f>IFERROR(__xludf.DUMMYFUNCTION("""COMPUTED_VALUE"""),0.0)</f>
        <v>0</v>
      </c>
      <c r="I48" s="258"/>
      <c r="J48" s="258"/>
      <c r="K48" s="257">
        <f>IFERROR(__xludf.DUMMYFUNCTION("""COMPUTED_VALUE"""),0.0)</f>
        <v>0</v>
      </c>
      <c r="L48" s="258">
        <f>IFERROR(__xludf.DUMMYFUNCTION("""COMPUTED_VALUE"""),0.0)</f>
        <v>0</v>
      </c>
      <c r="M48" s="258">
        <f>IFERROR(__xludf.DUMMYFUNCTION("""COMPUTED_VALUE"""),0.0)</f>
        <v>0</v>
      </c>
      <c r="N48" s="258">
        <f>IFERROR(__xludf.DUMMYFUNCTION("""COMPUTED_VALUE"""),0.0)</f>
        <v>0</v>
      </c>
      <c r="O48" s="258">
        <f>IFERROR(__xludf.DUMMYFUNCTION("""COMPUTED_VALUE"""),0.0)</f>
        <v>0</v>
      </c>
      <c r="P48" s="258">
        <f>IFERROR(__xludf.DUMMYFUNCTION("""COMPUTED_VALUE"""),0.0)</f>
        <v>0</v>
      </c>
      <c r="Q48" s="258">
        <f>IFERROR(__xludf.DUMMYFUNCTION("""COMPUTED_VALUE"""),0.0)</f>
        <v>0</v>
      </c>
      <c r="R48" s="259"/>
      <c r="S48" s="260"/>
      <c r="T48" s="261"/>
      <c r="U48" s="262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</row>
    <row r="49" ht="15.75" customHeight="1">
      <c r="A49" s="250"/>
      <c r="B49" s="251">
        <f>IFERROR(__xludf.DUMMYFUNCTION("""COMPUTED_VALUE"""),41.0)</f>
        <v>41</v>
      </c>
      <c r="C49" s="252"/>
      <c r="D49" s="253" t="str">
        <f>IFERROR(__xludf.DUMMYFUNCTION("""COMPUTED_VALUE"""),"")</f>
        <v/>
      </c>
      <c r="E49" s="254">
        <f>IFERROR(__xludf.DUMMYFUNCTION("""COMPUTED_VALUE"""),0.0)</f>
        <v>0</v>
      </c>
      <c r="F49" s="255"/>
      <c r="G49" s="256"/>
      <c r="H49" s="252">
        <f>IFERROR(__xludf.DUMMYFUNCTION("""COMPUTED_VALUE"""),0.0)</f>
        <v>0</v>
      </c>
      <c r="I49" s="258"/>
      <c r="J49" s="258"/>
      <c r="K49" s="257">
        <f>IFERROR(__xludf.DUMMYFUNCTION("""COMPUTED_VALUE"""),0.0)</f>
        <v>0</v>
      </c>
      <c r="L49" s="258">
        <f>IFERROR(__xludf.DUMMYFUNCTION("""COMPUTED_VALUE"""),0.0)</f>
        <v>0</v>
      </c>
      <c r="M49" s="258">
        <f>IFERROR(__xludf.DUMMYFUNCTION("""COMPUTED_VALUE"""),0.0)</f>
        <v>0</v>
      </c>
      <c r="N49" s="258">
        <f>IFERROR(__xludf.DUMMYFUNCTION("""COMPUTED_VALUE"""),0.0)</f>
        <v>0</v>
      </c>
      <c r="O49" s="258">
        <f>IFERROR(__xludf.DUMMYFUNCTION("""COMPUTED_VALUE"""),0.0)</f>
        <v>0</v>
      </c>
      <c r="P49" s="258">
        <f>IFERROR(__xludf.DUMMYFUNCTION("""COMPUTED_VALUE"""),0.0)</f>
        <v>0</v>
      </c>
      <c r="Q49" s="258">
        <f>IFERROR(__xludf.DUMMYFUNCTION("""COMPUTED_VALUE"""),0.0)</f>
        <v>0</v>
      </c>
      <c r="R49" s="259"/>
      <c r="S49" s="260"/>
      <c r="T49" s="261"/>
      <c r="U49" s="262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</row>
    <row r="50" ht="15.75" customHeight="1">
      <c r="A50" s="250"/>
      <c r="B50" s="251">
        <f>IFERROR(__xludf.DUMMYFUNCTION("""COMPUTED_VALUE"""),42.0)</f>
        <v>42</v>
      </c>
      <c r="C50" s="252"/>
      <c r="D50" s="253" t="str">
        <f>IFERROR(__xludf.DUMMYFUNCTION("""COMPUTED_VALUE"""),"")</f>
        <v/>
      </c>
      <c r="E50" s="254">
        <f>IFERROR(__xludf.DUMMYFUNCTION("""COMPUTED_VALUE"""),0.0)</f>
        <v>0</v>
      </c>
      <c r="F50" s="255"/>
      <c r="G50" s="256"/>
      <c r="H50" s="252">
        <f>IFERROR(__xludf.DUMMYFUNCTION("""COMPUTED_VALUE"""),0.0)</f>
        <v>0</v>
      </c>
      <c r="I50" s="258"/>
      <c r="J50" s="258"/>
      <c r="K50" s="257">
        <f>IFERROR(__xludf.DUMMYFUNCTION("""COMPUTED_VALUE"""),0.0)</f>
        <v>0</v>
      </c>
      <c r="L50" s="258">
        <f>IFERROR(__xludf.DUMMYFUNCTION("""COMPUTED_VALUE"""),0.0)</f>
        <v>0</v>
      </c>
      <c r="M50" s="258">
        <f>IFERROR(__xludf.DUMMYFUNCTION("""COMPUTED_VALUE"""),0.0)</f>
        <v>0</v>
      </c>
      <c r="N50" s="258">
        <f>IFERROR(__xludf.DUMMYFUNCTION("""COMPUTED_VALUE"""),0.0)</f>
        <v>0</v>
      </c>
      <c r="O50" s="258">
        <f>IFERROR(__xludf.DUMMYFUNCTION("""COMPUTED_VALUE"""),0.0)</f>
        <v>0</v>
      </c>
      <c r="P50" s="258">
        <f>IFERROR(__xludf.DUMMYFUNCTION("""COMPUTED_VALUE"""),0.0)</f>
        <v>0</v>
      </c>
      <c r="Q50" s="258">
        <f>IFERROR(__xludf.DUMMYFUNCTION("""COMPUTED_VALUE"""),0.0)</f>
        <v>0</v>
      </c>
      <c r="R50" s="259"/>
      <c r="S50" s="260"/>
      <c r="T50" s="261"/>
      <c r="U50" s="262"/>
      <c r="V50" s="250"/>
      <c r="W50" s="250"/>
      <c r="X50" s="250"/>
      <c r="Y50" s="250"/>
      <c r="Z50" s="250"/>
      <c r="AA50" s="250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</row>
    <row r="51" ht="15.75" customHeight="1">
      <c r="A51" s="250"/>
      <c r="B51" s="251">
        <f>IFERROR(__xludf.DUMMYFUNCTION("""COMPUTED_VALUE"""),43.0)</f>
        <v>43</v>
      </c>
      <c r="C51" s="252"/>
      <c r="D51" s="253" t="str">
        <f>IFERROR(__xludf.DUMMYFUNCTION("""COMPUTED_VALUE"""),"")</f>
        <v/>
      </c>
      <c r="E51" s="254">
        <f>IFERROR(__xludf.DUMMYFUNCTION("""COMPUTED_VALUE"""),0.0)</f>
        <v>0</v>
      </c>
      <c r="F51" s="255"/>
      <c r="G51" s="256"/>
      <c r="H51" s="252">
        <f>IFERROR(__xludf.DUMMYFUNCTION("""COMPUTED_VALUE"""),0.0)</f>
        <v>0</v>
      </c>
      <c r="I51" s="258"/>
      <c r="J51" s="258"/>
      <c r="K51" s="257">
        <f>IFERROR(__xludf.DUMMYFUNCTION("""COMPUTED_VALUE"""),0.0)</f>
        <v>0</v>
      </c>
      <c r="L51" s="258">
        <f>IFERROR(__xludf.DUMMYFUNCTION("""COMPUTED_VALUE"""),0.0)</f>
        <v>0</v>
      </c>
      <c r="M51" s="258">
        <f>IFERROR(__xludf.DUMMYFUNCTION("""COMPUTED_VALUE"""),0.0)</f>
        <v>0</v>
      </c>
      <c r="N51" s="258">
        <f>IFERROR(__xludf.DUMMYFUNCTION("""COMPUTED_VALUE"""),0.0)</f>
        <v>0</v>
      </c>
      <c r="O51" s="258">
        <f>IFERROR(__xludf.DUMMYFUNCTION("""COMPUTED_VALUE"""),0.0)</f>
        <v>0</v>
      </c>
      <c r="P51" s="258">
        <f>IFERROR(__xludf.DUMMYFUNCTION("""COMPUTED_VALUE"""),0.0)</f>
        <v>0</v>
      </c>
      <c r="Q51" s="258">
        <f>IFERROR(__xludf.DUMMYFUNCTION("""COMPUTED_VALUE"""),0.0)</f>
        <v>0</v>
      </c>
      <c r="R51" s="259"/>
      <c r="S51" s="260"/>
      <c r="T51" s="261"/>
      <c r="U51" s="262"/>
      <c r="V51" s="250"/>
      <c r="W51" s="250"/>
      <c r="X51" s="250"/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</row>
    <row r="52" ht="15.75" customHeight="1">
      <c r="A52" s="250"/>
      <c r="B52" s="251">
        <f>IFERROR(__xludf.DUMMYFUNCTION("""COMPUTED_VALUE"""),44.0)</f>
        <v>44</v>
      </c>
      <c r="C52" s="252"/>
      <c r="D52" s="253" t="str">
        <f>IFERROR(__xludf.DUMMYFUNCTION("""COMPUTED_VALUE"""),"")</f>
        <v/>
      </c>
      <c r="E52" s="254">
        <f>IFERROR(__xludf.DUMMYFUNCTION("""COMPUTED_VALUE"""),0.0)</f>
        <v>0</v>
      </c>
      <c r="F52" s="255"/>
      <c r="G52" s="256"/>
      <c r="H52" s="252">
        <f>IFERROR(__xludf.DUMMYFUNCTION("""COMPUTED_VALUE"""),0.0)</f>
        <v>0</v>
      </c>
      <c r="I52" s="258"/>
      <c r="J52" s="258"/>
      <c r="K52" s="257">
        <f>IFERROR(__xludf.DUMMYFUNCTION("""COMPUTED_VALUE"""),0.0)</f>
        <v>0</v>
      </c>
      <c r="L52" s="258">
        <f>IFERROR(__xludf.DUMMYFUNCTION("""COMPUTED_VALUE"""),0.0)</f>
        <v>0</v>
      </c>
      <c r="M52" s="258">
        <f>IFERROR(__xludf.DUMMYFUNCTION("""COMPUTED_VALUE"""),0.0)</f>
        <v>0</v>
      </c>
      <c r="N52" s="258">
        <f>IFERROR(__xludf.DUMMYFUNCTION("""COMPUTED_VALUE"""),0.0)</f>
        <v>0</v>
      </c>
      <c r="O52" s="258">
        <f>IFERROR(__xludf.DUMMYFUNCTION("""COMPUTED_VALUE"""),0.0)</f>
        <v>0</v>
      </c>
      <c r="P52" s="258">
        <f>IFERROR(__xludf.DUMMYFUNCTION("""COMPUTED_VALUE"""),0.0)</f>
        <v>0</v>
      </c>
      <c r="Q52" s="258">
        <f>IFERROR(__xludf.DUMMYFUNCTION("""COMPUTED_VALUE"""),0.0)</f>
        <v>0</v>
      </c>
      <c r="R52" s="259"/>
      <c r="S52" s="260"/>
      <c r="T52" s="261"/>
      <c r="U52" s="262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</row>
    <row r="53" ht="15.75" customHeight="1">
      <c r="A53" s="250"/>
      <c r="B53" s="251">
        <f>IFERROR(__xludf.DUMMYFUNCTION("""COMPUTED_VALUE"""),45.0)</f>
        <v>45</v>
      </c>
      <c r="C53" s="252"/>
      <c r="D53" s="253" t="str">
        <f>IFERROR(__xludf.DUMMYFUNCTION("""COMPUTED_VALUE"""),"")</f>
        <v/>
      </c>
      <c r="E53" s="254">
        <f>IFERROR(__xludf.DUMMYFUNCTION("""COMPUTED_VALUE"""),0.0)</f>
        <v>0</v>
      </c>
      <c r="F53" s="255"/>
      <c r="G53" s="256"/>
      <c r="H53" s="252">
        <f>IFERROR(__xludf.DUMMYFUNCTION("""COMPUTED_VALUE"""),0.0)</f>
        <v>0</v>
      </c>
      <c r="I53" s="258"/>
      <c r="J53" s="258"/>
      <c r="K53" s="257">
        <f>IFERROR(__xludf.DUMMYFUNCTION("""COMPUTED_VALUE"""),0.0)</f>
        <v>0</v>
      </c>
      <c r="L53" s="258">
        <f>IFERROR(__xludf.DUMMYFUNCTION("""COMPUTED_VALUE"""),0.0)</f>
        <v>0</v>
      </c>
      <c r="M53" s="258">
        <f>IFERROR(__xludf.DUMMYFUNCTION("""COMPUTED_VALUE"""),0.0)</f>
        <v>0</v>
      </c>
      <c r="N53" s="258">
        <f>IFERROR(__xludf.DUMMYFUNCTION("""COMPUTED_VALUE"""),0.0)</f>
        <v>0</v>
      </c>
      <c r="O53" s="258">
        <f>IFERROR(__xludf.DUMMYFUNCTION("""COMPUTED_VALUE"""),0.0)</f>
        <v>0</v>
      </c>
      <c r="P53" s="258">
        <f>IFERROR(__xludf.DUMMYFUNCTION("""COMPUTED_VALUE"""),0.0)</f>
        <v>0</v>
      </c>
      <c r="Q53" s="258">
        <f>IFERROR(__xludf.DUMMYFUNCTION("""COMPUTED_VALUE"""),0.0)</f>
        <v>0</v>
      </c>
      <c r="R53" s="259"/>
      <c r="S53" s="260"/>
      <c r="T53" s="261"/>
      <c r="U53" s="262"/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</row>
    <row r="54" ht="15.75" customHeight="1">
      <c r="A54" s="250"/>
      <c r="B54" s="251">
        <f>IFERROR(__xludf.DUMMYFUNCTION("""COMPUTED_VALUE"""),46.0)</f>
        <v>46</v>
      </c>
      <c r="C54" s="252"/>
      <c r="D54" s="253" t="str">
        <f>IFERROR(__xludf.DUMMYFUNCTION("""COMPUTED_VALUE"""),"")</f>
        <v/>
      </c>
      <c r="E54" s="254">
        <f>IFERROR(__xludf.DUMMYFUNCTION("""COMPUTED_VALUE"""),0.0)</f>
        <v>0</v>
      </c>
      <c r="F54" s="255"/>
      <c r="G54" s="256"/>
      <c r="H54" s="252">
        <f>IFERROR(__xludf.DUMMYFUNCTION("""COMPUTED_VALUE"""),0.0)</f>
        <v>0</v>
      </c>
      <c r="I54" s="258"/>
      <c r="J54" s="258"/>
      <c r="K54" s="257">
        <f>IFERROR(__xludf.DUMMYFUNCTION("""COMPUTED_VALUE"""),0.0)</f>
        <v>0</v>
      </c>
      <c r="L54" s="258">
        <f>IFERROR(__xludf.DUMMYFUNCTION("""COMPUTED_VALUE"""),0.0)</f>
        <v>0</v>
      </c>
      <c r="M54" s="258">
        <f>IFERROR(__xludf.DUMMYFUNCTION("""COMPUTED_VALUE"""),0.0)</f>
        <v>0</v>
      </c>
      <c r="N54" s="258">
        <f>IFERROR(__xludf.DUMMYFUNCTION("""COMPUTED_VALUE"""),0.0)</f>
        <v>0</v>
      </c>
      <c r="O54" s="258">
        <f>IFERROR(__xludf.DUMMYFUNCTION("""COMPUTED_VALUE"""),0.0)</f>
        <v>0</v>
      </c>
      <c r="P54" s="258">
        <f>IFERROR(__xludf.DUMMYFUNCTION("""COMPUTED_VALUE"""),0.0)</f>
        <v>0</v>
      </c>
      <c r="Q54" s="258">
        <f>IFERROR(__xludf.DUMMYFUNCTION("""COMPUTED_VALUE"""),0.0)</f>
        <v>0</v>
      </c>
      <c r="R54" s="259"/>
      <c r="S54" s="260"/>
      <c r="T54" s="261"/>
      <c r="U54" s="262"/>
      <c r="V54" s="250"/>
      <c r="W54" s="250"/>
      <c r="X54" s="250"/>
      <c r="Y54" s="250"/>
      <c r="Z54" s="250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/>
      <c r="AK54" s="250"/>
      <c r="AL54" s="250"/>
      <c r="AM54" s="250"/>
      <c r="AN54" s="250"/>
    </row>
    <row r="55" ht="15.75" customHeight="1">
      <c r="A55" s="250"/>
      <c r="B55" s="251">
        <f>IFERROR(__xludf.DUMMYFUNCTION("""COMPUTED_VALUE"""),47.0)</f>
        <v>47</v>
      </c>
      <c r="C55" s="252"/>
      <c r="D55" s="253" t="str">
        <f>IFERROR(__xludf.DUMMYFUNCTION("""COMPUTED_VALUE"""),"")</f>
        <v/>
      </c>
      <c r="E55" s="254">
        <f>IFERROR(__xludf.DUMMYFUNCTION("""COMPUTED_VALUE"""),0.0)</f>
        <v>0</v>
      </c>
      <c r="F55" s="255"/>
      <c r="G55" s="256"/>
      <c r="H55" s="252">
        <f>IFERROR(__xludf.DUMMYFUNCTION("""COMPUTED_VALUE"""),0.0)</f>
        <v>0</v>
      </c>
      <c r="I55" s="258"/>
      <c r="J55" s="258"/>
      <c r="K55" s="257">
        <f>IFERROR(__xludf.DUMMYFUNCTION("""COMPUTED_VALUE"""),0.0)</f>
        <v>0</v>
      </c>
      <c r="L55" s="258">
        <f>IFERROR(__xludf.DUMMYFUNCTION("""COMPUTED_VALUE"""),0.0)</f>
        <v>0</v>
      </c>
      <c r="M55" s="258">
        <f>IFERROR(__xludf.DUMMYFUNCTION("""COMPUTED_VALUE"""),0.0)</f>
        <v>0</v>
      </c>
      <c r="N55" s="258">
        <f>IFERROR(__xludf.DUMMYFUNCTION("""COMPUTED_VALUE"""),0.0)</f>
        <v>0</v>
      </c>
      <c r="O55" s="258">
        <f>IFERROR(__xludf.DUMMYFUNCTION("""COMPUTED_VALUE"""),0.0)</f>
        <v>0</v>
      </c>
      <c r="P55" s="258">
        <f>IFERROR(__xludf.DUMMYFUNCTION("""COMPUTED_VALUE"""),0.0)</f>
        <v>0</v>
      </c>
      <c r="Q55" s="258">
        <f>IFERROR(__xludf.DUMMYFUNCTION("""COMPUTED_VALUE"""),0.0)</f>
        <v>0</v>
      </c>
      <c r="R55" s="259"/>
      <c r="S55" s="260"/>
      <c r="T55" s="261"/>
      <c r="U55" s="262"/>
      <c r="V55" s="250"/>
      <c r="W55" s="250"/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0"/>
      <c r="AM55" s="250"/>
      <c r="AN55" s="250"/>
    </row>
    <row r="56" ht="15.75" customHeight="1">
      <c r="A56" s="250"/>
      <c r="B56" s="251">
        <f>IFERROR(__xludf.DUMMYFUNCTION("""COMPUTED_VALUE"""),48.0)</f>
        <v>48</v>
      </c>
      <c r="C56" s="252"/>
      <c r="D56" s="253" t="str">
        <f>IFERROR(__xludf.DUMMYFUNCTION("""COMPUTED_VALUE"""),"")</f>
        <v/>
      </c>
      <c r="E56" s="254">
        <f>IFERROR(__xludf.DUMMYFUNCTION("""COMPUTED_VALUE"""),0.0)</f>
        <v>0</v>
      </c>
      <c r="F56" s="255"/>
      <c r="G56" s="256"/>
      <c r="H56" s="252">
        <f>IFERROR(__xludf.DUMMYFUNCTION("""COMPUTED_VALUE"""),0.0)</f>
        <v>0</v>
      </c>
      <c r="I56" s="258"/>
      <c r="J56" s="258"/>
      <c r="K56" s="257">
        <f>IFERROR(__xludf.DUMMYFUNCTION("""COMPUTED_VALUE"""),0.0)</f>
        <v>0</v>
      </c>
      <c r="L56" s="258">
        <f>IFERROR(__xludf.DUMMYFUNCTION("""COMPUTED_VALUE"""),0.0)</f>
        <v>0</v>
      </c>
      <c r="M56" s="258">
        <f>IFERROR(__xludf.DUMMYFUNCTION("""COMPUTED_VALUE"""),0.0)</f>
        <v>0</v>
      </c>
      <c r="N56" s="258">
        <f>IFERROR(__xludf.DUMMYFUNCTION("""COMPUTED_VALUE"""),0.0)</f>
        <v>0</v>
      </c>
      <c r="O56" s="258">
        <f>IFERROR(__xludf.DUMMYFUNCTION("""COMPUTED_VALUE"""),0.0)</f>
        <v>0</v>
      </c>
      <c r="P56" s="258">
        <f>IFERROR(__xludf.DUMMYFUNCTION("""COMPUTED_VALUE"""),0.0)</f>
        <v>0</v>
      </c>
      <c r="Q56" s="258">
        <f>IFERROR(__xludf.DUMMYFUNCTION("""COMPUTED_VALUE"""),0.0)</f>
        <v>0</v>
      </c>
      <c r="R56" s="259"/>
      <c r="S56" s="260"/>
      <c r="T56" s="261"/>
      <c r="U56" s="262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0"/>
    </row>
    <row r="57" ht="15.75" customHeight="1">
      <c r="A57" s="250"/>
      <c r="B57" s="251">
        <f>IFERROR(__xludf.DUMMYFUNCTION("""COMPUTED_VALUE"""),49.0)</f>
        <v>49</v>
      </c>
      <c r="C57" s="252"/>
      <c r="D57" s="253" t="str">
        <f>IFERROR(__xludf.DUMMYFUNCTION("""COMPUTED_VALUE"""),"")</f>
        <v/>
      </c>
      <c r="E57" s="254">
        <f>IFERROR(__xludf.DUMMYFUNCTION("""COMPUTED_VALUE"""),0.0)</f>
        <v>0</v>
      </c>
      <c r="F57" s="255"/>
      <c r="G57" s="256"/>
      <c r="H57" s="252">
        <f>IFERROR(__xludf.DUMMYFUNCTION("""COMPUTED_VALUE"""),0.0)</f>
        <v>0</v>
      </c>
      <c r="I57" s="258"/>
      <c r="J57" s="258"/>
      <c r="K57" s="257">
        <f>IFERROR(__xludf.DUMMYFUNCTION("""COMPUTED_VALUE"""),0.0)</f>
        <v>0</v>
      </c>
      <c r="L57" s="258">
        <f>IFERROR(__xludf.DUMMYFUNCTION("""COMPUTED_VALUE"""),0.0)</f>
        <v>0</v>
      </c>
      <c r="M57" s="258">
        <f>IFERROR(__xludf.DUMMYFUNCTION("""COMPUTED_VALUE"""),0.0)</f>
        <v>0</v>
      </c>
      <c r="N57" s="258">
        <f>IFERROR(__xludf.DUMMYFUNCTION("""COMPUTED_VALUE"""),0.0)</f>
        <v>0</v>
      </c>
      <c r="O57" s="258">
        <f>IFERROR(__xludf.DUMMYFUNCTION("""COMPUTED_VALUE"""),0.0)</f>
        <v>0</v>
      </c>
      <c r="P57" s="258">
        <f>IFERROR(__xludf.DUMMYFUNCTION("""COMPUTED_VALUE"""),0.0)</f>
        <v>0</v>
      </c>
      <c r="Q57" s="258">
        <f>IFERROR(__xludf.DUMMYFUNCTION("""COMPUTED_VALUE"""),0.0)</f>
        <v>0</v>
      </c>
      <c r="R57" s="259"/>
      <c r="S57" s="260"/>
      <c r="T57" s="261"/>
      <c r="U57" s="262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/>
      <c r="AL57" s="250"/>
      <c r="AM57" s="250"/>
      <c r="AN57" s="250"/>
    </row>
    <row r="58" ht="15.75" customHeight="1">
      <c r="A58" s="250"/>
      <c r="B58" s="251">
        <f>IFERROR(__xludf.DUMMYFUNCTION("""COMPUTED_VALUE"""),50.0)</f>
        <v>50</v>
      </c>
      <c r="C58" s="252"/>
      <c r="D58" s="253" t="str">
        <f>IFERROR(__xludf.DUMMYFUNCTION("""COMPUTED_VALUE"""),"")</f>
        <v/>
      </c>
      <c r="E58" s="254">
        <f>IFERROR(__xludf.DUMMYFUNCTION("""COMPUTED_VALUE"""),0.0)</f>
        <v>0</v>
      </c>
      <c r="F58" s="255"/>
      <c r="G58" s="256"/>
      <c r="H58" s="252">
        <f>IFERROR(__xludf.DUMMYFUNCTION("""COMPUTED_VALUE"""),0.0)</f>
        <v>0</v>
      </c>
      <c r="I58" s="258"/>
      <c r="J58" s="258"/>
      <c r="K58" s="257">
        <f>IFERROR(__xludf.DUMMYFUNCTION("""COMPUTED_VALUE"""),0.0)</f>
        <v>0</v>
      </c>
      <c r="L58" s="258">
        <f>IFERROR(__xludf.DUMMYFUNCTION("""COMPUTED_VALUE"""),0.0)</f>
        <v>0</v>
      </c>
      <c r="M58" s="258">
        <f>IFERROR(__xludf.DUMMYFUNCTION("""COMPUTED_VALUE"""),0.0)</f>
        <v>0</v>
      </c>
      <c r="N58" s="258">
        <f>IFERROR(__xludf.DUMMYFUNCTION("""COMPUTED_VALUE"""),0.0)</f>
        <v>0</v>
      </c>
      <c r="O58" s="258">
        <f>IFERROR(__xludf.DUMMYFUNCTION("""COMPUTED_VALUE"""),0.0)</f>
        <v>0</v>
      </c>
      <c r="P58" s="258">
        <f>IFERROR(__xludf.DUMMYFUNCTION("""COMPUTED_VALUE"""),0.0)</f>
        <v>0</v>
      </c>
      <c r="Q58" s="258">
        <f>IFERROR(__xludf.DUMMYFUNCTION("""COMPUTED_VALUE"""),0.0)</f>
        <v>0</v>
      </c>
      <c r="R58" s="259"/>
      <c r="S58" s="260"/>
      <c r="T58" s="261"/>
      <c r="U58" s="262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0"/>
      <c r="AJ58" s="250"/>
      <c r="AK58" s="250"/>
      <c r="AL58" s="250"/>
      <c r="AM58" s="250"/>
      <c r="AN58" s="250"/>
    </row>
    <row r="59" ht="15.75" customHeight="1">
      <c r="A59" s="250"/>
      <c r="B59" s="251">
        <f>IFERROR(__xludf.DUMMYFUNCTION("""COMPUTED_VALUE"""),51.0)</f>
        <v>51</v>
      </c>
      <c r="C59" s="252"/>
      <c r="D59" s="253" t="str">
        <f>IFERROR(__xludf.DUMMYFUNCTION("""COMPUTED_VALUE"""),"")</f>
        <v/>
      </c>
      <c r="E59" s="254">
        <f>IFERROR(__xludf.DUMMYFUNCTION("""COMPUTED_VALUE"""),0.0)</f>
        <v>0</v>
      </c>
      <c r="F59" s="255"/>
      <c r="G59" s="256"/>
      <c r="H59" s="252">
        <f>IFERROR(__xludf.DUMMYFUNCTION("""COMPUTED_VALUE"""),0.0)</f>
        <v>0</v>
      </c>
      <c r="I59" s="258"/>
      <c r="J59" s="258"/>
      <c r="K59" s="257">
        <f>IFERROR(__xludf.DUMMYFUNCTION("""COMPUTED_VALUE"""),0.0)</f>
        <v>0</v>
      </c>
      <c r="L59" s="258">
        <f>IFERROR(__xludf.DUMMYFUNCTION("""COMPUTED_VALUE"""),0.0)</f>
        <v>0</v>
      </c>
      <c r="M59" s="258">
        <f>IFERROR(__xludf.DUMMYFUNCTION("""COMPUTED_VALUE"""),0.0)</f>
        <v>0</v>
      </c>
      <c r="N59" s="258">
        <f>IFERROR(__xludf.DUMMYFUNCTION("""COMPUTED_VALUE"""),0.0)</f>
        <v>0</v>
      </c>
      <c r="O59" s="258">
        <f>IFERROR(__xludf.DUMMYFUNCTION("""COMPUTED_VALUE"""),0.0)</f>
        <v>0</v>
      </c>
      <c r="P59" s="258">
        <f>IFERROR(__xludf.DUMMYFUNCTION("""COMPUTED_VALUE"""),0.0)</f>
        <v>0</v>
      </c>
      <c r="Q59" s="258">
        <f>IFERROR(__xludf.DUMMYFUNCTION("""COMPUTED_VALUE"""),0.0)</f>
        <v>0</v>
      </c>
      <c r="R59" s="259"/>
      <c r="S59" s="260"/>
      <c r="T59" s="261"/>
      <c r="U59" s="262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</row>
    <row r="60" ht="15.75" customHeight="1">
      <c r="A60" s="250"/>
      <c r="B60" s="251">
        <f>IFERROR(__xludf.DUMMYFUNCTION("""COMPUTED_VALUE"""),52.0)</f>
        <v>52</v>
      </c>
      <c r="C60" s="252"/>
      <c r="D60" s="253" t="str">
        <f>IFERROR(__xludf.DUMMYFUNCTION("""COMPUTED_VALUE"""),"")</f>
        <v/>
      </c>
      <c r="E60" s="254">
        <f>IFERROR(__xludf.DUMMYFUNCTION("""COMPUTED_VALUE"""),0.0)</f>
        <v>0</v>
      </c>
      <c r="F60" s="255"/>
      <c r="G60" s="256"/>
      <c r="H60" s="252">
        <f>IFERROR(__xludf.DUMMYFUNCTION("""COMPUTED_VALUE"""),0.0)</f>
        <v>0</v>
      </c>
      <c r="I60" s="258"/>
      <c r="J60" s="258"/>
      <c r="K60" s="257">
        <f>IFERROR(__xludf.DUMMYFUNCTION("""COMPUTED_VALUE"""),0.0)</f>
        <v>0</v>
      </c>
      <c r="L60" s="258">
        <f>IFERROR(__xludf.DUMMYFUNCTION("""COMPUTED_VALUE"""),0.0)</f>
        <v>0</v>
      </c>
      <c r="M60" s="258">
        <f>IFERROR(__xludf.DUMMYFUNCTION("""COMPUTED_VALUE"""),0.0)</f>
        <v>0</v>
      </c>
      <c r="N60" s="258">
        <f>IFERROR(__xludf.DUMMYFUNCTION("""COMPUTED_VALUE"""),0.0)</f>
        <v>0</v>
      </c>
      <c r="O60" s="258">
        <f>IFERROR(__xludf.DUMMYFUNCTION("""COMPUTED_VALUE"""),0.0)</f>
        <v>0</v>
      </c>
      <c r="P60" s="258">
        <f>IFERROR(__xludf.DUMMYFUNCTION("""COMPUTED_VALUE"""),0.0)</f>
        <v>0</v>
      </c>
      <c r="Q60" s="258">
        <f>IFERROR(__xludf.DUMMYFUNCTION("""COMPUTED_VALUE"""),0.0)</f>
        <v>0</v>
      </c>
      <c r="R60" s="259"/>
      <c r="S60" s="260"/>
      <c r="T60" s="261"/>
      <c r="U60" s="262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</row>
    <row r="61" ht="15.75" customHeight="1">
      <c r="A61" s="250"/>
      <c r="B61" s="251">
        <f>IFERROR(__xludf.DUMMYFUNCTION("""COMPUTED_VALUE"""),53.0)</f>
        <v>53</v>
      </c>
      <c r="C61" s="252"/>
      <c r="D61" s="253" t="str">
        <f>IFERROR(__xludf.DUMMYFUNCTION("""COMPUTED_VALUE"""),"")</f>
        <v/>
      </c>
      <c r="E61" s="254">
        <f>IFERROR(__xludf.DUMMYFUNCTION("""COMPUTED_VALUE"""),0.0)</f>
        <v>0</v>
      </c>
      <c r="F61" s="255"/>
      <c r="G61" s="256"/>
      <c r="H61" s="252">
        <f>IFERROR(__xludf.DUMMYFUNCTION("""COMPUTED_VALUE"""),0.0)</f>
        <v>0</v>
      </c>
      <c r="I61" s="258"/>
      <c r="J61" s="258"/>
      <c r="K61" s="257">
        <f>IFERROR(__xludf.DUMMYFUNCTION("""COMPUTED_VALUE"""),0.0)</f>
        <v>0</v>
      </c>
      <c r="L61" s="258">
        <f>IFERROR(__xludf.DUMMYFUNCTION("""COMPUTED_VALUE"""),0.0)</f>
        <v>0</v>
      </c>
      <c r="M61" s="258">
        <f>IFERROR(__xludf.DUMMYFUNCTION("""COMPUTED_VALUE"""),0.0)</f>
        <v>0</v>
      </c>
      <c r="N61" s="258">
        <f>IFERROR(__xludf.DUMMYFUNCTION("""COMPUTED_VALUE"""),0.0)</f>
        <v>0</v>
      </c>
      <c r="O61" s="258">
        <f>IFERROR(__xludf.DUMMYFUNCTION("""COMPUTED_VALUE"""),0.0)</f>
        <v>0</v>
      </c>
      <c r="P61" s="258">
        <f>IFERROR(__xludf.DUMMYFUNCTION("""COMPUTED_VALUE"""),0.0)</f>
        <v>0</v>
      </c>
      <c r="Q61" s="258">
        <f>IFERROR(__xludf.DUMMYFUNCTION("""COMPUTED_VALUE"""),0.0)</f>
        <v>0</v>
      </c>
      <c r="R61" s="259"/>
      <c r="S61" s="260"/>
      <c r="T61" s="261"/>
      <c r="U61" s="262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</row>
    <row r="62" ht="15.75" customHeight="1">
      <c r="A62" s="250"/>
      <c r="B62" s="251">
        <f>IFERROR(__xludf.DUMMYFUNCTION("""COMPUTED_VALUE"""),54.0)</f>
        <v>54</v>
      </c>
      <c r="C62" s="252"/>
      <c r="D62" s="253" t="str">
        <f>IFERROR(__xludf.DUMMYFUNCTION("""COMPUTED_VALUE"""),"")</f>
        <v/>
      </c>
      <c r="E62" s="254">
        <f>IFERROR(__xludf.DUMMYFUNCTION("""COMPUTED_VALUE"""),0.0)</f>
        <v>0</v>
      </c>
      <c r="F62" s="255"/>
      <c r="G62" s="256"/>
      <c r="H62" s="252">
        <f>IFERROR(__xludf.DUMMYFUNCTION("""COMPUTED_VALUE"""),0.0)</f>
        <v>0</v>
      </c>
      <c r="I62" s="258"/>
      <c r="J62" s="258"/>
      <c r="K62" s="257">
        <f>IFERROR(__xludf.DUMMYFUNCTION("""COMPUTED_VALUE"""),0.0)</f>
        <v>0</v>
      </c>
      <c r="L62" s="258">
        <f>IFERROR(__xludf.DUMMYFUNCTION("""COMPUTED_VALUE"""),0.0)</f>
        <v>0</v>
      </c>
      <c r="M62" s="258">
        <f>IFERROR(__xludf.DUMMYFUNCTION("""COMPUTED_VALUE"""),0.0)</f>
        <v>0</v>
      </c>
      <c r="N62" s="258">
        <f>IFERROR(__xludf.DUMMYFUNCTION("""COMPUTED_VALUE"""),0.0)</f>
        <v>0</v>
      </c>
      <c r="O62" s="258">
        <f>IFERROR(__xludf.DUMMYFUNCTION("""COMPUTED_VALUE"""),0.0)</f>
        <v>0</v>
      </c>
      <c r="P62" s="258">
        <f>IFERROR(__xludf.DUMMYFUNCTION("""COMPUTED_VALUE"""),0.0)</f>
        <v>0</v>
      </c>
      <c r="Q62" s="258">
        <f>IFERROR(__xludf.DUMMYFUNCTION("""COMPUTED_VALUE"""),0.0)</f>
        <v>0</v>
      </c>
      <c r="R62" s="259"/>
      <c r="S62" s="260"/>
      <c r="T62" s="261"/>
      <c r="U62" s="262"/>
      <c r="V62" s="250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</row>
    <row r="63" ht="15.75" customHeight="1">
      <c r="A63" s="250"/>
      <c r="B63" s="251">
        <f>IFERROR(__xludf.DUMMYFUNCTION("""COMPUTED_VALUE"""),55.0)</f>
        <v>55</v>
      </c>
      <c r="C63" s="252"/>
      <c r="D63" s="253" t="str">
        <f>IFERROR(__xludf.DUMMYFUNCTION("""COMPUTED_VALUE"""),"")</f>
        <v/>
      </c>
      <c r="E63" s="254">
        <f>IFERROR(__xludf.DUMMYFUNCTION("""COMPUTED_VALUE"""),0.0)</f>
        <v>0</v>
      </c>
      <c r="F63" s="255"/>
      <c r="G63" s="256"/>
      <c r="H63" s="252">
        <f>IFERROR(__xludf.DUMMYFUNCTION("""COMPUTED_VALUE"""),0.0)</f>
        <v>0</v>
      </c>
      <c r="I63" s="258"/>
      <c r="J63" s="258"/>
      <c r="K63" s="257">
        <f>IFERROR(__xludf.DUMMYFUNCTION("""COMPUTED_VALUE"""),0.0)</f>
        <v>0</v>
      </c>
      <c r="L63" s="258">
        <f>IFERROR(__xludf.DUMMYFUNCTION("""COMPUTED_VALUE"""),0.0)</f>
        <v>0</v>
      </c>
      <c r="M63" s="258">
        <f>IFERROR(__xludf.DUMMYFUNCTION("""COMPUTED_VALUE"""),0.0)</f>
        <v>0</v>
      </c>
      <c r="N63" s="258">
        <f>IFERROR(__xludf.DUMMYFUNCTION("""COMPUTED_VALUE"""),0.0)</f>
        <v>0</v>
      </c>
      <c r="O63" s="258">
        <f>IFERROR(__xludf.DUMMYFUNCTION("""COMPUTED_VALUE"""),0.0)</f>
        <v>0</v>
      </c>
      <c r="P63" s="258">
        <f>IFERROR(__xludf.DUMMYFUNCTION("""COMPUTED_VALUE"""),0.0)</f>
        <v>0</v>
      </c>
      <c r="Q63" s="258">
        <f>IFERROR(__xludf.DUMMYFUNCTION("""COMPUTED_VALUE"""),0.0)</f>
        <v>0</v>
      </c>
      <c r="R63" s="259"/>
      <c r="S63" s="260"/>
      <c r="T63" s="261"/>
      <c r="U63" s="262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</row>
    <row r="64" ht="15.75" customHeight="1">
      <c r="A64" s="250"/>
      <c r="B64" s="251">
        <f>IFERROR(__xludf.DUMMYFUNCTION("""COMPUTED_VALUE"""),56.0)</f>
        <v>56</v>
      </c>
      <c r="C64" s="252"/>
      <c r="D64" s="253" t="str">
        <f>IFERROR(__xludf.DUMMYFUNCTION("""COMPUTED_VALUE"""),"")</f>
        <v/>
      </c>
      <c r="E64" s="254">
        <f>IFERROR(__xludf.DUMMYFUNCTION("""COMPUTED_VALUE"""),0.0)</f>
        <v>0</v>
      </c>
      <c r="F64" s="255"/>
      <c r="G64" s="256"/>
      <c r="H64" s="252">
        <f>IFERROR(__xludf.DUMMYFUNCTION("""COMPUTED_VALUE"""),0.0)</f>
        <v>0</v>
      </c>
      <c r="I64" s="258"/>
      <c r="J64" s="258"/>
      <c r="K64" s="257">
        <f>IFERROR(__xludf.DUMMYFUNCTION("""COMPUTED_VALUE"""),0.0)</f>
        <v>0</v>
      </c>
      <c r="L64" s="258">
        <f>IFERROR(__xludf.DUMMYFUNCTION("""COMPUTED_VALUE"""),0.0)</f>
        <v>0</v>
      </c>
      <c r="M64" s="258">
        <f>IFERROR(__xludf.DUMMYFUNCTION("""COMPUTED_VALUE"""),0.0)</f>
        <v>0</v>
      </c>
      <c r="N64" s="258">
        <f>IFERROR(__xludf.DUMMYFUNCTION("""COMPUTED_VALUE"""),0.0)</f>
        <v>0</v>
      </c>
      <c r="O64" s="258">
        <f>IFERROR(__xludf.DUMMYFUNCTION("""COMPUTED_VALUE"""),0.0)</f>
        <v>0</v>
      </c>
      <c r="P64" s="258">
        <f>IFERROR(__xludf.DUMMYFUNCTION("""COMPUTED_VALUE"""),0.0)</f>
        <v>0</v>
      </c>
      <c r="Q64" s="258">
        <f>IFERROR(__xludf.DUMMYFUNCTION("""COMPUTED_VALUE"""),0.0)</f>
        <v>0</v>
      </c>
      <c r="R64" s="259"/>
      <c r="S64" s="260"/>
      <c r="T64" s="261"/>
      <c r="U64" s="262"/>
      <c r="V64" s="250"/>
      <c r="W64" s="250"/>
      <c r="X64" s="250"/>
      <c r="Y64" s="250"/>
      <c r="Z64" s="250"/>
      <c r="AA64" s="250"/>
      <c r="AB64" s="250"/>
      <c r="AC64" s="250"/>
      <c r="AD64" s="250"/>
      <c r="AE64" s="250"/>
      <c r="AF64" s="250"/>
      <c r="AG64" s="250"/>
      <c r="AH64" s="250"/>
      <c r="AI64" s="250"/>
      <c r="AJ64" s="250"/>
      <c r="AK64" s="250"/>
      <c r="AL64" s="250"/>
      <c r="AM64" s="250"/>
      <c r="AN64" s="250"/>
    </row>
    <row r="65" ht="15.75" customHeight="1">
      <c r="A65" s="250"/>
      <c r="B65" s="251">
        <f>IFERROR(__xludf.DUMMYFUNCTION("""COMPUTED_VALUE"""),57.0)</f>
        <v>57</v>
      </c>
      <c r="C65" s="252"/>
      <c r="D65" s="253" t="str">
        <f>IFERROR(__xludf.DUMMYFUNCTION("""COMPUTED_VALUE"""),"")</f>
        <v/>
      </c>
      <c r="E65" s="254">
        <f>IFERROR(__xludf.DUMMYFUNCTION("""COMPUTED_VALUE"""),0.0)</f>
        <v>0</v>
      </c>
      <c r="F65" s="255"/>
      <c r="G65" s="256"/>
      <c r="H65" s="252">
        <f>IFERROR(__xludf.DUMMYFUNCTION("""COMPUTED_VALUE"""),0.0)</f>
        <v>0</v>
      </c>
      <c r="I65" s="258"/>
      <c r="J65" s="258"/>
      <c r="K65" s="257">
        <f>IFERROR(__xludf.DUMMYFUNCTION("""COMPUTED_VALUE"""),0.0)</f>
        <v>0</v>
      </c>
      <c r="L65" s="258">
        <f>IFERROR(__xludf.DUMMYFUNCTION("""COMPUTED_VALUE"""),0.0)</f>
        <v>0</v>
      </c>
      <c r="M65" s="258">
        <f>IFERROR(__xludf.DUMMYFUNCTION("""COMPUTED_VALUE"""),0.0)</f>
        <v>0</v>
      </c>
      <c r="N65" s="258">
        <f>IFERROR(__xludf.DUMMYFUNCTION("""COMPUTED_VALUE"""),0.0)</f>
        <v>0</v>
      </c>
      <c r="O65" s="258">
        <f>IFERROR(__xludf.DUMMYFUNCTION("""COMPUTED_VALUE"""),0.0)</f>
        <v>0</v>
      </c>
      <c r="P65" s="258">
        <f>IFERROR(__xludf.DUMMYFUNCTION("""COMPUTED_VALUE"""),0.0)</f>
        <v>0</v>
      </c>
      <c r="Q65" s="258">
        <f>IFERROR(__xludf.DUMMYFUNCTION("""COMPUTED_VALUE"""),0.0)</f>
        <v>0</v>
      </c>
      <c r="R65" s="259"/>
      <c r="S65" s="260"/>
      <c r="T65" s="261"/>
      <c r="U65" s="262"/>
      <c r="V65" s="250"/>
      <c r="W65" s="250"/>
      <c r="X65" s="250"/>
      <c r="Y65" s="250"/>
      <c r="Z65" s="250"/>
      <c r="AA65" s="250"/>
      <c r="AB65" s="250"/>
      <c r="AC65" s="250"/>
      <c r="AD65" s="250"/>
      <c r="AE65" s="250"/>
      <c r="AF65" s="250"/>
      <c r="AG65" s="250"/>
      <c r="AH65" s="250"/>
      <c r="AI65" s="250"/>
      <c r="AJ65" s="250"/>
      <c r="AK65" s="250"/>
      <c r="AL65" s="250"/>
      <c r="AM65" s="250"/>
      <c r="AN65" s="250"/>
    </row>
    <row r="66" ht="15.75" customHeight="1">
      <c r="A66" s="250"/>
      <c r="B66" s="251">
        <f>IFERROR(__xludf.DUMMYFUNCTION("""COMPUTED_VALUE"""),58.0)</f>
        <v>58</v>
      </c>
      <c r="C66" s="252"/>
      <c r="D66" s="253" t="str">
        <f>IFERROR(__xludf.DUMMYFUNCTION("""COMPUTED_VALUE"""),"")</f>
        <v/>
      </c>
      <c r="E66" s="254">
        <f>IFERROR(__xludf.DUMMYFUNCTION("""COMPUTED_VALUE"""),0.0)</f>
        <v>0</v>
      </c>
      <c r="F66" s="255"/>
      <c r="G66" s="256"/>
      <c r="H66" s="252">
        <f>IFERROR(__xludf.DUMMYFUNCTION("""COMPUTED_VALUE"""),0.0)</f>
        <v>0</v>
      </c>
      <c r="I66" s="258"/>
      <c r="J66" s="258"/>
      <c r="K66" s="257">
        <f>IFERROR(__xludf.DUMMYFUNCTION("""COMPUTED_VALUE"""),0.0)</f>
        <v>0</v>
      </c>
      <c r="L66" s="258">
        <f>IFERROR(__xludf.DUMMYFUNCTION("""COMPUTED_VALUE"""),0.0)</f>
        <v>0</v>
      </c>
      <c r="M66" s="258">
        <f>IFERROR(__xludf.DUMMYFUNCTION("""COMPUTED_VALUE"""),0.0)</f>
        <v>0</v>
      </c>
      <c r="N66" s="258">
        <f>IFERROR(__xludf.DUMMYFUNCTION("""COMPUTED_VALUE"""),0.0)</f>
        <v>0</v>
      </c>
      <c r="O66" s="258">
        <f>IFERROR(__xludf.DUMMYFUNCTION("""COMPUTED_VALUE"""),0.0)</f>
        <v>0</v>
      </c>
      <c r="P66" s="258">
        <f>IFERROR(__xludf.DUMMYFUNCTION("""COMPUTED_VALUE"""),0.0)</f>
        <v>0</v>
      </c>
      <c r="Q66" s="258">
        <f>IFERROR(__xludf.DUMMYFUNCTION("""COMPUTED_VALUE"""),0.0)</f>
        <v>0</v>
      </c>
      <c r="R66" s="259"/>
      <c r="S66" s="260"/>
      <c r="T66" s="261"/>
      <c r="U66" s="262"/>
      <c r="V66" s="250"/>
      <c r="W66" s="250"/>
      <c r="X66" s="250"/>
      <c r="Y66" s="250"/>
      <c r="Z66" s="250"/>
      <c r="AA66" s="250"/>
      <c r="AB66" s="250"/>
      <c r="AC66" s="250"/>
      <c r="AD66" s="250"/>
      <c r="AE66" s="250"/>
      <c r="AF66" s="250"/>
      <c r="AG66" s="250"/>
      <c r="AH66" s="250"/>
      <c r="AI66" s="250"/>
      <c r="AJ66" s="250"/>
      <c r="AK66" s="250"/>
      <c r="AL66" s="250"/>
      <c r="AM66" s="250"/>
      <c r="AN66" s="250"/>
    </row>
    <row r="67" ht="15.75" customHeight="1">
      <c r="A67" s="250"/>
      <c r="B67" s="251">
        <f>IFERROR(__xludf.DUMMYFUNCTION("""COMPUTED_VALUE"""),59.0)</f>
        <v>59</v>
      </c>
      <c r="C67" s="252"/>
      <c r="D67" s="253" t="str">
        <f>IFERROR(__xludf.DUMMYFUNCTION("""COMPUTED_VALUE"""),"")</f>
        <v/>
      </c>
      <c r="E67" s="254">
        <f>IFERROR(__xludf.DUMMYFUNCTION("""COMPUTED_VALUE"""),0.0)</f>
        <v>0</v>
      </c>
      <c r="F67" s="255"/>
      <c r="G67" s="256"/>
      <c r="H67" s="252">
        <f>IFERROR(__xludf.DUMMYFUNCTION("""COMPUTED_VALUE"""),0.0)</f>
        <v>0</v>
      </c>
      <c r="I67" s="258"/>
      <c r="J67" s="258"/>
      <c r="K67" s="257">
        <f>IFERROR(__xludf.DUMMYFUNCTION("""COMPUTED_VALUE"""),0.0)</f>
        <v>0</v>
      </c>
      <c r="L67" s="258">
        <f>IFERROR(__xludf.DUMMYFUNCTION("""COMPUTED_VALUE"""),0.0)</f>
        <v>0</v>
      </c>
      <c r="M67" s="258">
        <f>IFERROR(__xludf.DUMMYFUNCTION("""COMPUTED_VALUE"""),0.0)</f>
        <v>0</v>
      </c>
      <c r="N67" s="258">
        <f>IFERROR(__xludf.DUMMYFUNCTION("""COMPUTED_VALUE"""),0.0)</f>
        <v>0</v>
      </c>
      <c r="O67" s="258">
        <f>IFERROR(__xludf.DUMMYFUNCTION("""COMPUTED_VALUE"""),0.0)</f>
        <v>0</v>
      </c>
      <c r="P67" s="258">
        <f>IFERROR(__xludf.DUMMYFUNCTION("""COMPUTED_VALUE"""),0.0)</f>
        <v>0</v>
      </c>
      <c r="Q67" s="258">
        <f>IFERROR(__xludf.DUMMYFUNCTION("""COMPUTED_VALUE"""),0.0)</f>
        <v>0</v>
      </c>
      <c r="R67" s="259"/>
      <c r="S67" s="260"/>
      <c r="T67" s="261"/>
      <c r="U67" s="262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</row>
    <row r="68" ht="15.75" customHeight="1">
      <c r="A68" s="250"/>
      <c r="B68" s="251">
        <f>IFERROR(__xludf.DUMMYFUNCTION("""COMPUTED_VALUE"""),60.0)</f>
        <v>60</v>
      </c>
      <c r="C68" s="252"/>
      <c r="D68" s="253" t="str">
        <f>IFERROR(__xludf.DUMMYFUNCTION("""COMPUTED_VALUE"""),"")</f>
        <v/>
      </c>
      <c r="E68" s="254">
        <f>IFERROR(__xludf.DUMMYFUNCTION("""COMPUTED_VALUE"""),0.0)</f>
        <v>0</v>
      </c>
      <c r="F68" s="255"/>
      <c r="G68" s="256"/>
      <c r="H68" s="252">
        <f>IFERROR(__xludf.DUMMYFUNCTION("""COMPUTED_VALUE"""),0.0)</f>
        <v>0</v>
      </c>
      <c r="I68" s="258"/>
      <c r="J68" s="258"/>
      <c r="K68" s="257">
        <f>IFERROR(__xludf.DUMMYFUNCTION("""COMPUTED_VALUE"""),0.0)</f>
        <v>0</v>
      </c>
      <c r="L68" s="258">
        <f>IFERROR(__xludf.DUMMYFUNCTION("""COMPUTED_VALUE"""),0.0)</f>
        <v>0</v>
      </c>
      <c r="M68" s="258">
        <f>IFERROR(__xludf.DUMMYFUNCTION("""COMPUTED_VALUE"""),0.0)</f>
        <v>0</v>
      </c>
      <c r="N68" s="258">
        <f>IFERROR(__xludf.DUMMYFUNCTION("""COMPUTED_VALUE"""),0.0)</f>
        <v>0</v>
      </c>
      <c r="O68" s="258">
        <f>IFERROR(__xludf.DUMMYFUNCTION("""COMPUTED_VALUE"""),0.0)</f>
        <v>0</v>
      </c>
      <c r="P68" s="258">
        <f>IFERROR(__xludf.DUMMYFUNCTION("""COMPUTED_VALUE"""),0.0)</f>
        <v>0</v>
      </c>
      <c r="Q68" s="258">
        <f>IFERROR(__xludf.DUMMYFUNCTION("""COMPUTED_VALUE"""),0.0)</f>
        <v>0</v>
      </c>
      <c r="R68" s="259"/>
      <c r="S68" s="260"/>
      <c r="T68" s="261"/>
      <c r="U68" s="262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</row>
    <row r="69" ht="15.75" customHeight="1">
      <c r="A69" s="250"/>
      <c r="B69" s="251">
        <f>IFERROR(__xludf.DUMMYFUNCTION("""COMPUTED_VALUE"""),61.0)</f>
        <v>61</v>
      </c>
      <c r="C69" s="252"/>
      <c r="D69" s="253" t="str">
        <f>IFERROR(__xludf.DUMMYFUNCTION("""COMPUTED_VALUE"""),"")</f>
        <v/>
      </c>
      <c r="E69" s="254">
        <f>IFERROR(__xludf.DUMMYFUNCTION("""COMPUTED_VALUE"""),0.0)</f>
        <v>0</v>
      </c>
      <c r="F69" s="255"/>
      <c r="G69" s="256"/>
      <c r="H69" s="252">
        <f>IFERROR(__xludf.DUMMYFUNCTION("""COMPUTED_VALUE"""),0.0)</f>
        <v>0</v>
      </c>
      <c r="I69" s="258"/>
      <c r="J69" s="258"/>
      <c r="K69" s="257">
        <f>IFERROR(__xludf.DUMMYFUNCTION("""COMPUTED_VALUE"""),0.0)</f>
        <v>0</v>
      </c>
      <c r="L69" s="258">
        <f>IFERROR(__xludf.DUMMYFUNCTION("""COMPUTED_VALUE"""),0.0)</f>
        <v>0</v>
      </c>
      <c r="M69" s="258">
        <f>IFERROR(__xludf.DUMMYFUNCTION("""COMPUTED_VALUE"""),0.0)</f>
        <v>0</v>
      </c>
      <c r="N69" s="258">
        <f>IFERROR(__xludf.DUMMYFUNCTION("""COMPUTED_VALUE"""),0.0)</f>
        <v>0</v>
      </c>
      <c r="O69" s="258">
        <f>IFERROR(__xludf.DUMMYFUNCTION("""COMPUTED_VALUE"""),0.0)</f>
        <v>0</v>
      </c>
      <c r="P69" s="258">
        <f>IFERROR(__xludf.DUMMYFUNCTION("""COMPUTED_VALUE"""),0.0)</f>
        <v>0</v>
      </c>
      <c r="Q69" s="258">
        <f>IFERROR(__xludf.DUMMYFUNCTION("""COMPUTED_VALUE"""),0.0)</f>
        <v>0</v>
      </c>
      <c r="R69" s="259"/>
      <c r="S69" s="260"/>
      <c r="T69" s="261"/>
      <c r="U69" s="262"/>
      <c r="V69" s="250"/>
      <c r="W69" s="250"/>
      <c r="X69" s="250"/>
      <c r="Y69" s="250"/>
      <c r="Z69" s="250"/>
      <c r="AA69" s="250"/>
      <c r="AB69" s="250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</row>
    <row r="70" ht="15.75" customHeight="1">
      <c r="A70" s="250"/>
      <c r="B70" s="251">
        <f>IFERROR(__xludf.DUMMYFUNCTION("""COMPUTED_VALUE"""),62.0)</f>
        <v>62</v>
      </c>
      <c r="C70" s="252"/>
      <c r="D70" s="253" t="str">
        <f>IFERROR(__xludf.DUMMYFUNCTION("""COMPUTED_VALUE"""),"")</f>
        <v/>
      </c>
      <c r="E70" s="254">
        <f>IFERROR(__xludf.DUMMYFUNCTION("""COMPUTED_VALUE"""),0.0)</f>
        <v>0</v>
      </c>
      <c r="F70" s="255"/>
      <c r="G70" s="256"/>
      <c r="H70" s="252">
        <f>IFERROR(__xludf.DUMMYFUNCTION("""COMPUTED_VALUE"""),0.0)</f>
        <v>0</v>
      </c>
      <c r="I70" s="258"/>
      <c r="J70" s="258"/>
      <c r="K70" s="257">
        <f>IFERROR(__xludf.DUMMYFUNCTION("""COMPUTED_VALUE"""),0.0)</f>
        <v>0</v>
      </c>
      <c r="L70" s="258">
        <f>IFERROR(__xludf.DUMMYFUNCTION("""COMPUTED_VALUE"""),0.0)</f>
        <v>0</v>
      </c>
      <c r="M70" s="258">
        <f>IFERROR(__xludf.DUMMYFUNCTION("""COMPUTED_VALUE"""),0.0)</f>
        <v>0</v>
      </c>
      <c r="N70" s="258">
        <f>IFERROR(__xludf.DUMMYFUNCTION("""COMPUTED_VALUE"""),0.0)</f>
        <v>0</v>
      </c>
      <c r="O70" s="258">
        <f>IFERROR(__xludf.DUMMYFUNCTION("""COMPUTED_VALUE"""),0.0)</f>
        <v>0</v>
      </c>
      <c r="P70" s="258">
        <f>IFERROR(__xludf.DUMMYFUNCTION("""COMPUTED_VALUE"""),0.0)</f>
        <v>0</v>
      </c>
      <c r="Q70" s="258">
        <f>IFERROR(__xludf.DUMMYFUNCTION("""COMPUTED_VALUE"""),0.0)</f>
        <v>0</v>
      </c>
      <c r="R70" s="259"/>
      <c r="S70" s="260"/>
      <c r="T70" s="261"/>
      <c r="U70" s="262"/>
      <c r="V70" s="250"/>
      <c r="W70" s="250"/>
      <c r="X70" s="250"/>
      <c r="Y70" s="250"/>
      <c r="Z70" s="250"/>
      <c r="AA70" s="250"/>
      <c r="AB70" s="250"/>
      <c r="AC70" s="250"/>
      <c r="AD70" s="250"/>
      <c r="AE70" s="250"/>
      <c r="AF70" s="250"/>
      <c r="AG70" s="250"/>
      <c r="AH70" s="250"/>
      <c r="AI70" s="250"/>
      <c r="AJ70" s="250"/>
      <c r="AK70" s="250"/>
      <c r="AL70" s="250"/>
      <c r="AM70" s="250"/>
      <c r="AN70" s="250"/>
    </row>
    <row r="71" ht="15.75" customHeight="1">
      <c r="A71" s="250"/>
      <c r="B71" s="251">
        <f>IFERROR(__xludf.DUMMYFUNCTION("""COMPUTED_VALUE"""),63.0)</f>
        <v>63</v>
      </c>
      <c r="C71" s="252"/>
      <c r="D71" s="253" t="str">
        <f>IFERROR(__xludf.DUMMYFUNCTION("""COMPUTED_VALUE"""),"")</f>
        <v/>
      </c>
      <c r="E71" s="254">
        <f>IFERROR(__xludf.DUMMYFUNCTION("""COMPUTED_VALUE"""),0.0)</f>
        <v>0</v>
      </c>
      <c r="F71" s="255"/>
      <c r="G71" s="256"/>
      <c r="H71" s="252">
        <f>IFERROR(__xludf.DUMMYFUNCTION("""COMPUTED_VALUE"""),0.0)</f>
        <v>0</v>
      </c>
      <c r="I71" s="258"/>
      <c r="J71" s="258"/>
      <c r="K71" s="257">
        <f>IFERROR(__xludf.DUMMYFUNCTION("""COMPUTED_VALUE"""),0.0)</f>
        <v>0</v>
      </c>
      <c r="L71" s="258">
        <f>IFERROR(__xludf.DUMMYFUNCTION("""COMPUTED_VALUE"""),0.0)</f>
        <v>0</v>
      </c>
      <c r="M71" s="258">
        <f>IFERROR(__xludf.DUMMYFUNCTION("""COMPUTED_VALUE"""),0.0)</f>
        <v>0</v>
      </c>
      <c r="N71" s="258">
        <f>IFERROR(__xludf.DUMMYFUNCTION("""COMPUTED_VALUE"""),0.0)</f>
        <v>0</v>
      </c>
      <c r="O71" s="258">
        <f>IFERROR(__xludf.DUMMYFUNCTION("""COMPUTED_VALUE"""),0.0)</f>
        <v>0</v>
      </c>
      <c r="P71" s="258">
        <f>IFERROR(__xludf.DUMMYFUNCTION("""COMPUTED_VALUE"""),0.0)</f>
        <v>0</v>
      </c>
      <c r="Q71" s="258">
        <f>IFERROR(__xludf.DUMMYFUNCTION("""COMPUTED_VALUE"""),0.0)</f>
        <v>0</v>
      </c>
      <c r="R71" s="259"/>
      <c r="S71" s="260"/>
      <c r="T71" s="261"/>
      <c r="U71" s="262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</row>
    <row r="72" ht="15.75" customHeight="1">
      <c r="A72" s="250"/>
      <c r="B72" s="251">
        <f>IFERROR(__xludf.DUMMYFUNCTION("""COMPUTED_VALUE"""),64.0)</f>
        <v>64</v>
      </c>
      <c r="C72" s="252"/>
      <c r="D72" s="253" t="str">
        <f>IFERROR(__xludf.DUMMYFUNCTION("""COMPUTED_VALUE"""),"")</f>
        <v/>
      </c>
      <c r="E72" s="254">
        <f>IFERROR(__xludf.DUMMYFUNCTION("""COMPUTED_VALUE"""),0.0)</f>
        <v>0</v>
      </c>
      <c r="F72" s="255"/>
      <c r="G72" s="256"/>
      <c r="H72" s="252">
        <f>IFERROR(__xludf.DUMMYFUNCTION("""COMPUTED_VALUE"""),0.0)</f>
        <v>0</v>
      </c>
      <c r="I72" s="258"/>
      <c r="J72" s="258"/>
      <c r="K72" s="257">
        <f>IFERROR(__xludf.DUMMYFUNCTION("""COMPUTED_VALUE"""),0.0)</f>
        <v>0</v>
      </c>
      <c r="L72" s="258">
        <f>IFERROR(__xludf.DUMMYFUNCTION("""COMPUTED_VALUE"""),0.0)</f>
        <v>0</v>
      </c>
      <c r="M72" s="258">
        <f>IFERROR(__xludf.DUMMYFUNCTION("""COMPUTED_VALUE"""),0.0)</f>
        <v>0</v>
      </c>
      <c r="N72" s="258">
        <f>IFERROR(__xludf.DUMMYFUNCTION("""COMPUTED_VALUE"""),0.0)</f>
        <v>0</v>
      </c>
      <c r="O72" s="258">
        <f>IFERROR(__xludf.DUMMYFUNCTION("""COMPUTED_VALUE"""),0.0)</f>
        <v>0</v>
      </c>
      <c r="P72" s="258">
        <f>IFERROR(__xludf.DUMMYFUNCTION("""COMPUTED_VALUE"""),0.0)</f>
        <v>0</v>
      </c>
      <c r="Q72" s="258">
        <f>IFERROR(__xludf.DUMMYFUNCTION("""COMPUTED_VALUE"""),0.0)</f>
        <v>0</v>
      </c>
      <c r="R72" s="259"/>
      <c r="S72" s="260"/>
      <c r="T72" s="261"/>
      <c r="U72" s="262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</row>
    <row r="73" ht="15.75" customHeight="1">
      <c r="A73" s="250"/>
      <c r="B73" s="251">
        <f>IFERROR(__xludf.DUMMYFUNCTION("""COMPUTED_VALUE"""),65.0)</f>
        <v>65</v>
      </c>
      <c r="C73" s="252"/>
      <c r="D73" s="253" t="str">
        <f>IFERROR(__xludf.DUMMYFUNCTION("""COMPUTED_VALUE"""),"")</f>
        <v/>
      </c>
      <c r="E73" s="254">
        <f>IFERROR(__xludf.DUMMYFUNCTION("""COMPUTED_VALUE"""),0.0)</f>
        <v>0</v>
      </c>
      <c r="F73" s="255"/>
      <c r="G73" s="256"/>
      <c r="H73" s="252">
        <f>IFERROR(__xludf.DUMMYFUNCTION("""COMPUTED_VALUE"""),0.0)</f>
        <v>0</v>
      </c>
      <c r="I73" s="258"/>
      <c r="J73" s="258"/>
      <c r="K73" s="257">
        <f>IFERROR(__xludf.DUMMYFUNCTION("""COMPUTED_VALUE"""),0.0)</f>
        <v>0</v>
      </c>
      <c r="L73" s="258">
        <f>IFERROR(__xludf.DUMMYFUNCTION("""COMPUTED_VALUE"""),0.0)</f>
        <v>0</v>
      </c>
      <c r="M73" s="258">
        <f>IFERROR(__xludf.DUMMYFUNCTION("""COMPUTED_VALUE"""),0.0)</f>
        <v>0</v>
      </c>
      <c r="N73" s="258">
        <f>IFERROR(__xludf.DUMMYFUNCTION("""COMPUTED_VALUE"""),0.0)</f>
        <v>0</v>
      </c>
      <c r="O73" s="258">
        <f>IFERROR(__xludf.DUMMYFUNCTION("""COMPUTED_VALUE"""),0.0)</f>
        <v>0</v>
      </c>
      <c r="P73" s="258">
        <f>IFERROR(__xludf.DUMMYFUNCTION("""COMPUTED_VALUE"""),0.0)</f>
        <v>0</v>
      </c>
      <c r="Q73" s="258">
        <f>IFERROR(__xludf.DUMMYFUNCTION("""COMPUTED_VALUE"""),0.0)</f>
        <v>0</v>
      </c>
      <c r="R73" s="259"/>
      <c r="S73" s="260"/>
      <c r="T73" s="261"/>
      <c r="U73" s="262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0"/>
      <c r="AN73" s="250"/>
    </row>
    <row r="74" ht="15.75" customHeight="1">
      <c r="A74" s="250"/>
      <c r="B74" s="251">
        <f>IFERROR(__xludf.DUMMYFUNCTION("""COMPUTED_VALUE"""),66.0)</f>
        <v>66</v>
      </c>
      <c r="C74" s="252"/>
      <c r="D74" s="253" t="str">
        <f>IFERROR(__xludf.DUMMYFUNCTION("""COMPUTED_VALUE"""),"")</f>
        <v/>
      </c>
      <c r="E74" s="254">
        <f>IFERROR(__xludf.DUMMYFUNCTION("""COMPUTED_VALUE"""),0.0)</f>
        <v>0</v>
      </c>
      <c r="F74" s="255"/>
      <c r="G74" s="256"/>
      <c r="H74" s="252">
        <f>IFERROR(__xludf.DUMMYFUNCTION("""COMPUTED_VALUE"""),0.0)</f>
        <v>0</v>
      </c>
      <c r="I74" s="258"/>
      <c r="J74" s="258"/>
      <c r="K74" s="257">
        <f>IFERROR(__xludf.DUMMYFUNCTION("""COMPUTED_VALUE"""),0.0)</f>
        <v>0</v>
      </c>
      <c r="L74" s="258">
        <f>IFERROR(__xludf.DUMMYFUNCTION("""COMPUTED_VALUE"""),0.0)</f>
        <v>0</v>
      </c>
      <c r="M74" s="258">
        <f>IFERROR(__xludf.DUMMYFUNCTION("""COMPUTED_VALUE"""),0.0)</f>
        <v>0</v>
      </c>
      <c r="N74" s="258">
        <f>IFERROR(__xludf.DUMMYFUNCTION("""COMPUTED_VALUE"""),0.0)</f>
        <v>0</v>
      </c>
      <c r="O74" s="258">
        <f>IFERROR(__xludf.DUMMYFUNCTION("""COMPUTED_VALUE"""),0.0)</f>
        <v>0</v>
      </c>
      <c r="P74" s="258">
        <f>IFERROR(__xludf.DUMMYFUNCTION("""COMPUTED_VALUE"""),0.0)</f>
        <v>0</v>
      </c>
      <c r="Q74" s="258">
        <f>IFERROR(__xludf.DUMMYFUNCTION("""COMPUTED_VALUE"""),0.0)</f>
        <v>0</v>
      </c>
      <c r="R74" s="259"/>
      <c r="S74" s="260"/>
      <c r="T74" s="261"/>
      <c r="U74" s="262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0"/>
      <c r="AH74" s="250"/>
      <c r="AI74" s="250"/>
      <c r="AJ74" s="250"/>
      <c r="AK74" s="250"/>
      <c r="AL74" s="250"/>
      <c r="AM74" s="250"/>
      <c r="AN74" s="250"/>
    </row>
    <row r="75" ht="15.75" customHeight="1">
      <c r="A75" s="250"/>
      <c r="B75" s="251">
        <f>IFERROR(__xludf.DUMMYFUNCTION("""COMPUTED_VALUE"""),67.0)</f>
        <v>67</v>
      </c>
      <c r="C75" s="252"/>
      <c r="D75" s="253" t="str">
        <f>IFERROR(__xludf.DUMMYFUNCTION("""COMPUTED_VALUE"""),"")</f>
        <v/>
      </c>
      <c r="E75" s="254">
        <f>IFERROR(__xludf.DUMMYFUNCTION("""COMPUTED_VALUE"""),0.0)</f>
        <v>0</v>
      </c>
      <c r="F75" s="255"/>
      <c r="G75" s="256"/>
      <c r="H75" s="252">
        <f>IFERROR(__xludf.DUMMYFUNCTION("""COMPUTED_VALUE"""),0.0)</f>
        <v>0</v>
      </c>
      <c r="I75" s="258"/>
      <c r="J75" s="258"/>
      <c r="K75" s="257">
        <f>IFERROR(__xludf.DUMMYFUNCTION("""COMPUTED_VALUE"""),0.0)</f>
        <v>0</v>
      </c>
      <c r="L75" s="258">
        <f>IFERROR(__xludf.DUMMYFUNCTION("""COMPUTED_VALUE"""),0.0)</f>
        <v>0</v>
      </c>
      <c r="M75" s="258">
        <f>IFERROR(__xludf.DUMMYFUNCTION("""COMPUTED_VALUE"""),0.0)</f>
        <v>0</v>
      </c>
      <c r="N75" s="258">
        <f>IFERROR(__xludf.DUMMYFUNCTION("""COMPUTED_VALUE"""),0.0)</f>
        <v>0</v>
      </c>
      <c r="O75" s="258">
        <f>IFERROR(__xludf.DUMMYFUNCTION("""COMPUTED_VALUE"""),0.0)</f>
        <v>0</v>
      </c>
      <c r="P75" s="258">
        <f>IFERROR(__xludf.DUMMYFUNCTION("""COMPUTED_VALUE"""),0.0)</f>
        <v>0</v>
      </c>
      <c r="Q75" s="258">
        <f>IFERROR(__xludf.DUMMYFUNCTION("""COMPUTED_VALUE"""),0.0)</f>
        <v>0</v>
      </c>
      <c r="R75" s="259"/>
      <c r="S75" s="260"/>
      <c r="T75" s="261"/>
      <c r="U75" s="262"/>
      <c r="V75" s="250"/>
      <c r="W75" s="250"/>
      <c r="X75" s="250"/>
      <c r="Y75" s="250"/>
      <c r="Z75" s="250"/>
      <c r="AA75" s="250"/>
      <c r="AB75" s="250"/>
      <c r="AC75" s="250"/>
      <c r="AD75" s="250"/>
      <c r="AE75" s="250"/>
      <c r="AF75" s="250"/>
      <c r="AG75" s="250"/>
      <c r="AH75" s="250"/>
      <c r="AI75" s="250"/>
      <c r="AJ75" s="250"/>
      <c r="AK75" s="250"/>
      <c r="AL75" s="250"/>
      <c r="AM75" s="250"/>
      <c r="AN75" s="250"/>
    </row>
    <row r="76" ht="15.75" customHeight="1">
      <c r="A76" s="250"/>
      <c r="B76" s="251">
        <f>IFERROR(__xludf.DUMMYFUNCTION("""COMPUTED_VALUE"""),68.0)</f>
        <v>68</v>
      </c>
      <c r="C76" s="252"/>
      <c r="D76" s="253" t="str">
        <f>IFERROR(__xludf.DUMMYFUNCTION("""COMPUTED_VALUE"""),"")</f>
        <v/>
      </c>
      <c r="E76" s="254">
        <f>IFERROR(__xludf.DUMMYFUNCTION("""COMPUTED_VALUE"""),0.0)</f>
        <v>0</v>
      </c>
      <c r="F76" s="255"/>
      <c r="G76" s="256"/>
      <c r="H76" s="252">
        <f>IFERROR(__xludf.DUMMYFUNCTION("""COMPUTED_VALUE"""),0.0)</f>
        <v>0</v>
      </c>
      <c r="I76" s="258"/>
      <c r="J76" s="258"/>
      <c r="K76" s="257">
        <f>IFERROR(__xludf.DUMMYFUNCTION("""COMPUTED_VALUE"""),0.0)</f>
        <v>0</v>
      </c>
      <c r="L76" s="258">
        <f>IFERROR(__xludf.DUMMYFUNCTION("""COMPUTED_VALUE"""),0.0)</f>
        <v>0</v>
      </c>
      <c r="M76" s="258">
        <f>IFERROR(__xludf.DUMMYFUNCTION("""COMPUTED_VALUE"""),0.0)</f>
        <v>0</v>
      </c>
      <c r="N76" s="258">
        <f>IFERROR(__xludf.DUMMYFUNCTION("""COMPUTED_VALUE"""),0.0)</f>
        <v>0</v>
      </c>
      <c r="O76" s="258">
        <f>IFERROR(__xludf.DUMMYFUNCTION("""COMPUTED_VALUE"""),0.0)</f>
        <v>0</v>
      </c>
      <c r="P76" s="258">
        <f>IFERROR(__xludf.DUMMYFUNCTION("""COMPUTED_VALUE"""),0.0)</f>
        <v>0</v>
      </c>
      <c r="Q76" s="258">
        <f>IFERROR(__xludf.DUMMYFUNCTION("""COMPUTED_VALUE"""),0.0)</f>
        <v>0</v>
      </c>
      <c r="R76" s="259"/>
      <c r="S76" s="260"/>
      <c r="T76" s="261"/>
      <c r="U76" s="262"/>
      <c r="V76" s="250"/>
      <c r="W76" s="250"/>
      <c r="X76" s="250"/>
      <c r="Y76" s="250"/>
      <c r="Z76" s="250"/>
      <c r="AA76" s="250"/>
      <c r="AB76" s="250"/>
      <c r="AC76" s="250"/>
      <c r="AD76" s="250"/>
      <c r="AE76" s="250"/>
      <c r="AF76" s="250"/>
      <c r="AG76" s="250"/>
      <c r="AH76" s="250"/>
      <c r="AI76" s="250"/>
      <c r="AJ76" s="250"/>
      <c r="AK76" s="250"/>
      <c r="AL76" s="250"/>
      <c r="AM76" s="250"/>
      <c r="AN76" s="250"/>
    </row>
    <row r="77" ht="15.75" customHeight="1">
      <c r="A77" s="250"/>
      <c r="B77" s="251">
        <f>IFERROR(__xludf.DUMMYFUNCTION("""COMPUTED_VALUE"""),69.0)</f>
        <v>69</v>
      </c>
      <c r="C77" s="252"/>
      <c r="D77" s="253" t="str">
        <f>IFERROR(__xludf.DUMMYFUNCTION("""COMPUTED_VALUE"""),"")</f>
        <v/>
      </c>
      <c r="E77" s="254">
        <f>IFERROR(__xludf.DUMMYFUNCTION("""COMPUTED_VALUE"""),0.0)</f>
        <v>0</v>
      </c>
      <c r="F77" s="255"/>
      <c r="G77" s="256"/>
      <c r="H77" s="252">
        <f>IFERROR(__xludf.DUMMYFUNCTION("""COMPUTED_VALUE"""),0.0)</f>
        <v>0</v>
      </c>
      <c r="I77" s="258"/>
      <c r="J77" s="258"/>
      <c r="K77" s="257">
        <f>IFERROR(__xludf.DUMMYFUNCTION("""COMPUTED_VALUE"""),0.0)</f>
        <v>0</v>
      </c>
      <c r="L77" s="258">
        <f>IFERROR(__xludf.DUMMYFUNCTION("""COMPUTED_VALUE"""),0.0)</f>
        <v>0</v>
      </c>
      <c r="M77" s="258">
        <f>IFERROR(__xludf.DUMMYFUNCTION("""COMPUTED_VALUE"""),0.0)</f>
        <v>0</v>
      </c>
      <c r="N77" s="258">
        <f>IFERROR(__xludf.DUMMYFUNCTION("""COMPUTED_VALUE"""),0.0)</f>
        <v>0</v>
      </c>
      <c r="O77" s="258">
        <f>IFERROR(__xludf.DUMMYFUNCTION("""COMPUTED_VALUE"""),0.0)</f>
        <v>0</v>
      </c>
      <c r="P77" s="258">
        <f>IFERROR(__xludf.DUMMYFUNCTION("""COMPUTED_VALUE"""),0.0)</f>
        <v>0</v>
      </c>
      <c r="Q77" s="258">
        <f>IFERROR(__xludf.DUMMYFUNCTION("""COMPUTED_VALUE"""),0.0)</f>
        <v>0</v>
      </c>
      <c r="R77" s="259"/>
      <c r="S77" s="260"/>
      <c r="T77" s="261"/>
      <c r="U77" s="262"/>
      <c r="V77" s="250"/>
      <c r="W77" s="250"/>
      <c r="X77" s="250"/>
      <c r="Y77" s="250"/>
      <c r="Z77" s="250"/>
      <c r="AA77" s="250"/>
      <c r="AB77" s="250"/>
      <c r="AC77" s="250"/>
      <c r="AD77" s="250"/>
      <c r="AE77" s="250"/>
      <c r="AF77" s="250"/>
      <c r="AG77" s="250"/>
      <c r="AH77" s="250"/>
      <c r="AI77" s="250"/>
      <c r="AJ77" s="250"/>
      <c r="AK77" s="250"/>
      <c r="AL77" s="250"/>
      <c r="AM77" s="250"/>
      <c r="AN77" s="250"/>
    </row>
    <row r="78" ht="15.75" customHeight="1">
      <c r="A78" s="250"/>
      <c r="B78" s="251">
        <f>IFERROR(__xludf.DUMMYFUNCTION("""COMPUTED_VALUE"""),70.0)</f>
        <v>70</v>
      </c>
      <c r="C78" s="252"/>
      <c r="D78" s="253" t="str">
        <f>IFERROR(__xludf.DUMMYFUNCTION("""COMPUTED_VALUE"""),"")</f>
        <v/>
      </c>
      <c r="E78" s="254">
        <f>IFERROR(__xludf.DUMMYFUNCTION("""COMPUTED_VALUE"""),0.0)</f>
        <v>0</v>
      </c>
      <c r="F78" s="255"/>
      <c r="G78" s="256"/>
      <c r="H78" s="252">
        <f>IFERROR(__xludf.DUMMYFUNCTION("""COMPUTED_VALUE"""),0.0)</f>
        <v>0</v>
      </c>
      <c r="I78" s="258"/>
      <c r="J78" s="258"/>
      <c r="K78" s="257">
        <f>IFERROR(__xludf.DUMMYFUNCTION("""COMPUTED_VALUE"""),0.0)</f>
        <v>0</v>
      </c>
      <c r="L78" s="258">
        <f>IFERROR(__xludf.DUMMYFUNCTION("""COMPUTED_VALUE"""),0.0)</f>
        <v>0</v>
      </c>
      <c r="M78" s="258">
        <f>IFERROR(__xludf.DUMMYFUNCTION("""COMPUTED_VALUE"""),0.0)</f>
        <v>0</v>
      </c>
      <c r="N78" s="258">
        <f>IFERROR(__xludf.DUMMYFUNCTION("""COMPUTED_VALUE"""),0.0)</f>
        <v>0</v>
      </c>
      <c r="O78" s="258">
        <f>IFERROR(__xludf.DUMMYFUNCTION("""COMPUTED_VALUE"""),0.0)</f>
        <v>0</v>
      </c>
      <c r="P78" s="258">
        <f>IFERROR(__xludf.DUMMYFUNCTION("""COMPUTED_VALUE"""),0.0)</f>
        <v>0</v>
      </c>
      <c r="Q78" s="258">
        <f>IFERROR(__xludf.DUMMYFUNCTION("""COMPUTED_VALUE"""),0.0)</f>
        <v>0</v>
      </c>
      <c r="R78" s="259"/>
      <c r="S78" s="260"/>
      <c r="T78" s="261"/>
      <c r="U78" s="262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250"/>
      <c r="AI78" s="250"/>
      <c r="AJ78" s="250"/>
      <c r="AK78" s="250"/>
      <c r="AL78" s="250"/>
      <c r="AM78" s="250"/>
      <c r="AN78" s="250"/>
    </row>
    <row r="79" ht="15.75" customHeight="1">
      <c r="A79" s="250"/>
      <c r="B79" s="251">
        <f>IFERROR(__xludf.DUMMYFUNCTION("""COMPUTED_VALUE"""),71.0)</f>
        <v>71</v>
      </c>
      <c r="C79" s="252"/>
      <c r="D79" s="253" t="str">
        <f>IFERROR(__xludf.DUMMYFUNCTION("""COMPUTED_VALUE"""),"")</f>
        <v/>
      </c>
      <c r="E79" s="254">
        <f>IFERROR(__xludf.DUMMYFUNCTION("""COMPUTED_VALUE"""),0.0)</f>
        <v>0</v>
      </c>
      <c r="F79" s="255"/>
      <c r="G79" s="256"/>
      <c r="H79" s="252">
        <f>IFERROR(__xludf.DUMMYFUNCTION("""COMPUTED_VALUE"""),0.0)</f>
        <v>0</v>
      </c>
      <c r="I79" s="258"/>
      <c r="J79" s="258"/>
      <c r="K79" s="257">
        <f>IFERROR(__xludf.DUMMYFUNCTION("""COMPUTED_VALUE"""),0.0)</f>
        <v>0</v>
      </c>
      <c r="L79" s="258">
        <f>IFERROR(__xludf.DUMMYFUNCTION("""COMPUTED_VALUE"""),0.0)</f>
        <v>0</v>
      </c>
      <c r="M79" s="258">
        <f>IFERROR(__xludf.DUMMYFUNCTION("""COMPUTED_VALUE"""),0.0)</f>
        <v>0</v>
      </c>
      <c r="N79" s="258">
        <f>IFERROR(__xludf.DUMMYFUNCTION("""COMPUTED_VALUE"""),0.0)</f>
        <v>0</v>
      </c>
      <c r="O79" s="258">
        <f>IFERROR(__xludf.DUMMYFUNCTION("""COMPUTED_VALUE"""),0.0)</f>
        <v>0</v>
      </c>
      <c r="P79" s="258">
        <f>IFERROR(__xludf.DUMMYFUNCTION("""COMPUTED_VALUE"""),0.0)</f>
        <v>0</v>
      </c>
      <c r="Q79" s="258">
        <f>IFERROR(__xludf.DUMMYFUNCTION("""COMPUTED_VALUE"""),0.0)</f>
        <v>0</v>
      </c>
      <c r="R79" s="259"/>
      <c r="S79" s="260"/>
      <c r="T79" s="261"/>
      <c r="U79" s="262"/>
      <c r="V79" s="250"/>
      <c r="W79" s="250"/>
      <c r="X79" s="250"/>
      <c r="Y79" s="250"/>
      <c r="Z79" s="250"/>
      <c r="AA79" s="250"/>
      <c r="AB79" s="250"/>
      <c r="AC79" s="250"/>
      <c r="AD79" s="250"/>
      <c r="AE79" s="250"/>
      <c r="AF79" s="250"/>
      <c r="AG79" s="250"/>
      <c r="AH79" s="250"/>
      <c r="AI79" s="250"/>
      <c r="AJ79" s="250"/>
      <c r="AK79" s="250"/>
      <c r="AL79" s="250"/>
      <c r="AM79" s="250"/>
      <c r="AN79" s="250"/>
    </row>
    <row r="80" ht="15.75" customHeight="1">
      <c r="A80" s="250"/>
      <c r="B80" s="251">
        <f>IFERROR(__xludf.DUMMYFUNCTION("""COMPUTED_VALUE"""),72.0)</f>
        <v>72</v>
      </c>
      <c r="C80" s="252"/>
      <c r="D80" s="253" t="str">
        <f>IFERROR(__xludf.DUMMYFUNCTION("""COMPUTED_VALUE"""),"")</f>
        <v/>
      </c>
      <c r="E80" s="254">
        <f>IFERROR(__xludf.DUMMYFUNCTION("""COMPUTED_VALUE"""),0.0)</f>
        <v>0</v>
      </c>
      <c r="F80" s="255"/>
      <c r="G80" s="256"/>
      <c r="H80" s="252">
        <f>IFERROR(__xludf.DUMMYFUNCTION("""COMPUTED_VALUE"""),0.0)</f>
        <v>0</v>
      </c>
      <c r="I80" s="258"/>
      <c r="J80" s="258"/>
      <c r="K80" s="257">
        <f>IFERROR(__xludf.DUMMYFUNCTION("""COMPUTED_VALUE"""),0.0)</f>
        <v>0</v>
      </c>
      <c r="L80" s="258">
        <f>IFERROR(__xludf.DUMMYFUNCTION("""COMPUTED_VALUE"""),0.0)</f>
        <v>0</v>
      </c>
      <c r="M80" s="258">
        <f>IFERROR(__xludf.DUMMYFUNCTION("""COMPUTED_VALUE"""),0.0)</f>
        <v>0</v>
      </c>
      <c r="N80" s="258">
        <f>IFERROR(__xludf.DUMMYFUNCTION("""COMPUTED_VALUE"""),0.0)</f>
        <v>0</v>
      </c>
      <c r="O80" s="258">
        <f>IFERROR(__xludf.DUMMYFUNCTION("""COMPUTED_VALUE"""),0.0)</f>
        <v>0</v>
      </c>
      <c r="P80" s="258">
        <f>IFERROR(__xludf.DUMMYFUNCTION("""COMPUTED_VALUE"""),0.0)</f>
        <v>0</v>
      </c>
      <c r="Q80" s="258">
        <f>IFERROR(__xludf.DUMMYFUNCTION("""COMPUTED_VALUE"""),0.0)</f>
        <v>0</v>
      </c>
      <c r="R80" s="259"/>
      <c r="S80" s="260"/>
      <c r="T80" s="261"/>
      <c r="U80" s="262"/>
      <c r="V80" s="250"/>
      <c r="W80" s="250"/>
      <c r="X80" s="250"/>
      <c r="Y80" s="250"/>
      <c r="Z80" s="250"/>
      <c r="AA80" s="250"/>
      <c r="AB80" s="250"/>
      <c r="AC80" s="250"/>
      <c r="AD80" s="250"/>
      <c r="AE80" s="250"/>
      <c r="AF80" s="250"/>
      <c r="AG80" s="250"/>
      <c r="AH80" s="250"/>
      <c r="AI80" s="250"/>
      <c r="AJ80" s="250"/>
      <c r="AK80" s="250"/>
      <c r="AL80" s="250"/>
      <c r="AM80" s="250"/>
      <c r="AN80" s="250"/>
    </row>
    <row r="81" ht="15.75" customHeight="1">
      <c r="A81" s="250"/>
      <c r="B81" s="251">
        <f>IFERROR(__xludf.DUMMYFUNCTION("""COMPUTED_VALUE"""),73.0)</f>
        <v>73</v>
      </c>
      <c r="C81" s="252"/>
      <c r="D81" s="253" t="str">
        <f>IFERROR(__xludf.DUMMYFUNCTION("""COMPUTED_VALUE"""),"")</f>
        <v/>
      </c>
      <c r="E81" s="254">
        <f>IFERROR(__xludf.DUMMYFUNCTION("""COMPUTED_VALUE"""),0.0)</f>
        <v>0</v>
      </c>
      <c r="F81" s="255"/>
      <c r="G81" s="256"/>
      <c r="H81" s="252">
        <f>IFERROR(__xludf.DUMMYFUNCTION("""COMPUTED_VALUE"""),0.0)</f>
        <v>0</v>
      </c>
      <c r="I81" s="258"/>
      <c r="J81" s="258"/>
      <c r="K81" s="257">
        <f>IFERROR(__xludf.DUMMYFUNCTION("""COMPUTED_VALUE"""),0.0)</f>
        <v>0</v>
      </c>
      <c r="L81" s="258">
        <f>IFERROR(__xludf.DUMMYFUNCTION("""COMPUTED_VALUE"""),0.0)</f>
        <v>0</v>
      </c>
      <c r="M81" s="258">
        <f>IFERROR(__xludf.DUMMYFUNCTION("""COMPUTED_VALUE"""),0.0)</f>
        <v>0</v>
      </c>
      <c r="N81" s="258">
        <f>IFERROR(__xludf.DUMMYFUNCTION("""COMPUTED_VALUE"""),0.0)</f>
        <v>0</v>
      </c>
      <c r="O81" s="258">
        <f>IFERROR(__xludf.DUMMYFUNCTION("""COMPUTED_VALUE"""),0.0)</f>
        <v>0</v>
      </c>
      <c r="P81" s="258">
        <f>IFERROR(__xludf.DUMMYFUNCTION("""COMPUTED_VALUE"""),0.0)</f>
        <v>0</v>
      </c>
      <c r="Q81" s="258">
        <f>IFERROR(__xludf.DUMMYFUNCTION("""COMPUTED_VALUE"""),0.0)</f>
        <v>0</v>
      </c>
      <c r="R81" s="259"/>
      <c r="S81" s="260"/>
      <c r="T81" s="261"/>
      <c r="U81" s="262"/>
      <c r="V81" s="250"/>
      <c r="W81" s="250"/>
      <c r="X81" s="250"/>
      <c r="Y81" s="250"/>
      <c r="Z81" s="250"/>
      <c r="AA81" s="250"/>
      <c r="AB81" s="250"/>
      <c r="AC81" s="250"/>
      <c r="AD81" s="250"/>
      <c r="AE81" s="250"/>
      <c r="AF81" s="250"/>
      <c r="AG81" s="250"/>
      <c r="AH81" s="250"/>
      <c r="AI81" s="250"/>
      <c r="AJ81" s="250"/>
      <c r="AK81" s="250"/>
      <c r="AL81" s="250"/>
      <c r="AM81" s="250"/>
      <c r="AN81" s="250"/>
    </row>
    <row r="82" ht="15.75" customHeight="1">
      <c r="A82" s="250"/>
      <c r="B82" s="251">
        <f>IFERROR(__xludf.DUMMYFUNCTION("""COMPUTED_VALUE"""),74.0)</f>
        <v>74</v>
      </c>
      <c r="C82" s="252"/>
      <c r="D82" s="253" t="str">
        <f>IFERROR(__xludf.DUMMYFUNCTION("""COMPUTED_VALUE"""),"")</f>
        <v/>
      </c>
      <c r="E82" s="254">
        <f>IFERROR(__xludf.DUMMYFUNCTION("""COMPUTED_VALUE"""),0.0)</f>
        <v>0</v>
      </c>
      <c r="F82" s="255"/>
      <c r="G82" s="256"/>
      <c r="H82" s="252">
        <f>IFERROR(__xludf.DUMMYFUNCTION("""COMPUTED_VALUE"""),0.0)</f>
        <v>0</v>
      </c>
      <c r="I82" s="258"/>
      <c r="J82" s="258"/>
      <c r="K82" s="257">
        <f>IFERROR(__xludf.DUMMYFUNCTION("""COMPUTED_VALUE"""),0.0)</f>
        <v>0</v>
      </c>
      <c r="L82" s="258">
        <f>IFERROR(__xludf.DUMMYFUNCTION("""COMPUTED_VALUE"""),0.0)</f>
        <v>0</v>
      </c>
      <c r="M82" s="258">
        <f>IFERROR(__xludf.DUMMYFUNCTION("""COMPUTED_VALUE"""),0.0)</f>
        <v>0</v>
      </c>
      <c r="N82" s="258">
        <f>IFERROR(__xludf.DUMMYFUNCTION("""COMPUTED_VALUE"""),0.0)</f>
        <v>0</v>
      </c>
      <c r="O82" s="258">
        <f>IFERROR(__xludf.DUMMYFUNCTION("""COMPUTED_VALUE"""),0.0)</f>
        <v>0</v>
      </c>
      <c r="P82" s="258">
        <f>IFERROR(__xludf.DUMMYFUNCTION("""COMPUTED_VALUE"""),0.0)</f>
        <v>0</v>
      </c>
      <c r="Q82" s="258">
        <f>IFERROR(__xludf.DUMMYFUNCTION("""COMPUTED_VALUE"""),0.0)</f>
        <v>0</v>
      </c>
      <c r="R82" s="259"/>
      <c r="S82" s="260"/>
      <c r="T82" s="261"/>
      <c r="U82" s="262"/>
      <c r="V82" s="250"/>
      <c r="W82" s="250"/>
      <c r="X82" s="250"/>
      <c r="Y82" s="250"/>
      <c r="Z82" s="250"/>
      <c r="AA82" s="250"/>
      <c r="AB82" s="250"/>
      <c r="AC82" s="250"/>
      <c r="AD82" s="250"/>
      <c r="AE82" s="250"/>
      <c r="AF82" s="250"/>
      <c r="AG82" s="250"/>
      <c r="AH82" s="250"/>
      <c r="AI82" s="250"/>
      <c r="AJ82" s="250"/>
      <c r="AK82" s="250"/>
      <c r="AL82" s="250"/>
      <c r="AM82" s="250"/>
      <c r="AN82" s="250"/>
    </row>
    <row r="83" ht="15.75" customHeight="1">
      <c r="A83" s="250"/>
      <c r="B83" s="251">
        <f>IFERROR(__xludf.DUMMYFUNCTION("""COMPUTED_VALUE"""),75.0)</f>
        <v>75</v>
      </c>
      <c r="C83" s="252"/>
      <c r="D83" s="253" t="str">
        <f>IFERROR(__xludf.DUMMYFUNCTION("""COMPUTED_VALUE"""),"")</f>
        <v/>
      </c>
      <c r="E83" s="254">
        <f>IFERROR(__xludf.DUMMYFUNCTION("""COMPUTED_VALUE"""),0.0)</f>
        <v>0</v>
      </c>
      <c r="F83" s="255"/>
      <c r="G83" s="256"/>
      <c r="H83" s="252">
        <f>IFERROR(__xludf.DUMMYFUNCTION("""COMPUTED_VALUE"""),0.0)</f>
        <v>0</v>
      </c>
      <c r="I83" s="258"/>
      <c r="J83" s="258"/>
      <c r="K83" s="257">
        <f>IFERROR(__xludf.DUMMYFUNCTION("""COMPUTED_VALUE"""),0.0)</f>
        <v>0</v>
      </c>
      <c r="L83" s="258">
        <f>IFERROR(__xludf.DUMMYFUNCTION("""COMPUTED_VALUE"""),0.0)</f>
        <v>0</v>
      </c>
      <c r="M83" s="258">
        <f>IFERROR(__xludf.DUMMYFUNCTION("""COMPUTED_VALUE"""),0.0)</f>
        <v>0</v>
      </c>
      <c r="N83" s="258">
        <f>IFERROR(__xludf.DUMMYFUNCTION("""COMPUTED_VALUE"""),0.0)</f>
        <v>0</v>
      </c>
      <c r="O83" s="258">
        <f>IFERROR(__xludf.DUMMYFUNCTION("""COMPUTED_VALUE"""),0.0)</f>
        <v>0</v>
      </c>
      <c r="P83" s="258">
        <f>IFERROR(__xludf.DUMMYFUNCTION("""COMPUTED_VALUE"""),0.0)</f>
        <v>0</v>
      </c>
      <c r="Q83" s="258">
        <f>IFERROR(__xludf.DUMMYFUNCTION("""COMPUTED_VALUE"""),0.0)</f>
        <v>0</v>
      </c>
      <c r="R83" s="259"/>
      <c r="S83" s="260"/>
      <c r="T83" s="261"/>
      <c r="U83" s="262"/>
      <c r="V83" s="250"/>
      <c r="W83" s="250"/>
      <c r="X83" s="250"/>
      <c r="Y83" s="250"/>
      <c r="Z83" s="250"/>
      <c r="AA83" s="250"/>
      <c r="AB83" s="250"/>
      <c r="AC83" s="250"/>
      <c r="AD83" s="250"/>
      <c r="AE83" s="250"/>
      <c r="AF83" s="250"/>
      <c r="AG83" s="250"/>
      <c r="AH83" s="250"/>
      <c r="AI83" s="250"/>
      <c r="AJ83" s="250"/>
      <c r="AK83" s="250"/>
      <c r="AL83" s="250"/>
      <c r="AM83" s="250"/>
      <c r="AN83" s="250"/>
    </row>
    <row r="84" ht="15.75" customHeight="1">
      <c r="A84" s="250"/>
      <c r="B84" s="251">
        <f>IFERROR(__xludf.DUMMYFUNCTION("""COMPUTED_VALUE"""),76.0)</f>
        <v>76</v>
      </c>
      <c r="C84" s="252"/>
      <c r="D84" s="253" t="str">
        <f>IFERROR(__xludf.DUMMYFUNCTION("""COMPUTED_VALUE"""),"")</f>
        <v/>
      </c>
      <c r="E84" s="254">
        <f>IFERROR(__xludf.DUMMYFUNCTION("""COMPUTED_VALUE"""),0.0)</f>
        <v>0</v>
      </c>
      <c r="F84" s="255"/>
      <c r="G84" s="256"/>
      <c r="H84" s="252">
        <f>IFERROR(__xludf.DUMMYFUNCTION("""COMPUTED_VALUE"""),0.0)</f>
        <v>0</v>
      </c>
      <c r="I84" s="258"/>
      <c r="J84" s="258"/>
      <c r="K84" s="257">
        <f>IFERROR(__xludf.DUMMYFUNCTION("""COMPUTED_VALUE"""),0.0)</f>
        <v>0</v>
      </c>
      <c r="L84" s="258">
        <f>IFERROR(__xludf.DUMMYFUNCTION("""COMPUTED_VALUE"""),0.0)</f>
        <v>0</v>
      </c>
      <c r="M84" s="258">
        <f>IFERROR(__xludf.DUMMYFUNCTION("""COMPUTED_VALUE"""),0.0)</f>
        <v>0</v>
      </c>
      <c r="N84" s="258">
        <f>IFERROR(__xludf.DUMMYFUNCTION("""COMPUTED_VALUE"""),0.0)</f>
        <v>0</v>
      </c>
      <c r="O84" s="258">
        <f>IFERROR(__xludf.DUMMYFUNCTION("""COMPUTED_VALUE"""),0.0)</f>
        <v>0</v>
      </c>
      <c r="P84" s="258">
        <f>IFERROR(__xludf.DUMMYFUNCTION("""COMPUTED_VALUE"""),0.0)</f>
        <v>0</v>
      </c>
      <c r="Q84" s="258">
        <f>IFERROR(__xludf.DUMMYFUNCTION("""COMPUTED_VALUE"""),0.0)</f>
        <v>0</v>
      </c>
      <c r="R84" s="259"/>
      <c r="S84" s="260"/>
      <c r="T84" s="261"/>
      <c r="U84" s="262"/>
      <c r="V84" s="250"/>
      <c r="W84" s="250"/>
      <c r="X84" s="250"/>
      <c r="Y84" s="250"/>
      <c r="Z84" s="250"/>
      <c r="AA84" s="250"/>
      <c r="AB84" s="250"/>
      <c r="AC84" s="250"/>
      <c r="AD84" s="250"/>
      <c r="AE84" s="250"/>
      <c r="AF84" s="250"/>
      <c r="AG84" s="250"/>
      <c r="AH84" s="250"/>
      <c r="AI84" s="250"/>
      <c r="AJ84" s="250"/>
      <c r="AK84" s="250"/>
      <c r="AL84" s="250"/>
      <c r="AM84" s="250"/>
      <c r="AN84" s="250"/>
    </row>
    <row r="85" ht="15.75" customHeight="1">
      <c r="A85" s="250"/>
      <c r="B85" s="251">
        <f>IFERROR(__xludf.DUMMYFUNCTION("""COMPUTED_VALUE"""),77.0)</f>
        <v>77</v>
      </c>
      <c r="C85" s="252"/>
      <c r="D85" s="253" t="str">
        <f>IFERROR(__xludf.DUMMYFUNCTION("""COMPUTED_VALUE"""),"")</f>
        <v/>
      </c>
      <c r="E85" s="254">
        <f>IFERROR(__xludf.DUMMYFUNCTION("""COMPUTED_VALUE"""),0.0)</f>
        <v>0</v>
      </c>
      <c r="F85" s="255"/>
      <c r="G85" s="256"/>
      <c r="H85" s="252">
        <f>IFERROR(__xludf.DUMMYFUNCTION("""COMPUTED_VALUE"""),0.0)</f>
        <v>0</v>
      </c>
      <c r="I85" s="258"/>
      <c r="J85" s="258"/>
      <c r="K85" s="257">
        <f>IFERROR(__xludf.DUMMYFUNCTION("""COMPUTED_VALUE"""),0.0)</f>
        <v>0</v>
      </c>
      <c r="L85" s="258">
        <f>IFERROR(__xludf.DUMMYFUNCTION("""COMPUTED_VALUE"""),0.0)</f>
        <v>0</v>
      </c>
      <c r="M85" s="258">
        <f>IFERROR(__xludf.DUMMYFUNCTION("""COMPUTED_VALUE"""),0.0)</f>
        <v>0</v>
      </c>
      <c r="N85" s="258">
        <f>IFERROR(__xludf.DUMMYFUNCTION("""COMPUTED_VALUE"""),0.0)</f>
        <v>0</v>
      </c>
      <c r="O85" s="258">
        <f>IFERROR(__xludf.DUMMYFUNCTION("""COMPUTED_VALUE"""),0.0)</f>
        <v>0</v>
      </c>
      <c r="P85" s="258">
        <f>IFERROR(__xludf.DUMMYFUNCTION("""COMPUTED_VALUE"""),0.0)</f>
        <v>0</v>
      </c>
      <c r="Q85" s="258">
        <f>IFERROR(__xludf.DUMMYFUNCTION("""COMPUTED_VALUE"""),0.0)</f>
        <v>0</v>
      </c>
      <c r="R85" s="259"/>
      <c r="S85" s="260"/>
      <c r="T85" s="261"/>
      <c r="U85" s="262"/>
      <c r="V85" s="250"/>
      <c r="W85" s="250"/>
      <c r="X85" s="250"/>
      <c r="Y85" s="250"/>
      <c r="Z85" s="250"/>
      <c r="AA85" s="250"/>
      <c r="AB85" s="250"/>
      <c r="AC85" s="250"/>
      <c r="AD85" s="250"/>
      <c r="AE85" s="250"/>
      <c r="AF85" s="250"/>
      <c r="AG85" s="250"/>
      <c r="AH85" s="250"/>
      <c r="AI85" s="250"/>
      <c r="AJ85" s="250"/>
      <c r="AK85" s="250"/>
      <c r="AL85" s="250"/>
      <c r="AM85" s="250"/>
      <c r="AN85" s="250"/>
    </row>
    <row r="86" ht="15.75" customHeight="1">
      <c r="A86" s="250"/>
      <c r="B86" s="251">
        <f>IFERROR(__xludf.DUMMYFUNCTION("""COMPUTED_VALUE"""),78.0)</f>
        <v>78</v>
      </c>
      <c r="C86" s="252"/>
      <c r="D86" s="253" t="str">
        <f>IFERROR(__xludf.DUMMYFUNCTION("""COMPUTED_VALUE"""),"")</f>
        <v/>
      </c>
      <c r="E86" s="254">
        <f>IFERROR(__xludf.DUMMYFUNCTION("""COMPUTED_VALUE"""),0.0)</f>
        <v>0</v>
      </c>
      <c r="F86" s="255"/>
      <c r="G86" s="256"/>
      <c r="H86" s="252">
        <f>IFERROR(__xludf.DUMMYFUNCTION("""COMPUTED_VALUE"""),0.0)</f>
        <v>0</v>
      </c>
      <c r="I86" s="258"/>
      <c r="J86" s="258"/>
      <c r="K86" s="257">
        <f>IFERROR(__xludf.DUMMYFUNCTION("""COMPUTED_VALUE"""),0.0)</f>
        <v>0</v>
      </c>
      <c r="L86" s="258">
        <f>IFERROR(__xludf.DUMMYFUNCTION("""COMPUTED_VALUE"""),0.0)</f>
        <v>0</v>
      </c>
      <c r="M86" s="258">
        <f>IFERROR(__xludf.DUMMYFUNCTION("""COMPUTED_VALUE"""),0.0)</f>
        <v>0</v>
      </c>
      <c r="N86" s="258">
        <f>IFERROR(__xludf.DUMMYFUNCTION("""COMPUTED_VALUE"""),0.0)</f>
        <v>0</v>
      </c>
      <c r="O86" s="258">
        <f>IFERROR(__xludf.DUMMYFUNCTION("""COMPUTED_VALUE"""),0.0)</f>
        <v>0</v>
      </c>
      <c r="P86" s="258">
        <f>IFERROR(__xludf.DUMMYFUNCTION("""COMPUTED_VALUE"""),0.0)</f>
        <v>0</v>
      </c>
      <c r="Q86" s="258">
        <f>IFERROR(__xludf.DUMMYFUNCTION("""COMPUTED_VALUE"""),0.0)</f>
        <v>0</v>
      </c>
      <c r="R86" s="259"/>
      <c r="S86" s="260"/>
      <c r="T86" s="261"/>
      <c r="U86" s="262"/>
      <c r="V86" s="250"/>
      <c r="W86" s="250"/>
      <c r="X86" s="250"/>
      <c r="Y86" s="250"/>
      <c r="Z86" s="250"/>
      <c r="AA86" s="250"/>
      <c r="AB86" s="250"/>
      <c r="AC86" s="250"/>
      <c r="AD86" s="250"/>
      <c r="AE86" s="250"/>
      <c r="AF86" s="250"/>
      <c r="AG86" s="250"/>
      <c r="AH86" s="250"/>
      <c r="AI86" s="250"/>
      <c r="AJ86" s="250"/>
      <c r="AK86" s="250"/>
      <c r="AL86" s="250"/>
      <c r="AM86" s="250"/>
      <c r="AN86" s="250"/>
    </row>
    <row r="87" ht="15.75" customHeight="1">
      <c r="A87" s="250"/>
      <c r="B87" s="251">
        <f>IFERROR(__xludf.DUMMYFUNCTION("""COMPUTED_VALUE"""),79.0)</f>
        <v>79</v>
      </c>
      <c r="C87" s="252"/>
      <c r="D87" s="253" t="str">
        <f>IFERROR(__xludf.DUMMYFUNCTION("""COMPUTED_VALUE"""),"")</f>
        <v/>
      </c>
      <c r="E87" s="254">
        <f>IFERROR(__xludf.DUMMYFUNCTION("""COMPUTED_VALUE"""),0.0)</f>
        <v>0</v>
      </c>
      <c r="F87" s="255"/>
      <c r="G87" s="256"/>
      <c r="H87" s="252">
        <f>IFERROR(__xludf.DUMMYFUNCTION("""COMPUTED_VALUE"""),0.0)</f>
        <v>0</v>
      </c>
      <c r="I87" s="258"/>
      <c r="J87" s="258"/>
      <c r="K87" s="257">
        <f>IFERROR(__xludf.DUMMYFUNCTION("""COMPUTED_VALUE"""),0.0)</f>
        <v>0</v>
      </c>
      <c r="L87" s="258">
        <f>IFERROR(__xludf.DUMMYFUNCTION("""COMPUTED_VALUE"""),0.0)</f>
        <v>0</v>
      </c>
      <c r="M87" s="258">
        <f>IFERROR(__xludf.DUMMYFUNCTION("""COMPUTED_VALUE"""),0.0)</f>
        <v>0</v>
      </c>
      <c r="N87" s="258">
        <f>IFERROR(__xludf.DUMMYFUNCTION("""COMPUTED_VALUE"""),0.0)</f>
        <v>0</v>
      </c>
      <c r="O87" s="258">
        <f>IFERROR(__xludf.DUMMYFUNCTION("""COMPUTED_VALUE"""),0.0)</f>
        <v>0</v>
      </c>
      <c r="P87" s="258">
        <f>IFERROR(__xludf.DUMMYFUNCTION("""COMPUTED_VALUE"""),0.0)</f>
        <v>0</v>
      </c>
      <c r="Q87" s="258">
        <f>IFERROR(__xludf.DUMMYFUNCTION("""COMPUTED_VALUE"""),0.0)</f>
        <v>0</v>
      </c>
      <c r="R87" s="259"/>
      <c r="S87" s="260"/>
      <c r="T87" s="261"/>
      <c r="U87" s="262"/>
      <c r="V87" s="250"/>
      <c r="W87" s="250"/>
      <c r="X87" s="250"/>
      <c r="Y87" s="250"/>
      <c r="Z87" s="250"/>
      <c r="AA87" s="250"/>
      <c r="AB87" s="250"/>
      <c r="AC87" s="250"/>
      <c r="AD87" s="250"/>
      <c r="AE87" s="250"/>
      <c r="AF87" s="250"/>
      <c r="AG87" s="250"/>
      <c r="AH87" s="250"/>
      <c r="AI87" s="250"/>
      <c r="AJ87" s="250"/>
      <c r="AK87" s="250"/>
      <c r="AL87" s="250"/>
      <c r="AM87" s="250"/>
      <c r="AN87" s="250"/>
    </row>
    <row r="88" ht="15.75" customHeight="1">
      <c r="A88" s="250"/>
      <c r="B88" s="251">
        <f>IFERROR(__xludf.DUMMYFUNCTION("""COMPUTED_VALUE"""),80.0)</f>
        <v>80</v>
      </c>
      <c r="C88" s="252"/>
      <c r="D88" s="253" t="str">
        <f>IFERROR(__xludf.DUMMYFUNCTION("""COMPUTED_VALUE"""),"")</f>
        <v/>
      </c>
      <c r="E88" s="254">
        <f>IFERROR(__xludf.DUMMYFUNCTION("""COMPUTED_VALUE"""),0.0)</f>
        <v>0</v>
      </c>
      <c r="F88" s="255"/>
      <c r="G88" s="256"/>
      <c r="H88" s="252">
        <f>IFERROR(__xludf.DUMMYFUNCTION("""COMPUTED_VALUE"""),0.0)</f>
        <v>0</v>
      </c>
      <c r="I88" s="258"/>
      <c r="J88" s="258"/>
      <c r="K88" s="257">
        <f>IFERROR(__xludf.DUMMYFUNCTION("""COMPUTED_VALUE"""),0.0)</f>
        <v>0</v>
      </c>
      <c r="L88" s="258">
        <f>IFERROR(__xludf.DUMMYFUNCTION("""COMPUTED_VALUE"""),0.0)</f>
        <v>0</v>
      </c>
      <c r="M88" s="258">
        <f>IFERROR(__xludf.DUMMYFUNCTION("""COMPUTED_VALUE"""),0.0)</f>
        <v>0</v>
      </c>
      <c r="N88" s="258">
        <f>IFERROR(__xludf.DUMMYFUNCTION("""COMPUTED_VALUE"""),0.0)</f>
        <v>0</v>
      </c>
      <c r="O88" s="258">
        <f>IFERROR(__xludf.DUMMYFUNCTION("""COMPUTED_VALUE"""),0.0)</f>
        <v>0</v>
      </c>
      <c r="P88" s="258">
        <f>IFERROR(__xludf.DUMMYFUNCTION("""COMPUTED_VALUE"""),0.0)</f>
        <v>0</v>
      </c>
      <c r="Q88" s="258">
        <f>IFERROR(__xludf.DUMMYFUNCTION("""COMPUTED_VALUE"""),0.0)</f>
        <v>0</v>
      </c>
      <c r="R88" s="259"/>
      <c r="S88" s="260"/>
      <c r="T88" s="261"/>
      <c r="U88" s="262"/>
      <c r="V88" s="250"/>
      <c r="W88" s="250"/>
      <c r="X88" s="250"/>
      <c r="Y88" s="250"/>
      <c r="Z88" s="250"/>
      <c r="AA88" s="250"/>
      <c r="AB88" s="250"/>
      <c r="AC88" s="250"/>
      <c r="AD88" s="250"/>
      <c r="AE88" s="250"/>
      <c r="AF88" s="250"/>
      <c r="AG88" s="250"/>
      <c r="AH88" s="250"/>
      <c r="AI88" s="250"/>
      <c r="AJ88" s="250"/>
      <c r="AK88" s="250"/>
      <c r="AL88" s="250"/>
      <c r="AM88" s="250"/>
      <c r="AN88" s="250"/>
    </row>
    <row r="89" ht="15.75" customHeight="1">
      <c r="A89" s="250"/>
      <c r="B89" s="251">
        <f>IFERROR(__xludf.DUMMYFUNCTION("""COMPUTED_VALUE"""),81.0)</f>
        <v>81</v>
      </c>
      <c r="C89" s="252"/>
      <c r="D89" s="253" t="str">
        <f>IFERROR(__xludf.DUMMYFUNCTION("""COMPUTED_VALUE"""),"")</f>
        <v/>
      </c>
      <c r="E89" s="254">
        <f>IFERROR(__xludf.DUMMYFUNCTION("""COMPUTED_VALUE"""),0.0)</f>
        <v>0</v>
      </c>
      <c r="F89" s="255"/>
      <c r="G89" s="256"/>
      <c r="H89" s="252">
        <f>IFERROR(__xludf.DUMMYFUNCTION("""COMPUTED_VALUE"""),0.0)</f>
        <v>0</v>
      </c>
      <c r="I89" s="258"/>
      <c r="J89" s="258"/>
      <c r="K89" s="257">
        <f>IFERROR(__xludf.DUMMYFUNCTION("""COMPUTED_VALUE"""),0.0)</f>
        <v>0</v>
      </c>
      <c r="L89" s="258">
        <f>IFERROR(__xludf.DUMMYFUNCTION("""COMPUTED_VALUE"""),0.0)</f>
        <v>0</v>
      </c>
      <c r="M89" s="258">
        <f>IFERROR(__xludf.DUMMYFUNCTION("""COMPUTED_VALUE"""),0.0)</f>
        <v>0</v>
      </c>
      <c r="N89" s="258">
        <f>IFERROR(__xludf.DUMMYFUNCTION("""COMPUTED_VALUE"""),0.0)</f>
        <v>0</v>
      </c>
      <c r="O89" s="258">
        <f>IFERROR(__xludf.DUMMYFUNCTION("""COMPUTED_VALUE"""),0.0)</f>
        <v>0</v>
      </c>
      <c r="P89" s="258">
        <f>IFERROR(__xludf.DUMMYFUNCTION("""COMPUTED_VALUE"""),0.0)</f>
        <v>0</v>
      </c>
      <c r="Q89" s="258">
        <f>IFERROR(__xludf.DUMMYFUNCTION("""COMPUTED_VALUE"""),0.0)</f>
        <v>0</v>
      </c>
      <c r="R89" s="259"/>
      <c r="S89" s="260"/>
      <c r="T89" s="261"/>
      <c r="U89" s="262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250"/>
      <c r="AI89" s="250"/>
      <c r="AJ89" s="250"/>
      <c r="AK89" s="250"/>
      <c r="AL89" s="250"/>
      <c r="AM89" s="250"/>
      <c r="AN89" s="250"/>
    </row>
    <row r="90" ht="15.75" customHeight="1">
      <c r="A90" s="250"/>
      <c r="B90" s="251">
        <f>IFERROR(__xludf.DUMMYFUNCTION("""COMPUTED_VALUE"""),82.0)</f>
        <v>82</v>
      </c>
      <c r="C90" s="252"/>
      <c r="D90" s="253" t="str">
        <f>IFERROR(__xludf.DUMMYFUNCTION("""COMPUTED_VALUE"""),"")</f>
        <v/>
      </c>
      <c r="E90" s="254">
        <f>IFERROR(__xludf.DUMMYFUNCTION("""COMPUTED_VALUE"""),0.0)</f>
        <v>0</v>
      </c>
      <c r="F90" s="255"/>
      <c r="G90" s="256"/>
      <c r="H90" s="252">
        <f>IFERROR(__xludf.DUMMYFUNCTION("""COMPUTED_VALUE"""),0.0)</f>
        <v>0</v>
      </c>
      <c r="I90" s="258"/>
      <c r="J90" s="258"/>
      <c r="K90" s="257">
        <f>IFERROR(__xludf.DUMMYFUNCTION("""COMPUTED_VALUE"""),0.0)</f>
        <v>0</v>
      </c>
      <c r="L90" s="258">
        <f>IFERROR(__xludf.DUMMYFUNCTION("""COMPUTED_VALUE"""),0.0)</f>
        <v>0</v>
      </c>
      <c r="M90" s="258">
        <f>IFERROR(__xludf.DUMMYFUNCTION("""COMPUTED_VALUE"""),0.0)</f>
        <v>0</v>
      </c>
      <c r="N90" s="258">
        <f>IFERROR(__xludf.DUMMYFUNCTION("""COMPUTED_VALUE"""),0.0)</f>
        <v>0</v>
      </c>
      <c r="O90" s="258">
        <f>IFERROR(__xludf.DUMMYFUNCTION("""COMPUTED_VALUE"""),0.0)</f>
        <v>0</v>
      </c>
      <c r="P90" s="258">
        <f>IFERROR(__xludf.DUMMYFUNCTION("""COMPUTED_VALUE"""),0.0)</f>
        <v>0</v>
      </c>
      <c r="Q90" s="258">
        <f>IFERROR(__xludf.DUMMYFUNCTION("""COMPUTED_VALUE"""),0.0)</f>
        <v>0</v>
      </c>
      <c r="R90" s="259"/>
      <c r="S90" s="260"/>
      <c r="T90" s="261"/>
      <c r="U90" s="262"/>
      <c r="V90" s="250"/>
      <c r="W90" s="250"/>
      <c r="X90" s="250"/>
      <c r="Y90" s="250"/>
      <c r="Z90" s="250"/>
      <c r="AA90" s="250"/>
      <c r="AB90" s="250"/>
      <c r="AC90" s="250"/>
      <c r="AD90" s="250"/>
      <c r="AE90" s="250"/>
      <c r="AF90" s="250"/>
      <c r="AG90" s="250"/>
      <c r="AH90" s="250"/>
      <c r="AI90" s="250"/>
      <c r="AJ90" s="250"/>
      <c r="AK90" s="250"/>
      <c r="AL90" s="250"/>
      <c r="AM90" s="250"/>
      <c r="AN90" s="250"/>
    </row>
    <row r="91" ht="15.75" customHeight="1">
      <c r="A91" s="250"/>
      <c r="B91" s="251">
        <f>IFERROR(__xludf.DUMMYFUNCTION("""COMPUTED_VALUE"""),83.0)</f>
        <v>83</v>
      </c>
      <c r="C91" s="252"/>
      <c r="D91" s="253" t="str">
        <f>IFERROR(__xludf.DUMMYFUNCTION("""COMPUTED_VALUE"""),"")</f>
        <v/>
      </c>
      <c r="E91" s="254">
        <f>IFERROR(__xludf.DUMMYFUNCTION("""COMPUTED_VALUE"""),0.0)</f>
        <v>0</v>
      </c>
      <c r="F91" s="255"/>
      <c r="G91" s="256"/>
      <c r="H91" s="252">
        <f>IFERROR(__xludf.DUMMYFUNCTION("""COMPUTED_VALUE"""),0.0)</f>
        <v>0</v>
      </c>
      <c r="I91" s="258"/>
      <c r="J91" s="258"/>
      <c r="K91" s="257">
        <f>IFERROR(__xludf.DUMMYFUNCTION("""COMPUTED_VALUE"""),0.0)</f>
        <v>0</v>
      </c>
      <c r="L91" s="258">
        <f>IFERROR(__xludf.DUMMYFUNCTION("""COMPUTED_VALUE"""),0.0)</f>
        <v>0</v>
      </c>
      <c r="M91" s="258">
        <f>IFERROR(__xludf.DUMMYFUNCTION("""COMPUTED_VALUE"""),0.0)</f>
        <v>0</v>
      </c>
      <c r="N91" s="258">
        <f>IFERROR(__xludf.DUMMYFUNCTION("""COMPUTED_VALUE"""),0.0)</f>
        <v>0</v>
      </c>
      <c r="O91" s="258">
        <f>IFERROR(__xludf.DUMMYFUNCTION("""COMPUTED_VALUE"""),0.0)</f>
        <v>0</v>
      </c>
      <c r="P91" s="258">
        <f>IFERROR(__xludf.DUMMYFUNCTION("""COMPUTED_VALUE"""),0.0)</f>
        <v>0</v>
      </c>
      <c r="Q91" s="258">
        <f>IFERROR(__xludf.DUMMYFUNCTION("""COMPUTED_VALUE"""),0.0)</f>
        <v>0</v>
      </c>
      <c r="R91" s="259"/>
      <c r="S91" s="260"/>
      <c r="T91" s="261"/>
      <c r="U91" s="262"/>
      <c r="V91" s="250"/>
      <c r="W91" s="250"/>
      <c r="X91" s="250"/>
      <c r="Y91" s="250"/>
      <c r="Z91" s="250"/>
      <c r="AA91" s="250"/>
      <c r="AB91" s="250"/>
      <c r="AC91" s="250"/>
      <c r="AD91" s="250"/>
      <c r="AE91" s="250"/>
      <c r="AF91" s="250"/>
      <c r="AG91" s="250"/>
      <c r="AH91" s="250"/>
      <c r="AI91" s="250"/>
      <c r="AJ91" s="250"/>
      <c r="AK91" s="250"/>
      <c r="AL91" s="250"/>
      <c r="AM91" s="250"/>
      <c r="AN91" s="250"/>
    </row>
    <row r="92" ht="15.75" customHeight="1">
      <c r="A92" s="250"/>
      <c r="B92" s="251">
        <f>IFERROR(__xludf.DUMMYFUNCTION("""COMPUTED_VALUE"""),84.0)</f>
        <v>84</v>
      </c>
      <c r="C92" s="252"/>
      <c r="D92" s="253" t="str">
        <f>IFERROR(__xludf.DUMMYFUNCTION("""COMPUTED_VALUE"""),"")</f>
        <v/>
      </c>
      <c r="E92" s="254">
        <f>IFERROR(__xludf.DUMMYFUNCTION("""COMPUTED_VALUE"""),0.0)</f>
        <v>0</v>
      </c>
      <c r="F92" s="255"/>
      <c r="G92" s="256"/>
      <c r="H92" s="252">
        <f>IFERROR(__xludf.DUMMYFUNCTION("""COMPUTED_VALUE"""),0.0)</f>
        <v>0</v>
      </c>
      <c r="I92" s="258"/>
      <c r="J92" s="258"/>
      <c r="K92" s="257">
        <f>IFERROR(__xludf.DUMMYFUNCTION("""COMPUTED_VALUE"""),0.0)</f>
        <v>0</v>
      </c>
      <c r="L92" s="258">
        <f>IFERROR(__xludf.DUMMYFUNCTION("""COMPUTED_VALUE"""),0.0)</f>
        <v>0</v>
      </c>
      <c r="M92" s="258">
        <f>IFERROR(__xludf.DUMMYFUNCTION("""COMPUTED_VALUE"""),0.0)</f>
        <v>0</v>
      </c>
      <c r="N92" s="258">
        <f>IFERROR(__xludf.DUMMYFUNCTION("""COMPUTED_VALUE"""),0.0)</f>
        <v>0</v>
      </c>
      <c r="O92" s="258">
        <f>IFERROR(__xludf.DUMMYFUNCTION("""COMPUTED_VALUE"""),0.0)</f>
        <v>0</v>
      </c>
      <c r="P92" s="258">
        <f>IFERROR(__xludf.DUMMYFUNCTION("""COMPUTED_VALUE"""),0.0)</f>
        <v>0</v>
      </c>
      <c r="Q92" s="258">
        <f>IFERROR(__xludf.DUMMYFUNCTION("""COMPUTED_VALUE"""),0.0)</f>
        <v>0</v>
      </c>
      <c r="R92" s="259"/>
      <c r="S92" s="260"/>
      <c r="T92" s="261"/>
      <c r="U92" s="262"/>
      <c r="V92" s="250"/>
      <c r="W92" s="250"/>
      <c r="X92" s="250"/>
      <c r="Y92" s="250"/>
      <c r="Z92" s="250"/>
      <c r="AA92" s="250"/>
      <c r="AB92" s="250"/>
      <c r="AC92" s="250"/>
      <c r="AD92" s="250"/>
      <c r="AE92" s="250"/>
      <c r="AF92" s="250"/>
      <c r="AG92" s="250"/>
      <c r="AH92" s="250"/>
      <c r="AI92" s="250"/>
      <c r="AJ92" s="250"/>
      <c r="AK92" s="250"/>
      <c r="AL92" s="250"/>
      <c r="AM92" s="250"/>
      <c r="AN92" s="250"/>
    </row>
    <row r="93" ht="15.75" customHeight="1">
      <c r="A93" s="250"/>
      <c r="B93" s="251">
        <f>IFERROR(__xludf.DUMMYFUNCTION("""COMPUTED_VALUE"""),85.0)</f>
        <v>85</v>
      </c>
      <c r="C93" s="252"/>
      <c r="D93" s="253" t="str">
        <f>IFERROR(__xludf.DUMMYFUNCTION("""COMPUTED_VALUE"""),"")</f>
        <v/>
      </c>
      <c r="E93" s="254">
        <f>IFERROR(__xludf.DUMMYFUNCTION("""COMPUTED_VALUE"""),0.0)</f>
        <v>0</v>
      </c>
      <c r="F93" s="255"/>
      <c r="G93" s="256"/>
      <c r="H93" s="252">
        <f>IFERROR(__xludf.DUMMYFUNCTION("""COMPUTED_VALUE"""),0.0)</f>
        <v>0</v>
      </c>
      <c r="I93" s="258"/>
      <c r="J93" s="258"/>
      <c r="K93" s="257">
        <f>IFERROR(__xludf.DUMMYFUNCTION("""COMPUTED_VALUE"""),0.0)</f>
        <v>0</v>
      </c>
      <c r="L93" s="258">
        <f>IFERROR(__xludf.DUMMYFUNCTION("""COMPUTED_VALUE"""),0.0)</f>
        <v>0</v>
      </c>
      <c r="M93" s="258">
        <f>IFERROR(__xludf.DUMMYFUNCTION("""COMPUTED_VALUE"""),0.0)</f>
        <v>0</v>
      </c>
      <c r="N93" s="258">
        <f>IFERROR(__xludf.DUMMYFUNCTION("""COMPUTED_VALUE"""),0.0)</f>
        <v>0</v>
      </c>
      <c r="O93" s="258">
        <f>IFERROR(__xludf.DUMMYFUNCTION("""COMPUTED_VALUE"""),0.0)</f>
        <v>0</v>
      </c>
      <c r="P93" s="258">
        <f>IFERROR(__xludf.DUMMYFUNCTION("""COMPUTED_VALUE"""),0.0)</f>
        <v>0</v>
      </c>
      <c r="Q93" s="258">
        <f>IFERROR(__xludf.DUMMYFUNCTION("""COMPUTED_VALUE"""),0.0)</f>
        <v>0</v>
      </c>
      <c r="R93" s="259"/>
      <c r="S93" s="260"/>
      <c r="T93" s="261"/>
      <c r="U93" s="262"/>
      <c r="V93" s="250"/>
      <c r="W93" s="250"/>
      <c r="X93" s="250"/>
      <c r="Y93" s="250"/>
      <c r="Z93" s="250"/>
      <c r="AA93" s="250"/>
      <c r="AB93" s="250"/>
      <c r="AC93" s="250"/>
      <c r="AD93" s="250"/>
      <c r="AE93" s="250"/>
      <c r="AF93" s="250"/>
      <c r="AG93" s="250"/>
      <c r="AH93" s="250"/>
      <c r="AI93" s="250"/>
      <c r="AJ93" s="250"/>
      <c r="AK93" s="250"/>
      <c r="AL93" s="250"/>
      <c r="AM93" s="250"/>
      <c r="AN93" s="250"/>
    </row>
    <row r="94" ht="15.75" customHeight="1">
      <c r="A94" s="250"/>
      <c r="B94" s="251">
        <f>IFERROR(__xludf.DUMMYFUNCTION("""COMPUTED_VALUE"""),86.0)</f>
        <v>86</v>
      </c>
      <c r="C94" s="252"/>
      <c r="D94" s="253" t="str">
        <f>IFERROR(__xludf.DUMMYFUNCTION("""COMPUTED_VALUE"""),"")</f>
        <v/>
      </c>
      <c r="E94" s="254">
        <f>IFERROR(__xludf.DUMMYFUNCTION("""COMPUTED_VALUE"""),0.0)</f>
        <v>0</v>
      </c>
      <c r="F94" s="255"/>
      <c r="G94" s="256"/>
      <c r="H94" s="252">
        <f>IFERROR(__xludf.DUMMYFUNCTION("""COMPUTED_VALUE"""),0.0)</f>
        <v>0</v>
      </c>
      <c r="I94" s="258"/>
      <c r="J94" s="258"/>
      <c r="K94" s="257">
        <f>IFERROR(__xludf.DUMMYFUNCTION("""COMPUTED_VALUE"""),0.0)</f>
        <v>0</v>
      </c>
      <c r="L94" s="258">
        <f>IFERROR(__xludf.DUMMYFUNCTION("""COMPUTED_VALUE"""),0.0)</f>
        <v>0</v>
      </c>
      <c r="M94" s="258">
        <f>IFERROR(__xludf.DUMMYFUNCTION("""COMPUTED_VALUE"""),0.0)</f>
        <v>0</v>
      </c>
      <c r="N94" s="258">
        <f>IFERROR(__xludf.DUMMYFUNCTION("""COMPUTED_VALUE"""),0.0)</f>
        <v>0</v>
      </c>
      <c r="O94" s="258">
        <f>IFERROR(__xludf.DUMMYFUNCTION("""COMPUTED_VALUE"""),0.0)</f>
        <v>0</v>
      </c>
      <c r="P94" s="258">
        <f>IFERROR(__xludf.DUMMYFUNCTION("""COMPUTED_VALUE"""),0.0)</f>
        <v>0</v>
      </c>
      <c r="Q94" s="258">
        <f>IFERROR(__xludf.DUMMYFUNCTION("""COMPUTED_VALUE"""),0.0)</f>
        <v>0</v>
      </c>
      <c r="R94" s="259"/>
      <c r="S94" s="260"/>
      <c r="T94" s="261"/>
      <c r="U94" s="262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  <c r="AI94" s="250"/>
      <c r="AJ94" s="250"/>
      <c r="AK94" s="250"/>
      <c r="AL94" s="250"/>
      <c r="AM94" s="250"/>
      <c r="AN94" s="250"/>
    </row>
    <row r="95" ht="15.75" customHeight="1">
      <c r="A95" s="250"/>
      <c r="B95" s="251">
        <f>IFERROR(__xludf.DUMMYFUNCTION("""COMPUTED_VALUE"""),87.0)</f>
        <v>87</v>
      </c>
      <c r="C95" s="252"/>
      <c r="D95" s="253" t="str">
        <f>IFERROR(__xludf.DUMMYFUNCTION("""COMPUTED_VALUE"""),"")</f>
        <v/>
      </c>
      <c r="E95" s="254">
        <f>IFERROR(__xludf.DUMMYFUNCTION("""COMPUTED_VALUE"""),0.0)</f>
        <v>0</v>
      </c>
      <c r="F95" s="255"/>
      <c r="G95" s="256"/>
      <c r="H95" s="252">
        <f>IFERROR(__xludf.DUMMYFUNCTION("""COMPUTED_VALUE"""),0.0)</f>
        <v>0</v>
      </c>
      <c r="I95" s="258"/>
      <c r="J95" s="258"/>
      <c r="K95" s="257">
        <f>IFERROR(__xludf.DUMMYFUNCTION("""COMPUTED_VALUE"""),0.0)</f>
        <v>0</v>
      </c>
      <c r="L95" s="258">
        <f>IFERROR(__xludf.DUMMYFUNCTION("""COMPUTED_VALUE"""),0.0)</f>
        <v>0</v>
      </c>
      <c r="M95" s="258">
        <f>IFERROR(__xludf.DUMMYFUNCTION("""COMPUTED_VALUE"""),0.0)</f>
        <v>0</v>
      </c>
      <c r="N95" s="258">
        <f>IFERROR(__xludf.DUMMYFUNCTION("""COMPUTED_VALUE"""),0.0)</f>
        <v>0</v>
      </c>
      <c r="O95" s="258">
        <f>IFERROR(__xludf.DUMMYFUNCTION("""COMPUTED_VALUE"""),0.0)</f>
        <v>0</v>
      </c>
      <c r="P95" s="258">
        <f>IFERROR(__xludf.DUMMYFUNCTION("""COMPUTED_VALUE"""),0.0)</f>
        <v>0</v>
      </c>
      <c r="Q95" s="258">
        <f>IFERROR(__xludf.DUMMYFUNCTION("""COMPUTED_VALUE"""),0.0)</f>
        <v>0</v>
      </c>
      <c r="R95" s="259"/>
      <c r="S95" s="260"/>
      <c r="T95" s="261"/>
      <c r="U95" s="262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  <c r="AI95" s="250"/>
      <c r="AJ95" s="250"/>
      <c r="AK95" s="250"/>
      <c r="AL95" s="250"/>
      <c r="AM95" s="250"/>
      <c r="AN95" s="250"/>
    </row>
    <row r="96" ht="15.75" customHeight="1">
      <c r="A96" s="250"/>
      <c r="B96" s="251">
        <f>IFERROR(__xludf.DUMMYFUNCTION("""COMPUTED_VALUE"""),88.0)</f>
        <v>88</v>
      </c>
      <c r="C96" s="252"/>
      <c r="D96" s="253" t="str">
        <f>IFERROR(__xludf.DUMMYFUNCTION("""COMPUTED_VALUE"""),"")</f>
        <v/>
      </c>
      <c r="E96" s="254">
        <f>IFERROR(__xludf.DUMMYFUNCTION("""COMPUTED_VALUE"""),0.0)</f>
        <v>0</v>
      </c>
      <c r="F96" s="255"/>
      <c r="G96" s="256"/>
      <c r="H96" s="252">
        <f>IFERROR(__xludf.DUMMYFUNCTION("""COMPUTED_VALUE"""),0.0)</f>
        <v>0</v>
      </c>
      <c r="I96" s="258"/>
      <c r="J96" s="258"/>
      <c r="K96" s="257">
        <f>IFERROR(__xludf.DUMMYFUNCTION("""COMPUTED_VALUE"""),0.0)</f>
        <v>0</v>
      </c>
      <c r="L96" s="258">
        <f>IFERROR(__xludf.DUMMYFUNCTION("""COMPUTED_VALUE"""),0.0)</f>
        <v>0</v>
      </c>
      <c r="M96" s="258">
        <f>IFERROR(__xludf.DUMMYFUNCTION("""COMPUTED_VALUE"""),0.0)</f>
        <v>0</v>
      </c>
      <c r="N96" s="258">
        <f>IFERROR(__xludf.DUMMYFUNCTION("""COMPUTED_VALUE"""),0.0)</f>
        <v>0</v>
      </c>
      <c r="O96" s="258">
        <f>IFERROR(__xludf.DUMMYFUNCTION("""COMPUTED_VALUE"""),0.0)</f>
        <v>0</v>
      </c>
      <c r="P96" s="258">
        <f>IFERROR(__xludf.DUMMYFUNCTION("""COMPUTED_VALUE"""),0.0)</f>
        <v>0</v>
      </c>
      <c r="Q96" s="258">
        <f>IFERROR(__xludf.DUMMYFUNCTION("""COMPUTED_VALUE"""),0.0)</f>
        <v>0</v>
      </c>
      <c r="R96" s="259"/>
      <c r="S96" s="260"/>
      <c r="T96" s="261"/>
      <c r="U96" s="262"/>
      <c r="V96" s="250"/>
      <c r="W96" s="250"/>
      <c r="X96" s="250"/>
      <c r="Y96" s="250"/>
      <c r="Z96" s="250"/>
      <c r="AA96" s="250"/>
      <c r="AB96" s="250"/>
      <c r="AC96" s="250"/>
      <c r="AD96" s="250"/>
      <c r="AE96" s="250"/>
      <c r="AF96" s="250"/>
      <c r="AG96" s="250"/>
      <c r="AH96" s="250"/>
      <c r="AI96" s="250"/>
      <c r="AJ96" s="250"/>
      <c r="AK96" s="250"/>
      <c r="AL96" s="250"/>
      <c r="AM96" s="250"/>
      <c r="AN96" s="250"/>
    </row>
    <row r="97" ht="15.75" customHeight="1">
      <c r="A97" s="250"/>
      <c r="B97" s="251">
        <f>IFERROR(__xludf.DUMMYFUNCTION("""COMPUTED_VALUE"""),89.0)</f>
        <v>89</v>
      </c>
      <c r="C97" s="252"/>
      <c r="D97" s="253" t="str">
        <f>IFERROR(__xludf.DUMMYFUNCTION("""COMPUTED_VALUE"""),"")</f>
        <v/>
      </c>
      <c r="E97" s="254">
        <f>IFERROR(__xludf.DUMMYFUNCTION("""COMPUTED_VALUE"""),0.0)</f>
        <v>0</v>
      </c>
      <c r="F97" s="255"/>
      <c r="G97" s="256"/>
      <c r="H97" s="252">
        <f>IFERROR(__xludf.DUMMYFUNCTION("""COMPUTED_VALUE"""),0.0)</f>
        <v>0</v>
      </c>
      <c r="I97" s="258"/>
      <c r="J97" s="258"/>
      <c r="K97" s="257">
        <f>IFERROR(__xludf.DUMMYFUNCTION("""COMPUTED_VALUE"""),0.0)</f>
        <v>0</v>
      </c>
      <c r="L97" s="258">
        <f>IFERROR(__xludf.DUMMYFUNCTION("""COMPUTED_VALUE"""),0.0)</f>
        <v>0</v>
      </c>
      <c r="M97" s="258">
        <f>IFERROR(__xludf.DUMMYFUNCTION("""COMPUTED_VALUE"""),0.0)</f>
        <v>0</v>
      </c>
      <c r="N97" s="258">
        <f>IFERROR(__xludf.DUMMYFUNCTION("""COMPUTED_VALUE"""),0.0)</f>
        <v>0</v>
      </c>
      <c r="O97" s="258">
        <f>IFERROR(__xludf.DUMMYFUNCTION("""COMPUTED_VALUE"""),0.0)</f>
        <v>0</v>
      </c>
      <c r="P97" s="258">
        <f>IFERROR(__xludf.DUMMYFUNCTION("""COMPUTED_VALUE"""),0.0)</f>
        <v>0</v>
      </c>
      <c r="Q97" s="258">
        <f>IFERROR(__xludf.DUMMYFUNCTION("""COMPUTED_VALUE"""),0.0)</f>
        <v>0</v>
      </c>
      <c r="R97" s="259"/>
      <c r="S97" s="260"/>
      <c r="T97" s="261"/>
      <c r="U97" s="262"/>
      <c r="V97" s="250"/>
      <c r="W97" s="250"/>
      <c r="X97" s="250"/>
      <c r="Y97" s="250"/>
      <c r="Z97" s="250"/>
      <c r="AA97" s="250"/>
      <c r="AB97" s="250"/>
      <c r="AC97" s="250"/>
      <c r="AD97" s="250"/>
      <c r="AE97" s="250"/>
      <c r="AF97" s="250"/>
      <c r="AG97" s="250"/>
      <c r="AH97" s="250"/>
      <c r="AI97" s="250"/>
      <c r="AJ97" s="250"/>
      <c r="AK97" s="250"/>
      <c r="AL97" s="250"/>
      <c r="AM97" s="250"/>
      <c r="AN97" s="250"/>
    </row>
    <row r="98" ht="15.75" customHeight="1">
      <c r="A98" s="250"/>
      <c r="B98" s="251">
        <f>IFERROR(__xludf.DUMMYFUNCTION("""COMPUTED_VALUE"""),90.0)</f>
        <v>90</v>
      </c>
      <c r="C98" s="252"/>
      <c r="D98" s="253" t="str">
        <f>IFERROR(__xludf.DUMMYFUNCTION("""COMPUTED_VALUE"""),"")</f>
        <v/>
      </c>
      <c r="E98" s="254">
        <f>IFERROR(__xludf.DUMMYFUNCTION("""COMPUTED_VALUE"""),0.0)</f>
        <v>0</v>
      </c>
      <c r="F98" s="255"/>
      <c r="G98" s="256"/>
      <c r="H98" s="252">
        <f>IFERROR(__xludf.DUMMYFUNCTION("""COMPUTED_VALUE"""),0.0)</f>
        <v>0</v>
      </c>
      <c r="I98" s="258"/>
      <c r="J98" s="258"/>
      <c r="K98" s="257">
        <f>IFERROR(__xludf.DUMMYFUNCTION("""COMPUTED_VALUE"""),0.0)</f>
        <v>0</v>
      </c>
      <c r="L98" s="258">
        <f>IFERROR(__xludf.DUMMYFUNCTION("""COMPUTED_VALUE"""),0.0)</f>
        <v>0</v>
      </c>
      <c r="M98" s="258">
        <f>IFERROR(__xludf.DUMMYFUNCTION("""COMPUTED_VALUE"""),0.0)</f>
        <v>0</v>
      </c>
      <c r="N98" s="258">
        <f>IFERROR(__xludf.DUMMYFUNCTION("""COMPUTED_VALUE"""),0.0)</f>
        <v>0</v>
      </c>
      <c r="O98" s="258">
        <f>IFERROR(__xludf.DUMMYFUNCTION("""COMPUTED_VALUE"""),0.0)</f>
        <v>0</v>
      </c>
      <c r="P98" s="258">
        <f>IFERROR(__xludf.DUMMYFUNCTION("""COMPUTED_VALUE"""),0.0)</f>
        <v>0</v>
      </c>
      <c r="Q98" s="258">
        <f>IFERROR(__xludf.DUMMYFUNCTION("""COMPUTED_VALUE"""),0.0)</f>
        <v>0</v>
      </c>
      <c r="R98" s="259"/>
      <c r="S98" s="260"/>
      <c r="T98" s="261"/>
      <c r="U98" s="262"/>
      <c r="V98" s="250"/>
      <c r="W98" s="250"/>
      <c r="X98" s="250"/>
      <c r="Y98" s="250"/>
      <c r="Z98" s="250"/>
      <c r="AA98" s="250"/>
      <c r="AB98" s="250"/>
      <c r="AC98" s="250"/>
      <c r="AD98" s="250"/>
      <c r="AE98" s="250"/>
      <c r="AF98" s="250"/>
      <c r="AG98" s="250"/>
      <c r="AH98" s="250"/>
      <c r="AI98" s="250"/>
      <c r="AJ98" s="250"/>
      <c r="AK98" s="250"/>
      <c r="AL98" s="250"/>
      <c r="AM98" s="250"/>
      <c r="AN98" s="250"/>
    </row>
    <row r="99" ht="15.75" customHeight="1">
      <c r="A99" s="250"/>
      <c r="B99" s="251">
        <f>IFERROR(__xludf.DUMMYFUNCTION("""COMPUTED_VALUE"""),91.0)</f>
        <v>91</v>
      </c>
      <c r="C99" s="252"/>
      <c r="D99" s="253" t="str">
        <f>IFERROR(__xludf.DUMMYFUNCTION("""COMPUTED_VALUE"""),"")</f>
        <v/>
      </c>
      <c r="E99" s="254">
        <f>IFERROR(__xludf.DUMMYFUNCTION("""COMPUTED_VALUE"""),0.0)</f>
        <v>0</v>
      </c>
      <c r="F99" s="255"/>
      <c r="G99" s="256"/>
      <c r="H99" s="252">
        <f>IFERROR(__xludf.DUMMYFUNCTION("""COMPUTED_VALUE"""),0.0)</f>
        <v>0</v>
      </c>
      <c r="I99" s="258"/>
      <c r="J99" s="258"/>
      <c r="K99" s="257">
        <f>IFERROR(__xludf.DUMMYFUNCTION("""COMPUTED_VALUE"""),0.0)</f>
        <v>0</v>
      </c>
      <c r="L99" s="258">
        <f>IFERROR(__xludf.DUMMYFUNCTION("""COMPUTED_VALUE"""),0.0)</f>
        <v>0</v>
      </c>
      <c r="M99" s="258">
        <f>IFERROR(__xludf.DUMMYFUNCTION("""COMPUTED_VALUE"""),0.0)</f>
        <v>0</v>
      </c>
      <c r="N99" s="258">
        <f>IFERROR(__xludf.DUMMYFUNCTION("""COMPUTED_VALUE"""),0.0)</f>
        <v>0</v>
      </c>
      <c r="O99" s="258">
        <f>IFERROR(__xludf.DUMMYFUNCTION("""COMPUTED_VALUE"""),0.0)</f>
        <v>0</v>
      </c>
      <c r="P99" s="258">
        <f>IFERROR(__xludf.DUMMYFUNCTION("""COMPUTED_VALUE"""),0.0)</f>
        <v>0</v>
      </c>
      <c r="Q99" s="258">
        <f>IFERROR(__xludf.DUMMYFUNCTION("""COMPUTED_VALUE"""),0.0)</f>
        <v>0</v>
      </c>
      <c r="R99" s="259"/>
      <c r="S99" s="260"/>
      <c r="T99" s="261"/>
      <c r="U99" s="262"/>
      <c r="V99" s="250"/>
      <c r="W99" s="250"/>
      <c r="X99" s="250"/>
      <c r="Y99" s="250"/>
      <c r="Z99" s="250"/>
      <c r="AA99" s="250"/>
      <c r="AB99" s="250"/>
      <c r="AC99" s="250"/>
      <c r="AD99" s="250"/>
      <c r="AE99" s="250"/>
      <c r="AF99" s="250"/>
      <c r="AG99" s="250"/>
      <c r="AH99" s="250"/>
      <c r="AI99" s="250"/>
      <c r="AJ99" s="250"/>
      <c r="AK99" s="250"/>
      <c r="AL99" s="250"/>
      <c r="AM99" s="250"/>
      <c r="AN99" s="250"/>
    </row>
    <row r="100" ht="15.75" customHeight="1">
      <c r="A100" s="250"/>
      <c r="B100" s="251">
        <f>IFERROR(__xludf.DUMMYFUNCTION("""COMPUTED_VALUE"""),92.0)</f>
        <v>92</v>
      </c>
      <c r="C100" s="252"/>
      <c r="D100" s="253" t="str">
        <f>IFERROR(__xludf.DUMMYFUNCTION("""COMPUTED_VALUE"""),"")</f>
        <v/>
      </c>
      <c r="E100" s="254">
        <f>IFERROR(__xludf.DUMMYFUNCTION("""COMPUTED_VALUE"""),0.0)</f>
        <v>0</v>
      </c>
      <c r="F100" s="255"/>
      <c r="G100" s="256"/>
      <c r="H100" s="252">
        <f>IFERROR(__xludf.DUMMYFUNCTION("""COMPUTED_VALUE"""),0.0)</f>
        <v>0</v>
      </c>
      <c r="I100" s="258"/>
      <c r="J100" s="258"/>
      <c r="K100" s="257">
        <f>IFERROR(__xludf.DUMMYFUNCTION("""COMPUTED_VALUE"""),0.0)</f>
        <v>0</v>
      </c>
      <c r="L100" s="258">
        <f>IFERROR(__xludf.DUMMYFUNCTION("""COMPUTED_VALUE"""),0.0)</f>
        <v>0</v>
      </c>
      <c r="M100" s="258">
        <f>IFERROR(__xludf.DUMMYFUNCTION("""COMPUTED_VALUE"""),0.0)</f>
        <v>0</v>
      </c>
      <c r="N100" s="258">
        <f>IFERROR(__xludf.DUMMYFUNCTION("""COMPUTED_VALUE"""),0.0)</f>
        <v>0</v>
      </c>
      <c r="O100" s="258">
        <f>IFERROR(__xludf.DUMMYFUNCTION("""COMPUTED_VALUE"""),0.0)</f>
        <v>0</v>
      </c>
      <c r="P100" s="258">
        <f>IFERROR(__xludf.DUMMYFUNCTION("""COMPUTED_VALUE"""),0.0)</f>
        <v>0</v>
      </c>
      <c r="Q100" s="258">
        <f>IFERROR(__xludf.DUMMYFUNCTION("""COMPUTED_VALUE"""),0.0)</f>
        <v>0</v>
      </c>
      <c r="R100" s="259"/>
      <c r="S100" s="260"/>
      <c r="T100" s="261"/>
      <c r="U100" s="262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250"/>
      <c r="AI100" s="250"/>
      <c r="AJ100" s="250"/>
      <c r="AK100" s="250"/>
      <c r="AL100" s="250"/>
      <c r="AM100" s="250"/>
      <c r="AN100" s="250"/>
    </row>
    <row r="101" ht="15.75" customHeight="1">
      <c r="A101" s="250"/>
      <c r="B101" s="251">
        <f>IFERROR(__xludf.DUMMYFUNCTION("""COMPUTED_VALUE"""),93.0)</f>
        <v>93</v>
      </c>
      <c r="C101" s="252"/>
      <c r="D101" s="253" t="str">
        <f>IFERROR(__xludf.DUMMYFUNCTION("""COMPUTED_VALUE"""),"")</f>
        <v/>
      </c>
      <c r="E101" s="254">
        <f>IFERROR(__xludf.DUMMYFUNCTION("""COMPUTED_VALUE"""),0.0)</f>
        <v>0</v>
      </c>
      <c r="F101" s="255"/>
      <c r="G101" s="256"/>
      <c r="H101" s="252">
        <f>IFERROR(__xludf.DUMMYFUNCTION("""COMPUTED_VALUE"""),0.0)</f>
        <v>0</v>
      </c>
      <c r="I101" s="258"/>
      <c r="J101" s="258"/>
      <c r="K101" s="257">
        <f>IFERROR(__xludf.DUMMYFUNCTION("""COMPUTED_VALUE"""),0.0)</f>
        <v>0</v>
      </c>
      <c r="L101" s="258">
        <f>IFERROR(__xludf.DUMMYFUNCTION("""COMPUTED_VALUE"""),0.0)</f>
        <v>0</v>
      </c>
      <c r="M101" s="258">
        <f>IFERROR(__xludf.DUMMYFUNCTION("""COMPUTED_VALUE"""),0.0)</f>
        <v>0</v>
      </c>
      <c r="N101" s="258">
        <f>IFERROR(__xludf.DUMMYFUNCTION("""COMPUTED_VALUE"""),0.0)</f>
        <v>0</v>
      </c>
      <c r="O101" s="258">
        <f>IFERROR(__xludf.DUMMYFUNCTION("""COMPUTED_VALUE"""),0.0)</f>
        <v>0</v>
      </c>
      <c r="P101" s="258">
        <f>IFERROR(__xludf.DUMMYFUNCTION("""COMPUTED_VALUE"""),0.0)</f>
        <v>0</v>
      </c>
      <c r="Q101" s="258">
        <f>IFERROR(__xludf.DUMMYFUNCTION("""COMPUTED_VALUE"""),0.0)</f>
        <v>0</v>
      </c>
      <c r="R101" s="259"/>
      <c r="S101" s="260"/>
      <c r="T101" s="261"/>
      <c r="U101" s="262"/>
      <c r="V101" s="250"/>
      <c r="W101" s="250"/>
      <c r="X101" s="250"/>
      <c r="Y101" s="250"/>
      <c r="Z101" s="250"/>
      <c r="AA101" s="250"/>
      <c r="AB101" s="250"/>
      <c r="AC101" s="250"/>
      <c r="AD101" s="250"/>
      <c r="AE101" s="250"/>
      <c r="AF101" s="250"/>
      <c r="AG101" s="250"/>
      <c r="AH101" s="250"/>
      <c r="AI101" s="250"/>
      <c r="AJ101" s="250"/>
      <c r="AK101" s="250"/>
      <c r="AL101" s="250"/>
      <c r="AM101" s="250"/>
      <c r="AN101" s="250"/>
    </row>
    <row r="102" ht="15.75" customHeight="1">
      <c r="A102" s="250"/>
      <c r="B102" s="251">
        <f>IFERROR(__xludf.DUMMYFUNCTION("""COMPUTED_VALUE"""),94.0)</f>
        <v>94</v>
      </c>
      <c r="C102" s="252"/>
      <c r="D102" s="253" t="str">
        <f>IFERROR(__xludf.DUMMYFUNCTION("""COMPUTED_VALUE"""),"")</f>
        <v/>
      </c>
      <c r="E102" s="254">
        <f>IFERROR(__xludf.DUMMYFUNCTION("""COMPUTED_VALUE"""),0.0)</f>
        <v>0</v>
      </c>
      <c r="F102" s="255"/>
      <c r="G102" s="256"/>
      <c r="H102" s="252">
        <f>IFERROR(__xludf.DUMMYFUNCTION("""COMPUTED_VALUE"""),0.0)</f>
        <v>0</v>
      </c>
      <c r="I102" s="258"/>
      <c r="J102" s="258"/>
      <c r="K102" s="257">
        <f>IFERROR(__xludf.DUMMYFUNCTION("""COMPUTED_VALUE"""),0.0)</f>
        <v>0</v>
      </c>
      <c r="L102" s="258">
        <f>IFERROR(__xludf.DUMMYFUNCTION("""COMPUTED_VALUE"""),0.0)</f>
        <v>0</v>
      </c>
      <c r="M102" s="258">
        <f>IFERROR(__xludf.DUMMYFUNCTION("""COMPUTED_VALUE"""),0.0)</f>
        <v>0</v>
      </c>
      <c r="N102" s="258">
        <f>IFERROR(__xludf.DUMMYFUNCTION("""COMPUTED_VALUE"""),0.0)</f>
        <v>0</v>
      </c>
      <c r="O102" s="258">
        <f>IFERROR(__xludf.DUMMYFUNCTION("""COMPUTED_VALUE"""),0.0)</f>
        <v>0</v>
      </c>
      <c r="P102" s="258">
        <f>IFERROR(__xludf.DUMMYFUNCTION("""COMPUTED_VALUE"""),0.0)</f>
        <v>0</v>
      </c>
      <c r="Q102" s="258">
        <f>IFERROR(__xludf.DUMMYFUNCTION("""COMPUTED_VALUE"""),0.0)</f>
        <v>0</v>
      </c>
      <c r="R102" s="259"/>
      <c r="S102" s="260"/>
      <c r="T102" s="261"/>
      <c r="U102" s="262"/>
      <c r="V102" s="250"/>
      <c r="W102" s="250"/>
      <c r="X102" s="250"/>
      <c r="Y102" s="250"/>
      <c r="Z102" s="250"/>
      <c r="AA102" s="250"/>
      <c r="AB102" s="250"/>
      <c r="AC102" s="250"/>
      <c r="AD102" s="250"/>
      <c r="AE102" s="250"/>
      <c r="AF102" s="250"/>
      <c r="AG102" s="250"/>
      <c r="AH102" s="250"/>
      <c r="AI102" s="250"/>
      <c r="AJ102" s="250"/>
      <c r="AK102" s="250"/>
      <c r="AL102" s="250"/>
      <c r="AM102" s="250"/>
      <c r="AN102" s="250"/>
    </row>
    <row r="103" ht="15.75" customHeight="1">
      <c r="A103" s="250"/>
      <c r="B103" s="251">
        <f>IFERROR(__xludf.DUMMYFUNCTION("""COMPUTED_VALUE"""),95.0)</f>
        <v>95</v>
      </c>
      <c r="C103" s="252"/>
      <c r="D103" s="253" t="str">
        <f>IFERROR(__xludf.DUMMYFUNCTION("""COMPUTED_VALUE"""),"")</f>
        <v/>
      </c>
      <c r="E103" s="254">
        <f>IFERROR(__xludf.DUMMYFUNCTION("""COMPUTED_VALUE"""),0.0)</f>
        <v>0</v>
      </c>
      <c r="F103" s="255"/>
      <c r="G103" s="256"/>
      <c r="H103" s="252">
        <f>IFERROR(__xludf.DUMMYFUNCTION("""COMPUTED_VALUE"""),0.0)</f>
        <v>0</v>
      </c>
      <c r="I103" s="258"/>
      <c r="J103" s="258"/>
      <c r="K103" s="257">
        <f>IFERROR(__xludf.DUMMYFUNCTION("""COMPUTED_VALUE"""),0.0)</f>
        <v>0</v>
      </c>
      <c r="L103" s="258">
        <f>IFERROR(__xludf.DUMMYFUNCTION("""COMPUTED_VALUE"""),0.0)</f>
        <v>0</v>
      </c>
      <c r="M103" s="258">
        <f>IFERROR(__xludf.DUMMYFUNCTION("""COMPUTED_VALUE"""),0.0)</f>
        <v>0</v>
      </c>
      <c r="N103" s="258">
        <f>IFERROR(__xludf.DUMMYFUNCTION("""COMPUTED_VALUE"""),0.0)</f>
        <v>0</v>
      </c>
      <c r="O103" s="258">
        <f>IFERROR(__xludf.DUMMYFUNCTION("""COMPUTED_VALUE"""),0.0)</f>
        <v>0</v>
      </c>
      <c r="P103" s="258">
        <f>IFERROR(__xludf.DUMMYFUNCTION("""COMPUTED_VALUE"""),0.0)</f>
        <v>0</v>
      </c>
      <c r="Q103" s="258">
        <f>IFERROR(__xludf.DUMMYFUNCTION("""COMPUTED_VALUE"""),0.0)</f>
        <v>0</v>
      </c>
      <c r="R103" s="259"/>
      <c r="S103" s="260"/>
      <c r="T103" s="261"/>
      <c r="U103" s="262"/>
      <c r="V103" s="250"/>
      <c r="W103" s="250"/>
      <c r="X103" s="250"/>
      <c r="Y103" s="250"/>
      <c r="Z103" s="250"/>
      <c r="AA103" s="250"/>
      <c r="AB103" s="250"/>
      <c r="AC103" s="250"/>
      <c r="AD103" s="250"/>
      <c r="AE103" s="250"/>
      <c r="AF103" s="250"/>
      <c r="AG103" s="250"/>
      <c r="AH103" s="250"/>
      <c r="AI103" s="250"/>
      <c r="AJ103" s="250"/>
      <c r="AK103" s="250"/>
      <c r="AL103" s="250"/>
      <c r="AM103" s="250"/>
      <c r="AN103" s="250"/>
    </row>
    <row r="104" ht="15.75" customHeight="1">
      <c r="A104" s="250"/>
      <c r="B104" s="251">
        <f>IFERROR(__xludf.DUMMYFUNCTION("""COMPUTED_VALUE"""),96.0)</f>
        <v>96</v>
      </c>
      <c r="C104" s="252"/>
      <c r="D104" s="253" t="str">
        <f>IFERROR(__xludf.DUMMYFUNCTION("""COMPUTED_VALUE"""),"")</f>
        <v/>
      </c>
      <c r="E104" s="254">
        <f>IFERROR(__xludf.DUMMYFUNCTION("""COMPUTED_VALUE"""),0.0)</f>
        <v>0</v>
      </c>
      <c r="F104" s="255"/>
      <c r="G104" s="256"/>
      <c r="H104" s="252">
        <f>IFERROR(__xludf.DUMMYFUNCTION("""COMPUTED_VALUE"""),0.0)</f>
        <v>0</v>
      </c>
      <c r="I104" s="258"/>
      <c r="J104" s="258"/>
      <c r="K104" s="257">
        <f>IFERROR(__xludf.DUMMYFUNCTION("""COMPUTED_VALUE"""),0.0)</f>
        <v>0</v>
      </c>
      <c r="L104" s="258">
        <f>IFERROR(__xludf.DUMMYFUNCTION("""COMPUTED_VALUE"""),0.0)</f>
        <v>0</v>
      </c>
      <c r="M104" s="258">
        <f>IFERROR(__xludf.DUMMYFUNCTION("""COMPUTED_VALUE"""),0.0)</f>
        <v>0</v>
      </c>
      <c r="N104" s="258">
        <f>IFERROR(__xludf.DUMMYFUNCTION("""COMPUTED_VALUE"""),0.0)</f>
        <v>0</v>
      </c>
      <c r="O104" s="258">
        <f>IFERROR(__xludf.DUMMYFUNCTION("""COMPUTED_VALUE"""),0.0)</f>
        <v>0</v>
      </c>
      <c r="P104" s="258">
        <f>IFERROR(__xludf.DUMMYFUNCTION("""COMPUTED_VALUE"""),0.0)</f>
        <v>0</v>
      </c>
      <c r="Q104" s="258">
        <f>IFERROR(__xludf.DUMMYFUNCTION("""COMPUTED_VALUE"""),0.0)</f>
        <v>0</v>
      </c>
      <c r="R104" s="259"/>
      <c r="S104" s="260"/>
      <c r="T104" s="261"/>
      <c r="U104" s="262"/>
      <c r="V104" s="250"/>
      <c r="W104" s="250"/>
      <c r="X104" s="250"/>
      <c r="Y104" s="250"/>
      <c r="Z104" s="250"/>
      <c r="AA104" s="250"/>
      <c r="AB104" s="250"/>
      <c r="AC104" s="250"/>
      <c r="AD104" s="250"/>
      <c r="AE104" s="250"/>
      <c r="AF104" s="250"/>
      <c r="AG104" s="250"/>
      <c r="AH104" s="250"/>
      <c r="AI104" s="250"/>
      <c r="AJ104" s="250"/>
      <c r="AK104" s="250"/>
      <c r="AL104" s="250"/>
      <c r="AM104" s="250"/>
      <c r="AN104" s="250"/>
    </row>
    <row r="105" ht="15.75" customHeight="1">
      <c r="A105" s="250"/>
      <c r="B105" s="251">
        <f>IFERROR(__xludf.DUMMYFUNCTION("""COMPUTED_VALUE"""),97.0)</f>
        <v>97</v>
      </c>
      <c r="C105" s="252"/>
      <c r="D105" s="253" t="str">
        <f>IFERROR(__xludf.DUMMYFUNCTION("""COMPUTED_VALUE"""),"")</f>
        <v/>
      </c>
      <c r="E105" s="254">
        <f>IFERROR(__xludf.DUMMYFUNCTION("""COMPUTED_VALUE"""),0.0)</f>
        <v>0</v>
      </c>
      <c r="F105" s="255"/>
      <c r="G105" s="256"/>
      <c r="H105" s="252">
        <f>IFERROR(__xludf.DUMMYFUNCTION("""COMPUTED_VALUE"""),0.0)</f>
        <v>0</v>
      </c>
      <c r="I105" s="258"/>
      <c r="J105" s="258"/>
      <c r="K105" s="257">
        <f>IFERROR(__xludf.DUMMYFUNCTION("""COMPUTED_VALUE"""),0.0)</f>
        <v>0</v>
      </c>
      <c r="L105" s="258">
        <f>IFERROR(__xludf.DUMMYFUNCTION("""COMPUTED_VALUE"""),0.0)</f>
        <v>0</v>
      </c>
      <c r="M105" s="258">
        <f>IFERROR(__xludf.DUMMYFUNCTION("""COMPUTED_VALUE"""),0.0)</f>
        <v>0</v>
      </c>
      <c r="N105" s="258">
        <f>IFERROR(__xludf.DUMMYFUNCTION("""COMPUTED_VALUE"""),0.0)</f>
        <v>0</v>
      </c>
      <c r="O105" s="258">
        <f>IFERROR(__xludf.DUMMYFUNCTION("""COMPUTED_VALUE"""),0.0)</f>
        <v>0</v>
      </c>
      <c r="P105" s="258">
        <f>IFERROR(__xludf.DUMMYFUNCTION("""COMPUTED_VALUE"""),0.0)</f>
        <v>0</v>
      </c>
      <c r="Q105" s="258">
        <f>IFERROR(__xludf.DUMMYFUNCTION("""COMPUTED_VALUE"""),0.0)</f>
        <v>0</v>
      </c>
      <c r="R105" s="259"/>
      <c r="S105" s="260"/>
      <c r="T105" s="261"/>
      <c r="U105" s="262"/>
      <c r="V105" s="250"/>
      <c r="W105" s="250"/>
      <c r="X105" s="250"/>
      <c r="Y105" s="250"/>
      <c r="Z105" s="250"/>
      <c r="AA105" s="250"/>
      <c r="AB105" s="250"/>
      <c r="AC105" s="250"/>
      <c r="AD105" s="250"/>
      <c r="AE105" s="250"/>
      <c r="AF105" s="250"/>
      <c r="AG105" s="250"/>
      <c r="AH105" s="250"/>
      <c r="AI105" s="250"/>
      <c r="AJ105" s="250"/>
      <c r="AK105" s="250"/>
      <c r="AL105" s="250"/>
      <c r="AM105" s="250"/>
      <c r="AN105" s="250"/>
    </row>
    <row r="106" ht="15.75" customHeight="1">
      <c r="A106" s="250"/>
      <c r="B106" s="251">
        <f>IFERROR(__xludf.DUMMYFUNCTION("""COMPUTED_VALUE"""),98.0)</f>
        <v>98</v>
      </c>
      <c r="C106" s="252"/>
      <c r="D106" s="253" t="str">
        <f>IFERROR(__xludf.DUMMYFUNCTION("""COMPUTED_VALUE"""),"")</f>
        <v/>
      </c>
      <c r="E106" s="254">
        <f>IFERROR(__xludf.DUMMYFUNCTION("""COMPUTED_VALUE"""),0.0)</f>
        <v>0</v>
      </c>
      <c r="F106" s="255"/>
      <c r="G106" s="256"/>
      <c r="H106" s="252">
        <f>IFERROR(__xludf.DUMMYFUNCTION("""COMPUTED_VALUE"""),0.0)</f>
        <v>0</v>
      </c>
      <c r="I106" s="258"/>
      <c r="J106" s="258"/>
      <c r="K106" s="257">
        <f>IFERROR(__xludf.DUMMYFUNCTION("""COMPUTED_VALUE"""),0.0)</f>
        <v>0</v>
      </c>
      <c r="L106" s="258">
        <f>IFERROR(__xludf.DUMMYFUNCTION("""COMPUTED_VALUE"""),0.0)</f>
        <v>0</v>
      </c>
      <c r="M106" s="258">
        <f>IFERROR(__xludf.DUMMYFUNCTION("""COMPUTED_VALUE"""),0.0)</f>
        <v>0</v>
      </c>
      <c r="N106" s="258">
        <f>IFERROR(__xludf.DUMMYFUNCTION("""COMPUTED_VALUE"""),0.0)</f>
        <v>0</v>
      </c>
      <c r="O106" s="258">
        <f>IFERROR(__xludf.DUMMYFUNCTION("""COMPUTED_VALUE"""),0.0)</f>
        <v>0</v>
      </c>
      <c r="P106" s="258">
        <f>IFERROR(__xludf.DUMMYFUNCTION("""COMPUTED_VALUE"""),0.0)</f>
        <v>0</v>
      </c>
      <c r="Q106" s="258">
        <f>IFERROR(__xludf.DUMMYFUNCTION("""COMPUTED_VALUE"""),0.0)</f>
        <v>0</v>
      </c>
      <c r="R106" s="259"/>
      <c r="S106" s="260"/>
      <c r="T106" s="261"/>
      <c r="U106" s="262"/>
      <c r="V106" s="250"/>
      <c r="W106" s="250"/>
      <c r="X106" s="250"/>
      <c r="Y106" s="250"/>
      <c r="Z106" s="250"/>
      <c r="AA106" s="250"/>
      <c r="AB106" s="250"/>
      <c r="AC106" s="250"/>
      <c r="AD106" s="250"/>
      <c r="AE106" s="250"/>
      <c r="AF106" s="250"/>
      <c r="AG106" s="250"/>
      <c r="AH106" s="250"/>
      <c r="AI106" s="250"/>
      <c r="AJ106" s="250"/>
      <c r="AK106" s="250"/>
      <c r="AL106" s="250"/>
      <c r="AM106" s="250"/>
      <c r="AN106" s="250"/>
    </row>
    <row r="107" ht="15.75" customHeight="1">
      <c r="A107" s="250"/>
      <c r="B107" s="251">
        <f>IFERROR(__xludf.DUMMYFUNCTION("""COMPUTED_VALUE"""),99.0)</f>
        <v>99</v>
      </c>
      <c r="C107" s="252"/>
      <c r="D107" s="253" t="str">
        <f>IFERROR(__xludf.DUMMYFUNCTION("""COMPUTED_VALUE"""),"")</f>
        <v/>
      </c>
      <c r="E107" s="254">
        <f>IFERROR(__xludf.DUMMYFUNCTION("""COMPUTED_VALUE"""),0.0)</f>
        <v>0</v>
      </c>
      <c r="F107" s="255"/>
      <c r="G107" s="256"/>
      <c r="H107" s="252">
        <f>IFERROR(__xludf.DUMMYFUNCTION("""COMPUTED_VALUE"""),0.0)</f>
        <v>0</v>
      </c>
      <c r="I107" s="258"/>
      <c r="J107" s="258"/>
      <c r="K107" s="257">
        <f>IFERROR(__xludf.DUMMYFUNCTION("""COMPUTED_VALUE"""),0.0)</f>
        <v>0</v>
      </c>
      <c r="L107" s="258">
        <f>IFERROR(__xludf.DUMMYFUNCTION("""COMPUTED_VALUE"""),0.0)</f>
        <v>0</v>
      </c>
      <c r="M107" s="258">
        <f>IFERROR(__xludf.DUMMYFUNCTION("""COMPUTED_VALUE"""),0.0)</f>
        <v>0</v>
      </c>
      <c r="N107" s="258">
        <f>IFERROR(__xludf.DUMMYFUNCTION("""COMPUTED_VALUE"""),0.0)</f>
        <v>0</v>
      </c>
      <c r="O107" s="258">
        <f>IFERROR(__xludf.DUMMYFUNCTION("""COMPUTED_VALUE"""),0.0)</f>
        <v>0</v>
      </c>
      <c r="P107" s="258">
        <f>IFERROR(__xludf.DUMMYFUNCTION("""COMPUTED_VALUE"""),0.0)</f>
        <v>0</v>
      </c>
      <c r="Q107" s="258">
        <f>IFERROR(__xludf.DUMMYFUNCTION("""COMPUTED_VALUE"""),0.0)</f>
        <v>0</v>
      </c>
      <c r="R107" s="259"/>
      <c r="S107" s="260"/>
      <c r="T107" s="261"/>
      <c r="U107" s="262"/>
      <c r="V107" s="250"/>
      <c r="W107" s="250"/>
      <c r="X107" s="250"/>
      <c r="Y107" s="250"/>
      <c r="Z107" s="250"/>
      <c r="AA107" s="250"/>
      <c r="AB107" s="250"/>
      <c r="AC107" s="250"/>
      <c r="AD107" s="250"/>
      <c r="AE107" s="250"/>
      <c r="AF107" s="250"/>
      <c r="AG107" s="250"/>
      <c r="AH107" s="250"/>
      <c r="AI107" s="250"/>
      <c r="AJ107" s="250"/>
      <c r="AK107" s="250"/>
      <c r="AL107" s="250"/>
      <c r="AM107" s="250"/>
      <c r="AN107" s="250"/>
    </row>
    <row r="108" ht="15.75" customHeight="1">
      <c r="A108" s="250"/>
      <c r="B108" s="251">
        <f>IFERROR(__xludf.DUMMYFUNCTION("""COMPUTED_VALUE"""),100.0)</f>
        <v>100</v>
      </c>
      <c r="C108" s="252"/>
      <c r="D108" s="253" t="str">
        <f>IFERROR(__xludf.DUMMYFUNCTION("""COMPUTED_VALUE"""),"")</f>
        <v/>
      </c>
      <c r="E108" s="254">
        <f>IFERROR(__xludf.DUMMYFUNCTION("""COMPUTED_VALUE"""),0.0)</f>
        <v>0</v>
      </c>
      <c r="F108" s="255"/>
      <c r="G108" s="256"/>
      <c r="H108" s="252">
        <f>IFERROR(__xludf.DUMMYFUNCTION("""COMPUTED_VALUE"""),0.0)</f>
        <v>0</v>
      </c>
      <c r="I108" s="258"/>
      <c r="J108" s="258"/>
      <c r="K108" s="257">
        <f>IFERROR(__xludf.DUMMYFUNCTION("""COMPUTED_VALUE"""),0.0)</f>
        <v>0</v>
      </c>
      <c r="L108" s="258">
        <f>IFERROR(__xludf.DUMMYFUNCTION("""COMPUTED_VALUE"""),0.0)</f>
        <v>0</v>
      </c>
      <c r="M108" s="258">
        <f>IFERROR(__xludf.DUMMYFUNCTION("""COMPUTED_VALUE"""),0.0)</f>
        <v>0</v>
      </c>
      <c r="N108" s="258">
        <f>IFERROR(__xludf.DUMMYFUNCTION("""COMPUTED_VALUE"""),0.0)</f>
        <v>0</v>
      </c>
      <c r="O108" s="258">
        <f>IFERROR(__xludf.DUMMYFUNCTION("""COMPUTED_VALUE"""),0.0)</f>
        <v>0</v>
      </c>
      <c r="P108" s="258">
        <f>IFERROR(__xludf.DUMMYFUNCTION("""COMPUTED_VALUE"""),0.0)</f>
        <v>0</v>
      </c>
      <c r="Q108" s="258">
        <f>IFERROR(__xludf.DUMMYFUNCTION("""COMPUTED_VALUE"""),0.0)</f>
        <v>0</v>
      </c>
      <c r="R108" s="259"/>
      <c r="S108" s="260"/>
      <c r="T108" s="261"/>
      <c r="U108" s="262"/>
      <c r="V108" s="250"/>
      <c r="W108" s="250"/>
      <c r="X108" s="250"/>
      <c r="Y108" s="250"/>
      <c r="Z108" s="250"/>
      <c r="AA108" s="250"/>
      <c r="AB108" s="250"/>
      <c r="AC108" s="250"/>
      <c r="AD108" s="250"/>
      <c r="AE108" s="250"/>
      <c r="AF108" s="250"/>
      <c r="AG108" s="250"/>
      <c r="AH108" s="250"/>
      <c r="AI108" s="250"/>
      <c r="AJ108" s="250"/>
      <c r="AK108" s="250"/>
      <c r="AL108" s="250"/>
      <c r="AM108" s="250"/>
      <c r="AN108" s="250"/>
    </row>
    <row r="109" ht="15.75" customHeight="1">
      <c r="A109" s="250"/>
      <c r="B109" s="251">
        <f>IFERROR(__xludf.DUMMYFUNCTION("""COMPUTED_VALUE"""),101.0)</f>
        <v>101</v>
      </c>
      <c r="C109" s="252"/>
      <c r="D109" s="253" t="str">
        <f>IFERROR(__xludf.DUMMYFUNCTION("""COMPUTED_VALUE"""),"")</f>
        <v/>
      </c>
      <c r="E109" s="254">
        <f>IFERROR(__xludf.DUMMYFUNCTION("""COMPUTED_VALUE"""),0.0)</f>
        <v>0</v>
      </c>
      <c r="F109" s="255"/>
      <c r="G109" s="256"/>
      <c r="H109" s="252">
        <f>IFERROR(__xludf.DUMMYFUNCTION("""COMPUTED_VALUE"""),0.0)</f>
        <v>0</v>
      </c>
      <c r="I109" s="258"/>
      <c r="J109" s="258"/>
      <c r="K109" s="257">
        <f>IFERROR(__xludf.DUMMYFUNCTION("""COMPUTED_VALUE"""),0.0)</f>
        <v>0</v>
      </c>
      <c r="L109" s="258">
        <f>IFERROR(__xludf.DUMMYFUNCTION("""COMPUTED_VALUE"""),0.0)</f>
        <v>0</v>
      </c>
      <c r="M109" s="258">
        <f>IFERROR(__xludf.DUMMYFUNCTION("""COMPUTED_VALUE"""),0.0)</f>
        <v>0</v>
      </c>
      <c r="N109" s="258">
        <f>IFERROR(__xludf.DUMMYFUNCTION("""COMPUTED_VALUE"""),0.0)</f>
        <v>0</v>
      </c>
      <c r="O109" s="258">
        <f>IFERROR(__xludf.DUMMYFUNCTION("""COMPUTED_VALUE"""),0.0)</f>
        <v>0</v>
      </c>
      <c r="P109" s="258">
        <f>IFERROR(__xludf.DUMMYFUNCTION("""COMPUTED_VALUE"""),0.0)</f>
        <v>0</v>
      </c>
      <c r="Q109" s="258">
        <f>IFERROR(__xludf.DUMMYFUNCTION("""COMPUTED_VALUE"""),0.0)</f>
        <v>0</v>
      </c>
      <c r="R109" s="259"/>
      <c r="S109" s="260"/>
      <c r="T109" s="261"/>
      <c r="U109" s="262"/>
      <c r="V109" s="250"/>
      <c r="W109" s="250"/>
      <c r="X109" s="250"/>
      <c r="Y109" s="250"/>
      <c r="Z109" s="250"/>
      <c r="AA109" s="250"/>
      <c r="AB109" s="250"/>
      <c r="AC109" s="250"/>
      <c r="AD109" s="250"/>
      <c r="AE109" s="250"/>
      <c r="AF109" s="250"/>
      <c r="AG109" s="250"/>
      <c r="AH109" s="250"/>
      <c r="AI109" s="250"/>
      <c r="AJ109" s="250"/>
      <c r="AK109" s="250"/>
      <c r="AL109" s="250"/>
      <c r="AM109" s="250"/>
      <c r="AN109" s="250"/>
    </row>
    <row r="110" ht="15.75" customHeight="1">
      <c r="A110" s="250"/>
      <c r="B110" s="251">
        <f>IFERROR(__xludf.DUMMYFUNCTION("""COMPUTED_VALUE"""),102.0)</f>
        <v>102</v>
      </c>
      <c r="C110" s="252"/>
      <c r="D110" s="253" t="str">
        <f>IFERROR(__xludf.DUMMYFUNCTION("""COMPUTED_VALUE"""),"")</f>
        <v/>
      </c>
      <c r="E110" s="254">
        <f>IFERROR(__xludf.DUMMYFUNCTION("""COMPUTED_VALUE"""),0.0)</f>
        <v>0</v>
      </c>
      <c r="F110" s="255"/>
      <c r="G110" s="256"/>
      <c r="H110" s="252">
        <f>IFERROR(__xludf.DUMMYFUNCTION("""COMPUTED_VALUE"""),0.0)</f>
        <v>0</v>
      </c>
      <c r="I110" s="258"/>
      <c r="J110" s="258"/>
      <c r="K110" s="257">
        <f>IFERROR(__xludf.DUMMYFUNCTION("""COMPUTED_VALUE"""),0.0)</f>
        <v>0</v>
      </c>
      <c r="L110" s="258">
        <f>IFERROR(__xludf.DUMMYFUNCTION("""COMPUTED_VALUE"""),0.0)</f>
        <v>0</v>
      </c>
      <c r="M110" s="258">
        <f>IFERROR(__xludf.DUMMYFUNCTION("""COMPUTED_VALUE"""),0.0)</f>
        <v>0</v>
      </c>
      <c r="N110" s="258">
        <f>IFERROR(__xludf.DUMMYFUNCTION("""COMPUTED_VALUE"""),0.0)</f>
        <v>0</v>
      </c>
      <c r="O110" s="258">
        <f>IFERROR(__xludf.DUMMYFUNCTION("""COMPUTED_VALUE"""),0.0)</f>
        <v>0</v>
      </c>
      <c r="P110" s="258">
        <f>IFERROR(__xludf.DUMMYFUNCTION("""COMPUTED_VALUE"""),0.0)</f>
        <v>0</v>
      </c>
      <c r="Q110" s="258">
        <f>IFERROR(__xludf.DUMMYFUNCTION("""COMPUTED_VALUE"""),0.0)</f>
        <v>0</v>
      </c>
      <c r="R110" s="259"/>
      <c r="S110" s="260"/>
      <c r="T110" s="261"/>
      <c r="U110" s="262"/>
      <c r="V110" s="250"/>
      <c r="W110" s="250"/>
      <c r="X110" s="250"/>
      <c r="Y110" s="250"/>
      <c r="Z110" s="250"/>
      <c r="AA110" s="250"/>
      <c r="AB110" s="250"/>
      <c r="AC110" s="250"/>
      <c r="AD110" s="250"/>
      <c r="AE110" s="250"/>
      <c r="AF110" s="250"/>
      <c r="AG110" s="250"/>
      <c r="AH110" s="250"/>
      <c r="AI110" s="250"/>
      <c r="AJ110" s="250"/>
      <c r="AK110" s="250"/>
      <c r="AL110" s="250"/>
      <c r="AM110" s="250"/>
      <c r="AN110" s="250"/>
    </row>
    <row r="111" ht="15.75" customHeight="1">
      <c r="A111" s="250"/>
      <c r="B111" s="251">
        <f>IFERROR(__xludf.DUMMYFUNCTION("""COMPUTED_VALUE"""),103.0)</f>
        <v>103</v>
      </c>
      <c r="C111" s="252"/>
      <c r="D111" s="253" t="str">
        <f>IFERROR(__xludf.DUMMYFUNCTION("""COMPUTED_VALUE"""),"")</f>
        <v/>
      </c>
      <c r="E111" s="254">
        <f>IFERROR(__xludf.DUMMYFUNCTION("""COMPUTED_VALUE"""),0.0)</f>
        <v>0</v>
      </c>
      <c r="F111" s="255"/>
      <c r="G111" s="256"/>
      <c r="H111" s="252">
        <f>IFERROR(__xludf.DUMMYFUNCTION("""COMPUTED_VALUE"""),0.0)</f>
        <v>0</v>
      </c>
      <c r="I111" s="258"/>
      <c r="J111" s="258"/>
      <c r="K111" s="257">
        <f>IFERROR(__xludf.DUMMYFUNCTION("""COMPUTED_VALUE"""),0.0)</f>
        <v>0</v>
      </c>
      <c r="L111" s="258">
        <f>IFERROR(__xludf.DUMMYFUNCTION("""COMPUTED_VALUE"""),0.0)</f>
        <v>0</v>
      </c>
      <c r="M111" s="258">
        <f>IFERROR(__xludf.DUMMYFUNCTION("""COMPUTED_VALUE"""),0.0)</f>
        <v>0</v>
      </c>
      <c r="N111" s="258">
        <f>IFERROR(__xludf.DUMMYFUNCTION("""COMPUTED_VALUE"""),0.0)</f>
        <v>0</v>
      </c>
      <c r="O111" s="258">
        <f>IFERROR(__xludf.DUMMYFUNCTION("""COMPUTED_VALUE"""),0.0)</f>
        <v>0</v>
      </c>
      <c r="P111" s="258">
        <f>IFERROR(__xludf.DUMMYFUNCTION("""COMPUTED_VALUE"""),0.0)</f>
        <v>0</v>
      </c>
      <c r="Q111" s="258">
        <f>IFERROR(__xludf.DUMMYFUNCTION("""COMPUTED_VALUE"""),0.0)</f>
        <v>0</v>
      </c>
      <c r="R111" s="259"/>
      <c r="S111" s="260"/>
      <c r="T111" s="261"/>
      <c r="U111" s="262"/>
      <c r="V111" s="250"/>
      <c r="W111" s="250"/>
      <c r="X111" s="250"/>
      <c r="Y111" s="250"/>
      <c r="Z111" s="250"/>
      <c r="AA111" s="250"/>
      <c r="AB111" s="250"/>
      <c r="AC111" s="250"/>
      <c r="AD111" s="250"/>
      <c r="AE111" s="250"/>
      <c r="AF111" s="250"/>
      <c r="AG111" s="250"/>
      <c r="AH111" s="250"/>
      <c r="AI111" s="250"/>
      <c r="AJ111" s="250"/>
      <c r="AK111" s="250"/>
      <c r="AL111" s="250"/>
      <c r="AM111" s="250"/>
      <c r="AN111" s="250"/>
    </row>
    <row r="112" ht="15.75" customHeight="1">
      <c r="A112" s="250"/>
      <c r="B112" s="251">
        <f>IFERROR(__xludf.DUMMYFUNCTION("""COMPUTED_VALUE"""),104.0)</f>
        <v>104</v>
      </c>
      <c r="C112" s="252"/>
      <c r="D112" s="253" t="str">
        <f>IFERROR(__xludf.DUMMYFUNCTION("""COMPUTED_VALUE"""),"")</f>
        <v/>
      </c>
      <c r="E112" s="254">
        <f>IFERROR(__xludf.DUMMYFUNCTION("""COMPUTED_VALUE"""),0.0)</f>
        <v>0</v>
      </c>
      <c r="F112" s="255"/>
      <c r="G112" s="256"/>
      <c r="H112" s="252">
        <f>IFERROR(__xludf.DUMMYFUNCTION("""COMPUTED_VALUE"""),0.0)</f>
        <v>0</v>
      </c>
      <c r="I112" s="258"/>
      <c r="J112" s="258"/>
      <c r="K112" s="257">
        <f>IFERROR(__xludf.DUMMYFUNCTION("""COMPUTED_VALUE"""),0.0)</f>
        <v>0</v>
      </c>
      <c r="L112" s="258">
        <f>IFERROR(__xludf.DUMMYFUNCTION("""COMPUTED_VALUE"""),0.0)</f>
        <v>0</v>
      </c>
      <c r="M112" s="258">
        <f>IFERROR(__xludf.DUMMYFUNCTION("""COMPUTED_VALUE"""),0.0)</f>
        <v>0</v>
      </c>
      <c r="N112" s="258">
        <f>IFERROR(__xludf.DUMMYFUNCTION("""COMPUTED_VALUE"""),0.0)</f>
        <v>0</v>
      </c>
      <c r="O112" s="258">
        <f>IFERROR(__xludf.DUMMYFUNCTION("""COMPUTED_VALUE"""),0.0)</f>
        <v>0</v>
      </c>
      <c r="P112" s="258">
        <f>IFERROR(__xludf.DUMMYFUNCTION("""COMPUTED_VALUE"""),0.0)</f>
        <v>0</v>
      </c>
      <c r="Q112" s="258">
        <f>IFERROR(__xludf.DUMMYFUNCTION("""COMPUTED_VALUE"""),0.0)</f>
        <v>0</v>
      </c>
      <c r="R112" s="259"/>
      <c r="S112" s="260"/>
      <c r="T112" s="261"/>
      <c r="U112" s="262"/>
      <c r="V112" s="250"/>
      <c r="W112" s="250"/>
      <c r="X112" s="250"/>
      <c r="Y112" s="250"/>
      <c r="Z112" s="250"/>
      <c r="AA112" s="250"/>
      <c r="AB112" s="250"/>
      <c r="AC112" s="250"/>
      <c r="AD112" s="250"/>
      <c r="AE112" s="250"/>
      <c r="AF112" s="250"/>
      <c r="AG112" s="250"/>
      <c r="AH112" s="250"/>
      <c r="AI112" s="250"/>
      <c r="AJ112" s="250"/>
      <c r="AK112" s="250"/>
      <c r="AL112" s="250"/>
      <c r="AM112" s="250"/>
      <c r="AN112" s="250"/>
    </row>
    <row r="113" ht="15.75" customHeight="1">
      <c r="A113" s="250"/>
      <c r="B113" s="251">
        <f>IFERROR(__xludf.DUMMYFUNCTION("""COMPUTED_VALUE"""),105.0)</f>
        <v>105</v>
      </c>
      <c r="C113" s="252"/>
      <c r="D113" s="253" t="str">
        <f>IFERROR(__xludf.DUMMYFUNCTION("""COMPUTED_VALUE"""),"")</f>
        <v/>
      </c>
      <c r="E113" s="254">
        <f>IFERROR(__xludf.DUMMYFUNCTION("""COMPUTED_VALUE"""),0.0)</f>
        <v>0</v>
      </c>
      <c r="F113" s="255"/>
      <c r="G113" s="256"/>
      <c r="H113" s="252">
        <f>IFERROR(__xludf.DUMMYFUNCTION("""COMPUTED_VALUE"""),0.0)</f>
        <v>0</v>
      </c>
      <c r="I113" s="258"/>
      <c r="J113" s="258"/>
      <c r="K113" s="257">
        <f>IFERROR(__xludf.DUMMYFUNCTION("""COMPUTED_VALUE"""),0.0)</f>
        <v>0</v>
      </c>
      <c r="L113" s="258">
        <f>IFERROR(__xludf.DUMMYFUNCTION("""COMPUTED_VALUE"""),0.0)</f>
        <v>0</v>
      </c>
      <c r="M113" s="258">
        <f>IFERROR(__xludf.DUMMYFUNCTION("""COMPUTED_VALUE"""),0.0)</f>
        <v>0</v>
      </c>
      <c r="N113" s="258">
        <f>IFERROR(__xludf.DUMMYFUNCTION("""COMPUTED_VALUE"""),0.0)</f>
        <v>0</v>
      </c>
      <c r="O113" s="258">
        <f>IFERROR(__xludf.DUMMYFUNCTION("""COMPUTED_VALUE"""),0.0)</f>
        <v>0</v>
      </c>
      <c r="P113" s="258">
        <f>IFERROR(__xludf.DUMMYFUNCTION("""COMPUTED_VALUE"""),0.0)</f>
        <v>0</v>
      </c>
      <c r="Q113" s="258">
        <f>IFERROR(__xludf.DUMMYFUNCTION("""COMPUTED_VALUE"""),0.0)</f>
        <v>0</v>
      </c>
      <c r="R113" s="259"/>
      <c r="S113" s="260"/>
      <c r="T113" s="261"/>
      <c r="U113" s="262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250"/>
      <c r="AI113" s="250"/>
      <c r="AJ113" s="250"/>
      <c r="AK113" s="250"/>
      <c r="AL113" s="250"/>
      <c r="AM113" s="250"/>
      <c r="AN113" s="250"/>
    </row>
    <row r="114" ht="15.75" customHeight="1">
      <c r="A114" s="250"/>
      <c r="B114" s="251">
        <f>IFERROR(__xludf.DUMMYFUNCTION("""COMPUTED_VALUE"""),106.0)</f>
        <v>106</v>
      </c>
      <c r="C114" s="252"/>
      <c r="D114" s="253" t="str">
        <f>IFERROR(__xludf.DUMMYFUNCTION("""COMPUTED_VALUE"""),"")</f>
        <v/>
      </c>
      <c r="E114" s="254">
        <f>IFERROR(__xludf.DUMMYFUNCTION("""COMPUTED_VALUE"""),0.0)</f>
        <v>0</v>
      </c>
      <c r="F114" s="255"/>
      <c r="G114" s="256"/>
      <c r="H114" s="252">
        <f>IFERROR(__xludf.DUMMYFUNCTION("""COMPUTED_VALUE"""),0.0)</f>
        <v>0</v>
      </c>
      <c r="I114" s="258"/>
      <c r="J114" s="258"/>
      <c r="K114" s="257">
        <f>IFERROR(__xludf.DUMMYFUNCTION("""COMPUTED_VALUE"""),0.0)</f>
        <v>0</v>
      </c>
      <c r="L114" s="258">
        <f>IFERROR(__xludf.DUMMYFUNCTION("""COMPUTED_VALUE"""),0.0)</f>
        <v>0</v>
      </c>
      <c r="M114" s="258">
        <f>IFERROR(__xludf.DUMMYFUNCTION("""COMPUTED_VALUE"""),0.0)</f>
        <v>0</v>
      </c>
      <c r="N114" s="258">
        <f>IFERROR(__xludf.DUMMYFUNCTION("""COMPUTED_VALUE"""),0.0)</f>
        <v>0</v>
      </c>
      <c r="O114" s="258">
        <f>IFERROR(__xludf.DUMMYFUNCTION("""COMPUTED_VALUE"""),0.0)</f>
        <v>0</v>
      </c>
      <c r="P114" s="258">
        <f>IFERROR(__xludf.DUMMYFUNCTION("""COMPUTED_VALUE"""),0.0)</f>
        <v>0</v>
      </c>
      <c r="Q114" s="258">
        <f>IFERROR(__xludf.DUMMYFUNCTION("""COMPUTED_VALUE"""),0.0)</f>
        <v>0</v>
      </c>
      <c r="R114" s="259"/>
      <c r="S114" s="260"/>
      <c r="T114" s="261"/>
      <c r="U114" s="262"/>
      <c r="V114" s="250"/>
      <c r="W114" s="250"/>
      <c r="X114" s="250"/>
      <c r="Y114" s="250"/>
      <c r="Z114" s="250"/>
      <c r="AA114" s="250"/>
      <c r="AB114" s="250"/>
      <c r="AC114" s="250"/>
      <c r="AD114" s="250"/>
      <c r="AE114" s="250"/>
      <c r="AF114" s="250"/>
      <c r="AG114" s="250"/>
      <c r="AH114" s="250"/>
      <c r="AI114" s="250"/>
      <c r="AJ114" s="250"/>
      <c r="AK114" s="250"/>
      <c r="AL114" s="250"/>
      <c r="AM114" s="250"/>
      <c r="AN114" s="250"/>
    </row>
    <row r="115" ht="15.75" customHeight="1">
      <c r="A115" s="250"/>
      <c r="B115" s="251">
        <f>IFERROR(__xludf.DUMMYFUNCTION("""COMPUTED_VALUE"""),107.0)</f>
        <v>107</v>
      </c>
      <c r="C115" s="252"/>
      <c r="D115" s="253" t="str">
        <f>IFERROR(__xludf.DUMMYFUNCTION("""COMPUTED_VALUE"""),"")</f>
        <v/>
      </c>
      <c r="E115" s="254">
        <f>IFERROR(__xludf.DUMMYFUNCTION("""COMPUTED_VALUE"""),0.0)</f>
        <v>0</v>
      </c>
      <c r="F115" s="255"/>
      <c r="G115" s="256"/>
      <c r="H115" s="252">
        <f>IFERROR(__xludf.DUMMYFUNCTION("""COMPUTED_VALUE"""),0.0)</f>
        <v>0</v>
      </c>
      <c r="I115" s="258"/>
      <c r="J115" s="258"/>
      <c r="K115" s="257">
        <f>IFERROR(__xludf.DUMMYFUNCTION("""COMPUTED_VALUE"""),0.0)</f>
        <v>0</v>
      </c>
      <c r="L115" s="258">
        <f>IFERROR(__xludf.DUMMYFUNCTION("""COMPUTED_VALUE"""),0.0)</f>
        <v>0</v>
      </c>
      <c r="M115" s="258">
        <f>IFERROR(__xludf.DUMMYFUNCTION("""COMPUTED_VALUE"""),0.0)</f>
        <v>0</v>
      </c>
      <c r="N115" s="258">
        <f>IFERROR(__xludf.DUMMYFUNCTION("""COMPUTED_VALUE"""),0.0)</f>
        <v>0</v>
      </c>
      <c r="O115" s="258">
        <f>IFERROR(__xludf.DUMMYFUNCTION("""COMPUTED_VALUE"""),0.0)</f>
        <v>0</v>
      </c>
      <c r="P115" s="258">
        <f>IFERROR(__xludf.DUMMYFUNCTION("""COMPUTED_VALUE"""),0.0)</f>
        <v>0</v>
      </c>
      <c r="Q115" s="258">
        <f>IFERROR(__xludf.DUMMYFUNCTION("""COMPUTED_VALUE"""),0.0)</f>
        <v>0</v>
      </c>
      <c r="R115" s="259"/>
      <c r="S115" s="260"/>
      <c r="T115" s="261"/>
      <c r="U115" s="262"/>
      <c r="V115" s="250"/>
      <c r="W115" s="250"/>
      <c r="X115" s="250"/>
      <c r="Y115" s="250"/>
      <c r="Z115" s="250"/>
      <c r="AA115" s="250"/>
      <c r="AB115" s="250"/>
      <c r="AC115" s="250"/>
      <c r="AD115" s="250"/>
      <c r="AE115" s="250"/>
      <c r="AF115" s="250"/>
      <c r="AG115" s="250"/>
      <c r="AH115" s="250"/>
      <c r="AI115" s="250"/>
      <c r="AJ115" s="250"/>
      <c r="AK115" s="250"/>
      <c r="AL115" s="250"/>
      <c r="AM115" s="250"/>
      <c r="AN115" s="250"/>
    </row>
    <row r="116" ht="15.75" customHeight="1">
      <c r="A116" s="250"/>
      <c r="B116" s="251">
        <f>IFERROR(__xludf.DUMMYFUNCTION("""COMPUTED_VALUE"""),108.0)</f>
        <v>108</v>
      </c>
      <c r="C116" s="252"/>
      <c r="D116" s="253" t="str">
        <f>IFERROR(__xludf.DUMMYFUNCTION("""COMPUTED_VALUE"""),"")</f>
        <v/>
      </c>
      <c r="E116" s="254">
        <f>IFERROR(__xludf.DUMMYFUNCTION("""COMPUTED_VALUE"""),0.0)</f>
        <v>0</v>
      </c>
      <c r="F116" s="255"/>
      <c r="G116" s="256"/>
      <c r="H116" s="252">
        <f>IFERROR(__xludf.DUMMYFUNCTION("""COMPUTED_VALUE"""),0.0)</f>
        <v>0</v>
      </c>
      <c r="I116" s="258"/>
      <c r="J116" s="258"/>
      <c r="K116" s="257">
        <f>IFERROR(__xludf.DUMMYFUNCTION("""COMPUTED_VALUE"""),0.0)</f>
        <v>0</v>
      </c>
      <c r="L116" s="258">
        <f>IFERROR(__xludf.DUMMYFUNCTION("""COMPUTED_VALUE"""),0.0)</f>
        <v>0</v>
      </c>
      <c r="M116" s="258">
        <f>IFERROR(__xludf.DUMMYFUNCTION("""COMPUTED_VALUE"""),0.0)</f>
        <v>0</v>
      </c>
      <c r="N116" s="258">
        <f>IFERROR(__xludf.DUMMYFUNCTION("""COMPUTED_VALUE"""),0.0)</f>
        <v>0</v>
      </c>
      <c r="O116" s="258">
        <f>IFERROR(__xludf.DUMMYFUNCTION("""COMPUTED_VALUE"""),0.0)</f>
        <v>0</v>
      </c>
      <c r="P116" s="258">
        <f>IFERROR(__xludf.DUMMYFUNCTION("""COMPUTED_VALUE"""),0.0)</f>
        <v>0</v>
      </c>
      <c r="Q116" s="258">
        <f>IFERROR(__xludf.DUMMYFUNCTION("""COMPUTED_VALUE"""),0.0)</f>
        <v>0</v>
      </c>
      <c r="R116" s="259"/>
      <c r="S116" s="260"/>
      <c r="T116" s="261"/>
      <c r="U116" s="262"/>
      <c r="V116" s="250"/>
      <c r="W116" s="250"/>
      <c r="X116" s="250"/>
      <c r="Y116" s="250"/>
      <c r="Z116" s="250"/>
      <c r="AA116" s="250"/>
      <c r="AB116" s="250"/>
      <c r="AC116" s="250"/>
      <c r="AD116" s="250"/>
      <c r="AE116" s="250"/>
      <c r="AF116" s="250"/>
      <c r="AG116" s="250"/>
      <c r="AH116" s="250"/>
      <c r="AI116" s="250"/>
      <c r="AJ116" s="250"/>
      <c r="AK116" s="250"/>
      <c r="AL116" s="250"/>
      <c r="AM116" s="250"/>
      <c r="AN116" s="250"/>
    </row>
    <row r="117" ht="15.75" customHeight="1">
      <c r="A117" s="250"/>
      <c r="B117" s="251">
        <f>IFERROR(__xludf.DUMMYFUNCTION("""COMPUTED_VALUE"""),109.0)</f>
        <v>109</v>
      </c>
      <c r="C117" s="252"/>
      <c r="D117" s="253" t="str">
        <f>IFERROR(__xludf.DUMMYFUNCTION("""COMPUTED_VALUE"""),"")</f>
        <v/>
      </c>
      <c r="E117" s="254">
        <f>IFERROR(__xludf.DUMMYFUNCTION("""COMPUTED_VALUE"""),0.0)</f>
        <v>0</v>
      </c>
      <c r="F117" s="255"/>
      <c r="G117" s="256"/>
      <c r="H117" s="252">
        <f>IFERROR(__xludf.DUMMYFUNCTION("""COMPUTED_VALUE"""),0.0)</f>
        <v>0</v>
      </c>
      <c r="I117" s="258"/>
      <c r="J117" s="258"/>
      <c r="K117" s="257">
        <f>IFERROR(__xludf.DUMMYFUNCTION("""COMPUTED_VALUE"""),0.0)</f>
        <v>0</v>
      </c>
      <c r="L117" s="258">
        <f>IFERROR(__xludf.DUMMYFUNCTION("""COMPUTED_VALUE"""),0.0)</f>
        <v>0</v>
      </c>
      <c r="M117" s="258">
        <f>IFERROR(__xludf.DUMMYFUNCTION("""COMPUTED_VALUE"""),0.0)</f>
        <v>0</v>
      </c>
      <c r="N117" s="258">
        <f>IFERROR(__xludf.DUMMYFUNCTION("""COMPUTED_VALUE"""),0.0)</f>
        <v>0</v>
      </c>
      <c r="O117" s="258">
        <f>IFERROR(__xludf.DUMMYFUNCTION("""COMPUTED_VALUE"""),0.0)</f>
        <v>0</v>
      </c>
      <c r="P117" s="258">
        <f>IFERROR(__xludf.DUMMYFUNCTION("""COMPUTED_VALUE"""),0.0)</f>
        <v>0</v>
      </c>
      <c r="Q117" s="258">
        <f>IFERROR(__xludf.DUMMYFUNCTION("""COMPUTED_VALUE"""),0.0)</f>
        <v>0</v>
      </c>
      <c r="R117" s="259"/>
      <c r="S117" s="260"/>
      <c r="T117" s="261"/>
      <c r="U117" s="262"/>
      <c r="V117" s="250"/>
      <c r="W117" s="250"/>
      <c r="X117" s="250"/>
      <c r="Y117" s="250"/>
      <c r="Z117" s="250"/>
      <c r="AA117" s="250"/>
      <c r="AB117" s="250"/>
      <c r="AC117" s="250"/>
      <c r="AD117" s="250"/>
      <c r="AE117" s="250"/>
      <c r="AF117" s="250"/>
      <c r="AG117" s="250"/>
      <c r="AH117" s="250"/>
      <c r="AI117" s="250"/>
      <c r="AJ117" s="250"/>
      <c r="AK117" s="250"/>
      <c r="AL117" s="250"/>
      <c r="AM117" s="250"/>
      <c r="AN117" s="250"/>
    </row>
    <row r="118" ht="15.75" customHeight="1">
      <c r="A118" s="250"/>
      <c r="B118" s="251">
        <f>IFERROR(__xludf.DUMMYFUNCTION("""COMPUTED_VALUE"""),110.0)</f>
        <v>110</v>
      </c>
      <c r="C118" s="252"/>
      <c r="D118" s="253" t="str">
        <f>IFERROR(__xludf.DUMMYFUNCTION("""COMPUTED_VALUE"""),"")</f>
        <v/>
      </c>
      <c r="E118" s="254">
        <f>IFERROR(__xludf.DUMMYFUNCTION("""COMPUTED_VALUE"""),0.0)</f>
        <v>0</v>
      </c>
      <c r="F118" s="255"/>
      <c r="G118" s="256"/>
      <c r="H118" s="252">
        <f>IFERROR(__xludf.DUMMYFUNCTION("""COMPUTED_VALUE"""),0.0)</f>
        <v>0</v>
      </c>
      <c r="I118" s="258"/>
      <c r="J118" s="258"/>
      <c r="K118" s="257">
        <f>IFERROR(__xludf.DUMMYFUNCTION("""COMPUTED_VALUE"""),0.0)</f>
        <v>0</v>
      </c>
      <c r="L118" s="258">
        <f>IFERROR(__xludf.DUMMYFUNCTION("""COMPUTED_VALUE"""),0.0)</f>
        <v>0</v>
      </c>
      <c r="M118" s="258">
        <f>IFERROR(__xludf.DUMMYFUNCTION("""COMPUTED_VALUE"""),0.0)</f>
        <v>0</v>
      </c>
      <c r="N118" s="258">
        <f>IFERROR(__xludf.DUMMYFUNCTION("""COMPUTED_VALUE"""),0.0)</f>
        <v>0</v>
      </c>
      <c r="O118" s="258">
        <f>IFERROR(__xludf.DUMMYFUNCTION("""COMPUTED_VALUE"""),0.0)</f>
        <v>0</v>
      </c>
      <c r="P118" s="258">
        <f>IFERROR(__xludf.DUMMYFUNCTION("""COMPUTED_VALUE"""),0.0)</f>
        <v>0</v>
      </c>
      <c r="Q118" s="258">
        <f>IFERROR(__xludf.DUMMYFUNCTION("""COMPUTED_VALUE"""),0.0)</f>
        <v>0</v>
      </c>
      <c r="R118" s="259"/>
      <c r="S118" s="260"/>
      <c r="T118" s="261"/>
      <c r="U118" s="262"/>
      <c r="V118" s="250"/>
      <c r="W118" s="250"/>
      <c r="X118" s="250"/>
      <c r="Y118" s="250"/>
      <c r="Z118" s="250"/>
      <c r="AA118" s="250"/>
      <c r="AB118" s="250"/>
      <c r="AC118" s="250"/>
      <c r="AD118" s="250"/>
      <c r="AE118" s="250"/>
      <c r="AF118" s="250"/>
      <c r="AG118" s="250"/>
      <c r="AH118" s="250"/>
      <c r="AI118" s="250"/>
      <c r="AJ118" s="250"/>
      <c r="AK118" s="250"/>
      <c r="AL118" s="250"/>
      <c r="AM118" s="250"/>
      <c r="AN118" s="250"/>
    </row>
    <row r="119" ht="15.75" customHeight="1">
      <c r="A119" s="250"/>
      <c r="B119" s="251">
        <f>IFERROR(__xludf.DUMMYFUNCTION("""COMPUTED_VALUE"""),111.0)</f>
        <v>111</v>
      </c>
      <c r="C119" s="252"/>
      <c r="D119" s="253" t="str">
        <f>IFERROR(__xludf.DUMMYFUNCTION("""COMPUTED_VALUE"""),"")</f>
        <v/>
      </c>
      <c r="E119" s="254">
        <f>IFERROR(__xludf.DUMMYFUNCTION("""COMPUTED_VALUE"""),0.0)</f>
        <v>0</v>
      </c>
      <c r="F119" s="255"/>
      <c r="G119" s="256"/>
      <c r="H119" s="252">
        <f>IFERROR(__xludf.DUMMYFUNCTION("""COMPUTED_VALUE"""),0.0)</f>
        <v>0</v>
      </c>
      <c r="I119" s="258"/>
      <c r="J119" s="258"/>
      <c r="K119" s="257">
        <f>IFERROR(__xludf.DUMMYFUNCTION("""COMPUTED_VALUE"""),0.0)</f>
        <v>0</v>
      </c>
      <c r="L119" s="258">
        <f>IFERROR(__xludf.DUMMYFUNCTION("""COMPUTED_VALUE"""),0.0)</f>
        <v>0</v>
      </c>
      <c r="M119" s="258">
        <f>IFERROR(__xludf.DUMMYFUNCTION("""COMPUTED_VALUE"""),0.0)</f>
        <v>0</v>
      </c>
      <c r="N119" s="258">
        <f>IFERROR(__xludf.DUMMYFUNCTION("""COMPUTED_VALUE"""),0.0)</f>
        <v>0</v>
      </c>
      <c r="O119" s="258">
        <f>IFERROR(__xludf.DUMMYFUNCTION("""COMPUTED_VALUE"""),0.0)</f>
        <v>0</v>
      </c>
      <c r="P119" s="258">
        <f>IFERROR(__xludf.DUMMYFUNCTION("""COMPUTED_VALUE"""),0.0)</f>
        <v>0</v>
      </c>
      <c r="Q119" s="258">
        <f>IFERROR(__xludf.DUMMYFUNCTION("""COMPUTED_VALUE"""),0.0)</f>
        <v>0</v>
      </c>
      <c r="R119" s="259"/>
      <c r="S119" s="260"/>
      <c r="T119" s="261"/>
      <c r="U119" s="262"/>
      <c r="V119" s="250"/>
      <c r="W119" s="250"/>
      <c r="X119" s="250"/>
      <c r="Y119" s="250"/>
      <c r="Z119" s="250"/>
      <c r="AA119" s="250"/>
      <c r="AB119" s="250"/>
      <c r="AC119" s="250"/>
      <c r="AD119" s="250"/>
      <c r="AE119" s="250"/>
      <c r="AF119" s="250"/>
      <c r="AG119" s="250"/>
      <c r="AH119" s="250"/>
      <c r="AI119" s="250"/>
      <c r="AJ119" s="250"/>
      <c r="AK119" s="250"/>
      <c r="AL119" s="250"/>
      <c r="AM119" s="250"/>
      <c r="AN119" s="250"/>
    </row>
    <row r="120" ht="15.75" customHeight="1">
      <c r="A120" s="250"/>
      <c r="B120" s="251">
        <f>IFERROR(__xludf.DUMMYFUNCTION("""COMPUTED_VALUE"""),112.0)</f>
        <v>112</v>
      </c>
      <c r="C120" s="252"/>
      <c r="D120" s="253" t="str">
        <f>IFERROR(__xludf.DUMMYFUNCTION("""COMPUTED_VALUE"""),"")</f>
        <v/>
      </c>
      <c r="E120" s="254">
        <f>IFERROR(__xludf.DUMMYFUNCTION("""COMPUTED_VALUE"""),0.0)</f>
        <v>0</v>
      </c>
      <c r="F120" s="255"/>
      <c r="G120" s="256"/>
      <c r="H120" s="252">
        <f>IFERROR(__xludf.DUMMYFUNCTION("""COMPUTED_VALUE"""),0.0)</f>
        <v>0</v>
      </c>
      <c r="I120" s="258"/>
      <c r="J120" s="258"/>
      <c r="K120" s="257">
        <f>IFERROR(__xludf.DUMMYFUNCTION("""COMPUTED_VALUE"""),0.0)</f>
        <v>0</v>
      </c>
      <c r="L120" s="258">
        <f>IFERROR(__xludf.DUMMYFUNCTION("""COMPUTED_VALUE"""),0.0)</f>
        <v>0</v>
      </c>
      <c r="M120" s="258">
        <f>IFERROR(__xludf.DUMMYFUNCTION("""COMPUTED_VALUE"""),0.0)</f>
        <v>0</v>
      </c>
      <c r="N120" s="258">
        <f>IFERROR(__xludf.DUMMYFUNCTION("""COMPUTED_VALUE"""),0.0)</f>
        <v>0</v>
      </c>
      <c r="O120" s="258">
        <f>IFERROR(__xludf.DUMMYFUNCTION("""COMPUTED_VALUE"""),0.0)</f>
        <v>0</v>
      </c>
      <c r="P120" s="258">
        <f>IFERROR(__xludf.DUMMYFUNCTION("""COMPUTED_VALUE"""),0.0)</f>
        <v>0</v>
      </c>
      <c r="Q120" s="258">
        <f>IFERROR(__xludf.DUMMYFUNCTION("""COMPUTED_VALUE"""),0.0)</f>
        <v>0</v>
      </c>
      <c r="R120" s="259"/>
      <c r="S120" s="260"/>
      <c r="T120" s="261"/>
      <c r="U120" s="262"/>
      <c r="V120" s="250"/>
      <c r="W120" s="250"/>
      <c r="X120" s="250"/>
      <c r="Y120" s="250"/>
      <c r="Z120" s="250"/>
      <c r="AA120" s="250"/>
      <c r="AB120" s="250"/>
      <c r="AC120" s="250"/>
      <c r="AD120" s="250"/>
      <c r="AE120" s="250"/>
      <c r="AF120" s="250"/>
      <c r="AG120" s="250"/>
      <c r="AH120" s="250"/>
      <c r="AI120" s="250"/>
      <c r="AJ120" s="250"/>
      <c r="AK120" s="250"/>
      <c r="AL120" s="250"/>
      <c r="AM120" s="250"/>
      <c r="AN120" s="250"/>
    </row>
    <row r="121" ht="15.75" customHeight="1">
      <c r="A121" s="250"/>
      <c r="B121" s="251">
        <f>IFERROR(__xludf.DUMMYFUNCTION("""COMPUTED_VALUE"""),113.0)</f>
        <v>113</v>
      </c>
      <c r="C121" s="252"/>
      <c r="D121" s="253" t="str">
        <f>IFERROR(__xludf.DUMMYFUNCTION("""COMPUTED_VALUE"""),"")</f>
        <v/>
      </c>
      <c r="E121" s="254">
        <f>IFERROR(__xludf.DUMMYFUNCTION("""COMPUTED_VALUE"""),0.0)</f>
        <v>0</v>
      </c>
      <c r="F121" s="255"/>
      <c r="G121" s="256"/>
      <c r="H121" s="252">
        <f>IFERROR(__xludf.DUMMYFUNCTION("""COMPUTED_VALUE"""),0.0)</f>
        <v>0</v>
      </c>
      <c r="I121" s="258"/>
      <c r="J121" s="258"/>
      <c r="K121" s="257">
        <f>IFERROR(__xludf.DUMMYFUNCTION("""COMPUTED_VALUE"""),0.0)</f>
        <v>0</v>
      </c>
      <c r="L121" s="258">
        <f>IFERROR(__xludf.DUMMYFUNCTION("""COMPUTED_VALUE"""),0.0)</f>
        <v>0</v>
      </c>
      <c r="M121" s="258">
        <f>IFERROR(__xludf.DUMMYFUNCTION("""COMPUTED_VALUE"""),0.0)</f>
        <v>0</v>
      </c>
      <c r="N121" s="258">
        <f>IFERROR(__xludf.DUMMYFUNCTION("""COMPUTED_VALUE"""),0.0)</f>
        <v>0</v>
      </c>
      <c r="O121" s="258">
        <f>IFERROR(__xludf.DUMMYFUNCTION("""COMPUTED_VALUE"""),0.0)</f>
        <v>0</v>
      </c>
      <c r="P121" s="258">
        <f>IFERROR(__xludf.DUMMYFUNCTION("""COMPUTED_VALUE"""),0.0)</f>
        <v>0</v>
      </c>
      <c r="Q121" s="258">
        <f>IFERROR(__xludf.DUMMYFUNCTION("""COMPUTED_VALUE"""),0.0)</f>
        <v>0</v>
      </c>
      <c r="R121" s="259"/>
      <c r="S121" s="260"/>
      <c r="T121" s="261"/>
      <c r="U121" s="262"/>
      <c r="V121" s="250"/>
      <c r="W121" s="250"/>
      <c r="X121" s="250"/>
      <c r="Y121" s="250"/>
      <c r="Z121" s="250"/>
      <c r="AA121" s="250"/>
      <c r="AB121" s="250"/>
      <c r="AC121" s="250"/>
      <c r="AD121" s="250"/>
      <c r="AE121" s="250"/>
      <c r="AF121" s="250"/>
      <c r="AG121" s="250"/>
      <c r="AH121" s="250"/>
      <c r="AI121" s="250"/>
      <c r="AJ121" s="250"/>
      <c r="AK121" s="250"/>
      <c r="AL121" s="250"/>
      <c r="AM121" s="250"/>
      <c r="AN121" s="250"/>
    </row>
    <row r="122" ht="15.75" customHeight="1">
      <c r="A122" s="250"/>
      <c r="B122" s="251">
        <f>IFERROR(__xludf.DUMMYFUNCTION("""COMPUTED_VALUE"""),114.0)</f>
        <v>114</v>
      </c>
      <c r="C122" s="252"/>
      <c r="D122" s="253" t="str">
        <f>IFERROR(__xludf.DUMMYFUNCTION("""COMPUTED_VALUE"""),"")</f>
        <v/>
      </c>
      <c r="E122" s="254">
        <f>IFERROR(__xludf.DUMMYFUNCTION("""COMPUTED_VALUE"""),0.0)</f>
        <v>0</v>
      </c>
      <c r="F122" s="255"/>
      <c r="G122" s="256"/>
      <c r="H122" s="252">
        <f>IFERROR(__xludf.DUMMYFUNCTION("""COMPUTED_VALUE"""),0.0)</f>
        <v>0</v>
      </c>
      <c r="I122" s="258"/>
      <c r="J122" s="258"/>
      <c r="K122" s="257">
        <f>IFERROR(__xludf.DUMMYFUNCTION("""COMPUTED_VALUE"""),0.0)</f>
        <v>0</v>
      </c>
      <c r="L122" s="258">
        <f>IFERROR(__xludf.DUMMYFUNCTION("""COMPUTED_VALUE"""),0.0)</f>
        <v>0</v>
      </c>
      <c r="M122" s="258">
        <f>IFERROR(__xludf.DUMMYFUNCTION("""COMPUTED_VALUE"""),0.0)</f>
        <v>0</v>
      </c>
      <c r="N122" s="258">
        <f>IFERROR(__xludf.DUMMYFUNCTION("""COMPUTED_VALUE"""),0.0)</f>
        <v>0</v>
      </c>
      <c r="O122" s="258">
        <f>IFERROR(__xludf.DUMMYFUNCTION("""COMPUTED_VALUE"""),0.0)</f>
        <v>0</v>
      </c>
      <c r="P122" s="258">
        <f>IFERROR(__xludf.DUMMYFUNCTION("""COMPUTED_VALUE"""),0.0)</f>
        <v>0</v>
      </c>
      <c r="Q122" s="258">
        <f>IFERROR(__xludf.DUMMYFUNCTION("""COMPUTED_VALUE"""),0.0)</f>
        <v>0</v>
      </c>
      <c r="R122" s="259"/>
      <c r="S122" s="260"/>
      <c r="T122" s="261"/>
      <c r="U122" s="262"/>
      <c r="V122" s="250"/>
      <c r="W122" s="250"/>
      <c r="X122" s="250"/>
      <c r="Y122" s="250"/>
      <c r="Z122" s="250"/>
      <c r="AA122" s="250"/>
      <c r="AB122" s="250"/>
      <c r="AC122" s="250"/>
      <c r="AD122" s="250"/>
      <c r="AE122" s="250"/>
      <c r="AF122" s="250"/>
      <c r="AG122" s="250"/>
      <c r="AH122" s="250"/>
      <c r="AI122" s="250"/>
      <c r="AJ122" s="250"/>
      <c r="AK122" s="250"/>
      <c r="AL122" s="250"/>
      <c r="AM122" s="250"/>
      <c r="AN122" s="250"/>
    </row>
    <row r="123" ht="15.75" customHeight="1">
      <c r="A123" s="250"/>
      <c r="B123" s="251">
        <f>IFERROR(__xludf.DUMMYFUNCTION("""COMPUTED_VALUE"""),115.0)</f>
        <v>115</v>
      </c>
      <c r="C123" s="252"/>
      <c r="D123" s="253" t="str">
        <f>IFERROR(__xludf.DUMMYFUNCTION("""COMPUTED_VALUE"""),"")</f>
        <v/>
      </c>
      <c r="E123" s="254">
        <f>IFERROR(__xludf.DUMMYFUNCTION("""COMPUTED_VALUE"""),0.0)</f>
        <v>0</v>
      </c>
      <c r="F123" s="255"/>
      <c r="G123" s="256"/>
      <c r="H123" s="252">
        <f>IFERROR(__xludf.DUMMYFUNCTION("""COMPUTED_VALUE"""),0.0)</f>
        <v>0</v>
      </c>
      <c r="I123" s="258"/>
      <c r="J123" s="258"/>
      <c r="K123" s="257">
        <f>IFERROR(__xludf.DUMMYFUNCTION("""COMPUTED_VALUE"""),0.0)</f>
        <v>0</v>
      </c>
      <c r="L123" s="258">
        <f>IFERROR(__xludf.DUMMYFUNCTION("""COMPUTED_VALUE"""),0.0)</f>
        <v>0</v>
      </c>
      <c r="M123" s="258">
        <f>IFERROR(__xludf.DUMMYFUNCTION("""COMPUTED_VALUE"""),0.0)</f>
        <v>0</v>
      </c>
      <c r="N123" s="258">
        <f>IFERROR(__xludf.DUMMYFUNCTION("""COMPUTED_VALUE"""),0.0)</f>
        <v>0</v>
      </c>
      <c r="O123" s="258">
        <f>IFERROR(__xludf.DUMMYFUNCTION("""COMPUTED_VALUE"""),0.0)</f>
        <v>0</v>
      </c>
      <c r="P123" s="258">
        <f>IFERROR(__xludf.DUMMYFUNCTION("""COMPUTED_VALUE"""),0.0)</f>
        <v>0</v>
      </c>
      <c r="Q123" s="258">
        <f>IFERROR(__xludf.DUMMYFUNCTION("""COMPUTED_VALUE"""),0.0)</f>
        <v>0</v>
      </c>
      <c r="R123" s="259"/>
      <c r="S123" s="260"/>
      <c r="T123" s="261"/>
      <c r="U123" s="262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0"/>
      <c r="AF123" s="250"/>
      <c r="AG123" s="250"/>
      <c r="AH123" s="250"/>
      <c r="AI123" s="250"/>
      <c r="AJ123" s="250"/>
      <c r="AK123" s="250"/>
      <c r="AL123" s="250"/>
      <c r="AM123" s="250"/>
      <c r="AN123" s="250"/>
    </row>
    <row r="124" ht="15.75" customHeight="1">
      <c r="A124" s="250"/>
      <c r="B124" s="251">
        <f>IFERROR(__xludf.DUMMYFUNCTION("""COMPUTED_VALUE"""),116.0)</f>
        <v>116</v>
      </c>
      <c r="C124" s="252"/>
      <c r="D124" s="253" t="str">
        <f>IFERROR(__xludf.DUMMYFUNCTION("""COMPUTED_VALUE"""),"")</f>
        <v/>
      </c>
      <c r="E124" s="254">
        <f>IFERROR(__xludf.DUMMYFUNCTION("""COMPUTED_VALUE"""),0.0)</f>
        <v>0</v>
      </c>
      <c r="F124" s="255"/>
      <c r="G124" s="256"/>
      <c r="H124" s="252">
        <f>IFERROR(__xludf.DUMMYFUNCTION("""COMPUTED_VALUE"""),0.0)</f>
        <v>0</v>
      </c>
      <c r="I124" s="258"/>
      <c r="J124" s="258"/>
      <c r="K124" s="257">
        <f>IFERROR(__xludf.DUMMYFUNCTION("""COMPUTED_VALUE"""),0.0)</f>
        <v>0</v>
      </c>
      <c r="L124" s="258">
        <f>IFERROR(__xludf.DUMMYFUNCTION("""COMPUTED_VALUE"""),0.0)</f>
        <v>0</v>
      </c>
      <c r="M124" s="258">
        <f>IFERROR(__xludf.DUMMYFUNCTION("""COMPUTED_VALUE"""),0.0)</f>
        <v>0</v>
      </c>
      <c r="N124" s="258">
        <f>IFERROR(__xludf.DUMMYFUNCTION("""COMPUTED_VALUE"""),0.0)</f>
        <v>0</v>
      </c>
      <c r="O124" s="258">
        <f>IFERROR(__xludf.DUMMYFUNCTION("""COMPUTED_VALUE"""),0.0)</f>
        <v>0</v>
      </c>
      <c r="P124" s="258">
        <f>IFERROR(__xludf.DUMMYFUNCTION("""COMPUTED_VALUE"""),0.0)</f>
        <v>0</v>
      </c>
      <c r="Q124" s="258">
        <f>IFERROR(__xludf.DUMMYFUNCTION("""COMPUTED_VALUE"""),0.0)</f>
        <v>0</v>
      </c>
      <c r="R124" s="259"/>
      <c r="S124" s="260"/>
      <c r="T124" s="261"/>
      <c r="U124" s="262"/>
      <c r="V124" s="250"/>
      <c r="W124" s="250"/>
      <c r="X124" s="250"/>
      <c r="Y124" s="250"/>
      <c r="Z124" s="250"/>
      <c r="AA124" s="250"/>
      <c r="AB124" s="250"/>
      <c r="AC124" s="250"/>
      <c r="AD124" s="250"/>
      <c r="AE124" s="250"/>
      <c r="AF124" s="250"/>
      <c r="AG124" s="250"/>
      <c r="AH124" s="250"/>
      <c r="AI124" s="250"/>
      <c r="AJ124" s="250"/>
      <c r="AK124" s="250"/>
      <c r="AL124" s="250"/>
      <c r="AM124" s="250"/>
      <c r="AN124" s="250"/>
    </row>
    <row r="125" ht="15.75" customHeight="1">
      <c r="A125" s="250"/>
      <c r="B125" s="251">
        <f>IFERROR(__xludf.DUMMYFUNCTION("""COMPUTED_VALUE"""),117.0)</f>
        <v>117</v>
      </c>
      <c r="C125" s="252"/>
      <c r="D125" s="253" t="str">
        <f>IFERROR(__xludf.DUMMYFUNCTION("""COMPUTED_VALUE"""),"")</f>
        <v/>
      </c>
      <c r="E125" s="254">
        <f>IFERROR(__xludf.DUMMYFUNCTION("""COMPUTED_VALUE"""),0.0)</f>
        <v>0</v>
      </c>
      <c r="F125" s="255"/>
      <c r="G125" s="256"/>
      <c r="H125" s="252">
        <f>IFERROR(__xludf.DUMMYFUNCTION("""COMPUTED_VALUE"""),0.0)</f>
        <v>0</v>
      </c>
      <c r="I125" s="258"/>
      <c r="J125" s="258"/>
      <c r="K125" s="257">
        <f>IFERROR(__xludf.DUMMYFUNCTION("""COMPUTED_VALUE"""),0.0)</f>
        <v>0</v>
      </c>
      <c r="L125" s="258">
        <f>IFERROR(__xludf.DUMMYFUNCTION("""COMPUTED_VALUE"""),0.0)</f>
        <v>0</v>
      </c>
      <c r="M125" s="258">
        <f>IFERROR(__xludf.DUMMYFUNCTION("""COMPUTED_VALUE"""),0.0)</f>
        <v>0</v>
      </c>
      <c r="N125" s="258">
        <f>IFERROR(__xludf.DUMMYFUNCTION("""COMPUTED_VALUE"""),0.0)</f>
        <v>0</v>
      </c>
      <c r="O125" s="258">
        <f>IFERROR(__xludf.DUMMYFUNCTION("""COMPUTED_VALUE"""),0.0)</f>
        <v>0</v>
      </c>
      <c r="P125" s="258">
        <f>IFERROR(__xludf.DUMMYFUNCTION("""COMPUTED_VALUE"""),0.0)</f>
        <v>0</v>
      </c>
      <c r="Q125" s="258">
        <f>IFERROR(__xludf.DUMMYFUNCTION("""COMPUTED_VALUE"""),0.0)</f>
        <v>0</v>
      </c>
      <c r="R125" s="259"/>
      <c r="S125" s="260"/>
      <c r="T125" s="261"/>
      <c r="U125" s="262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0"/>
      <c r="AG125" s="250"/>
      <c r="AH125" s="250"/>
      <c r="AI125" s="250"/>
      <c r="AJ125" s="250"/>
      <c r="AK125" s="250"/>
      <c r="AL125" s="250"/>
      <c r="AM125" s="250"/>
      <c r="AN125" s="250"/>
    </row>
    <row r="126" ht="15.75" customHeight="1">
      <c r="A126" s="250"/>
      <c r="B126" s="251">
        <f>IFERROR(__xludf.DUMMYFUNCTION("""COMPUTED_VALUE"""),118.0)</f>
        <v>118</v>
      </c>
      <c r="C126" s="252"/>
      <c r="D126" s="253" t="str">
        <f>IFERROR(__xludf.DUMMYFUNCTION("""COMPUTED_VALUE"""),"")</f>
        <v/>
      </c>
      <c r="E126" s="254">
        <f>IFERROR(__xludf.DUMMYFUNCTION("""COMPUTED_VALUE"""),0.0)</f>
        <v>0</v>
      </c>
      <c r="F126" s="255"/>
      <c r="G126" s="256"/>
      <c r="H126" s="252">
        <f>IFERROR(__xludf.DUMMYFUNCTION("""COMPUTED_VALUE"""),0.0)</f>
        <v>0</v>
      </c>
      <c r="I126" s="258"/>
      <c r="J126" s="258"/>
      <c r="K126" s="257">
        <f>IFERROR(__xludf.DUMMYFUNCTION("""COMPUTED_VALUE"""),0.0)</f>
        <v>0</v>
      </c>
      <c r="L126" s="258">
        <f>IFERROR(__xludf.DUMMYFUNCTION("""COMPUTED_VALUE"""),0.0)</f>
        <v>0</v>
      </c>
      <c r="M126" s="258">
        <f>IFERROR(__xludf.DUMMYFUNCTION("""COMPUTED_VALUE"""),0.0)</f>
        <v>0</v>
      </c>
      <c r="N126" s="258">
        <f>IFERROR(__xludf.DUMMYFUNCTION("""COMPUTED_VALUE"""),0.0)</f>
        <v>0</v>
      </c>
      <c r="O126" s="258">
        <f>IFERROR(__xludf.DUMMYFUNCTION("""COMPUTED_VALUE"""),0.0)</f>
        <v>0</v>
      </c>
      <c r="P126" s="258">
        <f>IFERROR(__xludf.DUMMYFUNCTION("""COMPUTED_VALUE"""),0.0)</f>
        <v>0</v>
      </c>
      <c r="Q126" s="258">
        <f>IFERROR(__xludf.DUMMYFUNCTION("""COMPUTED_VALUE"""),0.0)</f>
        <v>0</v>
      </c>
      <c r="R126" s="259"/>
      <c r="S126" s="260"/>
      <c r="T126" s="261"/>
      <c r="U126" s="262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0"/>
      <c r="AF126" s="250"/>
      <c r="AG126" s="250"/>
      <c r="AH126" s="250"/>
      <c r="AI126" s="250"/>
      <c r="AJ126" s="250"/>
      <c r="AK126" s="250"/>
      <c r="AL126" s="250"/>
      <c r="AM126" s="250"/>
      <c r="AN126" s="250"/>
    </row>
    <row r="127" ht="15.75" customHeight="1">
      <c r="A127" s="250"/>
      <c r="B127" s="251">
        <f>IFERROR(__xludf.DUMMYFUNCTION("""COMPUTED_VALUE"""),119.0)</f>
        <v>119</v>
      </c>
      <c r="C127" s="252"/>
      <c r="D127" s="253" t="str">
        <f>IFERROR(__xludf.DUMMYFUNCTION("""COMPUTED_VALUE"""),"")</f>
        <v/>
      </c>
      <c r="E127" s="254">
        <f>IFERROR(__xludf.DUMMYFUNCTION("""COMPUTED_VALUE"""),0.0)</f>
        <v>0</v>
      </c>
      <c r="F127" s="255"/>
      <c r="G127" s="256"/>
      <c r="H127" s="252">
        <f>IFERROR(__xludf.DUMMYFUNCTION("""COMPUTED_VALUE"""),0.0)</f>
        <v>0</v>
      </c>
      <c r="I127" s="258"/>
      <c r="J127" s="258"/>
      <c r="K127" s="257">
        <f>IFERROR(__xludf.DUMMYFUNCTION("""COMPUTED_VALUE"""),0.0)</f>
        <v>0</v>
      </c>
      <c r="L127" s="258">
        <f>IFERROR(__xludf.DUMMYFUNCTION("""COMPUTED_VALUE"""),0.0)</f>
        <v>0</v>
      </c>
      <c r="M127" s="258">
        <f>IFERROR(__xludf.DUMMYFUNCTION("""COMPUTED_VALUE"""),0.0)</f>
        <v>0</v>
      </c>
      <c r="N127" s="258">
        <f>IFERROR(__xludf.DUMMYFUNCTION("""COMPUTED_VALUE"""),0.0)</f>
        <v>0</v>
      </c>
      <c r="O127" s="258">
        <f>IFERROR(__xludf.DUMMYFUNCTION("""COMPUTED_VALUE"""),0.0)</f>
        <v>0</v>
      </c>
      <c r="P127" s="258">
        <f>IFERROR(__xludf.DUMMYFUNCTION("""COMPUTED_VALUE"""),0.0)</f>
        <v>0</v>
      </c>
      <c r="Q127" s="258">
        <f>IFERROR(__xludf.DUMMYFUNCTION("""COMPUTED_VALUE"""),0.0)</f>
        <v>0</v>
      </c>
      <c r="R127" s="259"/>
      <c r="S127" s="260"/>
      <c r="T127" s="261"/>
      <c r="U127" s="262"/>
      <c r="V127" s="250"/>
      <c r="W127" s="250"/>
      <c r="X127" s="250"/>
      <c r="Y127" s="250"/>
      <c r="Z127" s="250"/>
      <c r="AA127" s="250"/>
      <c r="AB127" s="250"/>
      <c r="AC127" s="250"/>
      <c r="AD127" s="250"/>
      <c r="AE127" s="250"/>
      <c r="AF127" s="250"/>
      <c r="AG127" s="250"/>
      <c r="AH127" s="250"/>
      <c r="AI127" s="250"/>
      <c r="AJ127" s="250"/>
      <c r="AK127" s="250"/>
      <c r="AL127" s="250"/>
      <c r="AM127" s="250"/>
      <c r="AN127" s="250"/>
    </row>
    <row r="128" ht="15.75" customHeight="1">
      <c r="A128" s="250"/>
      <c r="B128" s="251">
        <f>IFERROR(__xludf.DUMMYFUNCTION("""COMPUTED_VALUE"""),120.0)</f>
        <v>120</v>
      </c>
      <c r="C128" s="252"/>
      <c r="D128" s="253" t="str">
        <f>IFERROR(__xludf.DUMMYFUNCTION("""COMPUTED_VALUE"""),"")</f>
        <v/>
      </c>
      <c r="E128" s="254">
        <f>IFERROR(__xludf.DUMMYFUNCTION("""COMPUTED_VALUE"""),0.0)</f>
        <v>0</v>
      </c>
      <c r="F128" s="255"/>
      <c r="G128" s="256"/>
      <c r="H128" s="252">
        <f>IFERROR(__xludf.DUMMYFUNCTION("""COMPUTED_VALUE"""),0.0)</f>
        <v>0</v>
      </c>
      <c r="I128" s="258"/>
      <c r="J128" s="258"/>
      <c r="K128" s="257">
        <f>IFERROR(__xludf.DUMMYFUNCTION("""COMPUTED_VALUE"""),0.0)</f>
        <v>0</v>
      </c>
      <c r="L128" s="258">
        <f>IFERROR(__xludf.DUMMYFUNCTION("""COMPUTED_VALUE"""),0.0)</f>
        <v>0</v>
      </c>
      <c r="M128" s="258">
        <f>IFERROR(__xludf.DUMMYFUNCTION("""COMPUTED_VALUE"""),0.0)</f>
        <v>0</v>
      </c>
      <c r="N128" s="258">
        <f>IFERROR(__xludf.DUMMYFUNCTION("""COMPUTED_VALUE"""),0.0)</f>
        <v>0</v>
      </c>
      <c r="O128" s="258">
        <f>IFERROR(__xludf.DUMMYFUNCTION("""COMPUTED_VALUE"""),0.0)</f>
        <v>0</v>
      </c>
      <c r="P128" s="258">
        <f>IFERROR(__xludf.DUMMYFUNCTION("""COMPUTED_VALUE"""),0.0)</f>
        <v>0</v>
      </c>
      <c r="Q128" s="258">
        <f>IFERROR(__xludf.DUMMYFUNCTION("""COMPUTED_VALUE"""),0.0)</f>
        <v>0</v>
      </c>
      <c r="R128" s="259"/>
      <c r="S128" s="260"/>
      <c r="T128" s="261"/>
      <c r="U128" s="262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0"/>
      <c r="AF128" s="250"/>
      <c r="AG128" s="250"/>
      <c r="AH128" s="250"/>
      <c r="AI128" s="250"/>
      <c r="AJ128" s="250"/>
      <c r="AK128" s="250"/>
      <c r="AL128" s="250"/>
      <c r="AM128" s="250"/>
      <c r="AN128" s="250"/>
    </row>
    <row r="129" ht="15.75" customHeight="1">
      <c r="A129" s="250"/>
      <c r="B129" s="251">
        <f>IFERROR(__xludf.DUMMYFUNCTION("""COMPUTED_VALUE"""),121.0)</f>
        <v>121</v>
      </c>
      <c r="C129" s="252"/>
      <c r="D129" s="253" t="str">
        <f>IFERROR(__xludf.DUMMYFUNCTION("""COMPUTED_VALUE"""),"")</f>
        <v/>
      </c>
      <c r="E129" s="254">
        <f>IFERROR(__xludf.DUMMYFUNCTION("""COMPUTED_VALUE"""),0.0)</f>
        <v>0</v>
      </c>
      <c r="F129" s="255"/>
      <c r="G129" s="256"/>
      <c r="H129" s="252">
        <f>IFERROR(__xludf.DUMMYFUNCTION("""COMPUTED_VALUE"""),0.0)</f>
        <v>0</v>
      </c>
      <c r="I129" s="258"/>
      <c r="J129" s="258"/>
      <c r="K129" s="257">
        <f>IFERROR(__xludf.DUMMYFUNCTION("""COMPUTED_VALUE"""),0.0)</f>
        <v>0</v>
      </c>
      <c r="L129" s="258">
        <f>IFERROR(__xludf.DUMMYFUNCTION("""COMPUTED_VALUE"""),0.0)</f>
        <v>0</v>
      </c>
      <c r="M129" s="258">
        <f>IFERROR(__xludf.DUMMYFUNCTION("""COMPUTED_VALUE"""),0.0)</f>
        <v>0</v>
      </c>
      <c r="N129" s="258">
        <f>IFERROR(__xludf.DUMMYFUNCTION("""COMPUTED_VALUE"""),0.0)</f>
        <v>0</v>
      </c>
      <c r="O129" s="258">
        <f>IFERROR(__xludf.DUMMYFUNCTION("""COMPUTED_VALUE"""),0.0)</f>
        <v>0</v>
      </c>
      <c r="P129" s="258">
        <f>IFERROR(__xludf.DUMMYFUNCTION("""COMPUTED_VALUE"""),0.0)</f>
        <v>0</v>
      </c>
      <c r="Q129" s="258">
        <f>IFERROR(__xludf.DUMMYFUNCTION("""COMPUTED_VALUE"""),0.0)</f>
        <v>0</v>
      </c>
      <c r="R129" s="259"/>
      <c r="S129" s="260"/>
      <c r="T129" s="261"/>
      <c r="U129" s="262"/>
      <c r="V129" s="250"/>
      <c r="W129" s="250"/>
      <c r="X129" s="250"/>
      <c r="Y129" s="250"/>
      <c r="Z129" s="250"/>
      <c r="AA129" s="250"/>
      <c r="AB129" s="250"/>
      <c r="AC129" s="250"/>
      <c r="AD129" s="250"/>
      <c r="AE129" s="250"/>
      <c r="AF129" s="250"/>
      <c r="AG129" s="250"/>
      <c r="AH129" s="250"/>
      <c r="AI129" s="250"/>
      <c r="AJ129" s="250"/>
      <c r="AK129" s="250"/>
      <c r="AL129" s="250"/>
      <c r="AM129" s="250"/>
      <c r="AN129" s="250"/>
    </row>
    <row r="130" ht="15.75" customHeight="1">
      <c r="A130" s="250"/>
      <c r="B130" s="251">
        <f>IFERROR(__xludf.DUMMYFUNCTION("""COMPUTED_VALUE"""),122.0)</f>
        <v>122</v>
      </c>
      <c r="C130" s="252"/>
      <c r="D130" s="253" t="str">
        <f>IFERROR(__xludf.DUMMYFUNCTION("""COMPUTED_VALUE"""),"")</f>
        <v/>
      </c>
      <c r="E130" s="254">
        <f>IFERROR(__xludf.DUMMYFUNCTION("""COMPUTED_VALUE"""),0.0)</f>
        <v>0</v>
      </c>
      <c r="F130" s="255"/>
      <c r="G130" s="256"/>
      <c r="H130" s="252">
        <f>IFERROR(__xludf.DUMMYFUNCTION("""COMPUTED_VALUE"""),0.0)</f>
        <v>0</v>
      </c>
      <c r="I130" s="258"/>
      <c r="J130" s="258"/>
      <c r="K130" s="257">
        <f>IFERROR(__xludf.DUMMYFUNCTION("""COMPUTED_VALUE"""),0.0)</f>
        <v>0</v>
      </c>
      <c r="L130" s="258">
        <f>IFERROR(__xludf.DUMMYFUNCTION("""COMPUTED_VALUE"""),0.0)</f>
        <v>0</v>
      </c>
      <c r="M130" s="258">
        <f>IFERROR(__xludf.DUMMYFUNCTION("""COMPUTED_VALUE"""),0.0)</f>
        <v>0</v>
      </c>
      <c r="N130" s="258">
        <f>IFERROR(__xludf.DUMMYFUNCTION("""COMPUTED_VALUE"""),0.0)</f>
        <v>0</v>
      </c>
      <c r="O130" s="258">
        <f>IFERROR(__xludf.DUMMYFUNCTION("""COMPUTED_VALUE"""),0.0)</f>
        <v>0</v>
      </c>
      <c r="P130" s="258">
        <f>IFERROR(__xludf.DUMMYFUNCTION("""COMPUTED_VALUE"""),0.0)</f>
        <v>0</v>
      </c>
      <c r="Q130" s="258">
        <f>IFERROR(__xludf.DUMMYFUNCTION("""COMPUTED_VALUE"""),0.0)</f>
        <v>0</v>
      </c>
      <c r="R130" s="259"/>
      <c r="S130" s="260"/>
      <c r="T130" s="261"/>
      <c r="U130" s="262"/>
      <c r="V130" s="250"/>
      <c r="W130" s="250"/>
      <c r="X130" s="250"/>
      <c r="Y130" s="250"/>
      <c r="Z130" s="250"/>
      <c r="AA130" s="250"/>
      <c r="AB130" s="250"/>
      <c r="AC130" s="250"/>
      <c r="AD130" s="250"/>
      <c r="AE130" s="250"/>
      <c r="AF130" s="250"/>
      <c r="AG130" s="250"/>
      <c r="AH130" s="250"/>
      <c r="AI130" s="250"/>
      <c r="AJ130" s="250"/>
      <c r="AK130" s="250"/>
      <c r="AL130" s="250"/>
      <c r="AM130" s="250"/>
      <c r="AN130" s="250"/>
    </row>
    <row r="131" ht="15.75" customHeight="1">
      <c r="A131" s="250"/>
      <c r="B131" s="251">
        <f>IFERROR(__xludf.DUMMYFUNCTION("""COMPUTED_VALUE"""),123.0)</f>
        <v>123</v>
      </c>
      <c r="C131" s="252"/>
      <c r="D131" s="253" t="str">
        <f>IFERROR(__xludf.DUMMYFUNCTION("""COMPUTED_VALUE"""),"")</f>
        <v/>
      </c>
      <c r="E131" s="254">
        <f>IFERROR(__xludf.DUMMYFUNCTION("""COMPUTED_VALUE"""),0.0)</f>
        <v>0</v>
      </c>
      <c r="F131" s="255"/>
      <c r="G131" s="256"/>
      <c r="H131" s="252">
        <f>IFERROR(__xludf.DUMMYFUNCTION("""COMPUTED_VALUE"""),0.0)</f>
        <v>0</v>
      </c>
      <c r="I131" s="258"/>
      <c r="J131" s="258"/>
      <c r="K131" s="257">
        <f>IFERROR(__xludf.DUMMYFUNCTION("""COMPUTED_VALUE"""),0.0)</f>
        <v>0</v>
      </c>
      <c r="L131" s="258">
        <f>IFERROR(__xludf.DUMMYFUNCTION("""COMPUTED_VALUE"""),0.0)</f>
        <v>0</v>
      </c>
      <c r="M131" s="258">
        <f>IFERROR(__xludf.DUMMYFUNCTION("""COMPUTED_VALUE"""),0.0)</f>
        <v>0</v>
      </c>
      <c r="N131" s="258">
        <f>IFERROR(__xludf.DUMMYFUNCTION("""COMPUTED_VALUE"""),0.0)</f>
        <v>0</v>
      </c>
      <c r="O131" s="258">
        <f>IFERROR(__xludf.DUMMYFUNCTION("""COMPUTED_VALUE"""),0.0)</f>
        <v>0</v>
      </c>
      <c r="P131" s="258">
        <f>IFERROR(__xludf.DUMMYFUNCTION("""COMPUTED_VALUE"""),0.0)</f>
        <v>0</v>
      </c>
      <c r="Q131" s="258">
        <f>IFERROR(__xludf.DUMMYFUNCTION("""COMPUTED_VALUE"""),0.0)</f>
        <v>0</v>
      </c>
      <c r="R131" s="259"/>
      <c r="S131" s="260"/>
      <c r="T131" s="261"/>
      <c r="U131" s="262"/>
      <c r="V131" s="250"/>
      <c r="W131" s="250"/>
      <c r="X131" s="250"/>
      <c r="Y131" s="250"/>
      <c r="Z131" s="250"/>
      <c r="AA131" s="250"/>
      <c r="AB131" s="250"/>
      <c r="AC131" s="250"/>
      <c r="AD131" s="250"/>
      <c r="AE131" s="250"/>
      <c r="AF131" s="250"/>
      <c r="AG131" s="250"/>
      <c r="AH131" s="250"/>
      <c r="AI131" s="250"/>
      <c r="AJ131" s="250"/>
      <c r="AK131" s="250"/>
      <c r="AL131" s="250"/>
      <c r="AM131" s="250"/>
      <c r="AN131" s="250"/>
    </row>
    <row r="132" ht="15.75" customHeight="1">
      <c r="A132" s="250"/>
      <c r="B132" s="251">
        <f>IFERROR(__xludf.DUMMYFUNCTION("""COMPUTED_VALUE"""),124.0)</f>
        <v>124</v>
      </c>
      <c r="C132" s="252"/>
      <c r="D132" s="253" t="str">
        <f>IFERROR(__xludf.DUMMYFUNCTION("""COMPUTED_VALUE"""),"")</f>
        <v/>
      </c>
      <c r="E132" s="254">
        <f>IFERROR(__xludf.DUMMYFUNCTION("""COMPUTED_VALUE"""),0.0)</f>
        <v>0</v>
      </c>
      <c r="F132" s="255"/>
      <c r="G132" s="256"/>
      <c r="H132" s="252">
        <f>IFERROR(__xludf.DUMMYFUNCTION("""COMPUTED_VALUE"""),0.0)</f>
        <v>0</v>
      </c>
      <c r="I132" s="258"/>
      <c r="J132" s="258"/>
      <c r="K132" s="257">
        <f>IFERROR(__xludf.DUMMYFUNCTION("""COMPUTED_VALUE"""),0.0)</f>
        <v>0</v>
      </c>
      <c r="L132" s="258">
        <f>IFERROR(__xludf.DUMMYFUNCTION("""COMPUTED_VALUE"""),0.0)</f>
        <v>0</v>
      </c>
      <c r="M132" s="258">
        <f>IFERROR(__xludf.DUMMYFUNCTION("""COMPUTED_VALUE"""),0.0)</f>
        <v>0</v>
      </c>
      <c r="N132" s="258">
        <f>IFERROR(__xludf.DUMMYFUNCTION("""COMPUTED_VALUE"""),0.0)</f>
        <v>0</v>
      </c>
      <c r="O132" s="258">
        <f>IFERROR(__xludf.DUMMYFUNCTION("""COMPUTED_VALUE"""),0.0)</f>
        <v>0</v>
      </c>
      <c r="P132" s="258">
        <f>IFERROR(__xludf.DUMMYFUNCTION("""COMPUTED_VALUE"""),0.0)</f>
        <v>0</v>
      </c>
      <c r="Q132" s="258">
        <f>IFERROR(__xludf.DUMMYFUNCTION("""COMPUTED_VALUE"""),0.0)</f>
        <v>0</v>
      </c>
      <c r="R132" s="259"/>
      <c r="S132" s="260"/>
      <c r="T132" s="261"/>
      <c r="U132" s="262"/>
      <c r="V132" s="250"/>
      <c r="W132" s="250"/>
      <c r="X132" s="250"/>
      <c r="Y132" s="250"/>
      <c r="Z132" s="250"/>
      <c r="AA132" s="250"/>
      <c r="AB132" s="250"/>
      <c r="AC132" s="250"/>
      <c r="AD132" s="250"/>
      <c r="AE132" s="250"/>
      <c r="AF132" s="250"/>
      <c r="AG132" s="250"/>
      <c r="AH132" s="250"/>
      <c r="AI132" s="250"/>
      <c r="AJ132" s="250"/>
      <c r="AK132" s="250"/>
      <c r="AL132" s="250"/>
      <c r="AM132" s="250"/>
      <c r="AN132" s="250"/>
    </row>
    <row r="133" ht="15.75" customHeight="1">
      <c r="A133" s="250"/>
      <c r="B133" s="251">
        <f>IFERROR(__xludf.DUMMYFUNCTION("""COMPUTED_VALUE"""),125.0)</f>
        <v>125</v>
      </c>
      <c r="C133" s="252"/>
      <c r="D133" s="253" t="str">
        <f>IFERROR(__xludf.DUMMYFUNCTION("""COMPUTED_VALUE"""),"")</f>
        <v/>
      </c>
      <c r="E133" s="254">
        <f>IFERROR(__xludf.DUMMYFUNCTION("""COMPUTED_VALUE"""),0.0)</f>
        <v>0</v>
      </c>
      <c r="F133" s="255"/>
      <c r="G133" s="256"/>
      <c r="H133" s="252">
        <f>IFERROR(__xludf.DUMMYFUNCTION("""COMPUTED_VALUE"""),0.0)</f>
        <v>0</v>
      </c>
      <c r="I133" s="258"/>
      <c r="J133" s="258"/>
      <c r="K133" s="257">
        <f>IFERROR(__xludf.DUMMYFUNCTION("""COMPUTED_VALUE"""),0.0)</f>
        <v>0</v>
      </c>
      <c r="L133" s="258">
        <f>IFERROR(__xludf.DUMMYFUNCTION("""COMPUTED_VALUE"""),0.0)</f>
        <v>0</v>
      </c>
      <c r="M133" s="258">
        <f>IFERROR(__xludf.DUMMYFUNCTION("""COMPUTED_VALUE"""),0.0)</f>
        <v>0</v>
      </c>
      <c r="N133" s="258">
        <f>IFERROR(__xludf.DUMMYFUNCTION("""COMPUTED_VALUE"""),0.0)</f>
        <v>0</v>
      </c>
      <c r="O133" s="258">
        <f>IFERROR(__xludf.DUMMYFUNCTION("""COMPUTED_VALUE"""),0.0)</f>
        <v>0</v>
      </c>
      <c r="P133" s="258">
        <f>IFERROR(__xludf.DUMMYFUNCTION("""COMPUTED_VALUE"""),0.0)</f>
        <v>0</v>
      </c>
      <c r="Q133" s="258">
        <f>IFERROR(__xludf.DUMMYFUNCTION("""COMPUTED_VALUE"""),0.0)</f>
        <v>0</v>
      </c>
      <c r="R133" s="259"/>
      <c r="S133" s="260"/>
      <c r="T133" s="261"/>
      <c r="U133" s="262"/>
      <c r="V133" s="250"/>
      <c r="W133" s="250"/>
      <c r="X133" s="250"/>
      <c r="Y133" s="250"/>
      <c r="Z133" s="250"/>
      <c r="AA133" s="250"/>
      <c r="AB133" s="250"/>
      <c r="AC133" s="250"/>
      <c r="AD133" s="250"/>
      <c r="AE133" s="250"/>
      <c r="AF133" s="250"/>
      <c r="AG133" s="250"/>
      <c r="AH133" s="250"/>
      <c r="AI133" s="250"/>
      <c r="AJ133" s="250"/>
      <c r="AK133" s="250"/>
      <c r="AL133" s="250"/>
      <c r="AM133" s="250"/>
      <c r="AN133" s="250"/>
    </row>
    <row r="134" ht="15.75" customHeight="1">
      <c r="A134" s="250"/>
      <c r="B134" s="251">
        <f>IFERROR(__xludf.DUMMYFUNCTION("""COMPUTED_VALUE"""),126.0)</f>
        <v>126</v>
      </c>
      <c r="C134" s="252"/>
      <c r="D134" s="253" t="str">
        <f>IFERROR(__xludf.DUMMYFUNCTION("""COMPUTED_VALUE"""),"")</f>
        <v/>
      </c>
      <c r="E134" s="254">
        <f>IFERROR(__xludf.DUMMYFUNCTION("""COMPUTED_VALUE"""),0.0)</f>
        <v>0</v>
      </c>
      <c r="F134" s="255"/>
      <c r="G134" s="256"/>
      <c r="H134" s="252">
        <f>IFERROR(__xludf.DUMMYFUNCTION("""COMPUTED_VALUE"""),0.0)</f>
        <v>0</v>
      </c>
      <c r="I134" s="258"/>
      <c r="J134" s="258"/>
      <c r="K134" s="257">
        <f>IFERROR(__xludf.DUMMYFUNCTION("""COMPUTED_VALUE"""),0.0)</f>
        <v>0</v>
      </c>
      <c r="L134" s="258">
        <f>IFERROR(__xludf.DUMMYFUNCTION("""COMPUTED_VALUE"""),0.0)</f>
        <v>0</v>
      </c>
      <c r="M134" s="258">
        <f>IFERROR(__xludf.DUMMYFUNCTION("""COMPUTED_VALUE"""),0.0)</f>
        <v>0</v>
      </c>
      <c r="N134" s="258">
        <f>IFERROR(__xludf.DUMMYFUNCTION("""COMPUTED_VALUE"""),0.0)</f>
        <v>0</v>
      </c>
      <c r="O134" s="258">
        <f>IFERROR(__xludf.DUMMYFUNCTION("""COMPUTED_VALUE"""),0.0)</f>
        <v>0</v>
      </c>
      <c r="P134" s="258">
        <f>IFERROR(__xludf.DUMMYFUNCTION("""COMPUTED_VALUE"""),0.0)</f>
        <v>0</v>
      </c>
      <c r="Q134" s="258">
        <f>IFERROR(__xludf.DUMMYFUNCTION("""COMPUTED_VALUE"""),0.0)</f>
        <v>0</v>
      </c>
      <c r="R134" s="259"/>
      <c r="S134" s="260"/>
      <c r="T134" s="261"/>
      <c r="U134" s="262"/>
      <c r="V134" s="250"/>
      <c r="W134" s="250"/>
      <c r="X134" s="250"/>
      <c r="Y134" s="250"/>
      <c r="Z134" s="250"/>
      <c r="AA134" s="250"/>
      <c r="AB134" s="250"/>
      <c r="AC134" s="250"/>
      <c r="AD134" s="250"/>
      <c r="AE134" s="250"/>
      <c r="AF134" s="250"/>
      <c r="AG134" s="250"/>
      <c r="AH134" s="250"/>
      <c r="AI134" s="250"/>
      <c r="AJ134" s="250"/>
      <c r="AK134" s="250"/>
      <c r="AL134" s="250"/>
      <c r="AM134" s="250"/>
      <c r="AN134" s="250"/>
    </row>
    <row r="135" ht="15.75" customHeight="1">
      <c r="A135" s="250"/>
      <c r="B135" s="251">
        <f>IFERROR(__xludf.DUMMYFUNCTION("""COMPUTED_VALUE"""),127.0)</f>
        <v>127</v>
      </c>
      <c r="C135" s="252"/>
      <c r="D135" s="253" t="str">
        <f>IFERROR(__xludf.DUMMYFUNCTION("""COMPUTED_VALUE"""),"")</f>
        <v/>
      </c>
      <c r="E135" s="254">
        <f>IFERROR(__xludf.DUMMYFUNCTION("""COMPUTED_VALUE"""),0.0)</f>
        <v>0</v>
      </c>
      <c r="F135" s="255"/>
      <c r="G135" s="256"/>
      <c r="H135" s="252">
        <f>IFERROR(__xludf.DUMMYFUNCTION("""COMPUTED_VALUE"""),0.0)</f>
        <v>0</v>
      </c>
      <c r="I135" s="258"/>
      <c r="J135" s="258"/>
      <c r="K135" s="257">
        <f>IFERROR(__xludf.DUMMYFUNCTION("""COMPUTED_VALUE"""),0.0)</f>
        <v>0</v>
      </c>
      <c r="L135" s="258">
        <f>IFERROR(__xludf.DUMMYFUNCTION("""COMPUTED_VALUE"""),0.0)</f>
        <v>0</v>
      </c>
      <c r="M135" s="258">
        <f>IFERROR(__xludf.DUMMYFUNCTION("""COMPUTED_VALUE"""),0.0)</f>
        <v>0</v>
      </c>
      <c r="N135" s="258">
        <f>IFERROR(__xludf.DUMMYFUNCTION("""COMPUTED_VALUE"""),0.0)</f>
        <v>0</v>
      </c>
      <c r="O135" s="258">
        <f>IFERROR(__xludf.DUMMYFUNCTION("""COMPUTED_VALUE"""),0.0)</f>
        <v>0</v>
      </c>
      <c r="P135" s="258">
        <f>IFERROR(__xludf.DUMMYFUNCTION("""COMPUTED_VALUE"""),0.0)</f>
        <v>0</v>
      </c>
      <c r="Q135" s="258">
        <f>IFERROR(__xludf.DUMMYFUNCTION("""COMPUTED_VALUE"""),0.0)</f>
        <v>0</v>
      </c>
      <c r="R135" s="259"/>
      <c r="S135" s="260"/>
      <c r="T135" s="261"/>
      <c r="U135" s="262"/>
      <c r="V135" s="250"/>
      <c r="W135" s="250"/>
      <c r="X135" s="250"/>
      <c r="Y135" s="250"/>
      <c r="Z135" s="250"/>
      <c r="AA135" s="250"/>
      <c r="AB135" s="250"/>
      <c r="AC135" s="250"/>
      <c r="AD135" s="250"/>
      <c r="AE135" s="250"/>
      <c r="AF135" s="250"/>
      <c r="AG135" s="250"/>
      <c r="AH135" s="250"/>
      <c r="AI135" s="250"/>
      <c r="AJ135" s="250"/>
      <c r="AK135" s="250"/>
      <c r="AL135" s="250"/>
      <c r="AM135" s="250"/>
      <c r="AN135" s="250"/>
    </row>
    <row r="136" ht="15.75" customHeight="1">
      <c r="A136" s="250"/>
      <c r="B136" s="251">
        <f>IFERROR(__xludf.DUMMYFUNCTION("""COMPUTED_VALUE"""),128.0)</f>
        <v>128</v>
      </c>
      <c r="C136" s="252"/>
      <c r="D136" s="253" t="str">
        <f>IFERROR(__xludf.DUMMYFUNCTION("""COMPUTED_VALUE"""),"")</f>
        <v/>
      </c>
      <c r="E136" s="254">
        <f>IFERROR(__xludf.DUMMYFUNCTION("""COMPUTED_VALUE"""),0.0)</f>
        <v>0</v>
      </c>
      <c r="F136" s="255"/>
      <c r="G136" s="256"/>
      <c r="H136" s="252">
        <f>IFERROR(__xludf.DUMMYFUNCTION("""COMPUTED_VALUE"""),0.0)</f>
        <v>0</v>
      </c>
      <c r="I136" s="258"/>
      <c r="J136" s="258"/>
      <c r="K136" s="257">
        <f>IFERROR(__xludf.DUMMYFUNCTION("""COMPUTED_VALUE"""),0.0)</f>
        <v>0</v>
      </c>
      <c r="L136" s="258">
        <f>IFERROR(__xludf.DUMMYFUNCTION("""COMPUTED_VALUE"""),0.0)</f>
        <v>0</v>
      </c>
      <c r="M136" s="258">
        <f>IFERROR(__xludf.DUMMYFUNCTION("""COMPUTED_VALUE"""),0.0)</f>
        <v>0</v>
      </c>
      <c r="N136" s="258">
        <f>IFERROR(__xludf.DUMMYFUNCTION("""COMPUTED_VALUE"""),0.0)</f>
        <v>0</v>
      </c>
      <c r="O136" s="258">
        <f>IFERROR(__xludf.DUMMYFUNCTION("""COMPUTED_VALUE"""),0.0)</f>
        <v>0</v>
      </c>
      <c r="P136" s="258">
        <f>IFERROR(__xludf.DUMMYFUNCTION("""COMPUTED_VALUE"""),0.0)</f>
        <v>0</v>
      </c>
      <c r="Q136" s="258">
        <f>IFERROR(__xludf.DUMMYFUNCTION("""COMPUTED_VALUE"""),0.0)</f>
        <v>0</v>
      </c>
      <c r="R136" s="259"/>
      <c r="S136" s="260"/>
      <c r="T136" s="261"/>
      <c r="U136" s="262"/>
      <c r="V136" s="250"/>
      <c r="W136" s="250"/>
      <c r="X136" s="250"/>
      <c r="Y136" s="250"/>
      <c r="Z136" s="250"/>
      <c r="AA136" s="250"/>
      <c r="AB136" s="250"/>
      <c r="AC136" s="250"/>
      <c r="AD136" s="250"/>
      <c r="AE136" s="250"/>
      <c r="AF136" s="250"/>
      <c r="AG136" s="250"/>
      <c r="AH136" s="250"/>
      <c r="AI136" s="250"/>
      <c r="AJ136" s="250"/>
      <c r="AK136" s="250"/>
      <c r="AL136" s="250"/>
      <c r="AM136" s="250"/>
      <c r="AN136" s="250"/>
    </row>
    <row r="137" ht="15.75" customHeight="1">
      <c r="A137" s="250"/>
      <c r="B137" s="251">
        <f>IFERROR(__xludf.DUMMYFUNCTION("""COMPUTED_VALUE"""),129.0)</f>
        <v>129</v>
      </c>
      <c r="C137" s="252"/>
      <c r="D137" s="253" t="str">
        <f>IFERROR(__xludf.DUMMYFUNCTION("""COMPUTED_VALUE"""),"")</f>
        <v/>
      </c>
      <c r="E137" s="254">
        <f>IFERROR(__xludf.DUMMYFUNCTION("""COMPUTED_VALUE"""),0.0)</f>
        <v>0</v>
      </c>
      <c r="F137" s="255"/>
      <c r="G137" s="256"/>
      <c r="H137" s="252">
        <f>IFERROR(__xludf.DUMMYFUNCTION("""COMPUTED_VALUE"""),0.0)</f>
        <v>0</v>
      </c>
      <c r="I137" s="258"/>
      <c r="J137" s="258"/>
      <c r="K137" s="257">
        <f>IFERROR(__xludf.DUMMYFUNCTION("""COMPUTED_VALUE"""),0.0)</f>
        <v>0</v>
      </c>
      <c r="L137" s="258">
        <f>IFERROR(__xludf.DUMMYFUNCTION("""COMPUTED_VALUE"""),0.0)</f>
        <v>0</v>
      </c>
      <c r="M137" s="258">
        <f>IFERROR(__xludf.DUMMYFUNCTION("""COMPUTED_VALUE"""),0.0)</f>
        <v>0</v>
      </c>
      <c r="N137" s="258">
        <f>IFERROR(__xludf.DUMMYFUNCTION("""COMPUTED_VALUE"""),0.0)</f>
        <v>0</v>
      </c>
      <c r="O137" s="258">
        <f>IFERROR(__xludf.DUMMYFUNCTION("""COMPUTED_VALUE"""),0.0)</f>
        <v>0</v>
      </c>
      <c r="P137" s="258">
        <f>IFERROR(__xludf.DUMMYFUNCTION("""COMPUTED_VALUE"""),0.0)</f>
        <v>0</v>
      </c>
      <c r="Q137" s="258">
        <f>IFERROR(__xludf.DUMMYFUNCTION("""COMPUTED_VALUE"""),0.0)</f>
        <v>0</v>
      </c>
      <c r="R137" s="259"/>
      <c r="S137" s="260"/>
      <c r="T137" s="261"/>
      <c r="U137" s="262"/>
      <c r="V137" s="250"/>
      <c r="W137" s="250"/>
      <c r="X137" s="250"/>
      <c r="Y137" s="250"/>
      <c r="Z137" s="250"/>
      <c r="AA137" s="250"/>
      <c r="AB137" s="250"/>
      <c r="AC137" s="250"/>
      <c r="AD137" s="250"/>
      <c r="AE137" s="250"/>
      <c r="AF137" s="250"/>
      <c r="AG137" s="250"/>
      <c r="AH137" s="250"/>
      <c r="AI137" s="250"/>
      <c r="AJ137" s="250"/>
      <c r="AK137" s="250"/>
      <c r="AL137" s="250"/>
      <c r="AM137" s="250"/>
      <c r="AN137" s="250"/>
    </row>
    <row r="138" ht="15.75" customHeight="1">
      <c r="A138" s="250"/>
      <c r="B138" s="251">
        <f>IFERROR(__xludf.DUMMYFUNCTION("""COMPUTED_VALUE"""),130.0)</f>
        <v>130</v>
      </c>
      <c r="C138" s="252"/>
      <c r="D138" s="253" t="str">
        <f>IFERROR(__xludf.DUMMYFUNCTION("""COMPUTED_VALUE"""),"")</f>
        <v/>
      </c>
      <c r="E138" s="254">
        <f>IFERROR(__xludf.DUMMYFUNCTION("""COMPUTED_VALUE"""),0.0)</f>
        <v>0</v>
      </c>
      <c r="F138" s="255"/>
      <c r="G138" s="256"/>
      <c r="H138" s="252">
        <f>IFERROR(__xludf.DUMMYFUNCTION("""COMPUTED_VALUE"""),0.0)</f>
        <v>0</v>
      </c>
      <c r="I138" s="258"/>
      <c r="J138" s="258"/>
      <c r="K138" s="257">
        <f>IFERROR(__xludf.DUMMYFUNCTION("""COMPUTED_VALUE"""),0.0)</f>
        <v>0</v>
      </c>
      <c r="L138" s="258">
        <f>IFERROR(__xludf.DUMMYFUNCTION("""COMPUTED_VALUE"""),0.0)</f>
        <v>0</v>
      </c>
      <c r="M138" s="258">
        <f>IFERROR(__xludf.DUMMYFUNCTION("""COMPUTED_VALUE"""),0.0)</f>
        <v>0</v>
      </c>
      <c r="N138" s="258">
        <f>IFERROR(__xludf.DUMMYFUNCTION("""COMPUTED_VALUE"""),0.0)</f>
        <v>0</v>
      </c>
      <c r="O138" s="258">
        <f>IFERROR(__xludf.DUMMYFUNCTION("""COMPUTED_VALUE"""),0.0)</f>
        <v>0</v>
      </c>
      <c r="P138" s="258">
        <f>IFERROR(__xludf.DUMMYFUNCTION("""COMPUTED_VALUE"""),0.0)</f>
        <v>0</v>
      </c>
      <c r="Q138" s="258">
        <f>IFERROR(__xludf.DUMMYFUNCTION("""COMPUTED_VALUE"""),0.0)</f>
        <v>0</v>
      </c>
      <c r="R138" s="259"/>
      <c r="S138" s="260"/>
      <c r="T138" s="261"/>
      <c r="U138" s="262"/>
      <c r="V138" s="250"/>
      <c r="W138" s="250"/>
      <c r="X138" s="250"/>
      <c r="Y138" s="250"/>
      <c r="Z138" s="250"/>
      <c r="AA138" s="250"/>
      <c r="AB138" s="250"/>
      <c r="AC138" s="250"/>
      <c r="AD138" s="250"/>
      <c r="AE138" s="250"/>
      <c r="AF138" s="250"/>
      <c r="AG138" s="250"/>
      <c r="AH138" s="250"/>
      <c r="AI138" s="250"/>
      <c r="AJ138" s="250"/>
      <c r="AK138" s="250"/>
      <c r="AL138" s="250"/>
      <c r="AM138" s="250"/>
      <c r="AN138" s="250"/>
    </row>
    <row r="139" ht="15.75" customHeight="1">
      <c r="A139" s="250"/>
      <c r="B139" s="251">
        <f>IFERROR(__xludf.DUMMYFUNCTION("""COMPUTED_VALUE"""),131.0)</f>
        <v>131</v>
      </c>
      <c r="C139" s="252"/>
      <c r="D139" s="253" t="str">
        <f>IFERROR(__xludf.DUMMYFUNCTION("""COMPUTED_VALUE"""),"")</f>
        <v/>
      </c>
      <c r="E139" s="254">
        <f>IFERROR(__xludf.DUMMYFUNCTION("""COMPUTED_VALUE"""),0.0)</f>
        <v>0</v>
      </c>
      <c r="F139" s="255"/>
      <c r="G139" s="256"/>
      <c r="H139" s="252">
        <f>IFERROR(__xludf.DUMMYFUNCTION("""COMPUTED_VALUE"""),0.0)</f>
        <v>0</v>
      </c>
      <c r="I139" s="258"/>
      <c r="J139" s="258"/>
      <c r="K139" s="257">
        <f>IFERROR(__xludf.DUMMYFUNCTION("""COMPUTED_VALUE"""),0.0)</f>
        <v>0</v>
      </c>
      <c r="L139" s="258">
        <f>IFERROR(__xludf.DUMMYFUNCTION("""COMPUTED_VALUE"""),0.0)</f>
        <v>0</v>
      </c>
      <c r="M139" s="258">
        <f>IFERROR(__xludf.DUMMYFUNCTION("""COMPUTED_VALUE"""),0.0)</f>
        <v>0</v>
      </c>
      <c r="N139" s="258">
        <f>IFERROR(__xludf.DUMMYFUNCTION("""COMPUTED_VALUE"""),0.0)</f>
        <v>0</v>
      </c>
      <c r="O139" s="258">
        <f>IFERROR(__xludf.DUMMYFUNCTION("""COMPUTED_VALUE"""),0.0)</f>
        <v>0</v>
      </c>
      <c r="P139" s="258">
        <f>IFERROR(__xludf.DUMMYFUNCTION("""COMPUTED_VALUE"""),0.0)</f>
        <v>0</v>
      </c>
      <c r="Q139" s="258">
        <f>IFERROR(__xludf.DUMMYFUNCTION("""COMPUTED_VALUE"""),0.0)</f>
        <v>0</v>
      </c>
      <c r="R139" s="259"/>
      <c r="S139" s="260"/>
      <c r="T139" s="261"/>
      <c r="U139" s="262"/>
      <c r="V139" s="250"/>
      <c r="W139" s="250"/>
      <c r="X139" s="250"/>
      <c r="Y139" s="250"/>
      <c r="Z139" s="250"/>
      <c r="AA139" s="250"/>
      <c r="AB139" s="250"/>
      <c r="AC139" s="250"/>
      <c r="AD139" s="250"/>
      <c r="AE139" s="250"/>
      <c r="AF139" s="250"/>
      <c r="AG139" s="250"/>
      <c r="AH139" s="250"/>
      <c r="AI139" s="250"/>
      <c r="AJ139" s="250"/>
      <c r="AK139" s="250"/>
      <c r="AL139" s="250"/>
      <c r="AM139" s="250"/>
      <c r="AN139" s="250"/>
    </row>
    <row r="140" ht="15.75" customHeight="1">
      <c r="A140" s="250"/>
      <c r="B140" s="251">
        <f>IFERROR(__xludf.DUMMYFUNCTION("""COMPUTED_VALUE"""),132.0)</f>
        <v>132</v>
      </c>
      <c r="C140" s="252"/>
      <c r="D140" s="253" t="str">
        <f>IFERROR(__xludf.DUMMYFUNCTION("""COMPUTED_VALUE"""),"")</f>
        <v/>
      </c>
      <c r="E140" s="254">
        <f>IFERROR(__xludf.DUMMYFUNCTION("""COMPUTED_VALUE"""),0.0)</f>
        <v>0</v>
      </c>
      <c r="F140" s="255"/>
      <c r="G140" s="256"/>
      <c r="H140" s="252">
        <f>IFERROR(__xludf.DUMMYFUNCTION("""COMPUTED_VALUE"""),0.0)</f>
        <v>0</v>
      </c>
      <c r="I140" s="258"/>
      <c r="J140" s="258"/>
      <c r="K140" s="257">
        <f>IFERROR(__xludf.DUMMYFUNCTION("""COMPUTED_VALUE"""),0.0)</f>
        <v>0</v>
      </c>
      <c r="L140" s="258">
        <f>IFERROR(__xludf.DUMMYFUNCTION("""COMPUTED_VALUE"""),0.0)</f>
        <v>0</v>
      </c>
      <c r="M140" s="258">
        <f>IFERROR(__xludf.DUMMYFUNCTION("""COMPUTED_VALUE"""),0.0)</f>
        <v>0</v>
      </c>
      <c r="N140" s="258">
        <f>IFERROR(__xludf.DUMMYFUNCTION("""COMPUTED_VALUE"""),0.0)</f>
        <v>0</v>
      </c>
      <c r="O140" s="258">
        <f>IFERROR(__xludf.DUMMYFUNCTION("""COMPUTED_VALUE"""),0.0)</f>
        <v>0</v>
      </c>
      <c r="P140" s="258">
        <f>IFERROR(__xludf.DUMMYFUNCTION("""COMPUTED_VALUE"""),0.0)</f>
        <v>0</v>
      </c>
      <c r="Q140" s="258">
        <f>IFERROR(__xludf.DUMMYFUNCTION("""COMPUTED_VALUE"""),0.0)</f>
        <v>0</v>
      </c>
      <c r="R140" s="259"/>
      <c r="S140" s="260"/>
      <c r="T140" s="261"/>
      <c r="U140" s="262"/>
      <c r="V140" s="250"/>
      <c r="W140" s="250"/>
      <c r="X140" s="250"/>
      <c r="Y140" s="250"/>
      <c r="Z140" s="250"/>
      <c r="AA140" s="250"/>
      <c r="AB140" s="250"/>
      <c r="AC140" s="250"/>
      <c r="AD140" s="250"/>
      <c r="AE140" s="250"/>
      <c r="AF140" s="250"/>
      <c r="AG140" s="250"/>
      <c r="AH140" s="250"/>
      <c r="AI140" s="250"/>
      <c r="AJ140" s="250"/>
      <c r="AK140" s="250"/>
      <c r="AL140" s="250"/>
      <c r="AM140" s="250"/>
      <c r="AN140" s="250"/>
    </row>
    <row r="141" ht="15.75" customHeight="1">
      <c r="A141" s="250"/>
      <c r="B141" s="251">
        <f>IFERROR(__xludf.DUMMYFUNCTION("""COMPUTED_VALUE"""),133.0)</f>
        <v>133</v>
      </c>
      <c r="C141" s="252"/>
      <c r="D141" s="253" t="str">
        <f>IFERROR(__xludf.DUMMYFUNCTION("""COMPUTED_VALUE"""),"")</f>
        <v/>
      </c>
      <c r="E141" s="254">
        <f>IFERROR(__xludf.DUMMYFUNCTION("""COMPUTED_VALUE"""),0.0)</f>
        <v>0</v>
      </c>
      <c r="F141" s="255"/>
      <c r="G141" s="256"/>
      <c r="H141" s="252">
        <f>IFERROR(__xludf.DUMMYFUNCTION("""COMPUTED_VALUE"""),0.0)</f>
        <v>0</v>
      </c>
      <c r="I141" s="258"/>
      <c r="J141" s="258"/>
      <c r="K141" s="257">
        <f>IFERROR(__xludf.DUMMYFUNCTION("""COMPUTED_VALUE"""),0.0)</f>
        <v>0</v>
      </c>
      <c r="L141" s="258">
        <f>IFERROR(__xludf.DUMMYFUNCTION("""COMPUTED_VALUE"""),0.0)</f>
        <v>0</v>
      </c>
      <c r="M141" s="258">
        <f>IFERROR(__xludf.DUMMYFUNCTION("""COMPUTED_VALUE"""),0.0)</f>
        <v>0</v>
      </c>
      <c r="N141" s="258">
        <f>IFERROR(__xludf.DUMMYFUNCTION("""COMPUTED_VALUE"""),0.0)</f>
        <v>0</v>
      </c>
      <c r="O141" s="258">
        <f>IFERROR(__xludf.DUMMYFUNCTION("""COMPUTED_VALUE"""),0.0)</f>
        <v>0</v>
      </c>
      <c r="P141" s="258">
        <f>IFERROR(__xludf.DUMMYFUNCTION("""COMPUTED_VALUE"""),0.0)</f>
        <v>0</v>
      </c>
      <c r="Q141" s="258">
        <f>IFERROR(__xludf.DUMMYFUNCTION("""COMPUTED_VALUE"""),0.0)</f>
        <v>0</v>
      </c>
      <c r="R141" s="259"/>
      <c r="S141" s="260"/>
      <c r="T141" s="261"/>
      <c r="U141" s="262"/>
      <c r="V141" s="250"/>
      <c r="W141" s="250"/>
      <c r="X141" s="250"/>
      <c r="Y141" s="250"/>
      <c r="Z141" s="250"/>
      <c r="AA141" s="250"/>
      <c r="AB141" s="250"/>
      <c r="AC141" s="250"/>
      <c r="AD141" s="250"/>
      <c r="AE141" s="250"/>
      <c r="AF141" s="250"/>
      <c r="AG141" s="250"/>
      <c r="AH141" s="250"/>
      <c r="AI141" s="250"/>
      <c r="AJ141" s="250"/>
      <c r="AK141" s="250"/>
      <c r="AL141" s="250"/>
      <c r="AM141" s="250"/>
      <c r="AN141" s="250"/>
    </row>
    <row r="142" ht="15.75" customHeight="1">
      <c r="A142" s="250"/>
      <c r="B142" s="251">
        <f>IFERROR(__xludf.DUMMYFUNCTION("""COMPUTED_VALUE"""),134.0)</f>
        <v>134</v>
      </c>
      <c r="C142" s="252"/>
      <c r="D142" s="253" t="str">
        <f>IFERROR(__xludf.DUMMYFUNCTION("""COMPUTED_VALUE"""),"")</f>
        <v/>
      </c>
      <c r="E142" s="254">
        <f>IFERROR(__xludf.DUMMYFUNCTION("""COMPUTED_VALUE"""),0.0)</f>
        <v>0</v>
      </c>
      <c r="F142" s="255"/>
      <c r="G142" s="256"/>
      <c r="H142" s="252">
        <f>IFERROR(__xludf.DUMMYFUNCTION("""COMPUTED_VALUE"""),0.0)</f>
        <v>0</v>
      </c>
      <c r="I142" s="258"/>
      <c r="J142" s="258"/>
      <c r="K142" s="257">
        <f>IFERROR(__xludf.DUMMYFUNCTION("""COMPUTED_VALUE"""),0.0)</f>
        <v>0</v>
      </c>
      <c r="L142" s="258">
        <f>IFERROR(__xludf.DUMMYFUNCTION("""COMPUTED_VALUE"""),0.0)</f>
        <v>0</v>
      </c>
      <c r="M142" s="258">
        <f>IFERROR(__xludf.DUMMYFUNCTION("""COMPUTED_VALUE"""),0.0)</f>
        <v>0</v>
      </c>
      <c r="N142" s="258">
        <f>IFERROR(__xludf.DUMMYFUNCTION("""COMPUTED_VALUE"""),0.0)</f>
        <v>0</v>
      </c>
      <c r="O142" s="258">
        <f>IFERROR(__xludf.DUMMYFUNCTION("""COMPUTED_VALUE"""),0.0)</f>
        <v>0</v>
      </c>
      <c r="P142" s="258">
        <f>IFERROR(__xludf.DUMMYFUNCTION("""COMPUTED_VALUE"""),0.0)</f>
        <v>0</v>
      </c>
      <c r="Q142" s="258">
        <f>IFERROR(__xludf.DUMMYFUNCTION("""COMPUTED_VALUE"""),0.0)</f>
        <v>0</v>
      </c>
      <c r="R142" s="259"/>
      <c r="S142" s="260"/>
      <c r="T142" s="261"/>
      <c r="U142" s="262"/>
      <c r="V142" s="250"/>
      <c r="W142" s="250"/>
      <c r="X142" s="250"/>
      <c r="Y142" s="250"/>
      <c r="Z142" s="250"/>
      <c r="AA142" s="250"/>
      <c r="AB142" s="250"/>
      <c r="AC142" s="250"/>
      <c r="AD142" s="250"/>
      <c r="AE142" s="250"/>
      <c r="AF142" s="250"/>
      <c r="AG142" s="250"/>
      <c r="AH142" s="250"/>
      <c r="AI142" s="250"/>
      <c r="AJ142" s="250"/>
      <c r="AK142" s="250"/>
      <c r="AL142" s="250"/>
      <c r="AM142" s="250"/>
      <c r="AN142" s="250"/>
    </row>
    <row r="143" ht="15.75" customHeight="1">
      <c r="A143" s="250"/>
      <c r="B143" s="251">
        <f>IFERROR(__xludf.DUMMYFUNCTION("""COMPUTED_VALUE"""),135.0)</f>
        <v>135</v>
      </c>
      <c r="C143" s="252"/>
      <c r="D143" s="253" t="str">
        <f>IFERROR(__xludf.DUMMYFUNCTION("""COMPUTED_VALUE"""),"")</f>
        <v/>
      </c>
      <c r="E143" s="254">
        <f>IFERROR(__xludf.DUMMYFUNCTION("""COMPUTED_VALUE"""),0.0)</f>
        <v>0</v>
      </c>
      <c r="F143" s="255"/>
      <c r="G143" s="256"/>
      <c r="H143" s="252">
        <f>IFERROR(__xludf.DUMMYFUNCTION("""COMPUTED_VALUE"""),0.0)</f>
        <v>0</v>
      </c>
      <c r="I143" s="258"/>
      <c r="J143" s="258"/>
      <c r="K143" s="257">
        <f>IFERROR(__xludf.DUMMYFUNCTION("""COMPUTED_VALUE"""),0.0)</f>
        <v>0</v>
      </c>
      <c r="L143" s="258">
        <f>IFERROR(__xludf.DUMMYFUNCTION("""COMPUTED_VALUE"""),0.0)</f>
        <v>0</v>
      </c>
      <c r="M143" s="258">
        <f>IFERROR(__xludf.DUMMYFUNCTION("""COMPUTED_VALUE"""),0.0)</f>
        <v>0</v>
      </c>
      <c r="N143" s="258">
        <f>IFERROR(__xludf.DUMMYFUNCTION("""COMPUTED_VALUE"""),0.0)</f>
        <v>0</v>
      </c>
      <c r="O143" s="258">
        <f>IFERROR(__xludf.DUMMYFUNCTION("""COMPUTED_VALUE"""),0.0)</f>
        <v>0</v>
      </c>
      <c r="P143" s="258">
        <f>IFERROR(__xludf.DUMMYFUNCTION("""COMPUTED_VALUE"""),0.0)</f>
        <v>0</v>
      </c>
      <c r="Q143" s="258">
        <f>IFERROR(__xludf.DUMMYFUNCTION("""COMPUTED_VALUE"""),0.0)</f>
        <v>0</v>
      </c>
      <c r="R143" s="259"/>
      <c r="S143" s="260"/>
      <c r="T143" s="261"/>
      <c r="U143" s="262"/>
      <c r="V143" s="250"/>
      <c r="W143" s="250"/>
      <c r="X143" s="250"/>
      <c r="Y143" s="250"/>
      <c r="Z143" s="250"/>
      <c r="AA143" s="250"/>
      <c r="AB143" s="250"/>
      <c r="AC143" s="250"/>
      <c r="AD143" s="250"/>
      <c r="AE143" s="250"/>
      <c r="AF143" s="250"/>
      <c r="AG143" s="250"/>
      <c r="AH143" s="250"/>
      <c r="AI143" s="250"/>
      <c r="AJ143" s="250"/>
      <c r="AK143" s="250"/>
      <c r="AL143" s="250"/>
      <c r="AM143" s="250"/>
      <c r="AN143" s="250"/>
    </row>
    <row r="144" ht="15.75" customHeight="1">
      <c r="A144" s="250"/>
      <c r="B144" s="251">
        <f>IFERROR(__xludf.DUMMYFUNCTION("""COMPUTED_VALUE"""),136.0)</f>
        <v>136</v>
      </c>
      <c r="C144" s="252"/>
      <c r="D144" s="253" t="str">
        <f>IFERROR(__xludf.DUMMYFUNCTION("""COMPUTED_VALUE"""),"")</f>
        <v/>
      </c>
      <c r="E144" s="254">
        <f>IFERROR(__xludf.DUMMYFUNCTION("""COMPUTED_VALUE"""),0.0)</f>
        <v>0</v>
      </c>
      <c r="F144" s="255"/>
      <c r="G144" s="256"/>
      <c r="H144" s="252">
        <f>IFERROR(__xludf.DUMMYFUNCTION("""COMPUTED_VALUE"""),0.0)</f>
        <v>0</v>
      </c>
      <c r="I144" s="258"/>
      <c r="J144" s="258"/>
      <c r="K144" s="257">
        <f>IFERROR(__xludf.DUMMYFUNCTION("""COMPUTED_VALUE"""),0.0)</f>
        <v>0</v>
      </c>
      <c r="L144" s="258">
        <f>IFERROR(__xludf.DUMMYFUNCTION("""COMPUTED_VALUE"""),0.0)</f>
        <v>0</v>
      </c>
      <c r="M144" s="258">
        <f>IFERROR(__xludf.DUMMYFUNCTION("""COMPUTED_VALUE"""),0.0)</f>
        <v>0</v>
      </c>
      <c r="N144" s="258">
        <f>IFERROR(__xludf.DUMMYFUNCTION("""COMPUTED_VALUE"""),0.0)</f>
        <v>0</v>
      </c>
      <c r="O144" s="258">
        <f>IFERROR(__xludf.DUMMYFUNCTION("""COMPUTED_VALUE"""),0.0)</f>
        <v>0</v>
      </c>
      <c r="P144" s="258">
        <f>IFERROR(__xludf.DUMMYFUNCTION("""COMPUTED_VALUE"""),0.0)</f>
        <v>0</v>
      </c>
      <c r="Q144" s="258">
        <f>IFERROR(__xludf.DUMMYFUNCTION("""COMPUTED_VALUE"""),0.0)</f>
        <v>0</v>
      </c>
      <c r="R144" s="259"/>
      <c r="S144" s="260"/>
      <c r="T144" s="261"/>
      <c r="U144" s="262"/>
      <c r="V144" s="250"/>
      <c r="W144" s="250"/>
      <c r="X144" s="250"/>
      <c r="Y144" s="250"/>
      <c r="Z144" s="250"/>
      <c r="AA144" s="250"/>
      <c r="AB144" s="250"/>
      <c r="AC144" s="250"/>
      <c r="AD144" s="250"/>
      <c r="AE144" s="250"/>
      <c r="AF144" s="250"/>
      <c r="AG144" s="250"/>
      <c r="AH144" s="250"/>
      <c r="AI144" s="250"/>
      <c r="AJ144" s="250"/>
      <c r="AK144" s="250"/>
      <c r="AL144" s="250"/>
      <c r="AM144" s="250"/>
      <c r="AN144" s="250"/>
    </row>
    <row r="145" ht="15.75" customHeight="1">
      <c r="A145" s="250"/>
      <c r="B145" s="251">
        <f>IFERROR(__xludf.DUMMYFUNCTION("""COMPUTED_VALUE"""),137.0)</f>
        <v>137</v>
      </c>
      <c r="C145" s="252"/>
      <c r="D145" s="253" t="str">
        <f>IFERROR(__xludf.DUMMYFUNCTION("""COMPUTED_VALUE"""),"")</f>
        <v/>
      </c>
      <c r="E145" s="254">
        <f>IFERROR(__xludf.DUMMYFUNCTION("""COMPUTED_VALUE"""),0.0)</f>
        <v>0</v>
      </c>
      <c r="F145" s="255"/>
      <c r="G145" s="256"/>
      <c r="H145" s="252">
        <f>IFERROR(__xludf.DUMMYFUNCTION("""COMPUTED_VALUE"""),0.0)</f>
        <v>0</v>
      </c>
      <c r="I145" s="258"/>
      <c r="J145" s="258"/>
      <c r="K145" s="257">
        <f>IFERROR(__xludf.DUMMYFUNCTION("""COMPUTED_VALUE"""),0.0)</f>
        <v>0</v>
      </c>
      <c r="L145" s="258">
        <f>IFERROR(__xludf.DUMMYFUNCTION("""COMPUTED_VALUE"""),0.0)</f>
        <v>0</v>
      </c>
      <c r="M145" s="258">
        <f>IFERROR(__xludf.DUMMYFUNCTION("""COMPUTED_VALUE"""),0.0)</f>
        <v>0</v>
      </c>
      <c r="N145" s="258">
        <f>IFERROR(__xludf.DUMMYFUNCTION("""COMPUTED_VALUE"""),0.0)</f>
        <v>0</v>
      </c>
      <c r="O145" s="258">
        <f>IFERROR(__xludf.DUMMYFUNCTION("""COMPUTED_VALUE"""),0.0)</f>
        <v>0</v>
      </c>
      <c r="P145" s="258">
        <f>IFERROR(__xludf.DUMMYFUNCTION("""COMPUTED_VALUE"""),0.0)</f>
        <v>0</v>
      </c>
      <c r="Q145" s="258">
        <f>IFERROR(__xludf.DUMMYFUNCTION("""COMPUTED_VALUE"""),0.0)</f>
        <v>0</v>
      </c>
      <c r="R145" s="259"/>
      <c r="S145" s="260"/>
      <c r="T145" s="261"/>
      <c r="U145" s="262"/>
      <c r="V145" s="250"/>
      <c r="W145" s="250"/>
      <c r="X145" s="250"/>
      <c r="Y145" s="250"/>
      <c r="Z145" s="250"/>
      <c r="AA145" s="250"/>
      <c r="AB145" s="250"/>
      <c r="AC145" s="250"/>
      <c r="AD145" s="250"/>
      <c r="AE145" s="250"/>
      <c r="AF145" s="250"/>
      <c r="AG145" s="250"/>
      <c r="AH145" s="250"/>
      <c r="AI145" s="250"/>
      <c r="AJ145" s="250"/>
      <c r="AK145" s="250"/>
      <c r="AL145" s="250"/>
      <c r="AM145" s="250"/>
      <c r="AN145" s="250"/>
    </row>
    <row r="146" ht="15.75" customHeight="1">
      <c r="A146" s="250"/>
      <c r="B146" s="251">
        <f>IFERROR(__xludf.DUMMYFUNCTION("""COMPUTED_VALUE"""),138.0)</f>
        <v>138</v>
      </c>
      <c r="C146" s="252"/>
      <c r="D146" s="253" t="str">
        <f>IFERROR(__xludf.DUMMYFUNCTION("""COMPUTED_VALUE"""),"")</f>
        <v/>
      </c>
      <c r="E146" s="254">
        <f>IFERROR(__xludf.DUMMYFUNCTION("""COMPUTED_VALUE"""),0.0)</f>
        <v>0</v>
      </c>
      <c r="F146" s="255"/>
      <c r="G146" s="256"/>
      <c r="H146" s="252">
        <f>IFERROR(__xludf.DUMMYFUNCTION("""COMPUTED_VALUE"""),0.0)</f>
        <v>0</v>
      </c>
      <c r="I146" s="258"/>
      <c r="J146" s="258"/>
      <c r="K146" s="257">
        <f>IFERROR(__xludf.DUMMYFUNCTION("""COMPUTED_VALUE"""),0.0)</f>
        <v>0</v>
      </c>
      <c r="L146" s="258">
        <f>IFERROR(__xludf.DUMMYFUNCTION("""COMPUTED_VALUE"""),0.0)</f>
        <v>0</v>
      </c>
      <c r="M146" s="258">
        <f>IFERROR(__xludf.DUMMYFUNCTION("""COMPUTED_VALUE"""),0.0)</f>
        <v>0</v>
      </c>
      <c r="N146" s="258">
        <f>IFERROR(__xludf.DUMMYFUNCTION("""COMPUTED_VALUE"""),0.0)</f>
        <v>0</v>
      </c>
      <c r="O146" s="258">
        <f>IFERROR(__xludf.DUMMYFUNCTION("""COMPUTED_VALUE"""),0.0)</f>
        <v>0</v>
      </c>
      <c r="P146" s="258">
        <f>IFERROR(__xludf.DUMMYFUNCTION("""COMPUTED_VALUE"""),0.0)</f>
        <v>0</v>
      </c>
      <c r="Q146" s="258">
        <f>IFERROR(__xludf.DUMMYFUNCTION("""COMPUTED_VALUE"""),0.0)</f>
        <v>0</v>
      </c>
      <c r="R146" s="259"/>
      <c r="S146" s="260"/>
      <c r="T146" s="261"/>
      <c r="U146" s="262"/>
      <c r="V146" s="250"/>
      <c r="W146" s="250"/>
      <c r="X146" s="250"/>
      <c r="Y146" s="250"/>
      <c r="Z146" s="250"/>
      <c r="AA146" s="250"/>
      <c r="AB146" s="250"/>
      <c r="AC146" s="250"/>
      <c r="AD146" s="250"/>
      <c r="AE146" s="250"/>
      <c r="AF146" s="250"/>
      <c r="AG146" s="250"/>
      <c r="AH146" s="250"/>
      <c r="AI146" s="250"/>
      <c r="AJ146" s="250"/>
      <c r="AK146" s="250"/>
      <c r="AL146" s="250"/>
      <c r="AM146" s="250"/>
      <c r="AN146" s="250"/>
    </row>
    <row r="147" ht="15.75" customHeight="1">
      <c r="A147" s="250"/>
      <c r="B147" s="251">
        <f>IFERROR(__xludf.DUMMYFUNCTION("""COMPUTED_VALUE"""),139.0)</f>
        <v>139</v>
      </c>
      <c r="C147" s="252"/>
      <c r="D147" s="253" t="str">
        <f>IFERROR(__xludf.DUMMYFUNCTION("""COMPUTED_VALUE"""),"")</f>
        <v/>
      </c>
      <c r="E147" s="254">
        <f>IFERROR(__xludf.DUMMYFUNCTION("""COMPUTED_VALUE"""),0.0)</f>
        <v>0</v>
      </c>
      <c r="F147" s="255"/>
      <c r="G147" s="256"/>
      <c r="H147" s="252">
        <f>IFERROR(__xludf.DUMMYFUNCTION("""COMPUTED_VALUE"""),0.0)</f>
        <v>0</v>
      </c>
      <c r="I147" s="258"/>
      <c r="J147" s="258"/>
      <c r="K147" s="257">
        <f>IFERROR(__xludf.DUMMYFUNCTION("""COMPUTED_VALUE"""),0.0)</f>
        <v>0</v>
      </c>
      <c r="L147" s="258">
        <f>IFERROR(__xludf.DUMMYFUNCTION("""COMPUTED_VALUE"""),0.0)</f>
        <v>0</v>
      </c>
      <c r="M147" s="258">
        <f>IFERROR(__xludf.DUMMYFUNCTION("""COMPUTED_VALUE"""),0.0)</f>
        <v>0</v>
      </c>
      <c r="N147" s="258">
        <f>IFERROR(__xludf.DUMMYFUNCTION("""COMPUTED_VALUE"""),0.0)</f>
        <v>0</v>
      </c>
      <c r="O147" s="258">
        <f>IFERROR(__xludf.DUMMYFUNCTION("""COMPUTED_VALUE"""),0.0)</f>
        <v>0</v>
      </c>
      <c r="P147" s="258">
        <f>IFERROR(__xludf.DUMMYFUNCTION("""COMPUTED_VALUE"""),0.0)</f>
        <v>0</v>
      </c>
      <c r="Q147" s="258">
        <f>IFERROR(__xludf.DUMMYFUNCTION("""COMPUTED_VALUE"""),0.0)</f>
        <v>0</v>
      </c>
      <c r="R147" s="259"/>
      <c r="S147" s="260"/>
      <c r="T147" s="261"/>
      <c r="U147" s="262"/>
      <c r="V147" s="250"/>
      <c r="W147" s="250"/>
      <c r="X147" s="250"/>
      <c r="Y147" s="250"/>
      <c r="Z147" s="250"/>
      <c r="AA147" s="250"/>
      <c r="AB147" s="250"/>
      <c r="AC147" s="250"/>
      <c r="AD147" s="250"/>
      <c r="AE147" s="250"/>
      <c r="AF147" s="250"/>
      <c r="AG147" s="250"/>
      <c r="AH147" s="250"/>
      <c r="AI147" s="250"/>
      <c r="AJ147" s="250"/>
      <c r="AK147" s="250"/>
      <c r="AL147" s="250"/>
      <c r="AM147" s="250"/>
      <c r="AN147" s="250"/>
    </row>
    <row r="148" ht="15.75" customHeight="1">
      <c r="A148" s="250"/>
      <c r="B148" s="251">
        <f>IFERROR(__xludf.DUMMYFUNCTION("""COMPUTED_VALUE"""),140.0)</f>
        <v>140</v>
      </c>
      <c r="C148" s="252"/>
      <c r="D148" s="253" t="str">
        <f>IFERROR(__xludf.DUMMYFUNCTION("""COMPUTED_VALUE"""),"")</f>
        <v/>
      </c>
      <c r="E148" s="254">
        <f>IFERROR(__xludf.DUMMYFUNCTION("""COMPUTED_VALUE"""),0.0)</f>
        <v>0</v>
      </c>
      <c r="F148" s="255"/>
      <c r="G148" s="256"/>
      <c r="H148" s="252">
        <f>IFERROR(__xludf.DUMMYFUNCTION("""COMPUTED_VALUE"""),0.0)</f>
        <v>0</v>
      </c>
      <c r="I148" s="258"/>
      <c r="J148" s="258"/>
      <c r="K148" s="257">
        <f>IFERROR(__xludf.DUMMYFUNCTION("""COMPUTED_VALUE"""),0.0)</f>
        <v>0</v>
      </c>
      <c r="L148" s="258">
        <f>IFERROR(__xludf.DUMMYFUNCTION("""COMPUTED_VALUE"""),0.0)</f>
        <v>0</v>
      </c>
      <c r="M148" s="258">
        <f>IFERROR(__xludf.DUMMYFUNCTION("""COMPUTED_VALUE"""),0.0)</f>
        <v>0</v>
      </c>
      <c r="N148" s="258">
        <f>IFERROR(__xludf.DUMMYFUNCTION("""COMPUTED_VALUE"""),0.0)</f>
        <v>0</v>
      </c>
      <c r="O148" s="258">
        <f>IFERROR(__xludf.DUMMYFUNCTION("""COMPUTED_VALUE"""),0.0)</f>
        <v>0</v>
      </c>
      <c r="P148" s="258">
        <f>IFERROR(__xludf.DUMMYFUNCTION("""COMPUTED_VALUE"""),0.0)</f>
        <v>0</v>
      </c>
      <c r="Q148" s="258">
        <f>IFERROR(__xludf.DUMMYFUNCTION("""COMPUTED_VALUE"""),0.0)</f>
        <v>0</v>
      </c>
      <c r="R148" s="259"/>
      <c r="S148" s="260"/>
      <c r="T148" s="261"/>
      <c r="U148" s="262"/>
      <c r="V148" s="250"/>
      <c r="W148" s="250"/>
      <c r="X148" s="250"/>
      <c r="Y148" s="250"/>
      <c r="Z148" s="250"/>
      <c r="AA148" s="250"/>
      <c r="AB148" s="250"/>
      <c r="AC148" s="250"/>
      <c r="AD148" s="250"/>
      <c r="AE148" s="250"/>
      <c r="AF148" s="250"/>
      <c r="AG148" s="250"/>
      <c r="AH148" s="250"/>
      <c r="AI148" s="250"/>
      <c r="AJ148" s="250"/>
      <c r="AK148" s="250"/>
      <c r="AL148" s="250"/>
      <c r="AM148" s="250"/>
      <c r="AN148" s="250"/>
    </row>
    <row r="149" ht="15.75" customHeight="1">
      <c r="A149" s="250"/>
      <c r="B149" s="251">
        <f>IFERROR(__xludf.DUMMYFUNCTION("""COMPUTED_VALUE"""),141.0)</f>
        <v>141</v>
      </c>
      <c r="C149" s="252"/>
      <c r="D149" s="253" t="str">
        <f>IFERROR(__xludf.DUMMYFUNCTION("""COMPUTED_VALUE"""),"")</f>
        <v/>
      </c>
      <c r="E149" s="254">
        <f>IFERROR(__xludf.DUMMYFUNCTION("""COMPUTED_VALUE"""),0.0)</f>
        <v>0</v>
      </c>
      <c r="F149" s="255"/>
      <c r="G149" s="256"/>
      <c r="H149" s="252">
        <f>IFERROR(__xludf.DUMMYFUNCTION("""COMPUTED_VALUE"""),0.0)</f>
        <v>0</v>
      </c>
      <c r="I149" s="258"/>
      <c r="J149" s="258"/>
      <c r="K149" s="257">
        <f>IFERROR(__xludf.DUMMYFUNCTION("""COMPUTED_VALUE"""),0.0)</f>
        <v>0</v>
      </c>
      <c r="L149" s="258">
        <f>IFERROR(__xludf.DUMMYFUNCTION("""COMPUTED_VALUE"""),0.0)</f>
        <v>0</v>
      </c>
      <c r="M149" s="258">
        <f>IFERROR(__xludf.DUMMYFUNCTION("""COMPUTED_VALUE"""),0.0)</f>
        <v>0</v>
      </c>
      <c r="N149" s="258">
        <f>IFERROR(__xludf.DUMMYFUNCTION("""COMPUTED_VALUE"""),0.0)</f>
        <v>0</v>
      </c>
      <c r="O149" s="258">
        <f>IFERROR(__xludf.DUMMYFUNCTION("""COMPUTED_VALUE"""),0.0)</f>
        <v>0</v>
      </c>
      <c r="P149" s="258">
        <f>IFERROR(__xludf.DUMMYFUNCTION("""COMPUTED_VALUE"""),0.0)</f>
        <v>0</v>
      </c>
      <c r="Q149" s="258">
        <f>IFERROR(__xludf.DUMMYFUNCTION("""COMPUTED_VALUE"""),0.0)</f>
        <v>0</v>
      </c>
      <c r="R149" s="259"/>
      <c r="S149" s="260"/>
      <c r="T149" s="261"/>
      <c r="U149" s="262"/>
      <c r="V149" s="250"/>
      <c r="W149" s="250"/>
      <c r="X149" s="250"/>
      <c r="Y149" s="250"/>
      <c r="Z149" s="250"/>
      <c r="AA149" s="250"/>
      <c r="AB149" s="250"/>
      <c r="AC149" s="250"/>
      <c r="AD149" s="250"/>
      <c r="AE149" s="250"/>
      <c r="AF149" s="250"/>
      <c r="AG149" s="250"/>
      <c r="AH149" s="250"/>
      <c r="AI149" s="250"/>
      <c r="AJ149" s="250"/>
      <c r="AK149" s="250"/>
      <c r="AL149" s="250"/>
      <c r="AM149" s="250"/>
      <c r="AN149" s="250"/>
    </row>
    <row r="150" ht="15.75" customHeight="1">
      <c r="A150" s="250"/>
      <c r="B150" s="251">
        <f>IFERROR(__xludf.DUMMYFUNCTION("""COMPUTED_VALUE"""),142.0)</f>
        <v>142</v>
      </c>
      <c r="C150" s="252"/>
      <c r="D150" s="253" t="str">
        <f>IFERROR(__xludf.DUMMYFUNCTION("""COMPUTED_VALUE"""),"")</f>
        <v/>
      </c>
      <c r="E150" s="254">
        <f>IFERROR(__xludf.DUMMYFUNCTION("""COMPUTED_VALUE"""),0.0)</f>
        <v>0</v>
      </c>
      <c r="F150" s="255"/>
      <c r="G150" s="256"/>
      <c r="H150" s="252">
        <f>IFERROR(__xludf.DUMMYFUNCTION("""COMPUTED_VALUE"""),0.0)</f>
        <v>0</v>
      </c>
      <c r="I150" s="258"/>
      <c r="J150" s="258"/>
      <c r="K150" s="257">
        <f>IFERROR(__xludf.DUMMYFUNCTION("""COMPUTED_VALUE"""),0.0)</f>
        <v>0</v>
      </c>
      <c r="L150" s="258">
        <f>IFERROR(__xludf.DUMMYFUNCTION("""COMPUTED_VALUE"""),0.0)</f>
        <v>0</v>
      </c>
      <c r="M150" s="258">
        <f>IFERROR(__xludf.DUMMYFUNCTION("""COMPUTED_VALUE"""),0.0)</f>
        <v>0</v>
      </c>
      <c r="N150" s="258">
        <f>IFERROR(__xludf.DUMMYFUNCTION("""COMPUTED_VALUE"""),0.0)</f>
        <v>0</v>
      </c>
      <c r="O150" s="258">
        <f>IFERROR(__xludf.DUMMYFUNCTION("""COMPUTED_VALUE"""),0.0)</f>
        <v>0</v>
      </c>
      <c r="P150" s="258">
        <f>IFERROR(__xludf.DUMMYFUNCTION("""COMPUTED_VALUE"""),0.0)</f>
        <v>0</v>
      </c>
      <c r="Q150" s="258">
        <f>IFERROR(__xludf.DUMMYFUNCTION("""COMPUTED_VALUE"""),0.0)</f>
        <v>0</v>
      </c>
      <c r="R150" s="259"/>
      <c r="S150" s="260"/>
      <c r="T150" s="261"/>
      <c r="U150" s="262"/>
      <c r="V150" s="250"/>
      <c r="W150" s="250"/>
      <c r="X150" s="250"/>
      <c r="Y150" s="250"/>
      <c r="Z150" s="250"/>
      <c r="AA150" s="250"/>
      <c r="AB150" s="250"/>
      <c r="AC150" s="250"/>
      <c r="AD150" s="250"/>
      <c r="AE150" s="250"/>
      <c r="AF150" s="250"/>
      <c r="AG150" s="250"/>
      <c r="AH150" s="250"/>
      <c r="AI150" s="250"/>
      <c r="AJ150" s="250"/>
      <c r="AK150" s="250"/>
      <c r="AL150" s="250"/>
      <c r="AM150" s="250"/>
      <c r="AN150" s="250"/>
    </row>
    <row r="151" ht="15.75" customHeight="1">
      <c r="A151" s="250"/>
      <c r="B151" s="251">
        <f>IFERROR(__xludf.DUMMYFUNCTION("""COMPUTED_VALUE"""),143.0)</f>
        <v>143</v>
      </c>
      <c r="C151" s="252"/>
      <c r="D151" s="253" t="str">
        <f>IFERROR(__xludf.DUMMYFUNCTION("""COMPUTED_VALUE"""),"")</f>
        <v/>
      </c>
      <c r="E151" s="254">
        <f>IFERROR(__xludf.DUMMYFUNCTION("""COMPUTED_VALUE"""),0.0)</f>
        <v>0</v>
      </c>
      <c r="F151" s="255"/>
      <c r="G151" s="256"/>
      <c r="H151" s="252">
        <f>IFERROR(__xludf.DUMMYFUNCTION("""COMPUTED_VALUE"""),0.0)</f>
        <v>0</v>
      </c>
      <c r="I151" s="258"/>
      <c r="J151" s="258"/>
      <c r="K151" s="257">
        <f>IFERROR(__xludf.DUMMYFUNCTION("""COMPUTED_VALUE"""),0.0)</f>
        <v>0</v>
      </c>
      <c r="L151" s="258">
        <f>IFERROR(__xludf.DUMMYFUNCTION("""COMPUTED_VALUE"""),0.0)</f>
        <v>0</v>
      </c>
      <c r="M151" s="258">
        <f>IFERROR(__xludf.DUMMYFUNCTION("""COMPUTED_VALUE"""),0.0)</f>
        <v>0</v>
      </c>
      <c r="N151" s="258">
        <f>IFERROR(__xludf.DUMMYFUNCTION("""COMPUTED_VALUE"""),0.0)</f>
        <v>0</v>
      </c>
      <c r="O151" s="258">
        <f>IFERROR(__xludf.DUMMYFUNCTION("""COMPUTED_VALUE"""),0.0)</f>
        <v>0</v>
      </c>
      <c r="P151" s="258">
        <f>IFERROR(__xludf.DUMMYFUNCTION("""COMPUTED_VALUE"""),0.0)</f>
        <v>0</v>
      </c>
      <c r="Q151" s="258">
        <f>IFERROR(__xludf.DUMMYFUNCTION("""COMPUTED_VALUE"""),0.0)</f>
        <v>0</v>
      </c>
      <c r="R151" s="259"/>
      <c r="S151" s="260"/>
      <c r="T151" s="261"/>
      <c r="U151" s="262"/>
      <c r="V151" s="250"/>
      <c r="W151" s="250"/>
      <c r="X151" s="250"/>
      <c r="Y151" s="250"/>
      <c r="Z151" s="250"/>
      <c r="AA151" s="250"/>
      <c r="AB151" s="250"/>
      <c r="AC151" s="250"/>
      <c r="AD151" s="250"/>
      <c r="AE151" s="250"/>
      <c r="AF151" s="250"/>
      <c r="AG151" s="250"/>
      <c r="AH151" s="250"/>
      <c r="AI151" s="250"/>
      <c r="AJ151" s="250"/>
      <c r="AK151" s="250"/>
      <c r="AL151" s="250"/>
      <c r="AM151" s="250"/>
      <c r="AN151" s="250"/>
    </row>
    <row r="152" ht="15.75" customHeight="1">
      <c r="A152" s="250"/>
      <c r="B152" s="251">
        <f>IFERROR(__xludf.DUMMYFUNCTION("""COMPUTED_VALUE"""),144.0)</f>
        <v>144</v>
      </c>
      <c r="C152" s="252"/>
      <c r="D152" s="253" t="str">
        <f>IFERROR(__xludf.DUMMYFUNCTION("""COMPUTED_VALUE"""),"")</f>
        <v/>
      </c>
      <c r="E152" s="254">
        <f>IFERROR(__xludf.DUMMYFUNCTION("""COMPUTED_VALUE"""),0.0)</f>
        <v>0</v>
      </c>
      <c r="F152" s="255"/>
      <c r="G152" s="256"/>
      <c r="H152" s="252">
        <f>IFERROR(__xludf.DUMMYFUNCTION("""COMPUTED_VALUE"""),0.0)</f>
        <v>0</v>
      </c>
      <c r="I152" s="258"/>
      <c r="J152" s="258"/>
      <c r="K152" s="257">
        <f>IFERROR(__xludf.DUMMYFUNCTION("""COMPUTED_VALUE"""),0.0)</f>
        <v>0</v>
      </c>
      <c r="L152" s="258">
        <f>IFERROR(__xludf.DUMMYFUNCTION("""COMPUTED_VALUE"""),0.0)</f>
        <v>0</v>
      </c>
      <c r="M152" s="258">
        <f>IFERROR(__xludf.DUMMYFUNCTION("""COMPUTED_VALUE"""),0.0)</f>
        <v>0</v>
      </c>
      <c r="N152" s="258">
        <f>IFERROR(__xludf.DUMMYFUNCTION("""COMPUTED_VALUE"""),0.0)</f>
        <v>0</v>
      </c>
      <c r="O152" s="258">
        <f>IFERROR(__xludf.DUMMYFUNCTION("""COMPUTED_VALUE"""),0.0)</f>
        <v>0</v>
      </c>
      <c r="P152" s="258">
        <f>IFERROR(__xludf.DUMMYFUNCTION("""COMPUTED_VALUE"""),0.0)</f>
        <v>0</v>
      </c>
      <c r="Q152" s="258">
        <f>IFERROR(__xludf.DUMMYFUNCTION("""COMPUTED_VALUE"""),0.0)</f>
        <v>0</v>
      </c>
      <c r="R152" s="259"/>
      <c r="S152" s="260"/>
      <c r="T152" s="261"/>
      <c r="U152" s="262"/>
      <c r="V152" s="250"/>
      <c r="W152" s="250"/>
      <c r="X152" s="250"/>
      <c r="Y152" s="250"/>
      <c r="Z152" s="250"/>
      <c r="AA152" s="250"/>
      <c r="AB152" s="250"/>
      <c r="AC152" s="250"/>
      <c r="AD152" s="250"/>
      <c r="AE152" s="250"/>
      <c r="AF152" s="250"/>
      <c r="AG152" s="250"/>
      <c r="AH152" s="250"/>
      <c r="AI152" s="250"/>
      <c r="AJ152" s="250"/>
      <c r="AK152" s="250"/>
      <c r="AL152" s="250"/>
      <c r="AM152" s="250"/>
      <c r="AN152" s="250"/>
    </row>
    <row r="153" ht="15.75" customHeight="1">
      <c r="A153" s="250"/>
      <c r="B153" s="251">
        <f>IFERROR(__xludf.DUMMYFUNCTION("""COMPUTED_VALUE"""),145.0)</f>
        <v>145</v>
      </c>
      <c r="C153" s="252"/>
      <c r="D153" s="253" t="str">
        <f>IFERROR(__xludf.DUMMYFUNCTION("""COMPUTED_VALUE"""),"")</f>
        <v/>
      </c>
      <c r="E153" s="254">
        <f>IFERROR(__xludf.DUMMYFUNCTION("""COMPUTED_VALUE"""),0.0)</f>
        <v>0</v>
      </c>
      <c r="F153" s="255"/>
      <c r="G153" s="256"/>
      <c r="H153" s="252">
        <f>IFERROR(__xludf.DUMMYFUNCTION("""COMPUTED_VALUE"""),0.0)</f>
        <v>0</v>
      </c>
      <c r="I153" s="258"/>
      <c r="J153" s="258"/>
      <c r="K153" s="257">
        <f>IFERROR(__xludf.DUMMYFUNCTION("""COMPUTED_VALUE"""),0.0)</f>
        <v>0</v>
      </c>
      <c r="L153" s="258">
        <f>IFERROR(__xludf.DUMMYFUNCTION("""COMPUTED_VALUE"""),0.0)</f>
        <v>0</v>
      </c>
      <c r="M153" s="258">
        <f>IFERROR(__xludf.DUMMYFUNCTION("""COMPUTED_VALUE"""),0.0)</f>
        <v>0</v>
      </c>
      <c r="N153" s="258">
        <f>IFERROR(__xludf.DUMMYFUNCTION("""COMPUTED_VALUE"""),0.0)</f>
        <v>0</v>
      </c>
      <c r="O153" s="258">
        <f>IFERROR(__xludf.DUMMYFUNCTION("""COMPUTED_VALUE"""),0.0)</f>
        <v>0</v>
      </c>
      <c r="P153" s="258">
        <f>IFERROR(__xludf.DUMMYFUNCTION("""COMPUTED_VALUE"""),0.0)</f>
        <v>0</v>
      </c>
      <c r="Q153" s="258">
        <f>IFERROR(__xludf.DUMMYFUNCTION("""COMPUTED_VALUE"""),0.0)</f>
        <v>0</v>
      </c>
      <c r="R153" s="259"/>
      <c r="S153" s="260"/>
      <c r="T153" s="261"/>
      <c r="U153" s="262"/>
      <c r="V153" s="250"/>
      <c r="W153" s="250"/>
      <c r="X153" s="250"/>
      <c r="Y153" s="250"/>
      <c r="Z153" s="250"/>
      <c r="AA153" s="250"/>
      <c r="AB153" s="250"/>
      <c r="AC153" s="250"/>
      <c r="AD153" s="250"/>
      <c r="AE153" s="250"/>
      <c r="AF153" s="250"/>
      <c r="AG153" s="250"/>
      <c r="AH153" s="250"/>
      <c r="AI153" s="250"/>
      <c r="AJ153" s="250"/>
      <c r="AK153" s="250"/>
      <c r="AL153" s="250"/>
      <c r="AM153" s="250"/>
      <c r="AN153" s="250"/>
    </row>
    <row r="154" ht="15.75" customHeight="1">
      <c r="A154" s="250"/>
      <c r="B154" s="251">
        <f>IFERROR(__xludf.DUMMYFUNCTION("""COMPUTED_VALUE"""),146.0)</f>
        <v>146</v>
      </c>
      <c r="C154" s="252"/>
      <c r="D154" s="253" t="str">
        <f>IFERROR(__xludf.DUMMYFUNCTION("""COMPUTED_VALUE"""),"")</f>
        <v/>
      </c>
      <c r="E154" s="254">
        <f>IFERROR(__xludf.DUMMYFUNCTION("""COMPUTED_VALUE"""),0.0)</f>
        <v>0</v>
      </c>
      <c r="F154" s="255"/>
      <c r="G154" s="256"/>
      <c r="H154" s="252">
        <f>IFERROR(__xludf.DUMMYFUNCTION("""COMPUTED_VALUE"""),0.0)</f>
        <v>0</v>
      </c>
      <c r="I154" s="258"/>
      <c r="J154" s="258"/>
      <c r="K154" s="257">
        <f>IFERROR(__xludf.DUMMYFUNCTION("""COMPUTED_VALUE"""),0.0)</f>
        <v>0</v>
      </c>
      <c r="L154" s="258">
        <f>IFERROR(__xludf.DUMMYFUNCTION("""COMPUTED_VALUE"""),0.0)</f>
        <v>0</v>
      </c>
      <c r="M154" s="258">
        <f>IFERROR(__xludf.DUMMYFUNCTION("""COMPUTED_VALUE"""),0.0)</f>
        <v>0</v>
      </c>
      <c r="N154" s="258">
        <f>IFERROR(__xludf.DUMMYFUNCTION("""COMPUTED_VALUE"""),0.0)</f>
        <v>0</v>
      </c>
      <c r="O154" s="258">
        <f>IFERROR(__xludf.DUMMYFUNCTION("""COMPUTED_VALUE"""),0.0)</f>
        <v>0</v>
      </c>
      <c r="P154" s="258">
        <f>IFERROR(__xludf.DUMMYFUNCTION("""COMPUTED_VALUE"""),0.0)</f>
        <v>0</v>
      </c>
      <c r="Q154" s="258">
        <f>IFERROR(__xludf.DUMMYFUNCTION("""COMPUTED_VALUE"""),0.0)</f>
        <v>0</v>
      </c>
      <c r="R154" s="259"/>
      <c r="S154" s="260"/>
      <c r="T154" s="261"/>
      <c r="U154" s="262"/>
      <c r="V154" s="250"/>
      <c r="W154" s="250"/>
      <c r="X154" s="250"/>
      <c r="Y154" s="250"/>
      <c r="Z154" s="250"/>
      <c r="AA154" s="250"/>
      <c r="AB154" s="250"/>
      <c r="AC154" s="250"/>
      <c r="AD154" s="250"/>
      <c r="AE154" s="250"/>
      <c r="AF154" s="250"/>
      <c r="AG154" s="250"/>
      <c r="AH154" s="250"/>
      <c r="AI154" s="250"/>
      <c r="AJ154" s="250"/>
      <c r="AK154" s="250"/>
      <c r="AL154" s="250"/>
      <c r="AM154" s="250"/>
      <c r="AN154" s="250"/>
    </row>
    <row r="155" ht="15.75" customHeight="1">
      <c r="A155" s="250"/>
      <c r="B155" s="251">
        <f>IFERROR(__xludf.DUMMYFUNCTION("""COMPUTED_VALUE"""),147.0)</f>
        <v>147</v>
      </c>
      <c r="C155" s="252"/>
      <c r="D155" s="253" t="str">
        <f>IFERROR(__xludf.DUMMYFUNCTION("""COMPUTED_VALUE"""),"")</f>
        <v/>
      </c>
      <c r="E155" s="254">
        <f>IFERROR(__xludf.DUMMYFUNCTION("""COMPUTED_VALUE"""),0.0)</f>
        <v>0</v>
      </c>
      <c r="F155" s="255"/>
      <c r="G155" s="256"/>
      <c r="H155" s="252">
        <f>IFERROR(__xludf.DUMMYFUNCTION("""COMPUTED_VALUE"""),0.0)</f>
        <v>0</v>
      </c>
      <c r="I155" s="258"/>
      <c r="J155" s="258"/>
      <c r="K155" s="257">
        <f>IFERROR(__xludf.DUMMYFUNCTION("""COMPUTED_VALUE"""),0.0)</f>
        <v>0</v>
      </c>
      <c r="L155" s="258">
        <f>IFERROR(__xludf.DUMMYFUNCTION("""COMPUTED_VALUE"""),0.0)</f>
        <v>0</v>
      </c>
      <c r="M155" s="258">
        <f>IFERROR(__xludf.DUMMYFUNCTION("""COMPUTED_VALUE"""),0.0)</f>
        <v>0</v>
      </c>
      <c r="N155" s="258">
        <f>IFERROR(__xludf.DUMMYFUNCTION("""COMPUTED_VALUE"""),0.0)</f>
        <v>0</v>
      </c>
      <c r="O155" s="258">
        <f>IFERROR(__xludf.DUMMYFUNCTION("""COMPUTED_VALUE"""),0.0)</f>
        <v>0</v>
      </c>
      <c r="P155" s="258">
        <f>IFERROR(__xludf.DUMMYFUNCTION("""COMPUTED_VALUE"""),0.0)</f>
        <v>0</v>
      </c>
      <c r="Q155" s="258">
        <f>IFERROR(__xludf.DUMMYFUNCTION("""COMPUTED_VALUE"""),0.0)</f>
        <v>0</v>
      </c>
      <c r="R155" s="259"/>
      <c r="S155" s="260"/>
      <c r="T155" s="261"/>
      <c r="U155" s="262"/>
      <c r="V155" s="250"/>
      <c r="W155" s="250"/>
      <c r="X155" s="250"/>
      <c r="Y155" s="250"/>
      <c r="Z155" s="250"/>
      <c r="AA155" s="250"/>
      <c r="AB155" s="250"/>
      <c r="AC155" s="250"/>
      <c r="AD155" s="250"/>
      <c r="AE155" s="250"/>
      <c r="AF155" s="250"/>
      <c r="AG155" s="250"/>
      <c r="AH155" s="250"/>
      <c r="AI155" s="250"/>
      <c r="AJ155" s="250"/>
      <c r="AK155" s="250"/>
      <c r="AL155" s="250"/>
      <c r="AM155" s="250"/>
      <c r="AN155" s="250"/>
    </row>
    <row r="156" ht="15.75" customHeight="1">
      <c r="A156" s="250"/>
      <c r="B156" s="251">
        <f>IFERROR(__xludf.DUMMYFUNCTION("""COMPUTED_VALUE"""),148.0)</f>
        <v>148</v>
      </c>
      <c r="C156" s="252"/>
      <c r="D156" s="253" t="str">
        <f>IFERROR(__xludf.DUMMYFUNCTION("""COMPUTED_VALUE"""),"")</f>
        <v/>
      </c>
      <c r="E156" s="254">
        <f>IFERROR(__xludf.DUMMYFUNCTION("""COMPUTED_VALUE"""),0.0)</f>
        <v>0</v>
      </c>
      <c r="F156" s="255"/>
      <c r="G156" s="256"/>
      <c r="H156" s="252">
        <f>IFERROR(__xludf.DUMMYFUNCTION("""COMPUTED_VALUE"""),0.0)</f>
        <v>0</v>
      </c>
      <c r="I156" s="258"/>
      <c r="J156" s="258"/>
      <c r="K156" s="257">
        <f>IFERROR(__xludf.DUMMYFUNCTION("""COMPUTED_VALUE"""),0.0)</f>
        <v>0</v>
      </c>
      <c r="L156" s="258">
        <f>IFERROR(__xludf.DUMMYFUNCTION("""COMPUTED_VALUE"""),0.0)</f>
        <v>0</v>
      </c>
      <c r="M156" s="258">
        <f>IFERROR(__xludf.DUMMYFUNCTION("""COMPUTED_VALUE"""),0.0)</f>
        <v>0</v>
      </c>
      <c r="N156" s="258">
        <f>IFERROR(__xludf.DUMMYFUNCTION("""COMPUTED_VALUE"""),0.0)</f>
        <v>0</v>
      </c>
      <c r="O156" s="258">
        <f>IFERROR(__xludf.DUMMYFUNCTION("""COMPUTED_VALUE"""),0.0)</f>
        <v>0</v>
      </c>
      <c r="P156" s="258">
        <f>IFERROR(__xludf.DUMMYFUNCTION("""COMPUTED_VALUE"""),0.0)</f>
        <v>0</v>
      </c>
      <c r="Q156" s="258">
        <f>IFERROR(__xludf.DUMMYFUNCTION("""COMPUTED_VALUE"""),0.0)</f>
        <v>0</v>
      </c>
      <c r="R156" s="259"/>
      <c r="S156" s="260"/>
      <c r="T156" s="261"/>
      <c r="U156" s="262"/>
      <c r="V156" s="250"/>
      <c r="W156" s="250"/>
      <c r="X156" s="250"/>
      <c r="Y156" s="250"/>
      <c r="Z156" s="250"/>
      <c r="AA156" s="250"/>
      <c r="AB156" s="250"/>
      <c r="AC156" s="250"/>
      <c r="AD156" s="250"/>
      <c r="AE156" s="250"/>
      <c r="AF156" s="250"/>
      <c r="AG156" s="250"/>
      <c r="AH156" s="250"/>
      <c r="AI156" s="250"/>
      <c r="AJ156" s="250"/>
      <c r="AK156" s="250"/>
      <c r="AL156" s="250"/>
      <c r="AM156" s="250"/>
      <c r="AN156" s="250"/>
    </row>
    <row r="157" ht="15.75" customHeight="1">
      <c r="A157" s="250"/>
      <c r="B157" s="251">
        <f>IFERROR(__xludf.DUMMYFUNCTION("""COMPUTED_VALUE"""),149.0)</f>
        <v>149</v>
      </c>
      <c r="C157" s="252"/>
      <c r="D157" s="253" t="str">
        <f>IFERROR(__xludf.DUMMYFUNCTION("""COMPUTED_VALUE"""),"")</f>
        <v/>
      </c>
      <c r="E157" s="254">
        <f>IFERROR(__xludf.DUMMYFUNCTION("""COMPUTED_VALUE"""),0.0)</f>
        <v>0</v>
      </c>
      <c r="F157" s="255"/>
      <c r="G157" s="256"/>
      <c r="H157" s="252">
        <f>IFERROR(__xludf.DUMMYFUNCTION("""COMPUTED_VALUE"""),0.0)</f>
        <v>0</v>
      </c>
      <c r="I157" s="258"/>
      <c r="J157" s="258"/>
      <c r="K157" s="257">
        <f>IFERROR(__xludf.DUMMYFUNCTION("""COMPUTED_VALUE"""),0.0)</f>
        <v>0</v>
      </c>
      <c r="L157" s="258">
        <f>IFERROR(__xludf.DUMMYFUNCTION("""COMPUTED_VALUE"""),0.0)</f>
        <v>0</v>
      </c>
      <c r="M157" s="258">
        <f>IFERROR(__xludf.DUMMYFUNCTION("""COMPUTED_VALUE"""),0.0)</f>
        <v>0</v>
      </c>
      <c r="N157" s="258">
        <f>IFERROR(__xludf.DUMMYFUNCTION("""COMPUTED_VALUE"""),0.0)</f>
        <v>0</v>
      </c>
      <c r="O157" s="258">
        <f>IFERROR(__xludf.DUMMYFUNCTION("""COMPUTED_VALUE"""),0.0)</f>
        <v>0</v>
      </c>
      <c r="P157" s="258">
        <f>IFERROR(__xludf.DUMMYFUNCTION("""COMPUTED_VALUE"""),0.0)</f>
        <v>0</v>
      </c>
      <c r="Q157" s="258">
        <f>IFERROR(__xludf.DUMMYFUNCTION("""COMPUTED_VALUE"""),0.0)</f>
        <v>0</v>
      </c>
      <c r="R157" s="259"/>
      <c r="S157" s="260"/>
      <c r="T157" s="261"/>
      <c r="U157" s="262"/>
      <c r="V157" s="250"/>
      <c r="W157" s="250"/>
      <c r="X157" s="250"/>
      <c r="Y157" s="250"/>
      <c r="Z157" s="250"/>
      <c r="AA157" s="250"/>
      <c r="AB157" s="250"/>
      <c r="AC157" s="250"/>
      <c r="AD157" s="250"/>
      <c r="AE157" s="250"/>
      <c r="AF157" s="250"/>
      <c r="AG157" s="250"/>
      <c r="AH157" s="250"/>
      <c r="AI157" s="250"/>
      <c r="AJ157" s="250"/>
      <c r="AK157" s="250"/>
      <c r="AL157" s="250"/>
      <c r="AM157" s="250"/>
      <c r="AN157" s="250"/>
    </row>
    <row r="158" ht="15.75" customHeight="1">
      <c r="A158" s="250"/>
      <c r="B158" s="251">
        <f>IFERROR(__xludf.DUMMYFUNCTION("""COMPUTED_VALUE"""),150.0)</f>
        <v>150</v>
      </c>
      <c r="C158" s="252"/>
      <c r="D158" s="253" t="str">
        <f>IFERROR(__xludf.DUMMYFUNCTION("""COMPUTED_VALUE"""),"")</f>
        <v/>
      </c>
      <c r="E158" s="254">
        <f>IFERROR(__xludf.DUMMYFUNCTION("""COMPUTED_VALUE"""),0.0)</f>
        <v>0</v>
      </c>
      <c r="F158" s="255"/>
      <c r="G158" s="256"/>
      <c r="H158" s="252">
        <f>IFERROR(__xludf.DUMMYFUNCTION("""COMPUTED_VALUE"""),0.0)</f>
        <v>0</v>
      </c>
      <c r="I158" s="258"/>
      <c r="J158" s="258"/>
      <c r="K158" s="257">
        <f>IFERROR(__xludf.DUMMYFUNCTION("""COMPUTED_VALUE"""),0.0)</f>
        <v>0</v>
      </c>
      <c r="L158" s="258">
        <f>IFERROR(__xludf.DUMMYFUNCTION("""COMPUTED_VALUE"""),0.0)</f>
        <v>0</v>
      </c>
      <c r="M158" s="258">
        <f>IFERROR(__xludf.DUMMYFUNCTION("""COMPUTED_VALUE"""),0.0)</f>
        <v>0</v>
      </c>
      <c r="N158" s="258">
        <f>IFERROR(__xludf.DUMMYFUNCTION("""COMPUTED_VALUE"""),0.0)</f>
        <v>0</v>
      </c>
      <c r="O158" s="258">
        <f>IFERROR(__xludf.DUMMYFUNCTION("""COMPUTED_VALUE"""),0.0)</f>
        <v>0</v>
      </c>
      <c r="P158" s="258">
        <f>IFERROR(__xludf.DUMMYFUNCTION("""COMPUTED_VALUE"""),0.0)</f>
        <v>0</v>
      </c>
      <c r="Q158" s="258">
        <f>IFERROR(__xludf.DUMMYFUNCTION("""COMPUTED_VALUE"""),0.0)</f>
        <v>0</v>
      </c>
      <c r="R158" s="259"/>
      <c r="S158" s="260"/>
      <c r="T158" s="261"/>
      <c r="U158" s="262"/>
      <c r="V158" s="250"/>
      <c r="W158" s="250"/>
      <c r="X158" s="250"/>
      <c r="Y158" s="250"/>
      <c r="Z158" s="250"/>
      <c r="AA158" s="250"/>
      <c r="AB158" s="250"/>
      <c r="AC158" s="250"/>
      <c r="AD158" s="250"/>
      <c r="AE158" s="250"/>
      <c r="AF158" s="250"/>
      <c r="AG158" s="250"/>
      <c r="AH158" s="250"/>
      <c r="AI158" s="250"/>
      <c r="AJ158" s="250"/>
      <c r="AK158" s="250"/>
      <c r="AL158" s="250"/>
      <c r="AM158" s="250"/>
      <c r="AN158" s="250"/>
    </row>
    <row r="159" ht="15.75" customHeight="1">
      <c r="A159" s="250"/>
      <c r="B159" s="251">
        <f>IFERROR(__xludf.DUMMYFUNCTION("""COMPUTED_VALUE"""),151.0)</f>
        <v>151</v>
      </c>
      <c r="C159" s="252"/>
      <c r="D159" s="253" t="str">
        <f>IFERROR(__xludf.DUMMYFUNCTION("""COMPUTED_VALUE"""),"")</f>
        <v/>
      </c>
      <c r="E159" s="254">
        <f>IFERROR(__xludf.DUMMYFUNCTION("""COMPUTED_VALUE"""),0.0)</f>
        <v>0</v>
      </c>
      <c r="F159" s="255"/>
      <c r="G159" s="256"/>
      <c r="H159" s="252">
        <f>IFERROR(__xludf.DUMMYFUNCTION("""COMPUTED_VALUE"""),0.0)</f>
        <v>0</v>
      </c>
      <c r="I159" s="258"/>
      <c r="J159" s="258"/>
      <c r="K159" s="257">
        <f>IFERROR(__xludf.DUMMYFUNCTION("""COMPUTED_VALUE"""),0.0)</f>
        <v>0</v>
      </c>
      <c r="L159" s="258">
        <f>IFERROR(__xludf.DUMMYFUNCTION("""COMPUTED_VALUE"""),0.0)</f>
        <v>0</v>
      </c>
      <c r="M159" s="258">
        <f>IFERROR(__xludf.DUMMYFUNCTION("""COMPUTED_VALUE"""),0.0)</f>
        <v>0</v>
      </c>
      <c r="N159" s="258">
        <f>IFERROR(__xludf.DUMMYFUNCTION("""COMPUTED_VALUE"""),0.0)</f>
        <v>0</v>
      </c>
      <c r="O159" s="258">
        <f>IFERROR(__xludf.DUMMYFUNCTION("""COMPUTED_VALUE"""),0.0)</f>
        <v>0</v>
      </c>
      <c r="P159" s="258">
        <f>IFERROR(__xludf.DUMMYFUNCTION("""COMPUTED_VALUE"""),0.0)</f>
        <v>0</v>
      </c>
      <c r="Q159" s="258">
        <f>IFERROR(__xludf.DUMMYFUNCTION("""COMPUTED_VALUE"""),0.0)</f>
        <v>0</v>
      </c>
      <c r="R159" s="259"/>
      <c r="S159" s="260"/>
      <c r="T159" s="261"/>
      <c r="U159" s="262"/>
      <c r="V159" s="250"/>
      <c r="W159" s="250"/>
      <c r="X159" s="250"/>
      <c r="Y159" s="250"/>
      <c r="Z159" s="250"/>
      <c r="AA159" s="250"/>
      <c r="AB159" s="250"/>
      <c r="AC159" s="250"/>
      <c r="AD159" s="250"/>
      <c r="AE159" s="250"/>
      <c r="AF159" s="250"/>
      <c r="AG159" s="250"/>
      <c r="AH159" s="250"/>
      <c r="AI159" s="250"/>
      <c r="AJ159" s="250"/>
      <c r="AK159" s="250"/>
      <c r="AL159" s="250"/>
      <c r="AM159" s="250"/>
      <c r="AN159" s="250"/>
    </row>
    <row r="160" ht="15.75" customHeight="1">
      <c r="A160" s="250"/>
      <c r="B160" s="251">
        <f>IFERROR(__xludf.DUMMYFUNCTION("""COMPUTED_VALUE"""),152.0)</f>
        <v>152</v>
      </c>
      <c r="C160" s="252"/>
      <c r="D160" s="253" t="str">
        <f>IFERROR(__xludf.DUMMYFUNCTION("""COMPUTED_VALUE"""),"")</f>
        <v/>
      </c>
      <c r="E160" s="254">
        <f>IFERROR(__xludf.DUMMYFUNCTION("""COMPUTED_VALUE"""),0.0)</f>
        <v>0</v>
      </c>
      <c r="F160" s="255"/>
      <c r="G160" s="256"/>
      <c r="H160" s="252">
        <f>IFERROR(__xludf.DUMMYFUNCTION("""COMPUTED_VALUE"""),0.0)</f>
        <v>0</v>
      </c>
      <c r="I160" s="258"/>
      <c r="J160" s="258"/>
      <c r="K160" s="257">
        <f>IFERROR(__xludf.DUMMYFUNCTION("""COMPUTED_VALUE"""),0.0)</f>
        <v>0</v>
      </c>
      <c r="L160" s="258">
        <f>IFERROR(__xludf.DUMMYFUNCTION("""COMPUTED_VALUE"""),0.0)</f>
        <v>0</v>
      </c>
      <c r="M160" s="258">
        <f>IFERROR(__xludf.DUMMYFUNCTION("""COMPUTED_VALUE"""),0.0)</f>
        <v>0</v>
      </c>
      <c r="N160" s="258">
        <f>IFERROR(__xludf.DUMMYFUNCTION("""COMPUTED_VALUE"""),0.0)</f>
        <v>0</v>
      </c>
      <c r="O160" s="258">
        <f>IFERROR(__xludf.DUMMYFUNCTION("""COMPUTED_VALUE"""),0.0)</f>
        <v>0</v>
      </c>
      <c r="P160" s="258">
        <f>IFERROR(__xludf.DUMMYFUNCTION("""COMPUTED_VALUE"""),0.0)</f>
        <v>0</v>
      </c>
      <c r="Q160" s="258">
        <f>IFERROR(__xludf.DUMMYFUNCTION("""COMPUTED_VALUE"""),0.0)</f>
        <v>0</v>
      </c>
      <c r="R160" s="259"/>
      <c r="S160" s="260"/>
      <c r="T160" s="261"/>
      <c r="U160" s="262"/>
      <c r="V160" s="250"/>
      <c r="W160" s="250"/>
      <c r="X160" s="250"/>
      <c r="Y160" s="250"/>
      <c r="Z160" s="250"/>
      <c r="AA160" s="250"/>
      <c r="AB160" s="250"/>
      <c r="AC160" s="250"/>
      <c r="AD160" s="250"/>
      <c r="AE160" s="250"/>
      <c r="AF160" s="250"/>
      <c r="AG160" s="250"/>
      <c r="AH160" s="250"/>
      <c r="AI160" s="250"/>
      <c r="AJ160" s="250"/>
      <c r="AK160" s="250"/>
      <c r="AL160" s="250"/>
      <c r="AM160" s="250"/>
      <c r="AN160" s="250"/>
    </row>
    <row r="161" ht="15.75" customHeight="1">
      <c r="A161" s="250"/>
      <c r="B161" s="251">
        <f>IFERROR(__xludf.DUMMYFUNCTION("""COMPUTED_VALUE"""),153.0)</f>
        <v>153</v>
      </c>
      <c r="C161" s="252"/>
      <c r="D161" s="253" t="str">
        <f>IFERROR(__xludf.DUMMYFUNCTION("""COMPUTED_VALUE"""),"")</f>
        <v/>
      </c>
      <c r="E161" s="254">
        <f>IFERROR(__xludf.DUMMYFUNCTION("""COMPUTED_VALUE"""),0.0)</f>
        <v>0</v>
      </c>
      <c r="F161" s="255"/>
      <c r="G161" s="256"/>
      <c r="H161" s="252">
        <f>IFERROR(__xludf.DUMMYFUNCTION("""COMPUTED_VALUE"""),0.0)</f>
        <v>0</v>
      </c>
      <c r="I161" s="258"/>
      <c r="J161" s="258"/>
      <c r="K161" s="257">
        <f>IFERROR(__xludf.DUMMYFUNCTION("""COMPUTED_VALUE"""),0.0)</f>
        <v>0</v>
      </c>
      <c r="L161" s="258">
        <f>IFERROR(__xludf.DUMMYFUNCTION("""COMPUTED_VALUE"""),0.0)</f>
        <v>0</v>
      </c>
      <c r="M161" s="258">
        <f>IFERROR(__xludf.DUMMYFUNCTION("""COMPUTED_VALUE"""),0.0)</f>
        <v>0</v>
      </c>
      <c r="N161" s="258">
        <f>IFERROR(__xludf.DUMMYFUNCTION("""COMPUTED_VALUE"""),0.0)</f>
        <v>0</v>
      </c>
      <c r="O161" s="258">
        <f>IFERROR(__xludf.DUMMYFUNCTION("""COMPUTED_VALUE"""),0.0)</f>
        <v>0</v>
      </c>
      <c r="P161" s="258">
        <f>IFERROR(__xludf.DUMMYFUNCTION("""COMPUTED_VALUE"""),0.0)</f>
        <v>0</v>
      </c>
      <c r="Q161" s="258">
        <f>IFERROR(__xludf.DUMMYFUNCTION("""COMPUTED_VALUE"""),0.0)</f>
        <v>0</v>
      </c>
      <c r="R161" s="259"/>
      <c r="S161" s="260"/>
      <c r="T161" s="261"/>
      <c r="U161" s="262"/>
      <c r="V161" s="250"/>
      <c r="W161" s="250"/>
      <c r="X161" s="250"/>
      <c r="Y161" s="250"/>
      <c r="Z161" s="250"/>
      <c r="AA161" s="250"/>
      <c r="AB161" s="250"/>
      <c r="AC161" s="250"/>
      <c r="AD161" s="250"/>
      <c r="AE161" s="250"/>
      <c r="AF161" s="250"/>
      <c r="AG161" s="250"/>
      <c r="AH161" s="250"/>
      <c r="AI161" s="250"/>
      <c r="AJ161" s="250"/>
      <c r="AK161" s="250"/>
      <c r="AL161" s="250"/>
      <c r="AM161" s="250"/>
      <c r="AN161" s="250"/>
    </row>
    <row r="162" ht="15.75" customHeight="1">
      <c r="A162" s="250"/>
      <c r="B162" s="251">
        <f>IFERROR(__xludf.DUMMYFUNCTION("""COMPUTED_VALUE"""),154.0)</f>
        <v>154</v>
      </c>
      <c r="C162" s="252"/>
      <c r="D162" s="253" t="str">
        <f>IFERROR(__xludf.DUMMYFUNCTION("""COMPUTED_VALUE"""),"")</f>
        <v/>
      </c>
      <c r="E162" s="254">
        <f>IFERROR(__xludf.DUMMYFUNCTION("""COMPUTED_VALUE"""),0.0)</f>
        <v>0</v>
      </c>
      <c r="F162" s="255"/>
      <c r="G162" s="256"/>
      <c r="H162" s="252">
        <f>IFERROR(__xludf.DUMMYFUNCTION("""COMPUTED_VALUE"""),0.0)</f>
        <v>0</v>
      </c>
      <c r="I162" s="258"/>
      <c r="J162" s="258"/>
      <c r="K162" s="257">
        <f>IFERROR(__xludf.DUMMYFUNCTION("""COMPUTED_VALUE"""),0.0)</f>
        <v>0</v>
      </c>
      <c r="L162" s="258">
        <f>IFERROR(__xludf.DUMMYFUNCTION("""COMPUTED_VALUE"""),0.0)</f>
        <v>0</v>
      </c>
      <c r="M162" s="258">
        <f>IFERROR(__xludf.DUMMYFUNCTION("""COMPUTED_VALUE"""),0.0)</f>
        <v>0</v>
      </c>
      <c r="N162" s="258">
        <f>IFERROR(__xludf.DUMMYFUNCTION("""COMPUTED_VALUE"""),0.0)</f>
        <v>0</v>
      </c>
      <c r="O162" s="258">
        <f>IFERROR(__xludf.DUMMYFUNCTION("""COMPUTED_VALUE"""),0.0)</f>
        <v>0</v>
      </c>
      <c r="P162" s="258">
        <f>IFERROR(__xludf.DUMMYFUNCTION("""COMPUTED_VALUE"""),0.0)</f>
        <v>0</v>
      </c>
      <c r="Q162" s="258">
        <f>IFERROR(__xludf.DUMMYFUNCTION("""COMPUTED_VALUE"""),0.0)</f>
        <v>0</v>
      </c>
      <c r="R162" s="259"/>
      <c r="S162" s="260"/>
      <c r="T162" s="261"/>
      <c r="U162" s="262"/>
      <c r="V162" s="250"/>
      <c r="W162" s="250"/>
      <c r="X162" s="250"/>
      <c r="Y162" s="250"/>
      <c r="Z162" s="250"/>
      <c r="AA162" s="250"/>
      <c r="AB162" s="250"/>
      <c r="AC162" s="250"/>
      <c r="AD162" s="250"/>
      <c r="AE162" s="250"/>
      <c r="AF162" s="250"/>
      <c r="AG162" s="250"/>
      <c r="AH162" s="250"/>
      <c r="AI162" s="250"/>
      <c r="AJ162" s="250"/>
      <c r="AK162" s="250"/>
      <c r="AL162" s="250"/>
      <c r="AM162" s="250"/>
      <c r="AN162" s="250"/>
    </row>
    <row r="163" ht="15.75" customHeight="1">
      <c r="A163" s="250"/>
      <c r="B163" s="251">
        <f>IFERROR(__xludf.DUMMYFUNCTION("""COMPUTED_VALUE"""),155.0)</f>
        <v>155</v>
      </c>
      <c r="C163" s="252"/>
      <c r="D163" s="253" t="str">
        <f>IFERROR(__xludf.DUMMYFUNCTION("""COMPUTED_VALUE"""),"")</f>
        <v/>
      </c>
      <c r="E163" s="254">
        <f>IFERROR(__xludf.DUMMYFUNCTION("""COMPUTED_VALUE"""),0.0)</f>
        <v>0</v>
      </c>
      <c r="F163" s="255"/>
      <c r="G163" s="256"/>
      <c r="H163" s="252">
        <f>IFERROR(__xludf.DUMMYFUNCTION("""COMPUTED_VALUE"""),0.0)</f>
        <v>0</v>
      </c>
      <c r="I163" s="258"/>
      <c r="J163" s="258"/>
      <c r="K163" s="257">
        <f>IFERROR(__xludf.DUMMYFUNCTION("""COMPUTED_VALUE"""),0.0)</f>
        <v>0</v>
      </c>
      <c r="L163" s="258">
        <f>IFERROR(__xludf.DUMMYFUNCTION("""COMPUTED_VALUE"""),0.0)</f>
        <v>0</v>
      </c>
      <c r="M163" s="258">
        <f>IFERROR(__xludf.DUMMYFUNCTION("""COMPUTED_VALUE"""),0.0)</f>
        <v>0</v>
      </c>
      <c r="N163" s="258">
        <f>IFERROR(__xludf.DUMMYFUNCTION("""COMPUTED_VALUE"""),0.0)</f>
        <v>0</v>
      </c>
      <c r="O163" s="258">
        <f>IFERROR(__xludf.DUMMYFUNCTION("""COMPUTED_VALUE"""),0.0)</f>
        <v>0</v>
      </c>
      <c r="P163" s="258">
        <f>IFERROR(__xludf.DUMMYFUNCTION("""COMPUTED_VALUE"""),0.0)</f>
        <v>0</v>
      </c>
      <c r="Q163" s="258">
        <f>IFERROR(__xludf.DUMMYFUNCTION("""COMPUTED_VALUE"""),0.0)</f>
        <v>0</v>
      </c>
      <c r="R163" s="259"/>
      <c r="S163" s="260"/>
      <c r="T163" s="261"/>
      <c r="U163" s="262"/>
      <c r="V163" s="250"/>
      <c r="W163" s="250"/>
      <c r="X163" s="250"/>
      <c r="Y163" s="250"/>
      <c r="Z163" s="250"/>
      <c r="AA163" s="250"/>
      <c r="AB163" s="250"/>
      <c r="AC163" s="250"/>
      <c r="AD163" s="250"/>
      <c r="AE163" s="250"/>
      <c r="AF163" s="250"/>
      <c r="AG163" s="250"/>
      <c r="AH163" s="250"/>
      <c r="AI163" s="250"/>
      <c r="AJ163" s="250"/>
      <c r="AK163" s="250"/>
      <c r="AL163" s="250"/>
      <c r="AM163" s="250"/>
      <c r="AN163" s="250"/>
    </row>
    <row r="164" ht="15.75" customHeight="1">
      <c r="A164" s="250"/>
      <c r="B164" s="251">
        <f>IFERROR(__xludf.DUMMYFUNCTION("""COMPUTED_VALUE"""),156.0)</f>
        <v>156</v>
      </c>
      <c r="C164" s="252"/>
      <c r="D164" s="253" t="str">
        <f>IFERROR(__xludf.DUMMYFUNCTION("""COMPUTED_VALUE"""),"")</f>
        <v/>
      </c>
      <c r="E164" s="254">
        <f>IFERROR(__xludf.DUMMYFUNCTION("""COMPUTED_VALUE"""),0.0)</f>
        <v>0</v>
      </c>
      <c r="F164" s="255"/>
      <c r="G164" s="256"/>
      <c r="H164" s="252">
        <f>IFERROR(__xludf.DUMMYFUNCTION("""COMPUTED_VALUE"""),0.0)</f>
        <v>0</v>
      </c>
      <c r="I164" s="258"/>
      <c r="J164" s="258"/>
      <c r="K164" s="257">
        <f>IFERROR(__xludf.DUMMYFUNCTION("""COMPUTED_VALUE"""),0.0)</f>
        <v>0</v>
      </c>
      <c r="L164" s="258">
        <f>IFERROR(__xludf.DUMMYFUNCTION("""COMPUTED_VALUE"""),0.0)</f>
        <v>0</v>
      </c>
      <c r="M164" s="258">
        <f>IFERROR(__xludf.DUMMYFUNCTION("""COMPUTED_VALUE"""),0.0)</f>
        <v>0</v>
      </c>
      <c r="N164" s="258">
        <f>IFERROR(__xludf.DUMMYFUNCTION("""COMPUTED_VALUE"""),0.0)</f>
        <v>0</v>
      </c>
      <c r="O164" s="258">
        <f>IFERROR(__xludf.DUMMYFUNCTION("""COMPUTED_VALUE"""),0.0)</f>
        <v>0</v>
      </c>
      <c r="P164" s="258">
        <f>IFERROR(__xludf.DUMMYFUNCTION("""COMPUTED_VALUE"""),0.0)</f>
        <v>0</v>
      </c>
      <c r="Q164" s="258">
        <f>IFERROR(__xludf.DUMMYFUNCTION("""COMPUTED_VALUE"""),0.0)</f>
        <v>0</v>
      </c>
      <c r="R164" s="259"/>
      <c r="S164" s="260"/>
      <c r="T164" s="261"/>
      <c r="U164" s="262"/>
      <c r="V164" s="250"/>
      <c r="W164" s="250"/>
      <c r="X164" s="250"/>
      <c r="Y164" s="250"/>
      <c r="Z164" s="250"/>
      <c r="AA164" s="250"/>
      <c r="AB164" s="250"/>
      <c r="AC164" s="250"/>
      <c r="AD164" s="250"/>
      <c r="AE164" s="250"/>
      <c r="AF164" s="250"/>
      <c r="AG164" s="250"/>
      <c r="AH164" s="250"/>
      <c r="AI164" s="250"/>
      <c r="AJ164" s="250"/>
      <c r="AK164" s="250"/>
      <c r="AL164" s="250"/>
      <c r="AM164" s="250"/>
      <c r="AN164" s="250"/>
    </row>
    <row r="165" ht="15.75" customHeight="1">
      <c r="A165" s="250"/>
      <c r="B165" s="251">
        <f>IFERROR(__xludf.DUMMYFUNCTION("""COMPUTED_VALUE"""),157.0)</f>
        <v>157</v>
      </c>
      <c r="C165" s="252"/>
      <c r="D165" s="253" t="str">
        <f>IFERROR(__xludf.DUMMYFUNCTION("""COMPUTED_VALUE"""),"")</f>
        <v/>
      </c>
      <c r="E165" s="254">
        <f>IFERROR(__xludf.DUMMYFUNCTION("""COMPUTED_VALUE"""),0.0)</f>
        <v>0</v>
      </c>
      <c r="F165" s="255"/>
      <c r="G165" s="256"/>
      <c r="H165" s="252">
        <f>IFERROR(__xludf.DUMMYFUNCTION("""COMPUTED_VALUE"""),0.0)</f>
        <v>0</v>
      </c>
      <c r="I165" s="258"/>
      <c r="J165" s="258"/>
      <c r="K165" s="257">
        <f>IFERROR(__xludf.DUMMYFUNCTION("""COMPUTED_VALUE"""),0.0)</f>
        <v>0</v>
      </c>
      <c r="L165" s="258">
        <f>IFERROR(__xludf.DUMMYFUNCTION("""COMPUTED_VALUE"""),0.0)</f>
        <v>0</v>
      </c>
      <c r="M165" s="258">
        <f>IFERROR(__xludf.DUMMYFUNCTION("""COMPUTED_VALUE"""),0.0)</f>
        <v>0</v>
      </c>
      <c r="N165" s="258">
        <f>IFERROR(__xludf.DUMMYFUNCTION("""COMPUTED_VALUE"""),0.0)</f>
        <v>0</v>
      </c>
      <c r="O165" s="258">
        <f>IFERROR(__xludf.DUMMYFUNCTION("""COMPUTED_VALUE"""),0.0)</f>
        <v>0</v>
      </c>
      <c r="P165" s="258">
        <f>IFERROR(__xludf.DUMMYFUNCTION("""COMPUTED_VALUE"""),0.0)</f>
        <v>0</v>
      </c>
      <c r="Q165" s="258">
        <f>IFERROR(__xludf.DUMMYFUNCTION("""COMPUTED_VALUE"""),0.0)</f>
        <v>0</v>
      </c>
      <c r="R165" s="259"/>
      <c r="S165" s="260"/>
      <c r="T165" s="261"/>
      <c r="U165" s="262"/>
      <c r="V165" s="250"/>
      <c r="W165" s="250"/>
      <c r="X165" s="250"/>
      <c r="Y165" s="250"/>
      <c r="Z165" s="250"/>
      <c r="AA165" s="250"/>
      <c r="AB165" s="250"/>
      <c r="AC165" s="250"/>
      <c r="AD165" s="250"/>
      <c r="AE165" s="250"/>
      <c r="AF165" s="250"/>
      <c r="AG165" s="250"/>
      <c r="AH165" s="250"/>
      <c r="AI165" s="250"/>
      <c r="AJ165" s="250"/>
      <c r="AK165" s="250"/>
      <c r="AL165" s="250"/>
      <c r="AM165" s="250"/>
      <c r="AN165" s="250"/>
    </row>
    <row r="166" ht="15.75" customHeight="1">
      <c r="A166" s="250"/>
      <c r="B166" s="251">
        <f>IFERROR(__xludf.DUMMYFUNCTION("""COMPUTED_VALUE"""),158.0)</f>
        <v>158</v>
      </c>
      <c r="C166" s="252"/>
      <c r="D166" s="253" t="str">
        <f>IFERROR(__xludf.DUMMYFUNCTION("""COMPUTED_VALUE"""),"")</f>
        <v/>
      </c>
      <c r="E166" s="254">
        <f>IFERROR(__xludf.DUMMYFUNCTION("""COMPUTED_VALUE"""),0.0)</f>
        <v>0</v>
      </c>
      <c r="F166" s="255"/>
      <c r="G166" s="256"/>
      <c r="H166" s="252">
        <f>IFERROR(__xludf.DUMMYFUNCTION("""COMPUTED_VALUE"""),0.0)</f>
        <v>0</v>
      </c>
      <c r="I166" s="258"/>
      <c r="J166" s="258"/>
      <c r="K166" s="257">
        <f>IFERROR(__xludf.DUMMYFUNCTION("""COMPUTED_VALUE"""),0.0)</f>
        <v>0</v>
      </c>
      <c r="L166" s="258">
        <f>IFERROR(__xludf.DUMMYFUNCTION("""COMPUTED_VALUE"""),0.0)</f>
        <v>0</v>
      </c>
      <c r="M166" s="258">
        <f>IFERROR(__xludf.DUMMYFUNCTION("""COMPUTED_VALUE"""),0.0)</f>
        <v>0</v>
      </c>
      <c r="N166" s="258">
        <f>IFERROR(__xludf.DUMMYFUNCTION("""COMPUTED_VALUE"""),0.0)</f>
        <v>0</v>
      </c>
      <c r="O166" s="258">
        <f>IFERROR(__xludf.DUMMYFUNCTION("""COMPUTED_VALUE"""),0.0)</f>
        <v>0</v>
      </c>
      <c r="P166" s="258">
        <f>IFERROR(__xludf.DUMMYFUNCTION("""COMPUTED_VALUE"""),0.0)</f>
        <v>0</v>
      </c>
      <c r="Q166" s="258">
        <f>IFERROR(__xludf.DUMMYFUNCTION("""COMPUTED_VALUE"""),0.0)</f>
        <v>0</v>
      </c>
      <c r="R166" s="259"/>
      <c r="S166" s="260"/>
      <c r="T166" s="261"/>
      <c r="U166" s="262"/>
      <c r="V166" s="250"/>
      <c r="W166" s="250"/>
      <c r="X166" s="250"/>
      <c r="Y166" s="250"/>
      <c r="Z166" s="250"/>
      <c r="AA166" s="250"/>
      <c r="AB166" s="250"/>
      <c r="AC166" s="250"/>
      <c r="AD166" s="250"/>
      <c r="AE166" s="250"/>
      <c r="AF166" s="250"/>
      <c r="AG166" s="250"/>
      <c r="AH166" s="250"/>
      <c r="AI166" s="250"/>
      <c r="AJ166" s="250"/>
      <c r="AK166" s="250"/>
      <c r="AL166" s="250"/>
      <c r="AM166" s="250"/>
      <c r="AN166" s="250"/>
    </row>
    <row r="167" ht="15.75" customHeight="1">
      <c r="A167" s="250"/>
      <c r="B167" s="251">
        <f>IFERROR(__xludf.DUMMYFUNCTION("""COMPUTED_VALUE"""),159.0)</f>
        <v>159</v>
      </c>
      <c r="C167" s="252"/>
      <c r="D167" s="253" t="str">
        <f>IFERROR(__xludf.DUMMYFUNCTION("""COMPUTED_VALUE"""),"")</f>
        <v/>
      </c>
      <c r="E167" s="254">
        <f>IFERROR(__xludf.DUMMYFUNCTION("""COMPUTED_VALUE"""),0.0)</f>
        <v>0</v>
      </c>
      <c r="F167" s="255"/>
      <c r="G167" s="256"/>
      <c r="H167" s="252">
        <f>IFERROR(__xludf.DUMMYFUNCTION("""COMPUTED_VALUE"""),0.0)</f>
        <v>0</v>
      </c>
      <c r="I167" s="258"/>
      <c r="J167" s="258"/>
      <c r="K167" s="257">
        <f>IFERROR(__xludf.DUMMYFUNCTION("""COMPUTED_VALUE"""),0.0)</f>
        <v>0</v>
      </c>
      <c r="L167" s="258">
        <f>IFERROR(__xludf.DUMMYFUNCTION("""COMPUTED_VALUE"""),0.0)</f>
        <v>0</v>
      </c>
      <c r="M167" s="258">
        <f>IFERROR(__xludf.DUMMYFUNCTION("""COMPUTED_VALUE"""),0.0)</f>
        <v>0</v>
      </c>
      <c r="N167" s="258">
        <f>IFERROR(__xludf.DUMMYFUNCTION("""COMPUTED_VALUE"""),0.0)</f>
        <v>0</v>
      </c>
      <c r="O167" s="258">
        <f>IFERROR(__xludf.DUMMYFUNCTION("""COMPUTED_VALUE"""),0.0)</f>
        <v>0</v>
      </c>
      <c r="P167" s="258">
        <f>IFERROR(__xludf.DUMMYFUNCTION("""COMPUTED_VALUE"""),0.0)</f>
        <v>0</v>
      </c>
      <c r="Q167" s="258">
        <f>IFERROR(__xludf.DUMMYFUNCTION("""COMPUTED_VALUE"""),0.0)</f>
        <v>0</v>
      </c>
      <c r="R167" s="259"/>
      <c r="S167" s="260"/>
      <c r="T167" s="261"/>
      <c r="U167" s="262"/>
      <c r="V167" s="250"/>
      <c r="W167" s="250"/>
      <c r="X167" s="250"/>
      <c r="Y167" s="250"/>
      <c r="Z167" s="250"/>
      <c r="AA167" s="250"/>
      <c r="AB167" s="250"/>
      <c r="AC167" s="250"/>
      <c r="AD167" s="250"/>
      <c r="AE167" s="250"/>
      <c r="AF167" s="250"/>
      <c r="AG167" s="250"/>
      <c r="AH167" s="250"/>
      <c r="AI167" s="250"/>
      <c r="AJ167" s="250"/>
      <c r="AK167" s="250"/>
      <c r="AL167" s="250"/>
      <c r="AM167" s="250"/>
      <c r="AN167" s="250"/>
    </row>
    <row r="168" ht="15.75" customHeight="1">
      <c r="A168" s="250"/>
      <c r="B168" s="251">
        <f>IFERROR(__xludf.DUMMYFUNCTION("""COMPUTED_VALUE"""),160.0)</f>
        <v>160</v>
      </c>
      <c r="C168" s="252"/>
      <c r="D168" s="253" t="str">
        <f>IFERROR(__xludf.DUMMYFUNCTION("""COMPUTED_VALUE"""),"")</f>
        <v/>
      </c>
      <c r="E168" s="254">
        <f>IFERROR(__xludf.DUMMYFUNCTION("""COMPUTED_VALUE"""),0.0)</f>
        <v>0</v>
      </c>
      <c r="F168" s="255"/>
      <c r="G168" s="256"/>
      <c r="H168" s="252">
        <f>IFERROR(__xludf.DUMMYFUNCTION("""COMPUTED_VALUE"""),0.0)</f>
        <v>0</v>
      </c>
      <c r="I168" s="258"/>
      <c r="J168" s="258"/>
      <c r="K168" s="257">
        <f>IFERROR(__xludf.DUMMYFUNCTION("""COMPUTED_VALUE"""),0.0)</f>
        <v>0</v>
      </c>
      <c r="L168" s="258">
        <f>IFERROR(__xludf.DUMMYFUNCTION("""COMPUTED_VALUE"""),0.0)</f>
        <v>0</v>
      </c>
      <c r="M168" s="258">
        <f>IFERROR(__xludf.DUMMYFUNCTION("""COMPUTED_VALUE"""),0.0)</f>
        <v>0</v>
      </c>
      <c r="N168" s="258">
        <f>IFERROR(__xludf.DUMMYFUNCTION("""COMPUTED_VALUE"""),0.0)</f>
        <v>0</v>
      </c>
      <c r="O168" s="258">
        <f>IFERROR(__xludf.DUMMYFUNCTION("""COMPUTED_VALUE"""),0.0)</f>
        <v>0</v>
      </c>
      <c r="P168" s="258">
        <f>IFERROR(__xludf.DUMMYFUNCTION("""COMPUTED_VALUE"""),0.0)</f>
        <v>0</v>
      </c>
      <c r="Q168" s="258">
        <f>IFERROR(__xludf.DUMMYFUNCTION("""COMPUTED_VALUE"""),0.0)</f>
        <v>0</v>
      </c>
      <c r="R168" s="259"/>
      <c r="S168" s="260"/>
      <c r="T168" s="261"/>
      <c r="U168" s="262"/>
      <c r="V168" s="250"/>
      <c r="W168" s="250"/>
      <c r="X168" s="250"/>
      <c r="Y168" s="250"/>
      <c r="Z168" s="250"/>
      <c r="AA168" s="250"/>
      <c r="AB168" s="250"/>
      <c r="AC168" s="250"/>
      <c r="AD168" s="250"/>
      <c r="AE168" s="250"/>
      <c r="AF168" s="250"/>
      <c r="AG168" s="250"/>
      <c r="AH168" s="250"/>
      <c r="AI168" s="250"/>
      <c r="AJ168" s="250"/>
      <c r="AK168" s="250"/>
      <c r="AL168" s="250"/>
      <c r="AM168" s="250"/>
      <c r="AN168" s="250"/>
    </row>
    <row r="169" ht="15.75" customHeight="1">
      <c r="A169" s="250"/>
      <c r="B169" s="251">
        <f>IFERROR(__xludf.DUMMYFUNCTION("""COMPUTED_VALUE"""),161.0)</f>
        <v>161</v>
      </c>
      <c r="C169" s="252"/>
      <c r="D169" s="253" t="str">
        <f>IFERROR(__xludf.DUMMYFUNCTION("""COMPUTED_VALUE"""),"")</f>
        <v/>
      </c>
      <c r="E169" s="254">
        <f>IFERROR(__xludf.DUMMYFUNCTION("""COMPUTED_VALUE"""),0.0)</f>
        <v>0</v>
      </c>
      <c r="F169" s="255"/>
      <c r="G169" s="256"/>
      <c r="H169" s="252">
        <f>IFERROR(__xludf.DUMMYFUNCTION("""COMPUTED_VALUE"""),0.0)</f>
        <v>0</v>
      </c>
      <c r="I169" s="258"/>
      <c r="J169" s="258"/>
      <c r="K169" s="257">
        <f>IFERROR(__xludf.DUMMYFUNCTION("""COMPUTED_VALUE"""),0.0)</f>
        <v>0</v>
      </c>
      <c r="L169" s="258">
        <f>IFERROR(__xludf.DUMMYFUNCTION("""COMPUTED_VALUE"""),0.0)</f>
        <v>0</v>
      </c>
      <c r="M169" s="258">
        <f>IFERROR(__xludf.DUMMYFUNCTION("""COMPUTED_VALUE"""),0.0)</f>
        <v>0</v>
      </c>
      <c r="N169" s="258">
        <f>IFERROR(__xludf.DUMMYFUNCTION("""COMPUTED_VALUE"""),0.0)</f>
        <v>0</v>
      </c>
      <c r="O169" s="258">
        <f>IFERROR(__xludf.DUMMYFUNCTION("""COMPUTED_VALUE"""),0.0)</f>
        <v>0</v>
      </c>
      <c r="P169" s="258">
        <f>IFERROR(__xludf.DUMMYFUNCTION("""COMPUTED_VALUE"""),0.0)</f>
        <v>0</v>
      </c>
      <c r="Q169" s="258">
        <f>IFERROR(__xludf.DUMMYFUNCTION("""COMPUTED_VALUE"""),0.0)</f>
        <v>0</v>
      </c>
      <c r="R169" s="259"/>
      <c r="S169" s="260"/>
      <c r="T169" s="261"/>
      <c r="U169" s="262"/>
      <c r="V169" s="250"/>
      <c r="W169" s="250"/>
      <c r="X169" s="250"/>
      <c r="Y169" s="250"/>
      <c r="Z169" s="250"/>
      <c r="AA169" s="250"/>
      <c r="AB169" s="250"/>
      <c r="AC169" s="250"/>
      <c r="AD169" s="250"/>
      <c r="AE169" s="250"/>
      <c r="AF169" s="250"/>
      <c r="AG169" s="250"/>
      <c r="AH169" s="250"/>
      <c r="AI169" s="250"/>
      <c r="AJ169" s="250"/>
      <c r="AK169" s="250"/>
      <c r="AL169" s="250"/>
      <c r="AM169" s="250"/>
      <c r="AN169" s="250"/>
    </row>
    <row r="170" ht="15.75" customHeight="1">
      <c r="A170" s="250"/>
      <c r="B170" s="251">
        <f>IFERROR(__xludf.DUMMYFUNCTION("""COMPUTED_VALUE"""),162.0)</f>
        <v>162</v>
      </c>
      <c r="C170" s="252"/>
      <c r="D170" s="253" t="str">
        <f>IFERROR(__xludf.DUMMYFUNCTION("""COMPUTED_VALUE"""),"")</f>
        <v/>
      </c>
      <c r="E170" s="254">
        <f>IFERROR(__xludf.DUMMYFUNCTION("""COMPUTED_VALUE"""),0.0)</f>
        <v>0</v>
      </c>
      <c r="F170" s="255"/>
      <c r="G170" s="256"/>
      <c r="H170" s="252">
        <f>IFERROR(__xludf.DUMMYFUNCTION("""COMPUTED_VALUE"""),0.0)</f>
        <v>0</v>
      </c>
      <c r="I170" s="258"/>
      <c r="J170" s="258"/>
      <c r="K170" s="257">
        <f>IFERROR(__xludf.DUMMYFUNCTION("""COMPUTED_VALUE"""),0.0)</f>
        <v>0</v>
      </c>
      <c r="L170" s="258">
        <f>IFERROR(__xludf.DUMMYFUNCTION("""COMPUTED_VALUE"""),0.0)</f>
        <v>0</v>
      </c>
      <c r="M170" s="258">
        <f>IFERROR(__xludf.DUMMYFUNCTION("""COMPUTED_VALUE"""),0.0)</f>
        <v>0</v>
      </c>
      <c r="N170" s="258">
        <f>IFERROR(__xludf.DUMMYFUNCTION("""COMPUTED_VALUE"""),0.0)</f>
        <v>0</v>
      </c>
      <c r="O170" s="258">
        <f>IFERROR(__xludf.DUMMYFUNCTION("""COMPUTED_VALUE"""),0.0)</f>
        <v>0</v>
      </c>
      <c r="P170" s="258">
        <f>IFERROR(__xludf.DUMMYFUNCTION("""COMPUTED_VALUE"""),0.0)</f>
        <v>0</v>
      </c>
      <c r="Q170" s="258">
        <f>IFERROR(__xludf.DUMMYFUNCTION("""COMPUTED_VALUE"""),0.0)</f>
        <v>0</v>
      </c>
      <c r="R170" s="259"/>
      <c r="S170" s="260"/>
      <c r="T170" s="261"/>
      <c r="U170" s="262"/>
      <c r="V170" s="250"/>
      <c r="W170" s="250"/>
      <c r="X170" s="250"/>
      <c r="Y170" s="250"/>
      <c r="Z170" s="250"/>
      <c r="AA170" s="250"/>
      <c r="AB170" s="250"/>
      <c r="AC170" s="250"/>
      <c r="AD170" s="250"/>
      <c r="AE170" s="250"/>
      <c r="AF170" s="250"/>
      <c r="AG170" s="250"/>
      <c r="AH170" s="250"/>
      <c r="AI170" s="250"/>
      <c r="AJ170" s="250"/>
      <c r="AK170" s="250"/>
      <c r="AL170" s="250"/>
      <c r="AM170" s="250"/>
      <c r="AN170" s="250"/>
    </row>
    <row r="171" ht="15.75" customHeight="1">
      <c r="A171" s="250"/>
      <c r="B171" s="251">
        <f>IFERROR(__xludf.DUMMYFUNCTION("""COMPUTED_VALUE"""),163.0)</f>
        <v>163</v>
      </c>
      <c r="C171" s="252"/>
      <c r="D171" s="253" t="str">
        <f>IFERROR(__xludf.DUMMYFUNCTION("""COMPUTED_VALUE"""),"")</f>
        <v/>
      </c>
      <c r="E171" s="254">
        <f>IFERROR(__xludf.DUMMYFUNCTION("""COMPUTED_VALUE"""),0.0)</f>
        <v>0</v>
      </c>
      <c r="F171" s="255"/>
      <c r="G171" s="256"/>
      <c r="H171" s="252">
        <f>IFERROR(__xludf.DUMMYFUNCTION("""COMPUTED_VALUE"""),0.0)</f>
        <v>0</v>
      </c>
      <c r="I171" s="258"/>
      <c r="J171" s="258"/>
      <c r="K171" s="257">
        <f>IFERROR(__xludf.DUMMYFUNCTION("""COMPUTED_VALUE"""),0.0)</f>
        <v>0</v>
      </c>
      <c r="L171" s="258">
        <f>IFERROR(__xludf.DUMMYFUNCTION("""COMPUTED_VALUE"""),0.0)</f>
        <v>0</v>
      </c>
      <c r="M171" s="258">
        <f>IFERROR(__xludf.DUMMYFUNCTION("""COMPUTED_VALUE"""),0.0)</f>
        <v>0</v>
      </c>
      <c r="N171" s="258">
        <f>IFERROR(__xludf.DUMMYFUNCTION("""COMPUTED_VALUE"""),0.0)</f>
        <v>0</v>
      </c>
      <c r="O171" s="258">
        <f>IFERROR(__xludf.DUMMYFUNCTION("""COMPUTED_VALUE"""),0.0)</f>
        <v>0</v>
      </c>
      <c r="P171" s="258">
        <f>IFERROR(__xludf.DUMMYFUNCTION("""COMPUTED_VALUE"""),0.0)</f>
        <v>0</v>
      </c>
      <c r="Q171" s="258">
        <f>IFERROR(__xludf.DUMMYFUNCTION("""COMPUTED_VALUE"""),0.0)</f>
        <v>0</v>
      </c>
      <c r="R171" s="259"/>
      <c r="S171" s="260"/>
      <c r="T171" s="261"/>
      <c r="U171" s="262"/>
      <c r="V171" s="250"/>
      <c r="W171" s="250"/>
      <c r="X171" s="250"/>
      <c r="Y171" s="250"/>
      <c r="Z171" s="250"/>
      <c r="AA171" s="250"/>
      <c r="AB171" s="250"/>
      <c r="AC171" s="250"/>
      <c r="AD171" s="250"/>
      <c r="AE171" s="250"/>
      <c r="AF171" s="250"/>
      <c r="AG171" s="250"/>
      <c r="AH171" s="250"/>
      <c r="AI171" s="250"/>
      <c r="AJ171" s="250"/>
      <c r="AK171" s="250"/>
      <c r="AL171" s="250"/>
      <c r="AM171" s="250"/>
      <c r="AN171" s="250"/>
    </row>
    <row r="172" ht="15.75" customHeight="1">
      <c r="A172" s="250"/>
      <c r="B172" s="251">
        <f>IFERROR(__xludf.DUMMYFUNCTION("""COMPUTED_VALUE"""),164.0)</f>
        <v>164</v>
      </c>
      <c r="C172" s="252"/>
      <c r="D172" s="253" t="str">
        <f>IFERROR(__xludf.DUMMYFUNCTION("""COMPUTED_VALUE"""),"")</f>
        <v/>
      </c>
      <c r="E172" s="254">
        <f>IFERROR(__xludf.DUMMYFUNCTION("""COMPUTED_VALUE"""),0.0)</f>
        <v>0</v>
      </c>
      <c r="F172" s="255"/>
      <c r="G172" s="256"/>
      <c r="H172" s="252">
        <f>IFERROR(__xludf.DUMMYFUNCTION("""COMPUTED_VALUE"""),0.0)</f>
        <v>0</v>
      </c>
      <c r="I172" s="258"/>
      <c r="J172" s="258"/>
      <c r="K172" s="257">
        <f>IFERROR(__xludf.DUMMYFUNCTION("""COMPUTED_VALUE"""),0.0)</f>
        <v>0</v>
      </c>
      <c r="L172" s="258">
        <f>IFERROR(__xludf.DUMMYFUNCTION("""COMPUTED_VALUE"""),0.0)</f>
        <v>0</v>
      </c>
      <c r="M172" s="258">
        <f>IFERROR(__xludf.DUMMYFUNCTION("""COMPUTED_VALUE"""),0.0)</f>
        <v>0</v>
      </c>
      <c r="N172" s="258">
        <f>IFERROR(__xludf.DUMMYFUNCTION("""COMPUTED_VALUE"""),0.0)</f>
        <v>0</v>
      </c>
      <c r="O172" s="258">
        <f>IFERROR(__xludf.DUMMYFUNCTION("""COMPUTED_VALUE"""),0.0)</f>
        <v>0</v>
      </c>
      <c r="P172" s="258">
        <f>IFERROR(__xludf.DUMMYFUNCTION("""COMPUTED_VALUE"""),0.0)</f>
        <v>0</v>
      </c>
      <c r="Q172" s="258">
        <f>IFERROR(__xludf.DUMMYFUNCTION("""COMPUTED_VALUE"""),0.0)</f>
        <v>0</v>
      </c>
      <c r="R172" s="259"/>
      <c r="S172" s="260"/>
      <c r="T172" s="261"/>
      <c r="U172" s="262"/>
      <c r="V172" s="250"/>
      <c r="W172" s="250"/>
      <c r="X172" s="250"/>
      <c r="Y172" s="250"/>
      <c r="Z172" s="250"/>
      <c r="AA172" s="250"/>
      <c r="AB172" s="250"/>
      <c r="AC172" s="250"/>
      <c r="AD172" s="250"/>
      <c r="AE172" s="250"/>
      <c r="AF172" s="250"/>
      <c r="AG172" s="250"/>
      <c r="AH172" s="250"/>
      <c r="AI172" s="250"/>
      <c r="AJ172" s="250"/>
      <c r="AK172" s="250"/>
      <c r="AL172" s="250"/>
      <c r="AM172" s="250"/>
      <c r="AN172" s="250"/>
    </row>
    <row r="173" ht="15.75" customHeight="1">
      <c r="A173" s="250"/>
      <c r="B173" s="251">
        <f>IFERROR(__xludf.DUMMYFUNCTION("""COMPUTED_VALUE"""),165.0)</f>
        <v>165</v>
      </c>
      <c r="C173" s="252"/>
      <c r="D173" s="253" t="str">
        <f>IFERROR(__xludf.DUMMYFUNCTION("""COMPUTED_VALUE"""),"")</f>
        <v/>
      </c>
      <c r="E173" s="254">
        <f>IFERROR(__xludf.DUMMYFUNCTION("""COMPUTED_VALUE"""),0.0)</f>
        <v>0</v>
      </c>
      <c r="F173" s="255"/>
      <c r="G173" s="256"/>
      <c r="H173" s="252">
        <f>IFERROR(__xludf.DUMMYFUNCTION("""COMPUTED_VALUE"""),0.0)</f>
        <v>0</v>
      </c>
      <c r="I173" s="258"/>
      <c r="J173" s="258"/>
      <c r="K173" s="257">
        <f>IFERROR(__xludf.DUMMYFUNCTION("""COMPUTED_VALUE"""),0.0)</f>
        <v>0</v>
      </c>
      <c r="L173" s="258">
        <f>IFERROR(__xludf.DUMMYFUNCTION("""COMPUTED_VALUE"""),0.0)</f>
        <v>0</v>
      </c>
      <c r="M173" s="258">
        <f>IFERROR(__xludf.DUMMYFUNCTION("""COMPUTED_VALUE"""),0.0)</f>
        <v>0</v>
      </c>
      <c r="N173" s="258">
        <f>IFERROR(__xludf.DUMMYFUNCTION("""COMPUTED_VALUE"""),0.0)</f>
        <v>0</v>
      </c>
      <c r="O173" s="258">
        <f>IFERROR(__xludf.DUMMYFUNCTION("""COMPUTED_VALUE"""),0.0)</f>
        <v>0</v>
      </c>
      <c r="P173" s="258">
        <f>IFERROR(__xludf.DUMMYFUNCTION("""COMPUTED_VALUE"""),0.0)</f>
        <v>0</v>
      </c>
      <c r="Q173" s="258">
        <f>IFERROR(__xludf.DUMMYFUNCTION("""COMPUTED_VALUE"""),0.0)</f>
        <v>0</v>
      </c>
      <c r="R173" s="259"/>
      <c r="S173" s="260"/>
      <c r="T173" s="261"/>
      <c r="U173" s="262"/>
      <c r="V173" s="250"/>
      <c r="W173" s="250"/>
      <c r="X173" s="250"/>
      <c r="Y173" s="250"/>
      <c r="Z173" s="250"/>
      <c r="AA173" s="250"/>
      <c r="AB173" s="250"/>
      <c r="AC173" s="250"/>
      <c r="AD173" s="250"/>
      <c r="AE173" s="250"/>
      <c r="AF173" s="250"/>
      <c r="AG173" s="250"/>
      <c r="AH173" s="250"/>
      <c r="AI173" s="250"/>
      <c r="AJ173" s="250"/>
      <c r="AK173" s="250"/>
      <c r="AL173" s="250"/>
      <c r="AM173" s="250"/>
      <c r="AN173" s="250"/>
    </row>
    <row r="174" ht="15.75" customHeight="1">
      <c r="A174" s="250"/>
      <c r="B174" s="251">
        <f>IFERROR(__xludf.DUMMYFUNCTION("""COMPUTED_VALUE"""),166.0)</f>
        <v>166</v>
      </c>
      <c r="C174" s="252"/>
      <c r="D174" s="253" t="str">
        <f>IFERROR(__xludf.DUMMYFUNCTION("""COMPUTED_VALUE"""),"")</f>
        <v/>
      </c>
      <c r="E174" s="254">
        <f>IFERROR(__xludf.DUMMYFUNCTION("""COMPUTED_VALUE"""),0.0)</f>
        <v>0</v>
      </c>
      <c r="F174" s="255"/>
      <c r="G174" s="256"/>
      <c r="H174" s="252">
        <f>IFERROR(__xludf.DUMMYFUNCTION("""COMPUTED_VALUE"""),0.0)</f>
        <v>0</v>
      </c>
      <c r="I174" s="258"/>
      <c r="J174" s="258"/>
      <c r="K174" s="257">
        <f>IFERROR(__xludf.DUMMYFUNCTION("""COMPUTED_VALUE"""),0.0)</f>
        <v>0</v>
      </c>
      <c r="L174" s="258">
        <f>IFERROR(__xludf.DUMMYFUNCTION("""COMPUTED_VALUE"""),0.0)</f>
        <v>0</v>
      </c>
      <c r="M174" s="258">
        <f>IFERROR(__xludf.DUMMYFUNCTION("""COMPUTED_VALUE"""),0.0)</f>
        <v>0</v>
      </c>
      <c r="N174" s="258">
        <f>IFERROR(__xludf.DUMMYFUNCTION("""COMPUTED_VALUE"""),0.0)</f>
        <v>0</v>
      </c>
      <c r="O174" s="258">
        <f>IFERROR(__xludf.DUMMYFUNCTION("""COMPUTED_VALUE"""),0.0)</f>
        <v>0</v>
      </c>
      <c r="P174" s="258">
        <f>IFERROR(__xludf.DUMMYFUNCTION("""COMPUTED_VALUE"""),0.0)</f>
        <v>0</v>
      </c>
      <c r="Q174" s="258">
        <f>IFERROR(__xludf.DUMMYFUNCTION("""COMPUTED_VALUE"""),0.0)</f>
        <v>0</v>
      </c>
      <c r="R174" s="259"/>
      <c r="S174" s="260"/>
      <c r="T174" s="261"/>
      <c r="U174" s="262"/>
      <c r="V174" s="250"/>
      <c r="W174" s="250"/>
      <c r="X174" s="250"/>
      <c r="Y174" s="250"/>
      <c r="Z174" s="250"/>
      <c r="AA174" s="250"/>
      <c r="AB174" s="250"/>
      <c r="AC174" s="250"/>
      <c r="AD174" s="250"/>
      <c r="AE174" s="250"/>
      <c r="AF174" s="250"/>
      <c r="AG174" s="250"/>
      <c r="AH174" s="250"/>
      <c r="AI174" s="250"/>
      <c r="AJ174" s="250"/>
      <c r="AK174" s="250"/>
      <c r="AL174" s="250"/>
      <c r="AM174" s="250"/>
      <c r="AN174" s="250"/>
    </row>
    <row r="175" ht="15.75" customHeight="1">
      <c r="A175" s="250"/>
      <c r="B175" s="251">
        <f>IFERROR(__xludf.DUMMYFUNCTION("""COMPUTED_VALUE"""),167.0)</f>
        <v>167</v>
      </c>
      <c r="C175" s="252"/>
      <c r="D175" s="253" t="str">
        <f>IFERROR(__xludf.DUMMYFUNCTION("""COMPUTED_VALUE"""),"")</f>
        <v/>
      </c>
      <c r="E175" s="254">
        <f>IFERROR(__xludf.DUMMYFUNCTION("""COMPUTED_VALUE"""),0.0)</f>
        <v>0</v>
      </c>
      <c r="F175" s="255"/>
      <c r="G175" s="256"/>
      <c r="H175" s="252">
        <f>IFERROR(__xludf.DUMMYFUNCTION("""COMPUTED_VALUE"""),0.0)</f>
        <v>0</v>
      </c>
      <c r="I175" s="258"/>
      <c r="J175" s="258"/>
      <c r="K175" s="257">
        <f>IFERROR(__xludf.DUMMYFUNCTION("""COMPUTED_VALUE"""),0.0)</f>
        <v>0</v>
      </c>
      <c r="L175" s="258">
        <f>IFERROR(__xludf.DUMMYFUNCTION("""COMPUTED_VALUE"""),0.0)</f>
        <v>0</v>
      </c>
      <c r="M175" s="258">
        <f>IFERROR(__xludf.DUMMYFUNCTION("""COMPUTED_VALUE"""),0.0)</f>
        <v>0</v>
      </c>
      <c r="N175" s="258">
        <f>IFERROR(__xludf.DUMMYFUNCTION("""COMPUTED_VALUE"""),0.0)</f>
        <v>0</v>
      </c>
      <c r="O175" s="258">
        <f>IFERROR(__xludf.DUMMYFUNCTION("""COMPUTED_VALUE"""),0.0)</f>
        <v>0</v>
      </c>
      <c r="P175" s="258">
        <f>IFERROR(__xludf.DUMMYFUNCTION("""COMPUTED_VALUE"""),0.0)</f>
        <v>0</v>
      </c>
      <c r="Q175" s="258">
        <f>IFERROR(__xludf.DUMMYFUNCTION("""COMPUTED_VALUE"""),0.0)</f>
        <v>0</v>
      </c>
      <c r="R175" s="259"/>
      <c r="S175" s="260"/>
      <c r="T175" s="261"/>
      <c r="U175" s="262"/>
      <c r="V175" s="250"/>
      <c r="W175" s="250"/>
      <c r="X175" s="250"/>
      <c r="Y175" s="250"/>
      <c r="Z175" s="250"/>
      <c r="AA175" s="250"/>
      <c r="AB175" s="250"/>
      <c r="AC175" s="250"/>
      <c r="AD175" s="250"/>
      <c r="AE175" s="250"/>
      <c r="AF175" s="250"/>
      <c r="AG175" s="250"/>
      <c r="AH175" s="250"/>
      <c r="AI175" s="250"/>
      <c r="AJ175" s="250"/>
      <c r="AK175" s="250"/>
      <c r="AL175" s="250"/>
      <c r="AM175" s="250"/>
      <c r="AN175" s="250"/>
    </row>
    <row r="176" ht="15.75" customHeight="1">
      <c r="A176" s="250"/>
      <c r="B176" s="251">
        <f>IFERROR(__xludf.DUMMYFUNCTION("""COMPUTED_VALUE"""),168.0)</f>
        <v>168</v>
      </c>
      <c r="C176" s="252"/>
      <c r="D176" s="253" t="str">
        <f>IFERROR(__xludf.DUMMYFUNCTION("""COMPUTED_VALUE"""),"")</f>
        <v/>
      </c>
      <c r="E176" s="254">
        <f>IFERROR(__xludf.DUMMYFUNCTION("""COMPUTED_VALUE"""),0.0)</f>
        <v>0</v>
      </c>
      <c r="F176" s="255"/>
      <c r="G176" s="256"/>
      <c r="H176" s="252">
        <f>IFERROR(__xludf.DUMMYFUNCTION("""COMPUTED_VALUE"""),0.0)</f>
        <v>0</v>
      </c>
      <c r="I176" s="258"/>
      <c r="J176" s="258"/>
      <c r="K176" s="257">
        <f>IFERROR(__xludf.DUMMYFUNCTION("""COMPUTED_VALUE"""),0.0)</f>
        <v>0</v>
      </c>
      <c r="L176" s="258">
        <f>IFERROR(__xludf.DUMMYFUNCTION("""COMPUTED_VALUE"""),0.0)</f>
        <v>0</v>
      </c>
      <c r="M176" s="258">
        <f>IFERROR(__xludf.DUMMYFUNCTION("""COMPUTED_VALUE"""),0.0)</f>
        <v>0</v>
      </c>
      <c r="N176" s="258">
        <f>IFERROR(__xludf.DUMMYFUNCTION("""COMPUTED_VALUE"""),0.0)</f>
        <v>0</v>
      </c>
      <c r="O176" s="258">
        <f>IFERROR(__xludf.DUMMYFUNCTION("""COMPUTED_VALUE"""),0.0)</f>
        <v>0</v>
      </c>
      <c r="P176" s="258">
        <f>IFERROR(__xludf.DUMMYFUNCTION("""COMPUTED_VALUE"""),0.0)</f>
        <v>0</v>
      </c>
      <c r="Q176" s="258">
        <f>IFERROR(__xludf.DUMMYFUNCTION("""COMPUTED_VALUE"""),0.0)</f>
        <v>0</v>
      </c>
      <c r="R176" s="259"/>
      <c r="S176" s="260"/>
      <c r="T176" s="261"/>
      <c r="U176" s="262"/>
      <c r="V176" s="250"/>
      <c r="W176" s="250"/>
      <c r="X176" s="250"/>
      <c r="Y176" s="250"/>
      <c r="Z176" s="250"/>
      <c r="AA176" s="250"/>
      <c r="AB176" s="250"/>
      <c r="AC176" s="250"/>
      <c r="AD176" s="250"/>
      <c r="AE176" s="250"/>
      <c r="AF176" s="250"/>
      <c r="AG176" s="250"/>
      <c r="AH176" s="250"/>
      <c r="AI176" s="250"/>
      <c r="AJ176" s="250"/>
      <c r="AK176" s="250"/>
      <c r="AL176" s="250"/>
      <c r="AM176" s="250"/>
      <c r="AN176" s="250"/>
    </row>
    <row r="177" ht="15.75" customHeight="1">
      <c r="A177" s="250"/>
      <c r="B177" s="251">
        <f>IFERROR(__xludf.DUMMYFUNCTION("""COMPUTED_VALUE"""),169.0)</f>
        <v>169</v>
      </c>
      <c r="C177" s="252"/>
      <c r="D177" s="253" t="str">
        <f>IFERROR(__xludf.DUMMYFUNCTION("""COMPUTED_VALUE"""),"")</f>
        <v/>
      </c>
      <c r="E177" s="254">
        <f>IFERROR(__xludf.DUMMYFUNCTION("""COMPUTED_VALUE"""),0.0)</f>
        <v>0</v>
      </c>
      <c r="F177" s="255"/>
      <c r="G177" s="256"/>
      <c r="H177" s="252">
        <f>IFERROR(__xludf.DUMMYFUNCTION("""COMPUTED_VALUE"""),0.0)</f>
        <v>0</v>
      </c>
      <c r="I177" s="258"/>
      <c r="J177" s="258"/>
      <c r="K177" s="257">
        <f>IFERROR(__xludf.DUMMYFUNCTION("""COMPUTED_VALUE"""),0.0)</f>
        <v>0</v>
      </c>
      <c r="L177" s="258">
        <f>IFERROR(__xludf.DUMMYFUNCTION("""COMPUTED_VALUE"""),0.0)</f>
        <v>0</v>
      </c>
      <c r="M177" s="258">
        <f>IFERROR(__xludf.DUMMYFUNCTION("""COMPUTED_VALUE"""),0.0)</f>
        <v>0</v>
      </c>
      <c r="N177" s="258">
        <f>IFERROR(__xludf.DUMMYFUNCTION("""COMPUTED_VALUE"""),0.0)</f>
        <v>0</v>
      </c>
      <c r="O177" s="258">
        <f>IFERROR(__xludf.DUMMYFUNCTION("""COMPUTED_VALUE"""),0.0)</f>
        <v>0</v>
      </c>
      <c r="P177" s="258">
        <f>IFERROR(__xludf.DUMMYFUNCTION("""COMPUTED_VALUE"""),0.0)</f>
        <v>0</v>
      </c>
      <c r="Q177" s="258">
        <f>IFERROR(__xludf.DUMMYFUNCTION("""COMPUTED_VALUE"""),0.0)</f>
        <v>0</v>
      </c>
      <c r="R177" s="259"/>
      <c r="S177" s="260"/>
      <c r="T177" s="261"/>
      <c r="U177" s="262"/>
      <c r="V177" s="250"/>
      <c r="W177" s="250"/>
      <c r="X177" s="250"/>
      <c r="Y177" s="250"/>
      <c r="Z177" s="250"/>
      <c r="AA177" s="250"/>
      <c r="AB177" s="250"/>
      <c r="AC177" s="250"/>
      <c r="AD177" s="250"/>
      <c r="AE177" s="250"/>
      <c r="AF177" s="250"/>
      <c r="AG177" s="250"/>
      <c r="AH177" s="250"/>
      <c r="AI177" s="250"/>
      <c r="AJ177" s="250"/>
      <c r="AK177" s="250"/>
      <c r="AL177" s="250"/>
      <c r="AM177" s="250"/>
      <c r="AN177" s="250"/>
    </row>
    <row r="178" ht="15.75" customHeight="1">
      <c r="A178" s="250"/>
      <c r="B178" s="251">
        <f>IFERROR(__xludf.DUMMYFUNCTION("""COMPUTED_VALUE"""),170.0)</f>
        <v>170</v>
      </c>
      <c r="C178" s="252"/>
      <c r="D178" s="253" t="str">
        <f>IFERROR(__xludf.DUMMYFUNCTION("""COMPUTED_VALUE"""),"")</f>
        <v/>
      </c>
      <c r="E178" s="254">
        <f>IFERROR(__xludf.DUMMYFUNCTION("""COMPUTED_VALUE"""),0.0)</f>
        <v>0</v>
      </c>
      <c r="F178" s="255"/>
      <c r="G178" s="256"/>
      <c r="H178" s="252">
        <f>IFERROR(__xludf.DUMMYFUNCTION("""COMPUTED_VALUE"""),0.0)</f>
        <v>0</v>
      </c>
      <c r="I178" s="258"/>
      <c r="J178" s="258"/>
      <c r="K178" s="257">
        <f>IFERROR(__xludf.DUMMYFUNCTION("""COMPUTED_VALUE"""),0.0)</f>
        <v>0</v>
      </c>
      <c r="L178" s="258">
        <f>IFERROR(__xludf.DUMMYFUNCTION("""COMPUTED_VALUE"""),0.0)</f>
        <v>0</v>
      </c>
      <c r="M178" s="258">
        <f>IFERROR(__xludf.DUMMYFUNCTION("""COMPUTED_VALUE"""),0.0)</f>
        <v>0</v>
      </c>
      <c r="N178" s="258">
        <f>IFERROR(__xludf.DUMMYFUNCTION("""COMPUTED_VALUE"""),0.0)</f>
        <v>0</v>
      </c>
      <c r="O178" s="258">
        <f>IFERROR(__xludf.DUMMYFUNCTION("""COMPUTED_VALUE"""),0.0)</f>
        <v>0</v>
      </c>
      <c r="P178" s="258">
        <f>IFERROR(__xludf.DUMMYFUNCTION("""COMPUTED_VALUE"""),0.0)</f>
        <v>0</v>
      </c>
      <c r="Q178" s="258">
        <f>IFERROR(__xludf.DUMMYFUNCTION("""COMPUTED_VALUE"""),0.0)</f>
        <v>0</v>
      </c>
      <c r="R178" s="259"/>
      <c r="S178" s="260"/>
      <c r="T178" s="261"/>
      <c r="U178" s="262"/>
      <c r="V178" s="250"/>
      <c r="W178" s="250"/>
      <c r="X178" s="250"/>
      <c r="Y178" s="250"/>
      <c r="Z178" s="250"/>
      <c r="AA178" s="250"/>
      <c r="AB178" s="250"/>
      <c r="AC178" s="250"/>
      <c r="AD178" s="250"/>
      <c r="AE178" s="250"/>
      <c r="AF178" s="250"/>
      <c r="AG178" s="250"/>
      <c r="AH178" s="250"/>
      <c r="AI178" s="250"/>
      <c r="AJ178" s="250"/>
      <c r="AK178" s="250"/>
      <c r="AL178" s="250"/>
      <c r="AM178" s="250"/>
      <c r="AN178" s="250"/>
    </row>
    <row r="179" ht="15.75" customHeight="1">
      <c r="A179" s="250"/>
      <c r="B179" s="251">
        <f>IFERROR(__xludf.DUMMYFUNCTION("""COMPUTED_VALUE"""),171.0)</f>
        <v>171</v>
      </c>
      <c r="C179" s="252"/>
      <c r="D179" s="253" t="str">
        <f>IFERROR(__xludf.DUMMYFUNCTION("""COMPUTED_VALUE"""),"")</f>
        <v/>
      </c>
      <c r="E179" s="254">
        <f>IFERROR(__xludf.DUMMYFUNCTION("""COMPUTED_VALUE"""),0.0)</f>
        <v>0</v>
      </c>
      <c r="F179" s="255"/>
      <c r="G179" s="256"/>
      <c r="H179" s="252">
        <f>IFERROR(__xludf.DUMMYFUNCTION("""COMPUTED_VALUE"""),0.0)</f>
        <v>0</v>
      </c>
      <c r="I179" s="258"/>
      <c r="J179" s="258"/>
      <c r="K179" s="257">
        <f>IFERROR(__xludf.DUMMYFUNCTION("""COMPUTED_VALUE"""),0.0)</f>
        <v>0</v>
      </c>
      <c r="L179" s="258">
        <f>IFERROR(__xludf.DUMMYFUNCTION("""COMPUTED_VALUE"""),0.0)</f>
        <v>0</v>
      </c>
      <c r="M179" s="258">
        <f>IFERROR(__xludf.DUMMYFUNCTION("""COMPUTED_VALUE"""),0.0)</f>
        <v>0</v>
      </c>
      <c r="N179" s="258">
        <f>IFERROR(__xludf.DUMMYFUNCTION("""COMPUTED_VALUE"""),0.0)</f>
        <v>0</v>
      </c>
      <c r="O179" s="258">
        <f>IFERROR(__xludf.DUMMYFUNCTION("""COMPUTED_VALUE"""),0.0)</f>
        <v>0</v>
      </c>
      <c r="P179" s="258">
        <f>IFERROR(__xludf.DUMMYFUNCTION("""COMPUTED_VALUE"""),0.0)</f>
        <v>0</v>
      </c>
      <c r="Q179" s="258">
        <f>IFERROR(__xludf.DUMMYFUNCTION("""COMPUTED_VALUE"""),0.0)</f>
        <v>0</v>
      </c>
      <c r="R179" s="259"/>
      <c r="S179" s="260"/>
      <c r="T179" s="261"/>
      <c r="U179" s="262"/>
      <c r="V179" s="250"/>
      <c r="W179" s="250"/>
      <c r="X179" s="250"/>
      <c r="Y179" s="250"/>
      <c r="Z179" s="250"/>
      <c r="AA179" s="250"/>
      <c r="AB179" s="250"/>
      <c r="AC179" s="250"/>
      <c r="AD179" s="250"/>
      <c r="AE179" s="250"/>
      <c r="AF179" s="250"/>
      <c r="AG179" s="250"/>
      <c r="AH179" s="250"/>
      <c r="AI179" s="250"/>
      <c r="AJ179" s="250"/>
      <c r="AK179" s="250"/>
      <c r="AL179" s="250"/>
      <c r="AM179" s="250"/>
      <c r="AN179" s="250"/>
    </row>
    <row r="180" ht="15.75" customHeight="1">
      <c r="A180" s="250"/>
      <c r="B180" s="251">
        <f>IFERROR(__xludf.DUMMYFUNCTION("""COMPUTED_VALUE"""),172.0)</f>
        <v>172</v>
      </c>
      <c r="C180" s="252"/>
      <c r="D180" s="253" t="str">
        <f>IFERROR(__xludf.DUMMYFUNCTION("""COMPUTED_VALUE"""),"")</f>
        <v/>
      </c>
      <c r="E180" s="254">
        <f>IFERROR(__xludf.DUMMYFUNCTION("""COMPUTED_VALUE"""),0.0)</f>
        <v>0</v>
      </c>
      <c r="F180" s="255"/>
      <c r="G180" s="256"/>
      <c r="H180" s="252">
        <f>IFERROR(__xludf.DUMMYFUNCTION("""COMPUTED_VALUE"""),0.0)</f>
        <v>0</v>
      </c>
      <c r="I180" s="258"/>
      <c r="J180" s="258"/>
      <c r="K180" s="257">
        <f>IFERROR(__xludf.DUMMYFUNCTION("""COMPUTED_VALUE"""),0.0)</f>
        <v>0</v>
      </c>
      <c r="L180" s="258">
        <f>IFERROR(__xludf.DUMMYFUNCTION("""COMPUTED_VALUE"""),0.0)</f>
        <v>0</v>
      </c>
      <c r="M180" s="258">
        <f>IFERROR(__xludf.DUMMYFUNCTION("""COMPUTED_VALUE"""),0.0)</f>
        <v>0</v>
      </c>
      <c r="N180" s="258">
        <f>IFERROR(__xludf.DUMMYFUNCTION("""COMPUTED_VALUE"""),0.0)</f>
        <v>0</v>
      </c>
      <c r="O180" s="258">
        <f>IFERROR(__xludf.DUMMYFUNCTION("""COMPUTED_VALUE"""),0.0)</f>
        <v>0</v>
      </c>
      <c r="P180" s="258">
        <f>IFERROR(__xludf.DUMMYFUNCTION("""COMPUTED_VALUE"""),0.0)</f>
        <v>0</v>
      </c>
      <c r="Q180" s="258">
        <f>IFERROR(__xludf.DUMMYFUNCTION("""COMPUTED_VALUE"""),0.0)</f>
        <v>0</v>
      </c>
      <c r="R180" s="259"/>
      <c r="S180" s="260"/>
      <c r="T180" s="261"/>
      <c r="U180" s="262"/>
      <c r="V180" s="250"/>
      <c r="W180" s="250"/>
      <c r="X180" s="250"/>
      <c r="Y180" s="250"/>
      <c r="Z180" s="250"/>
      <c r="AA180" s="250"/>
      <c r="AB180" s="250"/>
      <c r="AC180" s="250"/>
      <c r="AD180" s="250"/>
      <c r="AE180" s="250"/>
      <c r="AF180" s="250"/>
      <c r="AG180" s="250"/>
      <c r="AH180" s="250"/>
      <c r="AI180" s="250"/>
      <c r="AJ180" s="250"/>
      <c r="AK180" s="250"/>
      <c r="AL180" s="250"/>
      <c r="AM180" s="250"/>
      <c r="AN180" s="250"/>
    </row>
    <row r="181" ht="15.75" customHeight="1">
      <c r="A181" s="250"/>
      <c r="B181" s="251">
        <f>IFERROR(__xludf.DUMMYFUNCTION("""COMPUTED_VALUE"""),173.0)</f>
        <v>173</v>
      </c>
      <c r="C181" s="252"/>
      <c r="D181" s="253" t="str">
        <f>IFERROR(__xludf.DUMMYFUNCTION("""COMPUTED_VALUE"""),"")</f>
        <v/>
      </c>
      <c r="E181" s="254">
        <f>IFERROR(__xludf.DUMMYFUNCTION("""COMPUTED_VALUE"""),0.0)</f>
        <v>0</v>
      </c>
      <c r="F181" s="255"/>
      <c r="G181" s="256"/>
      <c r="H181" s="252">
        <f>IFERROR(__xludf.DUMMYFUNCTION("""COMPUTED_VALUE"""),0.0)</f>
        <v>0</v>
      </c>
      <c r="I181" s="258"/>
      <c r="J181" s="258"/>
      <c r="K181" s="257">
        <f>IFERROR(__xludf.DUMMYFUNCTION("""COMPUTED_VALUE"""),0.0)</f>
        <v>0</v>
      </c>
      <c r="L181" s="258">
        <f>IFERROR(__xludf.DUMMYFUNCTION("""COMPUTED_VALUE"""),0.0)</f>
        <v>0</v>
      </c>
      <c r="M181" s="258">
        <f>IFERROR(__xludf.DUMMYFUNCTION("""COMPUTED_VALUE"""),0.0)</f>
        <v>0</v>
      </c>
      <c r="N181" s="258">
        <f>IFERROR(__xludf.DUMMYFUNCTION("""COMPUTED_VALUE"""),0.0)</f>
        <v>0</v>
      </c>
      <c r="O181" s="258">
        <f>IFERROR(__xludf.DUMMYFUNCTION("""COMPUTED_VALUE"""),0.0)</f>
        <v>0</v>
      </c>
      <c r="P181" s="258">
        <f>IFERROR(__xludf.DUMMYFUNCTION("""COMPUTED_VALUE"""),0.0)</f>
        <v>0</v>
      </c>
      <c r="Q181" s="258">
        <f>IFERROR(__xludf.DUMMYFUNCTION("""COMPUTED_VALUE"""),0.0)</f>
        <v>0</v>
      </c>
      <c r="R181" s="259"/>
      <c r="S181" s="260"/>
      <c r="T181" s="261"/>
      <c r="U181" s="262"/>
      <c r="V181" s="250"/>
      <c r="W181" s="250"/>
      <c r="X181" s="250"/>
      <c r="Y181" s="250"/>
      <c r="Z181" s="250"/>
      <c r="AA181" s="250"/>
      <c r="AB181" s="250"/>
      <c r="AC181" s="250"/>
      <c r="AD181" s="250"/>
      <c r="AE181" s="250"/>
      <c r="AF181" s="250"/>
      <c r="AG181" s="250"/>
      <c r="AH181" s="250"/>
      <c r="AI181" s="250"/>
      <c r="AJ181" s="250"/>
      <c r="AK181" s="250"/>
      <c r="AL181" s="250"/>
      <c r="AM181" s="250"/>
      <c r="AN181" s="250"/>
    </row>
    <row r="182" ht="15.75" customHeight="1">
      <c r="A182" s="250"/>
      <c r="B182" s="251">
        <f>IFERROR(__xludf.DUMMYFUNCTION("""COMPUTED_VALUE"""),174.0)</f>
        <v>174</v>
      </c>
      <c r="C182" s="252"/>
      <c r="D182" s="253" t="str">
        <f>IFERROR(__xludf.DUMMYFUNCTION("""COMPUTED_VALUE"""),"")</f>
        <v/>
      </c>
      <c r="E182" s="254">
        <f>IFERROR(__xludf.DUMMYFUNCTION("""COMPUTED_VALUE"""),0.0)</f>
        <v>0</v>
      </c>
      <c r="F182" s="255"/>
      <c r="G182" s="256"/>
      <c r="H182" s="252">
        <f>IFERROR(__xludf.DUMMYFUNCTION("""COMPUTED_VALUE"""),0.0)</f>
        <v>0</v>
      </c>
      <c r="I182" s="258"/>
      <c r="J182" s="258"/>
      <c r="K182" s="257">
        <f>IFERROR(__xludf.DUMMYFUNCTION("""COMPUTED_VALUE"""),0.0)</f>
        <v>0</v>
      </c>
      <c r="L182" s="258">
        <f>IFERROR(__xludf.DUMMYFUNCTION("""COMPUTED_VALUE"""),0.0)</f>
        <v>0</v>
      </c>
      <c r="M182" s="258">
        <f>IFERROR(__xludf.DUMMYFUNCTION("""COMPUTED_VALUE"""),0.0)</f>
        <v>0</v>
      </c>
      <c r="N182" s="258">
        <f>IFERROR(__xludf.DUMMYFUNCTION("""COMPUTED_VALUE"""),0.0)</f>
        <v>0</v>
      </c>
      <c r="O182" s="258">
        <f>IFERROR(__xludf.DUMMYFUNCTION("""COMPUTED_VALUE"""),0.0)</f>
        <v>0</v>
      </c>
      <c r="P182" s="258">
        <f>IFERROR(__xludf.DUMMYFUNCTION("""COMPUTED_VALUE"""),0.0)</f>
        <v>0</v>
      </c>
      <c r="Q182" s="258">
        <f>IFERROR(__xludf.DUMMYFUNCTION("""COMPUTED_VALUE"""),0.0)</f>
        <v>0</v>
      </c>
      <c r="R182" s="259"/>
      <c r="S182" s="260"/>
      <c r="T182" s="261"/>
      <c r="U182" s="262"/>
      <c r="V182" s="250"/>
      <c r="W182" s="250"/>
      <c r="X182" s="250"/>
      <c r="Y182" s="250"/>
      <c r="Z182" s="250"/>
      <c r="AA182" s="250"/>
      <c r="AB182" s="250"/>
      <c r="AC182" s="250"/>
      <c r="AD182" s="250"/>
      <c r="AE182" s="250"/>
      <c r="AF182" s="250"/>
      <c r="AG182" s="250"/>
      <c r="AH182" s="250"/>
      <c r="AI182" s="250"/>
      <c r="AJ182" s="250"/>
      <c r="AK182" s="250"/>
      <c r="AL182" s="250"/>
      <c r="AM182" s="250"/>
      <c r="AN182" s="250"/>
    </row>
    <row r="183" ht="15.75" customHeight="1">
      <c r="A183" s="250"/>
      <c r="B183" s="251">
        <f>IFERROR(__xludf.DUMMYFUNCTION("""COMPUTED_VALUE"""),175.0)</f>
        <v>175</v>
      </c>
      <c r="C183" s="252"/>
      <c r="D183" s="253" t="str">
        <f>IFERROR(__xludf.DUMMYFUNCTION("""COMPUTED_VALUE"""),"")</f>
        <v/>
      </c>
      <c r="E183" s="254">
        <f>IFERROR(__xludf.DUMMYFUNCTION("""COMPUTED_VALUE"""),0.0)</f>
        <v>0</v>
      </c>
      <c r="F183" s="255"/>
      <c r="G183" s="256"/>
      <c r="H183" s="252">
        <f>IFERROR(__xludf.DUMMYFUNCTION("""COMPUTED_VALUE"""),0.0)</f>
        <v>0</v>
      </c>
      <c r="I183" s="258"/>
      <c r="J183" s="258"/>
      <c r="K183" s="257">
        <f>IFERROR(__xludf.DUMMYFUNCTION("""COMPUTED_VALUE"""),0.0)</f>
        <v>0</v>
      </c>
      <c r="L183" s="258">
        <f>IFERROR(__xludf.DUMMYFUNCTION("""COMPUTED_VALUE"""),0.0)</f>
        <v>0</v>
      </c>
      <c r="M183" s="258">
        <f>IFERROR(__xludf.DUMMYFUNCTION("""COMPUTED_VALUE"""),0.0)</f>
        <v>0</v>
      </c>
      <c r="N183" s="258">
        <f>IFERROR(__xludf.DUMMYFUNCTION("""COMPUTED_VALUE"""),0.0)</f>
        <v>0</v>
      </c>
      <c r="O183" s="258">
        <f>IFERROR(__xludf.DUMMYFUNCTION("""COMPUTED_VALUE"""),0.0)</f>
        <v>0</v>
      </c>
      <c r="P183" s="258">
        <f>IFERROR(__xludf.DUMMYFUNCTION("""COMPUTED_VALUE"""),0.0)</f>
        <v>0</v>
      </c>
      <c r="Q183" s="258">
        <f>IFERROR(__xludf.DUMMYFUNCTION("""COMPUTED_VALUE"""),0.0)</f>
        <v>0</v>
      </c>
      <c r="R183" s="259"/>
      <c r="S183" s="260"/>
      <c r="T183" s="261"/>
      <c r="U183" s="262"/>
      <c r="V183" s="250"/>
      <c r="W183" s="250"/>
      <c r="X183" s="250"/>
      <c r="Y183" s="250"/>
      <c r="Z183" s="250"/>
      <c r="AA183" s="250"/>
      <c r="AB183" s="250"/>
      <c r="AC183" s="250"/>
      <c r="AD183" s="250"/>
      <c r="AE183" s="250"/>
      <c r="AF183" s="250"/>
      <c r="AG183" s="250"/>
      <c r="AH183" s="250"/>
      <c r="AI183" s="250"/>
      <c r="AJ183" s="250"/>
      <c r="AK183" s="250"/>
      <c r="AL183" s="250"/>
      <c r="AM183" s="250"/>
      <c r="AN183" s="250"/>
    </row>
    <row r="184" ht="15.75" customHeight="1">
      <c r="A184" s="250"/>
      <c r="B184" s="251">
        <f>IFERROR(__xludf.DUMMYFUNCTION("""COMPUTED_VALUE"""),176.0)</f>
        <v>176</v>
      </c>
      <c r="C184" s="252"/>
      <c r="D184" s="253" t="str">
        <f>IFERROR(__xludf.DUMMYFUNCTION("""COMPUTED_VALUE"""),"")</f>
        <v/>
      </c>
      <c r="E184" s="254">
        <f>IFERROR(__xludf.DUMMYFUNCTION("""COMPUTED_VALUE"""),0.0)</f>
        <v>0</v>
      </c>
      <c r="F184" s="255"/>
      <c r="G184" s="256"/>
      <c r="H184" s="252">
        <f>IFERROR(__xludf.DUMMYFUNCTION("""COMPUTED_VALUE"""),0.0)</f>
        <v>0</v>
      </c>
      <c r="I184" s="258"/>
      <c r="J184" s="258"/>
      <c r="K184" s="257">
        <f>IFERROR(__xludf.DUMMYFUNCTION("""COMPUTED_VALUE"""),0.0)</f>
        <v>0</v>
      </c>
      <c r="L184" s="258">
        <f>IFERROR(__xludf.DUMMYFUNCTION("""COMPUTED_VALUE"""),0.0)</f>
        <v>0</v>
      </c>
      <c r="M184" s="258">
        <f>IFERROR(__xludf.DUMMYFUNCTION("""COMPUTED_VALUE"""),0.0)</f>
        <v>0</v>
      </c>
      <c r="N184" s="258">
        <f>IFERROR(__xludf.DUMMYFUNCTION("""COMPUTED_VALUE"""),0.0)</f>
        <v>0</v>
      </c>
      <c r="O184" s="258">
        <f>IFERROR(__xludf.DUMMYFUNCTION("""COMPUTED_VALUE"""),0.0)</f>
        <v>0</v>
      </c>
      <c r="P184" s="258">
        <f>IFERROR(__xludf.DUMMYFUNCTION("""COMPUTED_VALUE"""),0.0)</f>
        <v>0</v>
      </c>
      <c r="Q184" s="258">
        <f>IFERROR(__xludf.DUMMYFUNCTION("""COMPUTED_VALUE"""),0.0)</f>
        <v>0</v>
      </c>
      <c r="R184" s="259"/>
      <c r="S184" s="260"/>
      <c r="T184" s="261"/>
      <c r="U184" s="262"/>
      <c r="V184" s="250"/>
      <c r="W184" s="250"/>
      <c r="X184" s="250"/>
      <c r="Y184" s="250"/>
      <c r="Z184" s="250"/>
      <c r="AA184" s="250"/>
      <c r="AB184" s="250"/>
      <c r="AC184" s="250"/>
      <c r="AD184" s="250"/>
      <c r="AE184" s="250"/>
      <c r="AF184" s="250"/>
      <c r="AG184" s="250"/>
      <c r="AH184" s="250"/>
      <c r="AI184" s="250"/>
      <c r="AJ184" s="250"/>
      <c r="AK184" s="250"/>
      <c r="AL184" s="250"/>
      <c r="AM184" s="250"/>
      <c r="AN184" s="250"/>
    </row>
    <row r="185" ht="15.75" customHeight="1">
      <c r="A185" s="250"/>
      <c r="B185" s="251">
        <f>IFERROR(__xludf.DUMMYFUNCTION("""COMPUTED_VALUE"""),177.0)</f>
        <v>177</v>
      </c>
      <c r="C185" s="252"/>
      <c r="D185" s="253" t="str">
        <f>IFERROR(__xludf.DUMMYFUNCTION("""COMPUTED_VALUE"""),"")</f>
        <v/>
      </c>
      <c r="E185" s="254">
        <f>IFERROR(__xludf.DUMMYFUNCTION("""COMPUTED_VALUE"""),0.0)</f>
        <v>0</v>
      </c>
      <c r="F185" s="255"/>
      <c r="G185" s="256"/>
      <c r="H185" s="252">
        <f>IFERROR(__xludf.DUMMYFUNCTION("""COMPUTED_VALUE"""),0.0)</f>
        <v>0</v>
      </c>
      <c r="I185" s="258"/>
      <c r="J185" s="258"/>
      <c r="K185" s="257">
        <f>IFERROR(__xludf.DUMMYFUNCTION("""COMPUTED_VALUE"""),0.0)</f>
        <v>0</v>
      </c>
      <c r="L185" s="258">
        <f>IFERROR(__xludf.DUMMYFUNCTION("""COMPUTED_VALUE"""),0.0)</f>
        <v>0</v>
      </c>
      <c r="M185" s="258">
        <f>IFERROR(__xludf.DUMMYFUNCTION("""COMPUTED_VALUE"""),0.0)</f>
        <v>0</v>
      </c>
      <c r="N185" s="258">
        <f>IFERROR(__xludf.DUMMYFUNCTION("""COMPUTED_VALUE"""),0.0)</f>
        <v>0</v>
      </c>
      <c r="O185" s="258">
        <f>IFERROR(__xludf.DUMMYFUNCTION("""COMPUTED_VALUE"""),0.0)</f>
        <v>0</v>
      </c>
      <c r="P185" s="258">
        <f>IFERROR(__xludf.DUMMYFUNCTION("""COMPUTED_VALUE"""),0.0)</f>
        <v>0</v>
      </c>
      <c r="Q185" s="258">
        <f>IFERROR(__xludf.DUMMYFUNCTION("""COMPUTED_VALUE"""),0.0)</f>
        <v>0</v>
      </c>
      <c r="R185" s="259"/>
      <c r="S185" s="260"/>
      <c r="T185" s="261"/>
      <c r="U185" s="262"/>
      <c r="V185" s="250"/>
      <c r="W185" s="250"/>
      <c r="X185" s="250"/>
      <c r="Y185" s="250"/>
      <c r="Z185" s="250"/>
      <c r="AA185" s="250"/>
      <c r="AB185" s="250"/>
      <c r="AC185" s="250"/>
      <c r="AD185" s="250"/>
      <c r="AE185" s="250"/>
      <c r="AF185" s="250"/>
      <c r="AG185" s="250"/>
      <c r="AH185" s="250"/>
      <c r="AI185" s="250"/>
      <c r="AJ185" s="250"/>
      <c r="AK185" s="250"/>
      <c r="AL185" s="250"/>
      <c r="AM185" s="250"/>
      <c r="AN185" s="250"/>
    </row>
    <row r="186" ht="15.75" customHeight="1">
      <c r="A186" s="250"/>
      <c r="B186" s="251">
        <f>IFERROR(__xludf.DUMMYFUNCTION("""COMPUTED_VALUE"""),178.0)</f>
        <v>178</v>
      </c>
      <c r="C186" s="252"/>
      <c r="D186" s="253" t="str">
        <f>IFERROR(__xludf.DUMMYFUNCTION("""COMPUTED_VALUE"""),"")</f>
        <v/>
      </c>
      <c r="E186" s="254">
        <f>IFERROR(__xludf.DUMMYFUNCTION("""COMPUTED_VALUE"""),0.0)</f>
        <v>0</v>
      </c>
      <c r="F186" s="255"/>
      <c r="G186" s="256"/>
      <c r="H186" s="252">
        <f>IFERROR(__xludf.DUMMYFUNCTION("""COMPUTED_VALUE"""),0.0)</f>
        <v>0</v>
      </c>
      <c r="I186" s="258"/>
      <c r="J186" s="258"/>
      <c r="K186" s="257">
        <f>IFERROR(__xludf.DUMMYFUNCTION("""COMPUTED_VALUE"""),0.0)</f>
        <v>0</v>
      </c>
      <c r="L186" s="258">
        <f>IFERROR(__xludf.DUMMYFUNCTION("""COMPUTED_VALUE"""),0.0)</f>
        <v>0</v>
      </c>
      <c r="M186" s="258">
        <f>IFERROR(__xludf.DUMMYFUNCTION("""COMPUTED_VALUE"""),0.0)</f>
        <v>0</v>
      </c>
      <c r="N186" s="258">
        <f>IFERROR(__xludf.DUMMYFUNCTION("""COMPUTED_VALUE"""),0.0)</f>
        <v>0</v>
      </c>
      <c r="O186" s="258">
        <f>IFERROR(__xludf.DUMMYFUNCTION("""COMPUTED_VALUE"""),0.0)</f>
        <v>0</v>
      </c>
      <c r="P186" s="258">
        <f>IFERROR(__xludf.DUMMYFUNCTION("""COMPUTED_VALUE"""),0.0)</f>
        <v>0</v>
      </c>
      <c r="Q186" s="258">
        <f>IFERROR(__xludf.DUMMYFUNCTION("""COMPUTED_VALUE"""),0.0)</f>
        <v>0</v>
      </c>
      <c r="R186" s="259"/>
      <c r="S186" s="260"/>
      <c r="T186" s="261"/>
      <c r="U186" s="262"/>
      <c r="V186" s="250"/>
      <c r="W186" s="250"/>
      <c r="X186" s="250"/>
      <c r="Y186" s="250"/>
      <c r="Z186" s="250"/>
      <c r="AA186" s="250"/>
      <c r="AB186" s="250"/>
      <c r="AC186" s="250"/>
      <c r="AD186" s="250"/>
      <c r="AE186" s="250"/>
      <c r="AF186" s="250"/>
      <c r="AG186" s="250"/>
      <c r="AH186" s="250"/>
      <c r="AI186" s="250"/>
      <c r="AJ186" s="250"/>
      <c r="AK186" s="250"/>
      <c r="AL186" s="250"/>
      <c r="AM186" s="250"/>
      <c r="AN186" s="250"/>
    </row>
    <row r="187" ht="15.75" customHeight="1">
      <c r="A187" s="250"/>
      <c r="B187" s="251">
        <f>IFERROR(__xludf.DUMMYFUNCTION("""COMPUTED_VALUE"""),179.0)</f>
        <v>179</v>
      </c>
      <c r="C187" s="252"/>
      <c r="D187" s="253" t="str">
        <f>IFERROR(__xludf.DUMMYFUNCTION("""COMPUTED_VALUE"""),"")</f>
        <v/>
      </c>
      <c r="E187" s="254">
        <f>IFERROR(__xludf.DUMMYFUNCTION("""COMPUTED_VALUE"""),0.0)</f>
        <v>0</v>
      </c>
      <c r="F187" s="255"/>
      <c r="G187" s="256"/>
      <c r="H187" s="252">
        <f>IFERROR(__xludf.DUMMYFUNCTION("""COMPUTED_VALUE"""),0.0)</f>
        <v>0</v>
      </c>
      <c r="I187" s="258"/>
      <c r="J187" s="258"/>
      <c r="K187" s="257">
        <f>IFERROR(__xludf.DUMMYFUNCTION("""COMPUTED_VALUE"""),0.0)</f>
        <v>0</v>
      </c>
      <c r="L187" s="258">
        <f>IFERROR(__xludf.DUMMYFUNCTION("""COMPUTED_VALUE"""),0.0)</f>
        <v>0</v>
      </c>
      <c r="M187" s="258">
        <f>IFERROR(__xludf.DUMMYFUNCTION("""COMPUTED_VALUE"""),0.0)</f>
        <v>0</v>
      </c>
      <c r="N187" s="258">
        <f>IFERROR(__xludf.DUMMYFUNCTION("""COMPUTED_VALUE"""),0.0)</f>
        <v>0</v>
      </c>
      <c r="O187" s="258">
        <f>IFERROR(__xludf.DUMMYFUNCTION("""COMPUTED_VALUE"""),0.0)</f>
        <v>0</v>
      </c>
      <c r="P187" s="258">
        <f>IFERROR(__xludf.DUMMYFUNCTION("""COMPUTED_VALUE"""),0.0)</f>
        <v>0</v>
      </c>
      <c r="Q187" s="258">
        <f>IFERROR(__xludf.DUMMYFUNCTION("""COMPUTED_VALUE"""),0.0)</f>
        <v>0</v>
      </c>
      <c r="R187" s="259"/>
      <c r="S187" s="260"/>
      <c r="T187" s="261"/>
      <c r="U187" s="262"/>
      <c r="V187" s="250"/>
      <c r="W187" s="250"/>
      <c r="X187" s="250"/>
      <c r="Y187" s="250"/>
      <c r="Z187" s="250"/>
      <c r="AA187" s="250"/>
      <c r="AB187" s="250"/>
      <c r="AC187" s="250"/>
      <c r="AD187" s="250"/>
      <c r="AE187" s="250"/>
      <c r="AF187" s="250"/>
      <c r="AG187" s="250"/>
      <c r="AH187" s="250"/>
      <c r="AI187" s="250"/>
      <c r="AJ187" s="250"/>
      <c r="AK187" s="250"/>
      <c r="AL187" s="250"/>
      <c r="AM187" s="250"/>
      <c r="AN187" s="250"/>
    </row>
    <row r="188" ht="15.75" customHeight="1">
      <c r="A188" s="250"/>
      <c r="B188" s="251">
        <f>IFERROR(__xludf.DUMMYFUNCTION("""COMPUTED_VALUE"""),180.0)</f>
        <v>180</v>
      </c>
      <c r="C188" s="252"/>
      <c r="D188" s="253" t="str">
        <f>IFERROR(__xludf.DUMMYFUNCTION("""COMPUTED_VALUE"""),"")</f>
        <v/>
      </c>
      <c r="E188" s="254">
        <f>IFERROR(__xludf.DUMMYFUNCTION("""COMPUTED_VALUE"""),0.0)</f>
        <v>0</v>
      </c>
      <c r="F188" s="255"/>
      <c r="G188" s="256"/>
      <c r="H188" s="252">
        <f>IFERROR(__xludf.DUMMYFUNCTION("""COMPUTED_VALUE"""),0.0)</f>
        <v>0</v>
      </c>
      <c r="I188" s="258"/>
      <c r="J188" s="258"/>
      <c r="K188" s="257">
        <f>IFERROR(__xludf.DUMMYFUNCTION("""COMPUTED_VALUE"""),0.0)</f>
        <v>0</v>
      </c>
      <c r="L188" s="258">
        <f>IFERROR(__xludf.DUMMYFUNCTION("""COMPUTED_VALUE"""),0.0)</f>
        <v>0</v>
      </c>
      <c r="M188" s="258">
        <f>IFERROR(__xludf.DUMMYFUNCTION("""COMPUTED_VALUE"""),0.0)</f>
        <v>0</v>
      </c>
      <c r="N188" s="258">
        <f>IFERROR(__xludf.DUMMYFUNCTION("""COMPUTED_VALUE"""),0.0)</f>
        <v>0</v>
      </c>
      <c r="O188" s="258">
        <f>IFERROR(__xludf.DUMMYFUNCTION("""COMPUTED_VALUE"""),0.0)</f>
        <v>0</v>
      </c>
      <c r="P188" s="258">
        <f>IFERROR(__xludf.DUMMYFUNCTION("""COMPUTED_VALUE"""),0.0)</f>
        <v>0</v>
      </c>
      <c r="Q188" s="258">
        <f>IFERROR(__xludf.DUMMYFUNCTION("""COMPUTED_VALUE"""),0.0)</f>
        <v>0</v>
      </c>
      <c r="R188" s="259"/>
      <c r="S188" s="260"/>
      <c r="T188" s="261"/>
      <c r="U188" s="262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</row>
    <row r="189" ht="15.75" customHeight="1">
      <c r="A189" s="250"/>
      <c r="B189" s="251">
        <f>IFERROR(__xludf.DUMMYFUNCTION("""COMPUTED_VALUE"""),181.0)</f>
        <v>181</v>
      </c>
      <c r="C189" s="252"/>
      <c r="D189" s="253" t="str">
        <f>IFERROR(__xludf.DUMMYFUNCTION("""COMPUTED_VALUE"""),"")</f>
        <v/>
      </c>
      <c r="E189" s="254">
        <f>IFERROR(__xludf.DUMMYFUNCTION("""COMPUTED_VALUE"""),0.0)</f>
        <v>0</v>
      </c>
      <c r="F189" s="255"/>
      <c r="G189" s="256"/>
      <c r="H189" s="252">
        <f>IFERROR(__xludf.DUMMYFUNCTION("""COMPUTED_VALUE"""),0.0)</f>
        <v>0</v>
      </c>
      <c r="I189" s="258"/>
      <c r="J189" s="258"/>
      <c r="K189" s="257">
        <f>IFERROR(__xludf.DUMMYFUNCTION("""COMPUTED_VALUE"""),0.0)</f>
        <v>0</v>
      </c>
      <c r="L189" s="258">
        <f>IFERROR(__xludf.DUMMYFUNCTION("""COMPUTED_VALUE"""),0.0)</f>
        <v>0</v>
      </c>
      <c r="M189" s="258">
        <f>IFERROR(__xludf.DUMMYFUNCTION("""COMPUTED_VALUE"""),0.0)</f>
        <v>0</v>
      </c>
      <c r="N189" s="258">
        <f>IFERROR(__xludf.DUMMYFUNCTION("""COMPUTED_VALUE"""),0.0)</f>
        <v>0</v>
      </c>
      <c r="O189" s="258">
        <f>IFERROR(__xludf.DUMMYFUNCTION("""COMPUTED_VALUE"""),0.0)</f>
        <v>0</v>
      </c>
      <c r="P189" s="258">
        <f>IFERROR(__xludf.DUMMYFUNCTION("""COMPUTED_VALUE"""),0.0)</f>
        <v>0</v>
      </c>
      <c r="Q189" s="258">
        <f>IFERROR(__xludf.DUMMYFUNCTION("""COMPUTED_VALUE"""),0.0)</f>
        <v>0</v>
      </c>
      <c r="R189" s="259"/>
      <c r="S189" s="260"/>
      <c r="T189" s="261"/>
      <c r="U189" s="262"/>
      <c r="V189" s="250"/>
      <c r="W189" s="250"/>
      <c r="X189" s="250"/>
      <c r="Y189" s="250"/>
      <c r="Z189" s="250"/>
      <c r="AA189" s="250"/>
      <c r="AB189" s="250"/>
      <c r="AC189" s="250"/>
      <c r="AD189" s="250"/>
      <c r="AE189" s="250"/>
      <c r="AF189" s="250"/>
      <c r="AG189" s="250"/>
      <c r="AH189" s="250"/>
      <c r="AI189" s="250"/>
      <c r="AJ189" s="250"/>
      <c r="AK189" s="250"/>
      <c r="AL189" s="250"/>
      <c r="AM189" s="250"/>
      <c r="AN189" s="250"/>
    </row>
    <row r="190" ht="15.75" customHeight="1">
      <c r="A190" s="250"/>
      <c r="B190" s="251">
        <f>IFERROR(__xludf.DUMMYFUNCTION("""COMPUTED_VALUE"""),182.0)</f>
        <v>182</v>
      </c>
      <c r="C190" s="252"/>
      <c r="D190" s="253" t="str">
        <f>IFERROR(__xludf.DUMMYFUNCTION("""COMPUTED_VALUE"""),"")</f>
        <v/>
      </c>
      <c r="E190" s="254">
        <f>IFERROR(__xludf.DUMMYFUNCTION("""COMPUTED_VALUE"""),0.0)</f>
        <v>0</v>
      </c>
      <c r="F190" s="255"/>
      <c r="G190" s="256"/>
      <c r="H190" s="252">
        <f>IFERROR(__xludf.DUMMYFUNCTION("""COMPUTED_VALUE"""),0.0)</f>
        <v>0</v>
      </c>
      <c r="I190" s="258"/>
      <c r="J190" s="258"/>
      <c r="K190" s="257">
        <f>IFERROR(__xludf.DUMMYFUNCTION("""COMPUTED_VALUE"""),0.0)</f>
        <v>0</v>
      </c>
      <c r="L190" s="258">
        <f>IFERROR(__xludf.DUMMYFUNCTION("""COMPUTED_VALUE"""),0.0)</f>
        <v>0</v>
      </c>
      <c r="M190" s="258">
        <f>IFERROR(__xludf.DUMMYFUNCTION("""COMPUTED_VALUE"""),0.0)</f>
        <v>0</v>
      </c>
      <c r="N190" s="258">
        <f>IFERROR(__xludf.DUMMYFUNCTION("""COMPUTED_VALUE"""),0.0)</f>
        <v>0</v>
      </c>
      <c r="O190" s="258">
        <f>IFERROR(__xludf.DUMMYFUNCTION("""COMPUTED_VALUE"""),0.0)</f>
        <v>0</v>
      </c>
      <c r="P190" s="258">
        <f>IFERROR(__xludf.DUMMYFUNCTION("""COMPUTED_VALUE"""),0.0)</f>
        <v>0</v>
      </c>
      <c r="Q190" s="258">
        <f>IFERROR(__xludf.DUMMYFUNCTION("""COMPUTED_VALUE"""),0.0)</f>
        <v>0</v>
      </c>
      <c r="R190" s="259"/>
      <c r="S190" s="260"/>
      <c r="T190" s="261"/>
      <c r="U190" s="262"/>
      <c r="V190" s="250"/>
      <c r="W190" s="250"/>
      <c r="X190" s="250"/>
      <c r="Y190" s="250"/>
      <c r="Z190" s="250"/>
      <c r="AA190" s="250"/>
      <c r="AB190" s="250"/>
      <c r="AC190" s="250"/>
      <c r="AD190" s="250"/>
      <c r="AE190" s="250"/>
      <c r="AF190" s="250"/>
      <c r="AG190" s="250"/>
      <c r="AH190" s="250"/>
      <c r="AI190" s="250"/>
      <c r="AJ190" s="250"/>
      <c r="AK190" s="250"/>
      <c r="AL190" s="250"/>
      <c r="AM190" s="250"/>
      <c r="AN190" s="250"/>
    </row>
    <row r="191" ht="15.75" customHeight="1">
      <c r="A191" s="250"/>
      <c r="B191" s="251">
        <f>IFERROR(__xludf.DUMMYFUNCTION("""COMPUTED_VALUE"""),183.0)</f>
        <v>183</v>
      </c>
      <c r="C191" s="252"/>
      <c r="D191" s="253" t="str">
        <f>IFERROR(__xludf.DUMMYFUNCTION("""COMPUTED_VALUE"""),"")</f>
        <v/>
      </c>
      <c r="E191" s="254">
        <f>IFERROR(__xludf.DUMMYFUNCTION("""COMPUTED_VALUE"""),0.0)</f>
        <v>0</v>
      </c>
      <c r="F191" s="255"/>
      <c r="G191" s="256"/>
      <c r="H191" s="252">
        <f>IFERROR(__xludf.DUMMYFUNCTION("""COMPUTED_VALUE"""),0.0)</f>
        <v>0</v>
      </c>
      <c r="I191" s="258"/>
      <c r="J191" s="258"/>
      <c r="K191" s="257">
        <f>IFERROR(__xludf.DUMMYFUNCTION("""COMPUTED_VALUE"""),0.0)</f>
        <v>0</v>
      </c>
      <c r="L191" s="258">
        <f>IFERROR(__xludf.DUMMYFUNCTION("""COMPUTED_VALUE"""),0.0)</f>
        <v>0</v>
      </c>
      <c r="M191" s="258">
        <f>IFERROR(__xludf.DUMMYFUNCTION("""COMPUTED_VALUE"""),0.0)</f>
        <v>0</v>
      </c>
      <c r="N191" s="258">
        <f>IFERROR(__xludf.DUMMYFUNCTION("""COMPUTED_VALUE"""),0.0)</f>
        <v>0</v>
      </c>
      <c r="O191" s="258">
        <f>IFERROR(__xludf.DUMMYFUNCTION("""COMPUTED_VALUE"""),0.0)</f>
        <v>0</v>
      </c>
      <c r="P191" s="258">
        <f>IFERROR(__xludf.DUMMYFUNCTION("""COMPUTED_VALUE"""),0.0)</f>
        <v>0</v>
      </c>
      <c r="Q191" s="258">
        <f>IFERROR(__xludf.DUMMYFUNCTION("""COMPUTED_VALUE"""),0.0)</f>
        <v>0</v>
      </c>
      <c r="R191" s="259"/>
      <c r="S191" s="260"/>
      <c r="T191" s="261"/>
      <c r="U191" s="262"/>
      <c r="V191" s="250"/>
      <c r="W191" s="250"/>
      <c r="X191" s="250"/>
      <c r="Y191" s="250"/>
      <c r="Z191" s="250"/>
      <c r="AA191" s="250"/>
      <c r="AB191" s="250"/>
      <c r="AC191" s="250"/>
      <c r="AD191" s="250"/>
      <c r="AE191" s="250"/>
      <c r="AF191" s="250"/>
      <c r="AG191" s="250"/>
      <c r="AH191" s="250"/>
      <c r="AI191" s="250"/>
      <c r="AJ191" s="250"/>
      <c r="AK191" s="250"/>
      <c r="AL191" s="250"/>
      <c r="AM191" s="250"/>
      <c r="AN191" s="250"/>
    </row>
    <row r="192" ht="15.75" customHeight="1">
      <c r="A192" s="250"/>
      <c r="B192" s="251">
        <f>IFERROR(__xludf.DUMMYFUNCTION("""COMPUTED_VALUE"""),184.0)</f>
        <v>184</v>
      </c>
      <c r="C192" s="252"/>
      <c r="D192" s="253" t="str">
        <f>IFERROR(__xludf.DUMMYFUNCTION("""COMPUTED_VALUE"""),"")</f>
        <v/>
      </c>
      <c r="E192" s="254">
        <f>IFERROR(__xludf.DUMMYFUNCTION("""COMPUTED_VALUE"""),0.0)</f>
        <v>0</v>
      </c>
      <c r="F192" s="255"/>
      <c r="G192" s="256"/>
      <c r="H192" s="252">
        <f>IFERROR(__xludf.DUMMYFUNCTION("""COMPUTED_VALUE"""),0.0)</f>
        <v>0</v>
      </c>
      <c r="I192" s="258"/>
      <c r="J192" s="258"/>
      <c r="K192" s="257">
        <f>IFERROR(__xludf.DUMMYFUNCTION("""COMPUTED_VALUE"""),0.0)</f>
        <v>0</v>
      </c>
      <c r="L192" s="258">
        <f>IFERROR(__xludf.DUMMYFUNCTION("""COMPUTED_VALUE"""),0.0)</f>
        <v>0</v>
      </c>
      <c r="M192" s="258">
        <f>IFERROR(__xludf.DUMMYFUNCTION("""COMPUTED_VALUE"""),0.0)</f>
        <v>0</v>
      </c>
      <c r="N192" s="258">
        <f>IFERROR(__xludf.DUMMYFUNCTION("""COMPUTED_VALUE"""),0.0)</f>
        <v>0</v>
      </c>
      <c r="O192" s="258">
        <f>IFERROR(__xludf.DUMMYFUNCTION("""COMPUTED_VALUE"""),0.0)</f>
        <v>0</v>
      </c>
      <c r="P192" s="258">
        <f>IFERROR(__xludf.DUMMYFUNCTION("""COMPUTED_VALUE"""),0.0)</f>
        <v>0</v>
      </c>
      <c r="Q192" s="258">
        <f>IFERROR(__xludf.DUMMYFUNCTION("""COMPUTED_VALUE"""),0.0)</f>
        <v>0</v>
      </c>
      <c r="R192" s="259"/>
      <c r="S192" s="260"/>
      <c r="T192" s="261"/>
      <c r="U192" s="262"/>
      <c r="V192" s="250"/>
      <c r="W192" s="250"/>
      <c r="X192" s="250"/>
      <c r="Y192" s="250"/>
      <c r="Z192" s="250"/>
      <c r="AA192" s="250"/>
      <c r="AB192" s="250"/>
      <c r="AC192" s="250"/>
      <c r="AD192" s="250"/>
      <c r="AE192" s="250"/>
      <c r="AF192" s="250"/>
      <c r="AG192" s="250"/>
      <c r="AH192" s="250"/>
      <c r="AI192" s="250"/>
      <c r="AJ192" s="250"/>
      <c r="AK192" s="250"/>
      <c r="AL192" s="250"/>
      <c r="AM192" s="250"/>
      <c r="AN192" s="250"/>
    </row>
    <row r="193" ht="15.75" customHeight="1">
      <c r="A193" s="250"/>
      <c r="B193" s="251">
        <f>IFERROR(__xludf.DUMMYFUNCTION("""COMPUTED_VALUE"""),185.0)</f>
        <v>185</v>
      </c>
      <c r="C193" s="252"/>
      <c r="D193" s="253" t="str">
        <f>IFERROR(__xludf.DUMMYFUNCTION("""COMPUTED_VALUE"""),"")</f>
        <v/>
      </c>
      <c r="E193" s="254">
        <f>IFERROR(__xludf.DUMMYFUNCTION("""COMPUTED_VALUE"""),0.0)</f>
        <v>0</v>
      </c>
      <c r="F193" s="255"/>
      <c r="G193" s="256"/>
      <c r="H193" s="252">
        <f>IFERROR(__xludf.DUMMYFUNCTION("""COMPUTED_VALUE"""),0.0)</f>
        <v>0</v>
      </c>
      <c r="I193" s="258"/>
      <c r="J193" s="258"/>
      <c r="K193" s="257">
        <f>IFERROR(__xludf.DUMMYFUNCTION("""COMPUTED_VALUE"""),0.0)</f>
        <v>0</v>
      </c>
      <c r="L193" s="258">
        <f>IFERROR(__xludf.DUMMYFUNCTION("""COMPUTED_VALUE"""),0.0)</f>
        <v>0</v>
      </c>
      <c r="M193" s="258">
        <f>IFERROR(__xludf.DUMMYFUNCTION("""COMPUTED_VALUE"""),0.0)</f>
        <v>0</v>
      </c>
      <c r="N193" s="258">
        <f>IFERROR(__xludf.DUMMYFUNCTION("""COMPUTED_VALUE"""),0.0)</f>
        <v>0</v>
      </c>
      <c r="O193" s="258">
        <f>IFERROR(__xludf.DUMMYFUNCTION("""COMPUTED_VALUE"""),0.0)</f>
        <v>0</v>
      </c>
      <c r="P193" s="258">
        <f>IFERROR(__xludf.DUMMYFUNCTION("""COMPUTED_VALUE"""),0.0)</f>
        <v>0</v>
      </c>
      <c r="Q193" s="258">
        <f>IFERROR(__xludf.DUMMYFUNCTION("""COMPUTED_VALUE"""),0.0)</f>
        <v>0</v>
      </c>
      <c r="R193" s="259"/>
      <c r="S193" s="260"/>
      <c r="T193" s="261"/>
      <c r="U193" s="262"/>
      <c r="V193" s="250"/>
      <c r="W193" s="250"/>
      <c r="X193" s="250"/>
      <c r="Y193" s="250"/>
      <c r="Z193" s="250"/>
      <c r="AA193" s="250"/>
      <c r="AB193" s="250"/>
      <c r="AC193" s="250"/>
      <c r="AD193" s="250"/>
      <c r="AE193" s="250"/>
      <c r="AF193" s="250"/>
      <c r="AG193" s="250"/>
      <c r="AH193" s="250"/>
      <c r="AI193" s="250"/>
      <c r="AJ193" s="250"/>
      <c r="AK193" s="250"/>
      <c r="AL193" s="250"/>
      <c r="AM193" s="250"/>
      <c r="AN193" s="250"/>
    </row>
    <row r="194" ht="15.75" customHeight="1">
      <c r="A194" s="250"/>
      <c r="B194" s="251">
        <f>IFERROR(__xludf.DUMMYFUNCTION("""COMPUTED_VALUE"""),186.0)</f>
        <v>186</v>
      </c>
      <c r="C194" s="252"/>
      <c r="D194" s="253" t="str">
        <f>IFERROR(__xludf.DUMMYFUNCTION("""COMPUTED_VALUE"""),"")</f>
        <v/>
      </c>
      <c r="E194" s="254">
        <f>IFERROR(__xludf.DUMMYFUNCTION("""COMPUTED_VALUE"""),0.0)</f>
        <v>0</v>
      </c>
      <c r="F194" s="255"/>
      <c r="G194" s="256"/>
      <c r="H194" s="252">
        <f>IFERROR(__xludf.DUMMYFUNCTION("""COMPUTED_VALUE"""),0.0)</f>
        <v>0</v>
      </c>
      <c r="I194" s="258"/>
      <c r="J194" s="258"/>
      <c r="K194" s="257">
        <f>IFERROR(__xludf.DUMMYFUNCTION("""COMPUTED_VALUE"""),0.0)</f>
        <v>0</v>
      </c>
      <c r="L194" s="258">
        <f>IFERROR(__xludf.DUMMYFUNCTION("""COMPUTED_VALUE"""),0.0)</f>
        <v>0</v>
      </c>
      <c r="M194" s="258">
        <f>IFERROR(__xludf.DUMMYFUNCTION("""COMPUTED_VALUE"""),0.0)</f>
        <v>0</v>
      </c>
      <c r="N194" s="258">
        <f>IFERROR(__xludf.DUMMYFUNCTION("""COMPUTED_VALUE"""),0.0)</f>
        <v>0</v>
      </c>
      <c r="O194" s="258">
        <f>IFERROR(__xludf.DUMMYFUNCTION("""COMPUTED_VALUE"""),0.0)</f>
        <v>0</v>
      </c>
      <c r="P194" s="258">
        <f>IFERROR(__xludf.DUMMYFUNCTION("""COMPUTED_VALUE"""),0.0)</f>
        <v>0</v>
      </c>
      <c r="Q194" s="258">
        <f>IFERROR(__xludf.DUMMYFUNCTION("""COMPUTED_VALUE"""),0.0)</f>
        <v>0</v>
      </c>
      <c r="R194" s="259"/>
      <c r="S194" s="260"/>
      <c r="T194" s="261"/>
      <c r="U194" s="262"/>
      <c r="V194" s="250"/>
      <c r="W194" s="250"/>
      <c r="X194" s="250"/>
      <c r="Y194" s="250"/>
      <c r="Z194" s="250"/>
      <c r="AA194" s="250"/>
      <c r="AB194" s="250"/>
      <c r="AC194" s="250"/>
      <c r="AD194" s="250"/>
      <c r="AE194" s="250"/>
      <c r="AF194" s="250"/>
      <c r="AG194" s="250"/>
      <c r="AH194" s="250"/>
      <c r="AI194" s="250"/>
      <c r="AJ194" s="250"/>
      <c r="AK194" s="250"/>
      <c r="AL194" s="250"/>
      <c r="AM194" s="250"/>
      <c r="AN194" s="250"/>
    </row>
    <row r="195" ht="15.75" customHeight="1">
      <c r="A195" s="250"/>
      <c r="B195" s="251">
        <f>IFERROR(__xludf.DUMMYFUNCTION("""COMPUTED_VALUE"""),187.0)</f>
        <v>187</v>
      </c>
      <c r="C195" s="252"/>
      <c r="D195" s="253" t="str">
        <f>IFERROR(__xludf.DUMMYFUNCTION("""COMPUTED_VALUE"""),"")</f>
        <v/>
      </c>
      <c r="E195" s="254">
        <f>IFERROR(__xludf.DUMMYFUNCTION("""COMPUTED_VALUE"""),0.0)</f>
        <v>0</v>
      </c>
      <c r="F195" s="255"/>
      <c r="G195" s="256"/>
      <c r="H195" s="252">
        <f>IFERROR(__xludf.DUMMYFUNCTION("""COMPUTED_VALUE"""),0.0)</f>
        <v>0</v>
      </c>
      <c r="I195" s="258"/>
      <c r="J195" s="258"/>
      <c r="K195" s="257">
        <f>IFERROR(__xludf.DUMMYFUNCTION("""COMPUTED_VALUE"""),0.0)</f>
        <v>0</v>
      </c>
      <c r="L195" s="258">
        <f>IFERROR(__xludf.DUMMYFUNCTION("""COMPUTED_VALUE"""),0.0)</f>
        <v>0</v>
      </c>
      <c r="M195" s="258">
        <f>IFERROR(__xludf.DUMMYFUNCTION("""COMPUTED_VALUE"""),0.0)</f>
        <v>0</v>
      </c>
      <c r="N195" s="258">
        <f>IFERROR(__xludf.DUMMYFUNCTION("""COMPUTED_VALUE"""),0.0)</f>
        <v>0</v>
      </c>
      <c r="O195" s="258">
        <f>IFERROR(__xludf.DUMMYFUNCTION("""COMPUTED_VALUE"""),0.0)</f>
        <v>0</v>
      </c>
      <c r="P195" s="258">
        <f>IFERROR(__xludf.DUMMYFUNCTION("""COMPUTED_VALUE"""),0.0)</f>
        <v>0</v>
      </c>
      <c r="Q195" s="258">
        <f>IFERROR(__xludf.DUMMYFUNCTION("""COMPUTED_VALUE"""),0.0)</f>
        <v>0</v>
      </c>
      <c r="R195" s="259"/>
      <c r="S195" s="260"/>
      <c r="T195" s="261"/>
      <c r="U195" s="262"/>
      <c r="V195" s="250"/>
      <c r="W195" s="250"/>
      <c r="X195" s="250"/>
      <c r="Y195" s="250"/>
      <c r="Z195" s="250"/>
      <c r="AA195" s="250"/>
      <c r="AB195" s="250"/>
      <c r="AC195" s="250"/>
      <c r="AD195" s="250"/>
      <c r="AE195" s="250"/>
      <c r="AF195" s="250"/>
      <c r="AG195" s="250"/>
      <c r="AH195" s="250"/>
      <c r="AI195" s="250"/>
      <c r="AJ195" s="250"/>
      <c r="AK195" s="250"/>
      <c r="AL195" s="250"/>
      <c r="AM195" s="250"/>
      <c r="AN195" s="250"/>
    </row>
    <row r="196" ht="15.75" customHeight="1">
      <c r="A196" s="250"/>
      <c r="B196" s="251">
        <f>IFERROR(__xludf.DUMMYFUNCTION("""COMPUTED_VALUE"""),188.0)</f>
        <v>188</v>
      </c>
      <c r="C196" s="252"/>
      <c r="D196" s="253" t="str">
        <f>IFERROR(__xludf.DUMMYFUNCTION("""COMPUTED_VALUE"""),"")</f>
        <v/>
      </c>
      <c r="E196" s="254">
        <f>IFERROR(__xludf.DUMMYFUNCTION("""COMPUTED_VALUE"""),0.0)</f>
        <v>0</v>
      </c>
      <c r="F196" s="255"/>
      <c r="G196" s="256"/>
      <c r="H196" s="252">
        <f>IFERROR(__xludf.DUMMYFUNCTION("""COMPUTED_VALUE"""),0.0)</f>
        <v>0</v>
      </c>
      <c r="I196" s="258"/>
      <c r="J196" s="258"/>
      <c r="K196" s="257">
        <f>IFERROR(__xludf.DUMMYFUNCTION("""COMPUTED_VALUE"""),0.0)</f>
        <v>0</v>
      </c>
      <c r="L196" s="258">
        <f>IFERROR(__xludf.DUMMYFUNCTION("""COMPUTED_VALUE"""),0.0)</f>
        <v>0</v>
      </c>
      <c r="M196" s="258">
        <f>IFERROR(__xludf.DUMMYFUNCTION("""COMPUTED_VALUE"""),0.0)</f>
        <v>0</v>
      </c>
      <c r="N196" s="258">
        <f>IFERROR(__xludf.DUMMYFUNCTION("""COMPUTED_VALUE"""),0.0)</f>
        <v>0</v>
      </c>
      <c r="O196" s="258">
        <f>IFERROR(__xludf.DUMMYFUNCTION("""COMPUTED_VALUE"""),0.0)</f>
        <v>0</v>
      </c>
      <c r="P196" s="258">
        <f>IFERROR(__xludf.DUMMYFUNCTION("""COMPUTED_VALUE"""),0.0)</f>
        <v>0</v>
      </c>
      <c r="Q196" s="258">
        <f>IFERROR(__xludf.DUMMYFUNCTION("""COMPUTED_VALUE"""),0.0)</f>
        <v>0</v>
      </c>
      <c r="R196" s="259"/>
      <c r="S196" s="260"/>
      <c r="T196" s="261"/>
      <c r="U196" s="262"/>
      <c r="V196" s="250"/>
      <c r="W196" s="250"/>
      <c r="X196" s="250"/>
      <c r="Y196" s="250"/>
      <c r="Z196" s="250"/>
      <c r="AA196" s="250"/>
      <c r="AB196" s="250"/>
      <c r="AC196" s="250"/>
      <c r="AD196" s="250"/>
      <c r="AE196" s="250"/>
      <c r="AF196" s="250"/>
      <c r="AG196" s="250"/>
      <c r="AH196" s="250"/>
      <c r="AI196" s="250"/>
      <c r="AJ196" s="250"/>
      <c r="AK196" s="250"/>
      <c r="AL196" s="250"/>
      <c r="AM196" s="250"/>
      <c r="AN196" s="250"/>
    </row>
    <row r="197" ht="15.75" customHeight="1">
      <c r="A197" s="250"/>
      <c r="B197" s="251">
        <f>IFERROR(__xludf.DUMMYFUNCTION("""COMPUTED_VALUE"""),189.0)</f>
        <v>189</v>
      </c>
      <c r="C197" s="252"/>
      <c r="D197" s="253" t="str">
        <f>IFERROR(__xludf.DUMMYFUNCTION("""COMPUTED_VALUE"""),"")</f>
        <v/>
      </c>
      <c r="E197" s="254">
        <f>IFERROR(__xludf.DUMMYFUNCTION("""COMPUTED_VALUE"""),0.0)</f>
        <v>0</v>
      </c>
      <c r="F197" s="255"/>
      <c r="G197" s="256"/>
      <c r="H197" s="252">
        <f>IFERROR(__xludf.DUMMYFUNCTION("""COMPUTED_VALUE"""),0.0)</f>
        <v>0</v>
      </c>
      <c r="I197" s="258"/>
      <c r="J197" s="258"/>
      <c r="K197" s="257">
        <f>IFERROR(__xludf.DUMMYFUNCTION("""COMPUTED_VALUE"""),0.0)</f>
        <v>0</v>
      </c>
      <c r="L197" s="258">
        <f>IFERROR(__xludf.DUMMYFUNCTION("""COMPUTED_VALUE"""),0.0)</f>
        <v>0</v>
      </c>
      <c r="M197" s="258">
        <f>IFERROR(__xludf.DUMMYFUNCTION("""COMPUTED_VALUE"""),0.0)</f>
        <v>0</v>
      </c>
      <c r="N197" s="258">
        <f>IFERROR(__xludf.DUMMYFUNCTION("""COMPUTED_VALUE"""),0.0)</f>
        <v>0</v>
      </c>
      <c r="O197" s="258">
        <f>IFERROR(__xludf.DUMMYFUNCTION("""COMPUTED_VALUE"""),0.0)</f>
        <v>0</v>
      </c>
      <c r="P197" s="258">
        <f>IFERROR(__xludf.DUMMYFUNCTION("""COMPUTED_VALUE"""),0.0)</f>
        <v>0</v>
      </c>
      <c r="Q197" s="258">
        <f>IFERROR(__xludf.DUMMYFUNCTION("""COMPUTED_VALUE"""),0.0)</f>
        <v>0</v>
      </c>
      <c r="R197" s="259"/>
      <c r="S197" s="260"/>
      <c r="T197" s="261"/>
      <c r="U197" s="262"/>
      <c r="V197" s="250"/>
      <c r="W197" s="250"/>
      <c r="X197" s="250"/>
      <c r="Y197" s="250"/>
      <c r="Z197" s="250"/>
      <c r="AA197" s="250"/>
      <c r="AB197" s="250"/>
      <c r="AC197" s="250"/>
      <c r="AD197" s="250"/>
      <c r="AE197" s="250"/>
      <c r="AF197" s="250"/>
      <c r="AG197" s="250"/>
      <c r="AH197" s="250"/>
      <c r="AI197" s="250"/>
      <c r="AJ197" s="250"/>
      <c r="AK197" s="250"/>
      <c r="AL197" s="250"/>
      <c r="AM197" s="250"/>
      <c r="AN197" s="250"/>
    </row>
    <row r="198" ht="15.75" customHeight="1">
      <c r="A198" s="250"/>
      <c r="B198" s="251">
        <f>IFERROR(__xludf.DUMMYFUNCTION("""COMPUTED_VALUE"""),190.0)</f>
        <v>190</v>
      </c>
      <c r="C198" s="252"/>
      <c r="D198" s="253" t="str">
        <f>IFERROR(__xludf.DUMMYFUNCTION("""COMPUTED_VALUE"""),"")</f>
        <v/>
      </c>
      <c r="E198" s="254">
        <f>IFERROR(__xludf.DUMMYFUNCTION("""COMPUTED_VALUE"""),0.0)</f>
        <v>0</v>
      </c>
      <c r="F198" s="255"/>
      <c r="G198" s="256"/>
      <c r="H198" s="252">
        <f>IFERROR(__xludf.DUMMYFUNCTION("""COMPUTED_VALUE"""),0.0)</f>
        <v>0</v>
      </c>
      <c r="I198" s="258"/>
      <c r="J198" s="258"/>
      <c r="K198" s="257">
        <f>IFERROR(__xludf.DUMMYFUNCTION("""COMPUTED_VALUE"""),0.0)</f>
        <v>0</v>
      </c>
      <c r="L198" s="258">
        <f>IFERROR(__xludf.DUMMYFUNCTION("""COMPUTED_VALUE"""),0.0)</f>
        <v>0</v>
      </c>
      <c r="M198" s="258">
        <f>IFERROR(__xludf.DUMMYFUNCTION("""COMPUTED_VALUE"""),0.0)</f>
        <v>0</v>
      </c>
      <c r="N198" s="258">
        <f>IFERROR(__xludf.DUMMYFUNCTION("""COMPUTED_VALUE"""),0.0)</f>
        <v>0</v>
      </c>
      <c r="O198" s="258">
        <f>IFERROR(__xludf.DUMMYFUNCTION("""COMPUTED_VALUE"""),0.0)</f>
        <v>0</v>
      </c>
      <c r="P198" s="258">
        <f>IFERROR(__xludf.DUMMYFUNCTION("""COMPUTED_VALUE"""),0.0)</f>
        <v>0</v>
      </c>
      <c r="Q198" s="258">
        <f>IFERROR(__xludf.DUMMYFUNCTION("""COMPUTED_VALUE"""),0.0)</f>
        <v>0</v>
      </c>
      <c r="R198" s="259"/>
      <c r="S198" s="260"/>
      <c r="T198" s="261"/>
      <c r="U198" s="262"/>
      <c r="V198" s="250"/>
      <c r="W198" s="250"/>
      <c r="X198" s="250"/>
      <c r="Y198" s="250"/>
      <c r="Z198" s="250"/>
      <c r="AA198" s="250"/>
      <c r="AB198" s="250"/>
      <c r="AC198" s="250"/>
      <c r="AD198" s="250"/>
      <c r="AE198" s="250"/>
      <c r="AF198" s="250"/>
      <c r="AG198" s="250"/>
      <c r="AH198" s="250"/>
      <c r="AI198" s="250"/>
      <c r="AJ198" s="250"/>
      <c r="AK198" s="250"/>
      <c r="AL198" s="250"/>
      <c r="AM198" s="250"/>
      <c r="AN198" s="250"/>
    </row>
    <row r="199" ht="15.75" customHeight="1">
      <c r="A199" s="250"/>
      <c r="B199" s="251">
        <f>IFERROR(__xludf.DUMMYFUNCTION("""COMPUTED_VALUE"""),191.0)</f>
        <v>191</v>
      </c>
      <c r="C199" s="252"/>
      <c r="D199" s="253" t="str">
        <f>IFERROR(__xludf.DUMMYFUNCTION("""COMPUTED_VALUE"""),"")</f>
        <v/>
      </c>
      <c r="E199" s="254">
        <f>IFERROR(__xludf.DUMMYFUNCTION("""COMPUTED_VALUE"""),0.0)</f>
        <v>0</v>
      </c>
      <c r="F199" s="255"/>
      <c r="G199" s="256"/>
      <c r="H199" s="252">
        <f>IFERROR(__xludf.DUMMYFUNCTION("""COMPUTED_VALUE"""),0.0)</f>
        <v>0</v>
      </c>
      <c r="I199" s="258"/>
      <c r="J199" s="258"/>
      <c r="K199" s="257">
        <f>IFERROR(__xludf.DUMMYFUNCTION("""COMPUTED_VALUE"""),0.0)</f>
        <v>0</v>
      </c>
      <c r="L199" s="258">
        <f>IFERROR(__xludf.DUMMYFUNCTION("""COMPUTED_VALUE"""),0.0)</f>
        <v>0</v>
      </c>
      <c r="M199" s="258">
        <f>IFERROR(__xludf.DUMMYFUNCTION("""COMPUTED_VALUE"""),0.0)</f>
        <v>0</v>
      </c>
      <c r="N199" s="258">
        <f>IFERROR(__xludf.DUMMYFUNCTION("""COMPUTED_VALUE"""),0.0)</f>
        <v>0</v>
      </c>
      <c r="O199" s="258">
        <f>IFERROR(__xludf.DUMMYFUNCTION("""COMPUTED_VALUE"""),0.0)</f>
        <v>0</v>
      </c>
      <c r="P199" s="258">
        <f>IFERROR(__xludf.DUMMYFUNCTION("""COMPUTED_VALUE"""),0.0)</f>
        <v>0</v>
      </c>
      <c r="Q199" s="258">
        <f>IFERROR(__xludf.DUMMYFUNCTION("""COMPUTED_VALUE"""),0.0)</f>
        <v>0</v>
      </c>
      <c r="R199" s="259"/>
      <c r="S199" s="260"/>
      <c r="T199" s="261"/>
      <c r="U199" s="262"/>
      <c r="V199" s="250"/>
      <c r="W199" s="250"/>
      <c r="X199" s="250"/>
      <c r="Y199" s="250"/>
      <c r="Z199" s="250"/>
      <c r="AA199" s="250"/>
      <c r="AB199" s="250"/>
      <c r="AC199" s="250"/>
      <c r="AD199" s="250"/>
      <c r="AE199" s="250"/>
      <c r="AF199" s="250"/>
      <c r="AG199" s="250"/>
      <c r="AH199" s="250"/>
      <c r="AI199" s="250"/>
      <c r="AJ199" s="250"/>
      <c r="AK199" s="250"/>
      <c r="AL199" s="250"/>
      <c r="AM199" s="250"/>
      <c r="AN199" s="250"/>
    </row>
    <row r="200" ht="15.75" customHeight="1">
      <c r="A200" s="250"/>
      <c r="B200" s="251">
        <f>IFERROR(__xludf.DUMMYFUNCTION("""COMPUTED_VALUE"""),192.0)</f>
        <v>192</v>
      </c>
      <c r="C200" s="252"/>
      <c r="D200" s="253" t="str">
        <f>IFERROR(__xludf.DUMMYFUNCTION("""COMPUTED_VALUE"""),"")</f>
        <v/>
      </c>
      <c r="E200" s="254">
        <f>IFERROR(__xludf.DUMMYFUNCTION("""COMPUTED_VALUE"""),0.0)</f>
        <v>0</v>
      </c>
      <c r="F200" s="255"/>
      <c r="G200" s="256"/>
      <c r="H200" s="252">
        <f>IFERROR(__xludf.DUMMYFUNCTION("""COMPUTED_VALUE"""),0.0)</f>
        <v>0</v>
      </c>
      <c r="I200" s="258"/>
      <c r="J200" s="258"/>
      <c r="K200" s="257">
        <f>IFERROR(__xludf.DUMMYFUNCTION("""COMPUTED_VALUE"""),0.0)</f>
        <v>0</v>
      </c>
      <c r="L200" s="258">
        <f>IFERROR(__xludf.DUMMYFUNCTION("""COMPUTED_VALUE"""),0.0)</f>
        <v>0</v>
      </c>
      <c r="M200" s="258">
        <f>IFERROR(__xludf.DUMMYFUNCTION("""COMPUTED_VALUE"""),0.0)</f>
        <v>0</v>
      </c>
      <c r="N200" s="258">
        <f>IFERROR(__xludf.DUMMYFUNCTION("""COMPUTED_VALUE"""),0.0)</f>
        <v>0</v>
      </c>
      <c r="O200" s="258">
        <f>IFERROR(__xludf.DUMMYFUNCTION("""COMPUTED_VALUE"""),0.0)</f>
        <v>0</v>
      </c>
      <c r="P200" s="258">
        <f>IFERROR(__xludf.DUMMYFUNCTION("""COMPUTED_VALUE"""),0.0)</f>
        <v>0</v>
      </c>
      <c r="Q200" s="258">
        <f>IFERROR(__xludf.DUMMYFUNCTION("""COMPUTED_VALUE"""),0.0)</f>
        <v>0</v>
      </c>
      <c r="R200" s="259"/>
      <c r="S200" s="260"/>
      <c r="T200" s="261"/>
      <c r="U200" s="262"/>
      <c r="V200" s="250"/>
      <c r="W200" s="250"/>
      <c r="X200" s="250"/>
      <c r="Y200" s="250"/>
      <c r="Z200" s="250"/>
      <c r="AA200" s="250"/>
      <c r="AB200" s="250"/>
      <c r="AC200" s="250"/>
      <c r="AD200" s="250"/>
      <c r="AE200" s="250"/>
      <c r="AF200" s="250"/>
      <c r="AG200" s="250"/>
      <c r="AH200" s="250"/>
      <c r="AI200" s="250"/>
      <c r="AJ200" s="250"/>
      <c r="AK200" s="250"/>
      <c r="AL200" s="250"/>
      <c r="AM200" s="250"/>
      <c r="AN200" s="250"/>
    </row>
    <row r="201" ht="15.75" customHeight="1">
      <c r="A201" s="250"/>
      <c r="B201" s="251">
        <f>IFERROR(__xludf.DUMMYFUNCTION("""COMPUTED_VALUE"""),193.0)</f>
        <v>193</v>
      </c>
      <c r="C201" s="252"/>
      <c r="D201" s="253" t="str">
        <f>IFERROR(__xludf.DUMMYFUNCTION("""COMPUTED_VALUE"""),"")</f>
        <v/>
      </c>
      <c r="E201" s="254">
        <f>IFERROR(__xludf.DUMMYFUNCTION("""COMPUTED_VALUE"""),0.0)</f>
        <v>0</v>
      </c>
      <c r="F201" s="255"/>
      <c r="G201" s="256"/>
      <c r="H201" s="252">
        <f>IFERROR(__xludf.DUMMYFUNCTION("""COMPUTED_VALUE"""),0.0)</f>
        <v>0</v>
      </c>
      <c r="I201" s="258"/>
      <c r="J201" s="258"/>
      <c r="K201" s="257">
        <f>IFERROR(__xludf.DUMMYFUNCTION("""COMPUTED_VALUE"""),0.0)</f>
        <v>0</v>
      </c>
      <c r="L201" s="258">
        <f>IFERROR(__xludf.DUMMYFUNCTION("""COMPUTED_VALUE"""),0.0)</f>
        <v>0</v>
      </c>
      <c r="M201" s="258">
        <f>IFERROR(__xludf.DUMMYFUNCTION("""COMPUTED_VALUE"""),0.0)</f>
        <v>0</v>
      </c>
      <c r="N201" s="258">
        <f>IFERROR(__xludf.DUMMYFUNCTION("""COMPUTED_VALUE"""),0.0)</f>
        <v>0</v>
      </c>
      <c r="O201" s="258">
        <f>IFERROR(__xludf.DUMMYFUNCTION("""COMPUTED_VALUE"""),0.0)</f>
        <v>0</v>
      </c>
      <c r="P201" s="258">
        <f>IFERROR(__xludf.DUMMYFUNCTION("""COMPUTED_VALUE"""),0.0)</f>
        <v>0</v>
      </c>
      <c r="Q201" s="258">
        <f>IFERROR(__xludf.DUMMYFUNCTION("""COMPUTED_VALUE"""),0.0)</f>
        <v>0</v>
      </c>
      <c r="R201" s="259"/>
      <c r="S201" s="260"/>
      <c r="T201" s="261"/>
      <c r="U201" s="262"/>
      <c r="V201" s="250"/>
      <c r="W201" s="250"/>
      <c r="X201" s="250"/>
      <c r="Y201" s="250"/>
      <c r="Z201" s="250"/>
      <c r="AA201" s="250"/>
      <c r="AB201" s="250"/>
      <c r="AC201" s="250"/>
      <c r="AD201" s="250"/>
      <c r="AE201" s="250"/>
      <c r="AF201" s="250"/>
      <c r="AG201" s="250"/>
      <c r="AH201" s="250"/>
      <c r="AI201" s="250"/>
      <c r="AJ201" s="250"/>
      <c r="AK201" s="250"/>
      <c r="AL201" s="250"/>
      <c r="AM201" s="250"/>
      <c r="AN201" s="250"/>
    </row>
    <row r="202" ht="15.75" customHeight="1">
      <c r="A202" s="250"/>
      <c r="B202" s="251">
        <f>IFERROR(__xludf.DUMMYFUNCTION("""COMPUTED_VALUE"""),194.0)</f>
        <v>194</v>
      </c>
      <c r="C202" s="252"/>
      <c r="D202" s="253" t="str">
        <f>IFERROR(__xludf.DUMMYFUNCTION("""COMPUTED_VALUE"""),"")</f>
        <v/>
      </c>
      <c r="E202" s="254">
        <f>IFERROR(__xludf.DUMMYFUNCTION("""COMPUTED_VALUE"""),0.0)</f>
        <v>0</v>
      </c>
      <c r="F202" s="255"/>
      <c r="G202" s="256"/>
      <c r="H202" s="252">
        <f>IFERROR(__xludf.DUMMYFUNCTION("""COMPUTED_VALUE"""),0.0)</f>
        <v>0</v>
      </c>
      <c r="I202" s="258"/>
      <c r="J202" s="258"/>
      <c r="K202" s="257">
        <f>IFERROR(__xludf.DUMMYFUNCTION("""COMPUTED_VALUE"""),0.0)</f>
        <v>0</v>
      </c>
      <c r="L202" s="258">
        <f>IFERROR(__xludf.DUMMYFUNCTION("""COMPUTED_VALUE"""),0.0)</f>
        <v>0</v>
      </c>
      <c r="M202" s="258">
        <f>IFERROR(__xludf.DUMMYFUNCTION("""COMPUTED_VALUE"""),0.0)</f>
        <v>0</v>
      </c>
      <c r="N202" s="258">
        <f>IFERROR(__xludf.DUMMYFUNCTION("""COMPUTED_VALUE"""),0.0)</f>
        <v>0</v>
      </c>
      <c r="O202" s="258">
        <f>IFERROR(__xludf.DUMMYFUNCTION("""COMPUTED_VALUE"""),0.0)</f>
        <v>0</v>
      </c>
      <c r="P202" s="258">
        <f>IFERROR(__xludf.DUMMYFUNCTION("""COMPUTED_VALUE"""),0.0)</f>
        <v>0</v>
      </c>
      <c r="Q202" s="258">
        <f>IFERROR(__xludf.DUMMYFUNCTION("""COMPUTED_VALUE"""),0.0)</f>
        <v>0</v>
      </c>
      <c r="R202" s="259"/>
      <c r="S202" s="260"/>
      <c r="T202" s="261"/>
      <c r="U202" s="262"/>
      <c r="V202" s="250"/>
      <c r="W202" s="250"/>
      <c r="X202" s="250"/>
      <c r="Y202" s="250"/>
      <c r="Z202" s="250"/>
      <c r="AA202" s="250"/>
      <c r="AB202" s="250"/>
      <c r="AC202" s="250"/>
      <c r="AD202" s="250"/>
      <c r="AE202" s="250"/>
      <c r="AF202" s="250"/>
      <c r="AG202" s="250"/>
      <c r="AH202" s="250"/>
      <c r="AI202" s="250"/>
      <c r="AJ202" s="250"/>
      <c r="AK202" s="250"/>
      <c r="AL202" s="250"/>
      <c r="AM202" s="250"/>
      <c r="AN202" s="250"/>
    </row>
    <row r="203" ht="15.75" customHeight="1">
      <c r="A203" s="250"/>
      <c r="B203" s="251">
        <f>IFERROR(__xludf.DUMMYFUNCTION("""COMPUTED_VALUE"""),195.0)</f>
        <v>195</v>
      </c>
      <c r="C203" s="252"/>
      <c r="D203" s="253" t="str">
        <f>IFERROR(__xludf.DUMMYFUNCTION("""COMPUTED_VALUE"""),"")</f>
        <v/>
      </c>
      <c r="E203" s="254">
        <f>IFERROR(__xludf.DUMMYFUNCTION("""COMPUTED_VALUE"""),0.0)</f>
        <v>0</v>
      </c>
      <c r="F203" s="255"/>
      <c r="G203" s="256"/>
      <c r="H203" s="252">
        <f>IFERROR(__xludf.DUMMYFUNCTION("""COMPUTED_VALUE"""),0.0)</f>
        <v>0</v>
      </c>
      <c r="I203" s="258"/>
      <c r="J203" s="258"/>
      <c r="K203" s="257">
        <f>IFERROR(__xludf.DUMMYFUNCTION("""COMPUTED_VALUE"""),0.0)</f>
        <v>0</v>
      </c>
      <c r="L203" s="258">
        <f>IFERROR(__xludf.DUMMYFUNCTION("""COMPUTED_VALUE"""),0.0)</f>
        <v>0</v>
      </c>
      <c r="M203" s="258">
        <f>IFERROR(__xludf.DUMMYFUNCTION("""COMPUTED_VALUE"""),0.0)</f>
        <v>0</v>
      </c>
      <c r="N203" s="258">
        <f>IFERROR(__xludf.DUMMYFUNCTION("""COMPUTED_VALUE"""),0.0)</f>
        <v>0</v>
      </c>
      <c r="O203" s="258">
        <f>IFERROR(__xludf.DUMMYFUNCTION("""COMPUTED_VALUE"""),0.0)</f>
        <v>0</v>
      </c>
      <c r="P203" s="258">
        <f>IFERROR(__xludf.DUMMYFUNCTION("""COMPUTED_VALUE"""),0.0)</f>
        <v>0</v>
      </c>
      <c r="Q203" s="258">
        <f>IFERROR(__xludf.DUMMYFUNCTION("""COMPUTED_VALUE"""),0.0)</f>
        <v>0</v>
      </c>
      <c r="R203" s="259"/>
      <c r="S203" s="260"/>
      <c r="T203" s="261"/>
      <c r="U203" s="262"/>
      <c r="V203" s="250"/>
      <c r="W203" s="250"/>
      <c r="X203" s="250"/>
      <c r="Y203" s="250"/>
      <c r="Z203" s="250"/>
      <c r="AA203" s="250"/>
      <c r="AB203" s="250"/>
      <c r="AC203" s="250"/>
      <c r="AD203" s="250"/>
      <c r="AE203" s="250"/>
      <c r="AF203" s="250"/>
      <c r="AG203" s="250"/>
      <c r="AH203" s="250"/>
      <c r="AI203" s="250"/>
      <c r="AJ203" s="250"/>
      <c r="AK203" s="250"/>
      <c r="AL203" s="250"/>
      <c r="AM203" s="250"/>
      <c r="AN203" s="250"/>
    </row>
    <row r="204" ht="15.75" customHeight="1">
      <c r="A204" s="250"/>
      <c r="B204" s="251">
        <f>IFERROR(__xludf.DUMMYFUNCTION("""COMPUTED_VALUE"""),196.0)</f>
        <v>196</v>
      </c>
      <c r="C204" s="252"/>
      <c r="D204" s="253" t="str">
        <f>IFERROR(__xludf.DUMMYFUNCTION("""COMPUTED_VALUE"""),"")</f>
        <v/>
      </c>
      <c r="E204" s="254">
        <f>IFERROR(__xludf.DUMMYFUNCTION("""COMPUTED_VALUE"""),0.0)</f>
        <v>0</v>
      </c>
      <c r="F204" s="255"/>
      <c r="G204" s="256"/>
      <c r="H204" s="252">
        <f>IFERROR(__xludf.DUMMYFUNCTION("""COMPUTED_VALUE"""),0.0)</f>
        <v>0</v>
      </c>
      <c r="I204" s="258"/>
      <c r="J204" s="258"/>
      <c r="K204" s="257">
        <f>IFERROR(__xludf.DUMMYFUNCTION("""COMPUTED_VALUE"""),0.0)</f>
        <v>0</v>
      </c>
      <c r="L204" s="258">
        <f>IFERROR(__xludf.DUMMYFUNCTION("""COMPUTED_VALUE"""),0.0)</f>
        <v>0</v>
      </c>
      <c r="M204" s="258">
        <f>IFERROR(__xludf.DUMMYFUNCTION("""COMPUTED_VALUE"""),0.0)</f>
        <v>0</v>
      </c>
      <c r="N204" s="258">
        <f>IFERROR(__xludf.DUMMYFUNCTION("""COMPUTED_VALUE"""),0.0)</f>
        <v>0</v>
      </c>
      <c r="O204" s="258">
        <f>IFERROR(__xludf.DUMMYFUNCTION("""COMPUTED_VALUE"""),0.0)</f>
        <v>0</v>
      </c>
      <c r="P204" s="258">
        <f>IFERROR(__xludf.DUMMYFUNCTION("""COMPUTED_VALUE"""),0.0)</f>
        <v>0</v>
      </c>
      <c r="Q204" s="258">
        <f>IFERROR(__xludf.DUMMYFUNCTION("""COMPUTED_VALUE"""),0.0)</f>
        <v>0</v>
      </c>
      <c r="R204" s="259"/>
      <c r="S204" s="260"/>
      <c r="T204" s="261"/>
      <c r="U204" s="262"/>
      <c r="V204" s="250"/>
      <c r="W204" s="250"/>
      <c r="X204" s="250"/>
      <c r="Y204" s="250"/>
      <c r="Z204" s="250"/>
      <c r="AA204" s="250"/>
      <c r="AB204" s="250"/>
      <c r="AC204" s="250"/>
      <c r="AD204" s="250"/>
      <c r="AE204" s="250"/>
      <c r="AF204" s="250"/>
      <c r="AG204" s="250"/>
      <c r="AH204" s="250"/>
      <c r="AI204" s="250"/>
      <c r="AJ204" s="250"/>
      <c r="AK204" s="250"/>
      <c r="AL204" s="250"/>
      <c r="AM204" s="250"/>
      <c r="AN204" s="250"/>
    </row>
    <row r="205" ht="15.75" customHeight="1">
      <c r="A205" s="250"/>
      <c r="B205" s="251">
        <f>IFERROR(__xludf.DUMMYFUNCTION("""COMPUTED_VALUE"""),197.0)</f>
        <v>197</v>
      </c>
      <c r="C205" s="252"/>
      <c r="D205" s="253" t="str">
        <f>IFERROR(__xludf.DUMMYFUNCTION("""COMPUTED_VALUE"""),"")</f>
        <v/>
      </c>
      <c r="E205" s="254">
        <f>IFERROR(__xludf.DUMMYFUNCTION("""COMPUTED_VALUE"""),0.0)</f>
        <v>0</v>
      </c>
      <c r="F205" s="255"/>
      <c r="G205" s="256"/>
      <c r="H205" s="252">
        <f>IFERROR(__xludf.DUMMYFUNCTION("""COMPUTED_VALUE"""),0.0)</f>
        <v>0</v>
      </c>
      <c r="I205" s="258"/>
      <c r="J205" s="258"/>
      <c r="K205" s="257">
        <f>IFERROR(__xludf.DUMMYFUNCTION("""COMPUTED_VALUE"""),0.0)</f>
        <v>0</v>
      </c>
      <c r="L205" s="258">
        <f>IFERROR(__xludf.DUMMYFUNCTION("""COMPUTED_VALUE"""),0.0)</f>
        <v>0</v>
      </c>
      <c r="M205" s="258">
        <f>IFERROR(__xludf.DUMMYFUNCTION("""COMPUTED_VALUE"""),0.0)</f>
        <v>0</v>
      </c>
      <c r="N205" s="258">
        <f>IFERROR(__xludf.DUMMYFUNCTION("""COMPUTED_VALUE"""),0.0)</f>
        <v>0</v>
      </c>
      <c r="O205" s="258">
        <f>IFERROR(__xludf.DUMMYFUNCTION("""COMPUTED_VALUE"""),0.0)</f>
        <v>0</v>
      </c>
      <c r="P205" s="258">
        <f>IFERROR(__xludf.DUMMYFUNCTION("""COMPUTED_VALUE"""),0.0)</f>
        <v>0</v>
      </c>
      <c r="Q205" s="258">
        <f>IFERROR(__xludf.DUMMYFUNCTION("""COMPUTED_VALUE"""),0.0)</f>
        <v>0</v>
      </c>
      <c r="R205" s="259"/>
      <c r="S205" s="260"/>
      <c r="T205" s="261"/>
      <c r="U205" s="262"/>
      <c r="V205" s="250"/>
      <c r="W205" s="250"/>
      <c r="X205" s="250"/>
      <c r="Y205" s="250"/>
      <c r="Z205" s="250"/>
      <c r="AA205" s="250"/>
      <c r="AB205" s="250"/>
      <c r="AC205" s="250"/>
      <c r="AD205" s="250"/>
      <c r="AE205" s="250"/>
      <c r="AF205" s="250"/>
      <c r="AG205" s="250"/>
      <c r="AH205" s="250"/>
      <c r="AI205" s="250"/>
      <c r="AJ205" s="250"/>
      <c r="AK205" s="250"/>
      <c r="AL205" s="250"/>
      <c r="AM205" s="250"/>
      <c r="AN205" s="250"/>
    </row>
    <row r="206" ht="15.75" customHeight="1">
      <c r="A206" s="250"/>
      <c r="B206" s="251">
        <f>IFERROR(__xludf.DUMMYFUNCTION("""COMPUTED_VALUE"""),198.0)</f>
        <v>198</v>
      </c>
      <c r="C206" s="252"/>
      <c r="D206" s="253" t="str">
        <f>IFERROR(__xludf.DUMMYFUNCTION("""COMPUTED_VALUE"""),"")</f>
        <v/>
      </c>
      <c r="E206" s="254">
        <f>IFERROR(__xludf.DUMMYFUNCTION("""COMPUTED_VALUE"""),0.0)</f>
        <v>0</v>
      </c>
      <c r="F206" s="255"/>
      <c r="G206" s="256"/>
      <c r="H206" s="252">
        <f>IFERROR(__xludf.DUMMYFUNCTION("""COMPUTED_VALUE"""),0.0)</f>
        <v>0</v>
      </c>
      <c r="I206" s="258"/>
      <c r="J206" s="258"/>
      <c r="K206" s="257">
        <f>IFERROR(__xludf.DUMMYFUNCTION("""COMPUTED_VALUE"""),0.0)</f>
        <v>0</v>
      </c>
      <c r="L206" s="258">
        <f>IFERROR(__xludf.DUMMYFUNCTION("""COMPUTED_VALUE"""),0.0)</f>
        <v>0</v>
      </c>
      <c r="M206" s="258">
        <f>IFERROR(__xludf.DUMMYFUNCTION("""COMPUTED_VALUE"""),0.0)</f>
        <v>0</v>
      </c>
      <c r="N206" s="258">
        <f>IFERROR(__xludf.DUMMYFUNCTION("""COMPUTED_VALUE"""),0.0)</f>
        <v>0</v>
      </c>
      <c r="O206" s="258">
        <f>IFERROR(__xludf.DUMMYFUNCTION("""COMPUTED_VALUE"""),0.0)</f>
        <v>0</v>
      </c>
      <c r="P206" s="258">
        <f>IFERROR(__xludf.DUMMYFUNCTION("""COMPUTED_VALUE"""),0.0)</f>
        <v>0</v>
      </c>
      <c r="Q206" s="258">
        <f>IFERROR(__xludf.DUMMYFUNCTION("""COMPUTED_VALUE"""),0.0)</f>
        <v>0</v>
      </c>
      <c r="R206" s="259"/>
      <c r="S206" s="260"/>
      <c r="T206" s="261"/>
      <c r="U206" s="262"/>
      <c r="V206" s="250"/>
      <c r="W206" s="250"/>
      <c r="X206" s="250"/>
      <c r="Y206" s="250"/>
      <c r="Z206" s="250"/>
      <c r="AA206" s="250"/>
      <c r="AB206" s="250"/>
      <c r="AC206" s="250"/>
      <c r="AD206" s="250"/>
      <c r="AE206" s="250"/>
      <c r="AF206" s="250"/>
      <c r="AG206" s="250"/>
      <c r="AH206" s="250"/>
      <c r="AI206" s="250"/>
      <c r="AJ206" s="250"/>
      <c r="AK206" s="250"/>
      <c r="AL206" s="250"/>
      <c r="AM206" s="250"/>
      <c r="AN206" s="250"/>
    </row>
    <row r="207" ht="15.75" customHeight="1">
      <c r="A207" s="250"/>
      <c r="B207" s="251">
        <f>IFERROR(__xludf.DUMMYFUNCTION("""COMPUTED_VALUE"""),199.0)</f>
        <v>199</v>
      </c>
      <c r="C207" s="252"/>
      <c r="D207" s="253" t="str">
        <f>IFERROR(__xludf.DUMMYFUNCTION("""COMPUTED_VALUE"""),"")</f>
        <v/>
      </c>
      <c r="E207" s="254">
        <f>IFERROR(__xludf.DUMMYFUNCTION("""COMPUTED_VALUE"""),0.0)</f>
        <v>0</v>
      </c>
      <c r="F207" s="255"/>
      <c r="G207" s="256"/>
      <c r="H207" s="252">
        <f>IFERROR(__xludf.DUMMYFUNCTION("""COMPUTED_VALUE"""),0.0)</f>
        <v>0</v>
      </c>
      <c r="I207" s="258"/>
      <c r="J207" s="258"/>
      <c r="K207" s="257">
        <f>IFERROR(__xludf.DUMMYFUNCTION("""COMPUTED_VALUE"""),0.0)</f>
        <v>0</v>
      </c>
      <c r="L207" s="258">
        <f>IFERROR(__xludf.DUMMYFUNCTION("""COMPUTED_VALUE"""),0.0)</f>
        <v>0</v>
      </c>
      <c r="M207" s="258">
        <f>IFERROR(__xludf.DUMMYFUNCTION("""COMPUTED_VALUE"""),0.0)</f>
        <v>0</v>
      </c>
      <c r="N207" s="258">
        <f>IFERROR(__xludf.DUMMYFUNCTION("""COMPUTED_VALUE"""),0.0)</f>
        <v>0</v>
      </c>
      <c r="O207" s="258">
        <f>IFERROR(__xludf.DUMMYFUNCTION("""COMPUTED_VALUE"""),0.0)</f>
        <v>0</v>
      </c>
      <c r="P207" s="258">
        <f>IFERROR(__xludf.DUMMYFUNCTION("""COMPUTED_VALUE"""),0.0)</f>
        <v>0</v>
      </c>
      <c r="Q207" s="258">
        <f>IFERROR(__xludf.DUMMYFUNCTION("""COMPUTED_VALUE"""),0.0)</f>
        <v>0</v>
      </c>
      <c r="R207" s="259"/>
      <c r="S207" s="260"/>
      <c r="T207" s="261"/>
      <c r="U207" s="262"/>
      <c r="V207" s="250"/>
      <c r="W207" s="250"/>
      <c r="X207" s="250"/>
      <c r="Y207" s="250"/>
      <c r="Z207" s="250"/>
      <c r="AA207" s="250"/>
      <c r="AB207" s="250"/>
      <c r="AC207" s="250"/>
      <c r="AD207" s="250"/>
      <c r="AE207" s="250"/>
      <c r="AF207" s="250"/>
      <c r="AG207" s="250"/>
      <c r="AH207" s="250"/>
      <c r="AI207" s="250"/>
      <c r="AJ207" s="250"/>
      <c r="AK207" s="250"/>
      <c r="AL207" s="250"/>
      <c r="AM207" s="250"/>
      <c r="AN207" s="250"/>
    </row>
    <row r="208" ht="15.75" customHeight="1">
      <c r="A208" s="250"/>
      <c r="B208" s="251">
        <f>IFERROR(__xludf.DUMMYFUNCTION("""COMPUTED_VALUE"""),200.0)</f>
        <v>200</v>
      </c>
      <c r="C208" s="252"/>
      <c r="D208" s="253" t="str">
        <f>IFERROR(__xludf.DUMMYFUNCTION("""COMPUTED_VALUE"""),"")</f>
        <v/>
      </c>
      <c r="E208" s="254">
        <f>IFERROR(__xludf.DUMMYFUNCTION("""COMPUTED_VALUE"""),0.0)</f>
        <v>0</v>
      </c>
      <c r="F208" s="255"/>
      <c r="G208" s="256"/>
      <c r="H208" s="252">
        <f>IFERROR(__xludf.DUMMYFUNCTION("""COMPUTED_VALUE"""),0.0)</f>
        <v>0</v>
      </c>
      <c r="I208" s="258"/>
      <c r="J208" s="258"/>
      <c r="K208" s="257">
        <f>IFERROR(__xludf.DUMMYFUNCTION("""COMPUTED_VALUE"""),0.0)</f>
        <v>0</v>
      </c>
      <c r="L208" s="258">
        <f>IFERROR(__xludf.DUMMYFUNCTION("""COMPUTED_VALUE"""),0.0)</f>
        <v>0</v>
      </c>
      <c r="M208" s="258">
        <f>IFERROR(__xludf.DUMMYFUNCTION("""COMPUTED_VALUE"""),0.0)</f>
        <v>0</v>
      </c>
      <c r="N208" s="258">
        <f>IFERROR(__xludf.DUMMYFUNCTION("""COMPUTED_VALUE"""),0.0)</f>
        <v>0</v>
      </c>
      <c r="O208" s="258">
        <f>IFERROR(__xludf.DUMMYFUNCTION("""COMPUTED_VALUE"""),0.0)</f>
        <v>0</v>
      </c>
      <c r="P208" s="258">
        <f>IFERROR(__xludf.DUMMYFUNCTION("""COMPUTED_VALUE"""),0.0)</f>
        <v>0</v>
      </c>
      <c r="Q208" s="258">
        <f>IFERROR(__xludf.DUMMYFUNCTION("""COMPUTED_VALUE"""),0.0)</f>
        <v>0</v>
      </c>
      <c r="R208" s="259"/>
      <c r="S208" s="260"/>
      <c r="T208" s="261"/>
      <c r="U208" s="262"/>
      <c r="V208" s="250"/>
      <c r="W208" s="250"/>
      <c r="X208" s="250"/>
      <c r="Y208" s="250"/>
      <c r="Z208" s="250"/>
      <c r="AA208" s="250"/>
      <c r="AB208" s="250"/>
      <c r="AC208" s="250"/>
      <c r="AD208" s="250"/>
      <c r="AE208" s="250"/>
      <c r="AF208" s="250"/>
      <c r="AG208" s="250"/>
      <c r="AH208" s="250"/>
      <c r="AI208" s="250"/>
      <c r="AJ208" s="250"/>
      <c r="AK208" s="250"/>
      <c r="AL208" s="250"/>
      <c r="AM208" s="250"/>
      <c r="AN208" s="250"/>
    </row>
    <row r="209" ht="15.75" customHeight="1">
      <c r="A209" s="250"/>
      <c r="B209" s="251">
        <f>IFERROR(__xludf.DUMMYFUNCTION("""COMPUTED_VALUE"""),201.0)</f>
        <v>201</v>
      </c>
      <c r="C209" s="252"/>
      <c r="D209" s="253" t="str">
        <f>IFERROR(__xludf.DUMMYFUNCTION("""COMPUTED_VALUE"""),"")</f>
        <v/>
      </c>
      <c r="E209" s="254">
        <f>IFERROR(__xludf.DUMMYFUNCTION("""COMPUTED_VALUE"""),0.0)</f>
        <v>0</v>
      </c>
      <c r="F209" s="255"/>
      <c r="G209" s="256"/>
      <c r="H209" s="252">
        <f>IFERROR(__xludf.DUMMYFUNCTION("""COMPUTED_VALUE"""),0.0)</f>
        <v>0</v>
      </c>
      <c r="I209" s="258"/>
      <c r="J209" s="258"/>
      <c r="K209" s="257">
        <f>IFERROR(__xludf.DUMMYFUNCTION("""COMPUTED_VALUE"""),0.0)</f>
        <v>0</v>
      </c>
      <c r="L209" s="258">
        <f>IFERROR(__xludf.DUMMYFUNCTION("""COMPUTED_VALUE"""),0.0)</f>
        <v>0</v>
      </c>
      <c r="M209" s="258">
        <f>IFERROR(__xludf.DUMMYFUNCTION("""COMPUTED_VALUE"""),0.0)</f>
        <v>0</v>
      </c>
      <c r="N209" s="258">
        <f>IFERROR(__xludf.DUMMYFUNCTION("""COMPUTED_VALUE"""),0.0)</f>
        <v>0</v>
      </c>
      <c r="O209" s="258">
        <f>IFERROR(__xludf.DUMMYFUNCTION("""COMPUTED_VALUE"""),0.0)</f>
        <v>0</v>
      </c>
      <c r="P209" s="258">
        <f>IFERROR(__xludf.DUMMYFUNCTION("""COMPUTED_VALUE"""),0.0)</f>
        <v>0</v>
      </c>
      <c r="Q209" s="258">
        <f>IFERROR(__xludf.DUMMYFUNCTION("""COMPUTED_VALUE"""),0.0)</f>
        <v>0</v>
      </c>
      <c r="R209" s="259"/>
      <c r="S209" s="260"/>
      <c r="T209" s="261"/>
      <c r="U209" s="262"/>
      <c r="V209" s="250"/>
      <c r="W209" s="250"/>
      <c r="X209" s="250"/>
      <c r="Y209" s="250"/>
      <c r="Z209" s="250"/>
      <c r="AA209" s="250"/>
      <c r="AB209" s="250"/>
      <c r="AC209" s="250"/>
      <c r="AD209" s="250"/>
      <c r="AE209" s="250"/>
      <c r="AF209" s="250"/>
      <c r="AG209" s="250"/>
      <c r="AH209" s="250"/>
      <c r="AI209" s="250"/>
      <c r="AJ209" s="250"/>
      <c r="AK209" s="250"/>
      <c r="AL209" s="250"/>
      <c r="AM209" s="250"/>
      <c r="AN209" s="250"/>
    </row>
    <row r="210" ht="15.75" customHeight="1">
      <c r="A210" s="250"/>
      <c r="B210" s="251">
        <f>IFERROR(__xludf.DUMMYFUNCTION("""COMPUTED_VALUE"""),202.0)</f>
        <v>202</v>
      </c>
      <c r="C210" s="252"/>
      <c r="D210" s="253" t="str">
        <f>IFERROR(__xludf.DUMMYFUNCTION("""COMPUTED_VALUE"""),"")</f>
        <v/>
      </c>
      <c r="E210" s="254">
        <f>IFERROR(__xludf.DUMMYFUNCTION("""COMPUTED_VALUE"""),0.0)</f>
        <v>0</v>
      </c>
      <c r="F210" s="255"/>
      <c r="G210" s="256"/>
      <c r="H210" s="252">
        <f>IFERROR(__xludf.DUMMYFUNCTION("""COMPUTED_VALUE"""),0.0)</f>
        <v>0</v>
      </c>
      <c r="I210" s="258"/>
      <c r="J210" s="258"/>
      <c r="K210" s="257">
        <f>IFERROR(__xludf.DUMMYFUNCTION("""COMPUTED_VALUE"""),0.0)</f>
        <v>0</v>
      </c>
      <c r="L210" s="258">
        <f>IFERROR(__xludf.DUMMYFUNCTION("""COMPUTED_VALUE"""),0.0)</f>
        <v>0</v>
      </c>
      <c r="M210" s="258">
        <f>IFERROR(__xludf.DUMMYFUNCTION("""COMPUTED_VALUE"""),0.0)</f>
        <v>0</v>
      </c>
      <c r="N210" s="258">
        <f>IFERROR(__xludf.DUMMYFUNCTION("""COMPUTED_VALUE"""),0.0)</f>
        <v>0</v>
      </c>
      <c r="O210" s="258">
        <f>IFERROR(__xludf.DUMMYFUNCTION("""COMPUTED_VALUE"""),0.0)</f>
        <v>0</v>
      </c>
      <c r="P210" s="258">
        <f>IFERROR(__xludf.DUMMYFUNCTION("""COMPUTED_VALUE"""),0.0)</f>
        <v>0</v>
      </c>
      <c r="Q210" s="258">
        <f>IFERROR(__xludf.DUMMYFUNCTION("""COMPUTED_VALUE"""),0.0)</f>
        <v>0</v>
      </c>
      <c r="R210" s="259"/>
      <c r="S210" s="260"/>
      <c r="T210" s="261"/>
      <c r="U210" s="262"/>
      <c r="V210" s="250"/>
      <c r="W210" s="250"/>
      <c r="X210" s="250"/>
      <c r="Y210" s="250"/>
      <c r="Z210" s="250"/>
      <c r="AA210" s="250"/>
      <c r="AB210" s="250"/>
      <c r="AC210" s="250"/>
      <c r="AD210" s="250"/>
      <c r="AE210" s="250"/>
      <c r="AF210" s="250"/>
      <c r="AG210" s="250"/>
      <c r="AH210" s="250"/>
      <c r="AI210" s="250"/>
      <c r="AJ210" s="250"/>
      <c r="AK210" s="250"/>
      <c r="AL210" s="250"/>
      <c r="AM210" s="250"/>
      <c r="AN210" s="250"/>
    </row>
    <row r="211" ht="15.75" customHeight="1">
      <c r="A211" s="250"/>
      <c r="B211" s="251">
        <f>IFERROR(__xludf.DUMMYFUNCTION("""COMPUTED_VALUE"""),203.0)</f>
        <v>203</v>
      </c>
      <c r="C211" s="252"/>
      <c r="D211" s="253" t="str">
        <f>IFERROR(__xludf.DUMMYFUNCTION("""COMPUTED_VALUE"""),"")</f>
        <v/>
      </c>
      <c r="E211" s="254">
        <f>IFERROR(__xludf.DUMMYFUNCTION("""COMPUTED_VALUE"""),0.0)</f>
        <v>0</v>
      </c>
      <c r="F211" s="255"/>
      <c r="G211" s="256"/>
      <c r="H211" s="252">
        <f>IFERROR(__xludf.DUMMYFUNCTION("""COMPUTED_VALUE"""),0.0)</f>
        <v>0</v>
      </c>
      <c r="I211" s="258"/>
      <c r="J211" s="258"/>
      <c r="K211" s="257">
        <f>IFERROR(__xludf.DUMMYFUNCTION("""COMPUTED_VALUE"""),0.0)</f>
        <v>0</v>
      </c>
      <c r="L211" s="258">
        <f>IFERROR(__xludf.DUMMYFUNCTION("""COMPUTED_VALUE"""),0.0)</f>
        <v>0</v>
      </c>
      <c r="M211" s="258">
        <f>IFERROR(__xludf.DUMMYFUNCTION("""COMPUTED_VALUE"""),0.0)</f>
        <v>0</v>
      </c>
      <c r="N211" s="258">
        <f>IFERROR(__xludf.DUMMYFUNCTION("""COMPUTED_VALUE"""),0.0)</f>
        <v>0</v>
      </c>
      <c r="O211" s="258">
        <f>IFERROR(__xludf.DUMMYFUNCTION("""COMPUTED_VALUE"""),0.0)</f>
        <v>0</v>
      </c>
      <c r="P211" s="258">
        <f>IFERROR(__xludf.DUMMYFUNCTION("""COMPUTED_VALUE"""),0.0)</f>
        <v>0</v>
      </c>
      <c r="Q211" s="258">
        <f>IFERROR(__xludf.DUMMYFUNCTION("""COMPUTED_VALUE"""),0.0)</f>
        <v>0</v>
      </c>
      <c r="R211" s="259"/>
      <c r="S211" s="260"/>
      <c r="T211" s="261"/>
      <c r="U211" s="262"/>
      <c r="V211" s="250"/>
      <c r="W211" s="250"/>
      <c r="X211" s="250"/>
      <c r="Y211" s="250"/>
      <c r="Z211" s="250"/>
      <c r="AA211" s="250"/>
      <c r="AB211" s="250"/>
      <c r="AC211" s="250"/>
      <c r="AD211" s="250"/>
      <c r="AE211" s="250"/>
      <c r="AF211" s="250"/>
      <c r="AG211" s="250"/>
      <c r="AH211" s="250"/>
      <c r="AI211" s="250"/>
      <c r="AJ211" s="250"/>
      <c r="AK211" s="250"/>
      <c r="AL211" s="250"/>
      <c r="AM211" s="250"/>
      <c r="AN211" s="250"/>
    </row>
    <row r="212" ht="15.75" customHeight="1">
      <c r="A212" s="250"/>
      <c r="B212" s="251">
        <f>IFERROR(__xludf.DUMMYFUNCTION("""COMPUTED_VALUE"""),204.0)</f>
        <v>204</v>
      </c>
      <c r="C212" s="252"/>
      <c r="D212" s="253" t="str">
        <f>IFERROR(__xludf.DUMMYFUNCTION("""COMPUTED_VALUE"""),"")</f>
        <v/>
      </c>
      <c r="E212" s="254">
        <f>IFERROR(__xludf.DUMMYFUNCTION("""COMPUTED_VALUE"""),0.0)</f>
        <v>0</v>
      </c>
      <c r="F212" s="255"/>
      <c r="G212" s="256"/>
      <c r="H212" s="252">
        <f>IFERROR(__xludf.DUMMYFUNCTION("""COMPUTED_VALUE"""),0.0)</f>
        <v>0</v>
      </c>
      <c r="I212" s="258"/>
      <c r="J212" s="258"/>
      <c r="K212" s="257">
        <f>IFERROR(__xludf.DUMMYFUNCTION("""COMPUTED_VALUE"""),0.0)</f>
        <v>0</v>
      </c>
      <c r="L212" s="258">
        <f>IFERROR(__xludf.DUMMYFUNCTION("""COMPUTED_VALUE"""),0.0)</f>
        <v>0</v>
      </c>
      <c r="M212" s="258">
        <f>IFERROR(__xludf.DUMMYFUNCTION("""COMPUTED_VALUE"""),0.0)</f>
        <v>0</v>
      </c>
      <c r="N212" s="258">
        <f>IFERROR(__xludf.DUMMYFUNCTION("""COMPUTED_VALUE"""),0.0)</f>
        <v>0</v>
      </c>
      <c r="O212" s="258">
        <f>IFERROR(__xludf.DUMMYFUNCTION("""COMPUTED_VALUE"""),0.0)</f>
        <v>0</v>
      </c>
      <c r="P212" s="258">
        <f>IFERROR(__xludf.DUMMYFUNCTION("""COMPUTED_VALUE"""),0.0)</f>
        <v>0</v>
      </c>
      <c r="Q212" s="258">
        <f>IFERROR(__xludf.DUMMYFUNCTION("""COMPUTED_VALUE"""),0.0)</f>
        <v>0</v>
      </c>
      <c r="R212" s="259"/>
      <c r="S212" s="260"/>
      <c r="T212" s="261"/>
      <c r="U212" s="262"/>
      <c r="V212" s="250"/>
      <c r="W212" s="250"/>
      <c r="X212" s="250"/>
      <c r="Y212" s="250"/>
      <c r="Z212" s="250"/>
      <c r="AA212" s="250"/>
      <c r="AB212" s="250"/>
      <c r="AC212" s="250"/>
      <c r="AD212" s="250"/>
      <c r="AE212" s="250"/>
      <c r="AF212" s="250"/>
      <c r="AG212" s="250"/>
      <c r="AH212" s="250"/>
      <c r="AI212" s="250"/>
      <c r="AJ212" s="250"/>
      <c r="AK212" s="250"/>
      <c r="AL212" s="250"/>
      <c r="AM212" s="250"/>
      <c r="AN212" s="250"/>
    </row>
    <row r="213" ht="15.75" customHeight="1">
      <c r="A213" s="250"/>
      <c r="B213" s="251">
        <f>IFERROR(__xludf.DUMMYFUNCTION("""COMPUTED_VALUE"""),205.0)</f>
        <v>205</v>
      </c>
      <c r="C213" s="252"/>
      <c r="D213" s="253" t="str">
        <f>IFERROR(__xludf.DUMMYFUNCTION("""COMPUTED_VALUE"""),"")</f>
        <v/>
      </c>
      <c r="E213" s="254">
        <f>IFERROR(__xludf.DUMMYFUNCTION("""COMPUTED_VALUE"""),0.0)</f>
        <v>0</v>
      </c>
      <c r="F213" s="255"/>
      <c r="G213" s="256"/>
      <c r="H213" s="252">
        <f>IFERROR(__xludf.DUMMYFUNCTION("""COMPUTED_VALUE"""),0.0)</f>
        <v>0</v>
      </c>
      <c r="I213" s="258"/>
      <c r="J213" s="258"/>
      <c r="K213" s="257">
        <f>IFERROR(__xludf.DUMMYFUNCTION("""COMPUTED_VALUE"""),0.0)</f>
        <v>0</v>
      </c>
      <c r="L213" s="258">
        <f>IFERROR(__xludf.DUMMYFUNCTION("""COMPUTED_VALUE"""),0.0)</f>
        <v>0</v>
      </c>
      <c r="M213" s="258">
        <f>IFERROR(__xludf.DUMMYFUNCTION("""COMPUTED_VALUE"""),0.0)</f>
        <v>0</v>
      </c>
      <c r="N213" s="258">
        <f>IFERROR(__xludf.DUMMYFUNCTION("""COMPUTED_VALUE"""),0.0)</f>
        <v>0</v>
      </c>
      <c r="O213" s="258">
        <f>IFERROR(__xludf.DUMMYFUNCTION("""COMPUTED_VALUE"""),0.0)</f>
        <v>0</v>
      </c>
      <c r="P213" s="258">
        <f>IFERROR(__xludf.DUMMYFUNCTION("""COMPUTED_VALUE"""),0.0)</f>
        <v>0</v>
      </c>
      <c r="Q213" s="258">
        <f>IFERROR(__xludf.DUMMYFUNCTION("""COMPUTED_VALUE"""),0.0)</f>
        <v>0</v>
      </c>
      <c r="R213" s="259"/>
      <c r="S213" s="260"/>
      <c r="T213" s="261"/>
      <c r="U213" s="262"/>
      <c r="V213" s="250"/>
      <c r="W213" s="250"/>
      <c r="X213" s="250"/>
      <c r="Y213" s="250"/>
      <c r="Z213" s="250"/>
      <c r="AA213" s="250"/>
      <c r="AB213" s="250"/>
      <c r="AC213" s="250"/>
      <c r="AD213" s="250"/>
      <c r="AE213" s="250"/>
      <c r="AF213" s="250"/>
      <c r="AG213" s="250"/>
      <c r="AH213" s="250"/>
      <c r="AI213" s="250"/>
      <c r="AJ213" s="250"/>
      <c r="AK213" s="250"/>
      <c r="AL213" s="250"/>
      <c r="AM213" s="250"/>
      <c r="AN213" s="250"/>
    </row>
    <row r="214" ht="15.75" customHeight="1">
      <c r="A214" s="250"/>
      <c r="B214" s="251">
        <f>IFERROR(__xludf.DUMMYFUNCTION("""COMPUTED_VALUE"""),206.0)</f>
        <v>206</v>
      </c>
      <c r="C214" s="252"/>
      <c r="D214" s="253" t="str">
        <f>IFERROR(__xludf.DUMMYFUNCTION("""COMPUTED_VALUE"""),"")</f>
        <v/>
      </c>
      <c r="E214" s="254">
        <f>IFERROR(__xludf.DUMMYFUNCTION("""COMPUTED_VALUE"""),0.0)</f>
        <v>0</v>
      </c>
      <c r="F214" s="255"/>
      <c r="G214" s="256"/>
      <c r="H214" s="252">
        <f>IFERROR(__xludf.DUMMYFUNCTION("""COMPUTED_VALUE"""),0.0)</f>
        <v>0</v>
      </c>
      <c r="I214" s="258"/>
      <c r="J214" s="258"/>
      <c r="K214" s="257">
        <f>IFERROR(__xludf.DUMMYFUNCTION("""COMPUTED_VALUE"""),0.0)</f>
        <v>0</v>
      </c>
      <c r="L214" s="258">
        <f>IFERROR(__xludf.DUMMYFUNCTION("""COMPUTED_VALUE"""),0.0)</f>
        <v>0</v>
      </c>
      <c r="M214" s="258">
        <f>IFERROR(__xludf.DUMMYFUNCTION("""COMPUTED_VALUE"""),0.0)</f>
        <v>0</v>
      </c>
      <c r="N214" s="258">
        <f>IFERROR(__xludf.DUMMYFUNCTION("""COMPUTED_VALUE"""),0.0)</f>
        <v>0</v>
      </c>
      <c r="O214" s="258">
        <f>IFERROR(__xludf.DUMMYFUNCTION("""COMPUTED_VALUE"""),0.0)</f>
        <v>0</v>
      </c>
      <c r="P214" s="258">
        <f>IFERROR(__xludf.DUMMYFUNCTION("""COMPUTED_VALUE"""),0.0)</f>
        <v>0</v>
      </c>
      <c r="Q214" s="258">
        <f>IFERROR(__xludf.DUMMYFUNCTION("""COMPUTED_VALUE"""),0.0)</f>
        <v>0</v>
      </c>
      <c r="R214" s="259"/>
      <c r="S214" s="260"/>
      <c r="T214" s="261"/>
      <c r="U214" s="262"/>
      <c r="V214" s="250"/>
      <c r="W214" s="250"/>
      <c r="X214" s="250"/>
      <c r="Y214" s="250"/>
      <c r="Z214" s="250"/>
      <c r="AA214" s="250"/>
      <c r="AB214" s="250"/>
      <c r="AC214" s="250"/>
      <c r="AD214" s="250"/>
      <c r="AE214" s="250"/>
      <c r="AF214" s="250"/>
      <c r="AG214" s="250"/>
      <c r="AH214" s="250"/>
      <c r="AI214" s="250"/>
      <c r="AJ214" s="250"/>
      <c r="AK214" s="250"/>
      <c r="AL214" s="250"/>
      <c r="AM214" s="250"/>
      <c r="AN214" s="250"/>
    </row>
    <row r="215" ht="15.75" customHeight="1">
      <c r="A215" s="250"/>
      <c r="B215" s="251">
        <f>IFERROR(__xludf.DUMMYFUNCTION("""COMPUTED_VALUE"""),207.0)</f>
        <v>207</v>
      </c>
      <c r="C215" s="252"/>
      <c r="D215" s="253" t="str">
        <f>IFERROR(__xludf.DUMMYFUNCTION("""COMPUTED_VALUE"""),"")</f>
        <v/>
      </c>
      <c r="E215" s="254">
        <f>IFERROR(__xludf.DUMMYFUNCTION("""COMPUTED_VALUE"""),0.0)</f>
        <v>0</v>
      </c>
      <c r="F215" s="255"/>
      <c r="G215" s="256"/>
      <c r="H215" s="252">
        <f>IFERROR(__xludf.DUMMYFUNCTION("""COMPUTED_VALUE"""),0.0)</f>
        <v>0</v>
      </c>
      <c r="I215" s="258"/>
      <c r="J215" s="258"/>
      <c r="K215" s="257">
        <f>IFERROR(__xludf.DUMMYFUNCTION("""COMPUTED_VALUE"""),0.0)</f>
        <v>0</v>
      </c>
      <c r="L215" s="258">
        <f>IFERROR(__xludf.DUMMYFUNCTION("""COMPUTED_VALUE"""),0.0)</f>
        <v>0</v>
      </c>
      <c r="M215" s="258">
        <f>IFERROR(__xludf.DUMMYFUNCTION("""COMPUTED_VALUE"""),0.0)</f>
        <v>0</v>
      </c>
      <c r="N215" s="258">
        <f>IFERROR(__xludf.DUMMYFUNCTION("""COMPUTED_VALUE"""),0.0)</f>
        <v>0</v>
      </c>
      <c r="O215" s="258">
        <f>IFERROR(__xludf.DUMMYFUNCTION("""COMPUTED_VALUE"""),0.0)</f>
        <v>0</v>
      </c>
      <c r="P215" s="258">
        <f>IFERROR(__xludf.DUMMYFUNCTION("""COMPUTED_VALUE"""),0.0)</f>
        <v>0</v>
      </c>
      <c r="Q215" s="258">
        <f>IFERROR(__xludf.DUMMYFUNCTION("""COMPUTED_VALUE"""),0.0)</f>
        <v>0</v>
      </c>
      <c r="R215" s="259"/>
      <c r="S215" s="260"/>
      <c r="T215" s="261"/>
      <c r="U215" s="262"/>
      <c r="V215" s="250"/>
      <c r="W215" s="250"/>
      <c r="X215" s="250"/>
      <c r="Y215" s="250"/>
      <c r="Z215" s="250"/>
      <c r="AA215" s="250"/>
      <c r="AB215" s="250"/>
      <c r="AC215" s="250"/>
      <c r="AD215" s="250"/>
      <c r="AE215" s="250"/>
      <c r="AF215" s="250"/>
      <c r="AG215" s="250"/>
      <c r="AH215" s="250"/>
      <c r="AI215" s="250"/>
      <c r="AJ215" s="250"/>
      <c r="AK215" s="250"/>
      <c r="AL215" s="250"/>
      <c r="AM215" s="250"/>
      <c r="AN215" s="250"/>
    </row>
    <row r="216" ht="15.75" customHeight="1">
      <c r="A216" s="250"/>
      <c r="B216" s="251">
        <f>IFERROR(__xludf.DUMMYFUNCTION("""COMPUTED_VALUE"""),208.0)</f>
        <v>208</v>
      </c>
      <c r="C216" s="252"/>
      <c r="D216" s="253" t="str">
        <f>IFERROR(__xludf.DUMMYFUNCTION("""COMPUTED_VALUE"""),"")</f>
        <v/>
      </c>
      <c r="E216" s="254">
        <f>IFERROR(__xludf.DUMMYFUNCTION("""COMPUTED_VALUE"""),0.0)</f>
        <v>0</v>
      </c>
      <c r="F216" s="255"/>
      <c r="G216" s="256"/>
      <c r="H216" s="252">
        <f>IFERROR(__xludf.DUMMYFUNCTION("""COMPUTED_VALUE"""),0.0)</f>
        <v>0</v>
      </c>
      <c r="I216" s="258"/>
      <c r="J216" s="258"/>
      <c r="K216" s="257">
        <f>IFERROR(__xludf.DUMMYFUNCTION("""COMPUTED_VALUE"""),0.0)</f>
        <v>0</v>
      </c>
      <c r="L216" s="258">
        <f>IFERROR(__xludf.DUMMYFUNCTION("""COMPUTED_VALUE"""),0.0)</f>
        <v>0</v>
      </c>
      <c r="M216" s="258">
        <f>IFERROR(__xludf.DUMMYFUNCTION("""COMPUTED_VALUE"""),0.0)</f>
        <v>0</v>
      </c>
      <c r="N216" s="258">
        <f>IFERROR(__xludf.DUMMYFUNCTION("""COMPUTED_VALUE"""),0.0)</f>
        <v>0</v>
      </c>
      <c r="O216" s="258">
        <f>IFERROR(__xludf.DUMMYFUNCTION("""COMPUTED_VALUE"""),0.0)</f>
        <v>0</v>
      </c>
      <c r="P216" s="258">
        <f>IFERROR(__xludf.DUMMYFUNCTION("""COMPUTED_VALUE"""),0.0)</f>
        <v>0</v>
      </c>
      <c r="Q216" s="258">
        <f>IFERROR(__xludf.DUMMYFUNCTION("""COMPUTED_VALUE"""),0.0)</f>
        <v>0</v>
      </c>
      <c r="R216" s="259"/>
      <c r="S216" s="260"/>
      <c r="T216" s="261"/>
      <c r="U216" s="262"/>
      <c r="V216" s="250"/>
      <c r="W216" s="250"/>
      <c r="X216" s="250"/>
      <c r="Y216" s="250"/>
      <c r="Z216" s="250"/>
      <c r="AA216" s="250"/>
      <c r="AB216" s="250"/>
      <c r="AC216" s="250"/>
      <c r="AD216" s="250"/>
      <c r="AE216" s="250"/>
      <c r="AF216" s="250"/>
      <c r="AG216" s="250"/>
      <c r="AH216" s="250"/>
      <c r="AI216" s="250"/>
      <c r="AJ216" s="250"/>
      <c r="AK216" s="250"/>
      <c r="AL216" s="250"/>
      <c r="AM216" s="250"/>
      <c r="AN216" s="250"/>
    </row>
    <row r="217" ht="15.75" customHeight="1">
      <c r="A217" s="250"/>
      <c r="B217" s="251">
        <f>IFERROR(__xludf.DUMMYFUNCTION("""COMPUTED_VALUE"""),209.0)</f>
        <v>209</v>
      </c>
      <c r="C217" s="252"/>
      <c r="D217" s="253" t="str">
        <f>IFERROR(__xludf.DUMMYFUNCTION("""COMPUTED_VALUE"""),"")</f>
        <v/>
      </c>
      <c r="E217" s="254">
        <f>IFERROR(__xludf.DUMMYFUNCTION("""COMPUTED_VALUE"""),0.0)</f>
        <v>0</v>
      </c>
      <c r="F217" s="255"/>
      <c r="G217" s="256"/>
      <c r="H217" s="252">
        <f>IFERROR(__xludf.DUMMYFUNCTION("""COMPUTED_VALUE"""),0.0)</f>
        <v>0</v>
      </c>
      <c r="I217" s="258"/>
      <c r="J217" s="258"/>
      <c r="K217" s="257">
        <f>IFERROR(__xludf.DUMMYFUNCTION("""COMPUTED_VALUE"""),0.0)</f>
        <v>0</v>
      </c>
      <c r="L217" s="258">
        <f>IFERROR(__xludf.DUMMYFUNCTION("""COMPUTED_VALUE"""),0.0)</f>
        <v>0</v>
      </c>
      <c r="M217" s="258">
        <f>IFERROR(__xludf.DUMMYFUNCTION("""COMPUTED_VALUE"""),0.0)</f>
        <v>0</v>
      </c>
      <c r="N217" s="258">
        <f>IFERROR(__xludf.DUMMYFUNCTION("""COMPUTED_VALUE"""),0.0)</f>
        <v>0</v>
      </c>
      <c r="O217" s="258">
        <f>IFERROR(__xludf.DUMMYFUNCTION("""COMPUTED_VALUE"""),0.0)</f>
        <v>0</v>
      </c>
      <c r="P217" s="258">
        <f>IFERROR(__xludf.DUMMYFUNCTION("""COMPUTED_VALUE"""),0.0)</f>
        <v>0</v>
      </c>
      <c r="Q217" s="258">
        <f>IFERROR(__xludf.DUMMYFUNCTION("""COMPUTED_VALUE"""),0.0)</f>
        <v>0</v>
      </c>
      <c r="R217" s="259"/>
      <c r="S217" s="260"/>
      <c r="T217" s="261"/>
      <c r="U217" s="262"/>
      <c r="V217" s="250"/>
      <c r="W217" s="250"/>
      <c r="X217" s="250"/>
      <c r="Y217" s="250"/>
      <c r="Z217" s="250"/>
      <c r="AA217" s="250"/>
      <c r="AB217" s="250"/>
      <c r="AC217" s="250"/>
      <c r="AD217" s="250"/>
      <c r="AE217" s="250"/>
      <c r="AF217" s="250"/>
      <c r="AG217" s="250"/>
      <c r="AH217" s="250"/>
      <c r="AI217" s="250"/>
      <c r="AJ217" s="250"/>
      <c r="AK217" s="250"/>
      <c r="AL217" s="250"/>
      <c r="AM217" s="250"/>
      <c r="AN217" s="250"/>
    </row>
    <row r="218" ht="15.75" customHeight="1">
      <c r="A218" s="250"/>
      <c r="B218" s="251">
        <f>IFERROR(__xludf.DUMMYFUNCTION("""COMPUTED_VALUE"""),210.0)</f>
        <v>210</v>
      </c>
      <c r="C218" s="252"/>
      <c r="D218" s="253" t="str">
        <f>IFERROR(__xludf.DUMMYFUNCTION("""COMPUTED_VALUE"""),"")</f>
        <v/>
      </c>
      <c r="E218" s="254">
        <f>IFERROR(__xludf.DUMMYFUNCTION("""COMPUTED_VALUE"""),0.0)</f>
        <v>0</v>
      </c>
      <c r="F218" s="255"/>
      <c r="G218" s="256"/>
      <c r="H218" s="252">
        <f>IFERROR(__xludf.DUMMYFUNCTION("""COMPUTED_VALUE"""),0.0)</f>
        <v>0</v>
      </c>
      <c r="I218" s="258"/>
      <c r="J218" s="258"/>
      <c r="K218" s="257">
        <f>IFERROR(__xludf.DUMMYFUNCTION("""COMPUTED_VALUE"""),0.0)</f>
        <v>0</v>
      </c>
      <c r="L218" s="258">
        <f>IFERROR(__xludf.DUMMYFUNCTION("""COMPUTED_VALUE"""),0.0)</f>
        <v>0</v>
      </c>
      <c r="M218" s="258">
        <f>IFERROR(__xludf.DUMMYFUNCTION("""COMPUTED_VALUE"""),0.0)</f>
        <v>0</v>
      </c>
      <c r="N218" s="258">
        <f>IFERROR(__xludf.DUMMYFUNCTION("""COMPUTED_VALUE"""),0.0)</f>
        <v>0</v>
      </c>
      <c r="O218" s="258">
        <f>IFERROR(__xludf.DUMMYFUNCTION("""COMPUTED_VALUE"""),0.0)</f>
        <v>0</v>
      </c>
      <c r="P218" s="258">
        <f>IFERROR(__xludf.DUMMYFUNCTION("""COMPUTED_VALUE"""),0.0)</f>
        <v>0</v>
      </c>
      <c r="Q218" s="258">
        <f>IFERROR(__xludf.DUMMYFUNCTION("""COMPUTED_VALUE"""),0.0)</f>
        <v>0</v>
      </c>
      <c r="R218" s="259"/>
      <c r="S218" s="260"/>
      <c r="T218" s="261"/>
      <c r="U218" s="262"/>
      <c r="V218" s="250"/>
      <c r="W218" s="250"/>
      <c r="X218" s="250"/>
      <c r="Y218" s="250"/>
      <c r="Z218" s="250"/>
      <c r="AA218" s="250"/>
      <c r="AB218" s="250"/>
      <c r="AC218" s="250"/>
      <c r="AD218" s="250"/>
      <c r="AE218" s="250"/>
      <c r="AF218" s="250"/>
      <c r="AG218" s="250"/>
      <c r="AH218" s="250"/>
      <c r="AI218" s="250"/>
      <c r="AJ218" s="250"/>
      <c r="AK218" s="250"/>
      <c r="AL218" s="250"/>
      <c r="AM218" s="250"/>
      <c r="AN218" s="250"/>
    </row>
    <row r="219" ht="15.75" customHeight="1">
      <c r="A219" s="250"/>
      <c r="B219" s="251">
        <f>IFERROR(__xludf.DUMMYFUNCTION("""COMPUTED_VALUE"""),211.0)</f>
        <v>211</v>
      </c>
      <c r="C219" s="252"/>
      <c r="D219" s="253" t="str">
        <f>IFERROR(__xludf.DUMMYFUNCTION("""COMPUTED_VALUE"""),"")</f>
        <v/>
      </c>
      <c r="E219" s="254">
        <f>IFERROR(__xludf.DUMMYFUNCTION("""COMPUTED_VALUE"""),0.0)</f>
        <v>0</v>
      </c>
      <c r="F219" s="255"/>
      <c r="G219" s="256"/>
      <c r="H219" s="252">
        <f>IFERROR(__xludf.DUMMYFUNCTION("""COMPUTED_VALUE"""),0.0)</f>
        <v>0</v>
      </c>
      <c r="I219" s="258"/>
      <c r="J219" s="258"/>
      <c r="K219" s="257">
        <f>IFERROR(__xludf.DUMMYFUNCTION("""COMPUTED_VALUE"""),0.0)</f>
        <v>0</v>
      </c>
      <c r="L219" s="258">
        <f>IFERROR(__xludf.DUMMYFUNCTION("""COMPUTED_VALUE"""),0.0)</f>
        <v>0</v>
      </c>
      <c r="M219" s="258">
        <f>IFERROR(__xludf.DUMMYFUNCTION("""COMPUTED_VALUE"""),0.0)</f>
        <v>0</v>
      </c>
      <c r="N219" s="258">
        <f>IFERROR(__xludf.DUMMYFUNCTION("""COMPUTED_VALUE"""),0.0)</f>
        <v>0</v>
      </c>
      <c r="O219" s="258">
        <f>IFERROR(__xludf.DUMMYFUNCTION("""COMPUTED_VALUE"""),0.0)</f>
        <v>0</v>
      </c>
      <c r="P219" s="258">
        <f>IFERROR(__xludf.DUMMYFUNCTION("""COMPUTED_VALUE"""),0.0)</f>
        <v>0</v>
      </c>
      <c r="Q219" s="258">
        <f>IFERROR(__xludf.DUMMYFUNCTION("""COMPUTED_VALUE"""),0.0)</f>
        <v>0</v>
      </c>
      <c r="R219" s="259"/>
      <c r="S219" s="260"/>
      <c r="T219" s="261"/>
      <c r="U219" s="262"/>
      <c r="V219" s="250"/>
      <c r="W219" s="250"/>
      <c r="X219" s="250"/>
      <c r="Y219" s="250"/>
      <c r="Z219" s="250"/>
      <c r="AA219" s="250"/>
      <c r="AB219" s="250"/>
      <c r="AC219" s="250"/>
      <c r="AD219" s="250"/>
      <c r="AE219" s="250"/>
      <c r="AF219" s="250"/>
      <c r="AG219" s="250"/>
      <c r="AH219" s="250"/>
      <c r="AI219" s="250"/>
      <c r="AJ219" s="250"/>
      <c r="AK219" s="250"/>
      <c r="AL219" s="250"/>
      <c r="AM219" s="250"/>
      <c r="AN219" s="250"/>
    </row>
    <row r="220" ht="15.75" customHeight="1">
      <c r="A220" s="250"/>
      <c r="B220" s="251">
        <f>IFERROR(__xludf.DUMMYFUNCTION("""COMPUTED_VALUE"""),212.0)</f>
        <v>212</v>
      </c>
      <c r="C220" s="252"/>
      <c r="D220" s="253" t="str">
        <f>IFERROR(__xludf.DUMMYFUNCTION("""COMPUTED_VALUE"""),"")</f>
        <v/>
      </c>
      <c r="E220" s="254">
        <f>IFERROR(__xludf.DUMMYFUNCTION("""COMPUTED_VALUE"""),0.0)</f>
        <v>0</v>
      </c>
      <c r="F220" s="255"/>
      <c r="G220" s="256"/>
      <c r="H220" s="252">
        <f>IFERROR(__xludf.DUMMYFUNCTION("""COMPUTED_VALUE"""),0.0)</f>
        <v>0</v>
      </c>
      <c r="I220" s="258"/>
      <c r="J220" s="258"/>
      <c r="K220" s="257">
        <f>IFERROR(__xludf.DUMMYFUNCTION("""COMPUTED_VALUE"""),0.0)</f>
        <v>0</v>
      </c>
      <c r="L220" s="258">
        <f>IFERROR(__xludf.DUMMYFUNCTION("""COMPUTED_VALUE"""),0.0)</f>
        <v>0</v>
      </c>
      <c r="M220" s="258">
        <f>IFERROR(__xludf.DUMMYFUNCTION("""COMPUTED_VALUE"""),0.0)</f>
        <v>0</v>
      </c>
      <c r="N220" s="258">
        <f>IFERROR(__xludf.DUMMYFUNCTION("""COMPUTED_VALUE"""),0.0)</f>
        <v>0</v>
      </c>
      <c r="O220" s="258">
        <f>IFERROR(__xludf.DUMMYFUNCTION("""COMPUTED_VALUE"""),0.0)</f>
        <v>0</v>
      </c>
      <c r="P220" s="258">
        <f>IFERROR(__xludf.DUMMYFUNCTION("""COMPUTED_VALUE"""),0.0)</f>
        <v>0</v>
      </c>
      <c r="Q220" s="258">
        <f>IFERROR(__xludf.DUMMYFUNCTION("""COMPUTED_VALUE"""),0.0)</f>
        <v>0</v>
      </c>
      <c r="R220" s="259"/>
      <c r="S220" s="260"/>
      <c r="T220" s="261"/>
      <c r="U220" s="262"/>
      <c r="V220" s="250"/>
      <c r="W220" s="250"/>
      <c r="X220" s="250"/>
      <c r="Y220" s="250"/>
      <c r="Z220" s="250"/>
      <c r="AA220" s="250"/>
      <c r="AB220" s="250"/>
      <c r="AC220" s="250"/>
      <c r="AD220" s="250"/>
      <c r="AE220" s="250"/>
      <c r="AF220" s="250"/>
      <c r="AG220" s="250"/>
      <c r="AH220" s="250"/>
      <c r="AI220" s="250"/>
      <c r="AJ220" s="250"/>
      <c r="AK220" s="250"/>
      <c r="AL220" s="250"/>
      <c r="AM220" s="250"/>
      <c r="AN220" s="250"/>
    </row>
    <row r="221" ht="15.75" customHeight="1">
      <c r="A221" s="250"/>
      <c r="B221" s="251">
        <f>IFERROR(__xludf.DUMMYFUNCTION("""COMPUTED_VALUE"""),213.0)</f>
        <v>213</v>
      </c>
      <c r="C221" s="252"/>
      <c r="D221" s="253" t="str">
        <f>IFERROR(__xludf.DUMMYFUNCTION("""COMPUTED_VALUE"""),"")</f>
        <v/>
      </c>
      <c r="E221" s="254">
        <f>IFERROR(__xludf.DUMMYFUNCTION("""COMPUTED_VALUE"""),0.0)</f>
        <v>0</v>
      </c>
      <c r="F221" s="255"/>
      <c r="G221" s="256"/>
      <c r="H221" s="252">
        <f>IFERROR(__xludf.DUMMYFUNCTION("""COMPUTED_VALUE"""),0.0)</f>
        <v>0</v>
      </c>
      <c r="I221" s="258"/>
      <c r="J221" s="258"/>
      <c r="K221" s="257">
        <f>IFERROR(__xludf.DUMMYFUNCTION("""COMPUTED_VALUE"""),0.0)</f>
        <v>0</v>
      </c>
      <c r="L221" s="258">
        <f>IFERROR(__xludf.DUMMYFUNCTION("""COMPUTED_VALUE"""),0.0)</f>
        <v>0</v>
      </c>
      <c r="M221" s="258">
        <f>IFERROR(__xludf.DUMMYFUNCTION("""COMPUTED_VALUE"""),0.0)</f>
        <v>0</v>
      </c>
      <c r="N221" s="258">
        <f>IFERROR(__xludf.DUMMYFUNCTION("""COMPUTED_VALUE"""),0.0)</f>
        <v>0</v>
      </c>
      <c r="O221" s="258">
        <f>IFERROR(__xludf.DUMMYFUNCTION("""COMPUTED_VALUE"""),0.0)</f>
        <v>0</v>
      </c>
      <c r="P221" s="258">
        <f>IFERROR(__xludf.DUMMYFUNCTION("""COMPUTED_VALUE"""),0.0)</f>
        <v>0</v>
      </c>
      <c r="Q221" s="258">
        <f>IFERROR(__xludf.DUMMYFUNCTION("""COMPUTED_VALUE"""),0.0)</f>
        <v>0</v>
      </c>
      <c r="R221" s="259"/>
      <c r="S221" s="260"/>
      <c r="T221" s="261"/>
      <c r="U221" s="262"/>
      <c r="V221" s="250"/>
      <c r="W221" s="250"/>
      <c r="X221" s="250"/>
      <c r="Y221" s="250"/>
      <c r="Z221" s="250"/>
      <c r="AA221" s="250"/>
      <c r="AB221" s="250"/>
      <c r="AC221" s="250"/>
      <c r="AD221" s="250"/>
      <c r="AE221" s="250"/>
      <c r="AF221" s="250"/>
      <c r="AG221" s="250"/>
      <c r="AH221" s="250"/>
      <c r="AI221" s="250"/>
      <c r="AJ221" s="250"/>
      <c r="AK221" s="250"/>
      <c r="AL221" s="250"/>
      <c r="AM221" s="250"/>
      <c r="AN221" s="250"/>
    </row>
    <row r="222" ht="15.75" customHeight="1">
      <c r="A222" s="250"/>
      <c r="B222" s="251">
        <f>IFERROR(__xludf.DUMMYFUNCTION("""COMPUTED_VALUE"""),214.0)</f>
        <v>214</v>
      </c>
      <c r="C222" s="252"/>
      <c r="D222" s="253" t="str">
        <f>IFERROR(__xludf.DUMMYFUNCTION("""COMPUTED_VALUE"""),"")</f>
        <v/>
      </c>
      <c r="E222" s="254">
        <f>IFERROR(__xludf.DUMMYFUNCTION("""COMPUTED_VALUE"""),0.0)</f>
        <v>0</v>
      </c>
      <c r="F222" s="255"/>
      <c r="G222" s="256"/>
      <c r="H222" s="252">
        <f>IFERROR(__xludf.DUMMYFUNCTION("""COMPUTED_VALUE"""),0.0)</f>
        <v>0</v>
      </c>
      <c r="I222" s="258"/>
      <c r="J222" s="258"/>
      <c r="K222" s="257">
        <f>IFERROR(__xludf.DUMMYFUNCTION("""COMPUTED_VALUE"""),0.0)</f>
        <v>0</v>
      </c>
      <c r="L222" s="258">
        <f>IFERROR(__xludf.DUMMYFUNCTION("""COMPUTED_VALUE"""),0.0)</f>
        <v>0</v>
      </c>
      <c r="M222" s="258">
        <f>IFERROR(__xludf.DUMMYFUNCTION("""COMPUTED_VALUE"""),0.0)</f>
        <v>0</v>
      </c>
      <c r="N222" s="258">
        <f>IFERROR(__xludf.DUMMYFUNCTION("""COMPUTED_VALUE"""),0.0)</f>
        <v>0</v>
      </c>
      <c r="O222" s="258">
        <f>IFERROR(__xludf.DUMMYFUNCTION("""COMPUTED_VALUE"""),0.0)</f>
        <v>0</v>
      </c>
      <c r="P222" s="258">
        <f>IFERROR(__xludf.DUMMYFUNCTION("""COMPUTED_VALUE"""),0.0)</f>
        <v>0</v>
      </c>
      <c r="Q222" s="258">
        <f>IFERROR(__xludf.DUMMYFUNCTION("""COMPUTED_VALUE"""),0.0)</f>
        <v>0</v>
      </c>
      <c r="R222" s="259"/>
      <c r="S222" s="260"/>
      <c r="T222" s="261"/>
      <c r="U222" s="262"/>
      <c r="V222" s="250"/>
      <c r="W222" s="250"/>
      <c r="X222" s="250"/>
      <c r="Y222" s="250"/>
      <c r="Z222" s="250"/>
      <c r="AA222" s="250"/>
      <c r="AB222" s="250"/>
      <c r="AC222" s="250"/>
      <c r="AD222" s="250"/>
      <c r="AE222" s="250"/>
      <c r="AF222" s="250"/>
      <c r="AG222" s="250"/>
      <c r="AH222" s="250"/>
      <c r="AI222" s="250"/>
      <c r="AJ222" s="250"/>
      <c r="AK222" s="250"/>
      <c r="AL222" s="250"/>
      <c r="AM222" s="250"/>
      <c r="AN222" s="250"/>
    </row>
    <row r="223" ht="15.75" customHeight="1">
      <c r="A223" s="250"/>
      <c r="B223" s="251">
        <f>IFERROR(__xludf.DUMMYFUNCTION("""COMPUTED_VALUE"""),215.0)</f>
        <v>215</v>
      </c>
      <c r="C223" s="252"/>
      <c r="D223" s="253" t="str">
        <f>IFERROR(__xludf.DUMMYFUNCTION("""COMPUTED_VALUE"""),"")</f>
        <v/>
      </c>
      <c r="E223" s="254">
        <f>IFERROR(__xludf.DUMMYFUNCTION("""COMPUTED_VALUE"""),0.0)</f>
        <v>0</v>
      </c>
      <c r="F223" s="255"/>
      <c r="G223" s="256"/>
      <c r="H223" s="252">
        <f>IFERROR(__xludf.DUMMYFUNCTION("""COMPUTED_VALUE"""),0.0)</f>
        <v>0</v>
      </c>
      <c r="I223" s="258"/>
      <c r="J223" s="258"/>
      <c r="K223" s="257">
        <f>IFERROR(__xludf.DUMMYFUNCTION("""COMPUTED_VALUE"""),0.0)</f>
        <v>0</v>
      </c>
      <c r="L223" s="258">
        <f>IFERROR(__xludf.DUMMYFUNCTION("""COMPUTED_VALUE"""),0.0)</f>
        <v>0</v>
      </c>
      <c r="M223" s="258">
        <f>IFERROR(__xludf.DUMMYFUNCTION("""COMPUTED_VALUE"""),0.0)</f>
        <v>0</v>
      </c>
      <c r="N223" s="258">
        <f>IFERROR(__xludf.DUMMYFUNCTION("""COMPUTED_VALUE"""),0.0)</f>
        <v>0</v>
      </c>
      <c r="O223" s="258">
        <f>IFERROR(__xludf.DUMMYFUNCTION("""COMPUTED_VALUE"""),0.0)</f>
        <v>0</v>
      </c>
      <c r="P223" s="258">
        <f>IFERROR(__xludf.DUMMYFUNCTION("""COMPUTED_VALUE"""),0.0)</f>
        <v>0</v>
      </c>
      <c r="Q223" s="258">
        <f>IFERROR(__xludf.DUMMYFUNCTION("""COMPUTED_VALUE"""),0.0)</f>
        <v>0</v>
      </c>
      <c r="R223" s="259"/>
      <c r="S223" s="260"/>
      <c r="T223" s="261"/>
      <c r="U223" s="262"/>
      <c r="V223" s="250"/>
      <c r="W223" s="250"/>
      <c r="X223" s="250"/>
      <c r="Y223" s="250"/>
      <c r="Z223" s="250"/>
      <c r="AA223" s="250"/>
      <c r="AB223" s="250"/>
      <c r="AC223" s="250"/>
      <c r="AD223" s="250"/>
      <c r="AE223" s="250"/>
      <c r="AF223" s="250"/>
      <c r="AG223" s="250"/>
      <c r="AH223" s="250"/>
      <c r="AI223" s="250"/>
      <c r="AJ223" s="250"/>
      <c r="AK223" s="250"/>
      <c r="AL223" s="250"/>
      <c r="AM223" s="250"/>
      <c r="AN223" s="250"/>
    </row>
    <row r="224" ht="15.75" customHeight="1">
      <c r="A224" s="250"/>
      <c r="B224" s="251">
        <f>IFERROR(__xludf.DUMMYFUNCTION("""COMPUTED_VALUE"""),216.0)</f>
        <v>216</v>
      </c>
      <c r="C224" s="252"/>
      <c r="D224" s="253" t="str">
        <f>IFERROR(__xludf.DUMMYFUNCTION("""COMPUTED_VALUE"""),"")</f>
        <v/>
      </c>
      <c r="E224" s="254">
        <f>IFERROR(__xludf.DUMMYFUNCTION("""COMPUTED_VALUE"""),0.0)</f>
        <v>0</v>
      </c>
      <c r="F224" s="255"/>
      <c r="G224" s="256"/>
      <c r="H224" s="252">
        <f>IFERROR(__xludf.DUMMYFUNCTION("""COMPUTED_VALUE"""),0.0)</f>
        <v>0</v>
      </c>
      <c r="I224" s="258"/>
      <c r="J224" s="258"/>
      <c r="K224" s="257">
        <f>IFERROR(__xludf.DUMMYFUNCTION("""COMPUTED_VALUE"""),0.0)</f>
        <v>0</v>
      </c>
      <c r="L224" s="258">
        <f>IFERROR(__xludf.DUMMYFUNCTION("""COMPUTED_VALUE"""),0.0)</f>
        <v>0</v>
      </c>
      <c r="M224" s="258">
        <f>IFERROR(__xludf.DUMMYFUNCTION("""COMPUTED_VALUE"""),0.0)</f>
        <v>0</v>
      </c>
      <c r="N224" s="258">
        <f>IFERROR(__xludf.DUMMYFUNCTION("""COMPUTED_VALUE"""),0.0)</f>
        <v>0</v>
      </c>
      <c r="O224" s="258">
        <f>IFERROR(__xludf.DUMMYFUNCTION("""COMPUTED_VALUE"""),0.0)</f>
        <v>0</v>
      </c>
      <c r="P224" s="258">
        <f>IFERROR(__xludf.DUMMYFUNCTION("""COMPUTED_VALUE"""),0.0)</f>
        <v>0</v>
      </c>
      <c r="Q224" s="258">
        <f>IFERROR(__xludf.DUMMYFUNCTION("""COMPUTED_VALUE"""),0.0)</f>
        <v>0</v>
      </c>
      <c r="R224" s="259"/>
      <c r="S224" s="260"/>
      <c r="T224" s="261"/>
      <c r="U224" s="262"/>
      <c r="V224" s="250"/>
      <c r="W224" s="250"/>
      <c r="X224" s="250"/>
      <c r="Y224" s="250"/>
      <c r="Z224" s="250"/>
      <c r="AA224" s="250"/>
      <c r="AB224" s="250"/>
      <c r="AC224" s="250"/>
      <c r="AD224" s="250"/>
      <c r="AE224" s="250"/>
      <c r="AF224" s="250"/>
      <c r="AG224" s="250"/>
      <c r="AH224" s="250"/>
      <c r="AI224" s="250"/>
      <c r="AJ224" s="250"/>
      <c r="AK224" s="250"/>
      <c r="AL224" s="250"/>
      <c r="AM224" s="250"/>
      <c r="AN224" s="250"/>
    </row>
    <row r="225" ht="15.75" customHeight="1">
      <c r="A225" s="250"/>
      <c r="B225" s="251">
        <f>IFERROR(__xludf.DUMMYFUNCTION("""COMPUTED_VALUE"""),217.0)</f>
        <v>217</v>
      </c>
      <c r="C225" s="252"/>
      <c r="D225" s="253" t="str">
        <f>IFERROR(__xludf.DUMMYFUNCTION("""COMPUTED_VALUE"""),"")</f>
        <v/>
      </c>
      <c r="E225" s="254">
        <f>IFERROR(__xludf.DUMMYFUNCTION("""COMPUTED_VALUE"""),0.0)</f>
        <v>0</v>
      </c>
      <c r="F225" s="255"/>
      <c r="G225" s="256"/>
      <c r="H225" s="252">
        <f>IFERROR(__xludf.DUMMYFUNCTION("""COMPUTED_VALUE"""),0.0)</f>
        <v>0</v>
      </c>
      <c r="I225" s="258"/>
      <c r="J225" s="258"/>
      <c r="K225" s="257">
        <f>IFERROR(__xludf.DUMMYFUNCTION("""COMPUTED_VALUE"""),0.0)</f>
        <v>0</v>
      </c>
      <c r="L225" s="258">
        <f>IFERROR(__xludf.DUMMYFUNCTION("""COMPUTED_VALUE"""),0.0)</f>
        <v>0</v>
      </c>
      <c r="M225" s="258">
        <f>IFERROR(__xludf.DUMMYFUNCTION("""COMPUTED_VALUE"""),0.0)</f>
        <v>0</v>
      </c>
      <c r="N225" s="258">
        <f>IFERROR(__xludf.DUMMYFUNCTION("""COMPUTED_VALUE"""),0.0)</f>
        <v>0</v>
      </c>
      <c r="O225" s="258">
        <f>IFERROR(__xludf.DUMMYFUNCTION("""COMPUTED_VALUE"""),0.0)</f>
        <v>0</v>
      </c>
      <c r="P225" s="258">
        <f>IFERROR(__xludf.DUMMYFUNCTION("""COMPUTED_VALUE"""),0.0)</f>
        <v>0</v>
      </c>
      <c r="Q225" s="258">
        <f>IFERROR(__xludf.DUMMYFUNCTION("""COMPUTED_VALUE"""),0.0)</f>
        <v>0</v>
      </c>
      <c r="R225" s="259"/>
      <c r="S225" s="260"/>
      <c r="T225" s="261"/>
      <c r="U225" s="262"/>
      <c r="V225" s="250"/>
      <c r="W225" s="250"/>
      <c r="X225" s="250"/>
      <c r="Y225" s="250"/>
      <c r="Z225" s="250"/>
      <c r="AA225" s="250"/>
      <c r="AB225" s="250"/>
      <c r="AC225" s="250"/>
      <c r="AD225" s="250"/>
      <c r="AE225" s="250"/>
      <c r="AF225" s="250"/>
      <c r="AG225" s="250"/>
      <c r="AH225" s="250"/>
      <c r="AI225" s="250"/>
      <c r="AJ225" s="250"/>
      <c r="AK225" s="250"/>
      <c r="AL225" s="250"/>
      <c r="AM225" s="250"/>
      <c r="AN225" s="250"/>
    </row>
    <row r="226" ht="15.75" customHeight="1">
      <c r="A226" s="250"/>
      <c r="B226" s="251">
        <f>IFERROR(__xludf.DUMMYFUNCTION("""COMPUTED_VALUE"""),218.0)</f>
        <v>218</v>
      </c>
      <c r="C226" s="252"/>
      <c r="D226" s="253" t="str">
        <f>IFERROR(__xludf.DUMMYFUNCTION("""COMPUTED_VALUE"""),"")</f>
        <v/>
      </c>
      <c r="E226" s="254">
        <f>IFERROR(__xludf.DUMMYFUNCTION("""COMPUTED_VALUE"""),0.0)</f>
        <v>0</v>
      </c>
      <c r="F226" s="255"/>
      <c r="G226" s="256"/>
      <c r="H226" s="252">
        <f>IFERROR(__xludf.DUMMYFUNCTION("""COMPUTED_VALUE"""),0.0)</f>
        <v>0</v>
      </c>
      <c r="I226" s="258"/>
      <c r="J226" s="258"/>
      <c r="K226" s="257">
        <f>IFERROR(__xludf.DUMMYFUNCTION("""COMPUTED_VALUE"""),0.0)</f>
        <v>0</v>
      </c>
      <c r="L226" s="258">
        <f>IFERROR(__xludf.DUMMYFUNCTION("""COMPUTED_VALUE"""),0.0)</f>
        <v>0</v>
      </c>
      <c r="M226" s="258">
        <f>IFERROR(__xludf.DUMMYFUNCTION("""COMPUTED_VALUE"""),0.0)</f>
        <v>0</v>
      </c>
      <c r="N226" s="258">
        <f>IFERROR(__xludf.DUMMYFUNCTION("""COMPUTED_VALUE"""),0.0)</f>
        <v>0</v>
      </c>
      <c r="O226" s="258">
        <f>IFERROR(__xludf.DUMMYFUNCTION("""COMPUTED_VALUE"""),0.0)</f>
        <v>0</v>
      </c>
      <c r="P226" s="258">
        <f>IFERROR(__xludf.DUMMYFUNCTION("""COMPUTED_VALUE"""),0.0)</f>
        <v>0</v>
      </c>
      <c r="Q226" s="258">
        <f>IFERROR(__xludf.DUMMYFUNCTION("""COMPUTED_VALUE"""),0.0)</f>
        <v>0</v>
      </c>
      <c r="R226" s="259"/>
      <c r="S226" s="260"/>
      <c r="T226" s="261"/>
      <c r="U226" s="262"/>
      <c r="V226" s="250"/>
      <c r="W226" s="250"/>
      <c r="X226" s="250"/>
      <c r="Y226" s="250"/>
      <c r="Z226" s="250"/>
      <c r="AA226" s="250"/>
      <c r="AB226" s="250"/>
      <c r="AC226" s="250"/>
      <c r="AD226" s="250"/>
      <c r="AE226" s="250"/>
      <c r="AF226" s="250"/>
      <c r="AG226" s="250"/>
      <c r="AH226" s="250"/>
      <c r="AI226" s="250"/>
      <c r="AJ226" s="250"/>
      <c r="AK226" s="250"/>
      <c r="AL226" s="250"/>
      <c r="AM226" s="250"/>
      <c r="AN226" s="250"/>
    </row>
    <row r="227" ht="15.75" customHeight="1">
      <c r="A227" s="250"/>
      <c r="B227" s="251">
        <f>IFERROR(__xludf.DUMMYFUNCTION("""COMPUTED_VALUE"""),219.0)</f>
        <v>219</v>
      </c>
      <c r="C227" s="252"/>
      <c r="D227" s="253" t="str">
        <f>IFERROR(__xludf.DUMMYFUNCTION("""COMPUTED_VALUE"""),"")</f>
        <v/>
      </c>
      <c r="E227" s="254">
        <f>IFERROR(__xludf.DUMMYFUNCTION("""COMPUTED_VALUE"""),0.0)</f>
        <v>0</v>
      </c>
      <c r="F227" s="255"/>
      <c r="G227" s="256"/>
      <c r="H227" s="252">
        <f>IFERROR(__xludf.DUMMYFUNCTION("""COMPUTED_VALUE"""),0.0)</f>
        <v>0</v>
      </c>
      <c r="I227" s="258"/>
      <c r="J227" s="258"/>
      <c r="K227" s="257">
        <f>IFERROR(__xludf.DUMMYFUNCTION("""COMPUTED_VALUE"""),0.0)</f>
        <v>0</v>
      </c>
      <c r="L227" s="258">
        <f>IFERROR(__xludf.DUMMYFUNCTION("""COMPUTED_VALUE"""),0.0)</f>
        <v>0</v>
      </c>
      <c r="M227" s="258">
        <f>IFERROR(__xludf.DUMMYFUNCTION("""COMPUTED_VALUE"""),0.0)</f>
        <v>0</v>
      </c>
      <c r="N227" s="258">
        <f>IFERROR(__xludf.DUMMYFUNCTION("""COMPUTED_VALUE"""),0.0)</f>
        <v>0</v>
      </c>
      <c r="O227" s="258">
        <f>IFERROR(__xludf.DUMMYFUNCTION("""COMPUTED_VALUE"""),0.0)</f>
        <v>0</v>
      </c>
      <c r="P227" s="258">
        <f>IFERROR(__xludf.DUMMYFUNCTION("""COMPUTED_VALUE"""),0.0)</f>
        <v>0</v>
      </c>
      <c r="Q227" s="258">
        <f>IFERROR(__xludf.DUMMYFUNCTION("""COMPUTED_VALUE"""),0.0)</f>
        <v>0</v>
      </c>
      <c r="R227" s="259"/>
      <c r="S227" s="260"/>
      <c r="T227" s="261"/>
      <c r="U227" s="262"/>
      <c r="V227" s="250"/>
      <c r="W227" s="250"/>
      <c r="X227" s="250"/>
      <c r="Y227" s="250"/>
      <c r="Z227" s="250"/>
      <c r="AA227" s="250"/>
      <c r="AB227" s="250"/>
      <c r="AC227" s="250"/>
      <c r="AD227" s="250"/>
      <c r="AE227" s="250"/>
      <c r="AF227" s="250"/>
      <c r="AG227" s="250"/>
      <c r="AH227" s="250"/>
      <c r="AI227" s="250"/>
      <c r="AJ227" s="250"/>
      <c r="AK227" s="250"/>
      <c r="AL227" s="250"/>
      <c r="AM227" s="250"/>
      <c r="AN227" s="250"/>
    </row>
    <row r="228" ht="15.75" customHeight="1">
      <c r="A228" s="250"/>
      <c r="B228" s="251">
        <f>IFERROR(__xludf.DUMMYFUNCTION("""COMPUTED_VALUE"""),220.0)</f>
        <v>220</v>
      </c>
      <c r="C228" s="252"/>
      <c r="D228" s="253" t="str">
        <f>IFERROR(__xludf.DUMMYFUNCTION("""COMPUTED_VALUE"""),"")</f>
        <v/>
      </c>
      <c r="E228" s="254">
        <f>IFERROR(__xludf.DUMMYFUNCTION("""COMPUTED_VALUE"""),0.0)</f>
        <v>0</v>
      </c>
      <c r="F228" s="255"/>
      <c r="G228" s="256"/>
      <c r="H228" s="252">
        <f>IFERROR(__xludf.DUMMYFUNCTION("""COMPUTED_VALUE"""),0.0)</f>
        <v>0</v>
      </c>
      <c r="I228" s="258"/>
      <c r="J228" s="258"/>
      <c r="K228" s="257">
        <f>IFERROR(__xludf.DUMMYFUNCTION("""COMPUTED_VALUE"""),0.0)</f>
        <v>0</v>
      </c>
      <c r="L228" s="258">
        <f>IFERROR(__xludf.DUMMYFUNCTION("""COMPUTED_VALUE"""),0.0)</f>
        <v>0</v>
      </c>
      <c r="M228" s="258">
        <f>IFERROR(__xludf.DUMMYFUNCTION("""COMPUTED_VALUE"""),0.0)</f>
        <v>0</v>
      </c>
      <c r="N228" s="258">
        <f>IFERROR(__xludf.DUMMYFUNCTION("""COMPUTED_VALUE"""),0.0)</f>
        <v>0</v>
      </c>
      <c r="O228" s="258">
        <f>IFERROR(__xludf.DUMMYFUNCTION("""COMPUTED_VALUE"""),0.0)</f>
        <v>0</v>
      </c>
      <c r="P228" s="258">
        <f>IFERROR(__xludf.DUMMYFUNCTION("""COMPUTED_VALUE"""),0.0)</f>
        <v>0</v>
      </c>
      <c r="Q228" s="258">
        <f>IFERROR(__xludf.DUMMYFUNCTION("""COMPUTED_VALUE"""),0.0)</f>
        <v>0</v>
      </c>
      <c r="R228" s="259"/>
      <c r="S228" s="260"/>
      <c r="T228" s="261"/>
      <c r="U228" s="262"/>
      <c r="V228" s="250"/>
      <c r="W228" s="250"/>
      <c r="X228" s="250"/>
      <c r="Y228" s="250"/>
      <c r="Z228" s="250"/>
      <c r="AA228" s="250"/>
      <c r="AB228" s="250"/>
      <c r="AC228" s="250"/>
      <c r="AD228" s="250"/>
      <c r="AE228" s="250"/>
      <c r="AF228" s="250"/>
      <c r="AG228" s="250"/>
      <c r="AH228" s="250"/>
      <c r="AI228" s="250"/>
      <c r="AJ228" s="250"/>
      <c r="AK228" s="250"/>
      <c r="AL228" s="250"/>
      <c r="AM228" s="250"/>
      <c r="AN228" s="250"/>
    </row>
    <row r="229" ht="15.75" customHeight="1">
      <c r="A229" s="250"/>
      <c r="B229" s="251">
        <f>IFERROR(__xludf.DUMMYFUNCTION("""COMPUTED_VALUE"""),221.0)</f>
        <v>221</v>
      </c>
      <c r="C229" s="252"/>
      <c r="D229" s="253" t="str">
        <f>IFERROR(__xludf.DUMMYFUNCTION("""COMPUTED_VALUE"""),"")</f>
        <v/>
      </c>
      <c r="E229" s="254">
        <f>IFERROR(__xludf.DUMMYFUNCTION("""COMPUTED_VALUE"""),0.0)</f>
        <v>0</v>
      </c>
      <c r="F229" s="255"/>
      <c r="G229" s="256"/>
      <c r="H229" s="252">
        <f>IFERROR(__xludf.DUMMYFUNCTION("""COMPUTED_VALUE"""),0.0)</f>
        <v>0</v>
      </c>
      <c r="I229" s="258"/>
      <c r="J229" s="258"/>
      <c r="K229" s="257">
        <f>IFERROR(__xludf.DUMMYFUNCTION("""COMPUTED_VALUE"""),0.0)</f>
        <v>0</v>
      </c>
      <c r="L229" s="258">
        <f>IFERROR(__xludf.DUMMYFUNCTION("""COMPUTED_VALUE"""),0.0)</f>
        <v>0</v>
      </c>
      <c r="M229" s="258">
        <f>IFERROR(__xludf.DUMMYFUNCTION("""COMPUTED_VALUE"""),0.0)</f>
        <v>0</v>
      </c>
      <c r="N229" s="258">
        <f>IFERROR(__xludf.DUMMYFUNCTION("""COMPUTED_VALUE"""),0.0)</f>
        <v>0</v>
      </c>
      <c r="O229" s="258">
        <f>IFERROR(__xludf.DUMMYFUNCTION("""COMPUTED_VALUE"""),0.0)</f>
        <v>0</v>
      </c>
      <c r="P229" s="258">
        <f>IFERROR(__xludf.DUMMYFUNCTION("""COMPUTED_VALUE"""),0.0)</f>
        <v>0</v>
      </c>
      <c r="Q229" s="258">
        <f>IFERROR(__xludf.DUMMYFUNCTION("""COMPUTED_VALUE"""),0.0)</f>
        <v>0</v>
      </c>
      <c r="R229" s="259"/>
      <c r="S229" s="260"/>
      <c r="T229" s="261"/>
      <c r="U229" s="262"/>
      <c r="V229" s="250"/>
      <c r="W229" s="250"/>
      <c r="X229" s="250"/>
      <c r="Y229" s="250"/>
      <c r="Z229" s="250"/>
      <c r="AA229" s="250"/>
      <c r="AB229" s="250"/>
      <c r="AC229" s="250"/>
      <c r="AD229" s="250"/>
      <c r="AE229" s="250"/>
      <c r="AF229" s="250"/>
      <c r="AG229" s="250"/>
      <c r="AH229" s="250"/>
      <c r="AI229" s="250"/>
      <c r="AJ229" s="250"/>
      <c r="AK229" s="250"/>
      <c r="AL229" s="250"/>
      <c r="AM229" s="250"/>
      <c r="AN229" s="250"/>
    </row>
    <row r="230" ht="15.75" customHeight="1">
      <c r="A230" s="250"/>
      <c r="B230" s="251">
        <f>IFERROR(__xludf.DUMMYFUNCTION("""COMPUTED_VALUE"""),222.0)</f>
        <v>222</v>
      </c>
      <c r="C230" s="252"/>
      <c r="D230" s="253" t="str">
        <f>IFERROR(__xludf.DUMMYFUNCTION("""COMPUTED_VALUE"""),"")</f>
        <v/>
      </c>
      <c r="E230" s="254">
        <f>IFERROR(__xludf.DUMMYFUNCTION("""COMPUTED_VALUE"""),0.0)</f>
        <v>0</v>
      </c>
      <c r="F230" s="255"/>
      <c r="G230" s="256"/>
      <c r="H230" s="252">
        <f>IFERROR(__xludf.DUMMYFUNCTION("""COMPUTED_VALUE"""),0.0)</f>
        <v>0</v>
      </c>
      <c r="I230" s="258"/>
      <c r="J230" s="258"/>
      <c r="K230" s="257">
        <f>IFERROR(__xludf.DUMMYFUNCTION("""COMPUTED_VALUE"""),0.0)</f>
        <v>0</v>
      </c>
      <c r="L230" s="258">
        <f>IFERROR(__xludf.DUMMYFUNCTION("""COMPUTED_VALUE"""),0.0)</f>
        <v>0</v>
      </c>
      <c r="M230" s="258">
        <f>IFERROR(__xludf.DUMMYFUNCTION("""COMPUTED_VALUE"""),0.0)</f>
        <v>0</v>
      </c>
      <c r="N230" s="258">
        <f>IFERROR(__xludf.DUMMYFUNCTION("""COMPUTED_VALUE"""),0.0)</f>
        <v>0</v>
      </c>
      <c r="O230" s="258">
        <f>IFERROR(__xludf.DUMMYFUNCTION("""COMPUTED_VALUE"""),0.0)</f>
        <v>0</v>
      </c>
      <c r="P230" s="258">
        <f>IFERROR(__xludf.DUMMYFUNCTION("""COMPUTED_VALUE"""),0.0)</f>
        <v>0</v>
      </c>
      <c r="Q230" s="258">
        <f>IFERROR(__xludf.DUMMYFUNCTION("""COMPUTED_VALUE"""),0.0)</f>
        <v>0</v>
      </c>
      <c r="R230" s="259"/>
      <c r="S230" s="260"/>
      <c r="T230" s="261"/>
      <c r="U230" s="262"/>
      <c r="V230" s="250"/>
      <c r="W230" s="250"/>
      <c r="X230" s="250"/>
      <c r="Y230" s="250"/>
      <c r="Z230" s="250"/>
      <c r="AA230" s="250"/>
      <c r="AB230" s="250"/>
      <c r="AC230" s="250"/>
      <c r="AD230" s="250"/>
      <c r="AE230" s="250"/>
      <c r="AF230" s="250"/>
      <c r="AG230" s="250"/>
      <c r="AH230" s="250"/>
      <c r="AI230" s="250"/>
      <c r="AJ230" s="250"/>
      <c r="AK230" s="250"/>
      <c r="AL230" s="250"/>
      <c r="AM230" s="250"/>
      <c r="AN230" s="250"/>
    </row>
    <row r="231" ht="15.75" customHeight="1">
      <c r="A231" s="250"/>
      <c r="B231" s="251">
        <f>IFERROR(__xludf.DUMMYFUNCTION("""COMPUTED_VALUE"""),223.0)</f>
        <v>223</v>
      </c>
      <c r="C231" s="252"/>
      <c r="D231" s="253" t="str">
        <f>IFERROR(__xludf.DUMMYFUNCTION("""COMPUTED_VALUE"""),"")</f>
        <v/>
      </c>
      <c r="E231" s="254">
        <f>IFERROR(__xludf.DUMMYFUNCTION("""COMPUTED_VALUE"""),0.0)</f>
        <v>0</v>
      </c>
      <c r="F231" s="255"/>
      <c r="G231" s="256"/>
      <c r="H231" s="252">
        <f>IFERROR(__xludf.DUMMYFUNCTION("""COMPUTED_VALUE"""),0.0)</f>
        <v>0</v>
      </c>
      <c r="I231" s="258"/>
      <c r="J231" s="258"/>
      <c r="K231" s="257">
        <f>IFERROR(__xludf.DUMMYFUNCTION("""COMPUTED_VALUE"""),0.0)</f>
        <v>0</v>
      </c>
      <c r="L231" s="258">
        <f>IFERROR(__xludf.DUMMYFUNCTION("""COMPUTED_VALUE"""),0.0)</f>
        <v>0</v>
      </c>
      <c r="M231" s="258">
        <f>IFERROR(__xludf.DUMMYFUNCTION("""COMPUTED_VALUE"""),0.0)</f>
        <v>0</v>
      </c>
      <c r="N231" s="258">
        <f>IFERROR(__xludf.DUMMYFUNCTION("""COMPUTED_VALUE"""),0.0)</f>
        <v>0</v>
      </c>
      <c r="O231" s="258">
        <f>IFERROR(__xludf.DUMMYFUNCTION("""COMPUTED_VALUE"""),0.0)</f>
        <v>0</v>
      </c>
      <c r="P231" s="258">
        <f>IFERROR(__xludf.DUMMYFUNCTION("""COMPUTED_VALUE"""),0.0)</f>
        <v>0</v>
      </c>
      <c r="Q231" s="258">
        <f>IFERROR(__xludf.DUMMYFUNCTION("""COMPUTED_VALUE"""),0.0)</f>
        <v>0</v>
      </c>
      <c r="R231" s="259"/>
      <c r="S231" s="260"/>
      <c r="T231" s="261"/>
      <c r="U231" s="262"/>
      <c r="V231" s="250"/>
      <c r="W231" s="250"/>
      <c r="X231" s="250"/>
      <c r="Y231" s="250"/>
      <c r="Z231" s="250"/>
      <c r="AA231" s="250"/>
      <c r="AB231" s="250"/>
      <c r="AC231" s="250"/>
      <c r="AD231" s="250"/>
      <c r="AE231" s="250"/>
      <c r="AF231" s="250"/>
      <c r="AG231" s="250"/>
      <c r="AH231" s="250"/>
      <c r="AI231" s="250"/>
      <c r="AJ231" s="250"/>
      <c r="AK231" s="250"/>
      <c r="AL231" s="250"/>
      <c r="AM231" s="250"/>
      <c r="AN231" s="250"/>
    </row>
    <row r="232" ht="15.75" customHeight="1">
      <c r="A232" s="250"/>
      <c r="B232" s="251">
        <f>IFERROR(__xludf.DUMMYFUNCTION("""COMPUTED_VALUE"""),224.0)</f>
        <v>224</v>
      </c>
      <c r="C232" s="252"/>
      <c r="D232" s="253" t="str">
        <f>IFERROR(__xludf.DUMMYFUNCTION("""COMPUTED_VALUE"""),"")</f>
        <v/>
      </c>
      <c r="E232" s="254">
        <f>IFERROR(__xludf.DUMMYFUNCTION("""COMPUTED_VALUE"""),0.0)</f>
        <v>0</v>
      </c>
      <c r="F232" s="255"/>
      <c r="G232" s="256"/>
      <c r="H232" s="252">
        <f>IFERROR(__xludf.DUMMYFUNCTION("""COMPUTED_VALUE"""),0.0)</f>
        <v>0</v>
      </c>
      <c r="I232" s="258"/>
      <c r="J232" s="258"/>
      <c r="K232" s="257">
        <f>IFERROR(__xludf.DUMMYFUNCTION("""COMPUTED_VALUE"""),0.0)</f>
        <v>0</v>
      </c>
      <c r="L232" s="258">
        <f>IFERROR(__xludf.DUMMYFUNCTION("""COMPUTED_VALUE"""),0.0)</f>
        <v>0</v>
      </c>
      <c r="M232" s="258">
        <f>IFERROR(__xludf.DUMMYFUNCTION("""COMPUTED_VALUE"""),0.0)</f>
        <v>0</v>
      </c>
      <c r="N232" s="258">
        <f>IFERROR(__xludf.DUMMYFUNCTION("""COMPUTED_VALUE"""),0.0)</f>
        <v>0</v>
      </c>
      <c r="O232" s="258">
        <f>IFERROR(__xludf.DUMMYFUNCTION("""COMPUTED_VALUE"""),0.0)</f>
        <v>0</v>
      </c>
      <c r="P232" s="258">
        <f>IFERROR(__xludf.DUMMYFUNCTION("""COMPUTED_VALUE"""),0.0)</f>
        <v>0</v>
      </c>
      <c r="Q232" s="258">
        <f>IFERROR(__xludf.DUMMYFUNCTION("""COMPUTED_VALUE"""),0.0)</f>
        <v>0</v>
      </c>
      <c r="R232" s="259"/>
      <c r="S232" s="260"/>
      <c r="T232" s="261"/>
      <c r="U232" s="262"/>
      <c r="V232" s="250"/>
      <c r="W232" s="250"/>
      <c r="X232" s="250"/>
      <c r="Y232" s="250"/>
      <c r="Z232" s="250"/>
      <c r="AA232" s="250"/>
      <c r="AB232" s="250"/>
      <c r="AC232" s="250"/>
      <c r="AD232" s="250"/>
      <c r="AE232" s="250"/>
      <c r="AF232" s="250"/>
      <c r="AG232" s="250"/>
      <c r="AH232" s="250"/>
      <c r="AI232" s="250"/>
      <c r="AJ232" s="250"/>
      <c r="AK232" s="250"/>
      <c r="AL232" s="250"/>
      <c r="AM232" s="250"/>
      <c r="AN232" s="250"/>
    </row>
    <row r="233" ht="15.75" customHeight="1">
      <c r="A233" s="250"/>
      <c r="B233" s="251">
        <f>IFERROR(__xludf.DUMMYFUNCTION("""COMPUTED_VALUE"""),225.0)</f>
        <v>225</v>
      </c>
      <c r="C233" s="252"/>
      <c r="D233" s="253" t="str">
        <f>IFERROR(__xludf.DUMMYFUNCTION("""COMPUTED_VALUE"""),"")</f>
        <v/>
      </c>
      <c r="E233" s="254">
        <f>IFERROR(__xludf.DUMMYFUNCTION("""COMPUTED_VALUE"""),0.0)</f>
        <v>0</v>
      </c>
      <c r="F233" s="255"/>
      <c r="G233" s="256"/>
      <c r="H233" s="252">
        <f>IFERROR(__xludf.DUMMYFUNCTION("""COMPUTED_VALUE"""),0.0)</f>
        <v>0</v>
      </c>
      <c r="I233" s="258"/>
      <c r="J233" s="258"/>
      <c r="K233" s="257">
        <f>IFERROR(__xludf.DUMMYFUNCTION("""COMPUTED_VALUE"""),0.0)</f>
        <v>0</v>
      </c>
      <c r="L233" s="258">
        <f>IFERROR(__xludf.DUMMYFUNCTION("""COMPUTED_VALUE"""),0.0)</f>
        <v>0</v>
      </c>
      <c r="M233" s="258">
        <f>IFERROR(__xludf.DUMMYFUNCTION("""COMPUTED_VALUE"""),0.0)</f>
        <v>0</v>
      </c>
      <c r="N233" s="258">
        <f>IFERROR(__xludf.DUMMYFUNCTION("""COMPUTED_VALUE"""),0.0)</f>
        <v>0</v>
      </c>
      <c r="O233" s="258">
        <f>IFERROR(__xludf.DUMMYFUNCTION("""COMPUTED_VALUE"""),0.0)</f>
        <v>0</v>
      </c>
      <c r="P233" s="258">
        <f>IFERROR(__xludf.DUMMYFUNCTION("""COMPUTED_VALUE"""),0.0)</f>
        <v>0</v>
      </c>
      <c r="Q233" s="258">
        <f>IFERROR(__xludf.DUMMYFUNCTION("""COMPUTED_VALUE"""),0.0)</f>
        <v>0</v>
      </c>
      <c r="R233" s="259"/>
      <c r="S233" s="260"/>
      <c r="T233" s="261"/>
      <c r="U233" s="262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</row>
    <row r="234" ht="15.75" customHeight="1">
      <c r="A234" s="250"/>
      <c r="B234" s="251">
        <f>IFERROR(__xludf.DUMMYFUNCTION("""COMPUTED_VALUE"""),226.0)</f>
        <v>226</v>
      </c>
      <c r="C234" s="252"/>
      <c r="D234" s="253" t="str">
        <f>IFERROR(__xludf.DUMMYFUNCTION("""COMPUTED_VALUE"""),"")</f>
        <v/>
      </c>
      <c r="E234" s="254">
        <f>IFERROR(__xludf.DUMMYFUNCTION("""COMPUTED_VALUE"""),0.0)</f>
        <v>0</v>
      </c>
      <c r="F234" s="255"/>
      <c r="G234" s="256"/>
      <c r="H234" s="252">
        <f>IFERROR(__xludf.DUMMYFUNCTION("""COMPUTED_VALUE"""),0.0)</f>
        <v>0</v>
      </c>
      <c r="I234" s="258"/>
      <c r="J234" s="258"/>
      <c r="K234" s="257">
        <f>IFERROR(__xludf.DUMMYFUNCTION("""COMPUTED_VALUE"""),0.0)</f>
        <v>0</v>
      </c>
      <c r="L234" s="258">
        <f>IFERROR(__xludf.DUMMYFUNCTION("""COMPUTED_VALUE"""),0.0)</f>
        <v>0</v>
      </c>
      <c r="M234" s="258">
        <f>IFERROR(__xludf.DUMMYFUNCTION("""COMPUTED_VALUE"""),0.0)</f>
        <v>0</v>
      </c>
      <c r="N234" s="258">
        <f>IFERROR(__xludf.DUMMYFUNCTION("""COMPUTED_VALUE"""),0.0)</f>
        <v>0</v>
      </c>
      <c r="O234" s="258">
        <f>IFERROR(__xludf.DUMMYFUNCTION("""COMPUTED_VALUE"""),0.0)</f>
        <v>0</v>
      </c>
      <c r="P234" s="258">
        <f>IFERROR(__xludf.DUMMYFUNCTION("""COMPUTED_VALUE"""),0.0)</f>
        <v>0</v>
      </c>
      <c r="Q234" s="258">
        <f>IFERROR(__xludf.DUMMYFUNCTION("""COMPUTED_VALUE"""),0.0)</f>
        <v>0</v>
      </c>
      <c r="R234" s="259"/>
      <c r="S234" s="260"/>
      <c r="T234" s="261"/>
      <c r="U234" s="262"/>
      <c r="V234" s="250"/>
      <c r="W234" s="250"/>
      <c r="X234" s="250"/>
      <c r="Y234" s="250"/>
      <c r="Z234" s="250"/>
      <c r="AA234" s="250"/>
      <c r="AB234" s="250"/>
      <c r="AC234" s="250"/>
      <c r="AD234" s="250"/>
      <c r="AE234" s="250"/>
      <c r="AF234" s="250"/>
      <c r="AG234" s="250"/>
      <c r="AH234" s="250"/>
      <c r="AI234" s="250"/>
      <c r="AJ234" s="250"/>
      <c r="AK234" s="250"/>
      <c r="AL234" s="250"/>
      <c r="AM234" s="250"/>
      <c r="AN234" s="250"/>
    </row>
    <row r="235" ht="15.75" customHeight="1">
      <c r="A235" s="250"/>
      <c r="B235" s="251">
        <f>IFERROR(__xludf.DUMMYFUNCTION("""COMPUTED_VALUE"""),227.0)</f>
        <v>227</v>
      </c>
      <c r="C235" s="252"/>
      <c r="D235" s="253" t="str">
        <f>IFERROR(__xludf.DUMMYFUNCTION("""COMPUTED_VALUE"""),"")</f>
        <v/>
      </c>
      <c r="E235" s="254">
        <f>IFERROR(__xludf.DUMMYFUNCTION("""COMPUTED_VALUE"""),0.0)</f>
        <v>0</v>
      </c>
      <c r="F235" s="255"/>
      <c r="G235" s="256"/>
      <c r="H235" s="252">
        <f>IFERROR(__xludf.DUMMYFUNCTION("""COMPUTED_VALUE"""),0.0)</f>
        <v>0</v>
      </c>
      <c r="I235" s="258"/>
      <c r="J235" s="258"/>
      <c r="K235" s="257">
        <f>IFERROR(__xludf.DUMMYFUNCTION("""COMPUTED_VALUE"""),0.0)</f>
        <v>0</v>
      </c>
      <c r="L235" s="258">
        <f>IFERROR(__xludf.DUMMYFUNCTION("""COMPUTED_VALUE"""),0.0)</f>
        <v>0</v>
      </c>
      <c r="M235" s="258">
        <f>IFERROR(__xludf.DUMMYFUNCTION("""COMPUTED_VALUE"""),0.0)</f>
        <v>0</v>
      </c>
      <c r="N235" s="258">
        <f>IFERROR(__xludf.DUMMYFUNCTION("""COMPUTED_VALUE"""),0.0)</f>
        <v>0</v>
      </c>
      <c r="O235" s="258">
        <f>IFERROR(__xludf.DUMMYFUNCTION("""COMPUTED_VALUE"""),0.0)</f>
        <v>0</v>
      </c>
      <c r="P235" s="258">
        <f>IFERROR(__xludf.DUMMYFUNCTION("""COMPUTED_VALUE"""),0.0)</f>
        <v>0</v>
      </c>
      <c r="Q235" s="258">
        <f>IFERROR(__xludf.DUMMYFUNCTION("""COMPUTED_VALUE"""),0.0)</f>
        <v>0</v>
      </c>
      <c r="R235" s="259"/>
      <c r="S235" s="260"/>
      <c r="T235" s="261"/>
      <c r="U235" s="262"/>
      <c r="V235" s="250"/>
      <c r="W235" s="250"/>
      <c r="X235" s="250"/>
      <c r="Y235" s="250"/>
      <c r="Z235" s="250"/>
      <c r="AA235" s="250"/>
      <c r="AB235" s="250"/>
      <c r="AC235" s="250"/>
      <c r="AD235" s="250"/>
      <c r="AE235" s="250"/>
      <c r="AF235" s="250"/>
      <c r="AG235" s="250"/>
      <c r="AH235" s="250"/>
      <c r="AI235" s="250"/>
      <c r="AJ235" s="250"/>
      <c r="AK235" s="250"/>
      <c r="AL235" s="250"/>
      <c r="AM235" s="250"/>
      <c r="AN235" s="250"/>
    </row>
    <row r="236" ht="15.75" customHeight="1">
      <c r="A236" s="250"/>
      <c r="B236" s="251">
        <f>IFERROR(__xludf.DUMMYFUNCTION("""COMPUTED_VALUE"""),228.0)</f>
        <v>228</v>
      </c>
      <c r="C236" s="252"/>
      <c r="D236" s="253" t="str">
        <f>IFERROR(__xludf.DUMMYFUNCTION("""COMPUTED_VALUE"""),"")</f>
        <v/>
      </c>
      <c r="E236" s="254">
        <f>IFERROR(__xludf.DUMMYFUNCTION("""COMPUTED_VALUE"""),0.0)</f>
        <v>0</v>
      </c>
      <c r="F236" s="255"/>
      <c r="G236" s="256"/>
      <c r="H236" s="252">
        <f>IFERROR(__xludf.DUMMYFUNCTION("""COMPUTED_VALUE"""),0.0)</f>
        <v>0</v>
      </c>
      <c r="I236" s="258"/>
      <c r="J236" s="258"/>
      <c r="K236" s="257">
        <f>IFERROR(__xludf.DUMMYFUNCTION("""COMPUTED_VALUE"""),0.0)</f>
        <v>0</v>
      </c>
      <c r="L236" s="258">
        <f>IFERROR(__xludf.DUMMYFUNCTION("""COMPUTED_VALUE"""),0.0)</f>
        <v>0</v>
      </c>
      <c r="M236" s="258">
        <f>IFERROR(__xludf.DUMMYFUNCTION("""COMPUTED_VALUE"""),0.0)</f>
        <v>0</v>
      </c>
      <c r="N236" s="258">
        <f>IFERROR(__xludf.DUMMYFUNCTION("""COMPUTED_VALUE"""),0.0)</f>
        <v>0</v>
      </c>
      <c r="O236" s="258">
        <f>IFERROR(__xludf.DUMMYFUNCTION("""COMPUTED_VALUE"""),0.0)</f>
        <v>0</v>
      </c>
      <c r="P236" s="258">
        <f>IFERROR(__xludf.DUMMYFUNCTION("""COMPUTED_VALUE"""),0.0)</f>
        <v>0</v>
      </c>
      <c r="Q236" s="258">
        <f>IFERROR(__xludf.DUMMYFUNCTION("""COMPUTED_VALUE"""),0.0)</f>
        <v>0</v>
      </c>
      <c r="R236" s="259"/>
      <c r="S236" s="260"/>
      <c r="T236" s="261"/>
      <c r="U236" s="262"/>
      <c r="V236" s="250"/>
      <c r="W236" s="250"/>
      <c r="X236" s="250"/>
      <c r="Y236" s="250"/>
      <c r="Z236" s="250"/>
      <c r="AA236" s="250"/>
      <c r="AB236" s="250"/>
      <c r="AC236" s="250"/>
      <c r="AD236" s="250"/>
      <c r="AE236" s="250"/>
      <c r="AF236" s="250"/>
      <c r="AG236" s="250"/>
      <c r="AH236" s="250"/>
      <c r="AI236" s="250"/>
      <c r="AJ236" s="250"/>
      <c r="AK236" s="250"/>
      <c r="AL236" s="250"/>
      <c r="AM236" s="250"/>
      <c r="AN236" s="250"/>
    </row>
    <row r="237" ht="15.75" customHeight="1">
      <c r="A237" s="250"/>
      <c r="B237" s="251">
        <f>IFERROR(__xludf.DUMMYFUNCTION("""COMPUTED_VALUE"""),229.0)</f>
        <v>229</v>
      </c>
      <c r="C237" s="252"/>
      <c r="D237" s="253" t="str">
        <f>IFERROR(__xludf.DUMMYFUNCTION("""COMPUTED_VALUE"""),"")</f>
        <v/>
      </c>
      <c r="E237" s="254">
        <f>IFERROR(__xludf.DUMMYFUNCTION("""COMPUTED_VALUE"""),0.0)</f>
        <v>0</v>
      </c>
      <c r="F237" s="255"/>
      <c r="G237" s="256"/>
      <c r="H237" s="252">
        <f>IFERROR(__xludf.DUMMYFUNCTION("""COMPUTED_VALUE"""),0.0)</f>
        <v>0</v>
      </c>
      <c r="I237" s="258"/>
      <c r="J237" s="258"/>
      <c r="K237" s="257">
        <f>IFERROR(__xludf.DUMMYFUNCTION("""COMPUTED_VALUE"""),0.0)</f>
        <v>0</v>
      </c>
      <c r="L237" s="258">
        <f>IFERROR(__xludf.DUMMYFUNCTION("""COMPUTED_VALUE"""),0.0)</f>
        <v>0</v>
      </c>
      <c r="M237" s="258">
        <f>IFERROR(__xludf.DUMMYFUNCTION("""COMPUTED_VALUE"""),0.0)</f>
        <v>0</v>
      </c>
      <c r="N237" s="258">
        <f>IFERROR(__xludf.DUMMYFUNCTION("""COMPUTED_VALUE"""),0.0)</f>
        <v>0</v>
      </c>
      <c r="O237" s="258">
        <f>IFERROR(__xludf.DUMMYFUNCTION("""COMPUTED_VALUE"""),0.0)</f>
        <v>0</v>
      </c>
      <c r="P237" s="258">
        <f>IFERROR(__xludf.DUMMYFUNCTION("""COMPUTED_VALUE"""),0.0)</f>
        <v>0</v>
      </c>
      <c r="Q237" s="258">
        <f>IFERROR(__xludf.DUMMYFUNCTION("""COMPUTED_VALUE"""),0.0)</f>
        <v>0</v>
      </c>
      <c r="R237" s="259"/>
      <c r="S237" s="260"/>
      <c r="T237" s="261"/>
      <c r="U237" s="262"/>
      <c r="V237" s="250"/>
      <c r="W237" s="250"/>
      <c r="X237" s="250"/>
      <c r="Y237" s="250"/>
      <c r="Z237" s="250"/>
      <c r="AA237" s="250"/>
      <c r="AB237" s="250"/>
      <c r="AC237" s="250"/>
      <c r="AD237" s="250"/>
      <c r="AE237" s="250"/>
      <c r="AF237" s="250"/>
      <c r="AG237" s="250"/>
      <c r="AH237" s="250"/>
      <c r="AI237" s="250"/>
      <c r="AJ237" s="250"/>
      <c r="AK237" s="250"/>
      <c r="AL237" s="250"/>
      <c r="AM237" s="250"/>
      <c r="AN237" s="250"/>
    </row>
    <row r="238" ht="15.75" customHeight="1">
      <c r="A238" s="250"/>
      <c r="B238" s="251">
        <f>IFERROR(__xludf.DUMMYFUNCTION("""COMPUTED_VALUE"""),230.0)</f>
        <v>230</v>
      </c>
      <c r="C238" s="252"/>
      <c r="D238" s="253" t="str">
        <f>IFERROR(__xludf.DUMMYFUNCTION("""COMPUTED_VALUE"""),"")</f>
        <v/>
      </c>
      <c r="E238" s="254">
        <f>IFERROR(__xludf.DUMMYFUNCTION("""COMPUTED_VALUE"""),0.0)</f>
        <v>0</v>
      </c>
      <c r="F238" s="255"/>
      <c r="G238" s="256"/>
      <c r="H238" s="252">
        <f>IFERROR(__xludf.DUMMYFUNCTION("""COMPUTED_VALUE"""),0.0)</f>
        <v>0</v>
      </c>
      <c r="I238" s="258"/>
      <c r="J238" s="258"/>
      <c r="K238" s="257">
        <f>IFERROR(__xludf.DUMMYFUNCTION("""COMPUTED_VALUE"""),0.0)</f>
        <v>0</v>
      </c>
      <c r="L238" s="258">
        <f>IFERROR(__xludf.DUMMYFUNCTION("""COMPUTED_VALUE"""),0.0)</f>
        <v>0</v>
      </c>
      <c r="M238" s="258">
        <f>IFERROR(__xludf.DUMMYFUNCTION("""COMPUTED_VALUE"""),0.0)</f>
        <v>0</v>
      </c>
      <c r="N238" s="258">
        <f>IFERROR(__xludf.DUMMYFUNCTION("""COMPUTED_VALUE"""),0.0)</f>
        <v>0</v>
      </c>
      <c r="O238" s="258">
        <f>IFERROR(__xludf.DUMMYFUNCTION("""COMPUTED_VALUE"""),0.0)</f>
        <v>0</v>
      </c>
      <c r="P238" s="258">
        <f>IFERROR(__xludf.DUMMYFUNCTION("""COMPUTED_VALUE"""),0.0)</f>
        <v>0</v>
      </c>
      <c r="Q238" s="258">
        <f>IFERROR(__xludf.DUMMYFUNCTION("""COMPUTED_VALUE"""),0.0)</f>
        <v>0</v>
      </c>
      <c r="R238" s="259"/>
      <c r="S238" s="260"/>
      <c r="T238" s="261"/>
      <c r="U238" s="262"/>
      <c r="V238" s="250"/>
      <c r="W238" s="250"/>
      <c r="X238" s="250"/>
      <c r="Y238" s="250"/>
      <c r="Z238" s="250"/>
      <c r="AA238" s="250"/>
      <c r="AB238" s="250"/>
      <c r="AC238" s="250"/>
      <c r="AD238" s="250"/>
      <c r="AE238" s="250"/>
      <c r="AF238" s="250"/>
      <c r="AG238" s="250"/>
      <c r="AH238" s="250"/>
      <c r="AI238" s="250"/>
      <c r="AJ238" s="250"/>
      <c r="AK238" s="250"/>
      <c r="AL238" s="250"/>
      <c r="AM238" s="250"/>
      <c r="AN238" s="250"/>
    </row>
    <row r="239" ht="15.75" customHeight="1">
      <c r="A239" s="250"/>
      <c r="B239" s="251">
        <f>IFERROR(__xludf.DUMMYFUNCTION("""COMPUTED_VALUE"""),231.0)</f>
        <v>231</v>
      </c>
      <c r="C239" s="252"/>
      <c r="D239" s="253" t="str">
        <f>IFERROR(__xludf.DUMMYFUNCTION("""COMPUTED_VALUE"""),"")</f>
        <v/>
      </c>
      <c r="E239" s="254">
        <f>IFERROR(__xludf.DUMMYFUNCTION("""COMPUTED_VALUE"""),0.0)</f>
        <v>0</v>
      </c>
      <c r="F239" s="255"/>
      <c r="G239" s="256"/>
      <c r="H239" s="252">
        <f>IFERROR(__xludf.DUMMYFUNCTION("""COMPUTED_VALUE"""),0.0)</f>
        <v>0</v>
      </c>
      <c r="I239" s="258"/>
      <c r="J239" s="258"/>
      <c r="K239" s="257">
        <f>IFERROR(__xludf.DUMMYFUNCTION("""COMPUTED_VALUE"""),0.0)</f>
        <v>0</v>
      </c>
      <c r="L239" s="258">
        <f>IFERROR(__xludf.DUMMYFUNCTION("""COMPUTED_VALUE"""),0.0)</f>
        <v>0</v>
      </c>
      <c r="M239" s="258">
        <f>IFERROR(__xludf.DUMMYFUNCTION("""COMPUTED_VALUE"""),0.0)</f>
        <v>0</v>
      </c>
      <c r="N239" s="258">
        <f>IFERROR(__xludf.DUMMYFUNCTION("""COMPUTED_VALUE"""),0.0)</f>
        <v>0</v>
      </c>
      <c r="O239" s="258">
        <f>IFERROR(__xludf.DUMMYFUNCTION("""COMPUTED_VALUE"""),0.0)</f>
        <v>0</v>
      </c>
      <c r="P239" s="258">
        <f>IFERROR(__xludf.DUMMYFUNCTION("""COMPUTED_VALUE"""),0.0)</f>
        <v>0</v>
      </c>
      <c r="Q239" s="258">
        <f>IFERROR(__xludf.DUMMYFUNCTION("""COMPUTED_VALUE"""),0.0)</f>
        <v>0</v>
      </c>
      <c r="R239" s="259"/>
      <c r="S239" s="260"/>
      <c r="T239" s="261"/>
      <c r="U239" s="262"/>
      <c r="V239" s="250"/>
      <c r="W239" s="250"/>
      <c r="X239" s="250"/>
      <c r="Y239" s="250"/>
      <c r="Z239" s="250"/>
      <c r="AA239" s="250"/>
      <c r="AB239" s="250"/>
      <c r="AC239" s="250"/>
      <c r="AD239" s="250"/>
      <c r="AE239" s="250"/>
      <c r="AF239" s="250"/>
      <c r="AG239" s="250"/>
      <c r="AH239" s="250"/>
      <c r="AI239" s="250"/>
      <c r="AJ239" s="250"/>
      <c r="AK239" s="250"/>
      <c r="AL239" s="250"/>
      <c r="AM239" s="250"/>
      <c r="AN239" s="250"/>
    </row>
    <row r="240" ht="15.75" customHeight="1">
      <c r="A240" s="250"/>
      <c r="B240" s="251">
        <f>IFERROR(__xludf.DUMMYFUNCTION("""COMPUTED_VALUE"""),232.0)</f>
        <v>232</v>
      </c>
      <c r="C240" s="252"/>
      <c r="D240" s="253" t="str">
        <f>IFERROR(__xludf.DUMMYFUNCTION("""COMPUTED_VALUE"""),"")</f>
        <v/>
      </c>
      <c r="E240" s="254">
        <f>IFERROR(__xludf.DUMMYFUNCTION("""COMPUTED_VALUE"""),0.0)</f>
        <v>0</v>
      </c>
      <c r="F240" s="255"/>
      <c r="G240" s="256"/>
      <c r="H240" s="252">
        <f>IFERROR(__xludf.DUMMYFUNCTION("""COMPUTED_VALUE"""),0.0)</f>
        <v>0</v>
      </c>
      <c r="I240" s="258"/>
      <c r="J240" s="258"/>
      <c r="K240" s="257">
        <f>IFERROR(__xludf.DUMMYFUNCTION("""COMPUTED_VALUE"""),0.0)</f>
        <v>0</v>
      </c>
      <c r="L240" s="258">
        <f>IFERROR(__xludf.DUMMYFUNCTION("""COMPUTED_VALUE"""),0.0)</f>
        <v>0</v>
      </c>
      <c r="M240" s="258">
        <f>IFERROR(__xludf.DUMMYFUNCTION("""COMPUTED_VALUE"""),0.0)</f>
        <v>0</v>
      </c>
      <c r="N240" s="258">
        <f>IFERROR(__xludf.DUMMYFUNCTION("""COMPUTED_VALUE"""),0.0)</f>
        <v>0</v>
      </c>
      <c r="O240" s="258">
        <f>IFERROR(__xludf.DUMMYFUNCTION("""COMPUTED_VALUE"""),0.0)</f>
        <v>0</v>
      </c>
      <c r="P240" s="258">
        <f>IFERROR(__xludf.DUMMYFUNCTION("""COMPUTED_VALUE"""),0.0)</f>
        <v>0</v>
      </c>
      <c r="Q240" s="258">
        <f>IFERROR(__xludf.DUMMYFUNCTION("""COMPUTED_VALUE"""),0.0)</f>
        <v>0</v>
      </c>
      <c r="R240" s="259"/>
      <c r="S240" s="260"/>
      <c r="T240" s="261"/>
      <c r="U240" s="262"/>
      <c r="V240" s="250"/>
      <c r="W240" s="250"/>
      <c r="X240" s="250"/>
      <c r="Y240" s="250"/>
      <c r="Z240" s="250"/>
      <c r="AA240" s="250"/>
      <c r="AB240" s="250"/>
      <c r="AC240" s="250"/>
      <c r="AD240" s="250"/>
      <c r="AE240" s="250"/>
      <c r="AF240" s="250"/>
      <c r="AG240" s="250"/>
      <c r="AH240" s="250"/>
      <c r="AI240" s="250"/>
      <c r="AJ240" s="250"/>
      <c r="AK240" s="250"/>
      <c r="AL240" s="250"/>
      <c r="AM240" s="250"/>
      <c r="AN240" s="250"/>
    </row>
    <row r="241" ht="15.75" customHeight="1">
      <c r="A241" s="250"/>
      <c r="B241" s="251">
        <f>IFERROR(__xludf.DUMMYFUNCTION("""COMPUTED_VALUE"""),233.0)</f>
        <v>233</v>
      </c>
      <c r="C241" s="252"/>
      <c r="D241" s="253" t="str">
        <f>IFERROR(__xludf.DUMMYFUNCTION("""COMPUTED_VALUE"""),"")</f>
        <v/>
      </c>
      <c r="E241" s="254">
        <f>IFERROR(__xludf.DUMMYFUNCTION("""COMPUTED_VALUE"""),0.0)</f>
        <v>0</v>
      </c>
      <c r="F241" s="255"/>
      <c r="G241" s="256"/>
      <c r="H241" s="252">
        <f>IFERROR(__xludf.DUMMYFUNCTION("""COMPUTED_VALUE"""),0.0)</f>
        <v>0</v>
      </c>
      <c r="I241" s="258"/>
      <c r="J241" s="258"/>
      <c r="K241" s="257">
        <f>IFERROR(__xludf.DUMMYFUNCTION("""COMPUTED_VALUE"""),0.0)</f>
        <v>0</v>
      </c>
      <c r="L241" s="258">
        <f>IFERROR(__xludf.DUMMYFUNCTION("""COMPUTED_VALUE"""),0.0)</f>
        <v>0</v>
      </c>
      <c r="M241" s="258">
        <f>IFERROR(__xludf.DUMMYFUNCTION("""COMPUTED_VALUE"""),0.0)</f>
        <v>0</v>
      </c>
      <c r="N241" s="258">
        <f>IFERROR(__xludf.DUMMYFUNCTION("""COMPUTED_VALUE"""),0.0)</f>
        <v>0</v>
      </c>
      <c r="O241" s="258">
        <f>IFERROR(__xludf.DUMMYFUNCTION("""COMPUTED_VALUE"""),0.0)</f>
        <v>0</v>
      </c>
      <c r="P241" s="258">
        <f>IFERROR(__xludf.DUMMYFUNCTION("""COMPUTED_VALUE"""),0.0)</f>
        <v>0</v>
      </c>
      <c r="Q241" s="258">
        <f>IFERROR(__xludf.DUMMYFUNCTION("""COMPUTED_VALUE"""),0.0)</f>
        <v>0</v>
      </c>
      <c r="R241" s="259"/>
      <c r="S241" s="260"/>
      <c r="T241" s="261"/>
      <c r="U241" s="262"/>
      <c r="V241" s="250"/>
      <c r="W241" s="250"/>
      <c r="X241" s="250"/>
      <c r="Y241" s="250"/>
      <c r="Z241" s="250"/>
      <c r="AA241" s="250"/>
      <c r="AB241" s="250"/>
      <c r="AC241" s="250"/>
      <c r="AD241" s="250"/>
      <c r="AE241" s="250"/>
      <c r="AF241" s="250"/>
      <c r="AG241" s="250"/>
      <c r="AH241" s="250"/>
      <c r="AI241" s="250"/>
      <c r="AJ241" s="250"/>
      <c r="AK241" s="250"/>
      <c r="AL241" s="250"/>
      <c r="AM241" s="250"/>
      <c r="AN241" s="250"/>
    </row>
    <row r="242" ht="15.75" customHeight="1">
      <c r="A242" s="250"/>
      <c r="B242" s="251">
        <f>IFERROR(__xludf.DUMMYFUNCTION("""COMPUTED_VALUE"""),234.0)</f>
        <v>234</v>
      </c>
      <c r="C242" s="252"/>
      <c r="D242" s="253" t="str">
        <f>IFERROR(__xludf.DUMMYFUNCTION("""COMPUTED_VALUE"""),"")</f>
        <v/>
      </c>
      <c r="E242" s="254">
        <f>IFERROR(__xludf.DUMMYFUNCTION("""COMPUTED_VALUE"""),0.0)</f>
        <v>0</v>
      </c>
      <c r="F242" s="255"/>
      <c r="G242" s="256"/>
      <c r="H242" s="252">
        <f>IFERROR(__xludf.DUMMYFUNCTION("""COMPUTED_VALUE"""),0.0)</f>
        <v>0</v>
      </c>
      <c r="I242" s="258"/>
      <c r="J242" s="258"/>
      <c r="K242" s="257">
        <f>IFERROR(__xludf.DUMMYFUNCTION("""COMPUTED_VALUE"""),0.0)</f>
        <v>0</v>
      </c>
      <c r="L242" s="258">
        <f>IFERROR(__xludf.DUMMYFUNCTION("""COMPUTED_VALUE"""),0.0)</f>
        <v>0</v>
      </c>
      <c r="M242" s="258">
        <f>IFERROR(__xludf.DUMMYFUNCTION("""COMPUTED_VALUE"""),0.0)</f>
        <v>0</v>
      </c>
      <c r="N242" s="258">
        <f>IFERROR(__xludf.DUMMYFUNCTION("""COMPUTED_VALUE"""),0.0)</f>
        <v>0</v>
      </c>
      <c r="O242" s="258">
        <f>IFERROR(__xludf.DUMMYFUNCTION("""COMPUTED_VALUE"""),0.0)</f>
        <v>0</v>
      </c>
      <c r="P242" s="258">
        <f>IFERROR(__xludf.DUMMYFUNCTION("""COMPUTED_VALUE"""),0.0)</f>
        <v>0</v>
      </c>
      <c r="Q242" s="258">
        <f>IFERROR(__xludf.DUMMYFUNCTION("""COMPUTED_VALUE"""),0.0)</f>
        <v>0</v>
      </c>
      <c r="R242" s="259"/>
      <c r="S242" s="260"/>
      <c r="T242" s="261"/>
      <c r="U242" s="262"/>
      <c r="V242" s="250"/>
      <c r="W242" s="250"/>
      <c r="X242" s="250"/>
      <c r="Y242" s="250"/>
      <c r="Z242" s="250"/>
      <c r="AA242" s="250"/>
      <c r="AB242" s="250"/>
      <c r="AC242" s="250"/>
      <c r="AD242" s="250"/>
      <c r="AE242" s="250"/>
      <c r="AF242" s="250"/>
      <c r="AG242" s="250"/>
      <c r="AH242" s="250"/>
      <c r="AI242" s="250"/>
      <c r="AJ242" s="250"/>
      <c r="AK242" s="250"/>
      <c r="AL242" s="250"/>
      <c r="AM242" s="250"/>
      <c r="AN242" s="250"/>
    </row>
    <row r="243" ht="15.75" customHeight="1">
      <c r="A243" s="250"/>
      <c r="B243" s="251">
        <f>IFERROR(__xludf.DUMMYFUNCTION("""COMPUTED_VALUE"""),235.0)</f>
        <v>235</v>
      </c>
      <c r="C243" s="252"/>
      <c r="D243" s="253" t="str">
        <f>IFERROR(__xludf.DUMMYFUNCTION("""COMPUTED_VALUE"""),"")</f>
        <v/>
      </c>
      <c r="E243" s="254">
        <f>IFERROR(__xludf.DUMMYFUNCTION("""COMPUTED_VALUE"""),0.0)</f>
        <v>0</v>
      </c>
      <c r="F243" s="255"/>
      <c r="G243" s="256"/>
      <c r="H243" s="252">
        <f>IFERROR(__xludf.DUMMYFUNCTION("""COMPUTED_VALUE"""),0.0)</f>
        <v>0</v>
      </c>
      <c r="I243" s="258"/>
      <c r="J243" s="258"/>
      <c r="K243" s="257">
        <f>IFERROR(__xludf.DUMMYFUNCTION("""COMPUTED_VALUE"""),0.0)</f>
        <v>0</v>
      </c>
      <c r="L243" s="258">
        <f>IFERROR(__xludf.DUMMYFUNCTION("""COMPUTED_VALUE"""),0.0)</f>
        <v>0</v>
      </c>
      <c r="M243" s="258">
        <f>IFERROR(__xludf.DUMMYFUNCTION("""COMPUTED_VALUE"""),0.0)</f>
        <v>0</v>
      </c>
      <c r="N243" s="258">
        <f>IFERROR(__xludf.DUMMYFUNCTION("""COMPUTED_VALUE"""),0.0)</f>
        <v>0</v>
      </c>
      <c r="O243" s="258">
        <f>IFERROR(__xludf.DUMMYFUNCTION("""COMPUTED_VALUE"""),0.0)</f>
        <v>0</v>
      </c>
      <c r="P243" s="258">
        <f>IFERROR(__xludf.DUMMYFUNCTION("""COMPUTED_VALUE"""),0.0)</f>
        <v>0</v>
      </c>
      <c r="Q243" s="258">
        <f>IFERROR(__xludf.DUMMYFUNCTION("""COMPUTED_VALUE"""),0.0)</f>
        <v>0</v>
      </c>
      <c r="R243" s="259"/>
      <c r="S243" s="260"/>
      <c r="T243" s="261"/>
      <c r="U243" s="262"/>
      <c r="V243" s="250"/>
      <c r="W243" s="250"/>
      <c r="X243" s="250"/>
      <c r="Y243" s="250"/>
      <c r="Z243" s="250"/>
      <c r="AA243" s="250"/>
      <c r="AB243" s="250"/>
      <c r="AC243" s="250"/>
      <c r="AD243" s="250"/>
      <c r="AE243" s="250"/>
      <c r="AF243" s="250"/>
      <c r="AG243" s="250"/>
      <c r="AH243" s="250"/>
      <c r="AI243" s="250"/>
      <c r="AJ243" s="250"/>
      <c r="AK243" s="250"/>
      <c r="AL243" s="250"/>
      <c r="AM243" s="250"/>
      <c r="AN243" s="250"/>
    </row>
    <row r="244" ht="15.75" customHeight="1">
      <c r="A244" s="250"/>
      <c r="B244" s="251">
        <f>IFERROR(__xludf.DUMMYFUNCTION("""COMPUTED_VALUE"""),236.0)</f>
        <v>236</v>
      </c>
      <c r="C244" s="252"/>
      <c r="D244" s="253" t="str">
        <f>IFERROR(__xludf.DUMMYFUNCTION("""COMPUTED_VALUE"""),"")</f>
        <v/>
      </c>
      <c r="E244" s="254">
        <f>IFERROR(__xludf.DUMMYFUNCTION("""COMPUTED_VALUE"""),0.0)</f>
        <v>0</v>
      </c>
      <c r="F244" s="255"/>
      <c r="G244" s="256"/>
      <c r="H244" s="252">
        <f>IFERROR(__xludf.DUMMYFUNCTION("""COMPUTED_VALUE"""),0.0)</f>
        <v>0</v>
      </c>
      <c r="I244" s="258"/>
      <c r="J244" s="258"/>
      <c r="K244" s="257">
        <f>IFERROR(__xludf.DUMMYFUNCTION("""COMPUTED_VALUE"""),0.0)</f>
        <v>0</v>
      </c>
      <c r="L244" s="258">
        <f>IFERROR(__xludf.DUMMYFUNCTION("""COMPUTED_VALUE"""),0.0)</f>
        <v>0</v>
      </c>
      <c r="M244" s="258">
        <f>IFERROR(__xludf.DUMMYFUNCTION("""COMPUTED_VALUE"""),0.0)</f>
        <v>0</v>
      </c>
      <c r="N244" s="258">
        <f>IFERROR(__xludf.DUMMYFUNCTION("""COMPUTED_VALUE"""),0.0)</f>
        <v>0</v>
      </c>
      <c r="O244" s="258">
        <f>IFERROR(__xludf.DUMMYFUNCTION("""COMPUTED_VALUE"""),0.0)</f>
        <v>0</v>
      </c>
      <c r="P244" s="258">
        <f>IFERROR(__xludf.DUMMYFUNCTION("""COMPUTED_VALUE"""),0.0)</f>
        <v>0</v>
      </c>
      <c r="Q244" s="258">
        <f>IFERROR(__xludf.DUMMYFUNCTION("""COMPUTED_VALUE"""),0.0)</f>
        <v>0</v>
      </c>
      <c r="R244" s="259"/>
      <c r="S244" s="260"/>
      <c r="T244" s="261"/>
      <c r="U244" s="262"/>
      <c r="V244" s="250"/>
      <c r="W244" s="250"/>
      <c r="X244" s="250"/>
      <c r="Y244" s="250"/>
      <c r="Z244" s="250"/>
      <c r="AA244" s="250"/>
      <c r="AB244" s="250"/>
      <c r="AC244" s="250"/>
      <c r="AD244" s="250"/>
      <c r="AE244" s="250"/>
      <c r="AF244" s="250"/>
      <c r="AG244" s="250"/>
      <c r="AH244" s="250"/>
      <c r="AI244" s="250"/>
      <c r="AJ244" s="250"/>
      <c r="AK244" s="250"/>
      <c r="AL244" s="250"/>
      <c r="AM244" s="250"/>
      <c r="AN244" s="250"/>
    </row>
    <row r="245" ht="15.75" customHeight="1">
      <c r="A245" s="250"/>
      <c r="B245" s="251">
        <f>IFERROR(__xludf.DUMMYFUNCTION("""COMPUTED_VALUE"""),237.0)</f>
        <v>237</v>
      </c>
      <c r="C245" s="252"/>
      <c r="D245" s="253" t="str">
        <f>IFERROR(__xludf.DUMMYFUNCTION("""COMPUTED_VALUE"""),"")</f>
        <v/>
      </c>
      <c r="E245" s="254">
        <f>IFERROR(__xludf.DUMMYFUNCTION("""COMPUTED_VALUE"""),0.0)</f>
        <v>0</v>
      </c>
      <c r="F245" s="255"/>
      <c r="G245" s="256"/>
      <c r="H245" s="252">
        <f>IFERROR(__xludf.DUMMYFUNCTION("""COMPUTED_VALUE"""),0.0)</f>
        <v>0</v>
      </c>
      <c r="I245" s="258"/>
      <c r="J245" s="258"/>
      <c r="K245" s="257">
        <f>IFERROR(__xludf.DUMMYFUNCTION("""COMPUTED_VALUE"""),0.0)</f>
        <v>0</v>
      </c>
      <c r="L245" s="258">
        <f>IFERROR(__xludf.DUMMYFUNCTION("""COMPUTED_VALUE"""),0.0)</f>
        <v>0</v>
      </c>
      <c r="M245" s="258">
        <f>IFERROR(__xludf.DUMMYFUNCTION("""COMPUTED_VALUE"""),0.0)</f>
        <v>0</v>
      </c>
      <c r="N245" s="258">
        <f>IFERROR(__xludf.DUMMYFUNCTION("""COMPUTED_VALUE"""),0.0)</f>
        <v>0</v>
      </c>
      <c r="O245" s="258">
        <f>IFERROR(__xludf.DUMMYFUNCTION("""COMPUTED_VALUE"""),0.0)</f>
        <v>0</v>
      </c>
      <c r="P245" s="258">
        <f>IFERROR(__xludf.DUMMYFUNCTION("""COMPUTED_VALUE"""),0.0)</f>
        <v>0</v>
      </c>
      <c r="Q245" s="258">
        <f>IFERROR(__xludf.DUMMYFUNCTION("""COMPUTED_VALUE"""),0.0)</f>
        <v>0</v>
      </c>
      <c r="R245" s="259"/>
      <c r="S245" s="260"/>
      <c r="T245" s="261"/>
      <c r="U245" s="262"/>
      <c r="V245" s="250"/>
      <c r="W245" s="250"/>
      <c r="X245" s="250"/>
      <c r="Y245" s="250"/>
      <c r="Z245" s="250"/>
      <c r="AA245" s="250"/>
      <c r="AB245" s="250"/>
      <c r="AC245" s="250"/>
      <c r="AD245" s="250"/>
      <c r="AE245" s="250"/>
      <c r="AF245" s="250"/>
      <c r="AG245" s="250"/>
      <c r="AH245" s="250"/>
      <c r="AI245" s="250"/>
      <c r="AJ245" s="250"/>
      <c r="AK245" s="250"/>
      <c r="AL245" s="250"/>
      <c r="AM245" s="250"/>
      <c r="AN245" s="250"/>
    </row>
    <row r="246" ht="15.75" customHeight="1">
      <c r="A246" s="250"/>
      <c r="B246" s="251">
        <f>IFERROR(__xludf.DUMMYFUNCTION("""COMPUTED_VALUE"""),238.0)</f>
        <v>238</v>
      </c>
      <c r="C246" s="252"/>
      <c r="D246" s="253" t="str">
        <f>IFERROR(__xludf.DUMMYFUNCTION("""COMPUTED_VALUE"""),"")</f>
        <v/>
      </c>
      <c r="E246" s="254">
        <f>IFERROR(__xludf.DUMMYFUNCTION("""COMPUTED_VALUE"""),0.0)</f>
        <v>0</v>
      </c>
      <c r="F246" s="255"/>
      <c r="G246" s="256"/>
      <c r="H246" s="252">
        <f>IFERROR(__xludf.DUMMYFUNCTION("""COMPUTED_VALUE"""),0.0)</f>
        <v>0</v>
      </c>
      <c r="I246" s="258"/>
      <c r="J246" s="258"/>
      <c r="K246" s="257">
        <f>IFERROR(__xludf.DUMMYFUNCTION("""COMPUTED_VALUE"""),0.0)</f>
        <v>0</v>
      </c>
      <c r="L246" s="258">
        <f>IFERROR(__xludf.DUMMYFUNCTION("""COMPUTED_VALUE"""),0.0)</f>
        <v>0</v>
      </c>
      <c r="M246" s="258">
        <f>IFERROR(__xludf.DUMMYFUNCTION("""COMPUTED_VALUE"""),0.0)</f>
        <v>0</v>
      </c>
      <c r="N246" s="258">
        <f>IFERROR(__xludf.DUMMYFUNCTION("""COMPUTED_VALUE"""),0.0)</f>
        <v>0</v>
      </c>
      <c r="O246" s="258">
        <f>IFERROR(__xludf.DUMMYFUNCTION("""COMPUTED_VALUE"""),0.0)</f>
        <v>0</v>
      </c>
      <c r="P246" s="258">
        <f>IFERROR(__xludf.DUMMYFUNCTION("""COMPUTED_VALUE"""),0.0)</f>
        <v>0</v>
      </c>
      <c r="Q246" s="258">
        <f>IFERROR(__xludf.DUMMYFUNCTION("""COMPUTED_VALUE"""),0.0)</f>
        <v>0</v>
      </c>
      <c r="R246" s="259"/>
      <c r="S246" s="260"/>
      <c r="T246" s="261"/>
      <c r="U246" s="262"/>
      <c r="V246" s="250"/>
      <c r="W246" s="250"/>
      <c r="X246" s="250"/>
      <c r="Y246" s="250"/>
      <c r="Z246" s="250"/>
      <c r="AA246" s="250"/>
      <c r="AB246" s="250"/>
      <c r="AC246" s="250"/>
      <c r="AD246" s="250"/>
      <c r="AE246" s="250"/>
      <c r="AF246" s="250"/>
      <c r="AG246" s="250"/>
      <c r="AH246" s="250"/>
      <c r="AI246" s="250"/>
      <c r="AJ246" s="250"/>
      <c r="AK246" s="250"/>
      <c r="AL246" s="250"/>
      <c r="AM246" s="250"/>
      <c r="AN246" s="250"/>
    </row>
    <row r="247" ht="15.75" customHeight="1">
      <c r="A247" s="250"/>
      <c r="B247" s="251">
        <f>IFERROR(__xludf.DUMMYFUNCTION("""COMPUTED_VALUE"""),239.0)</f>
        <v>239</v>
      </c>
      <c r="C247" s="252"/>
      <c r="D247" s="253" t="str">
        <f>IFERROR(__xludf.DUMMYFUNCTION("""COMPUTED_VALUE"""),"")</f>
        <v/>
      </c>
      <c r="E247" s="254">
        <f>IFERROR(__xludf.DUMMYFUNCTION("""COMPUTED_VALUE"""),0.0)</f>
        <v>0</v>
      </c>
      <c r="F247" s="255"/>
      <c r="G247" s="256"/>
      <c r="H247" s="252">
        <f>IFERROR(__xludf.DUMMYFUNCTION("""COMPUTED_VALUE"""),0.0)</f>
        <v>0</v>
      </c>
      <c r="I247" s="258"/>
      <c r="J247" s="258"/>
      <c r="K247" s="257">
        <f>IFERROR(__xludf.DUMMYFUNCTION("""COMPUTED_VALUE"""),0.0)</f>
        <v>0</v>
      </c>
      <c r="L247" s="258">
        <f>IFERROR(__xludf.DUMMYFUNCTION("""COMPUTED_VALUE"""),0.0)</f>
        <v>0</v>
      </c>
      <c r="M247" s="258">
        <f>IFERROR(__xludf.DUMMYFUNCTION("""COMPUTED_VALUE"""),0.0)</f>
        <v>0</v>
      </c>
      <c r="N247" s="258">
        <f>IFERROR(__xludf.DUMMYFUNCTION("""COMPUTED_VALUE"""),0.0)</f>
        <v>0</v>
      </c>
      <c r="O247" s="258">
        <f>IFERROR(__xludf.DUMMYFUNCTION("""COMPUTED_VALUE"""),0.0)</f>
        <v>0</v>
      </c>
      <c r="P247" s="258">
        <f>IFERROR(__xludf.DUMMYFUNCTION("""COMPUTED_VALUE"""),0.0)</f>
        <v>0</v>
      </c>
      <c r="Q247" s="258">
        <f>IFERROR(__xludf.DUMMYFUNCTION("""COMPUTED_VALUE"""),0.0)</f>
        <v>0</v>
      </c>
      <c r="R247" s="259"/>
      <c r="S247" s="260"/>
      <c r="T247" s="261"/>
      <c r="U247" s="262"/>
      <c r="V247" s="250"/>
      <c r="W247" s="250"/>
      <c r="X247" s="250"/>
      <c r="Y247" s="250"/>
      <c r="Z247" s="250"/>
      <c r="AA247" s="250"/>
      <c r="AB247" s="250"/>
      <c r="AC247" s="250"/>
      <c r="AD247" s="250"/>
      <c r="AE247" s="250"/>
      <c r="AF247" s="250"/>
      <c r="AG247" s="250"/>
      <c r="AH247" s="250"/>
      <c r="AI247" s="250"/>
      <c r="AJ247" s="250"/>
      <c r="AK247" s="250"/>
      <c r="AL247" s="250"/>
      <c r="AM247" s="250"/>
      <c r="AN247" s="250"/>
    </row>
    <row r="248" ht="15.75" customHeight="1">
      <c r="A248" s="250"/>
      <c r="B248" s="251">
        <f>IFERROR(__xludf.DUMMYFUNCTION("""COMPUTED_VALUE"""),240.0)</f>
        <v>240</v>
      </c>
      <c r="C248" s="252"/>
      <c r="D248" s="253" t="str">
        <f>IFERROR(__xludf.DUMMYFUNCTION("""COMPUTED_VALUE"""),"")</f>
        <v/>
      </c>
      <c r="E248" s="254">
        <f>IFERROR(__xludf.DUMMYFUNCTION("""COMPUTED_VALUE"""),0.0)</f>
        <v>0</v>
      </c>
      <c r="F248" s="255"/>
      <c r="G248" s="256"/>
      <c r="H248" s="252">
        <f>IFERROR(__xludf.DUMMYFUNCTION("""COMPUTED_VALUE"""),0.0)</f>
        <v>0</v>
      </c>
      <c r="I248" s="258"/>
      <c r="J248" s="258"/>
      <c r="K248" s="257">
        <f>IFERROR(__xludf.DUMMYFUNCTION("""COMPUTED_VALUE"""),0.0)</f>
        <v>0</v>
      </c>
      <c r="L248" s="258">
        <f>IFERROR(__xludf.DUMMYFUNCTION("""COMPUTED_VALUE"""),0.0)</f>
        <v>0</v>
      </c>
      <c r="M248" s="258">
        <f>IFERROR(__xludf.DUMMYFUNCTION("""COMPUTED_VALUE"""),0.0)</f>
        <v>0</v>
      </c>
      <c r="N248" s="258">
        <f>IFERROR(__xludf.DUMMYFUNCTION("""COMPUTED_VALUE"""),0.0)</f>
        <v>0</v>
      </c>
      <c r="O248" s="258">
        <f>IFERROR(__xludf.DUMMYFUNCTION("""COMPUTED_VALUE"""),0.0)</f>
        <v>0</v>
      </c>
      <c r="P248" s="258">
        <f>IFERROR(__xludf.DUMMYFUNCTION("""COMPUTED_VALUE"""),0.0)</f>
        <v>0</v>
      </c>
      <c r="Q248" s="258">
        <f>IFERROR(__xludf.DUMMYFUNCTION("""COMPUTED_VALUE"""),0.0)</f>
        <v>0</v>
      </c>
      <c r="R248" s="259"/>
      <c r="S248" s="260"/>
      <c r="T248" s="261"/>
      <c r="U248" s="262"/>
      <c r="V248" s="250"/>
      <c r="W248" s="250"/>
      <c r="X248" s="250"/>
      <c r="Y248" s="250"/>
      <c r="Z248" s="250"/>
      <c r="AA248" s="250"/>
      <c r="AB248" s="250"/>
      <c r="AC248" s="250"/>
      <c r="AD248" s="250"/>
      <c r="AE248" s="250"/>
      <c r="AF248" s="250"/>
      <c r="AG248" s="250"/>
      <c r="AH248" s="250"/>
      <c r="AI248" s="250"/>
      <c r="AJ248" s="250"/>
      <c r="AK248" s="250"/>
      <c r="AL248" s="250"/>
      <c r="AM248" s="250"/>
      <c r="AN248" s="250"/>
    </row>
    <row r="249" ht="15.75" customHeight="1">
      <c r="A249" s="250"/>
      <c r="B249" s="251">
        <f>IFERROR(__xludf.DUMMYFUNCTION("""COMPUTED_VALUE"""),241.0)</f>
        <v>241</v>
      </c>
      <c r="C249" s="252"/>
      <c r="D249" s="253" t="str">
        <f>IFERROR(__xludf.DUMMYFUNCTION("""COMPUTED_VALUE"""),"")</f>
        <v/>
      </c>
      <c r="E249" s="254">
        <f>IFERROR(__xludf.DUMMYFUNCTION("""COMPUTED_VALUE"""),0.0)</f>
        <v>0</v>
      </c>
      <c r="F249" s="255"/>
      <c r="G249" s="256"/>
      <c r="H249" s="252">
        <f>IFERROR(__xludf.DUMMYFUNCTION("""COMPUTED_VALUE"""),0.0)</f>
        <v>0</v>
      </c>
      <c r="I249" s="258"/>
      <c r="J249" s="258"/>
      <c r="K249" s="257">
        <f>IFERROR(__xludf.DUMMYFUNCTION("""COMPUTED_VALUE"""),0.0)</f>
        <v>0</v>
      </c>
      <c r="L249" s="258">
        <f>IFERROR(__xludf.DUMMYFUNCTION("""COMPUTED_VALUE"""),0.0)</f>
        <v>0</v>
      </c>
      <c r="M249" s="258">
        <f>IFERROR(__xludf.DUMMYFUNCTION("""COMPUTED_VALUE"""),0.0)</f>
        <v>0</v>
      </c>
      <c r="N249" s="258">
        <f>IFERROR(__xludf.DUMMYFUNCTION("""COMPUTED_VALUE"""),0.0)</f>
        <v>0</v>
      </c>
      <c r="O249" s="258">
        <f>IFERROR(__xludf.DUMMYFUNCTION("""COMPUTED_VALUE"""),0.0)</f>
        <v>0</v>
      </c>
      <c r="P249" s="258">
        <f>IFERROR(__xludf.DUMMYFUNCTION("""COMPUTED_VALUE"""),0.0)</f>
        <v>0</v>
      </c>
      <c r="Q249" s="258">
        <f>IFERROR(__xludf.DUMMYFUNCTION("""COMPUTED_VALUE"""),0.0)</f>
        <v>0</v>
      </c>
      <c r="R249" s="259"/>
      <c r="S249" s="260"/>
      <c r="T249" s="261"/>
      <c r="U249" s="262"/>
      <c r="V249" s="250"/>
      <c r="W249" s="250"/>
      <c r="X249" s="250"/>
      <c r="Y249" s="250"/>
      <c r="Z249" s="250"/>
      <c r="AA249" s="250"/>
      <c r="AB249" s="250"/>
      <c r="AC249" s="250"/>
      <c r="AD249" s="250"/>
      <c r="AE249" s="250"/>
      <c r="AF249" s="250"/>
      <c r="AG249" s="250"/>
      <c r="AH249" s="250"/>
      <c r="AI249" s="250"/>
      <c r="AJ249" s="250"/>
      <c r="AK249" s="250"/>
      <c r="AL249" s="250"/>
      <c r="AM249" s="250"/>
      <c r="AN249" s="250"/>
    </row>
    <row r="250" ht="15.75" customHeight="1">
      <c r="A250" s="250"/>
      <c r="B250" s="251">
        <f>IFERROR(__xludf.DUMMYFUNCTION("""COMPUTED_VALUE"""),242.0)</f>
        <v>242</v>
      </c>
      <c r="C250" s="252"/>
      <c r="D250" s="253" t="str">
        <f>IFERROR(__xludf.DUMMYFUNCTION("""COMPUTED_VALUE"""),"")</f>
        <v/>
      </c>
      <c r="E250" s="254">
        <f>IFERROR(__xludf.DUMMYFUNCTION("""COMPUTED_VALUE"""),0.0)</f>
        <v>0</v>
      </c>
      <c r="F250" s="255"/>
      <c r="G250" s="256"/>
      <c r="H250" s="252">
        <f>IFERROR(__xludf.DUMMYFUNCTION("""COMPUTED_VALUE"""),0.0)</f>
        <v>0</v>
      </c>
      <c r="I250" s="258"/>
      <c r="J250" s="258"/>
      <c r="K250" s="257">
        <f>IFERROR(__xludf.DUMMYFUNCTION("""COMPUTED_VALUE"""),0.0)</f>
        <v>0</v>
      </c>
      <c r="L250" s="258">
        <f>IFERROR(__xludf.DUMMYFUNCTION("""COMPUTED_VALUE"""),0.0)</f>
        <v>0</v>
      </c>
      <c r="M250" s="258">
        <f>IFERROR(__xludf.DUMMYFUNCTION("""COMPUTED_VALUE"""),0.0)</f>
        <v>0</v>
      </c>
      <c r="N250" s="258">
        <f>IFERROR(__xludf.DUMMYFUNCTION("""COMPUTED_VALUE"""),0.0)</f>
        <v>0</v>
      </c>
      <c r="O250" s="258">
        <f>IFERROR(__xludf.DUMMYFUNCTION("""COMPUTED_VALUE"""),0.0)</f>
        <v>0</v>
      </c>
      <c r="P250" s="258">
        <f>IFERROR(__xludf.DUMMYFUNCTION("""COMPUTED_VALUE"""),0.0)</f>
        <v>0</v>
      </c>
      <c r="Q250" s="258">
        <f>IFERROR(__xludf.DUMMYFUNCTION("""COMPUTED_VALUE"""),0.0)</f>
        <v>0</v>
      </c>
      <c r="R250" s="259"/>
      <c r="S250" s="260"/>
      <c r="T250" s="261"/>
      <c r="U250" s="262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0"/>
      <c r="AF250" s="250"/>
      <c r="AG250" s="250"/>
      <c r="AH250" s="250"/>
      <c r="AI250" s="250"/>
      <c r="AJ250" s="250"/>
      <c r="AK250" s="250"/>
      <c r="AL250" s="250"/>
      <c r="AM250" s="250"/>
      <c r="AN250" s="250"/>
    </row>
    <row r="251" ht="15.75" customHeight="1">
      <c r="A251" s="250"/>
      <c r="B251" s="251">
        <f>IFERROR(__xludf.DUMMYFUNCTION("""COMPUTED_VALUE"""),243.0)</f>
        <v>243</v>
      </c>
      <c r="C251" s="252"/>
      <c r="D251" s="253" t="str">
        <f>IFERROR(__xludf.DUMMYFUNCTION("""COMPUTED_VALUE"""),"")</f>
        <v/>
      </c>
      <c r="E251" s="254">
        <f>IFERROR(__xludf.DUMMYFUNCTION("""COMPUTED_VALUE"""),0.0)</f>
        <v>0</v>
      </c>
      <c r="F251" s="255"/>
      <c r="G251" s="256"/>
      <c r="H251" s="252">
        <f>IFERROR(__xludf.DUMMYFUNCTION("""COMPUTED_VALUE"""),0.0)</f>
        <v>0</v>
      </c>
      <c r="I251" s="258"/>
      <c r="J251" s="258"/>
      <c r="K251" s="257">
        <f>IFERROR(__xludf.DUMMYFUNCTION("""COMPUTED_VALUE"""),0.0)</f>
        <v>0</v>
      </c>
      <c r="L251" s="258">
        <f>IFERROR(__xludf.DUMMYFUNCTION("""COMPUTED_VALUE"""),0.0)</f>
        <v>0</v>
      </c>
      <c r="M251" s="258">
        <f>IFERROR(__xludf.DUMMYFUNCTION("""COMPUTED_VALUE"""),0.0)</f>
        <v>0</v>
      </c>
      <c r="N251" s="258">
        <f>IFERROR(__xludf.DUMMYFUNCTION("""COMPUTED_VALUE"""),0.0)</f>
        <v>0</v>
      </c>
      <c r="O251" s="258">
        <f>IFERROR(__xludf.DUMMYFUNCTION("""COMPUTED_VALUE"""),0.0)</f>
        <v>0</v>
      </c>
      <c r="P251" s="258">
        <f>IFERROR(__xludf.DUMMYFUNCTION("""COMPUTED_VALUE"""),0.0)</f>
        <v>0</v>
      </c>
      <c r="Q251" s="258">
        <f>IFERROR(__xludf.DUMMYFUNCTION("""COMPUTED_VALUE"""),0.0)</f>
        <v>0</v>
      </c>
      <c r="R251" s="259"/>
      <c r="S251" s="260"/>
      <c r="T251" s="261"/>
      <c r="U251" s="262"/>
      <c r="V251" s="250"/>
      <c r="W251" s="250"/>
      <c r="X251" s="250"/>
      <c r="Y251" s="250"/>
      <c r="Z251" s="250"/>
      <c r="AA251" s="250"/>
      <c r="AB251" s="250"/>
      <c r="AC251" s="250"/>
      <c r="AD251" s="250"/>
      <c r="AE251" s="250"/>
      <c r="AF251" s="250"/>
      <c r="AG251" s="250"/>
      <c r="AH251" s="250"/>
      <c r="AI251" s="250"/>
      <c r="AJ251" s="250"/>
      <c r="AK251" s="250"/>
      <c r="AL251" s="250"/>
      <c r="AM251" s="250"/>
      <c r="AN251" s="250"/>
    </row>
    <row r="252" ht="15.75" customHeight="1">
      <c r="A252" s="250"/>
      <c r="B252" s="251">
        <f>IFERROR(__xludf.DUMMYFUNCTION("""COMPUTED_VALUE"""),244.0)</f>
        <v>244</v>
      </c>
      <c r="C252" s="252"/>
      <c r="D252" s="253" t="str">
        <f>IFERROR(__xludf.DUMMYFUNCTION("""COMPUTED_VALUE"""),"")</f>
        <v/>
      </c>
      <c r="E252" s="254">
        <f>IFERROR(__xludf.DUMMYFUNCTION("""COMPUTED_VALUE"""),0.0)</f>
        <v>0</v>
      </c>
      <c r="F252" s="255"/>
      <c r="G252" s="256"/>
      <c r="H252" s="252">
        <f>IFERROR(__xludf.DUMMYFUNCTION("""COMPUTED_VALUE"""),0.0)</f>
        <v>0</v>
      </c>
      <c r="I252" s="258"/>
      <c r="J252" s="258"/>
      <c r="K252" s="257">
        <f>IFERROR(__xludf.DUMMYFUNCTION("""COMPUTED_VALUE"""),0.0)</f>
        <v>0</v>
      </c>
      <c r="L252" s="258">
        <f>IFERROR(__xludf.DUMMYFUNCTION("""COMPUTED_VALUE"""),0.0)</f>
        <v>0</v>
      </c>
      <c r="M252" s="258">
        <f>IFERROR(__xludf.DUMMYFUNCTION("""COMPUTED_VALUE"""),0.0)</f>
        <v>0</v>
      </c>
      <c r="N252" s="258">
        <f>IFERROR(__xludf.DUMMYFUNCTION("""COMPUTED_VALUE"""),0.0)</f>
        <v>0</v>
      </c>
      <c r="O252" s="258">
        <f>IFERROR(__xludf.DUMMYFUNCTION("""COMPUTED_VALUE"""),0.0)</f>
        <v>0</v>
      </c>
      <c r="P252" s="258">
        <f>IFERROR(__xludf.DUMMYFUNCTION("""COMPUTED_VALUE"""),0.0)</f>
        <v>0</v>
      </c>
      <c r="Q252" s="258">
        <f>IFERROR(__xludf.DUMMYFUNCTION("""COMPUTED_VALUE"""),0.0)</f>
        <v>0</v>
      </c>
      <c r="R252" s="259"/>
      <c r="S252" s="260"/>
      <c r="T252" s="261"/>
      <c r="U252" s="262"/>
      <c r="V252" s="250"/>
      <c r="W252" s="250"/>
      <c r="X252" s="250"/>
      <c r="Y252" s="250"/>
      <c r="Z252" s="250"/>
      <c r="AA252" s="250"/>
      <c r="AB252" s="250"/>
      <c r="AC252" s="250"/>
      <c r="AD252" s="250"/>
      <c r="AE252" s="250"/>
      <c r="AF252" s="250"/>
      <c r="AG252" s="250"/>
      <c r="AH252" s="250"/>
      <c r="AI252" s="250"/>
      <c r="AJ252" s="250"/>
      <c r="AK252" s="250"/>
      <c r="AL252" s="250"/>
      <c r="AM252" s="250"/>
      <c r="AN252" s="250"/>
    </row>
    <row r="253" ht="15.75" customHeight="1">
      <c r="A253" s="250"/>
      <c r="B253" s="251">
        <f>IFERROR(__xludf.DUMMYFUNCTION("""COMPUTED_VALUE"""),245.0)</f>
        <v>245</v>
      </c>
      <c r="C253" s="252"/>
      <c r="D253" s="253" t="str">
        <f>IFERROR(__xludf.DUMMYFUNCTION("""COMPUTED_VALUE"""),"")</f>
        <v/>
      </c>
      <c r="E253" s="254">
        <f>IFERROR(__xludf.DUMMYFUNCTION("""COMPUTED_VALUE"""),0.0)</f>
        <v>0</v>
      </c>
      <c r="F253" s="255"/>
      <c r="G253" s="256"/>
      <c r="H253" s="252">
        <f>IFERROR(__xludf.DUMMYFUNCTION("""COMPUTED_VALUE"""),0.0)</f>
        <v>0</v>
      </c>
      <c r="I253" s="258"/>
      <c r="J253" s="258"/>
      <c r="K253" s="257">
        <f>IFERROR(__xludf.DUMMYFUNCTION("""COMPUTED_VALUE"""),0.0)</f>
        <v>0</v>
      </c>
      <c r="L253" s="258">
        <f>IFERROR(__xludf.DUMMYFUNCTION("""COMPUTED_VALUE"""),0.0)</f>
        <v>0</v>
      </c>
      <c r="M253" s="258">
        <f>IFERROR(__xludf.DUMMYFUNCTION("""COMPUTED_VALUE"""),0.0)</f>
        <v>0</v>
      </c>
      <c r="N253" s="258">
        <f>IFERROR(__xludf.DUMMYFUNCTION("""COMPUTED_VALUE"""),0.0)</f>
        <v>0</v>
      </c>
      <c r="O253" s="258">
        <f>IFERROR(__xludf.DUMMYFUNCTION("""COMPUTED_VALUE"""),0.0)</f>
        <v>0</v>
      </c>
      <c r="P253" s="258">
        <f>IFERROR(__xludf.DUMMYFUNCTION("""COMPUTED_VALUE"""),0.0)</f>
        <v>0</v>
      </c>
      <c r="Q253" s="258">
        <f>IFERROR(__xludf.DUMMYFUNCTION("""COMPUTED_VALUE"""),0.0)</f>
        <v>0</v>
      </c>
      <c r="R253" s="259"/>
      <c r="S253" s="260"/>
      <c r="T253" s="261"/>
      <c r="U253" s="262"/>
      <c r="V253" s="250"/>
      <c r="W253" s="250"/>
      <c r="X253" s="250"/>
      <c r="Y253" s="250"/>
      <c r="Z253" s="250"/>
      <c r="AA253" s="250"/>
      <c r="AB253" s="250"/>
      <c r="AC253" s="250"/>
      <c r="AD253" s="250"/>
      <c r="AE253" s="250"/>
      <c r="AF253" s="250"/>
      <c r="AG253" s="250"/>
      <c r="AH253" s="250"/>
      <c r="AI253" s="250"/>
      <c r="AJ253" s="250"/>
      <c r="AK253" s="250"/>
      <c r="AL253" s="250"/>
      <c r="AM253" s="250"/>
      <c r="AN253" s="250"/>
    </row>
    <row r="254" ht="15.75" customHeight="1">
      <c r="A254" s="250"/>
      <c r="B254" s="251">
        <f>IFERROR(__xludf.DUMMYFUNCTION("""COMPUTED_VALUE"""),246.0)</f>
        <v>246</v>
      </c>
      <c r="C254" s="252"/>
      <c r="D254" s="253" t="str">
        <f>IFERROR(__xludf.DUMMYFUNCTION("""COMPUTED_VALUE"""),"")</f>
        <v/>
      </c>
      <c r="E254" s="254">
        <f>IFERROR(__xludf.DUMMYFUNCTION("""COMPUTED_VALUE"""),0.0)</f>
        <v>0</v>
      </c>
      <c r="F254" s="255"/>
      <c r="G254" s="256"/>
      <c r="H254" s="252">
        <f>IFERROR(__xludf.DUMMYFUNCTION("""COMPUTED_VALUE"""),0.0)</f>
        <v>0</v>
      </c>
      <c r="I254" s="258"/>
      <c r="J254" s="258"/>
      <c r="K254" s="257">
        <f>IFERROR(__xludf.DUMMYFUNCTION("""COMPUTED_VALUE"""),0.0)</f>
        <v>0</v>
      </c>
      <c r="L254" s="258">
        <f>IFERROR(__xludf.DUMMYFUNCTION("""COMPUTED_VALUE"""),0.0)</f>
        <v>0</v>
      </c>
      <c r="M254" s="258">
        <f>IFERROR(__xludf.DUMMYFUNCTION("""COMPUTED_VALUE"""),0.0)</f>
        <v>0</v>
      </c>
      <c r="N254" s="258">
        <f>IFERROR(__xludf.DUMMYFUNCTION("""COMPUTED_VALUE"""),0.0)</f>
        <v>0</v>
      </c>
      <c r="O254" s="258">
        <f>IFERROR(__xludf.DUMMYFUNCTION("""COMPUTED_VALUE"""),0.0)</f>
        <v>0</v>
      </c>
      <c r="P254" s="258">
        <f>IFERROR(__xludf.DUMMYFUNCTION("""COMPUTED_VALUE"""),0.0)</f>
        <v>0</v>
      </c>
      <c r="Q254" s="258">
        <f>IFERROR(__xludf.DUMMYFUNCTION("""COMPUTED_VALUE"""),0.0)</f>
        <v>0</v>
      </c>
      <c r="R254" s="259"/>
      <c r="S254" s="260"/>
      <c r="T254" s="261"/>
      <c r="U254" s="262"/>
      <c r="V254" s="250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  <c r="AH254" s="250"/>
      <c r="AI254" s="250"/>
      <c r="AJ254" s="250"/>
      <c r="AK254" s="250"/>
      <c r="AL254" s="250"/>
      <c r="AM254" s="250"/>
      <c r="AN254" s="250"/>
    </row>
    <row r="255" ht="15.75" customHeight="1">
      <c r="A255" s="250"/>
      <c r="B255" s="251">
        <f>IFERROR(__xludf.DUMMYFUNCTION("""COMPUTED_VALUE"""),247.0)</f>
        <v>247</v>
      </c>
      <c r="C255" s="252"/>
      <c r="D255" s="253" t="str">
        <f>IFERROR(__xludf.DUMMYFUNCTION("""COMPUTED_VALUE"""),"")</f>
        <v/>
      </c>
      <c r="E255" s="254">
        <f>IFERROR(__xludf.DUMMYFUNCTION("""COMPUTED_VALUE"""),0.0)</f>
        <v>0</v>
      </c>
      <c r="F255" s="255"/>
      <c r="G255" s="256"/>
      <c r="H255" s="252">
        <f>IFERROR(__xludf.DUMMYFUNCTION("""COMPUTED_VALUE"""),0.0)</f>
        <v>0</v>
      </c>
      <c r="I255" s="258"/>
      <c r="J255" s="258"/>
      <c r="K255" s="257">
        <f>IFERROR(__xludf.DUMMYFUNCTION("""COMPUTED_VALUE"""),0.0)</f>
        <v>0</v>
      </c>
      <c r="L255" s="258">
        <f>IFERROR(__xludf.DUMMYFUNCTION("""COMPUTED_VALUE"""),0.0)</f>
        <v>0</v>
      </c>
      <c r="M255" s="258">
        <f>IFERROR(__xludf.DUMMYFUNCTION("""COMPUTED_VALUE"""),0.0)</f>
        <v>0</v>
      </c>
      <c r="N255" s="258">
        <f>IFERROR(__xludf.DUMMYFUNCTION("""COMPUTED_VALUE"""),0.0)</f>
        <v>0</v>
      </c>
      <c r="O255" s="258">
        <f>IFERROR(__xludf.DUMMYFUNCTION("""COMPUTED_VALUE"""),0.0)</f>
        <v>0</v>
      </c>
      <c r="P255" s="258">
        <f>IFERROR(__xludf.DUMMYFUNCTION("""COMPUTED_VALUE"""),0.0)</f>
        <v>0</v>
      </c>
      <c r="Q255" s="258">
        <f>IFERROR(__xludf.DUMMYFUNCTION("""COMPUTED_VALUE"""),0.0)</f>
        <v>0</v>
      </c>
      <c r="R255" s="259"/>
      <c r="S255" s="260"/>
      <c r="T255" s="261"/>
      <c r="U255" s="262"/>
      <c r="V255" s="250"/>
      <c r="W255" s="250"/>
      <c r="X255" s="250"/>
      <c r="Y255" s="250"/>
      <c r="Z255" s="250"/>
      <c r="AA255" s="250"/>
      <c r="AB255" s="250"/>
      <c r="AC255" s="250"/>
      <c r="AD255" s="250"/>
      <c r="AE255" s="250"/>
      <c r="AF255" s="250"/>
      <c r="AG255" s="250"/>
      <c r="AH255" s="250"/>
      <c r="AI255" s="250"/>
      <c r="AJ255" s="250"/>
      <c r="AK255" s="250"/>
      <c r="AL255" s="250"/>
      <c r="AM255" s="250"/>
      <c r="AN255" s="250"/>
    </row>
    <row r="256" ht="15.75" customHeight="1">
      <c r="A256" s="250"/>
      <c r="B256" s="251">
        <f>IFERROR(__xludf.DUMMYFUNCTION("""COMPUTED_VALUE"""),248.0)</f>
        <v>248</v>
      </c>
      <c r="C256" s="252"/>
      <c r="D256" s="253" t="str">
        <f>IFERROR(__xludf.DUMMYFUNCTION("""COMPUTED_VALUE"""),"")</f>
        <v/>
      </c>
      <c r="E256" s="254">
        <f>IFERROR(__xludf.DUMMYFUNCTION("""COMPUTED_VALUE"""),0.0)</f>
        <v>0</v>
      </c>
      <c r="F256" s="255"/>
      <c r="G256" s="256"/>
      <c r="H256" s="252">
        <f>IFERROR(__xludf.DUMMYFUNCTION("""COMPUTED_VALUE"""),0.0)</f>
        <v>0</v>
      </c>
      <c r="I256" s="258"/>
      <c r="J256" s="258"/>
      <c r="K256" s="257">
        <f>IFERROR(__xludf.DUMMYFUNCTION("""COMPUTED_VALUE"""),0.0)</f>
        <v>0</v>
      </c>
      <c r="L256" s="258">
        <f>IFERROR(__xludf.DUMMYFUNCTION("""COMPUTED_VALUE"""),0.0)</f>
        <v>0</v>
      </c>
      <c r="M256" s="258">
        <f>IFERROR(__xludf.DUMMYFUNCTION("""COMPUTED_VALUE"""),0.0)</f>
        <v>0</v>
      </c>
      <c r="N256" s="258">
        <f>IFERROR(__xludf.DUMMYFUNCTION("""COMPUTED_VALUE"""),0.0)</f>
        <v>0</v>
      </c>
      <c r="O256" s="258">
        <f>IFERROR(__xludf.DUMMYFUNCTION("""COMPUTED_VALUE"""),0.0)</f>
        <v>0</v>
      </c>
      <c r="P256" s="258">
        <f>IFERROR(__xludf.DUMMYFUNCTION("""COMPUTED_VALUE"""),0.0)</f>
        <v>0</v>
      </c>
      <c r="Q256" s="258">
        <f>IFERROR(__xludf.DUMMYFUNCTION("""COMPUTED_VALUE"""),0.0)</f>
        <v>0</v>
      </c>
      <c r="R256" s="259"/>
      <c r="S256" s="260"/>
      <c r="T256" s="261"/>
      <c r="U256" s="262"/>
      <c r="V256" s="250"/>
      <c r="W256" s="250"/>
      <c r="X256" s="250"/>
      <c r="Y256" s="250"/>
      <c r="Z256" s="250"/>
      <c r="AA256" s="250"/>
      <c r="AB256" s="250"/>
      <c r="AC256" s="250"/>
      <c r="AD256" s="250"/>
      <c r="AE256" s="250"/>
      <c r="AF256" s="250"/>
      <c r="AG256" s="250"/>
      <c r="AH256" s="250"/>
      <c r="AI256" s="250"/>
      <c r="AJ256" s="250"/>
      <c r="AK256" s="250"/>
      <c r="AL256" s="250"/>
      <c r="AM256" s="250"/>
      <c r="AN256" s="250"/>
    </row>
    <row r="257" ht="15.75" customHeight="1">
      <c r="A257" s="250"/>
      <c r="B257" s="251">
        <f>IFERROR(__xludf.DUMMYFUNCTION("""COMPUTED_VALUE"""),249.0)</f>
        <v>249</v>
      </c>
      <c r="C257" s="252"/>
      <c r="D257" s="253" t="str">
        <f>IFERROR(__xludf.DUMMYFUNCTION("""COMPUTED_VALUE"""),"")</f>
        <v/>
      </c>
      <c r="E257" s="254">
        <f>IFERROR(__xludf.DUMMYFUNCTION("""COMPUTED_VALUE"""),0.0)</f>
        <v>0</v>
      </c>
      <c r="F257" s="255"/>
      <c r="G257" s="256"/>
      <c r="H257" s="252">
        <f>IFERROR(__xludf.DUMMYFUNCTION("""COMPUTED_VALUE"""),0.0)</f>
        <v>0</v>
      </c>
      <c r="I257" s="258"/>
      <c r="J257" s="258"/>
      <c r="K257" s="257">
        <f>IFERROR(__xludf.DUMMYFUNCTION("""COMPUTED_VALUE"""),0.0)</f>
        <v>0</v>
      </c>
      <c r="L257" s="258">
        <f>IFERROR(__xludf.DUMMYFUNCTION("""COMPUTED_VALUE"""),0.0)</f>
        <v>0</v>
      </c>
      <c r="M257" s="258">
        <f>IFERROR(__xludf.DUMMYFUNCTION("""COMPUTED_VALUE"""),0.0)</f>
        <v>0</v>
      </c>
      <c r="N257" s="258">
        <f>IFERROR(__xludf.DUMMYFUNCTION("""COMPUTED_VALUE"""),0.0)</f>
        <v>0</v>
      </c>
      <c r="O257" s="258">
        <f>IFERROR(__xludf.DUMMYFUNCTION("""COMPUTED_VALUE"""),0.0)</f>
        <v>0</v>
      </c>
      <c r="P257" s="258">
        <f>IFERROR(__xludf.DUMMYFUNCTION("""COMPUTED_VALUE"""),0.0)</f>
        <v>0</v>
      </c>
      <c r="Q257" s="258">
        <f>IFERROR(__xludf.DUMMYFUNCTION("""COMPUTED_VALUE"""),0.0)</f>
        <v>0</v>
      </c>
      <c r="R257" s="259"/>
      <c r="S257" s="260"/>
      <c r="T257" s="261"/>
      <c r="U257" s="262"/>
      <c r="V257" s="250"/>
      <c r="W257" s="250"/>
      <c r="X257" s="250"/>
      <c r="Y257" s="250"/>
      <c r="Z257" s="250"/>
      <c r="AA257" s="250"/>
      <c r="AB257" s="250"/>
      <c r="AC257" s="250"/>
      <c r="AD257" s="250"/>
      <c r="AE257" s="250"/>
      <c r="AF257" s="250"/>
      <c r="AG257" s="250"/>
      <c r="AH257" s="250"/>
      <c r="AI257" s="250"/>
      <c r="AJ257" s="250"/>
      <c r="AK257" s="250"/>
      <c r="AL257" s="250"/>
      <c r="AM257" s="250"/>
      <c r="AN257" s="250"/>
    </row>
    <row r="258" ht="15.75" customHeight="1">
      <c r="A258" s="250"/>
      <c r="B258" s="251">
        <f>IFERROR(__xludf.DUMMYFUNCTION("""COMPUTED_VALUE"""),250.0)</f>
        <v>250</v>
      </c>
      <c r="C258" s="252"/>
      <c r="D258" s="253" t="str">
        <f>IFERROR(__xludf.DUMMYFUNCTION("""COMPUTED_VALUE"""),"")</f>
        <v/>
      </c>
      <c r="E258" s="254">
        <f>IFERROR(__xludf.DUMMYFUNCTION("""COMPUTED_VALUE"""),0.0)</f>
        <v>0</v>
      </c>
      <c r="F258" s="255"/>
      <c r="G258" s="256"/>
      <c r="H258" s="252">
        <f>IFERROR(__xludf.DUMMYFUNCTION("""COMPUTED_VALUE"""),0.0)</f>
        <v>0</v>
      </c>
      <c r="I258" s="258"/>
      <c r="J258" s="258"/>
      <c r="K258" s="257">
        <f>IFERROR(__xludf.DUMMYFUNCTION("""COMPUTED_VALUE"""),0.0)</f>
        <v>0</v>
      </c>
      <c r="L258" s="258">
        <f>IFERROR(__xludf.DUMMYFUNCTION("""COMPUTED_VALUE"""),0.0)</f>
        <v>0</v>
      </c>
      <c r="M258" s="258">
        <f>IFERROR(__xludf.DUMMYFUNCTION("""COMPUTED_VALUE"""),0.0)</f>
        <v>0</v>
      </c>
      <c r="N258" s="258">
        <f>IFERROR(__xludf.DUMMYFUNCTION("""COMPUTED_VALUE"""),0.0)</f>
        <v>0</v>
      </c>
      <c r="O258" s="258">
        <f>IFERROR(__xludf.DUMMYFUNCTION("""COMPUTED_VALUE"""),0.0)</f>
        <v>0</v>
      </c>
      <c r="P258" s="258">
        <f>IFERROR(__xludf.DUMMYFUNCTION("""COMPUTED_VALUE"""),0.0)</f>
        <v>0</v>
      </c>
      <c r="Q258" s="258">
        <f>IFERROR(__xludf.DUMMYFUNCTION("""COMPUTED_VALUE"""),0.0)</f>
        <v>0</v>
      </c>
      <c r="R258" s="259"/>
      <c r="S258" s="260"/>
      <c r="T258" s="261"/>
      <c r="U258" s="262"/>
      <c r="V258" s="250"/>
      <c r="W258" s="250"/>
      <c r="X258" s="250"/>
      <c r="Y258" s="250"/>
      <c r="Z258" s="250"/>
      <c r="AA258" s="250"/>
      <c r="AB258" s="250"/>
      <c r="AC258" s="250"/>
      <c r="AD258" s="250"/>
      <c r="AE258" s="250"/>
      <c r="AF258" s="250"/>
      <c r="AG258" s="250"/>
      <c r="AH258" s="250"/>
      <c r="AI258" s="250"/>
      <c r="AJ258" s="250"/>
      <c r="AK258" s="250"/>
      <c r="AL258" s="250"/>
      <c r="AM258" s="250"/>
      <c r="AN258" s="250"/>
    </row>
    <row r="259" ht="15.75" customHeight="1">
      <c r="A259" s="250"/>
      <c r="B259" s="251">
        <f>IFERROR(__xludf.DUMMYFUNCTION("""COMPUTED_VALUE"""),251.0)</f>
        <v>251</v>
      </c>
      <c r="C259" s="252"/>
      <c r="D259" s="253" t="str">
        <f>IFERROR(__xludf.DUMMYFUNCTION("""COMPUTED_VALUE"""),"")</f>
        <v/>
      </c>
      <c r="E259" s="254">
        <f>IFERROR(__xludf.DUMMYFUNCTION("""COMPUTED_VALUE"""),0.0)</f>
        <v>0</v>
      </c>
      <c r="F259" s="255"/>
      <c r="G259" s="256"/>
      <c r="H259" s="252">
        <f>IFERROR(__xludf.DUMMYFUNCTION("""COMPUTED_VALUE"""),0.0)</f>
        <v>0</v>
      </c>
      <c r="I259" s="258"/>
      <c r="J259" s="258"/>
      <c r="K259" s="257">
        <f>IFERROR(__xludf.DUMMYFUNCTION("""COMPUTED_VALUE"""),0.0)</f>
        <v>0</v>
      </c>
      <c r="L259" s="258">
        <f>IFERROR(__xludf.DUMMYFUNCTION("""COMPUTED_VALUE"""),0.0)</f>
        <v>0</v>
      </c>
      <c r="M259" s="258">
        <f>IFERROR(__xludf.DUMMYFUNCTION("""COMPUTED_VALUE"""),0.0)</f>
        <v>0</v>
      </c>
      <c r="N259" s="258">
        <f>IFERROR(__xludf.DUMMYFUNCTION("""COMPUTED_VALUE"""),0.0)</f>
        <v>0</v>
      </c>
      <c r="O259" s="258">
        <f>IFERROR(__xludf.DUMMYFUNCTION("""COMPUTED_VALUE"""),0.0)</f>
        <v>0</v>
      </c>
      <c r="P259" s="258">
        <f>IFERROR(__xludf.DUMMYFUNCTION("""COMPUTED_VALUE"""),0.0)</f>
        <v>0</v>
      </c>
      <c r="Q259" s="258">
        <f>IFERROR(__xludf.DUMMYFUNCTION("""COMPUTED_VALUE"""),0.0)</f>
        <v>0</v>
      </c>
      <c r="R259" s="259"/>
      <c r="S259" s="260"/>
      <c r="T259" s="261"/>
      <c r="U259" s="262"/>
      <c r="V259" s="250"/>
      <c r="W259" s="250"/>
      <c r="X259" s="250"/>
      <c r="Y259" s="250"/>
      <c r="Z259" s="250"/>
      <c r="AA259" s="250"/>
      <c r="AB259" s="250"/>
      <c r="AC259" s="250"/>
      <c r="AD259" s="250"/>
      <c r="AE259" s="250"/>
      <c r="AF259" s="250"/>
      <c r="AG259" s="250"/>
      <c r="AH259" s="250"/>
      <c r="AI259" s="250"/>
      <c r="AJ259" s="250"/>
      <c r="AK259" s="250"/>
      <c r="AL259" s="250"/>
      <c r="AM259" s="250"/>
      <c r="AN259" s="250"/>
    </row>
    <row r="260" ht="15.75" customHeight="1">
      <c r="A260" s="250"/>
      <c r="B260" s="251">
        <f>IFERROR(__xludf.DUMMYFUNCTION("""COMPUTED_VALUE"""),252.0)</f>
        <v>252</v>
      </c>
      <c r="C260" s="252"/>
      <c r="D260" s="253" t="str">
        <f>IFERROR(__xludf.DUMMYFUNCTION("""COMPUTED_VALUE"""),"")</f>
        <v/>
      </c>
      <c r="E260" s="254">
        <f>IFERROR(__xludf.DUMMYFUNCTION("""COMPUTED_VALUE"""),0.0)</f>
        <v>0</v>
      </c>
      <c r="F260" s="255"/>
      <c r="G260" s="256"/>
      <c r="H260" s="252">
        <f>IFERROR(__xludf.DUMMYFUNCTION("""COMPUTED_VALUE"""),0.0)</f>
        <v>0</v>
      </c>
      <c r="I260" s="258"/>
      <c r="J260" s="258"/>
      <c r="K260" s="257">
        <f>IFERROR(__xludf.DUMMYFUNCTION("""COMPUTED_VALUE"""),0.0)</f>
        <v>0</v>
      </c>
      <c r="L260" s="258">
        <f>IFERROR(__xludf.DUMMYFUNCTION("""COMPUTED_VALUE"""),0.0)</f>
        <v>0</v>
      </c>
      <c r="M260" s="258">
        <f>IFERROR(__xludf.DUMMYFUNCTION("""COMPUTED_VALUE"""),0.0)</f>
        <v>0</v>
      </c>
      <c r="N260" s="258">
        <f>IFERROR(__xludf.DUMMYFUNCTION("""COMPUTED_VALUE"""),0.0)</f>
        <v>0</v>
      </c>
      <c r="O260" s="258">
        <f>IFERROR(__xludf.DUMMYFUNCTION("""COMPUTED_VALUE"""),0.0)</f>
        <v>0</v>
      </c>
      <c r="P260" s="258">
        <f>IFERROR(__xludf.DUMMYFUNCTION("""COMPUTED_VALUE"""),0.0)</f>
        <v>0</v>
      </c>
      <c r="Q260" s="258">
        <f>IFERROR(__xludf.DUMMYFUNCTION("""COMPUTED_VALUE"""),0.0)</f>
        <v>0</v>
      </c>
      <c r="R260" s="259"/>
      <c r="S260" s="260"/>
      <c r="T260" s="261"/>
      <c r="U260" s="262"/>
      <c r="V260" s="250"/>
      <c r="W260" s="250"/>
      <c r="X260" s="250"/>
      <c r="Y260" s="250"/>
      <c r="Z260" s="250"/>
      <c r="AA260" s="250"/>
      <c r="AB260" s="250"/>
      <c r="AC260" s="250"/>
      <c r="AD260" s="250"/>
      <c r="AE260" s="250"/>
      <c r="AF260" s="250"/>
      <c r="AG260" s="250"/>
      <c r="AH260" s="250"/>
      <c r="AI260" s="250"/>
      <c r="AJ260" s="250"/>
      <c r="AK260" s="250"/>
      <c r="AL260" s="250"/>
      <c r="AM260" s="250"/>
      <c r="AN260" s="250"/>
    </row>
    <row r="261" ht="15.75" customHeight="1">
      <c r="A261" s="250"/>
      <c r="B261" s="251">
        <f>IFERROR(__xludf.DUMMYFUNCTION("""COMPUTED_VALUE"""),253.0)</f>
        <v>253</v>
      </c>
      <c r="C261" s="252"/>
      <c r="D261" s="253" t="str">
        <f>IFERROR(__xludf.DUMMYFUNCTION("""COMPUTED_VALUE"""),"")</f>
        <v/>
      </c>
      <c r="E261" s="254">
        <f>IFERROR(__xludf.DUMMYFUNCTION("""COMPUTED_VALUE"""),0.0)</f>
        <v>0</v>
      </c>
      <c r="F261" s="255"/>
      <c r="G261" s="256"/>
      <c r="H261" s="252">
        <f>IFERROR(__xludf.DUMMYFUNCTION("""COMPUTED_VALUE"""),0.0)</f>
        <v>0</v>
      </c>
      <c r="I261" s="258"/>
      <c r="J261" s="258"/>
      <c r="K261" s="257">
        <f>IFERROR(__xludf.DUMMYFUNCTION("""COMPUTED_VALUE"""),0.0)</f>
        <v>0</v>
      </c>
      <c r="L261" s="258">
        <f>IFERROR(__xludf.DUMMYFUNCTION("""COMPUTED_VALUE"""),0.0)</f>
        <v>0</v>
      </c>
      <c r="M261" s="258">
        <f>IFERROR(__xludf.DUMMYFUNCTION("""COMPUTED_VALUE"""),0.0)</f>
        <v>0</v>
      </c>
      <c r="N261" s="258">
        <f>IFERROR(__xludf.DUMMYFUNCTION("""COMPUTED_VALUE"""),0.0)</f>
        <v>0</v>
      </c>
      <c r="O261" s="258">
        <f>IFERROR(__xludf.DUMMYFUNCTION("""COMPUTED_VALUE"""),0.0)</f>
        <v>0</v>
      </c>
      <c r="P261" s="258">
        <f>IFERROR(__xludf.DUMMYFUNCTION("""COMPUTED_VALUE"""),0.0)</f>
        <v>0</v>
      </c>
      <c r="Q261" s="258">
        <f>IFERROR(__xludf.DUMMYFUNCTION("""COMPUTED_VALUE"""),0.0)</f>
        <v>0</v>
      </c>
      <c r="R261" s="259"/>
      <c r="S261" s="260"/>
      <c r="T261" s="261"/>
      <c r="U261" s="262"/>
      <c r="V261" s="250"/>
      <c r="W261" s="250"/>
      <c r="X261" s="250"/>
      <c r="Y261" s="250"/>
      <c r="Z261" s="250"/>
      <c r="AA261" s="250"/>
      <c r="AB261" s="250"/>
      <c r="AC261" s="250"/>
      <c r="AD261" s="250"/>
      <c r="AE261" s="250"/>
      <c r="AF261" s="250"/>
      <c r="AG261" s="250"/>
      <c r="AH261" s="250"/>
      <c r="AI261" s="250"/>
      <c r="AJ261" s="250"/>
      <c r="AK261" s="250"/>
      <c r="AL261" s="250"/>
      <c r="AM261" s="250"/>
      <c r="AN261" s="250"/>
    </row>
    <row r="262" ht="15.75" customHeight="1">
      <c r="A262" s="250"/>
      <c r="B262" s="251">
        <f>IFERROR(__xludf.DUMMYFUNCTION("""COMPUTED_VALUE"""),254.0)</f>
        <v>254</v>
      </c>
      <c r="C262" s="252"/>
      <c r="D262" s="253" t="str">
        <f>IFERROR(__xludf.DUMMYFUNCTION("""COMPUTED_VALUE"""),"")</f>
        <v/>
      </c>
      <c r="E262" s="254">
        <f>IFERROR(__xludf.DUMMYFUNCTION("""COMPUTED_VALUE"""),0.0)</f>
        <v>0</v>
      </c>
      <c r="F262" s="255"/>
      <c r="G262" s="256"/>
      <c r="H262" s="252">
        <f>IFERROR(__xludf.DUMMYFUNCTION("""COMPUTED_VALUE"""),0.0)</f>
        <v>0</v>
      </c>
      <c r="I262" s="258"/>
      <c r="J262" s="258"/>
      <c r="K262" s="257">
        <f>IFERROR(__xludf.DUMMYFUNCTION("""COMPUTED_VALUE"""),0.0)</f>
        <v>0</v>
      </c>
      <c r="L262" s="258">
        <f>IFERROR(__xludf.DUMMYFUNCTION("""COMPUTED_VALUE"""),0.0)</f>
        <v>0</v>
      </c>
      <c r="M262" s="258">
        <f>IFERROR(__xludf.DUMMYFUNCTION("""COMPUTED_VALUE"""),0.0)</f>
        <v>0</v>
      </c>
      <c r="N262" s="258">
        <f>IFERROR(__xludf.DUMMYFUNCTION("""COMPUTED_VALUE"""),0.0)</f>
        <v>0</v>
      </c>
      <c r="O262" s="258">
        <f>IFERROR(__xludf.DUMMYFUNCTION("""COMPUTED_VALUE"""),0.0)</f>
        <v>0</v>
      </c>
      <c r="P262" s="258">
        <f>IFERROR(__xludf.DUMMYFUNCTION("""COMPUTED_VALUE"""),0.0)</f>
        <v>0</v>
      </c>
      <c r="Q262" s="258">
        <f>IFERROR(__xludf.DUMMYFUNCTION("""COMPUTED_VALUE"""),0.0)</f>
        <v>0</v>
      </c>
      <c r="R262" s="259"/>
      <c r="S262" s="260"/>
      <c r="T262" s="261"/>
      <c r="U262" s="262"/>
      <c r="V262" s="250"/>
      <c r="W262" s="250"/>
      <c r="X262" s="250"/>
      <c r="Y262" s="250"/>
      <c r="Z262" s="250"/>
      <c r="AA262" s="250"/>
      <c r="AB262" s="250"/>
      <c r="AC262" s="250"/>
      <c r="AD262" s="250"/>
      <c r="AE262" s="250"/>
      <c r="AF262" s="250"/>
      <c r="AG262" s="250"/>
      <c r="AH262" s="250"/>
      <c r="AI262" s="250"/>
      <c r="AJ262" s="250"/>
      <c r="AK262" s="250"/>
      <c r="AL262" s="250"/>
      <c r="AM262" s="250"/>
      <c r="AN262" s="250"/>
    </row>
    <row r="263" ht="15.75" customHeight="1">
      <c r="A263" s="250"/>
      <c r="B263" s="251">
        <f>IFERROR(__xludf.DUMMYFUNCTION("""COMPUTED_VALUE"""),255.0)</f>
        <v>255</v>
      </c>
      <c r="C263" s="252"/>
      <c r="D263" s="253" t="str">
        <f>IFERROR(__xludf.DUMMYFUNCTION("""COMPUTED_VALUE"""),"")</f>
        <v/>
      </c>
      <c r="E263" s="254">
        <f>IFERROR(__xludf.DUMMYFUNCTION("""COMPUTED_VALUE"""),0.0)</f>
        <v>0</v>
      </c>
      <c r="F263" s="255"/>
      <c r="G263" s="256"/>
      <c r="H263" s="252">
        <f>IFERROR(__xludf.DUMMYFUNCTION("""COMPUTED_VALUE"""),0.0)</f>
        <v>0</v>
      </c>
      <c r="I263" s="258"/>
      <c r="J263" s="258"/>
      <c r="K263" s="257">
        <f>IFERROR(__xludf.DUMMYFUNCTION("""COMPUTED_VALUE"""),0.0)</f>
        <v>0</v>
      </c>
      <c r="L263" s="258">
        <f>IFERROR(__xludf.DUMMYFUNCTION("""COMPUTED_VALUE"""),0.0)</f>
        <v>0</v>
      </c>
      <c r="M263" s="258">
        <f>IFERROR(__xludf.DUMMYFUNCTION("""COMPUTED_VALUE"""),0.0)</f>
        <v>0</v>
      </c>
      <c r="N263" s="258">
        <f>IFERROR(__xludf.DUMMYFUNCTION("""COMPUTED_VALUE"""),0.0)</f>
        <v>0</v>
      </c>
      <c r="O263" s="258">
        <f>IFERROR(__xludf.DUMMYFUNCTION("""COMPUTED_VALUE"""),0.0)</f>
        <v>0</v>
      </c>
      <c r="P263" s="258">
        <f>IFERROR(__xludf.DUMMYFUNCTION("""COMPUTED_VALUE"""),0.0)</f>
        <v>0</v>
      </c>
      <c r="Q263" s="258">
        <f>IFERROR(__xludf.DUMMYFUNCTION("""COMPUTED_VALUE"""),0.0)</f>
        <v>0</v>
      </c>
      <c r="R263" s="259"/>
      <c r="S263" s="260"/>
      <c r="T263" s="261"/>
      <c r="U263" s="262"/>
      <c r="V263" s="250"/>
      <c r="W263" s="250"/>
      <c r="X263" s="250"/>
      <c r="Y263" s="250"/>
      <c r="Z263" s="250"/>
      <c r="AA263" s="250"/>
      <c r="AB263" s="250"/>
      <c r="AC263" s="250"/>
      <c r="AD263" s="250"/>
      <c r="AE263" s="250"/>
      <c r="AF263" s="250"/>
      <c r="AG263" s="250"/>
      <c r="AH263" s="250"/>
      <c r="AI263" s="250"/>
      <c r="AJ263" s="250"/>
      <c r="AK263" s="250"/>
      <c r="AL263" s="250"/>
      <c r="AM263" s="250"/>
      <c r="AN263" s="250"/>
    </row>
    <row r="264" ht="15.75" customHeight="1">
      <c r="A264" s="250"/>
      <c r="B264" s="251">
        <f>IFERROR(__xludf.DUMMYFUNCTION("""COMPUTED_VALUE"""),256.0)</f>
        <v>256</v>
      </c>
      <c r="C264" s="252"/>
      <c r="D264" s="253" t="str">
        <f>IFERROR(__xludf.DUMMYFUNCTION("""COMPUTED_VALUE"""),"")</f>
        <v/>
      </c>
      <c r="E264" s="254">
        <f>IFERROR(__xludf.DUMMYFUNCTION("""COMPUTED_VALUE"""),0.0)</f>
        <v>0</v>
      </c>
      <c r="F264" s="255"/>
      <c r="G264" s="256"/>
      <c r="H264" s="252">
        <f>IFERROR(__xludf.DUMMYFUNCTION("""COMPUTED_VALUE"""),0.0)</f>
        <v>0</v>
      </c>
      <c r="I264" s="258"/>
      <c r="J264" s="258"/>
      <c r="K264" s="257">
        <f>IFERROR(__xludf.DUMMYFUNCTION("""COMPUTED_VALUE"""),0.0)</f>
        <v>0</v>
      </c>
      <c r="L264" s="258">
        <f>IFERROR(__xludf.DUMMYFUNCTION("""COMPUTED_VALUE"""),0.0)</f>
        <v>0</v>
      </c>
      <c r="M264" s="258">
        <f>IFERROR(__xludf.DUMMYFUNCTION("""COMPUTED_VALUE"""),0.0)</f>
        <v>0</v>
      </c>
      <c r="N264" s="258">
        <f>IFERROR(__xludf.DUMMYFUNCTION("""COMPUTED_VALUE"""),0.0)</f>
        <v>0</v>
      </c>
      <c r="O264" s="258">
        <f>IFERROR(__xludf.DUMMYFUNCTION("""COMPUTED_VALUE"""),0.0)</f>
        <v>0</v>
      </c>
      <c r="P264" s="258">
        <f>IFERROR(__xludf.DUMMYFUNCTION("""COMPUTED_VALUE"""),0.0)</f>
        <v>0</v>
      </c>
      <c r="Q264" s="258">
        <f>IFERROR(__xludf.DUMMYFUNCTION("""COMPUTED_VALUE"""),0.0)</f>
        <v>0</v>
      </c>
      <c r="R264" s="259"/>
      <c r="S264" s="260"/>
      <c r="T264" s="261"/>
      <c r="U264" s="262"/>
      <c r="V264" s="250"/>
      <c r="W264" s="250"/>
      <c r="X264" s="250"/>
      <c r="Y264" s="250"/>
      <c r="Z264" s="250"/>
      <c r="AA264" s="250"/>
      <c r="AB264" s="250"/>
      <c r="AC264" s="250"/>
      <c r="AD264" s="250"/>
      <c r="AE264" s="250"/>
      <c r="AF264" s="250"/>
      <c r="AG264" s="250"/>
      <c r="AH264" s="250"/>
      <c r="AI264" s="250"/>
      <c r="AJ264" s="250"/>
      <c r="AK264" s="250"/>
      <c r="AL264" s="250"/>
      <c r="AM264" s="250"/>
      <c r="AN264" s="250"/>
    </row>
    <row r="265" ht="15.75" customHeight="1">
      <c r="A265" s="250"/>
      <c r="B265" s="251">
        <f>IFERROR(__xludf.DUMMYFUNCTION("""COMPUTED_VALUE"""),257.0)</f>
        <v>257</v>
      </c>
      <c r="C265" s="252"/>
      <c r="D265" s="253" t="str">
        <f>IFERROR(__xludf.DUMMYFUNCTION("""COMPUTED_VALUE"""),"")</f>
        <v/>
      </c>
      <c r="E265" s="254">
        <f>IFERROR(__xludf.DUMMYFUNCTION("""COMPUTED_VALUE"""),0.0)</f>
        <v>0</v>
      </c>
      <c r="F265" s="255"/>
      <c r="G265" s="256"/>
      <c r="H265" s="252">
        <f>IFERROR(__xludf.DUMMYFUNCTION("""COMPUTED_VALUE"""),0.0)</f>
        <v>0</v>
      </c>
      <c r="I265" s="258"/>
      <c r="J265" s="258"/>
      <c r="K265" s="257">
        <f>IFERROR(__xludf.DUMMYFUNCTION("""COMPUTED_VALUE"""),0.0)</f>
        <v>0</v>
      </c>
      <c r="L265" s="258">
        <f>IFERROR(__xludf.DUMMYFUNCTION("""COMPUTED_VALUE"""),0.0)</f>
        <v>0</v>
      </c>
      <c r="M265" s="258">
        <f>IFERROR(__xludf.DUMMYFUNCTION("""COMPUTED_VALUE"""),0.0)</f>
        <v>0</v>
      </c>
      <c r="N265" s="258">
        <f>IFERROR(__xludf.DUMMYFUNCTION("""COMPUTED_VALUE"""),0.0)</f>
        <v>0</v>
      </c>
      <c r="O265" s="258">
        <f>IFERROR(__xludf.DUMMYFUNCTION("""COMPUTED_VALUE"""),0.0)</f>
        <v>0</v>
      </c>
      <c r="P265" s="258">
        <f>IFERROR(__xludf.DUMMYFUNCTION("""COMPUTED_VALUE"""),0.0)</f>
        <v>0</v>
      </c>
      <c r="Q265" s="258">
        <f>IFERROR(__xludf.DUMMYFUNCTION("""COMPUTED_VALUE"""),0.0)</f>
        <v>0</v>
      </c>
      <c r="R265" s="259"/>
      <c r="S265" s="260"/>
      <c r="T265" s="261"/>
      <c r="U265" s="262"/>
      <c r="V265" s="250"/>
      <c r="W265" s="250"/>
      <c r="X265" s="250"/>
      <c r="Y265" s="250"/>
      <c r="Z265" s="250"/>
      <c r="AA265" s="250"/>
      <c r="AB265" s="250"/>
      <c r="AC265" s="250"/>
      <c r="AD265" s="250"/>
      <c r="AE265" s="250"/>
      <c r="AF265" s="250"/>
      <c r="AG265" s="250"/>
      <c r="AH265" s="250"/>
      <c r="AI265" s="250"/>
      <c r="AJ265" s="250"/>
      <c r="AK265" s="250"/>
      <c r="AL265" s="250"/>
      <c r="AM265" s="250"/>
      <c r="AN265" s="250"/>
    </row>
    <row r="266" ht="15.75" customHeight="1">
      <c r="A266" s="250"/>
      <c r="B266" s="251">
        <f>IFERROR(__xludf.DUMMYFUNCTION("""COMPUTED_VALUE"""),258.0)</f>
        <v>258</v>
      </c>
      <c r="C266" s="252"/>
      <c r="D266" s="253" t="str">
        <f>IFERROR(__xludf.DUMMYFUNCTION("""COMPUTED_VALUE"""),"")</f>
        <v/>
      </c>
      <c r="E266" s="254">
        <f>IFERROR(__xludf.DUMMYFUNCTION("""COMPUTED_VALUE"""),0.0)</f>
        <v>0</v>
      </c>
      <c r="F266" s="255"/>
      <c r="G266" s="256"/>
      <c r="H266" s="252">
        <f>IFERROR(__xludf.DUMMYFUNCTION("""COMPUTED_VALUE"""),0.0)</f>
        <v>0</v>
      </c>
      <c r="I266" s="258"/>
      <c r="J266" s="258"/>
      <c r="K266" s="257">
        <f>IFERROR(__xludf.DUMMYFUNCTION("""COMPUTED_VALUE"""),0.0)</f>
        <v>0</v>
      </c>
      <c r="L266" s="258">
        <f>IFERROR(__xludf.DUMMYFUNCTION("""COMPUTED_VALUE"""),0.0)</f>
        <v>0</v>
      </c>
      <c r="M266" s="258">
        <f>IFERROR(__xludf.DUMMYFUNCTION("""COMPUTED_VALUE"""),0.0)</f>
        <v>0</v>
      </c>
      <c r="N266" s="258">
        <f>IFERROR(__xludf.DUMMYFUNCTION("""COMPUTED_VALUE"""),0.0)</f>
        <v>0</v>
      </c>
      <c r="O266" s="258">
        <f>IFERROR(__xludf.DUMMYFUNCTION("""COMPUTED_VALUE"""),0.0)</f>
        <v>0</v>
      </c>
      <c r="P266" s="258">
        <f>IFERROR(__xludf.DUMMYFUNCTION("""COMPUTED_VALUE"""),0.0)</f>
        <v>0</v>
      </c>
      <c r="Q266" s="258">
        <f>IFERROR(__xludf.DUMMYFUNCTION("""COMPUTED_VALUE"""),0.0)</f>
        <v>0</v>
      </c>
      <c r="R266" s="259"/>
      <c r="S266" s="260"/>
      <c r="T266" s="261"/>
      <c r="U266" s="262"/>
      <c r="V266" s="250"/>
      <c r="W266" s="250"/>
      <c r="X266" s="250"/>
      <c r="Y266" s="250"/>
      <c r="Z266" s="250"/>
      <c r="AA266" s="250"/>
      <c r="AB266" s="250"/>
      <c r="AC266" s="250"/>
      <c r="AD266" s="250"/>
      <c r="AE266" s="250"/>
      <c r="AF266" s="250"/>
      <c r="AG266" s="250"/>
      <c r="AH266" s="250"/>
      <c r="AI266" s="250"/>
      <c r="AJ266" s="250"/>
      <c r="AK266" s="250"/>
      <c r="AL266" s="250"/>
      <c r="AM266" s="250"/>
      <c r="AN266" s="250"/>
    </row>
    <row r="267" ht="15.75" customHeight="1">
      <c r="A267" s="250"/>
      <c r="B267" s="251">
        <f>IFERROR(__xludf.DUMMYFUNCTION("""COMPUTED_VALUE"""),259.0)</f>
        <v>259</v>
      </c>
      <c r="C267" s="252"/>
      <c r="D267" s="253" t="str">
        <f>IFERROR(__xludf.DUMMYFUNCTION("""COMPUTED_VALUE"""),"")</f>
        <v/>
      </c>
      <c r="E267" s="254">
        <f>IFERROR(__xludf.DUMMYFUNCTION("""COMPUTED_VALUE"""),0.0)</f>
        <v>0</v>
      </c>
      <c r="F267" s="255"/>
      <c r="G267" s="256"/>
      <c r="H267" s="252">
        <f>IFERROR(__xludf.DUMMYFUNCTION("""COMPUTED_VALUE"""),0.0)</f>
        <v>0</v>
      </c>
      <c r="I267" s="258"/>
      <c r="J267" s="258"/>
      <c r="K267" s="257">
        <f>IFERROR(__xludf.DUMMYFUNCTION("""COMPUTED_VALUE"""),0.0)</f>
        <v>0</v>
      </c>
      <c r="L267" s="258">
        <f>IFERROR(__xludf.DUMMYFUNCTION("""COMPUTED_VALUE"""),0.0)</f>
        <v>0</v>
      </c>
      <c r="M267" s="258">
        <f>IFERROR(__xludf.DUMMYFUNCTION("""COMPUTED_VALUE"""),0.0)</f>
        <v>0</v>
      </c>
      <c r="N267" s="258">
        <f>IFERROR(__xludf.DUMMYFUNCTION("""COMPUTED_VALUE"""),0.0)</f>
        <v>0</v>
      </c>
      <c r="O267" s="258">
        <f>IFERROR(__xludf.DUMMYFUNCTION("""COMPUTED_VALUE"""),0.0)</f>
        <v>0</v>
      </c>
      <c r="P267" s="258">
        <f>IFERROR(__xludf.DUMMYFUNCTION("""COMPUTED_VALUE"""),0.0)</f>
        <v>0</v>
      </c>
      <c r="Q267" s="258">
        <f>IFERROR(__xludf.DUMMYFUNCTION("""COMPUTED_VALUE"""),0.0)</f>
        <v>0</v>
      </c>
      <c r="R267" s="259"/>
      <c r="S267" s="260"/>
      <c r="T267" s="261"/>
      <c r="U267" s="262"/>
      <c r="V267" s="250"/>
      <c r="W267" s="250"/>
      <c r="X267" s="250"/>
      <c r="Y267" s="250"/>
      <c r="Z267" s="250"/>
      <c r="AA267" s="250"/>
      <c r="AB267" s="250"/>
      <c r="AC267" s="250"/>
      <c r="AD267" s="250"/>
      <c r="AE267" s="250"/>
      <c r="AF267" s="250"/>
      <c r="AG267" s="250"/>
      <c r="AH267" s="250"/>
      <c r="AI267" s="250"/>
      <c r="AJ267" s="250"/>
      <c r="AK267" s="250"/>
      <c r="AL267" s="250"/>
      <c r="AM267" s="250"/>
      <c r="AN267" s="250"/>
    </row>
    <row r="268" ht="15.75" customHeight="1">
      <c r="A268" s="250"/>
      <c r="B268" s="251">
        <f>IFERROR(__xludf.DUMMYFUNCTION("""COMPUTED_VALUE"""),260.0)</f>
        <v>260</v>
      </c>
      <c r="C268" s="252"/>
      <c r="D268" s="253" t="str">
        <f>IFERROR(__xludf.DUMMYFUNCTION("""COMPUTED_VALUE"""),"")</f>
        <v/>
      </c>
      <c r="E268" s="254">
        <f>IFERROR(__xludf.DUMMYFUNCTION("""COMPUTED_VALUE"""),0.0)</f>
        <v>0</v>
      </c>
      <c r="F268" s="255"/>
      <c r="G268" s="256"/>
      <c r="H268" s="252">
        <f>IFERROR(__xludf.DUMMYFUNCTION("""COMPUTED_VALUE"""),0.0)</f>
        <v>0</v>
      </c>
      <c r="I268" s="258"/>
      <c r="J268" s="258"/>
      <c r="K268" s="257">
        <f>IFERROR(__xludf.DUMMYFUNCTION("""COMPUTED_VALUE"""),0.0)</f>
        <v>0</v>
      </c>
      <c r="L268" s="258">
        <f>IFERROR(__xludf.DUMMYFUNCTION("""COMPUTED_VALUE"""),0.0)</f>
        <v>0</v>
      </c>
      <c r="M268" s="258">
        <f>IFERROR(__xludf.DUMMYFUNCTION("""COMPUTED_VALUE"""),0.0)</f>
        <v>0</v>
      </c>
      <c r="N268" s="258">
        <f>IFERROR(__xludf.DUMMYFUNCTION("""COMPUTED_VALUE"""),0.0)</f>
        <v>0</v>
      </c>
      <c r="O268" s="258">
        <f>IFERROR(__xludf.DUMMYFUNCTION("""COMPUTED_VALUE"""),0.0)</f>
        <v>0</v>
      </c>
      <c r="P268" s="258">
        <f>IFERROR(__xludf.DUMMYFUNCTION("""COMPUTED_VALUE"""),0.0)</f>
        <v>0</v>
      </c>
      <c r="Q268" s="258">
        <f>IFERROR(__xludf.DUMMYFUNCTION("""COMPUTED_VALUE"""),0.0)</f>
        <v>0</v>
      </c>
      <c r="R268" s="259"/>
      <c r="S268" s="260"/>
      <c r="T268" s="261"/>
      <c r="U268" s="262"/>
      <c r="V268" s="250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  <c r="AH268" s="250"/>
      <c r="AI268" s="250"/>
      <c r="AJ268" s="250"/>
      <c r="AK268" s="250"/>
      <c r="AL268" s="250"/>
      <c r="AM268" s="250"/>
      <c r="AN268" s="250"/>
    </row>
    <row r="269" ht="15.75" customHeight="1">
      <c r="A269" s="250"/>
      <c r="B269" s="251">
        <f>IFERROR(__xludf.DUMMYFUNCTION("""COMPUTED_VALUE"""),261.0)</f>
        <v>261</v>
      </c>
      <c r="C269" s="252"/>
      <c r="D269" s="253" t="str">
        <f>IFERROR(__xludf.DUMMYFUNCTION("""COMPUTED_VALUE"""),"")</f>
        <v/>
      </c>
      <c r="E269" s="254">
        <f>IFERROR(__xludf.DUMMYFUNCTION("""COMPUTED_VALUE"""),0.0)</f>
        <v>0</v>
      </c>
      <c r="F269" s="255"/>
      <c r="G269" s="256"/>
      <c r="H269" s="252">
        <f>IFERROR(__xludf.DUMMYFUNCTION("""COMPUTED_VALUE"""),0.0)</f>
        <v>0</v>
      </c>
      <c r="I269" s="258"/>
      <c r="J269" s="258"/>
      <c r="K269" s="257">
        <f>IFERROR(__xludf.DUMMYFUNCTION("""COMPUTED_VALUE"""),0.0)</f>
        <v>0</v>
      </c>
      <c r="L269" s="258">
        <f>IFERROR(__xludf.DUMMYFUNCTION("""COMPUTED_VALUE"""),0.0)</f>
        <v>0</v>
      </c>
      <c r="M269" s="258">
        <f>IFERROR(__xludf.DUMMYFUNCTION("""COMPUTED_VALUE"""),0.0)</f>
        <v>0</v>
      </c>
      <c r="N269" s="258">
        <f>IFERROR(__xludf.DUMMYFUNCTION("""COMPUTED_VALUE"""),0.0)</f>
        <v>0</v>
      </c>
      <c r="O269" s="258">
        <f>IFERROR(__xludf.DUMMYFUNCTION("""COMPUTED_VALUE"""),0.0)</f>
        <v>0</v>
      </c>
      <c r="P269" s="258">
        <f>IFERROR(__xludf.DUMMYFUNCTION("""COMPUTED_VALUE"""),0.0)</f>
        <v>0</v>
      </c>
      <c r="Q269" s="258">
        <f>IFERROR(__xludf.DUMMYFUNCTION("""COMPUTED_VALUE"""),0.0)</f>
        <v>0</v>
      </c>
      <c r="R269" s="259"/>
      <c r="S269" s="260"/>
      <c r="T269" s="261"/>
      <c r="U269" s="262"/>
      <c r="V269" s="250"/>
      <c r="W269" s="250"/>
      <c r="X269" s="250"/>
      <c r="Y269" s="250"/>
      <c r="Z269" s="250"/>
      <c r="AA269" s="250"/>
      <c r="AB269" s="250"/>
      <c r="AC269" s="250"/>
      <c r="AD269" s="250"/>
      <c r="AE269" s="250"/>
      <c r="AF269" s="250"/>
      <c r="AG269" s="250"/>
      <c r="AH269" s="250"/>
      <c r="AI269" s="250"/>
      <c r="AJ269" s="250"/>
      <c r="AK269" s="250"/>
      <c r="AL269" s="250"/>
      <c r="AM269" s="250"/>
      <c r="AN269" s="250"/>
    </row>
    <row r="270" ht="15.75" customHeight="1">
      <c r="A270" s="250"/>
      <c r="B270" s="251">
        <f>IFERROR(__xludf.DUMMYFUNCTION("""COMPUTED_VALUE"""),262.0)</f>
        <v>262</v>
      </c>
      <c r="C270" s="252"/>
      <c r="D270" s="253" t="str">
        <f>IFERROR(__xludf.DUMMYFUNCTION("""COMPUTED_VALUE"""),"")</f>
        <v/>
      </c>
      <c r="E270" s="254">
        <f>IFERROR(__xludf.DUMMYFUNCTION("""COMPUTED_VALUE"""),0.0)</f>
        <v>0</v>
      </c>
      <c r="F270" s="255"/>
      <c r="G270" s="256"/>
      <c r="H270" s="252">
        <f>IFERROR(__xludf.DUMMYFUNCTION("""COMPUTED_VALUE"""),0.0)</f>
        <v>0</v>
      </c>
      <c r="I270" s="258"/>
      <c r="J270" s="258"/>
      <c r="K270" s="257">
        <f>IFERROR(__xludf.DUMMYFUNCTION("""COMPUTED_VALUE"""),0.0)</f>
        <v>0</v>
      </c>
      <c r="L270" s="258">
        <f>IFERROR(__xludf.DUMMYFUNCTION("""COMPUTED_VALUE"""),0.0)</f>
        <v>0</v>
      </c>
      <c r="M270" s="258">
        <f>IFERROR(__xludf.DUMMYFUNCTION("""COMPUTED_VALUE"""),0.0)</f>
        <v>0</v>
      </c>
      <c r="N270" s="258">
        <f>IFERROR(__xludf.DUMMYFUNCTION("""COMPUTED_VALUE"""),0.0)</f>
        <v>0</v>
      </c>
      <c r="O270" s="258">
        <f>IFERROR(__xludf.DUMMYFUNCTION("""COMPUTED_VALUE"""),0.0)</f>
        <v>0</v>
      </c>
      <c r="P270" s="258">
        <f>IFERROR(__xludf.DUMMYFUNCTION("""COMPUTED_VALUE"""),0.0)</f>
        <v>0</v>
      </c>
      <c r="Q270" s="258">
        <f>IFERROR(__xludf.DUMMYFUNCTION("""COMPUTED_VALUE"""),0.0)</f>
        <v>0</v>
      </c>
      <c r="R270" s="259"/>
      <c r="S270" s="260"/>
      <c r="T270" s="261"/>
      <c r="U270" s="262"/>
      <c r="V270" s="250"/>
      <c r="W270" s="250"/>
      <c r="X270" s="250"/>
      <c r="Y270" s="250"/>
      <c r="Z270" s="250"/>
      <c r="AA270" s="250"/>
      <c r="AB270" s="250"/>
      <c r="AC270" s="250"/>
      <c r="AD270" s="250"/>
      <c r="AE270" s="250"/>
      <c r="AF270" s="250"/>
      <c r="AG270" s="250"/>
      <c r="AH270" s="250"/>
      <c r="AI270" s="250"/>
      <c r="AJ270" s="250"/>
      <c r="AK270" s="250"/>
      <c r="AL270" s="250"/>
      <c r="AM270" s="250"/>
      <c r="AN270" s="250"/>
    </row>
    <row r="271" ht="15.75" customHeight="1">
      <c r="A271" s="250"/>
      <c r="B271" s="251">
        <f>IFERROR(__xludf.DUMMYFUNCTION("""COMPUTED_VALUE"""),263.0)</f>
        <v>263</v>
      </c>
      <c r="C271" s="252"/>
      <c r="D271" s="253" t="str">
        <f>IFERROR(__xludf.DUMMYFUNCTION("""COMPUTED_VALUE"""),"")</f>
        <v/>
      </c>
      <c r="E271" s="254">
        <f>IFERROR(__xludf.DUMMYFUNCTION("""COMPUTED_VALUE"""),0.0)</f>
        <v>0</v>
      </c>
      <c r="F271" s="255"/>
      <c r="G271" s="256"/>
      <c r="H271" s="252">
        <f>IFERROR(__xludf.DUMMYFUNCTION("""COMPUTED_VALUE"""),0.0)</f>
        <v>0</v>
      </c>
      <c r="I271" s="258"/>
      <c r="J271" s="258"/>
      <c r="K271" s="257">
        <f>IFERROR(__xludf.DUMMYFUNCTION("""COMPUTED_VALUE"""),0.0)</f>
        <v>0</v>
      </c>
      <c r="L271" s="258">
        <f>IFERROR(__xludf.DUMMYFUNCTION("""COMPUTED_VALUE"""),0.0)</f>
        <v>0</v>
      </c>
      <c r="M271" s="258">
        <f>IFERROR(__xludf.DUMMYFUNCTION("""COMPUTED_VALUE"""),0.0)</f>
        <v>0</v>
      </c>
      <c r="N271" s="258">
        <f>IFERROR(__xludf.DUMMYFUNCTION("""COMPUTED_VALUE"""),0.0)</f>
        <v>0</v>
      </c>
      <c r="O271" s="258">
        <f>IFERROR(__xludf.DUMMYFUNCTION("""COMPUTED_VALUE"""),0.0)</f>
        <v>0</v>
      </c>
      <c r="P271" s="258">
        <f>IFERROR(__xludf.DUMMYFUNCTION("""COMPUTED_VALUE"""),0.0)</f>
        <v>0</v>
      </c>
      <c r="Q271" s="258">
        <f>IFERROR(__xludf.DUMMYFUNCTION("""COMPUTED_VALUE"""),0.0)</f>
        <v>0</v>
      </c>
      <c r="R271" s="259"/>
      <c r="S271" s="260"/>
      <c r="T271" s="261"/>
      <c r="U271" s="262"/>
      <c r="V271" s="250"/>
      <c r="W271" s="250"/>
      <c r="X271" s="250"/>
      <c r="Y271" s="250"/>
      <c r="Z271" s="250"/>
      <c r="AA271" s="250"/>
      <c r="AB271" s="250"/>
      <c r="AC271" s="250"/>
      <c r="AD271" s="250"/>
      <c r="AE271" s="250"/>
      <c r="AF271" s="250"/>
      <c r="AG271" s="250"/>
      <c r="AH271" s="250"/>
      <c r="AI271" s="250"/>
      <c r="AJ271" s="250"/>
      <c r="AK271" s="250"/>
      <c r="AL271" s="250"/>
      <c r="AM271" s="250"/>
      <c r="AN271" s="250"/>
    </row>
    <row r="272" ht="15.75" customHeight="1">
      <c r="A272" s="250"/>
      <c r="B272" s="251">
        <f>IFERROR(__xludf.DUMMYFUNCTION("""COMPUTED_VALUE"""),264.0)</f>
        <v>264</v>
      </c>
      <c r="C272" s="252"/>
      <c r="D272" s="253" t="str">
        <f>IFERROR(__xludf.DUMMYFUNCTION("""COMPUTED_VALUE"""),"")</f>
        <v/>
      </c>
      <c r="E272" s="254">
        <f>IFERROR(__xludf.DUMMYFUNCTION("""COMPUTED_VALUE"""),0.0)</f>
        <v>0</v>
      </c>
      <c r="F272" s="255"/>
      <c r="G272" s="256"/>
      <c r="H272" s="252">
        <f>IFERROR(__xludf.DUMMYFUNCTION("""COMPUTED_VALUE"""),0.0)</f>
        <v>0</v>
      </c>
      <c r="I272" s="258"/>
      <c r="J272" s="258"/>
      <c r="K272" s="257">
        <f>IFERROR(__xludf.DUMMYFUNCTION("""COMPUTED_VALUE"""),0.0)</f>
        <v>0</v>
      </c>
      <c r="L272" s="258">
        <f>IFERROR(__xludf.DUMMYFUNCTION("""COMPUTED_VALUE"""),0.0)</f>
        <v>0</v>
      </c>
      <c r="M272" s="258">
        <f>IFERROR(__xludf.DUMMYFUNCTION("""COMPUTED_VALUE"""),0.0)</f>
        <v>0</v>
      </c>
      <c r="N272" s="258">
        <f>IFERROR(__xludf.DUMMYFUNCTION("""COMPUTED_VALUE"""),0.0)</f>
        <v>0</v>
      </c>
      <c r="O272" s="258">
        <f>IFERROR(__xludf.DUMMYFUNCTION("""COMPUTED_VALUE"""),0.0)</f>
        <v>0</v>
      </c>
      <c r="P272" s="258">
        <f>IFERROR(__xludf.DUMMYFUNCTION("""COMPUTED_VALUE"""),0.0)</f>
        <v>0</v>
      </c>
      <c r="Q272" s="258">
        <f>IFERROR(__xludf.DUMMYFUNCTION("""COMPUTED_VALUE"""),0.0)</f>
        <v>0</v>
      </c>
      <c r="R272" s="259"/>
      <c r="S272" s="260"/>
      <c r="T272" s="261"/>
      <c r="U272" s="262"/>
      <c r="V272" s="250"/>
      <c r="W272" s="250"/>
      <c r="X272" s="250"/>
      <c r="Y272" s="250"/>
      <c r="Z272" s="250"/>
      <c r="AA272" s="250"/>
      <c r="AB272" s="250"/>
      <c r="AC272" s="250"/>
      <c r="AD272" s="250"/>
      <c r="AE272" s="250"/>
      <c r="AF272" s="250"/>
      <c r="AG272" s="250"/>
      <c r="AH272" s="250"/>
      <c r="AI272" s="250"/>
      <c r="AJ272" s="250"/>
      <c r="AK272" s="250"/>
      <c r="AL272" s="250"/>
      <c r="AM272" s="250"/>
      <c r="AN272" s="250"/>
    </row>
    <row r="273" ht="15.75" customHeight="1">
      <c r="A273" s="250"/>
      <c r="B273" s="251">
        <f>IFERROR(__xludf.DUMMYFUNCTION("""COMPUTED_VALUE"""),265.0)</f>
        <v>265</v>
      </c>
      <c r="C273" s="252"/>
      <c r="D273" s="253" t="str">
        <f>IFERROR(__xludf.DUMMYFUNCTION("""COMPUTED_VALUE"""),"")</f>
        <v/>
      </c>
      <c r="E273" s="254">
        <f>IFERROR(__xludf.DUMMYFUNCTION("""COMPUTED_VALUE"""),0.0)</f>
        <v>0</v>
      </c>
      <c r="F273" s="255"/>
      <c r="G273" s="256"/>
      <c r="H273" s="252">
        <f>IFERROR(__xludf.DUMMYFUNCTION("""COMPUTED_VALUE"""),0.0)</f>
        <v>0</v>
      </c>
      <c r="I273" s="258"/>
      <c r="J273" s="258"/>
      <c r="K273" s="257">
        <f>IFERROR(__xludf.DUMMYFUNCTION("""COMPUTED_VALUE"""),0.0)</f>
        <v>0</v>
      </c>
      <c r="L273" s="258">
        <f>IFERROR(__xludf.DUMMYFUNCTION("""COMPUTED_VALUE"""),0.0)</f>
        <v>0</v>
      </c>
      <c r="M273" s="258">
        <f>IFERROR(__xludf.DUMMYFUNCTION("""COMPUTED_VALUE"""),0.0)</f>
        <v>0</v>
      </c>
      <c r="N273" s="258">
        <f>IFERROR(__xludf.DUMMYFUNCTION("""COMPUTED_VALUE"""),0.0)</f>
        <v>0</v>
      </c>
      <c r="O273" s="258">
        <f>IFERROR(__xludf.DUMMYFUNCTION("""COMPUTED_VALUE"""),0.0)</f>
        <v>0</v>
      </c>
      <c r="P273" s="258">
        <f>IFERROR(__xludf.DUMMYFUNCTION("""COMPUTED_VALUE"""),0.0)</f>
        <v>0</v>
      </c>
      <c r="Q273" s="258">
        <f>IFERROR(__xludf.DUMMYFUNCTION("""COMPUTED_VALUE"""),0.0)</f>
        <v>0</v>
      </c>
      <c r="R273" s="259"/>
      <c r="S273" s="260"/>
      <c r="T273" s="261"/>
      <c r="U273" s="262"/>
      <c r="V273" s="250"/>
      <c r="W273" s="250"/>
      <c r="X273" s="250"/>
      <c r="Y273" s="250"/>
      <c r="Z273" s="250"/>
      <c r="AA273" s="250"/>
      <c r="AB273" s="250"/>
      <c r="AC273" s="250"/>
      <c r="AD273" s="250"/>
      <c r="AE273" s="250"/>
      <c r="AF273" s="250"/>
      <c r="AG273" s="250"/>
      <c r="AH273" s="250"/>
      <c r="AI273" s="250"/>
      <c r="AJ273" s="250"/>
      <c r="AK273" s="250"/>
      <c r="AL273" s="250"/>
      <c r="AM273" s="250"/>
      <c r="AN273" s="250"/>
    </row>
    <row r="274" ht="15.75" customHeight="1">
      <c r="A274" s="250"/>
      <c r="B274" s="251">
        <f>IFERROR(__xludf.DUMMYFUNCTION("""COMPUTED_VALUE"""),266.0)</f>
        <v>266</v>
      </c>
      <c r="C274" s="252"/>
      <c r="D274" s="253" t="str">
        <f>IFERROR(__xludf.DUMMYFUNCTION("""COMPUTED_VALUE"""),"")</f>
        <v/>
      </c>
      <c r="E274" s="254">
        <f>IFERROR(__xludf.DUMMYFUNCTION("""COMPUTED_VALUE"""),0.0)</f>
        <v>0</v>
      </c>
      <c r="F274" s="255"/>
      <c r="G274" s="256"/>
      <c r="H274" s="252">
        <f>IFERROR(__xludf.DUMMYFUNCTION("""COMPUTED_VALUE"""),0.0)</f>
        <v>0</v>
      </c>
      <c r="I274" s="258"/>
      <c r="J274" s="258"/>
      <c r="K274" s="257">
        <f>IFERROR(__xludf.DUMMYFUNCTION("""COMPUTED_VALUE"""),0.0)</f>
        <v>0</v>
      </c>
      <c r="L274" s="258">
        <f>IFERROR(__xludf.DUMMYFUNCTION("""COMPUTED_VALUE"""),0.0)</f>
        <v>0</v>
      </c>
      <c r="M274" s="258">
        <f>IFERROR(__xludf.DUMMYFUNCTION("""COMPUTED_VALUE"""),0.0)</f>
        <v>0</v>
      </c>
      <c r="N274" s="258">
        <f>IFERROR(__xludf.DUMMYFUNCTION("""COMPUTED_VALUE"""),0.0)</f>
        <v>0</v>
      </c>
      <c r="O274" s="258">
        <f>IFERROR(__xludf.DUMMYFUNCTION("""COMPUTED_VALUE"""),0.0)</f>
        <v>0</v>
      </c>
      <c r="P274" s="258">
        <f>IFERROR(__xludf.DUMMYFUNCTION("""COMPUTED_VALUE"""),0.0)</f>
        <v>0</v>
      </c>
      <c r="Q274" s="258">
        <f>IFERROR(__xludf.DUMMYFUNCTION("""COMPUTED_VALUE"""),0.0)</f>
        <v>0</v>
      </c>
      <c r="R274" s="259"/>
      <c r="S274" s="260"/>
      <c r="T274" s="261"/>
      <c r="U274" s="262"/>
      <c r="V274" s="250"/>
      <c r="W274" s="250"/>
      <c r="X274" s="250"/>
      <c r="Y274" s="250"/>
      <c r="Z274" s="250"/>
      <c r="AA274" s="250"/>
      <c r="AB274" s="250"/>
      <c r="AC274" s="250"/>
      <c r="AD274" s="250"/>
      <c r="AE274" s="250"/>
      <c r="AF274" s="250"/>
      <c r="AG274" s="250"/>
      <c r="AH274" s="250"/>
      <c r="AI274" s="250"/>
      <c r="AJ274" s="250"/>
      <c r="AK274" s="250"/>
      <c r="AL274" s="250"/>
      <c r="AM274" s="250"/>
      <c r="AN274" s="250"/>
    </row>
    <row r="275" ht="15.75" customHeight="1">
      <c r="A275" s="250"/>
      <c r="B275" s="251">
        <f>IFERROR(__xludf.DUMMYFUNCTION("""COMPUTED_VALUE"""),267.0)</f>
        <v>267</v>
      </c>
      <c r="C275" s="252"/>
      <c r="D275" s="253" t="str">
        <f>IFERROR(__xludf.DUMMYFUNCTION("""COMPUTED_VALUE"""),"")</f>
        <v/>
      </c>
      <c r="E275" s="254">
        <f>IFERROR(__xludf.DUMMYFUNCTION("""COMPUTED_VALUE"""),0.0)</f>
        <v>0</v>
      </c>
      <c r="F275" s="255"/>
      <c r="G275" s="256"/>
      <c r="H275" s="252">
        <f>IFERROR(__xludf.DUMMYFUNCTION("""COMPUTED_VALUE"""),0.0)</f>
        <v>0</v>
      </c>
      <c r="I275" s="258"/>
      <c r="J275" s="258"/>
      <c r="K275" s="257">
        <f>IFERROR(__xludf.DUMMYFUNCTION("""COMPUTED_VALUE"""),0.0)</f>
        <v>0</v>
      </c>
      <c r="L275" s="258">
        <f>IFERROR(__xludf.DUMMYFUNCTION("""COMPUTED_VALUE"""),0.0)</f>
        <v>0</v>
      </c>
      <c r="M275" s="258">
        <f>IFERROR(__xludf.DUMMYFUNCTION("""COMPUTED_VALUE"""),0.0)</f>
        <v>0</v>
      </c>
      <c r="N275" s="258">
        <f>IFERROR(__xludf.DUMMYFUNCTION("""COMPUTED_VALUE"""),0.0)</f>
        <v>0</v>
      </c>
      <c r="O275" s="258">
        <f>IFERROR(__xludf.DUMMYFUNCTION("""COMPUTED_VALUE"""),0.0)</f>
        <v>0</v>
      </c>
      <c r="P275" s="258">
        <f>IFERROR(__xludf.DUMMYFUNCTION("""COMPUTED_VALUE"""),0.0)</f>
        <v>0</v>
      </c>
      <c r="Q275" s="258">
        <f>IFERROR(__xludf.DUMMYFUNCTION("""COMPUTED_VALUE"""),0.0)</f>
        <v>0</v>
      </c>
      <c r="R275" s="259"/>
      <c r="S275" s="260"/>
      <c r="T275" s="261"/>
      <c r="U275" s="262"/>
      <c r="V275" s="250"/>
      <c r="W275" s="250"/>
      <c r="X275" s="250"/>
      <c r="Y275" s="250"/>
      <c r="Z275" s="250"/>
      <c r="AA275" s="250"/>
      <c r="AB275" s="250"/>
      <c r="AC275" s="250"/>
      <c r="AD275" s="250"/>
      <c r="AE275" s="250"/>
      <c r="AF275" s="250"/>
      <c r="AG275" s="250"/>
      <c r="AH275" s="250"/>
      <c r="AI275" s="250"/>
      <c r="AJ275" s="250"/>
      <c r="AK275" s="250"/>
      <c r="AL275" s="250"/>
      <c r="AM275" s="250"/>
      <c r="AN275" s="250"/>
    </row>
    <row r="276" ht="15.75" customHeight="1">
      <c r="A276" s="250"/>
      <c r="B276" s="251">
        <f>IFERROR(__xludf.DUMMYFUNCTION("""COMPUTED_VALUE"""),268.0)</f>
        <v>268</v>
      </c>
      <c r="C276" s="252"/>
      <c r="D276" s="253" t="str">
        <f>IFERROR(__xludf.DUMMYFUNCTION("""COMPUTED_VALUE"""),"")</f>
        <v/>
      </c>
      <c r="E276" s="254">
        <f>IFERROR(__xludf.DUMMYFUNCTION("""COMPUTED_VALUE"""),0.0)</f>
        <v>0</v>
      </c>
      <c r="F276" s="255"/>
      <c r="G276" s="256"/>
      <c r="H276" s="252">
        <f>IFERROR(__xludf.DUMMYFUNCTION("""COMPUTED_VALUE"""),0.0)</f>
        <v>0</v>
      </c>
      <c r="I276" s="258"/>
      <c r="J276" s="258"/>
      <c r="K276" s="257">
        <f>IFERROR(__xludf.DUMMYFUNCTION("""COMPUTED_VALUE"""),0.0)</f>
        <v>0</v>
      </c>
      <c r="L276" s="258">
        <f>IFERROR(__xludf.DUMMYFUNCTION("""COMPUTED_VALUE"""),0.0)</f>
        <v>0</v>
      </c>
      <c r="M276" s="258">
        <f>IFERROR(__xludf.DUMMYFUNCTION("""COMPUTED_VALUE"""),0.0)</f>
        <v>0</v>
      </c>
      <c r="N276" s="258">
        <f>IFERROR(__xludf.DUMMYFUNCTION("""COMPUTED_VALUE"""),0.0)</f>
        <v>0</v>
      </c>
      <c r="O276" s="258">
        <f>IFERROR(__xludf.DUMMYFUNCTION("""COMPUTED_VALUE"""),0.0)</f>
        <v>0</v>
      </c>
      <c r="P276" s="258">
        <f>IFERROR(__xludf.DUMMYFUNCTION("""COMPUTED_VALUE"""),0.0)</f>
        <v>0</v>
      </c>
      <c r="Q276" s="258">
        <f>IFERROR(__xludf.DUMMYFUNCTION("""COMPUTED_VALUE"""),0.0)</f>
        <v>0</v>
      </c>
      <c r="R276" s="259"/>
      <c r="S276" s="260"/>
      <c r="T276" s="261"/>
      <c r="U276" s="262"/>
      <c r="V276" s="250"/>
      <c r="W276" s="250"/>
      <c r="X276" s="250"/>
      <c r="Y276" s="250"/>
      <c r="Z276" s="250"/>
      <c r="AA276" s="250"/>
      <c r="AB276" s="250"/>
      <c r="AC276" s="250"/>
      <c r="AD276" s="250"/>
      <c r="AE276" s="250"/>
      <c r="AF276" s="250"/>
      <c r="AG276" s="250"/>
      <c r="AH276" s="250"/>
      <c r="AI276" s="250"/>
      <c r="AJ276" s="250"/>
      <c r="AK276" s="250"/>
      <c r="AL276" s="250"/>
      <c r="AM276" s="250"/>
      <c r="AN276" s="250"/>
    </row>
    <row r="277" ht="15.75" customHeight="1">
      <c r="A277" s="250"/>
      <c r="B277" s="251">
        <f>IFERROR(__xludf.DUMMYFUNCTION("""COMPUTED_VALUE"""),269.0)</f>
        <v>269</v>
      </c>
      <c r="C277" s="252"/>
      <c r="D277" s="253" t="str">
        <f>IFERROR(__xludf.DUMMYFUNCTION("""COMPUTED_VALUE"""),"")</f>
        <v/>
      </c>
      <c r="E277" s="254">
        <f>IFERROR(__xludf.DUMMYFUNCTION("""COMPUTED_VALUE"""),0.0)</f>
        <v>0</v>
      </c>
      <c r="F277" s="255"/>
      <c r="G277" s="256"/>
      <c r="H277" s="252">
        <f>IFERROR(__xludf.DUMMYFUNCTION("""COMPUTED_VALUE"""),0.0)</f>
        <v>0</v>
      </c>
      <c r="I277" s="258"/>
      <c r="J277" s="258"/>
      <c r="K277" s="257">
        <f>IFERROR(__xludf.DUMMYFUNCTION("""COMPUTED_VALUE"""),0.0)</f>
        <v>0</v>
      </c>
      <c r="L277" s="258">
        <f>IFERROR(__xludf.DUMMYFUNCTION("""COMPUTED_VALUE"""),0.0)</f>
        <v>0</v>
      </c>
      <c r="M277" s="258">
        <f>IFERROR(__xludf.DUMMYFUNCTION("""COMPUTED_VALUE"""),0.0)</f>
        <v>0</v>
      </c>
      <c r="N277" s="258">
        <f>IFERROR(__xludf.DUMMYFUNCTION("""COMPUTED_VALUE"""),0.0)</f>
        <v>0</v>
      </c>
      <c r="O277" s="258">
        <f>IFERROR(__xludf.DUMMYFUNCTION("""COMPUTED_VALUE"""),0.0)</f>
        <v>0</v>
      </c>
      <c r="P277" s="258">
        <f>IFERROR(__xludf.DUMMYFUNCTION("""COMPUTED_VALUE"""),0.0)</f>
        <v>0</v>
      </c>
      <c r="Q277" s="258">
        <f>IFERROR(__xludf.DUMMYFUNCTION("""COMPUTED_VALUE"""),0.0)</f>
        <v>0</v>
      </c>
      <c r="R277" s="259"/>
      <c r="S277" s="260"/>
      <c r="T277" s="261"/>
      <c r="U277" s="262"/>
      <c r="V277" s="250"/>
      <c r="W277" s="250"/>
      <c r="X277" s="250"/>
      <c r="Y277" s="250"/>
      <c r="Z277" s="250"/>
      <c r="AA277" s="250"/>
      <c r="AB277" s="250"/>
      <c r="AC277" s="250"/>
      <c r="AD277" s="250"/>
      <c r="AE277" s="250"/>
      <c r="AF277" s="250"/>
      <c r="AG277" s="250"/>
      <c r="AH277" s="250"/>
      <c r="AI277" s="250"/>
      <c r="AJ277" s="250"/>
      <c r="AK277" s="250"/>
      <c r="AL277" s="250"/>
      <c r="AM277" s="250"/>
      <c r="AN277" s="250"/>
    </row>
    <row r="278" ht="15.75" customHeight="1">
      <c r="A278" s="250"/>
      <c r="B278" s="251">
        <f>IFERROR(__xludf.DUMMYFUNCTION("""COMPUTED_VALUE"""),270.0)</f>
        <v>270</v>
      </c>
      <c r="C278" s="252"/>
      <c r="D278" s="253" t="str">
        <f>IFERROR(__xludf.DUMMYFUNCTION("""COMPUTED_VALUE"""),"")</f>
        <v/>
      </c>
      <c r="E278" s="254">
        <f>IFERROR(__xludf.DUMMYFUNCTION("""COMPUTED_VALUE"""),0.0)</f>
        <v>0</v>
      </c>
      <c r="F278" s="255"/>
      <c r="G278" s="256"/>
      <c r="H278" s="252">
        <f>IFERROR(__xludf.DUMMYFUNCTION("""COMPUTED_VALUE"""),0.0)</f>
        <v>0</v>
      </c>
      <c r="I278" s="258"/>
      <c r="J278" s="258"/>
      <c r="K278" s="257">
        <f>IFERROR(__xludf.DUMMYFUNCTION("""COMPUTED_VALUE"""),0.0)</f>
        <v>0</v>
      </c>
      <c r="L278" s="258">
        <f>IFERROR(__xludf.DUMMYFUNCTION("""COMPUTED_VALUE"""),0.0)</f>
        <v>0</v>
      </c>
      <c r="M278" s="258">
        <f>IFERROR(__xludf.DUMMYFUNCTION("""COMPUTED_VALUE"""),0.0)</f>
        <v>0</v>
      </c>
      <c r="N278" s="258">
        <f>IFERROR(__xludf.DUMMYFUNCTION("""COMPUTED_VALUE"""),0.0)</f>
        <v>0</v>
      </c>
      <c r="O278" s="258">
        <f>IFERROR(__xludf.DUMMYFUNCTION("""COMPUTED_VALUE"""),0.0)</f>
        <v>0</v>
      </c>
      <c r="P278" s="258">
        <f>IFERROR(__xludf.DUMMYFUNCTION("""COMPUTED_VALUE"""),0.0)</f>
        <v>0</v>
      </c>
      <c r="Q278" s="258">
        <f>IFERROR(__xludf.DUMMYFUNCTION("""COMPUTED_VALUE"""),0.0)</f>
        <v>0</v>
      </c>
      <c r="R278" s="259"/>
      <c r="S278" s="260"/>
      <c r="T278" s="261"/>
      <c r="U278" s="262"/>
      <c r="V278" s="250"/>
      <c r="W278" s="250"/>
      <c r="X278" s="250"/>
      <c r="Y278" s="250"/>
      <c r="Z278" s="250"/>
      <c r="AA278" s="250"/>
      <c r="AB278" s="250"/>
      <c r="AC278" s="250"/>
      <c r="AD278" s="250"/>
      <c r="AE278" s="250"/>
      <c r="AF278" s="250"/>
      <c r="AG278" s="250"/>
      <c r="AH278" s="250"/>
      <c r="AI278" s="250"/>
      <c r="AJ278" s="250"/>
      <c r="AK278" s="250"/>
      <c r="AL278" s="250"/>
      <c r="AM278" s="250"/>
      <c r="AN278" s="250"/>
    </row>
    <row r="279" ht="15.75" customHeight="1">
      <c r="A279" s="250"/>
      <c r="B279" s="251">
        <f>IFERROR(__xludf.DUMMYFUNCTION("""COMPUTED_VALUE"""),271.0)</f>
        <v>271</v>
      </c>
      <c r="C279" s="252"/>
      <c r="D279" s="253" t="str">
        <f>IFERROR(__xludf.DUMMYFUNCTION("""COMPUTED_VALUE"""),"")</f>
        <v/>
      </c>
      <c r="E279" s="254">
        <f>IFERROR(__xludf.DUMMYFUNCTION("""COMPUTED_VALUE"""),0.0)</f>
        <v>0</v>
      </c>
      <c r="F279" s="255"/>
      <c r="G279" s="256"/>
      <c r="H279" s="252">
        <f>IFERROR(__xludf.DUMMYFUNCTION("""COMPUTED_VALUE"""),0.0)</f>
        <v>0</v>
      </c>
      <c r="I279" s="258"/>
      <c r="J279" s="258"/>
      <c r="K279" s="257">
        <f>IFERROR(__xludf.DUMMYFUNCTION("""COMPUTED_VALUE"""),0.0)</f>
        <v>0</v>
      </c>
      <c r="L279" s="258">
        <f>IFERROR(__xludf.DUMMYFUNCTION("""COMPUTED_VALUE"""),0.0)</f>
        <v>0</v>
      </c>
      <c r="M279" s="258">
        <f>IFERROR(__xludf.DUMMYFUNCTION("""COMPUTED_VALUE"""),0.0)</f>
        <v>0</v>
      </c>
      <c r="N279" s="258">
        <f>IFERROR(__xludf.DUMMYFUNCTION("""COMPUTED_VALUE"""),0.0)</f>
        <v>0</v>
      </c>
      <c r="O279" s="258">
        <f>IFERROR(__xludf.DUMMYFUNCTION("""COMPUTED_VALUE"""),0.0)</f>
        <v>0</v>
      </c>
      <c r="P279" s="258">
        <f>IFERROR(__xludf.DUMMYFUNCTION("""COMPUTED_VALUE"""),0.0)</f>
        <v>0</v>
      </c>
      <c r="Q279" s="258">
        <f>IFERROR(__xludf.DUMMYFUNCTION("""COMPUTED_VALUE"""),0.0)</f>
        <v>0</v>
      </c>
      <c r="R279" s="259"/>
      <c r="S279" s="260"/>
      <c r="T279" s="261"/>
      <c r="U279" s="262"/>
      <c r="V279" s="250"/>
      <c r="W279" s="250"/>
      <c r="X279" s="250"/>
      <c r="Y279" s="250"/>
      <c r="Z279" s="250"/>
      <c r="AA279" s="250"/>
      <c r="AB279" s="250"/>
      <c r="AC279" s="250"/>
      <c r="AD279" s="250"/>
      <c r="AE279" s="250"/>
      <c r="AF279" s="250"/>
      <c r="AG279" s="250"/>
      <c r="AH279" s="250"/>
      <c r="AI279" s="250"/>
      <c r="AJ279" s="250"/>
      <c r="AK279" s="250"/>
      <c r="AL279" s="250"/>
      <c r="AM279" s="250"/>
      <c r="AN279" s="250"/>
    </row>
    <row r="280" ht="15.75" customHeight="1">
      <c r="A280" s="250"/>
      <c r="B280" s="251">
        <f>IFERROR(__xludf.DUMMYFUNCTION("""COMPUTED_VALUE"""),272.0)</f>
        <v>272</v>
      </c>
      <c r="C280" s="252"/>
      <c r="D280" s="253" t="str">
        <f>IFERROR(__xludf.DUMMYFUNCTION("""COMPUTED_VALUE"""),"")</f>
        <v/>
      </c>
      <c r="E280" s="254">
        <f>IFERROR(__xludf.DUMMYFUNCTION("""COMPUTED_VALUE"""),0.0)</f>
        <v>0</v>
      </c>
      <c r="F280" s="255"/>
      <c r="G280" s="256"/>
      <c r="H280" s="252">
        <f>IFERROR(__xludf.DUMMYFUNCTION("""COMPUTED_VALUE"""),0.0)</f>
        <v>0</v>
      </c>
      <c r="I280" s="258"/>
      <c r="J280" s="258"/>
      <c r="K280" s="257">
        <f>IFERROR(__xludf.DUMMYFUNCTION("""COMPUTED_VALUE"""),0.0)</f>
        <v>0</v>
      </c>
      <c r="L280" s="258">
        <f>IFERROR(__xludf.DUMMYFUNCTION("""COMPUTED_VALUE"""),0.0)</f>
        <v>0</v>
      </c>
      <c r="M280" s="258">
        <f>IFERROR(__xludf.DUMMYFUNCTION("""COMPUTED_VALUE"""),0.0)</f>
        <v>0</v>
      </c>
      <c r="N280" s="258">
        <f>IFERROR(__xludf.DUMMYFUNCTION("""COMPUTED_VALUE"""),0.0)</f>
        <v>0</v>
      </c>
      <c r="O280" s="258">
        <f>IFERROR(__xludf.DUMMYFUNCTION("""COMPUTED_VALUE"""),0.0)</f>
        <v>0</v>
      </c>
      <c r="P280" s="258">
        <f>IFERROR(__xludf.DUMMYFUNCTION("""COMPUTED_VALUE"""),0.0)</f>
        <v>0</v>
      </c>
      <c r="Q280" s="258">
        <f>IFERROR(__xludf.DUMMYFUNCTION("""COMPUTED_VALUE"""),0.0)</f>
        <v>0</v>
      </c>
      <c r="R280" s="259"/>
      <c r="S280" s="260"/>
      <c r="T280" s="261"/>
      <c r="U280" s="262"/>
      <c r="V280" s="250"/>
      <c r="W280" s="250"/>
      <c r="X280" s="250"/>
      <c r="Y280" s="250"/>
      <c r="Z280" s="250"/>
      <c r="AA280" s="250"/>
      <c r="AB280" s="250"/>
      <c r="AC280" s="250"/>
      <c r="AD280" s="250"/>
      <c r="AE280" s="250"/>
      <c r="AF280" s="250"/>
      <c r="AG280" s="250"/>
      <c r="AH280" s="250"/>
      <c r="AI280" s="250"/>
      <c r="AJ280" s="250"/>
      <c r="AK280" s="250"/>
      <c r="AL280" s="250"/>
      <c r="AM280" s="250"/>
      <c r="AN280" s="250"/>
    </row>
    <row r="281" ht="15.75" customHeight="1">
      <c r="A281" s="250"/>
      <c r="B281" s="251">
        <f>IFERROR(__xludf.DUMMYFUNCTION("""COMPUTED_VALUE"""),273.0)</f>
        <v>273</v>
      </c>
      <c r="C281" s="252"/>
      <c r="D281" s="253" t="str">
        <f>IFERROR(__xludf.DUMMYFUNCTION("""COMPUTED_VALUE"""),"")</f>
        <v/>
      </c>
      <c r="E281" s="254">
        <f>IFERROR(__xludf.DUMMYFUNCTION("""COMPUTED_VALUE"""),0.0)</f>
        <v>0</v>
      </c>
      <c r="F281" s="255"/>
      <c r="G281" s="256"/>
      <c r="H281" s="252">
        <f>IFERROR(__xludf.DUMMYFUNCTION("""COMPUTED_VALUE"""),0.0)</f>
        <v>0</v>
      </c>
      <c r="I281" s="258"/>
      <c r="J281" s="258"/>
      <c r="K281" s="257">
        <f>IFERROR(__xludf.DUMMYFUNCTION("""COMPUTED_VALUE"""),0.0)</f>
        <v>0</v>
      </c>
      <c r="L281" s="258">
        <f>IFERROR(__xludf.DUMMYFUNCTION("""COMPUTED_VALUE"""),0.0)</f>
        <v>0</v>
      </c>
      <c r="M281" s="258">
        <f>IFERROR(__xludf.DUMMYFUNCTION("""COMPUTED_VALUE"""),0.0)</f>
        <v>0</v>
      </c>
      <c r="N281" s="258">
        <f>IFERROR(__xludf.DUMMYFUNCTION("""COMPUTED_VALUE"""),0.0)</f>
        <v>0</v>
      </c>
      <c r="O281" s="258">
        <f>IFERROR(__xludf.DUMMYFUNCTION("""COMPUTED_VALUE"""),0.0)</f>
        <v>0</v>
      </c>
      <c r="P281" s="258">
        <f>IFERROR(__xludf.DUMMYFUNCTION("""COMPUTED_VALUE"""),0.0)</f>
        <v>0</v>
      </c>
      <c r="Q281" s="258">
        <f>IFERROR(__xludf.DUMMYFUNCTION("""COMPUTED_VALUE"""),0.0)</f>
        <v>0</v>
      </c>
      <c r="R281" s="259"/>
      <c r="S281" s="260"/>
      <c r="T281" s="261"/>
      <c r="U281" s="262"/>
      <c r="V281" s="250"/>
      <c r="W281" s="250"/>
      <c r="X281" s="250"/>
      <c r="Y281" s="250"/>
      <c r="Z281" s="250"/>
      <c r="AA281" s="250"/>
      <c r="AB281" s="250"/>
      <c r="AC281" s="250"/>
      <c r="AD281" s="250"/>
      <c r="AE281" s="250"/>
      <c r="AF281" s="250"/>
      <c r="AG281" s="250"/>
      <c r="AH281" s="250"/>
      <c r="AI281" s="250"/>
      <c r="AJ281" s="250"/>
      <c r="AK281" s="250"/>
      <c r="AL281" s="250"/>
      <c r="AM281" s="250"/>
      <c r="AN281" s="250"/>
    </row>
    <row r="282" ht="15.75" customHeight="1">
      <c r="A282" s="250"/>
      <c r="B282" s="251">
        <f>IFERROR(__xludf.DUMMYFUNCTION("""COMPUTED_VALUE"""),274.0)</f>
        <v>274</v>
      </c>
      <c r="C282" s="252"/>
      <c r="D282" s="253" t="str">
        <f>IFERROR(__xludf.DUMMYFUNCTION("""COMPUTED_VALUE"""),"")</f>
        <v/>
      </c>
      <c r="E282" s="254">
        <f>IFERROR(__xludf.DUMMYFUNCTION("""COMPUTED_VALUE"""),0.0)</f>
        <v>0</v>
      </c>
      <c r="F282" s="255"/>
      <c r="G282" s="256"/>
      <c r="H282" s="252">
        <f>IFERROR(__xludf.DUMMYFUNCTION("""COMPUTED_VALUE"""),0.0)</f>
        <v>0</v>
      </c>
      <c r="I282" s="258"/>
      <c r="J282" s="258"/>
      <c r="K282" s="257">
        <f>IFERROR(__xludf.DUMMYFUNCTION("""COMPUTED_VALUE"""),0.0)</f>
        <v>0</v>
      </c>
      <c r="L282" s="258">
        <f>IFERROR(__xludf.DUMMYFUNCTION("""COMPUTED_VALUE"""),0.0)</f>
        <v>0</v>
      </c>
      <c r="M282" s="258">
        <f>IFERROR(__xludf.DUMMYFUNCTION("""COMPUTED_VALUE"""),0.0)</f>
        <v>0</v>
      </c>
      <c r="N282" s="258">
        <f>IFERROR(__xludf.DUMMYFUNCTION("""COMPUTED_VALUE"""),0.0)</f>
        <v>0</v>
      </c>
      <c r="O282" s="258">
        <f>IFERROR(__xludf.DUMMYFUNCTION("""COMPUTED_VALUE"""),0.0)</f>
        <v>0</v>
      </c>
      <c r="P282" s="258">
        <f>IFERROR(__xludf.DUMMYFUNCTION("""COMPUTED_VALUE"""),0.0)</f>
        <v>0</v>
      </c>
      <c r="Q282" s="258">
        <f>IFERROR(__xludf.DUMMYFUNCTION("""COMPUTED_VALUE"""),0.0)</f>
        <v>0</v>
      </c>
      <c r="R282" s="259"/>
      <c r="S282" s="260"/>
      <c r="T282" s="261"/>
      <c r="U282" s="262"/>
      <c r="V282" s="250"/>
      <c r="W282" s="250"/>
      <c r="X282" s="250"/>
      <c r="Y282" s="250"/>
      <c r="Z282" s="250"/>
      <c r="AA282" s="250"/>
      <c r="AB282" s="250"/>
      <c r="AC282" s="250"/>
      <c r="AD282" s="250"/>
      <c r="AE282" s="250"/>
      <c r="AF282" s="250"/>
      <c r="AG282" s="250"/>
      <c r="AH282" s="250"/>
      <c r="AI282" s="250"/>
      <c r="AJ282" s="250"/>
      <c r="AK282" s="250"/>
      <c r="AL282" s="250"/>
      <c r="AM282" s="250"/>
      <c r="AN282" s="250"/>
    </row>
    <row r="283" ht="15.75" customHeight="1">
      <c r="A283" s="250"/>
      <c r="B283" s="251">
        <f>IFERROR(__xludf.DUMMYFUNCTION("""COMPUTED_VALUE"""),275.0)</f>
        <v>275</v>
      </c>
      <c r="C283" s="252"/>
      <c r="D283" s="253" t="str">
        <f>IFERROR(__xludf.DUMMYFUNCTION("""COMPUTED_VALUE"""),"")</f>
        <v/>
      </c>
      <c r="E283" s="254">
        <f>IFERROR(__xludf.DUMMYFUNCTION("""COMPUTED_VALUE"""),0.0)</f>
        <v>0</v>
      </c>
      <c r="F283" s="255"/>
      <c r="G283" s="256"/>
      <c r="H283" s="252">
        <f>IFERROR(__xludf.DUMMYFUNCTION("""COMPUTED_VALUE"""),0.0)</f>
        <v>0</v>
      </c>
      <c r="I283" s="258"/>
      <c r="J283" s="258"/>
      <c r="K283" s="257">
        <f>IFERROR(__xludf.DUMMYFUNCTION("""COMPUTED_VALUE"""),0.0)</f>
        <v>0</v>
      </c>
      <c r="L283" s="258">
        <f>IFERROR(__xludf.DUMMYFUNCTION("""COMPUTED_VALUE"""),0.0)</f>
        <v>0</v>
      </c>
      <c r="M283" s="258">
        <f>IFERROR(__xludf.DUMMYFUNCTION("""COMPUTED_VALUE"""),0.0)</f>
        <v>0</v>
      </c>
      <c r="N283" s="258">
        <f>IFERROR(__xludf.DUMMYFUNCTION("""COMPUTED_VALUE"""),0.0)</f>
        <v>0</v>
      </c>
      <c r="O283" s="258">
        <f>IFERROR(__xludf.DUMMYFUNCTION("""COMPUTED_VALUE"""),0.0)</f>
        <v>0</v>
      </c>
      <c r="P283" s="258">
        <f>IFERROR(__xludf.DUMMYFUNCTION("""COMPUTED_VALUE"""),0.0)</f>
        <v>0</v>
      </c>
      <c r="Q283" s="258">
        <f>IFERROR(__xludf.DUMMYFUNCTION("""COMPUTED_VALUE"""),0.0)</f>
        <v>0</v>
      </c>
      <c r="R283" s="259"/>
      <c r="S283" s="260"/>
      <c r="T283" s="261"/>
      <c r="U283" s="262"/>
      <c r="V283" s="250"/>
      <c r="W283" s="250"/>
      <c r="X283" s="250"/>
      <c r="Y283" s="250"/>
      <c r="Z283" s="250"/>
      <c r="AA283" s="250"/>
      <c r="AB283" s="250"/>
      <c r="AC283" s="250"/>
      <c r="AD283" s="250"/>
      <c r="AE283" s="250"/>
      <c r="AF283" s="250"/>
      <c r="AG283" s="250"/>
      <c r="AH283" s="250"/>
      <c r="AI283" s="250"/>
      <c r="AJ283" s="250"/>
      <c r="AK283" s="250"/>
      <c r="AL283" s="250"/>
      <c r="AM283" s="250"/>
      <c r="AN283" s="250"/>
    </row>
    <row r="284" ht="15.75" customHeight="1">
      <c r="A284" s="250"/>
      <c r="B284" s="251">
        <f>IFERROR(__xludf.DUMMYFUNCTION("""COMPUTED_VALUE"""),276.0)</f>
        <v>276</v>
      </c>
      <c r="C284" s="252"/>
      <c r="D284" s="253" t="str">
        <f>IFERROR(__xludf.DUMMYFUNCTION("""COMPUTED_VALUE"""),"")</f>
        <v/>
      </c>
      <c r="E284" s="254">
        <f>IFERROR(__xludf.DUMMYFUNCTION("""COMPUTED_VALUE"""),0.0)</f>
        <v>0</v>
      </c>
      <c r="F284" s="255"/>
      <c r="G284" s="256"/>
      <c r="H284" s="252">
        <f>IFERROR(__xludf.DUMMYFUNCTION("""COMPUTED_VALUE"""),0.0)</f>
        <v>0</v>
      </c>
      <c r="I284" s="258"/>
      <c r="J284" s="258"/>
      <c r="K284" s="257">
        <f>IFERROR(__xludf.DUMMYFUNCTION("""COMPUTED_VALUE"""),0.0)</f>
        <v>0</v>
      </c>
      <c r="L284" s="258">
        <f>IFERROR(__xludf.DUMMYFUNCTION("""COMPUTED_VALUE"""),0.0)</f>
        <v>0</v>
      </c>
      <c r="M284" s="258">
        <f>IFERROR(__xludf.DUMMYFUNCTION("""COMPUTED_VALUE"""),0.0)</f>
        <v>0</v>
      </c>
      <c r="N284" s="258">
        <f>IFERROR(__xludf.DUMMYFUNCTION("""COMPUTED_VALUE"""),0.0)</f>
        <v>0</v>
      </c>
      <c r="O284" s="258">
        <f>IFERROR(__xludf.DUMMYFUNCTION("""COMPUTED_VALUE"""),0.0)</f>
        <v>0</v>
      </c>
      <c r="P284" s="258">
        <f>IFERROR(__xludf.DUMMYFUNCTION("""COMPUTED_VALUE"""),0.0)</f>
        <v>0</v>
      </c>
      <c r="Q284" s="258">
        <f>IFERROR(__xludf.DUMMYFUNCTION("""COMPUTED_VALUE"""),0.0)</f>
        <v>0</v>
      </c>
      <c r="R284" s="259"/>
      <c r="S284" s="260"/>
      <c r="T284" s="261"/>
      <c r="U284" s="262"/>
      <c r="V284" s="250"/>
      <c r="W284" s="250"/>
      <c r="X284" s="250"/>
      <c r="Y284" s="250"/>
      <c r="Z284" s="250"/>
      <c r="AA284" s="250"/>
      <c r="AB284" s="250"/>
      <c r="AC284" s="250"/>
      <c r="AD284" s="250"/>
      <c r="AE284" s="250"/>
      <c r="AF284" s="250"/>
      <c r="AG284" s="250"/>
      <c r="AH284" s="250"/>
      <c r="AI284" s="250"/>
      <c r="AJ284" s="250"/>
      <c r="AK284" s="250"/>
      <c r="AL284" s="250"/>
      <c r="AM284" s="250"/>
      <c r="AN284" s="250"/>
    </row>
    <row r="285" ht="15.75" customHeight="1">
      <c r="A285" s="250"/>
      <c r="B285" s="251">
        <f>IFERROR(__xludf.DUMMYFUNCTION("""COMPUTED_VALUE"""),277.0)</f>
        <v>277</v>
      </c>
      <c r="C285" s="252"/>
      <c r="D285" s="253" t="str">
        <f>IFERROR(__xludf.DUMMYFUNCTION("""COMPUTED_VALUE"""),"")</f>
        <v/>
      </c>
      <c r="E285" s="254">
        <f>IFERROR(__xludf.DUMMYFUNCTION("""COMPUTED_VALUE"""),0.0)</f>
        <v>0</v>
      </c>
      <c r="F285" s="255"/>
      <c r="G285" s="256"/>
      <c r="H285" s="252">
        <f>IFERROR(__xludf.DUMMYFUNCTION("""COMPUTED_VALUE"""),0.0)</f>
        <v>0</v>
      </c>
      <c r="I285" s="258"/>
      <c r="J285" s="258"/>
      <c r="K285" s="257">
        <f>IFERROR(__xludf.DUMMYFUNCTION("""COMPUTED_VALUE"""),0.0)</f>
        <v>0</v>
      </c>
      <c r="L285" s="258">
        <f>IFERROR(__xludf.DUMMYFUNCTION("""COMPUTED_VALUE"""),0.0)</f>
        <v>0</v>
      </c>
      <c r="M285" s="258">
        <f>IFERROR(__xludf.DUMMYFUNCTION("""COMPUTED_VALUE"""),0.0)</f>
        <v>0</v>
      </c>
      <c r="N285" s="258">
        <f>IFERROR(__xludf.DUMMYFUNCTION("""COMPUTED_VALUE"""),0.0)</f>
        <v>0</v>
      </c>
      <c r="O285" s="258">
        <f>IFERROR(__xludf.DUMMYFUNCTION("""COMPUTED_VALUE"""),0.0)</f>
        <v>0</v>
      </c>
      <c r="P285" s="258">
        <f>IFERROR(__xludf.DUMMYFUNCTION("""COMPUTED_VALUE"""),0.0)</f>
        <v>0</v>
      </c>
      <c r="Q285" s="258">
        <f>IFERROR(__xludf.DUMMYFUNCTION("""COMPUTED_VALUE"""),0.0)</f>
        <v>0</v>
      </c>
      <c r="R285" s="259"/>
      <c r="S285" s="260"/>
      <c r="T285" s="261"/>
      <c r="U285" s="262"/>
      <c r="V285" s="250"/>
      <c r="W285" s="250"/>
      <c r="X285" s="250"/>
      <c r="Y285" s="250"/>
      <c r="Z285" s="250"/>
      <c r="AA285" s="250"/>
      <c r="AB285" s="250"/>
      <c r="AC285" s="250"/>
      <c r="AD285" s="250"/>
      <c r="AE285" s="250"/>
      <c r="AF285" s="250"/>
      <c r="AG285" s="250"/>
      <c r="AH285" s="250"/>
      <c r="AI285" s="250"/>
      <c r="AJ285" s="250"/>
      <c r="AK285" s="250"/>
      <c r="AL285" s="250"/>
      <c r="AM285" s="250"/>
      <c r="AN285" s="250"/>
    </row>
    <row r="286" ht="15.75" customHeight="1">
      <c r="A286" s="250"/>
      <c r="B286" s="251">
        <f>IFERROR(__xludf.DUMMYFUNCTION("""COMPUTED_VALUE"""),278.0)</f>
        <v>278</v>
      </c>
      <c r="C286" s="252"/>
      <c r="D286" s="253" t="str">
        <f>IFERROR(__xludf.DUMMYFUNCTION("""COMPUTED_VALUE"""),"")</f>
        <v/>
      </c>
      <c r="E286" s="254">
        <f>IFERROR(__xludf.DUMMYFUNCTION("""COMPUTED_VALUE"""),0.0)</f>
        <v>0</v>
      </c>
      <c r="F286" s="255"/>
      <c r="G286" s="256"/>
      <c r="H286" s="252">
        <f>IFERROR(__xludf.DUMMYFUNCTION("""COMPUTED_VALUE"""),0.0)</f>
        <v>0</v>
      </c>
      <c r="I286" s="258"/>
      <c r="J286" s="258"/>
      <c r="K286" s="257">
        <f>IFERROR(__xludf.DUMMYFUNCTION("""COMPUTED_VALUE"""),0.0)</f>
        <v>0</v>
      </c>
      <c r="L286" s="258">
        <f>IFERROR(__xludf.DUMMYFUNCTION("""COMPUTED_VALUE"""),0.0)</f>
        <v>0</v>
      </c>
      <c r="M286" s="258">
        <f>IFERROR(__xludf.DUMMYFUNCTION("""COMPUTED_VALUE"""),0.0)</f>
        <v>0</v>
      </c>
      <c r="N286" s="258">
        <f>IFERROR(__xludf.DUMMYFUNCTION("""COMPUTED_VALUE"""),0.0)</f>
        <v>0</v>
      </c>
      <c r="O286" s="258">
        <f>IFERROR(__xludf.DUMMYFUNCTION("""COMPUTED_VALUE"""),0.0)</f>
        <v>0</v>
      </c>
      <c r="P286" s="258">
        <f>IFERROR(__xludf.DUMMYFUNCTION("""COMPUTED_VALUE"""),0.0)</f>
        <v>0</v>
      </c>
      <c r="Q286" s="258">
        <f>IFERROR(__xludf.DUMMYFUNCTION("""COMPUTED_VALUE"""),0.0)</f>
        <v>0</v>
      </c>
      <c r="R286" s="259"/>
      <c r="S286" s="260"/>
      <c r="T286" s="261"/>
      <c r="U286" s="262"/>
      <c r="V286" s="250"/>
      <c r="W286" s="250"/>
      <c r="X286" s="250"/>
      <c r="Y286" s="250"/>
      <c r="Z286" s="250"/>
      <c r="AA286" s="250"/>
      <c r="AB286" s="250"/>
      <c r="AC286" s="250"/>
      <c r="AD286" s="250"/>
      <c r="AE286" s="250"/>
      <c r="AF286" s="250"/>
      <c r="AG286" s="250"/>
      <c r="AH286" s="250"/>
      <c r="AI286" s="250"/>
      <c r="AJ286" s="250"/>
      <c r="AK286" s="250"/>
      <c r="AL286" s="250"/>
      <c r="AM286" s="250"/>
      <c r="AN286" s="250"/>
    </row>
    <row r="287" ht="15.75" customHeight="1">
      <c r="A287" s="250"/>
      <c r="B287" s="251">
        <f>IFERROR(__xludf.DUMMYFUNCTION("""COMPUTED_VALUE"""),279.0)</f>
        <v>279</v>
      </c>
      <c r="C287" s="252"/>
      <c r="D287" s="253" t="str">
        <f>IFERROR(__xludf.DUMMYFUNCTION("""COMPUTED_VALUE"""),"")</f>
        <v/>
      </c>
      <c r="E287" s="254">
        <f>IFERROR(__xludf.DUMMYFUNCTION("""COMPUTED_VALUE"""),0.0)</f>
        <v>0</v>
      </c>
      <c r="F287" s="255"/>
      <c r="G287" s="256"/>
      <c r="H287" s="252">
        <f>IFERROR(__xludf.DUMMYFUNCTION("""COMPUTED_VALUE"""),0.0)</f>
        <v>0</v>
      </c>
      <c r="I287" s="258"/>
      <c r="J287" s="258"/>
      <c r="K287" s="257">
        <f>IFERROR(__xludf.DUMMYFUNCTION("""COMPUTED_VALUE"""),0.0)</f>
        <v>0</v>
      </c>
      <c r="L287" s="258">
        <f>IFERROR(__xludf.DUMMYFUNCTION("""COMPUTED_VALUE"""),0.0)</f>
        <v>0</v>
      </c>
      <c r="M287" s="258">
        <f>IFERROR(__xludf.DUMMYFUNCTION("""COMPUTED_VALUE"""),0.0)</f>
        <v>0</v>
      </c>
      <c r="N287" s="258">
        <f>IFERROR(__xludf.DUMMYFUNCTION("""COMPUTED_VALUE"""),0.0)</f>
        <v>0</v>
      </c>
      <c r="O287" s="258">
        <f>IFERROR(__xludf.DUMMYFUNCTION("""COMPUTED_VALUE"""),0.0)</f>
        <v>0</v>
      </c>
      <c r="P287" s="258">
        <f>IFERROR(__xludf.DUMMYFUNCTION("""COMPUTED_VALUE"""),0.0)</f>
        <v>0</v>
      </c>
      <c r="Q287" s="258">
        <f>IFERROR(__xludf.DUMMYFUNCTION("""COMPUTED_VALUE"""),0.0)</f>
        <v>0</v>
      </c>
      <c r="R287" s="259"/>
      <c r="S287" s="260"/>
      <c r="T287" s="261"/>
      <c r="U287" s="262"/>
      <c r="V287" s="250"/>
      <c r="W287" s="250"/>
      <c r="X287" s="250"/>
      <c r="Y287" s="250"/>
      <c r="Z287" s="250"/>
      <c r="AA287" s="250"/>
      <c r="AB287" s="250"/>
      <c r="AC287" s="250"/>
      <c r="AD287" s="250"/>
      <c r="AE287" s="250"/>
      <c r="AF287" s="250"/>
      <c r="AG287" s="250"/>
      <c r="AH287" s="250"/>
      <c r="AI287" s="250"/>
      <c r="AJ287" s="250"/>
      <c r="AK287" s="250"/>
      <c r="AL287" s="250"/>
      <c r="AM287" s="250"/>
      <c r="AN287" s="250"/>
    </row>
    <row r="288" ht="15.75" customHeight="1">
      <c r="A288" s="250"/>
      <c r="B288" s="251">
        <f>IFERROR(__xludf.DUMMYFUNCTION("""COMPUTED_VALUE"""),280.0)</f>
        <v>280</v>
      </c>
      <c r="C288" s="252"/>
      <c r="D288" s="253" t="str">
        <f>IFERROR(__xludf.DUMMYFUNCTION("""COMPUTED_VALUE"""),"")</f>
        <v/>
      </c>
      <c r="E288" s="254">
        <f>IFERROR(__xludf.DUMMYFUNCTION("""COMPUTED_VALUE"""),0.0)</f>
        <v>0</v>
      </c>
      <c r="F288" s="255"/>
      <c r="G288" s="256"/>
      <c r="H288" s="252">
        <f>IFERROR(__xludf.DUMMYFUNCTION("""COMPUTED_VALUE"""),0.0)</f>
        <v>0</v>
      </c>
      <c r="I288" s="258"/>
      <c r="J288" s="258"/>
      <c r="K288" s="257">
        <f>IFERROR(__xludf.DUMMYFUNCTION("""COMPUTED_VALUE"""),0.0)</f>
        <v>0</v>
      </c>
      <c r="L288" s="258">
        <f>IFERROR(__xludf.DUMMYFUNCTION("""COMPUTED_VALUE"""),0.0)</f>
        <v>0</v>
      </c>
      <c r="M288" s="258">
        <f>IFERROR(__xludf.DUMMYFUNCTION("""COMPUTED_VALUE"""),0.0)</f>
        <v>0</v>
      </c>
      <c r="N288" s="258">
        <f>IFERROR(__xludf.DUMMYFUNCTION("""COMPUTED_VALUE"""),0.0)</f>
        <v>0</v>
      </c>
      <c r="O288" s="258">
        <f>IFERROR(__xludf.DUMMYFUNCTION("""COMPUTED_VALUE"""),0.0)</f>
        <v>0</v>
      </c>
      <c r="P288" s="258">
        <f>IFERROR(__xludf.DUMMYFUNCTION("""COMPUTED_VALUE"""),0.0)</f>
        <v>0</v>
      </c>
      <c r="Q288" s="258">
        <f>IFERROR(__xludf.DUMMYFUNCTION("""COMPUTED_VALUE"""),0.0)</f>
        <v>0</v>
      </c>
      <c r="R288" s="259"/>
      <c r="S288" s="260"/>
      <c r="T288" s="261"/>
      <c r="U288" s="262"/>
      <c r="V288" s="250"/>
      <c r="W288" s="250"/>
      <c r="X288" s="250"/>
      <c r="Y288" s="250"/>
      <c r="Z288" s="250"/>
      <c r="AA288" s="250"/>
      <c r="AB288" s="250"/>
      <c r="AC288" s="250"/>
      <c r="AD288" s="250"/>
      <c r="AE288" s="250"/>
      <c r="AF288" s="250"/>
      <c r="AG288" s="250"/>
      <c r="AH288" s="250"/>
      <c r="AI288" s="250"/>
      <c r="AJ288" s="250"/>
      <c r="AK288" s="250"/>
      <c r="AL288" s="250"/>
      <c r="AM288" s="250"/>
      <c r="AN288" s="250"/>
    </row>
    <row r="289" ht="15.75" customHeight="1">
      <c r="A289" s="250"/>
      <c r="B289" s="251">
        <f>IFERROR(__xludf.DUMMYFUNCTION("""COMPUTED_VALUE"""),281.0)</f>
        <v>281</v>
      </c>
      <c r="C289" s="252"/>
      <c r="D289" s="253" t="str">
        <f>IFERROR(__xludf.DUMMYFUNCTION("""COMPUTED_VALUE"""),"")</f>
        <v/>
      </c>
      <c r="E289" s="254">
        <f>IFERROR(__xludf.DUMMYFUNCTION("""COMPUTED_VALUE"""),0.0)</f>
        <v>0</v>
      </c>
      <c r="F289" s="255"/>
      <c r="G289" s="256"/>
      <c r="H289" s="252">
        <f>IFERROR(__xludf.DUMMYFUNCTION("""COMPUTED_VALUE"""),0.0)</f>
        <v>0</v>
      </c>
      <c r="I289" s="258"/>
      <c r="J289" s="258"/>
      <c r="K289" s="257">
        <f>IFERROR(__xludf.DUMMYFUNCTION("""COMPUTED_VALUE"""),0.0)</f>
        <v>0</v>
      </c>
      <c r="L289" s="258">
        <f>IFERROR(__xludf.DUMMYFUNCTION("""COMPUTED_VALUE"""),0.0)</f>
        <v>0</v>
      </c>
      <c r="M289" s="258">
        <f>IFERROR(__xludf.DUMMYFUNCTION("""COMPUTED_VALUE"""),0.0)</f>
        <v>0</v>
      </c>
      <c r="N289" s="258">
        <f>IFERROR(__xludf.DUMMYFUNCTION("""COMPUTED_VALUE"""),0.0)</f>
        <v>0</v>
      </c>
      <c r="O289" s="258">
        <f>IFERROR(__xludf.DUMMYFUNCTION("""COMPUTED_VALUE"""),0.0)</f>
        <v>0</v>
      </c>
      <c r="P289" s="258">
        <f>IFERROR(__xludf.DUMMYFUNCTION("""COMPUTED_VALUE"""),0.0)</f>
        <v>0</v>
      </c>
      <c r="Q289" s="258">
        <f>IFERROR(__xludf.DUMMYFUNCTION("""COMPUTED_VALUE"""),0.0)</f>
        <v>0</v>
      </c>
      <c r="R289" s="259"/>
      <c r="S289" s="260"/>
      <c r="T289" s="261"/>
      <c r="U289" s="262"/>
      <c r="V289" s="250"/>
      <c r="W289" s="250"/>
      <c r="X289" s="250"/>
      <c r="Y289" s="250"/>
      <c r="Z289" s="250"/>
      <c r="AA289" s="250"/>
      <c r="AB289" s="250"/>
      <c r="AC289" s="250"/>
      <c r="AD289" s="250"/>
      <c r="AE289" s="250"/>
      <c r="AF289" s="250"/>
      <c r="AG289" s="250"/>
      <c r="AH289" s="250"/>
      <c r="AI289" s="250"/>
      <c r="AJ289" s="250"/>
      <c r="AK289" s="250"/>
      <c r="AL289" s="250"/>
      <c r="AM289" s="250"/>
      <c r="AN289" s="250"/>
    </row>
    <row r="290" ht="15.75" customHeight="1">
      <c r="A290" s="250"/>
      <c r="B290" s="251">
        <f>IFERROR(__xludf.DUMMYFUNCTION("""COMPUTED_VALUE"""),282.0)</f>
        <v>282</v>
      </c>
      <c r="C290" s="252"/>
      <c r="D290" s="253" t="str">
        <f>IFERROR(__xludf.DUMMYFUNCTION("""COMPUTED_VALUE"""),"")</f>
        <v/>
      </c>
      <c r="E290" s="254">
        <f>IFERROR(__xludf.DUMMYFUNCTION("""COMPUTED_VALUE"""),0.0)</f>
        <v>0</v>
      </c>
      <c r="F290" s="255"/>
      <c r="G290" s="256"/>
      <c r="H290" s="252">
        <f>IFERROR(__xludf.DUMMYFUNCTION("""COMPUTED_VALUE"""),0.0)</f>
        <v>0</v>
      </c>
      <c r="I290" s="258"/>
      <c r="J290" s="258"/>
      <c r="K290" s="257">
        <f>IFERROR(__xludf.DUMMYFUNCTION("""COMPUTED_VALUE"""),0.0)</f>
        <v>0</v>
      </c>
      <c r="L290" s="258">
        <f>IFERROR(__xludf.DUMMYFUNCTION("""COMPUTED_VALUE"""),0.0)</f>
        <v>0</v>
      </c>
      <c r="M290" s="258">
        <f>IFERROR(__xludf.DUMMYFUNCTION("""COMPUTED_VALUE"""),0.0)</f>
        <v>0</v>
      </c>
      <c r="N290" s="258">
        <f>IFERROR(__xludf.DUMMYFUNCTION("""COMPUTED_VALUE"""),0.0)</f>
        <v>0</v>
      </c>
      <c r="O290" s="258">
        <f>IFERROR(__xludf.DUMMYFUNCTION("""COMPUTED_VALUE"""),0.0)</f>
        <v>0</v>
      </c>
      <c r="P290" s="258">
        <f>IFERROR(__xludf.DUMMYFUNCTION("""COMPUTED_VALUE"""),0.0)</f>
        <v>0</v>
      </c>
      <c r="Q290" s="258">
        <f>IFERROR(__xludf.DUMMYFUNCTION("""COMPUTED_VALUE"""),0.0)</f>
        <v>0</v>
      </c>
      <c r="R290" s="259"/>
      <c r="S290" s="260"/>
      <c r="T290" s="261"/>
      <c r="U290" s="262"/>
      <c r="V290" s="250"/>
      <c r="W290" s="250"/>
      <c r="X290" s="250"/>
      <c r="Y290" s="250"/>
      <c r="Z290" s="250"/>
      <c r="AA290" s="250"/>
      <c r="AB290" s="250"/>
      <c r="AC290" s="250"/>
      <c r="AD290" s="250"/>
      <c r="AE290" s="250"/>
      <c r="AF290" s="250"/>
      <c r="AG290" s="250"/>
      <c r="AH290" s="250"/>
      <c r="AI290" s="250"/>
      <c r="AJ290" s="250"/>
      <c r="AK290" s="250"/>
      <c r="AL290" s="250"/>
      <c r="AM290" s="250"/>
      <c r="AN290" s="250"/>
    </row>
    <row r="291" ht="15.75" customHeight="1">
      <c r="A291" s="250"/>
      <c r="B291" s="251">
        <f>IFERROR(__xludf.DUMMYFUNCTION("""COMPUTED_VALUE"""),283.0)</f>
        <v>283</v>
      </c>
      <c r="C291" s="252"/>
      <c r="D291" s="253" t="str">
        <f>IFERROR(__xludf.DUMMYFUNCTION("""COMPUTED_VALUE"""),"")</f>
        <v/>
      </c>
      <c r="E291" s="254">
        <f>IFERROR(__xludf.DUMMYFUNCTION("""COMPUTED_VALUE"""),0.0)</f>
        <v>0</v>
      </c>
      <c r="F291" s="255"/>
      <c r="G291" s="256"/>
      <c r="H291" s="252">
        <f>IFERROR(__xludf.DUMMYFUNCTION("""COMPUTED_VALUE"""),0.0)</f>
        <v>0</v>
      </c>
      <c r="I291" s="258"/>
      <c r="J291" s="258"/>
      <c r="K291" s="257">
        <f>IFERROR(__xludf.DUMMYFUNCTION("""COMPUTED_VALUE"""),0.0)</f>
        <v>0</v>
      </c>
      <c r="L291" s="258">
        <f>IFERROR(__xludf.DUMMYFUNCTION("""COMPUTED_VALUE"""),0.0)</f>
        <v>0</v>
      </c>
      <c r="M291" s="258">
        <f>IFERROR(__xludf.DUMMYFUNCTION("""COMPUTED_VALUE"""),0.0)</f>
        <v>0</v>
      </c>
      <c r="N291" s="258">
        <f>IFERROR(__xludf.DUMMYFUNCTION("""COMPUTED_VALUE"""),0.0)</f>
        <v>0</v>
      </c>
      <c r="O291" s="258">
        <f>IFERROR(__xludf.DUMMYFUNCTION("""COMPUTED_VALUE"""),0.0)</f>
        <v>0</v>
      </c>
      <c r="P291" s="258">
        <f>IFERROR(__xludf.DUMMYFUNCTION("""COMPUTED_VALUE"""),0.0)</f>
        <v>0</v>
      </c>
      <c r="Q291" s="258">
        <f>IFERROR(__xludf.DUMMYFUNCTION("""COMPUTED_VALUE"""),0.0)</f>
        <v>0</v>
      </c>
      <c r="R291" s="259"/>
      <c r="S291" s="260"/>
      <c r="T291" s="261"/>
      <c r="U291" s="262"/>
      <c r="V291" s="250"/>
      <c r="W291" s="250"/>
      <c r="X291" s="250"/>
      <c r="Y291" s="250"/>
      <c r="Z291" s="250"/>
      <c r="AA291" s="250"/>
      <c r="AB291" s="250"/>
      <c r="AC291" s="250"/>
      <c r="AD291" s="250"/>
      <c r="AE291" s="250"/>
      <c r="AF291" s="250"/>
      <c r="AG291" s="250"/>
      <c r="AH291" s="250"/>
      <c r="AI291" s="250"/>
      <c r="AJ291" s="250"/>
      <c r="AK291" s="250"/>
      <c r="AL291" s="250"/>
      <c r="AM291" s="250"/>
      <c r="AN291" s="250"/>
    </row>
    <row r="292" ht="15.75" customHeight="1">
      <c r="A292" s="250"/>
      <c r="B292" s="251">
        <f>IFERROR(__xludf.DUMMYFUNCTION("""COMPUTED_VALUE"""),284.0)</f>
        <v>284</v>
      </c>
      <c r="C292" s="252"/>
      <c r="D292" s="253" t="str">
        <f>IFERROR(__xludf.DUMMYFUNCTION("""COMPUTED_VALUE"""),"")</f>
        <v/>
      </c>
      <c r="E292" s="254">
        <f>IFERROR(__xludf.DUMMYFUNCTION("""COMPUTED_VALUE"""),0.0)</f>
        <v>0</v>
      </c>
      <c r="F292" s="255"/>
      <c r="G292" s="256"/>
      <c r="H292" s="252">
        <f>IFERROR(__xludf.DUMMYFUNCTION("""COMPUTED_VALUE"""),0.0)</f>
        <v>0</v>
      </c>
      <c r="I292" s="258"/>
      <c r="J292" s="258"/>
      <c r="K292" s="257">
        <f>IFERROR(__xludf.DUMMYFUNCTION("""COMPUTED_VALUE"""),0.0)</f>
        <v>0</v>
      </c>
      <c r="L292" s="258">
        <f>IFERROR(__xludf.DUMMYFUNCTION("""COMPUTED_VALUE"""),0.0)</f>
        <v>0</v>
      </c>
      <c r="M292" s="258">
        <f>IFERROR(__xludf.DUMMYFUNCTION("""COMPUTED_VALUE"""),0.0)</f>
        <v>0</v>
      </c>
      <c r="N292" s="258">
        <f>IFERROR(__xludf.DUMMYFUNCTION("""COMPUTED_VALUE"""),0.0)</f>
        <v>0</v>
      </c>
      <c r="O292" s="258">
        <f>IFERROR(__xludf.DUMMYFUNCTION("""COMPUTED_VALUE"""),0.0)</f>
        <v>0</v>
      </c>
      <c r="P292" s="258">
        <f>IFERROR(__xludf.DUMMYFUNCTION("""COMPUTED_VALUE"""),0.0)</f>
        <v>0</v>
      </c>
      <c r="Q292" s="258">
        <f>IFERROR(__xludf.DUMMYFUNCTION("""COMPUTED_VALUE"""),0.0)</f>
        <v>0</v>
      </c>
      <c r="R292" s="259"/>
      <c r="S292" s="260"/>
      <c r="T292" s="261"/>
      <c r="U292" s="262"/>
      <c r="V292" s="250"/>
      <c r="W292" s="250"/>
      <c r="X292" s="250"/>
      <c r="Y292" s="250"/>
      <c r="Z292" s="250"/>
      <c r="AA292" s="250"/>
      <c r="AB292" s="250"/>
      <c r="AC292" s="250"/>
      <c r="AD292" s="250"/>
      <c r="AE292" s="250"/>
      <c r="AF292" s="250"/>
      <c r="AG292" s="250"/>
      <c r="AH292" s="250"/>
      <c r="AI292" s="250"/>
      <c r="AJ292" s="250"/>
      <c r="AK292" s="250"/>
      <c r="AL292" s="250"/>
      <c r="AM292" s="250"/>
      <c r="AN292" s="250"/>
    </row>
    <row r="293" ht="15.75" customHeight="1">
      <c r="A293" s="250"/>
      <c r="B293" s="251">
        <f>IFERROR(__xludf.DUMMYFUNCTION("""COMPUTED_VALUE"""),285.0)</f>
        <v>285</v>
      </c>
      <c r="C293" s="252"/>
      <c r="D293" s="253" t="str">
        <f>IFERROR(__xludf.DUMMYFUNCTION("""COMPUTED_VALUE"""),"")</f>
        <v/>
      </c>
      <c r="E293" s="254">
        <f>IFERROR(__xludf.DUMMYFUNCTION("""COMPUTED_VALUE"""),0.0)</f>
        <v>0</v>
      </c>
      <c r="F293" s="255"/>
      <c r="G293" s="256"/>
      <c r="H293" s="252">
        <f>IFERROR(__xludf.DUMMYFUNCTION("""COMPUTED_VALUE"""),0.0)</f>
        <v>0</v>
      </c>
      <c r="I293" s="258"/>
      <c r="J293" s="258"/>
      <c r="K293" s="257">
        <f>IFERROR(__xludf.DUMMYFUNCTION("""COMPUTED_VALUE"""),0.0)</f>
        <v>0</v>
      </c>
      <c r="L293" s="258">
        <f>IFERROR(__xludf.DUMMYFUNCTION("""COMPUTED_VALUE"""),0.0)</f>
        <v>0</v>
      </c>
      <c r="M293" s="258">
        <f>IFERROR(__xludf.DUMMYFUNCTION("""COMPUTED_VALUE"""),0.0)</f>
        <v>0</v>
      </c>
      <c r="N293" s="258">
        <f>IFERROR(__xludf.DUMMYFUNCTION("""COMPUTED_VALUE"""),0.0)</f>
        <v>0</v>
      </c>
      <c r="O293" s="258">
        <f>IFERROR(__xludf.DUMMYFUNCTION("""COMPUTED_VALUE"""),0.0)</f>
        <v>0</v>
      </c>
      <c r="P293" s="258">
        <f>IFERROR(__xludf.DUMMYFUNCTION("""COMPUTED_VALUE"""),0.0)</f>
        <v>0</v>
      </c>
      <c r="Q293" s="258">
        <f>IFERROR(__xludf.DUMMYFUNCTION("""COMPUTED_VALUE"""),0.0)</f>
        <v>0</v>
      </c>
      <c r="R293" s="259"/>
      <c r="S293" s="260"/>
      <c r="T293" s="261"/>
      <c r="U293" s="262"/>
      <c r="V293" s="250"/>
      <c r="W293" s="250"/>
      <c r="X293" s="250"/>
      <c r="Y293" s="250"/>
      <c r="Z293" s="250"/>
      <c r="AA293" s="250"/>
      <c r="AB293" s="250"/>
      <c r="AC293" s="250"/>
      <c r="AD293" s="250"/>
      <c r="AE293" s="250"/>
      <c r="AF293" s="250"/>
      <c r="AG293" s="250"/>
      <c r="AH293" s="250"/>
      <c r="AI293" s="250"/>
      <c r="AJ293" s="250"/>
      <c r="AK293" s="250"/>
      <c r="AL293" s="250"/>
      <c r="AM293" s="250"/>
      <c r="AN293" s="250"/>
    </row>
    <row r="294" ht="15.75" customHeight="1">
      <c r="A294" s="250"/>
      <c r="B294" s="251">
        <f>IFERROR(__xludf.DUMMYFUNCTION("""COMPUTED_VALUE"""),286.0)</f>
        <v>286</v>
      </c>
      <c r="C294" s="252"/>
      <c r="D294" s="253" t="str">
        <f>IFERROR(__xludf.DUMMYFUNCTION("""COMPUTED_VALUE"""),"")</f>
        <v/>
      </c>
      <c r="E294" s="254">
        <f>IFERROR(__xludf.DUMMYFUNCTION("""COMPUTED_VALUE"""),0.0)</f>
        <v>0</v>
      </c>
      <c r="F294" s="255"/>
      <c r="G294" s="256"/>
      <c r="H294" s="252">
        <f>IFERROR(__xludf.DUMMYFUNCTION("""COMPUTED_VALUE"""),0.0)</f>
        <v>0</v>
      </c>
      <c r="I294" s="258"/>
      <c r="J294" s="258"/>
      <c r="K294" s="257">
        <f>IFERROR(__xludf.DUMMYFUNCTION("""COMPUTED_VALUE"""),0.0)</f>
        <v>0</v>
      </c>
      <c r="L294" s="258">
        <f>IFERROR(__xludf.DUMMYFUNCTION("""COMPUTED_VALUE"""),0.0)</f>
        <v>0</v>
      </c>
      <c r="M294" s="258">
        <f>IFERROR(__xludf.DUMMYFUNCTION("""COMPUTED_VALUE"""),0.0)</f>
        <v>0</v>
      </c>
      <c r="N294" s="258">
        <f>IFERROR(__xludf.DUMMYFUNCTION("""COMPUTED_VALUE"""),0.0)</f>
        <v>0</v>
      </c>
      <c r="O294" s="258">
        <f>IFERROR(__xludf.DUMMYFUNCTION("""COMPUTED_VALUE"""),0.0)</f>
        <v>0</v>
      </c>
      <c r="P294" s="258">
        <f>IFERROR(__xludf.DUMMYFUNCTION("""COMPUTED_VALUE"""),0.0)</f>
        <v>0</v>
      </c>
      <c r="Q294" s="258">
        <f>IFERROR(__xludf.DUMMYFUNCTION("""COMPUTED_VALUE"""),0.0)</f>
        <v>0</v>
      </c>
      <c r="R294" s="259"/>
      <c r="S294" s="260"/>
      <c r="T294" s="261"/>
      <c r="U294" s="262"/>
      <c r="V294" s="250"/>
      <c r="W294" s="250"/>
      <c r="X294" s="250"/>
      <c r="Y294" s="250"/>
      <c r="Z294" s="250"/>
      <c r="AA294" s="250"/>
      <c r="AB294" s="250"/>
      <c r="AC294" s="250"/>
      <c r="AD294" s="250"/>
      <c r="AE294" s="250"/>
      <c r="AF294" s="250"/>
      <c r="AG294" s="250"/>
      <c r="AH294" s="250"/>
      <c r="AI294" s="250"/>
      <c r="AJ294" s="250"/>
      <c r="AK294" s="250"/>
      <c r="AL294" s="250"/>
      <c r="AM294" s="250"/>
      <c r="AN294" s="250"/>
    </row>
    <row r="295" ht="15.75" customHeight="1">
      <c r="A295" s="250"/>
      <c r="B295" s="251">
        <f>IFERROR(__xludf.DUMMYFUNCTION("""COMPUTED_VALUE"""),287.0)</f>
        <v>287</v>
      </c>
      <c r="C295" s="252"/>
      <c r="D295" s="253" t="str">
        <f>IFERROR(__xludf.DUMMYFUNCTION("""COMPUTED_VALUE"""),"")</f>
        <v/>
      </c>
      <c r="E295" s="254">
        <f>IFERROR(__xludf.DUMMYFUNCTION("""COMPUTED_VALUE"""),0.0)</f>
        <v>0</v>
      </c>
      <c r="F295" s="255"/>
      <c r="G295" s="256"/>
      <c r="H295" s="252">
        <f>IFERROR(__xludf.DUMMYFUNCTION("""COMPUTED_VALUE"""),0.0)</f>
        <v>0</v>
      </c>
      <c r="I295" s="258"/>
      <c r="J295" s="258"/>
      <c r="K295" s="257">
        <f>IFERROR(__xludf.DUMMYFUNCTION("""COMPUTED_VALUE"""),0.0)</f>
        <v>0</v>
      </c>
      <c r="L295" s="258">
        <f>IFERROR(__xludf.DUMMYFUNCTION("""COMPUTED_VALUE"""),0.0)</f>
        <v>0</v>
      </c>
      <c r="M295" s="258">
        <f>IFERROR(__xludf.DUMMYFUNCTION("""COMPUTED_VALUE"""),0.0)</f>
        <v>0</v>
      </c>
      <c r="N295" s="258">
        <f>IFERROR(__xludf.DUMMYFUNCTION("""COMPUTED_VALUE"""),0.0)</f>
        <v>0</v>
      </c>
      <c r="O295" s="258">
        <f>IFERROR(__xludf.DUMMYFUNCTION("""COMPUTED_VALUE"""),0.0)</f>
        <v>0</v>
      </c>
      <c r="P295" s="258">
        <f>IFERROR(__xludf.DUMMYFUNCTION("""COMPUTED_VALUE"""),0.0)</f>
        <v>0</v>
      </c>
      <c r="Q295" s="258">
        <f>IFERROR(__xludf.DUMMYFUNCTION("""COMPUTED_VALUE"""),0.0)</f>
        <v>0</v>
      </c>
      <c r="R295" s="259"/>
      <c r="S295" s="260"/>
      <c r="T295" s="261"/>
      <c r="U295" s="262"/>
      <c r="V295" s="250"/>
      <c r="W295" s="250"/>
      <c r="X295" s="250"/>
      <c r="Y295" s="250"/>
      <c r="Z295" s="250"/>
      <c r="AA295" s="250"/>
      <c r="AB295" s="250"/>
      <c r="AC295" s="250"/>
      <c r="AD295" s="250"/>
      <c r="AE295" s="250"/>
      <c r="AF295" s="250"/>
      <c r="AG295" s="250"/>
      <c r="AH295" s="250"/>
      <c r="AI295" s="250"/>
      <c r="AJ295" s="250"/>
      <c r="AK295" s="250"/>
      <c r="AL295" s="250"/>
      <c r="AM295" s="250"/>
      <c r="AN295" s="250"/>
    </row>
    <row r="296" ht="15.75" customHeight="1">
      <c r="A296" s="250"/>
      <c r="B296" s="251">
        <f>IFERROR(__xludf.DUMMYFUNCTION("""COMPUTED_VALUE"""),288.0)</f>
        <v>288</v>
      </c>
      <c r="C296" s="252"/>
      <c r="D296" s="253" t="str">
        <f>IFERROR(__xludf.DUMMYFUNCTION("""COMPUTED_VALUE"""),"")</f>
        <v/>
      </c>
      <c r="E296" s="254">
        <f>IFERROR(__xludf.DUMMYFUNCTION("""COMPUTED_VALUE"""),0.0)</f>
        <v>0</v>
      </c>
      <c r="F296" s="255"/>
      <c r="G296" s="256"/>
      <c r="H296" s="252">
        <f>IFERROR(__xludf.DUMMYFUNCTION("""COMPUTED_VALUE"""),0.0)</f>
        <v>0</v>
      </c>
      <c r="I296" s="258"/>
      <c r="J296" s="258"/>
      <c r="K296" s="257">
        <f>IFERROR(__xludf.DUMMYFUNCTION("""COMPUTED_VALUE"""),0.0)</f>
        <v>0</v>
      </c>
      <c r="L296" s="258">
        <f>IFERROR(__xludf.DUMMYFUNCTION("""COMPUTED_VALUE"""),0.0)</f>
        <v>0</v>
      </c>
      <c r="M296" s="258">
        <f>IFERROR(__xludf.DUMMYFUNCTION("""COMPUTED_VALUE"""),0.0)</f>
        <v>0</v>
      </c>
      <c r="N296" s="258">
        <f>IFERROR(__xludf.DUMMYFUNCTION("""COMPUTED_VALUE"""),0.0)</f>
        <v>0</v>
      </c>
      <c r="O296" s="258">
        <f>IFERROR(__xludf.DUMMYFUNCTION("""COMPUTED_VALUE"""),0.0)</f>
        <v>0</v>
      </c>
      <c r="P296" s="258">
        <f>IFERROR(__xludf.DUMMYFUNCTION("""COMPUTED_VALUE"""),0.0)</f>
        <v>0</v>
      </c>
      <c r="Q296" s="258">
        <f>IFERROR(__xludf.DUMMYFUNCTION("""COMPUTED_VALUE"""),0.0)</f>
        <v>0</v>
      </c>
      <c r="R296" s="259"/>
      <c r="S296" s="260"/>
      <c r="T296" s="261"/>
      <c r="U296" s="262"/>
      <c r="V296" s="250"/>
      <c r="W296" s="250"/>
      <c r="X296" s="250"/>
      <c r="Y296" s="250"/>
      <c r="Z296" s="250"/>
      <c r="AA296" s="250"/>
      <c r="AB296" s="250"/>
      <c r="AC296" s="250"/>
      <c r="AD296" s="250"/>
      <c r="AE296" s="250"/>
      <c r="AF296" s="250"/>
      <c r="AG296" s="250"/>
      <c r="AH296" s="250"/>
      <c r="AI296" s="250"/>
      <c r="AJ296" s="250"/>
      <c r="AK296" s="250"/>
      <c r="AL296" s="250"/>
      <c r="AM296" s="250"/>
      <c r="AN296" s="250"/>
    </row>
    <row r="297" ht="15.75" customHeight="1">
      <c r="A297" s="250"/>
      <c r="B297" s="251">
        <f>IFERROR(__xludf.DUMMYFUNCTION("""COMPUTED_VALUE"""),289.0)</f>
        <v>289</v>
      </c>
      <c r="C297" s="252"/>
      <c r="D297" s="253" t="str">
        <f>IFERROR(__xludf.DUMMYFUNCTION("""COMPUTED_VALUE"""),"")</f>
        <v/>
      </c>
      <c r="E297" s="254">
        <f>IFERROR(__xludf.DUMMYFUNCTION("""COMPUTED_VALUE"""),0.0)</f>
        <v>0</v>
      </c>
      <c r="F297" s="255"/>
      <c r="G297" s="256"/>
      <c r="H297" s="252">
        <f>IFERROR(__xludf.DUMMYFUNCTION("""COMPUTED_VALUE"""),0.0)</f>
        <v>0</v>
      </c>
      <c r="I297" s="258"/>
      <c r="J297" s="258"/>
      <c r="K297" s="257">
        <f>IFERROR(__xludf.DUMMYFUNCTION("""COMPUTED_VALUE"""),0.0)</f>
        <v>0</v>
      </c>
      <c r="L297" s="258">
        <f>IFERROR(__xludf.DUMMYFUNCTION("""COMPUTED_VALUE"""),0.0)</f>
        <v>0</v>
      </c>
      <c r="M297" s="258">
        <f>IFERROR(__xludf.DUMMYFUNCTION("""COMPUTED_VALUE"""),0.0)</f>
        <v>0</v>
      </c>
      <c r="N297" s="258">
        <f>IFERROR(__xludf.DUMMYFUNCTION("""COMPUTED_VALUE"""),0.0)</f>
        <v>0</v>
      </c>
      <c r="O297" s="258">
        <f>IFERROR(__xludf.DUMMYFUNCTION("""COMPUTED_VALUE"""),0.0)</f>
        <v>0</v>
      </c>
      <c r="P297" s="258">
        <f>IFERROR(__xludf.DUMMYFUNCTION("""COMPUTED_VALUE"""),0.0)</f>
        <v>0</v>
      </c>
      <c r="Q297" s="258">
        <f>IFERROR(__xludf.DUMMYFUNCTION("""COMPUTED_VALUE"""),0.0)</f>
        <v>0</v>
      </c>
      <c r="R297" s="259"/>
      <c r="S297" s="260"/>
      <c r="T297" s="261"/>
      <c r="U297" s="262"/>
      <c r="V297" s="250"/>
      <c r="W297" s="250"/>
      <c r="X297" s="250"/>
      <c r="Y297" s="250"/>
      <c r="Z297" s="250"/>
      <c r="AA297" s="250"/>
      <c r="AB297" s="250"/>
      <c r="AC297" s="250"/>
      <c r="AD297" s="250"/>
      <c r="AE297" s="250"/>
      <c r="AF297" s="250"/>
      <c r="AG297" s="250"/>
      <c r="AH297" s="250"/>
      <c r="AI297" s="250"/>
      <c r="AJ297" s="250"/>
      <c r="AK297" s="250"/>
      <c r="AL297" s="250"/>
      <c r="AM297" s="250"/>
      <c r="AN297" s="250"/>
    </row>
    <row r="298" ht="15.75" customHeight="1">
      <c r="A298" s="250"/>
      <c r="B298" s="251">
        <f>IFERROR(__xludf.DUMMYFUNCTION("""COMPUTED_VALUE"""),290.0)</f>
        <v>290</v>
      </c>
      <c r="C298" s="252"/>
      <c r="D298" s="253" t="str">
        <f>IFERROR(__xludf.DUMMYFUNCTION("""COMPUTED_VALUE"""),"")</f>
        <v/>
      </c>
      <c r="E298" s="254">
        <f>IFERROR(__xludf.DUMMYFUNCTION("""COMPUTED_VALUE"""),0.0)</f>
        <v>0</v>
      </c>
      <c r="F298" s="255"/>
      <c r="G298" s="256"/>
      <c r="H298" s="252">
        <f>IFERROR(__xludf.DUMMYFUNCTION("""COMPUTED_VALUE"""),0.0)</f>
        <v>0</v>
      </c>
      <c r="I298" s="258"/>
      <c r="J298" s="258"/>
      <c r="K298" s="257">
        <f>IFERROR(__xludf.DUMMYFUNCTION("""COMPUTED_VALUE"""),0.0)</f>
        <v>0</v>
      </c>
      <c r="L298" s="258">
        <f>IFERROR(__xludf.DUMMYFUNCTION("""COMPUTED_VALUE"""),0.0)</f>
        <v>0</v>
      </c>
      <c r="M298" s="258">
        <f>IFERROR(__xludf.DUMMYFUNCTION("""COMPUTED_VALUE"""),0.0)</f>
        <v>0</v>
      </c>
      <c r="N298" s="258">
        <f>IFERROR(__xludf.DUMMYFUNCTION("""COMPUTED_VALUE"""),0.0)</f>
        <v>0</v>
      </c>
      <c r="O298" s="258">
        <f>IFERROR(__xludf.DUMMYFUNCTION("""COMPUTED_VALUE"""),0.0)</f>
        <v>0</v>
      </c>
      <c r="P298" s="258">
        <f>IFERROR(__xludf.DUMMYFUNCTION("""COMPUTED_VALUE"""),0.0)</f>
        <v>0</v>
      </c>
      <c r="Q298" s="258">
        <f>IFERROR(__xludf.DUMMYFUNCTION("""COMPUTED_VALUE"""),0.0)</f>
        <v>0</v>
      </c>
      <c r="R298" s="259"/>
      <c r="S298" s="260"/>
      <c r="T298" s="261"/>
      <c r="U298" s="262"/>
      <c r="V298" s="250"/>
      <c r="W298" s="250"/>
      <c r="X298" s="250"/>
      <c r="Y298" s="250"/>
      <c r="Z298" s="250"/>
      <c r="AA298" s="250"/>
      <c r="AB298" s="250"/>
      <c r="AC298" s="250"/>
      <c r="AD298" s="250"/>
      <c r="AE298" s="250"/>
      <c r="AF298" s="250"/>
      <c r="AG298" s="250"/>
      <c r="AH298" s="250"/>
      <c r="AI298" s="250"/>
      <c r="AJ298" s="250"/>
      <c r="AK298" s="250"/>
      <c r="AL298" s="250"/>
      <c r="AM298" s="250"/>
      <c r="AN298" s="250"/>
    </row>
    <row r="299" ht="15.75" customHeight="1">
      <c r="A299" s="250"/>
      <c r="B299" s="251">
        <f>IFERROR(__xludf.DUMMYFUNCTION("""COMPUTED_VALUE"""),291.0)</f>
        <v>291</v>
      </c>
      <c r="C299" s="252"/>
      <c r="D299" s="253" t="str">
        <f>IFERROR(__xludf.DUMMYFUNCTION("""COMPUTED_VALUE"""),"")</f>
        <v/>
      </c>
      <c r="E299" s="254">
        <f>IFERROR(__xludf.DUMMYFUNCTION("""COMPUTED_VALUE"""),0.0)</f>
        <v>0</v>
      </c>
      <c r="F299" s="255"/>
      <c r="G299" s="256"/>
      <c r="H299" s="252">
        <f>IFERROR(__xludf.DUMMYFUNCTION("""COMPUTED_VALUE"""),0.0)</f>
        <v>0</v>
      </c>
      <c r="I299" s="258"/>
      <c r="J299" s="258"/>
      <c r="K299" s="257">
        <f>IFERROR(__xludf.DUMMYFUNCTION("""COMPUTED_VALUE"""),0.0)</f>
        <v>0</v>
      </c>
      <c r="L299" s="258">
        <f>IFERROR(__xludf.DUMMYFUNCTION("""COMPUTED_VALUE"""),0.0)</f>
        <v>0</v>
      </c>
      <c r="M299" s="258">
        <f>IFERROR(__xludf.DUMMYFUNCTION("""COMPUTED_VALUE"""),0.0)</f>
        <v>0</v>
      </c>
      <c r="N299" s="258">
        <f>IFERROR(__xludf.DUMMYFUNCTION("""COMPUTED_VALUE"""),0.0)</f>
        <v>0</v>
      </c>
      <c r="O299" s="258">
        <f>IFERROR(__xludf.DUMMYFUNCTION("""COMPUTED_VALUE"""),0.0)</f>
        <v>0</v>
      </c>
      <c r="P299" s="258">
        <f>IFERROR(__xludf.DUMMYFUNCTION("""COMPUTED_VALUE"""),0.0)</f>
        <v>0</v>
      </c>
      <c r="Q299" s="258">
        <f>IFERROR(__xludf.DUMMYFUNCTION("""COMPUTED_VALUE"""),0.0)</f>
        <v>0</v>
      </c>
      <c r="R299" s="259"/>
      <c r="S299" s="260"/>
      <c r="T299" s="261"/>
      <c r="U299" s="262"/>
      <c r="V299" s="250"/>
      <c r="W299" s="250"/>
      <c r="X299" s="250"/>
      <c r="Y299" s="250"/>
      <c r="Z299" s="250"/>
      <c r="AA299" s="250"/>
      <c r="AB299" s="250"/>
      <c r="AC299" s="250"/>
      <c r="AD299" s="250"/>
      <c r="AE299" s="250"/>
      <c r="AF299" s="250"/>
      <c r="AG299" s="250"/>
      <c r="AH299" s="250"/>
      <c r="AI299" s="250"/>
      <c r="AJ299" s="250"/>
      <c r="AK299" s="250"/>
      <c r="AL299" s="250"/>
      <c r="AM299" s="250"/>
      <c r="AN299" s="250"/>
    </row>
    <row r="300" ht="15.75" customHeight="1">
      <c r="A300" s="250"/>
      <c r="B300" s="251">
        <f>IFERROR(__xludf.DUMMYFUNCTION("""COMPUTED_VALUE"""),292.0)</f>
        <v>292</v>
      </c>
      <c r="C300" s="252"/>
      <c r="D300" s="253" t="str">
        <f>IFERROR(__xludf.DUMMYFUNCTION("""COMPUTED_VALUE"""),"")</f>
        <v/>
      </c>
      <c r="E300" s="254">
        <f>IFERROR(__xludf.DUMMYFUNCTION("""COMPUTED_VALUE"""),0.0)</f>
        <v>0</v>
      </c>
      <c r="F300" s="255"/>
      <c r="G300" s="256"/>
      <c r="H300" s="252">
        <f>IFERROR(__xludf.DUMMYFUNCTION("""COMPUTED_VALUE"""),0.0)</f>
        <v>0</v>
      </c>
      <c r="I300" s="258"/>
      <c r="J300" s="258"/>
      <c r="K300" s="257">
        <f>IFERROR(__xludf.DUMMYFUNCTION("""COMPUTED_VALUE"""),0.0)</f>
        <v>0</v>
      </c>
      <c r="L300" s="258">
        <f>IFERROR(__xludf.DUMMYFUNCTION("""COMPUTED_VALUE"""),0.0)</f>
        <v>0</v>
      </c>
      <c r="M300" s="258">
        <f>IFERROR(__xludf.DUMMYFUNCTION("""COMPUTED_VALUE"""),0.0)</f>
        <v>0</v>
      </c>
      <c r="N300" s="258">
        <f>IFERROR(__xludf.DUMMYFUNCTION("""COMPUTED_VALUE"""),0.0)</f>
        <v>0</v>
      </c>
      <c r="O300" s="258">
        <f>IFERROR(__xludf.DUMMYFUNCTION("""COMPUTED_VALUE"""),0.0)</f>
        <v>0</v>
      </c>
      <c r="P300" s="258">
        <f>IFERROR(__xludf.DUMMYFUNCTION("""COMPUTED_VALUE"""),0.0)</f>
        <v>0</v>
      </c>
      <c r="Q300" s="258">
        <f>IFERROR(__xludf.DUMMYFUNCTION("""COMPUTED_VALUE"""),0.0)</f>
        <v>0</v>
      </c>
      <c r="R300" s="259"/>
      <c r="S300" s="260"/>
      <c r="T300" s="261"/>
      <c r="U300" s="262"/>
      <c r="V300" s="250"/>
      <c r="W300" s="250"/>
      <c r="X300" s="250"/>
      <c r="Y300" s="250"/>
      <c r="Z300" s="250"/>
      <c r="AA300" s="250"/>
      <c r="AB300" s="250"/>
      <c r="AC300" s="250"/>
      <c r="AD300" s="250"/>
      <c r="AE300" s="250"/>
      <c r="AF300" s="250"/>
      <c r="AG300" s="250"/>
      <c r="AH300" s="250"/>
      <c r="AI300" s="250"/>
      <c r="AJ300" s="250"/>
      <c r="AK300" s="250"/>
      <c r="AL300" s="250"/>
      <c r="AM300" s="250"/>
      <c r="AN300" s="250"/>
    </row>
    <row r="301" ht="15.75" customHeight="1">
      <c r="A301" s="250"/>
      <c r="B301" s="251">
        <f>IFERROR(__xludf.DUMMYFUNCTION("""COMPUTED_VALUE"""),293.0)</f>
        <v>293</v>
      </c>
      <c r="C301" s="252"/>
      <c r="D301" s="253" t="str">
        <f>IFERROR(__xludf.DUMMYFUNCTION("""COMPUTED_VALUE"""),"")</f>
        <v/>
      </c>
      <c r="E301" s="254">
        <f>IFERROR(__xludf.DUMMYFUNCTION("""COMPUTED_VALUE"""),0.0)</f>
        <v>0</v>
      </c>
      <c r="F301" s="255"/>
      <c r="G301" s="256"/>
      <c r="H301" s="252">
        <f>IFERROR(__xludf.DUMMYFUNCTION("""COMPUTED_VALUE"""),0.0)</f>
        <v>0</v>
      </c>
      <c r="I301" s="258"/>
      <c r="J301" s="258"/>
      <c r="K301" s="257">
        <f>IFERROR(__xludf.DUMMYFUNCTION("""COMPUTED_VALUE"""),0.0)</f>
        <v>0</v>
      </c>
      <c r="L301" s="258">
        <f>IFERROR(__xludf.DUMMYFUNCTION("""COMPUTED_VALUE"""),0.0)</f>
        <v>0</v>
      </c>
      <c r="M301" s="258">
        <f>IFERROR(__xludf.DUMMYFUNCTION("""COMPUTED_VALUE"""),0.0)</f>
        <v>0</v>
      </c>
      <c r="N301" s="258">
        <f>IFERROR(__xludf.DUMMYFUNCTION("""COMPUTED_VALUE"""),0.0)</f>
        <v>0</v>
      </c>
      <c r="O301" s="258">
        <f>IFERROR(__xludf.DUMMYFUNCTION("""COMPUTED_VALUE"""),0.0)</f>
        <v>0</v>
      </c>
      <c r="P301" s="258">
        <f>IFERROR(__xludf.DUMMYFUNCTION("""COMPUTED_VALUE"""),0.0)</f>
        <v>0</v>
      </c>
      <c r="Q301" s="258">
        <f>IFERROR(__xludf.DUMMYFUNCTION("""COMPUTED_VALUE"""),0.0)</f>
        <v>0</v>
      </c>
      <c r="R301" s="259"/>
      <c r="S301" s="260"/>
      <c r="T301" s="261"/>
      <c r="U301" s="262"/>
      <c r="V301" s="250"/>
      <c r="W301" s="250"/>
      <c r="X301" s="250"/>
      <c r="Y301" s="250"/>
      <c r="Z301" s="250"/>
      <c r="AA301" s="250"/>
      <c r="AB301" s="250"/>
      <c r="AC301" s="250"/>
      <c r="AD301" s="250"/>
      <c r="AE301" s="250"/>
      <c r="AF301" s="250"/>
      <c r="AG301" s="250"/>
      <c r="AH301" s="250"/>
      <c r="AI301" s="250"/>
      <c r="AJ301" s="250"/>
      <c r="AK301" s="250"/>
      <c r="AL301" s="250"/>
      <c r="AM301" s="250"/>
      <c r="AN301" s="250"/>
    </row>
    <row r="302" ht="15.75" customHeight="1">
      <c r="A302" s="250"/>
      <c r="B302" s="251">
        <f>IFERROR(__xludf.DUMMYFUNCTION("""COMPUTED_VALUE"""),294.0)</f>
        <v>294</v>
      </c>
      <c r="C302" s="252"/>
      <c r="D302" s="253" t="str">
        <f>IFERROR(__xludf.DUMMYFUNCTION("""COMPUTED_VALUE"""),"")</f>
        <v/>
      </c>
      <c r="E302" s="254">
        <f>IFERROR(__xludf.DUMMYFUNCTION("""COMPUTED_VALUE"""),0.0)</f>
        <v>0</v>
      </c>
      <c r="F302" s="255"/>
      <c r="G302" s="256"/>
      <c r="H302" s="252">
        <f>IFERROR(__xludf.DUMMYFUNCTION("""COMPUTED_VALUE"""),0.0)</f>
        <v>0</v>
      </c>
      <c r="I302" s="258"/>
      <c r="J302" s="258"/>
      <c r="K302" s="257">
        <f>IFERROR(__xludf.DUMMYFUNCTION("""COMPUTED_VALUE"""),0.0)</f>
        <v>0</v>
      </c>
      <c r="L302" s="258">
        <f>IFERROR(__xludf.DUMMYFUNCTION("""COMPUTED_VALUE"""),0.0)</f>
        <v>0</v>
      </c>
      <c r="M302" s="258">
        <f>IFERROR(__xludf.DUMMYFUNCTION("""COMPUTED_VALUE"""),0.0)</f>
        <v>0</v>
      </c>
      <c r="N302" s="258">
        <f>IFERROR(__xludf.DUMMYFUNCTION("""COMPUTED_VALUE"""),0.0)</f>
        <v>0</v>
      </c>
      <c r="O302" s="258">
        <f>IFERROR(__xludf.DUMMYFUNCTION("""COMPUTED_VALUE"""),0.0)</f>
        <v>0</v>
      </c>
      <c r="P302" s="258">
        <f>IFERROR(__xludf.DUMMYFUNCTION("""COMPUTED_VALUE"""),0.0)</f>
        <v>0</v>
      </c>
      <c r="Q302" s="258">
        <f>IFERROR(__xludf.DUMMYFUNCTION("""COMPUTED_VALUE"""),0.0)</f>
        <v>0</v>
      </c>
      <c r="R302" s="259"/>
      <c r="S302" s="260"/>
      <c r="T302" s="261"/>
      <c r="U302" s="262"/>
      <c r="V302" s="250"/>
      <c r="W302" s="250"/>
      <c r="X302" s="250"/>
      <c r="Y302" s="250"/>
      <c r="Z302" s="250"/>
      <c r="AA302" s="250"/>
      <c r="AB302" s="250"/>
      <c r="AC302" s="250"/>
      <c r="AD302" s="250"/>
      <c r="AE302" s="250"/>
      <c r="AF302" s="250"/>
      <c r="AG302" s="250"/>
      <c r="AH302" s="250"/>
      <c r="AI302" s="250"/>
      <c r="AJ302" s="250"/>
      <c r="AK302" s="250"/>
      <c r="AL302" s="250"/>
      <c r="AM302" s="250"/>
      <c r="AN302" s="250"/>
    </row>
    <row r="303" ht="15.75" customHeight="1">
      <c r="A303" s="250"/>
      <c r="B303" s="251">
        <f>IFERROR(__xludf.DUMMYFUNCTION("""COMPUTED_VALUE"""),295.0)</f>
        <v>295</v>
      </c>
      <c r="C303" s="252"/>
      <c r="D303" s="253" t="str">
        <f>IFERROR(__xludf.DUMMYFUNCTION("""COMPUTED_VALUE"""),"")</f>
        <v/>
      </c>
      <c r="E303" s="254">
        <f>IFERROR(__xludf.DUMMYFUNCTION("""COMPUTED_VALUE"""),0.0)</f>
        <v>0</v>
      </c>
      <c r="F303" s="255"/>
      <c r="G303" s="256"/>
      <c r="H303" s="252">
        <f>IFERROR(__xludf.DUMMYFUNCTION("""COMPUTED_VALUE"""),0.0)</f>
        <v>0</v>
      </c>
      <c r="I303" s="258"/>
      <c r="J303" s="258"/>
      <c r="K303" s="257">
        <f>IFERROR(__xludf.DUMMYFUNCTION("""COMPUTED_VALUE"""),0.0)</f>
        <v>0</v>
      </c>
      <c r="L303" s="258">
        <f>IFERROR(__xludf.DUMMYFUNCTION("""COMPUTED_VALUE"""),0.0)</f>
        <v>0</v>
      </c>
      <c r="M303" s="258">
        <f>IFERROR(__xludf.DUMMYFUNCTION("""COMPUTED_VALUE"""),0.0)</f>
        <v>0</v>
      </c>
      <c r="N303" s="258">
        <f>IFERROR(__xludf.DUMMYFUNCTION("""COMPUTED_VALUE"""),0.0)</f>
        <v>0</v>
      </c>
      <c r="O303" s="258">
        <f>IFERROR(__xludf.DUMMYFUNCTION("""COMPUTED_VALUE"""),0.0)</f>
        <v>0</v>
      </c>
      <c r="P303" s="258">
        <f>IFERROR(__xludf.DUMMYFUNCTION("""COMPUTED_VALUE"""),0.0)</f>
        <v>0</v>
      </c>
      <c r="Q303" s="258">
        <f>IFERROR(__xludf.DUMMYFUNCTION("""COMPUTED_VALUE"""),0.0)</f>
        <v>0</v>
      </c>
      <c r="R303" s="259"/>
      <c r="S303" s="260"/>
      <c r="T303" s="261"/>
      <c r="U303" s="262"/>
      <c r="V303" s="250"/>
      <c r="W303" s="250"/>
      <c r="X303" s="250"/>
      <c r="Y303" s="250"/>
      <c r="Z303" s="250"/>
      <c r="AA303" s="250"/>
      <c r="AB303" s="250"/>
      <c r="AC303" s="250"/>
      <c r="AD303" s="250"/>
      <c r="AE303" s="250"/>
      <c r="AF303" s="250"/>
      <c r="AG303" s="250"/>
      <c r="AH303" s="250"/>
      <c r="AI303" s="250"/>
      <c r="AJ303" s="250"/>
      <c r="AK303" s="250"/>
      <c r="AL303" s="250"/>
      <c r="AM303" s="250"/>
      <c r="AN303" s="250"/>
    </row>
    <row r="304" ht="15.75" customHeight="1">
      <c r="A304" s="250"/>
      <c r="B304" s="251">
        <f>IFERROR(__xludf.DUMMYFUNCTION("""COMPUTED_VALUE"""),296.0)</f>
        <v>296</v>
      </c>
      <c r="C304" s="252"/>
      <c r="D304" s="253" t="str">
        <f>IFERROR(__xludf.DUMMYFUNCTION("""COMPUTED_VALUE"""),"")</f>
        <v/>
      </c>
      <c r="E304" s="254">
        <f>IFERROR(__xludf.DUMMYFUNCTION("""COMPUTED_VALUE"""),0.0)</f>
        <v>0</v>
      </c>
      <c r="F304" s="255"/>
      <c r="G304" s="256"/>
      <c r="H304" s="252">
        <f>IFERROR(__xludf.DUMMYFUNCTION("""COMPUTED_VALUE"""),0.0)</f>
        <v>0</v>
      </c>
      <c r="I304" s="258"/>
      <c r="J304" s="258"/>
      <c r="K304" s="257">
        <f>IFERROR(__xludf.DUMMYFUNCTION("""COMPUTED_VALUE"""),0.0)</f>
        <v>0</v>
      </c>
      <c r="L304" s="258">
        <f>IFERROR(__xludf.DUMMYFUNCTION("""COMPUTED_VALUE"""),0.0)</f>
        <v>0</v>
      </c>
      <c r="M304" s="258">
        <f>IFERROR(__xludf.DUMMYFUNCTION("""COMPUTED_VALUE"""),0.0)</f>
        <v>0</v>
      </c>
      <c r="N304" s="258">
        <f>IFERROR(__xludf.DUMMYFUNCTION("""COMPUTED_VALUE"""),0.0)</f>
        <v>0</v>
      </c>
      <c r="O304" s="258">
        <f>IFERROR(__xludf.DUMMYFUNCTION("""COMPUTED_VALUE"""),0.0)</f>
        <v>0</v>
      </c>
      <c r="P304" s="258">
        <f>IFERROR(__xludf.DUMMYFUNCTION("""COMPUTED_VALUE"""),0.0)</f>
        <v>0</v>
      </c>
      <c r="Q304" s="258">
        <f>IFERROR(__xludf.DUMMYFUNCTION("""COMPUTED_VALUE"""),0.0)</f>
        <v>0</v>
      </c>
      <c r="R304" s="259"/>
      <c r="S304" s="260"/>
      <c r="T304" s="261"/>
      <c r="U304" s="262"/>
      <c r="V304" s="250"/>
      <c r="W304" s="250"/>
      <c r="X304" s="250"/>
      <c r="Y304" s="250"/>
      <c r="Z304" s="250"/>
      <c r="AA304" s="250"/>
      <c r="AB304" s="250"/>
      <c r="AC304" s="250"/>
      <c r="AD304" s="250"/>
      <c r="AE304" s="250"/>
      <c r="AF304" s="250"/>
      <c r="AG304" s="250"/>
      <c r="AH304" s="250"/>
      <c r="AI304" s="250"/>
      <c r="AJ304" s="250"/>
      <c r="AK304" s="250"/>
      <c r="AL304" s="250"/>
      <c r="AM304" s="250"/>
      <c r="AN304" s="250"/>
    </row>
    <row r="305" ht="15.75" customHeight="1">
      <c r="A305" s="250"/>
      <c r="B305" s="251">
        <f>IFERROR(__xludf.DUMMYFUNCTION("""COMPUTED_VALUE"""),297.0)</f>
        <v>297</v>
      </c>
      <c r="C305" s="252"/>
      <c r="D305" s="253" t="str">
        <f>IFERROR(__xludf.DUMMYFUNCTION("""COMPUTED_VALUE"""),"")</f>
        <v/>
      </c>
      <c r="E305" s="254">
        <f>IFERROR(__xludf.DUMMYFUNCTION("""COMPUTED_VALUE"""),0.0)</f>
        <v>0</v>
      </c>
      <c r="F305" s="255"/>
      <c r="G305" s="256"/>
      <c r="H305" s="252">
        <f>IFERROR(__xludf.DUMMYFUNCTION("""COMPUTED_VALUE"""),0.0)</f>
        <v>0</v>
      </c>
      <c r="I305" s="258"/>
      <c r="J305" s="258"/>
      <c r="K305" s="257">
        <f>IFERROR(__xludf.DUMMYFUNCTION("""COMPUTED_VALUE"""),0.0)</f>
        <v>0</v>
      </c>
      <c r="L305" s="258">
        <f>IFERROR(__xludf.DUMMYFUNCTION("""COMPUTED_VALUE"""),0.0)</f>
        <v>0</v>
      </c>
      <c r="M305" s="258">
        <f>IFERROR(__xludf.DUMMYFUNCTION("""COMPUTED_VALUE"""),0.0)</f>
        <v>0</v>
      </c>
      <c r="N305" s="258">
        <f>IFERROR(__xludf.DUMMYFUNCTION("""COMPUTED_VALUE"""),0.0)</f>
        <v>0</v>
      </c>
      <c r="O305" s="258">
        <f>IFERROR(__xludf.DUMMYFUNCTION("""COMPUTED_VALUE"""),0.0)</f>
        <v>0</v>
      </c>
      <c r="P305" s="258">
        <f>IFERROR(__xludf.DUMMYFUNCTION("""COMPUTED_VALUE"""),0.0)</f>
        <v>0</v>
      </c>
      <c r="Q305" s="258">
        <f>IFERROR(__xludf.DUMMYFUNCTION("""COMPUTED_VALUE"""),0.0)</f>
        <v>0</v>
      </c>
      <c r="R305" s="259"/>
      <c r="S305" s="260"/>
      <c r="T305" s="261"/>
      <c r="U305" s="262"/>
      <c r="V305" s="250"/>
      <c r="W305" s="250"/>
      <c r="X305" s="250"/>
      <c r="Y305" s="250"/>
      <c r="Z305" s="250"/>
      <c r="AA305" s="250"/>
      <c r="AB305" s="250"/>
      <c r="AC305" s="250"/>
      <c r="AD305" s="250"/>
      <c r="AE305" s="250"/>
      <c r="AF305" s="250"/>
      <c r="AG305" s="250"/>
      <c r="AH305" s="250"/>
      <c r="AI305" s="250"/>
      <c r="AJ305" s="250"/>
      <c r="AK305" s="250"/>
      <c r="AL305" s="250"/>
      <c r="AM305" s="250"/>
      <c r="AN305" s="250"/>
    </row>
    <row r="306" ht="15.75" customHeight="1">
      <c r="A306" s="250"/>
      <c r="B306" s="251">
        <f>IFERROR(__xludf.DUMMYFUNCTION("""COMPUTED_VALUE"""),298.0)</f>
        <v>298</v>
      </c>
      <c r="C306" s="252"/>
      <c r="D306" s="253" t="str">
        <f>IFERROR(__xludf.DUMMYFUNCTION("""COMPUTED_VALUE"""),"")</f>
        <v/>
      </c>
      <c r="E306" s="254">
        <f>IFERROR(__xludf.DUMMYFUNCTION("""COMPUTED_VALUE"""),0.0)</f>
        <v>0</v>
      </c>
      <c r="F306" s="255"/>
      <c r="G306" s="256"/>
      <c r="H306" s="252">
        <f>IFERROR(__xludf.DUMMYFUNCTION("""COMPUTED_VALUE"""),0.0)</f>
        <v>0</v>
      </c>
      <c r="I306" s="258"/>
      <c r="J306" s="258"/>
      <c r="K306" s="257">
        <f>IFERROR(__xludf.DUMMYFUNCTION("""COMPUTED_VALUE"""),0.0)</f>
        <v>0</v>
      </c>
      <c r="L306" s="258">
        <f>IFERROR(__xludf.DUMMYFUNCTION("""COMPUTED_VALUE"""),0.0)</f>
        <v>0</v>
      </c>
      <c r="M306" s="258">
        <f>IFERROR(__xludf.DUMMYFUNCTION("""COMPUTED_VALUE"""),0.0)</f>
        <v>0</v>
      </c>
      <c r="N306" s="258">
        <f>IFERROR(__xludf.DUMMYFUNCTION("""COMPUTED_VALUE"""),0.0)</f>
        <v>0</v>
      </c>
      <c r="O306" s="258">
        <f>IFERROR(__xludf.DUMMYFUNCTION("""COMPUTED_VALUE"""),0.0)</f>
        <v>0</v>
      </c>
      <c r="P306" s="258">
        <f>IFERROR(__xludf.DUMMYFUNCTION("""COMPUTED_VALUE"""),0.0)</f>
        <v>0</v>
      </c>
      <c r="Q306" s="258">
        <f>IFERROR(__xludf.DUMMYFUNCTION("""COMPUTED_VALUE"""),0.0)</f>
        <v>0</v>
      </c>
      <c r="R306" s="259"/>
      <c r="S306" s="260"/>
      <c r="T306" s="261"/>
      <c r="U306" s="262"/>
      <c r="V306" s="250"/>
      <c r="W306" s="250"/>
      <c r="X306" s="250"/>
      <c r="Y306" s="250"/>
      <c r="Z306" s="250"/>
      <c r="AA306" s="250"/>
      <c r="AB306" s="250"/>
      <c r="AC306" s="250"/>
      <c r="AD306" s="250"/>
      <c r="AE306" s="250"/>
      <c r="AF306" s="250"/>
      <c r="AG306" s="250"/>
      <c r="AH306" s="250"/>
      <c r="AI306" s="250"/>
      <c r="AJ306" s="250"/>
      <c r="AK306" s="250"/>
      <c r="AL306" s="250"/>
      <c r="AM306" s="250"/>
      <c r="AN306" s="250"/>
    </row>
    <row r="307" ht="15.75" customHeight="1">
      <c r="A307" s="250"/>
      <c r="B307" s="251">
        <f>IFERROR(__xludf.DUMMYFUNCTION("""COMPUTED_VALUE"""),299.0)</f>
        <v>299</v>
      </c>
      <c r="C307" s="252"/>
      <c r="D307" s="253" t="str">
        <f>IFERROR(__xludf.DUMMYFUNCTION("""COMPUTED_VALUE"""),"")</f>
        <v/>
      </c>
      <c r="E307" s="254">
        <f>IFERROR(__xludf.DUMMYFUNCTION("""COMPUTED_VALUE"""),0.0)</f>
        <v>0</v>
      </c>
      <c r="F307" s="255"/>
      <c r="G307" s="256"/>
      <c r="H307" s="252">
        <f>IFERROR(__xludf.DUMMYFUNCTION("""COMPUTED_VALUE"""),0.0)</f>
        <v>0</v>
      </c>
      <c r="I307" s="258"/>
      <c r="J307" s="258"/>
      <c r="K307" s="257">
        <f>IFERROR(__xludf.DUMMYFUNCTION("""COMPUTED_VALUE"""),0.0)</f>
        <v>0</v>
      </c>
      <c r="L307" s="258">
        <f>IFERROR(__xludf.DUMMYFUNCTION("""COMPUTED_VALUE"""),0.0)</f>
        <v>0</v>
      </c>
      <c r="M307" s="258">
        <f>IFERROR(__xludf.DUMMYFUNCTION("""COMPUTED_VALUE"""),0.0)</f>
        <v>0</v>
      </c>
      <c r="N307" s="258">
        <f>IFERROR(__xludf.DUMMYFUNCTION("""COMPUTED_VALUE"""),0.0)</f>
        <v>0</v>
      </c>
      <c r="O307" s="258">
        <f>IFERROR(__xludf.DUMMYFUNCTION("""COMPUTED_VALUE"""),0.0)</f>
        <v>0</v>
      </c>
      <c r="P307" s="258">
        <f>IFERROR(__xludf.DUMMYFUNCTION("""COMPUTED_VALUE"""),0.0)</f>
        <v>0</v>
      </c>
      <c r="Q307" s="258">
        <f>IFERROR(__xludf.DUMMYFUNCTION("""COMPUTED_VALUE"""),0.0)</f>
        <v>0</v>
      </c>
      <c r="R307" s="259"/>
      <c r="S307" s="260"/>
      <c r="T307" s="261"/>
      <c r="U307" s="262"/>
      <c r="V307" s="250"/>
      <c r="W307" s="250"/>
      <c r="X307" s="250"/>
      <c r="Y307" s="250"/>
      <c r="Z307" s="250"/>
      <c r="AA307" s="250"/>
      <c r="AB307" s="250"/>
      <c r="AC307" s="250"/>
      <c r="AD307" s="250"/>
      <c r="AE307" s="250"/>
      <c r="AF307" s="250"/>
      <c r="AG307" s="250"/>
      <c r="AH307" s="250"/>
      <c r="AI307" s="250"/>
      <c r="AJ307" s="250"/>
      <c r="AK307" s="250"/>
      <c r="AL307" s="250"/>
      <c r="AM307" s="250"/>
      <c r="AN307" s="250"/>
    </row>
    <row r="308" ht="15.75" customHeight="1">
      <c r="A308" s="250"/>
      <c r="B308" s="251">
        <f>IFERROR(__xludf.DUMMYFUNCTION("""COMPUTED_VALUE"""),300.0)</f>
        <v>300</v>
      </c>
      <c r="C308" s="252"/>
      <c r="D308" s="253" t="str">
        <f>IFERROR(__xludf.DUMMYFUNCTION("""COMPUTED_VALUE"""),"")</f>
        <v/>
      </c>
      <c r="E308" s="254">
        <f>IFERROR(__xludf.DUMMYFUNCTION("""COMPUTED_VALUE"""),0.0)</f>
        <v>0</v>
      </c>
      <c r="F308" s="255"/>
      <c r="G308" s="256"/>
      <c r="H308" s="252">
        <f>IFERROR(__xludf.DUMMYFUNCTION("""COMPUTED_VALUE"""),0.0)</f>
        <v>0</v>
      </c>
      <c r="I308" s="258"/>
      <c r="J308" s="258"/>
      <c r="K308" s="257">
        <f>IFERROR(__xludf.DUMMYFUNCTION("""COMPUTED_VALUE"""),0.0)</f>
        <v>0</v>
      </c>
      <c r="L308" s="258">
        <f>IFERROR(__xludf.DUMMYFUNCTION("""COMPUTED_VALUE"""),0.0)</f>
        <v>0</v>
      </c>
      <c r="M308" s="258">
        <f>IFERROR(__xludf.DUMMYFUNCTION("""COMPUTED_VALUE"""),0.0)</f>
        <v>0</v>
      </c>
      <c r="N308" s="258">
        <f>IFERROR(__xludf.DUMMYFUNCTION("""COMPUTED_VALUE"""),0.0)</f>
        <v>0</v>
      </c>
      <c r="O308" s="258">
        <f>IFERROR(__xludf.DUMMYFUNCTION("""COMPUTED_VALUE"""),0.0)</f>
        <v>0</v>
      </c>
      <c r="P308" s="258">
        <f>IFERROR(__xludf.DUMMYFUNCTION("""COMPUTED_VALUE"""),0.0)</f>
        <v>0</v>
      </c>
      <c r="Q308" s="258">
        <f>IFERROR(__xludf.DUMMYFUNCTION("""COMPUTED_VALUE"""),0.0)</f>
        <v>0</v>
      </c>
      <c r="R308" s="259"/>
      <c r="S308" s="260"/>
      <c r="T308" s="261"/>
      <c r="U308" s="262"/>
      <c r="V308" s="250"/>
      <c r="W308" s="250"/>
      <c r="X308" s="250"/>
      <c r="Y308" s="250"/>
      <c r="Z308" s="250"/>
      <c r="AA308" s="250"/>
      <c r="AB308" s="250"/>
      <c r="AC308" s="250"/>
      <c r="AD308" s="250"/>
      <c r="AE308" s="250"/>
      <c r="AF308" s="250"/>
      <c r="AG308" s="250"/>
      <c r="AH308" s="250"/>
      <c r="AI308" s="250"/>
      <c r="AJ308" s="250"/>
      <c r="AK308" s="250"/>
      <c r="AL308" s="250"/>
      <c r="AM308" s="250"/>
      <c r="AN308" s="250"/>
    </row>
    <row r="309" ht="15.75" customHeight="1">
      <c r="A309" s="250"/>
      <c r="B309" s="251">
        <f>IFERROR(__xludf.DUMMYFUNCTION("""COMPUTED_VALUE"""),301.0)</f>
        <v>301</v>
      </c>
      <c r="C309" s="252"/>
      <c r="D309" s="253" t="str">
        <f>IFERROR(__xludf.DUMMYFUNCTION("""COMPUTED_VALUE"""),"")</f>
        <v/>
      </c>
      <c r="E309" s="254">
        <f>IFERROR(__xludf.DUMMYFUNCTION("""COMPUTED_VALUE"""),0.0)</f>
        <v>0</v>
      </c>
      <c r="F309" s="255"/>
      <c r="G309" s="256"/>
      <c r="H309" s="252">
        <f>IFERROR(__xludf.DUMMYFUNCTION("""COMPUTED_VALUE"""),0.0)</f>
        <v>0</v>
      </c>
      <c r="I309" s="258"/>
      <c r="J309" s="258"/>
      <c r="K309" s="257">
        <f>IFERROR(__xludf.DUMMYFUNCTION("""COMPUTED_VALUE"""),0.0)</f>
        <v>0</v>
      </c>
      <c r="L309" s="258">
        <f>IFERROR(__xludf.DUMMYFUNCTION("""COMPUTED_VALUE"""),0.0)</f>
        <v>0</v>
      </c>
      <c r="M309" s="258">
        <f>IFERROR(__xludf.DUMMYFUNCTION("""COMPUTED_VALUE"""),0.0)</f>
        <v>0</v>
      </c>
      <c r="N309" s="258">
        <f>IFERROR(__xludf.DUMMYFUNCTION("""COMPUTED_VALUE"""),0.0)</f>
        <v>0</v>
      </c>
      <c r="O309" s="258">
        <f>IFERROR(__xludf.DUMMYFUNCTION("""COMPUTED_VALUE"""),0.0)</f>
        <v>0</v>
      </c>
      <c r="P309" s="258">
        <f>IFERROR(__xludf.DUMMYFUNCTION("""COMPUTED_VALUE"""),0.0)</f>
        <v>0</v>
      </c>
      <c r="Q309" s="258">
        <f>IFERROR(__xludf.DUMMYFUNCTION("""COMPUTED_VALUE"""),0.0)</f>
        <v>0</v>
      </c>
      <c r="R309" s="259"/>
      <c r="S309" s="260"/>
      <c r="T309" s="261"/>
      <c r="U309" s="262"/>
      <c r="V309" s="250"/>
      <c r="W309" s="250"/>
      <c r="X309" s="250"/>
      <c r="Y309" s="250"/>
      <c r="Z309" s="250"/>
      <c r="AA309" s="250"/>
      <c r="AB309" s="250"/>
      <c r="AC309" s="250"/>
      <c r="AD309" s="250"/>
      <c r="AE309" s="250"/>
      <c r="AF309" s="250"/>
      <c r="AG309" s="250"/>
      <c r="AH309" s="250"/>
      <c r="AI309" s="250"/>
      <c r="AJ309" s="250"/>
      <c r="AK309" s="250"/>
      <c r="AL309" s="250"/>
      <c r="AM309" s="250"/>
      <c r="AN309" s="250"/>
    </row>
    <row r="310" ht="15.75" customHeight="1">
      <c r="A310" s="250"/>
      <c r="B310" s="251">
        <f>IFERROR(__xludf.DUMMYFUNCTION("""COMPUTED_VALUE"""),302.0)</f>
        <v>302</v>
      </c>
      <c r="C310" s="252"/>
      <c r="D310" s="253" t="str">
        <f>IFERROR(__xludf.DUMMYFUNCTION("""COMPUTED_VALUE"""),"")</f>
        <v/>
      </c>
      <c r="E310" s="254">
        <f>IFERROR(__xludf.DUMMYFUNCTION("""COMPUTED_VALUE"""),0.0)</f>
        <v>0</v>
      </c>
      <c r="F310" s="255"/>
      <c r="G310" s="256"/>
      <c r="H310" s="252">
        <f>IFERROR(__xludf.DUMMYFUNCTION("""COMPUTED_VALUE"""),0.0)</f>
        <v>0</v>
      </c>
      <c r="I310" s="258"/>
      <c r="J310" s="258"/>
      <c r="K310" s="257">
        <f>IFERROR(__xludf.DUMMYFUNCTION("""COMPUTED_VALUE"""),0.0)</f>
        <v>0</v>
      </c>
      <c r="L310" s="258">
        <f>IFERROR(__xludf.DUMMYFUNCTION("""COMPUTED_VALUE"""),0.0)</f>
        <v>0</v>
      </c>
      <c r="M310" s="258">
        <f>IFERROR(__xludf.DUMMYFUNCTION("""COMPUTED_VALUE"""),0.0)</f>
        <v>0</v>
      </c>
      <c r="N310" s="258">
        <f>IFERROR(__xludf.DUMMYFUNCTION("""COMPUTED_VALUE"""),0.0)</f>
        <v>0</v>
      </c>
      <c r="O310" s="258">
        <f>IFERROR(__xludf.DUMMYFUNCTION("""COMPUTED_VALUE"""),0.0)</f>
        <v>0</v>
      </c>
      <c r="P310" s="258">
        <f>IFERROR(__xludf.DUMMYFUNCTION("""COMPUTED_VALUE"""),0.0)</f>
        <v>0</v>
      </c>
      <c r="Q310" s="258">
        <f>IFERROR(__xludf.DUMMYFUNCTION("""COMPUTED_VALUE"""),0.0)</f>
        <v>0</v>
      </c>
      <c r="R310" s="259"/>
      <c r="S310" s="260"/>
      <c r="T310" s="261"/>
      <c r="U310" s="262"/>
      <c r="V310" s="250"/>
      <c r="W310" s="250"/>
      <c r="X310" s="250"/>
      <c r="Y310" s="250"/>
      <c r="Z310" s="250"/>
      <c r="AA310" s="250"/>
      <c r="AB310" s="250"/>
      <c r="AC310" s="250"/>
      <c r="AD310" s="250"/>
      <c r="AE310" s="250"/>
      <c r="AF310" s="250"/>
      <c r="AG310" s="250"/>
      <c r="AH310" s="250"/>
      <c r="AI310" s="250"/>
      <c r="AJ310" s="250"/>
      <c r="AK310" s="250"/>
      <c r="AL310" s="250"/>
      <c r="AM310" s="250"/>
      <c r="AN310" s="250"/>
    </row>
    <row r="311" ht="15.75" customHeight="1">
      <c r="A311" s="250"/>
      <c r="B311" s="251">
        <f>IFERROR(__xludf.DUMMYFUNCTION("""COMPUTED_VALUE"""),303.0)</f>
        <v>303</v>
      </c>
      <c r="C311" s="252"/>
      <c r="D311" s="253" t="str">
        <f>IFERROR(__xludf.DUMMYFUNCTION("""COMPUTED_VALUE"""),"")</f>
        <v/>
      </c>
      <c r="E311" s="254">
        <f>IFERROR(__xludf.DUMMYFUNCTION("""COMPUTED_VALUE"""),0.0)</f>
        <v>0</v>
      </c>
      <c r="F311" s="255"/>
      <c r="G311" s="256"/>
      <c r="H311" s="252">
        <f>IFERROR(__xludf.DUMMYFUNCTION("""COMPUTED_VALUE"""),0.0)</f>
        <v>0</v>
      </c>
      <c r="I311" s="258"/>
      <c r="J311" s="258"/>
      <c r="K311" s="257">
        <f>IFERROR(__xludf.DUMMYFUNCTION("""COMPUTED_VALUE"""),0.0)</f>
        <v>0</v>
      </c>
      <c r="L311" s="258">
        <f>IFERROR(__xludf.DUMMYFUNCTION("""COMPUTED_VALUE"""),0.0)</f>
        <v>0</v>
      </c>
      <c r="M311" s="258">
        <f>IFERROR(__xludf.DUMMYFUNCTION("""COMPUTED_VALUE"""),0.0)</f>
        <v>0</v>
      </c>
      <c r="N311" s="258">
        <f>IFERROR(__xludf.DUMMYFUNCTION("""COMPUTED_VALUE"""),0.0)</f>
        <v>0</v>
      </c>
      <c r="O311" s="258">
        <f>IFERROR(__xludf.DUMMYFUNCTION("""COMPUTED_VALUE"""),0.0)</f>
        <v>0</v>
      </c>
      <c r="P311" s="258">
        <f>IFERROR(__xludf.DUMMYFUNCTION("""COMPUTED_VALUE"""),0.0)</f>
        <v>0</v>
      </c>
      <c r="Q311" s="258">
        <f>IFERROR(__xludf.DUMMYFUNCTION("""COMPUTED_VALUE"""),0.0)</f>
        <v>0</v>
      </c>
      <c r="R311" s="259"/>
      <c r="S311" s="260"/>
      <c r="T311" s="261"/>
      <c r="U311" s="262"/>
      <c r="V311" s="250"/>
      <c r="W311" s="250"/>
      <c r="X311" s="250"/>
      <c r="Y311" s="250"/>
      <c r="Z311" s="250"/>
      <c r="AA311" s="250"/>
      <c r="AB311" s="250"/>
      <c r="AC311" s="250"/>
      <c r="AD311" s="250"/>
      <c r="AE311" s="250"/>
      <c r="AF311" s="250"/>
      <c r="AG311" s="250"/>
      <c r="AH311" s="250"/>
      <c r="AI311" s="250"/>
      <c r="AJ311" s="250"/>
      <c r="AK311" s="250"/>
      <c r="AL311" s="250"/>
      <c r="AM311" s="250"/>
      <c r="AN311" s="250"/>
    </row>
    <row r="312" ht="15.75" customHeight="1">
      <c r="A312" s="250"/>
      <c r="B312" s="251">
        <f>IFERROR(__xludf.DUMMYFUNCTION("""COMPUTED_VALUE"""),304.0)</f>
        <v>304</v>
      </c>
      <c r="C312" s="252"/>
      <c r="D312" s="253" t="str">
        <f>IFERROR(__xludf.DUMMYFUNCTION("""COMPUTED_VALUE"""),"")</f>
        <v/>
      </c>
      <c r="E312" s="254">
        <f>IFERROR(__xludf.DUMMYFUNCTION("""COMPUTED_VALUE"""),0.0)</f>
        <v>0</v>
      </c>
      <c r="F312" s="255"/>
      <c r="G312" s="256"/>
      <c r="H312" s="252">
        <f>IFERROR(__xludf.DUMMYFUNCTION("""COMPUTED_VALUE"""),0.0)</f>
        <v>0</v>
      </c>
      <c r="I312" s="258"/>
      <c r="J312" s="258"/>
      <c r="K312" s="257">
        <f>IFERROR(__xludf.DUMMYFUNCTION("""COMPUTED_VALUE"""),0.0)</f>
        <v>0</v>
      </c>
      <c r="L312" s="258">
        <f>IFERROR(__xludf.DUMMYFUNCTION("""COMPUTED_VALUE"""),0.0)</f>
        <v>0</v>
      </c>
      <c r="M312" s="258">
        <f>IFERROR(__xludf.DUMMYFUNCTION("""COMPUTED_VALUE"""),0.0)</f>
        <v>0</v>
      </c>
      <c r="N312" s="258">
        <f>IFERROR(__xludf.DUMMYFUNCTION("""COMPUTED_VALUE"""),0.0)</f>
        <v>0</v>
      </c>
      <c r="O312" s="258">
        <f>IFERROR(__xludf.DUMMYFUNCTION("""COMPUTED_VALUE"""),0.0)</f>
        <v>0</v>
      </c>
      <c r="P312" s="258">
        <f>IFERROR(__xludf.DUMMYFUNCTION("""COMPUTED_VALUE"""),0.0)</f>
        <v>0</v>
      </c>
      <c r="Q312" s="258">
        <f>IFERROR(__xludf.DUMMYFUNCTION("""COMPUTED_VALUE"""),0.0)</f>
        <v>0</v>
      </c>
      <c r="R312" s="259"/>
      <c r="S312" s="260"/>
      <c r="T312" s="261"/>
      <c r="U312" s="262"/>
      <c r="V312" s="250"/>
      <c r="W312" s="250"/>
      <c r="X312" s="250"/>
      <c r="Y312" s="250"/>
      <c r="Z312" s="250"/>
      <c r="AA312" s="250"/>
      <c r="AB312" s="250"/>
      <c r="AC312" s="250"/>
      <c r="AD312" s="250"/>
      <c r="AE312" s="250"/>
      <c r="AF312" s="250"/>
      <c r="AG312" s="250"/>
      <c r="AH312" s="250"/>
      <c r="AI312" s="250"/>
      <c r="AJ312" s="250"/>
      <c r="AK312" s="250"/>
      <c r="AL312" s="250"/>
      <c r="AM312" s="250"/>
      <c r="AN312" s="250"/>
    </row>
    <row r="313" ht="15.75" customHeight="1">
      <c r="A313" s="250"/>
      <c r="B313" s="251">
        <f>IFERROR(__xludf.DUMMYFUNCTION("""COMPUTED_VALUE"""),305.0)</f>
        <v>305</v>
      </c>
      <c r="C313" s="252"/>
      <c r="D313" s="253" t="str">
        <f>IFERROR(__xludf.DUMMYFUNCTION("""COMPUTED_VALUE"""),"")</f>
        <v/>
      </c>
      <c r="E313" s="254">
        <f>IFERROR(__xludf.DUMMYFUNCTION("""COMPUTED_VALUE"""),0.0)</f>
        <v>0</v>
      </c>
      <c r="F313" s="255"/>
      <c r="G313" s="256"/>
      <c r="H313" s="252">
        <f>IFERROR(__xludf.DUMMYFUNCTION("""COMPUTED_VALUE"""),0.0)</f>
        <v>0</v>
      </c>
      <c r="I313" s="258"/>
      <c r="J313" s="258"/>
      <c r="K313" s="257">
        <f>IFERROR(__xludf.DUMMYFUNCTION("""COMPUTED_VALUE"""),0.0)</f>
        <v>0</v>
      </c>
      <c r="L313" s="258">
        <f>IFERROR(__xludf.DUMMYFUNCTION("""COMPUTED_VALUE"""),0.0)</f>
        <v>0</v>
      </c>
      <c r="M313" s="258">
        <f>IFERROR(__xludf.DUMMYFUNCTION("""COMPUTED_VALUE"""),0.0)</f>
        <v>0</v>
      </c>
      <c r="N313" s="258">
        <f>IFERROR(__xludf.DUMMYFUNCTION("""COMPUTED_VALUE"""),0.0)</f>
        <v>0</v>
      </c>
      <c r="O313" s="258">
        <f>IFERROR(__xludf.DUMMYFUNCTION("""COMPUTED_VALUE"""),0.0)</f>
        <v>0</v>
      </c>
      <c r="P313" s="258">
        <f>IFERROR(__xludf.DUMMYFUNCTION("""COMPUTED_VALUE"""),0.0)</f>
        <v>0</v>
      </c>
      <c r="Q313" s="258">
        <f>IFERROR(__xludf.DUMMYFUNCTION("""COMPUTED_VALUE"""),0.0)</f>
        <v>0</v>
      </c>
      <c r="R313" s="259"/>
      <c r="S313" s="260"/>
      <c r="T313" s="261"/>
      <c r="U313" s="262"/>
      <c r="V313" s="250"/>
      <c r="W313" s="250"/>
      <c r="X313" s="250"/>
      <c r="Y313" s="250"/>
      <c r="Z313" s="250"/>
      <c r="AA313" s="250"/>
      <c r="AB313" s="250"/>
      <c r="AC313" s="250"/>
      <c r="AD313" s="250"/>
      <c r="AE313" s="250"/>
      <c r="AF313" s="250"/>
      <c r="AG313" s="250"/>
      <c r="AH313" s="250"/>
      <c r="AI313" s="250"/>
      <c r="AJ313" s="250"/>
      <c r="AK313" s="250"/>
      <c r="AL313" s="250"/>
      <c r="AM313" s="250"/>
      <c r="AN313" s="250"/>
    </row>
    <row r="314" ht="15.75" customHeight="1">
      <c r="A314" s="250"/>
      <c r="B314" s="251">
        <f>IFERROR(__xludf.DUMMYFUNCTION("""COMPUTED_VALUE"""),306.0)</f>
        <v>306</v>
      </c>
      <c r="C314" s="252"/>
      <c r="D314" s="253" t="str">
        <f>IFERROR(__xludf.DUMMYFUNCTION("""COMPUTED_VALUE"""),"")</f>
        <v/>
      </c>
      <c r="E314" s="254">
        <f>IFERROR(__xludf.DUMMYFUNCTION("""COMPUTED_VALUE"""),0.0)</f>
        <v>0</v>
      </c>
      <c r="F314" s="255"/>
      <c r="G314" s="256"/>
      <c r="H314" s="252">
        <f>IFERROR(__xludf.DUMMYFUNCTION("""COMPUTED_VALUE"""),0.0)</f>
        <v>0</v>
      </c>
      <c r="I314" s="258"/>
      <c r="J314" s="258"/>
      <c r="K314" s="257">
        <f>IFERROR(__xludf.DUMMYFUNCTION("""COMPUTED_VALUE"""),0.0)</f>
        <v>0</v>
      </c>
      <c r="L314" s="258">
        <f>IFERROR(__xludf.DUMMYFUNCTION("""COMPUTED_VALUE"""),0.0)</f>
        <v>0</v>
      </c>
      <c r="M314" s="258">
        <f>IFERROR(__xludf.DUMMYFUNCTION("""COMPUTED_VALUE"""),0.0)</f>
        <v>0</v>
      </c>
      <c r="N314" s="258">
        <f>IFERROR(__xludf.DUMMYFUNCTION("""COMPUTED_VALUE"""),0.0)</f>
        <v>0</v>
      </c>
      <c r="O314" s="258">
        <f>IFERROR(__xludf.DUMMYFUNCTION("""COMPUTED_VALUE"""),0.0)</f>
        <v>0</v>
      </c>
      <c r="P314" s="258">
        <f>IFERROR(__xludf.DUMMYFUNCTION("""COMPUTED_VALUE"""),0.0)</f>
        <v>0</v>
      </c>
      <c r="Q314" s="258">
        <f>IFERROR(__xludf.DUMMYFUNCTION("""COMPUTED_VALUE"""),0.0)</f>
        <v>0</v>
      </c>
      <c r="R314" s="259"/>
      <c r="S314" s="260"/>
      <c r="T314" s="261"/>
      <c r="U314" s="262"/>
      <c r="V314" s="250"/>
      <c r="W314" s="250"/>
      <c r="X314" s="250"/>
      <c r="Y314" s="250"/>
      <c r="Z314" s="250"/>
      <c r="AA314" s="250"/>
      <c r="AB314" s="250"/>
      <c r="AC314" s="250"/>
      <c r="AD314" s="250"/>
      <c r="AE314" s="250"/>
      <c r="AF314" s="250"/>
      <c r="AG314" s="250"/>
      <c r="AH314" s="250"/>
      <c r="AI314" s="250"/>
      <c r="AJ314" s="250"/>
      <c r="AK314" s="250"/>
      <c r="AL314" s="250"/>
      <c r="AM314" s="250"/>
      <c r="AN314" s="250"/>
    </row>
    <row r="315" ht="15.75" customHeight="1">
      <c r="A315" s="250"/>
      <c r="B315" s="251">
        <f>IFERROR(__xludf.DUMMYFUNCTION("""COMPUTED_VALUE"""),307.0)</f>
        <v>307</v>
      </c>
      <c r="C315" s="252"/>
      <c r="D315" s="253" t="str">
        <f>IFERROR(__xludf.DUMMYFUNCTION("""COMPUTED_VALUE"""),"")</f>
        <v/>
      </c>
      <c r="E315" s="254">
        <f>IFERROR(__xludf.DUMMYFUNCTION("""COMPUTED_VALUE"""),0.0)</f>
        <v>0</v>
      </c>
      <c r="F315" s="255"/>
      <c r="G315" s="256"/>
      <c r="H315" s="252">
        <f>IFERROR(__xludf.DUMMYFUNCTION("""COMPUTED_VALUE"""),0.0)</f>
        <v>0</v>
      </c>
      <c r="I315" s="258"/>
      <c r="J315" s="258"/>
      <c r="K315" s="257">
        <f>IFERROR(__xludf.DUMMYFUNCTION("""COMPUTED_VALUE"""),0.0)</f>
        <v>0</v>
      </c>
      <c r="L315" s="258">
        <f>IFERROR(__xludf.DUMMYFUNCTION("""COMPUTED_VALUE"""),0.0)</f>
        <v>0</v>
      </c>
      <c r="M315" s="258">
        <f>IFERROR(__xludf.DUMMYFUNCTION("""COMPUTED_VALUE"""),0.0)</f>
        <v>0</v>
      </c>
      <c r="N315" s="258">
        <f>IFERROR(__xludf.DUMMYFUNCTION("""COMPUTED_VALUE"""),0.0)</f>
        <v>0</v>
      </c>
      <c r="O315" s="258">
        <f>IFERROR(__xludf.DUMMYFUNCTION("""COMPUTED_VALUE"""),0.0)</f>
        <v>0</v>
      </c>
      <c r="P315" s="258">
        <f>IFERROR(__xludf.DUMMYFUNCTION("""COMPUTED_VALUE"""),0.0)</f>
        <v>0</v>
      </c>
      <c r="Q315" s="258">
        <f>IFERROR(__xludf.DUMMYFUNCTION("""COMPUTED_VALUE"""),0.0)</f>
        <v>0</v>
      </c>
      <c r="R315" s="259"/>
      <c r="S315" s="260"/>
      <c r="T315" s="261"/>
      <c r="U315" s="262"/>
      <c r="V315" s="250"/>
      <c r="W315" s="250"/>
      <c r="X315" s="250"/>
      <c r="Y315" s="250"/>
      <c r="Z315" s="250"/>
      <c r="AA315" s="250"/>
      <c r="AB315" s="250"/>
      <c r="AC315" s="250"/>
      <c r="AD315" s="250"/>
      <c r="AE315" s="250"/>
      <c r="AF315" s="250"/>
      <c r="AG315" s="250"/>
      <c r="AH315" s="250"/>
      <c r="AI315" s="250"/>
      <c r="AJ315" s="250"/>
      <c r="AK315" s="250"/>
      <c r="AL315" s="250"/>
      <c r="AM315" s="250"/>
      <c r="AN315" s="250"/>
    </row>
    <row r="316" ht="15.75" customHeight="1">
      <c r="A316" s="250"/>
      <c r="B316" s="251">
        <f>IFERROR(__xludf.DUMMYFUNCTION("""COMPUTED_VALUE"""),308.0)</f>
        <v>308</v>
      </c>
      <c r="C316" s="252"/>
      <c r="D316" s="253" t="str">
        <f>IFERROR(__xludf.DUMMYFUNCTION("""COMPUTED_VALUE"""),"")</f>
        <v/>
      </c>
      <c r="E316" s="254">
        <f>IFERROR(__xludf.DUMMYFUNCTION("""COMPUTED_VALUE"""),0.0)</f>
        <v>0</v>
      </c>
      <c r="F316" s="255"/>
      <c r="G316" s="256"/>
      <c r="H316" s="252">
        <f>IFERROR(__xludf.DUMMYFUNCTION("""COMPUTED_VALUE"""),0.0)</f>
        <v>0</v>
      </c>
      <c r="I316" s="258"/>
      <c r="J316" s="258"/>
      <c r="K316" s="257">
        <f>IFERROR(__xludf.DUMMYFUNCTION("""COMPUTED_VALUE"""),0.0)</f>
        <v>0</v>
      </c>
      <c r="L316" s="258">
        <f>IFERROR(__xludf.DUMMYFUNCTION("""COMPUTED_VALUE"""),0.0)</f>
        <v>0</v>
      </c>
      <c r="M316" s="258">
        <f>IFERROR(__xludf.DUMMYFUNCTION("""COMPUTED_VALUE"""),0.0)</f>
        <v>0</v>
      </c>
      <c r="N316" s="258">
        <f>IFERROR(__xludf.DUMMYFUNCTION("""COMPUTED_VALUE"""),0.0)</f>
        <v>0</v>
      </c>
      <c r="O316" s="258">
        <f>IFERROR(__xludf.DUMMYFUNCTION("""COMPUTED_VALUE"""),0.0)</f>
        <v>0</v>
      </c>
      <c r="P316" s="258">
        <f>IFERROR(__xludf.DUMMYFUNCTION("""COMPUTED_VALUE"""),0.0)</f>
        <v>0</v>
      </c>
      <c r="Q316" s="258">
        <f>IFERROR(__xludf.DUMMYFUNCTION("""COMPUTED_VALUE"""),0.0)</f>
        <v>0</v>
      </c>
      <c r="R316" s="259"/>
      <c r="S316" s="260"/>
      <c r="T316" s="261"/>
      <c r="U316" s="262"/>
      <c r="V316" s="250"/>
      <c r="W316" s="250"/>
      <c r="X316" s="250"/>
      <c r="Y316" s="250"/>
      <c r="Z316" s="250"/>
      <c r="AA316" s="250"/>
      <c r="AB316" s="250"/>
      <c r="AC316" s="250"/>
      <c r="AD316" s="250"/>
      <c r="AE316" s="250"/>
      <c r="AF316" s="250"/>
      <c r="AG316" s="250"/>
      <c r="AH316" s="250"/>
      <c r="AI316" s="250"/>
      <c r="AJ316" s="250"/>
      <c r="AK316" s="250"/>
      <c r="AL316" s="250"/>
      <c r="AM316" s="250"/>
      <c r="AN316" s="250"/>
    </row>
    <row r="317" ht="15.75" customHeight="1">
      <c r="A317" s="250"/>
      <c r="B317" s="251">
        <f>IFERROR(__xludf.DUMMYFUNCTION("""COMPUTED_VALUE"""),309.0)</f>
        <v>309</v>
      </c>
      <c r="C317" s="252"/>
      <c r="D317" s="253" t="str">
        <f>IFERROR(__xludf.DUMMYFUNCTION("""COMPUTED_VALUE"""),"")</f>
        <v/>
      </c>
      <c r="E317" s="254">
        <f>IFERROR(__xludf.DUMMYFUNCTION("""COMPUTED_VALUE"""),0.0)</f>
        <v>0</v>
      </c>
      <c r="F317" s="255"/>
      <c r="G317" s="256"/>
      <c r="H317" s="252">
        <f>IFERROR(__xludf.DUMMYFUNCTION("""COMPUTED_VALUE"""),0.0)</f>
        <v>0</v>
      </c>
      <c r="I317" s="258"/>
      <c r="J317" s="258"/>
      <c r="K317" s="257">
        <f>IFERROR(__xludf.DUMMYFUNCTION("""COMPUTED_VALUE"""),0.0)</f>
        <v>0</v>
      </c>
      <c r="L317" s="258">
        <f>IFERROR(__xludf.DUMMYFUNCTION("""COMPUTED_VALUE"""),0.0)</f>
        <v>0</v>
      </c>
      <c r="M317" s="258">
        <f>IFERROR(__xludf.DUMMYFUNCTION("""COMPUTED_VALUE"""),0.0)</f>
        <v>0</v>
      </c>
      <c r="N317" s="258">
        <f>IFERROR(__xludf.DUMMYFUNCTION("""COMPUTED_VALUE"""),0.0)</f>
        <v>0</v>
      </c>
      <c r="O317" s="258">
        <f>IFERROR(__xludf.DUMMYFUNCTION("""COMPUTED_VALUE"""),0.0)</f>
        <v>0</v>
      </c>
      <c r="P317" s="258">
        <f>IFERROR(__xludf.DUMMYFUNCTION("""COMPUTED_VALUE"""),0.0)</f>
        <v>0</v>
      </c>
      <c r="Q317" s="258">
        <f>IFERROR(__xludf.DUMMYFUNCTION("""COMPUTED_VALUE"""),0.0)</f>
        <v>0</v>
      </c>
      <c r="R317" s="259"/>
      <c r="S317" s="260"/>
      <c r="T317" s="261"/>
      <c r="U317" s="262"/>
      <c r="V317" s="250"/>
      <c r="W317" s="250"/>
      <c r="X317" s="250"/>
      <c r="Y317" s="250"/>
      <c r="Z317" s="250"/>
      <c r="AA317" s="250"/>
      <c r="AB317" s="250"/>
      <c r="AC317" s="250"/>
      <c r="AD317" s="250"/>
      <c r="AE317" s="250"/>
      <c r="AF317" s="250"/>
      <c r="AG317" s="250"/>
      <c r="AH317" s="250"/>
      <c r="AI317" s="250"/>
      <c r="AJ317" s="250"/>
      <c r="AK317" s="250"/>
      <c r="AL317" s="250"/>
      <c r="AM317" s="250"/>
      <c r="AN317" s="250"/>
    </row>
    <row r="318" ht="15.75" customHeight="1">
      <c r="A318" s="250"/>
      <c r="B318" s="251">
        <f>IFERROR(__xludf.DUMMYFUNCTION("""COMPUTED_VALUE"""),310.0)</f>
        <v>310</v>
      </c>
      <c r="C318" s="252"/>
      <c r="D318" s="253" t="str">
        <f>IFERROR(__xludf.DUMMYFUNCTION("""COMPUTED_VALUE"""),"")</f>
        <v/>
      </c>
      <c r="E318" s="254">
        <f>IFERROR(__xludf.DUMMYFUNCTION("""COMPUTED_VALUE"""),0.0)</f>
        <v>0</v>
      </c>
      <c r="F318" s="255"/>
      <c r="G318" s="256"/>
      <c r="H318" s="252">
        <f>IFERROR(__xludf.DUMMYFUNCTION("""COMPUTED_VALUE"""),0.0)</f>
        <v>0</v>
      </c>
      <c r="I318" s="258"/>
      <c r="J318" s="258"/>
      <c r="K318" s="257">
        <f>IFERROR(__xludf.DUMMYFUNCTION("""COMPUTED_VALUE"""),0.0)</f>
        <v>0</v>
      </c>
      <c r="L318" s="258">
        <f>IFERROR(__xludf.DUMMYFUNCTION("""COMPUTED_VALUE"""),0.0)</f>
        <v>0</v>
      </c>
      <c r="M318" s="258">
        <f>IFERROR(__xludf.DUMMYFUNCTION("""COMPUTED_VALUE"""),0.0)</f>
        <v>0</v>
      </c>
      <c r="N318" s="258">
        <f>IFERROR(__xludf.DUMMYFUNCTION("""COMPUTED_VALUE"""),0.0)</f>
        <v>0</v>
      </c>
      <c r="O318" s="258">
        <f>IFERROR(__xludf.DUMMYFUNCTION("""COMPUTED_VALUE"""),0.0)</f>
        <v>0</v>
      </c>
      <c r="P318" s="258">
        <f>IFERROR(__xludf.DUMMYFUNCTION("""COMPUTED_VALUE"""),0.0)</f>
        <v>0</v>
      </c>
      <c r="Q318" s="258">
        <f>IFERROR(__xludf.DUMMYFUNCTION("""COMPUTED_VALUE"""),0.0)</f>
        <v>0</v>
      </c>
      <c r="R318" s="259"/>
      <c r="S318" s="260"/>
      <c r="T318" s="261"/>
      <c r="U318" s="262"/>
      <c r="V318" s="250"/>
      <c r="W318" s="250"/>
      <c r="X318" s="250"/>
      <c r="Y318" s="250"/>
      <c r="Z318" s="250"/>
      <c r="AA318" s="250"/>
      <c r="AB318" s="250"/>
      <c r="AC318" s="250"/>
      <c r="AD318" s="250"/>
      <c r="AE318" s="250"/>
      <c r="AF318" s="250"/>
      <c r="AG318" s="250"/>
      <c r="AH318" s="250"/>
      <c r="AI318" s="250"/>
      <c r="AJ318" s="250"/>
      <c r="AK318" s="250"/>
      <c r="AL318" s="250"/>
      <c r="AM318" s="250"/>
      <c r="AN318" s="250"/>
    </row>
    <row r="319" ht="15.75" customHeight="1">
      <c r="A319" s="250"/>
      <c r="B319" s="251">
        <f>IFERROR(__xludf.DUMMYFUNCTION("""COMPUTED_VALUE"""),311.0)</f>
        <v>311</v>
      </c>
      <c r="C319" s="252"/>
      <c r="D319" s="253" t="str">
        <f>IFERROR(__xludf.DUMMYFUNCTION("""COMPUTED_VALUE"""),"")</f>
        <v/>
      </c>
      <c r="E319" s="254">
        <f>IFERROR(__xludf.DUMMYFUNCTION("""COMPUTED_VALUE"""),0.0)</f>
        <v>0</v>
      </c>
      <c r="F319" s="255"/>
      <c r="G319" s="256"/>
      <c r="H319" s="252">
        <f>IFERROR(__xludf.DUMMYFUNCTION("""COMPUTED_VALUE"""),0.0)</f>
        <v>0</v>
      </c>
      <c r="I319" s="258"/>
      <c r="J319" s="258"/>
      <c r="K319" s="257">
        <f>IFERROR(__xludf.DUMMYFUNCTION("""COMPUTED_VALUE"""),0.0)</f>
        <v>0</v>
      </c>
      <c r="L319" s="258">
        <f>IFERROR(__xludf.DUMMYFUNCTION("""COMPUTED_VALUE"""),0.0)</f>
        <v>0</v>
      </c>
      <c r="M319" s="258">
        <f>IFERROR(__xludf.DUMMYFUNCTION("""COMPUTED_VALUE"""),0.0)</f>
        <v>0</v>
      </c>
      <c r="N319" s="258">
        <f>IFERROR(__xludf.DUMMYFUNCTION("""COMPUTED_VALUE"""),0.0)</f>
        <v>0</v>
      </c>
      <c r="O319" s="258">
        <f>IFERROR(__xludf.DUMMYFUNCTION("""COMPUTED_VALUE"""),0.0)</f>
        <v>0</v>
      </c>
      <c r="P319" s="258">
        <f>IFERROR(__xludf.DUMMYFUNCTION("""COMPUTED_VALUE"""),0.0)</f>
        <v>0</v>
      </c>
      <c r="Q319" s="258">
        <f>IFERROR(__xludf.DUMMYFUNCTION("""COMPUTED_VALUE"""),0.0)</f>
        <v>0</v>
      </c>
      <c r="R319" s="259"/>
      <c r="S319" s="260"/>
      <c r="T319" s="261"/>
      <c r="U319" s="262"/>
      <c r="V319" s="250"/>
      <c r="W319" s="250"/>
      <c r="X319" s="250"/>
      <c r="Y319" s="250"/>
      <c r="Z319" s="250"/>
      <c r="AA319" s="250"/>
      <c r="AB319" s="250"/>
      <c r="AC319" s="250"/>
      <c r="AD319" s="250"/>
      <c r="AE319" s="250"/>
      <c r="AF319" s="250"/>
      <c r="AG319" s="250"/>
      <c r="AH319" s="250"/>
      <c r="AI319" s="250"/>
      <c r="AJ319" s="250"/>
      <c r="AK319" s="250"/>
      <c r="AL319" s="250"/>
      <c r="AM319" s="250"/>
      <c r="AN319" s="250"/>
    </row>
    <row r="320" ht="15.75" customHeight="1">
      <c r="A320" s="250"/>
      <c r="B320" s="251">
        <f>IFERROR(__xludf.DUMMYFUNCTION("""COMPUTED_VALUE"""),312.0)</f>
        <v>312</v>
      </c>
      <c r="C320" s="252"/>
      <c r="D320" s="253" t="str">
        <f>IFERROR(__xludf.DUMMYFUNCTION("""COMPUTED_VALUE"""),"")</f>
        <v/>
      </c>
      <c r="E320" s="254">
        <f>IFERROR(__xludf.DUMMYFUNCTION("""COMPUTED_VALUE"""),0.0)</f>
        <v>0</v>
      </c>
      <c r="F320" s="255"/>
      <c r="G320" s="256"/>
      <c r="H320" s="252">
        <f>IFERROR(__xludf.DUMMYFUNCTION("""COMPUTED_VALUE"""),0.0)</f>
        <v>0</v>
      </c>
      <c r="I320" s="258"/>
      <c r="J320" s="258"/>
      <c r="K320" s="257">
        <f>IFERROR(__xludf.DUMMYFUNCTION("""COMPUTED_VALUE"""),0.0)</f>
        <v>0</v>
      </c>
      <c r="L320" s="258">
        <f>IFERROR(__xludf.DUMMYFUNCTION("""COMPUTED_VALUE"""),0.0)</f>
        <v>0</v>
      </c>
      <c r="M320" s="258">
        <f>IFERROR(__xludf.DUMMYFUNCTION("""COMPUTED_VALUE"""),0.0)</f>
        <v>0</v>
      </c>
      <c r="N320" s="258">
        <f>IFERROR(__xludf.DUMMYFUNCTION("""COMPUTED_VALUE"""),0.0)</f>
        <v>0</v>
      </c>
      <c r="O320" s="258">
        <f>IFERROR(__xludf.DUMMYFUNCTION("""COMPUTED_VALUE"""),0.0)</f>
        <v>0</v>
      </c>
      <c r="P320" s="258">
        <f>IFERROR(__xludf.DUMMYFUNCTION("""COMPUTED_VALUE"""),0.0)</f>
        <v>0</v>
      </c>
      <c r="Q320" s="258">
        <f>IFERROR(__xludf.DUMMYFUNCTION("""COMPUTED_VALUE"""),0.0)</f>
        <v>0</v>
      </c>
      <c r="R320" s="259"/>
      <c r="S320" s="260"/>
      <c r="T320" s="261"/>
      <c r="U320" s="262"/>
      <c r="V320" s="250"/>
      <c r="W320" s="250"/>
      <c r="X320" s="250"/>
      <c r="Y320" s="250"/>
      <c r="Z320" s="250"/>
      <c r="AA320" s="250"/>
      <c r="AB320" s="250"/>
      <c r="AC320" s="250"/>
      <c r="AD320" s="250"/>
      <c r="AE320" s="250"/>
      <c r="AF320" s="250"/>
      <c r="AG320" s="250"/>
      <c r="AH320" s="250"/>
      <c r="AI320" s="250"/>
      <c r="AJ320" s="250"/>
      <c r="AK320" s="250"/>
      <c r="AL320" s="250"/>
      <c r="AM320" s="250"/>
      <c r="AN320" s="250"/>
    </row>
    <row r="321" ht="15.75" customHeight="1">
      <c r="A321" s="250"/>
      <c r="B321" s="251">
        <f>IFERROR(__xludf.DUMMYFUNCTION("""COMPUTED_VALUE"""),313.0)</f>
        <v>313</v>
      </c>
      <c r="C321" s="252"/>
      <c r="D321" s="253" t="str">
        <f>IFERROR(__xludf.DUMMYFUNCTION("""COMPUTED_VALUE"""),"")</f>
        <v/>
      </c>
      <c r="E321" s="254">
        <f>IFERROR(__xludf.DUMMYFUNCTION("""COMPUTED_VALUE"""),0.0)</f>
        <v>0</v>
      </c>
      <c r="F321" s="255"/>
      <c r="G321" s="256"/>
      <c r="H321" s="252">
        <f>IFERROR(__xludf.DUMMYFUNCTION("""COMPUTED_VALUE"""),0.0)</f>
        <v>0</v>
      </c>
      <c r="I321" s="258"/>
      <c r="J321" s="258"/>
      <c r="K321" s="257">
        <f>IFERROR(__xludf.DUMMYFUNCTION("""COMPUTED_VALUE"""),0.0)</f>
        <v>0</v>
      </c>
      <c r="L321" s="258">
        <f>IFERROR(__xludf.DUMMYFUNCTION("""COMPUTED_VALUE"""),0.0)</f>
        <v>0</v>
      </c>
      <c r="M321" s="258">
        <f>IFERROR(__xludf.DUMMYFUNCTION("""COMPUTED_VALUE"""),0.0)</f>
        <v>0</v>
      </c>
      <c r="N321" s="258">
        <f>IFERROR(__xludf.DUMMYFUNCTION("""COMPUTED_VALUE"""),0.0)</f>
        <v>0</v>
      </c>
      <c r="O321" s="258">
        <f>IFERROR(__xludf.DUMMYFUNCTION("""COMPUTED_VALUE"""),0.0)</f>
        <v>0</v>
      </c>
      <c r="P321" s="258">
        <f>IFERROR(__xludf.DUMMYFUNCTION("""COMPUTED_VALUE"""),0.0)</f>
        <v>0</v>
      </c>
      <c r="Q321" s="258">
        <f>IFERROR(__xludf.DUMMYFUNCTION("""COMPUTED_VALUE"""),0.0)</f>
        <v>0</v>
      </c>
      <c r="R321" s="259"/>
      <c r="S321" s="260"/>
      <c r="T321" s="261"/>
      <c r="U321" s="262"/>
      <c r="V321" s="250"/>
      <c r="W321" s="250"/>
      <c r="X321" s="250"/>
      <c r="Y321" s="250"/>
      <c r="Z321" s="250"/>
      <c r="AA321" s="250"/>
      <c r="AB321" s="250"/>
      <c r="AC321" s="250"/>
      <c r="AD321" s="250"/>
      <c r="AE321" s="250"/>
      <c r="AF321" s="250"/>
      <c r="AG321" s="250"/>
      <c r="AH321" s="250"/>
      <c r="AI321" s="250"/>
      <c r="AJ321" s="250"/>
      <c r="AK321" s="250"/>
      <c r="AL321" s="250"/>
      <c r="AM321" s="250"/>
      <c r="AN321" s="250"/>
    </row>
    <row r="322" ht="15.75" customHeight="1">
      <c r="A322" s="250"/>
      <c r="B322" s="251">
        <f>IFERROR(__xludf.DUMMYFUNCTION("""COMPUTED_VALUE"""),314.0)</f>
        <v>314</v>
      </c>
      <c r="C322" s="252"/>
      <c r="D322" s="253" t="str">
        <f>IFERROR(__xludf.DUMMYFUNCTION("""COMPUTED_VALUE"""),"")</f>
        <v/>
      </c>
      <c r="E322" s="254">
        <f>IFERROR(__xludf.DUMMYFUNCTION("""COMPUTED_VALUE"""),0.0)</f>
        <v>0</v>
      </c>
      <c r="F322" s="255"/>
      <c r="G322" s="256"/>
      <c r="H322" s="252">
        <f>IFERROR(__xludf.DUMMYFUNCTION("""COMPUTED_VALUE"""),0.0)</f>
        <v>0</v>
      </c>
      <c r="I322" s="258"/>
      <c r="J322" s="258"/>
      <c r="K322" s="257">
        <f>IFERROR(__xludf.DUMMYFUNCTION("""COMPUTED_VALUE"""),0.0)</f>
        <v>0</v>
      </c>
      <c r="L322" s="258">
        <f>IFERROR(__xludf.DUMMYFUNCTION("""COMPUTED_VALUE"""),0.0)</f>
        <v>0</v>
      </c>
      <c r="M322" s="258">
        <f>IFERROR(__xludf.DUMMYFUNCTION("""COMPUTED_VALUE"""),0.0)</f>
        <v>0</v>
      </c>
      <c r="N322" s="258">
        <f>IFERROR(__xludf.DUMMYFUNCTION("""COMPUTED_VALUE"""),0.0)</f>
        <v>0</v>
      </c>
      <c r="O322" s="258">
        <f>IFERROR(__xludf.DUMMYFUNCTION("""COMPUTED_VALUE"""),0.0)</f>
        <v>0</v>
      </c>
      <c r="P322" s="258">
        <f>IFERROR(__xludf.DUMMYFUNCTION("""COMPUTED_VALUE"""),0.0)</f>
        <v>0</v>
      </c>
      <c r="Q322" s="258">
        <f>IFERROR(__xludf.DUMMYFUNCTION("""COMPUTED_VALUE"""),0.0)</f>
        <v>0</v>
      </c>
      <c r="R322" s="259"/>
      <c r="S322" s="260"/>
      <c r="T322" s="261"/>
      <c r="U322" s="262"/>
      <c r="V322" s="250"/>
      <c r="W322" s="250"/>
      <c r="X322" s="250"/>
      <c r="Y322" s="250"/>
      <c r="Z322" s="250"/>
      <c r="AA322" s="250"/>
      <c r="AB322" s="250"/>
      <c r="AC322" s="250"/>
      <c r="AD322" s="250"/>
      <c r="AE322" s="250"/>
      <c r="AF322" s="250"/>
      <c r="AG322" s="250"/>
      <c r="AH322" s="250"/>
      <c r="AI322" s="250"/>
      <c r="AJ322" s="250"/>
      <c r="AK322" s="250"/>
      <c r="AL322" s="250"/>
      <c r="AM322" s="250"/>
      <c r="AN322" s="250"/>
    </row>
    <row r="323" ht="15.75" customHeight="1">
      <c r="A323" s="250"/>
      <c r="B323" s="251">
        <f>IFERROR(__xludf.DUMMYFUNCTION("""COMPUTED_VALUE"""),315.0)</f>
        <v>315</v>
      </c>
      <c r="C323" s="252"/>
      <c r="D323" s="253" t="str">
        <f>IFERROR(__xludf.DUMMYFUNCTION("""COMPUTED_VALUE"""),"")</f>
        <v/>
      </c>
      <c r="E323" s="254">
        <f>IFERROR(__xludf.DUMMYFUNCTION("""COMPUTED_VALUE"""),0.0)</f>
        <v>0</v>
      </c>
      <c r="F323" s="255"/>
      <c r="G323" s="256"/>
      <c r="H323" s="252">
        <f>IFERROR(__xludf.DUMMYFUNCTION("""COMPUTED_VALUE"""),0.0)</f>
        <v>0</v>
      </c>
      <c r="I323" s="258"/>
      <c r="J323" s="258"/>
      <c r="K323" s="257">
        <f>IFERROR(__xludf.DUMMYFUNCTION("""COMPUTED_VALUE"""),0.0)</f>
        <v>0</v>
      </c>
      <c r="L323" s="258">
        <f>IFERROR(__xludf.DUMMYFUNCTION("""COMPUTED_VALUE"""),0.0)</f>
        <v>0</v>
      </c>
      <c r="M323" s="258">
        <f>IFERROR(__xludf.DUMMYFUNCTION("""COMPUTED_VALUE"""),0.0)</f>
        <v>0</v>
      </c>
      <c r="N323" s="258">
        <f>IFERROR(__xludf.DUMMYFUNCTION("""COMPUTED_VALUE"""),0.0)</f>
        <v>0</v>
      </c>
      <c r="O323" s="258">
        <f>IFERROR(__xludf.DUMMYFUNCTION("""COMPUTED_VALUE"""),0.0)</f>
        <v>0</v>
      </c>
      <c r="P323" s="258">
        <f>IFERROR(__xludf.DUMMYFUNCTION("""COMPUTED_VALUE"""),0.0)</f>
        <v>0</v>
      </c>
      <c r="Q323" s="258">
        <f>IFERROR(__xludf.DUMMYFUNCTION("""COMPUTED_VALUE"""),0.0)</f>
        <v>0</v>
      </c>
      <c r="R323" s="259"/>
      <c r="S323" s="260"/>
      <c r="T323" s="261"/>
      <c r="U323" s="262"/>
      <c r="V323" s="250"/>
      <c r="W323" s="250"/>
      <c r="X323" s="250"/>
      <c r="Y323" s="250"/>
      <c r="Z323" s="250"/>
      <c r="AA323" s="250"/>
      <c r="AB323" s="250"/>
      <c r="AC323" s="250"/>
      <c r="AD323" s="250"/>
      <c r="AE323" s="250"/>
      <c r="AF323" s="250"/>
      <c r="AG323" s="250"/>
      <c r="AH323" s="250"/>
      <c r="AI323" s="250"/>
      <c r="AJ323" s="250"/>
      <c r="AK323" s="250"/>
      <c r="AL323" s="250"/>
      <c r="AM323" s="250"/>
      <c r="AN323" s="250"/>
    </row>
    <row r="324" ht="15.75" customHeight="1">
      <c r="A324" s="250"/>
      <c r="B324" s="251">
        <f>IFERROR(__xludf.DUMMYFUNCTION("""COMPUTED_VALUE"""),316.0)</f>
        <v>316</v>
      </c>
      <c r="C324" s="252"/>
      <c r="D324" s="253" t="str">
        <f>IFERROR(__xludf.DUMMYFUNCTION("""COMPUTED_VALUE"""),"")</f>
        <v/>
      </c>
      <c r="E324" s="254">
        <f>IFERROR(__xludf.DUMMYFUNCTION("""COMPUTED_VALUE"""),0.0)</f>
        <v>0</v>
      </c>
      <c r="F324" s="255"/>
      <c r="G324" s="256"/>
      <c r="H324" s="252">
        <f>IFERROR(__xludf.DUMMYFUNCTION("""COMPUTED_VALUE"""),0.0)</f>
        <v>0</v>
      </c>
      <c r="I324" s="258"/>
      <c r="J324" s="258"/>
      <c r="K324" s="257">
        <f>IFERROR(__xludf.DUMMYFUNCTION("""COMPUTED_VALUE"""),0.0)</f>
        <v>0</v>
      </c>
      <c r="L324" s="258">
        <f>IFERROR(__xludf.DUMMYFUNCTION("""COMPUTED_VALUE"""),0.0)</f>
        <v>0</v>
      </c>
      <c r="M324" s="258">
        <f>IFERROR(__xludf.DUMMYFUNCTION("""COMPUTED_VALUE"""),0.0)</f>
        <v>0</v>
      </c>
      <c r="N324" s="258">
        <f>IFERROR(__xludf.DUMMYFUNCTION("""COMPUTED_VALUE"""),0.0)</f>
        <v>0</v>
      </c>
      <c r="O324" s="258">
        <f>IFERROR(__xludf.DUMMYFUNCTION("""COMPUTED_VALUE"""),0.0)</f>
        <v>0</v>
      </c>
      <c r="P324" s="258">
        <f>IFERROR(__xludf.DUMMYFUNCTION("""COMPUTED_VALUE"""),0.0)</f>
        <v>0</v>
      </c>
      <c r="Q324" s="258">
        <f>IFERROR(__xludf.DUMMYFUNCTION("""COMPUTED_VALUE"""),0.0)</f>
        <v>0</v>
      </c>
      <c r="R324" s="259"/>
      <c r="S324" s="260"/>
      <c r="T324" s="261"/>
      <c r="U324" s="262"/>
      <c r="V324" s="250"/>
      <c r="W324" s="250"/>
      <c r="X324" s="250"/>
      <c r="Y324" s="250"/>
      <c r="Z324" s="250"/>
      <c r="AA324" s="250"/>
      <c r="AB324" s="250"/>
      <c r="AC324" s="250"/>
      <c r="AD324" s="250"/>
      <c r="AE324" s="250"/>
      <c r="AF324" s="250"/>
      <c r="AG324" s="250"/>
      <c r="AH324" s="250"/>
      <c r="AI324" s="250"/>
      <c r="AJ324" s="250"/>
      <c r="AK324" s="250"/>
      <c r="AL324" s="250"/>
      <c r="AM324" s="250"/>
      <c r="AN324" s="250"/>
    </row>
    <row r="325" ht="15.75" customHeight="1">
      <c r="A325" s="250"/>
      <c r="B325" s="251">
        <f>IFERROR(__xludf.DUMMYFUNCTION("""COMPUTED_VALUE"""),317.0)</f>
        <v>317</v>
      </c>
      <c r="C325" s="252"/>
      <c r="D325" s="253" t="str">
        <f>IFERROR(__xludf.DUMMYFUNCTION("""COMPUTED_VALUE"""),"")</f>
        <v/>
      </c>
      <c r="E325" s="254">
        <f>IFERROR(__xludf.DUMMYFUNCTION("""COMPUTED_VALUE"""),0.0)</f>
        <v>0</v>
      </c>
      <c r="F325" s="255"/>
      <c r="G325" s="256"/>
      <c r="H325" s="252">
        <f>IFERROR(__xludf.DUMMYFUNCTION("""COMPUTED_VALUE"""),0.0)</f>
        <v>0</v>
      </c>
      <c r="I325" s="258"/>
      <c r="J325" s="258"/>
      <c r="K325" s="257">
        <f>IFERROR(__xludf.DUMMYFUNCTION("""COMPUTED_VALUE"""),0.0)</f>
        <v>0</v>
      </c>
      <c r="L325" s="258">
        <f>IFERROR(__xludf.DUMMYFUNCTION("""COMPUTED_VALUE"""),0.0)</f>
        <v>0</v>
      </c>
      <c r="M325" s="258">
        <f>IFERROR(__xludf.DUMMYFUNCTION("""COMPUTED_VALUE"""),0.0)</f>
        <v>0</v>
      </c>
      <c r="N325" s="258">
        <f>IFERROR(__xludf.DUMMYFUNCTION("""COMPUTED_VALUE"""),0.0)</f>
        <v>0</v>
      </c>
      <c r="O325" s="258">
        <f>IFERROR(__xludf.DUMMYFUNCTION("""COMPUTED_VALUE"""),0.0)</f>
        <v>0</v>
      </c>
      <c r="P325" s="258">
        <f>IFERROR(__xludf.DUMMYFUNCTION("""COMPUTED_VALUE"""),0.0)</f>
        <v>0</v>
      </c>
      <c r="Q325" s="258">
        <f>IFERROR(__xludf.DUMMYFUNCTION("""COMPUTED_VALUE"""),0.0)</f>
        <v>0</v>
      </c>
      <c r="R325" s="259"/>
      <c r="S325" s="260"/>
      <c r="T325" s="261"/>
      <c r="U325" s="262"/>
      <c r="V325" s="250"/>
      <c r="W325" s="250"/>
      <c r="X325" s="250"/>
      <c r="Y325" s="250"/>
      <c r="Z325" s="250"/>
      <c r="AA325" s="250"/>
      <c r="AB325" s="250"/>
      <c r="AC325" s="250"/>
      <c r="AD325" s="250"/>
      <c r="AE325" s="250"/>
      <c r="AF325" s="250"/>
      <c r="AG325" s="250"/>
      <c r="AH325" s="250"/>
      <c r="AI325" s="250"/>
      <c r="AJ325" s="250"/>
      <c r="AK325" s="250"/>
      <c r="AL325" s="250"/>
      <c r="AM325" s="250"/>
      <c r="AN325" s="250"/>
    </row>
    <row r="326" ht="15.75" customHeight="1">
      <c r="A326" s="250"/>
      <c r="B326" s="251">
        <f>IFERROR(__xludf.DUMMYFUNCTION("""COMPUTED_VALUE"""),318.0)</f>
        <v>318</v>
      </c>
      <c r="C326" s="252"/>
      <c r="D326" s="253" t="str">
        <f>IFERROR(__xludf.DUMMYFUNCTION("""COMPUTED_VALUE"""),"")</f>
        <v/>
      </c>
      <c r="E326" s="254">
        <f>IFERROR(__xludf.DUMMYFUNCTION("""COMPUTED_VALUE"""),0.0)</f>
        <v>0</v>
      </c>
      <c r="F326" s="255"/>
      <c r="G326" s="256"/>
      <c r="H326" s="252">
        <f>IFERROR(__xludf.DUMMYFUNCTION("""COMPUTED_VALUE"""),0.0)</f>
        <v>0</v>
      </c>
      <c r="I326" s="258"/>
      <c r="J326" s="258"/>
      <c r="K326" s="257">
        <f>IFERROR(__xludf.DUMMYFUNCTION("""COMPUTED_VALUE"""),0.0)</f>
        <v>0</v>
      </c>
      <c r="L326" s="258">
        <f>IFERROR(__xludf.DUMMYFUNCTION("""COMPUTED_VALUE"""),0.0)</f>
        <v>0</v>
      </c>
      <c r="M326" s="258">
        <f>IFERROR(__xludf.DUMMYFUNCTION("""COMPUTED_VALUE"""),0.0)</f>
        <v>0</v>
      </c>
      <c r="N326" s="258">
        <f>IFERROR(__xludf.DUMMYFUNCTION("""COMPUTED_VALUE"""),0.0)</f>
        <v>0</v>
      </c>
      <c r="O326" s="258">
        <f>IFERROR(__xludf.DUMMYFUNCTION("""COMPUTED_VALUE"""),0.0)</f>
        <v>0</v>
      </c>
      <c r="P326" s="258">
        <f>IFERROR(__xludf.DUMMYFUNCTION("""COMPUTED_VALUE"""),0.0)</f>
        <v>0</v>
      </c>
      <c r="Q326" s="258">
        <f>IFERROR(__xludf.DUMMYFUNCTION("""COMPUTED_VALUE"""),0.0)</f>
        <v>0</v>
      </c>
      <c r="R326" s="259"/>
      <c r="S326" s="260"/>
      <c r="T326" s="261"/>
      <c r="U326" s="262"/>
      <c r="V326" s="250"/>
      <c r="W326" s="250"/>
      <c r="X326" s="250"/>
      <c r="Y326" s="250"/>
      <c r="Z326" s="250"/>
      <c r="AA326" s="250"/>
      <c r="AB326" s="250"/>
      <c r="AC326" s="250"/>
      <c r="AD326" s="250"/>
      <c r="AE326" s="250"/>
      <c r="AF326" s="250"/>
      <c r="AG326" s="250"/>
      <c r="AH326" s="250"/>
      <c r="AI326" s="250"/>
      <c r="AJ326" s="250"/>
      <c r="AK326" s="250"/>
      <c r="AL326" s="250"/>
      <c r="AM326" s="250"/>
      <c r="AN326" s="250"/>
    </row>
    <row r="327" ht="15.75" customHeight="1">
      <c r="A327" s="250"/>
      <c r="B327" s="251">
        <f>IFERROR(__xludf.DUMMYFUNCTION("""COMPUTED_VALUE"""),319.0)</f>
        <v>319</v>
      </c>
      <c r="C327" s="252"/>
      <c r="D327" s="253" t="str">
        <f>IFERROR(__xludf.DUMMYFUNCTION("""COMPUTED_VALUE"""),"")</f>
        <v/>
      </c>
      <c r="E327" s="254">
        <f>IFERROR(__xludf.DUMMYFUNCTION("""COMPUTED_VALUE"""),0.0)</f>
        <v>0</v>
      </c>
      <c r="F327" s="255"/>
      <c r="G327" s="256"/>
      <c r="H327" s="252">
        <f>IFERROR(__xludf.DUMMYFUNCTION("""COMPUTED_VALUE"""),0.0)</f>
        <v>0</v>
      </c>
      <c r="I327" s="258"/>
      <c r="J327" s="258"/>
      <c r="K327" s="257">
        <f>IFERROR(__xludf.DUMMYFUNCTION("""COMPUTED_VALUE"""),0.0)</f>
        <v>0</v>
      </c>
      <c r="L327" s="258">
        <f>IFERROR(__xludf.DUMMYFUNCTION("""COMPUTED_VALUE"""),0.0)</f>
        <v>0</v>
      </c>
      <c r="M327" s="258">
        <f>IFERROR(__xludf.DUMMYFUNCTION("""COMPUTED_VALUE"""),0.0)</f>
        <v>0</v>
      </c>
      <c r="N327" s="258">
        <f>IFERROR(__xludf.DUMMYFUNCTION("""COMPUTED_VALUE"""),0.0)</f>
        <v>0</v>
      </c>
      <c r="O327" s="258">
        <f>IFERROR(__xludf.DUMMYFUNCTION("""COMPUTED_VALUE"""),0.0)</f>
        <v>0</v>
      </c>
      <c r="P327" s="258">
        <f>IFERROR(__xludf.DUMMYFUNCTION("""COMPUTED_VALUE"""),0.0)</f>
        <v>0</v>
      </c>
      <c r="Q327" s="258">
        <f>IFERROR(__xludf.DUMMYFUNCTION("""COMPUTED_VALUE"""),0.0)</f>
        <v>0</v>
      </c>
      <c r="R327" s="259"/>
      <c r="S327" s="260"/>
      <c r="T327" s="261"/>
      <c r="U327" s="262"/>
      <c r="V327" s="250"/>
      <c r="W327" s="250"/>
      <c r="X327" s="250"/>
      <c r="Y327" s="250"/>
      <c r="Z327" s="250"/>
      <c r="AA327" s="250"/>
      <c r="AB327" s="250"/>
      <c r="AC327" s="250"/>
      <c r="AD327" s="250"/>
      <c r="AE327" s="250"/>
      <c r="AF327" s="250"/>
      <c r="AG327" s="250"/>
      <c r="AH327" s="250"/>
      <c r="AI327" s="250"/>
      <c r="AJ327" s="250"/>
      <c r="AK327" s="250"/>
      <c r="AL327" s="250"/>
      <c r="AM327" s="250"/>
      <c r="AN327" s="250"/>
    </row>
    <row r="328" ht="15.75" customHeight="1">
      <c r="A328" s="250"/>
      <c r="B328" s="251">
        <f>IFERROR(__xludf.DUMMYFUNCTION("""COMPUTED_VALUE"""),320.0)</f>
        <v>320</v>
      </c>
      <c r="C328" s="252"/>
      <c r="D328" s="253" t="str">
        <f>IFERROR(__xludf.DUMMYFUNCTION("""COMPUTED_VALUE"""),"")</f>
        <v/>
      </c>
      <c r="E328" s="254">
        <f>IFERROR(__xludf.DUMMYFUNCTION("""COMPUTED_VALUE"""),0.0)</f>
        <v>0</v>
      </c>
      <c r="F328" s="255"/>
      <c r="G328" s="256"/>
      <c r="H328" s="252">
        <f>IFERROR(__xludf.DUMMYFUNCTION("""COMPUTED_VALUE"""),0.0)</f>
        <v>0</v>
      </c>
      <c r="I328" s="258"/>
      <c r="J328" s="258"/>
      <c r="K328" s="257">
        <f>IFERROR(__xludf.DUMMYFUNCTION("""COMPUTED_VALUE"""),0.0)</f>
        <v>0</v>
      </c>
      <c r="L328" s="258">
        <f>IFERROR(__xludf.DUMMYFUNCTION("""COMPUTED_VALUE"""),0.0)</f>
        <v>0</v>
      </c>
      <c r="M328" s="258">
        <f>IFERROR(__xludf.DUMMYFUNCTION("""COMPUTED_VALUE"""),0.0)</f>
        <v>0</v>
      </c>
      <c r="N328" s="258">
        <f>IFERROR(__xludf.DUMMYFUNCTION("""COMPUTED_VALUE"""),0.0)</f>
        <v>0</v>
      </c>
      <c r="O328" s="258">
        <f>IFERROR(__xludf.DUMMYFUNCTION("""COMPUTED_VALUE"""),0.0)</f>
        <v>0</v>
      </c>
      <c r="P328" s="258">
        <f>IFERROR(__xludf.DUMMYFUNCTION("""COMPUTED_VALUE"""),0.0)</f>
        <v>0</v>
      </c>
      <c r="Q328" s="258">
        <f>IFERROR(__xludf.DUMMYFUNCTION("""COMPUTED_VALUE"""),0.0)</f>
        <v>0</v>
      </c>
      <c r="R328" s="259"/>
      <c r="S328" s="260"/>
      <c r="T328" s="261"/>
      <c r="U328" s="262"/>
      <c r="V328" s="250"/>
      <c r="W328" s="250"/>
      <c r="X328" s="250"/>
      <c r="Y328" s="250"/>
      <c r="Z328" s="250"/>
      <c r="AA328" s="250"/>
      <c r="AB328" s="250"/>
      <c r="AC328" s="250"/>
      <c r="AD328" s="250"/>
      <c r="AE328" s="250"/>
      <c r="AF328" s="250"/>
      <c r="AG328" s="250"/>
      <c r="AH328" s="250"/>
      <c r="AI328" s="250"/>
      <c r="AJ328" s="250"/>
      <c r="AK328" s="250"/>
      <c r="AL328" s="250"/>
      <c r="AM328" s="250"/>
      <c r="AN328" s="250"/>
    </row>
    <row r="329" ht="15.75" customHeight="1">
      <c r="A329" s="250"/>
      <c r="B329" s="251">
        <f>IFERROR(__xludf.DUMMYFUNCTION("""COMPUTED_VALUE"""),321.0)</f>
        <v>321</v>
      </c>
      <c r="C329" s="252"/>
      <c r="D329" s="253" t="str">
        <f>IFERROR(__xludf.DUMMYFUNCTION("""COMPUTED_VALUE"""),"")</f>
        <v/>
      </c>
      <c r="E329" s="254">
        <f>IFERROR(__xludf.DUMMYFUNCTION("""COMPUTED_VALUE"""),0.0)</f>
        <v>0</v>
      </c>
      <c r="F329" s="255"/>
      <c r="G329" s="256"/>
      <c r="H329" s="252">
        <f>IFERROR(__xludf.DUMMYFUNCTION("""COMPUTED_VALUE"""),0.0)</f>
        <v>0</v>
      </c>
      <c r="I329" s="258"/>
      <c r="J329" s="258"/>
      <c r="K329" s="257">
        <f>IFERROR(__xludf.DUMMYFUNCTION("""COMPUTED_VALUE"""),0.0)</f>
        <v>0</v>
      </c>
      <c r="L329" s="258">
        <f>IFERROR(__xludf.DUMMYFUNCTION("""COMPUTED_VALUE"""),0.0)</f>
        <v>0</v>
      </c>
      <c r="M329" s="258">
        <f>IFERROR(__xludf.DUMMYFUNCTION("""COMPUTED_VALUE"""),0.0)</f>
        <v>0</v>
      </c>
      <c r="N329" s="258">
        <f>IFERROR(__xludf.DUMMYFUNCTION("""COMPUTED_VALUE"""),0.0)</f>
        <v>0</v>
      </c>
      <c r="O329" s="258">
        <f>IFERROR(__xludf.DUMMYFUNCTION("""COMPUTED_VALUE"""),0.0)</f>
        <v>0</v>
      </c>
      <c r="P329" s="258">
        <f>IFERROR(__xludf.DUMMYFUNCTION("""COMPUTED_VALUE"""),0.0)</f>
        <v>0</v>
      </c>
      <c r="Q329" s="258">
        <f>IFERROR(__xludf.DUMMYFUNCTION("""COMPUTED_VALUE"""),0.0)</f>
        <v>0</v>
      </c>
      <c r="R329" s="259"/>
      <c r="S329" s="260"/>
      <c r="T329" s="261"/>
      <c r="U329" s="262"/>
      <c r="V329" s="250"/>
      <c r="W329" s="250"/>
      <c r="X329" s="250"/>
      <c r="Y329" s="250"/>
      <c r="Z329" s="250"/>
      <c r="AA329" s="250"/>
      <c r="AB329" s="250"/>
      <c r="AC329" s="250"/>
      <c r="AD329" s="250"/>
      <c r="AE329" s="250"/>
      <c r="AF329" s="250"/>
      <c r="AG329" s="250"/>
      <c r="AH329" s="250"/>
      <c r="AI329" s="250"/>
      <c r="AJ329" s="250"/>
      <c r="AK329" s="250"/>
      <c r="AL329" s="250"/>
      <c r="AM329" s="250"/>
      <c r="AN329" s="250"/>
    </row>
    <row r="330" ht="15.75" customHeight="1">
      <c r="A330" s="250"/>
      <c r="B330" s="251">
        <f>IFERROR(__xludf.DUMMYFUNCTION("""COMPUTED_VALUE"""),322.0)</f>
        <v>322</v>
      </c>
      <c r="C330" s="252"/>
      <c r="D330" s="253" t="str">
        <f>IFERROR(__xludf.DUMMYFUNCTION("""COMPUTED_VALUE"""),"")</f>
        <v/>
      </c>
      <c r="E330" s="254">
        <f>IFERROR(__xludf.DUMMYFUNCTION("""COMPUTED_VALUE"""),0.0)</f>
        <v>0</v>
      </c>
      <c r="F330" s="255"/>
      <c r="G330" s="256"/>
      <c r="H330" s="252">
        <f>IFERROR(__xludf.DUMMYFUNCTION("""COMPUTED_VALUE"""),0.0)</f>
        <v>0</v>
      </c>
      <c r="I330" s="258"/>
      <c r="J330" s="258"/>
      <c r="K330" s="257">
        <f>IFERROR(__xludf.DUMMYFUNCTION("""COMPUTED_VALUE"""),0.0)</f>
        <v>0</v>
      </c>
      <c r="L330" s="258">
        <f>IFERROR(__xludf.DUMMYFUNCTION("""COMPUTED_VALUE"""),0.0)</f>
        <v>0</v>
      </c>
      <c r="M330" s="258">
        <f>IFERROR(__xludf.DUMMYFUNCTION("""COMPUTED_VALUE"""),0.0)</f>
        <v>0</v>
      </c>
      <c r="N330" s="258">
        <f>IFERROR(__xludf.DUMMYFUNCTION("""COMPUTED_VALUE"""),0.0)</f>
        <v>0</v>
      </c>
      <c r="O330" s="258">
        <f>IFERROR(__xludf.DUMMYFUNCTION("""COMPUTED_VALUE"""),0.0)</f>
        <v>0</v>
      </c>
      <c r="P330" s="258">
        <f>IFERROR(__xludf.DUMMYFUNCTION("""COMPUTED_VALUE"""),0.0)</f>
        <v>0</v>
      </c>
      <c r="Q330" s="258">
        <f>IFERROR(__xludf.DUMMYFUNCTION("""COMPUTED_VALUE"""),0.0)</f>
        <v>0</v>
      </c>
      <c r="R330" s="259"/>
      <c r="S330" s="260"/>
      <c r="T330" s="261"/>
      <c r="U330" s="262"/>
      <c r="V330" s="250"/>
      <c r="W330" s="250"/>
      <c r="X330" s="250"/>
      <c r="Y330" s="250"/>
      <c r="Z330" s="250"/>
      <c r="AA330" s="250"/>
      <c r="AB330" s="250"/>
      <c r="AC330" s="250"/>
      <c r="AD330" s="250"/>
      <c r="AE330" s="250"/>
      <c r="AF330" s="250"/>
      <c r="AG330" s="250"/>
      <c r="AH330" s="250"/>
      <c r="AI330" s="250"/>
      <c r="AJ330" s="250"/>
      <c r="AK330" s="250"/>
      <c r="AL330" s="250"/>
      <c r="AM330" s="250"/>
      <c r="AN330" s="250"/>
    </row>
    <row r="331" ht="15.75" customHeight="1">
      <c r="A331" s="250"/>
      <c r="B331" s="251">
        <f>IFERROR(__xludf.DUMMYFUNCTION("""COMPUTED_VALUE"""),323.0)</f>
        <v>323</v>
      </c>
      <c r="C331" s="252"/>
      <c r="D331" s="253" t="str">
        <f>IFERROR(__xludf.DUMMYFUNCTION("""COMPUTED_VALUE"""),"")</f>
        <v/>
      </c>
      <c r="E331" s="254">
        <f>IFERROR(__xludf.DUMMYFUNCTION("""COMPUTED_VALUE"""),0.0)</f>
        <v>0</v>
      </c>
      <c r="F331" s="255"/>
      <c r="G331" s="256"/>
      <c r="H331" s="252">
        <f>IFERROR(__xludf.DUMMYFUNCTION("""COMPUTED_VALUE"""),0.0)</f>
        <v>0</v>
      </c>
      <c r="I331" s="258"/>
      <c r="J331" s="258"/>
      <c r="K331" s="257">
        <f>IFERROR(__xludf.DUMMYFUNCTION("""COMPUTED_VALUE"""),0.0)</f>
        <v>0</v>
      </c>
      <c r="L331" s="258">
        <f>IFERROR(__xludf.DUMMYFUNCTION("""COMPUTED_VALUE"""),0.0)</f>
        <v>0</v>
      </c>
      <c r="M331" s="258">
        <f>IFERROR(__xludf.DUMMYFUNCTION("""COMPUTED_VALUE"""),0.0)</f>
        <v>0</v>
      </c>
      <c r="N331" s="258">
        <f>IFERROR(__xludf.DUMMYFUNCTION("""COMPUTED_VALUE"""),0.0)</f>
        <v>0</v>
      </c>
      <c r="O331" s="258">
        <f>IFERROR(__xludf.DUMMYFUNCTION("""COMPUTED_VALUE"""),0.0)</f>
        <v>0</v>
      </c>
      <c r="P331" s="258">
        <f>IFERROR(__xludf.DUMMYFUNCTION("""COMPUTED_VALUE"""),0.0)</f>
        <v>0</v>
      </c>
      <c r="Q331" s="258">
        <f>IFERROR(__xludf.DUMMYFUNCTION("""COMPUTED_VALUE"""),0.0)</f>
        <v>0</v>
      </c>
      <c r="R331" s="259"/>
      <c r="S331" s="260"/>
      <c r="T331" s="261"/>
      <c r="U331" s="262"/>
      <c r="V331" s="250"/>
      <c r="W331" s="250"/>
      <c r="X331" s="250"/>
      <c r="Y331" s="250"/>
      <c r="Z331" s="250"/>
      <c r="AA331" s="250"/>
      <c r="AB331" s="250"/>
      <c r="AC331" s="250"/>
      <c r="AD331" s="250"/>
      <c r="AE331" s="250"/>
      <c r="AF331" s="250"/>
      <c r="AG331" s="250"/>
      <c r="AH331" s="250"/>
      <c r="AI331" s="250"/>
      <c r="AJ331" s="250"/>
      <c r="AK331" s="250"/>
      <c r="AL331" s="250"/>
      <c r="AM331" s="250"/>
      <c r="AN331" s="250"/>
    </row>
    <row r="332" ht="15.75" customHeight="1">
      <c r="A332" s="250"/>
      <c r="B332" s="251">
        <f>IFERROR(__xludf.DUMMYFUNCTION("""COMPUTED_VALUE"""),324.0)</f>
        <v>324</v>
      </c>
      <c r="C332" s="252"/>
      <c r="D332" s="253" t="str">
        <f>IFERROR(__xludf.DUMMYFUNCTION("""COMPUTED_VALUE"""),"")</f>
        <v/>
      </c>
      <c r="E332" s="254">
        <f>IFERROR(__xludf.DUMMYFUNCTION("""COMPUTED_VALUE"""),0.0)</f>
        <v>0</v>
      </c>
      <c r="F332" s="255"/>
      <c r="G332" s="256"/>
      <c r="H332" s="252">
        <f>IFERROR(__xludf.DUMMYFUNCTION("""COMPUTED_VALUE"""),0.0)</f>
        <v>0</v>
      </c>
      <c r="I332" s="258"/>
      <c r="J332" s="258"/>
      <c r="K332" s="257">
        <f>IFERROR(__xludf.DUMMYFUNCTION("""COMPUTED_VALUE"""),0.0)</f>
        <v>0</v>
      </c>
      <c r="L332" s="258">
        <f>IFERROR(__xludf.DUMMYFUNCTION("""COMPUTED_VALUE"""),0.0)</f>
        <v>0</v>
      </c>
      <c r="M332" s="258">
        <f>IFERROR(__xludf.DUMMYFUNCTION("""COMPUTED_VALUE"""),0.0)</f>
        <v>0</v>
      </c>
      <c r="N332" s="258">
        <f>IFERROR(__xludf.DUMMYFUNCTION("""COMPUTED_VALUE"""),0.0)</f>
        <v>0</v>
      </c>
      <c r="O332" s="258">
        <f>IFERROR(__xludf.DUMMYFUNCTION("""COMPUTED_VALUE"""),0.0)</f>
        <v>0</v>
      </c>
      <c r="P332" s="258">
        <f>IFERROR(__xludf.DUMMYFUNCTION("""COMPUTED_VALUE"""),0.0)</f>
        <v>0</v>
      </c>
      <c r="Q332" s="258">
        <f>IFERROR(__xludf.DUMMYFUNCTION("""COMPUTED_VALUE"""),0.0)</f>
        <v>0</v>
      </c>
      <c r="R332" s="259"/>
      <c r="S332" s="260"/>
      <c r="T332" s="261"/>
      <c r="U332" s="262"/>
      <c r="V332" s="250"/>
      <c r="W332" s="250"/>
      <c r="X332" s="250"/>
      <c r="Y332" s="250"/>
      <c r="Z332" s="250"/>
      <c r="AA332" s="250"/>
      <c r="AB332" s="250"/>
      <c r="AC332" s="250"/>
      <c r="AD332" s="250"/>
      <c r="AE332" s="250"/>
      <c r="AF332" s="250"/>
      <c r="AG332" s="250"/>
      <c r="AH332" s="250"/>
      <c r="AI332" s="250"/>
      <c r="AJ332" s="250"/>
      <c r="AK332" s="250"/>
      <c r="AL332" s="250"/>
      <c r="AM332" s="250"/>
      <c r="AN332" s="250"/>
    </row>
    <row r="333" ht="15.75" customHeight="1">
      <c r="A333" s="250"/>
      <c r="B333" s="251">
        <f>IFERROR(__xludf.DUMMYFUNCTION("""COMPUTED_VALUE"""),325.0)</f>
        <v>325</v>
      </c>
      <c r="C333" s="252"/>
      <c r="D333" s="253" t="str">
        <f>IFERROR(__xludf.DUMMYFUNCTION("""COMPUTED_VALUE"""),"")</f>
        <v/>
      </c>
      <c r="E333" s="254">
        <f>IFERROR(__xludf.DUMMYFUNCTION("""COMPUTED_VALUE"""),0.0)</f>
        <v>0</v>
      </c>
      <c r="F333" s="255"/>
      <c r="G333" s="256"/>
      <c r="H333" s="252">
        <f>IFERROR(__xludf.DUMMYFUNCTION("""COMPUTED_VALUE"""),0.0)</f>
        <v>0</v>
      </c>
      <c r="I333" s="258"/>
      <c r="J333" s="258"/>
      <c r="K333" s="257">
        <f>IFERROR(__xludf.DUMMYFUNCTION("""COMPUTED_VALUE"""),0.0)</f>
        <v>0</v>
      </c>
      <c r="L333" s="258">
        <f>IFERROR(__xludf.DUMMYFUNCTION("""COMPUTED_VALUE"""),0.0)</f>
        <v>0</v>
      </c>
      <c r="M333" s="258">
        <f>IFERROR(__xludf.DUMMYFUNCTION("""COMPUTED_VALUE"""),0.0)</f>
        <v>0</v>
      </c>
      <c r="N333" s="258">
        <f>IFERROR(__xludf.DUMMYFUNCTION("""COMPUTED_VALUE"""),0.0)</f>
        <v>0</v>
      </c>
      <c r="O333" s="258">
        <f>IFERROR(__xludf.DUMMYFUNCTION("""COMPUTED_VALUE"""),0.0)</f>
        <v>0</v>
      </c>
      <c r="P333" s="258">
        <f>IFERROR(__xludf.DUMMYFUNCTION("""COMPUTED_VALUE"""),0.0)</f>
        <v>0</v>
      </c>
      <c r="Q333" s="258">
        <f>IFERROR(__xludf.DUMMYFUNCTION("""COMPUTED_VALUE"""),0.0)</f>
        <v>0</v>
      </c>
      <c r="R333" s="259"/>
      <c r="S333" s="260"/>
      <c r="T333" s="261"/>
      <c r="U333" s="262"/>
      <c r="V333" s="250"/>
      <c r="W333" s="250"/>
      <c r="X333" s="250"/>
      <c r="Y333" s="250"/>
      <c r="Z333" s="250"/>
      <c r="AA333" s="250"/>
      <c r="AB333" s="250"/>
      <c r="AC333" s="250"/>
      <c r="AD333" s="250"/>
      <c r="AE333" s="250"/>
      <c r="AF333" s="250"/>
      <c r="AG333" s="250"/>
      <c r="AH333" s="250"/>
      <c r="AI333" s="250"/>
      <c r="AJ333" s="250"/>
      <c r="AK333" s="250"/>
      <c r="AL333" s="250"/>
      <c r="AM333" s="250"/>
      <c r="AN333" s="250"/>
    </row>
    <row r="334" ht="15.75" customHeight="1">
      <c r="A334" s="250"/>
      <c r="B334" s="251">
        <f>IFERROR(__xludf.DUMMYFUNCTION("""COMPUTED_VALUE"""),326.0)</f>
        <v>326</v>
      </c>
      <c r="C334" s="252"/>
      <c r="D334" s="253" t="str">
        <f>IFERROR(__xludf.DUMMYFUNCTION("""COMPUTED_VALUE"""),"")</f>
        <v/>
      </c>
      <c r="E334" s="254">
        <f>IFERROR(__xludf.DUMMYFUNCTION("""COMPUTED_VALUE"""),0.0)</f>
        <v>0</v>
      </c>
      <c r="F334" s="255"/>
      <c r="G334" s="256"/>
      <c r="H334" s="252">
        <f>IFERROR(__xludf.DUMMYFUNCTION("""COMPUTED_VALUE"""),0.0)</f>
        <v>0</v>
      </c>
      <c r="I334" s="258"/>
      <c r="J334" s="258"/>
      <c r="K334" s="257">
        <f>IFERROR(__xludf.DUMMYFUNCTION("""COMPUTED_VALUE"""),0.0)</f>
        <v>0</v>
      </c>
      <c r="L334" s="258">
        <f>IFERROR(__xludf.DUMMYFUNCTION("""COMPUTED_VALUE"""),0.0)</f>
        <v>0</v>
      </c>
      <c r="M334" s="258">
        <f>IFERROR(__xludf.DUMMYFUNCTION("""COMPUTED_VALUE"""),0.0)</f>
        <v>0</v>
      </c>
      <c r="N334" s="258">
        <f>IFERROR(__xludf.DUMMYFUNCTION("""COMPUTED_VALUE"""),0.0)</f>
        <v>0</v>
      </c>
      <c r="O334" s="258">
        <f>IFERROR(__xludf.DUMMYFUNCTION("""COMPUTED_VALUE"""),0.0)</f>
        <v>0</v>
      </c>
      <c r="P334" s="258">
        <f>IFERROR(__xludf.DUMMYFUNCTION("""COMPUTED_VALUE"""),0.0)</f>
        <v>0</v>
      </c>
      <c r="Q334" s="258">
        <f>IFERROR(__xludf.DUMMYFUNCTION("""COMPUTED_VALUE"""),0.0)</f>
        <v>0</v>
      </c>
      <c r="R334" s="259"/>
      <c r="S334" s="260"/>
      <c r="T334" s="261"/>
      <c r="U334" s="262"/>
      <c r="V334" s="250"/>
      <c r="W334" s="250"/>
      <c r="X334" s="250"/>
      <c r="Y334" s="250"/>
      <c r="Z334" s="250"/>
      <c r="AA334" s="250"/>
      <c r="AB334" s="250"/>
      <c r="AC334" s="250"/>
      <c r="AD334" s="250"/>
      <c r="AE334" s="250"/>
      <c r="AF334" s="250"/>
      <c r="AG334" s="250"/>
      <c r="AH334" s="250"/>
      <c r="AI334" s="250"/>
      <c r="AJ334" s="250"/>
      <c r="AK334" s="250"/>
      <c r="AL334" s="250"/>
      <c r="AM334" s="250"/>
      <c r="AN334" s="250"/>
    </row>
    <row r="335" ht="15.75" customHeight="1">
      <c r="A335" s="250"/>
      <c r="B335" s="251">
        <f>IFERROR(__xludf.DUMMYFUNCTION("""COMPUTED_VALUE"""),327.0)</f>
        <v>327</v>
      </c>
      <c r="C335" s="252"/>
      <c r="D335" s="253" t="str">
        <f>IFERROR(__xludf.DUMMYFUNCTION("""COMPUTED_VALUE"""),"")</f>
        <v/>
      </c>
      <c r="E335" s="254">
        <f>IFERROR(__xludf.DUMMYFUNCTION("""COMPUTED_VALUE"""),0.0)</f>
        <v>0</v>
      </c>
      <c r="F335" s="255"/>
      <c r="G335" s="256"/>
      <c r="H335" s="252">
        <f>IFERROR(__xludf.DUMMYFUNCTION("""COMPUTED_VALUE"""),0.0)</f>
        <v>0</v>
      </c>
      <c r="I335" s="258"/>
      <c r="J335" s="258"/>
      <c r="K335" s="257">
        <f>IFERROR(__xludf.DUMMYFUNCTION("""COMPUTED_VALUE"""),0.0)</f>
        <v>0</v>
      </c>
      <c r="L335" s="258">
        <f>IFERROR(__xludf.DUMMYFUNCTION("""COMPUTED_VALUE"""),0.0)</f>
        <v>0</v>
      </c>
      <c r="M335" s="258">
        <f>IFERROR(__xludf.DUMMYFUNCTION("""COMPUTED_VALUE"""),0.0)</f>
        <v>0</v>
      </c>
      <c r="N335" s="258">
        <f>IFERROR(__xludf.DUMMYFUNCTION("""COMPUTED_VALUE"""),0.0)</f>
        <v>0</v>
      </c>
      <c r="O335" s="258">
        <f>IFERROR(__xludf.DUMMYFUNCTION("""COMPUTED_VALUE"""),0.0)</f>
        <v>0</v>
      </c>
      <c r="P335" s="258">
        <f>IFERROR(__xludf.DUMMYFUNCTION("""COMPUTED_VALUE"""),0.0)</f>
        <v>0</v>
      </c>
      <c r="Q335" s="258">
        <f>IFERROR(__xludf.DUMMYFUNCTION("""COMPUTED_VALUE"""),0.0)</f>
        <v>0</v>
      </c>
      <c r="R335" s="259"/>
      <c r="S335" s="260"/>
      <c r="T335" s="261"/>
      <c r="U335" s="262"/>
      <c r="V335" s="250"/>
      <c r="W335" s="250"/>
      <c r="X335" s="250"/>
      <c r="Y335" s="250"/>
      <c r="Z335" s="250"/>
      <c r="AA335" s="250"/>
      <c r="AB335" s="250"/>
      <c r="AC335" s="250"/>
      <c r="AD335" s="250"/>
      <c r="AE335" s="250"/>
      <c r="AF335" s="250"/>
      <c r="AG335" s="250"/>
      <c r="AH335" s="250"/>
      <c r="AI335" s="250"/>
      <c r="AJ335" s="250"/>
      <c r="AK335" s="250"/>
      <c r="AL335" s="250"/>
      <c r="AM335" s="250"/>
      <c r="AN335" s="250"/>
    </row>
    <row r="336" ht="15.75" customHeight="1">
      <c r="A336" s="250"/>
      <c r="B336" s="251">
        <f>IFERROR(__xludf.DUMMYFUNCTION("""COMPUTED_VALUE"""),328.0)</f>
        <v>328</v>
      </c>
      <c r="C336" s="252"/>
      <c r="D336" s="253" t="str">
        <f>IFERROR(__xludf.DUMMYFUNCTION("""COMPUTED_VALUE"""),"")</f>
        <v/>
      </c>
      <c r="E336" s="254">
        <f>IFERROR(__xludf.DUMMYFUNCTION("""COMPUTED_VALUE"""),0.0)</f>
        <v>0</v>
      </c>
      <c r="F336" s="255"/>
      <c r="G336" s="256"/>
      <c r="H336" s="252">
        <f>IFERROR(__xludf.DUMMYFUNCTION("""COMPUTED_VALUE"""),0.0)</f>
        <v>0</v>
      </c>
      <c r="I336" s="258"/>
      <c r="J336" s="258"/>
      <c r="K336" s="257">
        <f>IFERROR(__xludf.DUMMYFUNCTION("""COMPUTED_VALUE"""),0.0)</f>
        <v>0</v>
      </c>
      <c r="L336" s="258">
        <f>IFERROR(__xludf.DUMMYFUNCTION("""COMPUTED_VALUE"""),0.0)</f>
        <v>0</v>
      </c>
      <c r="M336" s="258">
        <f>IFERROR(__xludf.DUMMYFUNCTION("""COMPUTED_VALUE"""),0.0)</f>
        <v>0</v>
      </c>
      <c r="N336" s="258">
        <f>IFERROR(__xludf.DUMMYFUNCTION("""COMPUTED_VALUE"""),0.0)</f>
        <v>0</v>
      </c>
      <c r="O336" s="258">
        <f>IFERROR(__xludf.DUMMYFUNCTION("""COMPUTED_VALUE"""),0.0)</f>
        <v>0</v>
      </c>
      <c r="P336" s="258">
        <f>IFERROR(__xludf.DUMMYFUNCTION("""COMPUTED_VALUE"""),0.0)</f>
        <v>0</v>
      </c>
      <c r="Q336" s="258">
        <f>IFERROR(__xludf.DUMMYFUNCTION("""COMPUTED_VALUE"""),0.0)</f>
        <v>0</v>
      </c>
      <c r="R336" s="259"/>
      <c r="S336" s="260"/>
      <c r="T336" s="261"/>
      <c r="U336" s="262"/>
      <c r="V336" s="250"/>
      <c r="W336" s="250"/>
      <c r="X336" s="250"/>
      <c r="Y336" s="250"/>
      <c r="Z336" s="250"/>
      <c r="AA336" s="250"/>
      <c r="AB336" s="250"/>
      <c r="AC336" s="250"/>
      <c r="AD336" s="250"/>
      <c r="AE336" s="250"/>
      <c r="AF336" s="250"/>
      <c r="AG336" s="250"/>
      <c r="AH336" s="250"/>
      <c r="AI336" s="250"/>
      <c r="AJ336" s="250"/>
      <c r="AK336" s="250"/>
      <c r="AL336" s="250"/>
      <c r="AM336" s="250"/>
      <c r="AN336" s="250"/>
    </row>
    <row r="337" ht="15.75" customHeight="1">
      <c r="A337" s="250"/>
      <c r="B337" s="251">
        <f>IFERROR(__xludf.DUMMYFUNCTION("""COMPUTED_VALUE"""),329.0)</f>
        <v>329</v>
      </c>
      <c r="C337" s="252"/>
      <c r="D337" s="253" t="str">
        <f>IFERROR(__xludf.DUMMYFUNCTION("""COMPUTED_VALUE"""),"")</f>
        <v/>
      </c>
      <c r="E337" s="254">
        <f>IFERROR(__xludf.DUMMYFUNCTION("""COMPUTED_VALUE"""),0.0)</f>
        <v>0</v>
      </c>
      <c r="F337" s="255"/>
      <c r="G337" s="256"/>
      <c r="H337" s="252">
        <f>IFERROR(__xludf.DUMMYFUNCTION("""COMPUTED_VALUE"""),0.0)</f>
        <v>0</v>
      </c>
      <c r="I337" s="258"/>
      <c r="J337" s="258"/>
      <c r="K337" s="257">
        <f>IFERROR(__xludf.DUMMYFUNCTION("""COMPUTED_VALUE"""),0.0)</f>
        <v>0</v>
      </c>
      <c r="L337" s="258">
        <f>IFERROR(__xludf.DUMMYFUNCTION("""COMPUTED_VALUE"""),0.0)</f>
        <v>0</v>
      </c>
      <c r="M337" s="258">
        <f>IFERROR(__xludf.DUMMYFUNCTION("""COMPUTED_VALUE"""),0.0)</f>
        <v>0</v>
      </c>
      <c r="N337" s="258">
        <f>IFERROR(__xludf.DUMMYFUNCTION("""COMPUTED_VALUE"""),0.0)</f>
        <v>0</v>
      </c>
      <c r="O337" s="258">
        <f>IFERROR(__xludf.DUMMYFUNCTION("""COMPUTED_VALUE"""),0.0)</f>
        <v>0</v>
      </c>
      <c r="P337" s="258">
        <f>IFERROR(__xludf.DUMMYFUNCTION("""COMPUTED_VALUE"""),0.0)</f>
        <v>0</v>
      </c>
      <c r="Q337" s="258">
        <f>IFERROR(__xludf.DUMMYFUNCTION("""COMPUTED_VALUE"""),0.0)</f>
        <v>0</v>
      </c>
      <c r="R337" s="259"/>
      <c r="S337" s="260"/>
      <c r="T337" s="261"/>
      <c r="U337" s="262"/>
      <c r="V337" s="250"/>
      <c r="W337" s="250"/>
      <c r="X337" s="250"/>
      <c r="Y337" s="250"/>
      <c r="Z337" s="250"/>
      <c r="AA337" s="250"/>
      <c r="AB337" s="250"/>
      <c r="AC337" s="250"/>
      <c r="AD337" s="250"/>
      <c r="AE337" s="250"/>
      <c r="AF337" s="250"/>
      <c r="AG337" s="250"/>
      <c r="AH337" s="250"/>
      <c r="AI337" s="250"/>
      <c r="AJ337" s="250"/>
      <c r="AK337" s="250"/>
      <c r="AL337" s="250"/>
      <c r="AM337" s="250"/>
      <c r="AN337" s="250"/>
    </row>
    <row r="338" ht="15.75" customHeight="1">
      <c r="A338" s="250"/>
      <c r="B338" s="251">
        <f>IFERROR(__xludf.DUMMYFUNCTION("""COMPUTED_VALUE"""),330.0)</f>
        <v>330</v>
      </c>
      <c r="C338" s="252"/>
      <c r="D338" s="253" t="str">
        <f>IFERROR(__xludf.DUMMYFUNCTION("""COMPUTED_VALUE"""),"")</f>
        <v/>
      </c>
      <c r="E338" s="254">
        <f>IFERROR(__xludf.DUMMYFUNCTION("""COMPUTED_VALUE"""),0.0)</f>
        <v>0</v>
      </c>
      <c r="F338" s="255"/>
      <c r="G338" s="256"/>
      <c r="H338" s="252">
        <f>IFERROR(__xludf.DUMMYFUNCTION("""COMPUTED_VALUE"""),0.0)</f>
        <v>0</v>
      </c>
      <c r="I338" s="258"/>
      <c r="J338" s="258"/>
      <c r="K338" s="257">
        <f>IFERROR(__xludf.DUMMYFUNCTION("""COMPUTED_VALUE"""),0.0)</f>
        <v>0</v>
      </c>
      <c r="L338" s="258">
        <f>IFERROR(__xludf.DUMMYFUNCTION("""COMPUTED_VALUE"""),0.0)</f>
        <v>0</v>
      </c>
      <c r="M338" s="258">
        <f>IFERROR(__xludf.DUMMYFUNCTION("""COMPUTED_VALUE"""),0.0)</f>
        <v>0</v>
      </c>
      <c r="N338" s="258">
        <f>IFERROR(__xludf.DUMMYFUNCTION("""COMPUTED_VALUE"""),0.0)</f>
        <v>0</v>
      </c>
      <c r="O338" s="258">
        <f>IFERROR(__xludf.DUMMYFUNCTION("""COMPUTED_VALUE"""),0.0)</f>
        <v>0</v>
      </c>
      <c r="P338" s="258">
        <f>IFERROR(__xludf.DUMMYFUNCTION("""COMPUTED_VALUE"""),0.0)</f>
        <v>0</v>
      </c>
      <c r="Q338" s="258">
        <f>IFERROR(__xludf.DUMMYFUNCTION("""COMPUTED_VALUE"""),0.0)</f>
        <v>0</v>
      </c>
      <c r="R338" s="259"/>
      <c r="S338" s="260"/>
      <c r="T338" s="261"/>
      <c r="U338" s="262"/>
      <c r="V338" s="250"/>
      <c r="W338" s="250"/>
      <c r="X338" s="250"/>
      <c r="Y338" s="250"/>
      <c r="Z338" s="250"/>
      <c r="AA338" s="250"/>
      <c r="AB338" s="250"/>
      <c r="AC338" s="250"/>
      <c r="AD338" s="250"/>
      <c r="AE338" s="250"/>
      <c r="AF338" s="250"/>
      <c r="AG338" s="250"/>
      <c r="AH338" s="250"/>
      <c r="AI338" s="250"/>
      <c r="AJ338" s="250"/>
      <c r="AK338" s="250"/>
      <c r="AL338" s="250"/>
      <c r="AM338" s="250"/>
      <c r="AN338" s="250"/>
    </row>
    <row r="339" ht="15.75" customHeight="1">
      <c r="A339" s="250"/>
      <c r="B339" s="251">
        <f>IFERROR(__xludf.DUMMYFUNCTION("""COMPUTED_VALUE"""),331.0)</f>
        <v>331</v>
      </c>
      <c r="C339" s="252"/>
      <c r="D339" s="253" t="str">
        <f>IFERROR(__xludf.DUMMYFUNCTION("""COMPUTED_VALUE"""),"")</f>
        <v/>
      </c>
      <c r="E339" s="254">
        <f>IFERROR(__xludf.DUMMYFUNCTION("""COMPUTED_VALUE"""),0.0)</f>
        <v>0</v>
      </c>
      <c r="F339" s="255"/>
      <c r="G339" s="256"/>
      <c r="H339" s="252">
        <f>IFERROR(__xludf.DUMMYFUNCTION("""COMPUTED_VALUE"""),0.0)</f>
        <v>0</v>
      </c>
      <c r="I339" s="258"/>
      <c r="J339" s="258"/>
      <c r="K339" s="257">
        <f>IFERROR(__xludf.DUMMYFUNCTION("""COMPUTED_VALUE"""),0.0)</f>
        <v>0</v>
      </c>
      <c r="L339" s="258">
        <f>IFERROR(__xludf.DUMMYFUNCTION("""COMPUTED_VALUE"""),0.0)</f>
        <v>0</v>
      </c>
      <c r="M339" s="258">
        <f>IFERROR(__xludf.DUMMYFUNCTION("""COMPUTED_VALUE"""),0.0)</f>
        <v>0</v>
      </c>
      <c r="N339" s="258">
        <f>IFERROR(__xludf.DUMMYFUNCTION("""COMPUTED_VALUE"""),0.0)</f>
        <v>0</v>
      </c>
      <c r="O339" s="258">
        <f>IFERROR(__xludf.DUMMYFUNCTION("""COMPUTED_VALUE"""),0.0)</f>
        <v>0</v>
      </c>
      <c r="P339" s="258">
        <f>IFERROR(__xludf.DUMMYFUNCTION("""COMPUTED_VALUE"""),0.0)</f>
        <v>0</v>
      </c>
      <c r="Q339" s="258">
        <f>IFERROR(__xludf.DUMMYFUNCTION("""COMPUTED_VALUE"""),0.0)</f>
        <v>0</v>
      </c>
      <c r="R339" s="259"/>
      <c r="S339" s="260"/>
      <c r="T339" s="261"/>
      <c r="U339" s="262"/>
      <c r="V339" s="250"/>
      <c r="W339" s="250"/>
      <c r="X339" s="250"/>
      <c r="Y339" s="250"/>
      <c r="Z339" s="250"/>
      <c r="AA339" s="250"/>
      <c r="AB339" s="250"/>
      <c r="AC339" s="250"/>
      <c r="AD339" s="250"/>
      <c r="AE339" s="250"/>
      <c r="AF339" s="250"/>
      <c r="AG339" s="250"/>
      <c r="AH339" s="250"/>
      <c r="AI339" s="250"/>
      <c r="AJ339" s="250"/>
      <c r="AK339" s="250"/>
      <c r="AL339" s="250"/>
      <c r="AM339" s="250"/>
      <c r="AN339" s="250"/>
    </row>
    <row r="340" ht="15.75" customHeight="1">
      <c r="A340" s="250"/>
      <c r="B340" s="251">
        <f>IFERROR(__xludf.DUMMYFUNCTION("""COMPUTED_VALUE"""),332.0)</f>
        <v>332</v>
      </c>
      <c r="C340" s="252"/>
      <c r="D340" s="253" t="str">
        <f>IFERROR(__xludf.DUMMYFUNCTION("""COMPUTED_VALUE"""),"")</f>
        <v/>
      </c>
      <c r="E340" s="254">
        <f>IFERROR(__xludf.DUMMYFUNCTION("""COMPUTED_VALUE"""),0.0)</f>
        <v>0</v>
      </c>
      <c r="F340" s="255"/>
      <c r="G340" s="256"/>
      <c r="H340" s="252">
        <f>IFERROR(__xludf.DUMMYFUNCTION("""COMPUTED_VALUE"""),0.0)</f>
        <v>0</v>
      </c>
      <c r="I340" s="258"/>
      <c r="J340" s="258"/>
      <c r="K340" s="257">
        <f>IFERROR(__xludf.DUMMYFUNCTION("""COMPUTED_VALUE"""),0.0)</f>
        <v>0</v>
      </c>
      <c r="L340" s="258">
        <f>IFERROR(__xludf.DUMMYFUNCTION("""COMPUTED_VALUE"""),0.0)</f>
        <v>0</v>
      </c>
      <c r="M340" s="258">
        <f>IFERROR(__xludf.DUMMYFUNCTION("""COMPUTED_VALUE"""),0.0)</f>
        <v>0</v>
      </c>
      <c r="N340" s="258">
        <f>IFERROR(__xludf.DUMMYFUNCTION("""COMPUTED_VALUE"""),0.0)</f>
        <v>0</v>
      </c>
      <c r="O340" s="258">
        <f>IFERROR(__xludf.DUMMYFUNCTION("""COMPUTED_VALUE"""),0.0)</f>
        <v>0</v>
      </c>
      <c r="P340" s="258">
        <f>IFERROR(__xludf.DUMMYFUNCTION("""COMPUTED_VALUE"""),0.0)</f>
        <v>0</v>
      </c>
      <c r="Q340" s="258">
        <f>IFERROR(__xludf.DUMMYFUNCTION("""COMPUTED_VALUE"""),0.0)</f>
        <v>0</v>
      </c>
      <c r="R340" s="259"/>
      <c r="S340" s="260"/>
      <c r="T340" s="261"/>
      <c r="U340" s="262"/>
      <c r="V340" s="250"/>
      <c r="W340" s="250"/>
      <c r="X340" s="250"/>
      <c r="Y340" s="250"/>
      <c r="Z340" s="250"/>
      <c r="AA340" s="250"/>
      <c r="AB340" s="250"/>
      <c r="AC340" s="250"/>
      <c r="AD340" s="250"/>
      <c r="AE340" s="250"/>
      <c r="AF340" s="250"/>
      <c r="AG340" s="250"/>
      <c r="AH340" s="250"/>
      <c r="AI340" s="250"/>
      <c r="AJ340" s="250"/>
      <c r="AK340" s="250"/>
      <c r="AL340" s="250"/>
      <c r="AM340" s="250"/>
      <c r="AN340" s="250"/>
    </row>
    <row r="341" ht="15.75" customHeight="1">
      <c r="A341" s="250"/>
      <c r="B341" s="251">
        <f>IFERROR(__xludf.DUMMYFUNCTION("""COMPUTED_VALUE"""),333.0)</f>
        <v>333</v>
      </c>
      <c r="C341" s="252"/>
      <c r="D341" s="253" t="str">
        <f>IFERROR(__xludf.DUMMYFUNCTION("""COMPUTED_VALUE"""),"")</f>
        <v/>
      </c>
      <c r="E341" s="254">
        <f>IFERROR(__xludf.DUMMYFUNCTION("""COMPUTED_VALUE"""),0.0)</f>
        <v>0</v>
      </c>
      <c r="F341" s="255"/>
      <c r="G341" s="256"/>
      <c r="H341" s="252">
        <f>IFERROR(__xludf.DUMMYFUNCTION("""COMPUTED_VALUE"""),0.0)</f>
        <v>0</v>
      </c>
      <c r="I341" s="258"/>
      <c r="J341" s="258"/>
      <c r="K341" s="257">
        <f>IFERROR(__xludf.DUMMYFUNCTION("""COMPUTED_VALUE"""),0.0)</f>
        <v>0</v>
      </c>
      <c r="L341" s="258">
        <f>IFERROR(__xludf.DUMMYFUNCTION("""COMPUTED_VALUE"""),0.0)</f>
        <v>0</v>
      </c>
      <c r="M341" s="258">
        <f>IFERROR(__xludf.DUMMYFUNCTION("""COMPUTED_VALUE"""),0.0)</f>
        <v>0</v>
      </c>
      <c r="N341" s="258">
        <f>IFERROR(__xludf.DUMMYFUNCTION("""COMPUTED_VALUE"""),0.0)</f>
        <v>0</v>
      </c>
      <c r="O341" s="258">
        <f>IFERROR(__xludf.DUMMYFUNCTION("""COMPUTED_VALUE"""),0.0)</f>
        <v>0</v>
      </c>
      <c r="P341" s="258">
        <f>IFERROR(__xludf.DUMMYFUNCTION("""COMPUTED_VALUE"""),0.0)</f>
        <v>0</v>
      </c>
      <c r="Q341" s="258">
        <f>IFERROR(__xludf.DUMMYFUNCTION("""COMPUTED_VALUE"""),0.0)</f>
        <v>0</v>
      </c>
      <c r="R341" s="259"/>
      <c r="S341" s="260"/>
      <c r="T341" s="261"/>
      <c r="U341" s="262"/>
      <c r="V341" s="250"/>
      <c r="W341" s="250"/>
      <c r="X341" s="250"/>
      <c r="Y341" s="250"/>
      <c r="Z341" s="250"/>
      <c r="AA341" s="250"/>
      <c r="AB341" s="250"/>
      <c r="AC341" s="250"/>
      <c r="AD341" s="250"/>
      <c r="AE341" s="250"/>
      <c r="AF341" s="250"/>
      <c r="AG341" s="250"/>
      <c r="AH341" s="250"/>
      <c r="AI341" s="250"/>
      <c r="AJ341" s="250"/>
      <c r="AK341" s="250"/>
      <c r="AL341" s="250"/>
      <c r="AM341" s="250"/>
      <c r="AN341" s="250"/>
    </row>
    <row r="342" ht="15.75" customHeight="1">
      <c r="A342" s="250"/>
      <c r="B342" s="251">
        <f>IFERROR(__xludf.DUMMYFUNCTION("""COMPUTED_VALUE"""),334.0)</f>
        <v>334</v>
      </c>
      <c r="C342" s="252"/>
      <c r="D342" s="253" t="str">
        <f>IFERROR(__xludf.DUMMYFUNCTION("""COMPUTED_VALUE"""),"")</f>
        <v/>
      </c>
      <c r="E342" s="254">
        <f>IFERROR(__xludf.DUMMYFUNCTION("""COMPUTED_VALUE"""),0.0)</f>
        <v>0</v>
      </c>
      <c r="F342" s="255"/>
      <c r="G342" s="256"/>
      <c r="H342" s="252">
        <f>IFERROR(__xludf.DUMMYFUNCTION("""COMPUTED_VALUE"""),0.0)</f>
        <v>0</v>
      </c>
      <c r="I342" s="258"/>
      <c r="J342" s="258"/>
      <c r="K342" s="257">
        <f>IFERROR(__xludf.DUMMYFUNCTION("""COMPUTED_VALUE"""),0.0)</f>
        <v>0</v>
      </c>
      <c r="L342" s="258">
        <f>IFERROR(__xludf.DUMMYFUNCTION("""COMPUTED_VALUE"""),0.0)</f>
        <v>0</v>
      </c>
      <c r="M342" s="258">
        <f>IFERROR(__xludf.DUMMYFUNCTION("""COMPUTED_VALUE"""),0.0)</f>
        <v>0</v>
      </c>
      <c r="N342" s="258">
        <f>IFERROR(__xludf.DUMMYFUNCTION("""COMPUTED_VALUE"""),0.0)</f>
        <v>0</v>
      </c>
      <c r="O342" s="258">
        <f>IFERROR(__xludf.DUMMYFUNCTION("""COMPUTED_VALUE"""),0.0)</f>
        <v>0</v>
      </c>
      <c r="P342" s="258">
        <f>IFERROR(__xludf.DUMMYFUNCTION("""COMPUTED_VALUE"""),0.0)</f>
        <v>0</v>
      </c>
      <c r="Q342" s="258">
        <f>IFERROR(__xludf.DUMMYFUNCTION("""COMPUTED_VALUE"""),0.0)</f>
        <v>0</v>
      </c>
      <c r="R342" s="259"/>
      <c r="S342" s="260"/>
      <c r="T342" s="261"/>
      <c r="U342" s="262"/>
      <c r="V342" s="250"/>
      <c r="W342" s="250"/>
      <c r="X342" s="250"/>
      <c r="Y342" s="250"/>
      <c r="Z342" s="250"/>
      <c r="AA342" s="250"/>
      <c r="AB342" s="250"/>
      <c r="AC342" s="250"/>
      <c r="AD342" s="250"/>
      <c r="AE342" s="250"/>
      <c r="AF342" s="250"/>
      <c r="AG342" s="250"/>
      <c r="AH342" s="250"/>
      <c r="AI342" s="250"/>
      <c r="AJ342" s="250"/>
      <c r="AK342" s="250"/>
      <c r="AL342" s="250"/>
      <c r="AM342" s="250"/>
      <c r="AN342" s="250"/>
    </row>
    <row r="343" ht="15.75" customHeight="1">
      <c r="A343" s="250"/>
      <c r="B343" s="251">
        <f>IFERROR(__xludf.DUMMYFUNCTION("""COMPUTED_VALUE"""),335.0)</f>
        <v>335</v>
      </c>
      <c r="C343" s="252"/>
      <c r="D343" s="253" t="str">
        <f>IFERROR(__xludf.DUMMYFUNCTION("""COMPUTED_VALUE"""),"")</f>
        <v/>
      </c>
      <c r="E343" s="254">
        <f>IFERROR(__xludf.DUMMYFUNCTION("""COMPUTED_VALUE"""),0.0)</f>
        <v>0</v>
      </c>
      <c r="F343" s="255"/>
      <c r="G343" s="256"/>
      <c r="H343" s="252">
        <f>IFERROR(__xludf.DUMMYFUNCTION("""COMPUTED_VALUE"""),0.0)</f>
        <v>0</v>
      </c>
      <c r="I343" s="258"/>
      <c r="J343" s="258"/>
      <c r="K343" s="257">
        <f>IFERROR(__xludf.DUMMYFUNCTION("""COMPUTED_VALUE"""),0.0)</f>
        <v>0</v>
      </c>
      <c r="L343" s="258">
        <f>IFERROR(__xludf.DUMMYFUNCTION("""COMPUTED_VALUE"""),0.0)</f>
        <v>0</v>
      </c>
      <c r="M343" s="258">
        <f>IFERROR(__xludf.DUMMYFUNCTION("""COMPUTED_VALUE"""),0.0)</f>
        <v>0</v>
      </c>
      <c r="N343" s="258">
        <f>IFERROR(__xludf.DUMMYFUNCTION("""COMPUTED_VALUE"""),0.0)</f>
        <v>0</v>
      </c>
      <c r="O343" s="258">
        <f>IFERROR(__xludf.DUMMYFUNCTION("""COMPUTED_VALUE"""),0.0)</f>
        <v>0</v>
      </c>
      <c r="P343" s="258">
        <f>IFERROR(__xludf.DUMMYFUNCTION("""COMPUTED_VALUE"""),0.0)</f>
        <v>0</v>
      </c>
      <c r="Q343" s="258">
        <f>IFERROR(__xludf.DUMMYFUNCTION("""COMPUTED_VALUE"""),0.0)</f>
        <v>0</v>
      </c>
      <c r="R343" s="259"/>
      <c r="S343" s="260"/>
      <c r="T343" s="261"/>
      <c r="U343" s="262"/>
      <c r="V343" s="250"/>
      <c r="W343" s="250"/>
      <c r="X343" s="250"/>
      <c r="Y343" s="250"/>
      <c r="Z343" s="250"/>
      <c r="AA343" s="250"/>
      <c r="AB343" s="250"/>
      <c r="AC343" s="250"/>
      <c r="AD343" s="250"/>
      <c r="AE343" s="250"/>
      <c r="AF343" s="250"/>
      <c r="AG343" s="250"/>
      <c r="AH343" s="250"/>
      <c r="AI343" s="250"/>
      <c r="AJ343" s="250"/>
      <c r="AK343" s="250"/>
      <c r="AL343" s="250"/>
      <c r="AM343" s="250"/>
      <c r="AN343" s="250"/>
    </row>
    <row r="344" ht="15.75" customHeight="1">
      <c r="A344" s="250"/>
      <c r="B344" s="251">
        <f>IFERROR(__xludf.DUMMYFUNCTION("""COMPUTED_VALUE"""),336.0)</f>
        <v>336</v>
      </c>
      <c r="C344" s="252"/>
      <c r="D344" s="253" t="str">
        <f>IFERROR(__xludf.DUMMYFUNCTION("""COMPUTED_VALUE"""),"")</f>
        <v/>
      </c>
      <c r="E344" s="254">
        <f>IFERROR(__xludf.DUMMYFUNCTION("""COMPUTED_VALUE"""),0.0)</f>
        <v>0</v>
      </c>
      <c r="F344" s="255"/>
      <c r="G344" s="256"/>
      <c r="H344" s="252">
        <f>IFERROR(__xludf.DUMMYFUNCTION("""COMPUTED_VALUE"""),0.0)</f>
        <v>0</v>
      </c>
      <c r="I344" s="258"/>
      <c r="J344" s="258"/>
      <c r="K344" s="257">
        <f>IFERROR(__xludf.DUMMYFUNCTION("""COMPUTED_VALUE"""),0.0)</f>
        <v>0</v>
      </c>
      <c r="L344" s="258">
        <f>IFERROR(__xludf.DUMMYFUNCTION("""COMPUTED_VALUE"""),0.0)</f>
        <v>0</v>
      </c>
      <c r="M344" s="258">
        <f>IFERROR(__xludf.DUMMYFUNCTION("""COMPUTED_VALUE"""),0.0)</f>
        <v>0</v>
      </c>
      <c r="N344" s="258">
        <f>IFERROR(__xludf.DUMMYFUNCTION("""COMPUTED_VALUE"""),0.0)</f>
        <v>0</v>
      </c>
      <c r="O344" s="258">
        <f>IFERROR(__xludf.DUMMYFUNCTION("""COMPUTED_VALUE"""),0.0)</f>
        <v>0</v>
      </c>
      <c r="P344" s="258">
        <f>IFERROR(__xludf.DUMMYFUNCTION("""COMPUTED_VALUE"""),0.0)</f>
        <v>0</v>
      </c>
      <c r="Q344" s="258">
        <f>IFERROR(__xludf.DUMMYFUNCTION("""COMPUTED_VALUE"""),0.0)</f>
        <v>0</v>
      </c>
      <c r="R344" s="259"/>
      <c r="S344" s="260"/>
      <c r="T344" s="261"/>
      <c r="U344" s="262"/>
      <c r="V344" s="250"/>
      <c r="W344" s="250"/>
      <c r="X344" s="250"/>
      <c r="Y344" s="250"/>
      <c r="Z344" s="250"/>
      <c r="AA344" s="250"/>
      <c r="AB344" s="250"/>
      <c r="AC344" s="250"/>
      <c r="AD344" s="250"/>
      <c r="AE344" s="250"/>
      <c r="AF344" s="250"/>
      <c r="AG344" s="250"/>
      <c r="AH344" s="250"/>
      <c r="AI344" s="250"/>
      <c r="AJ344" s="250"/>
      <c r="AK344" s="250"/>
      <c r="AL344" s="250"/>
      <c r="AM344" s="250"/>
      <c r="AN344" s="250"/>
    </row>
    <row r="345" ht="15.75" customHeight="1">
      <c r="A345" s="250"/>
      <c r="B345" s="251">
        <f>IFERROR(__xludf.DUMMYFUNCTION("""COMPUTED_VALUE"""),337.0)</f>
        <v>337</v>
      </c>
      <c r="C345" s="252"/>
      <c r="D345" s="253" t="str">
        <f>IFERROR(__xludf.DUMMYFUNCTION("""COMPUTED_VALUE"""),"")</f>
        <v/>
      </c>
      <c r="E345" s="254">
        <f>IFERROR(__xludf.DUMMYFUNCTION("""COMPUTED_VALUE"""),0.0)</f>
        <v>0</v>
      </c>
      <c r="F345" s="255"/>
      <c r="G345" s="256"/>
      <c r="H345" s="252">
        <f>IFERROR(__xludf.DUMMYFUNCTION("""COMPUTED_VALUE"""),0.0)</f>
        <v>0</v>
      </c>
      <c r="I345" s="258"/>
      <c r="J345" s="258"/>
      <c r="K345" s="257">
        <f>IFERROR(__xludf.DUMMYFUNCTION("""COMPUTED_VALUE"""),0.0)</f>
        <v>0</v>
      </c>
      <c r="L345" s="258">
        <f>IFERROR(__xludf.DUMMYFUNCTION("""COMPUTED_VALUE"""),0.0)</f>
        <v>0</v>
      </c>
      <c r="M345" s="258">
        <f>IFERROR(__xludf.DUMMYFUNCTION("""COMPUTED_VALUE"""),0.0)</f>
        <v>0</v>
      </c>
      <c r="N345" s="258">
        <f>IFERROR(__xludf.DUMMYFUNCTION("""COMPUTED_VALUE"""),0.0)</f>
        <v>0</v>
      </c>
      <c r="O345" s="258">
        <f>IFERROR(__xludf.DUMMYFUNCTION("""COMPUTED_VALUE"""),0.0)</f>
        <v>0</v>
      </c>
      <c r="P345" s="258">
        <f>IFERROR(__xludf.DUMMYFUNCTION("""COMPUTED_VALUE"""),0.0)</f>
        <v>0</v>
      </c>
      <c r="Q345" s="258">
        <f>IFERROR(__xludf.DUMMYFUNCTION("""COMPUTED_VALUE"""),0.0)</f>
        <v>0</v>
      </c>
      <c r="R345" s="259"/>
      <c r="S345" s="260"/>
      <c r="T345" s="261"/>
      <c r="U345" s="262"/>
      <c r="V345" s="250"/>
      <c r="W345" s="250"/>
      <c r="X345" s="250"/>
      <c r="Y345" s="250"/>
      <c r="Z345" s="250"/>
      <c r="AA345" s="250"/>
      <c r="AB345" s="250"/>
      <c r="AC345" s="250"/>
      <c r="AD345" s="250"/>
      <c r="AE345" s="250"/>
      <c r="AF345" s="250"/>
      <c r="AG345" s="250"/>
      <c r="AH345" s="250"/>
      <c r="AI345" s="250"/>
      <c r="AJ345" s="250"/>
      <c r="AK345" s="250"/>
      <c r="AL345" s="250"/>
      <c r="AM345" s="250"/>
      <c r="AN345" s="250"/>
    </row>
    <row r="346" ht="15.75" customHeight="1">
      <c r="A346" s="250"/>
      <c r="B346" s="251">
        <f>IFERROR(__xludf.DUMMYFUNCTION("""COMPUTED_VALUE"""),338.0)</f>
        <v>338</v>
      </c>
      <c r="C346" s="252"/>
      <c r="D346" s="253" t="str">
        <f>IFERROR(__xludf.DUMMYFUNCTION("""COMPUTED_VALUE"""),"")</f>
        <v/>
      </c>
      <c r="E346" s="254">
        <f>IFERROR(__xludf.DUMMYFUNCTION("""COMPUTED_VALUE"""),0.0)</f>
        <v>0</v>
      </c>
      <c r="F346" s="255"/>
      <c r="G346" s="256"/>
      <c r="H346" s="252">
        <f>IFERROR(__xludf.DUMMYFUNCTION("""COMPUTED_VALUE"""),0.0)</f>
        <v>0</v>
      </c>
      <c r="I346" s="258"/>
      <c r="J346" s="258"/>
      <c r="K346" s="257">
        <f>IFERROR(__xludf.DUMMYFUNCTION("""COMPUTED_VALUE"""),0.0)</f>
        <v>0</v>
      </c>
      <c r="L346" s="258">
        <f>IFERROR(__xludf.DUMMYFUNCTION("""COMPUTED_VALUE"""),0.0)</f>
        <v>0</v>
      </c>
      <c r="M346" s="258">
        <f>IFERROR(__xludf.DUMMYFUNCTION("""COMPUTED_VALUE"""),0.0)</f>
        <v>0</v>
      </c>
      <c r="N346" s="258">
        <f>IFERROR(__xludf.DUMMYFUNCTION("""COMPUTED_VALUE"""),0.0)</f>
        <v>0</v>
      </c>
      <c r="O346" s="258">
        <f>IFERROR(__xludf.DUMMYFUNCTION("""COMPUTED_VALUE"""),0.0)</f>
        <v>0</v>
      </c>
      <c r="P346" s="258">
        <f>IFERROR(__xludf.DUMMYFUNCTION("""COMPUTED_VALUE"""),0.0)</f>
        <v>0</v>
      </c>
      <c r="Q346" s="258">
        <f>IFERROR(__xludf.DUMMYFUNCTION("""COMPUTED_VALUE"""),0.0)</f>
        <v>0</v>
      </c>
      <c r="R346" s="259"/>
      <c r="S346" s="260"/>
      <c r="T346" s="261"/>
      <c r="U346" s="262"/>
      <c r="V346" s="250"/>
      <c r="W346" s="250"/>
      <c r="X346" s="250"/>
      <c r="Y346" s="250"/>
      <c r="Z346" s="250"/>
      <c r="AA346" s="250"/>
      <c r="AB346" s="250"/>
      <c r="AC346" s="250"/>
      <c r="AD346" s="250"/>
      <c r="AE346" s="250"/>
      <c r="AF346" s="250"/>
      <c r="AG346" s="250"/>
      <c r="AH346" s="250"/>
      <c r="AI346" s="250"/>
      <c r="AJ346" s="250"/>
      <c r="AK346" s="250"/>
      <c r="AL346" s="250"/>
      <c r="AM346" s="250"/>
      <c r="AN346" s="250"/>
    </row>
    <row r="347" ht="15.75" customHeight="1">
      <c r="A347" s="250"/>
      <c r="B347" s="251">
        <f>IFERROR(__xludf.DUMMYFUNCTION("""COMPUTED_VALUE"""),339.0)</f>
        <v>339</v>
      </c>
      <c r="C347" s="252"/>
      <c r="D347" s="253" t="str">
        <f>IFERROR(__xludf.DUMMYFUNCTION("""COMPUTED_VALUE"""),"")</f>
        <v/>
      </c>
      <c r="E347" s="254">
        <f>IFERROR(__xludf.DUMMYFUNCTION("""COMPUTED_VALUE"""),0.0)</f>
        <v>0</v>
      </c>
      <c r="F347" s="255"/>
      <c r="G347" s="256"/>
      <c r="H347" s="252">
        <f>IFERROR(__xludf.DUMMYFUNCTION("""COMPUTED_VALUE"""),0.0)</f>
        <v>0</v>
      </c>
      <c r="I347" s="258"/>
      <c r="J347" s="258"/>
      <c r="K347" s="257">
        <f>IFERROR(__xludf.DUMMYFUNCTION("""COMPUTED_VALUE"""),0.0)</f>
        <v>0</v>
      </c>
      <c r="L347" s="258">
        <f>IFERROR(__xludf.DUMMYFUNCTION("""COMPUTED_VALUE"""),0.0)</f>
        <v>0</v>
      </c>
      <c r="M347" s="258">
        <f>IFERROR(__xludf.DUMMYFUNCTION("""COMPUTED_VALUE"""),0.0)</f>
        <v>0</v>
      </c>
      <c r="N347" s="258">
        <f>IFERROR(__xludf.DUMMYFUNCTION("""COMPUTED_VALUE"""),0.0)</f>
        <v>0</v>
      </c>
      <c r="O347" s="258">
        <f>IFERROR(__xludf.DUMMYFUNCTION("""COMPUTED_VALUE"""),0.0)</f>
        <v>0</v>
      </c>
      <c r="P347" s="258">
        <f>IFERROR(__xludf.DUMMYFUNCTION("""COMPUTED_VALUE"""),0.0)</f>
        <v>0</v>
      </c>
      <c r="Q347" s="258">
        <f>IFERROR(__xludf.DUMMYFUNCTION("""COMPUTED_VALUE"""),0.0)</f>
        <v>0</v>
      </c>
      <c r="R347" s="259"/>
      <c r="S347" s="260"/>
      <c r="T347" s="261"/>
      <c r="U347" s="262"/>
      <c r="V347" s="250"/>
      <c r="W347" s="250"/>
      <c r="X347" s="250"/>
      <c r="Y347" s="250"/>
      <c r="Z347" s="250"/>
      <c r="AA347" s="250"/>
      <c r="AB347" s="250"/>
      <c r="AC347" s="250"/>
      <c r="AD347" s="250"/>
      <c r="AE347" s="250"/>
      <c r="AF347" s="250"/>
      <c r="AG347" s="250"/>
      <c r="AH347" s="250"/>
      <c r="AI347" s="250"/>
      <c r="AJ347" s="250"/>
      <c r="AK347" s="250"/>
      <c r="AL347" s="250"/>
      <c r="AM347" s="250"/>
      <c r="AN347" s="250"/>
    </row>
    <row r="348" ht="15.75" customHeight="1">
      <c r="A348" s="250"/>
      <c r="B348" s="251">
        <f>IFERROR(__xludf.DUMMYFUNCTION("""COMPUTED_VALUE"""),340.0)</f>
        <v>340</v>
      </c>
      <c r="C348" s="252"/>
      <c r="D348" s="253" t="str">
        <f>IFERROR(__xludf.DUMMYFUNCTION("""COMPUTED_VALUE"""),"")</f>
        <v/>
      </c>
      <c r="E348" s="254">
        <f>IFERROR(__xludf.DUMMYFUNCTION("""COMPUTED_VALUE"""),0.0)</f>
        <v>0</v>
      </c>
      <c r="F348" s="255"/>
      <c r="G348" s="256"/>
      <c r="H348" s="252">
        <f>IFERROR(__xludf.DUMMYFUNCTION("""COMPUTED_VALUE"""),0.0)</f>
        <v>0</v>
      </c>
      <c r="I348" s="258"/>
      <c r="J348" s="258"/>
      <c r="K348" s="257">
        <f>IFERROR(__xludf.DUMMYFUNCTION("""COMPUTED_VALUE"""),0.0)</f>
        <v>0</v>
      </c>
      <c r="L348" s="258">
        <f>IFERROR(__xludf.DUMMYFUNCTION("""COMPUTED_VALUE"""),0.0)</f>
        <v>0</v>
      </c>
      <c r="M348" s="258">
        <f>IFERROR(__xludf.DUMMYFUNCTION("""COMPUTED_VALUE"""),0.0)</f>
        <v>0</v>
      </c>
      <c r="N348" s="258">
        <f>IFERROR(__xludf.DUMMYFUNCTION("""COMPUTED_VALUE"""),0.0)</f>
        <v>0</v>
      </c>
      <c r="O348" s="258">
        <f>IFERROR(__xludf.DUMMYFUNCTION("""COMPUTED_VALUE"""),0.0)</f>
        <v>0</v>
      </c>
      <c r="P348" s="258">
        <f>IFERROR(__xludf.DUMMYFUNCTION("""COMPUTED_VALUE"""),0.0)</f>
        <v>0</v>
      </c>
      <c r="Q348" s="258">
        <f>IFERROR(__xludf.DUMMYFUNCTION("""COMPUTED_VALUE"""),0.0)</f>
        <v>0</v>
      </c>
      <c r="R348" s="259"/>
      <c r="S348" s="260"/>
      <c r="T348" s="261"/>
      <c r="U348" s="262"/>
      <c r="V348" s="250"/>
      <c r="W348" s="250"/>
      <c r="X348" s="250"/>
      <c r="Y348" s="250"/>
      <c r="Z348" s="250"/>
      <c r="AA348" s="250"/>
      <c r="AB348" s="250"/>
      <c r="AC348" s="250"/>
      <c r="AD348" s="250"/>
      <c r="AE348" s="250"/>
      <c r="AF348" s="250"/>
      <c r="AG348" s="250"/>
      <c r="AH348" s="250"/>
      <c r="AI348" s="250"/>
      <c r="AJ348" s="250"/>
      <c r="AK348" s="250"/>
      <c r="AL348" s="250"/>
      <c r="AM348" s="250"/>
      <c r="AN348" s="250"/>
    </row>
    <row r="349" ht="15.75" customHeight="1">
      <c r="A349" s="250"/>
      <c r="B349" s="251">
        <f>IFERROR(__xludf.DUMMYFUNCTION("""COMPUTED_VALUE"""),341.0)</f>
        <v>341</v>
      </c>
      <c r="C349" s="252"/>
      <c r="D349" s="253" t="str">
        <f>IFERROR(__xludf.DUMMYFUNCTION("""COMPUTED_VALUE"""),"")</f>
        <v/>
      </c>
      <c r="E349" s="254">
        <f>IFERROR(__xludf.DUMMYFUNCTION("""COMPUTED_VALUE"""),0.0)</f>
        <v>0</v>
      </c>
      <c r="F349" s="255"/>
      <c r="G349" s="256"/>
      <c r="H349" s="252">
        <f>IFERROR(__xludf.DUMMYFUNCTION("""COMPUTED_VALUE"""),0.0)</f>
        <v>0</v>
      </c>
      <c r="I349" s="258"/>
      <c r="J349" s="258"/>
      <c r="K349" s="257">
        <f>IFERROR(__xludf.DUMMYFUNCTION("""COMPUTED_VALUE"""),0.0)</f>
        <v>0</v>
      </c>
      <c r="L349" s="258">
        <f>IFERROR(__xludf.DUMMYFUNCTION("""COMPUTED_VALUE"""),0.0)</f>
        <v>0</v>
      </c>
      <c r="M349" s="258">
        <f>IFERROR(__xludf.DUMMYFUNCTION("""COMPUTED_VALUE"""),0.0)</f>
        <v>0</v>
      </c>
      <c r="N349" s="258">
        <f>IFERROR(__xludf.DUMMYFUNCTION("""COMPUTED_VALUE"""),0.0)</f>
        <v>0</v>
      </c>
      <c r="O349" s="258">
        <f>IFERROR(__xludf.DUMMYFUNCTION("""COMPUTED_VALUE"""),0.0)</f>
        <v>0</v>
      </c>
      <c r="P349" s="258">
        <f>IFERROR(__xludf.DUMMYFUNCTION("""COMPUTED_VALUE"""),0.0)</f>
        <v>0</v>
      </c>
      <c r="Q349" s="258">
        <f>IFERROR(__xludf.DUMMYFUNCTION("""COMPUTED_VALUE"""),0.0)</f>
        <v>0</v>
      </c>
      <c r="R349" s="259"/>
      <c r="S349" s="260"/>
      <c r="T349" s="261"/>
      <c r="U349" s="262"/>
      <c r="V349" s="250"/>
      <c r="W349" s="250"/>
      <c r="X349" s="250"/>
      <c r="Y349" s="250"/>
      <c r="Z349" s="250"/>
      <c r="AA349" s="250"/>
      <c r="AB349" s="250"/>
      <c r="AC349" s="250"/>
      <c r="AD349" s="250"/>
      <c r="AE349" s="250"/>
      <c r="AF349" s="250"/>
      <c r="AG349" s="250"/>
      <c r="AH349" s="250"/>
      <c r="AI349" s="250"/>
      <c r="AJ349" s="250"/>
      <c r="AK349" s="250"/>
      <c r="AL349" s="250"/>
      <c r="AM349" s="250"/>
      <c r="AN349" s="250"/>
    </row>
    <row r="350" ht="15.75" customHeight="1">
      <c r="A350" s="250"/>
      <c r="B350" s="251">
        <f>IFERROR(__xludf.DUMMYFUNCTION("""COMPUTED_VALUE"""),342.0)</f>
        <v>342</v>
      </c>
      <c r="C350" s="252"/>
      <c r="D350" s="253" t="str">
        <f>IFERROR(__xludf.DUMMYFUNCTION("""COMPUTED_VALUE"""),"")</f>
        <v/>
      </c>
      <c r="E350" s="254">
        <f>IFERROR(__xludf.DUMMYFUNCTION("""COMPUTED_VALUE"""),0.0)</f>
        <v>0</v>
      </c>
      <c r="F350" s="255"/>
      <c r="G350" s="256"/>
      <c r="H350" s="252">
        <f>IFERROR(__xludf.DUMMYFUNCTION("""COMPUTED_VALUE"""),0.0)</f>
        <v>0</v>
      </c>
      <c r="I350" s="258"/>
      <c r="J350" s="258"/>
      <c r="K350" s="257">
        <f>IFERROR(__xludf.DUMMYFUNCTION("""COMPUTED_VALUE"""),0.0)</f>
        <v>0</v>
      </c>
      <c r="L350" s="258">
        <f>IFERROR(__xludf.DUMMYFUNCTION("""COMPUTED_VALUE"""),0.0)</f>
        <v>0</v>
      </c>
      <c r="M350" s="258">
        <f>IFERROR(__xludf.DUMMYFUNCTION("""COMPUTED_VALUE"""),0.0)</f>
        <v>0</v>
      </c>
      <c r="N350" s="258">
        <f>IFERROR(__xludf.DUMMYFUNCTION("""COMPUTED_VALUE"""),0.0)</f>
        <v>0</v>
      </c>
      <c r="O350" s="258">
        <f>IFERROR(__xludf.DUMMYFUNCTION("""COMPUTED_VALUE"""),0.0)</f>
        <v>0</v>
      </c>
      <c r="P350" s="258">
        <f>IFERROR(__xludf.DUMMYFUNCTION("""COMPUTED_VALUE"""),0.0)</f>
        <v>0</v>
      </c>
      <c r="Q350" s="258">
        <f>IFERROR(__xludf.DUMMYFUNCTION("""COMPUTED_VALUE"""),0.0)</f>
        <v>0</v>
      </c>
      <c r="R350" s="259"/>
      <c r="S350" s="260"/>
      <c r="T350" s="261"/>
      <c r="U350" s="262"/>
      <c r="V350" s="250"/>
      <c r="W350" s="250"/>
      <c r="X350" s="250"/>
      <c r="Y350" s="250"/>
      <c r="Z350" s="250"/>
      <c r="AA350" s="250"/>
      <c r="AB350" s="250"/>
      <c r="AC350" s="250"/>
      <c r="AD350" s="250"/>
      <c r="AE350" s="250"/>
      <c r="AF350" s="250"/>
      <c r="AG350" s="250"/>
      <c r="AH350" s="250"/>
      <c r="AI350" s="250"/>
      <c r="AJ350" s="250"/>
      <c r="AK350" s="250"/>
      <c r="AL350" s="250"/>
      <c r="AM350" s="250"/>
      <c r="AN350" s="250"/>
    </row>
    <row r="351" ht="15.75" customHeight="1">
      <c r="A351" s="250"/>
      <c r="B351" s="251">
        <f>IFERROR(__xludf.DUMMYFUNCTION("""COMPUTED_VALUE"""),343.0)</f>
        <v>343</v>
      </c>
      <c r="C351" s="252"/>
      <c r="D351" s="253" t="str">
        <f>IFERROR(__xludf.DUMMYFUNCTION("""COMPUTED_VALUE"""),"")</f>
        <v/>
      </c>
      <c r="E351" s="254">
        <f>IFERROR(__xludf.DUMMYFUNCTION("""COMPUTED_VALUE"""),0.0)</f>
        <v>0</v>
      </c>
      <c r="F351" s="255"/>
      <c r="G351" s="256"/>
      <c r="H351" s="252">
        <f>IFERROR(__xludf.DUMMYFUNCTION("""COMPUTED_VALUE"""),0.0)</f>
        <v>0</v>
      </c>
      <c r="I351" s="258"/>
      <c r="J351" s="258"/>
      <c r="K351" s="257">
        <f>IFERROR(__xludf.DUMMYFUNCTION("""COMPUTED_VALUE"""),0.0)</f>
        <v>0</v>
      </c>
      <c r="L351" s="258">
        <f>IFERROR(__xludf.DUMMYFUNCTION("""COMPUTED_VALUE"""),0.0)</f>
        <v>0</v>
      </c>
      <c r="M351" s="258">
        <f>IFERROR(__xludf.DUMMYFUNCTION("""COMPUTED_VALUE"""),0.0)</f>
        <v>0</v>
      </c>
      <c r="N351" s="258">
        <f>IFERROR(__xludf.DUMMYFUNCTION("""COMPUTED_VALUE"""),0.0)</f>
        <v>0</v>
      </c>
      <c r="O351" s="258">
        <f>IFERROR(__xludf.DUMMYFUNCTION("""COMPUTED_VALUE"""),0.0)</f>
        <v>0</v>
      </c>
      <c r="P351" s="258">
        <f>IFERROR(__xludf.DUMMYFUNCTION("""COMPUTED_VALUE"""),0.0)</f>
        <v>0</v>
      </c>
      <c r="Q351" s="258">
        <f>IFERROR(__xludf.DUMMYFUNCTION("""COMPUTED_VALUE"""),0.0)</f>
        <v>0</v>
      </c>
      <c r="R351" s="259"/>
      <c r="S351" s="260"/>
      <c r="T351" s="261"/>
      <c r="U351" s="262"/>
      <c r="V351" s="250"/>
      <c r="W351" s="250"/>
      <c r="X351" s="250"/>
      <c r="Y351" s="250"/>
      <c r="Z351" s="250"/>
      <c r="AA351" s="250"/>
      <c r="AB351" s="250"/>
      <c r="AC351" s="250"/>
      <c r="AD351" s="250"/>
      <c r="AE351" s="250"/>
      <c r="AF351" s="250"/>
      <c r="AG351" s="250"/>
      <c r="AH351" s="250"/>
      <c r="AI351" s="250"/>
      <c r="AJ351" s="250"/>
      <c r="AK351" s="250"/>
      <c r="AL351" s="250"/>
      <c r="AM351" s="250"/>
      <c r="AN351" s="250"/>
    </row>
    <row r="352" ht="15.75" customHeight="1">
      <c r="A352" s="250"/>
      <c r="B352" s="251">
        <f>IFERROR(__xludf.DUMMYFUNCTION("""COMPUTED_VALUE"""),344.0)</f>
        <v>344</v>
      </c>
      <c r="C352" s="252"/>
      <c r="D352" s="253" t="str">
        <f>IFERROR(__xludf.DUMMYFUNCTION("""COMPUTED_VALUE"""),"")</f>
        <v/>
      </c>
      <c r="E352" s="254">
        <f>IFERROR(__xludf.DUMMYFUNCTION("""COMPUTED_VALUE"""),0.0)</f>
        <v>0</v>
      </c>
      <c r="F352" s="255"/>
      <c r="G352" s="256"/>
      <c r="H352" s="252">
        <f>IFERROR(__xludf.DUMMYFUNCTION("""COMPUTED_VALUE"""),0.0)</f>
        <v>0</v>
      </c>
      <c r="I352" s="258"/>
      <c r="J352" s="258"/>
      <c r="K352" s="257">
        <f>IFERROR(__xludf.DUMMYFUNCTION("""COMPUTED_VALUE"""),0.0)</f>
        <v>0</v>
      </c>
      <c r="L352" s="258">
        <f>IFERROR(__xludf.DUMMYFUNCTION("""COMPUTED_VALUE"""),0.0)</f>
        <v>0</v>
      </c>
      <c r="M352" s="258">
        <f>IFERROR(__xludf.DUMMYFUNCTION("""COMPUTED_VALUE"""),0.0)</f>
        <v>0</v>
      </c>
      <c r="N352" s="258">
        <f>IFERROR(__xludf.DUMMYFUNCTION("""COMPUTED_VALUE"""),0.0)</f>
        <v>0</v>
      </c>
      <c r="O352" s="258">
        <f>IFERROR(__xludf.DUMMYFUNCTION("""COMPUTED_VALUE"""),0.0)</f>
        <v>0</v>
      </c>
      <c r="P352" s="258">
        <f>IFERROR(__xludf.DUMMYFUNCTION("""COMPUTED_VALUE"""),0.0)</f>
        <v>0</v>
      </c>
      <c r="Q352" s="258">
        <f>IFERROR(__xludf.DUMMYFUNCTION("""COMPUTED_VALUE"""),0.0)</f>
        <v>0</v>
      </c>
      <c r="R352" s="259"/>
      <c r="S352" s="260"/>
      <c r="T352" s="261"/>
      <c r="U352" s="262"/>
      <c r="V352" s="250"/>
      <c r="W352" s="250"/>
      <c r="X352" s="250"/>
      <c r="Y352" s="250"/>
      <c r="Z352" s="250"/>
      <c r="AA352" s="250"/>
      <c r="AB352" s="250"/>
      <c r="AC352" s="250"/>
      <c r="AD352" s="250"/>
      <c r="AE352" s="250"/>
      <c r="AF352" s="250"/>
      <c r="AG352" s="250"/>
      <c r="AH352" s="250"/>
      <c r="AI352" s="250"/>
      <c r="AJ352" s="250"/>
      <c r="AK352" s="250"/>
      <c r="AL352" s="250"/>
      <c r="AM352" s="250"/>
      <c r="AN352" s="250"/>
    </row>
    <row r="353" ht="15.75" customHeight="1">
      <c r="A353" s="250"/>
      <c r="B353" s="251">
        <f>IFERROR(__xludf.DUMMYFUNCTION("""COMPUTED_VALUE"""),345.0)</f>
        <v>345</v>
      </c>
      <c r="C353" s="252"/>
      <c r="D353" s="253" t="str">
        <f>IFERROR(__xludf.DUMMYFUNCTION("""COMPUTED_VALUE"""),"")</f>
        <v/>
      </c>
      <c r="E353" s="254">
        <f>IFERROR(__xludf.DUMMYFUNCTION("""COMPUTED_VALUE"""),0.0)</f>
        <v>0</v>
      </c>
      <c r="F353" s="255"/>
      <c r="G353" s="256"/>
      <c r="H353" s="252">
        <f>IFERROR(__xludf.DUMMYFUNCTION("""COMPUTED_VALUE"""),0.0)</f>
        <v>0</v>
      </c>
      <c r="I353" s="258"/>
      <c r="J353" s="258"/>
      <c r="K353" s="257">
        <f>IFERROR(__xludf.DUMMYFUNCTION("""COMPUTED_VALUE"""),0.0)</f>
        <v>0</v>
      </c>
      <c r="L353" s="258">
        <f>IFERROR(__xludf.DUMMYFUNCTION("""COMPUTED_VALUE"""),0.0)</f>
        <v>0</v>
      </c>
      <c r="M353" s="258">
        <f>IFERROR(__xludf.DUMMYFUNCTION("""COMPUTED_VALUE"""),0.0)</f>
        <v>0</v>
      </c>
      <c r="N353" s="258">
        <f>IFERROR(__xludf.DUMMYFUNCTION("""COMPUTED_VALUE"""),0.0)</f>
        <v>0</v>
      </c>
      <c r="O353" s="258">
        <f>IFERROR(__xludf.DUMMYFUNCTION("""COMPUTED_VALUE"""),0.0)</f>
        <v>0</v>
      </c>
      <c r="P353" s="258">
        <f>IFERROR(__xludf.DUMMYFUNCTION("""COMPUTED_VALUE"""),0.0)</f>
        <v>0</v>
      </c>
      <c r="Q353" s="258">
        <f>IFERROR(__xludf.DUMMYFUNCTION("""COMPUTED_VALUE"""),0.0)</f>
        <v>0</v>
      </c>
      <c r="R353" s="259"/>
      <c r="S353" s="260"/>
      <c r="T353" s="261"/>
      <c r="U353" s="262"/>
      <c r="V353" s="250"/>
      <c r="W353" s="250"/>
      <c r="X353" s="250"/>
      <c r="Y353" s="250"/>
      <c r="Z353" s="250"/>
      <c r="AA353" s="250"/>
      <c r="AB353" s="250"/>
      <c r="AC353" s="250"/>
      <c r="AD353" s="250"/>
      <c r="AE353" s="250"/>
      <c r="AF353" s="250"/>
      <c r="AG353" s="250"/>
      <c r="AH353" s="250"/>
      <c r="AI353" s="250"/>
      <c r="AJ353" s="250"/>
      <c r="AK353" s="250"/>
      <c r="AL353" s="250"/>
      <c r="AM353" s="250"/>
      <c r="AN353" s="250"/>
    </row>
    <row r="354" ht="15.75" customHeight="1">
      <c r="A354" s="250"/>
      <c r="B354" s="251">
        <f>IFERROR(__xludf.DUMMYFUNCTION("""COMPUTED_VALUE"""),346.0)</f>
        <v>346</v>
      </c>
      <c r="C354" s="252"/>
      <c r="D354" s="253" t="str">
        <f>IFERROR(__xludf.DUMMYFUNCTION("""COMPUTED_VALUE"""),"")</f>
        <v/>
      </c>
      <c r="E354" s="254">
        <f>IFERROR(__xludf.DUMMYFUNCTION("""COMPUTED_VALUE"""),0.0)</f>
        <v>0</v>
      </c>
      <c r="F354" s="255"/>
      <c r="G354" s="256"/>
      <c r="H354" s="252">
        <f>IFERROR(__xludf.DUMMYFUNCTION("""COMPUTED_VALUE"""),0.0)</f>
        <v>0</v>
      </c>
      <c r="I354" s="258"/>
      <c r="J354" s="258"/>
      <c r="K354" s="257">
        <f>IFERROR(__xludf.DUMMYFUNCTION("""COMPUTED_VALUE"""),0.0)</f>
        <v>0</v>
      </c>
      <c r="L354" s="258">
        <f>IFERROR(__xludf.DUMMYFUNCTION("""COMPUTED_VALUE"""),0.0)</f>
        <v>0</v>
      </c>
      <c r="M354" s="258">
        <f>IFERROR(__xludf.DUMMYFUNCTION("""COMPUTED_VALUE"""),0.0)</f>
        <v>0</v>
      </c>
      <c r="N354" s="258">
        <f>IFERROR(__xludf.DUMMYFUNCTION("""COMPUTED_VALUE"""),0.0)</f>
        <v>0</v>
      </c>
      <c r="O354" s="258">
        <f>IFERROR(__xludf.DUMMYFUNCTION("""COMPUTED_VALUE"""),0.0)</f>
        <v>0</v>
      </c>
      <c r="P354" s="258">
        <f>IFERROR(__xludf.DUMMYFUNCTION("""COMPUTED_VALUE"""),0.0)</f>
        <v>0</v>
      </c>
      <c r="Q354" s="258">
        <f>IFERROR(__xludf.DUMMYFUNCTION("""COMPUTED_VALUE"""),0.0)</f>
        <v>0</v>
      </c>
      <c r="R354" s="259"/>
      <c r="S354" s="260"/>
      <c r="T354" s="261"/>
      <c r="U354" s="262"/>
      <c r="V354" s="250"/>
      <c r="W354" s="250"/>
      <c r="X354" s="250"/>
      <c r="Y354" s="250"/>
      <c r="Z354" s="250"/>
      <c r="AA354" s="250"/>
      <c r="AB354" s="250"/>
      <c r="AC354" s="250"/>
      <c r="AD354" s="250"/>
      <c r="AE354" s="250"/>
      <c r="AF354" s="250"/>
      <c r="AG354" s="250"/>
      <c r="AH354" s="250"/>
      <c r="AI354" s="250"/>
      <c r="AJ354" s="250"/>
      <c r="AK354" s="250"/>
      <c r="AL354" s="250"/>
      <c r="AM354" s="250"/>
      <c r="AN354" s="250"/>
    </row>
    <row r="355" ht="15.75" customHeight="1">
      <c r="A355" s="250"/>
      <c r="B355" s="251">
        <f>IFERROR(__xludf.DUMMYFUNCTION("""COMPUTED_VALUE"""),347.0)</f>
        <v>347</v>
      </c>
      <c r="C355" s="252"/>
      <c r="D355" s="253" t="str">
        <f>IFERROR(__xludf.DUMMYFUNCTION("""COMPUTED_VALUE"""),"")</f>
        <v/>
      </c>
      <c r="E355" s="254">
        <f>IFERROR(__xludf.DUMMYFUNCTION("""COMPUTED_VALUE"""),0.0)</f>
        <v>0</v>
      </c>
      <c r="F355" s="255"/>
      <c r="G355" s="256"/>
      <c r="H355" s="252">
        <f>IFERROR(__xludf.DUMMYFUNCTION("""COMPUTED_VALUE"""),0.0)</f>
        <v>0</v>
      </c>
      <c r="I355" s="258"/>
      <c r="J355" s="258"/>
      <c r="K355" s="257">
        <f>IFERROR(__xludf.DUMMYFUNCTION("""COMPUTED_VALUE"""),0.0)</f>
        <v>0</v>
      </c>
      <c r="L355" s="258">
        <f>IFERROR(__xludf.DUMMYFUNCTION("""COMPUTED_VALUE"""),0.0)</f>
        <v>0</v>
      </c>
      <c r="M355" s="258">
        <f>IFERROR(__xludf.DUMMYFUNCTION("""COMPUTED_VALUE"""),0.0)</f>
        <v>0</v>
      </c>
      <c r="N355" s="258">
        <f>IFERROR(__xludf.DUMMYFUNCTION("""COMPUTED_VALUE"""),0.0)</f>
        <v>0</v>
      </c>
      <c r="O355" s="258">
        <f>IFERROR(__xludf.DUMMYFUNCTION("""COMPUTED_VALUE"""),0.0)</f>
        <v>0</v>
      </c>
      <c r="P355" s="258">
        <f>IFERROR(__xludf.DUMMYFUNCTION("""COMPUTED_VALUE"""),0.0)</f>
        <v>0</v>
      </c>
      <c r="Q355" s="258">
        <f>IFERROR(__xludf.DUMMYFUNCTION("""COMPUTED_VALUE"""),0.0)</f>
        <v>0</v>
      </c>
      <c r="R355" s="259"/>
      <c r="S355" s="260"/>
      <c r="T355" s="261"/>
      <c r="U355" s="262"/>
      <c r="V355" s="250"/>
      <c r="W355" s="250"/>
      <c r="X355" s="250"/>
      <c r="Y355" s="250"/>
      <c r="Z355" s="250"/>
      <c r="AA355" s="250"/>
      <c r="AB355" s="250"/>
      <c r="AC355" s="250"/>
      <c r="AD355" s="250"/>
      <c r="AE355" s="250"/>
      <c r="AF355" s="250"/>
      <c r="AG355" s="250"/>
      <c r="AH355" s="250"/>
      <c r="AI355" s="250"/>
      <c r="AJ355" s="250"/>
      <c r="AK355" s="250"/>
      <c r="AL355" s="250"/>
      <c r="AM355" s="250"/>
      <c r="AN355" s="250"/>
    </row>
    <row r="356" ht="15.75" customHeight="1">
      <c r="A356" s="250"/>
      <c r="B356" s="251">
        <f>IFERROR(__xludf.DUMMYFUNCTION("""COMPUTED_VALUE"""),348.0)</f>
        <v>348</v>
      </c>
      <c r="C356" s="252"/>
      <c r="D356" s="253" t="str">
        <f>IFERROR(__xludf.DUMMYFUNCTION("""COMPUTED_VALUE"""),"")</f>
        <v/>
      </c>
      <c r="E356" s="254">
        <f>IFERROR(__xludf.DUMMYFUNCTION("""COMPUTED_VALUE"""),0.0)</f>
        <v>0</v>
      </c>
      <c r="F356" s="255"/>
      <c r="G356" s="256"/>
      <c r="H356" s="252">
        <f>IFERROR(__xludf.DUMMYFUNCTION("""COMPUTED_VALUE"""),0.0)</f>
        <v>0</v>
      </c>
      <c r="I356" s="258"/>
      <c r="J356" s="258"/>
      <c r="K356" s="257">
        <f>IFERROR(__xludf.DUMMYFUNCTION("""COMPUTED_VALUE"""),0.0)</f>
        <v>0</v>
      </c>
      <c r="L356" s="258">
        <f>IFERROR(__xludf.DUMMYFUNCTION("""COMPUTED_VALUE"""),0.0)</f>
        <v>0</v>
      </c>
      <c r="M356" s="258">
        <f>IFERROR(__xludf.DUMMYFUNCTION("""COMPUTED_VALUE"""),0.0)</f>
        <v>0</v>
      </c>
      <c r="N356" s="258">
        <f>IFERROR(__xludf.DUMMYFUNCTION("""COMPUTED_VALUE"""),0.0)</f>
        <v>0</v>
      </c>
      <c r="O356" s="258">
        <f>IFERROR(__xludf.DUMMYFUNCTION("""COMPUTED_VALUE"""),0.0)</f>
        <v>0</v>
      </c>
      <c r="P356" s="258">
        <f>IFERROR(__xludf.DUMMYFUNCTION("""COMPUTED_VALUE"""),0.0)</f>
        <v>0</v>
      </c>
      <c r="Q356" s="258">
        <f>IFERROR(__xludf.DUMMYFUNCTION("""COMPUTED_VALUE"""),0.0)</f>
        <v>0</v>
      </c>
      <c r="R356" s="259"/>
      <c r="S356" s="260"/>
      <c r="T356" s="261"/>
      <c r="U356" s="262"/>
      <c r="V356" s="250"/>
      <c r="W356" s="250"/>
      <c r="X356" s="250"/>
      <c r="Y356" s="250"/>
      <c r="Z356" s="250"/>
      <c r="AA356" s="250"/>
      <c r="AB356" s="250"/>
      <c r="AC356" s="250"/>
      <c r="AD356" s="250"/>
      <c r="AE356" s="250"/>
      <c r="AF356" s="250"/>
      <c r="AG356" s="250"/>
      <c r="AH356" s="250"/>
      <c r="AI356" s="250"/>
      <c r="AJ356" s="250"/>
      <c r="AK356" s="250"/>
      <c r="AL356" s="250"/>
      <c r="AM356" s="250"/>
      <c r="AN356" s="250"/>
    </row>
    <row r="357" ht="15.75" customHeight="1">
      <c r="A357" s="250"/>
      <c r="B357" s="251">
        <f>IFERROR(__xludf.DUMMYFUNCTION("""COMPUTED_VALUE"""),349.0)</f>
        <v>349</v>
      </c>
      <c r="C357" s="252"/>
      <c r="D357" s="253" t="str">
        <f>IFERROR(__xludf.DUMMYFUNCTION("""COMPUTED_VALUE"""),"")</f>
        <v/>
      </c>
      <c r="E357" s="254">
        <f>IFERROR(__xludf.DUMMYFUNCTION("""COMPUTED_VALUE"""),0.0)</f>
        <v>0</v>
      </c>
      <c r="F357" s="255"/>
      <c r="G357" s="256"/>
      <c r="H357" s="252">
        <f>IFERROR(__xludf.DUMMYFUNCTION("""COMPUTED_VALUE"""),0.0)</f>
        <v>0</v>
      </c>
      <c r="I357" s="258"/>
      <c r="J357" s="258"/>
      <c r="K357" s="257">
        <f>IFERROR(__xludf.DUMMYFUNCTION("""COMPUTED_VALUE"""),0.0)</f>
        <v>0</v>
      </c>
      <c r="L357" s="258">
        <f>IFERROR(__xludf.DUMMYFUNCTION("""COMPUTED_VALUE"""),0.0)</f>
        <v>0</v>
      </c>
      <c r="M357" s="258">
        <f>IFERROR(__xludf.DUMMYFUNCTION("""COMPUTED_VALUE"""),0.0)</f>
        <v>0</v>
      </c>
      <c r="N357" s="258">
        <f>IFERROR(__xludf.DUMMYFUNCTION("""COMPUTED_VALUE"""),0.0)</f>
        <v>0</v>
      </c>
      <c r="O357" s="258">
        <f>IFERROR(__xludf.DUMMYFUNCTION("""COMPUTED_VALUE"""),0.0)</f>
        <v>0</v>
      </c>
      <c r="P357" s="258">
        <f>IFERROR(__xludf.DUMMYFUNCTION("""COMPUTED_VALUE"""),0.0)</f>
        <v>0</v>
      </c>
      <c r="Q357" s="258">
        <f>IFERROR(__xludf.DUMMYFUNCTION("""COMPUTED_VALUE"""),0.0)</f>
        <v>0</v>
      </c>
      <c r="R357" s="259"/>
      <c r="S357" s="260"/>
      <c r="T357" s="261"/>
      <c r="U357" s="262"/>
      <c r="V357" s="250"/>
      <c r="W357" s="250"/>
      <c r="X357" s="250"/>
      <c r="Y357" s="250"/>
      <c r="Z357" s="250"/>
      <c r="AA357" s="250"/>
      <c r="AB357" s="250"/>
      <c r="AC357" s="250"/>
      <c r="AD357" s="250"/>
      <c r="AE357" s="250"/>
      <c r="AF357" s="250"/>
      <c r="AG357" s="250"/>
      <c r="AH357" s="250"/>
      <c r="AI357" s="250"/>
      <c r="AJ357" s="250"/>
      <c r="AK357" s="250"/>
      <c r="AL357" s="250"/>
      <c r="AM357" s="250"/>
      <c r="AN357" s="250"/>
    </row>
    <row r="358" ht="15.75" customHeight="1">
      <c r="A358" s="250"/>
      <c r="B358" s="251">
        <f>IFERROR(__xludf.DUMMYFUNCTION("""COMPUTED_VALUE"""),350.0)</f>
        <v>350</v>
      </c>
      <c r="C358" s="252"/>
      <c r="D358" s="253" t="str">
        <f>IFERROR(__xludf.DUMMYFUNCTION("""COMPUTED_VALUE"""),"")</f>
        <v/>
      </c>
      <c r="E358" s="254">
        <f>IFERROR(__xludf.DUMMYFUNCTION("""COMPUTED_VALUE"""),0.0)</f>
        <v>0</v>
      </c>
      <c r="F358" s="255"/>
      <c r="G358" s="256"/>
      <c r="H358" s="252">
        <f>IFERROR(__xludf.DUMMYFUNCTION("""COMPUTED_VALUE"""),0.0)</f>
        <v>0</v>
      </c>
      <c r="I358" s="258"/>
      <c r="J358" s="258"/>
      <c r="K358" s="257">
        <f>IFERROR(__xludf.DUMMYFUNCTION("""COMPUTED_VALUE"""),0.0)</f>
        <v>0</v>
      </c>
      <c r="L358" s="258">
        <f>IFERROR(__xludf.DUMMYFUNCTION("""COMPUTED_VALUE"""),0.0)</f>
        <v>0</v>
      </c>
      <c r="M358" s="258">
        <f>IFERROR(__xludf.DUMMYFUNCTION("""COMPUTED_VALUE"""),0.0)</f>
        <v>0</v>
      </c>
      <c r="N358" s="258">
        <f>IFERROR(__xludf.DUMMYFUNCTION("""COMPUTED_VALUE"""),0.0)</f>
        <v>0</v>
      </c>
      <c r="O358" s="258">
        <f>IFERROR(__xludf.DUMMYFUNCTION("""COMPUTED_VALUE"""),0.0)</f>
        <v>0</v>
      </c>
      <c r="P358" s="258">
        <f>IFERROR(__xludf.DUMMYFUNCTION("""COMPUTED_VALUE"""),0.0)</f>
        <v>0</v>
      </c>
      <c r="Q358" s="258">
        <f>IFERROR(__xludf.DUMMYFUNCTION("""COMPUTED_VALUE"""),0.0)</f>
        <v>0</v>
      </c>
      <c r="R358" s="259"/>
      <c r="S358" s="260"/>
      <c r="T358" s="261"/>
      <c r="U358" s="262"/>
      <c r="V358" s="250"/>
      <c r="W358" s="250"/>
      <c r="X358" s="250"/>
      <c r="Y358" s="250"/>
      <c r="Z358" s="250"/>
      <c r="AA358" s="250"/>
      <c r="AB358" s="250"/>
      <c r="AC358" s="250"/>
      <c r="AD358" s="250"/>
      <c r="AE358" s="250"/>
      <c r="AF358" s="250"/>
      <c r="AG358" s="250"/>
      <c r="AH358" s="250"/>
      <c r="AI358" s="250"/>
      <c r="AJ358" s="250"/>
      <c r="AK358" s="250"/>
      <c r="AL358" s="250"/>
      <c r="AM358" s="250"/>
      <c r="AN358" s="250"/>
    </row>
    <row r="359" ht="15.75" customHeight="1">
      <c r="A359" s="250"/>
      <c r="B359" s="251">
        <f>IFERROR(__xludf.DUMMYFUNCTION("""COMPUTED_VALUE"""),351.0)</f>
        <v>351</v>
      </c>
      <c r="C359" s="252"/>
      <c r="D359" s="253" t="str">
        <f>IFERROR(__xludf.DUMMYFUNCTION("""COMPUTED_VALUE"""),"")</f>
        <v/>
      </c>
      <c r="E359" s="254">
        <f>IFERROR(__xludf.DUMMYFUNCTION("""COMPUTED_VALUE"""),0.0)</f>
        <v>0</v>
      </c>
      <c r="F359" s="255"/>
      <c r="G359" s="256"/>
      <c r="H359" s="252">
        <f>IFERROR(__xludf.DUMMYFUNCTION("""COMPUTED_VALUE"""),0.0)</f>
        <v>0</v>
      </c>
      <c r="I359" s="258"/>
      <c r="J359" s="258"/>
      <c r="K359" s="257">
        <f>IFERROR(__xludf.DUMMYFUNCTION("""COMPUTED_VALUE"""),0.0)</f>
        <v>0</v>
      </c>
      <c r="L359" s="258">
        <f>IFERROR(__xludf.DUMMYFUNCTION("""COMPUTED_VALUE"""),0.0)</f>
        <v>0</v>
      </c>
      <c r="M359" s="258">
        <f>IFERROR(__xludf.DUMMYFUNCTION("""COMPUTED_VALUE"""),0.0)</f>
        <v>0</v>
      </c>
      <c r="N359" s="258">
        <f>IFERROR(__xludf.DUMMYFUNCTION("""COMPUTED_VALUE"""),0.0)</f>
        <v>0</v>
      </c>
      <c r="O359" s="258">
        <f>IFERROR(__xludf.DUMMYFUNCTION("""COMPUTED_VALUE"""),0.0)</f>
        <v>0</v>
      </c>
      <c r="P359" s="258">
        <f>IFERROR(__xludf.DUMMYFUNCTION("""COMPUTED_VALUE"""),0.0)</f>
        <v>0</v>
      </c>
      <c r="Q359" s="258">
        <f>IFERROR(__xludf.DUMMYFUNCTION("""COMPUTED_VALUE"""),0.0)</f>
        <v>0</v>
      </c>
      <c r="R359" s="259"/>
      <c r="S359" s="260"/>
      <c r="T359" s="261"/>
      <c r="U359" s="262"/>
      <c r="V359" s="250"/>
      <c r="W359" s="250"/>
      <c r="X359" s="250"/>
      <c r="Y359" s="250"/>
      <c r="Z359" s="250"/>
      <c r="AA359" s="250"/>
      <c r="AB359" s="250"/>
      <c r="AC359" s="250"/>
      <c r="AD359" s="250"/>
      <c r="AE359" s="250"/>
      <c r="AF359" s="250"/>
      <c r="AG359" s="250"/>
      <c r="AH359" s="250"/>
      <c r="AI359" s="250"/>
      <c r="AJ359" s="250"/>
      <c r="AK359" s="250"/>
      <c r="AL359" s="250"/>
      <c r="AM359" s="250"/>
      <c r="AN359" s="250"/>
    </row>
    <row r="360" ht="15.75" customHeight="1">
      <c r="A360" s="250"/>
      <c r="B360" s="251">
        <f>IFERROR(__xludf.DUMMYFUNCTION("""COMPUTED_VALUE"""),352.0)</f>
        <v>352</v>
      </c>
      <c r="C360" s="252"/>
      <c r="D360" s="253" t="str">
        <f>IFERROR(__xludf.DUMMYFUNCTION("""COMPUTED_VALUE"""),"")</f>
        <v/>
      </c>
      <c r="E360" s="254">
        <f>IFERROR(__xludf.DUMMYFUNCTION("""COMPUTED_VALUE"""),0.0)</f>
        <v>0</v>
      </c>
      <c r="F360" s="255"/>
      <c r="G360" s="256"/>
      <c r="H360" s="252">
        <f>IFERROR(__xludf.DUMMYFUNCTION("""COMPUTED_VALUE"""),0.0)</f>
        <v>0</v>
      </c>
      <c r="I360" s="258"/>
      <c r="J360" s="258"/>
      <c r="K360" s="257">
        <f>IFERROR(__xludf.DUMMYFUNCTION("""COMPUTED_VALUE"""),0.0)</f>
        <v>0</v>
      </c>
      <c r="L360" s="258">
        <f>IFERROR(__xludf.DUMMYFUNCTION("""COMPUTED_VALUE"""),0.0)</f>
        <v>0</v>
      </c>
      <c r="M360" s="258">
        <f>IFERROR(__xludf.DUMMYFUNCTION("""COMPUTED_VALUE"""),0.0)</f>
        <v>0</v>
      </c>
      <c r="N360" s="258">
        <f>IFERROR(__xludf.DUMMYFUNCTION("""COMPUTED_VALUE"""),0.0)</f>
        <v>0</v>
      </c>
      <c r="O360" s="258">
        <f>IFERROR(__xludf.DUMMYFUNCTION("""COMPUTED_VALUE"""),0.0)</f>
        <v>0</v>
      </c>
      <c r="P360" s="258">
        <f>IFERROR(__xludf.DUMMYFUNCTION("""COMPUTED_VALUE"""),0.0)</f>
        <v>0</v>
      </c>
      <c r="Q360" s="258">
        <f>IFERROR(__xludf.DUMMYFUNCTION("""COMPUTED_VALUE"""),0.0)</f>
        <v>0</v>
      </c>
      <c r="R360" s="259"/>
      <c r="S360" s="260"/>
      <c r="T360" s="261"/>
      <c r="U360" s="262"/>
      <c r="V360" s="250"/>
      <c r="W360" s="250"/>
      <c r="X360" s="250"/>
      <c r="Y360" s="250"/>
      <c r="Z360" s="250"/>
      <c r="AA360" s="250"/>
      <c r="AB360" s="250"/>
      <c r="AC360" s="250"/>
      <c r="AD360" s="250"/>
      <c r="AE360" s="250"/>
      <c r="AF360" s="250"/>
      <c r="AG360" s="250"/>
      <c r="AH360" s="250"/>
      <c r="AI360" s="250"/>
      <c r="AJ360" s="250"/>
      <c r="AK360" s="250"/>
      <c r="AL360" s="250"/>
      <c r="AM360" s="250"/>
      <c r="AN360" s="250"/>
    </row>
    <row r="361" ht="15.75" customHeight="1">
      <c r="A361" s="250"/>
      <c r="B361" s="251">
        <f>IFERROR(__xludf.DUMMYFUNCTION("""COMPUTED_VALUE"""),353.0)</f>
        <v>353</v>
      </c>
      <c r="C361" s="252"/>
      <c r="D361" s="253" t="str">
        <f>IFERROR(__xludf.DUMMYFUNCTION("""COMPUTED_VALUE"""),"")</f>
        <v/>
      </c>
      <c r="E361" s="254">
        <f>IFERROR(__xludf.DUMMYFUNCTION("""COMPUTED_VALUE"""),0.0)</f>
        <v>0</v>
      </c>
      <c r="F361" s="255"/>
      <c r="G361" s="256"/>
      <c r="H361" s="252">
        <f>IFERROR(__xludf.DUMMYFUNCTION("""COMPUTED_VALUE"""),0.0)</f>
        <v>0</v>
      </c>
      <c r="I361" s="258"/>
      <c r="J361" s="258"/>
      <c r="K361" s="257">
        <f>IFERROR(__xludf.DUMMYFUNCTION("""COMPUTED_VALUE"""),0.0)</f>
        <v>0</v>
      </c>
      <c r="L361" s="258">
        <f>IFERROR(__xludf.DUMMYFUNCTION("""COMPUTED_VALUE"""),0.0)</f>
        <v>0</v>
      </c>
      <c r="M361" s="258">
        <f>IFERROR(__xludf.DUMMYFUNCTION("""COMPUTED_VALUE"""),0.0)</f>
        <v>0</v>
      </c>
      <c r="N361" s="258">
        <f>IFERROR(__xludf.DUMMYFUNCTION("""COMPUTED_VALUE"""),0.0)</f>
        <v>0</v>
      </c>
      <c r="O361" s="258">
        <f>IFERROR(__xludf.DUMMYFUNCTION("""COMPUTED_VALUE"""),0.0)</f>
        <v>0</v>
      </c>
      <c r="P361" s="258">
        <f>IFERROR(__xludf.DUMMYFUNCTION("""COMPUTED_VALUE"""),0.0)</f>
        <v>0</v>
      </c>
      <c r="Q361" s="258">
        <f>IFERROR(__xludf.DUMMYFUNCTION("""COMPUTED_VALUE"""),0.0)</f>
        <v>0</v>
      </c>
      <c r="R361" s="259"/>
      <c r="S361" s="260"/>
      <c r="T361" s="261"/>
      <c r="U361" s="262"/>
      <c r="V361" s="250"/>
      <c r="W361" s="250"/>
      <c r="X361" s="250"/>
      <c r="Y361" s="250"/>
      <c r="Z361" s="250"/>
      <c r="AA361" s="250"/>
      <c r="AB361" s="250"/>
      <c r="AC361" s="250"/>
      <c r="AD361" s="250"/>
      <c r="AE361" s="250"/>
      <c r="AF361" s="250"/>
      <c r="AG361" s="250"/>
      <c r="AH361" s="250"/>
      <c r="AI361" s="250"/>
      <c r="AJ361" s="250"/>
      <c r="AK361" s="250"/>
      <c r="AL361" s="250"/>
      <c r="AM361" s="250"/>
      <c r="AN361" s="250"/>
    </row>
    <row r="362" ht="15.75" customHeight="1">
      <c r="A362" s="250"/>
      <c r="B362" s="251">
        <f>IFERROR(__xludf.DUMMYFUNCTION("""COMPUTED_VALUE"""),354.0)</f>
        <v>354</v>
      </c>
      <c r="C362" s="252"/>
      <c r="D362" s="253" t="str">
        <f>IFERROR(__xludf.DUMMYFUNCTION("""COMPUTED_VALUE"""),"")</f>
        <v/>
      </c>
      <c r="E362" s="254">
        <f>IFERROR(__xludf.DUMMYFUNCTION("""COMPUTED_VALUE"""),0.0)</f>
        <v>0</v>
      </c>
      <c r="F362" s="255"/>
      <c r="G362" s="256"/>
      <c r="H362" s="252">
        <f>IFERROR(__xludf.DUMMYFUNCTION("""COMPUTED_VALUE"""),0.0)</f>
        <v>0</v>
      </c>
      <c r="I362" s="258"/>
      <c r="J362" s="258"/>
      <c r="K362" s="257">
        <f>IFERROR(__xludf.DUMMYFUNCTION("""COMPUTED_VALUE"""),0.0)</f>
        <v>0</v>
      </c>
      <c r="L362" s="258">
        <f>IFERROR(__xludf.DUMMYFUNCTION("""COMPUTED_VALUE"""),0.0)</f>
        <v>0</v>
      </c>
      <c r="M362" s="258">
        <f>IFERROR(__xludf.DUMMYFUNCTION("""COMPUTED_VALUE"""),0.0)</f>
        <v>0</v>
      </c>
      <c r="N362" s="258">
        <f>IFERROR(__xludf.DUMMYFUNCTION("""COMPUTED_VALUE"""),0.0)</f>
        <v>0</v>
      </c>
      <c r="O362" s="258">
        <f>IFERROR(__xludf.DUMMYFUNCTION("""COMPUTED_VALUE"""),0.0)</f>
        <v>0</v>
      </c>
      <c r="P362" s="258">
        <f>IFERROR(__xludf.DUMMYFUNCTION("""COMPUTED_VALUE"""),0.0)</f>
        <v>0</v>
      </c>
      <c r="Q362" s="258">
        <f>IFERROR(__xludf.DUMMYFUNCTION("""COMPUTED_VALUE"""),0.0)</f>
        <v>0</v>
      </c>
      <c r="R362" s="259"/>
      <c r="S362" s="260"/>
      <c r="T362" s="261"/>
      <c r="U362" s="262"/>
      <c r="V362" s="250"/>
      <c r="W362" s="250"/>
      <c r="X362" s="250"/>
      <c r="Y362" s="250"/>
      <c r="Z362" s="250"/>
      <c r="AA362" s="250"/>
      <c r="AB362" s="250"/>
      <c r="AC362" s="250"/>
      <c r="AD362" s="250"/>
      <c r="AE362" s="250"/>
      <c r="AF362" s="250"/>
      <c r="AG362" s="250"/>
      <c r="AH362" s="250"/>
      <c r="AI362" s="250"/>
      <c r="AJ362" s="250"/>
      <c r="AK362" s="250"/>
      <c r="AL362" s="250"/>
      <c r="AM362" s="250"/>
      <c r="AN362" s="250"/>
    </row>
    <row r="363" ht="15.75" customHeight="1">
      <c r="A363" s="250"/>
      <c r="B363" s="251">
        <f>IFERROR(__xludf.DUMMYFUNCTION("""COMPUTED_VALUE"""),355.0)</f>
        <v>355</v>
      </c>
      <c r="C363" s="252"/>
      <c r="D363" s="253" t="str">
        <f>IFERROR(__xludf.DUMMYFUNCTION("""COMPUTED_VALUE"""),"")</f>
        <v/>
      </c>
      <c r="E363" s="254">
        <f>IFERROR(__xludf.DUMMYFUNCTION("""COMPUTED_VALUE"""),0.0)</f>
        <v>0</v>
      </c>
      <c r="F363" s="255"/>
      <c r="G363" s="256"/>
      <c r="H363" s="252">
        <f>IFERROR(__xludf.DUMMYFUNCTION("""COMPUTED_VALUE"""),0.0)</f>
        <v>0</v>
      </c>
      <c r="I363" s="258"/>
      <c r="J363" s="258"/>
      <c r="K363" s="257">
        <f>IFERROR(__xludf.DUMMYFUNCTION("""COMPUTED_VALUE"""),0.0)</f>
        <v>0</v>
      </c>
      <c r="L363" s="258">
        <f>IFERROR(__xludf.DUMMYFUNCTION("""COMPUTED_VALUE"""),0.0)</f>
        <v>0</v>
      </c>
      <c r="M363" s="258">
        <f>IFERROR(__xludf.DUMMYFUNCTION("""COMPUTED_VALUE"""),0.0)</f>
        <v>0</v>
      </c>
      <c r="N363" s="258">
        <f>IFERROR(__xludf.DUMMYFUNCTION("""COMPUTED_VALUE"""),0.0)</f>
        <v>0</v>
      </c>
      <c r="O363" s="258">
        <f>IFERROR(__xludf.DUMMYFUNCTION("""COMPUTED_VALUE"""),0.0)</f>
        <v>0</v>
      </c>
      <c r="P363" s="258">
        <f>IFERROR(__xludf.DUMMYFUNCTION("""COMPUTED_VALUE"""),0.0)</f>
        <v>0</v>
      </c>
      <c r="Q363" s="258">
        <f>IFERROR(__xludf.DUMMYFUNCTION("""COMPUTED_VALUE"""),0.0)</f>
        <v>0</v>
      </c>
      <c r="R363" s="259"/>
      <c r="S363" s="260"/>
      <c r="T363" s="261"/>
      <c r="U363" s="262"/>
      <c r="V363" s="250"/>
      <c r="W363" s="250"/>
      <c r="X363" s="250"/>
      <c r="Y363" s="250"/>
      <c r="Z363" s="250"/>
      <c r="AA363" s="250"/>
      <c r="AB363" s="250"/>
      <c r="AC363" s="250"/>
      <c r="AD363" s="250"/>
      <c r="AE363" s="250"/>
      <c r="AF363" s="250"/>
      <c r="AG363" s="250"/>
      <c r="AH363" s="250"/>
      <c r="AI363" s="250"/>
      <c r="AJ363" s="250"/>
      <c r="AK363" s="250"/>
      <c r="AL363" s="250"/>
      <c r="AM363" s="250"/>
      <c r="AN363" s="250"/>
    </row>
    <row r="364" ht="15.75" customHeight="1">
      <c r="A364" s="250"/>
      <c r="B364" s="251">
        <f>IFERROR(__xludf.DUMMYFUNCTION("""COMPUTED_VALUE"""),356.0)</f>
        <v>356</v>
      </c>
      <c r="C364" s="252"/>
      <c r="D364" s="253" t="str">
        <f>IFERROR(__xludf.DUMMYFUNCTION("""COMPUTED_VALUE"""),"")</f>
        <v/>
      </c>
      <c r="E364" s="254">
        <f>IFERROR(__xludf.DUMMYFUNCTION("""COMPUTED_VALUE"""),0.0)</f>
        <v>0</v>
      </c>
      <c r="F364" s="255"/>
      <c r="G364" s="256"/>
      <c r="H364" s="252">
        <f>IFERROR(__xludf.DUMMYFUNCTION("""COMPUTED_VALUE"""),0.0)</f>
        <v>0</v>
      </c>
      <c r="I364" s="258"/>
      <c r="J364" s="258"/>
      <c r="K364" s="257">
        <f>IFERROR(__xludf.DUMMYFUNCTION("""COMPUTED_VALUE"""),0.0)</f>
        <v>0</v>
      </c>
      <c r="L364" s="258">
        <f>IFERROR(__xludf.DUMMYFUNCTION("""COMPUTED_VALUE"""),0.0)</f>
        <v>0</v>
      </c>
      <c r="M364" s="258">
        <f>IFERROR(__xludf.DUMMYFUNCTION("""COMPUTED_VALUE"""),0.0)</f>
        <v>0</v>
      </c>
      <c r="N364" s="258">
        <f>IFERROR(__xludf.DUMMYFUNCTION("""COMPUTED_VALUE"""),0.0)</f>
        <v>0</v>
      </c>
      <c r="O364" s="258">
        <f>IFERROR(__xludf.DUMMYFUNCTION("""COMPUTED_VALUE"""),0.0)</f>
        <v>0</v>
      </c>
      <c r="P364" s="258">
        <f>IFERROR(__xludf.DUMMYFUNCTION("""COMPUTED_VALUE"""),0.0)</f>
        <v>0</v>
      </c>
      <c r="Q364" s="258">
        <f>IFERROR(__xludf.DUMMYFUNCTION("""COMPUTED_VALUE"""),0.0)</f>
        <v>0</v>
      </c>
      <c r="R364" s="259"/>
      <c r="S364" s="260"/>
      <c r="T364" s="261"/>
      <c r="U364" s="262"/>
      <c r="V364" s="250"/>
      <c r="W364" s="250"/>
      <c r="X364" s="250"/>
      <c r="Y364" s="250"/>
      <c r="Z364" s="250"/>
      <c r="AA364" s="250"/>
      <c r="AB364" s="250"/>
      <c r="AC364" s="250"/>
      <c r="AD364" s="250"/>
      <c r="AE364" s="250"/>
      <c r="AF364" s="250"/>
      <c r="AG364" s="250"/>
      <c r="AH364" s="250"/>
      <c r="AI364" s="250"/>
      <c r="AJ364" s="250"/>
      <c r="AK364" s="250"/>
      <c r="AL364" s="250"/>
      <c r="AM364" s="250"/>
      <c r="AN364" s="250"/>
    </row>
    <row r="365" ht="15.75" customHeight="1">
      <c r="A365" s="250"/>
      <c r="B365" s="251">
        <f>IFERROR(__xludf.DUMMYFUNCTION("""COMPUTED_VALUE"""),357.0)</f>
        <v>357</v>
      </c>
      <c r="C365" s="252"/>
      <c r="D365" s="253" t="str">
        <f>IFERROR(__xludf.DUMMYFUNCTION("""COMPUTED_VALUE"""),"")</f>
        <v/>
      </c>
      <c r="E365" s="254">
        <f>IFERROR(__xludf.DUMMYFUNCTION("""COMPUTED_VALUE"""),0.0)</f>
        <v>0</v>
      </c>
      <c r="F365" s="255"/>
      <c r="G365" s="256"/>
      <c r="H365" s="252">
        <f>IFERROR(__xludf.DUMMYFUNCTION("""COMPUTED_VALUE"""),0.0)</f>
        <v>0</v>
      </c>
      <c r="I365" s="258"/>
      <c r="J365" s="258"/>
      <c r="K365" s="257">
        <f>IFERROR(__xludf.DUMMYFUNCTION("""COMPUTED_VALUE"""),0.0)</f>
        <v>0</v>
      </c>
      <c r="L365" s="258">
        <f>IFERROR(__xludf.DUMMYFUNCTION("""COMPUTED_VALUE"""),0.0)</f>
        <v>0</v>
      </c>
      <c r="M365" s="258">
        <f>IFERROR(__xludf.DUMMYFUNCTION("""COMPUTED_VALUE"""),0.0)</f>
        <v>0</v>
      </c>
      <c r="N365" s="258">
        <f>IFERROR(__xludf.DUMMYFUNCTION("""COMPUTED_VALUE"""),0.0)</f>
        <v>0</v>
      </c>
      <c r="O365" s="258">
        <f>IFERROR(__xludf.DUMMYFUNCTION("""COMPUTED_VALUE"""),0.0)</f>
        <v>0</v>
      </c>
      <c r="P365" s="258">
        <f>IFERROR(__xludf.DUMMYFUNCTION("""COMPUTED_VALUE"""),0.0)</f>
        <v>0</v>
      </c>
      <c r="Q365" s="258">
        <f>IFERROR(__xludf.DUMMYFUNCTION("""COMPUTED_VALUE"""),0.0)</f>
        <v>0</v>
      </c>
      <c r="R365" s="259"/>
      <c r="S365" s="260"/>
      <c r="T365" s="261"/>
      <c r="U365" s="262"/>
      <c r="V365" s="250"/>
      <c r="W365" s="250"/>
      <c r="X365" s="250"/>
      <c r="Y365" s="250"/>
      <c r="Z365" s="250"/>
      <c r="AA365" s="250"/>
      <c r="AB365" s="250"/>
      <c r="AC365" s="250"/>
      <c r="AD365" s="250"/>
      <c r="AE365" s="250"/>
      <c r="AF365" s="250"/>
      <c r="AG365" s="250"/>
      <c r="AH365" s="250"/>
      <c r="AI365" s="250"/>
      <c r="AJ365" s="250"/>
      <c r="AK365" s="250"/>
      <c r="AL365" s="250"/>
      <c r="AM365" s="250"/>
      <c r="AN365" s="250"/>
    </row>
    <row r="366" ht="15.75" customHeight="1">
      <c r="A366" s="250"/>
      <c r="B366" s="251">
        <f>IFERROR(__xludf.DUMMYFUNCTION("""COMPUTED_VALUE"""),358.0)</f>
        <v>358</v>
      </c>
      <c r="C366" s="252"/>
      <c r="D366" s="253" t="str">
        <f>IFERROR(__xludf.DUMMYFUNCTION("""COMPUTED_VALUE"""),"")</f>
        <v/>
      </c>
      <c r="E366" s="254">
        <f>IFERROR(__xludf.DUMMYFUNCTION("""COMPUTED_VALUE"""),0.0)</f>
        <v>0</v>
      </c>
      <c r="F366" s="255"/>
      <c r="G366" s="256"/>
      <c r="H366" s="252">
        <f>IFERROR(__xludf.DUMMYFUNCTION("""COMPUTED_VALUE"""),0.0)</f>
        <v>0</v>
      </c>
      <c r="I366" s="258"/>
      <c r="J366" s="258"/>
      <c r="K366" s="257">
        <f>IFERROR(__xludf.DUMMYFUNCTION("""COMPUTED_VALUE"""),0.0)</f>
        <v>0</v>
      </c>
      <c r="L366" s="258">
        <f>IFERROR(__xludf.DUMMYFUNCTION("""COMPUTED_VALUE"""),0.0)</f>
        <v>0</v>
      </c>
      <c r="M366" s="258">
        <f>IFERROR(__xludf.DUMMYFUNCTION("""COMPUTED_VALUE"""),0.0)</f>
        <v>0</v>
      </c>
      <c r="N366" s="258">
        <f>IFERROR(__xludf.DUMMYFUNCTION("""COMPUTED_VALUE"""),0.0)</f>
        <v>0</v>
      </c>
      <c r="O366" s="258">
        <f>IFERROR(__xludf.DUMMYFUNCTION("""COMPUTED_VALUE"""),0.0)</f>
        <v>0</v>
      </c>
      <c r="P366" s="258">
        <f>IFERROR(__xludf.DUMMYFUNCTION("""COMPUTED_VALUE"""),0.0)</f>
        <v>0</v>
      </c>
      <c r="Q366" s="258">
        <f>IFERROR(__xludf.DUMMYFUNCTION("""COMPUTED_VALUE"""),0.0)</f>
        <v>0</v>
      </c>
      <c r="R366" s="259"/>
      <c r="S366" s="260"/>
      <c r="T366" s="261"/>
      <c r="U366" s="262"/>
      <c r="V366" s="250"/>
      <c r="W366" s="250"/>
      <c r="X366" s="250"/>
      <c r="Y366" s="250"/>
      <c r="Z366" s="250"/>
      <c r="AA366" s="250"/>
      <c r="AB366" s="250"/>
      <c r="AC366" s="250"/>
      <c r="AD366" s="250"/>
      <c r="AE366" s="250"/>
      <c r="AF366" s="250"/>
      <c r="AG366" s="250"/>
      <c r="AH366" s="250"/>
      <c r="AI366" s="250"/>
      <c r="AJ366" s="250"/>
      <c r="AK366" s="250"/>
      <c r="AL366" s="250"/>
      <c r="AM366" s="250"/>
      <c r="AN366" s="250"/>
    </row>
    <row r="367" ht="15.75" customHeight="1">
      <c r="A367" s="250"/>
      <c r="B367" s="251">
        <f>IFERROR(__xludf.DUMMYFUNCTION("""COMPUTED_VALUE"""),359.0)</f>
        <v>359</v>
      </c>
      <c r="C367" s="252"/>
      <c r="D367" s="253" t="str">
        <f>IFERROR(__xludf.DUMMYFUNCTION("""COMPUTED_VALUE"""),"")</f>
        <v/>
      </c>
      <c r="E367" s="254">
        <f>IFERROR(__xludf.DUMMYFUNCTION("""COMPUTED_VALUE"""),0.0)</f>
        <v>0</v>
      </c>
      <c r="F367" s="255"/>
      <c r="G367" s="256"/>
      <c r="H367" s="252">
        <f>IFERROR(__xludf.DUMMYFUNCTION("""COMPUTED_VALUE"""),0.0)</f>
        <v>0</v>
      </c>
      <c r="I367" s="258"/>
      <c r="J367" s="258"/>
      <c r="K367" s="257">
        <f>IFERROR(__xludf.DUMMYFUNCTION("""COMPUTED_VALUE"""),0.0)</f>
        <v>0</v>
      </c>
      <c r="L367" s="258">
        <f>IFERROR(__xludf.DUMMYFUNCTION("""COMPUTED_VALUE"""),0.0)</f>
        <v>0</v>
      </c>
      <c r="M367" s="258">
        <f>IFERROR(__xludf.DUMMYFUNCTION("""COMPUTED_VALUE"""),0.0)</f>
        <v>0</v>
      </c>
      <c r="N367" s="258">
        <f>IFERROR(__xludf.DUMMYFUNCTION("""COMPUTED_VALUE"""),0.0)</f>
        <v>0</v>
      </c>
      <c r="O367" s="258">
        <f>IFERROR(__xludf.DUMMYFUNCTION("""COMPUTED_VALUE"""),0.0)</f>
        <v>0</v>
      </c>
      <c r="P367" s="258">
        <f>IFERROR(__xludf.DUMMYFUNCTION("""COMPUTED_VALUE"""),0.0)</f>
        <v>0</v>
      </c>
      <c r="Q367" s="258">
        <f>IFERROR(__xludf.DUMMYFUNCTION("""COMPUTED_VALUE"""),0.0)</f>
        <v>0</v>
      </c>
      <c r="R367" s="259"/>
      <c r="S367" s="260"/>
      <c r="T367" s="261"/>
      <c r="U367" s="262"/>
      <c r="V367" s="250"/>
      <c r="W367" s="250"/>
      <c r="X367" s="250"/>
      <c r="Y367" s="250"/>
      <c r="Z367" s="250"/>
      <c r="AA367" s="250"/>
      <c r="AB367" s="250"/>
      <c r="AC367" s="250"/>
      <c r="AD367" s="250"/>
      <c r="AE367" s="250"/>
      <c r="AF367" s="250"/>
      <c r="AG367" s="250"/>
      <c r="AH367" s="250"/>
      <c r="AI367" s="250"/>
      <c r="AJ367" s="250"/>
      <c r="AK367" s="250"/>
      <c r="AL367" s="250"/>
      <c r="AM367" s="250"/>
      <c r="AN367" s="250"/>
    </row>
    <row r="368" ht="15.75" customHeight="1">
      <c r="A368" s="250"/>
      <c r="B368" s="251">
        <f>IFERROR(__xludf.DUMMYFUNCTION("""COMPUTED_VALUE"""),360.0)</f>
        <v>360</v>
      </c>
      <c r="C368" s="252"/>
      <c r="D368" s="253" t="str">
        <f>IFERROR(__xludf.DUMMYFUNCTION("""COMPUTED_VALUE"""),"")</f>
        <v/>
      </c>
      <c r="E368" s="254">
        <f>IFERROR(__xludf.DUMMYFUNCTION("""COMPUTED_VALUE"""),0.0)</f>
        <v>0</v>
      </c>
      <c r="F368" s="255"/>
      <c r="G368" s="256"/>
      <c r="H368" s="252">
        <f>IFERROR(__xludf.DUMMYFUNCTION("""COMPUTED_VALUE"""),0.0)</f>
        <v>0</v>
      </c>
      <c r="I368" s="258"/>
      <c r="J368" s="258"/>
      <c r="K368" s="257">
        <f>IFERROR(__xludf.DUMMYFUNCTION("""COMPUTED_VALUE"""),0.0)</f>
        <v>0</v>
      </c>
      <c r="L368" s="258">
        <f>IFERROR(__xludf.DUMMYFUNCTION("""COMPUTED_VALUE"""),0.0)</f>
        <v>0</v>
      </c>
      <c r="M368" s="258">
        <f>IFERROR(__xludf.DUMMYFUNCTION("""COMPUTED_VALUE"""),0.0)</f>
        <v>0</v>
      </c>
      <c r="N368" s="258">
        <f>IFERROR(__xludf.DUMMYFUNCTION("""COMPUTED_VALUE"""),0.0)</f>
        <v>0</v>
      </c>
      <c r="O368" s="258">
        <f>IFERROR(__xludf.DUMMYFUNCTION("""COMPUTED_VALUE"""),0.0)</f>
        <v>0</v>
      </c>
      <c r="P368" s="258">
        <f>IFERROR(__xludf.DUMMYFUNCTION("""COMPUTED_VALUE"""),0.0)</f>
        <v>0</v>
      </c>
      <c r="Q368" s="258">
        <f>IFERROR(__xludf.DUMMYFUNCTION("""COMPUTED_VALUE"""),0.0)</f>
        <v>0</v>
      </c>
      <c r="R368" s="259"/>
      <c r="S368" s="260"/>
      <c r="T368" s="261"/>
      <c r="U368" s="262"/>
      <c r="V368" s="250"/>
      <c r="W368" s="250"/>
      <c r="X368" s="250"/>
      <c r="Y368" s="250"/>
      <c r="Z368" s="250"/>
      <c r="AA368" s="250"/>
      <c r="AB368" s="250"/>
      <c r="AC368" s="250"/>
      <c r="AD368" s="250"/>
      <c r="AE368" s="250"/>
      <c r="AF368" s="250"/>
      <c r="AG368" s="250"/>
      <c r="AH368" s="250"/>
      <c r="AI368" s="250"/>
      <c r="AJ368" s="250"/>
      <c r="AK368" s="250"/>
      <c r="AL368" s="250"/>
      <c r="AM368" s="250"/>
      <c r="AN368" s="250"/>
    </row>
    <row r="369" ht="15.75" customHeight="1">
      <c r="A369" s="250"/>
      <c r="B369" s="251">
        <f>IFERROR(__xludf.DUMMYFUNCTION("""COMPUTED_VALUE"""),361.0)</f>
        <v>361</v>
      </c>
      <c r="C369" s="252"/>
      <c r="D369" s="253" t="str">
        <f>IFERROR(__xludf.DUMMYFUNCTION("""COMPUTED_VALUE"""),"")</f>
        <v/>
      </c>
      <c r="E369" s="254">
        <f>IFERROR(__xludf.DUMMYFUNCTION("""COMPUTED_VALUE"""),0.0)</f>
        <v>0</v>
      </c>
      <c r="F369" s="255"/>
      <c r="G369" s="256"/>
      <c r="H369" s="252">
        <f>IFERROR(__xludf.DUMMYFUNCTION("""COMPUTED_VALUE"""),0.0)</f>
        <v>0</v>
      </c>
      <c r="I369" s="258"/>
      <c r="J369" s="258"/>
      <c r="K369" s="257">
        <f>IFERROR(__xludf.DUMMYFUNCTION("""COMPUTED_VALUE"""),0.0)</f>
        <v>0</v>
      </c>
      <c r="L369" s="258">
        <f>IFERROR(__xludf.DUMMYFUNCTION("""COMPUTED_VALUE"""),0.0)</f>
        <v>0</v>
      </c>
      <c r="M369" s="258">
        <f>IFERROR(__xludf.DUMMYFUNCTION("""COMPUTED_VALUE"""),0.0)</f>
        <v>0</v>
      </c>
      <c r="N369" s="258">
        <f>IFERROR(__xludf.DUMMYFUNCTION("""COMPUTED_VALUE"""),0.0)</f>
        <v>0</v>
      </c>
      <c r="O369" s="258">
        <f>IFERROR(__xludf.DUMMYFUNCTION("""COMPUTED_VALUE"""),0.0)</f>
        <v>0</v>
      </c>
      <c r="P369" s="258">
        <f>IFERROR(__xludf.DUMMYFUNCTION("""COMPUTED_VALUE"""),0.0)</f>
        <v>0</v>
      </c>
      <c r="Q369" s="258">
        <f>IFERROR(__xludf.DUMMYFUNCTION("""COMPUTED_VALUE"""),0.0)</f>
        <v>0</v>
      </c>
      <c r="R369" s="259"/>
      <c r="S369" s="260"/>
      <c r="T369" s="261"/>
      <c r="U369" s="262"/>
      <c r="V369" s="250"/>
      <c r="W369" s="250"/>
      <c r="X369" s="250"/>
      <c r="Y369" s="250"/>
      <c r="Z369" s="250"/>
      <c r="AA369" s="250"/>
      <c r="AB369" s="250"/>
      <c r="AC369" s="250"/>
      <c r="AD369" s="250"/>
      <c r="AE369" s="250"/>
      <c r="AF369" s="250"/>
      <c r="AG369" s="250"/>
      <c r="AH369" s="250"/>
      <c r="AI369" s="250"/>
      <c r="AJ369" s="250"/>
      <c r="AK369" s="250"/>
      <c r="AL369" s="250"/>
      <c r="AM369" s="250"/>
      <c r="AN369" s="250"/>
    </row>
    <row r="370" ht="15.75" customHeight="1">
      <c r="A370" s="250"/>
      <c r="B370" s="251">
        <f>IFERROR(__xludf.DUMMYFUNCTION("""COMPUTED_VALUE"""),362.0)</f>
        <v>362</v>
      </c>
      <c r="C370" s="252"/>
      <c r="D370" s="253" t="str">
        <f>IFERROR(__xludf.DUMMYFUNCTION("""COMPUTED_VALUE"""),"")</f>
        <v/>
      </c>
      <c r="E370" s="254">
        <f>IFERROR(__xludf.DUMMYFUNCTION("""COMPUTED_VALUE"""),0.0)</f>
        <v>0</v>
      </c>
      <c r="F370" s="255"/>
      <c r="G370" s="256"/>
      <c r="H370" s="252">
        <f>IFERROR(__xludf.DUMMYFUNCTION("""COMPUTED_VALUE"""),0.0)</f>
        <v>0</v>
      </c>
      <c r="I370" s="258"/>
      <c r="J370" s="258"/>
      <c r="K370" s="257">
        <f>IFERROR(__xludf.DUMMYFUNCTION("""COMPUTED_VALUE"""),0.0)</f>
        <v>0</v>
      </c>
      <c r="L370" s="258">
        <f>IFERROR(__xludf.DUMMYFUNCTION("""COMPUTED_VALUE"""),0.0)</f>
        <v>0</v>
      </c>
      <c r="M370" s="258">
        <f>IFERROR(__xludf.DUMMYFUNCTION("""COMPUTED_VALUE"""),0.0)</f>
        <v>0</v>
      </c>
      <c r="N370" s="258">
        <f>IFERROR(__xludf.DUMMYFUNCTION("""COMPUTED_VALUE"""),0.0)</f>
        <v>0</v>
      </c>
      <c r="O370" s="258">
        <f>IFERROR(__xludf.DUMMYFUNCTION("""COMPUTED_VALUE"""),0.0)</f>
        <v>0</v>
      </c>
      <c r="P370" s="258">
        <f>IFERROR(__xludf.DUMMYFUNCTION("""COMPUTED_VALUE"""),0.0)</f>
        <v>0</v>
      </c>
      <c r="Q370" s="258">
        <f>IFERROR(__xludf.DUMMYFUNCTION("""COMPUTED_VALUE"""),0.0)</f>
        <v>0</v>
      </c>
      <c r="R370" s="259"/>
      <c r="S370" s="260"/>
      <c r="T370" s="261"/>
      <c r="U370" s="262"/>
      <c r="V370" s="250"/>
      <c r="W370" s="250"/>
      <c r="X370" s="250"/>
      <c r="Y370" s="250"/>
      <c r="Z370" s="250"/>
      <c r="AA370" s="250"/>
      <c r="AB370" s="250"/>
      <c r="AC370" s="250"/>
      <c r="AD370" s="250"/>
      <c r="AE370" s="250"/>
      <c r="AF370" s="250"/>
      <c r="AG370" s="250"/>
      <c r="AH370" s="250"/>
      <c r="AI370" s="250"/>
      <c r="AJ370" s="250"/>
      <c r="AK370" s="250"/>
      <c r="AL370" s="250"/>
      <c r="AM370" s="250"/>
      <c r="AN370" s="250"/>
    </row>
    <row r="371" ht="15.75" customHeight="1">
      <c r="A371" s="250"/>
      <c r="B371" s="251">
        <f>IFERROR(__xludf.DUMMYFUNCTION("""COMPUTED_VALUE"""),363.0)</f>
        <v>363</v>
      </c>
      <c r="C371" s="252"/>
      <c r="D371" s="253" t="str">
        <f>IFERROR(__xludf.DUMMYFUNCTION("""COMPUTED_VALUE"""),"")</f>
        <v/>
      </c>
      <c r="E371" s="254">
        <f>IFERROR(__xludf.DUMMYFUNCTION("""COMPUTED_VALUE"""),0.0)</f>
        <v>0</v>
      </c>
      <c r="F371" s="255"/>
      <c r="G371" s="256"/>
      <c r="H371" s="252">
        <f>IFERROR(__xludf.DUMMYFUNCTION("""COMPUTED_VALUE"""),0.0)</f>
        <v>0</v>
      </c>
      <c r="I371" s="258"/>
      <c r="J371" s="258"/>
      <c r="K371" s="257">
        <f>IFERROR(__xludf.DUMMYFUNCTION("""COMPUTED_VALUE"""),0.0)</f>
        <v>0</v>
      </c>
      <c r="L371" s="258">
        <f>IFERROR(__xludf.DUMMYFUNCTION("""COMPUTED_VALUE"""),0.0)</f>
        <v>0</v>
      </c>
      <c r="M371" s="258">
        <f>IFERROR(__xludf.DUMMYFUNCTION("""COMPUTED_VALUE"""),0.0)</f>
        <v>0</v>
      </c>
      <c r="N371" s="258">
        <f>IFERROR(__xludf.DUMMYFUNCTION("""COMPUTED_VALUE"""),0.0)</f>
        <v>0</v>
      </c>
      <c r="O371" s="258">
        <f>IFERROR(__xludf.DUMMYFUNCTION("""COMPUTED_VALUE"""),0.0)</f>
        <v>0</v>
      </c>
      <c r="P371" s="258">
        <f>IFERROR(__xludf.DUMMYFUNCTION("""COMPUTED_VALUE"""),0.0)</f>
        <v>0</v>
      </c>
      <c r="Q371" s="258">
        <f>IFERROR(__xludf.DUMMYFUNCTION("""COMPUTED_VALUE"""),0.0)</f>
        <v>0</v>
      </c>
      <c r="R371" s="259"/>
      <c r="S371" s="260"/>
      <c r="T371" s="261"/>
      <c r="U371" s="262"/>
      <c r="V371" s="250"/>
      <c r="W371" s="250"/>
      <c r="X371" s="250"/>
      <c r="Y371" s="250"/>
      <c r="Z371" s="250"/>
      <c r="AA371" s="250"/>
      <c r="AB371" s="250"/>
      <c r="AC371" s="250"/>
      <c r="AD371" s="250"/>
      <c r="AE371" s="250"/>
      <c r="AF371" s="250"/>
      <c r="AG371" s="250"/>
      <c r="AH371" s="250"/>
      <c r="AI371" s="250"/>
      <c r="AJ371" s="250"/>
      <c r="AK371" s="250"/>
      <c r="AL371" s="250"/>
      <c r="AM371" s="250"/>
      <c r="AN371" s="250"/>
    </row>
    <row r="372" ht="15.75" customHeight="1">
      <c r="A372" s="250"/>
      <c r="B372" s="251">
        <f>IFERROR(__xludf.DUMMYFUNCTION("""COMPUTED_VALUE"""),364.0)</f>
        <v>364</v>
      </c>
      <c r="C372" s="252"/>
      <c r="D372" s="253" t="str">
        <f>IFERROR(__xludf.DUMMYFUNCTION("""COMPUTED_VALUE"""),"")</f>
        <v/>
      </c>
      <c r="E372" s="254">
        <f>IFERROR(__xludf.DUMMYFUNCTION("""COMPUTED_VALUE"""),0.0)</f>
        <v>0</v>
      </c>
      <c r="F372" s="255"/>
      <c r="G372" s="256"/>
      <c r="H372" s="252">
        <f>IFERROR(__xludf.DUMMYFUNCTION("""COMPUTED_VALUE"""),0.0)</f>
        <v>0</v>
      </c>
      <c r="I372" s="258"/>
      <c r="J372" s="258"/>
      <c r="K372" s="257">
        <f>IFERROR(__xludf.DUMMYFUNCTION("""COMPUTED_VALUE"""),0.0)</f>
        <v>0</v>
      </c>
      <c r="L372" s="258">
        <f>IFERROR(__xludf.DUMMYFUNCTION("""COMPUTED_VALUE"""),0.0)</f>
        <v>0</v>
      </c>
      <c r="M372" s="258">
        <f>IFERROR(__xludf.DUMMYFUNCTION("""COMPUTED_VALUE"""),0.0)</f>
        <v>0</v>
      </c>
      <c r="N372" s="258">
        <f>IFERROR(__xludf.DUMMYFUNCTION("""COMPUTED_VALUE"""),0.0)</f>
        <v>0</v>
      </c>
      <c r="O372" s="258">
        <f>IFERROR(__xludf.DUMMYFUNCTION("""COMPUTED_VALUE"""),0.0)</f>
        <v>0</v>
      </c>
      <c r="P372" s="258">
        <f>IFERROR(__xludf.DUMMYFUNCTION("""COMPUTED_VALUE"""),0.0)</f>
        <v>0</v>
      </c>
      <c r="Q372" s="258">
        <f>IFERROR(__xludf.DUMMYFUNCTION("""COMPUTED_VALUE"""),0.0)</f>
        <v>0</v>
      </c>
      <c r="R372" s="259"/>
      <c r="S372" s="260"/>
      <c r="T372" s="261"/>
      <c r="U372" s="262"/>
      <c r="V372" s="250"/>
      <c r="W372" s="250"/>
      <c r="X372" s="250"/>
      <c r="Y372" s="250"/>
      <c r="Z372" s="250"/>
      <c r="AA372" s="250"/>
      <c r="AB372" s="250"/>
      <c r="AC372" s="250"/>
      <c r="AD372" s="250"/>
      <c r="AE372" s="250"/>
      <c r="AF372" s="250"/>
      <c r="AG372" s="250"/>
      <c r="AH372" s="250"/>
      <c r="AI372" s="250"/>
      <c r="AJ372" s="250"/>
      <c r="AK372" s="250"/>
      <c r="AL372" s="250"/>
      <c r="AM372" s="250"/>
      <c r="AN372" s="250"/>
    </row>
    <row r="373" ht="15.75" customHeight="1">
      <c r="A373" s="250"/>
      <c r="B373" s="251">
        <f>IFERROR(__xludf.DUMMYFUNCTION("""COMPUTED_VALUE"""),365.0)</f>
        <v>365</v>
      </c>
      <c r="C373" s="252"/>
      <c r="D373" s="253" t="str">
        <f>IFERROR(__xludf.DUMMYFUNCTION("""COMPUTED_VALUE"""),"")</f>
        <v/>
      </c>
      <c r="E373" s="254">
        <f>IFERROR(__xludf.DUMMYFUNCTION("""COMPUTED_VALUE"""),0.0)</f>
        <v>0</v>
      </c>
      <c r="F373" s="255"/>
      <c r="G373" s="256"/>
      <c r="H373" s="252">
        <f>IFERROR(__xludf.DUMMYFUNCTION("""COMPUTED_VALUE"""),0.0)</f>
        <v>0</v>
      </c>
      <c r="I373" s="258"/>
      <c r="J373" s="258"/>
      <c r="K373" s="257">
        <f>IFERROR(__xludf.DUMMYFUNCTION("""COMPUTED_VALUE"""),0.0)</f>
        <v>0</v>
      </c>
      <c r="L373" s="258">
        <f>IFERROR(__xludf.DUMMYFUNCTION("""COMPUTED_VALUE"""),0.0)</f>
        <v>0</v>
      </c>
      <c r="M373" s="258">
        <f>IFERROR(__xludf.DUMMYFUNCTION("""COMPUTED_VALUE"""),0.0)</f>
        <v>0</v>
      </c>
      <c r="N373" s="258">
        <f>IFERROR(__xludf.DUMMYFUNCTION("""COMPUTED_VALUE"""),0.0)</f>
        <v>0</v>
      </c>
      <c r="O373" s="258">
        <f>IFERROR(__xludf.DUMMYFUNCTION("""COMPUTED_VALUE"""),0.0)</f>
        <v>0</v>
      </c>
      <c r="P373" s="258">
        <f>IFERROR(__xludf.DUMMYFUNCTION("""COMPUTED_VALUE"""),0.0)</f>
        <v>0</v>
      </c>
      <c r="Q373" s="258">
        <f>IFERROR(__xludf.DUMMYFUNCTION("""COMPUTED_VALUE"""),0.0)</f>
        <v>0</v>
      </c>
      <c r="R373" s="259"/>
      <c r="S373" s="260"/>
      <c r="T373" s="261"/>
      <c r="U373" s="262"/>
      <c r="V373" s="250"/>
      <c r="W373" s="250"/>
      <c r="X373" s="250"/>
      <c r="Y373" s="250"/>
      <c r="Z373" s="250"/>
      <c r="AA373" s="250"/>
      <c r="AB373" s="250"/>
      <c r="AC373" s="250"/>
      <c r="AD373" s="250"/>
      <c r="AE373" s="250"/>
      <c r="AF373" s="250"/>
      <c r="AG373" s="250"/>
      <c r="AH373" s="250"/>
      <c r="AI373" s="250"/>
      <c r="AJ373" s="250"/>
      <c r="AK373" s="250"/>
      <c r="AL373" s="250"/>
      <c r="AM373" s="250"/>
      <c r="AN373" s="250"/>
    </row>
    <row r="374" ht="15.75" customHeight="1">
      <c r="A374" s="250"/>
      <c r="B374" s="251">
        <f>IFERROR(__xludf.DUMMYFUNCTION("""COMPUTED_VALUE"""),366.0)</f>
        <v>366</v>
      </c>
      <c r="C374" s="252"/>
      <c r="D374" s="253" t="str">
        <f>IFERROR(__xludf.DUMMYFUNCTION("""COMPUTED_VALUE"""),"")</f>
        <v/>
      </c>
      <c r="E374" s="254">
        <f>IFERROR(__xludf.DUMMYFUNCTION("""COMPUTED_VALUE"""),0.0)</f>
        <v>0</v>
      </c>
      <c r="F374" s="255"/>
      <c r="G374" s="256"/>
      <c r="H374" s="252">
        <f>IFERROR(__xludf.DUMMYFUNCTION("""COMPUTED_VALUE"""),0.0)</f>
        <v>0</v>
      </c>
      <c r="I374" s="258"/>
      <c r="J374" s="258"/>
      <c r="K374" s="257">
        <f>IFERROR(__xludf.DUMMYFUNCTION("""COMPUTED_VALUE"""),0.0)</f>
        <v>0</v>
      </c>
      <c r="L374" s="258">
        <f>IFERROR(__xludf.DUMMYFUNCTION("""COMPUTED_VALUE"""),0.0)</f>
        <v>0</v>
      </c>
      <c r="M374" s="258">
        <f>IFERROR(__xludf.DUMMYFUNCTION("""COMPUTED_VALUE"""),0.0)</f>
        <v>0</v>
      </c>
      <c r="N374" s="258">
        <f>IFERROR(__xludf.DUMMYFUNCTION("""COMPUTED_VALUE"""),0.0)</f>
        <v>0</v>
      </c>
      <c r="O374" s="258">
        <f>IFERROR(__xludf.DUMMYFUNCTION("""COMPUTED_VALUE"""),0.0)</f>
        <v>0</v>
      </c>
      <c r="P374" s="258">
        <f>IFERROR(__xludf.DUMMYFUNCTION("""COMPUTED_VALUE"""),0.0)</f>
        <v>0</v>
      </c>
      <c r="Q374" s="258">
        <f>IFERROR(__xludf.DUMMYFUNCTION("""COMPUTED_VALUE"""),0.0)</f>
        <v>0</v>
      </c>
      <c r="R374" s="259"/>
      <c r="S374" s="260"/>
      <c r="T374" s="261"/>
      <c r="U374" s="262"/>
      <c r="V374" s="250"/>
      <c r="W374" s="250"/>
      <c r="X374" s="250"/>
      <c r="Y374" s="250"/>
      <c r="Z374" s="250"/>
      <c r="AA374" s="250"/>
      <c r="AB374" s="250"/>
      <c r="AC374" s="250"/>
      <c r="AD374" s="250"/>
      <c r="AE374" s="250"/>
      <c r="AF374" s="250"/>
      <c r="AG374" s="250"/>
      <c r="AH374" s="250"/>
      <c r="AI374" s="250"/>
      <c r="AJ374" s="250"/>
      <c r="AK374" s="250"/>
      <c r="AL374" s="250"/>
      <c r="AM374" s="250"/>
      <c r="AN374" s="250"/>
    </row>
    <row r="375" ht="15.75" customHeight="1">
      <c r="A375" s="250"/>
      <c r="B375" s="251">
        <f>IFERROR(__xludf.DUMMYFUNCTION("""COMPUTED_VALUE"""),367.0)</f>
        <v>367</v>
      </c>
      <c r="C375" s="252"/>
      <c r="D375" s="253" t="str">
        <f>IFERROR(__xludf.DUMMYFUNCTION("""COMPUTED_VALUE"""),"")</f>
        <v/>
      </c>
      <c r="E375" s="254">
        <f>IFERROR(__xludf.DUMMYFUNCTION("""COMPUTED_VALUE"""),0.0)</f>
        <v>0</v>
      </c>
      <c r="F375" s="255"/>
      <c r="G375" s="256"/>
      <c r="H375" s="252">
        <f>IFERROR(__xludf.DUMMYFUNCTION("""COMPUTED_VALUE"""),0.0)</f>
        <v>0</v>
      </c>
      <c r="I375" s="258"/>
      <c r="J375" s="258"/>
      <c r="K375" s="257">
        <f>IFERROR(__xludf.DUMMYFUNCTION("""COMPUTED_VALUE"""),0.0)</f>
        <v>0</v>
      </c>
      <c r="L375" s="258">
        <f>IFERROR(__xludf.DUMMYFUNCTION("""COMPUTED_VALUE"""),0.0)</f>
        <v>0</v>
      </c>
      <c r="M375" s="258">
        <f>IFERROR(__xludf.DUMMYFUNCTION("""COMPUTED_VALUE"""),0.0)</f>
        <v>0</v>
      </c>
      <c r="N375" s="258">
        <f>IFERROR(__xludf.DUMMYFUNCTION("""COMPUTED_VALUE"""),0.0)</f>
        <v>0</v>
      </c>
      <c r="O375" s="258">
        <f>IFERROR(__xludf.DUMMYFUNCTION("""COMPUTED_VALUE"""),0.0)</f>
        <v>0</v>
      </c>
      <c r="P375" s="258">
        <f>IFERROR(__xludf.DUMMYFUNCTION("""COMPUTED_VALUE"""),0.0)</f>
        <v>0</v>
      </c>
      <c r="Q375" s="258">
        <f>IFERROR(__xludf.DUMMYFUNCTION("""COMPUTED_VALUE"""),0.0)</f>
        <v>0</v>
      </c>
      <c r="R375" s="259"/>
      <c r="S375" s="260"/>
      <c r="T375" s="261"/>
      <c r="U375" s="262"/>
      <c r="V375" s="250"/>
      <c r="W375" s="250"/>
      <c r="X375" s="250"/>
      <c r="Y375" s="250"/>
      <c r="Z375" s="250"/>
      <c r="AA375" s="250"/>
      <c r="AB375" s="250"/>
      <c r="AC375" s="250"/>
      <c r="AD375" s="250"/>
      <c r="AE375" s="250"/>
      <c r="AF375" s="250"/>
      <c r="AG375" s="250"/>
      <c r="AH375" s="250"/>
      <c r="AI375" s="250"/>
      <c r="AJ375" s="250"/>
      <c r="AK375" s="250"/>
      <c r="AL375" s="250"/>
      <c r="AM375" s="250"/>
      <c r="AN375" s="250"/>
    </row>
    <row r="376" ht="15.75" customHeight="1">
      <c r="A376" s="250"/>
      <c r="B376" s="251">
        <f>IFERROR(__xludf.DUMMYFUNCTION("""COMPUTED_VALUE"""),368.0)</f>
        <v>368</v>
      </c>
      <c r="C376" s="252"/>
      <c r="D376" s="253" t="str">
        <f>IFERROR(__xludf.DUMMYFUNCTION("""COMPUTED_VALUE"""),"")</f>
        <v/>
      </c>
      <c r="E376" s="254">
        <f>IFERROR(__xludf.DUMMYFUNCTION("""COMPUTED_VALUE"""),0.0)</f>
        <v>0</v>
      </c>
      <c r="F376" s="255"/>
      <c r="G376" s="256"/>
      <c r="H376" s="252">
        <f>IFERROR(__xludf.DUMMYFUNCTION("""COMPUTED_VALUE"""),0.0)</f>
        <v>0</v>
      </c>
      <c r="I376" s="258"/>
      <c r="J376" s="258"/>
      <c r="K376" s="257">
        <f>IFERROR(__xludf.DUMMYFUNCTION("""COMPUTED_VALUE"""),0.0)</f>
        <v>0</v>
      </c>
      <c r="L376" s="258">
        <f>IFERROR(__xludf.DUMMYFUNCTION("""COMPUTED_VALUE"""),0.0)</f>
        <v>0</v>
      </c>
      <c r="M376" s="258">
        <f>IFERROR(__xludf.DUMMYFUNCTION("""COMPUTED_VALUE"""),0.0)</f>
        <v>0</v>
      </c>
      <c r="N376" s="258">
        <f>IFERROR(__xludf.DUMMYFUNCTION("""COMPUTED_VALUE"""),0.0)</f>
        <v>0</v>
      </c>
      <c r="O376" s="258">
        <f>IFERROR(__xludf.DUMMYFUNCTION("""COMPUTED_VALUE"""),0.0)</f>
        <v>0</v>
      </c>
      <c r="P376" s="258">
        <f>IFERROR(__xludf.DUMMYFUNCTION("""COMPUTED_VALUE"""),0.0)</f>
        <v>0</v>
      </c>
      <c r="Q376" s="258">
        <f>IFERROR(__xludf.DUMMYFUNCTION("""COMPUTED_VALUE"""),0.0)</f>
        <v>0</v>
      </c>
      <c r="R376" s="259"/>
      <c r="S376" s="260"/>
      <c r="T376" s="261"/>
      <c r="U376" s="262"/>
      <c r="V376" s="250"/>
      <c r="W376" s="250"/>
      <c r="X376" s="250"/>
      <c r="Y376" s="250"/>
      <c r="Z376" s="250"/>
      <c r="AA376" s="250"/>
      <c r="AB376" s="250"/>
      <c r="AC376" s="250"/>
      <c r="AD376" s="250"/>
      <c r="AE376" s="250"/>
      <c r="AF376" s="250"/>
      <c r="AG376" s="250"/>
      <c r="AH376" s="250"/>
      <c r="AI376" s="250"/>
      <c r="AJ376" s="250"/>
      <c r="AK376" s="250"/>
      <c r="AL376" s="250"/>
      <c r="AM376" s="250"/>
      <c r="AN376" s="250"/>
    </row>
    <row r="377" ht="15.75" customHeight="1">
      <c r="A377" s="250"/>
      <c r="B377" s="251">
        <f>IFERROR(__xludf.DUMMYFUNCTION("""COMPUTED_VALUE"""),369.0)</f>
        <v>369</v>
      </c>
      <c r="C377" s="252"/>
      <c r="D377" s="253" t="str">
        <f>IFERROR(__xludf.DUMMYFUNCTION("""COMPUTED_VALUE"""),"")</f>
        <v/>
      </c>
      <c r="E377" s="254">
        <f>IFERROR(__xludf.DUMMYFUNCTION("""COMPUTED_VALUE"""),0.0)</f>
        <v>0</v>
      </c>
      <c r="F377" s="255"/>
      <c r="G377" s="256"/>
      <c r="H377" s="252">
        <f>IFERROR(__xludf.DUMMYFUNCTION("""COMPUTED_VALUE"""),0.0)</f>
        <v>0</v>
      </c>
      <c r="I377" s="258"/>
      <c r="J377" s="258"/>
      <c r="K377" s="257">
        <f>IFERROR(__xludf.DUMMYFUNCTION("""COMPUTED_VALUE"""),0.0)</f>
        <v>0</v>
      </c>
      <c r="L377" s="258">
        <f>IFERROR(__xludf.DUMMYFUNCTION("""COMPUTED_VALUE"""),0.0)</f>
        <v>0</v>
      </c>
      <c r="M377" s="258">
        <f>IFERROR(__xludf.DUMMYFUNCTION("""COMPUTED_VALUE"""),0.0)</f>
        <v>0</v>
      </c>
      <c r="N377" s="258">
        <f>IFERROR(__xludf.DUMMYFUNCTION("""COMPUTED_VALUE"""),0.0)</f>
        <v>0</v>
      </c>
      <c r="O377" s="258">
        <f>IFERROR(__xludf.DUMMYFUNCTION("""COMPUTED_VALUE"""),0.0)</f>
        <v>0</v>
      </c>
      <c r="P377" s="258">
        <f>IFERROR(__xludf.DUMMYFUNCTION("""COMPUTED_VALUE"""),0.0)</f>
        <v>0</v>
      </c>
      <c r="Q377" s="258">
        <f>IFERROR(__xludf.DUMMYFUNCTION("""COMPUTED_VALUE"""),0.0)</f>
        <v>0</v>
      </c>
      <c r="R377" s="259"/>
      <c r="S377" s="260"/>
      <c r="T377" s="261"/>
      <c r="U377" s="262"/>
      <c r="V377" s="250"/>
      <c r="W377" s="250"/>
      <c r="X377" s="250"/>
      <c r="Y377" s="250"/>
      <c r="Z377" s="250"/>
      <c r="AA377" s="250"/>
      <c r="AB377" s="250"/>
      <c r="AC377" s="250"/>
      <c r="AD377" s="250"/>
      <c r="AE377" s="250"/>
      <c r="AF377" s="250"/>
      <c r="AG377" s="250"/>
      <c r="AH377" s="250"/>
      <c r="AI377" s="250"/>
      <c r="AJ377" s="250"/>
      <c r="AK377" s="250"/>
      <c r="AL377" s="250"/>
      <c r="AM377" s="250"/>
      <c r="AN377" s="250"/>
    </row>
    <row r="378" ht="15.75" customHeight="1">
      <c r="A378" s="250"/>
      <c r="B378" s="251">
        <f>IFERROR(__xludf.DUMMYFUNCTION("""COMPUTED_VALUE"""),370.0)</f>
        <v>370</v>
      </c>
      <c r="C378" s="252"/>
      <c r="D378" s="253" t="str">
        <f>IFERROR(__xludf.DUMMYFUNCTION("""COMPUTED_VALUE"""),"")</f>
        <v/>
      </c>
      <c r="E378" s="254">
        <f>IFERROR(__xludf.DUMMYFUNCTION("""COMPUTED_VALUE"""),0.0)</f>
        <v>0</v>
      </c>
      <c r="F378" s="255"/>
      <c r="G378" s="256"/>
      <c r="H378" s="252">
        <f>IFERROR(__xludf.DUMMYFUNCTION("""COMPUTED_VALUE"""),0.0)</f>
        <v>0</v>
      </c>
      <c r="I378" s="258"/>
      <c r="J378" s="258"/>
      <c r="K378" s="257">
        <f>IFERROR(__xludf.DUMMYFUNCTION("""COMPUTED_VALUE"""),0.0)</f>
        <v>0</v>
      </c>
      <c r="L378" s="258">
        <f>IFERROR(__xludf.DUMMYFUNCTION("""COMPUTED_VALUE"""),0.0)</f>
        <v>0</v>
      </c>
      <c r="M378" s="258">
        <f>IFERROR(__xludf.DUMMYFUNCTION("""COMPUTED_VALUE"""),0.0)</f>
        <v>0</v>
      </c>
      <c r="N378" s="258">
        <f>IFERROR(__xludf.DUMMYFUNCTION("""COMPUTED_VALUE"""),0.0)</f>
        <v>0</v>
      </c>
      <c r="O378" s="258">
        <f>IFERROR(__xludf.DUMMYFUNCTION("""COMPUTED_VALUE"""),0.0)</f>
        <v>0</v>
      </c>
      <c r="P378" s="258">
        <f>IFERROR(__xludf.DUMMYFUNCTION("""COMPUTED_VALUE"""),0.0)</f>
        <v>0</v>
      </c>
      <c r="Q378" s="258">
        <f>IFERROR(__xludf.DUMMYFUNCTION("""COMPUTED_VALUE"""),0.0)</f>
        <v>0</v>
      </c>
      <c r="R378" s="259"/>
      <c r="S378" s="260"/>
      <c r="T378" s="261"/>
      <c r="U378" s="262"/>
      <c r="V378" s="250"/>
      <c r="W378" s="250"/>
      <c r="X378" s="250"/>
      <c r="Y378" s="250"/>
      <c r="Z378" s="250"/>
      <c r="AA378" s="250"/>
      <c r="AB378" s="250"/>
      <c r="AC378" s="250"/>
      <c r="AD378" s="250"/>
      <c r="AE378" s="250"/>
      <c r="AF378" s="250"/>
      <c r="AG378" s="250"/>
      <c r="AH378" s="250"/>
      <c r="AI378" s="250"/>
      <c r="AJ378" s="250"/>
      <c r="AK378" s="250"/>
      <c r="AL378" s="250"/>
      <c r="AM378" s="250"/>
      <c r="AN378" s="250"/>
    </row>
    <row r="379" ht="15.75" customHeight="1">
      <c r="A379" s="250"/>
      <c r="B379" s="251">
        <f>IFERROR(__xludf.DUMMYFUNCTION("""COMPUTED_VALUE"""),371.0)</f>
        <v>371</v>
      </c>
      <c r="C379" s="252"/>
      <c r="D379" s="253" t="str">
        <f>IFERROR(__xludf.DUMMYFUNCTION("""COMPUTED_VALUE"""),"")</f>
        <v/>
      </c>
      <c r="E379" s="254">
        <f>IFERROR(__xludf.DUMMYFUNCTION("""COMPUTED_VALUE"""),0.0)</f>
        <v>0</v>
      </c>
      <c r="F379" s="255"/>
      <c r="G379" s="256"/>
      <c r="H379" s="252">
        <f>IFERROR(__xludf.DUMMYFUNCTION("""COMPUTED_VALUE"""),0.0)</f>
        <v>0</v>
      </c>
      <c r="I379" s="258"/>
      <c r="J379" s="258"/>
      <c r="K379" s="257">
        <f>IFERROR(__xludf.DUMMYFUNCTION("""COMPUTED_VALUE"""),0.0)</f>
        <v>0</v>
      </c>
      <c r="L379" s="258">
        <f>IFERROR(__xludf.DUMMYFUNCTION("""COMPUTED_VALUE"""),0.0)</f>
        <v>0</v>
      </c>
      <c r="M379" s="258">
        <f>IFERROR(__xludf.DUMMYFUNCTION("""COMPUTED_VALUE"""),0.0)</f>
        <v>0</v>
      </c>
      <c r="N379" s="258">
        <f>IFERROR(__xludf.DUMMYFUNCTION("""COMPUTED_VALUE"""),0.0)</f>
        <v>0</v>
      </c>
      <c r="O379" s="258">
        <f>IFERROR(__xludf.DUMMYFUNCTION("""COMPUTED_VALUE"""),0.0)</f>
        <v>0</v>
      </c>
      <c r="P379" s="258">
        <f>IFERROR(__xludf.DUMMYFUNCTION("""COMPUTED_VALUE"""),0.0)</f>
        <v>0</v>
      </c>
      <c r="Q379" s="258">
        <f>IFERROR(__xludf.DUMMYFUNCTION("""COMPUTED_VALUE"""),0.0)</f>
        <v>0</v>
      </c>
      <c r="R379" s="259"/>
      <c r="S379" s="260"/>
      <c r="T379" s="261"/>
      <c r="U379" s="262"/>
      <c r="V379" s="250"/>
      <c r="W379" s="250"/>
      <c r="X379" s="250"/>
      <c r="Y379" s="250"/>
      <c r="Z379" s="250"/>
      <c r="AA379" s="250"/>
      <c r="AB379" s="250"/>
      <c r="AC379" s="250"/>
      <c r="AD379" s="250"/>
      <c r="AE379" s="250"/>
      <c r="AF379" s="250"/>
      <c r="AG379" s="250"/>
      <c r="AH379" s="250"/>
      <c r="AI379" s="250"/>
      <c r="AJ379" s="250"/>
      <c r="AK379" s="250"/>
      <c r="AL379" s="250"/>
      <c r="AM379" s="250"/>
      <c r="AN379" s="250"/>
    </row>
    <row r="380" ht="15.75" customHeight="1">
      <c r="A380" s="250"/>
      <c r="B380" s="251">
        <f>IFERROR(__xludf.DUMMYFUNCTION("""COMPUTED_VALUE"""),372.0)</f>
        <v>372</v>
      </c>
      <c r="C380" s="252"/>
      <c r="D380" s="253" t="str">
        <f>IFERROR(__xludf.DUMMYFUNCTION("""COMPUTED_VALUE"""),"")</f>
        <v/>
      </c>
      <c r="E380" s="254">
        <f>IFERROR(__xludf.DUMMYFUNCTION("""COMPUTED_VALUE"""),0.0)</f>
        <v>0</v>
      </c>
      <c r="F380" s="255"/>
      <c r="G380" s="256"/>
      <c r="H380" s="252">
        <f>IFERROR(__xludf.DUMMYFUNCTION("""COMPUTED_VALUE"""),0.0)</f>
        <v>0</v>
      </c>
      <c r="I380" s="258"/>
      <c r="J380" s="258"/>
      <c r="K380" s="257">
        <f>IFERROR(__xludf.DUMMYFUNCTION("""COMPUTED_VALUE"""),0.0)</f>
        <v>0</v>
      </c>
      <c r="L380" s="258">
        <f>IFERROR(__xludf.DUMMYFUNCTION("""COMPUTED_VALUE"""),0.0)</f>
        <v>0</v>
      </c>
      <c r="M380" s="258">
        <f>IFERROR(__xludf.DUMMYFUNCTION("""COMPUTED_VALUE"""),0.0)</f>
        <v>0</v>
      </c>
      <c r="N380" s="258">
        <f>IFERROR(__xludf.DUMMYFUNCTION("""COMPUTED_VALUE"""),0.0)</f>
        <v>0</v>
      </c>
      <c r="O380" s="258">
        <f>IFERROR(__xludf.DUMMYFUNCTION("""COMPUTED_VALUE"""),0.0)</f>
        <v>0</v>
      </c>
      <c r="P380" s="258">
        <f>IFERROR(__xludf.DUMMYFUNCTION("""COMPUTED_VALUE"""),0.0)</f>
        <v>0</v>
      </c>
      <c r="Q380" s="258">
        <f>IFERROR(__xludf.DUMMYFUNCTION("""COMPUTED_VALUE"""),0.0)</f>
        <v>0</v>
      </c>
      <c r="R380" s="259"/>
      <c r="S380" s="260"/>
      <c r="T380" s="261"/>
      <c r="U380" s="262"/>
      <c r="V380" s="250"/>
      <c r="W380" s="250"/>
      <c r="X380" s="250"/>
      <c r="Y380" s="250"/>
      <c r="Z380" s="250"/>
      <c r="AA380" s="250"/>
      <c r="AB380" s="250"/>
      <c r="AC380" s="250"/>
      <c r="AD380" s="250"/>
      <c r="AE380" s="250"/>
      <c r="AF380" s="250"/>
      <c r="AG380" s="250"/>
      <c r="AH380" s="250"/>
      <c r="AI380" s="250"/>
      <c r="AJ380" s="250"/>
      <c r="AK380" s="250"/>
      <c r="AL380" s="250"/>
      <c r="AM380" s="250"/>
      <c r="AN380" s="250"/>
    </row>
    <row r="381" ht="15.75" customHeight="1">
      <c r="A381" s="250"/>
      <c r="B381" s="251">
        <f>IFERROR(__xludf.DUMMYFUNCTION("""COMPUTED_VALUE"""),373.0)</f>
        <v>373</v>
      </c>
      <c r="C381" s="252"/>
      <c r="D381" s="253" t="str">
        <f>IFERROR(__xludf.DUMMYFUNCTION("""COMPUTED_VALUE"""),"")</f>
        <v/>
      </c>
      <c r="E381" s="254">
        <f>IFERROR(__xludf.DUMMYFUNCTION("""COMPUTED_VALUE"""),0.0)</f>
        <v>0</v>
      </c>
      <c r="F381" s="255"/>
      <c r="G381" s="256"/>
      <c r="H381" s="252">
        <f>IFERROR(__xludf.DUMMYFUNCTION("""COMPUTED_VALUE"""),0.0)</f>
        <v>0</v>
      </c>
      <c r="I381" s="258"/>
      <c r="J381" s="258"/>
      <c r="K381" s="257">
        <f>IFERROR(__xludf.DUMMYFUNCTION("""COMPUTED_VALUE"""),0.0)</f>
        <v>0</v>
      </c>
      <c r="L381" s="258">
        <f>IFERROR(__xludf.DUMMYFUNCTION("""COMPUTED_VALUE"""),0.0)</f>
        <v>0</v>
      </c>
      <c r="M381" s="258">
        <f>IFERROR(__xludf.DUMMYFUNCTION("""COMPUTED_VALUE"""),0.0)</f>
        <v>0</v>
      </c>
      <c r="N381" s="258">
        <f>IFERROR(__xludf.DUMMYFUNCTION("""COMPUTED_VALUE"""),0.0)</f>
        <v>0</v>
      </c>
      <c r="O381" s="258">
        <f>IFERROR(__xludf.DUMMYFUNCTION("""COMPUTED_VALUE"""),0.0)</f>
        <v>0</v>
      </c>
      <c r="P381" s="258">
        <f>IFERROR(__xludf.DUMMYFUNCTION("""COMPUTED_VALUE"""),0.0)</f>
        <v>0</v>
      </c>
      <c r="Q381" s="258">
        <f>IFERROR(__xludf.DUMMYFUNCTION("""COMPUTED_VALUE"""),0.0)</f>
        <v>0</v>
      </c>
      <c r="R381" s="259"/>
      <c r="S381" s="260"/>
      <c r="T381" s="261"/>
      <c r="U381" s="262"/>
      <c r="V381" s="250"/>
      <c r="W381" s="250"/>
      <c r="X381" s="250"/>
      <c r="Y381" s="250"/>
      <c r="Z381" s="250"/>
      <c r="AA381" s="250"/>
      <c r="AB381" s="250"/>
      <c r="AC381" s="250"/>
      <c r="AD381" s="250"/>
      <c r="AE381" s="250"/>
      <c r="AF381" s="250"/>
      <c r="AG381" s="250"/>
      <c r="AH381" s="250"/>
      <c r="AI381" s="250"/>
      <c r="AJ381" s="250"/>
      <c r="AK381" s="250"/>
      <c r="AL381" s="250"/>
      <c r="AM381" s="250"/>
      <c r="AN381" s="250"/>
    </row>
    <row r="382" ht="15.75" customHeight="1">
      <c r="A382" s="250"/>
      <c r="B382" s="251">
        <f>IFERROR(__xludf.DUMMYFUNCTION("""COMPUTED_VALUE"""),374.0)</f>
        <v>374</v>
      </c>
      <c r="C382" s="252"/>
      <c r="D382" s="253" t="str">
        <f>IFERROR(__xludf.DUMMYFUNCTION("""COMPUTED_VALUE"""),"")</f>
        <v/>
      </c>
      <c r="E382" s="254">
        <f>IFERROR(__xludf.DUMMYFUNCTION("""COMPUTED_VALUE"""),0.0)</f>
        <v>0</v>
      </c>
      <c r="F382" s="255"/>
      <c r="G382" s="256"/>
      <c r="H382" s="252">
        <f>IFERROR(__xludf.DUMMYFUNCTION("""COMPUTED_VALUE"""),0.0)</f>
        <v>0</v>
      </c>
      <c r="I382" s="258"/>
      <c r="J382" s="258"/>
      <c r="K382" s="257">
        <f>IFERROR(__xludf.DUMMYFUNCTION("""COMPUTED_VALUE"""),0.0)</f>
        <v>0</v>
      </c>
      <c r="L382" s="258">
        <f>IFERROR(__xludf.DUMMYFUNCTION("""COMPUTED_VALUE"""),0.0)</f>
        <v>0</v>
      </c>
      <c r="M382" s="258">
        <f>IFERROR(__xludf.DUMMYFUNCTION("""COMPUTED_VALUE"""),0.0)</f>
        <v>0</v>
      </c>
      <c r="N382" s="258">
        <f>IFERROR(__xludf.DUMMYFUNCTION("""COMPUTED_VALUE"""),0.0)</f>
        <v>0</v>
      </c>
      <c r="O382" s="258">
        <f>IFERROR(__xludf.DUMMYFUNCTION("""COMPUTED_VALUE"""),0.0)</f>
        <v>0</v>
      </c>
      <c r="P382" s="258">
        <f>IFERROR(__xludf.DUMMYFUNCTION("""COMPUTED_VALUE"""),0.0)</f>
        <v>0</v>
      </c>
      <c r="Q382" s="258">
        <f>IFERROR(__xludf.DUMMYFUNCTION("""COMPUTED_VALUE"""),0.0)</f>
        <v>0</v>
      </c>
      <c r="R382" s="259"/>
      <c r="S382" s="260"/>
      <c r="T382" s="261"/>
      <c r="U382" s="262"/>
      <c r="V382" s="250"/>
      <c r="W382" s="250"/>
      <c r="X382" s="250"/>
      <c r="Y382" s="250"/>
      <c r="Z382" s="250"/>
      <c r="AA382" s="250"/>
      <c r="AB382" s="250"/>
      <c r="AC382" s="250"/>
      <c r="AD382" s="250"/>
      <c r="AE382" s="250"/>
      <c r="AF382" s="250"/>
      <c r="AG382" s="250"/>
      <c r="AH382" s="250"/>
      <c r="AI382" s="250"/>
      <c r="AJ382" s="250"/>
      <c r="AK382" s="250"/>
      <c r="AL382" s="250"/>
      <c r="AM382" s="250"/>
      <c r="AN382" s="250"/>
    </row>
    <row r="383" ht="15.75" customHeight="1">
      <c r="A383" s="250"/>
      <c r="B383" s="251">
        <f>IFERROR(__xludf.DUMMYFUNCTION("""COMPUTED_VALUE"""),375.0)</f>
        <v>375</v>
      </c>
      <c r="C383" s="252"/>
      <c r="D383" s="253" t="str">
        <f>IFERROR(__xludf.DUMMYFUNCTION("""COMPUTED_VALUE"""),"")</f>
        <v/>
      </c>
      <c r="E383" s="254">
        <f>IFERROR(__xludf.DUMMYFUNCTION("""COMPUTED_VALUE"""),0.0)</f>
        <v>0</v>
      </c>
      <c r="F383" s="255"/>
      <c r="G383" s="256"/>
      <c r="H383" s="252">
        <f>IFERROR(__xludf.DUMMYFUNCTION("""COMPUTED_VALUE"""),0.0)</f>
        <v>0</v>
      </c>
      <c r="I383" s="258"/>
      <c r="J383" s="258"/>
      <c r="K383" s="257">
        <f>IFERROR(__xludf.DUMMYFUNCTION("""COMPUTED_VALUE"""),0.0)</f>
        <v>0</v>
      </c>
      <c r="L383" s="258">
        <f>IFERROR(__xludf.DUMMYFUNCTION("""COMPUTED_VALUE"""),0.0)</f>
        <v>0</v>
      </c>
      <c r="M383" s="258">
        <f>IFERROR(__xludf.DUMMYFUNCTION("""COMPUTED_VALUE"""),0.0)</f>
        <v>0</v>
      </c>
      <c r="N383" s="258">
        <f>IFERROR(__xludf.DUMMYFUNCTION("""COMPUTED_VALUE"""),0.0)</f>
        <v>0</v>
      </c>
      <c r="O383" s="258">
        <f>IFERROR(__xludf.DUMMYFUNCTION("""COMPUTED_VALUE"""),0.0)</f>
        <v>0</v>
      </c>
      <c r="P383" s="258">
        <f>IFERROR(__xludf.DUMMYFUNCTION("""COMPUTED_VALUE"""),0.0)</f>
        <v>0</v>
      </c>
      <c r="Q383" s="258">
        <f>IFERROR(__xludf.DUMMYFUNCTION("""COMPUTED_VALUE"""),0.0)</f>
        <v>0</v>
      </c>
      <c r="R383" s="259"/>
      <c r="S383" s="260"/>
      <c r="T383" s="261"/>
      <c r="U383" s="262"/>
      <c r="V383" s="250"/>
      <c r="W383" s="250"/>
      <c r="X383" s="250"/>
      <c r="Y383" s="250"/>
      <c r="Z383" s="250"/>
      <c r="AA383" s="250"/>
      <c r="AB383" s="250"/>
      <c r="AC383" s="250"/>
      <c r="AD383" s="250"/>
      <c r="AE383" s="250"/>
      <c r="AF383" s="250"/>
      <c r="AG383" s="250"/>
      <c r="AH383" s="250"/>
      <c r="AI383" s="250"/>
      <c r="AJ383" s="250"/>
      <c r="AK383" s="250"/>
      <c r="AL383" s="250"/>
      <c r="AM383" s="250"/>
      <c r="AN383" s="250"/>
    </row>
    <row r="384" ht="15.75" customHeight="1">
      <c r="A384" s="250"/>
      <c r="B384" s="251">
        <f>IFERROR(__xludf.DUMMYFUNCTION("""COMPUTED_VALUE"""),376.0)</f>
        <v>376</v>
      </c>
      <c r="C384" s="252"/>
      <c r="D384" s="253" t="str">
        <f>IFERROR(__xludf.DUMMYFUNCTION("""COMPUTED_VALUE"""),"")</f>
        <v/>
      </c>
      <c r="E384" s="254">
        <f>IFERROR(__xludf.DUMMYFUNCTION("""COMPUTED_VALUE"""),0.0)</f>
        <v>0</v>
      </c>
      <c r="F384" s="255"/>
      <c r="G384" s="256"/>
      <c r="H384" s="252">
        <f>IFERROR(__xludf.DUMMYFUNCTION("""COMPUTED_VALUE"""),0.0)</f>
        <v>0</v>
      </c>
      <c r="I384" s="258"/>
      <c r="J384" s="258"/>
      <c r="K384" s="257">
        <f>IFERROR(__xludf.DUMMYFUNCTION("""COMPUTED_VALUE"""),0.0)</f>
        <v>0</v>
      </c>
      <c r="L384" s="258">
        <f>IFERROR(__xludf.DUMMYFUNCTION("""COMPUTED_VALUE"""),0.0)</f>
        <v>0</v>
      </c>
      <c r="M384" s="258">
        <f>IFERROR(__xludf.DUMMYFUNCTION("""COMPUTED_VALUE"""),0.0)</f>
        <v>0</v>
      </c>
      <c r="N384" s="258">
        <f>IFERROR(__xludf.DUMMYFUNCTION("""COMPUTED_VALUE"""),0.0)</f>
        <v>0</v>
      </c>
      <c r="O384" s="258">
        <f>IFERROR(__xludf.DUMMYFUNCTION("""COMPUTED_VALUE"""),0.0)</f>
        <v>0</v>
      </c>
      <c r="P384" s="258">
        <f>IFERROR(__xludf.DUMMYFUNCTION("""COMPUTED_VALUE"""),0.0)</f>
        <v>0</v>
      </c>
      <c r="Q384" s="258">
        <f>IFERROR(__xludf.DUMMYFUNCTION("""COMPUTED_VALUE"""),0.0)</f>
        <v>0</v>
      </c>
      <c r="R384" s="259"/>
      <c r="S384" s="260"/>
      <c r="T384" s="261"/>
      <c r="U384" s="262"/>
      <c r="V384" s="250"/>
      <c r="W384" s="250"/>
      <c r="X384" s="250"/>
      <c r="Y384" s="250"/>
      <c r="Z384" s="250"/>
      <c r="AA384" s="250"/>
      <c r="AB384" s="250"/>
      <c r="AC384" s="250"/>
      <c r="AD384" s="250"/>
      <c r="AE384" s="250"/>
      <c r="AF384" s="250"/>
      <c r="AG384" s="250"/>
      <c r="AH384" s="250"/>
      <c r="AI384" s="250"/>
      <c r="AJ384" s="250"/>
      <c r="AK384" s="250"/>
      <c r="AL384" s="250"/>
      <c r="AM384" s="250"/>
      <c r="AN384" s="250"/>
    </row>
    <row r="385" ht="15.75" customHeight="1">
      <c r="A385" s="250"/>
      <c r="B385" s="251">
        <f>IFERROR(__xludf.DUMMYFUNCTION("""COMPUTED_VALUE"""),377.0)</f>
        <v>377</v>
      </c>
      <c r="C385" s="252"/>
      <c r="D385" s="253" t="str">
        <f>IFERROR(__xludf.DUMMYFUNCTION("""COMPUTED_VALUE"""),"")</f>
        <v/>
      </c>
      <c r="E385" s="254">
        <f>IFERROR(__xludf.DUMMYFUNCTION("""COMPUTED_VALUE"""),0.0)</f>
        <v>0</v>
      </c>
      <c r="F385" s="255"/>
      <c r="G385" s="256"/>
      <c r="H385" s="252">
        <f>IFERROR(__xludf.DUMMYFUNCTION("""COMPUTED_VALUE"""),0.0)</f>
        <v>0</v>
      </c>
      <c r="I385" s="258"/>
      <c r="J385" s="258"/>
      <c r="K385" s="257">
        <f>IFERROR(__xludf.DUMMYFUNCTION("""COMPUTED_VALUE"""),0.0)</f>
        <v>0</v>
      </c>
      <c r="L385" s="258">
        <f>IFERROR(__xludf.DUMMYFUNCTION("""COMPUTED_VALUE"""),0.0)</f>
        <v>0</v>
      </c>
      <c r="M385" s="258">
        <f>IFERROR(__xludf.DUMMYFUNCTION("""COMPUTED_VALUE"""),0.0)</f>
        <v>0</v>
      </c>
      <c r="N385" s="258">
        <f>IFERROR(__xludf.DUMMYFUNCTION("""COMPUTED_VALUE"""),0.0)</f>
        <v>0</v>
      </c>
      <c r="O385" s="258">
        <f>IFERROR(__xludf.DUMMYFUNCTION("""COMPUTED_VALUE"""),0.0)</f>
        <v>0</v>
      </c>
      <c r="P385" s="258">
        <f>IFERROR(__xludf.DUMMYFUNCTION("""COMPUTED_VALUE"""),0.0)</f>
        <v>0</v>
      </c>
      <c r="Q385" s="258">
        <f>IFERROR(__xludf.DUMMYFUNCTION("""COMPUTED_VALUE"""),0.0)</f>
        <v>0</v>
      </c>
      <c r="R385" s="259"/>
      <c r="S385" s="260"/>
      <c r="T385" s="261"/>
      <c r="U385" s="262"/>
      <c r="V385" s="250"/>
      <c r="W385" s="250"/>
      <c r="X385" s="250"/>
      <c r="Y385" s="250"/>
      <c r="Z385" s="250"/>
      <c r="AA385" s="250"/>
      <c r="AB385" s="250"/>
      <c r="AC385" s="250"/>
      <c r="AD385" s="250"/>
      <c r="AE385" s="250"/>
      <c r="AF385" s="250"/>
      <c r="AG385" s="250"/>
      <c r="AH385" s="250"/>
      <c r="AI385" s="250"/>
      <c r="AJ385" s="250"/>
      <c r="AK385" s="250"/>
      <c r="AL385" s="250"/>
      <c r="AM385" s="250"/>
      <c r="AN385" s="250"/>
    </row>
    <row r="386" ht="15.75" customHeight="1">
      <c r="A386" s="250"/>
      <c r="B386" s="251">
        <f>IFERROR(__xludf.DUMMYFUNCTION("""COMPUTED_VALUE"""),378.0)</f>
        <v>378</v>
      </c>
      <c r="C386" s="252"/>
      <c r="D386" s="253" t="str">
        <f>IFERROR(__xludf.DUMMYFUNCTION("""COMPUTED_VALUE"""),"")</f>
        <v/>
      </c>
      <c r="E386" s="254">
        <f>IFERROR(__xludf.DUMMYFUNCTION("""COMPUTED_VALUE"""),0.0)</f>
        <v>0</v>
      </c>
      <c r="F386" s="255"/>
      <c r="G386" s="256"/>
      <c r="H386" s="252">
        <f>IFERROR(__xludf.DUMMYFUNCTION("""COMPUTED_VALUE"""),0.0)</f>
        <v>0</v>
      </c>
      <c r="I386" s="258"/>
      <c r="J386" s="258"/>
      <c r="K386" s="257">
        <f>IFERROR(__xludf.DUMMYFUNCTION("""COMPUTED_VALUE"""),0.0)</f>
        <v>0</v>
      </c>
      <c r="L386" s="258">
        <f>IFERROR(__xludf.DUMMYFUNCTION("""COMPUTED_VALUE"""),0.0)</f>
        <v>0</v>
      </c>
      <c r="M386" s="258">
        <f>IFERROR(__xludf.DUMMYFUNCTION("""COMPUTED_VALUE"""),0.0)</f>
        <v>0</v>
      </c>
      <c r="N386" s="258">
        <f>IFERROR(__xludf.DUMMYFUNCTION("""COMPUTED_VALUE"""),0.0)</f>
        <v>0</v>
      </c>
      <c r="O386" s="258">
        <f>IFERROR(__xludf.DUMMYFUNCTION("""COMPUTED_VALUE"""),0.0)</f>
        <v>0</v>
      </c>
      <c r="P386" s="258">
        <f>IFERROR(__xludf.DUMMYFUNCTION("""COMPUTED_VALUE"""),0.0)</f>
        <v>0</v>
      </c>
      <c r="Q386" s="258">
        <f>IFERROR(__xludf.DUMMYFUNCTION("""COMPUTED_VALUE"""),0.0)</f>
        <v>0</v>
      </c>
      <c r="R386" s="259"/>
      <c r="S386" s="260"/>
      <c r="T386" s="261"/>
      <c r="U386" s="262"/>
      <c r="V386" s="250"/>
      <c r="W386" s="250"/>
      <c r="X386" s="250"/>
      <c r="Y386" s="250"/>
      <c r="Z386" s="250"/>
      <c r="AA386" s="250"/>
      <c r="AB386" s="250"/>
      <c r="AC386" s="250"/>
      <c r="AD386" s="250"/>
      <c r="AE386" s="250"/>
      <c r="AF386" s="250"/>
      <c r="AG386" s="250"/>
      <c r="AH386" s="250"/>
      <c r="AI386" s="250"/>
      <c r="AJ386" s="250"/>
      <c r="AK386" s="250"/>
      <c r="AL386" s="250"/>
      <c r="AM386" s="250"/>
      <c r="AN386" s="250"/>
    </row>
    <row r="387" ht="15.75" customHeight="1">
      <c r="A387" s="250"/>
      <c r="B387" s="251">
        <f>IFERROR(__xludf.DUMMYFUNCTION("""COMPUTED_VALUE"""),379.0)</f>
        <v>379</v>
      </c>
      <c r="C387" s="252"/>
      <c r="D387" s="253" t="str">
        <f>IFERROR(__xludf.DUMMYFUNCTION("""COMPUTED_VALUE"""),"")</f>
        <v/>
      </c>
      <c r="E387" s="254">
        <f>IFERROR(__xludf.DUMMYFUNCTION("""COMPUTED_VALUE"""),0.0)</f>
        <v>0</v>
      </c>
      <c r="F387" s="255"/>
      <c r="G387" s="256"/>
      <c r="H387" s="252">
        <f>IFERROR(__xludf.DUMMYFUNCTION("""COMPUTED_VALUE"""),0.0)</f>
        <v>0</v>
      </c>
      <c r="I387" s="258"/>
      <c r="J387" s="258"/>
      <c r="K387" s="257">
        <f>IFERROR(__xludf.DUMMYFUNCTION("""COMPUTED_VALUE"""),0.0)</f>
        <v>0</v>
      </c>
      <c r="L387" s="258">
        <f>IFERROR(__xludf.DUMMYFUNCTION("""COMPUTED_VALUE"""),0.0)</f>
        <v>0</v>
      </c>
      <c r="M387" s="258">
        <f>IFERROR(__xludf.DUMMYFUNCTION("""COMPUTED_VALUE"""),0.0)</f>
        <v>0</v>
      </c>
      <c r="N387" s="258">
        <f>IFERROR(__xludf.DUMMYFUNCTION("""COMPUTED_VALUE"""),0.0)</f>
        <v>0</v>
      </c>
      <c r="O387" s="258">
        <f>IFERROR(__xludf.DUMMYFUNCTION("""COMPUTED_VALUE"""),0.0)</f>
        <v>0</v>
      </c>
      <c r="P387" s="258">
        <f>IFERROR(__xludf.DUMMYFUNCTION("""COMPUTED_VALUE"""),0.0)</f>
        <v>0</v>
      </c>
      <c r="Q387" s="258">
        <f>IFERROR(__xludf.DUMMYFUNCTION("""COMPUTED_VALUE"""),0.0)</f>
        <v>0</v>
      </c>
      <c r="R387" s="259"/>
      <c r="S387" s="260"/>
      <c r="T387" s="261"/>
      <c r="U387" s="262"/>
      <c r="V387" s="250"/>
      <c r="W387" s="250"/>
      <c r="X387" s="250"/>
      <c r="Y387" s="250"/>
      <c r="Z387" s="250"/>
      <c r="AA387" s="250"/>
      <c r="AB387" s="250"/>
      <c r="AC387" s="250"/>
      <c r="AD387" s="250"/>
      <c r="AE387" s="250"/>
      <c r="AF387" s="250"/>
      <c r="AG387" s="250"/>
      <c r="AH387" s="250"/>
      <c r="AI387" s="250"/>
      <c r="AJ387" s="250"/>
      <c r="AK387" s="250"/>
      <c r="AL387" s="250"/>
      <c r="AM387" s="250"/>
      <c r="AN387" s="250"/>
    </row>
    <row r="388" ht="15.75" customHeight="1">
      <c r="A388" s="250"/>
      <c r="B388" s="251">
        <f>IFERROR(__xludf.DUMMYFUNCTION("""COMPUTED_VALUE"""),380.0)</f>
        <v>380</v>
      </c>
      <c r="C388" s="252"/>
      <c r="D388" s="253" t="str">
        <f>IFERROR(__xludf.DUMMYFUNCTION("""COMPUTED_VALUE"""),"")</f>
        <v/>
      </c>
      <c r="E388" s="254">
        <f>IFERROR(__xludf.DUMMYFUNCTION("""COMPUTED_VALUE"""),0.0)</f>
        <v>0</v>
      </c>
      <c r="F388" s="255"/>
      <c r="G388" s="256"/>
      <c r="H388" s="252">
        <f>IFERROR(__xludf.DUMMYFUNCTION("""COMPUTED_VALUE"""),0.0)</f>
        <v>0</v>
      </c>
      <c r="I388" s="258"/>
      <c r="J388" s="258"/>
      <c r="K388" s="257">
        <f>IFERROR(__xludf.DUMMYFUNCTION("""COMPUTED_VALUE"""),0.0)</f>
        <v>0</v>
      </c>
      <c r="L388" s="258">
        <f>IFERROR(__xludf.DUMMYFUNCTION("""COMPUTED_VALUE"""),0.0)</f>
        <v>0</v>
      </c>
      <c r="M388" s="258">
        <f>IFERROR(__xludf.DUMMYFUNCTION("""COMPUTED_VALUE"""),0.0)</f>
        <v>0</v>
      </c>
      <c r="N388" s="258">
        <f>IFERROR(__xludf.DUMMYFUNCTION("""COMPUTED_VALUE"""),0.0)</f>
        <v>0</v>
      </c>
      <c r="O388" s="258">
        <f>IFERROR(__xludf.DUMMYFUNCTION("""COMPUTED_VALUE"""),0.0)</f>
        <v>0</v>
      </c>
      <c r="P388" s="258">
        <f>IFERROR(__xludf.DUMMYFUNCTION("""COMPUTED_VALUE"""),0.0)</f>
        <v>0</v>
      </c>
      <c r="Q388" s="258">
        <f>IFERROR(__xludf.DUMMYFUNCTION("""COMPUTED_VALUE"""),0.0)</f>
        <v>0</v>
      </c>
      <c r="R388" s="259"/>
      <c r="S388" s="260"/>
      <c r="T388" s="261"/>
      <c r="U388" s="262"/>
      <c r="V388" s="250"/>
      <c r="W388" s="250"/>
      <c r="X388" s="250"/>
      <c r="Y388" s="250"/>
      <c r="Z388" s="250"/>
      <c r="AA388" s="250"/>
      <c r="AB388" s="250"/>
      <c r="AC388" s="250"/>
      <c r="AD388" s="250"/>
      <c r="AE388" s="250"/>
      <c r="AF388" s="250"/>
      <c r="AG388" s="250"/>
      <c r="AH388" s="250"/>
      <c r="AI388" s="250"/>
      <c r="AJ388" s="250"/>
      <c r="AK388" s="250"/>
      <c r="AL388" s="250"/>
      <c r="AM388" s="250"/>
      <c r="AN388" s="250"/>
    </row>
    <row r="389" ht="15.75" customHeight="1">
      <c r="A389" s="250"/>
      <c r="B389" s="251">
        <f>IFERROR(__xludf.DUMMYFUNCTION("""COMPUTED_VALUE"""),381.0)</f>
        <v>381</v>
      </c>
      <c r="C389" s="252"/>
      <c r="D389" s="253" t="str">
        <f>IFERROR(__xludf.DUMMYFUNCTION("""COMPUTED_VALUE"""),"")</f>
        <v/>
      </c>
      <c r="E389" s="254">
        <f>IFERROR(__xludf.DUMMYFUNCTION("""COMPUTED_VALUE"""),0.0)</f>
        <v>0</v>
      </c>
      <c r="F389" s="255"/>
      <c r="G389" s="256"/>
      <c r="H389" s="252">
        <f>IFERROR(__xludf.DUMMYFUNCTION("""COMPUTED_VALUE"""),0.0)</f>
        <v>0</v>
      </c>
      <c r="I389" s="258"/>
      <c r="J389" s="258"/>
      <c r="K389" s="257">
        <f>IFERROR(__xludf.DUMMYFUNCTION("""COMPUTED_VALUE"""),0.0)</f>
        <v>0</v>
      </c>
      <c r="L389" s="258">
        <f>IFERROR(__xludf.DUMMYFUNCTION("""COMPUTED_VALUE"""),0.0)</f>
        <v>0</v>
      </c>
      <c r="M389" s="258">
        <f>IFERROR(__xludf.DUMMYFUNCTION("""COMPUTED_VALUE"""),0.0)</f>
        <v>0</v>
      </c>
      <c r="N389" s="258">
        <f>IFERROR(__xludf.DUMMYFUNCTION("""COMPUTED_VALUE"""),0.0)</f>
        <v>0</v>
      </c>
      <c r="O389" s="258">
        <f>IFERROR(__xludf.DUMMYFUNCTION("""COMPUTED_VALUE"""),0.0)</f>
        <v>0</v>
      </c>
      <c r="P389" s="258">
        <f>IFERROR(__xludf.DUMMYFUNCTION("""COMPUTED_VALUE"""),0.0)</f>
        <v>0</v>
      </c>
      <c r="Q389" s="258">
        <f>IFERROR(__xludf.DUMMYFUNCTION("""COMPUTED_VALUE"""),0.0)</f>
        <v>0</v>
      </c>
      <c r="R389" s="259"/>
      <c r="S389" s="260"/>
      <c r="T389" s="261"/>
      <c r="U389" s="262"/>
      <c r="V389" s="250"/>
      <c r="W389" s="250"/>
      <c r="X389" s="250"/>
      <c r="Y389" s="250"/>
      <c r="Z389" s="250"/>
      <c r="AA389" s="250"/>
      <c r="AB389" s="250"/>
      <c r="AC389" s="250"/>
      <c r="AD389" s="250"/>
      <c r="AE389" s="250"/>
      <c r="AF389" s="250"/>
      <c r="AG389" s="250"/>
      <c r="AH389" s="250"/>
      <c r="AI389" s="250"/>
      <c r="AJ389" s="250"/>
      <c r="AK389" s="250"/>
      <c r="AL389" s="250"/>
      <c r="AM389" s="250"/>
      <c r="AN389" s="250"/>
    </row>
    <row r="390" ht="15.75" customHeight="1">
      <c r="A390" s="250"/>
      <c r="B390" s="251">
        <f>IFERROR(__xludf.DUMMYFUNCTION("""COMPUTED_VALUE"""),382.0)</f>
        <v>382</v>
      </c>
      <c r="C390" s="252"/>
      <c r="D390" s="253" t="str">
        <f>IFERROR(__xludf.DUMMYFUNCTION("""COMPUTED_VALUE"""),"")</f>
        <v/>
      </c>
      <c r="E390" s="254">
        <f>IFERROR(__xludf.DUMMYFUNCTION("""COMPUTED_VALUE"""),0.0)</f>
        <v>0</v>
      </c>
      <c r="F390" s="255"/>
      <c r="G390" s="256"/>
      <c r="H390" s="252">
        <f>IFERROR(__xludf.DUMMYFUNCTION("""COMPUTED_VALUE"""),0.0)</f>
        <v>0</v>
      </c>
      <c r="I390" s="258"/>
      <c r="J390" s="258"/>
      <c r="K390" s="257">
        <f>IFERROR(__xludf.DUMMYFUNCTION("""COMPUTED_VALUE"""),0.0)</f>
        <v>0</v>
      </c>
      <c r="L390" s="258">
        <f>IFERROR(__xludf.DUMMYFUNCTION("""COMPUTED_VALUE"""),0.0)</f>
        <v>0</v>
      </c>
      <c r="M390" s="258">
        <f>IFERROR(__xludf.DUMMYFUNCTION("""COMPUTED_VALUE"""),0.0)</f>
        <v>0</v>
      </c>
      <c r="N390" s="258">
        <f>IFERROR(__xludf.DUMMYFUNCTION("""COMPUTED_VALUE"""),0.0)</f>
        <v>0</v>
      </c>
      <c r="O390" s="258">
        <f>IFERROR(__xludf.DUMMYFUNCTION("""COMPUTED_VALUE"""),0.0)</f>
        <v>0</v>
      </c>
      <c r="P390" s="258">
        <f>IFERROR(__xludf.DUMMYFUNCTION("""COMPUTED_VALUE"""),0.0)</f>
        <v>0</v>
      </c>
      <c r="Q390" s="258">
        <f>IFERROR(__xludf.DUMMYFUNCTION("""COMPUTED_VALUE"""),0.0)</f>
        <v>0</v>
      </c>
      <c r="R390" s="259"/>
      <c r="S390" s="260"/>
      <c r="T390" s="261"/>
      <c r="U390" s="262"/>
      <c r="V390" s="250"/>
      <c r="W390" s="250"/>
      <c r="X390" s="250"/>
      <c r="Y390" s="250"/>
      <c r="Z390" s="250"/>
      <c r="AA390" s="250"/>
      <c r="AB390" s="250"/>
      <c r="AC390" s="250"/>
      <c r="AD390" s="250"/>
      <c r="AE390" s="250"/>
      <c r="AF390" s="250"/>
      <c r="AG390" s="250"/>
      <c r="AH390" s="250"/>
      <c r="AI390" s="250"/>
      <c r="AJ390" s="250"/>
      <c r="AK390" s="250"/>
      <c r="AL390" s="250"/>
      <c r="AM390" s="250"/>
      <c r="AN390" s="250"/>
    </row>
    <row r="391" ht="15.75" customHeight="1">
      <c r="A391" s="250"/>
      <c r="B391" s="251">
        <f>IFERROR(__xludf.DUMMYFUNCTION("""COMPUTED_VALUE"""),383.0)</f>
        <v>383</v>
      </c>
      <c r="C391" s="252"/>
      <c r="D391" s="253" t="str">
        <f>IFERROR(__xludf.DUMMYFUNCTION("""COMPUTED_VALUE"""),"")</f>
        <v/>
      </c>
      <c r="E391" s="254">
        <f>IFERROR(__xludf.DUMMYFUNCTION("""COMPUTED_VALUE"""),0.0)</f>
        <v>0</v>
      </c>
      <c r="F391" s="255"/>
      <c r="G391" s="256"/>
      <c r="H391" s="252">
        <f>IFERROR(__xludf.DUMMYFUNCTION("""COMPUTED_VALUE"""),0.0)</f>
        <v>0</v>
      </c>
      <c r="I391" s="258"/>
      <c r="J391" s="258"/>
      <c r="K391" s="257">
        <f>IFERROR(__xludf.DUMMYFUNCTION("""COMPUTED_VALUE"""),0.0)</f>
        <v>0</v>
      </c>
      <c r="L391" s="258">
        <f>IFERROR(__xludf.DUMMYFUNCTION("""COMPUTED_VALUE"""),0.0)</f>
        <v>0</v>
      </c>
      <c r="M391" s="258">
        <f>IFERROR(__xludf.DUMMYFUNCTION("""COMPUTED_VALUE"""),0.0)</f>
        <v>0</v>
      </c>
      <c r="N391" s="258">
        <f>IFERROR(__xludf.DUMMYFUNCTION("""COMPUTED_VALUE"""),0.0)</f>
        <v>0</v>
      </c>
      <c r="O391" s="258">
        <f>IFERROR(__xludf.DUMMYFUNCTION("""COMPUTED_VALUE"""),0.0)</f>
        <v>0</v>
      </c>
      <c r="P391" s="258">
        <f>IFERROR(__xludf.DUMMYFUNCTION("""COMPUTED_VALUE"""),0.0)</f>
        <v>0</v>
      </c>
      <c r="Q391" s="258">
        <f>IFERROR(__xludf.DUMMYFUNCTION("""COMPUTED_VALUE"""),0.0)</f>
        <v>0</v>
      </c>
      <c r="R391" s="259"/>
      <c r="S391" s="260"/>
      <c r="T391" s="261"/>
      <c r="U391" s="262"/>
      <c r="V391" s="250"/>
      <c r="W391" s="250"/>
      <c r="X391" s="250"/>
      <c r="Y391" s="250"/>
      <c r="Z391" s="250"/>
      <c r="AA391" s="250"/>
      <c r="AB391" s="250"/>
      <c r="AC391" s="250"/>
      <c r="AD391" s="250"/>
      <c r="AE391" s="250"/>
      <c r="AF391" s="250"/>
      <c r="AG391" s="250"/>
      <c r="AH391" s="250"/>
      <c r="AI391" s="250"/>
      <c r="AJ391" s="250"/>
      <c r="AK391" s="250"/>
      <c r="AL391" s="250"/>
      <c r="AM391" s="250"/>
      <c r="AN391" s="250"/>
    </row>
    <row r="392" ht="15.75" customHeight="1">
      <c r="A392" s="250"/>
      <c r="B392" s="251">
        <f>IFERROR(__xludf.DUMMYFUNCTION("""COMPUTED_VALUE"""),384.0)</f>
        <v>384</v>
      </c>
      <c r="C392" s="252"/>
      <c r="D392" s="253" t="str">
        <f>IFERROR(__xludf.DUMMYFUNCTION("""COMPUTED_VALUE"""),"")</f>
        <v/>
      </c>
      <c r="E392" s="254">
        <f>IFERROR(__xludf.DUMMYFUNCTION("""COMPUTED_VALUE"""),0.0)</f>
        <v>0</v>
      </c>
      <c r="F392" s="255"/>
      <c r="G392" s="256"/>
      <c r="H392" s="252">
        <f>IFERROR(__xludf.DUMMYFUNCTION("""COMPUTED_VALUE"""),0.0)</f>
        <v>0</v>
      </c>
      <c r="I392" s="258"/>
      <c r="J392" s="258"/>
      <c r="K392" s="257">
        <f>IFERROR(__xludf.DUMMYFUNCTION("""COMPUTED_VALUE"""),0.0)</f>
        <v>0</v>
      </c>
      <c r="L392" s="258">
        <f>IFERROR(__xludf.DUMMYFUNCTION("""COMPUTED_VALUE"""),0.0)</f>
        <v>0</v>
      </c>
      <c r="M392" s="258">
        <f>IFERROR(__xludf.DUMMYFUNCTION("""COMPUTED_VALUE"""),0.0)</f>
        <v>0</v>
      </c>
      <c r="N392" s="258">
        <f>IFERROR(__xludf.DUMMYFUNCTION("""COMPUTED_VALUE"""),0.0)</f>
        <v>0</v>
      </c>
      <c r="O392" s="258">
        <f>IFERROR(__xludf.DUMMYFUNCTION("""COMPUTED_VALUE"""),0.0)</f>
        <v>0</v>
      </c>
      <c r="P392" s="258">
        <f>IFERROR(__xludf.DUMMYFUNCTION("""COMPUTED_VALUE"""),0.0)</f>
        <v>0</v>
      </c>
      <c r="Q392" s="258">
        <f>IFERROR(__xludf.DUMMYFUNCTION("""COMPUTED_VALUE"""),0.0)</f>
        <v>0</v>
      </c>
      <c r="R392" s="259"/>
      <c r="S392" s="260"/>
      <c r="T392" s="261"/>
      <c r="U392" s="262"/>
      <c r="V392" s="250"/>
      <c r="W392" s="250"/>
      <c r="X392" s="250"/>
      <c r="Y392" s="250"/>
      <c r="Z392" s="250"/>
      <c r="AA392" s="250"/>
      <c r="AB392" s="250"/>
      <c r="AC392" s="250"/>
      <c r="AD392" s="250"/>
      <c r="AE392" s="250"/>
      <c r="AF392" s="250"/>
      <c r="AG392" s="250"/>
      <c r="AH392" s="250"/>
      <c r="AI392" s="250"/>
      <c r="AJ392" s="250"/>
      <c r="AK392" s="250"/>
      <c r="AL392" s="250"/>
      <c r="AM392" s="250"/>
      <c r="AN392" s="250"/>
    </row>
    <row r="393" ht="15.75" customHeight="1">
      <c r="A393" s="250"/>
      <c r="B393" s="251">
        <f>IFERROR(__xludf.DUMMYFUNCTION("""COMPUTED_VALUE"""),385.0)</f>
        <v>385</v>
      </c>
      <c r="C393" s="252"/>
      <c r="D393" s="253" t="str">
        <f>IFERROR(__xludf.DUMMYFUNCTION("""COMPUTED_VALUE"""),"")</f>
        <v/>
      </c>
      <c r="E393" s="254">
        <f>IFERROR(__xludf.DUMMYFUNCTION("""COMPUTED_VALUE"""),0.0)</f>
        <v>0</v>
      </c>
      <c r="F393" s="255"/>
      <c r="G393" s="256"/>
      <c r="H393" s="252">
        <f>IFERROR(__xludf.DUMMYFUNCTION("""COMPUTED_VALUE"""),0.0)</f>
        <v>0</v>
      </c>
      <c r="I393" s="258"/>
      <c r="J393" s="258"/>
      <c r="K393" s="257">
        <f>IFERROR(__xludf.DUMMYFUNCTION("""COMPUTED_VALUE"""),0.0)</f>
        <v>0</v>
      </c>
      <c r="L393" s="258">
        <f>IFERROR(__xludf.DUMMYFUNCTION("""COMPUTED_VALUE"""),0.0)</f>
        <v>0</v>
      </c>
      <c r="M393" s="258">
        <f>IFERROR(__xludf.DUMMYFUNCTION("""COMPUTED_VALUE"""),0.0)</f>
        <v>0</v>
      </c>
      <c r="N393" s="258">
        <f>IFERROR(__xludf.DUMMYFUNCTION("""COMPUTED_VALUE"""),0.0)</f>
        <v>0</v>
      </c>
      <c r="O393" s="258">
        <f>IFERROR(__xludf.DUMMYFUNCTION("""COMPUTED_VALUE"""),0.0)</f>
        <v>0</v>
      </c>
      <c r="P393" s="258">
        <f>IFERROR(__xludf.DUMMYFUNCTION("""COMPUTED_VALUE"""),0.0)</f>
        <v>0</v>
      </c>
      <c r="Q393" s="258">
        <f>IFERROR(__xludf.DUMMYFUNCTION("""COMPUTED_VALUE"""),0.0)</f>
        <v>0</v>
      </c>
      <c r="R393" s="259"/>
      <c r="S393" s="260"/>
      <c r="T393" s="261"/>
      <c r="U393" s="262"/>
      <c r="V393" s="250"/>
      <c r="W393" s="250"/>
      <c r="X393" s="250"/>
      <c r="Y393" s="250"/>
      <c r="Z393" s="250"/>
      <c r="AA393" s="250"/>
      <c r="AB393" s="250"/>
      <c r="AC393" s="250"/>
      <c r="AD393" s="250"/>
      <c r="AE393" s="250"/>
      <c r="AF393" s="250"/>
      <c r="AG393" s="250"/>
      <c r="AH393" s="250"/>
      <c r="AI393" s="250"/>
      <c r="AJ393" s="250"/>
      <c r="AK393" s="250"/>
      <c r="AL393" s="250"/>
      <c r="AM393" s="250"/>
      <c r="AN393" s="250"/>
    </row>
    <row r="394" ht="15.75" customHeight="1">
      <c r="A394" s="250"/>
      <c r="B394" s="251">
        <f>IFERROR(__xludf.DUMMYFUNCTION("""COMPUTED_VALUE"""),386.0)</f>
        <v>386</v>
      </c>
      <c r="C394" s="252"/>
      <c r="D394" s="253" t="str">
        <f>IFERROR(__xludf.DUMMYFUNCTION("""COMPUTED_VALUE"""),"")</f>
        <v/>
      </c>
      <c r="E394" s="254">
        <f>IFERROR(__xludf.DUMMYFUNCTION("""COMPUTED_VALUE"""),0.0)</f>
        <v>0</v>
      </c>
      <c r="F394" s="255"/>
      <c r="G394" s="256"/>
      <c r="H394" s="252">
        <f>IFERROR(__xludf.DUMMYFUNCTION("""COMPUTED_VALUE"""),0.0)</f>
        <v>0</v>
      </c>
      <c r="I394" s="258"/>
      <c r="J394" s="258"/>
      <c r="K394" s="257">
        <f>IFERROR(__xludf.DUMMYFUNCTION("""COMPUTED_VALUE"""),0.0)</f>
        <v>0</v>
      </c>
      <c r="L394" s="258">
        <f>IFERROR(__xludf.DUMMYFUNCTION("""COMPUTED_VALUE"""),0.0)</f>
        <v>0</v>
      </c>
      <c r="M394" s="258">
        <f>IFERROR(__xludf.DUMMYFUNCTION("""COMPUTED_VALUE"""),0.0)</f>
        <v>0</v>
      </c>
      <c r="N394" s="258">
        <f>IFERROR(__xludf.DUMMYFUNCTION("""COMPUTED_VALUE"""),0.0)</f>
        <v>0</v>
      </c>
      <c r="O394" s="258">
        <f>IFERROR(__xludf.DUMMYFUNCTION("""COMPUTED_VALUE"""),0.0)</f>
        <v>0</v>
      </c>
      <c r="P394" s="258">
        <f>IFERROR(__xludf.DUMMYFUNCTION("""COMPUTED_VALUE"""),0.0)</f>
        <v>0</v>
      </c>
      <c r="Q394" s="258">
        <f>IFERROR(__xludf.DUMMYFUNCTION("""COMPUTED_VALUE"""),0.0)</f>
        <v>0</v>
      </c>
      <c r="R394" s="259"/>
      <c r="S394" s="260"/>
      <c r="T394" s="261"/>
      <c r="U394" s="262"/>
      <c r="V394" s="250"/>
      <c r="W394" s="250"/>
      <c r="X394" s="250"/>
      <c r="Y394" s="250"/>
      <c r="Z394" s="250"/>
      <c r="AA394" s="250"/>
      <c r="AB394" s="250"/>
      <c r="AC394" s="250"/>
      <c r="AD394" s="250"/>
      <c r="AE394" s="250"/>
      <c r="AF394" s="250"/>
      <c r="AG394" s="250"/>
      <c r="AH394" s="250"/>
      <c r="AI394" s="250"/>
      <c r="AJ394" s="250"/>
      <c r="AK394" s="250"/>
      <c r="AL394" s="250"/>
      <c r="AM394" s="250"/>
      <c r="AN394" s="250"/>
    </row>
    <row r="395" ht="15.75" customHeight="1">
      <c r="A395" s="250"/>
      <c r="B395" s="251">
        <f>IFERROR(__xludf.DUMMYFUNCTION("""COMPUTED_VALUE"""),387.0)</f>
        <v>387</v>
      </c>
      <c r="C395" s="252"/>
      <c r="D395" s="253" t="str">
        <f>IFERROR(__xludf.DUMMYFUNCTION("""COMPUTED_VALUE"""),"")</f>
        <v/>
      </c>
      <c r="E395" s="254">
        <f>IFERROR(__xludf.DUMMYFUNCTION("""COMPUTED_VALUE"""),0.0)</f>
        <v>0</v>
      </c>
      <c r="F395" s="255"/>
      <c r="G395" s="256"/>
      <c r="H395" s="252">
        <f>IFERROR(__xludf.DUMMYFUNCTION("""COMPUTED_VALUE"""),0.0)</f>
        <v>0</v>
      </c>
      <c r="I395" s="258"/>
      <c r="J395" s="258"/>
      <c r="K395" s="257">
        <f>IFERROR(__xludf.DUMMYFUNCTION("""COMPUTED_VALUE"""),0.0)</f>
        <v>0</v>
      </c>
      <c r="L395" s="258">
        <f>IFERROR(__xludf.DUMMYFUNCTION("""COMPUTED_VALUE"""),0.0)</f>
        <v>0</v>
      </c>
      <c r="M395" s="258">
        <f>IFERROR(__xludf.DUMMYFUNCTION("""COMPUTED_VALUE"""),0.0)</f>
        <v>0</v>
      </c>
      <c r="N395" s="258">
        <f>IFERROR(__xludf.DUMMYFUNCTION("""COMPUTED_VALUE"""),0.0)</f>
        <v>0</v>
      </c>
      <c r="O395" s="258">
        <f>IFERROR(__xludf.DUMMYFUNCTION("""COMPUTED_VALUE"""),0.0)</f>
        <v>0</v>
      </c>
      <c r="P395" s="258">
        <f>IFERROR(__xludf.DUMMYFUNCTION("""COMPUTED_VALUE"""),0.0)</f>
        <v>0</v>
      </c>
      <c r="Q395" s="258">
        <f>IFERROR(__xludf.DUMMYFUNCTION("""COMPUTED_VALUE"""),0.0)</f>
        <v>0</v>
      </c>
      <c r="R395" s="259"/>
      <c r="S395" s="260"/>
      <c r="T395" s="261"/>
      <c r="U395" s="262"/>
      <c r="V395" s="250"/>
      <c r="W395" s="250"/>
      <c r="X395" s="250"/>
      <c r="Y395" s="250"/>
      <c r="Z395" s="250"/>
      <c r="AA395" s="250"/>
      <c r="AB395" s="250"/>
      <c r="AC395" s="250"/>
      <c r="AD395" s="250"/>
      <c r="AE395" s="250"/>
      <c r="AF395" s="250"/>
      <c r="AG395" s="250"/>
      <c r="AH395" s="250"/>
      <c r="AI395" s="250"/>
      <c r="AJ395" s="250"/>
      <c r="AK395" s="250"/>
      <c r="AL395" s="250"/>
      <c r="AM395" s="250"/>
      <c r="AN395" s="250"/>
    </row>
    <row r="396" ht="15.75" customHeight="1">
      <c r="A396" s="250"/>
      <c r="B396" s="251">
        <f>IFERROR(__xludf.DUMMYFUNCTION("""COMPUTED_VALUE"""),388.0)</f>
        <v>388</v>
      </c>
      <c r="C396" s="252"/>
      <c r="D396" s="253" t="str">
        <f>IFERROR(__xludf.DUMMYFUNCTION("""COMPUTED_VALUE"""),"")</f>
        <v/>
      </c>
      <c r="E396" s="254">
        <f>IFERROR(__xludf.DUMMYFUNCTION("""COMPUTED_VALUE"""),0.0)</f>
        <v>0</v>
      </c>
      <c r="F396" s="255"/>
      <c r="G396" s="256"/>
      <c r="H396" s="252">
        <f>IFERROR(__xludf.DUMMYFUNCTION("""COMPUTED_VALUE"""),0.0)</f>
        <v>0</v>
      </c>
      <c r="I396" s="258"/>
      <c r="J396" s="258"/>
      <c r="K396" s="257">
        <f>IFERROR(__xludf.DUMMYFUNCTION("""COMPUTED_VALUE"""),0.0)</f>
        <v>0</v>
      </c>
      <c r="L396" s="258">
        <f>IFERROR(__xludf.DUMMYFUNCTION("""COMPUTED_VALUE"""),0.0)</f>
        <v>0</v>
      </c>
      <c r="M396" s="258">
        <f>IFERROR(__xludf.DUMMYFUNCTION("""COMPUTED_VALUE"""),0.0)</f>
        <v>0</v>
      </c>
      <c r="N396" s="258">
        <f>IFERROR(__xludf.DUMMYFUNCTION("""COMPUTED_VALUE"""),0.0)</f>
        <v>0</v>
      </c>
      <c r="O396" s="258">
        <f>IFERROR(__xludf.DUMMYFUNCTION("""COMPUTED_VALUE"""),0.0)</f>
        <v>0</v>
      </c>
      <c r="P396" s="258">
        <f>IFERROR(__xludf.DUMMYFUNCTION("""COMPUTED_VALUE"""),0.0)</f>
        <v>0</v>
      </c>
      <c r="Q396" s="258">
        <f>IFERROR(__xludf.DUMMYFUNCTION("""COMPUTED_VALUE"""),0.0)</f>
        <v>0</v>
      </c>
      <c r="R396" s="259"/>
      <c r="S396" s="260"/>
      <c r="T396" s="261"/>
      <c r="U396" s="262"/>
      <c r="V396" s="250"/>
      <c r="W396" s="250"/>
      <c r="X396" s="250"/>
      <c r="Y396" s="250"/>
      <c r="Z396" s="250"/>
      <c r="AA396" s="250"/>
      <c r="AB396" s="250"/>
      <c r="AC396" s="250"/>
      <c r="AD396" s="250"/>
      <c r="AE396" s="250"/>
      <c r="AF396" s="250"/>
      <c r="AG396" s="250"/>
      <c r="AH396" s="250"/>
      <c r="AI396" s="250"/>
      <c r="AJ396" s="250"/>
      <c r="AK396" s="250"/>
      <c r="AL396" s="250"/>
      <c r="AM396" s="250"/>
      <c r="AN396" s="250"/>
    </row>
    <row r="397" ht="15.75" customHeight="1">
      <c r="A397" s="250"/>
      <c r="B397" s="251">
        <f>IFERROR(__xludf.DUMMYFUNCTION("""COMPUTED_VALUE"""),389.0)</f>
        <v>389</v>
      </c>
      <c r="C397" s="252"/>
      <c r="D397" s="253" t="str">
        <f>IFERROR(__xludf.DUMMYFUNCTION("""COMPUTED_VALUE"""),"")</f>
        <v/>
      </c>
      <c r="E397" s="254">
        <f>IFERROR(__xludf.DUMMYFUNCTION("""COMPUTED_VALUE"""),0.0)</f>
        <v>0</v>
      </c>
      <c r="F397" s="255"/>
      <c r="G397" s="256"/>
      <c r="H397" s="252">
        <f>IFERROR(__xludf.DUMMYFUNCTION("""COMPUTED_VALUE"""),0.0)</f>
        <v>0</v>
      </c>
      <c r="I397" s="258"/>
      <c r="J397" s="258"/>
      <c r="K397" s="257">
        <f>IFERROR(__xludf.DUMMYFUNCTION("""COMPUTED_VALUE"""),0.0)</f>
        <v>0</v>
      </c>
      <c r="L397" s="258">
        <f>IFERROR(__xludf.DUMMYFUNCTION("""COMPUTED_VALUE"""),0.0)</f>
        <v>0</v>
      </c>
      <c r="M397" s="258">
        <f>IFERROR(__xludf.DUMMYFUNCTION("""COMPUTED_VALUE"""),0.0)</f>
        <v>0</v>
      </c>
      <c r="N397" s="258">
        <f>IFERROR(__xludf.DUMMYFUNCTION("""COMPUTED_VALUE"""),0.0)</f>
        <v>0</v>
      </c>
      <c r="O397" s="258">
        <f>IFERROR(__xludf.DUMMYFUNCTION("""COMPUTED_VALUE"""),0.0)</f>
        <v>0</v>
      </c>
      <c r="P397" s="258">
        <f>IFERROR(__xludf.DUMMYFUNCTION("""COMPUTED_VALUE"""),0.0)</f>
        <v>0</v>
      </c>
      <c r="Q397" s="258">
        <f>IFERROR(__xludf.DUMMYFUNCTION("""COMPUTED_VALUE"""),0.0)</f>
        <v>0</v>
      </c>
      <c r="R397" s="259"/>
      <c r="S397" s="260"/>
      <c r="T397" s="261"/>
      <c r="U397" s="262"/>
      <c r="V397" s="250"/>
      <c r="W397" s="250"/>
      <c r="X397" s="250"/>
      <c r="Y397" s="250"/>
      <c r="Z397" s="250"/>
      <c r="AA397" s="250"/>
      <c r="AB397" s="250"/>
      <c r="AC397" s="250"/>
      <c r="AD397" s="250"/>
      <c r="AE397" s="250"/>
      <c r="AF397" s="250"/>
      <c r="AG397" s="250"/>
      <c r="AH397" s="250"/>
      <c r="AI397" s="250"/>
      <c r="AJ397" s="250"/>
      <c r="AK397" s="250"/>
      <c r="AL397" s="250"/>
      <c r="AM397" s="250"/>
      <c r="AN397" s="250"/>
    </row>
    <row r="398" ht="15.75" customHeight="1">
      <c r="A398" s="250"/>
      <c r="B398" s="251">
        <f>IFERROR(__xludf.DUMMYFUNCTION("""COMPUTED_VALUE"""),390.0)</f>
        <v>390</v>
      </c>
      <c r="C398" s="252"/>
      <c r="D398" s="253" t="str">
        <f>IFERROR(__xludf.DUMMYFUNCTION("""COMPUTED_VALUE"""),"")</f>
        <v/>
      </c>
      <c r="E398" s="254">
        <f>IFERROR(__xludf.DUMMYFUNCTION("""COMPUTED_VALUE"""),0.0)</f>
        <v>0</v>
      </c>
      <c r="F398" s="255"/>
      <c r="G398" s="256"/>
      <c r="H398" s="252">
        <f>IFERROR(__xludf.DUMMYFUNCTION("""COMPUTED_VALUE"""),0.0)</f>
        <v>0</v>
      </c>
      <c r="I398" s="258"/>
      <c r="J398" s="258"/>
      <c r="K398" s="257">
        <f>IFERROR(__xludf.DUMMYFUNCTION("""COMPUTED_VALUE"""),0.0)</f>
        <v>0</v>
      </c>
      <c r="L398" s="258">
        <f>IFERROR(__xludf.DUMMYFUNCTION("""COMPUTED_VALUE"""),0.0)</f>
        <v>0</v>
      </c>
      <c r="M398" s="258">
        <f>IFERROR(__xludf.DUMMYFUNCTION("""COMPUTED_VALUE"""),0.0)</f>
        <v>0</v>
      </c>
      <c r="N398" s="258">
        <f>IFERROR(__xludf.DUMMYFUNCTION("""COMPUTED_VALUE"""),0.0)</f>
        <v>0</v>
      </c>
      <c r="O398" s="258">
        <f>IFERROR(__xludf.DUMMYFUNCTION("""COMPUTED_VALUE"""),0.0)</f>
        <v>0</v>
      </c>
      <c r="P398" s="258">
        <f>IFERROR(__xludf.DUMMYFUNCTION("""COMPUTED_VALUE"""),0.0)</f>
        <v>0</v>
      </c>
      <c r="Q398" s="258">
        <f>IFERROR(__xludf.DUMMYFUNCTION("""COMPUTED_VALUE"""),0.0)</f>
        <v>0</v>
      </c>
      <c r="R398" s="259"/>
      <c r="S398" s="260"/>
      <c r="T398" s="261"/>
      <c r="U398" s="262"/>
      <c r="V398" s="250"/>
      <c r="W398" s="250"/>
      <c r="X398" s="250"/>
      <c r="Y398" s="250"/>
      <c r="Z398" s="250"/>
      <c r="AA398" s="250"/>
      <c r="AB398" s="250"/>
      <c r="AC398" s="250"/>
      <c r="AD398" s="250"/>
      <c r="AE398" s="250"/>
      <c r="AF398" s="250"/>
      <c r="AG398" s="250"/>
      <c r="AH398" s="250"/>
      <c r="AI398" s="250"/>
      <c r="AJ398" s="250"/>
      <c r="AK398" s="250"/>
      <c r="AL398" s="250"/>
      <c r="AM398" s="250"/>
      <c r="AN398" s="250"/>
    </row>
    <row r="399" ht="15.75" customHeight="1">
      <c r="A399" s="250"/>
      <c r="B399" s="251">
        <f>IFERROR(__xludf.DUMMYFUNCTION("""COMPUTED_VALUE"""),391.0)</f>
        <v>391</v>
      </c>
      <c r="C399" s="252"/>
      <c r="D399" s="253" t="str">
        <f>IFERROR(__xludf.DUMMYFUNCTION("""COMPUTED_VALUE"""),"")</f>
        <v/>
      </c>
      <c r="E399" s="254">
        <f>IFERROR(__xludf.DUMMYFUNCTION("""COMPUTED_VALUE"""),0.0)</f>
        <v>0</v>
      </c>
      <c r="F399" s="255"/>
      <c r="G399" s="256"/>
      <c r="H399" s="252">
        <f>IFERROR(__xludf.DUMMYFUNCTION("""COMPUTED_VALUE"""),0.0)</f>
        <v>0</v>
      </c>
      <c r="I399" s="258"/>
      <c r="J399" s="258"/>
      <c r="K399" s="257">
        <f>IFERROR(__xludf.DUMMYFUNCTION("""COMPUTED_VALUE"""),0.0)</f>
        <v>0</v>
      </c>
      <c r="L399" s="258">
        <f>IFERROR(__xludf.DUMMYFUNCTION("""COMPUTED_VALUE"""),0.0)</f>
        <v>0</v>
      </c>
      <c r="M399" s="258">
        <f>IFERROR(__xludf.DUMMYFUNCTION("""COMPUTED_VALUE"""),0.0)</f>
        <v>0</v>
      </c>
      <c r="N399" s="258">
        <f>IFERROR(__xludf.DUMMYFUNCTION("""COMPUTED_VALUE"""),0.0)</f>
        <v>0</v>
      </c>
      <c r="O399" s="258">
        <f>IFERROR(__xludf.DUMMYFUNCTION("""COMPUTED_VALUE"""),0.0)</f>
        <v>0</v>
      </c>
      <c r="P399" s="258">
        <f>IFERROR(__xludf.DUMMYFUNCTION("""COMPUTED_VALUE"""),0.0)</f>
        <v>0</v>
      </c>
      <c r="Q399" s="258">
        <f>IFERROR(__xludf.DUMMYFUNCTION("""COMPUTED_VALUE"""),0.0)</f>
        <v>0</v>
      </c>
      <c r="R399" s="259"/>
      <c r="S399" s="260"/>
      <c r="T399" s="261"/>
      <c r="U399" s="262"/>
      <c r="V399" s="250"/>
      <c r="W399" s="250"/>
      <c r="X399" s="250"/>
      <c r="Y399" s="250"/>
      <c r="Z399" s="250"/>
      <c r="AA399" s="250"/>
      <c r="AB399" s="250"/>
      <c r="AC399" s="250"/>
      <c r="AD399" s="250"/>
      <c r="AE399" s="250"/>
      <c r="AF399" s="250"/>
      <c r="AG399" s="250"/>
      <c r="AH399" s="250"/>
      <c r="AI399" s="250"/>
      <c r="AJ399" s="250"/>
      <c r="AK399" s="250"/>
      <c r="AL399" s="250"/>
      <c r="AM399" s="250"/>
      <c r="AN399" s="250"/>
    </row>
    <row r="400" ht="15.75" customHeight="1">
      <c r="A400" s="250"/>
      <c r="B400" s="251">
        <f>IFERROR(__xludf.DUMMYFUNCTION("""COMPUTED_VALUE"""),392.0)</f>
        <v>392</v>
      </c>
      <c r="C400" s="252"/>
      <c r="D400" s="253" t="str">
        <f>IFERROR(__xludf.DUMMYFUNCTION("""COMPUTED_VALUE"""),"")</f>
        <v/>
      </c>
      <c r="E400" s="254">
        <f>IFERROR(__xludf.DUMMYFUNCTION("""COMPUTED_VALUE"""),0.0)</f>
        <v>0</v>
      </c>
      <c r="F400" s="255"/>
      <c r="G400" s="256"/>
      <c r="H400" s="252">
        <f>IFERROR(__xludf.DUMMYFUNCTION("""COMPUTED_VALUE"""),0.0)</f>
        <v>0</v>
      </c>
      <c r="I400" s="258"/>
      <c r="J400" s="258"/>
      <c r="K400" s="257">
        <f>IFERROR(__xludf.DUMMYFUNCTION("""COMPUTED_VALUE"""),0.0)</f>
        <v>0</v>
      </c>
      <c r="L400" s="258">
        <f>IFERROR(__xludf.DUMMYFUNCTION("""COMPUTED_VALUE"""),0.0)</f>
        <v>0</v>
      </c>
      <c r="M400" s="258">
        <f>IFERROR(__xludf.DUMMYFUNCTION("""COMPUTED_VALUE"""),0.0)</f>
        <v>0</v>
      </c>
      <c r="N400" s="258">
        <f>IFERROR(__xludf.DUMMYFUNCTION("""COMPUTED_VALUE"""),0.0)</f>
        <v>0</v>
      </c>
      <c r="O400" s="258">
        <f>IFERROR(__xludf.DUMMYFUNCTION("""COMPUTED_VALUE"""),0.0)</f>
        <v>0</v>
      </c>
      <c r="P400" s="258">
        <f>IFERROR(__xludf.DUMMYFUNCTION("""COMPUTED_VALUE"""),0.0)</f>
        <v>0</v>
      </c>
      <c r="Q400" s="258">
        <f>IFERROR(__xludf.DUMMYFUNCTION("""COMPUTED_VALUE"""),0.0)</f>
        <v>0</v>
      </c>
      <c r="R400" s="259"/>
      <c r="S400" s="260"/>
      <c r="T400" s="261"/>
      <c r="U400" s="262"/>
      <c r="V400" s="250"/>
      <c r="W400" s="250"/>
      <c r="X400" s="250"/>
      <c r="Y400" s="250"/>
      <c r="Z400" s="250"/>
      <c r="AA400" s="250"/>
      <c r="AB400" s="250"/>
      <c r="AC400" s="250"/>
      <c r="AD400" s="250"/>
      <c r="AE400" s="250"/>
      <c r="AF400" s="250"/>
      <c r="AG400" s="250"/>
      <c r="AH400" s="250"/>
      <c r="AI400" s="250"/>
      <c r="AJ400" s="250"/>
      <c r="AK400" s="250"/>
      <c r="AL400" s="250"/>
      <c r="AM400" s="250"/>
      <c r="AN400" s="250"/>
    </row>
    <row r="401" ht="15.75" customHeight="1">
      <c r="A401" s="250"/>
      <c r="B401" s="251">
        <f>IFERROR(__xludf.DUMMYFUNCTION("""COMPUTED_VALUE"""),393.0)</f>
        <v>393</v>
      </c>
      <c r="C401" s="252"/>
      <c r="D401" s="253" t="str">
        <f>IFERROR(__xludf.DUMMYFUNCTION("""COMPUTED_VALUE"""),"")</f>
        <v/>
      </c>
      <c r="E401" s="254">
        <f>IFERROR(__xludf.DUMMYFUNCTION("""COMPUTED_VALUE"""),0.0)</f>
        <v>0</v>
      </c>
      <c r="F401" s="255"/>
      <c r="G401" s="256"/>
      <c r="H401" s="252">
        <f>IFERROR(__xludf.DUMMYFUNCTION("""COMPUTED_VALUE"""),0.0)</f>
        <v>0</v>
      </c>
      <c r="I401" s="258"/>
      <c r="J401" s="258"/>
      <c r="K401" s="257">
        <f>IFERROR(__xludf.DUMMYFUNCTION("""COMPUTED_VALUE"""),0.0)</f>
        <v>0</v>
      </c>
      <c r="L401" s="258">
        <f>IFERROR(__xludf.DUMMYFUNCTION("""COMPUTED_VALUE"""),0.0)</f>
        <v>0</v>
      </c>
      <c r="M401" s="258">
        <f>IFERROR(__xludf.DUMMYFUNCTION("""COMPUTED_VALUE"""),0.0)</f>
        <v>0</v>
      </c>
      <c r="N401" s="258">
        <f>IFERROR(__xludf.DUMMYFUNCTION("""COMPUTED_VALUE"""),0.0)</f>
        <v>0</v>
      </c>
      <c r="O401" s="258">
        <f>IFERROR(__xludf.DUMMYFUNCTION("""COMPUTED_VALUE"""),0.0)</f>
        <v>0</v>
      </c>
      <c r="P401" s="258">
        <f>IFERROR(__xludf.DUMMYFUNCTION("""COMPUTED_VALUE"""),0.0)</f>
        <v>0</v>
      </c>
      <c r="Q401" s="258">
        <f>IFERROR(__xludf.DUMMYFUNCTION("""COMPUTED_VALUE"""),0.0)</f>
        <v>0</v>
      </c>
      <c r="R401" s="259"/>
      <c r="S401" s="260"/>
      <c r="T401" s="261"/>
      <c r="U401" s="262"/>
      <c r="V401" s="250"/>
      <c r="W401" s="250"/>
      <c r="X401" s="250"/>
      <c r="Y401" s="250"/>
      <c r="Z401" s="250"/>
      <c r="AA401" s="250"/>
      <c r="AB401" s="250"/>
      <c r="AC401" s="250"/>
      <c r="AD401" s="250"/>
      <c r="AE401" s="250"/>
      <c r="AF401" s="250"/>
      <c r="AG401" s="250"/>
      <c r="AH401" s="250"/>
      <c r="AI401" s="250"/>
      <c r="AJ401" s="250"/>
      <c r="AK401" s="250"/>
      <c r="AL401" s="250"/>
      <c r="AM401" s="250"/>
      <c r="AN401" s="250"/>
    </row>
    <row r="402" ht="15.75" customHeight="1">
      <c r="A402" s="250"/>
      <c r="B402" s="251">
        <f>IFERROR(__xludf.DUMMYFUNCTION("""COMPUTED_VALUE"""),394.0)</f>
        <v>394</v>
      </c>
      <c r="C402" s="252"/>
      <c r="D402" s="253" t="str">
        <f>IFERROR(__xludf.DUMMYFUNCTION("""COMPUTED_VALUE"""),"")</f>
        <v/>
      </c>
      <c r="E402" s="254">
        <f>IFERROR(__xludf.DUMMYFUNCTION("""COMPUTED_VALUE"""),0.0)</f>
        <v>0</v>
      </c>
      <c r="F402" s="255"/>
      <c r="G402" s="256"/>
      <c r="H402" s="252">
        <f>IFERROR(__xludf.DUMMYFUNCTION("""COMPUTED_VALUE"""),0.0)</f>
        <v>0</v>
      </c>
      <c r="I402" s="258"/>
      <c r="J402" s="258"/>
      <c r="K402" s="257">
        <f>IFERROR(__xludf.DUMMYFUNCTION("""COMPUTED_VALUE"""),0.0)</f>
        <v>0</v>
      </c>
      <c r="L402" s="258">
        <f>IFERROR(__xludf.DUMMYFUNCTION("""COMPUTED_VALUE"""),0.0)</f>
        <v>0</v>
      </c>
      <c r="M402" s="258">
        <f>IFERROR(__xludf.DUMMYFUNCTION("""COMPUTED_VALUE"""),0.0)</f>
        <v>0</v>
      </c>
      <c r="N402" s="258">
        <f>IFERROR(__xludf.DUMMYFUNCTION("""COMPUTED_VALUE"""),0.0)</f>
        <v>0</v>
      </c>
      <c r="O402" s="258">
        <f>IFERROR(__xludf.DUMMYFUNCTION("""COMPUTED_VALUE"""),0.0)</f>
        <v>0</v>
      </c>
      <c r="P402" s="258">
        <f>IFERROR(__xludf.DUMMYFUNCTION("""COMPUTED_VALUE"""),0.0)</f>
        <v>0</v>
      </c>
      <c r="Q402" s="258">
        <f>IFERROR(__xludf.DUMMYFUNCTION("""COMPUTED_VALUE"""),0.0)</f>
        <v>0</v>
      </c>
      <c r="R402" s="259"/>
      <c r="S402" s="260"/>
      <c r="T402" s="261"/>
      <c r="U402" s="262"/>
      <c r="V402" s="250"/>
      <c r="W402" s="250"/>
      <c r="X402" s="250"/>
      <c r="Y402" s="250"/>
      <c r="Z402" s="250"/>
      <c r="AA402" s="250"/>
      <c r="AB402" s="250"/>
      <c r="AC402" s="250"/>
      <c r="AD402" s="250"/>
      <c r="AE402" s="250"/>
      <c r="AF402" s="250"/>
      <c r="AG402" s="250"/>
      <c r="AH402" s="250"/>
      <c r="AI402" s="250"/>
      <c r="AJ402" s="250"/>
      <c r="AK402" s="250"/>
      <c r="AL402" s="250"/>
      <c r="AM402" s="250"/>
      <c r="AN402" s="250"/>
    </row>
    <row r="403" ht="15.75" customHeight="1">
      <c r="A403" s="250"/>
      <c r="B403" s="251">
        <f>IFERROR(__xludf.DUMMYFUNCTION("""COMPUTED_VALUE"""),395.0)</f>
        <v>395</v>
      </c>
      <c r="C403" s="252"/>
      <c r="D403" s="253" t="str">
        <f>IFERROR(__xludf.DUMMYFUNCTION("""COMPUTED_VALUE"""),"")</f>
        <v/>
      </c>
      <c r="E403" s="254">
        <f>IFERROR(__xludf.DUMMYFUNCTION("""COMPUTED_VALUE"""),0.0)</f>
        <v>0</v>
      </c>
      <c r="F403" s="255"/>
      <c r="G403" s="256"/>
      <c r="H403" s="252">
        <f>IFERROR(__xludf.DUMMYFUNCTION("""COMPUTED_VALUE"""),0.0)</f>
        <v>0</v>
      </c>
      <c r="I403" s="258"/>
      <c r="J403" s="258"/>
      <c r="K403" s="257">
        <f>IFERROR(__xludf.DUMMYFUNCTION("""COMPUTED_VALUE"""),0.0)</f>
        <v>0</v>
      </c>
      <c r="L403" s="258">
        <f>IFERROR(__xludf.DUMMYFUNCTION("""COMPUTED_VALUE"""),0.0)</f>
        <v>0</v>
      </c>
      <c r="M403" s="258">
        <f>IFERROR(__xludf.DUMMYFUNCTION("""COMPUTED_VALUE"""),0.0)</f>
        <v>0</v>
      </c>
      <c r="N403" s="258">
        <f>IFERROR(__xludf.DUMMYFUNCTION("""COMPUTED_VALUE"""),0.0)</f>
        <v>0</v>
      </c>
      <c r="O403" s="258">
        <f>IFERROR(__xludf.DUMMYFUNCTION("""COMPUTED_VALUE"""),0.0)</f>
        <v>0</v>
      </c>
      <c r="P403" s="258">
        <f>IFERROR(__xludf.DUMMYFUNCTION("""COMPUTED_VALUE"""),0.0)</f>
        <v>0</v>
      </c>
      <c r="Q403" s="258">
        <f>IFERROR(__xludf.DUMMYFUNCTION("""COMPUTED_VALUE"""),0.0)</f>
        <v>0</v>
      </c>
      <c r="R403" s="259"/>
      <c r="S403" s="260"/>
      <c r="T403" s="261"/>
      <c r="U403" s="262"/>
      <c r="V403" s="250"/>
      <c r="W403" s="250"/>
      <c r="X403" s="250"/>
      <c r="Y403" s="250"/>
      <c r="Z403" s="250"/>
      <c r="AA403" s="250"/>
      <c r="AB403" s="250"/>
      <c r="AC403" s="250"/>
      <c r="AD403" s="250"/>
      <c r="AE403" s="250"/>
      <c r="AF403" s="250"/>
      <c r="AG403" s="250"/>
      <c r="AH403" s="250"/>
      <c r="AI403" s="250"/>
      <c r="AJ403" s="250"/>
      <c r="AK403" s="250"/>
      <c r="AL403" s="250"/>
      <c r="AM403" s="250"/>
      <c r="AN403" s="250"/>
    </row>
    <row r="404" ht="15.75" customHeight="1">
      <c r="A404" s="250"/>
      <c r="B404" s="251">
        <f>IFERROR(__xludf.DUMMYFUNCTION("""COMPUTED_VALUE"""),396.0)</f>
        <v>396</v>
      </c>
      <c r="C404" s="252"/>
      <c r="D404" s="253" t="str">
        <f>IFERROR(__xludf.DUMMYFUNCTION("""COMPUTED_VALUE"""),"")</f>
        <v/>
      </c>
      <c r="E404" s="254">
        <f>IFERROR(__xludf.DUMMYFUNCTION("""COMPUTED_VALUE"""),0.0)</f>
        <v>0</v>
      </c>
      <c r="F404" s="255"/>
      <c r="G404" s="256"/>
      <c r="H404" s="252">
        <f>IFERROR(__xludf.DUMMYFUNCTION("""COMPUTED_VALUE"""),0.0)</f>
        <v>0</v>
      </c>
      <c r="I404" s="258"/>
      <c r="J404" s="258"/>
      <c r="K404" s="257">
        <f>IFERROR(__xludf.DUMMYFUNCTION("""COMPUTED_VALUE"""),0.0)</f>
        <v>0</v>
      </c>
      <c r="L404" s="258">
        <f>IFERROR(__xludf.DUMMYFUNCTION("""COMPUTED_VALUE"""),0.0)</f>
        <v>0</v>
      </c>
      <c r="M404" s="258">
        <f>IFERROR(__xludf.DUMMYFUNCTION("""COMPUTED_VALUE"""),0.0)</f>
        <v>0</v>
      </c>
      <c r="N404" s="258">
        <f>IFERROR(__xludf.DUMMYFUNCTION("""COMPUTED_VALUE"""),0.0)</f>
        <v>0</v>
      </c>
      <c r="O404" s="258">
        <f>IFERROR(__xludf.DUMMYFUNCTION("""COMPUTED_VALUE"""),0.0)</f>
        <v>0</v>
      </c>
      <c r="P404" s="258">
        <f>IFERROR(__xludf.DUMMYFUNCTION("""COMPUTED_VALUE"""),0.0)</f>
        <v>0</v>
      </c>
      <c r="Q404" s="258">
        <f>IFERROR(__xludf.DUMMYFUNCTION("""COMPUTED_VALUE"""),0.0)</f>
        <v>0</v>
      </c>
      <c r="R404" s="259"/>
      <c r="S404" s="260"/>
      <c r="T404" s="261"/>
      <c r="U404" s="262"/>
      <c r="V404" s="250"/>
      <c r="W404" s="250"/>
      <c r="X404" s="250"/>
      <c r="Y404" s="250"/>
      <c r="Z404" s="250"/>
      <c r="AA404" s="250"/>
      <c r="AB404" s="250"/>
      <c r="AC404" s="250"/>
      <c r="AD404" s="250"/>
      <c r="AE404" s="250"/>
      <c r="AF404" s="250"/>
      <c r="AG404" s="250"/>
      <c r="AH404" s="250"/>
      <c r="AI404" s="250"/>
      <c r="AJ404" s="250"/>
      <c r="AK404" s="250"/>
      <c r="AL404" s="250"/>
      <c r="AM404" s="250"/>
      <c r="AN404" s="250"/>
    </row>
    <row r="405" ht="15.75" customHeight="1">
      <c r="A405" s="250"/>
      <c r="B405" s="251">
        <f>IFERROR(__xludf.DUMMYFUNCTION("""COMPUTED_VALUE"""),397.0)</f>
        <v>397</v>
      </c>
      <c r="C405" s="252"/>
      <c r="D405" s="253" t="str">
        <f>IFERROR(__xludf.DUMMYFUNCTION("""COMPUTED_VALUE"""),"")</f>
        <v/>
      </c>
      <c r="E405" s="254">
        <f>IFERROR(__xludf.DUMMYFUNCTION("""COMPUTED_VALUE"""),0.0)</f>
        <v>0</v>
      </c>
      <c r="F405" s="255"/>
      <c r="G405" s="256"/>
      <c r="H405" s="252">
        <f>IFERROR(__xludf.DUMMYFUNCTION("""COMPUTED_VALUE"""),0.0)</f>
        <v>0</v>
      </c>
      <c r="I405" s="258"/>
      <c r="J405" s="258"/>
      <c r="K405" s="257">
        <f>IFERROR(__xludf.DUMMYFUNCTION("""COMPUTED_VALUE"""),0.0)</f>
        <v>0</v>
      </c>
      <c r="L405" s="258">
        <f>IFERROR(__xludf.DUMMYFUNCTION("""COMPUTED_VALUE"""),0.0)</f>
        <v>0</v>
      </c>
      <c r="M405" s="258">
        <f>IFERROR(__xludf.DUMMYFUNCTION("""COMPUTED_VALUE"""),0.0)</f>
        <v>0</v>
      </c>
      <c r="N405" s="258">
        <f>IFERROR(__xludf.DUMMYFUNCTION("""COMPUTED_VALUE"""),0.0)</f>
        <v>0</v>
      </c>
      <c r="O405" s="258">
        <f>IFERROR(__xludf.DUMMYFUNCTION("""COMPUTED_VALUE"""),0.0)</f>
        <v>0</v>
      </c>
      <c r="P405" s="258">
        <f>IFERROR(__xludf.DUMMYFUNCTION("""COMPUTED_VALUE"""),0.0)</f>
        <v>0</v>
      </c>
      <c r="Q405" s="258">
        <f>IFERROR(__xludf.DUMMYFUNCTION("""COMPUTED_VALUE"""),0.0)</f>
        <v>0</v>
      </c>
      <c r="R405" s="259"/>
      <c r="S405" s="260"/>
      <c r="T405" s="261"/>
      <c r="U405" s="262"/>
      <c r="V405" s="250"/>
      <c r="W405" s="250"/>
      <c r="X405" s="250"/>
      <c r="Y405" s="250"/>
      <c r="Z405" s="250"/>
      <c r="AA405" s="250"/>
      <c r="AB405" s="250"/>
      <c r="AC405" s="250"/>
      <c r="AD405" s="250"/>
      <c r="AE405" s="250"/>
      <c r="AF405" s="250"/>
      <c r="AG405" s="250"/>
      <c r="AH405" s="250"/>
      <c r="AI405" s="250"/>
      <c r="AJ405" s="250"/>
      <c r="AK405" s="250"/>
      <c r="AL405" s="250"/>
      <c r="AM405" s="250"/>
      <c r="AN405" s="250"/>
    </row>
    <row r="406" ht="15.75" customHeight="1">
      <c r="A406" s="250"/>
      <c r="B406" s="251">
        <f>IFERROR(__xludf.DUMMYFUNCTION("""COMPUTED_VALUE"""),398.0)</f>
        <v>398</v>
      </c>
      <c r="C406" s="252"/>
      <c r="D406" s="253" t="str">
        <f>IFERROR(__xludf.DUMMYFUNCTION("""COMPUTED_VALUE"""),"")</f>
        <v/>
      </c>
      <c r="E406" s="254">
        <f>IFERROR(__xludf.DUMMYFUNCTION("""COMPUTED_VALUE"""),0.0)</f>
        <v>0</v>
      </c>
      <c r="F406" s="255"/>
      <c r="G406" s="256"/>
      <c r="H406" s="252">
        <f>IFERROR(__xludf.DUMMYFUNCTION("""COMPUTED_VALUE"""),0.0)</f>
        <v>0</v>
      </c>
      <c r="I406" s="258"/>
      <c r="J406" s="258"/>
      <c r="K406" s="257">
        <f>IFERROR(__xludf.DUMMYFUNCTION("""COMPUTED_VALUE"""),0.0)</f>
        <v>0</v>
      </c>
      <c r="L406" s="258">
        <f>IFERROR(__xludf.DUMMYFUNCTION("""COMPUTED_VALUE"""),0.0)</f>
        <v>0</v>
      </c>
      <c r="M406" s="258">
        <f>IFERROR(__xludf.DUMMYFUNCTION("""COMPUTED_VALUE"""),0.0)</f>
        <v>0</v>
      </c>
      <c r="N406" s="258">
        <f>IFERROR(__xludf.DUMMYFUNCTION("""COMPUTED_VALUE"""),0.0)</f>
        <v>0</v>
      </c>
      <c r="O406" s="258">
        <f>IFERROR(__xludf.DUMMYFUNCTION("""COMPUTED_VALUE"""),0.0)</f>
        <v>0</v>
      </c>
      <c r="P406" s="258">
        <f>IFERROR(__xludf.DUMMYFUNCTION("""COMPUTED_VALUE"""),0.0)</f>
        <v>0</v>
      </c>
      <c r="Q406" s="258">
        <f>IFERROR(__xludf.DUMMYFUNCTION("""COMPUTED_VALUE"""),0.0)</f>
        <v>0</v>
      </c>
      <c r="R406" s="259"/>
      <c r="S406" s="260"/>
      <c r="T406" s="261"/>
      <c r="U406" s="262"/>
      <c r="V406" s="250"/>
      <c r="W406" s="250"/>
      <c r="X406" s="250"/>
      <c r="Y406" s="250"/>
      <c r="Z406" s="250"/>
      <c r="AA406" s="250"/>
      <c r="AB406" s="250"/>
      <c r="AC406" s="250"/>
      <c r="AD406" s="250"/>
      <c r="AE406" s="250"/>
      <c r="AF406" s="250"/>
      <c r="AG406" s="250"/>
      <c r="AH406" s="250"/>
      <c r="AI406" s="250"/>
      <c r="AJ406" s="250"/>
      <c r="AK406" s="250"/>
      <c r="AL406" s="250"/>
      <c r="AM406" s="250"/>
      <c r="AN406" s="250"/>
    </row>
    <row r="407" ht="15.75" customHeight="1">
      <c r="A407" s="250"/>
      <c r="B407" s="251">
        <f>IFERROR(__xludf.DUMMYFUNCTION("""COMPUTED_VALUE"""),399.0)</f>
        <v>399</v>
      </c>
      <c r="C407" s="252"/>
      <c r="D407" s="253" t="str">
        <f>IFERROR(__xludf.DUMMYFUNCTION("""COMPUTED_VALUE"""),"")</f>
        <v/>
      </c>
      <c r="E407" s="254">
        <f>IFERROR(__xludf.DUMMYFUNCTION("""COMPUTED_VALUE"""),0.0)</f>
        <v>0</v>
      </c>
      <c r="F407" s="255"/>
      <c r="G407" s="256"/>
      <c r="H407" s="252">
        <f>IFERROR(__xludf.DUMMYFUNCTION("""COMPUTED_VALUE"""),0.0)</f>
        <v>0</v>
      </c>
      <c r="I407" s="258"/>
      <c r="J407" s="258"/>
      <c r="K407" s="257">
        <f>IFERROR(__xludf.DUMMYFUNCTION("""COMPUTED_VALUE"""),0.0)</f>
        <v>0</v>
      </c>
      <c r="L407" s="258">
        <f>IFERROR(__xludf.DUMMYFUNCTION("""COMPUTED_VALUE"""),0.0)</f>
        <v>0</v>
      </c>
      <c r="M407" s="258">
        <f>IFERROR(__xludf.DUMMYFUNCTION("""COMPUTED_VALUE"""),0.0)</f>
        <v>0</v>
      </c>
      <c r="N407" s="258">
        <f>IFERROR(__xludf.DUMMYFUNCTION("""COMPUTED_VALUE"""),0.0)</f>
        <v>0</v>
      </c>
      <c r="O407" s="258">
        <f>IFERROR(__xludf.DUMMYFUNCTION("""COMPUTED_VALUE"""),0.0)</f>
        <v>0</v>
      </c>
      <c r="P407" s="258">
        <f>IFERROR(__xludf.DUMMYFUNCTION("""COMPUTED_VALUE"""),0.0)</f>
        <v>0</v>
      </c>
      <c r="Q407" s="258">
        <f>IFERROR(__xludf.DUMMYFUNCTION("""COMPUTED_VALUE"""),0.0)</f>
        <v>0</v>
      </c>
      <c r="R407" s="259"/>
      <c r="S407" s="260"/>
      <c r="T407" s="261"/>
      <c r="U407" s="262"/>
      <c r="V407" s="250"/>
      <c r="W407" s="250"/>
      <c r="X407" s="250"/>
      <c r="Y407" s="250"/>
      <c r="Z407" s="250"/>
      <c r="AA407" s="250"/>
      <c r="AB407" s="250"/>
      <c r="AC407" s="250"/>
      <c r="AD407" s="250"/>
      <c r="AE407" s="250"/>
      <c r="AF407" s="250"/>
      <c r="AG407" s="250"/>
      <c r="AH407" s="250"/>
      <c r="AI407" s="250"/>
      <c r="AJ407" s="250"/>
      <c r="AK407" s="250"/>
      <c r="AL407" s="250"/>
      <c r="AM407" s="250"/>
      <c r="AN407" s="250"/>
    </row>
    <row r="408" ht="15.75" customHeight="1">
      <c r="A408" s="250"/>
      <c r="B408" s="251">
        <f>IFERROR(__xludf.DUMMYFUNCTION("""COMPUTED_VALUE"""),400.0)</f>
        <v>400</v>
      </c>
      <c r="C408" s="252"/>
      <c r="D408" s="253" t="str">
        <f>IFERROR(__xludf.DUMMYFUNCTION("""COMPUTED_VALUE"""),"")</f>
        <v/>
      </c>
      <c r="E408" s="254">
        <f>IFERROR(__xludf.DUMMYFUNCTION("""COMPUTED_VALUE"""),0.0)</f>
        <v>0</v>
      </c>
      <c r="F408" s="255"/>
      <c r="G408" s="256"/>
      <c r="H408" s="252">
        <f>IFERROR(__xludf.DUMMYFUNCTION("""COMPUTED_VALUE"""),0.0)</f>
        <v>0</v>
      </c>
      <c r="I408" s="258"/>
      <c r="J408" s="258"/>
      <c r="K408" s="257">
        <f>IFERROR(__xludf.DUMMYFUNCTION("""COMPUTED_VALUE"""),0.0)</f>
        <v>0</v>
      </c>
      <c r="L408" s="258">
        <f>IFERROR(__xludf.DUMMYFUNCTION("""COMPUTED_VALUE"""),0.0)</f>
        <v>0</v>
      </c>
      <c r="M408" s="258">
        <f>IFERROR(__xludf.DUMMYFUNCTION("""COMPUTED_VALUE"""),0.0)</f>
        <v>0</v>
      </c>
      <c r="N408" s="258">
        <f>IFERROR(__xludf.DUMMYFUNCTION("""COMPUTED_VALUE"""),0.0)</f>
        <v>0</v>
      </c>
      <c r="O408" s="258">
        <f>IFERROR(__xludf.DUMMYFUNCTION("""COMPUTED_VALUE"""),0.0)</f>
        <v>0</v>
      </c>
      <c r="P408" s="258">
        <f>IFERROR(__xludf.DUMMYFUNCTION("""COMPUTED_VALUE"""),0.0)</f>
        <v>0</v>
      </c>
      <c r="Q408" s="258">
        <f>IFERROR(__xludf.DUMMYFUNCTION("""COMPUTED_VALUE"""),0.0)</f>
        <v>0</v>
      </c>
      <c r="R408" s="259"/>
      <c r="S408" s="260"/>
      <c r="T408" s="261"/>
      <c r="U408" s="262"/>
      <c r="V408" s="250"/>
      <c r="W408" s="250"/>
      <c r="X408" s="250"/>
      <c r="Y408" s="250"/>
      <c r="Z408" s="250"/>
      <c r="AA408" s="250"/>
      <c r="AB408" s="250"/>
      <c r="AC408" s="250"/>
      <c r="AD408" s="250"/>
      <c r="AE408" s="250"/>
      <c r="AF408" s="250"/>
      <c r="AG408" s="250"/>
      <c r="AH408" s="250"/>
      <c r="AI408" s="250"/>
      <c r="AJ408" s="250"/>
      <c r="AK408" s="250"/>
      <c r="AL408" s="250"/>
      <c r="AM408" s="250"/>
      <c r="AN408" s="250"/>
    </row>
    <row r="409" ht="15.75" customHeight="1">
      <c r="A409" s="250"/>
      <c r="B409" s="251">
        <f>IFERROR(__xludf.DUMMYFUNCTION("""COMPUTED_VALUE"""),401.0)</f>
        <v>401</v>
      </c>
      <c r="C409" s="252"/>
      <c r="D409" s="253" t="str">
        <f>IFERROR(__xludf.DUMMYFUNCTION("""COMPUTED_VALUE"""),"")</f>
        <v/>
      </c>
      <c r="E409" s="254">
        <f>IFERROR(__xludf.DUMMYFUNCTION("""COMPUTED_VALUE"""),0.0)</f>
        <v>0</v>
      </c>
      <c r="F409" s="255"/>
      <c r="G409" s="256"/>
      <c r="H409" s="252">
        <f>IFERROR(__xludf.DUMMYFUNCTION("""COMPUTED_VALUE"""),0.0)</f>
        <v>0</v>
      </c>
      <c r="I409" s="258"/>
      <c r="J409" s="258"/>
      <c r="K409" s="257">
        <f>IFERROR(__xludf.DUMMYFUNCTION("""COMPUTED_VALUE"""),0.0)</f>
        <v>0</v>
      </c>
      <c r="L409" s="258">
        <f>IFERROR(__xludf.DUMMYFUNCTION("""COMPUTED_VALUE"""),0.0)</f>
        <v>0</v>
      </c>
      <c r="M409" s="258">
        <f>IFERROR(__xludf.DUMMYFUNCTION("""COMPUTED_VALUE"""),0.0)</f>
        <v>0</v>
      </c>
      <c r="N409" s="258">
        <f>IFERROR(__xludf.DUMMYFUNCTION("""COMPUTED_VALUE"""),0.0)</f>
        <v>0</v>
      </c>
      <c r="O409" s="258">
        <f>IFERROR(__xludf.DUMMYFUNCTION("""COMPUTED_VALUE"""),0.0)</f>
        <v>0</v>
      </c>
      <c r="P409" s="258">
        <f>IFERROR(__xludf.DUMMYFUNCTION("""COMPUTED_VALUE"""),0.0)</f>
        <v>0</v>
      </c>
      <c r="Q409" s="258">
        <f>IFERROR(__xludf.DUMMYFUNCTION("""COMPUTED_VALUE"""),0.0)</f>
        <v>0</v>
      </c>
      <c r="R409" s="259"/>
      <c r="S409" s="260"/>
      <c r="T409" s="261"/>
      <c r="U409" s="262"/>
      <c r="V409" s="250"/>
      <c r="W409" s="250"/>
      <c r="X409" s="250"/>
      <c r="Y409" s="250"/>
      <c r="Z409" s="250"/>
      <c r="AA409" s="250"/>
      <c r="AB409" s="250"/>
      <c r="AC409" s="250"/>
      <c r="AD409" s="250"/>
      <c r="AE409" s="250"/>
      <c r="AF409" s="250"/>
      <c r="AG409" s="250"/>
      <c r="AH409" s="250"/>
      <c r="AI409" s="250"/>
      <c r="AJ409" s="250"/>
      <c r="AK409" s="250"/>
      <c r="AL409" s="250"/>
      <c r="AM409" s="250"/>
      <c r="AN409" s="250"/>
    </row>
    <row r="410" ht="15.75" customHeight="1">
      <c r="A410" s="250"/>
      <c r="B410" s="251">
        <f>IFERROR(__xludf.DUMMYFUNCTION("""COMPUTED_VALUE"""),402.0)</f>
        <v>402</v>
      </c>
      <c r="C410" s="252"/>
      <c r="D410" s="253" t="str">
        <f>IFERROR(__xludf.DUMMYFUNCTION("""COMPUTED_VALUE"""),"")</f>
        <v/>
      </c>
      <c r="E410" s="254">
        <f>IFERROR(__xludf.DUMMYFUNCTION("""COMPUTED_VALUE"""),0.0)</f>
        <v>0</v>
      </c>
      <c r="F410" s="255"/>
      <c r="G410" s="256"/>
      <c r="H410" s="252">
        <f>IFERROR(__xludf.DUMMYFUNCTION("""COMPUTED_VALUE"""),0.0)</f>
        <v>0</v>
      </c>
      <c r="I410" s="258"/>
      <c r="J410" s="258"/>
      <c r="K410" s="257">
        <f>IFERROR(__xludf.DUMMYFUNCTION("""COMPUTED_VALUE"""),0.0)</f>
        <v>0</v>
      </c>
      <c r="L410" s="258">
        <f>IFERROR(__xludf.DUMMYFUNCTION("""COMPUTED_VALUE"""),0.0)</f>
        <v>0</v>
      </c>
      <c r="M410" s="258">
        <f>IFERROR(__xludf.DUMMYFUNCTION("""COMPUTED_VALUE"""),0.0)</f>
        <v>0</v>
      </c>
      <c r="N410" s="258">
        <f>IFERROR(__xludf.DUMMYFUNCTION("""COMPUTED_VALUE"""),0.0)</f>
        <v>0</v>
      </c>
      <c r="O410" s="258">
        <f>IFERROR(__xludf.DUMMYFUNCTION("""COMPUTED_VALUE"""),0.0)</f>
        <v>0</v>
      </c>
      <c r="P410" s="258">
        <f>IFERROR(__xludf.DUMMYFUNCTION("""COMPUTED_VALUE"""),0.0)</f>
        <v>0</v>
      </c>
      <c r="Q410" s="258">
        <f>IFERROR(__xludf.DUMMYFUNCTION("""COMPUTED_VALUE"""),0.0)</f>
        <v>0</v>
      </c>
      <c r="R410" s="259"/>
      <c r="S410" s="260"/>
      <c r="T410" s="261"/>
      <c r="U410" s="262"/>
      <c r="V410" s="250"/>
      <c r="W410" s="250"/>
      <c r="X410" s="250"/>
      <c r="Y410" s="250"/>
      <c r="Z410" s="250"/>
      <c r="AA410" s="250"/>
      <c r="AB410" s="250"/>
      <c r="AC410" s="250"/>
      <c r="AD410" s="250"/>
      <c r="AE410" s="250"/>
      <c r="AF410" s="250"/>
      <c r="AG410" s="250"/>
      <c r="AH410" s="250"/>
      <c r="AI410" s="250"/>
      <c r="AJ410" s="250"/>
      <c r="AK410" s="250"/>
      <c r="AL410" s="250"/>
      <c r="AM410" s="250"/>
      <c r="AN410" s="250"/>
    </row>
    <row r="411" ht="15.75" customHeight="1">
      <c r="A411" s="250"/>
      <c r="B411" s="251">
        <f>IFERROR(__xludf.DUMMYFUNCTION("""COMPUTED_VALUE"""),403.0)</f>
        <v>403</v>
      </c>
      <c r="C411" s="252"/>
      <c r="D411" s="253" t="str">
        <f>IFERROR(__xludf.DUMMYFUNCTION("""COMPUTED_VALUE"""),"")</f>
        <v/>
      </c>
      <c r="E411" s="254">
        <f>IFERROR(__xludf.DUMMYFUNCTION("""COMPUTED_VALUE"""),0.0)</f>
        <v>0</v>
      </c>
      <c r="F411" s="255"/>
      <c r="G411" s="256"/>
      <c r="H411" s="252">
        <f>IFERROR(__xludf.DUMMYFUNCTION("""COMPUTED_VALUE"""),0.0)</f>
        <v>0</v>
      </c>
      <c r="I411" s="258"/>
      <c r="J411" s="258"/>
      <c r="K411" s="257">
        <f>IFERROR(__xludf.DUMMYFUNCTION("""COMPUTED_VALUE"""),0.0)</f>
        <v>0</v>
      </c>
      <c r="L411" s="258">
        <f>IFERROR(__xludf.DUMMYFUNCTION("""COMPUTED_VALUE"""),0.0)</f>
        <v>0</v>
      </c>
      <c r="M411" s="258">
        <f>IFERROR(__xludf.DUMMYFUNCTION("""COMPUTED_VALUE"""),0.0)</f>
        <v>0</v>
      </c>
      <c r="N411" s="258">
        <f>IFERROR(__xludf.DUMMYFUNCTION("""COMPUTED_VALUE"""),0.0)</f>
        <v>0</v>
      </c>
      <c r="O411" s="258">
        <f>IFERROR(__xludf.DUMMYFUNCTION("""COMPUTED_VALUE"""),0.0)</f>
        <v>0</v>
      </c>
      <c r="P411" s="258">
        <f>IFERROR(__xludf.DUMMYFUNCTION("""COMPUTED_VALUE"""),0.0)</f>
        <v>0</v>
      </c>
      <c r="Q411" s="258">
        <f>IFERROR(__xludf.DUMMYFUNCTION("""COMPUTED_VALUE"""),0.0)</f>
        <v>0</v>
      </c>
      <c r="R411" s="259"/>
      <c r="S411" s="260"/>
      <c r="T411" s="261"/>
      <c r="U411" s="262"/>
      <c r="V411" s="250"/>
      <c r="W411" s="250"/>
      <c r="X411" s="250"/>
      <c r="Y411" s="250"/>
      <c r="Z411" s="250"/>
      <c r="AA411" s="250"/>
      <c r="AB411" s="250"/>
      <c r="AC411" s="250"/>
      <c r="AD411" s="250"/>
      <c r="AE411" s="250"/>
      <c r="AF411" s="250"/>
      <c r="AG411" s="250"/>
      <c r="AH411" s="250"/>
      <c r="AI411" s="250"/>
      <c r="AJ411" s="250"/>
      <c r="AK411" s="250"/>
      <c r="AL411" s="250"/>
      <c r="AM411" s="250"/>
      <c r="AN411" s="250"/>
    </row>
    <row r="412" ht="15.75" customHeight="1">
      <c r="A412" s="250"/>
      <c r="B412" s="251">
        <f>IFERROR(__xludf.DUMMYFUNCTION("""COMPUTED_VALUE"""),404.0)</f>
        <v>404</v>
      </c>
      <c r="C412" s="252"/>
      <c r="D412" s="253" t="str">
        <f>IFERROR(__xludf.DUMMYFUNCTION("""COMPUTED_VALUE"""),"")</f>
        <v/>
      </c>
      <c r="E412" s="254">
        <f>IFERROR(__xludf.DUMMYFUNCTION("""COMPUTED_VALUE"""),0.0)</f>
        <v>0</v>
      </c>
      <c r="F412" s="255"/>
      <c r="G412" s="256"/>
      <c r="H412" s="252">
        <f>IFERROR(__xludf.DUMMYFUNCTION("""COMPUTED_VALUE"""),0.0)</f>
        <v>0</v>
      </c>
      <c r="I412" s="258"/>
      <c r="J412" s="258"/>
      <c r="K412" s="257">
        <f>IFERROR(__xludf.DUMMYFUNCTION("""COMPUTED_VALUE"""),0.0)</f>
        <v>0</v>
      </c>
      <c r="L412" s="258">
        <f>IFERROR(__xludf.DUMMYFUNCTION("""COMPUTED_VALUE"""),0.0)</f>
        <v>0</v>
      </c>
      <c r="M412" s="258">
        <f>IFERROR(__xludf.DUMMYFUNCTION("""COMPUTED_VALUE"""),0.0)</f>
        <v>0</v>
      </c>
      <c r="N412" s="258">
        <f>IFERROR(__xludf.DUMMYFUNCTION("""COMPUTED_VALUE"""),0.0)</f>
        <v>0</v>
      </c>
      <c r="O412" s="258">
        <f>IFERROR(__xludf.DUMMYFUNCTION("""COMPUTED_VALUE"""),0.0)</f>
        <v>0</v>
      </c>
      <c r="P412" s="258">
        <f>IFERROR(__xludf.DUMMYFUNCTION("""COMPUTED_VALUE"""),0.0)</f>
        <v>0</v>
      </c>
      <c r="Q412" s="258">
        <f>IFERROR(__xludf.DUMMYFUNCTION("""COMPUTED_VALUE"""),0.0)</f>
        <v>0</v>
      </c>
      <c r="R412" s="259"/>
      <c r="S412" s="260"/>
      <c r="T412" s="261"/>
      <c r="U412" s="262"/>
      <c r="V412" s="250"/>
      <c r="W412" s="250"/>
      <c r="X412" s="250"/>
      <c r="Y412" s="250"/>
      <c r="Z412" s="250"/>
      <c r="AA412" s="250"/>
      <c r="AB412" s="250"/>
      <c r="AC412" s="250"/>
      <c r="AD412" s="250"/>
      <c r="AE412" s="250"/>
      <c r="AF412" s="250"/>
      <c r="AG412" s="250"/>
      <c r="AH412" s="250"/>
      <c r="AI412" s="250"/>
      <c r="AJ412" s="250"/>
      <c r="AK412" s="250"/>
      <c r="AL412" s="250"/>
      <c r="AM412" s="250"/>
      <c r="AN412" s="250"/>
    </row>
    <row r="413" ht="15.75" customHeight="1">
      <c r="A413" s="250"/>
      <c r="B413" s="251">
        <f>IFERROR(__xludf.DUMMYFUNCTION("""COMPUTED_VALUE"""),405.0)</f>
        <v>405</v>
      </c>
      <c r="C413" s="252"/>
      <c r="D413" s="253" t="str">
        <f>IFERROR(__xludf.DUMMYFUNCTION("""COMPUTED_VALUE"""),"")</f>
        <v/>
      </c>
      <c r="E413" s="254">
        <f>IFERROR(__xludf.DUMMYFUNCTION("""COMPUTED_VALUE"""),0.0)</f>
        <v>0</v>
      </c>
      <c r="F413" s="255"/>
      <c r="G413" s="256"/>
      <c r="H413" s="252">
        <f>IFERROR(__xludf.DUMMYFUNCTION("""COMPUTED_VALUE"""),0.0)</f>
        <v>0</v>
      </c>
      <c r="I413" s="258"/>
      <c r="J413" s="258"/>
      <c r="K413" s="257">
        <f>IFERROR(__xludf.DUMMYFUNCTION("""COMPUTED_VALUE"""),0.0)</f>
        <v>0</v>
      </c>
      <c r="L413" s="258">
        <f>IFERROR(__xludf.DUMMYFUNCTION("""COMPUTED_VALUE"""),0.0)</f>
        <v>0</v>
      </c>
      <c r="M413" s="258">
        <f>IFERROR(__xludf.DUMMYFUNCTION("""COMPUTED_VALUE"""),0.0)</f>
        <v>0</v>
      </c>
      <c r="N413" s="258">
        <f>IFERROR(__xludf.DUMMYFUNCTION("""COMPUTED_VALUE"""),0.0)</f>
        <v>0</v>
      </c>
      <c r="O413" s="258">
        <f>IFERROR(__xludf.DUMMYFUNCTION("""COMPUTED_VALUE"""),0.0)</f>
        <v>0</v>
      </c>
      <c r="P413" s="258">
        <f>IFERROR(__xludf.DUMMYFUNCTION("""COMPUTED_VALUE"""),0.0)</f>
        <v>0</v>
      </c>
      <c r="Q413" s="258">
        <f>IFERROR(__xludf.DUMMYFUNCTION("""COMPUTED_VALUE"""),0.0)</f>
        <v>0</v>
      </c>
      <c r="R413" s="259"/>
      <c r="S413" s="260"/>
      <c r="T413" s="261"/>
      <c r="U413" s="262"/>
      <c r="V413" s="250"/>
      <c r="W413" s="250"/>
      <c r="X413" s="250"/>
      <c r="Y413" s="250"/>
      <c r="Z413" s="250"/>
      <c r="AA413" s="250"/>
      <c r="AB413" s="250"/>
      <c r="AC413" s="250"/>
      <c r="AD413" s="250"/>
      <c r="AE413" s="250"/>
      <c r="AF413" s="250"/>
      <c r="AG413" s="250"/>
      <c r="AH413" s="250"/>
      <c r="AI413" s="250"/>
      <c r="AJ413" s="250"/>
      <c r="AK413" s="250"/>
      <c r="AL413" s="250"/>
      <c r="AM413" s="250"/>
      <c r="AN413" s="250"/>
    </row>
    <row r="414" ht="15.75" customHeight="1">
      <c r="A414" s="250"/>
      <c r="B414" s="251">
        <f>IFERROR(__xludf.DUMMYFUNCTION("""COMPUTED_VALUE"""),406.0)</f>
        <v>406</v>
      </c>
      <c r="C414" s="252"/>
      <c r="D414" s="253" t="str">
        <f>IFERROR(__xludf.DUMMYFUNCTION("""COMPUTED_VALUE"""),"")</f>
        <v/>
      </c>
      <c r="E414" s="254">
        <f>IFERROR(__xludf.DUMMYFUNCTION("""COMPUTED_VALUE"""),0.0)</f>
        <v>0</v>
      </c>
      <c r="F414" s="255"/>
      <c r="G414" s="256"/>
      <c r="H414" s="252">
        <f>IFERROR(__xludf.DUMMYFUNCTION("""COMPUTED_VALUE"""),0.0)</f>
        <v>0</v>
      </c>
      <c r="I414" s="258"/>
      <c r="J414" s="258"/>
      <c r="K414" s="257">
        <f>IFERROR(__xludf.DUMMYFUNCTION("""COMPUTED_VALUE"""),0.0)</f>
        <v>0</v>
      </c>
      <c r="L414" s="258">
        <f>IFERROR(__xludf.DUMMYFUNCTION("""COMPUTED_VALUE"""),0.0)</f>
        <v>0</v>
      </c>
      <c r="M414" s="258">
        <f>IFERROR(__xludf.DUMMYFUNCTION("""COMPUTED_VALUE"""),0.0)</f>
        <v>0</v>
      </c>
      <c r="N414" s="258">
        <f>IFERROR(__xludf.DUMMYFUNCTION("""COMPUTED_VALUE"""),0.0)</f>
        <v>0</v>
      </c>
      <c r="O414" s="258">
        <f>IFERROR(__xludf.DUMMYFUNCTION("""COMPUTED_VALUE"""),0.0)</f>
        <v>0</v>
      </c>
      <c r="P414" s="258">
        <f>IFERROR(__xludf.DUMMYFUNCTION("""COMPUTED_VALUE"""),0.0)</f>
        <v>0</v>
      </c>
      <c r="Q414" s="258">
        <f>IFERROR(__xludf.DUMMYFUNCTION("""COMPUTED_VALUE"""),0.0)</f>
        <v>0</v>
      </c>
      <c r="R414" s="259"/>
      <c r="S414" s="260"/>
      <c r="T414" s="261"/>
      <c r="U414" s="262"/>
      <c r="V414" s="250"/>
      <c r="W414" s="250"/>
      <c r="X414" s="250"/>
      <c r="Y414" s="250"/>
      <c r="Z414" s="250"/>
      <c r="AA414" s="250"/>
      <c r="AB414" s="250"/>
      <c r="AC414" s="250"/>
      <c r="AD414" s="250"/>
      <c r="AE414" s="250"/>
      <c r="AF414" s="250"/>
      <c r="AG414" s="250"/>
      <c r="AH414" s="250"/>
      <c r="AI414" s="250"/>
      <c r="AJ414" s="250"/>
      <c r="AK414" s="250"/>
      <c r="AL414" s="250"/>
      <c r="AM414" s="250"/>
      <c r="AN414" s="250"/>
    </row>
    <row r="415" ht="15.75" customHeight="1">
      <c r="A415" s="250"/>
      <c r="B415" s="251">
        <f>IFERROR(__xludf.DUMMYFUNCTION("""COMPUTED_VALUE"""),407.0)</f>
        <v>407</v>
      </c>
      <c r="C415" s="252"/>
      <c r="D415" s="253" t="str">
        <f>IFERROR(__xludf.DUMMYFUNCTION("""COMPUTED_VALUE"""),"")</f>
        <v/>
      </c>
      <c r="E415" s="254">
        <f>IFERROR(__xludf.DUMMYFUNCTION("""COMPUTED_VALUE"""),0.0)</f>
        <v>0</v>
      </c>
      <c r="F415" s="255"/>
      <c r="G415" s="256"/>
      <c r="H415" s="252">
        <f>IFERROR(__xludf.DUMMYFUNCTION("""COMPUTED_VALUE"""),0.0)</f>
        <v>0</v>
      </c>
      <c r="I415" s="258"/>
      <c r="J415" s="258"/>
      <c r="K415" s="257">
        <f>IFERROR(__xludf.DUMMYFUNCTION("""COMPUTED_VALUE"""),0.0)</f>
        <v>0</v>
      </c>
      <c r="L415" s="258">
        <f>IFERROR(__xludf.DUMMYFUNCTION("""COMPUTED_VALUE"""),0.0)</f>
        <v>0</v>
      </c>
      <c r="M415" s="258">
        <f>IFERROR(__xludf.DUMMYFUNCTION("""COMPUTED_VALUE"""),0.0)</f>
        <v>0</v>
      </c>
      <c r="N415" s="258">
        <f>IFERROR(__xludf.DUMMYFUNCTION("""COMPUTED_VALUE"""),0.0)</f>
        <v>0</v>
      </c>
      <c r="O415" s="258">
        <f>IFERROR(__xludf.DUMMYFUNCTION("""COMPUTED_VALUE"""),0.0)</f>
        <v>0</v>
      </c>
      <c r="P415" s="258">
        <f>IFERROR(__xludf.DUMMYFUNCTION("""COMPUTED_VALUE"""),0.0)</f>
        <v>0</v>
      </c>
      <c r="Q415" s="258">
        <f>IFERROR(__xludf.DUMMYFUNCTION("""COMPUTED_VALUE"""),0.0)</f>
        <v>0</v>
      </c>
      <c r="R415" s="259"/>
      <c r="S415" s="260"/>
      <c r="T415" s="261"/>
      <c r="U415" s="262"/>
      <c r="V415" s="250"/>
      <c r="W415" s="250"/>
      <c r="X415" s="250"/>
      <c r="Y415" s="250"/>
      <c r="Z415" s="250"/>
      <c r="AA415" s="250"/>
      <c r="AB415" s="250"/>
      <c r="AC415" s="250"/>
      <c r="AD415" s="250"/>
      <c r="AE415" s="250"/>
      <c r="AF415" s="250"/>
      <c r="AG415" s="250"/>
      <c r="AH415" s="250"/>
      <c r="AI415" s="250"/>
      <c r="AJ415" s="250"/>
      <c r="AK415" s="250"/>
      <c r="AL415" s="250"/>
      <c r="AM415" s="250"/>
      <c r="AN415" s="250"/>
    </row>
    <row r="416" ht="15.75" customHeight="1">
      <c r="A416" s="250"/>
      <c r="B416" s="251">
        <f>IFERROR(__xludf.DUMMYFUNCTION("""COMPUTED_VALUE"""),408.0)</f>
        <v>408</v>
      </c>
      <c r="C416" s="252"/>
      <c r="D416" s="253" t="str">
        <f>IFERROR(__xludf.DUMMYFUNCTION("""COMPUTED_VALUE"""),"")</f>
        <v/>
      </c>
      <c r="E416" s="254">
        <f>IFERROR(__xludf.DUMMYFUNCTION("""COMPUTED_VALUE"""),0.0)</f>
        <v>0</v>
      </c>
      <c r="F416" s="255"/>
      <c r="G416" s="256"/>
      <c r="H416" s="252">
        <f>IFERROR(__xludf.DUMMYFUNCTION("""COMPUTED_VALUE"""),0.0)</f>
        <v>0</v>
      </c>
      <c r="I416" s="258"/>
      <c r="J416" s="258"/>
      <c r="K416" s="257">
        <f>IFERROR(__xludf.DUMMYFUNCTION("""COMPUTED_VALUE"""),0.0)</f>
        <v>0</v>
      </c>
      <c r="L416" s="258">
        <f>IFERROR(__xludf.DUMMYFUNCTION("""COMPUTED_VALUE"""),0.0)</f>
        <v>0</v>
      </c>
      <c r="M416" s="258">
        <f>IFERROR(__xludf.DUMMYFUNCTION("""COMPUTED_VALUE"""),0.0)</f>
        <v>0</v>
      </c>
      <c r="N416" s="258">
        <f>IFERROR(__xludf.DUMMYFUNCTION("""COMPUTED_VALUE"""),0.0)</f>
        <v>0</v>
      </c>
      <c r="O416" s="258">
        <f>IFERROR(__xludf.DUMMYFUNCTION("""COMPUTED_VALUE"""),0.0)</f>
        <v>0</v>
      </c>
      <c r="P416" s="258">
        <f>IFERROR(__xludf.DUMMYFUNCTION("""COMPUTED_VALUE"""),0.0)</f>
        <v>0</v>
      </c>
      <c r="Q416" s="258">
        <f>IFERROR(__xludf.DUMMYFUNCTION("""COMPUTED_VALUE"""),0.0)</f>
        <v>0</v>
      </c>
      <c r="R416" s="259"/>
      <c r="S416" s="260"/>
      <c r="T416" s="261"/>
      <c r="U416" s="262"/>
      <c r="V416" s="250"/>
      <c r="W416" s="250"/>
      <c r="X416" s="250"/>
      <c r="Y416" s="250"/>
      <c r="Z416" s="250"/>
      <c r="AA416" s="250"/>
      <c r="AB416" s="250"/>
      <c r="AC416" s="250"/>
      <c r="AD416" s="250"/>
      <c r="AE416" s="250"/>
      <c r="AF416" s="250"/>
      <c r="AG416" s="250"/>
      <c r="AH416" s="250"/>
      <c r="AI416" s="250"/>
      <c r="AJ416" s="250"/>
      <c r="AK416" s="250"/>
      <c r="AL416" s="250"/>
      <c r="AM416" s="250"/>
      <c r="AN416" s="250"/>
    </row>
    <row r="417" ht="15.75" customHeight="1">
      <c r="A417" s="250"/>
      <c r="B417" s="251">
        <f>IFERROR(__xludf.DUMMYFUNCTION("""COMPUTED_VALUE"""),409.0)</f>
        <v>409</v>
      </c>
      <c r="C417" s="252"/>
      <c r="D417" s="253" t="str">
        <f>IFERROR(__xludf.DUMMYFUNCTION("""COMPUTED_VALUE"""),"")</f>
        <v/>
      </c>
      <c r="E417" s="254">
        <f>IFERROR(__xludf.DUMMYFUNCTION("""COMPUTED_VALUE"""),0.0)</f>
        <v>0</v>
      </c>
      <c r="F417" s="255"/>
      <c r="G417" s="256"/>
      <c r="H417" s="252">
        <f>IFERROR(__xludf.DUMMYFUNCTION("""COMPUTED_VALUE"""),0.0)</f>
        <v>0</v>
      </c>
      <c r="I417" s="258"/>
      <c r="J417" s="258"/>
      <c r="K417" s="257">
        <f>IFERROR(__xludf.DUMMYFUNCTION("""COMPUTED_VALUE"""),0.0)</f>
        <v>0</v>
      </c>
      <c r="L417" s="258">
        <f>IFERROR(__xludf.DUMMYFUNCTION("""COMPUTED_VALUE"""),0.0)</f>
        <v>0</v>
      </c>
      <c r="M417" s="258">
        <f>IFERROR(__xludf.DUMMYFUNCTION("""COMPUTED_VALUE"""),0.0)</f>
        <v>0</v>
      </c>
      <c r="N417" s="258">
        <f>IFERROR(__xludf.DUMMYFUNCTION("""COMPUTED_VALUE"""),0.0)</f>
        <v>0</v>
      </c>
      <c r="O417" s="258">
        <f>IFERROR(__xludf.DUMMYFUNCTION("""COMPUTED_VALUE"""),0.0)</f>
        <v>0</v>
      </c>
      <c r="P417" s="258">
        <f>IFERROR(__xludf.DUMMYFUNCTION("""COMPUTED_VALUE"""),0.0)</f>
        <v>0</v>
      </c>
      <c r="Q417" s="258">
        <f>IFERROR(__xludf.DUMMYFUNCTION("""COMPUTED_VALUE"""),0.0)</f>
        <v>0</v>
      </c>
      <c r="R417" s="259"/>
      <c r="S417" s="260"/>
      <c r="T417" s="261"/>
      <c r="U417" s="262"/>
      <c r="V417" s="250"/>
      <c r="W417" s="250"/>
      <c r="X417" s="250"/>
      <c r="Y417" s="250"/>
      <c r="Z417" s="250"/>
      <c r="AA417" s="250"/>
      <c r="AB417" s="250"/>
      <c r="AC417" s="250"/>
      <c r="AD417" s="250"/>
      <c r="AE417" s="250"/>
      <c r="AF417" s="250"/>
      <c r="AG417" s="250"/>
      <c r="AH417" s="250"/>
      <c r="AI417" s="250"/>
      <c r="AJ417" s="250"/>
      <c r="AK417" s="250"/>
      <c r="AL417" s="250"/>
      <c r="AM417" s="250"/>
      <c r="AN417" s="250"/>
    </row>
    <row r="418" ht="15.75" customHeight="1">
      <c r="A418" s="250"/>
      <c r="B418" s="251">
        <f>IFERROR(__xludf.DUMMYFUNCTION("""COMPUTED_VALUE"""),410.0)</f>
        <v>410</v>
      </c>
      <c r="C418" s="252"/>
      <c r="D418" s="253" t="str">
        <f>IFERROR(__xludf.DUMMYFUNCTION("""COMPUTED_VALUE"""),"")</f>
        <v/>
      </c>
      <c r="E418" s="254">
        <f>IFERROR(__xludf.DUMMYFUNCTION("""COMPUTED_VALUE"""),0.0)</f>
        <v>0</v>
      </c>
      <c r="F418" s="255"/>
      <c r="G418" s="256"/>
      <c r="H418" s="252">
        <f>IFERROR(__xludf.DUMMYFUNCTION("""COMPUTED_VALUE"""),0.0)</f>
        <v>0</v>
      </c>
      <c r="I418" s="258"/>
      <c r="J418" s="258"/>
      <c r="K418" s="257">
        <f>IFERROR(__xludf.DUMMYFUNCTION("""COMPUTED_VALUE"""),0.0)</f>
        <v>0</v>
      </c>
      <c r="L418" s="258">
        <f>IFERROR(__xludf.DUMMYFUNCTION("""COMPUTED_VALUE"""),0.0)</f>
        <v>0</v>
      </c>
      <c r="M418" s="258">
        <f>IFERROR(__xludf.DUMMYFUNCTION("""COMPUTED_VALUE"""),0.0)</f>
        <v>0</v>
      </c>
      <c r="N418" s="258">
        <f>IFERROR(__xludf.DUMMYFUNCTION("""COMPUTED_VALUE"""),0.0)</f>
        <v>0</v>
      </c>
      <c r="O418" s="258">
        <f>IFERROR(__xludf.DUMMYFUNCTION("""COMPUTED_VALUE"""),0.0)</f>
        <v>0</v>
      </c>
      <c r="P418" s="258">
        <f>IFERROR(__xludf.DUMMYFUNCTION("""COMPUTED_VALUE"""),0.0)</f>
        <v>0</v>
      </c>
      <c r="Q418" s="258">
        <f>IFERROR(__xludf.DUMMYFUNCTION("""COMPUTED_VALUE"""),0.0)</f>
        <v>0</v>
      </c>
      <c r="R418" s="259"/>
      <c r="S418" s="260"/>
      <c r="T418" s="261"/>
      <c r="U418" s="262"/>
      <c r="V418" s="250"/>
      <c r="W418" s="250"/>
      <c r="X418" s="250"/>
      <c r="Y418" s="250"/>
      <c r="Z418" s="250"/>
      <c r="AA418" s="250"/>
      <c r="AB418" s="250"/>
      <c r="AC418" s="250"/>
      <c r="AD418" s="250"/>
      <c r="AE418" s="250"/>
      <c r="AF418" s="250"/>
      <c r="AG418" s="250"/>
      <c r="AH418" s="250"/>
      <c r="AI418" s="250"/>
      <c r="AJ418" s="250"/>
      <c r="AK418" s="250"/>
      <c r="AL418" s="250"/>
      <c r="AM418" s="250"/>
      <c r="AN418" s="250"/>
    </row>
    <row r="419" ht="15.75" customHeight="1">
      <c r="A419" s="250"/>
      <c r="B419" s="251">
        <f>IFERROR(__xludf.DUMMYFUNCTION("""COMPUTED_VALUE"""),411.0)</f>
        <v>411</v>
      </c>
      <c r="C419" s="252"/>
      <c r="D419" s="253" t="str">
        <f>IFERROR(__xludf.DUMMYFUNCTION("""COMPUTED_VALUE"""),"")</f>
        <v/>
      </c>
      <c r="E419" s="254">
        <f>IFERROR(__xludf.DUMMYFUNCTION("""COMPUTED_VALUE"""),0.0)</f>
        <v>0</v>
      </c>
      <c r="F419" s="255"/>
      <c r="G419" s="256"/>
      <c r="H419" s="252">
        <f>IFERROR(__xludf.DUMMYFUNCTION("""COMPUTED_VALUE"""),0.0)</f>
        <v>0</v>
      </c>
      <c r="I419" s="258"/>
      <c r="J419" s="258"/>
      <c r="K419" s="257">
        <f>IFERROR(__xludf.DUMMYFUNCTION("""COMPUTED_VALUE"""),0.0)</f>
        <v>0</v>
      </c>
      <c r="L419" s="258">
        <f>IFERROR(__xludf.DUMMYFUNCTION("""COMPUTED_VALUE"""),0.0)</f>
        <v>0</v>
      </c>
      <c r="M419" s="258">
        <f>IFERROR(__xludf.DUMMYFUNCTION("""COMPUTED_VALUE"""),0.0)</f>
        <v>0</v>
      </c>
      <c r="N419" s="258">
        <f>IFERROR(__xludf.DUMMYFUNCTION("""COMPUTED_VALUE"""),0.0)</f>
        <v>0</v>
      </c>
      <c r="O419" s="258">
        <f>IFERROR(__xludf.DUMMYFUNCTION("""COMPUTED_VALUE"""),0.0)</f>
        <v>0</v>
      </c>
      <c r="P419" s="258">
        <f>IFERROR(__xludf.DUMMYFUNCTION("""COMPUTED_VALUE"""),0.0)</f>
        <v>0</v>
      </c>
      <c r="Q419" s="258">
        <f>IFERROR(__xludf.DUMMYFUNCTION("""COMPUTED_VALUE"""),0.0)</f>
        <v>0</v>
      </c>
      <c r="R419" s="259"/>
      <c r="S419" s="260"/>
      <c r="T419" s="261"/>
      <c r="U419" s="262"/>
      <c r="V419" s="250"/>
      <c r="W419" s="250"/>
      <c r="X419" s="250"/>
      <c r="Y419" s="250"/>
      <c r="Z419" s="250"/>
      <c r="AA419" s="250"/>
      <c r="AB419" s="250"/>
      <c r="AC419" s="250"/>
      <c r="AD419" s="250"/>
      <c r="AE419" s="250"/>
      <c r="AF419" s="250"/>
      <c r="AG419" s="250"/>
      <c r="AH419" s="250"/>
      <c r="AI419" s="250"/>
      <c r="AJ419" s="250"/>
      <c r="AK419" s="250"/>
      <c r="AL419" s="250"/>
      <c r="AM419" s="250"/>
      <c r="AN419" s="250"/>
    </row>
    <row r="420" ht="15.75" customHeight="1">
      <c r="A420" s="250"/>
      <c r="B420" s="251">
        <f>IFERROR(__xludf.DUMMYFUNCTION("""COMPUTED_VALUE"""),412.0)</f>
        <v>412</v>
      </c>
      <c r="C420" s="252"/>
      <c r="D420" s="253" t="str">
        <f>IFERROR(__xludf.DUMMYFUNCTION("""COMPUTED_VALUE"""),"")</f>
        <v/>
      </c>
      <c r="E420" s="254">
        <f>IFERROR(__xludf.DUMMYFUNCTION("""COMPUTED_VALUE"""),0.0)</f>
        <v>0</v>
      </c>
      <c r="F420" s="255"/>
      <c r="G420" s="256"/>
      <c r="H420" s="252">
        <f>IFERROR(__xludf.DUMMYFUNCTION("""COMPUTED_VALUE"""),0.0)</f>
        <v>0</v>
      </c>
      <c r="I420" s="258"/>
      <c r="J420" s="258"/>
      <c r="K420" s="257">
        <f>IFERROR(__xludf.DUMMYFUNCTION("""COMPUTED_VALUE"""),0.0)</f>
        <v>0</v>
      </c>
      <c r="L420" s="258">
        <f>IFERROR(__xludf.DUMMYFUNCTION("""COMPUTED_VALUE"""),0.0)</f>
        <v>0</v>
      </c>
      <c r="M420" s="258">
        <f>IFERROR(__xludf.DUMMYFUNCTION("""COMPUTED_VALUE"""),0.0)</f>
        <v>0</v>
      </c>
      <c r="N420" s="258">
        <f>IFERROR(__xludf.DUMMYFUNCTION("""COMPUTED_VALUE"""),0.0)</f>
        <v>0</v>
      </c>
      <c r="O420" s="258">
        <f>IFERROR(__xludf.DUMMYFUNCTION("""COMPUTED_VALUE"""),0.0)</f>
        <v>0</v>
      </c>
      <c r="P420" s="258">
        <f>IFERROR(__xludf.DUMMYFUNCTION("""COMPUTED_VALUE"""),0.0)</f>
        <v>0</v>
      </c>
      <c r="Q420" s="258">
        <f>IFERROR(__xludf.DUMMYFUNCTION("""COMPUTED_VALUE"""),0.0)</f>
        <v>0</v>
      </c>
      <c r="R420" s="259"/>
      <c r="S420" s="260"/>
      <c r="T420" s="261"/>
      <c r="U420" s="262"/>
      <c r="V420" s="250"/>
      <c r="W420" s="250"/>
      <c r="X420" s="250"/>
      <c r="Y420" s="250"/>
      <c r="Z420" s="250"/>
      <c r="AA420" s="250"/>
      <c r="AB420" s="250"/>
      <c r="AC420" s="250"/>
      <c r="AD420" s="250"/>
      <c r="AE420" s="250"/>
      <c r="AF420" s="250"/>
      <c r="AG420" s="250"/>
      <c r="AH420" s="250"/>
      <c r="AI420" s="250"/>
      <c r="AJ420" s="250"/>
      <c r="AK420" s="250"/>
      <c r="AL420" s="250"/>
      <c r="AM420" s="250"/>
      <c r="AN420" s="250"/>
    </row>
    <row r="421" ht="15.75" customHeight="1">
      <c r="A421" s="250"/>
      <c r="B421" s="251">
        <f>IFERROR(__xludf.DUMMYFUNCTION("""COMPUTED_VALUE"""),413.0)</f>
        <v>413</v>
      </c>
      <c r="C421" s="252"/>
      <c r="D421" s="253" t="str">
        <f>IFERROR(__xludf.DUMMYFUNCTION("""COMPUTED_VALUE"""),"")</f>
        <v/>
      </c>
      <c r="E421" s="254">
        <f>IFERROR(__xludf.DUMMYFUNCTION("""COMPUTED_VALUE"""),0.0)</f>
        <v>0</v>
      </c>
      <c r="F421" s="255"/>
      <c r="G421" s="256"/>
      <c r="H421" s="252">
        <f>IFERROR(__xludf.DUMMYFUNCTION("""COMPUTED_VALUE"""),0.0)</f>
        <v>0</v>
      </c>
      <c r="I421" s="258"/>
      <c r="J421" s="258"/>
      <c r="K421" s="257">
        <f>IFERROR(__xludf.DUMMYFUNCTION("""COMPUTED_VALUE"""),0.0)</f>
        <v>0</v>
      </c>
      <c r="L421" s="258">
        <f>IFERROR(__xludf.DUMMYFUNCTION("""COMPUTED_VALUE"""),0.0)</f>
        <v>0</v>
      </c>
      <c r="M421" s="258">
        <f>IFERROR(__xludf.DUMMYFUNCTION("""COMPUTED_VALUE"""),0.0)</f>
        <v>0</v>
      </c>
      <c r="N421" s="258">
        <f>IFERROR(__xludf.DUMMYFUNCTION("""COMPUTED_VALUE"""),0.0)</f>
        <v>0</v>
      </c>
      <c r="O421" s="258">
        <f>IFERROR(__xludf.DUMMYFUNCTION("""COMPUTED_VALUE"""),0.0)</f>
        <v>0</v>
      </c>
      <c r="P421" s="258">
        <f>IFERROR(__xludf.DUMMYFUNCTION("""COMPUTED_VALUE"""),0.0)</f>
        <v>0</v>
      </c>
      <c r="Q421" s="258">
        <f>IFERROR(__xludf.DUMMYFUNCTION("""COMPUTED_VALUE"""),0.0)</f>
        <v>0</v>
      </c>
      <c r="R421" s="259"/>
      <c r="S421" s="260"/>
      <c r="T421" s="261"/>
      <c r="U421" s="262"/>
      <c r="V421" s="250"/>
      <c r="W421" s="250"/>
      <c r="X421" s="250"/>
      <c r="Y421" s="250"/>
      <c r="Z421" s="250"/>
      <c r="AA421" s="250"/>
      <c r="AB421" s="250"/>
      <c r="AC421" s="250"/>
      <c r="AD421" s="250"/>
      <c r="AE421" s="250"/>
      <c r="AF421" s="250"/>
      <c r="AG421" s="250"/>
      <c r="AH421" s="250"/>
      <c r="AI421" s="250"/>
      <c r="AJ421" s="250"/>
      <c r="AK421" s="250"/>
      <c r="AL421" s="250"/>
      <c r="AM421" s="250"/>
      <c r="AN421" s="250"/>
    </row>
    <row r="422" ht="15.75" customHeight="1">
      <c r="A422" s="250"/>
      <c r="B422" s="251">
        <f>IFERROR(__xludf.DUMMYFUNCTION("""COMPUTED_VALUE"""),414.0)</f>
        <v>414</v>
      </c>
      <c r="C422" s="252"/>
      <c r="D422" s="253" t="str">
        <f>IFERROR(__xludf.DUMMYFUNCTION("""COMPUTED_VALUE"""),"")</f>
        <v/>
      </c>
      <c r="E422" s="254">
        <f>IFERROR(__xludf.DUMMYFUNCTION("""COMPUTED_VALUE"""),0.0)</f>
        <v>0</v>
      </c>
      <c r="F422" s="255"/>
      <c r="G422" s="256"/>
      <c r="H422" s="252">
        <f>IFERROR(__xludf.DUMMYFUNCTION("""COMPUTED_VALUE"""),0.0)</f>
        <v>0</v>
      </c>
      <c r="I422" s="258"/>
      <c r="J422" s="258"/>
      <c r="K422" s="257">
        <f>IFERROR(__xludf.DUMMYFUNCTION("""COMPUTED_VALUE"""),0.0)</f>
        <v>0</v>
      </c>
      <c r="L422" s="258">
        <f>IFERROR(__xludf.DUMMYFUNCTION("""COMPUTED_VALUE"""),0.0)</f>
        <v>0</v>
      </c>
      <c r="M422" s="258">
        <f>IFERROR(__xludf.DUMMYFUNCTION("""COMPUTED_VALUE"""),0.0)</f>
        <v>0</v>
      </c>
      <c r="N422" s="258">
        <f>IFERROR(__xludf.DUMMYFUNCTION("""COMPUTED_VALUE"""),0.0)</f>
        <v>0</v>
      </c>
      <c r="O422" s="258">
        <f>IFERROR(__xludf.DUMMYFUNCTION("""COMPUTED_VALUE"""),0.0)</f>
        <v>0</v>
      </c>
      <c r="P422" s="258">
        <f>IFERROR(__xludf.DUMMYFUNCTION("""COMPUTED_VALUE"""),0.0)</f>
        <v>0</v>
      </c>
      <c r="Q422" s="258">
        <f>IFERROR(__xludf.DUMMYFUNCTION("""COMPUTED_VALUE"""),0.0)</f>
        <v>0</v>
      </c>
      <c r="R422" s="259"/>
      <c r="S422" s="260"/>
      <c r="T422" s="261"/>
      <c r="U422" s="262"/>
      <c r="V422" s="250"/>
      <c r="W422" s="250"/>
      <c r="X422" s="250"/>
      <c r="Y422" s="250"/>
      <c r="Z422" s="250"/>
      <c r="AA422" s="250"/>
      <c r="AB422" s="250"/>
      <c r="AC422" s="250"/>
      <c r="AD422" s="250"/>
      <c r="AE422" s="250"/>
      <c r="AF422" s="250"/>
      <c r="AG422" s="250"/>
      <c r="AH422" s="250"/>
      <c r="AI422" s="250"/>
      <c r="AJ422" s="250"/>
      <c r="AK422" s="250"/>
      <c r="AL422" s="250"/>
      <c r="AM422" s="250"/>
      <c r="AN422" s="250"/>
    </row>
    <row r="423" ht="15.75" customHeight="1">
      <c r="A423" s="250"/>
      <c r="B423" s="251">
        <f>IFERROR(__xludf.DUMMYFUNCTION("""COMPUTED_VALUE"""),415.0)</f>
        <v>415</v>
      </c>
      <c r="C423" s="252"/>
      <c r="D423" s="253" t="str">
        <f>IFERROR(__xludf.DUMMYFUNCTION("""COMPUTED_VALUE"""),"")</f>
        <v/>
      </c>
      <c r="E423" s="254">
        <f>IFERROR(__xludf.DUMMYFUNCTION("""COMPUTED_VALUE"""),0.0)</f>
        <v>0</v>
      </c>
      <c r="F423" s="255"/>
      <c r="G423" s="256"/>
      <c r="H423" s="252">
        <f>IFERROR(__xludf.DUMMYFUNCTION("""COMPUTED_VALUE"""),0.0)</f>
        <v>0</v>
      </c>
      <c r="I423" s="258"/>
      <c r="J423" s="258"/>
      <c r="K423" s="257">
        <f>IFERROR(__xludf.DUMMYFUNCTION("""COMPUTED_VALUE"""),0.0)</f>
        <v>0</v>
      </c>
      <c r="L423" s="258">
        <f>IFERROR(__xludf.DUMMYFUNCTION("""COMPUTED_VALUE"""),0.0)</f>
        <v>0</v>
      </c>
      <c r="M423" s="258">
        <f>IFERROR(__xludf.DUMMYFUNCTION("""COMPUTED_VALUE"""),0.0)</f>
        <v>0</v>
      </c>
      <c r="N423" s="258">
        <f>IFERROR(__xludf.DUMMYFUNCTION("""COMPUTED_VALUE"""),0.0)</f>
        <v>0</v>
      </c>
      <c r="O423" s="258">
        <f>IFERROR(__xludf.DUMMYFUNCTION("""COMPUTED_VALUE"""),0.0)</f>
        <v>0</v>
      </c>
      <c r="P423" s="258">
        <f>IFERROR(__xludf.DUMMYFUNCTION("""COMPUTED_VALUE"""),0.0)</f>
        <v>0</v>
      </c>
      <c r="Q423" s="258">
        <f>IFERROR(__xludf.DUMMYFUNCTION("""COMPUTED_VALUE"""),0.0)</f>
        <v>0</v>
      </c>
      <c r="R423" s="259"/>
      <c r="S423" s="260"/>
      <c r="T423" s="261"/>
      <c r="U423" s="262"/>
      <c r="V423" s="250"/>
      <c r="W423" s="250"/>
      <c r="X423" s="250"/>
      <c r="Y423" s="250"/>
      <c r="Z423" s="250"/>
      <c r="AA423" s="250"/>
      <c r="AB423" s="250"/>
      <c r="AC423" s="250"/>
      <c r="AD423" s="250"/>
      <c r="AE423" s="250"/>
      <c r="AF423" s="250"/>
      <c r="AG423" s="250"/>
      <c r="AH423" s="250"/>
      <c r="AI423" s="250"/>
      <c r="AJ423" s="250"/>
      <c r="AK423" s="250"/>
      <c r="AL423" s="250"/>
      <c r="AM423" s="250"/>
      <c r="AN423" s="250"/>
    </row>
    <row r="424" ht="15.75" customHeight="1">
      <c r="A424" s="250"/>
      <c r="B424" s="251">
        <f>IFERROR(__xludf.DUMMYFUNCTION("""COMPUTED_VALUE"""),416.0)</f>
        <v>416</v>
      </c>
      <c r="C424" s="252"/>
      <c r="D424" s="253" t="str">
        <f>IFERROR(__xludf.DUMMYFUNCTION("""COMPUTED_VALUE"""),"")</f>
        <v/>
      </c>
      <c r="E424" s="254">
        <f>IFERROR(__xludf.DUMMYFUNCTION("""COMPUTED_VALUE"""),0.0)</f>
        <v>0</v>
      </c>
      <c r="F424" s="255"/>
      <c r="G424" s="256"/>
      <c r="H424" s="252">
        <f>IFERROR(__xludf.DUMMYFUNCTION("""COMPUTED_VALUE"""),0.0)</f>
        <v>0</v>
      </c>
      <c r="I424" s="258"/>
      <c r="J424" s="258"/>
      <c r="K424" s="257">
        <f>IFERROR(__xludf.DUMMYFUNCTION("""COMPUTED_VALUE"""),0.0)</f>
        <v>0</v>
      </c>
      <c r="L424" s="258">
        <f>IFERROR(__xludf.DUMMYFUNCTION("""COMPUTED_VALUE"""),0.0)</f>
        <v>0</v>
      </c>
      <c r="M424" s="258">
        <f>IFERROR(__xludf.DUMMYFUNCTION("""COMPUTED_VALUE"""),0.0)</f>
        <v>0</v>
      </c>
      <c r="N424" s="258">
        <f>IFERROR(__xludf.DUMMYFUNCTION("""COMPUTED_VALUE"""),0.0)</f>
        <v>0</v>
      </c>
      <c r="O424" s="258">
        <f>IFERROR(__xludf.DUMMYFUNCTION("""COMPUTED_VALUE"""),0.0)</f>
        <v>0</v>
      </c>
      <c r="P424" s="258">
        <f>IFERROR(__xludf.DUMMYFUNCTION("""COMPUTED_VALUE"""),0.0)</f>
        <v>0</v>
      </c>
      <c r="Q424" s="258">
        <f>IFERROR(__xludf.DUMMYFUNCTION("""COMPUTED_VALUE"""),0.0)</f>
        <v>0</v>
      </c>
      <c r="R424" s="259"/>
      <c r="S424" s="260"/>
      <c r="T424" s="261"/>
      <c r="U424" s="262"/>
      <c r="V424" s="250"/>
      <c r="W424" s="250"/>
      <c r="X424" s="250"/>
      <c r="Y424" s="250"/>
      <c r="Z424" s="250"/>
      <c r="AA424" s="250"/>
      <c r="AB424" s="250"/>
      <c r="AC424" s="250"/>
      <c r="AD424" s="250"/>
      <c r="AE424" s="250"/>
      <c r="AF424" s="250"/>
      <c r="AG424" s="250"/>
      <c r="AH424" s="250"/>
      <c r="AI424" s="250"/>
      <c r="AJ424" s="250"/>
      <c r="AK424" s="250"/>
      <c r="AL424" s="250"/>
      <c r="AM424" s="250"/>
      <c r="AN424" s="250"/>
    </row>
    <row r="425" ht="15.75" customHeight="1">
      <c r="A425" s="250"/>
      <c r="B425" s="251">
        <f>IFERROR(__xludf.DUMMYFUNCTION("""COMPUTED_VALUE"""),417.0)</f>
        <v>417</v>
      </c>
      <c r="C425" s="252"/>
      <c r="D425" s="253" t="str">
        <f>IFERROR(__xludf.DUMMYFUNCTION("""COMPUTED_VALUE"""),"")</f>
        <v/>
      </c>
      <c r="E425" s="254">
        <f>IFERROR(__xludf.DUMMYFUNCTION("""COMPUTED_VALUE"""),0.0)</f>
        <v>0</v>
      </c>
      <c r="F425" s="255"/>
      <c r="G425" s="256"/>
      <c r="H425" s="252">
        <f>IFERROR(__xludf.DUMMYFUNCTION("""COMPUTED_VALUE"""),0.0)</f>
        <v>0</v>
      </c>
      <c r="I425" s="258"/>
      <c r="J425" s="258"/>
      <c r="K425" s="257">
        <f>IFERROR(__xludf.DUMMYFUNCTION("""COMPUTED_VALUE"""),0.0)</f>
        <v>0</v>
      </c>
      <c r="L425" s="258">
        <f>IFERROR(__xludf.DUMMYFUNCTION("""COMPUTED_VALUE"""),0.0)</f>
        <v>0</v>
      </c>
      <c r="M425" s="258">
        <f>IFERROR(__xludf.DUMMYFUNCTION("""COMPUTED_VALUE"""),0.0)</f>
        <v>0</v>
      </c>
      <c r="N425" s="258">
        <f>IFERROR(__xludf.DUMMYFUNCTION("""COMPUTED_VALUE"""),0.0)</f>
        <v>0</v>
      </c>
      <c r="O425" s="258">
        <f>IFERROR(__xludf.DUMMYFUNCTION("""COMPUTED_VALUE"""),0.0)</f>
        <v>0</v>
      </c>
      <c r="P425" s="258">
        <f>IFERROR(__xludf.DUMMYFUNCTION("""COMPUTED_VALUE"""),0.0)</f>
        <v>0</v>
      </c>
      <c r="Q425" s="258">
        <f>IFERROR(__xludf.DUMMYFUNCTION("""COMPUTED_VALUE"""),0.0)</f>
        <v>0</v>
      </c>
      <c r="R425" s="259"/>
      <c r="S425" s="260"/>
      <c r="T425" s="261"/>
      <c r="U425" s="262"/>
      <c r="V425" s="250"/>
      <c r="W425" s="250"/>
      <c r="X425" s="250"/>
      <c r="Y425" s="250"/>
      <c r="Z425" s="250"/>
      <c r="AA425" s="250"/>
      <c r="AB425" s="250"/>
      <c r="AC425" s="250"/>
      <c r="AD425" s="250"/>
      <c r="AE425" s="250"/>
      <c r="AF425" s="250"/>
      <c r="AG425" s="250"/>
      <c r="AH425" s="250"/>
      <c r="AI425" s="250"/>
      <c r="AJ425" s="250"/>
      <c r="AK425" s="250"/>
      <c r="AL425" s="250"/>
      <c r="AM425" s="250"/>
      <c r="AN425" s="250"/>
    </row>
    <row r="426" ht="15.75" customHeight="1">
      <c r="A426" s="250"/>
      <c r="B426" s="251">
        <f>IFERROR(__xludf.DUMMYFUNCTION("""COMPUTED_VALUE"""),418.0)</f>
        <v>418</v>
      </c>
      <c r="C426" s="252"/>
      <c r="D426" s="253" t="str">
        <f>IFERROR(__xludf.DUMMYFUNCTION("""COMPUTED_VALUE"""),"")</f>
        <v/>
      </c>
      <c r="E426" s="254">
        <f>IFERROR(__xludf.DUMMYFUNCTION("""COMPUTED_VALUE"""),0.0)</f>
        <v>0</v>
      </c>
      <c r="F426" s="255"/>
      <c r="G426" s="256"/>
      <c r="H426" s="252">
        <f>IFERROR(__xludf.DUMMYFUNCTION("""COMPUTED_VALUE"""),0.0)</f>
        <v>0</v>
      </c>
      <c r="I426" s="258"/>
      <c r="J426" s="258"/>
      <c r="K426" s="257">
        <f>IFERROR(__xludf.DUMMYFUNCTION("""COMPUTED_VALUE"""),0.0)</f>
        <v>0</v>
      </c>
      <c r="L426" s="258">
        <f>IFERROR(__xludf.DUMMYFUNCTION("""COMPUTED_VALUE"""),0.0)</f>
        <v>0</v>
      </c>
      <c r="M426" s="258">
        <f>IFERROR(__xludf.DUMMYFUNCTION("""COMPUTED_VALUE"""),0.0)</f>
        <v>0</v>
      </c>
      <c r="N426" s="258">
        <f>IFERROR(__xludf.DUMMYFUNCTION("""COMPUTED_VALUE"""),0.0)</f>
        <v>0</v>
      </c>
      <c r="O426" s="258">
        <f>IFERROR(__xludf.DUMMYFUNCTION("""COMPUTED_VALUE"""),0.0)</f>
        <v>0</v>
      </c>
      <c r="P426" s="258">
        <f>IFERROR(__xludf.DUMMYFUNCTION("""COMPUTED_VALUE"""),0.0)</f>
        <v>0</v>
      </c>
      <c r="Q426" s="258">
        <f>IFERROR(__xludf.DUMMYFUNCTION("""COMPUTED_VALUE"""),0.0)</f>
        <v>0</v>
      </c>
      <c r="R426" s="259"/>
      <c r="S426" s="260"/>
      <c r="T426" s="261"/>
      <c r="U426" s="262"/>
      <c r="V426" s="250"/>
      <c r="W426" s="250"/>
      <c r="X426" s="250"/>
      <c r="Y426" s="250"/>
      <c r="Z426" s="250"/>
      <c r="AA426" s="250"/>
      <c r="AB426" s="250"/>
      <c r="AC426" s="250"/>
      <c r="AD426" s="250"/>
      <c r="AE426" s="250"/>
      <c r="AF426" s="250"/>
      <c r="AG426" s="250"/>
      <c r="AH426" s="250"/>
      <c r="AI426" s="250"/>
      <c r="AJ426" s="250"/>
      <c r="AK426" s="250"/>
      <c r="AL426" s="250"/>
      <c r="AM426" s="250"/>
      <c r="AN426" s="250"/>
    </row>
    <row r="427" ht="15.75" customHeight="1">
      <c r="A427" s="250"/>
      <c r="B427" s="251">
        <f>IFERROR(__xludf.DUMMYFUNCTION("""COMPUTED_VALUE"""),419.0)</f>
        <v>419</v>
      </c>
      <c r="C427" s="252"/>
      <c r="D427" s="253" t="str">
        <f>IFERROR(__xludf.DUMMYFUNCTION("""COMPUTED_VALUE"""),"")</f>
        <v/>
      </c>
      <c r="E427" s="254">
        <f>IFERROR(__xludf.DUMMYFUNCTION("""COMPUTED_VALUE"""),0.0)</f>
        <v>0</v>
      </c>
      <c r="F427" s="255"/>
      <c r="G427" s="256"/>
      <c r="H427" s="252">
        <f>IFERROR(__xludf.DUMMYFUNCTION("""COMPUTED_VALUE"""),0.0)</f>
        <v>0</v>
      </c>
      <c r="I427" s="258"/>
      <c r="J427" s="258"/>
      <c r="K427" s="257">
        <f>IFERROR(__xludf.DUMMYFUNCTION("""COMPUTED_VALUE"""),0.0)</f>
        <v>0</v>
      </c>
      <c r="L427" s="258">
        <f>IFERROR(__xludf.DUMMYFUNCTION("""COMPUTED_VALUE"""),0.0)</f>
        <v>0</v>
      </c>
      <c r="M427" s="258">
        <f>IFERROR(__xludf.DUMMYFUNCTION("""COMPUTED_VALUE"""),0.0)</f>
        <v>0</v>
      </c>
      <c r="N427" s="258">
        <f>IFERROR(__xludf.DUMMYFUNCTION("""COMPUTED_VALUE"""),0.0)</f>
        <v>0</v>
      </c>
      <c r="O427" s="258">
        <f>IFERROR(__xludf.DUMMYFUNCTION("""COMPUTED_VALUE"""),0.0)</f>
        <v>0</v>
      </c>
      <c r="P427" s="258">
        <f>IFERROR(__xludf.DUMMYFUNCTION("""COMPUTED_VALUE"""),0.0)</f>
        <v>0</v>
      </c>
      <c r="Q427" s="258">
        <f>IFERROR(__xludf.DUMMYFUNCTION("""COMPUTED_VALUE"""),0.0)</f>
        <v>0</v>
      </c>
      <c r="R427" s="259"/>
      <c r="S427" s="260"/>
      <c r="T427" s="261"/>
      <c r="U427" s="262"/>
      <c r="V427" s="250"/>
      <c r="W427" s="250"/>
      <c r="X427" s="250"/>
      <c r="Y427" s="250"/>
      <c r="Z427" s="250"/>
      <c r="AA427" s="250"/>
      <c r="AB427" s="250"/>
      <c r="AC427" s="250"/>
      <c r="AD427" s="250"/>
      <c r="AE427" s="250"/>
      <c r="AF427" s="250"/>
      <c r="AG427" s="250"/>
      <c r="AH427" s="250"/>
      <c r="AI427" s="250"/>
      <c r="AJ427" s="250"/>
      <c r="AK427" s="250"/>
      <c r="AL427" s="250"/>
      <c r="AM427" s="250"/>
      <c r="AN427" s="250"/>
    </row>
    <row r="428" ht="15.75" customHeight="1">
      <c r="A428" s="250"/>
      <c r="B428" s="251">
        <f>IFERROR(__xludf.DUMMYFUNCTION("""COMPUTED_VALUE"""),420.0)</f>
        <v>420</v>
      </c>
      <c r="C428" s="252"/>
      <c r="D428" s="253" t="str">
        <f>IFERROR(__xludf.DUMMYFUNCTION("""COMPUTED_VALUE"""),"")</f>
        <v/>
      </c>
      <c r="E428" s="254">
        <f>IFERROR(__xludf.DUMMYFUNCTION("""COMPUTED_VALUE"""),0.0)</f>
        <v>0</v>
      </c>
      <c r="F428" s="255"/>
      <c r="G428" s="256"/>
      <c r="H428" s="252">
        <f>IFERROR(__xludf.DUMMYFUNCTION("""COMPUTED_VALUE"""),0.0)</f>
        <v>0</v>
      </c>
      <c r="I428" s="258"/>
      <c r="J428" s="258"/>
      <c r="K428" s="257">
        <f>IFERROR(__xludf.DUMMYFUNCTION("""COMPUTED_VALUE"""),0.0)</f>
        <v>0</v>
      </c>
      <c r="L428" s="258">
        <f>IFERROR(__xludf.DUMMYFUNCTION("""COMPUTED_VALUE"""),0.0)</f>
        <v>0</v>
      </c>
      <c r="M428" s="258">
        <f>IFERROR(__xludf.DUMMYFUNCTION("""COMPUTED_VALUE"""),0.0)</f>
        <v>0</v>
      </c>
      <c r="N428" s="258">
        <f>IFERROR(__xludf.DUMMYFUNCTION("""COMPUTED_VALUE"""),0.0)</f>
        <v>0</v>
      </c>
      <c r="O428" s="258">
        <f>IFERROR(__xludf.DUMMYFUNCTION("""COMPUTED_VALUE"""),0.0)</f>
        <v>0</v>
      </c>
      <c r="P428" s="258">
        <f>IFERROR(__xludf.DUMMYFUNCTION("""COMPUTED_VALUE"""),0.0)</f>
        <v>0</v>
      </c>
      <c r="Q428" s="258">
        <f>IFERROR(__xludf.DUMMYFUNCTION("""COMPUTED_VALUE"""),0.0)</f>
        <v>0</v>
      </c>
      <c r="R428" s="259"/>
      <c r="S428" s="260"/>
      <c r="T428" s="261"/>
      <c r="U428" s="262"/>
      <c r="V428" s="250"/>
      <c r="W428" s="250"/>
      <c r="X428" s="250"/>
      <c r="Y428" s="250"/>
      <c r="Z428" s="250"/>
      <c r="AA428" s="250"/>
      <c r="AB428" s="250"/>
      <c r="AC428" s="250"/>
      <c r="AD428" s="250"/>
      <c r="AE428" s="250"/>
      <c r="AF428" s="250"/>
      <c r="AG428" s="250"/>
      <c r="AH428" s="250"/>
      <c r="AI428" s="250"/>
      <c r="AJ428" s="250"/>
      <c r="AK428" s="250"/>
      <c r="AL428" s="250"/>
      <c r="AM428" s="250"/>
      <c r="AN428" s="250"/>
    </row>
    <row r="429" ht="15.75" customHeight="1">
      <c r="A429" s="250"/>
      <c r="B429" s="251">
        <f>IFERROR(__xludf.DUMMYFUNCTION("""COMPUTED_VALUE"""),421.0)</f>
        <v>421</v>
      </c>
      <c r="C429" s="252"/>
      <c r="D429" s="253" t="str">
        <f>IFERROR(__xludf.DUMMYFUNCTION("""COMPUTED_VALUE"""),"")</f>
        <v/>
      </c>
      <c r="E429" s="254">
        <f>IFERROR(__xludf.DUMMYFUNCTION("""COMPUTED_VALUE"""),0.0)</f>
        <v>0</v>
      </c>
      <c r="F429" s="255"/>
      <c r="G429" s="256"/>
      <c r="H429" s="252">
        <f>IFERROR(__xludf.DUMMYFUNCTION("""COMPUTED_VALUE"""),0.0)</f>
        <v>0</v>
      </c>
      <c r="I429" s="258"/>
      <c r="J429" s="258"/>
      <c r="K429" s="257">
        <f>IFERROR(__xludf.DUMMYFUNCTION("""COMPUTED_VALUE"""),0.0)</f>
        <v>0</v>
      </c>
      <c r="L429" s="258">
        <f>IFERROR(__xludf.DUMMYFUNCTION("""COMPUTED_VALUE"""),0.0)</f>
        <v>0</v>
      </c>
      <c r="M429" s="258">
        <f>IFERROR(__xludf.DUMMYFUNCTION("""COMPUTED_VALUE"""),0.0)</f>
        <v>0</v>
      </c>
      <c r="N429" s="258">
        <f>IFERROR(__xludf.DUMMYFUNCTION("""COMPUTED_VALUE"""),0.0)</f>
        <v>0</v>
      </c>
      <c r="O429" s="258">
        <f>IFERROR(__xludf.DUMMYFUNCTION("""COMPUTED_VALUE"""),0.0)</f>
        <v>0</v>
      </c>
      <c r="P429" s="258">
        <f>IFERROR(__xludf.DUMMYFUNCTION("""COMPUTED_VALUE"""),0.0)</f>
        <v>0</v>
      </c>
      <c r="Q429" s="258">
        <f>IFERROR(__xludf.DUMMYFUNCTION("""COMPUTED_VALUE"""),0.0)</f>
        <v>0</v>
      </c>
      <c r="R429" s="259"/>
      <c r="S429" s="260"/>
      <c r="T429" s="261"/>
      <c r="U429" s="262"/>
      <c r="V429" s="250"/>
      <c r="W429" s="250"/>
      <c r="X429" s="250"/>
      <c r="Y429" s="250"/>
      <c r="Z429" s="250"/>
      <c r="AA429" s="250"/>
      <c r="AB429" s="250"/>
      <c r="AC429" s="250"/>
      <c r="AD429" s="250"/>
      <c r="AE429" s="250"/>
      <c r="AF429" s="250"/>
      <c r="AG429" s="250"/>
      <c r="AH429" s="250"/>
      <c r="AI429" s="250"/>
      <c r="AJ429" s="250"/>
      <c r="AK429" s="250"/>
      <c r="AL429" s="250"/>
      <c r="AM429" s="250"/>
      <c r="AN429" s="250"/>
    </row>
    <row r="430" ht="15.75" customHeight="1">
      <c r="A430" s="250"/>
      <c r="B430" s="251">
        <f>IFERROR(__xludf.DUMMYFUNCTION("""COMPUTED_VALUE"""),422.0)</f>
        <v>422</v>
      </c>
      <c r="C430" s="252"/>
      <c r="D430" s="253" t="str">
        <f>IFERROR(__xludf.DUMMYFUNCTION("""COMPUTED_VALUE"""),"")</f>
        <v/>
      </c>
      <c r="E430" s="254">
        <f>IFERROR(__xludf.DUMMYFUNCTION("""COMPUTED_VALUE"""),0.0)</f>
        <v>0</v>
      </c>
      <c r="F430" s="255"/>
      <c r="G430" s="256"/>
      <c r="H430" s="252">
        <f>IFERROR(__xludf.DUMMYFUNCTION("""COMPUTED_VALUE"""),0.0)</f>
        <v>0</v>
      </c>
      <c r="I430" s="258"/>
      <c r="J430" s="258"/>
      <c r="K430" s="257">
        <f>IFERROR(__xludf.DUMMYFUNCTION("""COMPUTED_VALUE"""),0.0)</f>
        <v>0</v>
      </c>
      <c r="L430" s="258">
        <f>IFERROR(__xludf.DUMMYFUNCTION("""COMPUTED_VALUE"""),0.0)</f>
        <v>0</v>
      </c>
      <c r="M430" s="258">
        <f>IFERROR(__xludf.DUMMYFUNCTION("""COMPUTED_VALUE"""),0.0)</f>
        <v>0</v>
      </c>
      <c r="N430" s="258">
        <f>IFERROR(__xludf.DUMMYFUNCTION("""COMPUTED_VALUE"""),0.0)</f>
        <v>0</v>
      </c>
      <c r="O430" s="258">
        <f>IFERROR(__xludf.DUMMYFUNCTION("""COMPUTED_VALUE"""),0.0)</f>
        <v>0</v>
      </c>
      <c r="P430" s="258">
        <f>IFERROR(__xludf.DUMMYFUNCTION("""COMPUTED_VALUE"""),0.0)</f>
        <v>0</v>
      </c>
      <c r="Q430" s="258">
        <f>IFERROR(__xludf.DUMMYFUNCTION("""COMPUTED_VALUE"""),0.0)</f>
        <v>0</v>
      </c>
      <c r="R430" s="259"/>
      <c r="S430" s="260"/>
      <c r="T430" s="261"/>
      <c r="U430" s="262"/>
      <c r="V430" s="250"/>
      <c r="W430" s="250"/>
      <c r="X430" s="250"/>
      <c r="Y430" s="250"/>
      <c r="Z430" s="250"/>
      <c r="AA430" s="250"/>
      <c r="AB430" s="250"/>
      <c r="AC430" s="250"/>
      <c r="AD430" s="250"/>
      <c r="AE430" s="250"/>
      <c r="AF430" s="250"/>
      <c r="AG430" s="250"/>
      <c r="AH430" s="250"/>
      <c r="AI430" s="250"/>
      <c r="AJ430" s="250"/>
      <c r="AK430" s="250"/>
      <c r="AL430" s="250"/>
      <c r="AM430" s="250"/>
      <c r="AN430" s="250"/>
    </row>
    <row r="431" ht="15.75" customHeight="1">
      <c r="A431" s="250"/>
      <c r="B431" s="251">
        <f>IFERROR(__xludf.DUMMYFUNCTION("""COMPUTED_VALUE"""),423.0)</f>
        <v>423</v>
      </c>
      <c r="C431" s="252"/>
      <c r="D431" s="253" t="str">
        <f>IFERROR(__xludf.DUMMYFUNCTION("""COMPUTED_VALUE"""),"")</f>
        <v/>
      </c>
      <c r="E431" s="254">
        <f>IFERROR(__xludf.DUMMYFUNCTION("""COMPUTED_VALUE"""),0.0)</f>
        <v>0</v>
      </c>
      <c r="F431" s="255"/>
      <c r="G431" s="256"/>
      <c r="H431" s="252">
        <f>IFERROR(__xludf.DUMMYFUNCTION("""COMPUTED_VALUE"""),0.0)</f>
        <v>0</v>
      </c>
      <c r="I431" s="258"/>
      <c r="J431" s="258"/>
      <c r="K431" s="257">
        <f>IFERROR(__xludf.DUMMYFUNCTION("""COMPUTED_VALUE"""),0.0)</f>
        <v>0</v>
      </c>
      <c r="L431" s="258">
        <f>IFERROR(__xludf.DUMMYFUNCTION("""COMPUTED_VALUE"""),0.0)</f>
        <v>0</v>
      </c>
      <c r="M431" s="258">
        <f>IFERROR(__xludf.DUMMYFUNCTION("""COMPUTED_VALUE"""),0.0)</f>
        <v>0</v>
      </c>
      <c r="N431" s="258">
        <f>IFERROR(__xludf.DUMMYFUNCTION("""COMPUTED_VALUE"""),0.0)</f>
        <v>0</v>
      </c>
      <c r="O431" s="258">
        <f>IFERROR(__xludf.DUMMYFUNCTION("""COMPUTED_VALUE"""),0.0)</f>
        <v>0</v>
      </c>
      <c r="P431" s="258">
        <f>IFERROR(__xludf.DUMMYFUNCTION("""COMPUTED_VALUE"""),0.0)</f>
        <v>0</v>
      </c>
      <c r="Q431" s="258">
        <f>IFERROR(__xludf.DUMMYFUNCTION("""COMPUTED_VALUE"""),0.0)</f>
        <v>0</v>
      </c>
      <c r="R431" s="259"/>
      <c r="S431" s="260"/>
      <c r="T431" s="261"/>
      <c r="U431" s="262"/>
      <c r="V431" s="250"/>
      <c r="W431" s="250"/>
      <c r="X431" s="250"/>
      <c r="Y431" s="250"/>
      <c r="Z431" s="250"/>
      <c r="AA431" s="250"/>
      <c r="AB431" s="250"/>
      <c r="AC431" s="250"/>
      <c r="AD431" s="250"/>
      <c r="AE431" s="250"/>
      <c r="AF431" s="250"/>
      <c r="AG431" s="250"/>
      <c r="AH431" s="250"/>
      <c r="AI431" s="250"/>
      <c r="AJ431" s="250"/>
      <c r="AK431" s="250"/>
      <c r="AL431" s="250"/>
      <c r="AM431" s="250"/>
      <c r="AN431" s="250"/>
    </row>
    <row r="432" ht="15.75" customHeight="1">
      <c r="A432" s="250"/>
      <c r="B432" s="251">
        <f>IFERROR(__xludf.DUMMYFUNCTION("""COMPUTED_VALUE"""),424.0)</f>
        <v>424</v>
      </c>
      <c r="C432" s="252"/>
      <c r="D432" s="253" t="str">
        <f>IFERROR(__xludf.DUMMYFUNCTION("""COMPUTED_VALUE"""),"")</f>
        <v/>
      </c>
      <c r="E432" s="254">
        <f>IFERROR(__xludf.DUMMYFUNCTION("""COMPUTED_VALUE"""),0.0)</f>
        <v>0</v>
      </c>
      <c r="F432" s="255"/>
      <c r="G432" s="256"/>
      <c r="H432" s="252">
        <f>IFERROR(__xludf.DUMMYFUNCTION("""COMPUTED_VALUE"""),0.0)</f>
        <v>0</v>
      </c>
      <c r="I432" s="258"/>
      <c r="J432" s="258"/>
      <c r="K432" s="257">
        <f>IFERROR(__xludf.DUMMYFUNCTION("""COMPUTED_VALUE"""),0.0)</f>
        <v>0</v>
      </c>
      <c r="L432" s="258">
        <f>IFERROR(__xludf.DUMMYFUNCTION("""COMPUTED_VALUE"""),0.0)</f>
        <v>0</v>
      </c>
      <c r="M432" s="258">
        <f>IFERROR(__xludf.DUMMYFUNCTION("""COMPUTED_VALUE"""),0.0)</f>
        <v>0</v>
      </c>
      <c r="N432" s="258">
        <f>IFERROR(__xludf.DUMMYFUNCTION("""COMPUTED_VALUE"""),0.0)</f>
        <v>0</v>
      </c>
      <c r="O432" s="258">
        <f>IFERROR(__xludf.DUMMYFUNCTION("""COMPUTED_VALUE"""),0.0)</f>
        <v>0</v>
      </c>
      <c r="P432" s="258">
        <f>IFERROR(__xludf.DUMMYFUNCTION("""COMPUTED_VALUE"""),0.0)</f>
        <v>0</v>
      </c>
      <c r="Q432" s="258">
        <f>IFERROR(__xludf.DUMMYFUNCTION("""COMPUTED_VALUE"""),0.0)</f>
        <v>0</v>
      </c>
      <c r="R432" s="259"/>
      <c r="S432" s="260"/>
      <c r="T432" s="261"/>
      <c r="U432" s="262"/>
      <c r="V432" s="250"/>
      <c r="W432" s="250"/>
      <c r="X432" s="250"/>
      <c r="Y432" s="250"/>
      <c r="Z432" s="250"/>
      <c r="AA432" s="250"/>
      <c r="AB432" s="250"/>
      <c r="AC432" s="250"/>
      <c r="AD432" s="250"/>
      <c r="AE432" s="250"/>
      <c r="AF432" s="250"/>
      <c r="AG432" s="250"/>
      <c r="AH432" s="250"/>
      <c r="AI432" s="250"/>
      <c r="AJ432" s="250"/>
      <c r="AK432" s="250"/>
      <c r="AL432" s="250"/>
      <c r="AM432" s="250"/>
      <c r="AN432" s="250"/>
    </row>
    <row r="433" ht="15.75" customHeight="1">
      <c r="A433" s="250"/>
      <c r="B433" s="251">
        <f>IFERROR(__xludf.DUMMYFUNCTION("""COMPUTED_VALUE"""),425.0)</f>
        <v>425</v>
      </c>
      <c r="C433" s="252"/>
      <c r="D433" s="253" t="str">
        <f>IFERROR(__xludf.DUMMYFUNCTION("""COMPUTED_VALUE"""),"")</f>
        <v/>
      </c>
      <c r="E433" s="254">
        <f>IFERROR(__xludf.DUMMYFUNCTION("""COMPUTED_VALUE"""),0.0)</f>
        <v>0</v>
      </c>
      <c r="F433" s="255"/>
      <c r="G433" s="256"/>
      <c r="H433" s="252">
        <f>IFERROR(__xludf.DUMMYFUNCTION("""COMPUTED_VALUE"""),0.0)</f>
        <v>0</v>
      </c>
      <c r="I433" s="258"/>
      <c r="J433" s="258"/>
      <c r="K433" s="257">
        <f>IFERROR(__xludf.DUMMYFUNCTION("""COMPUTED_VALUE"""),0.0)</f>
        <v>0</v>
      </c>
      <c r="L433" s="258">
        <f>IFERROR(__xludf.DUMMYFUNCTION("""COMPUTED_VALUE"""),0.0)</f>
        <v>0</v>
      </c>
      <c r="M433" s="258">
        <f>IFERROR(__xludf.DUMMYFUNCTION("""COMPUTED_VALUE"""),0.0)</f>
        <v>0</v>
      </c>
      <c r="N433" s="258">
        <f>IFERROR(__xludf.DUMMYFUNCTION("""COMPUTED_VALUE"""),0.0)</f>
        <v>0</v>
      </c>
      <c r="O433" s="258">
        <f>IFERROR(__xludf.DUMMYFUNCTION("""COMPUTED_VALUE"""),0.0)</f>
        <v>0</v>
      </c>
      <c r="P433" s="258">
        <f>IFERROR(__xludf.DUMMYFUNCTION("""COMPUTED_VALUE"""),0.0)</f>
        <v>0</v>
      </c>
      <c r="Q433" s="258">
        <f>IFERROR(__xludf.DUMMYFUNCTION("""COMPUTED_VALUE"""),0.0)</f>
        <v>0</v>
      </c>
      <c r="R433" s="259"/>
      <c r="S433" s="260"/>
      <c r="T433" s="261"/>
      <c r="U433" s="262"/>
      <c r="V433" s="250"/>
      <c r="W433" s="250"/>
      <c r="X433" s="250"/>
      <c r="Y433" s="250"/>
      <c r="Z433" s="250"/>
      <c r="AA433" s="250"/>
      <c r="AB433" s="250"/>
      <c r="AC433" s="250"/>
      <c r="AD433" s="250"/>
      <c r="AE433" s="250"/>
      <c r="AF433" s="250"/>
      <c r="AG433" s="250"/>
      <c r="AH433" s="250"/>
      <c r="AI433" s="250"/>
      <c r="AJ433" s="250"/>
      <c r="AK433" s="250"/>
      <c r="AL433" s="250"/>
      <c r="AM433" s="250"/>
      <c r="AN433" s="250"/>
    </row>
    <row r="434" ht="15.75" customHeight="1">
      <c r="A434" s="250"/>
      <c r="B434" s="251">
        <f>IFERROR(__xludf.DUMMYFUNCTION("""COMPUTED_VALUE"""),426.0)</f>
        <v>426</v>
      </c>
      <c r="C434" s="252"/>
      <c r="D434" s="253" t="str">
        <f>IFERROR(__xludf.DUMMYFUNCTION("""COMPUTED_VALUE"""),"")</f>
        <v/>
      </c>
      <c r="E434" s="254">
        <f>IFERROR(__xludf.DUMMYFUNCTION("""COMPUTED_VALUE"""),0.0)</f>
        <v>0</v>
      </c>
      <c r="F434" s="255"/>
      <c r="G434" s="256"/>
      <c r="H434" s="252">
        <f>IFERROR(__xludf.DUMMYFUNCTION("""COMPUTED_VALUE"""),0.0)</f>
        <v>0</v>
      </c>
      <c r="I434" s="258"/>
      <c r="J434" s="258"/>
      <c r="K434" s="257">
        <f>IFERROR(__xludf.DUMMYFUNCTION("""COMPUTED_VALUE"""),0.0)</f>
        <v>0</v>
      </c>
      <c r="L434" s="258">
        <f>IFERROR(__xludf.DUMMYFUNCTION("""COMPUTED_VALUE"""),0.0)</f>
        <v>0</v>
      </c>
      <c r="M434" s="258">
        <f>IFERROR(__xludf.DUMMYFUNCTION("""COMPUTED_VALUE"""),0.0)</f>
        <v>0</v>
      </c>
      <c r="N434" s="258">
        <f>IFERROR(__xludf.DUMMYFUNCTION("""COMPUTED_VALUE"""),0.0)</f>
        <v>0</v>
      </c>
      <c r="O434" s="258">
        <f>IFERROR(__xludf.DUMMYFUNCTION("""COMPUTED_VALUE"""),0.0)</f>
        <v>0</v>
      </c>
      <c r="P434" s="258">
        <f>IFERROR(__xludf.DUMMYFUNCTION("""COMPUTED_VALUE"""),0.0)</f>
        <v>0</v>
      </c>
      <c r="Q434" s="258">
        <f>IFERROR(__xludf.DUMMYFUNCTION("""COMPUTED_VALUE"""),0.0)</f>
        <v>0</v>
      </c>
      <c r="R434" s="259"/>
      <c r="S434" s="260"/>
      <c r="T434" s="261"/>
      <c r="U434" s="262"/>
      <c r="V434" s="250"/>
      <c r="W434" s="250"/>
      <c r="X434" s="250"/>
      <c r="Y434" s="250"/>
      <c r="Z434" s="250"/>
      <c r="AA434" s="250"/>
      <c r="AB434" s="250"/>
      <c r="AC434" s="250"/>
      <c r="AD434" s="250"/>
      <c r="AE434" s="250"/>
      <c r="AF434" s="250"/>
      <c r="AG434" s="250"/>
      <c r="AH434" s="250"/>
      <c r="AI434" s="250"/>
      <c r="AJ434" s="250"/>
      <c r="AK434" s="250"/>
      <c r="AL434" s="250"/>
      <c r="AM434" s="250"/>
      <c r="AN434" s="250"/>
    </row>
    <row r="435" ht="15.75" customHeight="1">
      <c r="A435" s="250"/>
      <c r="B435" s="251">
        <f>IFERROR(__xludf.DUMMYFUNCTION("""COMPUTED_VALUE"""),427.0)</f>
        <v>427</v>
      </c>
      <c r="C435" s="252"/>
      <c r="D435" s="253" t="str">
        <f>IFERROR(__xludf.DUMMYFUNCTION("""COMPUTED_VALUE"""),"")</f>
        <v/>
      </c>
      <c r="E435" s="254">
        <f>IFERROR(__xludf.DUMMYFUNCTION("""COMPUTED_VALUE"""),0.0)</f>
        <v>0</v>
      </c>
      <c r="F435" s="255"/>
      <c r="G435" s="256"/>
      <c r="H435" s="252">
        <f>IFERROR(__xludf.DUMMYFUNCTION("""COMPUTED_VALUE"""),0.0)</f>
        <v>0</v>
      </c>
      <c r="I435" s="258"/>
      <c r="J435" s="258"/>
      <c r="K435" s="257">
        <f>IFERROR(__xludf.DUMMYFUNCTION("""COMPUTED_VALUE"""),0.0)</f>
        <v>0</v>
      </c>
      <c r="L435" s="258">
        <f>IFERROR(__xludf.DUMMYFUNCTION("""COMPUTED_VALUE"""),0.0)</f>
        <v>0</v>
      </c>
      <c r="M435" s="258">
        <f>IFERROR(__xludf.DUMMYFUNCTION("""COMPUTED_VALUE"""),0.0)</f>
        <v>0</v>
      </c>
      <c r="N435" s="258">
        <f>IFERROR(__xludf.DUMMYFUNCTION("""COMPUTED_VALUE"""),0.0)</f>
        <v>0</v>
      </c>
      <c r="O435" s="258">
        <f>IFERROR(__xludf.DUMMYFUNCTION("""COMPUTED_VALUE"""),0.0)</f>
        <v>0</v>
      </c>
      <c r="P435" s="258">
        <f>IFERROR(__xludf.DUMMYFUNCTION("""COMPUTED_VALUE"""),0.0)</f>
        <v>0</v>
      </c>
      <c r="Q435" s="258">
        <f>IFERROR(__xludf.DUMMYFUNCTION("""COMPUTED_VALUE"""),0.0)</f>
        <v>0</v>
      </c>
      <c r="R435" s="259"/>
      <c r="S435" s="260"/>
      <c r="T435" s="261"/>
      <c r="U435" s="262"/>
      <c r="V435" s="250"/>
      <c r="W435" s="250"/>
      <c r="X435" s="250"/>
      <c r="Y435" s="250"/>
      <c r="Z435" s="250"/>
      <c r="AA435" s="250"/>
      <c r="AB435" s="250"/>
      <c r="AC435" s="250"/>
      <c r="AD435" s="250"/>
      <c r="AE435" s="250"/>
      <c r="AF435" s="250"/>
      <c r="AG435" s="250"/>
      <c r="AH435" s="250"/>
      <c r="AI435" s="250"/>
      <c r="AJ435" s="250"/>
      <c r="AK435" s="250"/>
      <c r="AL435" s="250"/>
      <c r="AM435" s="250"/>
      <c r="AN435" s="250"/>
    </row>
    <row r="436" ht="15.75" customHeight="1">
      <c r="A436" s="250"/>
      <c r="B436" s="251">
        <f>IFERROR(__xludf.DUMMYFUNCTION("""COMPUTED_VALUE"""),428.0)</f>
        <v>428</v>
      </c>
      <c r="C436" s="252"/>
      <c r="D436" s="253" t="str">
        <f>IFERROR(__xludf.DUMMYFUNCTION("""COMPUTED_VALUE"""),"")</f>
        <v/>
      </c>
      <c r="E436" s="254">
        <f>IFERROR(__xludf.DUMMYFUNCTION("""COMPUTED_VALUE"""),0.0)</f>
        <v>0</v>
      </c>
      <c r="F436" s="255"/>
      <c r="G436" s="256"/>
      <c r="H436" s="252">
        <f>IFERROR(__xludf.DUMMYFUNCTION("""COMPUTED_VALUE"""),0.0)</f>
        <v>0</v>
      </c>
      <c r="I436" s="258"/>
      <c r="J436" s="258"/>
      <c r="K436" s="257">
        <f>IFERROR(__xludf.DUMMYFUNCTION("""COMPUTED_VALUE"""),0.0)</f>
        <v>0</v>
      </c>
      <c r="L436" s="258">
        <f>IFERROR(__xludf.DUMMYFUNCTION("""COMPUTED_VALUE"""),0.0)</f>
        <v>0</v>
      </c>
      <c r="M436" s="258">
        <f>IFERROR(__xludf.DUMMYFUNCTION("""COMPUTED_VALUE"""),0.0)</f>
        <v>0</v>
      </c>
      <c r="N436" s="258">
        <f>IFERROR(__xludf.DUMMYFUNCTION("""COMPUTED_VALUE"""),0.0)</f>
        <v>0</v>
      </c>
      <c r="O436" s="258">
        <f>IFERROR(__xludf.DUMMYFUNCTION("""COMPUTED_VALUE"""),0.0)</f>
        <v>0</v>
      </c>
      <c r="P436" s="258">
        <f>IFERROR(__xludf.DUMMYFUNCTION("""COMPUTED_VALUE"""),0.0)</f>
        <v>0</v>
      </c>
      <c r="Q436" s="258">
        <f>IFERROR(__xludf.DUMMYFUNCTION("""COMPUTED_VALUE"""),0.0)</f>
        <v>0</v>
      </c>
      <c r="R436" s="259"/>
      <c r="S436" s="260"/>
      <c r="T436" s="261"/>
      <c r="U436" s="262"/>
      <c r="V436" s="250"/>
      <c r="W436" s="250"/>
      <c r="X436" s="250"/>
      <c r="Y436" s="250"/>
      <c r="Z436" s="250"/>
      <c r="AA436" s="250"/>
      <c r="AB436" s="250"/>
      <c r="AC436" s="250"/>
      <c r="AD436" s="250"/>
      <c r="AE436" s="250"/>
      <c r="AF436" s="250"/>
      <c r="AG436" s="250"/>
      <c r="AH436" s="250"/>
      <c r="AI436" s="250"/>
      <c r="AJ436" s="250"/>
      <c r="AK436" s="250"/>
      <c r="AL436" s="250"/>
      <c r="AM436" s="250"/>
      <c r="AN436" s="250"/>
    </row>
    <row r="437" ht="15.75" customHeight="1">
      <c r="A437" s="250"/>
      <c r="B437" s="251">
        <f>IFERROR(__xludf.DUMMYFUNCTION("""COMPUTED_VALUE"""),429.0)</f>
        <v>429</v>
      </c>
      <c r="C437" s="252"/>
      <c r="D437" s="253" t="str">
        <f>IFERROR(__xludf.DUMMYFUNCTION("""COMPUTED_VALUE"""),"")</f>
        <v/>
      </c>
      <c r="E437" s="254">
        <f>IFERROR(__xludf.DUMMYFUNCTION("""COMPUTED_VALUE"""),0.0)</f>
        <v>0</v>
      </c>
      <c r="F437" s="255"/>
      <c r="G437" s="256"/>
      <c r="H437" s="252">
        <f>IFERROR(__xludf.DUMMYFUNCTION("""COMPUTED_VALUE"""),0.0)</f>
        <v>0</v>
      </c>
      <c r="I437" s="258"/>
      <c r="J437" s="258"/>
      <c r="K437" s="257">
        <f>IFERROR(__xludf.DUMMYFUNCTION("""COMPUTED_VALUE"""),0.0)</f>
        <v>0</v>
      </c>
      <c r="L437" s="258">
        <f>IFERROR(__xludf.DUMMYFUNCTION("""COMPUTED_VALUE"""),0.0)</f>
        <v>0</v>
      </c>
      <c r="M437" s="258">
        <f>IFERROR(__xludf.DUMMYFUNCTION("""COMPUTED_VALUE"""),0.0)</f>
        <v>0</v>
      </c>
      <c r="N437" s="258">
        <f>IFERROR(__xludf.DUMMYFUNCTION("""COMPUTED_VALUE"""),0.0)</f>
        <v>0</v>
      </c>
      <c r="O437" s="258">
        <f>IFERROR(__xludf.DUMMYFUNCTION("""COMPUTED_VALUE"""),0.0)</f>
        <v>0</v>
      </c>
      <c r="P437" s="258">
        <f>IFERROR(__xludf.DUMMYFUNCTION("""COMPUTED_VALUE"""),0.0)</f>
        <v>0</v>
      </c>
      <c r="Q437" s="258">
        <f>IFERROR(__xludf.DUMMYFUNCTION("""COMPUTED_VALUE"""),0.0)</f>
        <v>0</v>
      </c>
      <c r="R437" s="259"/>
      <c r="S437" s="260"/>
      <c r="T437" s="261"/>
      <c r="U437" s="262"/>
      <c r="V437" s="250"/>
      <c r="W437" s="250"/>
      <c r="X437" s="250"/>
      <c r="Y437" s="250"/>
      <c r="Z437" s="250"/>
      <c r="AA437" s="250"/>
      <c r="AB437" s="250"/>
      <c r="AC437" s="250"/>
      <c r="AD437" s="250"/>
      <c r="AE437" s="250"/>
      <c r="AF437" s="250"/>
      <c r="AG437" s="250"/>
      <c r="AH437" s="250"/>
      <c r="AI437" s="250"/>
      <c r="AJ437" s="250"/>
      <c r="AK437" s="250"/>
      <c r="AL437" s="250"/>
      <c r="AM437" s="250"/>
      <c r="AN437" s="250"/>
    </row>
    <row r="438" ht="15.75" customHeight="1">
      <c r="A438" s="250"/>
      <c r="B438" s="251">
        <f>IFERROR(__xludf.DUMMYFUNCTION("""COMPUTED_VALUE"""),430.0)</f>
        <v>430</v>
      </c>
      <c r="C438" s="252"/>
      <c r="D438" s="253" t="str">
        <f>IFERROR(__xludf.DUMMYFUNCTION("""COMPUTED_VALUE"""),"")</f>
        <v/>
      </c>
      <c r="E438" s="254">
        <f>IFERROR(__xludf.DUMMYFUNCTION("""COMPUTED_VALUE"""),0.0)</f>
        <v>0</v>
      </c>
      <c r="F438" s="255"/>
      <c r="G438" s="256"/>
      <c r="H438" s="252">
        <f>IFERROR(__xludf.DUMMYFUNCTION("""COMPUTED_VALUE"""),0.0)</f>
        <v>0</v>
      </c>
      <c r="I438" s="258"/>
      <c r="J438" s="258"/>
      <c r="K438" s="257">
        <f>IFERROR(__xludf.DUMMYFUNCTION("""COMPUTED_VALUE"""),0.0)</f>
        <v>0</v>
      </c>
      <c r="L438" s="258">
        <f>IFERROR(__xludf.DUMMYFUNCTION("""COMPUTED_VALUE"""),0.0)</f>
        <v>0</v>
      </c>
      <c r="M438" s="258">
        <f>IFERROR(__xludf.DUMMYFUNCTION("""COMPUTED_VALUE"""),0.0)</f>
        <v>0</v>
      </c>
      <c r="N438" s="258">
        <f>IFERROR(__xludf.DUMMYFUNCTION("""COMPUTED_VALUE"""),0.0)</f>
        <v>0</v>
      </c>
      <c r="O438" s="258">
        <f>IFERROR(__xludf.DUMMYFUNCTION("""COMPUTED_VALUE"""),0.0)</f>
        <v>0</v>
      </c>
      <c r="P438" s="258">
        <f>IFERROR(__xludf.DUMMYFUNCTION("""COMPUTED_VALUE"""),0.0)</f>
        <v>0</v>
      </c>
      <c r="Q438" s="258">
        <f>IFERROR(__xludf.DUMMYFUNCTION("""COMPUTED_VALUE"""),0.0)</f>
        <v>0</v>
      </c>
      <c r="R438" s="259"/>
      <c r="S438" s="260"/>
      <c r="T438" s="261"/>
      <c r="U438" s="262"/>
      <c r="V438" s="250"/>
      <c r="W438" s="250"/>
      <c r="X438" s="250"/>
      <c r="Y438" s="250"/>
      <c r="Z438" s="250"/>
      <c r="AA438" s="250"/>
      <c r="AB438" s="250"/>
      <c r="AC438" s="250"/>
      <c r="AD438" s="250"/>
      <c r="AE438" s="250"/>
      <c r="AF438" s="250"/>
      <c r="AG438" s="250"/>
      <c r="AH438" s="250"/>
      <c r="AI438" s="250"/>
      <c r="AJ438" s="250"/>
      <c r="AK438" s="250"/>
      <c r="AL438" s="250"/>
      <c r="AM438" s="250"/>
      <c r="AN438" s="250"/>
    </row>
    <row r="439" ht="15.75" customHeight="1">
      <c r="A439" s="250"/>
      <c r="B439" s="251">
        <f>IFERROR(__xludf.DUMMYFUNCTION("""COMPUTED_VALUE"""),431.0)</f>
        <v>431</v>
      </c>
      <c r="C439" s="252"/>
      <c r="D439" s="253" t="str">
        <f>IFERROR(__xludf.DUMMYFUNCTION("""COMPUTED_VALUE"""),"")</f>
        <v/>
      </c>
      <c r="E439" s="254">
        <f>IFERROR(__xludf.DUMMYFUNCTION("""COMPUTED_VALUE"""),0.0)</f>
        <v>0</v>
      </c>
      <c r="F439" s="255"/>
      <c r="G439" s="256"/>
      <c r="H439" s="252">
        <f>IFERROR(__xludf.DUMMYFUNCTION("""COMPUTED_VALUE"""),0.0)</f>
        <v>0</v>
      </c>
      <c r="I439" s="258"/>
      <c r="J439" s="258"/>
      <c r="K439" s="257">
        <f>IFERROR(__xludf.DUMMYFUNCTION("""COMPUTED_VALUE"""),0.0)</f>
        <v>0</v>
      </c>
      <c r="L439" s="258">
        <f>IFERROR(__xludf.DUMMYFUNCTION("""COMPUTED_VALUE"""),0.0)</f>
        <v>0</v>
      </c>
      <c r="M439" s="258">
        <f>IFERROR(__xludf.DUMMYFUNCTION("""COMPUTED_VALUE"""),0.0)</f>
        <v>0</v>
      </c>
      <c r="N439" s="258">
        <f>IFERROR(__xludf.DUMMYFUNCTION("""COMPUTED_VALUE"""),0.0)</f>
        <v>0</v>
      </c>
      <c r="O439" s="258">
        <f>IFERROR(__xludf.DUMMYFUNCTION("""COMPUTED_VALUE"""),0.0)</f>
        <v>0</v>
      </c>
      <c r="P439" s="258">
        <f>IFERROR(__xludf.DUMMYFUNCTION("""COMPUTED_VALUE"""),0.0)</f>
        <v>0</v>
      </c>
      <c r="Q439" s="258">
        <f>IFERROR(__xludf.DUMMYFUNCTION("""COMPUTED_VALUE"""),0.0)</f>
        <v>0</v>
      </c>
      <c r="R439" s="259"/>
      <c r="S439" s="260"/>
      <c r="T439" s="261"/>
      <c r="U439" s="262"/>
      <c r="V439" s="250"/>
      <c r="W439" s="250"/>
      <c r="X439" s="250"/>
      <c r="Y439" s="250"/>
      <c r="Z439" s="250"/>
      <c r="AA439" s="250"/>
      <c r="AB439" s="250"/>
      <c r="AC439" s="250"/>
      <c r="AD439" s="250"/>
      <c r="AE439" s="250"/>
      <c r="AF439" s="250"/>
      <c r="AG439" s="250"/>
      <c r="AH439" s="250"/>
      <c r="AI439" s="250"/>
      <c r="AJ439" s="250"/>
      <c r="AK439" s="250"/>
      <c r="AL439" s="250"/>
      <c r="AM439" s="250"/>
      <c r="AN439" s="250"/>
    </row>
    <row r="440" ht="15.75" customHeight="1">
      <c r="A440" s="250"/>
      <c r="B440" s="251">
        <f>IFERROR(__xludf.DUMMYFUNCTION("""COMPUTED_VALUE"""),432.0)</f>
        <v>432</v>
      </c>
      <c r="C440" s="252"/>
      <c r="D440" s="253" t="str">
        <f>IFERROR(__xludf.DUMMYFUNCTION("""COMPUTED_VALUE"""),"")</f>
        <v/>
      </c>
      <c r="E440" s="254">
        <f>IFERROR(__xludf.DUMMYFUNCTION("""COMPUTED_VALUE"""),0.0)</f>
        <v>0</v>
      </c>
      <c r="F440" s="255"/>
      <c r="G440" s="256"/>
      <c r="H440" s="252">
        <f>IFERROR(__xludf.DUMMYFUNCTION("""COMPUTED_VALUE"""),0.0)</f>
        <v>0</v>
      </c>
      <c r="I440" s="258"/>
      <c r="J440" s="258"/>
      <c r="K440" s="257">
        <f>IFERROR(__xludf.DUMMYFUNCTION("""COMPUTED_VALUE"""),0.0)</f>
        <v>0</v>
      </c>
      <c r="L440" s="258">
        <f>IFERROR(__xludf.DUMMYFUNCTION("""COMPUTED_VALUE"""),0.0)</f>
        <v>0</v>
      </c>
      <c r="M440" s="258">
        <f>IFERROR(__xludf.DUMMYFUNCTION("""COMPUTED_VALUE"""),0.0)</f>
        <v>0</v>
      </c>
      <c r="N440" s="258">
        <f>IFERROR(__xludf.DUMMYFUNCTION("""COMPUTED_VALUE"""),0.0)</f>
        <v>0</v>
      </c>
      <c r="O440" s="258">
        <f>IFERROR(__xludf.DUMMYFUNCTION("""COMPUTED_VALUE"""),0.0)</f>
        <v>0</v>
      </c>
      <c r="P440" s="258">
        <f>IFERROR(__xludf.DUMMYFUNCTION("""COMPUTED_VALUE"""),0.0)</f>
        <v>0</v>
      </c>
      <c r="Q440" s="258">
        <f>IFERROR(__xludf.DUMMYFUNCTION("""COMPUTED_VALUE"""),0.0)</f>
        <v>0</v>
      </c>
      <c r="R440" s="259"/>
      <c r="S440" s="260"/>
      <c r="T440" s="261"/>
      <c r="U440" s="262"/>
      <c r="V440" s="250"/>
      <c r="W440" s="250"/>
      <c r="X440" s="250"/>
      <c r="Y440" s="250"/>
      <c r="Z440" s="250"/>
      <c r="AA440" s="250"/>
      <c r="AB440" s="250"/>
      <c r="AC440" s="250"/>
      <c r="AD440" s="250"/>
      <c r="AE440" s="250"/>
      <c r="AF440" s="250"/>
      <c r="AG440" s="250"/>
      <c r="AH440" s="250"/>
      <c r="AI440" s="250"/>
      <c r="AJ440" s="250"/>
      <c r="AK440" s="250"/>
      <c r="AL440" s="250"/>
      <c r="AM440" s="250"/>
      <c r="AN440" s="250"/>
    </row>
    <row r="441" ht="15.75" customHeight="1">
      <c r="A441" s="250"/>
      <c r="B441" s="251">
        <f>IFERROR(__xludf.DUMMYFUNCTION("""COMPUTED_VALUE"""),433.0)</f>
        <v>433</v>
      </c>
      <c r="C441" s="252"/>
      <c r="D441" s="253" t="str">
        <f>IFERROR(__xludf.DUMMYFUNCTION("""COMPUTED_VALUE"""),"")</f>
        <v/>
      </c>
      <c r="E441" s="254">
        <f>IFERROR(__xludf.DUMMYFUNCTION("""COMPUTED_VALUE"""),0.0)</f>
        <v>0</v>
      </c>
      <c r="F441" s="255"/>
      <c r="G441" s="256"/>
      <c r="H441" s="252">
        <f>IFERROR(__xludf.DUMMYFUNCTION("""COMPUTED_VALUE"""),0.0)</f>
        <v>0</v>
      </c>
      <c r="I441" s="258"/>
      <c r="J441" s="258"/>
      <c r="K441" s="257">
        <f>IFERROR(__xludf.DUMMYFUNCTION("""COMPUTED_VALUE"""),0.0)</f>
        <v>0</v>
      </c>
      <c r="L441" s="258">
        <f>IFERROR(__xludf.DUMMYFUNCTION("""COMPUTED_VALUE"""),0.0)</f>
        <v>0</v>
      </c>
      <c r="M441" s="258">
        <f>IFERROR(__xludf.DUMMYFUNCTION("""COMPUTED_VALUE"""),0.0)</f>
        <v>0</v>
      </c>
      <c r="N441" s="258">
        <f>IFERROR(__xludf.DUMMYFUNCTION("""COMPUTED_VALUE"""),0.0)</f>
        <v>0</v>
      </c>
      <c r="O441" s="258">
        <f>IFERROR(__xludf.DUMMYFUNCTION("""COMPUTED_VALUE"""),0.0)</f>
        <v>0</v>
      </c>
      <c r="P441" s="258">
        <f>IFERROR(__xludf.DUMMYFUNCTION("""COMPUTED_VALUE"""),0.0)</f>
        <v>0</v>
      </c>
      <c r="Q441" s="258">
        <f>IFERROR(__xludf.DUMMYFUNCTION("""COMPUTED_VALUE"""),0.0)</f>
        <v>0</v>
      </c>
      <c r="R441" s="259"/>
      <c r="S441" s="260"/>
      <c r="T441" s="261"/>
      <c r="U441" s="262"/>
      <c r="V441" s="250"/>
      <c r="W441" s="250"/>
      <c r="X441" s="250"/>
      <c r="Y441" s="250"/>
      <c r="Z441" s="250"/>
      <c r="AA441" s="250"/>
      <c r="AB441" s="250"/>
      <c r="AC441" s="250"/>
      <c r="AD441" s="250"/>
      <c r="AE441" s="250"/>
      <c r="AF441" s="250"/>
      <c r="AG441" s="250"/>
      <c r="AH441" s="250"/>
      <c r="AI441" s="250"/>
      <c r="AJ441" s="250"/>
      <c r="AK441" s="250"/>
      <c r="AL441" s="250"/>
      <c r="AM441" s="250"/>
      <c r="AN441" s="250"/>
    </row>
    <row r="442" ht="15.75" customHeight="1">
      <c r="A442" s="250"/>
      <c r="B442" s="251">
        <f>IFERROR(__xludf.DUMMYFUNCTION("""COMPUTED_VALUE"""),434.0)</f>
        <v>434</v>
      </c>
      <c r="C442" s="252"/>
      <c r="D442" s="253" t="str">
        <f>IFERROR(__xludf.DUMMYFUNCTION("""COMPUTED_VALUE"""),"")</f>
        <v/>
      </c>
      <c r="E442" s="254">
        <f>IFERROR(__xludf.DUMMYFUNCTION("""COMPUTED_VALUE"""),0.0)</f>
        <v>0</v>
      </c>
      <c r="F442" s="255"/>
      <c r="G442" s="256"/>
      <c r="H442" s="252">
        <f>IFERROR(__xludf.DUMMYFUNCTION("""COMPUTED_VALUE"""),0.0)</f>
        <v>0</v>
      </c>
      <c r="I442" s="258"/>
      <c r="J442" s="258"/>
      <c r="K442" s="257">
        <f>IFERROR(__xludf.DUMMYFUNCTION("""COMPUTED_VALUE"""),0.0)</f>
        <v>0</v>
      </c>
      <c r="L442" s="258">
        <f>IFERROR(__xludf.DUMMYFUNCTION("""COMPUTED_VALUE"""),0.0)</f>
        <v>0</v>
      </c>
      <c r="M442" s="258">
        <f>IFERROR(__xludf.DUMMYFUNCTION("""COMPUTED_VALUE"""),0.0)</f>
        <v>0</v>
      </c>
      <c r="N442" s="258">
        <f>IFERROR(__xludf.DUMMYFUNCTION("""COMPUTED_VALUE"""),0.0)</f>
        <v>0</v>
      </c>
      <c r="O442" s="258">
        <f>IFERROR(__xludf.DUMMYFUNCTION("""COMPUTED_VALUE"""),0.0)</f>
        <v>0</v>
      </c>
      <c r="P442" s="258">
        <f>IFERROR(__xludf.DUMMYFUNCTION("""COMPUTED_VALUE"""),0.0)</f>
        <v>0</v>
      </c>
      <c r="Q442" s="258">
        <f>IFERROR(__xludf.DUMMYFUNCTION("""COMPUTED_VALUE"""),0.0)</f>
        <v>0</v>
      </c>
      <c r="R442" s="259"/>
      <c r="S442" s="260"/>
      <c r="T442" s="261"/>
      <c r="U442" s="262"/>
      <c r="V442" s="250"/>
      <c r="W442" s="250"/>
      <c r="X442" s="250"/>
      <c r="Y442" s="250"/>
      <c r="Z442" s="250"/>
      <c r="AA442" s="250"/>
      <c r="AB442" s="250"/>
      <c r="AC442" s="250"/>
      <c r="AD442" s="250"/>
      <c r="AE442" s="250"/>
      <c r="AF442" s="250"/>
      <c r="AG442" s="250"/>
      <c r="AH442" s="250"/>
      <c r="AI442" s="250"/>
      <c r="AJ442" s="250"/>
      <c r="AK442" s="250"/>
      <c r="AL442" s="250"/>
      <c r="AM442" s="250"/>
      <c r="AN442" s="250"/>
    </row>
    <row r="443" ht="15.75" customHeight="1">
      <c r="A443" s="250"/>
      <c r="B443" s="251">
        <f>IFERROR(__xludf.DUMMYFUNCTION("""COMPUTED_VALUE"""),435.0)</f>
        <v>435</v>
      </c>
      <c r="C443" s="252"/>
      <c r="D443" s="253" t="str">
        <f>IFERROR(__xludf.DUMMYFUNCTION("""COMPUTED_VALUE"""),"")</f>
        <v/>
      </c>
      <c r="E443" s="254">
        <f>IFERROR(__xludf.DUMMYFUNCTION("""COMPUTED_VALUE"""),0.0)</f>
        <v>0</v>
      </c>
      <c r="F443" s="255"/>
      <c r="G443" s="256"/>
      <c r="H443" s="252">
        <f>IFERROR(__xludf.DUMMYFUNCTION("""COMPUTED_VALUE"""),0.0)</f>
        <v>0</v>
      </c>
      <c r="I443" s="258"/>
      <c r="J443" s="258"/>
      <c r="K443" s="257">
        <f>IFERROR(__xludf.DUMMYFUNCTION("""COMPUTED_VALUE"""),0.0)</f>
        <v>0</v>
      </c>
      <c r="L443" s="258">
        <f>IFERROR(__xludf.DUMMYFUNCTION("""COMPUTED_VALUE"""),0.0)</f>
        <v>0</v>
      </c>
      <c r="M443" s="258">
        <f>IFERROR(__xludf.DUMMYFUNCTION("""COMPUTED_VALUE"""),0.0)</f>
        <v>0</v>
      </c>
      <c r="N443" s="258">
        <f>IFERROR(__xludf.DUMMYFUNCTION("""COMPUTED_VALUE"""),0.0)</f>
        <v>0</v>
      </c>
      <c r="O443" s="258">
        <f>IFERROR(__xludf.DUMMYFUNCTION("""COMPUTED_VALUE"""),0.0)</f>
        <v>0</v>
      </c>
      <c r="P443" s="258">
        <f>IFERROR(__xludf.DUMMYFUNCTION("""COMPUTED_VALUE"""),0.0)</f>
        <v>0</v>
      </c>
      <c r="Q443" s="258">
        <f>IFERROR(__xludf.DUMMYFUNCTION("""COMPUTED_VALUE"""),0.0)</f>
        <v>0</v>
      </c>
      <c r="R443" s="259"/>
      <c r="S443" s="260"/>
      <c r="T443" s="261"/>
      <c r="U443" s="262"/>
      <c r="V443" s="250"/>
      <c r="W443" s="250"/>
      <c r="X443" s="250"/>
      <c r="Y443" s="250"/>
      <c r="Z443" s="250"/>
      <c r="AA443" s="250"/>
      <c r="AB443" s="250"/>
      <c r="AC443" s="250"/>
      <c r="AD443" s="250"/>
      <c r="AE443" s="250"/>
      <c r="AF443" s="250"/>
      <c r="AG443" s="250"/>
      <c r="AH443" s="250"/>
      <c r="AI443" s="250"/>
      <c r="AJ443" s="250"/>
      <c r="AK443" s="250"/>
      <c r="AL443" s="250"/>
      <c r="AM443" s="250"/>
      <c r="AN443" s="250"/>
    </row>
    <row r="444" ht="15.75" customHeight="1">
      <c r="A444" s="250"/>
      <c r="B444" s="251">
        <f>IFERROR(__xludf.DUMMYFUNCTION("""COMPUTED_VALUE"""),436.0)</f>
        <v>436</v>
      </c>
      <c r="C444" s="252"/>
      <c r="D444" s="253" t="str">
        <f>IFERROR(__xludf.DUMMYFUNCTION("""COMPUTED_VALUE"""),"")</f>
        <v/>
      </c>
      <c r="E444" s="254">
        <f>IFERROR(__xludf.DUMMYFUNCTION("""COMPUTED_VALUE"""),0.0)</f>
        <v>0</v>
      </c>
      <c r="F444" s="255"/>
      <c r="G444" s="256"/>
      <c r="H444" s="252">
        <f>IFERROR(__xludf.DUMMYFUNCTION("""COMPUTED_VALUE"""),0.0)</f>
        <v>0</v>
      </c>
      <c r="I444" s="258"/>
      <c r="J444" s="258"/>
      <c r="K444" s="257">
        <f>IFERROR(__xludf.DUMMYFUNCTION("""COMPUTED_VALUE"""),0.0)</f>
        <v>0</v>
      </c>
      <c r="L444" s="258">
        <f>IFERROR(__xludf.DUMMYFUNCTION("""COMPUTED_VALUE"""),0.0)</f>
        <v>0</v>
      </c>
      <c r="M444" s="258">
        <f>IFERROR(__xludf.DUMMYFUNCTION("""COMPUTED_VALUE"""),0.0)</f>
        <v>0</v>
      </c>
      <c r="N444" s="258">
        <f>IFERROR(__xludf.DUMMYFUNCTION("""COMPUTED_VALUE"""),0.0)</f>
        <v>0</v>
      </c>
      <c r="O444" s="258">
        <f>IFERROR(__xludf.DUMMYFUNCTION("""COMPUTED_VALUE"""),0.0)</f>
        <v>0</v>
      </c>
      <c r="P444" s="258">
        <f>IFERROR(__xludf.DUMMYFUNCTION("""COMPUTED_VALUE"""),0.0)</f>
        <v>0</v>
      </c>
      <c r="Q444" s="258">
        <f>IFERROR(__xludf.DUMMYFUNCTION("""COMPUTED_VALUE"""),0.0)</f>
        <v>0</v>
      </c>
      <c r="R444" s="259"/>
      <c r="S444" s="260"/>
      <c r="T444" s="261"/>
      <c r="U444" s="262"/>
      <c r="V444" s="250"/>
      <c r="W444" s="250"/>
      <c r="X444" s="250"/>
      <c r="Y444" s="250"/>
      <c r="Z444" s="250"/>
      <c r="AA444" s="250"/>
      <c r="AB444" s="250"/>
      <c r="AC444" s="250"/>
      <c r="AD444" s="250"/>
      <c r="AE444" s="250"/>
      <c r="AF444" s="250"/>
      <c r="AG444" s="250"/>
      <c r="AH444" s="250"/>
      <c r="AI444" s="250"/>
      <c r="AJ444" s="250"/>
      <c r="AK444" s="250"/>
      <c r="AL444" s="250"/>
      <c r="AM444" s="250"/>
      <c r="AN444" s="250"/>
    </row>
    <row r="445" ht="15.75" customHeight="1">
      <c r="A445" s="250"/>
      <c r="B445" s="251">
        <f>IFERROR(__xludf.DUMMYFUNCTION("""COMPUTED_VALUE"""),437.0)</f>
        <v>437</v>
      </c>
      <c r="C445" s="252"/>
      <c r="D445" s="253" t="str">
        <f>IFERROR(__xludf.DUMMYFUNCTION("""COMPUTED_VALUE"""),"")</f>
        <v/>
      </c>
      <c r="E445" s="254">
        <f>IFERROR(__xludf.DUMMYFUNCTION("""COMPUTED_VALUE"""),0.0)</f>
        <v>0</v>
      </c>
      <c r="F445" s="255"/>
      <c r="G445" s="256"/>
      <c r="H445" s="252">
        <f>IFERROR(__xludf.DUMMYFUNCTION("""COMPUTED_VALUE"""),0.0)</f>
        <v>0</v>
      </c>
      <c r="I445" s="258"/>
      <c r="J445" s="258"/>
      <c r="K445" s="257">
        <f>IFERROR(__xludf.DUMMYFUNCTION("""COMPUTED_VALUE"""),0.0)</f>
        <v>0</v>
      </c>
      <c r="L445" s="258">
        <f>IFERROR(__xludf.DUMMYFUNCTION("""COMPUTED_VALUE"""),0.0)</f>
        <v>0</v>
      </c>
      <c r="M445" s="258">
        <f>IFERROR(__xludf.DUMMYFUNCTION("""COMPUTED_VALUE"""),0.0)</f>
        <v>0</v>
      </c>
      <c r="N445" s="258">
        <f>IFERROR(__xludf.DUMMYFUNCTION("""COMPUTED_VALUE"""),0.0)</f>
        <v>0</v>
      </c>
      <c r="O445" s="258">
        <f>IFERROR(__xludf.DUMMYFUNCTION("""COMPUTED_VALUE"""),0.0)</f>
        <v>0</v>
      </c>
      <c r="P445" s="258">
        <f>IFERROR(__xludf.DUMMYFUNCTION("""COMPUTED_VALUE"""),0.0)</f>
        <v>0</v>
      </c>
      <c r="Q445" s="258">
        <f>IFERROR(__xludf.DUMMYFUNCTION("""COMPUTED_VALUE"""),0.0)</f>
        <v>0</v>
      </c>
      <c r="R445" s="259"/>
      <c r="S445" s="260"/>
      <c r="T445" s="261"/>
      <c r="U445" s="262"/>
      <c r="V445" s="250"/>
      <c r="W445" s="250"/>
      <c r="X445" s="250"/>
      <c r="Y445" s="250"/>
      <c r="Z445" s="250"/>
      <c r="AA445" s="250"/>
      <c r="AB445" s="250"/>
      <c r="AC445" s="250"/>
      <c r="AD445" s="250"/>
      <c r="AE445" s="250"/>
      <c r="AF445" s="250"/>
      <c r="AG445" s="250"/>
      <c r="AH445" s="250"/>
      <c r="AI445" s="250"/>
      <c r="AJ445" s="250"/>
      <c r="AK445" s="250"/>
      <c r="AL445" s="250"/>
      <c r="AM445" s="250"/>
      <c r="AN445" s="250"/>
    </row>
    <row r="446" ht="15.75" customHeight="1">
      <c r="A446" s="250"/>
      <c r="B446" s="251">
        <f>IFERROR(__xludf.DUMMYFUNCTION("""COMPUTED_VALUE"""),438.0)</f>
        <v>438</v>
      </c>
      <c r="C446" s="252"/>
      <c r="D446" s="253" t="str">
        <f>IFERROR(__xludf.DUMMYFUNCTION("""COMPUTED_VALUE"""),"")</f>
        <v/>
      </c>
      <c r="E446" s="254">
        <f>IFERROR(__xludf.DUMMYFUNCTION("""COMPUTED_VALUE"""),0.0)</f>
        <v>0</v>
      </c>
      <c r="F446" s="255"/>
      <c r="G446" s="256"/>
      <c r="H446" s="252">
        <f>IFERROR(__xludf.DUMMYFUNCTION("""COMPUTED_VALUE"""),0.0)</f>
        <v>0</v>
      </c>
      <c r="I446" s="258"/>
      <c r="J446" s="258"/>
      <c r="K446" s="257">
        <f>IFERROR(__xludf.DUMMYFUNCTION("""COMPUTED_VALUE"""),0.0)</f>
        <v>0</v>
      </c>
      <c r="L446" s="258">
        <f>IFERROR(__xludf.DUMMYFUNCTION("""COMPUTED_VALUE"""),0.0)</f>
        <v>0</v>
      </c>
      <c r="M446" s="258">
        <f>IFERROR(__xludf.DUMMYFUNCTION("""COMPUTED_VALUE"""),0.0)</f>
        <v>0</v>
      </c>
      <c r="N446" s="258">
        <f>IFERROR(__xludf.DUMMYFUNCTION("""COMPUTED_VALUE"""),0.0)</f>
        <v>0</v>
      </c>
      <c r="O446" s="258">
        <f>IFERROR(__xludf.DUMMYFUNCTION("""COMPUTED_VALUE"""),0.0)</f>
        <v>0</v>
      </c>
      <c r="P446" s="258">
        <f>IFERROR(__xludf.DUMMYFUNCTION("""COMPUTED_VALUE"""),0.0)</f>
        <v>0</v>
      </c>
      <c r="Q446" s="258">
        <f>IFERROR(__xludf.DUMMYFUNCTION("""COMPUTED_VALUE"""),0.0)</f>
        <v>0</v>
      </c>
      <c r="R446" s="259"/>
      <c r="S446" s="260"/>
      <c r="T446" s="261"/>
      <c r="U446" s="262"/>
      <c r="V446" s="250"/>
      <c r="W446" s="250"/>
      <c r="X446" s="250"/>
      <c r="Y446" s="250"/>
      <c r="Z446" s="250"/>
      <c r="AA446" s="250"/>
      <c r="AB446" s="250"/>
      <c r="AC446" s="250"/>
      <c r="AD446" s="250"/>
      <c r="AE446" s="250"/>
      <c r="AF446" s="250"/>
      <c r="AG446" s="250"/>
      <c r="AH446" s="250"/>
      <c r="AI446" s="250"/>
      <c r="AJ446" s="250"/>
      <c r="AK446" s="250"/>
      <c r="AL446" s="250"/>
      <c r="AM446" s="250"/>
      <c r="AN446" s="250"/>
    </row>
    <row r="447" ht="15.75" customHeight="1">
      <c r="A447" s="250"/>
      <c r="B447" s="251">
        <f>IFERROR(__xludf.DUMMYFUNCTION("""COMPUTED_VALUE"""),439.0)</f>
        <v>439</v>
      </c>
      <c r="C447" s="252"/>
      <c r="D447" s="253" t="str">
        <f>IFERROR(__xludf.DUMMYFUNCTION("""COMPUTED_VALUE"""),"")</f>
        <v/>
      </c>
      <c r="E447" s="254">
        <f>IFERROR(__xludf.DUMMYFUNCTION("""COMPUTED_VALUE"""),0.0)</f>
        <v>0</v>
      </c>
      <c r="F447" s="255"/>
      <c r="G447" s="256"/>
      <c r="H447" s="252">
        <f>IFERROR(__xludf.DUMMYFUNCTION("""COMPUTED_VALUE"""),0.0)</f>
        <v>0</v>
      </c>
      <c r="I447" s="258"/>
      <c r="J447" s="258"/>
      <c r="K447" s="257">
        <f>IFERROR(__xludf.DUMMYFUNCTION("""COMPUTED_VALUE"""),0.0)</f>
        <v>0</v>
      </c>
      <c r="L447" s="258">
        <f>IFERROR(__xludf.DUMMYFUNCTION("""COMPUTED_VALUE"""),0.0)</f>
        <v>0</v>
      </c>
      <c r="M447" s="258">
        <f>IFERROR(__xludf.DUMMYFUNCTION("""COMPUTED_VALUE"""),0.0)</f>
        <v>0</v>
      </c>
      <c r="N447" s="258">
        <f>IFERROR(__xludf.DUMMYFUNCTION("""COMPUTED_VALUE"""),0.0)</f>
        <v>0</v>
      </c>
      <c r="O447" s="258">
        <f>IFERROR(__xludf.DUMMYFUNCTION("""COMPUTED_VALUE"""),0.0)</f>
        <v>0</v>
      </c>
      <c r="P447" s="258">
        <f>IFERROR(__xludf.DUMMYFUNCTION("""COMPUTED_VALUE"""),0.0)</f>
        <v>0</v>
      </c>
      <c r="Q447" s="258">
        <f>IFERROR(__xludf.DUMMYFUNCTION("""COMPUTED_VALUE"""),0.0)</f>
        <v>0</v>
      </c>
      <c r="R447" s="259"/>
      <c r="S447" s="260"/>
      <c r="T447" s="261"/>
      <c r="U447" s="262"/>
      <c r="V447" s="250"/>
      <c r="W447" s="250"/>
      <c r="X447" s="250"/>
      <c r="Y447" s="250"/>
      <c r="Z447" s="250"/>
      <c r="AA447" s="250"/>
      <c r="AB447" s="250"/>
      <c r="AC447" s="250"/>
      <c r="AD447" s="250"/>
      <c r="AE447" s="250"/>
      <c r="AF447" s="250"/>
      <c r="AG447" s="250"/>
      <c r="AH447" s="250"/>
      <c r="AI447" s="250"/>
      <c r="AJ447" s="250"/>
      <c r="AK447" s="250"/>
      <c r="AL447" s="250"/>
      <c r="AM447" s="250"/>
      <c r="AN447" s="250"/>
    </row>
    <row r="448" ht="15.75" customHeight="1">
      <c r="A448" s="250"/>
      <c r="B448" s="251">
        <f>IFERROR(__xludf.DUMMYFUNCTION("""COMPUTED_VALUE"""),440.0)</f>
        <v>440</v>
      </c>
      <c r="C448" s="252"/>
      <c r="D448" s="253" t="str">
        <f>IFERROR(__xludf.DUMMYFUNCTION("""COMPUTED_VALUE"""),"")</f>
        <v/>
      </c>
      <c r="E448" s="254">
        <f>IFERROR(__xludf.DUMMYFUNCTION("""COMPUTED_VALUE"""),0.0)</f>
        <v>0</v>
      </c>
      <c r="F448" s="255"/>
      <c r="G448" s="256"/>
      <c r="H448" s="252">
        <f>IFERROR(__xludf.DUMMYFUNCTION("""COMPUTED_VALUE"""),0.0)</f>
        <v>0</v>
      </c>
      <c r="I448" s="258"/>
      <c r="J448" s="258"/>
      <c r="K448" s="257">
        <f>IFERROR(__xludf.DUMMYFUNCTION("""COMPUTED_VALUE"""),0.0)</f>
        <v>0</v>
      </c>
      <c r="L448" s="258">
        <f>IFERROR(__xludf.DUMMYFUNCTION("""COMPUTED_VALUE"""),0.0)</f>
        <v>0</v>
      </c>
      <c r="M448" s="258">
        <f>IFERROR(__xludf.DUMMYFUNCTION("""COMPUTED_VALUE"""),0.0)</f>
        <v>0</v>
      </c>
      <c r="N448" s="258">
        <f>IFERROR(__xludf.DUMMYFUNCTION("""COMPUTED_VALUE"""),0.0)</f>
        <v>0</v>
      </c>
      <c r="O448" s="258">
        <f>IFERROR(__xludf.DUMMYFUNCTION("""COMPUTED_VALUE"""),0.0)</f>
        <v>0</v>
      </c>
      <c r="P448" s="258">
        <f>IFERROR(__xludf.DUMMYFUNCTION("""COMPUTED_VALUE"""),0.0)</f>
        <v>0</v>
      </c>
      <c r="Q448" s="258">
        <f>IFERROR(__xludf.DUMMYFUNCTION("""COMPUTED_VALUE"""),0.0)</f>
        <v>0</v>
      </c>
      <c r="R448" s="259"/>
      <c r="S448" s="260"/>
      <c r="T448" s="261"/>
      <c r="U448" s="262"/>
      <c r="V448" s="250"/>
      <c r="W448" s="250"/>
      <c r="X448" s="250"/>
      <c r="Y448" s="250"/>
      <c r="Z448" s="250"/>
      <c r="AA448" s="250"/>
      <c r="AB448" s="250"/>
      <c r="AC448" s="250"/>
      <c r="AD448" s="250"/>
      <c r="AE448" s="250"/>
      <c r="AF448" s="250"/>
      <c r="AG448" s="250"/>
      <c r="AH448" s="250"/>
      <c r="AI448" s="250"/>
      <c r="AJ448" s="250"/>
      <c r="AK448" s="250"/>
      <c r="AL448" s="250"/>
      <c r="AM448" s="250"/>
      <c r="AN448" s="250"/>
    </row>
    <row r="449" ht="15.75" customHeight="1">
      <c r="A449" s="250"/>
      <c r="B449" s="251">
        <f>IFERROR(__xludf.DUMMYFUNCTION("""COMPUTED_VALUE"""),441.0)</f>
        <v>441</v>
      </c>
      <c r="C449" s="252"/>
      <c r="D449" s="253" t="str">
        <f>IFERROR(__xludf.DUMMYFUNCTION("""COMPUTED_VALUE"""),"")</f>
        <v/>
      </c>
      <c r="E449" s="254">
        <f>IFERROR(__xludf.DUMMYFUNCTION("""COMPUTED_VALUE"""),0.0)</f>
        <v>0</v>
      </c>
      <c r="F449" s="255"/>
      <c r="G449" s="256"/>
      <c r="H449" s="252">
        <f>IFERROR(__xludf.DUMMYFUNCTION("""COMPUTED_VALUE"""),0.0)</f>
        <v>0</v>
      </c>
      <c r="I449" s="258"/>
      <c r="J449" s="258"/>
      <c r="K449" s="257">
        <f>IFERROR(__xludf.DUMMYFUNCTION("""COMPUTED_VALUE"""),0.0)</f>
        <v>0</v>
      </c>
      <c r="L449" s="258">
        <f>IFERROR(__xludf.DUMMYFUNCTION("""COMPUTED_VALUE"""),0.0)</f>
        <v>0</v>
      </c>
      <c r="M449" s="258">
        <f>IFERROR(__xludf.DUMMYFUNCTION("""COMPUTED_VALUE"""),0.0)</f>
        <v>0</v>
      </c>
      <c r="N449" s="258">
        <f>IFERROR(__xludf.DUMMYFUNCTION("""COMPUTED_VALUE"""),0.0)</f>
        <v>0</v>
      </c>
      <c r="O449" s="258">
        <f>IFERROR(__xludf.DUMMYFUNCTION("""COMPUTED_VALUE"""),0.0)</f>
        <v>0</v>
      </c>
      <c r="P449" s="258">
        <f>IFERROR(__xludf.DUMMYFUNCTION("""COMPUTED_VALUE"""),0.0)</f>
        <v>0</v>
      </c>
      <c r="Q449" s="258">
        <f>IFERROR(__xludf.DUMMYFUNCTION("""COMPUTED_VALUE"""),0.0)</f>
        <v>0</v>
      </c>
      <c r="R449" s="259"/>
      <c r="S449" s="260"/>
      <c r="T449" s="261"/>
      <c r="U449" s="262"/>
      <c r="V449" s="250"/>
      <c r="W449" s="250"/>
      <c r="X449" s="250"/>
      <c r="Y449" s="250"/>
      <c r="Z449" s="250"/>
      <c r="AA449" s="250"/>
      <c r="AB449" s="250"/>
      <c r="AC449" s="250"/>
      <c r="AD449" s="250"/>
      <c r="AE449" s="250"/>
      <c r="AF449" s="250"/>
      <c r="AG449" s="250"/>
      <c r="AH449" s="250"/>
      <c r="AI449" s="250"/>
      <c r="AJ449" s="250"/>
      <c r="AK449" s="250"/>
      <c r="AL449" s="250"/>
      <c r="AM449" s="250"/>
      <c r="AN449" s="250"/>
    </row>
    <row r="450" ht="15.75" customHeight="1">
      <c r="A450" s="250"/>
      <c r="B450" s="251">
        <f>IFERROR(__xludf.DUMMYFUNCTION("""COMPUTED_VALUE"""),442.0)</f>
        <v>442</v>
      </c>
      <c r="C450" s="252"/>
      <c r="D450" s="253" t="str">
        <f>IFERROR(__xludf.DUMMYFUNCTION("""COMPUTED_VALUE"""),"")</f>
        <v/>
      </c>
      <c r="E450" s="254">
        <f>IFERROR(__xludf.DUMMYFUNCTION("""COMPUTED_VALUE"""),0.0)</f>
        <v>0</v>
      </c>
      <c r="F450" s="255"/>
      <c r="G450" s="256"/>
      <c r="H450" s="252">
        <f>IFERROR(__xludf.DUMMYFUNCTION("""COMPUTED_VALUE"""),0.0)</f>
        <v>0</v>
      </c>
      <c r="I450" s="258"/>
      <c r="J450" s="258"/>
      <c r="K450" s="257">
        <f>IFERROR(__xludf.DUMMYFUNCTION("""COMPUTED_VALUE"""),0.0)</f>
        <v>0</v>
      </c>
      <c r="L450" s="258">
        <f>IFERROR(__xludf.DUMMYFUNCTION("""COMPUTED_VALUE"""),0.0)</f>
        <v>0</v>
      </c>
      <c r="M450" s="258">
        <f>IFERROR(__xludf.DUMMYFUNCTION("""COMPUTED_VALUE"""),0.0)</f>
        <v>0</v>
      </c>
      <c r="N450" s="258">
        <f>IFERROR(__xludf.DUMMYFUNCTION("""COMPUTED_VALUE"""),0.0)</f>
        <v>0</v>
      </c>
      <c r="O450" s="258">
        <f>IFERROR(__xludf.DUMMYFUNCTION("""COMPUTED_VALUE"""),0.0)</f>
        <v>0</v>
      </c>
      <c r="P450" s="258">
        <f>IFERROR(__xludf.DUMMYFUNCTION("""COMPUTED_VALUE"""),0.0)</f>
        <v>0</v>
      </c>
      <c r="Q450" s="258">
        <f>IFERROR(__xludf.DUMMYFUNCTION("""COMPUTED_VALUE"""),0.0)</f>
        <v>0</v>
      </c>
      <c r="R450" s="259"/>
      <c r="S450" s="260"/>
      <c r="T450" s="261"/>
      <c r="U450" s="262"/>
      <c r="V450" s="250"/>
      <c r="W450" s="250"/>
      <c r="X450" s="250"/>
      <c r="Y450" s="250"/>
      <c r="Z450" s="250"/>
      <c r="AA450" s="250"/>
      <c r="AB450" s="250"/>
      <c r="AC450" s="250"/>
      <c r="AD450" s="250"/>
      <c r="AE450" s="250"/>
      <c r="AF450" s="250"/>
      <c r="AG450" s="250"/>
      <c r="AH450" s="250"/>
      <c r="AI450" s="250"/>
      <c r="AJ450" s="250"/>
      <c r="AK450" s="250"/>
      <c r="AL450" s="250"/>
      <c r="AM450" s="250"/>
      <c r="AN450" s="250"/>
    </row>
    <row r="451" ht="15.75" customHeight="1">
      <c r="A451" s="250"/>
      <c r="B451" s="251">
        <f>IFERROR(__xludf.DUMMYFUNCTION("""COMPUTED_VALUE"""),443.0)</f>
        <v>443</v>
      </c>
      <c r="C451" s="252"/>
      <c r="D451" s="253" t="str">
        <f>IFERROR(__xludf.DUMMYFUNCTION("""COMPUTED_VALUE"""),"")</f>
        <v/>
      </c>
      <c r="E451" s="254">
        <f>IFERROR(__xludf.DUMMYFUNCTION("""COMPUTED_VALUE"""),0.0)</f>
        <v>0</v>
      </c>
      <c r="F451" s="255"/>
      <c r="G451" s="256"/>
      <c r="H451" s="252">
        <f>IFERROR(__xludf.DUMMYFUNCTION("""COMPUTED_VALUE"""),0.0)</f>
        <v>0</v>
      </c>
      <c r="I451" s="258"/>
      <c r="J451" s="258"/>
      <c r="K451" s="257">
        <f>IFERROR(__xludf.DUMMYFUNCTION("""COMPUTED_VALUE"""),0.0)</f>
        <v>0</v>
      </c>
      <c r="L451" s="258">
        <f>IFERROR(__xludf.DUMMYFUNCTION("""COMPUTED_VALUE"""),0.0)</f>
        <v>0</v>
      </c>
      <c r="M451" s="258">
        <f>IFERROR(__xludf.DUMMYFUNCTION("""COMPUTED_VALUE"""),0.0)</f>
        <v>0</v>
      </c>
      <c r="N451" s="258">
        <f>IFERROR(__xludf.DUMMYFUNCTION("""COMPUTED_VALUE"""),0.0)</f>
        <v>0</v>
      </c>
      <c r="O451" s="258">
        <f>IFERROR(__xludf.DUMMYFUNCTION("""COMPUTED_VALUE"""),0.0)</f>
        <v>0</v>
      </c>
      <c r="P451" s="258">
        <f>IFERROR(__xludf.DUMMYFUNCTION("""COMPUTED_VALUE"""),0.0)</f>
        <v>0</v>
      </c>
      <c r="Q451" s="258">
        <f>IFERROR(__xludf.DUMMYFUNCTION("""COMPUTED_VALUE"""),0.0)</f>
        <v>0</v>
      </c>
      <c r="R451" s="259"/>
      <c r="S451" s="260"/>
      <c r="T451" s="261"/>
      <c r="U451" s="262"/>
      <c r="V451" s="250"/>
      <c r="W451" s="250"/>
      <c r="X451" s="250"/>
      <c r="Y451" s="250"/>
      <c r="Z451" s="250"/>
      <c r="AA451" s="250"/>
      <c r="AB451" s="250"/>
      <c r="AC451" s="250"/>
      <c r="AD451" s="250"/>
      <c r="AE451" s="250"/>
      <c r="AF451" s="250"/>
      <c r="AG451" s="250"/>
      <c r="AH451" s="250"/>
      <c r="AI451" s="250"/>
      <c r="AJ451" s="250"/>
      <c r="AK451" s="250"/>
      <c r="AL451" s="250"/>
      <c r="AM451" s="250"/>
      <c r="AN451" s="250"/>
    </row>
    <row r="452" ht="15.75" customHeight="1">
      <c r="A452" s="250"/>
      <c r="B452" s="251">
        <f>IFERROR(__xludf.DUMMYFUNCTION("""COMPUTED_VALUE"""),444.0)</f>
        <v>444</v>
      </c>
      <c r="C452" s="252"/>
      <c r="D452" s="253" t="str">
        <f>IFERROR(__xludf.DUMMYFUNCTION("""COMPUTED_VALUE"""),"")</f>
        <v/>
      </c>
      <c r="E452" s="254">
        <f>IFERROR(__xludf.DUMMYFUNCTION("""COMPUTED_VALUE"""),0.0)</f>
        <v>0</v>
      </c>
      <c r="F452" s="255"/>
      <c r="G452" s="256"/>
      <c r="H452" s="252">
        <f>IFERROR(__xludf.DUMMYFUNCTION("""COMPUTED_VALUE"""),0.0)</f>
        <v>0</v>
      </c>
      <c r="I452" s="258"/>
      <c r="J452" s="258"/>
      <c r="K452" s="257">
        <f>IFERROR(__xludf.DUMMYFUNCTION("""COMPUTED_VALUE"""),0.0)</f>
        <v>0</v>
      </c>
      <c r="L452" s="258">
        <f>IFERROR(__xludf.DUMMYFUNCTION("""COMPUTED_VALUE"""),0.0)</f>
        <v>0</v>
      </c>
      <c r="M452" s="258">
        <f>IFERROR(__xludf.DUMMYFUNCTION("""COMPUTED_VALUE"""),0.0)</f>
        <v>0</v>
      </c>
      <c r="N452" s="258">
        <f>IFERROR(__xludf.DUMMYFUNCTION("""COMPUTED_VALUE"""),0.0)</f>
        <v>0</v>
      </c>
      <c r="O452" s="258">
        <f>IFERROR(__xludf.DUMMYFUNCTION("""COMPUTED_VALUE"""),0.0)</f>
        <v>0</v>
      </c>
      <c r="P452" s="258">
        <f>IFERROR(__xludf.DUMMYFUNCTION("""COMPUTED_VALUE"""),0.0)</f>
        <v>0</v>
      </c>
      <c r="Q452" s="258">
        <f>IFERROR(__xludf.DUMMYFUNCTION("""COMPUTED_VALUE"""),0.0)</f>
        <v>0</v>
      </c>
      <c r="R452" s="259"/>
      <c r="S452" s="260"/>
      <c r="T452" s="261"/>
      <c r="U452" s="262"/>
      <c r="V452" s="250"/>
      <c r="W452" s="250"/>
      <c r="X452" s="250"/>
      <c r="Y452" s="250"/>
      <c r="Z452" s="250"/>
      <c r="AA452" s="250"/>
      <c r="AB452" s="250"/>
      <c r="AC452" s="250"/>
      <c r="AD452" s="250"/>
      <c r="AE452" s="250"/>
      <c r="AF452" s="250"/>
      <c r="AG452" s="250"/>
      <c r="AH452" s="250"/>
      <c r="AI452" s="250"/>
      <c r="AJ452" s="250"/>
      <c r="AK452" s="250"/>
      <c r="AL452" s="250"/>
      <c r="AM452" s="250"/>
      <c r="AN452" s="250"/>
    </row>
    <row r="453" ht="15.75" customHeight="1">
      <c r="A453" s="250"/>
      <c r="B453" s="251">
        <f>IFERROR(__xludf.DUMMYFUNCTION("""COMPUTED_VALUE"""),445.0)</f>
        <v>445</v>
      </c>
      <c r="C453" s="252"/>
      <c r="D453" s="253" t="str">
        <f>IFERROR(__xludf.DUMMYFUNCTION("""COMPUTED_VALUE"""),"")</f>
        <v/>
      </c>
      <c r="E453" s="254">
        <f>IFERROR(__xludf.DUMMYFUNCTION("""COMPUTED_VALUE"""),0.0)</f>
        <v>0</v>
      </c>
      <c r="F453" s="255"/>
      <c r="G453" s="256"/>
      <c r="H453" s="252">
        <f>IFERROR(__xludf.DUMMYFUNCTION("""COMPUTED_VALUE"""),0.0)</f>
        <v>0</v>
      </c>
      <c r="I453" s="258"/>
      <c r="J453" s="258"/>
      <c r="K453" s="257">
        <f>IFERROR(__xludf.DUMMYFUNCTION("""COMPUTED_VALUE"""),0.0)</f>
        <v>0</v>
      </c>
      <c r="L453" s="258">
        <f>IFERROR(__xludf.DUMMYFUNCTION("""COMPUTED_VALUE"""),0.0)</f>
        <v>0</v>
      </c>
      <c r="M453" s="258">
        <f>IFERROR(__xludf.DUMMYFUNCTION("""COMPUTED_VALUE"""),0.0)</f>
        <v>0</v>
      </c>
      <c r="N453" s="258">
        <f>IFERROR(__xludf.DUMMYFUNCTION("""COMPUTED_VALUE"""),0.0)</f>
        <v>0</v>
      </c>
      <c r="O453" s="258">
        <f>IFERROR(__xludf.DUMMYFUNCTION("""COMPUTED_VALUE"""),0.0)</f>
        <v>0</v>
      </c>
      <c r="P453" s="258">
        <f>IFERROR(__xludf.DUMMYFUNCTION("""COMPUTED_VALUE"""),0.0)</f>
        <v>0</v>
      </c>
      <c r="Q453" s="258">
        <f>IFERROR(__xludf.DUMMYFUNCTION("""COMPUTED_VALUE"""),0.0)</f>
        <v>0</v>
      </c>
      <c r="R453" s="259"/>
      <c r="S453" s="260"/>
      <c r="T453" s="261"/>
      <c r="U453" s="262"/>
      <c r="V453" s="250"/>
      <c r="W453" s="250"/>
      <c r="X453" s="250"/>
      <c r="Y453" s="250"/>
      <c r="Z453" s="250"/>
      <c r="AA453" s="250"/>
      <c r="AB453" s="250"/>
      <c r="AC453" s="250"/>
      <c r="AD453" s="250"/>
      <c r="AE453" s="250"/>
      <c r="AF453" s="250"/>
      <c r="AG453" s="250"/>
      <c r="AH453" s="250"/>
      <c r="AI453" s="250"/>
      <c r="AJ453" s="250"/>
      <c r="AK453" s="250"/>
      <c r="AL453" s="250"/>
      <c r="AM453" s="250"/>
      <c r="AN453" s="250"/>
    </row>
    <row r="454" ht="15.75" customHeight="1">
      <c r="A454" s="250"/>
      <c r="B454" s="251">
        <f>IFERROR(__xludf.DUMMYFUNCTION("""COMPUTED_VALUE"""),446.0)</f>
        <v>446</v>
      </c>
      <c r="C454" s="252"/>
      <c r="D454" s="253" t="str">
        <f>IFERROR(__xludf.DUMMYFUNCTION("""COMPUTED_VALUE"""),"")</f>
        <v/>
      </c>
      <c r="E454" s="254">
        <f>IFERROR(__xludf.DUMMYFUNCTION("""COMPUTED_VALUE"""),0.0)</f>
        <v>0</v>
      </c>
      <c r="F454" s="255"/>
      <c r="G454" s="256"/>
      <c r="H454" s="252">
        <f>IFERROR(__xludf.DUMMYFUNCTION("""COMPUTED_VALUE"""),0.0)</f>
        <v>0</v>
      </c>
      <c r="I454" s="258"/>
      <c r="J454" s="258"/>
      <c r="K454" s="257">
        <f>IFERROR(__xludf.DUMMYFUNCTION("""COMPUTED_VALUE"""),0.0)</f>
        <v>0</v>
      </c>
      <c r="L454" s="258">
        <f>IFERROR(__xludf.DUMMYFUNCTION("""COMPUTED_VALUE"""),0.0)</f>
        <v>0</v>
      </c>
      <c r="M454" s="258">
        <f>IFERROR(__xludf.DUMMYFUNCTION("""COMPUTED_VALUE"""),0.0)</f>
        <v>0</v>
      </c>
      <c r="N454" s="258">
        <f>IFERROR(__xludf.DUMMYFUNCTION("""COMPUTED_VALUE"""),0.0)</f>
        <v>0</v>
      </c>
      <c r="O454" s="258">
        <f>IFERROR(__xludf.DUMMYFUNCTION("""COMPUTED_VALUE"""),0.0)</f>
        <v>0</v>
      </c>
      <c r="P454" s="258">
        <f>IFERROR(__xludf.DUMMYFUNCTION("""COMPUTED_VALUE"""),0.0)</f>
        <v>0</v>
      </c>
      <c r="Q454" s="258">
        <f>IFERROR(__xludf.DUMMYFUNCTION("""COMPUTED_VALUE"""),0.0)</f>
        <v>0</v>
      </c>
      <c r="R454" s="259"/>
      <c r="S454" s="260"/>
      <c r="T454" s="261"/>
      <c r="U454" s="262"/>
      <c r="V454" s="250"/>
      <c r="W454" s="250"/>
      <c r="X454" s="250"/>
      <c r="Y454" s="250"/>
      <c r="Z454" s="250"/>
      <c r="AA454" s="250"/>
      <c r="AB454" s="250"/>
      <c r="AC454" s="250"/>
      <c r="AD454" s="250"/>
      <c r="AE454" s="250"/>
      <c r="AF454" s="250"/>
      <c r="AG454" s="250"/>
      <c r="AH454" s="250"/>
      <c r="AI454" s="250"/>
      <c r="AJ454" s="250"/>
      <c r="AK454" s="250"/>
      <c r="AL454" s="250"/>
      <c r="AM454" s="250"/>
      <c r="AN454" s="250"/>
    </row>
    <row r="455" ht="15.75" customHeight="1">
      <c r="A455" s="250"/>
      <c r="B455" s="251">
        <f>IFERROR(__xludf.DUMMYFUNCTION("""COMPUTED_VALUE"""),447.0)</f>
        <v>447</v>
      </c>
      <c r="C455" s="252"/>
      <c r="D455" s="253" t="str">
        <f>IFERROR(__xludf.DUMMYFUNCTION("""COMPUTED_VALUE"""),"")</f>
        <v/>
      </c>
      <c r="E455" s="254">
        <f>IFERROR(__xludf.DUMMYFUNCTION("""COMPUTED_VALUE"""),0.0)</f>
        <v>0</v>
      </c>
      <c r="F455" s="255"/>
      <c r="G455" s="256"/>
      <c r="H455" s="252">
        <f>IFERROR(__xludf.DUMMYFUNCTION("""COMPUTED_VALUE"""),0.0)</f>
        <v>0</v>
      </c>
      <c r="I455" s="258"/>
      <c r="J455" s="258"/>
      <c r="K455" s="257">
        <f>IFERROR(__xludf.DUMMYFUNCTION("""COMPUTED_VALUE"""),0.0)</f>
        <v>0</v>
      </c>
      <c r="L455" s="258">
        <f>IFERROR(__xludf.DUMMYFUNCTION("""COMPUTED_VALUE"""),0.0)</f>
        <v>0</v>
      </c>
      <c r="M455" s="258">
        <f>IFERROR(__xludf.DUMMYFUNCTION("""COMPUTED_VALUE"""),0.0)</f>
        <v>0</v>
      </c>
      <c r="N455" s="258">
        <f>IFERROR(__xludf.DUMMYFUNCTION("""COMPUTED_VALUE"""),0.0)</f>
        <v>0</v>
      </c>
      <c r="O455" s="258">
        <f>IFERROR(__xludf.DUMMYFUNCTION("""COMPUTED_VALUE"""),0.0)</f>
        <v>0</v>
      </c>
      <c r="P455" s="258">
        <f>IFERROR(__xludf.DUMMYFUNCTION("""COMPUTED_VALUE"""),0.0)</f>
        <v>0</v>
      </c>
      <c r="Q455" s="258">
        <f>IFERROR(__xludf.DUMMYFUNCTION("""COMPUTED_VALUE"""),0.0)</f>
        <v>0</v>
      </c>
      <c r="R455" s="259"/>
      <c r="S455" s="260"/>
      <c r="T455" s="261"/>
      <c r="U455" s="262"/>
      <c r="V455" s="250"/>
      <c r="W455" s="250"/>
      <c r="X455" s="250"/>
      <c r="Y455" s="250"/>
      <c r="Z455" s="250"/>
      <c r="AA455" s="250"/>
      <c r="AB455" s="250"/>
      <c r="AC455" s="250"/>
      <c r="AD455" s="250"/>
      <c r="AE455" s="250"/>
      <c r="AF455" s="250"/>
      <c r="AG455" s="250"/>
      <c r="AH455" s="250"/>
      <c r="AI455" s="250"/>
      <c r="AJ455" s="250"/>
      <c r="AK455" s="250"/>
      <c r="AL455" s="250"/>
      <c r="AM455" s="250"/>
      <c r="AN455" s="250"/>
    </row>
    <row r="456" ht="15.75" customHeight="1">
      <c r="A456" s="250"/>
      <c r="B456" s="251">
        <f>IFERROR(__xludf.DUMMYFUNCTION("""COMPUTED_VALUE"""),448.0)</f>
        <v>448</v>
      </c>
      <c r="C456" s="252"/>
      <c r="D456" s="253" t="str">
        <f>IFERROR(__xludf.DUMMYFUNCTION("""COMPUTED_VALUE"""),"")</f>
        <v/>
      </c>
      <c r="E456" s="254">
        <f>IFERROR(__xludf.DUMMYFUNCTION("""COMPUTED_VALUE"""),0.0)</f>
        <v>0</v>
      </c>
      <c r="F456" s="255"/>
      <c r="G456" s="256"/>
      <c r="H456" s="252">
        <f>IFERROR(__xludf.DUMMYFUNCTION("""COMPUTED_VALUE"""),0.0)</f>
        <v>0</v>
      </c>
      <c r="I456" s="258"/>
      <c r="J456" s="258"/>
      <c r="K456" s="257">
        <f>IFERROR(__xludf.DUMMYFUNCTION("""COMPUTED_VALUE"""),0.0)</f>
        <v>0</v>
      </c>
      <c r="L456" s="258">
        <f>IFERROR(__xludf.DUMMYFUNCTION("""COMPUTED_VALUE"""),0.0)</f>
        <v>0</v>
      </c>
      <c r="M456" s="258">
        <f>IFERROR(__xludf.DUMMYFUNCTION("""COMPUTED_VALUE"""),0.0)</f>
        <v>0</v>
      </c>
      <c r="N456" s="258">
        <f>IFERROR(__xludf.DUMMYFUNCTION("""COMPUTED_VALUE"""),0.0)</f>
        <v>0</v>
      </c>
      <c r="O456" s="258">
        <f>IFERROR(__xludf.DUMMYFUNCTION("""COMPUTED_VALUE"""),0.0)</f>
        <v>0</v>
      </c>
      <c r="P456" s="258">
        <f>IFERROR(__xludf.DUMMYFUNCTION("""COMPUTED_VALUE"""),0.0)</f>
        <v>0</v>
      </c>
      <c r="Q456" s="258">
        <f>IFERROR(__xludf.DUMMYFUNCTION("""COMPUTED_VALUE"""),0.0)</f>
        <v>0</v>
      </c>
      <c r="R456" s="259"/>
      <c r="S456" s="260"/>
      <c r="T456" s="261"/>
      <c r="U456" s="262"/>
      <c r="V456" s="250"/>
      <c r="W456" s="250"/>
      <c r="X456" s="250"/>
      <c r="Y456" s="250"/>
      <c r="Z456" s="250"/>
      <c r="AA456" s="250"/>
      <c r="AB456" s="250"/>
      <c r="AC456" s="250"/>
      <c r="AD456" s="250"/>
      <c r="AE456" s="250"/>
      <c r="AF456" s="250"/>
      <c r="AG456" s="250"/>
      <c r="AH456" s="250"/>
      <c r="AI456" s="250"/>
      <c r="AJ456" s="250"/>
      <c r="AK456" s="250"/>
      <c r="AL456" s="250"/>
      <c r="AM456" s="250"/>
      <c r="AN456" s="250"/>
    </row>
    <row r="457" ht="15.75" customHeight="1">
      <c r="A457" s="250"/>
      <c r="B457" s="251">
        <f>IFERROR(__xludf.DUMMYFUNCTION("""COMPUTED_VALUE"""),449.0)</f>
        <v>449</v>
      </c>
      <c r="C457" s="252"/>
      <c r="D457" s="253" t="str">
        <f>IFERROR(__xludf.DUMMYFUNCTION("""COMPUTED_VALUE"""),"")</f>
        <v/>
      </c>
      <c r="E457" s="254">
        <f>IFERROR(__xludf.DUMMYFUNCTION("""COMPUTED_VALUE"""),0.0)</f>
        <v>0</v>
      </c>
      <c r="F457" s="255"/>
      <c r="G457" s="256"/>
      <c r="H457" s="252">
        <f>IFERROR(__xludf.DUMMYFUNCTION("""COMPUTED_VALUE"""),0.0)</f>
        <v>0</v>
      </c>
      <c r="I457" s="258"/>
      <c r="J457" s="258"/>
      <c r="K457" s="257">
        <f>IFERROR(__xludf.DUMMYFUNCTION("""COMPUTED_VALUE"""),0.0)</f>
        <v>0</v>
      </c>
      <c r="L457" s="258">
        <f>IFERROR(__xludf.DUMMYFUNCTION("""COMPUTED_VALUE"""),0.0)</f>
        <v>0</v>
      </c>
      <c r="M457" s="258">
        <f>IFERROR(__xludf.DUMMYFUNCTION("""COMPUTED_VALUE"""),0.0)</f>
        <v>0</v>
      </c>
      <c r="N457" s="258">
        <f>IFERROR(__xludf.DUMMYFUNCTION("""COMPUTED_VALUE"""),0.0)</f>
        <v>0</v>
      </c>
      <c r="O457" s="258">
        <f>IFERROR(__xludf.DUMMYFUNCTION("""COMPUTED_VALUE"""),0.0)</f>
        <v>0</v>
      </c>
      <c r="P457" s="258">
        <f>IFERROR(__xludf.DUMMYFUNCTION("""COMPUTED_VALUE"""),0.0)</f>
        <v>0</v>
      </c>
      <c r="Q457" s="258">
        <f>IFERROR(__xludf.DUMMYFUNCTION("""COMPUTED_VALUE"""),0.0)</f>
        <v>0</v>
      </c>
      <c r="R457" s="259"/>
      <c r="S457" s="260"/>
      <c r="T457" s="261"/>
      <c r="U457" s="262"/>
      <c r="V457" s="250"/>
      <c r="W457" s="250"/>
      <c r="X457" s="250"/>
      <c r="Y457" s="250"/>
      <c r="Z457" s="250"/>
      <c r="AA457" s="250"/>
      <c r="AB457" s="250"/>
      <c r="AC457" s="250"/>
      <c r="AD457" s="250"/>
      <c r="AE457" s="250"/>
      <c r="AF457" s="250"/>
      <c r="AG457" s="250"/>
      <c r="AH457" s="250"/>
      <c r="AI457" s="250"/>
      <c r="AJ457" s="250"/>
      <c r="AK457" s="250"/>
      <c r="AL457" s="250"/>
      <c r="AM457" s="250"/>
      <c r="AN457" s="250"/>
    </row>
    <row r="458" ht="15.75" customHeight="1">
      <c r="A458" s="250"/>
      <c r="B458" s="251">
        <f>IFERROR(__xludf.DUMMYFUNCTION("""COMPUTED_VALUE"""),450.0)</f>
        <v>450</v>
      </c>
      <c r="C458" s="252"/>
      <c r="D458" s="253" t="str">
        <f>IFERROR(__xludf.DUMMYFUNCTION("""COMPUTED_VALUE"""),"")</f>
        <v/>
      </c>
      <c r="E458" s="254">
        <f>IFERROR(__xludf.DUMMYFUNCTION("""COMPUTED_VALUE"""),0.0)</f>
        <v>0</v>
      </c>
      <c r="F458" s="255"/>
      <c r="G458" s="256"/>
      <c r="H458" s="252">
        <f>IFERROR(__xludf.DUMMYFUNCTION("""COMPUTED_VALUE"""),0.0)</f>
        <v>0</v>
      </c>
      <c r="I458" s="258"/>
      <c r="J458" s="258"/>
      <c r="K458" s="257">
        <f>IFERROR(__xludf.DUMMYFUNCTION("""COMPUTED_VALUE"""),0.0)</f>
        <v>0</v>
      </c>
      <c r="L458" s="258">
        <f>IFERROR(__xludf.DUMMYFUNCTION("""COMPUTED_VALUE"""),0.0)</f>
        <v>0</v>
      </c>
      <c r="M458" s="258">
        <f>IFERROR(__xludf.DUMMYFUNCTION("""COMPUTED_VALUE"""),0.0)</f>
        <v>0</v>
      </c>
      <c r="N458" s="258">
        <f>IFERROR(__xludf.DUMMYFUNCTION("""COMPUTED_VALUE"""),0.0)</f>
        <v>0</v>
      </c>
      <c r="O458" s="258">
        <f>IFERROR(__xludf.DUMMYFUNCTION("""COMPUTED_VALUE"""),0.0)</f>
        <v>0</v>
      </c>
      <c r="P458" s="258">
        <f>IFERROR(__xludf.DUMMYFUNCTION("""COMPUTED_VALUE"""),0.0)</f>
        <v>0</v>
      </c>
      <c r="Q458" s="258">
        <f>IFERROR(__xludf.DUMMYFUNCTION("""COMPUTED_VALUE"""),0.0)</f>
        <v>0</v>
      </c>
      <c r="R458" s="259"/>
      <c r="S458" s="260"/>
      <c r="T458" s="261"/>
      <c r="U458" s="262"/>
      <c r="V458" s="250"/>
      <c r="W458" s="250"/>
      <c r="X458" s="250"/>
      <c r="Y458" s="250"/>
      <c r="Z458" s="250"/>
      <c r="AA458" s="250"/>
      <c r="AB458" s="250"/>
      <c r="AC458" s="250"/>
      <c r="AD458" s="250"/>
      <c r="AE458" s="250"/>
      <c r="AF458" s="250"/>
      <c r="AG458" s="250"/>
      <c r="AH458" s="250"/>
      <c r="AI458" s="250"/>
      <c r="AJ458" s="250"/>
      <c r="AK458" s="250"/>
      <c r="AL458" s="250"/>
      <c r="AM458" s="250"/>
      <c r="AN458" s="250"/>
    </row>
    <row r="459" ht="15.75" customHeight="1">
      <c r="A459" s="250"/>
      <c r="B459" s="251">
        <f>IFERROR(__xludf.DUMMYFUNCTION("""COMPUTED_VALUE"""),451.0)</f>
        <v>451</v>
      </c>
      <c r="C459" s="252"/>
      <c r="D459" s="253" t="str">
        <f>IFERROR(__xludf.DUMMYFUNCTION("""COMPUTED_VALUE"""),"")</f>
        <v/>
      </c>
      <c r="E459" s="254">
        <f>IFERROR(__xludf.DUMMYFUNCTION("""COMPUTED_VALUE"""),0.0)</f>
        <v>0</v>
      </c>
      <c r="F459" s="255"/>
      <c r="G459" s="256"/>
      <c r="H459" s="252">
        <f>IFERROR(__xludf.DUMMYFUNCTION("""COMPUTED_VALUE"""),0.0)</f>
        <v>0</v>
      </c>
      <c r="I459" s="258"/>
      <c r="J459" s="258"/>
      <c r="K459" s="257">
        <f>IFERROR(__xludf.DUMMYFUNCTION("""COMPUTED_VALUE"""),0.0)</f>
        <v>0</v>
      </c>
      <c r="L459" s="258">
        <f>IFERROR(__xludf.DUMMYFUNCTION("""COMPUTED_VALUE"""),0.0)</f>
        <v>0</v>
      </c>
      <c r="M459" s="258">
        <f>IFERROR(__xludf.DUMMYFUNCTION("""COMPUTED_VALUE"""),0.0)</f>
        <v>0</v>
      </c>
      <c r="N459" s="258">
        <f>IFERROR(__xludf.DUMMYFUNCTION("""COMPUTED_VALUE"""),0.0)</f>
        <v>0</v>
      </c>
      <c r="O459" s="258">
        <f>IFERROR(__xludf.DUMMYFUNCTION("""COMPUTED_VALUE"""),0.0)</f>
        <v>0</v>
      </c>
      <c r="P459" s="258">
        <f>IFERROR(__xludf.DUMMYFUNCTION("""COMPUTED_VALUE"""),0.0)</f>
        <v>0</v>
      </c>
      <c r="Q459" s="258">
        <f>IFERROR(__xludf.DUMMYFUNCTION("""COMPUTED_VALUE"""),0.0)</f>
        <v>0</v>
      </c>
      <c r="R459" s="259"/>
      <c r="S459" s="260"/>
      <c r="T459" s="261"/>
      <c r="U459" s="262"/>
      <c r="V459" s="250"/>
      <c r="W459" s="250"/>
      <c r="X459" s="250"/>
      <c r="Y459" s="250"/>
      <c r="Z459" s="250"/>
      <c r="AA459" s="250"/>
      <c r="AB459" s="250"/>
      <c r="AC459" s="250"/>
      <c r="AD459" s="250"/>
      <c r="AE459" s="250"/>
      <c r="AF459" s="250"/>
      <c r="AG459" s="250"/>
      <c r="AH459" s="250"/>
      <c r="AI459" s="250"/>
      <c r="AJ459" s="250"/>
      <c r="AK459" s="250"/>
      <c r="AL459" s="250"/>
      <c r="AM459" s="250"/>
      <c r="AN459" s="250"/>
    </row>
    <row r="460" ht="15.75" customHeight="1">
      <c r="A460" s="250"/>
      <c r="B460" s="251">
        <f>IFERROR(__xludf.DUMMYFUNCTION("""COMPUTED_VALUE"""),452.0)</f>
        <v>452</v>
      </c>
      <c r="C460" s="252"/>
      <c r="D460" s="253" t="str">
        <f>IFERROR(__xludf.DUMMYFUNCTION("""COMPUTED_VALUE"""),"")</f>
        <v/>
      </c>
      <c r="E460" s="254">
        <f>IFERROR(__xludf.DUMMYFUNCTION("""COMPUTED_VALUE"""),0.0)</f>
        <v>0</v>
      </c>
      <c r="F460" s="255"/>
      <c r="G460" s="256"/>
      <c r="H460" s="252">
        <f>IFERROR(__xludf.DUMMYFUNCTION("""COMPUTED_VALUE"""),0.0)</f>
        <v>0</v>
      </c>
      <c r="I460" s="258"/>
      <c r="J460" s="258"/>
      <c r="K460" s="257">
        <f>IFERROR(__xludf.DUMMYFUNCTION("""COMPUTED_VALUE"""),0.0)</f>
        <v>0</v>
      </c>
      <c r="L460" s="258">
        <f>IFERROR(__xludf.DUMMYFUNCTION("""COMPUTED_VALUE"""),0.0)</f>
        <v>0</v>
      </c>
      <c r="M460" s="258">
        <f>IFERROR(__xludf.DUMMYFUNCTION("""COMPUTED_VALUE"""),0.0)</f>
        <v>0</v>
      </c>
      <c r="N460" s="258">
        <f>IFERROR(__xludf.DUMMYFUNCTION("""COMPUTED_VALUE"""),0.0)</f>
        <v>0</v>
      </c>
      <c r="O460" s="258">
        <f>IFERROR(__xludf.DUMMYFUNCTION("""COMPUTED_VALUE"""),0.0)</f>
        <v>0</v>
      </c>
      <c r="P460" s="258">
        <f>IFERROR(__xludf.DUMMYFUNCTION("""COMPUTED_VALUE"""),0.0)</f>
        <v>0</v>
      </c>
      <c r="Q460" s="258">
        <f>IFERROR(__xludf.DUMMYFUNCTION("""COMPUTED_VALUE"""),0.0)</f>
        <v>0</v>
      </c>
      <c r="R460" s="259"/>
      <c r="S460" s="260"/>
      <c r="T460" s="261"/>
      <c r="U460" s="262"/>
      <c r="V460" s="250"/>
      <c r="W460" s="250"/>
      <c r="X460" s="250"/>
      <c r="Y460" s="250"/>
      <c r="Z460" s="250"/>
      <c r="AA460" s="250"/>
      <c r="AB460" s="250"/>
      <c r="AC460" s="250"/>
      <c r="AD460" s="250"/>
      <c r="AE460" s="250"/>
      <c r="AF460" s="250"/>
      <c r="AG460" s="250"/>
      <c r="AH460" s="250"/>
      <c r="AI460" s="250"/>
      <c r="AJ460" s="250"/>
      <c r="AK460" s="250"/>
      <c r="AL460" s="250"/>
      <c r="AM460" s="250"/>
      <c r="AN460" s="250"/>
    </row>
    <row r="461" ht="15.75" customHeight="1">
      <c r="A461" s="250"/>
      <c r="B461" s="251">
        <f>IFERROR(__xludf.DUMMYFUNCTION("""COMPUTED_VALUE"""),453.0)</f>
        <v>453</v>
      </c>
      <c r="C461" s="252"/>
      <c r="D461" s="253" t="str">
        <f>IFERROR(__xludf.DUMMYFUNCTION("""COMPUTED_VALUE"""),"")</f>
        <v/>
      </c>
      <c r="E461" s="254">
        <f>IFERROR(__xludf.DUMMYFUNCTION("""COMPUTED_VALUE"""),0.0)</f>
        <v>0</v>
      </c>
      <c r="F461" s="255"/>
      <c r="G461" s="256"/>
      <c r="H461" s="252">
        <f>IFERROR(__xludf.DUMMYFUNCTION("""COMPUTED_VALUE"""),0.0)</f>
        <v>0</v>
      </c>
      <c r="I461" s="258"/>
      <c r="J461" s="258"/>
      <c r="K461" s="257">
        <f>IFERROR(__xludf.DUMMYFUNCTION("""COMPUTED_VALUE"""),0.0)</f>
        <v>0</v>
      </c>
      <c r="L461" s="258">
        <f>IFERROR(__xludf.DUMMYFUNCTION("""COMPUTED_VALUE"""),0.0)</f>
        <v>0</v>
      </c>
      <c r="M461" s="258">
        <f>IFERROR(__xludf.DUMMYFUNCTION("""COMPUTED_VALUE"""),0.0)</f>
        <v>0</v>
      </c>
      <c r="N461" s="258">
        <f>IFERROR(__xludf.DUMMYFUNCTION("""COMPUTED_VALUE"""),0.0)</f>
        <v>0</v>
      </c>
      <c r="O461" s="258">
        <f>IFERROR(__xludf.DUMMYFUNCTION("""COMPUTED_VALUE"""),0.0)</f>
        <v>0</v>
      </c>
      <c r="P461" s="258">
        <f>IFERROR(__xludf.DUMMYFUNCTION("""COMPUTED_VALUE"""),0.0)</f>
        <v>0</v>
      </c>
      <c r="Q461" s="258">
        <f>IFERROR(__xludf.DUMMYFUNCTION("""COMPUTED_VALUE"""),0.0)</f>
        <v>0</v>
      </c>
      <c r="R461" s="259"/>
      <c r="S461" s="260"/>
      <c r="T461" s="261"/>
      <c r="U461" s="262"/>
      <c r="V461" s="250"/>
      <c r="W461" s="250"/>
      <c r="X461" s="250"/>
      <c r="Y461" s="250"/>
      <c r="Z461" s="250"/>
      <c r="AA461" s="250"/>
      <c r="AB461" s="250"/>
      <c r="AC461" s="250"/>
      <c r="AD461" s="250"/>
      <c r="AE461" s="250"/>
      <c r="AF461" s="250"/>
      <c r="AG461" s="250"/>
      <c r="AH461" s="250"/>
      <c r="AI461" s="250"/>
      <c r="AJ461" s="250"/>
      <c r="AK461" s="250"/>
      <c r="AL461" s="250"/>
      <c r="AM461" s="250"/>
      <c r="AN461" s="250"/>
    </row>
    <row r="462" ht="15.75" customHeight="1">
      <c r="A462" s="250"/>
      <c r="B462" s="251">
        <f>IFERROR(__xludf.DUMMYFUNCTION("""COMPUTED_VALUE"""),454.0)</f>
        <v>454</v>
      </c>
      <c r="C462" s="252"/>
      <c r="D462" s="253" t="str">
        <f>IFERROR(__xludf.DUMMYFUNCTION("""COMPUTED_VALUE"""),"")</f>
        <v/>
      </c>
      <c r="E462" s="254">
        <f>IFERROR(__xludf.DUMMYFUNCTION("""COMPUTED_VALUE"""),0.0)</f>
        <v>0</v>
      </c>
      <c r="F462" s="255"/>
      <c r="G462" s="256"/>
      <c r="H462" s="252">
        <f>IFERROR(__xludf.DUMMYFUNCTION("""COMPUTED_VALUE"""),0.0)</f>
        <v>0</v>
      </c>
      <c r="I462" s="258"/>
      <c r="J462" s="258"/>
      <c r="K462" s="257">
        <f>IFERROR(__xludf.DUMMYFUNCTION("""COMPUTED_VALUE"""),0.0)</f>
        <v>0</v>
      </c>
      <c r="L462" s="258">
        <f>IFERROR(__xludf.DUMMYFUNCTION("""COMPUTED_VALUE"""),0.0)</f>
        <v>0</v>
      </c>
      <c r="M462" s="258">
        <f>IFERROR(__xludf.DUMMYFUNCTION("""COMPUTED_VALUE"""),0.0)</f>
        <v>0</v>
      </c>
      <c r="N462" s="258">
        <f>IFERROR(__xludf.DUMMYFUNCTION("""COMPUTED_VALUE"""),0.0)</f>
        <v>0</v>
      </c>
      <c r="O462" s="258">
        <f>IFERROR(__xludf.DUMMYFUNCTION("""COMPUTED_VALUE"""),0.0)</f>
        <v>0</v>
      </c>
      <c r="P462" s="258">
        <f>IFERROR(__xludf.DUMMYFUNCTION("""COMPUTED_VALUE"""),0.0)</f>
        <v>0</v>
      </c>
      <c r="Q462" s="258">
        <f>IFERROR(__xludf.DUMMYFUNCTION("""COMPUTED_VALUE"""),0.0)</f>
        <v>0</v>
      </c>
      <c r="R462" s="259"/>
      <c r="S462" s="260"/>
      <c r="T462" s="261"/>
      <c r="U462" s="262"/>
      <c r="V462" s="250"/>
      <c r="W462" s="250"/>
      <c r="X462" s="250"/>
      <c r="Y462" s="250"/>
      <c r="Z462" s="250"/>
      <c r="AA462" s="250"/>
      <c r="AB462" s="250"/>
      <c r="AC462" s="250"/>
      <c r="AD462" s="250"/>
      <c r="AE462" s="250"/>
      <c r="AF462" s="250"/>
      <c r="AG462" s="250"/>
      <c r="AH462" s="250"/>
      <c r="AI462" s="250"/>
      <c r="AJ462" s="250"/>
      <c r="AK462" s="250"/>
      <c r="AL462" s="250"/>
      <c r="AM462" s="250"/>
      <c r="AN462" s="250"/>
    </row>
    <row r="463" ht="15.75" customHeight="1">
      <c r="A463" s="250"/>
      <c r="B463" s="251">
        <f>IFERROR(__xludf.DUMMYFUNCTION("""COMPUTED_VALUE"""),455.0)</f>
        <v>455</v>
      </c>
      <c r="C463" s="252"/>
      <c r="D463" s="253" t="str">
        <f>IFERROR(__xludf.DUMMYFUNCTION("""COMPUTED_VALUE"""),"")</f>
        <v/>
      </c>
      <c r="E463" s="254">
        <f>IFERROR(__xludf.DUMMYFUNCTION("""COMPUTED_VALUE"""),0.0)</f>
        <v>0</v>
      </c>
      <c r="F463" s="255"/>
      <c r="G463" s="256"/>
      <c r="H463" s="252">
        <f>IFERROR(__xludf.DUMMYFUNCTION("""COMPUTED_VALUE"""),0.0)</f>
        <v>0</v>
      </c>
      <c r="I463" s="258"/>
      <c r="J463" s="258"/>
      <c r="K463" s="257">
        <f>IFERROR(__xludf.DUMMYFUNCTION("""COMPUTED_VALUE"""),0.0)</f>
        <v>0</v>
      </c>
      <c r="L463" s="258">
        <f>IFERROR(__xludf.DUMMYFUNCTION("""COMPUTED_VALUE"""),0.0)</f>
        <v>0</v>
      </c>
      <c r="M463" s="258">
        <f>IFERROR(__xludf.DUMMYFUNCTION("""COMPUTED_VALUE"""),0.0)</f>
        <v>0</v>
      </c>
      <c r="N463" s="258">
        <f>IFERROR(__xludf.DUMMYFUNCTION("""COMPUTED_VALUE"""),0.0)</f>
        <v>0</v>
      </c>
      <c r="O463" s="258">
        <f>IFERROR(__xludf.DUMMYFUNCTION("""COMPUTED_VALUE"""),0.0)</f>
        <v>0</v>
      </c>
      <c r="P463" s="258">
        <f>IFERROR(__xludf.DUMMYFUNCTION("""COMPUTED_VALUE"""),0.0)</f>
        <v>0</v>
      </c>
      <c r="Q463" s="258">
        <f>IFERROR(__xludf.DUMMYFUNCTION("""COMPUTED_VALUE"""),0.0)</f>
        <v>0</v>
      </c>
      <c r="R463" s="259"/>
      <c r="S463" s="260"/>
      <c r="T463" s="261"/>
      <c r="U463" s="262"/>
      <c r="V463" s="250"/>
      <c r="W463" s="250"/>
      <c r="X463" s="250"/>
      <c r="Y463" s="250"/>
      <c r="Z463" s="250"/>
      <c r="AA463" s="250"/>
      <c r="AB463" s="250"/>
      <c r="AC463" s="250"/>
      <c r="AD463" s="250"/>
      <c r="AE463" s="250"/>
      <c r="AF463" s="250"/>
      <c r="AG463" s="250"/>
      <c r="AH463" s="250"/>
      <c r="AI463" s="250"/>
      <c r="AJ463" s="250"/>
      <c r="AK463" s="250"/>
      <c r="AL463" s="250"/>
      <c r="AM463" s="250"/>
      <c r="AN463" s="250"/>
    </row>
    <row r="464" ht="15.75" customHeight="1">
      <c r="A464" s="250"/>
      <c r="B464" s="251">
        <f>IFERROR(__xludf.DUMMYFUNCTION("""COMPUTED_VALUE"""),456.0)</f>
        <v>456</v>
      </c>
      <c r="C464" s="252"/>
      <c r="D464" s="253" t="str">
        <f>IFERROR(__xludf.DUMMYFUNCTION("""COMPUTED_VALUE"""),"")</f>
        <v/>
      </c>
      <c r="E464" s="254">
        <f>IFERROR(__xludf.DUMMYFUNCTION("""COMPUTED_VALUE"""),0.0)</f>
        <v>0</v>
      </c>
      <c r="F464" s="255"/>
      <c r="G464" s="256"/>
      <c r="H464" s="252">
        <f>IFERROR(__xludf.DUMMYFUNCTION("""COMPUTED_VALUE"""),0.0)</f>
        <v>0</v>
      </c>
      <c r="I464" s="258"/>
      <c r="J464" s="258"/>
      <c r="K464" s="257">
        <f>IFERROR(__xludf.DUMMYFUNCTION("""COMPUTED_VALUE"""),0.0)</f>
        <v>0</v>
      </c>
      <c r="L464" s="258">
        <f>IFERROR(__xludf.DUMMYFUNCTION("""COMPUTED_VALUE"""),0.0)</f>
        <v>0</v>
      </c>
      <c r="M464" s="258">
        <f>IFERROR(__xludf.DUMMYFUNCTION("""COMPUTED_VALUE"""),0.0)</f>
        <v>0</v>
      </c>
      <c r="N464" s="258">
        <f>IFERROR(__xludf.DUMMYFUNCTION("""COMPUTED_VALUE"""),0.0)</f>
        <v>0</v>
      </c>
      <c r="O464" s="258">
        <f>IFERROR(__xludf.DUMMYFUNCTION("""COMPUTED_VALUE"""),0.0)</f>
        <v>0</v>
      </c>
      <c r="P464" s="258">
        <f>IFERROR(__xludf.DUMMYFUNCTION("""COMPUTED_VALUE"""),0.0)</f>
        <v>0</v>
      </c>
      <c r="Q464" s="258">
        <f>IFERROR(__xludf.DUMMYFUNCTION("""COMPUTED_VALUE"""),0.0)</f>
        <v>0</v>
      </c>
      <c r="R464" s="259"/>
      <c r="S464" s="260"/>
      <c r="T464" s="261"/>
      <c r="U464" s="262"/>
      <c r="V464" s="250"/>
      <c r="W464" s="250"/>
      <c r="X464" s="250"/>
      <c r="Y464" s="250"/>
      <c r="Z464" s="250"/>
      <c r="AA464" s="250"/>
      <c r="AB464" s="250"/>
      <c r="AC464" s="250"/>
      <c r="AD464" s="250"/>
      <c r="AE464" s="250"/>
      <c r="AF464" s="250"/>
      <c r="AG464" s="250"/>
      <c r="AH464" s="250"/>
      <c r="AI464" s="250"/>
      <c r="AJ464" s="250"/>
      <c r="AK464" s="250"/>
      <c r="AL464" s="250"/>
      <c r="AM464" s="250"/>
      <c r="AN464" s="250"/>
    </row>
    <row r="465" ht="15.75" customHeight="1">
      <c r="A465" s="250"/>
      <c r="B465" s="251">
        <f>IFERROR(__xludf.DUMMYFUNCTION("""COMPUTED_VALUE"""),457.0)</f>
        <v>457</v>
      </c>
      <c r="C465" s="252"/>
      <c r="D465" s="253" t="str">
        <f>IFERROR(__xludf.DUMMYFUNCTION("""COMPUTED_VALUE"""),"")</f>
        <v/>
      </c>
      <c r="E465" s="254">
        <f>IFERROR(__xludf.DUMMYFUNCTION("""COMPUTED_VALUE"""),0.0)</f>
        <v>0</v>
      </c>
      <c r="F465" s="255"/>
      <c r="G465" s="256"/>
      <c r="H465" s="252">
        <f>IFERROR(__xludf.DUMMYFUNCTION("""COMPUTED_VALUE"""),0.0)</f>
        <v>0</v>
      </c>
      <c r="I465" s="258"/>
      <c r="J465" s="258"/>
      <c r="K465" s="257">
        <f>IFERROR(__xludf.DUMMYFUNCTION("""COMPUTED_VALUE"""),0.0)</f>
        <v>0</v>
      </c>
      <c r="L465" s="258">
        <f>IFERROR(__xludf.DUMMYFUNCTION("""COMPUTED_VALUE"""),0.0)</f>
        <v>0</v>
      </c>
      <c r="M465" s="258">
        <f>IFERROR(__xludf.DUMMYFUNCTION("""COMPUTED_VALUE"""),0.0)</f>
        <v>0</v>
      </c>
      <c r="N465" s="258">
        <f>IFERROR(__xludf.DUMMYFUNCTION("""COMPUTED_VALUE"""),0.0)</f>
        <v>0</v>
      </c>
      <c r="O465" s="258">
        <f>IFERROR(__xludf.DUMMYFUNCTION("""COMPUTED_VALUE"""),0.0)</f>
        <v>0</v>
      </c>
      <c r="P465" s="258">
        <f>IFERROR(__xludf.DUMMYFUNCTION("""COMPUTED_VALUE"""),0.0)</f>
        <v>0</v>
      </c>
      <c r="Q465" s="258">
        <f>IFERROR(__xludf.DUMMYFUNCTION("""COMPUTED_VALUE"""),0.0)</f>
        <v>0</v>
      </c>
      <c r="R465" s="259"/>
      <c r="S465" s="260"/>
      <c r="T465" s="261"/>
      <c r="U465" s="262"/>
      <c r="V465" s="250"/>
      <c r="W465" s="250"/>
      <c r="X465" s="250"/>
      <c r="Y465" s="250"/>
      <c r="Z465" s="250"/>
      <c r="AA465" s="250"/>
      <c r="AB465" s="250"/>
      <c r="AC465" s="250"/>
      <c r="AD465" s="250"/>
      <c r="AE465" s="250"/>
      <c r="AF465" s="250"/>
      <c r="AG465" s="250"/>
      <c r="AH465" s="250"/>
      <c r="AI465" s="250"/>
      <c r="AJ465" s="250"/>
      <c r="AK465" s="250"/>
      <c r="AL465" s="250"/>
      <c r="AM465" s="250"/>
      <c r="AN465" s="250"/>
    </row>
    <row r="466" ht="15.75" customHeight="1">
      <c r="A466" s="250"/>
      <c r="B466" s="251">
        <f>IFERROR(__xludf.DUMMYFUNCTION("""COMPUTED_VALUE"""),458.0)</f>
        <v>458</v>
      </c>
      <c r="C466" s="252"/>
      <c r="D466" s="253" t="str">
        <f>IFERROR(__xludf.DUMMYFUNCTION("""COMPUTED_VALUE"""),"")</f>
        <v/>
      </c>
      <c r="E466" s="254">
        <f>IFERROR(__xludf.DUMMYFUNCTION("""COMPUTED_VALUE"""),0.0)</f>
        <v>0</v>
      </c>
      <c r="F466" s="255"/>
      <c r="G466" s="256"/>
      <c r="H466" s="252">
        <f>IFERROR(__xludf.DUMMYFUNCTION("""COMPUTED_VALUE"""),0.0)</f>
        <v>0</v>
      </c>
      <c r="I466" s="258"/>
      <c r="J466" s="258"/>
      <c r="K466" s="257">
        <f>IFERROR(__xludf.DUMMYFUNCTION("""COMPUTED_VALUE"""),0.0)</f>
        <v>0</v>
      </c>
      <c r="L466" s="258">
        <f>IFERROR(__xludf.DUMMYFUNCTION("""COMPUTED_VALUE"""),0.0)</f>
        <v>0</v>
      </c>
      <c r="M466" s="258">
        <f>IFERROR(__xludf.DUMMYFUNCTION("""COMPUTED_VALUE"""),0.0)</f>
        <v>0</v>
      </c>
      <c r="N466" s="258">
        <f>IFERROR(__xludf.DUMMYFUNCTION("""COMPUTED_VALUE"""),0.0)</f>
        <v>0</v>
      </c>
      <c r="O466" s="258">
        <f>IFERROR(__xludf.DUMMYFUNCTION("""COMPUTED_VALUE"""),0.0)</f>
        <v>0</v>
      </c>
      <c r="P466" s="258">
        <f>IFERROR(__xludf.DUMMYFUNCTION("""COMPUTED_VALUE"""),0.0)</f>
        <v>0</v>
      </c>
      <c r="Q466" s="258">
        <f>IFERROR(__xludf.DUMMYFUNCTION("""COMPUTED_VALUE"""),0.0)</f>
        <v>0</v>
      </c>
      <c r="R466" s="259"/>
      <c r="S466" s="260"/>
      <c r="T466" s="261"/>
      <c r="U466" s="262"/>
      <c r="V466" s="250"/>
      <c r="W466" s="250"/>
      <c r="X466" s="250"/>
      <c r="Y466" s="250"/>
      <c r="Z466" s="250"/>
      <c r="AA466" s="250"/>
      <c r="AB466" s="250"/>
      <c r="AC466" s="250"/>
      <c r="AD466" s="250"/>
      <c r="AE466" s="250"/>
      <c r="AF466" s="250"/>
      <c r="AG466" s="250"/>
      <c r="AH466" s="250"/>
      <c r="AI466" s="250"/>
      <c r="AJ466" s="250"/>
      <c r="AK466" s="250"/>
      <c r="AL466" s="250"/>
      <c r="AM466" s="250"/>
      <c r="AN466" s="250"/>
    </row>
    <row r="467" ht="15.75" customHeight="1">
      <c r="A467" s="250"/>
      <c r="B467" s="251">
        <f>IFERROR(__xludf.DUMMYFUNCTION("""COMPUTED_VALUE"""),459.0)</f>
        <v>459</v>
      </c>
      <c r="C467" s="252"/>
      <c r="D467" s="253" t="str">
        <f>IFERROR(__xludf.DUMMYFUNCTION("""COMPUTED_VALUE"""),"")</f>
        <v/>
      </c>
      <c r="E467" s="254">
        <f>IFERROR(__xludf.DUMMYFUNCTION("""COMPUTED_VALUE"""),0.0)</f>
        <v>0</v>
      </c>
      <c r="F467" s="255"/>
      <c r="G467" s="256"/>
      <c r="H467" s="252">
        <f>IFERROR(__xludf.DUMMYFUNCTION("""COMPUTED_VALUE"""),0.0)</f>
        <v>0</v>
      </c>
      <c r="I467" s="258"/>
      <c r="J467" s="258"/>
      <c r="K467" s="257">
        <f>IFERROR(__xludf.DUMMYFUNCTION("""COMPUTED_VALUE"""),0.0)</f>
        <v>0</v>
      </c>
      <c r="L467" s="258">
        <f>IFERROR(__xludf.DUMMYFUNCTION("""COMPUTED_VALUE"""),0.0)</f>
        <v>0</v>
      </c>
      <c r="M467" s="258">
        <f>IFERROR(__xludf.DUMMYFUNCTION("""COMPUTED_VALUE"""),0.0)</f>
        <v>0</v>
      </c>
      <c r="N467" s="258">
        <f>IFERROR(__xludf.DUMMYFUNCTION("""COMPUTED_VALUE"""),0.0)</f>
        <v>0</v>
      </c>
      <c r="O467" s="258">
        <f>IFERROR(__xludf.DUMMYFUNCTION("""COMPUTED_VALUE"""),0.0)</f>
        <v>0</v>
      </c>
      <c r="P467" s="258">
        <f>IFERROR(__xludf.DUMMYFUNCTION("""COMPUTED_VALUE"""),0.0)</f>
        <v>0</v>
      </c>
      <c r="Q467" s="258">
        <f>IFERROR(__xludf.DUMMYFUNCTION("""COMPUTED_VALUE"""),0.0)</f>
        <v>0</v>
      </c>
      <c r="R467" s="259"/>
      <c r="S467" s="260"/>
      <c r="T467" s="261"/>
      <c r="U467" s="262"/>
      <c r="V467" s="250"/>
      <c r="W467" s="250"/>
      <c r="X467" s="250"/>
      <c r="Y467" s="250"/>
      <c r="Z467" s="250"/>
      <c r="AA467" s="250"/>
      <c r="AB467" s="250"/>
      <c r="AC467" s="250"/>
      <c r="AD467" s="250"/>
      <c r="AE467" s="250"/>
      <c r="AF467" s="250"/>
      <c r="AG467" s="250"/>
      <c r="AH467" s="250"/>
      <c r="AI467" s="250"/>
      <c r="AJ467" s="250"/>
      <c r="AK467" s="250"/>
      <c r="AL467" s="250"/>
      <c r="AM467" s="250"/>
      <c r="AN467" s="250"/>
    </row>
    <row r="468" ht="15.75" customHeight="1">
      <c r="A468" s="250"/>
      <c r="B468" s="251">
        <f>IFERROR(__xludf.DUMMYFUNCTION("""COMPUTED_VALUE"""),460.0)</f>
        <v>460</v>
      </c>
      <c r="C468" s="252"/>
      <c r="D468" s="253" t="str">
        <f>IFERROR(__xludf.DUMMYFUNCTION("""COMPUTED_VALUE"""),"")</f>
        <v/>
      </c>
      <c r="E468" s="254">
        <f>IFERROR(__xludf.DUMMYFUNCTION("""COMPUTED_VALUE"""),0.0)</f>
        <v>0</v>
      </c>
      <c r="F468" s="255"/>
      <c r="G468" s="256"/>
      <c r="H468" s="252">
        <f>IFERROR(__xludf.DUMMYFUNCTION("""COMPUTED_VALUE"""),0.0)</f>
        <v>0</v>
      </c>
      <c r="I468" s="258"/>
      <c r="J468" s="258"/>
      <c r="K468" s="257">
        <f>IFERROR(__xludf.DUMMYFUNCTION("""COMPUTED_VALUE"""),0.0)</f>
        <v>0</v>
      </c>
      <c r="L468" s="258">
        <f>IFERROR(__xludf.DUMMYFUNCTION("""COMPUTED_VALUE"""),0.0)</f>
        <v>0</v>
      </c>
      <c r="M468" s="258">
        <f>IFERROR(__xludf.DUMMYFUNCTION("""COMPUTED_VALUE"""),0.0)</f>
        <v>0</v>
      </c>
      <c r="N468" s="258">
        <f>IFERROR(__xludf.DUMMYFUNCTION("""COMPUTED_VALUE"""),0.0)</f>
        <v>0</v>
      </c>
      <c r="O468" s="258">
        <f>IFERROR(__xludf.DUMMYFUNCTION("""COMPUTED_VALUE"""),0.0)</f>
        <v>0</v>
      </c>
      <c r="P468" s="258">
        <f>IFERROR(__xludf.DUMMYFUNCTION("""COMPUTED_VALUE"""),0.0)</f>
        <v>0</v>
      </c>
      <c r="Q468" s="258">
        <f>IFERROR(__xludf.DUMMYFUNCTION("""COMPUTED_VALUE"""),0.0)</f>
        <v>0</v>
      </c>
      <c r="R468" s="259"/>
      <c r="S468" s="260"/>
      <c r="T468" s="261"/>
      <c r="U468" s="262"/>
      <c r="V468" s="250"/>
      <c r="W468" s="250"/>
      <c r="X468" s="250"/>
      <c r="Y468" s="250"/>
      <c r="Z468" s="250"/>
      <c r="AA468" s="250"/>
      <c r="AB468" s="250"/>
      <c r="AC468" s="250"/>
      <c r="AD468" s="250"/>
      <c r="AE468" s="250"/>
      <c r="AF468" s="250"/>
      <c r="AG468" s="250"/>
      <c r="AH468" s="250"/>
      <c r="AI468" s="250"/>
      <c r="AJ468" s="250"/>
      <c r="AK468" s="250"/>
      <c r="AL468" s="250"/>
      <c r="AM468" s="250"/>
      <c r="AN468" s="250"/>
    </row>
    <row r="469" ht="15.75" customHeight="1">
      <c r="A469" s="250"/>
      <c r="B469" s="251">
        <f>IFERROR(__xludf.DUMMYFUNCTION("""COMPUTED_VALUE"""),461.0)</f>
        <v>461</v>
      </c>
      <c r="C469" s="252"/>
      <c r="D469" s="253" t="str">
        <f>IFERROR(__xludf.DUMMYFUNCTION("""COMPUTED_VALUE"""),"")</f>
        <v/>
      </c>
      <c r="E469" s="254">
        <f>IFERROR(__xludf.DUMMYFUNCTION("""COMPUTED_VALUE"""),0.0)</f>
        <v>0</v>
      </c>
      <c r="F469" s="255"/>
      <c r="G469" s="256"/>
      <c r="H469" s="252">
        <f>IFERROR(__xludf.DUMMYFUNCTION("""COMPUTED_VALUE"""),0.0)</f>
        <v>0</v>
      </c>
      <c r="I469" s="258"/>
      <c r="J469" s="258"/>
      <c r="K469" s="257">
        <f>IFERROR(__xludf.DUMMYFUNCTION("""COMPUTED_VALUE"""),0.0)</f>
        <v>0</v>
      </c>
      <c r="L469" s="258">
        <f>IFERROR(__xludf.DUMMYFUNCTION("""COMPUTED_VALUE"""),0.0)</f>
        <v>0</v>
      </c>
      <c r="M469" s="258">
        <f>IFERROR(__xludf.DUMMYFUNCTION("""COMPUTED_VALUE"""),0.0)</f>
        <v>0</v>
      </c>
      <c r="N469" s="258">
        <f>IFERROR(__xludf.DUMMYFUNCTION("""COMPUTED_VALUE"""),0.0)</f>
        <v>0</v>
      </c>
      <c r="O469" s="258">
        <f>IFERROR(__xludf.DUMMYFUNCTION("""COMPUTED_VALUE"""),0.0)</f>
        <v>0</v>
      </c>
      <c r="P469" s="258">
        <f>IFERROR(__xludf.DUMMYFUNCTION("""COMPUTED_VALUE"""),0.0)</f>
        <v>0</v>
      </c>
      <c r="Q469" s="258">
        <f>IFERROR(__xludf.DUMMYFUNCTION("""COMPUTED_VALUE"""),0.0)</f>
        <v>0</v>
      </c>
      <c r="R469" s="259"/>
      <c r="S469" s="260"/>
      <c r="T469" s="261"/>
      <c r="U469" s="262"/>
      <c r="V469" s="250"/>
      <c r="W469" s="250"/>
      <c r="X469" s="250"/>
      <c r="Y469" s="250"/>
      <c r="Z469" s="250"/>
      <c r="AA469" s="250"/>
      <c r="AB469" s="250"/>
      <c r="AC469" s="250"/>
      <c r="AD469" s="250"/>
      <c r="AE469" s="250"/>
      <c r="AF469" s="250"/>
      <c r="AG469" s="250"/>
      <c r="AH469" s="250"/>
      <c r="AI469" s="250"/>
      <c r="AJ469" s="250"/>
      <c r="AK469" s="250"/>
      <c r="AL469" s="250"/>
      <c r="AM469" s="250"/>
      <c r="AN469" s="250"/>
    </row>
    <row r="470" ht="15.75" customHeight="1">
      <c r="A470" s="250"/>
      <c r="B470" s="251">
        <f>IFERROR(__xludf.DUMMYFUNCTION("""COMPUTED_VALUE"""),462.0)</f>
        <v>462</v>
      </c>
      <c r="C470" s="252"/>
      <c r="D470" s="253" t="str">
        <f>IFERROR(__xludf.DUMMYFUNCTION("""COMPUTED_VALUE"""),"")</f>
        <v/>
      </c>
      <c r="E470" s="254">
        <f>IFERROR(__xludf.DUMMYFUNCTION("""COMPUTED_VALUE"""),0.0)</f>
        <v>0</v>
      </c>
      <c r="F470" s="255"/>
      <c r="G470" s="256"/>
      <c r="H470" s="252">
        <f>IFERROR(__xludf.DUMMYFUNCTION("""COMPUTED_VALUE"""),0.0)</f>
        <v>0</v>
      </c>
      <c r="I470" s="258"/>
      <c r="J470" s="258"/>
      <c r="K470" s="257">
        <f>IFERROR(__xludf.DUMMYFUNCTION("""COMPUTED_VALUE"""),0.0)</f>
        <v>0</v>
      </c>
      <c r="L470" s="258">
        <f>IFERROR(__xludf.DUMMYFUNCTION("""COMPUTED_VALUE"""),0.0)</f>
        <v>0</v>
      </c>
      <c r="M470" s="258">
        <f>IFERROR(__xludf.DUMMYFUNCTION("""COMPUTED_VALUE"""),0.0)</f>
        <v>0</v>
      </c>
      <c r="N470" s="258">
        <f>IFERROR(__xludf.DUMMYFUNCTION("""COMPUTED_VALUE"""),0.0)</f>
        <v>0</v>
      </c>
      <c r="O470" s="258">
        <f>IFERROR(__xludf.DUMMYFUNCTION("""COMPUTED_VALUE"""),0.0)</f>
        <v>0</v>
      </c>
      <c r="P470" s="258">
        <f>IFERROR(__xludf.DUMMYFUNCTION("""COMPUTED_VALUE"""),0.0)</f>
        <v>0</v>
      </c>
      <c r="Q470" s="258">
        <f>IFERROR(__xludf.DUMMYFUNCTION("""COMPUTED_VALUE"""),0.0)</f>
        <v>0</v>
      </c>
      <c r="R470" s="259"/>
      <c r="S470" s="260"/>
      <c r="T470" s="261"/>
      <c r="U470" s="262"/>
      <c r="V470" s="250"/>
      <c r="W470" s="250"/>
      <c r="X470" s="250"/>
      <c r="Y470" s="250"/>
      <c r="Z470" s="250"/>
      <c r="AA470" s="250"/>
      <c r="AB470" s="250"/>
      <c r="AC470" s="250"/>
      <c r="AD470" s="250"/>
      <c r="AE470" s="250"/>
      <c r="AF470" s="250"/>
      <c r="AG470" s="250"/>
      <c r="AH470" s="250"/>
      <c r="AI470" s="250"/>
      <c r="AJ470" s="250"/>
      <c r="AK470" s="250"/>
      <c r="AL470" s="250"/>
      <c r="AM470" s="250"/>
      <c r="AN470" s="250"/>
    </row>
    <row r="471" ht="15.75" customHeight="1">
      <c r="A471" s="250"/>
      <c r="B471" s="251">
        <f>IFERROR(__xludf.DUMMYFUNCTION("""COMPUTED_VALUE"""),463.0)</f>
        <v>463</v>
      </c>
      <c r="C471" s="252"/>
      <c r="D471" s="253" t="str">
        <f>IFERROR(__xludf.DUMMYFUNCTION("""COMPUTED_VALUE"""),"")</f>
        <v/>
      </c>
      <c r="E471" s="254">
        <f>IFERROR(__xludf.DUMMYFUNCTION("""COMPUTED_VALUE"""),0.0)</f>
        <v>0</v>
      </c>
      <c r="F471" s="255"/>
      <c r="G471" s="256"/>
      <c r="H471" s="252">
        <f>IFERROR(__xludf.DUMMYFUNCTION("""COMPUTED_VALUE"""),0.0)</f>
        <v>0</v>
      </c>
      <c r="I471" s="258"/>
      <c r="J471" s="258"/>
      <c r="K471" s="257">
        <f>IFERROR(__xludf.DUMMYFUNCTION("""COMPUTED_VALUE"""),0.0)</f>
        <v>0</v>
      </c>
      <c r="L471" s="258">
        <f>IFERROR(__xludf.DUMMYFUNCTION("""COMPUTED_VALUE"""),0.0)</f>
        <v>0</v>
      </c>
      <c r="M471" s="258">
        <f>IFERROR(__xludf.DUMMYFUNCTION("""COMPUTED_VALUE"""),0.0)</f>
        <v>0</v>
      </c>
      <c r="N471" s="258">
        <f>IFERROR(__xludf.DUMMYFUNCTION("""COMPUTED_VALUE"""),0.0)</f>
        <v>0</v>
      </c>
      <c r="O471" s="258">
        <f>IFERROR(__xludf.DUMMYFUNCTION("""COMPUTED_VALUE"""),0.0)</f>
        <v>0</v>
      </c>
      <c r="P471" s="258">
        <f>IFERROR(__xludf.DUMMYFUNCTION("""COMPUTED_VALUE"""),0.0)</f>
        <v>0</v>
      </c>
      <c r="Q471" s="258">
        <f>IFERROR(__xludf.DUMMYFUNCTION("""COMPUTED_VALUE"""),0.0)</f>
        <v>0</v>
      </c>
      <c r="R471" s="259"/>
      <c r="S471" s="260"/>
      <c r="T471" s="261"/>
      <c r="U471" s="262"/>
      <c r="V471" s="250"/>
      <c r="W471" s="250"/>
      <c r="X471" s="250"/>
      <c r="Y471" s="250"/>
      <c r="Z471" s="250"/>
      <c r="AA471" s="250"/>
      <c r="AB471" s="250"/>
      <c r="AC471" s="250"/>
      <c r="AD471" s="250"/>
      <c r="AE471" s="250"/>
      <c r="AF471" s="250"/>
      <c r="AG471" s="250"/>
      <c r="AH471" s="250"/>
      <c r="AI471" s="250"/>
      <c r="AJ471" s="250"/>
      <c r="AK471" s="250"/>
      <c r="AL471" s="250"/>
      <c r="AM471" s="250"/>
      <c r="AN471" s="250"/>
    </row>
    <row r="472" ht="15.75" customHeight="1">
      <c r="A472" s="250"/>
      <c r="B472" s="251">
        <f>IFERROR(__xludf.DUMMYFUNCTION("""COMPUTED_VALUE"""),464.0)</f>
        <v>464</v>
      </c>
      <c r="C472" s="252"/>
      <c r="D472" s="253" t="str">
        <f>IFERROR(__xludf.DUMMYFUNCTION("""COMPUTED_VALUE"""),"")</f>
        <v/>
      </c>
      <c r="E472" s="254">
        <f>IFERROR(__xludf.DUMMYFUNCTION("""COMPUTED_VALUE"""),0.0)</f>
        <v>0</v>
      </c>
      <c r="F472" s="255"/>
      <c r="G472" s="256"/>
      <c r="H472" s="252">
        <f>IFERROR(__xludf.DUMMYFUNCTION("""COMPUTED_VALUE"""),0.0)</f>
        <v>0</v>
      </c>
      <c r="I472" s="258"/>
      <c r="J472" s="258"/>
      <c r="K472" s="257">
        <f>IFERROR(__xludf.DUMMYFUNCTION("""COMPUTED_VALUE"""),0.0)</f>
        <v>0</v>
      </c>
      <c r="L472" s="258">
        <f>IFERROR(__xludf.DUMMYFUNCTION("""COMPUTED_VALUE"""),0.0)</f>
        <v>0</v>
      </c>
      <c r="M472" s="258">
        <f>IFERROR(__xludf.DUMMYFUNCTION("""COMPUTED_VALUE"""),0.0)</f>
        <v>0</v>
      </c>
      <c r="N472" s="258">
        <f>IFERROR(__xludf.DUMMYFUNCTION("""COMPUTED_VALUE"""),0.0)</f>
        <v>0</v>
      </c>
      <c r="O472" s="258">
        <f>IFERROR(__xludf.DUMMYFUNCTION("""COMPUTED_VALUE"""),0.0)</f>
        <v>0</v>
      </c>
      <c r="P472" s="258">
        <f>IFERROR(__xludf.DUMMYFUNCTION("""COMPUTED_VALUE"""),0.0)</f>
        <v>0</v>
      </c>
      <c r="Q472" s="258">
        <f>IFERROR(__xludf.DUMMYFUNCTION("""COMPUTED_VALUE"""),0.0)</f>
        <v>0</v>
      </c>
      <c r="R472" s="259"/>
      <c r="S472" s="260"/>
      <c r="T472" s="261"/>
      <c r="U472" s="262"/>
      <c r="V472" s="250"/>
      <c r="W472" s="250"/>
      <c r="X472" s="250"/>
      <c r="Y472" s="250"/>
      <c r="Z472" s="250"/>
      <c r="AA472" s="250"/>
      <c r="AB472" s="250"/>
      <c r="AC472" s="250"/>
      <c r="AD472" s="250"/>
      <c r="AE472" s="250"/>
      <c r="AF472" s="250"/>
      <c r="AG472" s="250"/>
      <c r="AH472" s="250"/>
      <c r="AI472" s="250"/>
      <c r="AJ472" s="250"/>
      <c r="AK472" s="250"/>
      <c r="AL472" s="250"/>
      <c r="AM472" s="250"/>
      <c r="AN472" s="250"/>
    </row>
    <row r="473" ht="15.75" customHeight="1">
      <c r="A473" s="250"/>
      <c r="B473" s="251">
        <f>IFERROR(__xludf.DUMMYFUNCTION("""COMPUTED_VALUE"""),465.0)</f>
        <v>465</v>
      </c>
      <c r="C473" s="252"/>
      <c r="D473" s="253" t="str">
        <f>IFERROR(__xludf.DUMMYFUNCTION("""COMPUTED_VALUE"""),"")</f>
        <v/>
      </c>
      <c r="E473" s="254">
        <f>IFERROR(__xludf.DUMMYFUNCTION("""COMPUTED_VALUE"""),0.0)</f>
        <v>0</v>
      </c>
      <c r="F473" s="255"/>
      <c r="G473" s="256"/>
      <c r="H473" s="252">
        <f>IFERROR(__xludf.DUMMYFUNCTION("""COMPUTED_VALUE"""),0.0)</f>
        <v>0</v>
      </c>
      <c r="I473" s="258"/>
      <c r="J473" s="258"/>
      <c r="K473" s="257">
        <f>IFERROR(__xludf.DUMMYFUNCTION("""COMPUTED_VALUE"""),0.0)</f>
        <v>0</v>
      </c>
      <c r="L473" s="258">
        <f>IFERROR(__xludf.DUMMYFUNCTION("""COMPUTED_VALUE"""),0.0)</f>
        <v>0</v>
      </c>
      <c r="M473" s="258">
        <f>IFERROR(__xludf.DUMMYFUNCTION("""COMPUTED_VALUE"""),0.0)</f>
        <v>0</v>
      </c>
      <c r="N473" s="258">
        <f>IFERROR(__xludf.DUMMYFUNCTION("""COMPUTED_VALUE"""),0.0)</f>
        <v>0</v>
      </c>
      <c r="O473" s="258">
        <f>IFERROR(__xludf.DUMMYFUNCTION("""COMPUTED_VALUE"""),0.0)</f>
        <v>0</v>
      </c>
      <c r="P473" s="258">
        <f>IFERROR(__xludf.DUMMYFUNCTION("""COMPUTED_VALUE"""),0.0)</f>
        <v>0</v>
      </c>
      <c r="Q473" s="258">
        <f>IFERROR(__xludf.DUMMYFUNCTION("""COMPUTED_VALUE"""),0.0)</f>
        <v>0</v>
      </c>
      <c r="R473" s="259"/>
      <c r="S473" s="260"/>
      <c r="T473" s="261"/>
      <c r="U473" s="262"/>
      <c r="V473" s="250"/>
      <c r="W473" s="250"/>
      <c r="X473" s="250"/>
      <c r="Y473" s="250"/>
      <c r="Z473" s="250"/>
      <c r="AA473" s="250"/>
      <c r="AB473" s="250"/>
      <c r="AC473" s="250"/>
      <c r="AD473" s="250"/>
      <c r="AE473" s="250"/>
      <c r="AF473" s="250"/>
      <c r="AG473" s="250"/>
      <c r="AH473" s="250"/>
      <c r="AI473" s="250"/>
      <c r="AJ473" s="250"/>
      <c r="AK473" s="250"/>
      <c r="AL473" s="250"/>
      <c r="AM473" s="250"/>
      <c r="AN473" s="250"/>
    </row>
    <row r="474" ht="15.75" customHeight="1">
      <c r="A474" s="250"/>
      <c r="B474" s="251">
        <f>IFERROR(__xludf.DUMMYFUNCTION("""COMPUTED_VALUE"""),466.0)</f>
        <v>466</v>
      </c>
      <c r="C474" s="252"/>
      <c r="D474" s="253" t="str">
        <f>IFERROR(__xludf.DUMMYFUNCTION("""COMPUTED_VALUE"""),"")</f>
        <v/>
      </c>
      <c r="E474" s="254">
        <f>IFERROR(__xludf.DUMMYFUNCTION("""COMPUTED_VALUE"""),0.0)</f>
        <v>0</v>
      </c>
      <c r="F474" s="255"/>
      <c r="G474" s="256"/>
      <c r="H474" s="252">
        <f>IFERROR(__xludf.DUMMYFUNCTION("""COMPUTED_VALUE"""),0.0)</f>
        <v>0</v>
      </c>
      <c r="I474" s="258"/>
      <c r="J474" s="258"/>
      <c r="K474" s="257">
        <f>IFERROR(__xludf.DUMMYFUNCTION("""COMPUTED_VALUE"""),0.0)</f>
        <v>0</v>
      </c>
      <c r="L474" s="258">
        <f>IFERROR(__xludf.DUMMYFUNCTION("""COMPUTED_VALUE"""),0.0)</f>
        <v>0</v>
      </c>
      <c r="M474" s="258">
        <f>IFERROR(__xludf.DUMMYFUNCTION("""COMPUTED_VALUE"""),0.0)</f>
        <v>0</v>
      </c>
      <c r="N474" s="258">
        <f>IFERROR(__xludf.DUMMYFUNCTION("""COMPUTED_VALUE"""),0.0)</f>
        <v>0</v>
      </c>
      <c r="O474" s="258">
        <f>IFERROR(__xludf.DUMMYFUNCTION("""COMPUTED_VALUE"""),0.0)</f>
        <v>0</v>
      </c>
      <c r="P474" s="258">
        <f>IFERROR(__xludf.DUMMYFUNCTION("""COMPUTED_VALUE"""),0.0)</f>
        <v>0</v>
      </c>
      <c r="Q474" s="258">
        <f>IFERROR(__xludf.DUMMYFUNCTION("""COMPUTED_VALUE"""),0.0)</f>
        <v>0</v>
      </c>
      <c r="R474" s="259"/>
      <c r="S474" s="260"/>
      <c r="T474" s="261"/>
      <c r="U474" s="262"/>
      <c r="V474" s="250"/>
      <c r="W474" s="250"/>
      <c r="X474" s="250"/>
      <c r="Y474" s="250"/>
      <c r="Z474" s="250"/>
      <c r="AA474" s="250"/>
      <c r="AB474" s="250"/>
      <c r="AC474" s="250"/>
      <c r="AD474" s="250"/>
      <c r="AE474" s="250"/>
      <c r="AF474" s="250"/>
      <c r="AG474" s="250"/>
      <c r="AH474" s="250"/>
      <c r="AI474" s="250"/>
      <c r="AJ474" s="250"/>
      <c r="AK474" s="250"/>
      <c r="AL474" s="250"/>
      <c r="AM474" s="250"/>
      <c r="AN474" s="250"/>
    </row>
    <row r="475" ht="15.75" customHeight="1">
      <c r="A475" s="250"/>
      <c r="B475" s="251">
        <f>IFERROR(__xludf.DUMMYFUNCTION("""COMPUTED_VALUE"""),467.0)</f>
        <v>467</v>
      </c>
      <c r="C475" s="252"/>
      <c r="D475" s="253" t="str">
        <f>IFERROR(__xludf.DUMMYFUNCTION("""COMPUTED_VALUE"""),"")</f>
        <v/>
      </c>
      <c r="E475" s="254">
        <f>IFERROR(__xludf.DUMMYFUNCTION("""COMPUTED_VALUE"""),0.0)</f>
        <v>0</v>
      </c>
      <c r="F475" s="255"/>
      <c r="G475" s="256"/>
      <c r="H475" s="252">
        <f>IFERROR(__xludf.DUMMYFUNCTION("""COMPUTED_VALUE"""),0.0)</f>
        <v>0</v>
      </c>
      <c r="I475" s="258"/>
      <c r="J475" s="258"/>
      <c r="K475" s="257">
        <f>IFERROR(__xludf.DUMMYFUNCTION("""COMPUTED_VALUE"""),0.0)</f>
        <v>0</v>
      </c>
      <c r="L475" s="258">
        <f>IFERROR(__xludf.DUMMYFUNCTION("""COMPUTED_VALUE"""),0.0)</f>
        <v>0</v>
      </c>
      <c r="M475" s="258">
        <f>IFERROR(__xludf.DUMMYFUNCTION("""COMPUTED_VALUE"""),0.0)</f>
        <v>0</v>
      </c>
      <c r="N475" s="258">
        <f>IFERROR(__xludf.DUMMYFUNCTION("""COMPUTED_VALUE"""),0.0)</f>
        <v>0</v>
      </c>
      <c r="O475" s="258">
        <f>IFERROR(__xludf.DUMMYFUNCTION("""COMPUTED_VALUE"""),0.0)</f>
        <v>0</v>
      </c>
      <c r="P475" s="258">
        <f>IFERROR(__xludf.DUMMYFUNCTION("""COMPUTED_VALUE"""),0.0)</f>
        <v>0</v>
      </c>
      <c r="Q475" s="258">
        <f>IFERROR(__xludf.DUMMYFUNCTION("""COMPUTED_VALUE"""),0.0)</f>
        <v>0</v>
      </c>
      <c r="R475" s="259"/>
      <c r="S475" s="260"/>
      <c r="T475" s="261"/>
      <c r="U475" s="262"/>
      <c r="V475" s="250"/>
      <c r="W475" s="250"/>
      <c r="X475" s="250"/>
      <c r="Y475" s="250"/>
      <c r="Z475" s="250"/>
      <c r="AA475" s="250"/>
      <c r="AB475" s="250"/>
      <c r="AC475" s="250"/>
      <c r="AD475" s="250"/>
      <c r="AE475" s="250"/>
      <c r="AF475" s="250"/>
      <c r="AG475" s="250"/>
      <c r="AH475" s="250"/>
      <c r="AI475" s="250"/>
      <c r="AJ475" s="250"/>
      <c r="AK475" s="250"/>
      <c r="AL475" s="250"/>
      <c r="AM475" s="250"/>
      <c r="AN475" s="250"/>
    </row>
    <row r="476" ht="15.75" customHeight="1">
      <c r="A476" s="250"/>
      <c r="B476" s="251">
        <f>IFERROR(__xludf.DUMMYFUNCTION("""COMPUTED_VALUE"""),468.0)</f>
        <v>468</v>
      </c>
      <c r="C476" s="252"/>
      <c r="D476" s="253" t="str">
        <f>IFERROR(__xludf.DUMMYFUNCTION("""COMPUTED_VALUE"""),"")</f>
        <v/>
      </c>
      <c r="E476" s="254">
        <f>IFERROR(__xludf.DUMMYFUNCTION("""COMPUTED_VALUE"""),0.0)</f>
        <v>0</v>
      </c>
      <c r="F476" s="255"/>
      <c r="G476" s="256"/>
      <c r="H476" s="252">
        <f>IFERROR(__xludf.DUMMYFUNCTION("""COMPUTED_VALUE"""),0.0)</f>
        <v>0</v>
      </c>
      <c r="I476" s="258"/>
      <c r="J476" s="258"/>
      <c r="K476" s="257">
        <f>IFERROR(__xludf.DUMMYFUNCTION("""COMPUTED_VALUE"""),0.0)</f>
        <v>0</v>
      </c>
      <c r="L476" s="258">
        <f>IFERROR(__xludf.DUMMYFUNCTION("""COMPUTED_VALUE"""),0.0)</f>
        <v>0</v>
      </c>
      <c r="M476" s="258">
        <f>IFERROR(__xludf.DUMMYFUNCTION("""COMPUTED_VALUE"""),0.0)</f>
        <v>0</v>
      </c>
      <c r="N476" s="258">
        <f>IFERROR(__xludf.DUMMYFUNCTION("""COMPUTED_VALUE"""),0.0)</f>
        <v>0</v>
      </c>
      <c r="O476" s="258">
        <f>IFERROR(__xludf.DUMMYFUNCTION("""COMPUTED_VALUE"""),0.0)</f>
        <v>0</v>
      </c>
      <c r="P476" s="258">
        <f>IFERROR(__xludf.DUMMYFUNCTION("""COMPUTED_VALUE"""),0.0)</f>
        <v>0</v>
      </c>
      <c r="Q476" s="258">
        <f>IFERROR(__xludf.DUMMYFUNCTION("""COMPUTED_VALUE"""),0.0)</f>
        <v>0</v>
      </c>
      <c r="R476" s="259"/>
      <c r="S476" s="260"/>
      <c r="T476" s="261"/>
      <c r="U476" s="262"/>
      <c r="V476" s="250"/>
      <c r="W476" s="250"/>
      <c r="X476" s="250"/>
      <c r="Y476" s="250"/>
      <c r="Z476" s="250"/>
      <c r="AA476" s="250"/>
      <c r="AB476" s="250"/>
      <c r="AC476" s="250"/>
      <c r="AD476" s="250"/>
      <c r="AE476" s="250"/>
      <c r="AF476" s="250"/>
      <c r="AG476" s="250"/>
      <c r="AH476" s="250"/>
      <c r="AI476" s="250"/>
      <c r="AJ476" s="250"/>
      <c r="AK476" s="250"/>
      <c r="AL476" s="250"/>
      <c r="AM476" s="250"/>
      <c r="AN476" s="250"/>
    </row>
    <row r="477" ht="15.75" customHeight="1">
      <c r="A477" s="250"/>
      <c r="B477" s="251">
        <f>IFERROR(__xludf.DUMMYFUNCTION("""COMPUTED_VALUE"""),469.0)</f>
        <v>469</v>
      </c>
      <c r="C477" s="252"/>
      <c r="D477" s="253" t="str">
        <f>IFERROR(__xludf.DUMMYFUNCTION("""COMPUTED_VALUE"""),"")</f>
        <v/>
      </c>
      <c r="E477" s="254">
        <f>IFERROR(__xludf.DUMMYFUNCTION("""COMPUTED_VALUE"""),0.0)</f>
        <v>0</v>
      </c>
      <c r="F477" s="255"/>
      <c r="G477" s="256"/>
      <c r="H477" s="252">
        <f>IFERROR(__xludf.DUMMYFUNCTION("""COMPUTED_VALUE"""),0.0)</f>
        <v>0</v>
      </c>
      <c r="I477" s="258"/>
      <c r="J477" s="258"/>
      <c r="K477" s="257">
        <f>IFERROR(__xludf.DUMMYFUNCTION("""COMPUTED_VALUE"""),0.0)</f>
        <v>0</v>
      </c>
      <c r="L477" s="258">
        <f>IFERROR(__xludf.DUMMYFUNCTION("""COMPUTED_VALUE"""),0.0)</f>
        <v>0</v>
      </c>
      <c r="M477" s="258">
        <f>IFERROR(__xludf.DUMMYFUNCTION("""COMPUTED_VALUE"""),0.0)</f>
        <v>0</v>
      </c>
      <c r="N477" s="258">
        <f>IFERROR(__xludf.DUMMYFUNCTION("""COMPUTED_VALUE"""),0.0)</f>
        <v>0</v>
      </c>
      <c r="O477" s="258">
        <f>IFERROR(__xludf.DUMMYFUNCTION("""COMPUTED_VALUE"""),0.0)</f>
        <v>0</v>
      </c>
      <c r="P477" s="258">
        <f>IFERROR(__xludf.DUMMYFUNCTION("""COMPUTED_VALUE"""),0.0)</f>
        <v>0</v>
      </c>
      <c r="Q477" s="258">
        <f>IFERROR(__xludf.DUMMYFUNCTION("""COMPUTED_VALUE"""),0.0)</f>
        <v>0</v>
      </c>
      <c r="R477" s="259"/>
      <c r="S477" s="260"/>
      <c r="T477" s="261"/>
      <c r="U477" s="262"/>
      <c r="V477" s="250"/>
      <c r="W477" s="250"/>
      <c r="X477" s="250"/>
      <c r="Y477" s="250"/>
      <c r="Z477" s="250"/>
      <c r="AA477" s="250"/>
      <c r="AB477" s="250"/>
      <c r="AC477" s="250"/>
      <c r="AD477" s="250"/>
      <c r="AE477" s="250"/>
      <c r="AF477" s="250"/>
      <c r="AG477" s="250"/>
      <c r="AH477" s="250"/>
      <c r="AI477" s="250"/>
      <c r="AJ477" s="250"/>
      <c r="AK477" s="250"/>
      <c r="AL477" s="250"/>
      <c r="AM477" s="250"/>
      <c r="AN477" s="250"/>
    </row>
    <row r="478" ht="15.75" customHeight="1">
      <c r="A478" s="250"/>
      <c r="B478" s="251">
        <f>IFERROR(__xludf.DUMMYFUNCTION("""COMPUTED_VALUE"""),470.0)</f>
        <v>470</v>
      </c>
      <c r="C478" s="252"/>
      <c r="D478" s="253" t="str">
        <f>IFERROR(__xludf.DUMMYFUNCTION("""COMPUTED_VALUE"""),"")</f>
        <v/>
      </c>
      <c r="E478" s="254">
        <f>IFERROR(__xludf.DUMMYFUNCTION("""COMPUTED_VALUE"""),0.0)</f>
        <v>0</v>
      </c>
      <c r="F478" s="255"/>
      <c r="G478" s="256"/>
      <c r="H478" s="252">
        <f>IFERROR(__xludf.DUMMYFUNCTION("""COMPUTED_VALUE"""),0.0)</f>
        <v>0</v>
      </c>
      <c r="I478" s="258"/>
      <c r="J478" s="258"/>
      <c r="K478" s="257">
        <f>IFERROR(__xludf.DUMMYFUNCTION("""COMPUTED_VALUE"""),0.0)</f>
        <v>0</v>
      </c>
      <c r="L478" s="258">
        <f>IFERROR(__xludf.DUMMYFUNCTION("""COMPUTED_VALUE"""),0.0)</f>
        <v>0</v>
      </c>
      <c r="M478" s="258">
        <f>IFERROR(__xludf.DUMMYFUNCTION("""COMPUTED_VALUE"""),0.0)</f>
        <v>0</v>
      </c>
      <c r="N478" s="258">
        <f>IFERROR(__xludf.DUMMYFUNCTION("""COMPUTED_VALUE"""),0.0)</f>
        <v>0</v>
      </c>
      <c r="O478" s="258">
        <f>IFERROR(__xludf.DUMMYFUNCTION("""COMPUTED_VALUE"""),0.0)</f>
        <v>0</v>
      </c>
      <c r="P478" s="258">
        <f>IFERROR(__xludf.DUMMYFUNCTION("""COMPUTED_VALUE"""),0.0)</f>
        <v>0</v>
      </c>
      <c r="Q478" s="258">
        <f>IFERROR(__xludf.DUMMYFUNCTION("""COMPUTED_VALUE"""),0.0)</f>
        <v>0</v>
      </c>
      <c r="R478" s="259"/>
      <c r="S478" s="260"/>
      <c r="T478" s="261"/>
      <c r="U478" s="262"/>
      <c r="V478" s="250"/>
      <c r="W478" s="250"/>
      <c r="X478" s="250"/>
      <c r="Y478" s="250"/>
      <c r="Z478" s="250"/>
      <c r="AA478" s="250"/>
      <c r="AB478" s="250"/>
      <c r="AC478" s="250"/>
      <c r="AD478" s="250"/>
      <c r="AE478" s="250"/>
      <c r="AF478" s="250"/>
      <c r="AG478" s="250"/>
      <c r="AH478" s="250"/>
      <c r="AI478" s="250"/>
      <c r="AJ478" s="250"/>
      <c r="AK478" s="250"/>
      <c r="AL478" s="250"/>
      <c r="AM478" s="250"/>
      <c r="AN478" s="250"/>
    </row>
    <row r="479" ht="15.75" customHeight="1">
      <c r="A479" s="250"/>
      <c r="B479" s="251">
        <f>IFERROR(__xludf.DUMMYFUNCTION("""COMPUTED_VALUE"""),471.0)</f>
        <v>471</v>
      </c>
      <c r="C479" s="252"/>
      <c r="D479" s="253" t="str">
        <f>IFERROR(__xludf.DUMMYFUNCTION("""COMPUTED_VALUE"""),"")</f>
        <v/>
      </c>
      <c r="E479" s="254">
        <f>IFERROR(__xludf.DUMMYFUNCTION("""COMPUTED_VALUE"""),0.0)</f>
        <v>0</v>
      </c>
      <c r="F479" s="255"/>
      <c r="G479" s="256"/>
      <c r="H479" s="252">
        <f>IFERROR(__xludf.DUMMYFUNCTION("""COMPUTED_VALUE"""),0.0)</f>
        <v>0</v>
      </c>
      <c r="I479" s="258"/>
      <c r="J479" s="258"/>
      <c r="K479" s="257">
        <f>IFERROR(__xludf.DUMMYFUNCTION("""COMPUTED_VALUE"""),0.0)</f>
        <v>0</v>
      </c>
      <c r="L479" s="258">
        <f>IFERROR(__xludf.DUMMYFUNCTION("""COMPUTED_VALUE"""),0.0)</f>
        <v>0</v>
      </c>
      <c r="M479" s="258">
        <f>IFERROR(__xludf.DUMMYFUNCTION("""COMPUTED_VALUE"""),0.0)</f>
        <v>0</v>
      </c>
      <c r="N479" s="258">
        <f>IFERROR(__xludf.DUMMYFUNCTION("""COMPUTED_VALUE"""),0.0)</f>
        <v>0</v>
      </c>
      <c r="O479" s="258">
        <f>IFERROR(__xludf.DUMMYFUNCTION("""COMPUTED_VALUE"""),0.0)</f>
        <v>0</v>
      </c>
      <c r="P479" s="258">
        <f>IFERROR(__xludf.DUMMYFUNCTION("""COMPUTED_VALUE"""),0.0)</f>
        <v>0</v>
      </c>
      <c r="Q479" s="258">
        <f>IFERROR(__xludf.DUMMYFUNCTION("""COMPUTED_VALUE"""),0.0)</f>
        <v>0</v>
      </c>
      <c r="R479" s="259"/>
      <c r="S479" s="260"/>
      <c r="T479" s="261"/>
      <c r="U479" s="262"/>
      <c r="V479" s="250"/>
      <c r="W479" s="250"/>
      <c r="X479" s="250"/>
      <c r="Y479" s="250"/>
      <c r="Z479" s="250"/>
      <c r="AA479" s="250"/>
      <c r="AB479" s="250"/>
      <c r="AC479" s="250"/>
      <c r="AD479" s="250"/>
      <c r="AE479" s="250"/>
      <c r="AF479" s="250"/>
      <c r="AG479" s="250"/>
      <c r="AH479" s="250"/>
      <c r="AI479" s="250"/>
      <c r="AJ479" s="250"/>
      <c r="AK479" s="250"/>
      <c r="AL479" s="250"/>
      <c r="AM479" s="250"/>
      <c r="AN479" s="250"/>
    </row>
    <row r="480" ht="15.75" customHeight="1">
      <c r="A480" s="250"/>
      <c r="B480" s="251">
        <f>IFERROR(__xludf.DUMMYFUNCTION("""COMPUTED_VALUE"""),472.0)</f>
        <v>472</v>
      </c>
      <c r="C480" s="252"/>
      <c r="D480" s="253" t="str">
        <f>IFERROR(__xludf.DUMMYFUNCTION("""COMPUTED_VALUE"""),"")</f>
        <v/>
      </c>
      <c r="E480" s="254">
        <f>IFERROR(__xludf.DUMMYFUNCTION("""COMPUTED_VALUE"""),0.0)</f>
        <v>0</v>
      </c>
      <c r="F480" s="255"/>
      <c r="G480" s="256"/>
      <c r="H480" s="252">
        <f>IFERROR(__xludf.DUMMYFUNCTION("""COMPUTED_VALUE"""),0.0)</f>
        <v>0</v>
      </c>
      <c r="I480" s="258"/>
      <c r="J480" s="258"/>
      <c r="K480" s="257">
        <f>IFERROR(__xludf.DUMMYFUNCTION("""COMPUTED_VALUE"""),0.0)</f>
        <v>0</v>
      </c>
      <c r="L480" s="258">
        <f>IFERROR(__xludf.DUMMYFUNCTION("""COMPUTED_VALUE"""),0.0)</f>
        <v>0</v>
      </c>
      <c r="M480" s="258">
        <f>IFERROR(__xludf.DUMMYFUNCTION("""COMPUTED_VALUE"""),0.0)</f>
        <v>0</v>
      </c>
      <c r="N480" s="258">
        <f>IFERROR(__xludf.DUMMYFUNCTION("""COMPUTED_VALUE"""),0.0)</f>
        <v>0</v>
      </c>
      <c r="O480" s="258">
        <f>IFERROR(__xludf.DUMMYFUNCTION("""COMPUTED_VALUE"""),0.0)</f>
        <v>0</v>
      </c>
      <c r="P480" s="258">
        <f>IFERROR(__xludf.DUMMYFUNCTION("""COMPUTED_VALUE"""),0.0)</f>
        <v>0</v>
      </c>
      <c r="Q480" s="258">
        <f>IFERROR(__xludf.DUMMYFUNCTION("""COMPUTED_VALUE"""),0.0)</f>
        <v>0</v>
      </c>
      <c r="R480" s="259"/>
      <c r="S480" s="260"/>
      <c r="T480" s="261"/>
      <c r="U480" s="262"/>
      <c r="V480" s="250"/>
      <c r="W480" s="250"/>
      <c r="X480" s="250"/>
      <c r="Y480" s="250"/>
      <c r="Z480" s="250"/>
      <c r="AA480" s="250"/>
      <c r="AB480" s="250"/>
      <c r="AC480" s="250"/>
      <c r="AD480" s="250"/>
      <c r="AE480" s="250"/>
      <c r="AF480" s="250"/>
      <c r="AG480" s="250"/>
      <c r="AH480" s="250"/>
      <c r="AI480" s="250"/>
      <c r="AJ480" s="250"/>
      <c r="AK480" s="250"/>
      <c r="AL480" s="250"/>
      <c r="AM480" s="250"/>
      <c r="AN480" s="250"/>
    </row>
    <row r="481" ht="15.75" customHeight="1">
      <c r="A481" s="250"/>
      <c r="B481" s="251">
        <f>IFERROR(__xludf.DUMMYFUNCTION("""COMPUTED_VALUE"""),473.0)</f>
        <v>473</v>
      </c>
      <c r="C481" s="252"/>
      <c r="D481" s="253" t="str">
        <f>IFERROR(__xludf.DUMMYFUNCTION("""COMPUTED_VALUE"""),"")</f>
        <v/>
      </c>
      <c r="E481" s="254">
        <f>IFERROR(__xludf.DUMMYFUNCTION("""COMPUTED_VALUE"""),0.0)</f>
        <v>0</v>
      </c>
      <c r="F481" s="255"/>
      <c r="G481" s="256"/>
      <c r="H481" s="252">
        <f>IFERROR(__xludf.DUMMYFUNCTION("""COMPUTED_VALUE"""),0.0)</f>
        <v>0</v>
      </c>
      <c r="I481" s="258"/>
      <c r="J481" s="258"/>
      <c r="K481" s="257">
        <f>IFERROR(__xludf.DUMMYFUNCTION("""COMPUTED_VALUE"""),0.0)</f>
        <v>0</v>
      </c>
      <c r="L481" s="258">
        <f>IFERROR(__xludf.DUMMYFUNCTION("""COMPUTED_VALUE"""),0.0)</f>
        <v>0</v>
      </c>
      <c r="M481" s="258">
        <f>IFERROR(__xludf.DUMMYFUNCTION("""COMPUTED_VALUE"""),0.0)</f>
        <v>0</v>
      </c>
      <c r="N481" s="258">
        <f>IFERROR(__xludf.DUMMYFUNCTION("""COMPUTED_VALUE"""),0.0)</f>
        <v>0</v>
      </c>
      <c r="O481" s="258">
        <f>IFERROR(__xludf.DUMMYFUNCTION("""COMPUTED_VALUE"""),0.0)</f>
        <v>0</v>
      </c>
      <c r="P481" s="258">
        <f>IFERROR(__xludf.DUMMYFUNCTION("""COMPUTED_VALUE"""),0.0)</f>
        <v>0</v>
      </c>
      <c r="Q481" s="258">
        <f>IFERROR(__xludf.DUMMYFUNCTION("""COMPUTED_VALUE"""),0.0)</f>
        <v>0</v>
      </c>
      <c r="R481" s="259"/>
      <c r="S481" s="260"/>
      <c r="T481" s="261"/>
      <c r="U481" s="262"/>
      <c r="V481" s="250"/>
      <c r="W481" s="250"/>
      <c r="X481" s="250"/>
      <c r="Y481" s="250"/>
      <c r="Z481" s="250"/>
      <c r="AA481" s="250"/>
      <c r="AB481" s="250"/>
      <c r="AC481" s="250"/>
      <c r="AD481" s="250"/>
      <c r="AE481" s="250"/>
      <c r="AF481" s="250"/>
      <c r="AG481" s="250"/>
      <c r="AH481" s="250"/>
      <c r="AI481" s="250"/>
      <c r="AJ481" s="250"/>
      <c r="AK481" s="250"/>
      <c r="AL481" s="250"/>
      <c r="AM481" s="250"/>
      <c r="AN481" s="250"/>
    </row>
    <row r="482" ht="15.75" customHeight="1">
      <c r="A482" s="250"/>
      <c r="B482" s="251">
        <f>IFERROR(__xludf.DUMMYFUNCTION("""COMPUTED_VALUE"""),474.0)</f>
        <v>474</v>
      </c>
      <c r="C482" s="252"/>
      <c r="D482" s="253" t="str">
        <f>IFERROR(__xludf.DUMMYFUNCTION("""COMPUTED_VALUE"""),"")</f>
        <v/>
      </c>
      <c r="E482" s="254">
        <f>IFERROR(__xludf.DUMMYFUNCTION("""COMPUTED_VALUE"""),0.0)</f>
        <v>0</v>
      </c>
      <c r="F482" s="255"/>
      <c r="G482" s="256"/>
      <c r="H482" s="252">
        <f>IFERROR(__xludf.DUMMYFUNCTION("""COMPUTED_VALUE"""),0.0)</f>
        <v>0</v>
      </c>
      <c r="I482" s="258"/>
      <c r="J482" s="258"/>
      <c r="K482" s="257">
        <f>IFERROR(__xludf.DUMMYFUNCTION("""COMPUTED_VALUE"""),0.0)</f>
        <v>0</v>
      </c>
      <c r="L482" s="258">
        <f>IFERROR(__xludf.DUMMYFUNCTION("""COMPUTED_VALUE"""),0.0)</f>
        <v>0</v>
      </c>
      <c r="M482" s="258">
        <f>IFERROR(__xludf.DUMMYFUNCTION("""COMPUTED_VALUE"""),0.0)</f>
        <v>0</v>
      </c>
      <c r="N482" s="258">
        <f>IFERROR(__xludf.DUMMYFUNCTION("""COMPUTED_VALUE"""),0.0)</f>
        <v>0</v>
      </c>
      <c r="O482" s="258">
        <f>IFERROR(__xludf.DUMMYFUNCTION("""COMPUTED_VALUE"""),0.0)</f>
        <v>0</v>
      </c>
      <c r="P482" s="258">
        <f>IFERROR(__xludf.DUMMYFUNCTION("""COMPUTED_VALUE"""),0.0)</f>
        <v>0</v>
      </c>
      <c r="Q482" s="258">
        <f>IFERROR(__xludf.DUMMYFUNCTION("""COMPUTED_VALUE"""),0.0)</f>
        <v>0</v>
      </c>
      <c r="R482" s="259"/>
      <c r="S482" s="260"/>
      <c r="T482" s="261"/>
      <c r="U482" s="262"/>
      <c r="V482" s="250"/>
      <c r="W482" s="250"/>
      <c r="X482" s="250"/>
      <c r="Y482" s="250"/>
      <c r="Z482" s="250"/>
      <c r="AA482" s="250"/>
      <c r="AB482" s="250"/>
      <c r="AC482" s="250"/>
      <c r="AD482" s="250"/>
      <c r="AE482" s="250"/>
      <c r="AF482" s="250"/>
      <c r="AG482" s="250"/>
      <c r="AH482" s="250"/>
      <c r="AI482" s="250"/>
      <c r="AJ482" s="250"/>
      <c r="AK482" s="250"/>
      <c r="AL482" s="250"/>
      <c r="AM482" s="250"/>
      <c r="AN482" s="250"/>
    </row>
    <row r="483" ht="15.75" customHeight="1">
      <c r="A483" s="250"/>
      <c r="B483" s="251">
        <f>IFERROR(__xludf.DUMMYFUNCTION("""COMPUTED_VALUE"""),475.0)</f>
        <v>475</v>
      </c>
      <c r="C483" s="252"/>
      <c r="D483" s="253" t="str">
        <f>IFERROR(__xludf.DUMMYFUNCTION("""COMPUTED_VALUE"""),"")</f>
        <v/>
      </c>
      <c r="E483" s="254">
        <f>IFERROR(__xludf.DUMMYFUNCTION("""COMPUTED_VALUE"""),0.0)</f>
        <v>0</v>
      </c>
      <c r="F483" s="255"/>
      <c r="G483" s="256"/>
      <c r="H483" s="252">
        <f>IFERROR(__xludf.DUMMYFUNCTION("""COMPUTED_VALUE"""),0.0)</f>
        <v>0</v>
      </c>
      <c r="I483" s="258"/>
      <c r="J483" s="258"/>
      <c r="K483" s="257">
        <f>IFERROR(__xludf.DUMMYFUNCTION("""COMPUTED_VALUE"""),0.0)</f>
        <v>0</v>
      </c>
      <c r="L483" s="258">
        <f>IFERROR(__xludf.DUMMYFUNCTION("""COMPUTED_VALUE"""),0.0)</f>
        <v>0</v>
      </c>
      <c r="M483" s="258">
        <f>IFERROR(__xludf.DUMMYFUNCTION("""COMPUTED_VALUE"""),0.0)</f>
        <v>0</v>
      </c>
      <c r="N483" s="258">
        <f>IFERROR(__xludf.DUMMYFUNCTION("""COMPUTED_VALUE"""),0.0)</f>
        <v>0</v>
      </c>
      <c r="O483" s="258">
        <f>IFERROR(__xludf.DUMMYFUNCTION("""COMPUTED_VALUE"""),0.0)</f>
        <v>0</v>
      </c>
      <c r="P483" s="258">
        <f>IFERROR(__xludf.DUMMYFUNCTION("""COMPUTED_VALUE"""),0.0)</f>
        <v>0</v>
      </c>
      <c r="Q483" s="258">
        <f>IFERROR(__xludf.DUMMYFUNCTION("""COMPUTED_VALUE"""),0.0)</f>
        <v>0</v>
      </c>
      <c r="R483" s="259"/>
      <c r="S483" s="260"/>
      <c r="T483" s="261"/>
      <c r="U483" s="262"/>
      <c r="V483" s="250"/>
      <c r="W483" s="250"/>
      <c r="X483" s="250"/>
      <c r="Y483" s="250"/>
      <c r="Z483" s="250"/>
      <c r="AA483" s="250"/>
      <c r="AB483" s="250"/>
      <c r="AC483" s="250"/>
      <c r="AD483" s="250"/>
      <c r="AE483" s="250"/>
      <c r="AF483" s="250"/>
      <c r="AG483" s="250"/>
      <c r="AH483" s="250"/>
      <c r="AI483" s="250"/>
      <c r="AJ483" s="250"/>
      <c r="AK483" s="250"/>
      <c r="AL483" s="250"/>
      <c r="AM483" s="250"/>
      <c r="AN483" s="250"/>
    </row>
    <row r="484" ht="15.75" customHeight="1">
      <c r="A484" s="250"/>
      <c r="B484" s="251">
        <f>IFERROR(__xludf.DUMMYFUNCTION("""COMPUTED_VALUE"""),476.0)</f>
        <v>476</v>
      </c>
      <c r="C484" s="252"/>
      <c r="D484" s="253" t="str">
        <f>IFERROR(__xludf.DUMMYFUNCTION("""COMPUTED_VALUE"""),"")</f>
        <v/>
      </c>
      <c r="E484" s="254">
        <f>IFERROR(__xludf.DUMMYFUNCTION("""COMPUTED_VALUE"""),0.0)</f>
        <v>0</v>
      </c>
      <c r="F484" s="255"/>
      <c r="G484" s="256"/>
      <c r="H484" s="252">
        <f>IFERROR(__xludf.DUMMYFUNCTION("""COMPUTED_VALUE"""),0.0)</f>
        <v>0</v>
      </c>
      <c r="I484" s="258"/>
      <c r="J484" s="258"/>
      <c r="K484" s="257">
        <f>IFERROR(__xludf.DUMMYFUNCTION("""COMPUTED_VALUE"""),0.0)</f>
        <v>0</v>
      </c>
      <c r="L484" s="258">
        <f>IFERROR(__xludf.DUMMYFUNCTION("""COMPUTED_VALUE"""),0.0)</f>
        <v>0</v>
      </c>
      <c r="M484" s="258">
        <f>IFERROR(__xludf.DUMMYFUNCTION("""COMPUTED_VALUE"""),0.0)</f>
        <v>0</v>
      </c>
      <c r="N484" s="258">
        <f>IFERROR(__xludf.DUMMYFUNCTION("""COMPUTED_VALUE"""),0.0)</f>
        <v>0</v>
      </c>
      <c r="O484" s="258">
        <f>IFERROR(__xludf.DUMMYFUNCTION("""COMPUTED_VALUE"""),0.0)</f>
        <v>0</v>
      </c>
      <c r="P484" s="258">
        <f>IFERROR(__xludf.DUMMYFUNCTION("""COMPUTED_VALUE"""),0.0)</f>
        <v>0</v>
      </c>
      <c r="Q484" s="258">
        <f>IFERROR(__xludf.DUMMYFUNCTION("""COMPUTED_VALUE"""),0.0)</f>
        <v>0</v>
      </c>
      <c r="R484" s="259"/>
      <c r="S484" s="260"/>
      <c r="T484" s="261"/>
      <c r="U484" s="262"/>
      <c r="V484" s="250"/>
      <c r="W484" s="250"/>
      <c r="X484" s="250"/>
      <c r="Y484" s="250"/>
      <c r="Z484" s="250"/>
      <c r="AA484" s="250"/>
      <c r="AB484" s="250"/>
      <c r="AC484" s="250"/>
      <c r="AD484" s="250"/>
      <c r="AE484" s="250"/>
      <c r="AF484" s="250"/>
      <c r="AG484" s="250"/>
      <c r="AH484" s="250"/>
      <c r="AI484" s="250"/>
      <c r="AJ484" s="250"/>
      <c r="AK484" s="250"/>
      <c r="AL484" s="250"/>
      <c r="AM484" s="250"/>
      <c r="AN484" s="250"/>
    </row>
    <row r="485" ht="15.75" customHeight="1">
      <c r="A485" s="250"/>
      <c r="B485" s="251">
        <f>IFERROR(__xludf.DUMMYFUNCTION("""COMPUTED_VALUE"""),477.0)</f>
        <v>477</v>
      </c>
      <c r="C485" s="252"/>
      <c r="D485" s="253" t="str">
        <f>IFERROR(__xludf.DUMMYFUNCTION("""COMPUTED_VALUE"""),"")</f>
        <v/>
      </c>
      <c r="E485" s="254">
        <f>IFERROR(__xludf.DUMMYFUNCTION("""COMPUTED_VALUE"""),0.0)</f>
        <v>0</v>
      </c>
      <c r="F485" s="255"/>
      <c r="G485" s="256"/>
      <c r="H485" s="252">
        <f>IFERROR(__xludf.DUMMYFUNCTION("""COMPUTED_VALUE"""),0.0)</f>
        <v>0</v>
      </c>
      <c r="I485" s="258"/>
      <c r="J485" s="258"/>
      <c r="K485" s="257">
        <f>IFERROR(__xludf.DUMMYFUNCTION("""COMPUTED_VALUE"""),0.0)</f>
        <v>0</v>
      </c>
      <c r="L485" s="258">
        <f>IFERROR(__xludf.DUMMYFUNCTION("""COMPUTED_VALUE"""),0.0)</f>
        <v>0</v>
      </c>
      <c r="M485" s="258">
        <f>IFERROR(__xludf.DUMMYFUNCTION("""COMPUTED_VALUE"""),0.0)</f>
        <v>0</v>
      </c>
      <c r="N485" s="258">
        <f>IFERROR(__xludf.DUMMYFUNCTION("""COMPUTED_VALUE"""),0.0)</f>
        <v>0</v>
      </c>
      <c r="O485" s="258">
        <f>IFERROR(__xludf.DUMMYFUNCTION("""COMPUTED_VALUE"""),0.0)</f>
        <v>0</v>
      </c>
      <c r="P485" s="258">
        <f>IFERROR(__xludf.DUMMYFUNCTION("""COMPUTED_VALUE"""),0.0)</f>
        <v>0</v>
      </c>
      <c r="Q485" s="258">
        <f>IFERROR(__xludf.DUMMYFUNCTION("""COMPUTED_VALUE"""),0.0)</f>
        <v>0</v>
      </c>
      <c r="R485" s="259"/>
      <c r="S485" s="260"/>
      <c r="T485" s="261"/>
      <c r="U485" s="262"/>
      <c r="V485" s="250"/>
      <c r="W485" s="250"/>
      <c r="X485" s="250"/>
      <c r="Y485" s="250"/>
      <c r="Z485" s="250"/>
      <c r="AA485" s="250"/>
      <c r="AB485" s="250"/>
      <c r="AC485" s="250"/>
      <c r="AD485" s="250"/>
      <c r="AE485" s="250"/>
      <c r="AF485" s="250"/>
      <c r="AG485" s="250"/>
      <c r="AH485" s="250"/>
      <c r="AI485" s="250"/>
      <c r="AJ485" s="250"/>
      <c r="AK485" s="250"/>
      <c r="AL485" s="250"/>
      <c r="AM485" s="250"/>
      <c r="AN485" s="250"/>
    </row>
    <row r="486" ht="15.75" customHeight="1">
      <c r="A486" s="250"/>
      <c r="B486" s="251">
        <f>IFERROR(__xludf.DUMMYFUNCTION("""COMPUTED_VALUE"""),478.0)</f>
        <v>478</v>
      </c>
      <c r="C486" s="252"/>
      <c r="D486" s="253" t="str">
        <f>IFERROR(__xludf.DUMMYFUNCTION("""COMPUTED_VALUE"""),"")</f>
        <v/>
      </c>
      <c r="E486" s="254">
        <f>IFERROR(__xludf.DUMMYFUNCTION("""COMPUTED_VALUE"""),0.0)</f>
        <v>0</v>
      </c>
      <c r="F486" s="255"/>
      <c r="G486" s="256"/>
      <c r="H486" s="252">
        <f>IFERROR(__xludf.DUMMYFUNCTION("""COMPUTED_VALUE"""),0.0)</f>
        <v>0</v>
      </c>
      <c r="I486" s="258"/>
      <c r="J486" s="258"/>
      <c r="K486" s="257">
        <f>IFERROR(__xludf.DUMMYFUNCTION("""COMPUTED_VALUE"""),0.0)</f>
        <v>0</v>
      </c>
      <c r="L486" s="258">
        <f>IFERROR(__xludf.DUMMYFUNCTION("""COMPUTED_VALUE"""),0.0)</f>
        <v>0</v>
      </c>
      <c r="M486" s="258">
        <f>IFERROR(__xludf.DUMMYFUNCTION("""COMPUTED_VALUE"""),0.0)</f>
        <v>0</v>
      </c>
      <c r="N486" s="258">
        <f>IFERROR(__xludf.DUMMYFUNCTION("""COMPUTED_VALUE"""),0.0)</f>
        <v>0</v>
      </c>
      <c r="O486" s="258">
        <f>IFERROR(__xludf.DUMMYFUNCTION("""COMPUTED_VALUE"""),0.0)</f>
        <v>0</v>
      </c>
      <c r="P486" s="258">
        <f>IFERROR(__xludf.DUMMYFUNCTION("""COMPUTED_VALUE"""),0.0)</f>
        <v>0</v>
      </c>
      <c r="Q486" s="258">
        <f>IFERROR(__xludf.DUMMYFUNCTION("""COMPUTED_VALUE"""),0.0)</f>
        <v>0</v>
      </c>
      <c r="R486" s="259"/>
      <c r="S486" s="260"/>
      <c r="T486" s="261"/>
      <c r="U486" s="262"/>
      <c r="V486" s="250"/>
      <c r="W486" s="250"/>
      <c r="X486" s="250"/>
      <c r="Y486" s="250"/>
      <c r="Z486" s="250"/>
      <c r="AA486" s="250"/>
      <c r="AB486" s="250"/>
      <c r="AC486" s="250"/>
      <c r="AD486" s="250"/>
      <c r="AE486" s="250"/>
      <c r="AF486" s="250"/>
      <c r="AG486" s="250"/>
      <c r="AH486" s="250"/>
      <c r="AI486" s="250"/>
      <c r="AJ486" s="250"/>
      <c r="AK486" s="250"/>
      <c r="AL486" s="250"/>
      <c r="AM486" s="250"/>
      <c r="AN486" s="250"/>
    </row>
    <row r="487" ht="15.75" customHeight="1">
      <c r="A487" s="250"/>
      <c r="B487" s="251">
        <f>IFERROR(__xludf.DUMMYFUNCTION("""COMPUTED_VALUE"""),479.0)</f>
        <v>479</v>
      </c>
      <c r="C487" s="252"/>
      <c r="D487" s="253" t="str">
        <f>IFERROR(__xludf.DUMMYFUNCTION("""COMPUTED_VALUE"""),"")</f>
        <v/>
      </c>
      <c r="E487" s="254">
        <f>IFERROR(__xludf.DUMMYFUNCTION("""COMPUTED_VALUE"""),0.0)</f>
        <v>0</v>
      </c>
      <c r="F487" s="255"/>
      <c r="G487" s="256"/>
      <c r="H487" s="252">
        <f>IFERROR(__xludf.DUMMYFUNCTION("""COMPUTED_VALUE"""),0.0)</f>
        <v>0</v>
      </c>
      <c r="I487" s="258"/>
      <c r="J487" s="258"/>
      <c r="K487" s="257">
        <f>IFERROR(__xludf.DUMMYFUNCTION("""COMPUTED_VALUE"""),0.0)</f>
        <v>0</v>
      </c>
      <c r="L487" s="258">
        <f>IFERROR(__xludf.DUMMYFUNCTION("""COMPUTED_VALUE"""),0.0)</f>
        <v>0</v>
      </c>
      <c r="M487" s="258">
        <f>IFERROR(__xludf.DUMMYFUNCTION("""COMPUTED_VALUE"""),0.0)</f>
        <v>0</v>
      </c>
      <c r="N487" s="258">
        <f>IFERROR(__xludf.DUMMYFUNCTION("""COMPUTED_VALUE"""),0.0)</f>
        <v>0</v>
      </c>
      <c r="O487" s="258">
        <f>IFERROR(__xludf.DUMMYFUNCTION("""COMPUTED_VALUE"""),0.0)</f>
        <v>0</v>
      </c>
      <c r="P487" s="258">
        <f>IFERROR(__xludf.DUMMYFUNCTION("""COMPUTED_VALUE"""),0.0)</f>
        <v>0</v>
      </c>
      <c r="Q487" s="258">
        <f>IFERROR(__xludf.DUMMYFUNCTION("""COMPUTED_VALUE"""),0.0)</f>
        <v>0</v>
      </c>
      <c r="R487" s="259"/>
      <c r="S487" s="260"/>
      <c r="T487" s="261"/>
      <c r="U487" s="262"/>
      <c r="V487" s="250"/>
      <c r="W487" s="250"/>
      <c r="X487" s="250"/>
      <c r="Y487" s="250"/>
      <c r="Z487" s="250"/>
      <c r="AA487" s="250"/>
      <c r="AB487" s="250"/>
      <c r="AC487" s="250"/>
      <c r="AD487" s="250"/>
      <c r="AE487" s="250"/>
      <c r="AF487" s="250"/>
      <c r="AG487" s="250"/>
      <c r="AH487" s="250"/>
      <c r="AI487" s="250"/>
      <c r="AJ487" s="250"/>
      <c r="AK487" s="250"/>
      <c r="AL487" s="250"/>
      <c r="AM487" s="250"/>
      <c r="AN487" s="250"/>
    </row>
    <row r="488" ht="15.75" customHeight="1">
      <c r="A488" s="250"/>
      <c r="B488" s="251">
        <f>IFERROR(__xludf.DUMMYFUNCTION("""COMPUTED_VALUE"""),480.0)</f>
        <v>480</v>
      </c>
      <c r="C488" s="252"/>
      <c r="D488" s="253" t="str">
        <f>IFERROR(__xludf.DUMMYFUNCTION("""COMPUTED_VALUE"""),"")</f>
        <v/>
      </c>
      <c r="E488" s="254">
        <f>IFERROR(__xludf.DUMMYFUNCTION("""COMPUTED_VALUE"""),0.0)</f>
        <v>0</v>
      </c>
      <c r="F488" s="255"/>
      <c r="G488" s="256"/>
      <c r="H488" s="252">
        <f>IFERROR(__xludf.DUMMYFUNCTION("""COMPUTED_VALUE"""),0.0)</f>
        <v>0</v>
      </c>
      <c r="I488" s="258"/>
      <c r="J488" s="258"/>
      <c r="K488" s="257">
        <f>IFERROR(__xludf.DUMMYFUNCTION("""COMPUTED_VALUE"""),0.0)</f>
        <v>0</v>
      </c>
      <c r="L488" s="258">
        <f>IFERROR(__xludf.DUMMYFUNCTION("""COMPUTED_VALUE"""),0.0)</f>
        <v>0</v>
      </c>
      <c r="M488" s="258">
        <f>IFERROR(__xludf.DUMMYFUNCTION("""COMPUTED_VALUE"""),0.0)</f>
        <v>0</v>
      </c>
      <c r="N488" s="258">
        <f>IFERROR(__xludf.DUMMYFUNCTION("""COMPUTED_VALUE"""),0.0)</f>
        <v>0</v>
      </c>
      <c r="O488" s="258">
        <f>IFERROR(__xludf.DUMMYFUNCTION("""COMPUTED_VALUE"""),0.0)</f>
        <v>0</v>
      </c>
      <c r="P488" s="258">
        <f>IFERROR(__xludf.DUMMYFUNCTION("""COMPUTED_VALUE"""),0.0)</f>
        <v>0</v>
      </c>
      <c r="Q488" s="258">
        <f>IFERROR(__xludf.DUMMYFUNCTION("""COMPUTED_VALUE"""),0.0)</f>
        <v>0</v>
      </c>
      <c r="R488" s="259"/>
      <c r="S488" s="260"/>
      <c r="T488" s="261"/>
      <c r="U488" s="262"/>
      <c r="V488" s="250"/>
      <c r="W488" s="250"/>
      <c r="X488" s="250"/>
      <c r="Y488" s="250"/>
      <c r="Z488" s="250"/>
      <c r="AA488" s="250"/>
      <c r="AB488" s="250"/>
      <c r="AC488" s="250"/>
      <c r="AD488" s="250"/>
      <c r="AE488" s="250"/>
      <c r="AF488" s="250"/>
      <c r="AG488" s="250"/>
      <c r="AH488" s="250"/>
      <c r="AI488" s="250"/>
      <c r="AJ488" s="250"/>
      <c r="AK488" s="250"/>
      <c r="AL488" s="250"/>
      <c r="AM488" s="250"/>
      <c r="AN488" s="250"/>
    </row>
    <row r="489" ht="15.75" customHeight="1">
      <c r="A489" s="250"/>
      <c r="B489" s="251">
        <f>IFERROR(__xludf.DUMMYFUNCTION("""COMPUTED_VALUE"""),481.0)</f>
        <v>481</v>
      </c>
      <c r="C489" s="252"/>
      <c r="D489" s="253" t="str">
        <f>IFERROR(__xludf.DUMMYFUNCTION("""COMPUTED_VALUE"""),"")</f>
        <v/>
      </c>
      <c r="E489" s="254">
        <f>IFERROR(__xludf.DUMMYFUNCTION("""COMPUTED_VALUE"""),0.0)</f>
        <v>0</v>
      </c>
      <c r="F489" s="255"/>
      <c r="G489" s="256"/>
      <c r="H489" s="252">
        <f>IFERROR(__xludf.DUMMYFUNCTION("""COMPUTED_VALUE"""),0.0)</f>
        <v>0</v>
      </c>
      <c r="I489" s="258"/>
      <c r="J489" s="258"/>
      <c r="K489" s="257">
        <f>IFERROR(__xludf.DUMMYFUNCTION("""COMPUTED_VALUE"""),0.0)</f>
        <v>0</v>
      </c>
      <c r="L489" s="258">
        <f>IFERROR(__xludf.DUMMYFUNCTION("""COMPUTED_VALUE"""),0.0)</f>
        <v>0</v>
      </c>
      <c r="M489" s="258">
        <f>IFERROR(__xludf.DUMMYFUNCTION("""COMPUTED_VALUE"""),0.0)</f>
        <v>0</v>
      </c>
      <c r="N489" s="258">
        <f>IFERROR(__xludf.DUMMYFUNCTION("""COMPUTED_VALUE"""),0.0)</f>
        <v>0</v>
      </c>
      <c r="O489" s="258">
        <f>IFERROR(__xludf.DUMMYFUNCTION("""COMPUTED_VALUE"""),0.0)</f>
        <v>0</v>
      </c>
      <c r="P489" s="258">
        <f>IFERROR(__xludf.DUMMYFUNCTION("""COMPUTED_VALUE"""),0.0)</f>
        <v>0</v>
      </c>
      <c r="Q489" s="258">
        <f>IFERROR(__xludf.DUMMYFUNCTION("""COMPUTED_VALUE"""),0.0)</f>
        <v>0</v>
      </c>
      <c r="R489" s="259"/>
      <c r="S489" s="260"/>
      <c r="T489" s="261"/>
      <c r="U489" s="262"/>
      <c r="V489" s="250"/>
      <c r="W489" s="250"/>
      <c r="X489" s="250"/>
      <c r="Y489" s="250"/>
      <c r="Z489" s="250"/>
      <c r="AA489" s="250"/>
      <c r="AB489" s="250"/>
      <c r="AC489" s="250"/>
      <c r="AD489" s="250"/>
      <c r="AE489" s="250"/>
      <c r="AF489" s="250"/>
      <c r="AG489" s="250"/>
      <c r="AH489" s="250"/>
      <c r="AI489" s="250"/>
      <c r="AJ489" s="250"/>
      <c r="AK489" s="250"/>
      <c r="AL489" s="250"/>
      <c r="AM489" s="250"/>
      <c r="AN489" s="250"/>
    </row>
    <row r="490" ht="15.75" customHeight="1">
      <c r="A490" s="250"/>
      <c r="B490" s="251">
        <f>IFERROR(__xludf.DUMMYFUNCTION("""COMPUTED_VALUE"""),482.0)</f>
        <v>482</v>
      </c>
      <c r="C490" s="252"/>
      <c r="D490" s="253" t="str">
        <f>IFERROR(__xludf.DUMMYFUNCTION("""COMPUTED_VALUE"""),"")</f>
        <v/>
      </c>
      <c r="E490" s="254">
        <f>IFERROR(__xludf.DUMMYFUNCTION("""COMPUTED_VALUE"""),0.0)</f>
        <v>0</v>
      </c>
      <c r="F490" s="255"/>
      <c r="G490" s="256"/>
      <c r="H490" s="252">
        <f>IFERROR(__xludf.DUMMYFUNCTION("""COMPUTED_VALUE"""),0.0)</f>
        <v>0</v>
      </c>
      <c r="I490" s="258"/>
      <c r="J490" s="258"/>
      <c r="K490" s="257">
        <f>IFERROR(__xludf.DUMMYFUNCTION("""COMPUTED_VALUE"""),0.0)</f>
        <v>0</v>
      </c>
      <c r="L490" s="258">
        <f>IFERROR(__xludf.DUMMYFUNCTION("""COMPUTED_VALUE"""),0.0)</f>
        <v>0</v>
      </c>
      <c r="M490" s="258">
        <f>IFERROR(__xludf.DUMMYFUNCTION("""COMPUTED_VALUE"""),0.0)</f>
        <v>0</v>
      </c>
      <c r="N490" s="258">
        <f>IFERROR(__xludf.DUMMYFUNCTION("""COMPUTED_VALUE"""),0.0)</f>
        <v>0</v>
      </c>
      <c r="O490" s="258">
        <f>IFERROR(__xludf.DUMMYFUNCTION("""COMPUTED_VALUE"""),0.0)</f>
        <v>0</v>
      </c>
      <c r="P490" s="258">
        <f>IFERROR(__xludf.DUMMYFUNCTION("""COMPUTED_VALUE"""),0.0)</f>
        <v>0</v>
      </c>
      <c r="Q490" s="258">
        <f>IFERROR(__xludf.DUMMYFUNCTION("""COMPUTED_VALUE"""),0.0)</f>
        <v>0</v>
      </c>
      <c r="R490" s="259"/>
      <c r="S490" s="260"/>
      <c r="T490" s="261"/>
      <c r="U490" s="262"/>
      <c r="V490" s="250"/>
      <c r="W490" s="250"/>
      <c r="X490" s="250"/>
      <c r="Y490" s="250"/>
      <c r="Z490" s="250"/>
      <c r="AA490" s="250"/>
      <c r="AB490" s="250"/>
      <c r="AC490" s="250"/>
      <c r="AD490" s="250"/>
      <c r="AE490" s="250"/>
      <c r="AF490" s="250"/>
      <c r="AG490" s="250"/>
      <c r="AH490" s="250"/>
      <c r="AI490" s="250"/>
      <c r="AJ490" s="250"/>
      <c r="AK490" s="250"/>
      <c r="AL490" s="250"/>
      <c r="AM490" s="250"/>
      <c r="AN490" s="250"/>
    </row>
    <row r="491" ht="15.75" customHeight="1">
      <c r="A491" s="250"/>
      <c r="B491" s="251">
        <f>IFERROR(__xludf.DUMMYFUNCTION("""COMPUTED_VALUE"""),483.0)</f>
        <v>483</v>
      </c>
      <c r="C491" s="252"/>
      <c r="D491" s="253" t="str">
        <f>IFERROR(__xludf.DUMMYFUNCTION("""COMPUTED_VALUE"""),"")</f>
        <v/>
      </c>
      <c r="E491" s="254">
        <f>IFERROR(__xludf.DUMMYFUNCTION("""COMPUTED_VALUE"""),0.0)</f>
        <v>0</v>
      </c>
      <c r="F491" s="255"/>
      <c r="G491" s="256"/>
      <c r="H491" s="252">
        <f>IFERROR(__xludf.DUMMYFUNCTION("""COMPUTED_VALUE"""),0.0)</f>
        <v>0</v>
      </c>
      <c r="I491" s="258"/>
      <c r="J491" s="258"/>
      <c r="K491" s="257">
        <f>IFERROR(__xludf.DUMMYFUNCTION("""COMPUTED_VALUE"""),0.0)</f>
        <v>0</v>
      </c>
      <c r="L491" s="258">
        <f>IFERROR(__xludf.DUMMYFUNCTION("""COMPUTED_VALUE"""),0.0)</f>
        <v>0</v>
      </c>
      <c r="M491" s="258">
        <f>IFERROR(__xludf.DUMMYFUNCTION("""COMPUTED_VALUE"""),0.0)</f>
        <v>0</v>
      </c>
      <c r="N491" s="258">
        <f>IFERROR(__xludf.DUMMYFUNCTION("""COMPUTED_VALUE"""),0.0)</f>
        <v>0</v>
      </c>
      <c r="O491" s="258">
        <f>IFERROR(__xludf.DUMMYFUNCTION("""COMPUTED_VALUE"""),0.0)</f>
        <v>0</v>
      </c>
      <c r="P491" s="258">
        <f>IFERROR(__xludf.DUMMYFUNCTION("""COMPUTED_VALUE"""),0.0)</f>
        <v>0</v>
      </c>
      <c r="Q491" s="258">
        <f>IFERROR(__xludf.DUMMYFUNCTION("""COMPUTED_VALUE"""),0.0)</f>
        <v>0</v>
      </c>
      <c r="R491" s="259"/>
      <c r="S491" s="260"/>
      <c r="T491" s="261"/>
      <c r="U491" s="262"/>
      <c r="V491" s="250"/>
      <c r="W491" s="250"/>
      <c r="X491" s="250"/>
      <c r="Y491" s="250"/>
      <c r="Z491" s="250"/>
      <c r="AA491" s="250"/>
      <c r="AB491" s="250"/>
      <c r="AC491" s="250"/>
      <c r="AD491" s="250"/>
      <c r="AE491" s="250"/>
      <c r="AF491" s="250"/>
      <c r="AG491" s="250"/>
      <c r="AH491" s="250"/>
      <c r="AI491" s="250"/>
      <c r="AJ491" s="250"/>
      <c r="AK491" s="250"/>
      <c r="AL491" s="250"/>
      <c r="AM491" s="250"/>
      <c r="AN491" s="250"/>
    </row>
    <row r="492" ht="15.75" customHeight="1">
      <c r="A492" s="250"/>
      <c r="B492" s="251">
        <f>IFERROR(__xludf.DUMMYFUNCTION("""COMPUTED_VALUE"""),484.0)</f>
        <v>484</v>
      </c>
      <c r="C492" s="252"/>
      <c r="D492" s="253" t="str">
        <f>IFERROR(__xludf.DUMMYFUNCTION("""COMPUTED_VALUE"""),"")</f>
        <v/>
      </c>
      <c r="E492" s="254">
        <f>IFERROR(__xludf.DUMMYFUNCTION("""COMPUTED_VALUE"""),0.0)</f>
        <v>0</v>
      </c>
      <c r="F492" s="255"/>
      <c r="G492" s="256"/>
      <c r="H492" s="252">
        <f>IFERROR(__xludf.DUMMYFUNCTION("""COMPUTED_VALUE"""),0.0)</f>
        <v>0</v>
      </c>
      <c r="I492" s="258"/>
      <c r="J492" s="258"/>
      <c r="K492" s="257">
        <f>IFERROR(__xludf.DUMMYFUNCTION("""COMPUTED_VALUE"""),0.0)</f>
        <v>0</v>
      </c>
      <c r="L492" s="258">
        <f>IFERROR(__xludf.DUMMYFUNCTION("""COMPUTED_VALUE"""),0.0)</f>
        <v>0</v>
      </c>
      <c r="M492" s="258">
        <f>IFERROR(__xludf.DUMMYFUNCTION("""COMPUTED_VALUE"""),0.0)</f>
        <v>0</v>
      </c>
      <c r="N492" s="258">
        <f>IFERROR(__xludf.DUMMYFUNCTION("""COMPUTED_VALUE"""),0.0)</f>
        <v>0</v>
      </c>
      <c r="O492" s="258">
        <f>IFERROR(__xludf.DUMMYFUNCTION("""COMPUTED_VALUE"""),0.0)</f>
        <v>0</v>
      </c>
      <c r="P492" s="258">
        <f>IFERROR(__xludf.DUMMYFUNCTION("""COMPUTED_VALUE"""),0.0)</f>
        <v>0</v>
      </c>
      <c r="Q492" s="258">
        <f>IFERROR(__xludf.DUMMYFUNCTION("""COMPUTED_VALUE"""),0.0)</f>
        <v>0</v>
      </c>
      <c r="R492" s="259"/>
      <c r="S492" s="260"/>
      <c r="T492" s="261"/>
      <c r="U492" s="262"/>
      <c r="V492" s="250"/>
      <c r="W492" s="250"/>
      <c r="X492" s="250"/>
      <c r="Y492" s="250"/>
      <c r="Z492" s="250"/>
      <c r="AA492" s="250"/>
      <c r="AB492" s="250"/>
      <c r="AC492" s="250"/>
      <c r="AD492" s="250"/>
      <c r="AE492" s="250"/>
      <c r="AF492" s="250"/>
      <c r="AG492" s="250"/>
      <c r="AH492" s="250"/>
      <c r="AI492" s="250"/>
      <c r="AJ492" s="250"/>
      <c r="AK492" s="250"/>
      <c r="AL492" s="250"/>
      <c r="AM492" s="250"/>
      <c r="AN492" s="250"/>
    </row>
    <row r="493" ht="15.75" customHeight="1">
      <c r="A493" s="250"/>
      <c r="B493" s="251">
        <f>IFERROR(__xludf.DUMMYFUNCTION("""COMPUTED_VALUE"""),485.0)</f>
        <v>485</v>
      </c>
      <c r="C493" s="252"/>
      <c r="D493" s="253" t="str">
        <f>IFERROR(__xludf.DUMMYFUNCTION("""COMPUTED_VALUE"""),"")</f>
        <v/>
      </c>
      <c r="E493" s="254">
        <f>IFERROR(__xludf.DUMMYFUNCTION("""COMPUTED_VALUE"""),0.0)</f>
        <v>0</v>
      </c>
      <c r="F493" s="255"/>
      <c r="G493" s="256"/>
      <c r="H493" s="252">
        <f>IFERROR(__xludf.DUMMYFUNCTION("""COMPUTED_VALUE"""),0.0)</f>
        <v>0</v>
      </c>
      <c r="I493" s="258"/>
      <c r="J493" s="258"/>
      <c r="K493" s="257">
        <f>IFERROR(__xludf.DUMMYFUNCTION("""COMPUTED_VALUE"""),0.0)</f>
        <v>0</v>
      </c>
      <c r="L493" s="258">
        <f>IFERROR(__xludf.DUMMYFUNCTION("""COMPUTED_VALUE"""),0.0)</f>
        <v>0</v>
      </c>
      <c r="M493" s="258">
        <f>IFERROR(__xludf.DUMMYFUNCTION("""COMPUTED_VALUE"""),0.0)</f>
        <v>0</v>
      </c>
      <c r="N493" s="258">
        <f>IFERROR(__xludf.DUMMYFUNCTION("""COMPUTED_VALUE"""),0.0)</f>
        <v>0</v>
      </c>
      <c r="O493" s="258">
        <f>IFERROR(__xludf.DUMMYFUNCTION("""COMPUTED_VALUE"""),0.0)</f>
        <v>0</v>
      </c>
      <c r="P493" s="258">
        <f>IFERROR(__xludf.DUMMYFUNCTION("""COMPUTED_VALUE"""),0.0)</f>
        <v>0</v>
      </c>
      <c r="Q493" s="258">
        <f>IFERROR(__xludf.DUMMYFUNCTION("""COMPUTED_VALUE"""),0.0)</f>
        <v>0</v>
      </c>
      <c r="R493" s="259"/>
      <c r="S493" s="260"/>
      <c r="T493" s="261"/>
      <c r="U493" s="262"/>
      <c r="V493" s="250"/>
      <c r="W493" s="250"/>
      <c r="X493" s="250"/>
      <c r="Y493" s="250"/>
      <c r="Z493" s="250"/>
      <c r="AA493" s="250"/>
      <c r="AB493" s="250"/>
      <c r="AC493" s="250"/>
      <c r="AD493" s="250"/>
      <c r="AE493" s="250"/>
      <c r="AF493" s="250"/>
      <c r="AG493" s="250"/>
      <c r="AH493" s="250"/>
      <c r="AI493" s="250"/>
      <c r="AJ493" s="250"/>
      <c r="AK493" s="250"/>
      <c r="AL493" s="250"/>
      <c r="AM493" s="250"/>
      <c r="AN493" s="250"/>
    </row>
    <row r="494" ht="15.75" customHeight="1">
      <c r="A494" s="250"/>
      <c r="B494" s="251">
        <f>IFERROR(__xludf.DUMMYFUNCTION("""COMPUTED_VALUE"""),486.0)</f>
        <v>486</v>
      </c>
      <c r="C494" s="252"/>
      <c r="D494" s="253" t="str">
        <f>IFERROR(__xludf.DUMMYFUNCTION("""COMPUTED_VALUE"""),"")</f>
        <v/>
      </c>
      <c r="E494" s="254">
        <f>IFERROR(__xludf.DUMMYFUNCTION("""COMPUTED_VALUE"""),0.0)</f>
        <v>0</v>
      </c>
      <c r="F494" s="255"/>
      <c r="G494" s="256"/>
      <c r="H494" s="252">
        <f>IFERROR(__xludf.DUMMYFUNCTION("""COMPUTED_VALUE"""),0.0)</f>
        <v>0</v>
      </c>
      <c r="I494" s="258"/>
      <c r="J494" s="258"/>
      <c r="K494" s="257">
        <f>IFERROR(__xludf.DUMMYFUNCTION("""COMPUTED_VALUE"""),0.0)</f>
        <v>0</v>
      </c>
      <c r="L494" s="258">
        <f>IFERROR(__xludf.DUMMYFUNCTION("""COMPUTED_VALUE"""),0.0)</f>
        <v>0</v>
      </c>
      <c r="M494" s="258">
        <f>IFERROR(__xludf.DUMMYFUNCTION("""COMPUTED_VALUE"""),0.0)</f>
        <v>0</v>
      </c>
      <c r="N494" s="258">
        <f>IFERROR(__xludf.DUMMYFUNCTION("""COMPUTED_VALUE"""),0.0)</f>
        <v>0</v>
      </c>
      <c r="O494" s="258">
        <f>IFERROR(__xludf.DUMMYFUNCTION("""COMPUTED_VALUE"""),0.0)</f>
        <v>0</v>
      </c>
      <c r="P494" s="258">
        <f>IFERROR(__xludf.DUMMYFUNCTION("""COMPUTED_VALUE"""),0.0)</f>
        <v>0</v>
      </c>
      <c r="Q494" s="258">
        <f>IFERROR(__xludf.DUMMYFUNCTION("""COMPUTED_VALUE"""),0.0)</f>
        <v>0</v>
      </c>
      <c r="R494" s="259"/>
      <c r="S494" s="260"/>
      <c r="T494" s="261"/>
      <c r="U494" s="262"/>
      <c r="V494" s="250"/>
      <c r="W494" s="250"/>
      <c r="X494" s="250"/>
      <c r="Y494" s="250"/>
      <c r="Z494" s="250"/>
      <c r="AA494" s="250"/>
      <c r="AB494" s="250"/>
      <c r="AC494" s="250"/>
      <c r="AD494" s="250"/>
      <c r="AE494" s="250"/>
      <c r="AF494" s="250"/>
      <c r="AG494" s="250"/>
      <c r="AH494" s="250"/>
      <c r="AI494" s="250"/>
      <c r="AJ494" s="250"/>
      <c r="AK494" s="250"/>
      <c r="AL494" s="250"/>
      <c r="AM494" s="250"/>
      <c r="AN494" s="250"/>
    </row>
    <row r="495" ht="15.75" customHeight="1">
      <c r="A495" s="250"/>
      <c r="B495" s="251">
        <f>IFERROR(__xludf.DUMMYFUNCTION("""COMPUTED_VALUE"""),487.0)</f>
        <v>487</v>
      </c>
      <c r="C495" s="252"/>
      <c r="D495" s="253" t="str">
        <f>IFERROR(__xludf.DUMMYFUNCTION("""COMPUTED_VALUE"""),"")</f>
        <v/>
      </c>
      <c r="E495" s="254">
        <f>IFERROR(__xludf.DUMMYFUNCTION("""COMPUTED_VALUE"""),0.0)</f>
        <v>0</v>
      </c>
      <c r="F495" s="255"/>
      <c r="G495" s="256"/>
      <c r="H495" s="252">
        <f>IFERROR(__xludf.DUMMYFUNCTION("""COMPUTED_VALUE"""),0.0)</f>
        <v>0</v>
      </c>
      <c r="I495" s="258"/>
      <c r="J495" s="258"/>
      <c r="K495" s="257">
        <f>IFERROR(__xludf.DUMMYFUNCTION("""COMPUTED_VALUE"""),0.0)</f>
        <v>0</v>
      </c>
      <c r="L495" s="258">
        <f>IFERROR(__xludf.DUMMYFUNCTION("""COMPUTED_VALUE"""),0.0)</f>
        <v>0</v>
      </c>
      <c r="M495" s="258">
        <f>IFERROR(__xludf.DUMMYFUNCTION("""COMPUTED_VALUE"""),0.0)</f>
        <v>0</v>
      </c>
      <c r="N495" s="258">
        <f>IFERROR(__xludf.DUMMYFUNCTION("""COMPUTED_VALUE"""),0.0)</f>
        <v>0</v>
      </c>
      <c r="O495" s="258">
        <f>IFERROR(__xludf.DUMMYFUNCTION("""COMPUTED_VALUE"""),0.0)</f>
        <v>0</v>
      </c>
      <c r="P495" s="258">
        <f>IFERROR(__xludf.DUMMYFUNCTION("""COMPUTED_VALUE"""),0.0)</f>
        <v>0</v>
      </c>
      <c r="Q495" s="258">
        <f>IFERROR(__xludf.DUMMYFUNCTION("""COMPUTED_VALUE"""),0.0)</f>
        <v>0</v>
      </c>
      <c r="R495" s="259"/>
      <c r="S495" s="260"/>
      <c r="T495" s="261"/>
      <c r="U495" s="262"/>
      <c r="V495" s="250"/>
      <c r="W495" s="250"/>
      <c r="X495" s="250"/>
      <c r="Y495" s="250"/>
      <c r="Z495" s="250"/>
      <c r="AA495" s="250"/>
      <c r="AB495" s="250"/>
      <c r="AC495" s="250"/>
      <c r="AD495" s="250"/>
      <c r="AE495" s="250"/>
      <c r="AF495" s="250"/>
      <c r="AG495" s="250"/>
      <c r="AH495" s="250"/>
      <c r="AI495" s="250"/>
      <c r="AJ495" s="250"/>
      <c r="AK495" s="250"/>
      <c r="AL495" s="250"/>
      <c r="AM495" s="250"/>
      <c r="AN495" s="250"/>
    </row>
    <row r="496" ht="15.75" customHeight="1">
      <c r="A496" s="250"/>
      <c r="B496" s="251">
        <f>IFERROR(__xludf.DUMMYFUNCTION("""COMPUTED_VALUE"""),488.0)</f>
        <v>488</v>
      </c>
      <c r="C496" s="252"/>
      <c r="D496" s="253" t="str">
        <f>IFERROR(__xludf.DUMMYFUNCTION("""COMPUTED_VALUE"""),"")</f>
        <v/>
      </c>
      <c r="E496" s="254">
        <f>IFERROR(__xludf.DUMMYFUNCTION("""COMPUTED_VALUE"""),0.0)</f>
        <v>0</v>
      </c>
      <c r="F496" s="255"/>
      <c r="G496" s="256"/>
      <c r="H496" s="252">
        <f>IFERROR(__xludf.DUMMYFUNCTION("""COMPUTED_VALUE"""),0.0)</f>
        <v>0</v>
      </c>
      <c r="I496" s="258"/>
      <c r="J496" s="258"/>
      <c r="K496" s="257">
        <f>IFERROR(__xludf.DUMMYFUNCTION("""COMPUTED_VALUE"""),0.0)</f>
        <v>0</v>
      </c>
      <c r="L496" s="258">
        <f>IFERROR(__xludf.DUMMYFUNCTION("""COMPUTED_VALUE"""),0.0)</f>
        <v>0</v>
      </c>
      <c r="M496" s="258">
        <f>IFERROR(__xludf.DUMMYFUNCTION("""COMPUTED_VALUE"""),0.0)</f>
        <v>0</v>
      </c>
      <c r="N496" s="258">
        <f>IFERROR(__xludf.DUMMYFUNCTION("""COMPUTED_VALUE"""),0.0)</f>
        <v>0</v>
      </c>
      <c r="O496" s="258">
        <f>IFERROR(__xludf.DUMMYFUNCTION("""COMPUTED_VALUE"""),0.0)</f>
        <v>0</v>
      </c>
      <c r="P496" s="258">
        <f>IFERROR(__xludf.DUMMYFUNCTION("""COMPUTED_VALUE"""),0.0)</f>
        <v>0</v>
      </c>
      <c r="Q496" s="258">
        <f>IFERROR(__xludf.DUMMYFUNCTION("""COMPUTED_VALUE"""),0.0)</f>
        <v>0</v>
      </c>
      <c r="R496" s="259"/>
      <c r="S496" s="260"/>
      <c r="T496" s="261"/>
      <c r="U496" s="262"/>
      <c r="V496" s="250"/>
      <c r="W496" s="250"/>
      <c r="X496" s="250"/>
      <c r="Y496" s="250"/>
      <c r="Z496" s="250"/>
      <c r="AA496" s="250"/>
      <c r="AB496" s="250"/>
      <c r="AC496" s="250"/>
      <c r="AD496" s="250"/>
      <c r="AE496" s="250"/>
      <c r="AF496" s="250"/>
      <c r="AG496" s="250"/>
      <c r="AH496" s="250"/>
      <c r="AI496" s="250"/>
      <c r="AJ496" s="250"/>
      <c r="AK496" s="250"/>
      <c r="AL496" s="250"/>
      <c r="AM496" s="250"/>
      <c r="AN496" s="250"/>
    </row>
    <row r="497" ht="15.75" customHeight="1">
      <c r="A497" s="250"/>
      <c r="B497" s="251">
        <f>IFERROR(__xludf.DUMMYFUNCTION("""COMPUTED_VALUE"""),489.0)</f>
        <v>489</v>
      </c>
      <c r="C497" s="252"/>
      <c r="D497" s="253" t="str">
        <f>IFERROR(__xludf.DUMMYFUNCTION("""COMPUTED_VALUE"""),"")</f>
        <v/>
      </c>
      <c r="E497" s="254">
        <f>IFERROR(__xludf.DUMMYFUNCTION("""COMPUTED_VALUE"""),0.0)</f>
        <v>0</v>
      </c>
      <c r="F497" s="255"/>
      <c r="G497" s="256"/>
      <c r="H497" s="252">
        <f>IFERROR(__xludf.DUMMYFUNCTION("""COMPUTED_VALUE"""),0.0)</f>
        <v>0</v>
      </c>
      <c r="I497" s="258"/>
      <c r="J497" s="258"/>
      <c r="K497" s="257">
        <f>IFERROR(__xludf.DUMMYFUNCTION("""COMPUTED_VALUE"""),0.0)</f>
        <v>0</v>
      </c>
      <c r="L497" s="258">
        <f>IFERROR(__xludf.DUMMYFUNCTION("""COMPUTED_VALUE"""),0.0)</f>
        <v>0</v>
      </c>
      <c r="M497" s="258">
        <f>IFERROR(__xludf.DUMMYFUNCTION("""COMPUTED_VALUE"""),0.0)</f>
        <v>0</v>
      </c>
      <c r="N497" s="258">
        <f>IFERROR(__xludf.DUMMYFUNCTION("""COMPUTED_VALUE"""),0.0)</f>
        <v>0</v>
      </c>
      <c r="O497" s="258">
        <f>IFERROR(__xludf.DUMMYFUNCTION("""COMPUTED_VALUE"""),0.0)</f>
        <v>0</v>
      </c>
      <c r="P497" s="258">
        <f>IFERROR(__xludf.DUMMYFUNCTION("""COMPUTED_VALUE"""),0.0)</f>
        <v>0</v>
      </c>
      <c r="Q497" s="258">
        <f>IFERROR(__xludf.DUMMYFUNCTION("""COMPUTED_VALUE"""),0.0)</f>
        <v>0</v>
      </c>
      <c r="R497" s="259"/>
      <c r="S497" s="260"/>
      <c r="T497" s="261"/>
      <c r="U497" s="262"/>
      <c r="V497" s="250"/>
      <c r="W497" s="250"/>
      <c r="X497" s="250"/>
      <c r="Y497" s="250"/>
      <c r="Z497" s="250"/>
      <c r="AA497" s="250"/>
      <c r="AB497" s="250"/>
      <c r="AC497" s="250"/>
      <c r="AD497" s="250"/>
      <c r="AE497" s="250"/>
      <c r="AF497" s="250"/>
      <c r="AG497" s="250"/>
      <c r="AH497" s="250"/>
      <c r="AI497" s="250"/>
      <c r="AJ497" s="250"/>
      <c r="AK497" s="250"/>
      <c r="AL497" s="250"/>
      <c r="AM497" s="250"/>
      <c r="AN497" s="250"/>
    </row>
    <row r="498" ht="15.75" customHeight="1">
      <c r="A498" s="250"/>
      <c r="B498" s="251">
        <f>IFERROR(__xludf.DUMMYFUNCTION("""COMPUTED_VALUE"""),490.0)</f>
        <v>490</v>
      </c>
      <c r="C498" s="252"/>
      <c r="D498" s="253" t="str">
        <f>IFERROR(__xludf.DUMMYFUNCTION("""COMPUTED_VALUE"""),"")</f>
        <v/>
      </c>
      <c r="E498" s="254">
        <f>IFERROR(__xludf.DUMMYFUNCTION("""COMPUTED_VALUE"""),0.0)</f>
        <v>0</v>
      </c>
      <c r="F498" s="255"/>
      <c r="G498" s="256"/>
      <c r="H498" s="252">
        <f>IFERROR(__xludf.DUMMYFUNCTION("""COMPUTED_VALUE"""),0.0)</f>
        <v>0</v>
      </c>
      <c r="I498" s="258"/>
      <c r="J498" s="258"/>
      <c r="K498" s="257">
        <f>IFERROR(__xludf.DUMMYFUNCTION("""COMPUTED_VALUE"""),0.0)</f>
        <v>0</v>
      </c>
      <c r="L498" s="258">
        <f>IFERROR(__xludf.DUMMYFUNCTION("""COMPUTED_VALUE"""),0.0)</f>
        <v>0</v>
      </c>
      <c r="M498" s="258">
        <f>IFERROR(__xludf.DUMMYFUNCTION("""COMPUTED_VALUE"""),0.0)</f>
        <v>0</v>
      </c>
      <c r="N498" s="258">
        <f>IFERROR(__xludf.DUMMYFUNCTION("""COMPUTED_VALUE"""),0.0)</f>
        <v>0</v>
      </c>
      <c r="O498" s="258">
        <f>IFERROR(__xludf.DUMMYFUNCTION("""COMPUTED_VALUE"""),0.0)</f>
        <v>0</v>
      </c>
      <c r="P498" s="258">
        <f>IFERROR(__xludf.DUMMYFUNCTION("""COMPUTED_VALUE"""),0.0)</f>
        <v>0</v>
      </c>
      <c r="Q498" s="258">
        <f>IFERROR(__xludf.DUMMYFUNCTION("""COMPUTED_VALUE"""),0.0)</f>
        <v>0</v>
      </c>
      <c r="R498" s="259"/>
      <c r="S498" s="260"/>
      <c r="T498" s="261"/>
      <c r="U498" s="262"/>
      <c r="V498" s="250"/>
      <c r="W498" s="250"/>
      <c r="X498" s="250"/>
      <c r="Y498" s="250"/>
      <c r="Z498" s="250"/>
      <c r="AA498" s="250"/>
      <c r="AB498" s="250"/>
      <c r="AC498" s="250"/>
      <c r="AD498" s="250"/>
      <c r="AE498" s="250"/>
      <c r="AF498" s="250"/>
      <c r="AG498" s="250"/>
      <c r="AH498" s="250"/>
      <c r="AI498" s="250"/>
      <c r="AJ498" s="250"/>
      <c r="AK498" s="250"/>
      <c r="AL498" s="250"/>
      <c r="AM498" s="250"/>
      <c r="AN498" s="250"/>
    </row>
    <row r="499" ht="15.75" customHeight="1">
      <c r="A499" s="250"/>
      <c r="B499" s="251">
        <f>IFERROR(__xludf.DUMMYFUNCTION("""COMPUTED_VALUE"""),491.0)</f>
        <v>491</v>
      </c>
      <c r="C499" s="252"/>
      <c r="D499" s="253" t="str">
        <f>IFERROR(__xludf.DUMMYFUNCTION("""COMPUTED_VALUE"""),"")</f>
        <v/>
      </c>
      <c r="E499" s="254">
        <f>IFERROR(__xludf.DUMMYFUNCTION("""COMPUTED_VALUE"""),0.0)</f>
        <v>0</v>
      </c>
      <c r="F499" s="255"/>
      <c r="G499" s="256"/>
      <c r="H499" s="252">
        <f>IFERROR(__xludf.DUMMYFUNCTION("""COMPUTED_VALUE"""),0.0)</f>
        <v>0</v>
      </c>
      <c r="I499" s="258"/>
      <c r="J499" s="258"/>
      <c r="K499" s="257">
        <f>IFERROR(__xludf.DUMMYFUNCTION("""COMPUTED_VALUE"""),0.0)</f>
        <v>0</v>
      </c>
      <c r="L499" s="258">
        <f>IFERROR(__xludf.DUMMYFUNCTION("""COMPUTED_VALUE"""),0.0)</f>
        <v>0</v>
      </c>
      <c r="M499" s="258">
        <f>IFERROR(__xludf.DUMMYFUNCTION("""COMPUTED_VALUE"""),0.0)</f>
        <v>0</v>
      </c>
      <c r="N499" s="258">
        <f>IFERROR(__xludf.DUMMYFUNCTION("""COMPUTED_VALUE"""),0.0)</f>
        <v>0</v>
      </c>
      <c r="O499" s="258">
        <f>IFERROR(__xludf.DUMMYFUNCTION("""COMPUTED_VALUE"""),0.0)</f>
        <v>0</v>
      </c>
      <c r="P499" s="258">
        <f>IFERROR(__xludf.DUMMYFUNCTION("""COMPUTED_VALUE"""),0.0)</f>
        <v>0</v>
      </c>
      <c r="Q499" s="258">
        <f>IFERROR(__xludf.DUMMYFUNCTION("""COMPUTED_VALUE"""),0.0)</f>
        <v>0</v>
      </c>
      <c r="R499" s="259"/>
      <c r="S499" s="260"/>
      <c r="T499" s="261"/>
      <c r="U499" s="262"/>
      <c r="V499" s="250"/>
      <c r="W499" s="250"/>
      <c r="X499" s="250"/>
      <c r="Y499" s="250"/>
      <c r="Z499" s="250"/>
      <c r="AA499" s="250"/>
      <c r="AB499" s="250"/>
      <c r="AC499" s="250"/>
      <c r="AD499" s="250"/>
      <c r="AE499" s="250"/>
      <c r="AF499" s="250"/>
      <c r="AG499" s="250"/>
      <c r="AH499" s="250"/>
      <c r="AI499" s="250"/>
      <c r="AJ499" s="250"/>
      <c r="AK499" s="250"/>
      <c r="AL499" s="250"/>
      <c r="AM499" s="250"/>
      <c r="AN499" s="250"/>
    </row>
    <row r="500" ht="15.75" customHeight="1">
      <c r="A500" s="250"/>
      <c r="B500" s="251">
        <f>IFERROR(__xludf.DUMMYFUNCTION("""COMPUTED_VALUE"""),492.0)</f>
        <v>492</v>
      </c>
      <c r="C500" s="252"/>
      <c r="D500" s="253" t="str">
        <f>IFERROR(__xludf.DUMMYFUNCTION("""COMPUTED_VALUE"""),"")</f>
        <v/>
      </c>
      <c r="E500" s="254">
        <f>IFERROR(__xludf.DUMMYFUNCTION("""COMPUTED_VALUE"""),0.0)</f>
        <v>0</v>
      </c>
      <c r="F500" s="255"/>
      <c r="G500" s="256"/>
      <c r="H500" s="252">
        <f>IFERROR(__xludf.DUMMYFUNCTION("""COMPUTED_VALUE"""),0.0)</f>
        <v>0</v>
      </c>
      <c r="I500" s="258"/>
      <c r="J500" s="258"/>
      <c r="K500" s="257">
        <f>IFERROR(__xludf.DUMMYFUNCTION("""COMPUTED_VALUE"""),0.0)</f>
        <v>0</v>
      </c>
      <c r="L500" s="258">
        <f>IFERROR(__xludf.DUMMYFUNCTION("""COMPUTED_VALUE"""),0.0)</f>
        <v>0</v>
      </c>
      <c r="M500" s="258">
        <f>IFERROR(__xludf.DUMMYFUNCTION("""COMPUTED_VALUE"""),0.0)</f>
        <v>0</v>
      </c>
      <c r="N500" s="258">
        <f>IFERROR(__xludf.DUMMYFUNCTION("""COMPUTED_VALUE"""),0.0)</f>
        <v>0</v>
      </c>
      <c r="O500" s="258">
        <f>IFERROR(__xludf.DUMMYFUNCTION("""COMPUTED_VALUE"""),0.0)</f>
        <v>0</v>
      </c>
      <c r="P500" s="258">
        <f>IFERROR(__xludf.DUMMYFUNCTION("""COMPUTED_VALUE"""),0.0)</f>
        <v>0</v>
      </c>
      <c r="Q500" s="258">
        <f>IFERROR(__xludf.DUMMYFUNCTION("""COMPUTED_VALUE"""),0.0)</f>
        <v>0</v>
      </c>
      <c r="R500" s="259"/>
      <c r="S500" s="260"/>
      <c r="T500" s="261"/>
      <c r="U500" s="262"/>
      <c r="V500" s="250"/>
      <c r="W500" s="250"/>
      <c r="X500" s="250"/>
      <c r="Y500" s="250"/>
      <c r="Z500" s="250"/>
      <c r="AA500" s="250"/>
      <c r="AB500" s="250"/>
      <c r="AC500" s="250"/>
      <c r="AD500" s="250"/>
      <c r="AE500" s="250"/>
      <c r="AF500" s="250"/>
      <c r="AG500" s="250"/>
      <c r="AH500" s="250"/>
      <c r="AI500" s="250"/>
      <c r="AJ500" s="250"/>
      <c r="AK500" s="250"/>
      <c r="AL500" s="250"/>
      <c r="AM500" s="250"/>
      <c r="AN500" s="250"/>
    </row>
    <row r="501" ht="15.75" customHeight="1">
      <c r="A501" s="264"/>
      <c r="B501" s="265"/>
      <c r="C501" s="266"/>
      <c r="D501" s="267"/>
      <c r="E501" s="267"/>
      <c r="F501" s="268"/>
      <c r="G501" s="268"/>
      <c r="H501" s="269"/>
      <c r="I501" s="270"/>
      <c r="J501" s="270"/>
      <c r="K501" s="270"/>
      <c r="L501" s="270"/>
      <c r="M501" s="270"/>
      <c r="N501" s="270"/>
      <c r="O501" s="270"/>
      <c r="P501" s="270"/>
      <c r="Q501" s="271"/>
      <c r="R501" s="272"/>
      <c r="S501" s="260"/>
      <c r="T501" s="261"/>
      <c r="U501" s="16"/>
      <c r="V501" s="264"/>
      <c r="W501" s="264"/>
      <c r="X501" s="264"/>
      <c r="Y501" s="264"/>
      <c r="Z501" s="264"/>
      <c r="AA501" s="264"/>
      <c r="AB501" s="264"/>
      <c r="AC501" s="264"/>
      <c r="AD501" s="264"/>
      <c r="AE501" s="264"/>
      <c r="AF501" s="264"/>
      <c r="AG501" s="264"/>
      <c r="AH501" s="264"/>
      <c r="AI501" s="264"/>
      <c r="AJ501" s="264"/>
      <c r="AK501" s="264"/>
      <c r="AL501" s="264"/>
      <c r="AM501" s="264"/>
      <c r="AN501" s="264"/>
    </row>
    <row r="502" ht="15.75" customHeight="1">
      <c r="A502" s="264"/>
      <c r="B502" s="273"/>
      <c r="C502" s="274"/>
      <c r="D502" s="274"/>
      <c r="E502" s="274"/>
      <c r="F502" s="275" t="str">
        <f>IFERROR(__xludf.DUMMYFUNCTION("""COMPUTED_VALUE"""),"TOTAL …......")</f>
        <v>TOTAL …......</v>
      </c>
      <c r="G502" s="275"/>
      <c r="H502" s="275"/>
      <c r="I502" s="275"/>
      <c r="J502" s="275"/>
      <c r="K502" s="276"/>
      <c r="L502" s="275"/>
      <c r="M502" s="276"/>
      <c r="N502" s="276"/>
      <c r="O502" s="276"/>
      <c r="P502" s="276"/>
      <c r="Q502" s="277"/>
      <c r="R502" s="278"/>
      <c r="S502" s="279"/>
      <c r="T502" s="261"/>
      <c r="U502" s="16"/>
      <c r="V502" s="264"/>
      <c r="W502" s="264"/>
      <c r="X502" s="264"/>
      <c r="Y502" s="264"/>
      <c r="Z502" s="264"/>
      <c r="AA502" s="264"/>
      <c r="AB502" s="264"/>
      <c r="AC502" s="264"/>
      <c r="AD502" s="264"/>
      <c r="AE502" s="264"/>
      <c r="AF502" s="264"/>
      <c r="AG502" s="264"/>
      <c r="AH502" s="264"/>
      <c r="AI502" s="264"/>
      <c r="AJ502" s="264"/>
      <c r="AK502" s="264"/>
      <c r="AL502" s="264"/>
      <c r="AM502" s="264"/>
      <c r="AN502" s="264"/>
    </row>
    <row r="503" ht="15.75" customHeight="1">
      <c r="A503" s="264"/>
      <c r="B503" s="280"/>
      <c r="C503" s="280"/>
      <c r="D503" s="264"/>
      <c r="E503" s="264"/>
      <c r="F503" s="264"/>
      <c r="G503" s="264"/>
      <c r="H503" s="264"/>
      <c r="I503" s="264"/>
      <c r="J503" s="264"/>
      <c r="K503" s="264"/>
      <c r="L503" s="264"/>
      <c r="M503" s="264"/>
      <c r="N503" s="264"/>
      <c r="O503" s="264"/>
      <c r="P503" s="264"/>
      <c r="Q503" s="264"/>
      <c r="R503" s="261"/>
      <c r="S503" s="261"/>
      <c r="T503" s="261"/>
      <c r="U503" s="16"/>
      <c r="V503" s="264"/>
      <c r="W503" s="264"/>
      <c r="X503" s="264"/>
      <c r="Y503" s="264"/>
      <c r="Z503" s="264"/>
      <c r="AA503" s="264"/>
      <c r="AB503" s="264"/>
      <c r="AC503" s="264"/>
      <c r="AD503" s="264"/>
      <c r="AE503" s="264"/>
      <c r="AF503" s="264"/>
      <c r="AG503" s="264"/>
      <c r="AH503" s="264"/>
      <c r="AI503" s="264"/>
      <c r="AJ503" s="264"/>
      <c r="AK503" s="264"/>
      <c r="AL503" s="264"/>
      <c r="AM503" s="264"/>
      <c r="AN503" s="264"/>
    </row>
    <row r="504" ht="15.75" customHeight="1">
      <c r="A504" s="264"/>
      <c r="B504" s="42"/>
      <c r="C504" s="280"/>
      <c r="D504" s="264"/>
      <c r="E504" s="264"/>
      <c r="F504" s="264"/>
      <c r="G504" s="264"/>
      <c r="H504" s="264"/>
      <c r="I504" s="281"/>
      <c r="J504" s="281"/>
      <c r="K504" s="264"/>
      <c r="L504" s="264"/>
      <c r="M504" s="264"/>
      <c r="N504" s="264"/>
      <c r="O504" s="264"/>
      <c r="P504" s="264"/>
      <c r="Q504" s="264"/>
      <c r="R504" s="261"/>
      <c r="S504" s="261"/>
      <c r="T504" s="261"/>
      <c r="U504" s="16"/>
      <c r="V504" s="264"/>
      <c r="W504" s="264"/>
      <c r="X504" s="264"/>
      <c r="Y504" s="264"/>
      <c r="Z504" s="264"/>
      <c r="AA504" s="264"/>
      <c r="AB504" s="264"/>
      <c r="AC504" s="264"/>
      <c r="AD504" s="264"/>
      <c r="AE504" s="264"/>
      <c r="AF504" s="264"/>
      <c r="AG504" s="264"/>
      <c r="AH504" s="264"/>
      <c r="AI504" s="264"/>
      <c r="AJ504" s="264"/>
      <c r="AK504" s="264"/>
      <c r="AL504" s="264"/>
      <c r="AM504" s="264"/>
      <c r="AN504" s="264"/>
    </row>
    <row r="505" ht="15.75" customHeight="1">
      <c r="A505" s="264"/>
      <c r="B505" s="42"/>
      <c r="C505" s="280"/>
      <c r="D505" s="264"/>
      <c r="E505" s="264"/>
      <c r="F505" s="264"/>
      <c r="G505" s="264"/>
      <c r="H505" s="264"/>
      <c r="I505" s="281"/>
      <c r="J505" s="281"/>
      <c r="K505" s="264"/>
      <c r="L505" s="264"/>
      <c r="M505" s="264"/>
      <c r="N505" s="264"/>
      <c r="O505" s="264"/>
      <c r="P505" s="264"/>
      <c r="Q505" s="264"/>
      <c r="R505" s="261"/>
      <c r="S505" s="261"/>
      <c r="T505" s="261"/>
      <c r="U505" s="16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4"/>
      <c r="AG505" s="264"/>
      <c r="AH505" s="264"/>
      <c r="AI505" s="264"/>
      <c r="AJ505" s="264"/>
      <c r="AK505" s="264"/>
      <c r="AL505" s="264"/>
      <c r="AM505" s="264"/>
      <c r="AN505" s="264"/>
    </row>
    <row r="506" ht="15.75" customHeight="1">
      <c r="A506" s="264"/>
      <c r="B506" s="42"/>
      <c r="C506" s="280"/>
      <c r="D506" s="264"/>
      <c r="E506" s="264"/>
      <c r="F506" s="264"/>
      <c r="G506" s="264"/>
      <c r="H506" s="264"/>
      <c r="I506" s="281"/>
      <c r="J506" s="281"/>
      <c r="K506" s="264"/>
      <c r="L506" s="264"/>
      <c r="M506" s="264"/>
      <c r="N506" s="264"/>
      <c r="O506" s="264"/>
      <c r="P506" s="264"/>
      <c r="Q506" s="264"/>
      <c r="R506" s="261"/>
      <c r="S506" s="261"/>
      <c r="T506" s="261"/>
      <c r="U506" s="16"/>
      <c r="V506" s="264"/>
      <c r="W506" s="264"/>
      <c r="X506" s="264"/>
      <c r="Y506" s="264"/>
      <c r="Z506" s="264"/>
      <c r="AA506" s="264"/>
      <c r="AB506" s="264"/>
      <c r="AC506" s="264"/>
      <c r="AD506" s="264"/>
      <c r="AE506" s="264"/>
      <c r="AF506" s="264"/>
      <c r="AG506" s="264"/>
      <c r="AH506" s="264"/>
      <c r="AI506" s="264"/>
      <c r="AJ506" s="264"/>
      <c r="AK506" s="264"/>
      <c r="AL506" s="264"/>
      <c r="AM506" s="264"/>
      <c r="AN506" s="264"/>
    </row>
    <row r="507" ht="15.75" customHeight="1">
      <c r="A507" s="282"/>
      <c r="B507" s="282"/>
      <c r="C507" s="282"/>
      <c r="D507" s="283"/>
      <c r="E507" s="283"/>
      <c r="F507" s="283"/>
      <c r="G507" s="282"/>
      <c r="H507" s="283"/>
      <c r="I507" s="282"/>
      <c r="J507" s="282"/>
      <c r="K507" s="282"/>
      <c r="L507" s="282"/>
      <c r="M507" s="282"/>
      <c r="N507" s="282"/>
      <c r="O507" s="282"/>
      <c r="P507" s="282"/>
      <c r="Q507" s="282"/>
      <c r="R507" s="261"/>
      <c r="S507" s="261"/>
      <c r="T507" s="261"/>
      <c r="U507" s="262"/>
      <c r="V507" s="282"/>
      <c r="W507" s="282"/>
      <c r="X507" s="282"/>
      <c r="Y507" s="282"/>
      <c r="Z507" s="282"/>
      <c r="AA507" s="282"/>
      <c r="AB507" s="282"/>
      <c r="AC507" s="282"/>
      <c r="AD507" s="282"/>
      <c r="AE507" s="282"/>
      <c r="AF507" s="282"/>
      <c r="AG507" s="282"/>
      <c r="AH507" s="282"/>
      <c r="AI507" s="282"/>
      <c r="AJ507" s="282"/>
      <c r="AK507" s="282"/>
      <c r="AL507" s="282"/>
      <c r="AM507" s="282"/>
      <c r="AN507" s="282"/>
    </row>
    <row r="508" ht="15.75" customHeight="1">
      <c r="A508" s="264"/>
      <c r="B508" s="284"/>
      <c r="C508" s="280"/>
      <c r="D508" s="264"/>
      <c r="E508" s="264"/>
      <c r="F508" s="264"/>
      <c r="G508" s="264"/>
      <c r="H508" s="264"/>
      <c r="I508" s="281"/>
      <c r="J508" s="281"/>
      <c r="K508" s="264"/>
      <c r="L508" s="264"/>
      <c r="M508" s="264"/>
      <c r="N508" s="264"/>
      <c r="O508" s="264"/>
      <c r="P508" s="264"/>
      <c r="Q508" s="264"/>
      <c r="R508" s="261"/>
      <c r="S508" s="261"/>
      <c r="T508" s="261"/>
      <c r="U508" s="16"/>
      <c r="V508" s="264"/>
      <c r="W508" s="264"/>
      <c r="X508" s="264"/>
      <c r="Y508" s="264"/>
      <c r="Z508" s="264"/>
      <c r="AA508" s="264"/>
      <c r="AB508" s="264"/>
      <c r="AC508" s="264"/>
      <c r="AD508" s="264"/>
      <c r="AE508" s="264"/>
      <c r="AF508" s="264"/>
      <c r="AG508" s="264"/>
      <c r="AH508" s="264"/>
      <c r="AI508" s="264"/>
      <c r="AJ508" s="264"/>
      <c r="AK508" s="264"/>
      <c r="AL508" s="264"/>
      <c r="AM508" s="264"/>
      <c r="AN508" s="264"/>
    </row>
    <row r="509" ht="24.75" customHeight="1">
      <c r="A509" s="261"/>
      <c r="B509" s="285" t="str">
        <f>IFERROR(__xludf.DUMMYFUNCTION("""COMPUTED_VALUE"""),"LINK DRI: PO (PENGADAAN MATERIAL DI LAPANGAN)-----&gt; MASUK SUMDA BAHAN")</f>
        <v>LINK DRI: PO (PENGADAAN MATERIAL DI LAPANGAN)-----&gt; MASUK SUMDA BAHAN</v>
      </c>
      <c r="C509" s="286"/>
      <c r="D509" s="287"/>
      <c r="E509" s="286"/>
      <c r="F509" s="286"/>
      <c r="G509" s="286"/>
      <c r="H509" s="286"/>
      <c r="I509" s="288"/>
      <c r="J509" s="288"/>
      <c r="K509" s="286"/>
      <c r="L509" s="288"/>
      <c r="M509" s="288"/>
      <c r="N509" s="288"/>
      <c r="O509" s="288"/>
      <c r="P509" s="288"/>
      <c r="Q509" s="286"/>
      <c r="R509" s="289"/>
      <c r="S509" s="289"/>
      <c r="T509" s="261"/>
      <c r="U509" s="290"/>
      <c r="V509" s="261"/>
      <c r="W509" s="261"/>
      <c r="X509" s="261"/>
      <c r="Y509" s="261"/>
      <c r="Z509" s="261"/>
      <c r="AA509" s="261"/>
      <c r="AB509" s="261"/>
      <c r="AC509" s="261"/>
      <c r="AD509" s="261"/>
      <c r="AE509" s="261"/>
      <c r="AF509" s="261"/>
      <c r="AG509" s="261"/>
      <c r="AH509" s="261"/>
      <c r="AI509" s="261"/>
      <c r="AJ509" s="261"/>
      <c r="AK509" s="261"/>
      <c r="AL509" s="261"/>
      <c r="AM509" s="261"/>
      <c r="AN509" s="261"/>
    </row>
    <row r="510" ht="21.0" customHeight="1">
      <c r="A510" s="264"/>
      <c r="B510" s="284" t="str">
        <f>IFERROR(__xludf.DUMMYFUNCTION("""COMPUTED_VALUE"""),"(SEL DIPROTECK !!!)")</f>
        <v>(SEL DIPROTECK !!!)</v>
      </c>
      <c r="C510" s="280"/>
      <c r="D510" s="264"/>
      <c r="E510" s="264"/>
      <c r="F510" s="264"/>
      <c r="G510" s="264"/>
      <c r="H510" s="264"/>
      <c r="I510" s="281"/>
      <c r="J510" s="281"/>
      <c r="K510" s="264"/>
      <c r="L510" s="264"/>
      <c r="M510" s="264"/>
      <c r="N510" s="264"/>
      <c r="O510" s="264"/>
      <c r="P510" s="264"/>
      <c r="Q510" s="264"/>
      <c r="R510" s="291"/>
      <c r="S510" s="291"/>
      <c r="T510" s="261"/>
      <c r="U510" s="16"/>
      <c r="V510" s="264"/>
      <c r="W510" s="264"/>
      <c r="X510" s="264"/>
      <c r="Y510" s="264"/>
      <c r="Z510" s="264"/>
      <c r="AA510" s="264"/>
      <c r="AB510" s="264"/>
      <c r="AC510" s="264"/>
      <c r="AD510" s="264"/>
      <c r="AE510" s="264"/>
      <c r="AF510" s="264"/>
      <c r="AG510" s="264"/>
      <c r="AH510" s="264"/>
      <c r="AI510" s="264"/>
      <c r="AJ510" s="264"/>
      <c r="AK510" s="264"/>
      <c r="AL510" s="264"/>
      <c r="AM510" s="264"/>
      <c r="AN510" s="264"/>
    </row>
    <row r="511" ht="15.75" customHeight="1">
      <c r="A511" s="16"/>
      <c r="B511" s="292" t="str">
        <f>IFERROR(__xludf.DUMMYFUNCTION("""COMPUTED_VALUE"""),"KONTROL PO MATERIAL")</f>
        <v>KONTROL PO MATERIAL</v>
      </c>
      <c r="C511" s="262"/>
      <c r="D511" s="16"/>
      <c r="E511" s="16"/>
      <c r="F511" s="16"/>
      <c r="G511" s="16"/>
      <c r="H511" s="16"/>
      <c r="I511" s="293"/>
      <c r="J511" s="293"/>
      <c r="K511" s="16"/>
      <c r="L511" s="294"/>
      <c r="M511" s="295"/>
      <c r="N511" s="295"/>
      <c r="O511" s="295"/>
      <c r="P511" s="295"/>
      <c r="Q511" s="294" t="str">
        <f>IFERROR(__xludf.DUMMYFUNCTION("""COMPUTED_VALUE""")," PERHATIAN :    
    &gt; ISI KOLOM WARNA KUNING
    &gt; SHEET TANDA KUNCI SEBAGAI REFERENSI
        (Tdk bisa diedit, tapi bisa dicoppy)
 ")</f>
        <v>PERHATIAN :    
    &gt; ISI KOLOM WARNA KUNING
    &gt; SHEET TANDA KUNCI SEBAGAI REFERENSI
        (Tdk bisa diedit, tapi bisa dicoppy)
</v>
      </c>
      <c r="R511" s="296"/>
      <c r="S511" s="294"/>
      <c r="T511" s="16"/>
      <c r="U511" s="290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264"/>
      <c r="AH511" s="264"/>
      <c r="AI511" s="264"/>
      <c r="AJ511" s="264"/>
      <c r="AK511" s="264"/>
      <c r="AL511" s="264"/>
      <c r="AM511" s="264"/>
      <c r="AN511" s="264"/>
    </row>
    <row r="512" ht="15.75" customHeight="1">
      <c r="A512" s="16"/>
      <c r="B512" s="43"/>
      <c r="C512" s="16"/>
      <c r="D512" s="16"/>
      <c r="E512" s="16"/>
      <c r="F512" s="16"/>
      <c r="G512" s="16"/>
      <c r="H512" s="16"/>
      <c r="I512" s="293"/>
      <c r="J512" s="293"/>
      <c r="K512" s="16"/>
      <c r="L512" s="16"/>
      <c r="M512" s="16"/>
      <c r="N512" s="16"/>
      <c r="O512" s="16"/>
      <c r="P512" s="16"/>
      <c r="Q512" s="16"/>
      <c r="R512" s="297"/>
      <c r="S512" s="297"/>
      <c r="T512" s="16"/>
      <c r="U512" s="290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264"/>
      <c r="AH512" s="264"/>
      <c r="AI512" s="264"/>
      <c r="AJ512" s="264"/>
      <c r="AK512" s="264"/>
      <c r="AL512" s="264"/>
      <c r="AM512" s="264"/>
      <c r="AN512" s="264"/>
    </row>
    <row r="513" ht="15.75" customHeight="1">
      <c r="A513" s="16"/>
      <c r="B513" s="298"/>
      <c r="C513" s="298"/>
      <c r="D513" s="299"/>
      <c r="E513" s="299"/>
      <c r="F513" s="300"/>
      <c r="G513" s="301" t="str">
        <f>IFERROR(__xludf.DUMMYFUNCTION("""COMPUTED_VALUE"""),"PIC: LOGISTIK DIVISI")</f>
        <v>PIC: LOGISTIK DIVISI</v>
      </c>
      <c r="H513" s="302" t="str">
        <f>IFERROR(__xludf.DUMMYFUNCTION("""COMPUTED_VALUE"""),"T O T A L")</f>
        <v>T O T A L</v>
      </c>
      <c r="I513" s="299"/>
      <c r="J513" s="299"/>
      <c r="K513" s="303"/>
      <c r="L513" s="304">
        <f>IFERROR(__xludf.DUMMYFUNCTION("""COMPUTED_VALUE"""),3.0242E7)</f>
        <v>30242000</v>
      </c>
      <c r="M513" s="303"/>
      <c r="N513" s="303"/>
      <c r="O513" s="303"/>
      <c r="P513" s="303"/>
      <c r="Q513" s="304">
        <f>IFERROR(__xludf.DUMMYFUNCTION("""COMPUTED_VALUE"""),4198000.0)</f>
        <v>4198000</v>
      </c>
      <c r="R513" s="299"/>
      <c r="S513" s="305"/>
      <c r="T513" s="16"/>
      <c r="U513" s="290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264"/>
      <c r="AH513" s="264"/>
      <c r="AI513" s="264"/>
      <c r="AJ513" s="264"/>
      <c r="AK513" s="264"/>
      <c r="AL513" s="264"/>
      <c r="AM513" s="264"/>
      <c r="AN513" s="264"/>
    </row>
    <row r="514" ht="15.75" customHeight="1">
      <c r="A514" s="16"/>
      <c r="B514" s="43"/>
      <c r="C514" s="16"/>
      <c r="D514" s="16"/>
      <c r="E514" s="16"/>
      <c r="F514" s="16"/>
      <c r="G514" s="16"/>
      <c r="H514" s="16"/>
      <c r="I514" s="293"/>
      <c r="J514" s="293"/>
      <c r="K514" s="16"/>
      <c r="L514" s="16"/>
      <c r="M514" s="16"/>
      <c r="N514" s="16"/>
      <c r="O514" s="16"/>
      <c r="P514" s="16"/>
      <c r="Q514" s="16"/>
      <c r="R514" s="295"/>
      <c r="S514" s="295"/>
      <c r="T514" s="16"/>
      <c r="U514" s="290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264"/>
      <c r="AH514" s="264"/>
      <c r="AI514" s="264"/>
      <c r="AJ514" s="264"/>
      <c r="AK514" s="264"/>
      <c r="AL514" s="264"/>
      <c r="AM514" s="264"/>
      <c r="AN514" s="264"/>
    </row>
    <row r="515" ht="15.75" customHeight="1">
      <c r="A515" s="16"/>
      <c r="B515" s="306" t="str">
        <f>IFERROR(__xludf.DUMMYFUNCTION("""COMPUTED_VALUE"""),"NOMOR")</f>
        <v>NOMOR</v>
      </c>
      <c r="C515" s="307" t="str">
        <f>IFERROR(__xludf.DUMMYFUNCTION("""COMPUTED_VALUE"""),"NOMOR")</f>
        <v>NOMOR</v>
      </c>
      <c r="D515" s="308" t="str">
        <f>IFERROR(__xludf.DUMMYFUNCTION("""COMPUTED_VALUE"""),"KODE")</f>
        <v>KODE</v>
      </c>
      <c r="E515" s="308" t="str">
        <f>IFERROR(__xludf.DUMMYFUNCTION("""COMPUTED_VALUE"""),"KODE")</f>
        <v>KODE</v>
      </c>
      <c r="F515" s="308" t="str">
        <f>IFERROR(__xludf.DUMMYFUNCTION("""COMPUTED_VALUE"""),"TANGGAL")</f>
        <v>TANGGAL</v>
      </c>
      <c r="G515" s="308" t="str">
        <f>IFERROR(__xludf.DUMMYFUNCTION("""COMPUTED_VALUE"""),"JENIS MATERIAL")</f>
        <v>JENIS MATERIAL</v>
      </c>
      <c r="H515" s="308" t="str">
        <f>IFERROR(__xludf.DUMMYFUNCTION("""COMPUTED_VALUE"""),"SATUAN")</f>
        <v>SATUAN</v>
      </c>
      <c r="I515" s="309" t="str">
        <f>IFERROR(__xludf.DUMMYFUNCTION("""COMPUTED_VALUE""")," HARSAT ")</f>
        <v>HARSAT</v>
      </c>
      <c r="J515" s="310" t="str">
        <f>IFERROR(__xludf.DUMMYFUNCTION("""COMPUTED_VALUE""")," KUANTITAS PO ")</f>
        <v>KUANTITAS PO</v>
      </c>
      <c r="K515" s="215"/>
      <c r="L515" s="308" t="str">
        <f>IFERROR(__xludf.DUMMYFUNCTION("""COMPUTED_VALUE"""),"JUMLAH HARGA PO")</f>
        <v>JUMLAH HARGA PO</v>
      </c>
      <c r="M515" s="311"/>
      <c r="N515" s="308" t="str">
        <f>IFERROR(__xludf.DUMMYFUNCTION("""COMPUTED_VALUE"""),"SUMDA (RAPL)")</f>
        <v>SUMDA (RAPL)</v>
      </c>
      <c r="O515" s="311"/>
      <c r="P515" s="308" t="str">
        <f>IFERROR(__xludf.DUMMYFUNCTION("""COMPUTED_VALUE"""),"SELISIH PO THD RAPL")</f>
        <v>SELISIH PO THD RAPL</v>
      </c>
      <c r="Q515" s="311"/>
      <c r="R515" s="312" t="str">
        <f>IFERROR(__xludf.DUMMYFUNCTION("""COMPUTED_VALUE""")," PEMBELIAN ")</f>
        <v>PEMBELIAN</v>
      </c>
      <c r="S515" s="313" t="str">
        <f>IFERROR(__xludf.DUMMYFUNCTION("""COMPUTED_VALUE""")," KETERANGAN ")</f>
        <v>KETERANGAN</v>
      </c>
      <c r="T515" s="16"/>
      <c r="U515" s="290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264"/>
      <c r="AH515" s="264"/>
      <c r="AI515" s="264"/>
      <c r="AJ515" s="264"/>
      <c r="AK515" s="264"/>
      <c r="AL515" s="264"/>
      <c r="AM515" s="264"/>
      <c r="AN515" s="264"/>
    </row>
    <row r="516" ht="15.75" customHeight="1">
      <c r="A516" s="16"/>
      <c r="B516" s="314" t="str">
        <f>IFERROR(__xludf.DUMMYFUNCTION("""COMPUTED_VALUE"""),"URUT PO")</f>
        <v>URUT PO</v>
      </c>
      <c r="C516" s="315" t="str">
        <f>IFERROR(__xludf.DUMMYFUNCTION("""COMPUTED_VALUE"""),"PO")</f>
        <v>PO</v>
      </c>
      <c r="D516" s="316" t="str">
        <f>IFERROR(__xludf.DUMMYFUNCTION("""COMPUTED_VALUE"""),"AKUN")</f>
        <v>AKUN</v>
      </c>
      <c r="E516" s="316" t="str">
        <f>IFERROR(__xludf.DUMMYFUNCTION("""COMPUTED_VALUE"""),"MATERIAL")</f>
        <v>MATERIAL</v>
      </c>
      <c r="F516" s="317"/>
      <c r="G516" s="317"/>
      <c r="H516" s="317"/>
      <c r="I516" s="318" t="str">
        <f>IFERROR(__xludf.DUMMYFUNCTION("""COMPUTED_VALUE""")," PO ")</f>
        <v>PO</v>
      </c>
      <c r="J516" s="318" t="str">
        <f>IFERROR(__xludf.DUMMYFUNCTION("""COMPUTED_VALUE""")," SAAT INI ")</f>
        <v>SAAT INI</v>
      </c>
      <c r="K516" s="319" t="str">
        <f>IFERROR(__xludf.DUMMYFUNCTION("""COMPUTED_VALUE"""),"AKUM (DIV+PROY)")</f>
        <v>AKUM (DIV+PROY)</v>
      </c>
      <c r="L516" s="316" t="str">
        <f>IFERROR(__xludf.DUMMYFUNCTION("""COMPUTED_VALUE"""),"SAAT INI")</f>
        <v>SAAT INI</v>
      </c>
      <c r="M516" s="316" t="str">
        <f>IFERROR(__xludf.DUMMYFUNCTION("""COMPUTED_VALUE"""),"AKUM (DIV+PROY)")</f>
        <v>AKUM (DIV+PROY)</v>
      </c>
      <c r="N516" s="320" t="str">
        <f>IFERROR(__xludf.DUMMYFUNCTION("""COMPUTED_VALUE"""),"KUANTITAS")</f>
        <v>KUANTITAS</v>
      </c>
      <c r="O516" s="316" t="str">
        <f>IFERROR(__xludf.DUMMYFUNCTION("""COMPUTED_VALUE"""),"JML HRG")</f>
        <v>JML HRG</v>
      </c>
      <c r="P516" s="316" t="str">
        <f>IFERROR(__xludf.DUMMYFUNCTION("""COMPUTED_VALUE"""),"KUANTITAS")</f>
        <v>KUANTITAS</v>
      </c>
      <c r="Q516" s="316" t="str">
        <f>IFERROR(__xludf.DUMMYFUNCTION("""COMPUTED_VALUE"""),"JML HRG")</f>
        <v>JML HRG</v>
      </c>
      <c r="R516" s="321"/>
      <c r="S516" s="322"/>
      <c r="T516" s="16"/>
      <c r="U516" s="290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264"/>
      <c r="AH516" s="264"/>
      <c r="AI516" s="264"/>
      <c r="AJ516" s="264"/>
      <c r="AK516" s="264"/>
      <c r="AL516" s="264"/>
      <c r="AM516" s="264"/>
      <c r="AN516" s="264"/>
    </row>
    <row r="517" ht="15.75" customHeight="1">
      <c r="A517" s="16"/>
      <c r="B517" s="323" t="str">
        <f>IFERROR(__xludf.DUMMYFUNCTION("""COMPUTED_VALUE"""),"A")</f>
        <v>A</v>
      </c>
      <c r="C517" s="324" t="str">
        <f>IFERROR(__xludf.DUMMYFUNCTION("""COMPUTED_VALUE"""),"B")</f>
        <v>B</v>
      </c>
      <c r="D517" s="325" t="str">
        <f>IFERROR(__xludf.DUMMYFUNCTION("""COMPUTED_VALUE"""),"C")</f>
        <v>C</v>
      </c>
      <c r="E517" s="325" t="str">
        <f>IFERROR(__xludf.DUMMYFUNCTION("""COMPUTED_VALUE"""),"C")</f>
        <v>C</v>
      </c>
      <c r="F517" s="325" t="str">
        <f>IFERROR(__xludf.DUMMYFUNCTION("""COMPUTED_VALUE"""),"D")</f>
        <v>D</v>
      </c>
      <c r="G517" s="325" t="str">
        <f>IFERROR(__xludf.DUMMYFUNCTION("""COMPUTED_VALUE"""),"E")</f>
        <v>E</v>
      </c>
      <c r="H517" s="325" t="str">
        <f>IFERROR(__xludf.DUMMYFUNCTION("""COMPUTED_VALUE"""),"F")</f>
        <v>F</v>
      </c>
      <c r="I517" s="326" t="str">
        <f>IFERROR(__xludf.DUMMYFUNCTION("""COMPUTED_VALUE""")," G ")</f>
        <v>G</v>
      </c>
      <c r="J517" s="326" t="str">
        <f>IFERROR(__xludf.DUMMYFUNCTION("""COMPUTED_VALUE""")," H ")</f>
        <v>H</v>
      </c>
      <c r="K517" s="327" t="str">
        <f>IFERROR(__xludf.DUMMYFUNCTION("""COMPUTED_VALUE"""),"I")</f>
        <v>I</v>
      </c>
      <c r="L517" s="325" t="str">
        <f>IFERROR(__xludf.DUMMYFUNCTION("""COMPUTED_VALUE"""),"J= H x G")</f>
        <v>J= H x G</v>
      </c>
      <c r="M517" s="325" t="str">
        <f>IFERROR(__xludf.DUMMYFUNCTION("""COMPUTED_VALUE"""),"K")</f>
        <v>K</v>
      </c>
      <c r="N517" s="325" t="str">
        <f>IFERROR(__xludf.DUMMYFUNCTION("""COMPUTED_VALUE"""),"L")</f>
        <v>L</v>
      </c>
      <c r="O517" s="325" t="str">
        <f>IFERROR(__xludf.DUMMYFUNCTION("""COMPUTED_VALUE"""),"M")</f>
        <v>M</v>
      </c>
      <c r="P517" s="325" t="str">
        <f>IFERROR(__xludf.DUMMYFUNCTION("""COMPUTED_VALUE"""),"N= L - I")</f>
        <v>N= L - I</v>
      </c>
      <c r="Q517" s="325" t="str">
        <f>IFERROR(__xludf.DUMMYFUNCTION("""COMPUTED_VALUE"""),"O= M - K")</f>
        <v>O= M - K</v>
      </c>
      <c r="R517" s="328" t="str">
        <f>IFERROR(__xludf.DUMMYFUNCTION("""COMPUTED_VALUE""")," P ")</f>
        <v>P</v>
      </c>
      <c r="S517" s="329" t="str">
        <f>IFERROR(__xludf.DUMMYFUNCTION("""COMPUTED_VALUE""")," Q ")</f>
        <v>Q</v>
      </c>
      <c r="T517" s="16"/>
      <c r="U517" s="290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264"/>
      <c r="AH517" s="264"/>
      <c r="AI517" s="264"/>
      <c r="AJ517" s="264"/>
      <c r="AK517" s="264"/>
      <c r="AL517" s="264"/>
      <c r="AM517" s="264"/>
      <c r="AN517" s="264"/>
    </row>
    <row r="518" ht="15.75" customHeight="1">
      <c r="A518" s="16"/>
      <c r="B518" s="330"/>
      <c r="C518" s="331"/>
      <c r="D518" s="332"/>
      <c r="E518" s="333"/>
      <c r="F518" s="334"/>
      <c r="G518" s="334"/>
      <c r="H518" s="334"/>
      <c r="I518" s="335"/>
      <c r="J518" s="335"/>
      <c r="K518" s="334"/>
      <c r="L518" s="334"/>
      <c r="M518" s="334"/>
      <c r="N518" s="334"/>
      <c r="O518" s="334"/>
      <c r="P518" s="334"/>
      <c r="Q518" s="334"/>
      <c r="R518" s="336"/>
      <c r="S518" s="337"/>
      <c r="T518" s="16"/>
      <c r="U518" s="290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264"/>
      <c r="AH518" s="264"/>
      <c r="AI518" s="264"/>
      <c r="AJ518" s="264"/>
      <c r="AK518" s="264"/>
      <c r="AL518" s="264"/>
      <c r="AM518" s="264"/>
      <c r="AN518" s="264"/>
    </row>
    <row r="519" ht="15.75" customHeight="1">
      <c r="A519" s="262"/>
      <c r="B519" s="338">
        <f>IFERROR(__xludf.DUMMYFUNCTION("""COMPUTED_VALUE"""),1000.0)</f>
        <v>1000</v>
      </c>
      <c r="C519" s="339" t="str">
        <f>IFERROR(__xludf.DUMMYFUNCTION("""COMPUTED_VALUE""")," PO5 ")</f>
        <v>PO5</v>
      </c>
      <c r="D519" s="340">
        <f>IFERROR(__xludf.DUMMYFUNCTION("""COMPUTED_VALUE"""),6.0)</f>
        <v>6</v>
      </c>
      <c r="E519" s="341" t="str">
        <f>IFERROR(__xludf.DUMMYFUNCTION("""COMPUTED_VALUE""")," M006 ")</f>
        <v>M006</v>
      </c>
      <c r="F519" s="342">
        <f>IFERROR(__xludf.DUMMYFUNCTION("""COMPUTED_VALUE"""),46160.0)</f>
        <v>46160</v>
      </c>
      <c r="G519" s="343" t="str">
        <f>IFERROR(__xludf.DUMMYFUNCTION("""COMPUTED_VALUE""")," Kayu 5/7 ")</f>
        <v>Kayu 5/7</v>
      </c>
      <c r="H519" s="344" t="str">
        <f>IFERROR(__xludf.DUMMYFUNCTION("""COMPUTED_VALUE""")," M3 ")</f>
        <v>M3</v>
      </c>
      <c r="I519" s="345">
        <f>IFERROR(__xludf.DUMMYFUNCTION("""COMPUTED_VALUE"""),2200000.0)</f>
        <v>2200000</v>
      </c>
      <c r="J519" s="345">
        <f>IFERROR(__xludf.DUMMYFUNCTION("""COMPUTED_VALUE"""),1.0)</f>
        <v>1</v>
      </c>
      <c r="K519" s="346">
        <f>IFERROR(__xludf.DUMMYFUNCTION("""COMPUTED_VALUE"""),1.0)</f>
        <v>1</v>
      </c>
      <c r="L519" s="347">
        <f>IFERROR(__xludf.DUMMYFUNCTION("""COMPUTED_VALUE"""),2200000.0)</f>
        <v>2200000</v>
      </c>
      <c r="M519" s="348">
        <f>IFERROR(__xludf.DUMMYFUNCTION("""COMPUTED_VALUE"""),2200000.0)</f>
        <v>2200000</v>
      </c>
      <c r="N519" s="348">
        <f>IFERROR(__xludf.DUMMYFUNCTION("""COMPUTED_VALUE"""),3.0)</f>
        <v>3</v>
      </c>
      <c r="O519" s="348">
        <f>IFERROR(__xludf.DUMMYFUNCTION("""COMPUTED_VALUE"""),6000000.0)</f>
        <v>6000000</v>
      </c>
      <c r="P519" s="348">
        <f>IFERROR(__xludf.DUMMYFUNCTION("""COMPUTED_VALUE"""),2.0)</f>
        <v>2</v>
      </c>
      <c r="Q519" s="348">
        <f>IFERROR(__xludf.DUMMYFUNCTION("""COMPUTED_VALUE"""),3800000.0)</f>
        <v>3800000</v>
      </c>
      <c r="R519" s="349" t="str">
        <f>IFERROR(__xludf.DUMMYFUNCTION("""COMPUTED_VALUE""")," Cash Proyek ")</f>
        <v>Cash Proyek</v>
      </c>
      <c r="S519" s="350" t="str">
        <f>IFERROR(__xludf.DUMMYFUNCTION("""COMPUTED_VALUE""")," X ")</f>
        <v>X</v>
      </c>
      <c r="T519" s="16"/>
      <c r="U519" s="290"/>
      <c r="V519" s="262"/>
      <c r="W519" s="262"/>
      <c r="X519" s="262"/>
      <c r="Y519" s="262"/>
      <c r="Z519" s="262"/>
      <c r="AA519" s="262"/>
      <c r="AB519" s="262"/>
      <c r="AC519" s="262"/>
      <c r="AD519" s="262"/>
      <c r="AE519" s="262"/>
      <c r="AF519" s="262"/>
      <c r="AG519" s="264"/>
      <c r="AH519" s="264"/>
      <c r="AI519" s="264"/>
      <c r="AJ519" s="264"/>
      <c r="AK519" s="264"/>
      <c r="AL519" s="264"/>
      <c r="AM519" s="264"/>
      <c r="AN519" s="264"/>
    </row>
    <row r="520" ht="15.75" customHeight="1">
      <c r="A520" s="262"/>
      <c r="B520" s="338">
        <f>IFERROR(__xludf.DUMMYFUNCTION("""COMPUTED_VALUE"""),1001.0)</f>
        <v>1001</v>
      </c>
      <c r="C520" s="339" t="str">
        <f>IFERROR(__xludf.DUMMYFUNCTION("""COMPUTED_VALUE""")," PO5 ")</f>
        <v>PO5</v>
      </c>
      <c r="D520" s="340">
        <f>IFERROR(__xludf.DUMMYFUNCTION("""COMPUTED_VALUE"""),8.0)</f>
        <v>8</v>
      </c>
      <c r="E520" s="341" t="str">
        <f>IFERROR(__xludf.DUMMYFUNCTION("""COMPUTED_VALUE""")," M008 ")</f>
        <v>M008</v>
      </c>
      <c r="F520" s="342">
        <f>IFERROR(__xludf.DUMMYFUNCTION("""COMPUTED_VALUE"""),46160.0)</f>
        <v>46160</v>
      </c>
      <c r="G520" s="343" t="str">
        <f>IFERROR(__xludf.DUMMYFUNCTION("""COMPUTED_VALUE""")," Paku ")</f>
        <v>Paku</v>
      </c>
      <c r="H520" s="344" t="str">
        <f>IFERROR(__xludf.DUMMYFUNCTION("""COMPUTED_VALUE""")," KG ")</f>
        <v>KG</v>
      </c>
      <c r="I520" s="345">
        <f>IFERROR(__xludf.DUMMYFUNCTION("""COMPUTED_VALUE"""),21000.0)</f>
        <v>21000</v>
      </c>
      <c r="J520" s="345">
        <f>IFERROR(__xludf.DUMMYFUNCTION("""COMPUTED_VALUE"""),2.0)</f>
        <v>2</v>
      </c>
      <c r="K520" s="346">
        <f>IFERROR(__xludf.DUMMYFUNCTION("""COMPUTED_VALUE"""),10.0)</f>
        <v>10</v>
      </c>
      <c r="L520" s="347">
        <f>IFERROR(__xludf.DUMMYFUNCTION("""COMPUTED_VALUE"""),42000.0)</f>
        <v>42000</v>
      </c>
      <c r="M520" s="348">
        <f>IFERROR(__xludf.DUMMYFUNCTION("""COMPUTED_VALUE"""),202000.0)</f>
        <v>202000</v>
      </c>
      <c r="N520" s="348">
        <f>IFERROR(__xludf.DUMMYFUNCTION("""COMPUTED_VALUE"""),30.0)</f>
        <v>30</v>
      </c>
      <c r="O520" s="348">
        <f>IFERROR(__xludf.DUMMYFUNCTION("""COMPUTED_VALUE"""),600000.0)</f>
        <v>600000</v>
      </c>
      <c r="P520" s="348">
        <f>IFERROR(__xludf.DUMMYFUNCTION("""COMPUTED_VALUE"""),20.0)</f>
        <v>20</v>
      </c>
      <c r="Q520" s="348">
        <f>IFERROR(__xludf.DUMMYFUNCTION("""COMPUTED_VALUE"""),398000.0)</f>
        <v>398000</v>
      </c>
      <c r="R520" s="349" t="str">
        <f>IFERROR(__xludf.DUMMYFUNCTION("""COMPUTED_VALUE""")," Cash Proyek ")</f>
        <v>Cash Proyek</v>
      </c>
      <c r="S520" s="350" t="str">
        <f>IFERROR(__xludf.DUMMYFUNCTION("""COMPUTED_VALUE""")," X ")</f>
        <v>X</v>
      </c>
      <c r="T520" s="262"/>
      <c r="U520" s="351"/>
      <c r="V520" s="262"/>
      <c r="W520" s="262"/>
      <c r="X520" s="262"/>
      <c r="Y520" s="262"/>
      <c r="Z520" s="262"/>
      <c r="AA520" s="262"/>
      <c r="AB520" s="262"/>
      <c r="AC520" s="262"/>
      <c r="AD520" s="262"/>
      <c r="AE520" s="262"/>
      <c r="AF520" s="262"/>
      <c r="AG520" s="264"/>
      <c r="AH520" s="264"/>
      <c r="AI520" s="264"/>
      <c r="AJ520" s="264"/>
      <c r="AK520" s="264"/>
      <c r="AL520" s="264"/>
      <c r="AM520" s="264"/>
      <c r="AN520" s="264"/>
    </row>
    <row r="521" ht="15.75" customHeight="1">
      <c r="A521" s="262"/>
      <c r="B521" s="338">
        <f>IFERROR(__xludf.DUMMYFUNCTION("""COMPUTED_VALUE"""),1002.0)</f>
        <v>1002</v>
      </c>
      <c r="C521" s="339" t="str">
        <f>IFERROR(__xludf.DUMMYFUNCTION("""COMPUTED_VALUE""")," PO6 ")</f>
        <v>PO6</v>
      </c>
      <c r="D521" s="340">
        <f>IFERROR(__xludf.DUMMYFUNCTION("""COMPUTED_VALUE"""),9.0)</f>
        <v>9</v>
      </c>
      <c r="E521" s="341" t="str">
        <f>IFERROR(__xludf.DUMMYFUNCTION("""COMPUTED_VALUE""")," M010 ")</f>
        <v>M010</v>
      </c>
      <c r="F521" s="342">
        <f>IFERROR(__xludf.DUMMYFUNCTION("""COMPUTED_VALUE"""),46162.0)</f>
        <v>46162</v>
      </c>
      <c r="G521" s="343" t="str">
        <f>IFERROR(__xludf.DUMMYFUNCTION("""COMPUTED_VALUE""")," Concrete Mixer Beton ")</f>
        <v>Concrete Mixer Beton</v>
      </c>
      <c r="H521" s="344" t="str">
        <f>IFERROR(__xludf.DUMMYFUNCTION("""COMPUTED_VALUE""")," UNIT ")</f>
        <v>UNIT</v>
      </c>
      <c r="I521" s="345">
        <f>IFERROR(__xludf.DUMMYFUNCTION("""COMPUTED_VALUE"""),2.5E7)</f>
        <v>25000000</v>
      </c>
      <c r="J521" s="345">
        <f>IFERROR(__xludf.DUMMYFUNCTION("""COMPUTED_VALUE"""),1.0)</f>
        <v>1</v>
      </c>
      <c r="K521" s="346">
        <f>IFERROR(__xludf.DUMMYFUNCTION("""COMPUTED_VALUE"""),1.0)</f>
        <v>1</v>
      </c>
      <c r="L521" s="347">
        <f>IFERROR(__xludf.DUMMYFUNCTION("""COMPUTED_VALUE"""),2.5E7)</f>
        <v>25000000</v>
      </c>
      <c r="M521" s="348">
        <f>IFERROR(__xludf.DUMMYFUNCTION("""COMPUTED_VALUE"""),2.5E7)</f>
        <v>25000000</v>
      </c>
      <c r="N521" s="348">
        <f>IFERROR(__xludf.DUMMYFUNCTION("""COMPUTED_VALUE"""),1.0)</f>
        <v>1</v>
      </c>
      <c r="O521" s="348">
        <f>IFERROR(__xludf.DUMMYFUNCTION("""COMPUTED_VALUE"""),2.5E7)</f>
        <v>25000000</v>
      </c>
      <c r="P521" s="348">
        <f>IFERROR(__xludf.DUMMYFUNCTION("""COMPUTED_VALUE"""),0.0)</f>
        <v>0</v>
      </c>
      <c r="Q521" s="348">
        <f>IFERROR(__xludf.DUMMYFUNCTION("""COMPUTED_VALUE"""),0.0)</f>
        <v>0</v>
      </c>
      <c r="R521" s="349" t="str">
        <f>IFERROR(__xludf.DUMMYFUNCTION("""COMPUTED_VALUE""")," Cash Proyek ")</f>
        <v>Cash Proyek</v>
      </c>
      <c r="S521" s="350"/>
      <c r="T521" s="262"/>
      <c r="U521" s="351"/>
      <c r="V521" s="262"/>
      <c r="W521" s="262"/>
      <c r="X521" s="262"/>
      <c r="Y521" s="262"/>
      <c r="Z521" s="262"/>
      <c r="AA521" s="262"/>
      <c r="AB521" s="262"/>
      <c r="AC521" s="262"/>
      <c r="AD521" s="262"/>
      <c r="AE521" s="262"/>
      <c r="AF521" s="262"/>
      <c r="AG521" s="264"/>
      <c r="AH521" s="264"/>
      <c r="AI521" s="264"/>
      <c r="AJ521" s="264"/>
      <c r="AK521" s="264"/>
      <c r="AL521" s="264"/>
      <c r="AM521" s="264"/>
      <c r="AN521" s="264"/>
    </row>
    <row r="522" ht="15.75" customHeight="1">
      <c r="A522" s="262"/>
      <c r="B522" s="338">
        <f>IFERROR(__xludf.DUMMYFUNCTION("""COMPUTED_VALUE"""),1003.0)</f>
        <v>1003</v>
      </c>
      <c r="C522" s="339" t="str">
        <f>IFERROR(__xludf.DUMMYFUNCTION("""COMPUTED_VALUE""")," PO6 ")</f>
        <v>PO6</v>
      </c>
      <c r="D522" s="340">
        <f>IFERROR(__xludf.DUMMYFUNCTION("""COMPUTED_VALUE"""),10.0)</f>
        <v>10</v>
      </c>
      <c r="E522" s="341" t="str">
        <f>IFERROR(__xludf.DUMMYFUNCTION("""COMPUTED_VALUE""")," M011 ")</f>
        <v>M011</v>
      </c>
      <c r="F522" s="342">
        <f>IFERROR(__xludf.DUMMYFUNCTION("""COMPUTED_VALUE"""),46162.0)</f>
        <v>46162</v>
      </c>
      <c r="G522" s="343" t="str">
        <f>IFERROR(__xludf.DUMMYFUNCTION("""COMPUTED_VALUE""")," Mesin gerinda tangan ")</f>
        <v>Mesin gerinda tangan</v>
      </c>
      <c r="H522" s="344" t="str">
        <f>IFERROR(__xludf.DUMMYFUNCTION("""COMPUTED_VALUE""")," UNIT ")</f>
        <v>UNIT</v>
      </c>
      <c r="I522" s="345">
        <f>IFERROR(__xludf.DUMMYFUNCTION("""COMPUTED_VALUE"""),500000.0)</f>
        <v>500000</v>
      </c>
      <c r="J522" s="345">
        <f>IFERROR(__xludf.DUMMYFUNCTION("""COMPUTED_VALUE"""),2.0)</f>
        <v>2</v>
      </c>
      <c r="K522" s="346">
        <f>IFERROR(__xludf.DUMMYFUNCTION("""COMPUTED_VALUE"""),2.0)</f>
        <v>2</v>
      </c>
      <c r="L522" s="347">
        <f>IFERROR(__xludf.DUMMYFUNCTION("""COMPUTED_VALUE"""),1000000.0)</f>
        <v>1000000</v>
      </c>
      <c r="M522" s="348">
        <f>IFERROR(__xludf.DUMMYFUNCTION("""COMPUTED_VALUE"""),1000000.0)</f>
        <v>1000000</v>
      </c>
      <c r="N522" s="348">
        <f>IFERROR(__xludf.DUMMYFUNCTION("""COMPUTED_VALUE"""),2.0)</f>
        <v>2</v>
      </c>
      <c r="O522" s="348">
        <f>IFERROR(__xludf.DUMMYFUNCTION("""COMPUTED_VALUE"""),1000000.0)</f>
        <v>1000000</v>
      </c>
      <c r="P522" s="348">
        <f>IFERROR(__xludf.DUMMYFUNCTION("""COMPUTED_VALUE"""),0.0)</f>
        <v>0</v>
      </c>
      <c r="Q522" s="348">
        <f>IFERROR(__xludf.DUMMYFUNCTION("""COMPUTED_VALUE"""),0.0)</f>
        <v>0</v>
      </c>
      <c r="R522" s="349" t="str">
        <f>IFERROR(__xludf.DUMMYFUNCTION("""COMPUTED_VALUE""")," Cash Proyek ")</f>
        <v>Cash Proyek</v>
      </c>
      <c r="S522" s="350"/>
      <c r="T522" s="262"/>
      <c r="U522" s="351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2"/>
      <c r="AG522" s="264"/>
      <c r="AH522" s="264"/>
      <c r="AI522" s="264"/>
      <c r="AJ522" s="264"/>
      <c r="AK522" s="264"/>
      <c r="AL522" s="264"/>
      <c r="AM522" s="264"/>
      <c r="AN522" s="264"/>
    </row>
    <row r="523" ht="15.75" customHeight="1">
      <c r="A523" s="262"/>
      <c r="B523" s="338">
        <f>IFERROR(__xludf.DUMMYFUNCTION("""COMPUTED_VALUE"""),1004.0)</f>
        <v>1004</v>
      </c>
      <c r="C523" s="339" t="str">
        <f>IFERROR(__xludf.DUMMYFUNCTION("""COMPUTED_VALUE""")," PO6 ")</f>
        <v>PO6</v>
      </c>
      <c r="D523" s="340">
        <f>IFERROR(__xludf.DUMMYFUNCTION("""COMPUTED_VALUE"""),11.0)</f>
        <v>11</v>
      </c>
      <c r="E523" s="341" t="str">
        <f>IFERROR(__xludf.DUMMYFUNCTION("""COMPUTED_VALUE""")," M012 ")</f>
        <v>M012</v>
      </c>
      <c r="F523" s="352">
        <f>IFERROR(__xludf.DUMMYFUNCTION("""COMPUTED_VALUE"""),46162.0)</f>
        <v>46162</v>
      </c>
      <c r="G523" s="343" t="str">
        <f>IFERROR(__xludf.DUMMYFUNCTION("""COMPUTED_VALUE""")," Rubber Cone ")</f>
        <v>Rubber Cone</v>
      </c>
      <c r="H523" s="344" t="str">
        <f>IFERROR(__xludf.DUMMYFUNCTION("""COMPUTED_VALUE""")," BUAH ")</f>
        <v>BUAH</v>
      </c>
      <c r="I523" s="353">
        <f>IFERROR(__xludf.DUMMYFUNCTION("""COMPUTED_VALUE"""),100000.0)</f>
        <v>100000</v>
      </c>
      <c r="J523" s="353">
        <f>IFERROR(__xludf.DUMMYFUNCTION("""COMPUTED_VALUE"""),20.0)</f>
        <v>20</v>
      </c>
      <c r="K523" s="346">
        <f>IFERROR(__xludf.DUMMYFUNCTION("""COMPUTED_VALUE"""),20.0)</f>
        <v>20</v>
      </c>
      <c r="L523" s="347">
        <f>IFERROR(__xludf.DUMMYFUNCTION("""COMPUTED_VALUE"""),2000000.0)</f>
        <v>2000000</v>
      </c>
      <c r="M523" s="348">
        <f>IFERROR(__xludf.DUMMYFUNCTION("""COMPUTED_VALUE"""),2000000.0)</f>
        <v>2000000</v>
      </c>
      <c r="N523" s="348">
        <f>IFERROR(__xludf.DUMMYFUNCTION("""COMPUTED_VALUE"""),20.0)</f>
        <v>20</v>
      </c>
      <c r="O523" s="348">
        <f>IFERROR(__xludf.DUMMYFUNCTION("""COMPUTED_VALUE"""),2000000.0)</f>
        <v>2000000</v>
      </c>
      <c r="P523" s="348">
        <f>IFERROR(__xludf.DUMMYFUNCTION("""COMPUTED_VALUE"""),0.0)</f>
        <v>0</v>
      </c>
      <c r="Q523" s="348">
        <f>IFERROR(__xludf.DUMMYFUNCTION("""COMPUTED_VALUE"""),0.0)</f>
        <v>0</v>
      </c>
      <c r="R523" s="349" t="str">
        <f>IFERROR(__xludf.DUMMYFUNCTION("""COMPUTED_VALUE""")," Cash Proyek ")</f>
        <v>Cash Proyek</v>
      </c>
      <c r="S523" s="350"/>
      <c r="T523" s="262"/>
      <c r="U523" s="351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2"/>
      <c r="AG523" s="264"/>
      <c r="AH523" s="264"/>
      <c r="AI523" s="264"/>
      <c r="AJ523" s="264"/>
      <c r="AK523" s="264"/>
      <c r="AL523" s="264"/>
      <c r="AM523" s="264"/>
      <c r="AN523" s="264"/>
    </row>
    <row r="524" ht="15.75" customHeight="1">
      <c r="A524" s="262"/>
      <c r="B524" s="338">
        <f>IFERROR(__xludf.DUMMYFUNCTION("""COMPUTED_VALUE"""),1005.0)</f>
        <v>1005</v>
      </c>
      <c r="C524" s="354"/>
      <c r="D524" s="340" t="str">
        <f>IFERROR(__xludf.DUMMYFUNCTION("""COMPUTED_VALUE"""),"")</f>
        <v/>
      </c>
      <c r="E524" s="341">
        <f>IFERROR(__xludf.DUMMYFUNCTION("""COMPUTED_VALUE"""),0.0)</f>
        <v>0</v>
      </c>
      <c r="F524" s="352"/>
      <c r="G524" s="343"/>
      <c r="H524" s="344">
        <f>IFERROR(__xludf.DUMMYFUNCTION("""COMPUTED_VALUE"""),0.0)</f>
        <v>0</v>
      </c>
      <c r="I524" s="353"/>
      <c r="J524" s="353"/>
      <c r="K524" s="346">
        <f>IFERROR(__xludf.DUMMYFUNCTION("""COMPUTED_VALUE"""),0.0)</f>
        <v>0</v>
      </c>
      <c r="L524" s="347">
        <f>IFERROR(__xludf.DUMMYFUNCTION("""COMPUTED_VALUE"""),0.0)</f>
        <v>0</v>
      </c>
      <c r="M524" s="348">
        <f>IFERROR(__xludf.DUMMYFUNCTION("""COMPUTED_VALUE"""),0.0)</f>
        <v>0</v>
      </c>
      <c r="N524" s="348">
        <f>IFERROR(__xludf.DUMMYFUNCTION("""COMPUTED_VALUE"""),0.0)</f>
        <v>0</v>
      </c>
      <c r="O524" s="348">
        <f>IFERROR(__xludf.DUMMYFUNCTION("""COMPUTED_VALUE"""),0.0)</f>
        <v>0</v>
      </c>
      <c r="P524" s="348">
        <f>IFERROR(__xludf.DUMMYFUNCTION("""COMPUTED_VALUE"""),0.0)</f>
        <v>0</v>
      </c>
      <c r="Q524" s="348">
        <f>IFERROR(__xludf.DUMMYFUNCTION("""COMPUTED_VALUE"""),0.0)</f>
        <v>0</v>
      </c>
      <c r="R524" s="349" t="str">
        <f>IFERROR(__xludf.DUMMYFUNCTION("""COMPUTED_VALUE""")," Cash Proyek ")</f>
        <v>Cash Proyek</v>
      </c>
      <c r="S524" s="350"/>
      <c r="T524" s="262"/>
      <c r="U524" s="351"/>
      <c r="V524" s="262"/>
      <c r="W524" s="262"/>
      <c r="X524" s="262"/>
      <c r="Y524" s="262"/>
      <c r="Z524" s="262"/>
      <c r="AA524" s="262"/>
      <c r="AB524" s="262"/>
      <c r="AC524" s="262"/>
      <c r="AD524" s="262"/>
      <c r="AE524" s="262"/>
      <c r="AF524" s="262"/>
      <c r="AG524" s="264"/>
      <c r="AH524" s="264"/>
      <c r="AI524" s="264"/>
      <c r="AJ524" s="264"/>
      <c r="AK524" s="264"/>
      <c r="AL524" s="264"/>
      <c r="AM524" s="264"/>
      <c r="AN524" s="264"/>
    </row>
    <row r="525" ht="15.75" customHeight="1">
      <c r="A525" s="262"/>
      <c r="B525" s="338">
        <f>IFERROR(__xludf.DUMMYFUNCTION("""COMPUTED_VALUE"""),1006.0)</f>
        <v>1006</v>
      </c>
      <c r="C525" s="354"/>
      <c r="D525" s="340" t="str">
        <f>IFERROR(__xludf.DUMMYFUNCTION("""COMPUTED_VALUE"""),"")</f>
        <v/>
      </c>
      <c r="E525" s="341">
        <f>IFERROR(__xludf.DUMMYFUNCTION("""COMPUTED_VALUE"""),0.0)</f>
        <v>0</v>
      </c>
      <c r="F525" s="352"/>
      <c r="G525" s="343"/>
      <c r="H525" s="344">
        <f>IFERROR(__xludf.DUMMYFUNCTION("""COMPUTED_VALUE"""),0.0)</f>
        <v>0</v>
      </c>
      <c r="I525" s="353"/>
      <c r="J525" s="353"/>
      <c r="K525" s="346">
        <f>IFERROR(__xludf.DUMMYFUNCTION("""COMPUTED_VALUE"""),0.0)</f>
        <v>0</v>
      </c>
      <c r="L525" s="347">
        <f>IFERROR(__xludf.DUMMYFUNCTION("""COMPUTED_VALUE"""),0.0)</f>
        <v>0</v>
      </c>
      <c r="M525" s="348">
        <f>IFERROR(__xludf.DUMMYFUNCTION("""COMPUTED_VALUE"""),0.0)</f>
        <v>0</v>
      </c>
      <c r="N525" s="348">
        <f>IFERROR(__xludf.DUMMYFUNCTION("""COMPUTED_VALUE"""),0.0)</f>
        <v>0</v>
      </c>
      <c r="O525" s="348">
        <f>IFERROR(__xludf.DUMMYFUNCTION("""COMPUTED_VALUE"""),0.0)</f>
        <v>0</v>
      </c>
      <c r="P525" s="348">
        <f>IFERROR(__xludf.DUMMYFUNCTION("""COMPUTED_VALUE"""),0.0)</f>
        <v>0</v>
      </c>
      <c r="Q525" s="348">
        <f>IFERROR(__xludf.DUMMYFUNCTION("""COMPUTED_VALUE"""),0.0)</f>
        <v>0</v>
      </c>
      <c r="R525" s="349" t="str">
        <f>IFERROR(__xludf.DUMMYFUNCTION("""COMPUTED_VALUE""")," Cash Proyek ")</f>
        <v>Cash Proyek</v>
      </c>
      <c r="S525" s="350"/>
      <c r="T525" s="262"/>
      <c r="U525" s="351"/>
      <c r="V525" s="262"/>
      <c r="W525" s="262"/>
      <c r="X525" s="262"/>
      <c r="Y525" s="262"/>
      <c r="Z525" s="262"/>
      <c r="AA525" s="262"/>
      <c r="AB525" s="262"/>
      <c r="AC525" s="262"/>
      <c r="AD525" s="262"/>
      <c r="AE525" s="262"/>
      <c r="AF525" s="262"/>
      <c r="AG525" s="264"/>
      <c r="AH525" s="264"/>
      <c r="AI525" s="264"/>
      <c r="AJ525" s="264"/>
      <c r="AK525" s="264"/>
      <c r="AL525" s="264"/>
      <c r="AM525" s="264"/>
      <c r="AN525" s="264"/>
    </row>
    <row r="526" ht="15.75" customHeight="1">
      <c r="A526" s="262"/>
      <c r="B526" s="338">
        <f>IFERROR(__xludf.DUMMYFUNCTION("""COMPUTED_VALUE"""),1007.0)</f>
        <v>1007</v>
      </c>
      <c r="C526" s="354"/>
      <c r="D526" s="340" t="str">
        <f>IFERROR(__xludf.DUMMYFUNCTION("""COMPUTED_VALUE"""),"")</f>
        <v/>
      </c>
      <c r="E526" s="341">
        <f>IFERROR(__xludf.DUMMYFUNCTION("""COMPUTED_VALUE"""),0.0)</f>
        <v>0</v>
      </c>
      <c r="F526" s="352"/>
      <c r="G526" s="343"/>
      <c r="H526" s="344">
        <f>IFERROR(__xludf.DUMMYFUNCTION("""COMPUTED_VALUE"""),0.0)</f>
        <v>0</v>
      </c>
      <c r="I526" s="353"/>
      <c r="J526" s="353"/>
      <c r="K526" s="346">
        <f>IFERROR(__xludf.DUMMYFUNCTION("""COMPUTED_VALUE"""),0.0)</f>
        <v>0</v>
      </c>
      <c r="L526" s="347">
        <f>IFERROR(__xludf.DUMMYFUNCTION("""COMPUTED_VALUE"""),0.0)</f>
        <v>0</v>
      </c>
      <c r="M526" s="348">
        <f>IFERROR(__xludf.DUMMYFUNCTION("""COMPUTED_VALUE"""),0.0)</f>
        <v>0</v>
      </c>
      <c r="N526" s="348">
        <f>IFERROR(__xludf.DUMMYFUNCTION("""COMPUTED_VALUE"""),0.0)</f>
        <v>0</v>
      </c>
      <c r="O526" s="348">
        <f>IFERROR(__xludf.DUMMYFUNCTION("""COMPUTED_VALUE"""),0.0)</f>
        <v>0</v>
      </c>
      <c r="P526" s="348">
        <f>IFERROR(__xludf.DUMMYFUNCTION("""COMPUTED_VALUE"""),0.0)</f>
        <v>0</v>
      </c>
      <c r="Q526" s="348">
        <f>IFERROR(__xludf.DUMMYFUNCTION("""COMPUTED_VALUE"""),0.0)</f>
        <v>0</v>
      </c>
      <c r="R526" s="355" t="str">
        <f>IFERROR(__xludf.DUMMYFUNCTION("""COMPUTED_VALUE""")," Cash Proyek ")</f>
        <v>Cash Proyek</v>
      </c>
      <c r="S526" s="350"/>
      <c r="T526" s="262"/>
      <c r="U526" s="351"/>
      <c r="V526" s="262"/>
      <c r="W526" s="262"/>
      <c r="X526" s="262"/>
      <c r="Y526" s="262"/>
      <c r="Z526" s="262"/>
      <c r="AA526" s="262"/>
      <c r="AB526" s="262"/>
      <c r="AC526" s="262"/>
      <c r="AD526" s="262"/>
      <c r="AE526" s="262"/>
      <c r="AF526" s="262"/>
      <c r="AG526" s="264"/>
      <c r="AH526" s="264"/>
      <c r="AI526" s="264"/>
      <c r="AJ526" s="264"/>
      <c r="AK526" s="264"/>
      <c r="AL526" s="264"/>
      <c r="AM526" s="264"/>
      <c r="AN526" s="264"/>
    </row>
    <row r="527" ht="15.75" customHeight="1">
      <c r="A527" s="262"/>
      <c r="B527" s="338">
        <f>IFERROR(__xludf.DUMMYFUNCTION("""COMPUTED_VALUE"""),1008.0)</f>
        <v>1008</v>
      </c>
      <c r="C527" s="354"/>
      <c r="D527" s="340" t="str">
        <f>IFERROR(__xludf.DUMMYFUNCTION("""COMPUTED_VALUE"""),"")</f>
        <v/>
      </c>
      <c r="E527" s="341">
        <f>IFERROR(__xludf.DUMMYFUNCTION("""COMPUTED_VALUE"""),0.0)</f>
        <v>0</v>
      </c>
      <c r="F527" s="352"/>
      <c r="G527" s="343"/>
      <c r="H527" s="344">
        <f>IFERROR(__xludf.DUMMYFUNCTION("""COMPUTED_VALUE"""),0.0)</f>
        <v>0</v>
      </c>
      <c r="I527" s="353"/>
      <c r="J527" s="353"/>
      <c r="K527" s="346">
        <f>IFERROR(__xludf.DUMMYFUNCTION("""COMPUTED_VALUE"""),0.0)</f>
        <v>0</v>
      </c>
      <c r="L527" s="347">
        <f>IFERROR(__xludf.DUMMYFUNCTION("""COMPUTED_VALUE"""),0.0)</f>
        <v>0</v>
      </c>
      <c r="M527" s="348">
        <f>IFERROR(__xludf.DUMMYFUNCTION("""COMPUTED_VALUE"""),0.0)</f>
        <v>0</v>
      </c>
      <c r="N527" s="348">
        <f>IFERROR(__xludf.DUMMYFUNCTION("""COMPUTED_VALUE"""),0.0)</f>
        <v>0</v>
      </c>
      <c r="O527" s="348">
        <f>IFERROR(__xludf.DUMMYFUNCTION("""COMPUTED_VALUE"""),0.0)</f>
        <v>0</v>
      </c>
      <c r="P527" s="348">
        <f>IFERROR(__xludf.DUMMYFUNCTION("""COMPUTED_VALUE"""),0.0)</f>
        <v>0</v>
      </c>
      <c r="Q527" s="348">
        <f>IFERROR(__xludf.DUMMYFUNCTION("""COMPUTED_VALUE"""),0.0)</f>
        <v>0</v>
      </c>
      <c r="R527" s="356" t="str">
        <f>IFERROR(__xludf.DUMMYFUNCTION("""COMPUTED_VALUE""")," Cash Proyek ")</f>
        <v>Cash Proyek</v>
      </c>
      <c r="S527" s="350"/>
      <c r="T527" s="262"/>
      <c r="U527" s="351"/>
      <c r="V527" s="262"/>
      <c r="W527" s="262"/>
      <c r="X527" s="262"/>
      <c r="Y527" s="262"/>
      <c r="Z527" s="262"/>
      <c r="AA527" s="262"/>
      <c r="AB527" s="262"/>
      <c r="AC527" s="262"/>
      <c r="AD527" s="262"/>
      <c r="AE527" s="262"/>
      <c r="AF527" s="262"/>
      <c r="AG527" s="264"/>
      <c r="AH527" s="264"/>
      <c r="AI527" s="264"/>
      <c r="AJ527" s="264"/>
      <c r="AK527" s="264"/>
      <c r="AL527" s="264"/>
      <c r="AM527" s="264"/>
      <c r="AN527" s="264"/>
    </row>
    <row r="528" ht="15.75" customHeight="1">
      <c r="A528" s="262"/>
      <c r="B528" s="338">
        <f>IFERROR(__xludf.DUMMYFUNCTION("""COMPUTED_VALUE"""),1009.0)</f>
        <v>1009</v>
      </c>
      <c r="C528" s="354"/>
      <c r="D528" s="340" t="str">
        <f>IFERROR(__xludf.DUMMYFUNCTION("""COMPUTED_VALUE"""),"")</f>
        <v/>
      </c>
      <c r="E528" s="341">
        <f>IFERROR(__xludf.DUMMYFUNCTION("""COMPUTED_VALUE"""),0.0)</f>
        <v>0</v>
      </c>
      <c r="F528" s="352"/>
      <c r="G528" s="343"/>
      <c r="H528" s="344">
        <f>IFERROR(__xludf.DUMMYFUNCTION("""COMPUTED_VALUE"""),0.0)</f>
        <v>0</v>
      </c>
      <c r="I528" s="353"/>
      <c r="J528" s="353"/>
      <c r="K528" s="346">
        <f>IFERROR(__xludf.DUMMYFUNCTION("""COMPUTED_VALUE"""),0.0)</f>
        <v>0</v>
      </c>
      <c r="L528" s="347">
        <f>IFERROR(__xludf.DUMMYFUNCTION("""COMPUTED_VALUE"""),0.0)</f>
        <v>0</v>
      </c>
      <c r="M528" s="348">
        <f>IFERROR(__xludf.DUMMYFUNCTION("""COMPUTED_VALUE"""),0.0)</f>
        <v>0</v>
      </c>
      <c r="N528" s="348">
        <f>IFERROR(__xludf.DUMMYFUNCTION("""COMPUTED_VALUE"""),0.0)</f>
        <v>0</v>
      </c>
      <c r="O528" s="348">
        <f>IFERROR(__xludf.DUMMYFUNCTION("""COMPUTED_VALUE"""),0.0)</f>
        <v>0</v>
      </c>
      <c r="P528" s="348">
        <f>IFERROR(__xludf.DUMMYFUNCTION("""COMPUTED_VALUE"""),0.0)</f>
        <v>0</v>
      </c>
      <c r="Q528" s="348">
        <f>IFERROR(__xludf.DUMMYFUNCTION("""COMPUTED_VALUE"""),0.0)</f>
        <v>0</v>
      </c>
      <c r="R528" s="355" t="str">
        <f>IFERROR(__xludf.DUMMYFUNCTION("""COMPUTED_VALUE""")," Cash Proyek ")</f>
        <v>Cash Proyek</v>
      </c>
      <c r="S528" s="350"/>
      <c r="T528" s="262"/>
      <c r="U528" s="351"/>
      <c r="V528" s="262"/>
      <c r="W528" s="262"/>
      <c r="X528" s="262"/>
      <c r="Y528" s="262"/>
      <c r="Z528" s="262"/>
      <c r="AA528" s="262"/>
      <c r="AB528" s="262"/>
      <c r="AC528" s="262"/>
      <c r="AD528" s="262"/>
      <c r="AE528" s="262"/>
      <c r="AF528" s="262"/>
      <c r="AG528" s="264"/>
      <c r="AH528" s="264"/>
      <c r="AI528" s="264"/>
      <c r="AJ528" s="264"/>
      <c r="AK528" s="264"/>
      <c r="AL528" s="264"/>
      <c r="AM528" s="264"/>
      <c r="AN528" s="264"/>
    </row>
    <row r="529" ht="15.75" customHeight="1">
      <c r="A529" s="262"/>
      <c r="B529" s="338">
        <f>IFERROR(__xludf.DUMMYFUNCTION("""COMPUTED_VALUE"""),1010.0)</f>
        <v>1010</v>
      </c>
      <c r="C529" s="354"/>
      <c r="D529" s="340" t="str">
        <f>IFERROR(__xludf.DUMMYFUNCTION("""COMPUTED_VALUE"""),"")</f>
        <v/>
      </c>
      <c r="E529" s="341">
        <f>IFERROR(__xludf.DUMMYFUNCTION("""COMPUTED_VALUE"""),0.0)</f>
        <v>0</v>
      </c>
      <c r="F529" s="352"/>
      <c r="G529" s="343"/>
      <c r="H529" s="344">
        <f>IFERROR(__xludf.DUMMYFUNCTION("""COMPUTED_VALUE"""),0.0)</f>
        <v>0</v>
      </c>
      <c r="I529" s="353"/>
      <c r="J529" s="353"/>
      <c r="K529" s="346">
        <f>IFERROR(__xludf.DUMMYFUNCTION("""COMPUTED_VALUE"""),0.0)</f>
        <v>0</v>
      </c>
      <c r="L529" s="347">
        <f>IFERROR(__xludf.DUMMYFUNCTION("""COMPUTED_VALUE"""),0.0)</f>
        <v>0</v>
      </c>
      <c r="M529" s="348">
        <f>IFERROR(__xludf.DUMMYFUNCTION("""COMPUTED_VALUE"""),0.0)</f>
        <v>0</v>
      </c>
      <c r="N529" s="348">
        <f>IFERROR(__xludf.DUMMYFUNCTION("""COMPUTED_VALUE"""),0.0)</f>
        <v>0</v>
      </c>
      <c r="O529" s="348">
        <f>IFERROR(__xludf.DUMMYFUNCTION("""COMPUTED_VALUE"""),0.0)</f>
        <v>0</v>
      </c>
      <c r="P529" s="348">
        <f>IFERROR(__xludf.DUMMYFUNCTION("""COMPUTED_VALUE"""),0.0)</f>
        <v>0</v>
      </c>
      <c r="Q529" s="348">
        <f>IFERROR(__xludf.DUMMYFUNCTION("""COMPUTED_VALUE"""),0.0)</f>
        <v>0</v>
      </c>
      <c r="R529" s="355" t="str">
        <f>IFERROR(__xludf.DUMMYFUNCTION("""COMPUTED_VALUE""")," Cash Proyek ")</f>
        <v>Cash Proyek</v>
      </c>
      <c r="S529" s="350"/>
      <c r="T529" s="262"/>
      <c r="U529" s="351"/>
      <c r="V529" s="262"/>
      <c r="W529" s="262"/>
      <c r="X529" s="262"/>
      <c r="Y529" s="262"/>
      <c r="Z529" s="262"/>
      <c r="AA529" s="262"/>
      <c r="AB529" s="262"/>
      <c r="AC529" s="262"/>
      <c r="AD529" s="262"/>
      <c r="AE529" s="262"/>
      <c r="AF529" s="262"/>
      <c r="AG529" s="264"/>
      <c r="AH529" s="264"/>
      <c r="AI529" s="264"/>
      <c r="AJ529" s="264"/>
      <c r="AK529" s="264"/>
      <c r="AL529" s="264"/>
      <c r="AM529" s="264"/>
      <c r="AN529" s="264"/>
    </row>
    <row r="530" ht="15.75" customHeight="1">
      <c r="A530" s="262"/>
      <c r="B530" s="338">
        <f>IFERROR(__xludf.DUMMYFUNCTION("""COMPUTED_VALUE"""),1011.0)</f>
        <v>1011</v>
      </c>
      <c r="C530" s="354"/>
      <c r="D530" s="340" t="str">
        <f>IFERROR(__xludf.DUMMYFUNCTION("""COMPUTED_VALUE"""),"")</f>
        <v/>
      </c>
      <c r="E530" s="341">
        <f>IFERROR(__xludf.DUMMYFUNCTION("""COMPUTED_VALUE"""),0.0)</f>
        <v>0</v>
      </c>
      <c r="F530" s="352"/>
      <c r="G530" s="343"/>
      <c r="H530" s="344">
        <f>IFERROR(__xludf.DUMMYFUNCTION("""COMPUTED_VALUE"""),0.0)</f>
        <v>0</v>
      </c>
      <c r="I530" s="353"/>
      <c r="J530" s="353"/>
      <c r="K530" s="346">
        <f>IFERROR(__xludf.DUMMYFUNCTION("""COMPUTED_VALUE"""),0.0)</f>
        <v>0</v>
      </c>
      <c r="L530" s="347">
        <f>IFERROR(__xludf.DUMMYFUNCTION("""COMPUTED_VALUE"""),0.0)</f>
        <v>0</v>
      </c>
      <c r="M530" s="348">
        <f>IFERROR(__xludf.DUMMYFUNCTION("""COMPUTED_VALUE"""),0.0)</f>
        <v>0</v>
      </c>
      <c r="N530" s="348">
        <f>IFERROR(__xludf.DUMMYFUNCTION("""COMPUTED_VALUE"""),0.0)</f>
        <v>0</v>
      </c>
      <c r="O530" s="348">
        <f>IFERROR(__xludf.DUMMYFUNCTION("""COMPUTED_VALUE"""),0.0)</f>
        <v>0</v>
      </c>
      <c r="P530" s="348">
        <f>IFERROR(__xludf.DUMMYFUNCTION("""COMPUTED_VALUE"""),0.0)</f>
        <v>0</v>
      </c>
      <c r="Q530" s="348">
        <f>IFERROR(__xludf.DUMMYFUNCTION("""COMPUTED_VALUE"""),0.0)</f>
        <v>0</v>
      </c>
      <c r="R530" s="355" t="str">
        <f>IFERROR(__xludf.DUMMYFUNCTION("""COMPUTED_VALUE""")," Cash Proyek ")</f>
        <v>Cash Proyek</v>
      </c>
      <c r="S530" s="350"/>
      <c r="T530" s="262"/>
      <c r="U530" s="351"/>
      <c r="V530" s="262"/>
      <c r="W530" s="262"/>
      <c r="X530" s="262"/>
      <c r="Y530" s="262"/>
      <c r="Z530" s="262"/>
      <c r="AA530" s="262"/>
      <c r="AB530" s="262"/>
      <c r="AC530" s="262"/>
      <c r="AD530" s="262"/>
      <c r="AE530" s="262"/>
      <c r="AF530" s="262"/>
      <c r="AG530" s="264"/>
      <c r="AH530" s="264"/>
      <c r="AI530" s="264"/>
      <c r="AJ530" s="264"/>
      <c r="AK530" s="264"/>
      <c r="AL530" s="264"/>
      <c r="AM530" s="264"/>
      <c r="AN530" s="264"/>
    </row>
    <row r="531" ht="15.75" customHeight="1">
      <c r="A531" s="262"/>
      <c r="B531" s="338">
        <f>IFERROR(__xludf.DUMMYFUNCTION("""COMPUTED_VALUE"""),1012.0)</f>
        <v>1012</v>
      </c>
      <c r="C531" s="354"/>
      <c r="D531" s="340" t="str">
        <f>IFERROR(__xludf.DUMMYFUNCTION("""COMPUTED_VALUE"""),"")</f>
        <v/>
      </c>
      <c r="E531" s="341">
        <f>IFERROR(__xludf.DUMMYFUNCTION("""COMPUTED_VALUE"""),0.0)</f>
        <v>0</v>
      </c>
      <c r="F531" s="352"/>
      <c r="G531" s="343"/>
      <c r="H531" s="344">
        <f>IFERROR(__xludf.DUMMYFUNCTION("""COMPUTED_VALUE"""),0.0)</f>
        <v>0</v>
      </c>
      <c r="I531" s="353"/>
      <c r="J531" s="353"/>
      <c r="K531" s="346">
        <f>IFERROR(__xludf.DUMMYFUNCTION("""COMPUTED_VALUE"""),0.0)</f>
        <v>0</v>
      </c>
      <c r="L531" s="347">
        <f>IFERROR(__xludf.DUMMYFUNCTION("""COMPUTED_VALUE"""),0.0)</f>
        <v>0</v>
      </c>
      <c r="M531" s="348">
        <f>IFERROR(__xludf.DUMMYFUNCTION("""COMPUTED_VALUE"""),0.0)</f>
        <v>0</v>
      </c>
      <c r="N531" s="348">
        <f>IFERROR(__xludf.DUMMYFUNCTION("""COMPUTED_VALUE"""),0.0)</f>
        <v>0</v>
      </c>
      <c r="O531" s="348">
        <f>IFERROR(__xludf.DUMMYFUNCTION("""COMPUTED_VALUE"""),0.0)</f>
        <v>0</v>
      </c>
      <c r="P531" s="348">
        <f>IFERROR(__xludf.DUMMYFUNCTION("""COMPUTED_VALUE"""),0.0)</f>
        <v>0</v>
      </c>
      <c r="Q531" s="348">
        <f>IFERROR(__xludf.DUMMYFUNCTION("""COMPUTED_VALUE"""),0.0)</f>
        <v>0</v>
      </c>
      <c r="R531" s="355" t="str">
        <f>IFERROR(__xludf.DUMMYFUNCTION("""COMPUTED_VALUE""")," Cash Proyek ")</f>
        <v>Cash Proyek</v>
      </c>
      <c r="S531" s="350"/>
      <c r="T531" s="262"/>
      <c r="U531" s="351"/>
      <c r="V531" s="262"/>
      <c r="W531" s="262"/>
      <c r="X531" s="262"/>
      <c r="Y531" s="262"/>
      <c r="Z531" s="262"/>
      <c r="AA531" s="262"/>
      <c r="AB531" s="262"/>
      <c r="AC531" s="262"/>
      <c r="AD531" s="262"/>
      <c r="AE531" s="262"/>
      <c r="AF531" s="262"/>
      <c r="AG531" s="264"/>
      <c r="AH531" s="264"/>
      <c r="AI531" s="264"/>
      <c r="AJ531" s="264"/>
      <c r="AK531" s="264"/>
      <c r="AL531" s="264"/>
      <c r="AM531" s="264"/>
      <c r="AN531" s="264"/>
    </row>
    <row r="532" ht="15.75" customHeight="1">
      <c r="A532" s="262"/>
      <c r="B532" s="338">
        <f>IFERROR(__xludf.DUMMYFUNCTION("""COMPUTED_VALUE"""),1013.0)</f>
        <v>1013</v>
      </c>
      <c r="C532" s="354"/>
      <c r="D532" s="340" t="str">
        <f>IFERROR(__xludf.DUMMYFUNCTION("""COMPUTED_VALUE"""),"")</f>
        <v/>
      </c>
      <c r="E532" s="341">
        <f>IFERROR(__xludf.DUMMYFUNCTION("""COMPUTED_VALUE"""),0.0)</f>
        <v>0</v>
      </c>
      <c r="F532" s="352"/>
      <c r="G532" s="343"/>
      <c r="H532" s="344">
        <f>IFERROR(__xludf.DUMMYFUNCTION("""COMPUTED_VALUE"""),0.0)</f>
        <v>0</v>
      </c>
      <c r="I532" s="353"/>
      <c r="J532" s="353"/>
      <c r="K532" s="346">
        <f>IFERROR(__xludf.DUMMYFUNCTION("""COMPUTED_VALUE"""),0.0)</f>
        <v>0</v>
      </c>
      <c r="L532" s="347">
        <f>IFERROR(__xludf.DUMMYFUNCTION("""COMPUTED_VALUE"""),0.0)</f>
        <v>0</v>
      </c>
      <c r="M532" s="348">
        <f>IFERROR(__xludf.DUMMYFUNCTION("""COMPUTED_VALUE"""),0.0)</f>
        <v>0</v>
      </c>
      <c r="N532" s="348">
        <f>IFERROR(__xludf.DUMMYFUNCTION("""COMPUTED_VALUE"""),0.0)</f>
        <v>0</v>
      </c>
      <c r="O532" s="348">
        <f>IFERROR(__xludf.DUMMYFUNCTION("""COMPUTED_VALUE"""),0.0)</f>
        <v>0</v>
      </c>
      <c r="P532" s="348">
        <f>IFERROR(__xludf.DUMMYFUNCTION("""COMPUTED_VALUE"""),0.0)</f>
        <v>0</v>
      </c>
      <c r="Q532" s="348">
        <f>IFERROR(__xludf.DUMMYFUNCTION("""COMPUTED_VALUE"""),0.0)</f>
        <v>0</v>
      </c>
      <c r="R532" s="355" t="str">
        <f>IFERROR(__xludf.DUMMYFUNCTION("""COMPUTED_VALUE""")," Cash Proyek ")</f>
        <v>Cash Proyek</v>
      </c>
      <c r="S532" s="350"/>
      <c r="T532" s="262"/>
      <c r="U532" s="351"/>
      <c r="V532" s="262"/>
      <c r="W532" s="262"/>
      <c r="X532" s="262"/>
      <c r="Y532" s="262"/>
      <c r="Z532" s="262"/>
      <c r="AA532" s="262"/>
      <c r="AB532" s="262"/>
      <c r="AC532" s="262"/>
      <c r="AD532" s="262"/>
      <c r="AE532" s="262"/>
      <c r="AF532" s="262"/>
      <c r="AG532" s="264"/>
      <c r="AH532" s="264"/>
      <c r="AI532" s="264"/>
      <c r="AJ532" s="264"/>
      <c r="AK532" s="264"/>
      <c r="AL532" s="264"/>
      <c r="AM532" s="264"/>
      <c r="AN532" s="264"/>
    </row>
    <row r="533" ht="15.75" customHeight="1">
      <c r="A533" s="262"/>
      <c r="B533" s="338">
        <f>IFERROR(__xludf.DUMMYFUNCTION("""COMPUTED_VALUE"""),1014.0)</f>
        <v>1014</v>
      </c>
      <c r="C533" s="354"/>
      <c r="D533" s="340" t="str">
        <f>IFERROR(__xludf.DUMMYFUNCTION("""COMPUTED_VALUE"""),"")</f>
        <v/>
      </c>
      <c r="E533" s="341">
        <f>IFERROR(__xludf.DUMMYFUNCTION("""COMPUTED_VALUE"""),0.0)</f>
        <v>0</v>
      </c>
      <c r="F533" s="352"/>
      <c r="G533" s="343"/>
      <c r="H533" s="344">
        <f>IFERROR(__xludf.DUMMYFUNCTION("""COMPUTED_VALUE"""),0.0)</f>
        <v>0</v>
      </c>
      <c r="I533" s="356"/>
      <c r="J533" s="356"/>
      <c r="K533" s="346">
        <f>IFERROR(__xludf.DUMMYFUNCTION("""COMPUTED_VALUE"""),0.0)</f>
        <v>0</v>
      </c>
      <c r="L533" s="347">
        <f>IFERROR(__xludf.DUMMYFUNCTION("""COMPUTED_VALUE"""),0.0)</f>
        <v>0</v>
      </c>
      <c r="M533" s="348">
        <f>IFERROR(__xludf.DUMMYFUNCTION("""COMPUTED_VALUE"""),0.0)</f>
        <v>0</v>
      </c>
      <c r="N533" s="348">
        <f>IFERROR(__xludf.DUMMYFUNCTION("""COMPUTED_VALUE"""),0.0)</f>
        <v>0</v>
      </c>
      <c r="O533" s="348">
        <f>IFERROR(__xludf.DUMMYFUNCTION("""COMPUTED_VALUE"""),0.0)</f>
        <v>0</v>
      </c>
      <c r="P533" s="348">
        <f>IFERROR(__xludf.DUMMYFUNCTION("""COMPUTED_VALUE"""),0.0)</f>
        <v>0</v>
      </c>
      <c r="Q533" s="348">
        <f>IFERROR(__xludf.DUMMYFUNCTION("""COMPUTED_VALUE"""),0.0)</f>
        <v>0</v>
      </c>
      <c r="R533" s="355" t="str">
        <f>IFERROR(__xludf.DUMMYFUNCTION("""COMPUTED_VALUE""")," Cash Proyek ")</f>
        <v>Cash Proyek</v>
      </c>
      <c r="S533" s="350"/>
      <c r="T533" s="262"/>
      <c r="U533" s="351"/>
      <c r="V533" s="262"/>
      <c r="W533" s="262"/>
      <c r="X533" s="262"/>
      <c r="Y533" s="262"/>
      <c r="Z533" s="262"/>
      <c r="AA533" s="262"/>
      <c r="AB533" s="262"/>
      <c r="AC533" s="262"/>
      <c r="AD533" s="262"/>
      <c r="AE533" s="262"/>
      <c r="AF533" s="262"/>
      <c r="AG533" s="264"/>
      <c r="AH533" s="264"/>
      <c r="AI533" s="264"/>
      <c r="AJ533" s="264"/>
      <c r="AK533" s="264"/>
      <c r="AL533" s="264"/>
      <c r="AM533" s="264"/>
      <c r="AN533" s="264"/>
    </row>
    <row r="534" ht="15.75" customHeight="1">
      <c r="A534" s="262"/>
      <c r="B534" s="338">
        <f>IFERROR(__xludf.DUMMYFUNCTION("""COMPUTED_VALUE"""),1015.0)</f>
        <v>1015</v>
      </c>
      <c r="C534" s="354"/>
      <c r="D534" s="340" t="str">
        <f>IFERROR(__xludf.DUMMYFUNCTION("""COMPUTED_VALUE"""),"")</f>
        <v/>
      </c>
      <c r="E534" s="341">
        <f>IFERROR(__xludf.DUMMYFUNCTION("""COMPUTED_VALUE"""),0.0)</f>
        <v>0</v>
      </c>
      <c r="F534" s="352"/>
      <c r="G534" s="343"/>
      <c r="H534" s="344">
        <f>IFERROR(__xludf.DUMMYFUNCTION("""COMPUTED_VALUE"""),0.0)</f>
        <v>0</v>
      </c>
      <c r="I534" s="356"/>
      <c r="J534" s="356"/>
      <c r="K534" s="346">
        <f>IFERROR(__xludf.DUMMYFUNCTION("""COMPUTED_VALUE"""),0.0)</f>
        <v>0</v>
      </c>
      <c r="L534" s="347">
        <f>IFERROR(__xludf.DUMMYFUNCTION("""COMPUTED_VALUE"""),0.0)</f>
        <v>0</v>
      </c>
      <c r="M534" s="348">
        <f>IFERROR(__xludf.DUMMYFUNCTION("""COMPUTED_VALUE"""),0.0)</f>
        <v>0</v>
      </c>
      <c r="N534" s="348">
        <f>IFERROR(__xludf.DUMMYFUNCTION("""COMPUTED_VALUE"""),0.0)</f>
        <v>0</v>
      </c>
      <c r="O534" s="348">
        <f>IFERROR(__xludf.DUMMYFUNCTION("""COMPUTED_VALUE"""),0.0)</f>
        <v>0</v>
      </c>
      <c r="P534" s="348">
        <f>IFERROR(__xludf.DUMMYFUNCTION("""COMPUTED_VALUE"""),0.0)</f>
        <v>0</v>
      </c>
      <c r="Q534" s="348">
        <f>IFERROR(__xludf.DUMMYFUNCTION("""COMPUTED_VALUE"""),0.0)</f>
        <v>0</v>
      </c>
      <c r="R534" s="355" t="str">
        <f>IFERROR(__xludf.DUMMYFUNCTION("""COMPUTED_VALUE""")," Cash Proyek ")</f>
        <v>Cash Proyek</v>
      </c>
      <c r="S534" s="350"/>
      <c r="T534" s="262"/>
      <c r="U534" s="351"/>
      <c r="V534" s="262"/>
      <c r="W534" s="262"/>
      <c r="X534" s="262"/>
      <c r="Y534" s="262"/>
      <c r="Z534" s="262"/>
      <c r="AA534" s="262"/>
      <c r="AB534" s="262"/>
      <c r="AC534" s="262"/>
      <c r="AD534" s="262"/>
      <c r="AE534" s="262"/>
      <c r="AF534" s="262"/>
      <c r="AG534" s="264"/>
      <c r="AH534" s="264"/>
      <c r="AI534" s="264"/>
      <c r="AJ534" s="264"/>
      <c r="AK534" s="264"/>
      <c r="AL534" s="264"/>
      <c r="AM534" s="264"/>
      <c r="AN534" s="264"/>
    </row>
    <row r="535" ht="15.75" customHeight="1">
      <c r="A535" s="262"/>
      <c r="B535" s="338">
        <f>IFERROR(__xludf.DUMMYFUNCTION("""COMPUTED_VALUE"""),1016.0)</f>
        <v>1016</v>
      </c>
      <c r="C535" s="354"/>
      <c r="D535" s="340" t="str">
        <f>IFERROR(__xludf.DUMMYFUNCTION("""COMPUTED_VALUE"""),"")</f>
        <v/>
      </c>
      <c r="E535" s="341">
        <f>IFERROR(__xludf.DUMMYFUNCTION("""COMPUTED_VALUE"""),0.0)</f>
        <v>0</v>
      </c>
      <c r="F535" s="352"/>
      <c r="G535" s="343"/>
      <c r="H535" s="344">
        <f>IFERROR(__xludf.DUMMYFUNCTION("""COMPUTED_VALUE"""),0.0)</f>
        <v>0</v>
      </c>
      <c r="I535" s="353"/>
      <c r="J535" s="353"/>
      <c r="K535" s="346">
        <f>IFERROR(__xludf.DUMMYFUNCTION("""COMPUTED_VALUE"""),0.0)</f>
        <v>0</v>
      </c>
      <c r="L535" s="347">
        <f>IFERROR(__xludf.DUMMYFUNCTION("""COMPUTED_VALUE"""),0.0)</f>
        <v>0</v>
      </c>
      <c r="M535" s="348">
        <f>IFERROR(__xludf.DUMMYFUNCTION("""COMPUTED_VALUE"""),0.0)</f>
        <v>0</v>
      </c>
      <c r="N535" s="348">
        <f>IFERROR(__xludf.DUMMYFUNCTION("""COMPUTED_VALUE"""),0.0)</f>
        <v>0</v>
      </c>
      <c r="O535" s="348">
        <f>IFERROR(__xludf.DUMMYFUNCTION("""COMPUTED_VALUE"""),0.0)</f>
        <v>0</v>
      </c>
      <c r="P535" s="348">
        <f>IFERROR(__xludf.DUMMYFUNCTION("""COMPUTED_VALUE"""),0.0)</f>
        <v>0</v>
      </c>
      <c r="Q535" s="348">
        <f>IFERROR(__xludf.DUMMYFUNCTION("""COMPUTED_VALUE"""),0.0)</f>
        <v>0</v>
      </c>
      <c r="R535" s="355" t="str">
        <f>IFERROR(__xludf.DUMMYFUNCTION("""COMPUTED_VALUE""")," Cash Proyek ")</f>
        <v>Cash Proyek</v>
      </c>
      <c r="S535" s="350"/>
      <c r="T535" s="262"/>
      <c r="U535" s="351"/>
      <c r="V535" s="262"/>
      <c r="W535" s="262"/>
      <c r="X535" s="262"/>
      <c r="Y535" s="262"/>
      <c r="Z535" s="262"/>
      <c r="AA535" s="262"/>
      <c r="AB535" s="262"/>
      <c r="AC535" s="262"/>
      <c r="AD535" s="262"/>
      <c r="AE535" s="262"/>
      <c r="AF535" s="262"/>
      <c r="AG535" s="264"/>
      <c r="AH535" s="264"/>
      <c r="AI535" s="264"/>
      <c r="AJ535" s="264"/>
      <c r="AK535" s="264"/>
      <c r="AL535" s="264"/>
      <c r="AM535" s="264"/>
      <c r="AN535" s="264"/>
    </row>
    <row r="536" ht="15.75" customHeight="1">
      <c r="A536" s="262"/>
      <c r="B536" s="338">
        <f>IFERROR(__xludf.DUMMYFUNCTION("""COMPUTED_VALUE"""),1017.0)</f>
        <v>1017</v>
      </c>
      <c r="C536" s="354"/>
      <c r="D536" s="340" t="str">
        <f>IFERROR(__xludf.DUMMYFUNCTION("""COMPUTED_VALUE"""),"")</f>
        <v/>
      </c>
      <c r="E536" s="341">
        <f>IFERROR(__xludf.DUMMYFUNCTION("""COMPUTED_VALUE"""),0.0)</f>
        <v>0</v>
      </c>
      <c r="F536" s="352"/>
      <c r="G536" s="343"/>
      <c r="H536" s="344">
        <f>IFERROR(__xludf.DUMMYFUNCTION("""COMPUTED_VALUE"""),0.0)</f>
        <v>0</v>
      </c>
      <c r="I536" s="353"/>
      <c r="J536" s="353"/>
      <c r="K536" s="346">
        <f>IFERROR(__xludf.DUMMYFUNCTION("""COMPUTED_VALUE"""),0.0)</f>
        <v>0</v>
      </c>
      <c r="L536" s="347">
        <f>IFERROR(__xludf.DUMMYFUNCTION("""COMPUTED_VALUE"""),0.0)</f>
        <v>0</v>
      </c>
      <c r="M536" s="348">
        <f>IFERROR(__xludf.DUMMYFUNCTION("""COMPUTED_VALUE"""),0.0)</f>
        <v>0</v>
      </c>
      <c r="N536" s="348">
        <f>IFERROR(__xludf.DUMMYFUNCTION("""COMPUTED_VALUE"""),0.0)</f>
        <v>0</v>
      </c>
      <c r="O536" s="348">
        <f>IFERROR(__xludf.DUMMYFUNCTION("""COMPUTED_VALUE"""),0.0)</f>
        <v>0</v>
      </c>
      <c r="P536" s="348">
        <f>IFERROR(__xludf.DUMMYFUNCTION("""COMPUTED_VALUE"""),0.0)</f>
        <v>0</v>
      </c>
      <c r="Q536" s="348">
        <f>IFERROR(__xludf.DUMMYFUNCTION("""COMPUTED_VALUE"""),0.0)</f>
        <v>0</v>
      </c>
      <c r="R536" s="355" t="str">
        <f>IFERROR(__xludf.DUMMYFUNCTION("""COMPUTED_VALUE""")," Cash Proyek ")</f>
        <v>Cash Proyek</v>
      </c>
      <c r="S536" s="350"/>
      <c r="T536" s="262"/>
      <c r="U536" s="351"/>
      <c r="V536" s="262"/>
      <c r="W536" s="262"/>
      <c r="X536" s="262"/>
      <c r="Y536" s="262"/>
      <c r="Z536" s="262"/>
      <c r="AA536" s="262"/>
      <c r="AB536" s="262"/>
      <c r="AC536" s="262"/>
      <c r="AD536" s="262"/>
      <c r="AE536" s="262"/>
      <c r="AF536" s="262"/>
      <c r="AG536" s="264"/>
      <c r="AH536" s="264"/>
      <c r="AI536" s="264"/>
      <c r="AJ536" s="264"/>
      <c r="AK536" s="264"/>
      <c r="AL536" s="264"/>
      <c r="AM536" s="264"/>
      <c r="AN536" s="264"/>
    </row>
    <row r="537" ht="15.75" customHeight="1">
      <c r="A537" s="262"/>
      <c r="B537" s="338">
        <f>IFERROR(__xludf.DUMMYFUNCTION("""COMPUTED_VALUE"""),1018.0)</f>
        <v>1018</v>
      </c>
      <c r="C537" s="354"/>
      <c r="D537" s="340" t="str">
        <f>IFERROR(__xludf.DUMMYFUNCTION("""COMPUTED_VALUE"""),"")</f>
        <v/>
      </c>
      <c r="E537" s="341">
        <f>IFERROR(__xludf.DUMMYFUNCTION("""COMPUTED_VALUE"""),0.0)</f>
        <v>0</v>
      </c>
      <c r="F537" s="352"/>
      <c r="G537" s="343"/>
      <c r="H537" s="344">
        <f>IFERROR(__xludf.DUMMYFUNCTION("""COMPUTED_VALUE"""),0.0)</f>
        <v>0</v>
      </c>
      <c r="I537" s="353"/>
      <c r="J537" s="353"/>
      <c r="K537" s="346">
        <f>IFERROR(__xludf.DUMMYFUNCTION("""COMPUTED_VALUE"""),0.0)</f>
        <v>0</v>
      </c>
      <c r="L537" s="347">
        <f>IFERROR(__xludf.DUMMYFUNCTION("""COMPUTED_VALUE"""),0.0)</f>
        <v>0</v>
      </c>
      <c r="M537" s="348">
        <f>IFERROR(__xludf.DUMMYFUNCTION("""COMPUTED_VALUE"""),0.0)</f>
        <v>0</v>
      </c>
      <c r="N537" s="348">
        <f>IFERROR(__xludf.DUMMYFUNCTION("""COMPUTED_VALUE"""),0.0)</f>
        <v>0</v>
      </c>
      <c r="O537" s="348">
        <f>IFERROR(__xludf.DUMMYFUNCTION("""COMPUTED_VALUE"""),0.0)</f>
        <v>0</v>
      </c>
      <c r="P537" s="348">
        <f>IFERROR(__xludf.DUMMYFUNCTION("""COMPUTED_VALUE"""),0.0)</f>
        <v>0</v>
      </c>
      <c r="Q537" s="348">
        <f>IFERROR(__xludf.DUMMYFUNCTION("""COMPUTED_VALUE"""),0.0)</f>
        <v>0</v>
      </c>
      <c r="R537" s="355" t="str">
        <f>IFERROR(__xludf.DUMMYFUNCTION("""COMPUTED_VALUE""")," Cash Proyek ")</f>
        <v>Cash Proyek</v>
      </c>
      <c r="S537" s="350"/>
      <c r="T537" s="262"/>
      <c r="U537" s="351"/>
      <c r="V537" s="262"/>
      <c r="W537" s="262"/>
      <c r="X537" s="262"/>
      <c r="Y537" s="262"/>
      <c r="Z537" s="262"/>
      <c r="AA537" s="262"/>
      <c r="AB537" s="262"/>
      <c r="AC537" s="262"/>
      <c r="AD537" s="262"/>
      <c r="AE537" s="262"/>
      <c r="AF537" s="262"/>
      <c r="AG537" s="264"/>
      <c r="AH537" s="264"/>
      <c r="AI537" s="264"/>
      <c r="AJ537" s="264"/>
      <c r="AK537" s="264"/>
      <c r="AL537" s="264"/>
      <c r="AM537" s="264"/>
      <c r="AN537" s="264"/>
    </row>
    <row r="538" ht="15.75" customHeight="1">
      <c r="A538" s="262"/>
      <c r="B538" s="338">
        <f>IFERROR(__xludf.DUMMYFUNCTION("""COMPUTED_VALUE"""),1019.0)</f>
        <v>1019</v>
      </c>
      <c r="C538" s="354"/>
      <c r="D538" s="340" t="str">
        <f>IFERROR(__xludf.DUMMYFUNCTION("""COMPUTED_VALUE"""),"")</f>
        <v/>
      </c>
      <c r="E538" s="341">
        <f>IFERROR(__xludf.DUMMYFUNCTION("""COMPUTED_VALUE"""),0.0)</f>
        <v>0</v>
      </c>
      <c r="F538" s="352"/>
      <c r="G538" s="343"/>
      <c r="H538" s="344">
        <f>IFERROR(__xludf.DUMMYFUNCTION("""COMPUTED_VALUE"""),0.0)</f>
        <v>0</v>
      </c>
      <c r="I538" s="353"/>
      <c r="J538" s="353"/>
      <c r="K538" s="346">
        <f>IFERROR(__xludf.DUMMYFUNCTION("""COMPUTED_VALUE"""),0.0)</f>
        <v>0</v>
      </c>
      <c r="L538" s="347">
        <f>IFERROR(__xludf.DUMMYFUNCTION("""COMPUTED_VALUE"""),0.0)</f>
        <v>0</v>
      </c>
      <c r="M538" s="348">
        <f>IFERROR(__xludf.DUMMYFUNCTION("""COMPUTED_VALUE"""),0.0)</f>
        <v>0</v>
      </c>
      <c r="N538" s="348">
        <f>IFERROR(__xludf.DUMMYFUNCTION("""COMPUTED_VALUE"""),0.0)</f>
        <v>0</v>
      </c>
      <c r="O538" s="348">
        <f>IFERROR(__xludf.DUMMYFUNCTION("""COMPUTED_VALUE"""),0.0)</f>
        <v>0</v>
      </c>
      <c r="P538" s="348">
        <f>IFERROR(__xludf.DUMMYFUNCTION("""COMPUTED_VALUE"""),0.0)</f>
        <v>0</v>
      </c>
      <c r="Q538" s="348">
        <f>IFERROR(__xludf.DUMMYFUNCTION("""COMPUTED_VALUE"""),0.0)</f>
        <v>0</v>
      </c>
      <c r="R538" s="355" t="str">
        <f>IFERROR(__xludf.DUMMYFUNCTION("""COMPUTED_VALUE""")," Cash Proyek ")</f>
        <v>Cash Proyek</v>
      </c>
      <c r="S538" s="350"/>
      <c r="T538" s="262"/>
      <c r="U538" s="351"/>
      <c r="V538" s="262"/>
      <c r="W538" s="262"/>
      <c r="X538" s="262"/>
      <c r="Y538" s="262"/>
      <c r="Z538" s="262"/>
      <c r="AA538" s="262"/>
      <c r="AB538" s="262"/>
      <c r="AC538" s="262"/>
      <c r="AD538" s="262"/>
      <c r="AE538" s="262"/>
      <c r="AF538" s="262"/>
      <c r="AG538" s="264"/>
      <c r="AH538" s="264"/>
      <c r="AI538" s="264"/>
      <c r="AJ538" s="264"/>
      <c r="AK538" s="264"/>
      <c r="AL538" s="264"/>
      <c r="AM538" s="264"/>
      <c r="AN538" s="264"/>
    </row>
    <row r="539" ht="15.75" customHeight="1">
      <c r="A539" s="262"/>
      <c r="B539" s="338">
        <f>IFERROR(__xludf.DUMMYFUNCTION("""COMPUTED_VALUE"""),1020.0)</f>
        <v>1020</v>
      </c>
      <c r="C539" s="354"/>
      <c r="D539" s="340" t="str">
        <f>IFERROR(__xludf.DUMMYFUNCTION("""COMPUTED_VALUE"""),"")</f>
        <v/>
      </c>
      <c r="E539" s="341">
        <f>IFERROR(__xludf.DUMMYFUNCTION("""COMPUTED_VALUE"""),0.0)</f>
        <v>0</v>
      </c>
      <c r="F539" s="352"/>
      <c r="G539" s="343"/>
      <c r="H539" s="344">
        <f>IFERROR(__xludf.DUMMYFUNCTION("""COMPUTED_VALUE"""),0.0)</f>
        <v>0</v>
      </c>
      <c r="I539" s="353"/>
      <c r="J539" s="353"/>
      <c r="K539" s="346">
        <f>IFERROR(__xludf.DUMMYFUNCTION("""COMPUTED_VALUE"""),0.0)</f>
        <v>0</v>
      </c>
      <c r="L539" s="347">
        <f>IFERROR(__xludf.DUMMYFUNCTION("""COMPUTED_VALUE"""),0.0)</f>
        <v>0</v>
      </c>
      <c r="M539" s="348">
        <f>IFERROR(__xludf.DUMMYFUNCTION("""COMPUTED_VALUE"""),0.0)</f>
        <v>0</v>
      </c>
      <c r="N539" s="348">
        <f>IFERROR(__xludf.DUMMYFUNCTION("""COMPUTED_VALUE"""),0.0)</f>
        <v>0</v>
      </c>
      <c r="O539" s="348">
        <f>IFERROR(__xludf.DUMMYFUNCTION("""COMPUTED_VALUE"""),0.0)</f>
        <v>0</v>
      </c>
      <c r="P539" s="348">
        <f>IFERROR(__xludf.DUMMYFUNCTION("""COMPUTED_VALUE"""),0.0)</f>
        <v>0</v>
      </c>
      <c r="Q539" s="348">
        <f>IFERROR(__xludf.DUMMYFUNCTION("""COMPUTED_VALUE"""),0.0)</f>
        <v>0</v>
      </c>
      <c r="R539" s="355" t="str">
        <f>IFERROR(__xludf.DUMMYFUNCTION("""COMPUTED_VALUE""")," Cash Proyek ")</f>
        <v>Cash Proyek</v>
      </c>
      <c r="S539" s="350"/>
      <c r="T539" s="262"/>
      <c r="U539" s="351"/>
      <c r="V539" s="262"/>
      <c r="W539" s="262"/>
      <c r="X539" s="262"/>
      <c r="Y539" s="262"/>
      <c r="Z539" s="262"/>
      <c r="AA539" s="262"/>
      <c r="AB539" s="262"/>
      <c r="AC539" s="262"/>
      <c r="AD539" s="262"/>
      <c r="AE539" s="262"/>
      <c r="AF539" s="262"/>
      <c r="AG539" s="264"/>
      <c r="AH539" s="264"/>
      <c r="AI539" s="264"/>
      <c r="AJ539" s="264"/>
      <c r="AK539" s="264"/>
      <c r="AL539" s="264"/>
      <c r="AM539" s="264"/>
      <c r="AN539" s="264"/>
    </row>
    <row r="540" ht="15.75" customHeight="1">
      <c r="A540" s="262"/>
      <c r="B540" s="338">
        <f>IFERROR(__xludf.DUMMYFUNCTION("""COMPUTED_VALUE"""),1021.0)</f>
        <v>1021</v>
      </c>
      <c r="C540" s="354"/>
      <c r="D540" s="340" t="str">
        <f>IFERROR(__xludf.DUMMYFUNCTION("""COMPUTED_VALUE"""),"")</f>
        <v/>
      </c>
      <c r="E540" s="341">
        <f>IFERROR(__xludf.DUMMYFUNCTION("""COMPUTED_VALUE"""),0.0)</f>
        <v>0</v>
      </c>
      <c r="F540" s="352"/>
      <c r="G540" s="343"/>
      <c r="H540" s="344">
        <f>IFERROR(__xludf.DUMMYFUNCTION("""COMPUTED_VALUE"""),0.0)</f>
        <v>0</v>
      </c>
      <c r="I540" s="353"/>
      <c r="J540" s="353"/>
      <c r="K540" s="346">
        <f>IFERROR(__xludf.DUMMYFUNCTION("""COMPUTED_VALUE"""),0.0)</f>
        <v>0</v>
      </c>
      <c r="L540" s="347">
        <f>IFERROR(__xludf.DUMMYFUNCTION("""COMPUTED_VALUE"""),0.0)</f>
        <v>0</v>
      </c>
      <c r="M540" s="348">
        <f>IFERROR(__xludf.DUMMYFUNCTION("""COMPUTED_VALUE"""),0.0)</f>
        <v>0</v>
      </c>
      <c r="N540" s="348">
        <f>IFERROR(__xludf.DUMMYFUNCTION("""COMPUTED_VALUE"""),0.0)</f>
        <v>0</v>
      </c>
      <c r="O540" s="348">
        <f>IFERROR(__xludf.DUMMYFUNCTION("""COMPUTED_VALUE"""),0.0)</f>
        <v>0</v>
      </c>
      <c r="P540" s="348">
        <f>IFERROR(__xludf.DUMMYFUNCTION("""COMPUTED_VALUE"""),0.0)</f>
        <v>0</v>
      </c>
      <c r="Q540" s="348">
        <f>IFERROR(__xludf.DUMMYFUNCTION("""COMPUTED_VALUE"""),0.0)</f>
        <v>0</v>
      </c>
      <c r="R540" s="355" t="str">
        <f>IFERROR(__xludf.DUMMYFUNCTION("""COMPUTED_VALUE""")," Cash Proyek ")</f>
        <v>Cash Proyek</v>
      </c>
      <c r="S540" s="350"/>
      <c r="T540" s="262"/>
      <c r="U540" s="351"/>
      <c r="V540" s="262"/>
      <c r="W540" s="262"/>
      <c r="X540" s="262"/>
      <c r="Y540" s="262"/>
      <c r="Z540" s="262"/>
      <c r="AA540" s="262"/>
      <c r="AB540" s="262"/>
      <c r="AC540" s="262"/>
      <c r="AD540" s="262"/>
      <c r="AE540" s="262"/>
      <c r="AF540" s="262"/>
      <c r="AG540" s="264"/>
      <c r="AH540" s="264"/>
      <c r="AI540" s="264"/>
      <c r="AJ540" s="264"/>
      <c r="AK540" s="264"/>
      <c r="AL540" s="264"/>
      <c r="AM540" s="264"/>
      <c r="AN540" s="264"/>
    </row>
    <row r="541" ht="15.75" customHeight="1">
      <c r="A541" s="262"/>
      <c r="B541" s="338">
        <f>IFERROR(__xludf.DUMMYFUNCTION("""COMPUTED_VALUE"""),1022.0)</f>
        <v>1022</v>
      </c>
      <c r="C541" s="354"/>
      <c r="D541" s="340" t="str">
        <f>IFERROR(__xludf.DUMMYFUNCTION("""COMPUTED_VALUE"""),"")</f>
        <v/>
      </c>
      <c r="E541" s="341">
        <f>IFERROR(__xludf.DUMMYFUNCTION("""COMPUTED_VALUE"""),0.0)</f>
        <v>0</v>
      </c>
      <c r="F541" s="352"/>
      <c r="G541" s="343"/>
      <c r="H541" s="344">
        <f>IFERROR(__xludf.DUMMYFUNCTION("""COMPUTED_VALUE"""),0.0)</f>
        <v>0</v>
      </c>
      <c r="I541" s="353"/>
      <c r="J541" s="353"/>
      <c r="K541" s="346">
        <f>IFERROR(__xludf.DUMMYFUNCTION("""COMPUTED_VALUE"""),0.0)</f>
        <v>0</v>
      </c>
      <c r="L541" s="347">
        <f>IFERROR(__xludf.DUMMYFUNCTION("""COMPUTED_VALUE"""),0.0)</f>
        <v>0</v>
      </c>
      <c r="M541" s="348">
        <f>IFERROR(__xludf.DUMMYFUNCTION("""COMPUTED_VALUE"""),0.0)</f>
        <v>0</v>
      </c>
      <c r="N541" s="348">
        <f>IFERROR(__xludf.DUMMYFUNCTION("""COMPUTED_VALUE"""),0.0)</f>
        <v>0</v>
      </c>
      <c r="O541" s="348">
        <f>IFERROR(__xludf.DUMMYFUNCTION("""COMPUTED_VALUE"""),0.0)</f>
        <v>0</v>
      </c>
      <c r="P541" s="348">
        <f>IFERROR(__xludf.DUMMYFUNCTION("""COMPUTED_VALUE"""),0.0)</f>
        <v>0</v>
      </c>
      <c r="Q541" s="348">
        <f>IFERROR(__xludf.DUMMYFUNCTION("""COMPUTED_VALUE"""),0.0)</f>
        <v>0</v>
      </c>
      <c r="R541" s="355" t="str">
        <f>IFERROR(__xludf.DUMMYFUNCTION("""COMPUTED_VALUE""")," Cash Proyek ")</f>
        <v>Cash Proyek</v>
      </c>
      <c r="S541" s="350"/>
      <c r="T541" s="262"/>
      <c r="U541" s="351"/>
      <c r="V541" s="262"/>
      <c r="W541" s="262"/>
      <c r="X541" s="262"/>
      <c r="Y541" s="262"/>
      <c r="Z541" s="262"/>
      <c r="AA541" s="262"/>
      <c r="AB541" s="262"/>
      <c r="AC541" s="262"/>
      <c r="AD541" s="262"/>
      <c r="AE541" s="262"/>
      <c r="AF541" s="262"/>
      <c r="AG541" s="264"/>
      <c r="AH541" s="264"/>
      <c r="AI541" s="264"/>
      <c r="AJ541" s="264"/>
      <c r="AK541" s="264"/>
      <c r="AL541" s="264"/>
      <c r="AM541" s="264"/>
      <c r="AN541" s="264"/>
    </row>
    <row r="542" ht="15.75" customHeight="1">
      <c r="A542" s="262"/>
      <c r="B542" s="338">
        <f>IFERROR(__xludf.DUMMYFUNCTION("""COMPUTED_VALUE"""),1023.0)</f>
        <v>1023</v>
      </c>
      <c r="C542" s="354"/>
      <c r="D542" s="340" t="str">
        <f>IFERROR(__xludf.DUMMYFUNCTION("""COMPUTED_VALUE"""),"")</f>
        <v/>
      </c>
      <c r="E542" s="341">
        <f>IFERROR(__xludf.DUMMYFUNCTION("""COMPUTED_VALUE"""),0.0)</f>
        <v>0</v>
      </c>
      <c r="F542" s="352"/>
      <c r="G542" s="343"/>
      <c r="H542" s="344">
        <f>IFERROR(__xludf.DUMMYFUNCTION("""COMPUTED_VALUE"""),0.0)</f>
        <v>0</v>
      </c>
      <c r="I542" s="353"/>
      <c r="J542" s="353"/>
      <c r="K542" s="346">
        <f>IFERROR(__xludf.DUMMYFUNCTION("""COMPUTED_VALUE"""),0.0)</f>
        <v>0</v>
      </c>
      <c r="L542" s="347">
        <f>IFERROR(__xludf.DUMMYFUNCTION("""COMPUTED_VALUE"""),0.0)</f>
        <v>0</v>
      </c>
      <c r="M542" s="348">
        <f>IFERROR(__xludf.DUMMYFUNCTION("""COMPUTED_VALUE"""),0.0)</f>
        <v>0</v>
      </c>
      <c r="N542" s="348">
        <f>IFERROR(__xludf.DUMMYFUNCTION("""COMPUTED_VALUE"""),0.0)</f>
        <v>0</v>
      </c>
      <c r="O542" s="348">
        <f>IFERROR(__xludf.DUMMYFUNCTION("""COMPUTED_VALUE"""),0.0)</f>
        <v>0</v>
      </c>
      <c r="P542" s="348">
        <f>IFERROR(__xludf.DUMMYFUNCTION("""COMPUTED_VALUE"""),0.0)</f>
        <v>0</v>
      </c>
      <c r="Q542" s="348">
        <f>IFERROR(__xludf.DUMMYFUNCTION("""COMPUTED_VALUE"""),0.0)</f>
        <v>0</v>
      </c>
      <c r="R542" s="355" t="str">
        <f>IFERROR(__xludf.DUMMYFUNCTION("""COMPUTED_VALUE""")," Cash Proyek ")</f>
        <v>Cash Proyek</v>
      </c>
      <c r="S542" s="350"/>
      <c r="T542" s="262"/>
      <c r="U542" s="351"/>
      <c r="V542" s="262"/>
      <c r="W542" s="262"/>
      <c r="X542" s="262"/>
      <c r="Y542" s="262"/>
      <c r="Z542" s="262"/>
      <c r="AA542" s="262"/>
      <c r="AB542" s="262"/>
      <c r="AC542" s="262"/>
      <c r="AD542" s="262"/>
      <c r="AE542" s="262"/>
      <c r="AF542" s="262"/>
      <c r="AG542" s="264"/>
      <c r="AH542" s="264"/>
      <c r="AI542" s="264"/>
      <c r="AJ542" s="264"/>
      <c r="AK542" s="264"/>
      <c r="AL542" s="264"/>
      <c r="AM542" s="264"/>
      <c r="AN542" s="264"/>
    </row>
    <row r="543" ht="15.75" customHeight="1">
      <c r="A543" s="262"/>
      <c r="B543" s="338">
        <f>IFERROR(__xludf.DUMMYFUNCTION("""COMPUTED_VALUE"""),1024.0)</f>
        <v>1024</v>
      </c>
      <c r="C543" s="354"/>
      <c r="D543" s="340" t="str">
        <f>IFERROR(__xludf.DUMMYFUNCTION("""COMPUTED_VALUE"""),"")</f>
        <v/>
      </c>
      <c r="E543" s="341">
        <f>IFERROR(__xludf.DUMMYFUNCTION("""COMPUTED_VALUE"""),0.0)</f>
        <v>0</v>
      </c>
      <c r="F543" s="352"/>
      <c r="G543" s="343"/>
      <c r="H543" s="344">
        <f>IFERROR(__xludf.DUMMYFUNCTION("""COMPUTED_VALUE"""),0.0)</f>
        <v>0</v>
      </c>
      <c r="I543" s="353"/>
      <c r="J543" s="353"/>
      <c r="K543" s="346">
        <f>IFERROR(__xludf.DUMMYFUNCTION("""COMPUTED_VALUE"""),0.0)</f>
        <v>0</v>
      </c>
      <c r="L543" s="347">
        <f>IFERROR(__xludf.DUMMYFUNCTION("""COMPUTED_VALUE"""),0.0)</f>
        <v>0</v>
      </c>
      <c r="M543" s="348">
        <f>IFERROR(__xludf.DUMMYFUNCTION("""COMPUTED_VALUE"""),0.0)</f>
        <v>0</v>
      </c>
      <c r="N543" s="348">
        <f>IFERROR(__xludf.DUMMYFUNCTION("""COMPUTED_VALUE"""),0.0)</f>
        <v>0</v>
      </c>
      <c r="O543" s="348">
        <f>IFERROR(__xludf.DUMMYFUNCTION("""COMPUTED_VALUE"""),0.0)</f>
        <v>0</v>
      </c>
      <c r="P543" s="348">
        <f>IFERROR(__xludf.DUMMYFUNCTION("""COMPUTED_VALUE"""),0.0)</f>
        <v>0</v>
      </c>
      <c r="Q543" s="348">
        <f>IFERROR(__xludf.DUMMYFUNCTION("""COMPUTED_VALUE"""),0.0)</f>
        <v>0</v>
      </c>
      <c r="R543" s="355" t="str">
        <f>IFERROR(__xludf.DUMMYFUNCTION("""COMPUTED_VALUE""")," Cash Proyek ")</f>
        <v>Cash Proyek</v>
      </c>
      <c r="S543" s="350"/>
      <c r="T543" s="262"/>
      <c r="U543" s="351"/>
      <c r="V543" s="262"/>
      <c r="W543" s="262"/>
      <c r="X543" s="262"/>
      <c r="Y543" s="262"/>
      <c r="Z543" s="262"/>
      <c r="AA543" s="262"/>
      <c r="AB543" s="262"/>
      <c r="AC543" s="262"/>
      <c r="AD543" s="262"/>
      <c r="AE543" s="262"/>
      <c r="AF543" s="262"/>
      <c r="AG543" s="264"/>
      <c r="AH543" s="264"/>
      <c r="AI543" s="264"/>
      <c r="AJ543" s="264"/>
      <c r="AK543" s="264"/>
      <c r="AL543" s="264"/>
      <c r="AM543" s="264"/>
      <c r="AN543" s="264"/>
    </row>
    <row r="544" ht="15.75" customHeight="1">
      <c r="A544" s="262"/>
      <c r="B544" s="338">
        <f>IFERROR(__xludf.DUMMYFUNCTION("""COMPUTED_VALUE"""),1025.0)</f>
        <v>1025</v>
      </c>
      <c r="C544" s="354"/>
      <c r="D544" s="340" t="str">
        <f>IFERROR(__xludf.DUMMYFUNCTION("""COMPUTED_VALUE"""),"")</f>
        <v/>
      </c>
      <c r="E544" s="341">
        <f>IFERROR(__xludf.DUMMYFUNCTION("""COMPUTED_VALUE"""),0.0)</f>
        <v>0</v>
      </c>
      <c r="F544" s="352"/>
      <c r="G544" s="343"/>
      <c r="H544" s="344">
        <f>IFERROR(__xludf.DUMMYFUNCTION("""COMPUTED_VALUE"""),0.0)</f>
        <v>0</v>
      </c>
      <c r="I544" s="353"/>
      <c r="J544" s="353"/>
      <c r="K544" s="346">
        <f>IFERROR(__xludf.DUMMYFUNCTION("""COMPUTED_VALUE"""),0.0)</f>
        <v>0</v>
      </c>
      <c r="L544" s="347">
        <f>IFERROR(__xludf.DUMMYFUNCTION("""COMPUTED_VALUE"""),0.0)</f>
        <v>0</v>
      </c>
      <c r="M544" s="348">
        <f>IFERROR(__xludf.DUMMYFUNCTION("""COMPUTED_VALUE"""),0.0)</f>
        <v>0</v>
      </c>
      <c r="N544" s="348">
        <f>IFERROR(__xludf.DUMMYFUNCTION("""COMPUTED_VALUE"""),0.0)</f>
        <v>0</v>
      </c>
      <c r="O544" s="348">
        <f>IFERROR(__xludf.DUMMYFUNCTION("""COMPUTED_VALUE"""),0.0)</f>
        <v>0</v>
      </c>
      <c r="P544" s="348">
        <f>IFERROR(__xludf.DUMMYFUNCTION("""COMPUTED_VALUE"""),0.0)</f>
        <v>0</v>
      </c>
      <c r="Q544" s="348">
        <f>IFERROR(__xludf.DUMMYFUNCTION("""COMPUTED_VALUE"""),0.0)</f>
        <v>0</v>
      </c>
      <c r="R544" s="355" t="str">
        <f>IFERROR(__xludf.DUMMYFUNCTION("""COMPUTED_VALUE""")," Cash Proyek ")</f>
        <v>Cash Proyek</v>
      </c>
      <c r="S544" s="350"/>
      <c r="T544" s="262"/>
      <c r="U544" s="351"/>
      <c r="V544" s="262"/>
      <c r="W544" s="262"/>
      <c r="X544" s="262"/>
      <c r="Y544" s="262"/>
      <c r="Z544" s="262"/>
      <c r="AA544" s="262"/>
      <c r="AB544" s="262"/>
      <c r="AC544" s="262"/>
      <c r="AD544" s="262"/>
      <c r="AE544" s="262"/>
      <c r="AF544" s="262"/>
      <c r="AG544" s="264"/>
      <c r="AH544" s="264"/>
      <c r="AI544" s="264"/>
      <c r="AJ544" s="264"/>
      <c r="AK544" s="264"/>
      <c r="AL544" s="264"/>
      <c r="AM544" s="264"/>
      <c r="AN544" s="264"/>
    </row>
    <row r="545" ht="15.75" customHeight="1">
      <c r="A545" s="262"/>
      <c r="B545" s="338">
        <f>IFERROR(__xludf.DUMMYFUNCTION("""COMPUTED_VALUE"""),1026.0)</f>
        <v>1026</v>
      </c>
      <c r="C545" s="354"/>
      <c r="D545" s="340" t="str">
        <f>IFERROR(__xludf.DUMMYFUNCTION("""COMPUTED_VALUE"""),"")</f>
        <v/>
      </c>
      <c r="E545" s="341">
        <f>IFERROR(__xludf.DUMMYFUNCTION("""COMPUTED_VALUE"""),0.0)</f>
        <v>0</v>
      </c>
      <c r="F545" s="352"/>
      <c r="G545" s="343"/>
      <c r="H545" s="344">
        <f>IFERROR(__xludf.DUMMYFUNCTION("""COMPUTED_VALUE"""),0.0)</f>
        <v>0</v>
      </c>
      <c r="I545" s="353"/>
      <c r="J545" s="353"/>
      <c r="K545" s="346">
        <f>IFERROR(__xludf.DUMMYFUNCTION("""COMPUTED_VALUE"""),0.0)</f>
        <v>0</v>
      </c>
      <c r="L545" s="347">
        <f>IFERROR(__xludf.DUMMYFUNCTION("""COMPUTED_VALUE"""),0.0)</f>
        <v>0</v>
      </c>
      <c r="M545" s="348">
        <f>IFERROR(__xludf.DUMMYFUNCTION("""COMPUTED_VALUE"""),0.0)</f>
        <v>0</v>
      </c>
      <c r="N545" s="348">
        <f>IFERROR(__xludf.DUMMYFUNCTION("""COMPUTED_VALUE"""),0.0)</f>
        <v>0</v>
      </c>
      <c r="O545" s="348">
        <f>IFERROR(__xludf.DUMMYFUNCTION("""COMPUTED_VALUE"""),0.0)</f>
        <v>0</v>
      </c>
      <c r="P545" s="348">
        <f>IFERROR(__xludf.DUMMYFUNCTION("""COMPUTED_VALUE"""),0.0)</f>
        <v>0</v>
      </c>
      <c r="Q545" s="348">
        <f>IFERROR(__xludf.DUMMYFUNCTION("""COMPUTED_VALUE"""),0.0)</f>
        <v>0</v>
      </c>
      <c r="R545" s="355" t="str">
        <f>IFERROR(__xludf.DUMMYFUNCTION("""COMPUTED_VALUE""")," Cash Proyek ")</f>
        <v>Cash Proyek</v>
      </c>
      <c r="S545" s="350"/>
      <c r="T545" s="262"/>
      <c r="U545" s="351"/>
      <c r="V545" s="262"/>
      <c r="W545" s="262"/>
      <c r="X545" s="262"/>
      <c r="Y545" s="262"/>
      <c r="Z545" s="262"/>
      <c r="AA545" s="262"/>
      <c r="AB545" s="262"/>
      <c r="AC545" s="262"/>
      <c r="AD545" s="262"/>
      <c r="AE545" s="262"/>
      <c r="AF545" s="262"/>
      <c r="AG545" s="264"/>
      <c r="AH545" s="264"/>
      <c r="AI545" s="264"/>
      <c r="AJ545" s="264"/>
      <c r="AK545" s="264"/>
      <c r="AL545" s="264"/>
      <c r="AM545" s="264"/>
      <c r="AN545" s="264"/>
    </row>
    <row r="546" ht="15.75" customHeight="1">
      <c r="A546" s="262"/>
      <c r="B546" s="338">
        <f>IFERROR(__xludf.DUMMYFUNCTION("""COMPUTED_VALUE"""),1027.0)</f>
        <v>1027</v>
      </c>
      <c r="C546" s="354"/>
      <c r="D546" s="340" t="str">
        <f>IFERROR(__xludf.DUMMYFUNCTION("""COMPUTED_VALUE"""),"")</f>
        <v/>
      </c>
      <c r="E546" s="341">
        <f>IFERROR(__xludf.DUMMYFUNCTION("""COMPUTED_VALUE"""),0.0)</f>
        <v>0</v>
      </c>
      <c r="F546" s="352"/>
      <c r="G546" s="343"/>
      <c r="H546" s="344">
        <f>IFERROR(__xludf.DUMMYFUNCTION("""COMPUTED_VALUE"""),0.0)</f>
        <v>0</v>
      </c>
      <c r="I546" s="353"/>
      <c r="J546" s="353"/>
      <c r="K546" s="346">
        <f>IFERROR(__xludf.DUMMYFUNCTION("""COMPUTED_VALUE"""),0.0)</f>
        <v>0</v>
      </c>
      <c r="L546" s="347">
        <f>IFERROR(__xludf.DUMMYFUNCTION("""COMPUTED_VALUE"""),0.0)</f>
        <v>0</v>
      </c>
      <c r="M546" s="348">
        <f>IFERROR(__xludf.DUMMYFUNCTION("""COMPUTED_VALUE"""),0.0)</f>
        <v>0</v>
      </c>
      <c r="N546" s="348">
        <f>IFERROR(__xludf.DUMMYFUNCTION("""COMPUTED_VALUE"""),0.0)</f>
        <v>0</v>
      </c>
      <c r="O546" s="348">
        <f>IFERROR(__xludf.DUMMYFUNCTION("""COMPUTED_VALUE"""),0.0)</f>
        <v>0</v>
      </c>
      <c r="P546" s="348">
        <f>IFERROR(__xludf.DUMMYFUNCTION("""COMPUTED_VALUE"""),0.0)</f>
        <v>0</v>
      </c>
      <c r="Q546" s="348">
        <f>IFERROR(__xludf.DUMMYFUNCTION("""COMPUTED_VALUE"""),0.0)</f>
        <v>0</v>
      </c>
      <c r="R546" s="355" t="str">
        <f>IFERROR(__xludf.DUMMYFUNCTION("""COMPUTED_VALUE""")," Cash Proyek ")</f>
        <v>Cash Proyek</v>
      </c>
      <c r="S546" s="350"/>
      <c r="T546" s="262"/>
      <c r="U546" s="351"/>
      <c r="V546" s="262"/>
      <c r="W546" s="262"/>
      <c r="X546" s="262"/>
      <c r="Y546" s="262"/>
      <c r="Z546" s="262"/>
      <c r="AA546" s="262"/>
      <c r="AB546" s="262"/>
      <c r="AC546" s="262"/>
      <c r="AD546" s="262"/>
      <c r="AE546" s="262"/>
      <c r="AF546" s="262"/>
      <c r="AG546" s="264"/>
      <c r="AH546" s="264"/>
      <c r="AI546" s="264"/>
      <c r="AJ546" s="264"/>
      <c r="AK546" s="264"/>
      <c r="AL546" s="264"/>
      <c r="AM546" s="264"/>
      <c r="AN546" s="264"/>
    </row>
    <row r="547" ht="15.75" customHeight="1">
      <c r="A547" s="262"/>
      <c r="B547" s="338">
        <f>IFERROR(__xludf.DUMMYFUNCTION("""COMPUTED_VALUE"""),1028.0)</f>
        <v>1028</v>
      </c>
      <c r="C547" s="354"/>
      <c r="D547" s="340" t="str">
        <f>IFERROR(__xludf.DUMMYFUNCTION("""COMPUTED_VALUE"""),"")</f>
        <v/>
      </c>
      <c r="E547" s="341">
        <f>IFERROR(__xludf.DUMMYFUNCTION("""COMPUTED_VALUE"""),0.0)</f>
        <v>0</v>
      </c>
      <c r="F547" s="352"/>
      <c r="G547" s="343"/>
      <c r="H547" s="344">
        <f>IFERROR(__xludf.DUMMYFUNCTION("""COMPUTED_VALUE"""),0.0)</f>
        <v>0</v>
      </c>
      <c r="I547" s="353"/>
      <c r="J547" s="353"/>
      <c r="K547" s="345">
        <f>IFERROR(__xludf.DUMMYFUNCTION("""COMPUTED_VALUE"""),0.0)</f>
        <v>0</v>
      </c>
      <c r="L547" s="347">
        <f>IFERROR(__xludf.DUMMYFUNCTION("""COMPUTED_VALUE"""),0.0)</f>
        <v>0</v>
      </c>
      <c r="M547" s="348">
        <f>IFERROR(__xludf.DUMMYFUNCTION("""COMPUTED_VALUE"""),0.0)</f>
        <v>0</v>
      </c>
      <c r="N547" s="348">
        <f>IFERROR(__xludf.DUMMYFUNCTION("""COMPUTED_VALUE"""),0.0)</f>
        <v>0</v>
      </c>
      <c r="O547" s="348">
        <f>IFERROR(__xludf.DUMMYFUNCTION("""COMPUTED_VALUE"""),0.0)</f>
        <v>0</v>
      </c>
      <c r="P547" s="348">
        <f>IFERROR(__xludf.DUMMYFUNCTION("""COMPUTED_VALUE"""),0.0)</f>
        <v>0</v>
      </c>
      <c r="Q547" s="348">
        <f>IFERROR(__xludf.DUMMYFUNCTION("""COMPUTED_VALUE"""),0.0)</f>
        <v>0</v>
      </c>
      <c r="R547" s="349" t="str">
        <f>IFERROR(__xludf.DUMMYFUNCTION("""COMPUTED_VALUE""")," Cash Proyek ")</f>
        <v>Cash Proyek</v>
      </c>
      <c r="S547" s="350"/>
      <c r="T547" s="262"/>
      <c r="U547" s="351"/>
      <c r="V547" s="262"/>
      <c r="W547" s="262"/>
      <c r="X547" s="262"/>
      <c r="Y547" s="262"/>
      <c r="Z547" s="262"/>
      <c r="AA547" s="262"/>
      <c r="AB547" s="262"/>
      <c r="AC547" s="262"/>
      <c r="AD547" s="262"/>
      <c r="AE547" s="262"/>
      <c r="AF547" s="262"/>
      <c r="AG547" s="264"/>
      <c r="AH547" s="264"/>
      <c r="AI547" s="264"/>
      <c r="AJ547" s="264"/>
      <c r="AK547" s="264"/>
      <c r="AL547" s="264"/>
      <c r="AM547" s="264"/>
      <c r="AN547" s="264"/>
    </row>
    <row r="548" ht="15.75" customHeight="1">
      <c r="A548" s="262"/>
      <c r="B548" s="338">
        <f>IFERROR(__xludf.DUMMYFUNCTION("""COMPUTED_VALUE"""),1029.0)</f>
        <v>1029</v>
      </c>
      <c r="C548" s="354"/>
      <c r="D548" s="340" t="str">
        <f>IFERROR(__xludf.DUMMYFUNCTION("""COMPUTED_VALUE"""),"")</f>
        <v/>
      </c>
      <c r="E548" s="341">
        <f>IFERROR(__xludf.DUMMYFUNCTION("""COMPUTED_VALUE"""),0.0)</f>
        <v>0</v>
      </c>
      <c r="F548" s="352"/>
      <c r="G548" s="343"/>
      <c r="H548" s="344">
        <f>IFERROR(__xludf.DUMMYFUNCTION("""COMPUTED_VALUE"""),0.0)</f>
        <v>0</v>
      </c>
      <c r="I548" s="353"/>
      <c r="J548" s="353"/>
      <c r="K548" s="346">
        <f>IFERROR(__xludf.DUMMYFUNCTION("""COMPUTED_VALUE"""),0.0)</f>
        <v>0</v>
      </c>
      <c r="L548" s="347">
        <f>IFERROR(__xludf.DUMMYFUNCTION("""COMPUTED_VALUE"""),0.0)</f>
        <v>0</v>
      </c>
      <c r="M548" s="348">
        <f>IFERROR(__xludf.DUMMYFUNCTION("""COMPUTED_VALUE"""),0.0)</f>
        <v>0</v>
      </c>
      <c r="N548" s="348">
        <f>IFERROR(__xludf.DUMMYFUNCTION("""COMPUTED_VALUE"""),0.0)</f>
        <v>0</v>
      </c>
      <c r="O548" s="348">
        <f>IFERROR(__xludf.DUMMYFUNCTION("""COMPUTED_VALUE"""),0.0)</f>
        <v>0</v>
      </c>
      <c r="P548" s="348">
        <f>IFERROR(__xludf.DUMMYFUNCTION("""COMPUTED_VALUE"""),0.0)</f>
        <v>0</v>
      </c>
      <c r="Q548" s="348">
        <f>IFERROR(__xludf.DUMMYFUNCTION("""COMPUTED_VALUE"""),0.0)</f>
        <v>0</v>
      </c>
      <c r="R548" s="349" t="str">
        <f>IFERROR(__xludf.DUMMYFUNCTION("""COMPUTED_VALUE""")," Cash Proyek ")</f>
        <v>Cash Proyek</v>
      </c>
      <c r="S548" s="350"/>
      <c r="T548" s="262"/>
      <c r="U548" s="351"/>
      <c r="V548" s="262"/>
      <c r="W548" s="262"/>
      <c r="X548" s="262"/>
      <c r="Y548" s="262"/>
      <c r="Z548" s="262"/>
      <c r="AA548" s="262"/>
      <c r="AB548" s="262"/>
      <c r="AC548" s="262"/>
      <c r="AD548" s="262"/>
      <c r="AE548" s="262"/>
      <c r="AF548" s="262"/>
      <c r="AG548" s="264"/>
      <c r="AH548" s="264"/>
      <c r="AI548" s="264"/>
      <c r="AJ548" s="264"/>
      <c r="AK548" s="264"/>
      <c r="AL548" s="264"/>
      <c r="AM548" s="264"/>
      <c r="AN548" s="264"/>
    </row>
    <row r="549" ht="15.75" customHeight="1">
      <c r="A549" s="262"/>
      <c r="B549" s="338">
        <f>IFERROR(__xludf.DUMMYFUNCTION("""COMPUTED_VALUE"""),1030.0)</f>
        <v>1030</v>
      </c>
      <c r="C549" s="354"/>
      <c r="D549" s="340" t="str">
        <f>IFERROR(__xludf.DUMMYFUNCTION("""COMPUTED_VALUE"""),"")</f>
        <v/>
      </c>
      <c r="E549" s="341">
        <f>IFERROR(__xludf.DUMMYFUNCTION("""COMPUTED_VALUE"""),0.0)</f>
        <v>0</v>
      </c>
      <c r="F549" s="352"/>
      <c r="G549" s="343"/>
      <c r="H549" s="344">
        <f>IFERROR(__xludf.DUMMYFUNCTION("""COMPUTED_VALUE"""),0.0)</f>
        <v>0</v>
      </c>
      <c r="I549" s="353"/>
      <c r="J549" s="353"/>
      <c r="K549" s="346">
        <f>IFERROR(__xludf.DUMMYFUNCTION("""COMPUTED_VALUE"""),0.0)</f>
        <v>0</v>
      </c>
      <c r="L549" s="347">
        <f>IFERROR(__xludf.DUMMYFUNCTION("""COMPUTED_VALUE"""),0.0)</f>
        <v>0</v>
      </c>
      <c r="M549" s="348">
        <f>IFERROR(__xludf.DUMMYFUNCTION("""COMPUTED_VALUE"""),0.0)</f>
        <v>0</v>
      </c>
      <c r="N549" s="348">
        <f>IFERROR(__xludf.DUMMYFUNCTION("""COMPUTED_VALUE"""),0.0)</f>
        <v>0</v>
      </c>
      <c r="O549" s="348">
        <f>IFERROR(__xludf.DUMMYFUNCTION("""COMPUTED_VALUE"""),0.0)</f>
        <v>0</v>
      </c>
      <c r="P549" s="348">
        <f>IFERROR(__xludf.DUMMYFUNCTION("""COMPUTED_VALUE"""),0.0)</f>
        <v>0</v>
      </c>
      <c r="Q549" s="348">
        <f>IFERROR(__xludf.DUMMYFUNCTION("""COMPUTED_VALUE"""),0.0)</f>
        <v>0</v>
      </c>
      <c r="R549" s="355" t="str">
        <f>IFERROR(__xludf.DUMMYFUNCTION("""COMPUTED_VALUE""")," Cash Proyek ")</f>
        <v>Cash Proyek</v>
      </c>
      <c r="S549" s="350"/>
      <c r="T549" s="262"/>
      <c r="U549" s="351"/>
      <c r="V549" s="262"/>
      <c r="W549" s="262"/>
      <c r="X549" s="262"/>
      <c r="Y549" s="262"/>
      <c r="Z549" s="262"/>
      <c r="AA549" s="262"/>
      <c r="AB549" s="262"/>
      <c r="AC549" s="262"/>
      <c r="AD549" s="262"/>
      <c r="AE549" s="262"/>
      <c r="AF549" s="262"/>
      <c r="AG549" s="264"/>
      <c r="AH549" s="264"/>
      <c r="AI549" s="264"/>
      <c r="AJ549" s="264"/>
      <c r="AK549" s="264"/>
      <c r="AL549" s="264"/>
      <c r="AM549" s="264"/>
      <c r="AN549" s="264"/>
    </row>
    <row r="550" ht="15.75" customHeight="1">
      <c r="A550" s="262"/>
      <c r="B550" s="338">
        <f>IFERROR(__xludf.DUMMYFUNCTION("""COMPUTED_VALUE"""),1031.0)</f>
        <v>1031</v>
      </c>
      <c r="C550" s="354"/>
      <c r="D550" s="340" t="str">
        <f>IFERROR(__xludf.DUMMYFUNCTION("""COMPUTED_VALUE"""),"")</f>
        <v/>
      </c>
      <c r="E550" s="341">
        <f>IFERROR(__xludf.DUMMYFUNCTION("""COMPUTED_VALUE"""),0.0)</f>
        <v>0</v>
      </c>
      <c r="F550" s="352"/>
      <c r="G550" s="343"/>
      <c r="H550" s="344">
        <f>IFERROR(__xludf.DUMMYFUNCTION("""COMPUTED_VALUE"""),0.0)</f>
        <v>0</v>
      </c>
      <c r="I550" s="353"/>
      <c r="J550" s="353"/>
      <c r="K550" s="346">
        <f>IFERROR(__xludf.DUMMYFUNCTION("""COMPUTED_VALUE"""),0.0)</f>
        <v>0</v>
      </c>
      <c r="L550" s="347">
        <f>IFERROR(__xludf.DUMMYFUNCTION("""COMPUTED_VALUE"""),0.0)</f>
        <v>0</v>
      </c>
      <c r="M550" s="348">
        <f>IFERROR(__xludf.DUMMYFUNCTION("""COMPUTED_VALUE"""),0.0)</f>
        <v>0</v>
      </c>
      <c r="N550" s="348">
        <f>IFERROR(__xludf.DUMMYFUNCTION("""COMPUTED_VALUE"""),0.0)</f>
        <v>0</v>
      </c>
      <c r="O550" s="348">
        <f>IFERROR(__xludf.DUMMYFUNCTION("""COMPUTED_VALUE"""),0.0)</f>
        <v>0</v>
      </c>
      <c r="P550" s="348">
        <f>IFERROR(__xludf.DUMMYFUNCTION("""COMPUTED_VALUE"""),0.0)</f>
        <v>0</v>
      </c>
      <c r="Q550" s="348">
        <f>IFERROR(__xludf.DUMMYFUNCTION("""COMPUTED_VALUE"""),0.0)</f>
        <v>0</v>
      </c>
      <c r="R550" s="355" t="str">
        <f>IFERROR(__xludf.DUMMYFUNCTION("""COMPUTED_VALUE""")," Cash Proyek ")</f>
        <v>Cash Proyek</v>
      </c>
      <c r="S550" s="350"/>
      <c r="T550" s="262"/>
      <c r="U550" s="351"/>
      <c r="V550" s="262"/>
      <c r="W550" s="262"/>
      <c r="X550" s="262"/>
      <c r="Y550" s="262"/>
      <c r="Z550" s="262"/>
      <c r="AA550" s="262"/>
      <c r="AB550" s="262"/>
      <c r="AC550" s="262"/>
      <c r="AD550" s="262"/>
      <c r="AE550" s="262"/>
      <c r="AF550" s="262"/>
      <c r="AG550" s="264"/>
      <c r="AH550" s="264"/>
      <c r="AI550" s="264"/>
      <c r="AJ550" s="264"/>
      <c r="AK550" s="264"/>
      <c r="AL550" s="264"/>
      <c r="AM550" s="264"/>
      <c r="AN550" s="264"/>
    </row>
    <row r="551" ht="15.75" customHeight="1">
      <c r="A551" s="262"/>
      <c r="B551" s="338">
        <f>IFERROR(__xludf.DUMMYFUNCTION("""COMPUTED_VALUE"""),1032.0)</f>
        <v>1032</v>
      </c>
      <c r="C551" s="354"/>
      <c r="D551" s="340" t="str">
        <f>IFERROR(__xludf.DUMMYFUNCTION("""COMPUTED_VALUE"""),"")</f>
        <v/>
      </c>
      <c r="E551" s="341">
        <f>IFERROR(__xludf.DUMMYFUNCTION("""COMPUTED_VALUE"""),0.0)</f>
        <v>0</v>
      </c>
      <c r="F551" s="352"/>
      <c r="G551" s="343"/>
      <c r="H551" s="344">
        <f>IFERROR(__xludf.DUMMYFUNCTION("""COMPUTED_VALUE"""),0.0)</f>
        <v>0</v>
      </c>
      <c r="I551" s="353"/>
      <c r="J551" s="353"/>
      <c r="K551" s="346">
        <f>IFERROR(__xludf.DUMMYFUNCTION("""COMPUTED_VALUE"""),0.0)</f>
        <v>0</v>
      </c>
      <c r="L551" s="347">
        <f>IFERROR(__xludf.DUMMYFUNCTION("""COMPUTED_VALUE"""),0.0)</f>
        <v>0</v>
      </c>
      <c r="M551" s="348">
        <f>IFERROR(__xludf.DUMMYFUNCTION("""COMPUTED_VALUE"""),0.0)</f>
        <v>0</v>
      </c>
      <c r="N551" s="348">
        <f>IFERROR(__xludf.DUMMYFUNCTION("""COMPUTED_VALUE"""),0.0)</f>
        <v>0</v>
      </c>
      <c r="O551" s="348">
        <f>IFERROR(__xludf.DUMMYFUNCTION("""COMPUTED_VALUE"""),0.0)</f>
        <v>0</v>
      </c>
      <c r="P551" s="348">
        <f>IFERROR(__xludf.DUMMYFUNCTION("""COMPUTED_VALUE"""),0.0)</f>
        <v>0</v>
      </c>
      <c r="Q551" s="348">
        <f>IFERROR(__xludf.DUMMYFUNCTION("""COMPUTED_VALUE"""),0.0)</f>
        <v>0</v>
      </c>
      <c r="R551" s="355" t="str">
        <f>IFERROR(__xludf.DUMMYFUNCTION("""COMPUTED_VALUE""")," Cash Proyek ")</f>
        <v>Cash Proyek</v>
      </c>
      <c r="S551" s="350"/>
      <c r="T551" s="262"/>
      <c r="U551" s="351"/>
      <c r="V551" s="262"/>
      <c r="W551" s="262"/>
      <c r="X551" s="262"/>
      <c r="Y551" s="262"/>
      <c r="Z551" s="262"/>
      <c r="AA551" s="262"/>
      <c r="AB551" s="262"/>
      <c r="AC551" s="262"/>
      <c r="AD551" s="262"/>
      <c r="AE551" s="262"/>
      <c r="AF551" s="262"/>
      <c r="AG551" s="264"/>
      <c r="AH551" s="264"/>
      <c r="AI551" s="264"/>
      <c r="AJ551" s="264"/>
      <c r="AK551" s="264"/>
      <c r="AL551" s="264"/>
      <c r="AM551" s="264"/>
      <c r="AN551" s="264"/>
    </row>
    <row r="552" ht="15.75" customHeight="1">
      <c r="A552" s="262"/>
      <c r="B552" s="338">
        <f>IFERROR(__xludf.DUMMYFUNCTION("""COMPUTED_VALUE"""),1033.0)</f>
        <v>1033</v>
      </c>
      <c r="C552" s="354"/>
      <c r="D552" s="340" t="str">
        <f>IFERROR(__xludf.DUMMYFUNCTION("""COMPUTED_VALUE"""),"")</f>
        <v/>
      </c>
      <c r="E552" s="341">
        <f>IFERROR(__xludf.DUMMYFUNCTION("""COMPUTED_VALUE"""),0.0)</f>
        <v>0</v>
      </c>
      <c r="F552" s="352"/>
      <c r="G552" s="343"/>
      <c r="H552" s="344">
        <f>IFERROR(__xludf.DUMMYFUNCTION("""COMPUTED_VALUE"""),0.0)</f>
        <v>0</v>
      </c>
      <c r="I552" s="353"/>
      <c r="J552" s="353"/>
      <c r="K552" s="346">
        <f>IFERROR(__xludf.DUMMYFUNCTION("""COMPUTED_VALUE"""),0.0)</f>
        <v>0</v>
      </c>
      <c r="L552" s="347">
        <f>IFERROR(__xludf.DUMMYFUNCTION("""COMPUTED_VALUE"""),0.0)</f>
        <v>0</v>
      </c>
      <c r="M552" s="348">
        <f>IFERROR(__xludf.DUMMYFUNCTION("""COMPUTED_VALUE"""),0.0)</f>
        <v>0</v>
      </c>
      <c r="N552" s="348">
        <f>IFERROR(__xludf.DUMMYFUNCTION("""COMPUTED_VALUE"""),0.0)</f>
        <v>0</v>
      </c>
      <c r="O552" s="348">
        <f>IFERROR(__xludf.DUMMYFUNCTION("""COMPUTED_VALUE"""),0.0)</f>
        <v>0</v>
      </c>
      <c r="P552" s="348">
        <f>IFERROR(__xludf.DUMMYFUNCTION("""COMPUTED_VALUE"""),0.0)</f>
        <v>0</v>
      </c>
      <c r="Q552" s="348">
        <f>IFERROR(__xludf.DUMMYFUNCTION("""COMPUTED_VALUE"""),0.0)</f>
        <v>0</v>
      </c>
      <c r="R552" s="355" t="str">
        <f>IFERROR(__xludf.DUMMYFUNCTION("""COMPUTED_VALUE""")," Cash Proyek ")</f>
        <v>Cash Proyek</v>
      </c>
      <c r="S552" s="350"/>
      <c r="T552" s="262"/>
      <c r="U552" s="351"/>
      <c r="V552" s="262"/>
      <c r="W552" s="262"/>
      <c r="X552" s="262"/>
      <c r="Y552" s="262"/>
      <c r="Z552" s="262"/>
      <c r="AA552" s="262"/>
      <c r="AB552" s="262"/>
      <c r="AC552" s="262"/>
      <c r="AD552" s="262"/>
      <c r="AE552" s="262"/>
      <c r="AF552" s="262"/>
      <c r="AG552" s="264"/>
      <c r="AH552" s="264"/>
      <c r="AI552" s="264"/>
      <c r="AJ552" s="264"/>
      <c r="AK552" s="264"/>
      <c r="AL552" s="264"/>
      <c r="AM552" s="264"/>
      <c r="AN552" s="264"/>
    </row>
    <row r="553" ht="15.75" customHeight="1">
      <c r="A553" s="262"/>
      <c r="B553" s="338">
        <f>IFERROR(__xludf.DUMMYFUNCTION("""COMPUTED_VALUE"""),1034.0)</f>
        <v>1034</v>
      </c>
      <c r="C553" s="354"/>
      <c r="D553" s="340" t="str">
        <f>IFERROR(__xludf.DUMMYFUNCTION("""COMPUTED_VALUE"""),"")</f>
        <v/>
      </c>
      <c r="E553" s="341">
        <f>IFERROR(__xludf.DUMMYFUNCTION("""COMPUTED_VALUE"""),0.0)</f>
        <v>0</v>
      </c>
      <c r="F553" s="352"/>
      <c r="G553" s="343"/>
      <c r="H553" s="344">
        <f>IFERROR(__xludf.DUMMYFUNCTION("""COMPUTED_VALUE"""),0.0)</f>
        <v>0</v>
      </c>
      <c r="I553" s="353"/>
      <c r="J553" s="353"/>
      <c r="K553" s="346">
        <f>IFERROR(__xludf.DUMMYFUNCTION("""COMPUTED_VALUE"""),0.0)</f>
        <v>0</v>
      </c>
      <c r="L553" s="347">
        <f>IFERROR(__xludf.DUMMYFUNCTION("""COMPUTED_VALUE"""),0.0)</f>
        <v>0</v>
      </c>
      <c r="M553" s="348">
        <f>IFERROR(__xludf.DUMMYFUNCTION("""COMPUTED_VALUE"""),0.0)</f>
        <v>0</v>
      </c>
      <c r="N553" s="348">
        <f>IFERROR(__xludf.DUMMYFUNCTION("""COMPUTED_VALUE"""),0.0)</f>
        <v>0</v>
      </c>
      <c r="O553" s="348">
        <f>IFERROR(__xludf.DUMMYFUNCTION("""COMPUTED_VALUE"""),0.0)</f>
        <v>0</v>
      </c>
      <c r="P553" s="348">
        <f>IFERROR(__xludf.DUMMYFUNCTION("""COMPUTED_VALUE"""),0.0)</f>
        <v>0</v>
      </c>
      <c r="Q553" s="348">
        <f>IFERROR(__xludf.DUMMYFUNCTION("""COMPUTED_VALUE"""),0.0)</f>
        <v>0</v>
      </c>
      <c r="R553" s="355" t="str">
        <f>IFERROR(__xludf.DUMMYFUNCTION("""COMPUTED_VALUE""")," Cash Proyek ")</f>
        <v>Cash Proyek</v>
      </c>
      <c r="S553" s="350"/>
      <c r="T553" s="262"/>
      <c r="U553" s="351"/>
      <c r="V553" s="262"/>
      <c r="W553" s="262"/>
      <c r="X553" s="262"/>
      <c r="Y553" s="262"/>
      <c r="Z553" s="262"/>
      <c r="AA553" s="262"/>
      <c r="AB553" s="262"/>
      <c r="AC553" s="262"/>
      <c r="AD553" s="262"/>
      <c r="AE553" s="262"/>
      <c r="AF553" s="262"/>
      <c r="AG553" s="264"/>
      <c r="AH553" s="264"/>
      <c r="AI553" s="264"/>
      <c r="AJ553" s="264"/>
      <c r="AK553" s="264"/>
      <c r="AL553" s="264"/>
      <c r="AM553" s="264"/>
      <c r="AN553" s="264"/>
    </row>
    <row r="554" ht="15.75" customHeight="1">
      <c r="A554" s="262"/>
      <c r="B554" s="338">
        <f>IFERROR(__xludf.DUMMYFUNCTION("""COMPUTED_VALUE"""),1035.0)</f>
        <v>1035</v>
      </c>
      <c r="C554" s="354"/>
      <c r="D554" s="340" t="str">
        <f>IFERROR(__xludf.DUMMYFUNCTION("""COMPUTED_VALUE"""),"")</f>
        <v/>
      </c>
      <c r="E554" s="341">
        <f>IFERROR(__xludf.DUMMYFUNCTION("""COMPUTED_VALUE"""),0.0)</f>
        <v>0</v>
      </c>
      <c r="F554" s="352"/>
      <c r="G554" s="343"/>
      <c r="H554" s="344">
        <f>IFERROR(__xludf.DUMMYFUNCTION("""COMPUTED_VALUE"""),0.0)</f>
        <v>0</v>
      </c>
      <c r="I554" s="353"/>
      <c r="J554" s="353"/>
      <c r="K554" s="346">
        <f>IFERROR(__xludf.DUMMYFUNCTION("""COMPUTED_VALUE"""),0.0)</f>
        <v>0</v>
      </c>
      <c r="L554" s="347">
        <f>IFERROR(__xludf.DUMMYFUNCTION("""COMPUTED_VALUE"""),0.0)</f>
        <v>0</v>
      </c>
      <c r="M554" s="348">
        <f>IFERROR(__xludf.DUMMYFUNCTION("""COMPUTED_VALUE"""),0.0)</f>
        <v>0</v>
      </c>
      <c r="N554" s="348">
        <f>IFERROR(__xludf.DUMMYFUNCTION("""COMPUTED_VALUE"""),0.0)</f>
        <v>0</v>
      </c>
      <c r="O554" s="348">
        <f>IFERROR(__xludf.DUMMYFUNCTION("""COMPUTED_VALUE"""),0.0)</f>
        <v>0</v>
      </c>
      <c r="P554" s="348">
        <f>IFERROR(__xludf.DUMMYFUNCTION("""COMPUTED_VALUE"""),0.0)</f>
        <v>0</v>
      </c>
      <c r="Q554" s="348">
        <f>IFERROR(__xludf.DUMMYFUNCTION("""COMPUTED_VALUE"""),0.0)</f>
        <v>0</v>
      </c>
      <c r="R554" s="355" t="str">
        <f>IFERROR(__xludf.DUMMYFUNCTION("""COMPUTED_VALUE""")," Cash Proyek ")</f>
        <v>Cash Proyek</v>
      </c>
      <c r="S554" s="350"/>
      <c r="T554" s="262"/>
      <c r="U554" s="351"/>
      <c r="V554" s="262"/>
      <c r="W554" s="262"/>
      <c r="X554" s="262"/>
      <c r="Y554" s="262"/>
      <c r="Z554" s="262"/>
      <c r="AA554" s="262"/>
      <c r="AB554" s="262"/>
      <c r="AC554" s="262"/>
      <c r="AD554" s="262"/>
      <c r="AE554" s="262"/>
      <c r="AF554" s="262"/>
      <c r="AG554" s="264"/>
      <c r="AH554" s="264"/>
      <c r="AI554" s="264"/>
      <c r="AJ554" s="264"/>
      <c r="AK554" s="264"/>
      <c r="AL554" s="264"/>
      <c r="AM554" s="264"/>
      <c r="AN554" s="264"/>
    </row>
    <row r="555" ht="15.75" customHeight="1">
      <c r="A555" s="262"/>
      <c r="B555" s="338">
        <f>IFERROR(__xludf.DUMMYFUNCTION("""COMPUTED_VALUE"""),1036.0)</f>
        <v>1036</v>
      </c>
      <c r="C555" s="354"/>
      <c r="D555" s="340" t="str">
        <f>IFERROR(__xludf.DUMMYFUNCTION("""COMPUTED_VALUE"""),"")</f>
        <v/>
      </c>
      <c r="E555" s="341">
        <f>IFERROR(__xludf.DUMMYFUNCTION("""COMPUTED_VALUE"""),0.0)</f>
        <v>0</v>
      </c>
      <c r="F555" s="352"/>
      <c r="G555" s="343"/>
      <c r="H555" s="344">
        <f>IFERROR(__xludf.DUMMYFUNCTION("""COMPUTED_VALUE"""),0.0)</f>
        <v>0</v>
      </c>
      <c r="I555" s="353"/>
      <c r="J555" s="353"/>
      <c r="K555" s="346">
        <f>IFERROR(__xludf.DUMMYFUNCTION("""COMPUTED_VALUE"""),0.0)</f>
        <v>0</v>
      </c>
      <c r="L555" s="347">
        <f>IFERROR(__xludf.DUMMYFUNCTION("""COMPUTED_VALUE"""),0.0)</f>
        <v>0</v>
      </c>
      <c r="M555" s="348">
        <f>IFERROR(__xludf.DUMMYFUNCTION("""COMPUTED_VALUE"""),0.0)</f>
        <v>0</v>
      </c>
      <c r="N555" s="348">
        <f>IFERROR(__xludf.DUMMYFUNCTION("""COMPUTED_VALUE"""),0.0)</f>
        <v>0</v>
      </c>
      <c r="O555" s="348">
        <f>IFERROR(__xludf.DUMMYFUNCTION("""COMPUTED_VALUE"""),0.0)</f>
        <v>0</v>
      </c>
      <c r="P555" s="348">
        <f>IFERROR(__xludf.DUMMYFUNCTION("""COMPUTED_VALUE"""),0.0)</f>
        <v>0</v>
      </c>
      <c r="Q555" s="348">
        <f>IFERROR(__xludf.DUMMYFUNCTION("""COMPUTED_VALUE"""),0.0)</f>
        <v>0</v>
      </c>
      <c r="R555" s="355" t="str">
        <f>IFERROR(__xludf.DUMMYFUNCTION("""COMPUTED_VALUE""")," Cash Proyek ")</f>
        <v>Cash Proyek</v>
      </c>
      <c r="S555" s="350"/>
      <c r="T555" s="262"/>
      <c r="U555" s="351"/>
      <c r="V555" s="262"/>
      <c r="W555" s="262"/>
      <c r="X555" s="262"/>
      <c r="Y555" s="262"/>
      <c r="Z555" s="262"/>
      <c r="AA555" s="262"/>
      <c r="AB555" s="262"/>
      <c r="AC555" s="262"/>
      <c r="AD555" s="262"/>
      <c r="AE555" s="262"/>
      <c r="AF555" s="262"/>
      <c r="AG555" s="264"/>
      <c r="AH555" s="264"/>
      <c r="AI555" s="264"/>
      <c r="AJ555" s="264"/>
      <c r="AK555" s="264"/>
      <c r="AL555" s="264"/>
      <c r="AM555" s="264"/>
      <c r="AN555" s="264"/>
    </row>
    <row r="556" ht="15.75" customHeight="1">
      <c r="A556" s="262"/>
      <c r="B556" s="338">
        <f>IFERROR(__xludf.DUMMYFUNCTION("""COMPUTED_VALUE"""),1037.0)</f>
        <v>1037</v>
      </c>
      <c r="C556" s="354"/>
      <c r="D556" s="340" t="str">
        <f>IFERROR(__xludf.DUMMYFUNCTION("""COMPUTED_VALUE"""),"")</f>
        <v/>
      </c>
      <c r="E556" s="341">
        <f>IFERROR(__xludf.DUMMYFUNCTION("""COMPUTED_VALUE"""),0.0)</f>
        <v>0</v>
      </c>
      <c r="F556" s="352"/>
      <c r="G556" s="343"/>
      <c r="H556" s="344">
        <f>IFERROR(__xludf.DUMMYFUNCTION("""COMPUTED_VALUE"""),0.0)</f>
        <v>0</v>
      </c>
      <c r="I556" s="353"/>
      <c r="J556" s="353"/>
      <c r="K556" s="346">
        <f>IFERROR(__xludf.DUMMYFUNCTION("""COMPUTED_VALUE"""),0.0)</f>
        <v>0</v>
      </c>
      <c r="L556" s="347">
        <f>IFERROR(__xludf.DUMMYFUNCTION("""COMPUTED_VALUE"""),0.0)</f>
        <v>0</v>
      </c>
      <c r="M556" s="348">
        <f>IFERROR(__xludf.DUMMYFUNCTION("""COMPUTED_VALUE"""),0.0)</f>
        <v>0</v>
      </c>
      <c r="N556" s="348">
        <f>IFERROR(__xludf.DUMMYFUNCTION("""COMPUTED_VALUE"""),0.0)</f>
        <v>0</v>
      </c>
      <c r="O556" s="348">
        <f>IFERROR(__xludf.DUMMYFUNCTION("""COMPUTED_VALUE"""),0.0)</f>
        <v>0</v>
      </c>
      <c r="P556" s="348">
        <f>IFERROR(__xludf.DUMMYFUNCTION("""COMPUTED_VALUE"""),0.0)</f>
        <v>0</v>
      </c>
      <c r="Q556" s="348">
        <f>IFERROR(__xludf.DUMMYFUNCTION("""COMPUTED_VALUE"""),0.0)</f>
        <v>0</v>
      </c>
      <c r="R556" s="355" t="str">
        <f>IFERROR(__xludf.DUMMYFUNCTION("""COMPUTED_VALUE""")," Cash Proyek ")</f>
        <v>Cash Proyek</v>
      </c>
      <c r="S556" s="350"/>
      <c r="T556" s="262"/>
      <c r="U556" s="351"/>
      <c r="V556" s="262"/>
      <c r="W556" s="262"/>
      <c r="X556" s="262"/>
      <c r="Y556" s="262"/>
      <c r="Z556" s="262"/>
      <c r="AA556" s="262"/>
      <c r="AB556" s="262"/>
      <c r="AC556" s="262"/>
      <c r="AD556" s="262"/>
      <c r="AE556" s="262"/>
      <c r="AF556" s="262"/>
      <c r="AG556" s="264"/>
      <c r="AH556" s="264"/>
      <c r="AI556" s="264"/>
      <c r="AJ556" s="264"/>
      <c r="AK556" s="264"/>
      <c r="AL556" s="264"/>
      <c r="AM556" s="264"/>
      <c r="AN556" s="264"/>
    </row>
    <row r="557" ht="15.75" customHeight="1">
      <c r="A557" s="262"/>
      <c r="B557" s="338">
        <f>IFERROR(__xludf.DUMMYFUNCTION("""COMPUTED_VALUE"""),1038.0)</f>
        <v>1038</v>
      </c>
      <c r="C557" s="354"/>
      <c r="D557" s="340" t="str">
        <f>IFERROR(__xludf.DUMMYFUNCTION("""COMPUTED_VALUE"""),"")</f>
        <v/>
      </c>
      <c r="E557" s="341">
        <f>IFERROR(__xludf.DUMMYFUNCTION("""COMPUTED_VALUE"""),0.0)</f>
        <v>0</v>
      </c>
      <c r="F557" s="352"/>
      <c r="G557" s="343"/>
      <c r="H557" s="344">
        <f>IFERROR(__xludf.DUMMYFUNCTION("""COMPUTED_VALUE"""),0.0)</f>
        <v>0</v>
      </c>
      <c r="I557" s="353"/>
      <c r="J557" s="353"/>
      <c r="K557" s="346">
        <f>IFERROR(__xludf.DUMMYFUNCTION("""COMPUTED_VALUE"""),0.0)</f>
        <v>0</v>
      </c>
      <c r="L557" s="347">
        <f>IFERROR(__xludf.DUMMYFUNCTION("""COMPUTED_VALUE"""),0.0)</f>
        <v>0</v>
      </c>
      <c r="M557" s="348">
        <f>IFERROR(__xludf.DUMMYFUNCTION("""COMPUTED_VALUE"""),0.0)</f>
        <v>0</v>
      </c>
      <c r="N557" s="348">
        <f>IFERROR(__xludf.DUMMYFUNCTION("""COMPUTED_VALUE"""),0.0)</f>
        <v>0</v>
      </c>
      <c r="O557" s="348">
        <f>IFERROR(__xludf.DUMMYFUNCTION("""COMPUTED_VALUE"""),0.0)</f>
        <v>0</v>
      </c>
      <c r="P557" s="348">
        <f>IFERROR(__xludf.DUMMYFUNCTION("""COMPUTED_VALUE"""),0.0)</f>
        <v>0</v>
      </c>
      <c r="Q557" s="348">
        <f>IFERROR(__xludf.DUMMYFUNCTION("""COMPUTED_VALUE"""),0.0)</f>
        <v>0</v>
      </c>
      <c r="R557" s="355" t="str">
        <f>IFERROR(__xludf.DUMMYFUNCTION("""COMPUTED_VALUE""")," Cash Proyek ")</f>
        <v>Cash Proyek</v>
      </c>
      <c r="S557" s="350"/>
      <c r="T557" s="262"/>
      <c r="U557" s="351"/>
      <c r="V557" s="262"/>
      <c r="W557" s="262"/>
      <c r="X557" s="262"/>
      <c r="Y557" s="262"/>
      <c r="Z557" s="262"/>
      <c r="AA557" s="262"/>
      <c r="AB557" s="262"/>
      <c r="AC557" s="262"/>
      <c r="AD557" s="262"/>
      <c r="AE557" s="262"/>
      <c r="AF557" s="262"/>
      <c r="AG557" s="264"/>
      <c r="AH557" s="264"/>
      <c r="AI557" s="264"/>
      <c r="AJ557" s="264"/>
      <c r="AK557" s="264"/>
      <c r="AL557" s="264"/>
      <c r="AM557" s="264"/>
      <c r="AN557" s="264"/>
    </row>
    <row r="558" ht="15.75" customHeight="1">
      <c r="A558" s="262"/>
      <c r="B558" s="338">
        <f>IFERROR(__xludf.DUMMYFUNCTION("""COMPUTED_VALUE"""),1039.0)</f>
        <v>1039</v>
      </c>
      <c r="C558" s="354"/>
      <c r="D558" s="340" t="str">
        <f>IFERROR(__xludf.DUMMYFUNCTION("""COMPUTED_VALUE"""),"")</f>
        <v/>
      </c>
      <c r="E558" s="341">
        <f>IFERROR(__xludf.DUMMYFUNCTION("""COMPUTED_VALUE"""),0.0)</f>
        <v>0</v>
      </c>
      <c r="F558" s="352"/>
      <c r="G558" s="343"/>
      <c r="H558" s="344">
        <f>IFERROR(__xludf.DUMMYFUNCTION("""COMPUTED_VALUE"""),0.0)</f>
        <v>0</v>
      </c>
      <c r="I558" s="353"/>
      <c r="J558" s="353"/>
      <c r="K558" s="346">
        <f>IFERROR(__xludf.DUMMYFUNCTION("""COMPUTED_VALUE"""),0.0)</f>
        <v>0</v>
      </c>
      <c r="L558" s="347">
        <f>IFERROR(__xludf.DUMMYFUNCTION("""COMPUTED_VALUE"""),0.0)</f>
        <v>0</v>
      </c>
      <c r="M558" s="348">
        <f>IFERROR(__xludf.DUMMYFUNCTION("""COMPUTED_VALUE"""),0.0)</f>
        <v>0</v>
      </c>
      <c r="N558" s="348">
        <f>IFERROR(__xludf.DUMMYFUNCTION("""COMPUTED_VALUE"""),0.0)</f>
        <v>0</v>
      </c>
      <c r="O558" s="348">
        <f>IFERROR(__xludf.DUMMYFUNCTION("""COMPUTED_VALUE"""),0.0)</f>
        <v>0</v>
      </c>
      <c r="P558" s="348">
        <f>IFERROR(__xludf.DUMMYFUNCTION("""COMPUTED_VALUE"""),0.0)</f>
        <v>0</v>
      </c>
      <c r="Q558" s="348">
        <f>IFERROR(__xludf.DUMMYFUNCTION("""COMPUTED_VALUE"""),0.0)</f>
        <v>0</v>
      </c>
      <c r="R558" s="355" t="str">
        <f>IFERROR(__xludf.DUMMYFUNCTION("""COMPUTED_VALUE""")," Cash Proyek ")</f>
        <v>Cash Proyek</v>
      </c>
      <c r="S558" s="350"/>
      <c r="T558" s="262"/>
      <c r="U558" s="351"/>
      <c r="V558" s="262"/>
      <c r="W558" s="262"/>
      <c r="X558" s="262"/>
      <c r="Y558" s="262"/>
      <c r="Z558" s="262"/>
      <c r="AA558" s="262"/>
      <c r="AB558" s="262"/>
      <c r="AC558" s="262"/>
      <c r="AD558" s="262"/>
      <c r="AE558" s="262"/>
      <c r="AF558" s="262"/>
      <c r="AG558" s="264"/>
      <c r="AH558" s="264"/>
      <c r="AI558" s="264"/>
      <c r="AJ558" s="264"/>
      <c r="AK558" s="264"/>
      <c r="AL558" s="264"/>
      <c r="AM558" s="264"/>
      <c r="AN558" s="264"/>
    </row>
    <row r="559" ht="15.75" customHeight="1">
      <c r="A559" s="262"/>
      <c r="B559" s="338">
        <f>IFERROR(__xludf.DUMMYFUNCTION("""COMPUTED_VALUE"""),1040.0)</f>
        <v>1040</v>
      </c>
      <c r="C559" s="354"/>
      <c r="D559" s="340" t="str">
        <f>IFERROR(__xludf.DUMMYFUNCTION("""COMPUTED_VALUE"""),"")</f>
        <v/>
      </c>
      <c r="E559" s="341">
        <f>IFERROR(__xludf.DUMMYFUNCTION("""COMPUTED_VALUE"""),0.0)</f>
        <v>0</v>
      </c>
      <c r="F559" s="352"/>
      <c r="G559" s="343"/>
      <c r="H559" s="344">
        <f>IFERROR(__xludf.DUMMYFUNCTION("""COMPUTED_VALUE"""),0.0)</f>
        <v>0</v>
      </c>
      <c r="I559" s="353"/>
      <c r="J559" s="353"/>
      <c r="K559" s="346">
        <f>IFERROR(__xludf.DUMMYFUNCTION("""COMPUTED_VALUE"""),0.0)</f>
        <v>0</v>
      </c>
      <c r="L559" s="347">
        <f>IFERROR(__xludf.DUMMYFUNCTION("""COMPUTED_VALUE"""),0.0)</f>
        <v>0</v>
      </c>
      <c r="M559" s="348">
        <f>IFERROR(__xludf.DUMMYFUNCTION("""COMPUTED_VALUE"""),0.0)</f>
        <v>0</v>
      </c>
      <c r="N559" s="348">
        <f>IFERROR(__xludf.DUMMYFUNCTION("""COMPUTED_VALUE"""),0.0)</f>
        <v>0</v>
      </c>
      <c r="O559" s="348">
        <f>IFERROR(__xludf.DUMMYFUNCTION("""COMPUTED_VALUE"""),0.0)</f>
        <v>0</v>
      </c>
      <c r="P559" s="348">
        <f>IFERROR(__xludf.DUMMYFUNCTION("""COMPUTED_VALUE"""),0.0)</f>
        <v>0</v>
      </c>
      <c r="Q559" s="348">
        <f>IFERROR(__xludf.DUMMYFUNCTION("""COMPUTED_VALUE"""),0.0)</f>
        <v>0</v>
      </c>
      <c r="R559" s="355" t="str">
        <f>IFERROR(__xludf.DUMMYFUNCTION("""COMPUTED_VALUE""")," Cash Proyek ")</f>
        <v>Cash Proyek</v>
      </c>
      <c r="S559" s="350"/>
      <c r="T559" s="262"/>
      <c r="U559" s="351"/>
      <c r="V559" s="262"/>
      <c r="W559" s="262"/>
      <c r="X559" s="262"/>
      <c r="Y559" s="262"/>
      <c r="Z559" s="262"/>
      <c r="AA559" s="262"/>
      <c r="AB559" s="262"/>
      <c r="AC559" s="262"/>
      <c r="AD559" s="262"/>
      <c r="AE559" s="262"/>
      <c r="AF559" s="262"/>
      <c r="AG559" s="264"/>
      <c r="AH559" s="264"/>
      <c r="AI559" s="264"/>
      <c r="AJ559" s="264"/>
      <c r="AK559" s="264"/>
      <c r="AL559" s="264"/>
      <c r="AM559" s="264"/>
      <c r="AN559" s="264"/>
    </row>
    <row r="560" ht="15.75" customHeight="1">
      <c r="A560" s="262"/>
      <c r="B560" s="338">
        <f>IFERROR(__xludf.DUMMYFUNCTION("""COMPUTED_VALUE"""),1041.0)</f>
        <v>1041</v>
      </c>
      <c r="C560" s="354"/>
      <c r="D560" s="340" t="str">
        <f>IFERROR(__xludf.DUMMYFUNCTION("""COMPUTED_VALUE"""),"")</f>
        <v/>
      </c>
      <c r="E560" s="341">
        <f>IFERROR(__xludf.DUMMYFUNCTION("""COMPUTED_VALUE"""),0.0)</f>
        <v>0</v>
      </c>
      <c r="F560" s="352"/>
      <c r="G560" s="343"/>
      <c r="H560" s="344">
        <f>IFERROR(__xludf.DUMMYFUNCTION("""COMPUTED_VALUE"""),0.0)</f>
        <v>0</v>
      </c>
      <c r="I560" s="353"/>
      <c r="J560" s="353"/>
      <c r="K560" s="346">
        <f>IFERROR(__xludf.DUMMYFUNCTION("""COMPUTED_VALUE"""),0.0)</f>
        <v>0</v>
      </c>
      <c r="L560" s="347">
        <f>IFERROR(__xludf.DUMMYFUNCTION("""COMPUTED_VALUE"""),0.0)</f>
        <v>0</v>
      </c>
      <c r="M560" s="348">
        <f>IFERROR(__xludf.DUMMYFUNCTION("""COMPUTED_VALUE"""),0.0)</f>
        <v>0</v>
      </c>
      <c r="N560" s="348">
        <f>IFERROR(__xludf.DUMMYFUNCTION("""COMPUTED_VALUE"""),0.0)</f>
        <v>0</v>
      </c>
      <c r="O560" s="348">
        <f>IFERROR(__xludf.DUMMYFUNCTION("""COMPUTED_VALUE"""),0.0)</f>
        <v>0</v>
      </c>
      <c r="P560" s="348">
        <f>IFERROR(__xludf.DUMMYFUNCTION("""COMPUTED_VALUE"""),0.0)</f>
        <v>0</v>
      </c>
      <c r="Q560" s="348">
        <f>IFERROR(__xludf.DUMMYFUNCTION("""COMPUTED_VALUE"""),0.0)</f>
        <v>0</v>
      </c>
      <c r="R560" s="355" t="str">
        <f>IFERROR(__xludf.DUMMYFUNCTION("""COMPUTED_VALUE""")," Cash Proyek ")</f>
        <v>Cash Proyek</v>
      </c>
      <c r="S560" s="350"/>
      <c r="T560" s="262"/>
      <c r="U560" s="351"/>
      <c r="V560" s="262"/>
      <c r="W560" s="262"/>
      <c r="X560" s="262"/>
      <c r="Y560" s="262"/>
      <c r="Z560" s="262"/>
      <c r="AA560" s="262"/>
      <c r="AB560" s="262"/>
      <c r="AC560" s="262"/>
      <c r="AD560" s="262"/>
      <c r="AE560" s="262"/>
      <c r="AF560" s="262"/>
      <c r="AG560" s="264"/>
      <c r="AH560" s="264"/>
      <c r="AI560" s="264"/>
      <c r="AJ560" s="264"/>
      <c r="AK560" s="264"/>
      <c r="AL560" s="264"/>
      <c r="AM560" s="264"/>
      <c r="AN560" s="264"/>
    </row>
    <row r="561" ht="15.75" customHeight="1">
      <c r="A561" s="262"/>
      <c r="B561" s="338">
        <f>IFERROR(__xludf.DUMMYFUNCTION("""COMPUTED_VALUE"""),1042.0)</f>
        <v>1042</v>
      </c>
      <c r="C561" s="354"/>
      <c r="D561" s="340" t="str">
        <f>IFERROR(__xludf.DUMMYFUNCTION("""COMPUTED_VALUE"""),"")</f>
        <v/>
      </c>
      <c r="E561" s="341">
        <f>IFERROR(__xludf.DUMMYFUNCTION("""COMPUTED_VALUE"""),0.0)</f>
        <v>0</v>
      </c>
      <c r="F561" s="352"/>
      <c r="G561" s="343"/>
      <c r="H561" s="344">
        <f>IFERROR(__xludf.DUMMYFUNCTION("""COMPUTED_VALUE"""),0.0)</f>
        <v>0</v>
      </c>
      <c r="I561" s="353"/>
      <c r="J561" s="353"/>
      <c r="K561" s="346">
        <f>IFERROR(__xludf.DUMMYFUNCTION("""COMPUTED_VALUE"""),0.0)</f>
        <v>0</v>
      </c>
      <c r="L561" s="347">
        <f>IFERROR(__xludf.DUMMYFUNCTION("""COMPUTED_VALUE"""),0.0)</f>
        <v>0</v>
      </c>
      <c r="M561" s="348">
        <f>IFERROR(__xludf.DUMMYFUNCTION("""COMPUTED_VALUE"""),0.0)</f>
        <v>0</v>
      </c>
      <c r="N561" s="348">
        <f>IFERROR(__xludf.DUMMYFUNCTION("""COMPUTED_VALUE"""),0.0)</f>
        <v>0</v>
      </c>
      <c r="O561" s="348">
        <f>IFERROR(__xludf.DUMMYFUNCTION("""COMPUTED_VALUE"""),0.0)</f>
        <v>0</v>
      </c>
      <c r="P561" s="348">
        <f>IFERROR(__xludf.DUMMYFUNCTION("""COMPUTED_VALUE"""),0.0)</f>
        <v>0</v>
      </c>
      <c r="Q561" s="348">
        <f>IFERROR(__xludf.DUMMYFUNCTION("""COMPUTED_VALUE"""),0.0)</f>
        <v>0</v>
      </c>
      <c r="R561" s="355" t="str">
        <f>IFERROR(__xludf.DUMMYFUNCTION("""COMPUTED_VALUE""")," Cash Proyek ")</f>
        <v>Cash Proyek</v>
      </c>
      <c r="S561" s="350"/>
      <c r="T561" s="262"/>
      <c r="U561" s="351"/>
      <c r="V561" s="262"/>
      <c r="W561" s="262"/>
      <c r="X561" s="262"/>
      <c r="Y561" s="262"/>
      <c r="Z561" s="262"/>
      <c r="AA561" s="262"/>
      <c r="AB561" s="262"/>
      <c r="AC561" s="262"/>
      <c r="AD561" s="262"/>
      <c r="AE561" s="262"/>
      <c r="AF561" s="262"/>
      <c r="AG561" s="264"/>
      <c r="AH561" s="264"/>
      <c r="AI561" s="264"/>
      <c r="AJ561" s="264"/>
      <c r="AK561" s="264"/>
      <c r="AL561" s="264"/>
      <c r="AM561" s="264"/>
      <c r="AN561" s="264"/>
    </row>
    <row r="562" ht="15.75" customHeight="1">
      <c r="A562" s="262"/>
      <c r="B562" s="338">
        <f>IFERROR(__xludf.DUMMYFUNCTION("""COMPUTED_VALUE"""),1043.0)</f>
        <v>1043</v>
      </c>
      <c r="C562" s="354"/>
      <c r="D562" s="340" t="str">
        <f>IFERROR(__xludf.DUMMYFUNCTION("""COMPUTED_VALUE"""),"")</f>
        <v/>
      </c>
      <c r="E562" s="341">
        <f>IFERROR(__xludf.DUMMYFUNCTION("""COMPUTED_VALUE"""),0.0)</f>
        <v>0</v>
      </c>
      <c r="F562" s="352"/>
      <c r="G562" s="343"/>
      <c r="H562" s="344">
        <f>IFERROR(__xludf.DUMMYFUNCTION("""COMPUTED_VALUE"""),0.0)</f>
        <v>0</v>
      </c>
      <c r="I562" s="353"/>
      <c r="J562" s="353"/>
      <c r="K562" s="346">
        <f>IFERROR(__xludf.DUMMYFUNCTION("""COMPUTED_VALUE"""),0.0)</f>
        <v>0</v>
      </c>
      <c r="L562" s="347">
        <f>IFERROR(__xludf.DUMMYFUNCTION("""COMPUTED_VALUE"""),0.0)</f>
        <v>0</v>
      </c>
      <c r="M562" s="348">
        <f>IFERROR(__xludf.DUMMYFUNCTION("""COMPUTED_VALUE"""),0.0)</f>
        <v>0</v>
      </c>
      <c r="N562" s="348">
        <f>IFERROR(__xludf.DUMMYFUNCTION("""COMPUTED_VALUE"""),0.0)</f>
        <v>0</v>
      </c>
      <c r="O562" s="348">
        <f>IFERROR(__xludf.DUMMYFUNCTION("""COMPUTED_VALUE"""),0.0)</f>
        <v>0</v>
      </c>
      <c r="P562" s="348">
        <f>IFERROR(__xludf.DUMMYFUNCTION("""COMPUTED_VALUE"""),0.0)</f>
        <v>0</v>
      </c>
      <c r="Q562" s="348">
        <f>IFERROR(__xludf.DUMMYFUNCTION("""COMPUTED_VALUE"""),0.0)</f>
        <v>0</v>
      </c>
      <c r="R562" s="355" t="str">
        <f>IFERROR(__xludf.DUMMYFUNCTION("""COMPUTED_VALUE""")," Cash Proyek ")</f>
        <v>Cash Proyek</v>
      </c>
      <c r="S562" s="350"/>
      <c r="T562" s="262"/>
      <c r="U562" s="351"/>
      <c r="V562" s="262"/>
      <c r="W562" s="262"/>
      <c r="X562" s="262"/>
      <c r="Y562" s="262"/>
      <c r="Z562" s="262"/>
      <c r="AA562" s="262"/>
      <c r="AB562" s="262"/>
      <c r="AC562" s="262"/>
      <c r="AD562" s="262"/>
      <c r="AE562" s="262"/>
      <c r="AF562" s="262"/>
      <c r="AG562" s="264"/>
      <c r="AH562" s="264"/>
      <c r="AI562" s="264"/>
      <c r="AJ562" s="264"/>
      <c r="AK562" s="264"/>
      <c r="AL562" s="264"/>
      <c r="AM562" s="264"/>
      <c r="AN562" s="264"/>
    </row>
    <row r="563" ht="15.75" customHeight="1">
      <c r="A563" s="262"/>
      <c r="B563" s="338">
        <f>IFERROR(__xludf.DUMMYFUNCTION("""COMPUTED_VALUE"""),1044.0)</f>
        <v>1044</v>
      </c>
      <c r="C563" s="354"/>
      <c r="D563" s="340" t="str">
        <f>IFERROR(__xludf.DUMMYFUNCTION("""COMPUTED_VALUE"""),"")</f>
        <v/>
      </c>
      <c r="E563" s="341">
        <f>IFERROR(__xludf.DUMMYFUNCTION("""COMPUTED_VALUE"""),0.0)</f>
        <v>0</v>
      </c>
      <c r="F563" s="352"/>
      <c r="G563" s="343"/>
      <c r="H563" s="344">
        <f>IFERROR(__xludf.DUMMYFUNCTION("""COMPUTED_VALUE"""),0.0)</f>
        <v>0</v>
      </c>
      <c r="I563" s="353"/>
      <c r="J563" s="353"/>
      <c r="K563" s="346">
        <f>IFERROR(__xludf.DUMMYFUNCTION("""COMPUTED_VALUE"""),0.0)</f>
        <v>0</v>
      </c>
      <c r="L563" s="347">
        <f>IFERROR(__xludf.DUMMYFUNCTION("""COMPUTED_VALUE"""),0.0)</f>
        <v>0</v>
      </c>
      <c r="M563" s="348">
        <f>IFERROR(__xludf.DUMMYFUNCTION("""COMPUTED_VALUE"""),0.0)</f>
        <v>0</v>
      </c>
      <c r="N563" s="348">
        <f>IFERROR(__xludf.DUMMYFUNCTION("""COMPUTED_VALUE"""),0.0)</f>
        <v>0</v>
      </c>
      <c r="O563" s="348">
        <f>IFERROR(__xludf.DUMMYFUNCTION("""COMPUTED_VALUE"""),0.0)</f>
        <v>0</v>
      </c>
      <c r="P563" s="348">
        <f>IFERROR(__xludf.DUMMYFUNCTION("""COMPUTED_VALUE"""),0.0)</f>
        <v>0</v>
      </c>
      <c r="Q563" s="348">
        <f>IFERROR(__xludf.DUMMYFUNCTION("""COMPUTED_VALUE"""),0.0)</f>
        <v>0</v>
      </c>
      <c r="R563" s="355" t="str">
        <f>IFERROR(__xludf.DUMMYFUNCTION("""COMPUTED_VALUE""")," Cash Proyek ")</f>
        <v>Cash Proyek</v>
      </c>
      <c r="S563" s="350"/>
      <c r="T563" s="262"/>
      <c r="U563" s="351"/>
      <c r="V563" s="262"/>
      <c r="W563" s="262"/>
      <c r="X563" s="262"/>
      <c r="Y563" s="262"/>
      <c r="Z563" s="262"/>
      <c r="AA563" s="262"/>
      <c r="AB563" s="262"/>
      <c r="AC563" s="262"/>
      <c r="AD563" s="262"/>
      <c r="AE563" s="262"/>
      <c r="AF563" s="262"/>
      <c r="AG563" s="264"/>
      <c r="AH563" s="264"/>
      <c r="AI563" s="264"/>
      <c r="AJ563" s="264"/>
      <c r="AK563" s="264"/>
      <c r="AL563" s="264"/>
      <c r="AM563" s="264"/>
      <c r="AN563" s="264"/>
    </row>
    <row r="564" ht="15.75" customHeight="1">
      <c r="A564" s="262"/>
      <c r="B564" s="338">
        <f>IFERROR(__xludf.DUMMYFUNCTION("""COMPUTED_VALUE"""),1045.0)</f>
        <v>1045</v>
      </c>
      <c r="C564" s="354"/>
      <c r="D564" s="340" t="str">
        <f>IFERROR(__xludf.DUMMYFUNCTION("""COMPUTED_VALUE"""),"")</f>
        <v/>
      </c>
      <c r="E564" s="341">
        <f>IFERROR(__xludf.DUMMYFUNCTION("""COMPUTED_VALUE"""),0.0)</f>
        <v>0</v>
      </c>
      <c r="F564" s="352"/>
      <c r="G564" s="343"/>
      <c r="H564" s="344">
        <f>IFERROR(__xludf.DUMMYFUNCTION("""COMPUTED_VALUE"""),0.0)</f>
        <v>0</v>
      </c>
      <c r="I564" s="353"/>
      <c r="J564" s="353"/>
      <c r="K564" s="346">
        <f>IFERROR(__xludf.DUMMYFUNCTION("""COMPUTED_VALUE"""),0.0)</f>
        <v>0</v>
      </c>
      <c r="L564" s="347">
        <f>IFERROR(__xludf.DUMMYFUNCTION("""COMPUTED_VALUE"""),0.0)</f>
        <v>0</v>
      </c>
      <c r="M564" s="348">
        <f>IFERROR(__xludf.DUMMYFUNCTION("""COMPUTED_VALUE"""),0.0)</f>
        <v>0</v>
      </c>
      <c r="N564" s="348">
        <f>IFERROR(__xludf.DUMMYFUNCTION("""COMPUTED_VALUE"""),0.0)</f>
        <v>0</v>
      </c>
      <c r="O564" s="348">
        <f>IFERROR(__xludf.DUMMYFUNCTION("""COMPUTED_VALUE"""),0.0)</f>
        <v>0</v>
      </c>
      <c r="P564" s="348">
        <f>IFERROR(__xludf.DUMMYFUNCTION("""COMPUTED_VALUE"""),0.0)</f>
        <v>0</v>
      </c>
      <c r="Q564" s="348">
        <f>IFERROR(__xludf.DUMMYFUNCTION("""COMPUTED_VALUE"""),0.0)</f>
        <v>0</v>
      </c>
      <c r="R564" s="355" t="str">
        <f>IFERROR(__xludf.DUMMYFUNCTION("""COMPUTED_VALUE""")," Cash Proyek ")</f>
        <v>Cash Proyek</v>
      </c>
      <c r="S564" s="350"/>
      <c r="T564" s="262"/>
      <c r="U564" s="351"/>
      <c r="V564" s="262"/>
      <c r="W564" s="262"/>
      <c r="X564" s="262"/>
      <c r="Y564" s="262"/>
      <c r="Z564" s="262"/>
      <c r="AA564" s="262"/>
      <c r="AB564" s="262"/>
      <c r="AC564" s="262"/>
      <c r="AD564" s="262"/>
      <c r="AE564" s="262"/>
      <c r="AF564" s="262"/>
      <c r="AG564" s="264"/>
      <c r="AH564" s="264"/>
      <c r="AI564" s="264"/>
      <c r="AJ564" s="264"/>
      <c r="AK564" s="264"/>
      <c r="AL564" s="264"/>
      <c r="AM564" s="264"/>
      <c r="AN564" s="264"/>
    </row>
    <row r="565" ht="15.75" customHeight="1">
      <c r="A565" s="262"/>
      <c r="B565" s="338">
        <f>IFERROR(__xludf.DUMMYFUNCTION("""COMPUTED_VALUE"""),1046.0)</f>
        <v>1046</v>
      </c>
      <c r="C565" s="354"/>
      <c r="D565" s="340" t="str">
        <f>IFERROR(__xludf.DUMMYFUNCTION("""COMPUTED_VALUE"""),"")</f>
        <v/>
      </c>
      <c r="E565" s="341">
        <f>IFERROR(__xludf.DUMMYFUNCTION("""COMPUTED_VALUE"""),0.0)</f>
        <v>0</v>
      </c>
      <c r="F565" s="352"/>
      <c r="G565" s="343"/>
      <c r="H565" s="344">
        <f>IFERROR(__xludf.DUMMYFUNCTION("""COMPUTED_VALUE"""),0.0)</f>
        <v>0</v>
      </c>
      <c r="I565" s="353"/>
      <c r="J565" s="353"/>
      <c r="K565" s="346">
        <f>IFERROR(__xludf.DUMMYFUNCTION("""COMPUTED_VALUE"""),0.0)</f>
        <v>0</v>
      </c>
      <c r="L565" s="347">
        <f>IFERROR(__xludf.DUMMYFUNCTION("""COMPUTED_VALUE"""),0.0)</f>
        <v>0</v>
      </c>
      <c r="M565" s="348">
        <f>IFERROR(__xludf.DUMMYFUNCTION("""COMPUTED_VALUE"""),0.0)</f>
        <v>0</v>
      </c>
      <c r="N565" s="348">
        <f>IFERROR(__xludf.DUMMYFUNCTION("""COMPUTED_VALUE"""),0.0)</f>
        <v>0</v>
      </c>
      <c r="O565" s="348">
        <f>IFERROR(__xludf.DUMMYFUNCTION("""COMPUTED_VALUE"""),0.0)</f>
        <v>0</v>
      </c>
      <c r="P565" s="348">
        <f>IFERROR(__xludf.DUMMYFUNCTION("""COMPUTED_VALUE"""),0.0)</f>
        <v>0</v>
      </c>
      <c r="Q565" s="348">
        <f>IFERROR(__xludf.DUMMYFUNCTION("""COMPUTED_VALUE"""),0.0)</f>
        <v>0</v>
      </c>
      <c r="R565" s="355" t="str">
        <f>IFERROR(__xludf.DUMMYFUNCTION("""COMPUTED_VALUE""")," Cash Proyek ")</f>
        <v>Cash Proyek</v>
      </c>
      <c r="S565" s="350"/>
      <c r="T565" s="262"/>
      <c r="U565" s="351"/>
      <c r="V565" s="262"/>
      <c r="W565" s="262"/>
      <c r="X565" s="262"/>
      <c r="Y565" s="262"/>
      <c r="Z565" s="262"/>
      <c r="AA565" s="262"/>
      <c r="AB565" s="262"/>
      <c r="AC565" s="262"/>
      <c r="AD565" s="262"/>
      <c r="AE565" s="262"/>
      <c r="AF565" s="262"/>
      <c r="AG565" s="264"/>
      <c r="AH565" s="264"/>
      <c r="AI565" s="264"/>
      <c r="AJ565" s="264"/>
      <c r="AK565" s="264"/>
      <c r="AL565" s="264"/>
      <c r="AM565" s="264"/>
      <c r="AN565" s="264"/>
    </row>
    <row r="566" ht="15.75" customHeight="1">
      <c r="A566" s="262"/>
      <c r="B566" s="338">
        <f>IFERROR(__xludf.DUMMYFUNCTION("""COMPUTED_VALUE"""),1047.0)</f>
        <v>1047</v>
      </c>
      <c r="C566" s="354"/>
      <c r="D566" s="340" t="str">
        <f>IFERROR(__xludf.DUMMYFUNCTION("""COMPUTED_VALUE"""),"")</f>
        <v/>
      </c>
      <c r="E566" s="341">
        <f>IFERROR(__xludf.DUMMYFUNCTION("""COMPUTED_VALUE"""),0.0)</f>
        <v>0</v>
      </c>
      <c r="F566" s="352"/>
      <c r="G566" s="343"/>
      <c r="H566" s="344">
        <f>IFERROR(__xludf.DUMMYFUNCTION("""COMPUTED_VALUE"""),0.0)</f>
        <v>0</v>
      </c>
      <c r="I566" s="353"/>
      <c r="J566" s="353"/>
      <c r="K566" s="346">
        <f>IFERROR(__xludf.DUMMYFUNCTION("""COMPUTED_VALUE"""),0.0)</f>
        <v>0</v>
      </c>
      <c r="L566" s="347">
        <f>IFERROR(__xludf.DUMMYFUNCTION("""COMPUTED_VALUE"""),0.0)</f>
        <v>0</v>
      </c>
      <c r="M566" s="348">
        <f>IFERROR(__xludf.DUMMYFUNCTION("""COMPUTED_VALUE"""),0.0)</f>
        <v>0</v>
      </c>
      <c r="N566" s="348">
        <f>IFERROR(__xludf.DUMMYFUNCTION("""COMPUTED_VALUE"""),0.0)</f>
        <v>0</v>
      </c>
      <c r="O566" s="348">
        <f>IFERROR(__xludf.DUMMYFUNCTION("""COMPUTED_VALUE"""),0.0)</f>
        <v>0</v>
      </c>
      <c r="P566" s="348">
        <f>IFERROR(__xludf.DUMMYFUNCTION("""COMPUTED_VALUE"""),0.0)</f>
        <v>0</v>
      </c>
      <c r="Q566" s="348">
        <f>IFERROR(__xludf.DUMMYFUNCTION("""COMPUTED_VALUE"""),0.0)</f>
        <v>0</v>
      </c>
      <c r="R566" s="355" t="str">
        <f>IFERROR(__xludf.DUMMYFUNCTION("""COMPUTED_VALUE""")," Cash Proyek ")</f>
        <v>Cash Proyek</v>
      </c>
      <c r="S566" s="350"/>
      <c r="T566" s="262"/>
      <c r="U566" s="351"/>
      <c r="V566" s="262"/>
      <c r="W566" s="262"/>
      <c r="X566" s="262"/>
      <c r="Y566" s="262"/>
      <c r="Z566" s="262"/>
      <c r="AA566" s="262"/>
      <c r="AB566" s="262"/>
      <c r="AC566" s="262"/>
      <c r="AD566" s="262"/>
      <c r="AE566" s="262"/>
      <c r="AF566" s="262"/>
      <c r="AG566" s="264"/>
      <c r="AH566" s="264"/>
      <c r="AI566" s="264"/>
      <c r="AJ566" s="264"/>
      <c r="AK566" s="264"/>
      <c r="AL566" s="264"/>
      <c r="AM566" s="264"/>
      <c r="AN566" s="264"/>
    </row>
    <row r="567" ht="15.75" customHeight="1">
      <c r="A567" s="262"/>
      <c r="B567" s="338">
        <f>IFERROR(__xludf.DUMMYFUNCTION("""COMPUTED_VALUE"""),1048.0)</f>
        <v>1048</v>
      </c>
      <c r="C567" s="354"/>
      <c r="D567" s="340" t="str">
        <f>IFERROR(__xludf.DUMMYFUNCTION("""COMPUTED_VALUE"""),"")</f>
        <v/>
      </c>
      <c r="E567" s="341">
        <f>IFERROR(__xludf.DUMMYFUNCTION("""COMPUTED_VALUE"""),0.0)</f>
        <v>0</v>
      </c>
      <c r="F567" s="352"/>
      <c r="G567" s="343"/>
      <c r="H567" s="344">
        <f>IFERROR(__xludf.DUMMYFUNCTION("""COMPUTED_VALUE"""),0.0)</f>
        <v>0</v>
      </c>
      <c r="I567" s="353"/>
      <c r="J567" s="353"/>
      <c r="K567" s="346">
        <f>IFERROR(__xludf.DUMMYFUNCTION("""COMPUTED_VALUE"""),0.0)</f>
        <v>0</v>
      </c>
      <c r="L567" s="347">
        <f>IFERROR(__xludf.DUMMYFUNCTION("""COMPUTED_VALUE"""),0.0)</f>
        <v>0</v>
      </c>
      <c r="M567" s="348">
        <f>IFERROR(__xludf.DUMMYFUNCTION("""COMPUTED_VALUE"""),0.0)</f>
        <v>0</v>
      </c>
      <c r="N567" s="348">
        <f>IFERROR(__xludf.DUMMYFUNCTION("""COMPUTED_VALUE"""),0.0)</f>
        <v>0</v>
      </c>
      <c r="O567" s="348">
        <f>IFERROR(__xludf.DUMMYFUNCTION("""COMPUTED_VALUE"""),0.0)</f>
        <v>0</v>
      </c>
      <c r="P567" s="348">
        <f>IFERROR(__xludf.DUMMYFUNCTION("""COMPUTED_VALUE"""),0.0)</f>
        <v>0</v>
      </c>
      <c r="Q567" s="348">
        <f>IFERROR(__xludf.DUMMYFUNCTION("""COMPUTED_VALUE"""),0.0)</f>
        <v>0</v>
      </c>
      <c r="R567" s="355" t="str">
        <f>IFERROR(__xludf.DUMMYFUNCTION("""COMPUTED_VALUE""")," Cash Proyek ")</f>
        <v>Cash Proyek</v>
      </c>
      <c r="S567" s="350"/>
      <c r="T567" s="262"/>
      <c r="U567" s="351"/>
      <c r="V567" s="262"/>
      <c r="W567" s="262"/>
      <c r="X567" s="262"/>
      <c r="Y567" s="262"/>
      <c r="Z567" s="262"/>
      <c r="AA567" s="262"/>
      <c r="AB567" s="262"/>
      <c r="AC567" s="262"/>
      <c r="AD567" s="262"/>
      <c r="AE567" s="262"/>
      <c r="AF567" s="262"/>
      <c r="AG567" s="264"/>
      <c r="AH567" s="264"/>
      <c r="AI567" s="264"/>
      <c r="AJ567" s="264"/>
      <c r="AK567" s="264"/>
      <c r="AL567" s="264"/>
      <c r="AM567" s="264"/>
      <c r="AN567" s="264"/>
    </row>
    <row r="568" ht="15.75" customHeight="1">
      <c r="A568" s="262"/>
      <c r="B568" s="338">
        <f>IFERROR(__xludf.DUMMYFUNCTION("""COMPUTED_VALUE"""),1049.0)</f>
        <v>1049</v>
      </c>
      <c r="C568" s="354"/>
      <c r="D568" s="340" t="str">
        <f>IFERROR(__xludf.DUMMYFUNCTION("""COMPUTED_VALUE"""),"")</f>
        <v/>
      </c>
      <c r="E568" s="341">
        <f>IFERROR(__xludf.DUMMYFUNCTION("""COMPUTED_VALUE"""),0.0)</f>
        <v>0</v>
      </c>
      <c r="F568" s="352"/>
      <c r="G568" s="343"/>
      <c r="H568" s="344">
        <f>IFERROR(__xludf.DUMMYFUNCTION("""COMPUTED_VALUE"""),0.0)</f>
        <v>0</v>
      </c>
      <c r="I568" s="353"/>
      <c r="J568" s="353"/>
      <c r="K568" s="346">
        <f>IFERROR(__xludf.DUMMYFUNCTION("""COMPUTED_VALUE"""),0.0)</f>
        <v>0</v>
      </c>
      <c r="L568" s="347">
        <f>IFERROR(__xludf.DUMMYFUNCTION("""COMPUTED_VALUE"""),0.0)</f>
        <v>0</v>
      </c>
      <c r="M568" s="348">
        <f>IFERROR(__xludf.DUMMYFUNCTION("""COMPUTED_VALUE"""),0.0)</f>
        <v>0</v>
      </c>
      <c r="N568" s="348">
        <f>IFERROR(__xludf.DUMMYFUNCTION("""COMPUTED_VALUE"""),0.0)</f>
        <v>0</v>
      </c>
      <c r="O568" s="348">
        <f>IFERROR(__xludf.DUMMYFUNCTION("""COMPUTED_VALUE"""),0.0)</f>
        <v>0</v>
      </c>
      <c r="P568" s="348">
        <f>IFERROR(__xludf.DUMMYFUNCTION("""COMPUTED_VALUE"""),0.0)</f>
        <v>0</v>
      </c>
      <c r="Q568" s="348">
        <f>IFERROR(__xludf.DUMMYFUNCTION("""COMPUTED_VALUE"""),0.0)</f>
        <v>0</v>
      </c>
      <c r="R568" s="355" t="str">
        <f>IFERROR(__xludf.DUMMYFUNCTION("""COMPUTED_VALUE""")," Cash Proyek ")</f>
        <v>Cash Proyek</v>
      </c>
      <c r="S568" s="350"/>
      <c r="T568" s="262"/>
      <c r="U568" s="351"/>
      <c r="V568" s="262"/>
      <c r="W568" s="262"/>
      <c r="X568" s="262"/>
      <c r="Y568" s="262"/>
      <c r="Z568" s="262"/>
      <c r="AA568" s="262"/>
      <c r="AB568" s="262"/>
      <c r="AC568" s="262"/>
      <c r="AD568" s="262"/>
      <c r="AE568" s="262"/>
      <c r="AF568" s="262"/>
      <c r="AG568" s="264"/>
      <c r="AH568" s="264"/>
      <c r="AI568" s="264"/>
      <c r="AJ568" s="264"/>
      <c r="AK568" s="264"/>
      <c r="AL568" s="264"/>
      <c r="AM568" s="264"/>
      <c r="AN568" s="264"/>
    </row>
    <row r="569" ht="15.75" customHeight="1">
      <c r="A569" s="262"/>
      <c r="B569" s="338">
        <f>IFERROR(__xludf.DUMMYFUNCTION("""COMPUTED_VALUE"""),1050.0)</f>
        <v>1050</v>
      </c>
      <c r="C569" s="354"/>
      <c r="D569" s="340" t="str">
        <f>IFERROR(__xludf.DUMMYFUNCTION("""COMPUTED_VALUE"""),"")</f>
        <v/>
      </c>
      <c r="E569" s="341">
        <f>IFERROR(__xludf.DUMMYFUNCTION("""COMPUTED_VALUE"""),0.0)</f>
        <v>0</v>
      </c>
      <c r="F569" s="352"/>
      <c r="G569" s="343"/>
      <c r="H569" s="344">
        <f>IFERROR(__xludf.DUMMYFUNCTION("""COMPUTED_VALUE"""),0.0)</f>
        <v>0</v>
      </c>
      <c r="I569" s="353"/>
      <c r="J569" s="353"/>
      <c r="K569" s="346">
        <f>IFERROR(__xludf.DUMMYFUNCTION("""COMPUTED_VALUE"""),0.0)</f>
        <v>0</v>
      </c>
      <c r="L569" s="347">
        <f>IFERROR(__xludf.DUMMYFUNCTION("""COMPUTED_VALUE"""),0.0)</f>
        <v>0</v>
      </c>
      <c r="M569" s="348">
        <f>IFERROR(__xludf.DUMMYFUNCTION("""COMPUTED_VALUE"""),0.0)</f>
        <v>0</v>
      </c>
      <c r="N569" s="348">
        <f>IFERROR(__xludf.DUMMYFUNCTION("""COMPUTED_VALUE"""),0.0)</f>
        <v>0</v>
      </c>
      <c r="O569" s="348">
        <f>IFERROR(__xludf.DUMMYFUNCTION("""COMPUTED_VALUE"""),0.0)</f>
        <v>0</v>
      </c>
      <c r="P569" s="348">
        <f>IFERROR(__xludf.DUMMYFUNCTION("""COMPUTED_VALUE"""),0.0)</f>
        <v>0</v>
      </c>
      <c r="Q569" s="348">
        <f>IFERROR(__xludf.DUMMYFUNCTION("""COMPUTED_VALUE"""),0.0)</f>
        <v>0</v>
      </c>
      <c r="R569" s="355" t="str">
        <f>IFERROR(__xludf.DUMMYFUNCTION("""COMPUTED_VALUE""")," Cash Proyek ")</f>
        <v>Cash Proyek</v>
      </c>
      <c r="S569" s="350"/>
      <c r="T569" s="262"/>
      <c r="U569" s="351"/>
      <c r="V569" s="262"/>
      <c r="W569" s="262"/>
      <c r="X569" s="262"/>
      <c r="Y569" s="262"/>
      <c r="Z569" s="262"/>
      <c r="AA569" s="262"/>
      <c r="AB569" s="262"/>
      <c r="AC569" s="262"/>
      <c r="AD569" s="262"/>
      <c r="AE569" s="262"/>
      <c r="AF569" s="262"/>
      <c r="AG569" s="264"/>
      <c r="AH569" s="264"/>
      <c r="AI569" s="264"/>
      <c r="AJ569" s="264"/>
      <c r="AK569" s="264"/>
      <c r="AL569" s="264"/>
      <c r="AM569" s="264"/>
      <c r="AN569" s="264"/>
    </row>
    <row r="570" ht="15.75" customHeight="1">
      <c r="A570" s="262"/>
      <c r="B570" s="338">
        <f>IFERROR(__xludf.DUMMYFUNCTION("""COMPUTED_VALUE"""),1051.0)</f>
        <v>1051</v>
      </c>
      <c r="C570" s="354"/>
      <c r="D570" s="340" t="str">
        <f>IFERROR(__xludf.DUMMYFUNCTION("""COMPUTED_VALUE"""),"")</f>
        <v/>
      </c>
      <c r="E570" s="341">
        <f>IFERROR(__xludf.DUMMYFUNCTION("""COMPUTED_VALUE"""),0.0)</f>
        <v>0</v>
      </c>
      <c r="F570" s="352"/>
      <c r="G570" s="343"/>
      <c r="H570" s="344">
        <f>IFERROR(__xludf.DUMMYFUNCTION("""COMPUTED_VALUE"""),0.0)</f>
        <v>0</v>
      </c>
      <c r="I570" s="353"/>
      <c r="J570" s="353"/>
      <c r="K570" s="346">
        <f>IFERROR(__xludf.DUMMYFUNCTION("""COMPUTED_VALUE"""),0.0)</f>
        <v>0</v>
      </c>
      <c r="L570" s="347">
        <f>IFERROR(__xludf.DUMMYFUNCTION("""COMPUTED_VALUE"""),0.0)</f>
        <v>0</v>
      </c>
      <c r="M570" s="348">
        <f>IFERROR(__xludf.DUMMYFUNCTION("""COMPUTED_VALUE"""),0.0)</f>
        <v>0</v>
      </c>
      <c r="N570" s="348">
        <f>IFERROR(__xludf.DUMMYFUNCTION("""COMPUTED_VALUE"""),0.0)</f>
        <v>0</v>
      </c>
      <c r="O570" s="348">
        <f>IFERROR(__xludf.DUMMYFUNCTION("""COMPUTED_VALUE"""),0.0)</f>
        <v>0</v>
      </c>
      <c r="P570" s="348">
        <f>IFERROR(__xludf.DUMMYFUNCTION("""COMPUTED_VALUE"""),0.0)</f>
        <v>0</v>
      </c>
      <c r="Q570" s="348">
        <f>IFERROR(__xludf.DUMMYFUNCTION("""COMPUTED_VALUE"""),0.0)</f>
        <v>0</v>
      </c>
      <c r="R570" s="355" t="str">
        <f>IFERROR(__xludf.DUMMYFUNCTION("""COMPUTED_VALUE""")," Cash Proyek ")</f>
        <v>Cash Proyek</v>
      </c>
      <c r="S570" s="350"/>
      <c r="T570" s="262"/>
      <c r="U570" s="351"/>
      <c r="V570" s="262"/>
      <c r="W570" s="262"/>
      <c r="X570" s="262"/>
      <c r="Y570" s="262"/>
      <c r="Z570" s="262"/>
      <c r="AA570" s="262"/>
      <c r="AB570" s="262"/>
      <c r="AC570" s="262"/>
      <c r="AD570" s="262"/>
      <c r="AE570" s="262"/>
      <c r="AF570" s="262"/>
      <c r="AG570" s="264"/>
      <c r="AH570" s="264"/>
      <c r="AI570" s="264"/>
      <c r="AJ570" s="264"/>
      <c r="AK570" s="264"/>
      <c r="AL570" s="264"/>
      <c r="AM570" s="264"/>
      <c r="AN570" s="264"/>
    </row>
    <row r="571" ht="15.75" customHeight="1">
      <c r="A571" s="262"/>
      <c r="B571" s="338">
        <f>IFERROR(__xludf.DUMMYFUNCTION("""COMPUTED_VALUE"""),1052.0)</f>
        <v>1052</v>
      </c>
      <c r="C571" s="354"/>
      <c r="D571" s="340" t="str">
        <f>IFERROR(__xludf.DUMMYFUNCTION("""COMPUTED_VALUE"""),"")</f>
        <v/>
      </c>
      <c r="E571" s="341">
        <f>IFERROR(__xludf.DUMMYFUNCTION("""COMPUTED_VALUE"""),0.0)</f>
        <v>0</v>
      </c>
      <c r="F571" s="352"/>
      <c r="G571" s="343"/>
      <c r="H571" s="344">
        <f>IFERROR(__xludf.DUMMYFUNCTION("""COMPUTED_VALUE"""),0.0)</f>
        <v>0</v>
      </c>
      <c r="I571" s="353"/>
      <c r="J571" s="353"/>
      <c r="K571" s="346">
        <f>IFERROR(__xludf.DUMMYFUNCTION("""COMPUTED_VALUE"""),0.0)</f>
        <v>0</v>
      </c>
      <c r="L571" s="347">
        <f>IFERROR(__xludf.DUMMYFUNCTION("""COMPUTED_VALUE"""),0.0)</f>
        <v>0</v>
      </c>
      <c r="M571" s="348">
        <f>IFERROR(__xludf.DUMMYFUNCTION("""COMPUTED_VALUE"""),0.0)</f>
        <v>0</v>
      </c>
      <c r="N571" s="348">
        <f>IFERROR(__xludf.DUMMYFUNCTION("""COMPUTED_VALUE"""),0.0)</f>
        <v>0</v>
      </c>
      <c r="O571" s="348">
        <f>IFERROR(__xludf.DUMMYFUNCTION("""COMPUTED_VALUE"""),0.0)</f>
        <v>0</v>
      </c>
      <c r="P571" s="348">
        <f>IFERROR(__xludf.DUMMYFUNCTION("""COMPUTED_VALUE"""),0.0)</f>
        <v>0</v>
      </c>
      <c r="Q571" s="348">
        <f>IFERROR(__xludf.DUMMYFUNCTION("""COMPUTED_VALUE"""),0.0)</f>
        <v>0</v>
      </c>
      <c r="R571" s="355" t="str">
        <f>IFERROR(__xludf.DUMMYFUNCTION("""COMPUTED_VALUE""")," Cash Proyek ")</f>
        <v>Cash Proyek</v>
      </c>
      <c r="S571" s="350"/>
      <c r="T571" s="262"/>
      <c r="U571" s="351"/>
      <c r="V571" s="262"/>
      <c r="W571" s="262"/>
      <c r="X571" s="262"/>
      <c r="Y571" s="262"/>
      <c r="Z571" s="262"/>
      <c r="AA571" s="262"/>
      <c r="AB571" s="262"/>
      <c r="AC571" s="262"/>
      <c r="AD571" s="262"/>
      <c r="AE571" s="262"/>
      <c r="AF571" s="262"/>
      <c r="AG571" s="264"/>
      <c r="AH571" s="264"/>
      <c r="AI571" s="264"/>
      <c r="AJ571" s="264"/>
      <c r="AK571" s="264"/>
      <c r="AL571" s="264"/>
      <c r="AM571" s="264"/>
      <c r="AN571" s="264"/>
    </row>
    <row r="572" ht="15.75" customHeight="1">
      <c r="A572" s="262"/>
      <c r="B572" s="338">
        <f>IFERROR(__xludf.DUMMYFUNCTION("""COMPUTED_VALUE"""),1053.0)</f>
        <v>1053</v>
      </c>
      <c r="C572" s="354"/>
      <c r="D572" s="340" t="str">
        <f>IFERROR(__xludf.DUMMYFUNCTION("""COMPUTED_VALUE"""),"")</f>
        <v/>
      </c>
      <c r="E572" s="341">
        <f>IFERROR(__xludf.DUMMYFUNCTION("""COMPUTED_VALUE"""),0.0)</f>
        <v>0</v>
      </c>
      <c r="F572" s="352"/>
      <c r="G572" s="343"/>
      <c r="H572" s="344">
        <f>IFERROR(__xludf.DUMMYFUNCTION("""COMPUTED_VALUE"""),0.0)</f>
        <v>0</v>
      </c>
      <c r="I572" s="353"/>
      <c r="J572" s="353"/>
      <c r="K572" s="346">
        <f>IFERROR(__xludf.DUMMYFUNCTION("""COMPUTED_VALUE"""),0.0)</f>
        <v>0</v>
      </c>
      <c r="L572" s="347">
        <f>IFERROR(__xludf.DUMMYFUNCTION("""COMPUTED_VALUE"""),0.0)</f>
        <v>0</v>
      </c>
      <c r="M572" s="348">
        <f>IFERROR(__xludf.DUMMYFUNCTION("""COMPUTED_VALUE"""),0.0)</f>
        <v>0</v>
      </c>
      <c r="N572" s="348">
        <f>IFERROR(__xludf.DUMMYFUNCTION("""COMPUTED_VALUE"""),0.0)</f>
        <v>0</v>
      </c>
      <c r="O572" s="348">
        <f>IFERROR(__xludf.DUMMYFUNCTION("""COMPUTED_VALUE"""),0.0)</f>
        <v>0</v>
      </c>
      <c r="P572" s="348">
        <f>IFERROR(__xludf.DUMMYFUNCTION("""COMPUTED_VALUE"""),0.0)</f>
        <v>0</v>
      </c>
      <c r="Q572" s="348">
        <f>IFERROR(__xludf.DUMMYFUNCTION("""COMPUTED_VALUE"""),0.0)</f>
        <v>0</v>
      </c>
      <c r="R572" s="355" t="str">
        <f>IFERROR(__xludf.DUMMYFUNCTION("""COMPUTED_VALUE""")," Cash Proyek ")</f>
        <v>Cash Proyek</v>
      </c>
      <c r="S572" s="350"/>
      <c r="T572" s="262"/>
      <c r="U572" s="351"/>
      <c r="V572" s="262"/>
      <c r="W572" s="262"/>
      <c r="X572" s="262"/>
      <c r="Y572" s="262"/>
      <c r="Z572" s="262"/>
      <c r="AA572" s="262"/>
      <c r="AB572" s="262"/>
      <c r="AC572" s="262"/>
      <c r="AD572" s="262"/>
      <c r="AE572" s="262"/>
      <c r="AF572" s="262"/>
      <c r="AG572" s="264"/>
      <c r="AH572" s="264"/>
      <c r="AI572" s="264"/>
      <c r="AJ572" s="264"/>
      <c r="AK572" s="264"/>
      <c r="AL572" s="264"/>
      <c r="AM572" s="264"/>
      <c r="AN572" s="264"/>
    </row>
    <row r="573" ht="15.75" customHeight="1">
      <c r="A573" s="262"/>
      <c r="B573" s="338">
        <f>IFERROR(__xludf.DUMMYFUNCTION("""COMPUTED_VALUE"""),1054.0)</f>
        <v>1054</v>
      </c>
      <c r="C573" s="354"/>
      <c r="D573" s="340" t="str">
        <f>IFERROR(__xludf.DUMMYFUNCTION("""COMPUTED_VALUE"""),"")</f>
        <v/>
      </c>
      <c r="E573" s="341">
        <f>IFERROR(__xludf.DUMMYFUNCTION("""COMPUTED_VALUE"""),0.0)</f>
        <v>0</v>
      </c>
      <c r="F573" s="352"/>
      <c r="G573" s="343"/>
      <c r="H573" s="344">
        <f>IFERROR(__xludf.DUMMYFUNCTION("""COMPUTED_VALUE"""),0.0)</f>
        <v>0</v>
      </c>
      <c r="I573" s="353"/>
      <c r="J573" s="353"/>
      <c r="K573" s="346">
        <f>IFERROR(__xludf.DUMMYFUNCTION("""COMPUTED_VALUE"""),0.0)</f>
        <v>0</v>
      </c>
      <c r="L573" s="347">
        <f>IFERROR(__xludf.DUMMYFUNCTION("""COMPUTED_VALUE"""),0.0)</f>
        <v>0</v>
      </c>
      <c r="M573" s="348">
        <f>IFERROR(__xludf.DUMMYFUNCTION("""COMPUTED_VALUE"""),0.0)</f>
        <v>0</v>
      </c>
      <c r="N573" s="348">
        <f>IFERROR(__xludf.DUMMYFUNCTION("""COMPUTED_VALUE"""),0.0)</f>
        <v>0</v>
      </c>
      <c r="O573" s="348">
        <f>IFERROR(__xludf.DUMMYFUNCTION("""COMPUTED_VALUE"""),0.0)</f>
        <v>0</v>
      </c>
      <c r="P573" s="348">
        <f>IFERROR(__xludf.DUMMYFUNCTION("""COMPUTED_VALUE"""),0.0)</f>
        <v>0</v>
      </c>
      <c r="Q573" s="348">
        <f>IFERROR(__xludf.DUMMYFUNCTION("""COMPUTED_VALUE"""),0.0)</f>
        <v>0</v>
      </c>
      <c r="R573" s="355" t="str">
        <f>IFERROR(__xludf.DUMMYFUNCTION("""COMPUTED_VALUE""")," Cash Proyek ")</f>
        <v>Cash Proyek</v>
      </c>
      <c r="S573" s="350"/>
      <c r="T573" s="262"/>
      <c r="U573" s="351"/>
      <c r="V573" s="262"/>
      <c r="W573" s="262"/>
      <c r="X573" s="262"/>
      <c r="Y573" s="262"/>
      <c r="Z573" s="262"/>
      <c r="AA573" s="262"/>
      <c r="AB573" s="262"/>
      <c r="AC573" s="262"/>
      <c r="AD573" s="262"/>
      <c r="AE573" s="262"/>
      <c r="AF573" s="262"/>
      <c r="AG573" s="264"/>
      <c r="AH573" s="264"/>
      <c r="AI573" s="264"/>
      <c r="AJ573" s="264"/>
      <c r="AK573" s="264"/>
      <c r="AL573" s="264"/>
      <c r="AM573" s="264"/>
      <c r="AN573" s="264"/>
    </row>
    <row r="574" ht="15.75" customHeight="1">
      <c r="A574" s="262"/>
      <c r="B574" s="338">
        <f>IFERROR(__xludf.DUMMYFUNCTION("""COMPUTED_VALUE"""),1055.0)</f>
        <v>1055</v>
      </c>
      <c r="C574" s="354"/>
      <c r="D574" s="340" t="str">
        <f>IFERROR(__xludf.DUMMYFUNCTION("""COMPUTED_VALUE"""),"")</f>
        <v/>
      </c>
      <c r="E574" s="341">
        <f>IFERROR(__xludf.DUMMYFUNCTION("""COMPUTED_VALUE"""),0.0)</f>
        <v>0</v>
      </c>
      <c r="F574" s="352"/>
      <c r="G574" s="343"/>
      <c r="H574" s="344">
        <f>IFERROR(__xludf.DUMMYFUNCTION("""COMPUTED_VALUE"""),0.0)</f>
        <v>0</v>
      </c>
      <c r="I574" s="353"/>
      <c r="J574" s="353"/>
      <c r="K574" s="346">
        <f>IFERROR(__xludf.DUMMYFUNCTION("""COMPUTED_VALUE"""),0.0)</f>
        <v>0</v>
      </c>
      <c r="L574" s="347">
        <f>IFERROR(__xludf.DUMMYFUNCTION("""COMPUTED_VALUE"""),0.0)</f>
        <v>0</v>
      </c>
      <c r="M574" s="348">
        <f>IFERROR(__xludf.DUMMYFUNCTION("""COMPUTED_VALUE"""),0.0)</f>
        <v>0</v>
      </c>
      <c r="N574" s="348">
        <f>IFERROR(__xludf.DUMMYFUNCTION("""COMPUTED_VALUE"""),0.0)</f>
        <v>0</v>
      </c>
      <c r="O574" s="348">
        <f>IFERROR(__xludf.DUMMYFUNCTION("""COMPUTED_VALUE"""),0.0)</f>
        <v>0</v>
      </c>
      <c r="P574" s="348">
        <f>IFERROR(__xludf.DUMMYFUNCTION("""COMPUTED_VALUE"""),0.0)</f>
        <v>0</v>
      </c>
      <c r="Q574" s="348">
        <f>IFERROR(__xludf.DUMMYFUNCTION("""COMPUTED_VALUE"""),0.0)</f>
        <v>0</v>
      </c>
      <c r="R574" s="355" t="str">
        <f>IFERROR(__xludf.DUMMYFUNCTION("""COMPUTED_VALUE""")," Cash Proyek ")</f>
        <v>Cash Proyek</v>
      </c>
      <c r="S574" s="350"/>
      <c r="T574" s="262"/>
      <c r="U574" s="351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2"/>
      <c r="AG574" s="264"/>
      <c r="AH574" s="264"/>
      <c r="AI574" s="264"/>
      <c r="AJ574" s="264"/>
      <c r="AK574" s="264"/>
      <c r="AL574" s="264"/>
      <c r="AM574" s="264"/>
      <c r="AN574" s="264"/>
    </row>
    <row r="575" ht="15.75" customHeight="1">
      <c r="A575" s="262"/>
      <c r="B575" s="338">
        <f>IFERROR(__xludf.DUMMYFUNCTION("""COMPUTED_VALUE"""),1056.0)</f>
        <v>1056</v>
      </c>
      <c r="C575" s="354"/>
      <c r="D575" s="340" t="str">
        <f>IFERROR(__xludf.DUMMYFUNCTION("""COMPUTED_VALUE"""),"")</f>
        <v/>
      </c>
      <c r="E575" s="341">
        <f>IFERROR(__xludf.DUMMYFUNCTION("""COMPUTED_VALUE"""),0.0)</f>
        <v>0</v>
      </c>
      <c r="F575" s="352"/>
      <c r="G575" s="343"/>
      <c r="H575" s="344">
        <f>IFERROR(__xludf.DUMMYFUNCTION("""COMPUTED_VALUE"""),0.0)</f>
        <v>0</v>
      </c>
      <c r="I575" s="353"/>
      <c r="J575" s="353"/>
      <c r="K575" s="346">
        <f>IFERROR(__xludf.DUMMYFUNCTION("""COMPUTED_VALUE"""),0.0)</f>
        <v>0</v>
      </c>
      <c r="L575" s="347">
        <f>IFERROR(__xludf.DUMMYFUNCTION("""COMPUTED_VALUE"""),0.0)</f>
        <v>0</v>
      </c>
      <c r="M575" s="348">
        <f>IFERROR(__xludf.DUMMYFUNCTION("""COMPUTED_VALUE"""),0.0)</f>
        <v>0</v>
      </c>
      <c r="N575" s="348">
        <f>IFERROR(__xludf.DUMMYFUNCTION("""COMPUTED_VALUE"""),0.0)</f>
        <v>0</v>
      </c>
      <c r="O575" s="348">
        <f>IFERROR(__xludf.DUMMYFUNCTION("""COMPUTED_VALUE"""),0.0)</f>
        <v>0</v>
      </c>
      <c r="P575" s="348">
        <f>IFERROR(__xludf.DUMMYFUNCTION("""COMPUTED_VALUE"""),0.0)</f>
        <v>0</v>
      </c>
      <c r="Q575" s="348">
        <f>IFERROR(__xludf.DUMMYFUNCTION("""COMPUTED_VALUE"""),0.0)</f>
        <v>0</v>
      </c>
      <c r="R575" s="355" t="str">
        <f>IFERROR(__xludf.DUMMYFUNCTION("""COMPUTED_VALUE""")," Cash Proyek ")</f>
        <v>Cash Proyek</v>
      </c>
      <c r="S575" s="350"/>
      <c r="T575" s="262"/>
      <c r="U575" s="351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2"/>
      <c r="AG575" s="264"/>
      <c r="AH575" s="264"/>
      <c r="AI575" s="264"/>
      <c r="AJ575" s="264"/>
      <c r="AK575" s="264"/>
      <c r="AL575" s="264"/>
      <c r="AM575" s="264"/>
      <c r="AN575" s="264"/>
    </row>
    <row r="576" ht="15.75" customHeight="1">
      <c r="A576" s="262"/>
      <c r="B576" s="338">
        <f>IFERROR(__xludf.DUMMYFUNCTION("""COMPUTED_VALUE"""),1057.0)</f>
        <v>1057</v>
      </c>
      <c r="C576" s="354"/>
      <c r="D576" s="340" t="str">
        <f>IFERROR(__xludf.DUMMYFUNCTION("""COMPUTED_VALUE"""),"")</f>
        <v/>
      </c>
      <c r="E576" s="341">
        <f>IFERROR(__xludf.DUMMYFUNCTION("""COMPUTED_VALUE"""),0.0)</f>
        <v>0</v>
      </c>
      <c r="F576" s="352"/>
      <c r="G576" s="343"/>
      <c r="H576" s="344">
        <f>IFERROR(__xludf.DUMMYFUNCTION("""COMPUTED_VALUE"""),0.0)</f>
        <v>0</v>
      </c>
      <c r="I576" s="353"/>
      <c r="J576" s="353"/>
      <c r="K576" s="346">
        <f>IFERROR(__xludf.DUMMYFUNCTION("""COMPUTED_VALUE"""),0.0)</f>
        <v>0</v>
      </c>
      <c r="L576" s="347">
        <f>IFERROR(__xludf.DUMMYFUNCTION("""COMPUTED_VALUE"""),0.0)</f>
        <v>0</v>
      </c>
      <c r="M576" s="348">
        <f>IFERROR(__xludf.DUMMYFUNCTION("""COMPUTED_VALUE"""),0.0)</f>
        <v>0</v>
      </c>
      <c r="N576" s="348">
        <f>IFERROR(__xludf.DUMMYFUNCTION("""COMPUTED_VALUE"""),0.0)</f>
        <v>0</v>
      </c>
      <c r="O576" s="348">
        <f>IFERROR(__xludf.DUMMYFUNCTION("""COMPUTED_VALUE"""),0.0)</f>
        <v>0</v>
      </c>
      <c r="P576" s="348">
        <f>IFERROR(__xludf.DUMMYFUNCTION("""COMPUTED_VALUE"""),0.0)</f>
        <v>0</v>
      </c>
      <c r="Q576" s="348">
        <f>IFERROR(__xludf.DUMMYFUNCTION("""COMPUTED_VALUE"""),0.0)</f>
        <v>0</v>
      </c>
      <c r="R576" s="355" t="str">
        <f>IFERROR(__xludf.DUMMYFUNCTION("""COMPUTED_VALUE""")," Cash Proyek ")</f>
        <v>Cash Proyek</v>
      </c>
      <c r="S576" s="350"/>
      <c r="T576" s="262"/>
      <c r="U576" s="351"/>
      <c r="V576" s="262"/>
      <c r="W576" s="262"/>
      <c r="X576" s="262"/>
      <c r="Y576" s="262"/>
      <c r="Z576" s="262"/>
      <c r="AA576" s="262"/>
      <c r="AB576" s="262"/>
      <c r="AC576" s="262"/>
      <c r="AD576" s="262"/>
      <c r="AE576" s="262"/>
      <c r="AF576" s="262"/>
      <c r="AG576" s="264"/>
      <c r="AH576" s="264"/>
      <c r="AI576" s="264"/>
      <c r="AJ576" s="264"/>
      <c r="AK576" s="264"/>
      <c r="AL576" s="264"/>
      <c r="AM576" s="264"/>
      <c r="AN576" s="264"/>
    </row>
    <row r="577" ht="15.75" customHeight="1">
      <c r="A577" s="262"/>
      <c r="B577" s="338">
        <f>IFERROR(__xludf.DUMMYFUNCTION("""COMPUTED_VALUE"""),1058.0)</f>
        <v>1058</v>
      </c>
      <c r="C577" s="354"/>
      <c r="D577" s="340" t="str">
        <f>IFERROR(__xludf.DUMMYFUNCTION("""COMPUTED_VALUE"""),"")</f>
        <v/>
      </c>
      <c r="E577" s="341">
        <f>IFERROR(__xludf.DUMMYFUNCTION("""COMPUTED_VALUE"""),0.0)</f>
        <v>0</v>
      </c>
      <c r="F577" s="352"/>
      <c r="G577" s="343"/>
      <c r="H577" s="344">
        <f>IFERROR(__xludf.DUMMYFUNCTION("""COMPUTED_VALUE"""),0.0)</f>
        <v>0</v>
      </c>
      <c r="I577" s="353"/>
      <c r="J577" s="353"/>
      <c r="K577" s="346">
        <f>IFERROR(__xludf.DUMMYFUNCTION("""COMPUTED_VALUE"""),0.0)</f>
        <v>0</v>
      </c>
      <c r="L577" s="347">
        <f>IFERROR(__xludf.DUMMYFUNCTION("""COMPUTED_VALUE"""),0.0)</f>
        <v>0</v>
      </c>
      <c r="M577" s="348">
        <f>IFERROR(__xludf.DUMMYFUNCTION("""COMPUTED_VALUE"""),0.0)</f>
        <v>0</v>
      </c>
      <c r="N577" s="348">
        <f>IFERROR(__xludf.DUMMYFUNCTION("""COMPUTED_VALUE"""),0.0)</f>
        <v>0</v>
      </c>
      <c r="O577" s="348">
        <f>IFERROR(__xludf.DUMMYFUNCTION("""COMPUTED_VALUE"""),0.0)</f>
        <v>0</v>
      </c>
      <c r="P577" s="348">
        <f>IFERROR(__xludf.DUMMYFUNCTION("""COMPUTED_VALUE"""),0.0)</f>
        <v>0</v>
      </c>
      <c r="Q577" s="348">
        <f>IFERROR(__xludf.DUMMYFUNCTION("""COMPUTED_VALUE"""),0.0)</f>
        <v>0</v>
      </c>
      <c r="R577" s="355" t="str">
        <f>IFERROR(__xludf.DUMMYFUNCTION("""COMPUTED_VALUE""")," Cash Proyek ")</f>
        <v>Cash Proyek</v>
      </c>
      <c r="S577" s="350"/>
      <c r="T577" s="262"/>
      <c r="U577" s="351"/>
      <c r="V577" s="262"/>
      <c r="W577" s="262"/>
      <c r="X577" s="262"/>
      <c r="Y577" s="262"/>
      <c r="Z577" s="262"/>
      <c r="AA577" s="262"/>
      <c r="AB577" s="262"/>
      <c r="AC577" s="262"/>
      <c r="AD577" s="262"/>
      <c r="AE577" s="262"/>
      <c r="AF577" s="262"/>
      <c r="AG577" s="264"/>
      <c r="AH577" s="264"/>
      <c r="AI577" s="264"/>
      <c r="AJ577" s="264"/>
      <c r="AK577" s="264"/>
      <c r="AL577" s="264"/>
      <c r="AM577" s="264"/>
      <c r="AN577" s="264"/>
    </row>
    <row r="578" ht="15.75" customHeight="1">
      <c r="A578" s="262"/>
      <c r="B578" s="338">
        <f>IFERROR(__xludf.DUMMYFUNCTION("""COMPUTED_VALUE"""),1059.0)</f>
        <v>1059</v>
      </c>
      <c r="C578" s="354"/>
      <c r="D578" s="340" t="str">
        <f>IFERROR(__xludf.DUMMYFUNCTION("""COMPUTED_VALUE"""),"")</f>
        <v/>
      </c>
      <c r="E578" s="341">
        <f>IFERROR(__xludf.DUMMYFUNCTION("""COMPUTED_VALUE"""),0.0)</f>
        <v>0</v>
      </c>
      <c r="F578" s="352"/>
      <c r="G578" s="343"/>
      <c r="H578" s="344">
        <f>IFERROR(__xludf.DUMMYFUNCTION("""COMPUTED_VALUE"""),0.0)</f>
        <v>0</v>
      </c>
      <c r="I578" s="353"/>
      <c r="J578" s="353"/>
      <c r="K578" s="346">
        <f>IFERROR(__xludf.DUMMYFUNCTION("""COMPUTED_VALUE"""),0.0)</f>
        <v>0</v>
      </c>
      <c r="L578" s="347">
        <f>IFERROR(__xludf.DUMMYFUNCTION("""COMPUTED_VALUE"""),0.0)</f>
        <v>0</v>
      </c>
      <c r="M578" s="348">
        <f>IFERROR(__xludf.DUMMYFUNCTION("""COMPUTED_VALUE"""),0.0)</f>
        <v>0</v>
      </c>
      <c r="N578" s="348">
        <f>IFERROR(__xludf.DUMMYFUNCTION("""COMPUTED_VALUE"""),0.0)</f>
        <v>0</v>
      </c>
      <c r="O578" s="348">
        <f>IFERROR(__xludf.DUMMYFUNCTION("""COMPUTED_VALUE"""),0.0)</f>
        <v>0</v>
      </c>
      <c r="P578" s="348">
        <f>IFERROR(__xludf.DUMMYFUNCTION("""COMPUTED_VALUE"""),0.0)</f>
        <v>0</v>
      </c>
      <c r="Q578" s="348">
        <f>IFERROR(__xludf.DUMMYFUNCTION("""COMPUTED_VALUE"""),0.0)</f>
        <v>0</v>
      </c>
      <c r="R578" s="355" t="str">
        <f>IFERROR(__xludf.DUMMYFUNCTION("""COMPUTED_VALUE""")," Cash Proyek ")</f>
        <v>Cash Proyek</v>
      </c>
      <c r="S578" s="350"/>
      <c r="T578" s="262"/>
      <c r="U578" s="351"/>
      <c r="V578" s="262"/>
      <c r="W578" s="262"/>
      <c r="X578" s="262"/>
      <c r="Y578" s="262"/>
      <c r="Z578" s="262"/>
      <c r="AA578" s="262"/>
      <c r="AB578" s="262"/>
      <c r="AC578" s="262"/>
      <c r="AD578" s="262"/>
      <c r="AE578" s="262"/>
      <c r="AF578" s="262"/>
      <c r="AG578" s="264"/>
      <c r="AH578" s="264"/>
      <c r="AI578" s="264"/>
      <c r="AJ578" s="264"/>
      <c r="AK578" s="264"/>
      <c r="AL578" s="264"/>
      <c r="AM578" s="264"/>
      <c r="AN578" s="264"/>
    </row>
    <row r="579" ht="15.75" customHeight="1">
      <c r="A579" s="262"/>
      <c r="B579" s="338">
        <f>IFERROR(__xludf.DUMMYFUNCTION("""COMPUTED_VALUE"""),1060.0)</f>
        <v>1060</v>
      </c>
      <c r="C579" s="354"/>
      <c r="D579" s="340" t="str">
        <f>IFERROR(__xludf.DUMMYFUNCTION("""COMPUTED_VALUE"""),"")</f>
        <v/>
      </c>
      <c r="E579" s="341">
        <f>IFERROR(__xludf.DUMMYFUNCTION("""COMPUTED_VALUE"""),0.0)</f>
        <v>0</v>
      </c>
      <c r="F579" s="352"/>
      <c r="G579" s="343"/>
      <c r="H579" s="344">
        <f>IFERROR(__xludf.DUMMYFUNCTION("""COMPUTED_VALUE"""),0.0)</f>
        <v>0</v>
      </c>
      <c r="I579" s="353"/>
      <c r="J579" s="353"/>
      <c r="K579" s="346">
        <f>IFERROR(__xludf.DUMMYFUNCTION("""COMPUTED_VALUE"""),0.0)</f>
        <v>0</v>
      </c>
      <c r="L579" s="347">
        <f>IFERROR(__xludf.DUMMYFUNCTION("""COMPUTED_VALUE"""),0.0)</f>
        <v>0</v>
      </c>
      <c r="M579" s="348">
        <f>IFERROR(__xludf.DUMMYFUNCTION("""COMPUTED_VALUE"""),0.0)</f>
        <v>0</v>
      </c>
      <c r="N579" s="348">
        <f>IFERROR(__xludf.DUMMYFUNCTION("""COMPUTED_VALUE"""),0.0)</f>
        <v>0</v>
      </c>
      <c r="O579" s="348">
        <f>IFERROR(__xludf.DUMMYFUNCTION("""COMPUTED_VALUE"""),0.0)</f>
        <v>0</v>
      </c>
      <c r="P579" s="348">
        <f>IFERROR(__xludf.DUMMYFUNCTION("""COMPUTED_VALUE"""),0.0)</f>
        <v>0</v>
      </c>
      <c r="Q579" s="348">
        <f>IFERROR(__xludf.DUMMYFUNCTION("""COMPUTED_VALUE"""),0.0)</f>
        <v>0</v>
      </c>
      <c r="R579" s="355" t="str">
        <f>IFERROR(__xludf.DUMMYFUNCTION("""COMPUTED_VALUE""")," Cash Proyek ")</f>
        <v>Cash Proyek</v>
      </c>
      <c r="S579" s="350"/>
      <c r="T579" s="262"/>
      <c r="U579" s="351"/>
      <c r="V579" s="262"/>
      <c r="W579" s="262"/>
      <c r="X579" s="262"/>
      <c r="Y579" s="262"/>
      <c r="Z579" s="262"/>
      <c r="AA579" s="262"/>
      <c r="AB579" s="262"/>
      <c r="AC579" s="262"/>
      <c r="AD579" s="262"/>
      <c r="AE579" s="262"/>
      <c r="AF579" s="262"/>
      <c r="AG579" s="264"/>
      <c r="AH579" s="264"/>
      <c r="AI579" s="264"/>
      <c r="AJ579" s="264"/>
      <c r="AK579" s="264"/>
      <c r="AL579" s="264"/>
      <c r="AM579" s="264"/>
      <c r="AN579" s="264"/>
    </row>
    <row r="580" ht="15.75" customHeight="1">
      <c r="A580" s="262"/>
      <c r="B580" s="338">
        <f>IFERROR(__xludf.DUMMYFUNCTION("""COMPUTED_VALUE"""),1061.0)</f>
        <v>1061</v>
      </c>
      <c r="C580" s="354"/>
      <c r="D580" s="340" t="str">
        <f>IFERROR(__xludf.DUMMYFUNCTION("""COMPUTED_VALUE"""),"")</f>
        <v/>
      </c>
      <c r="E580" s="341">
        <f>IFERROR(__xludf.DUMMYFUNCTION("""COMPUTED_VALUE"""),0.0)</f>
        <v>0</v>
      </c>
      <c r="F580" s="352"/>
      <c r="G580" s="343"/>
      <c r="H580" s="344">
        <f>IFERROR(__xludf.DUMMYFUNCTION("""COMPUTED_VALUE"""),0.0)</f>
        <v>0</v>
      </c>
      <c r="I580" s="353"/>
      <c r="J580" s="353"/>
      <c r="K580" s="346">
        <f>IFERROR(__xludf.DUMMYFUNCTION("""COMPUTED_VALUE"""),0.0)</f>
        <v>0</v>
      </c>
      <c r="L580" s="347">
        <f>IFERROR(__xludf.DUMMYFUNCTION("""COMPUTED_VALUE"""),0.0)</f>
        <v>0</v>
      </c>
      <c r="M580" s="348">
        <f>IFERROR(__xludf.DUMMYFUNCTION("""COMPUTED_VALUE"""),0.0)</f>
        <v>0</v>
      </c>
      <c r="N580" s="348">
        <f>IFERROR(__xludf.DUMMYFUNCTION("""COMPUTED_VALUE"""),0.0)</f>
        <v>0</v>
      </c>
      <c r="O580" s="348">
        <f>IFERROR(__xludf.DUMMYFUNCTION("""COMPUTED_VALUE"""),0.0)</f>
        <v>0</v>
      </c>
      <c r="P580" s="348">
        <f>IFERROR(__xludf.DUMMYFUNCTION("""COMPUTED_VALUE"""),0.0)</f>
        <v>0</v>
      </c>
      <c r="Q580" s="348">
        <f>IFERROR(__xludf.DUMMYFUNCTION("""COMPUTED_VALUE"""),0.0)</f>
        <v>0</v>
      </c>
      <c r="R580" s="355" t="str">
        <f>IFERROR(__xludf.DUMMYFUNCTION("""COMPUTED_VALUE""")," Cash Proyek ")</f>
        <v>Cash Proyek</v>
      </c>
      <c r="S580" s="350"/>
      <c r="T580" s="262"/>
      <c r="U580" s="351"/>
      <c r="V580" s="262"/>
      <c r="W580" s="262"/>
      <c r="X580" s="262"/>
      <c r="Y580" s="262"/>
      <c r="Z580" s="262"/>
      <c r="AA580" s="262"/>
      <c r="AB580" s="262"/>
      <c r="AC580" s="262"/>
      <c r="AD580" s="262"/>
      <c r="AE580" s="262"/>
      <c r="AF580" s="262"/>
      <c r="AG580" s="264"/>
      <c r="AH580" s="264"/>
      <c r="AI580" s="264"/>
      <c r="AJ580" s="264"/>
      <c r="AK580" s="264"/>
      <c r="AL580" s="264"/>
      <c r="AM580" s="264"/>
      <c r="AN580" s="264"/>
    </row>
    <row r="581" ht="15.75" customHeight="1">
      <c r="A581" s="262"/>
      <c r="B581" s="338">
        <f>IFERROR(__xludf.DUMMYFUNCTION("""COMPUTED_VALUE"""),1062.0)</f>
        <v>1062</v>
      </c>
      <c r="C581" s="354"/>
      <c r="D581" s="340" t="str">
        <f>IFERROR(__xludf.DUMMYFUNCTION("""COMPUTED_VALUE"""),"")</f>
        <v/>
      </c>
      <c r="E581" s="341">
        <f>IFERROR(__xludf.DUMMYFUNCTION("""COMPUTED_VALUE"""),0.0)</f>
        <v>0</v>
      </c>
      <c r="F581" s="352"/>
      <c r="G581" s="343"/>
      <c r="H581" s="344">
        <f>IFERROR(__xludf.DUMMYFUNCTION("""COMPUTED_VALUE"""),0.0)</f>
        <v>0</v>
      </c>
      <c r="I581" s="353"/>
      <c r="J581" s="353"/>
      <c r="K581" s="346">
        <f>IFERROR(__xludf.DUMMYFUNCTION("""COMPUTED_VALUE"""),0.0)</f>
        <v>0</v>
      </c>
      <c r="L581" s="347">
        <f>IFERROR(__xludf.DUMMYFUNCTION("""COMPUTED_VALUE"""),0.0)</f>
        <v>0</v>
      </c>
      <c r="M581" s="348">
        <f>IFERROR(__xludf.DUMMYFUNCTION("""COMPUTED_VALUE"""),0.0)</f>
        <v>0</v>
      </c>
      <c r="N581" s="348">
        <f>IFERROR(__xludf.DUMMYFUNCTION("""COMPUTED_VALUE"""),0.0)</f>
        <v>0</v>
      </c>
      <c r="O581" s="348">
        <f>IFERROR(__xludf.DUMMYFUNCTION("""COMPUTED_VALUE"""),0.0)</f>
        <v>0</v>
      </c>
      <c r="P581" s="348">
        <f>IFERROR(__xludf.DUMMYFUNCTION("""COMPUTED_VALUE"""),0.0)</f>
        <v>0</v>
      </c>
      <c r="Q581" s="348">
        <f>IFERROR(__xludf.DUMMYFUNCTION("""COMPUTED_VALUE"""),0.0)</f>
        <v>0</v>
      </c>
      <c r="R581" s="355" t="str">
        <f>IFERROR(__xludf.DUMMYFUNCTION("""COMPUTED_VALUE""")," Cash Proyek ")</f>
        <v>Cash Proyek</v>
      </c>
      <c r="S581" s="350"/>
      <c r="T581" s="262"/>
      <c r="U581" s="351"/>
      <c r="V581" s="262"/>
      <c r="W581" s="262"/>
      <c r="X581" s="262"/>
      <c r="Y581" s="262"/>
      <c r="Z581" s="262"/>
      <c r="AA581" s="262"/>
      <c r="AB581" s="262"/>
      <c r="AC581" s="262"/>
      <c r="AD581" s="262"/>
      <c r="AE581" s="262"/>
      <c r="AF581" s="262"/>
      <c r="AG581" s="264"/>
      <c r="AH581" s="264"/>
      <c r="AI581" s="264"/>
      <c r="AJ581" s="264"/>
      <c r="AK581" s="264"/>
      <c r="AL581" s="264"/>
      <c r="AM581" s="264"/>
      <c r="AN581" s="264"/>
    </row>
    <row r="582" ht="15.75" customHeight="1">
      <c r="A582" s="262"/>
      <c r="B582" s="338">
        <f>IFERROR(__xludf.DUMMYFUNCTION("""COMPUTED_VALUE"""),1063.0)</f>
        <v>1063</v>
      </c>
      <c r="C582" s="354"/>
      <c r="D582" s="340" t="str">
        <f>IFERROR(__xludf.DUMMYFUNCTION("""COMPUTED_VALUE"""),"")</f>
        <v/>
      </c>
      <c r="E582" s="341">
        <f>IFERROR(__xludf.DUMMYFUNCTION("""COMPUTED_VALUE"""),0.0)</f>
        <v>0</v>
      </c>
      <c r="F582" s="352"/>
      <c r="G582" s="343"/>
      <c r="H582" s="344">
        <f>IFERROR(__xludf.DUMMYFUNCTION("""COMPUTED_VALUE"""),0.0)</f>
        <v>0</v>
      </c>
      <c r="I582" s="353"/>
      <c r="J582" s="353"/>
      <c r="K582" s="346">
        <f>IFERROR(__xludf.DUMMYFUNCTION("""COMPUTED_VALUE"""),0.0)</f>
        <v>0</v>
      </c>
      <c r="L582" s="347">
        <f>IFERROR(__xludf.DUMMYFUNCTION("""COMPUTED_VALUE"""),0.0)</f>
        <v>0</v>
      </c>
      <c r="M582" s="348">
        <f>IFERROR(__xludf.DUMMYFUNCTION("""COMPUTED_VALUE"""),0.0)</f>
        <v>0</v>
      </c>
      <c r="N582" s="348">
        <f>IFERROR(__xludf.DUMMYFUNCTION("""COMPUTED_VALUE"""),0.0)</f>
        <v>0</v>
      </c>
      <c r="O582" s="348">
        <f>IFERROR(__xludf.DUMMYFUNCTION("""COMPUTED_VALUE"""),0.0)</f>
        <v>0</v>
      </c>
      <c r="P582" s="348">
        <f>IFERROR(__xludf.DUMMYFUNCTION("""COMPUTED_VALUE"""),0.0)</f>
        <v>0</v>
      </c>
      <c r="Q582" s="348">
        <f>IFERROR(__xludf.DUMMYFUNCTION("""COMPUTED_VALUE"""),0.0)</f>
        <v>0</v>
      </c>
      <c r="R582" s="355" t="str">
        <f>IFERROR(__xludf.DUMMYFUNCTION("""COMPUTED_VALUE""")," Cash Proyek ")</f>
        <v>Cash Proyek</v>
      </c>
      <c r="S582" s="350"/>
      <c r="T582" s="262"/>
      <c r="U582" s="351"/>
      <c r="V582" s="262"/>
      <c r="W582" s="262"/>
      <c r="X582" s="262"/>
      <c r="Y582" s="262"/>
      <c r="Z582" s="262"/>
      <c r="AA582" s="262"/>
      <c r="AB582" s="262"/>
      <c r="AC582" s="262"/>
      <c r="AD582" s="262"/>
      <c r="AE582" s="262"/>
      <c r="AF582" s="262"/>
      <c r="AG582" s="264"/>
      <c r="AH582" s="264"/>
      <c r="AI582" s="264"/>
      <c r="AJ582" s="264"/>
      <c r="AK582" s="264"/>
      <c r="AL582" s="264"/>
      <c r="AM582" s="264"/>
      <c r="AN582" s="264"/>
    </row>
    <row r="583" ht="15.75" customHeight="1">
      <c r="A583" s="262"/>
      <c r="B583" s="338">
        <f>IFERROR(__xludf.DUMMYFUNCTION("""COMPUTED_VALUE"""),1064.0)</f>
        <v>1064</v>
      </c>
      <c r="C583" s="354"/>
      <c r="D583" s="340" t="str">
        <f>IFERROR(__xludf.DUMMYFUNCTION("""COMPUTED_VALUE"""),"")</f>
        <v/>
      </c>
      <c r="E583" s="341">
        <f>IFERROR(__xludf.DUMMYFUNCTION("""COMPUTED_VALUE"""),0.0)</f>
        <v>0</v>
      </c>
      <c r="F583" s="352"/>
      <c r="G583" s="343"/>
      <c r="H583" s="344">
        <f>IFERROR(__xludf.DUMMYFUNCTION("""COMPUTED_VALUE"""),0.0)</f>
        <v>0</v>
      </c>
      <c r="I583" s="353"/>
      <c r="J583" s="353"/>
      <c r="K583" s="346">
        <f>IFERROR(__xludf.DUMMYFUNCTION("""COMPUTED_VALUE"""),0.0)</f>
        <v>0</v>
      </c>
      <c r="L583" s="347">
        <f>IFERROR(__xludf.DUMMYFUNCTION("""COMPUTED_VALUE"""),0.0)</f>
        <v>0</v>
      </c>
      <c r="M583" s="348">
        <f>IFERROR(__xludf.DUMMYFUNCTION("""COMPUTED_VALUE"""),0.0)</f>
        <v>0</v>
      </c>
      <c r="N583" s="348">
        <f>IFERROR(__xludf.DUMMYFUNCTION("""COMPUTED_VALUE"""),0.0)</f>
        <v>0</v>
      </c>
      <c r="O583" s="348">
        <f>IFERROR(__xludf.DUMMYFUNCTION("""COMPUTED_VALUE"""),0.0)</f>
        <v>0</v>
      </c>
      <c r="P583" s="348">
        <f>IFERROR(__xludf.DUMMYFUNCTION("""COMPUTED_VALUE"""),0.0)</f>
        <v>0</v>
      </c>
      <c r="Q583" s="348">
        <f>IFERROR(__xludf.DUMMYFUNCTION("""COMPUTED_VALUE"""),0.0)</f>
        <v>0</v>
      </c>
      <c r="R583" s="355" t="str">
        <f>IFERROR(__xludf.DUMMYFUNCTION("""COMPUTED_VALUE""")," Cash Proyek ")</f>
        <v>Cash Proyek</v>
      </c>
      <c r="S583" s="350"/>
      <c r="T583" s="262"/>
      <c r="U583" s="351"/>
      <c r="V583" s="262"/>
      <c r="W583" s="262"/>
      <c r="X583" s="262"/>
      <c r="Y583" s="262"/>
      <c r="Z583" s="262"/>
      <c r="AA583" s="262"/>
      <c r="AB583" s="262"/>
      <c r="AC583" s="262"/>
      <c r="AD583" s="262"/>
      <c r="AE583" s="262"/>
      <c r="AF583" s="262"/>
      <c r="AG583" s="264"/>
      <c r="AH583" s="264"/>
      <c r="AI583" s="264"/>
      <c r="AJ583" s="264"/>
      <c r="AK583" s="264"/>
      <c r="AL583" s="264"/>
      <c r="AM583" s="264"/>
      <c r="AN583" s="264"/>
    </row>
    <row r="584" ht="15.75" customHeight="1">
      <c r="A584" s="262"/>
      <c r="B584" s="338">
        <f>IFERROR(__xludf.DUMMYFUNCTION("""COMPUTED_VALUE"""),1065.0)</f>
        <v>1065</v>
      </c>
      <c r="C584" s="354"/>
      <c r="D584" s="340" t="str">
        <f>IFERROR(__xludf.DUMMYFUNCTION("""COMPUTED_VALUE"""),"")</f>
        <v/>
      </c>
      <c r="E584" s="341">
        <f>IFERROR(__xludf.DUMMYFUNCTION("""COMPUTED_VALUE"""),0.0)</f>
        <v>0</v>
      </c>
      <c r="F584" s="352"/>
      <c r="G584" s="343"/>
      <c r="H584" s="344">
        <f>IFERROR(__xludf.DUMMYFUNCTION("""COMPUTED_VALUE"""),0.0)</f>
        <v>0</v>
      </c>
      <c r="I584" s="353"/>
      <c r="J584" s="353"/>
      <c r="K584" s="346">
        <f>IFERROR(__xludf.DUMMYFUNCTION("""COMPUTED_VALUE"""),0.0)</f>
        <v>0</v>
      </c>
      <c r="L584" s="347">
        <f>IFERROR(__xludf.DUMMYFUNCTION("""COMPUTED_VALUE"""),0.0)</f>
        <v>0</v>
      </c>
      <c r="M584" s="348">
        <f>IFERROR(__xludf.DUMMYFUNCTION("""COMPUTED_VALUE"""),0.0)</f>
        <v>0</v>
      </c>
      <c r="N584" s="348">
        <f>IFERROR(__xludf.DUMMYFUNCTION("""COMPUTED_VALUE"""),0.0)</f>
        <v>0</v>
      </c>
      <c r="O584" s="348">
        <f>IFERROR(__xludf.DUMMYFUNCTION("""COMPUTED_VALUE"""),0.0)</f>
        <v>0</v>
      </c>
      <c r="P584" s="348">
        <f>IFERROR(__xludf.DUMMYFUNCTION("""COMPUTED_VALUE"""),0.0)</f>
        <v>0</v>
      </c>
      <c r="Q584" s="348">
        <f>IFERROR(__xludf.DUMMYFUNCTION("""COMPUTED_VALUE"""),0.0)</f>
        <v>0</v>
      </c>
      <c r="R584" s="355" t="str">
        <f>IFERROR(__xludf.DUMMYFUNCTION("""COMPUTED_VALUE""")," Cash Proyek ")</f>
        <v>Cash Proyek</v>
      </c>
      <c r="S584" s="350"/>
      <c r="T584" s="262"/>
      <c r="U584" s="351"/>
      <c r="V584" s="262"/>
      <c r="W584" s="262"/>
      <c r="X584" s="262"/>
      <c r="Y584" s="262"/>
      <c r="Z584" s="262"/>
      <c r="AA584" s="262"/>
      <c r="AB584" s="262"/>
      <c r="AC584" s="262"/>
      <c r="AD584" s="262"/>
      <c r="AE584" s="262"/>
      <c r="AF584" s="262"/>
      <c r="AG584" s="264"/>
      <c r="AH584" s="264"/>
      <c r="AI584" s="264"/>
      <c r="AJ584" s="264"/>
      <c r="AK584" s="264"/>
      <c r="AL584" s="264"/>
      <c r="AM584" s="264"/>
      <c r="AN584" s="264"/>
    </row>
    <row r="585" ht="15.75" customHeight="1">
      <c r="A585" s="262"/>
      <c r="B585" s="338">
        <f>IFERROR(__xludf.DUMMYFUNCTION("""COMPUTED_VALUE"""),1066.0)</f>
        <v>1066</v>
      </c>
      <c r="C585" s="354"/>
      <c r="D585" s="340" t="str">
        <f>IFERROR(__xludf.DUMMYFUNCTION("""COMPUTED_VALUE"""),"")</f>
        <v/>
      </c>
      <c r="E585" s="341">
        <f>IFERROR(__xludf.DUMMYFUNCTION("""COMPUTED_VALUE"""),0.0)</f>
        <v>0</v>
      </c>
      <c r="F585" s="352"/>
      <c r="G585" s="343"/>
      <c r="H585" s="344">
        <f>IFERROR(__xludf.DUMMYFUNCTION("""COMPUTED_VALUE"""),0.0)</f>
        <v>0</v>
      </c>
      <c r="I585" s="353"/>
      <c r="J585" s="353"/>
      <c r="K585" s="346">
        <f>IFERROR(__xludf.DUMMYFUNCTION("""COMPUTED_VALUE"""),0.0)</f>
        <v>0</v>
      </c>
      <c r="L585" s="347">
        <f>IFERROR(__xludf.DUMMYFUNCTION("""COMPUTED_VALUE"""),0.0)</f>
        <v>0</v>
      </c>
      <c r="M585" s="348">
        <f>IFERROR(__xludf.DUMMYFUNCTION("""COMPUTED_VALUE"""),0.0)</f>
        <v>0</v>
      </c>
      <c r="N585" s="348">
        <f>IFERROR(__xludf.DUMMYFUNCTION("""COMPUTED_VALUE"""),0.0)</f>
        <v>0</v>
      </c>
      <c r="O585" s="348">
        <f>IFERROR(__xludf.DUMMYFUNCTION("""COMPUTED_VALUE"""),0.0)</f>
        <v>0</v>
      </c>
      <c r="P585" s="348">
        <f>IFERROR(__xludf.DUMMYFUNCTION("""COMPUTED_VALUE"""),0.0)</f>
        <v>0</v>
      </c>
      <c r="Q585" s="348">
        <f>IFERROR(__xludf.DUMMYFUNCTION("""COMPUTED_VALUE"""),0.0)</f>
        <v>0</v>
      </c>
      <c r="R585" s="355" t="str">
        <f>IFERROR(__xludf.DUMMYFUNCTION("""COMPUTED_VALUE""")," Cash Proyek ")</f>
        <v>Cash Proyek</v>
      </c>
      <c r="S585" s="350"/>
      <c r="T585" s="262"/>
      <c r="U585" s="351"/>
      <c r="V585" s="262"/>
      <c r="W585" s="262"/>
      <c r="X585" s="262"/>
      <c r="Y585" s="262"/>
      <c r="Z585" s="262"/>
      <c r="AA585" s="262"/>
      <c r="AB585" s="262"/>
      <c r="AC585" s="262"/>
      <c r="AD585" s="262"/>
      <c r="AE585" s="262"/>
      <c r="AF585" s="262"/>
      <c r="AG585" s="264"/>
      <c r="AH585" s="264"/>
      <c r="AI585" s="264"/>
      <c r="AJ585" s="264"/>
      <c r="AK585" s="264"/>
      <c r="AL585" s="264"/>
      <c r="AM585" s="264"/>
      <c r="AN585" s="264"/>
    </row>
    <row r="586" ht="15.75" customHeight="1">
      <c r="A586" s="262"/>
      <c r="B586" s="338">
        <f>IFERROR(__xludf.DUMMYFUNCTION("""COMPUTED_VALUE"""),1067.0)</f>
        <v>1067</v>
      </c>
      <c r="C586" s="354"/>
      <c r="D586" s="340" t="str">
        <f>IFERROR(__xludf.DUMMYFUNCTION("""COMPUTED_VALUE"""),"")</f>
        <v/>
      </c>
      <c r="E586" s="341">
        <f>IFERROR(__xludf.DUMMYFUNCTION("""COMPUTED_VALUE"""),0.0)</f>
        <v>0</v>
      </c>
      <c r="F586" s="352"/>
      <c r="G586" s="343"/>
      <c r="H586" s="344">
        <f>IFERROR(__xludf.DUMMYFUNCTION("""COMPUTED_VALUE"""),0.0)</f>
        <v>0</v>
      </c>
      <c r="I586" s="353"/>
      <c r="J586" s="353"/>
      <c r="K586" s="346">
        <f>IFERROR(__xludf.DUMMYFUNCTION("""COMPUTED_VALUE"""),0.0)</f>
        <v>0</v>
      </c>
      <c r="L586" s="347">
        <f>IFERROR(__xludf.DUMMYFUNCTION("""COMPUTED_VALUE"""),0.0)</f>
        <v>0</v>
      </c>
      <c r="M586" s="348">
        <f>IFERROR(__xludf.DUMMYFUNCTION("""COMPUTED_VALUE"""),0.0)</f>
        <v>0</v>
      </c>
      <c r="N586" s="348">
        <f>IFERROR(__xludf.DUMMYFUNCTION("""COMPUTED_VALUE"""),0.0)</f>
        <v>0</v>
      </c>
      <c r="O586" s="348">
        <f>IFERROR(__xludf.DUMMYFUNCTION("""COMPUTED_VALUE"""),0.0)</f>
        <v>0</v>
      </c>
      <c r="P586" s="348">
        <f>IFERROR(__xludf.DUMMYFUNCTION("""COMPUTED_VALUE"""),0.0)</f>
        <v>0</v>
      </c>
      <c r="Q586" s="348">
        <f>IFERROR(__xludf.DUMMYFUNCTION("""COMPUTED_VALUE"""),0.0)</f>
        <v>0</v>
      </c>
      <c r="R586" s="355" t="str">
        <f>IFERROR(__xludf.DUMMYFUNCTION("""COMPUTED_VALUE""")," Cash Proyek ")</f>
        <v>Cash Proyek</v>
      </c>
      <c r="S586" s="350"/>
      <c r="T586" s="262"/>
      <c r="U586" s="351"/>
      <c r="V586" s="262"/>
      <c r="W586" s="262"/>
      <c r="X586" s="262"/>
      <c r="Y586" s="262"/>
      <c r="Z586" s="262"/>
      <c r="AA586" s="262"/>
      <c r="AB586" s="262"/>
      <c r="AC586" s="262"/>
      <c r="AD586" s="262"/>
      <c r="AE586" s="262"/>
      <c r="AF586" s="262"/>
      <c r="AG586" s="264"/>
      <c r="AH586" s="264"/>
      <c r="AI586" s="264"/>
      <c r="AJ586" s="264"/>
      <c r="AK586" s="264"/>
      <c r="AL586" s="264"/>
      <c r="AM586" s="264"/>
      <c r="AN586" s="264"/>
    </row>
    <row r="587" ht="15.75" customHeight="1">
      <c r="A587" s="262"/>
      <c r="B587" s="338">
        <f>IFERROR(__xludf.DUMMYFUNCTION("""COMPUTED_VALUE"""),1068.0)</f>
        <v>1068</v>
      </c>
      <c r="C587" s="354"/>
      <c r="D587" s="340" t="str">
        <f>IFERROR(__xludf.DUMMYFUNCTION("""COMPUTED_VALUE"""),"")</f>
        <v/>
      </c>
      <c r="E587" s="341">
        <f>IFERROR(__xludf.DUMMYFUNCTION("""COMPUTED_VALUE"""),0.0)</f>
        <v>0</v>
      </c>
      <c r="F587" s="352"/>
      <c r="G587" s="343"/>
      <c r="H587" s="344">
        <f>IFERROR(__xludf.DUMMYFUNCTION("""COMPUTED_VALUE"""),0.0)</f>
        <v>0</v>
      </c>
      <c r="I587" s="353"/>
      <c r="J587" s="353"/>
      <c r="K587" s="346">
        <f>IFERROR(__xludf.DUMMYFUNCTION("""COMPUTED_VALUE"""),0.0)</f>
        <v>0</v>
      </c>
      <c r="L587" s="347">
        <f>IFERROR(__xludf.DUMMYFUNCTION("""COMPUTED_VALUE"""),0.0)</f>
        <v>0</v>
      </c>
      <c r="M587" s="348">
        <f>IFERROR(__xludf.DUMMYFUNCTION("""COMPUTED_VALUE"""),0.0)</f>
        <v>0</v>
      </c>
      <c r="N587" s="348">
        <f>IFERROR(__xludf.DUMMYFUNCTION("""COMPUTED_VALUE"""),0.0)</f>
        <v>0</v>
      </c>
      <c r="O587" s="348">
        <f>IFERROR(__xludf.DUMMYFUNCTION("""COMPUTED_VALUE"""),0.0)</f>
        <v>0</v>
      </c>
      <c r="P587" s="348">
        <f>IFERROR(__xludf.DUMMYFUNCTION("""COMPUTED_VALUE"""),0.0)</f>
        <v>0</v>
      </c>
      <c r="Q587" s="348">
        <f>IFERROR(__xludf.DUMMYFUNCTION("""COMPUTED_VALUE"""),0.0)</f>
        <v>0</v>
      </c>
      <c r="R587" s="355" t="str">
        <f>IFERROR(__xludf.DUMMYFUNCTION("""COMPUTED_VALUE""")," Cash Proyek ")</f>
        <v>Cash Proyek</v>
      </c>
      <c r="S587" s="350"/>
      <c r="T587" s="262"/>
      <c r="U587" s="351"/>
      <c r="V587" s="262"/>
      <c r="W587" s="262"/>
      <c r="X587" s="262"/>
      <c r="Y587" s="262"/>
      <c r="Z587" s="262"/>
      <c r="AA587" s="262"/>
      <c r="AB587" s="262"/>
      <c r="AC587" s="262"/>
      <c r="AD587" s="262"/>
      <c r="AE587" s="262"/>
      <c r="AF587" s="262"/>
      <c r="AG587" s="264"/>
      <c r="AH587" s="264"/>
      <c r="AI587" s="264"/>
      <c r="AJ587" s="264"/>
      <c r="AK587" s="264"/>
      <c r="AL587" s="264"/>
      <c r="AM587" s="264"/>
      <c r="AN587" s="264"/>
    </row>
    <row r="588" ht="15.75" customHeight="1">
      <c r="A588" s="262"/>
      <c r="B588" s="338">
        <f>IFERROR(__xludf.DUMMYFUNCTION("""COMPUTED_VALUE"""),1069.0)</f>
        <v>1069</v>
      </c>
      <c r="C588" s="354"/>
      <c r="D588" s="340" t="str">
        <f>IFERROR(__xludf.DUMMYFUNCTION("""COMPUTED_VALUE"""),"")</f>
        <v/>
      </c>
      <c r="E588" s="341">
        <f>IFERROR(__xludf.DUMMYFUNCTION("""COMPUTED_VALUE"""),0.0)</f>
        <v>0</v>
      </c>
      <c r="F588" s="352"/>
      <c r="G588" s="343"/>
      <c r="H588" s="344">
        <f>IFERROR(__xludf.DUMMYFUNCTION("""COMPUTED_VALUE"""),0.0)</f>
        <v>0</v>
      </c>
      <c r="I588" s="353"/>
      <c r="J588" s="353"/>
      <c r="K588" s="346">
        <f>IFERROR(__xludf.DUMMYFUNCTION("""COMPUTED_VALUE"""),0.0)</f>
        <v>0</v>
      </c>
      <c r="L588" s="347">
        <f>IFERROR(__xludf.DUMMYFUNCTION("""COMPUTED_VALUE"""),0.0)</f>
        <v>0</v>
      </c>
      <c r="M588" s="348">
        <f>IFERROR(__xludf.DUMMYFUNCTION("""COMPUTED_VALUE"""),0.0)</f>
        <v>0</v>
      </c>
      <c r="N588" s="348">
        <f>IFERROR(__xludf.DUMMYFUNCTION("""COMPUTED_VALUE"""),0.0)</f>
        <v>0</v>
      </c>
      <c r="O588" s="348">
        <f>IFERROR(__xludf.DUMMYFUNCTION("""COMPUTED_VALUE"""),0.0)</f>
        <v>0</v>
      </c>
      <c r="P588" s="348">
        <f>IFERROR(__xludf.DUMMYFUNCTION("""COMPUTED_VALUE"""),0.0)</f>
        <v>0</v>
      </c>
      <c r="Q588" s="348">
        <f>IFERROR(__xludf.DUMMYFUNCTION("""COMPUTED_VALUE"""),0.0)</f>
        <v>0</v>
      </c>
      <c r="R588" s="355" t="str">
        <f>IFERROR(__xludf.DUMMYFUNCTION("""COMPUTED_VALUE""")," Cash Proyek ")</f>
        <v>Cash Proyek</v>
      </c>
      <c r="S588" s="350"/>
      <c r="T588" s="262"/>
      <c r="U588" s="351"/>
      <c r="V588" s="262"/>
      <c r="W588" s="262"/>
      <c r="X588" s="262"/>
      <c r="Y588" s="262"/>
      <c r="Z588" s="262"/>
      <c r="AA588" s="262"/>
      <c r="AB588" s="262"/>
      <c r="AC588" s="262"/>
      <c r="AD588" s="262"/>
      <c r="AE588" s="262"/>
      <c r="AF588" s="262"/>
      <c r="AG588" s="264"/>
      <c r="AH588" s="264"/>
      <c r="AI588" s="264"/>
      <c r="AJ588" s="264"/>
      <c r="AK588" s="264"/>
      <c r="AL588" s="264"/>
      <c r="AM588" s="264"/>
      <c r="AN588" s="264"/>
    </row>
    <row r="589" ht="15.75" customHeight="1">
      <c r="A589" s="262"/>
      <c r="B589" s="338">
        <f>IFERROR(__xludf.DUMMYFUNCTION("""COMPUTED_VALUE"""),1070.0)</f>
        <v>1070</v>
      </c>
      <c r="C589" s="354"/>
      <c r="D589" s="340" t="str">
        <f>IFERROR(__xludf.DUMMYFUNCTION("""COMPUTED_VALUE"""),"")</f>
        <v/>
      </c>
      <c r="E589" s="341">
        <f>IFERROR(__xludf.DUMMYFUNCTION("""COMPUTED_VALUE"""),0.0)</f>
        <v>0</v>
      </c>
      <c r="F589" s="352"/>
      <c r="G589" s="343"/>
      <c r="H589" s="344">
        <f>IFERROR(__xludf.DUMMYFUNCTION("""COMPUTED_VALUE"""),0.0)</f>
        <v>0</v>
      </c>
      <c r="I589" s="353"/>
      <c r="J589" s="353"/>
      <c r="K589" s="346">
        <f>IFERROR(__xludf.DUMMYFUNCTION("""COMPUTED_VALUE"""),0.0)</f>
        <v>0</v>
      </c>
      <c r="L589" s="347">
        <f>IFERROR(__xludf.DUMMYFUNCTION("""COMPUTED_VALUE"""),0.0)</f>
        <v>0</v>
      </c>
      <c r="M589" s="348">
        <f>IFERROR(__xludf.DUMMYFUNCTION("""COMPUTED_VALUE"""),0.0)</f>
        <v>0</v>
      </c>
      <c r="N589" s="348">
        <f>IFERROR(__xludf.DUMMYFUNCTION("""COMPUTED_VALUE"""),0.0)</f>
        <v>0</v>
      </c>
      <c r="O589" s="348">
        <f>IFERROR(__xludf.DUMMYFUNCTION("""COMPUTED_VALUE"""),0.0)</f>
        <v>0</v>
      </c>
      <c r="P589" s="348">
        <f>IFERROR(__xludf.DUMMYFUNCTION("""COMPUTED_VALUE"""),0.0)</f>
        <v>0</v>
      </c>
      <c r="Q589" s="348">
        <f>IFERROR(__xludf.DUMMYFUNCTION("""COMPUTED_VALUE"""),0.0)</f>
        <v>0</v>
      </c>
      <c r="R589" s="355" t="str">
        <f>IFERROR(__xludf.DUMMYFUNCTION("""COMPUTED_VALUE""")," Cash Proyek ")</f>
        <v>Cash Proyek</v>
      </c>
      <c r="S589" s="350"/>
      <c r="T589" s="262"/>
      <c r="U589" s="351"/>
      <c r="V589" s="262"/>
      <c r="W589" s="262"/>
      <c r="X589" s="262"/>
      <c r="Y589" s="262"/>
      <c r="Z589" s="262"/>
      <c r="AA589" s="262"/>
      <c r="AB589" s="262"/>
      <c r="AC589" s="262"/>
      <c r="AD589" s="262"/>
      <c r="AE589" s="262"/>
      <c r="AF589" s="262"/>
      <c r="AG589" s="264"/>
      <c r="AH589" s="264"/>
      <c r="AI589" s="264"/>
      <c r="AJ589" s="264"/>
      <c r="AK589" s="264"/>
      <c r="AL589" s="264"/>
      <c r="AM589" s="264"/>
      <c r="AN589" s="264"/>
    </row>
    <row r="590" ht="15.75" customHeight="1">
      <c r="A590" s="262"/>
      <c r="B590" s="338">
        <f>IFERROR(__xludf.DUMMYFUNCTION("""COMPUTED_VALUE"""),1071.0)</f>
        <v>1071</v>
      </c>
      <c r="C590" s="354"/>
      <c r="D590" s="340" t="str">
        <f>IFERROR(__xludf.DUMMYFUNCTION("""COMPUTED_VALUE"""),"")</f>
        <v/>
      </c>
      <c r="E590" s="341">
        <f>IFERROR(__xludf.DUMMYFUNCTION("""COMPUTED_VALUE"""),0.0)</f>
        <v>0</v>
      </c>
      <c r="F590" s="352"/>
      <c r="G590" s="343"/>
      <c r="H590" s="344">
        <f>IFERROR(__xludf.DUMMYFUNCTION("""COMPUTED_VALUE"""),0.0)</f>
        <v>0</v>
      </c>
      <c r="I590" s="353"/>
      <c r="J590" s="353"/>
      <c r="K590" s="346">
        <f>IFERROR(__xludf.DUMMYFUNCTION("""COMPUTED_VALUE"""),0.0)</f>
        <v>0</v>
      </c>
      <c r="L590" s="347">
        <f>IFERROR(__xludf.DUMMYFUNCTION("""COMPUTED_VALUE"""),0.0)</f>
        <v>0</v>
      </c>
      <c r="M590" s="348">
        <f>IFERROR(__xludf.DUMMYFUNCTION("""COMPUTED_VALUE"""),0.0)</f>
        <v>0</v>
      </c>
      <c r="N590" s="348">
        <f>IFERROR(__xludf.DUMMYFUNCTION("""COMPUTED_VALUE"""),0.0)</f>
        <v>0</v>
      </c>
      <c r="O590" s="348">
        <f>IFERROR(__xludf.DUMMYFUNCTION("""COMPUTED_VALUE"""),0.0)</f>
        <v>0</v>
      </c>
      <c r="P590" s="348">
        <f>IFERROR(__xludf.DUMMYFUNCTION("""COMPUTED_VALUE"""),0.0)</f>
        <v>0</v>
      </c>
      <c r="Q590" s="348">
        <f>IFERROR(__xludf.DUMMYFUNCTION("""COMPUTED_VALUE"""),0.0)</f>
        <v>0</v>
      </c>
      <c r="R590" s="355" t="str">
        <f>IFERROR(__xludf.DUMMYFUNCTION("""COMPUTED_VALUE""")," Cash Proyek ")</f>
        <v>Cash Proyek</v>
      </c>
      <c r="S590" s="350"/>
      <c r="T590" s="262"/>
      <c r="U590" s="351"/>
      <c r="V590" s="262"/>
      <c r="W590" s="262"/>
      <c r="X590" s="262"/>
      <c r="Y590" s="262"/>
      <c r="Z590" s="262"/>
      <c r="AA590" s="262"/>
      <c r="AB590" s="262"/>
      <c r="AC590" s="262"/>
      <c r="AD590" s="262"/>
      <c r="AE590" s="262"/>
      <c r="AF590" s="262"/>
      <c r="AG590" s="264"/>
      <c r="AH590" s="264"/>
      <c r="AI590" s="264"/>
      <c r="AJ590" s="264"/>
      <c r="AK590" s="264"/>
      <c r="AL590" s="264"/>
      <c r="AM590" s="264"/>
      <c r="AN590" s="264"/>
    </row>
    <row r="591" ht="15.75" customHeight="1">
      <c r="A591" s="262"/>
      <c r="B591" s="338">
        <f>IFERROR(__xludf.DUMMYFUNCTION("""COMPUTED_VALUE"""),1072.0)</f>
        <v>1072</v>
      </c>
      <c r="C591" s="354"/>
      <c r="D591" s="340" t="str">
        <f>IFERROR(__xludf.DUMMYFUNCTION("""COMPUTED_VALUE"""),"")</f>
        <v/>
      </c>
      <c r="E591" s="341">
        <f>IFERROR(__xludf.DUMMYFUNCTION("""COMPUTED_VALUE"""),0.0)</f>
        <v>0</v>
      </c>
      <c r="F591" s="352"/>
      <c r="G591" s="343"/>
      <c r="H591" s="344">
        <f>IFERROR(__xludf.DUMMYFUNCTION("""COMPUTED_VALUE"""),0.0)</f>
        <v>0</v>
      </c>
      <c r="I591" s="353"/>
      <c r="J591" s="353"/>
      <c r="K591" s="346">
        <f>IFERROR(__xludf.DUMMYFUNCTION("""COMPUTED_VALUE"""),0.0)</f>
        <v>0</v>
      </c>
      <c r="L591" s="347">
        <f>IFERROR(__xludf.DUMMYFUNCTION("""COMPUTED_VALUE"""),0.0)</f>
        <v>0</v>
      </c>
      <c r="M591" s="348">
        <f>IFERROR(__xludf.DUMMYFUNCTION("""COMPUTED_VALUE"""),0.0)</f>
        <v>0</v>
      </c>
      <c r="N591" s="348">
        <f>IFERROR(__xludf.DUMMYFUNCTION("""COMPUTED_VALUE"""),0.0)</f>
        <v>0</v>
      </c>
      <c r="O591" s="348">
        <f>IFERROR(__xludf.DUMMYFUNCTION("""COMPUTED_VALUE"""),0.0)</f>
        <v>0</v>
      </c>
      <c r="P591" s="348">
        <f>IFERROR(__xludf.DUMMYFUNCTION("""COMPUTED_VALUE"""),0.0)</f>
        <v>0</v>
      </c>
      <c r="Q591" s="348">
        <f>IFERROR(__xludf.DUMMYFUNCTION("""COMPUTED_VALUE"""),0.0)</f>
        <v>0</v>
      </c>
      <c r="R591" s="355" t="str">
        <f>IFERROR(__xludf.DUMMYFUNCTION("""COMPUTED_VALUE""")," Cash Proyek ")</f>
        <v>Cash Proyek</v>
      </c>
      <c r="S591" s="350"/>
      <c r="T591" s="262"/>
      <c r="U591" s="351"/>
      <c r="V591" s="262"/>
      <c r="W591" s="262"/>
      <c r="X591" s="262"/>
      <c r="Y591" s="262"/>
      <c r="Z591" s="262"/>
      <c r="AA591" s="262"/>
      <c r="AB591" s="262"/>
      <c r="AC591" s="262"/>
      <c r="AD591" s="262"/>
      <c r="AE591" s="262"/>
      <c r="AF591" s="262"/>
      <c r="AG591" s="264"/>
      <c r="AH591" s="264"/>
      <c r="AI591" s="264"/>
      <c r="AJ591" s="264"/>
      <c r="AK591" s="264"/>
      <c r="AL591" s="264"/>
      <c r="AM591" s="264"/>
      <c r="AN591" s="264"/>
    </row>
    <row r="592" ht="15.75" customHeight="1">
      <c r="A592" s="262"/>
      <c r="B592" s="338">
        <f>IFERROR(__xludf.DUMMYFUNCTION("""COMPUTED_VALUE"""),1073.0)</f>
        <v>1073</v>
      </c>
      <c r="C592" s="354"/>
      <c r="D592" s="340" t="str">
        <f>IFERROR(__xludf.DUMMYFUNCTION("""COMPUTED_VALUE"""),"")</f>
        <v/>
      </c>
      <c r="E592" s="341">
        <f>IFERROR(__xludf.DUMMYFUNCTION("""COMPUTED_VALUE"""),0.0)</f>
        <v>0</v>
      </c>
      <c r="F592" s="352"/>
      <c r="G592" s="343"/>
      <c r="H592" s="344">
        <f>IFERROR(__xludf.DUMMYFUNCTION("""COMPUTED_VALUE"""),0.0)</f>
        <v>0</v>
      </c>
      <c r="I592" s="353"/>
      <c r="J592" s="353"/>
      <c r="K592" s="346">
        <f>IFERROR(__xludf.DUMMYFUNCTION("""COMPUTED_VALUE"""),0.0)</f>
        <v>0</v>
      </c>
      <c r="L592" s="347">
        <f>IFERROR(__xludf.DUMMYFUNCTION("""COMPUTED_VALUE"""),0.0)</f>
        <v>0</v>
      </c>
      <c r="M592" s="348">
        <f>IFERROR(__xludf.DUMMYFUNCTION("""COMPUTED_VALUE"""),0.0)</f>
        <v>0</v>
      </c>
      <c r="N592" s="348">
        <f>IFERROR(__xludf.DUMMYFUNCTION("""COMPUTED_VALUE"""),0.0)</f>
        <v>0</v>
      </c>
      <c r="O592" s="348">
        <f>IFERROR(__xludf.DUMMYFUNCTION("""COMPUTED_VALUE"""),0.0)</f>
        <v>0</v>
      </c>
      <c r="P592" s="348">
        <f>IFERROR(__xludf.DUMMYFUNCTION("""COMPUTED_VALUE"""),0.0)</f>
        <v>0</v>
      </c>
      <c r="Q592" s="348">
        <f>IFERROR(__xludf.DUMMYFUNCTION("""COMPUTED_VALUE"""),0.0)</f>
        <v>0</v>
      </c>
      <c r="R592" s="355" t="str">
        <f>IFERROR(__xludf.DUMMYFUNCTION("""COMPUTED_VALUE""")," Cash Proyek ")</f>
        <v>Cash Proyek</v>
      </c>
      <c r="S592" s="350"/>
      <c r="T592" s="262"/>
      <c r="U592" s="351"/>
      <c r="V592" s="262"/>
      <c r="W592" s="262"/>
      <c r="X592" s="262"/>
      <c r="Y592" s="262"/>
      <c r="Z592" s="262"/>
      <c r="AA592" s="262"/>
      <c r="AB592" s="262"/>
      <c r="AC592" s="262"/>
      <c r="AD592" s="262"/>
      <c r="AE592" s="262"/>
      <c r="AF592" s="262"/>
      <c r="AG592" s="264"/>
      <c r="AH592" s="264"/>
      <c r="AI592" s="264"/>
      <c r="AJ592" s="264"/>
      <c r="AK592" s="264"/>
      <c r="AL592" s="264"/>
      <c r="AM592" s="264"/>
      <c r="AN592" s="264"/>
    </row>
    <row r="593" ht="15.75" customHeight="1">
      <c r="A593" s="262"/>
      <c r="B593" s="338">
        <f>IFERROR(__xludf.DUMMYFUNCTION("""COMPUTED_VALUE"""),1074.0)</f>
        <v>1074</v>
      </c>
      <c r="C593" s="354"/>
      <c r="D593" s="340" t="str">
        <f>IFERROR(__xludf.DUMMYFUNCTION("""COMPUTED_VALUE"""),"")</f>
        <v/>
      </c>
      <c r="E593" s="341">
        <f>IFERROR(__xludf.DUMMYFUNCTION("""COMPUTED_VALUE"""),0.0)</f>
        <v>0</v>
      </c>
      <c r="F593" s="352"/>
      <c r="G593" s="343"/>
      <c r="H593" s="344">
        <f>IFERROR(__xludf.DUMMYFUNCTION("""COMPUTED_VALUE"""),0.0)</f>
        <v>0</v>
      </c>
      <c r="I593" s="353"/>
      <c r="J593" s="353"/>
      <c r="K593" s="346">
        <f>IFERROR(__xludf.DUMMYFUNCTION("""COMPUTED_VALUE"""),0.0)</f>
        <v>0</v>
      </c>
      <c r="L593" s="347">
        <f>IFERROR(__xludf.DUMMYFUNCTION("""COMPUTED_VALUE"""),0.0)</f>
        <v>0</v>
      </c>
      <c r="M593" s="348">
        <f>IFERROR(__xludf.DUMMYFUNCTION("""COMPUTED_VALUE"""),0.0)</f>
        <v>0</v>
      </c>
      <c r="N593" s="348">
        <f>IFERROR(__xludf.DUMMYFUNCTION("""COMPUTED_VALUE"""),0.0)</f>
        <v>0</v>
      </c>
      <c r="O593" s="348">
        <f>IFERROR(__xludf.DUMMYFUNCTION("""COMPUTED_VALUE"""),0.0)</f>
        <v>0</v>
      </c>
      <c r="P593" s="348">
        <f>IFERROR(__xludf.DUMMYFUNCTION("""COMPUTED_VALUE"""),0.0)</f>
        <v>0</v>
      </c>
      <c r="Q593" s="348">
        <f>IFERROR(__xludf.DUMMYFUNCTION("""COMPUTED_VALUE"""),0.0)</f>
        <v>0</v>
      </c>
      <c r="R593" s="355" t="str">
        <f>IFERROR(__xludf.DUMMYFUNCTION("""COMPUTED_VALUE""")," Cash Proyek ")</f>
        <v>Cash Proyek</v>
      </c>
      <c r="S593" s="350"/>
      <c r="T593" s="262"/>
      <c r="U593" s="351"/>
      <c r="V593" s="262"/>
      <c r="W593" s="262"/>
      <c r="X593" s="262"/>
      <c r="Y593" s="262"/>
      <c r="Z593" s="262"/>
      <c r="AA593" s="262"/>
      <c r="AB593" s="262"/>
      <c r="AC593" s="262"/>
      <c r="AD593" s="262"/>
      <c r="AE593" s="262"/>
      <c r="AF593" s="262"/>
      <c r="AG593" s="264"/>
      <c r="AH593" s="264"/>
      <c r="AI593" s="264"/>
      <c r="AJ593" s="264"/>
      <c r="AK593" s="264"/>
      <c r="AL593" s="264"/>
      <c r="AM593" s="264"/>
      <c r="AN593" s="264"/>
    </row>
    <row r="594" ht="15.75" customHeight="1">
      <c r="A594" s="262"/>
      <c r="B594" s="338">
        <f>IFERROR(__xludf.DUMMYFUNCTION("""COMPUTED_VALUE"""),1075.0)</f>
        <v>1075</v>
      </c>
      <c r="C594" s="354"/>
      <c r="D594" s="340" t="str">
        <f>IFERROR(__xludf.DUMMYFUNCTION("""COMPUTED_VALUE"""),"")</f>
        <v/>
      </c>
      <c r="E594" s="341">
        <f>IFERROR(__xludf.DUMMYFUNCTION("""COMPUTED_VALUE"""),0.0)</f>
        <v>0</v>
      </c>
      <c r="F594" s="352"/>
      <c r="G594" s="343"/>
      <c r="H594" s="344">
        <f>IFERROR(__xludf.DUMMYFUNCTION("""COMPUTED_VALUE"""),0.0)</f>
        <v>0</v>
      </c>
      <c r="I594" s="353"/>
      <c r="J594" s="353"/>
      <c r="K594" s="346">
        <f>IFERROR(__xludf.DUMMYFUNCTION("""COMPUTED_VALUE"""),0.0)</f>
        <v>0</v>
      </c>
      <c r="L594" s="347">
        <f>IFERROR(__xludf.DUMMYFUNCTION("""COMPUTED_VALUE"""),0.0)</f>
        <v>0</v>
      </c>
      <c r="M594" s="348">
        <f>IFERROR(__xludf.DUMMYFUNCTION("""COMPUTED_VALUE"""),0.0)</f>
        <v>0</v>
      </c>
      <c r="N594" s="348">
        <f>IFERROR(__xludf.DUMMYFUNCTION("""COMPUTED_VALUE"""),0.0)</f>
        <v>0</v>
      </c>
      <c r="O594" s="348">
        <f>IFERROR(__xludf.DUMMYFUNCTION("""COMPUTED_VALUE"""),0.0)</f>
        <v>0</v>
      </c>
      <c r="P594" s="348">
        <f>IFERROR(__xludf.DUMMYFUNCTION("""COMPUTED_VALUE"""),0.0)</f>
        <v>0</v>
      </c>
      <c r="Q594" s="348">
        <f>IFERROR(__xludf.DUMMYFUNCTION("""COMPUTED_VALUE"""),0.0)</f>
        <v>0</v>
      </c>
      <c r="R594" s="355" t="str">
        <f>IFERROR(__xludf.DUMMYFUNCTION("""COMPUTED_VALUE""")," Cash Proyek ")</f>
        <v>Cash Proyek</v>
      </c>
      <c r="S594" s="350"/>
      <c r="T594" s="262"/>
      <c r="U594" s="351"/>
      <c r="V594" s="262"/>
      <c r="W594" s="262"/>
      <c r="X594" s="262"/>
      <c r="Y594" s="262"/>
      <c r="Z594" s="262"/>
      <c r="AA594" s="262"/>
      <c r="AB594" s="262"/>
      <c r="AC594" s="262"/>
      <c r="AD594" s="262"/>
      <c r="AE594" s="262"/>
      <c r="AF594" s="262"/>
      <c r="AG594" s="264"/>
      <c r="AH594" s="264"/>
      <c r="AI594" s="264"/>
      <c r="AJ594" s="264"/>
      <c r="AK594" s="264"/>
      <c r="AL594" s="264"/>
      <c r="AM594" s="264"/>
      <c r="AN594" s="264"/>
    </row>
    <row r="595" ht="15.75" customHeight="1">
      <c r="A595" s="262"/>
      <c r="B595" s="338">
        <f>IFERROR(__xludf.DUMMYFUNCTION("""COMPUTED_VALUE"""),1076.0)</f>
        <v>1076</v>
      </c>
      <c r="C595" s="354"/>
      <c r="D595" s="340" t="str">
        <f>IFERROR(__xludf.DUMMYFUNCTION("""COMPUTED_VALUE"""),"")</f>
        <v/>
      </c>
      <c r="E595" s="341">
        <f>IFERROR(__xludf.DUMMYFUNCTION("""COMPUTED_VALUE"""),0.0)</f>
        <v>0</v>
      </c>
      <c r="F595" s="352"/>
      <c r="G595" s="343"/>
      <c r="H595" s="344">
        <f>IFERROR(__xludf.DUMMYFUNCTION("""COMPUTED_VALUE"""),0.0)</f>
        <v>0</v>
      </c>
      <c r="I595" s="353"/>
      <c r="J595" s="353"/>
      <c r="K595" s="346">
        <f>IFERROR(__xludf.DUMMYFUNCTION("""COMPUTED_VALUE"""),0.0)</f>
        <v>0</v>
      </c>
      <c r="L595" s="347">
        <f>IFERROR(__xludf.DUMMYFUNCTION("""COMPUTED_VALUE"""),0.0)</f>
        <v>0</v>
      </c>
      <c r="M595" s="348">
        <f>IFERROR(__xludf.DUMMYFUNCTION("""COMPUTED_VALUE"""),0.0)</f>
        <v>0</v>
      </c>
      <c r="N595" s="348">
        <f>IFERROR(__xludf.DUMMYFUNCTION("""COMPUTED_VALUE"""),0.0)</f>
        <v>0</v>
      </c>
      <c r="O595" s="348">
        <f>IFERROR(__xludf.DUMMYFUNCTION("""COMPUTED_VALUE"""),0.0)</f>
        <v>0</v>
      </c>
      <c r="P595" s="348">
        <f>IFERROR(__xludf.DUMMYFUNCTION("""COMPUTED_VALUE"""),0.0)</f>
        <v>0</v>
      </c>
      <c r="Q595" s="348">
        <f>IFERROR(__xludf.DUMMYFUNCTION("""COMPUTED_VALUE"""),0.0)</f>
        <v>0</v>
      </c>
      <c r="R595" s="355" t="str">
        <f>IFERROR(__xludf.DUMMYFUNCTION("""COMPUTED_VALUE""")," Cash Proyek ")</f>
        <v>Cash Proyek</v>
      </c>
      <c r="S595" s="350"/>
      <c r="T595" s="262"/>
      <c r="U595" s="351"/>
      <c r="V595" s="262"/>
      <c r="W595" s="262"/>
      <c r="X595" s="262"/>
      <c r="Y595" s="262"/>
      <c r="Z595" s="262"/>
      <c r="AA595" s="262"/>
      <c r="AB595" s="262"/>
      <c r="AC595" s="262"/>
      <c r="AD595" s="262"/>
      <c r="AE595" s="262"/>
      <c r="AF595" s="262"/>
      <c r="AG595" s="264"/>
      <c r="AH595" s="264"/>
      <c r="AI595" s="264"/>
      <c r="AJ595" s="264"/>
      <c r="AK595" s="264"/>
      <c r="AL595" s="264"/>
      <c r="AM595" s="264"/>
      <c r="AN595" s="264"/>
    </row>
    <row r="596" ht="15.75" customHeight="1">
      <c r="A596" s="262"/>
      <c r="B596" s="338">
        <f>IFERROR(__xludf.DUMMYFUNCTION("""COMPUTED_VALUE"""),1077.0)</f>
        <v>1077</v>
      </c>
      <c r="C596" s="354"/>
      <c r="D596" s="340" t="str">
        <f>IFERROR(__xludf.DUMMYFUNCTION("""COMPUTED_VALUE"""),"")</f>
        <v/>
      </c>
      <c r="E596" s="341">
        <f>IFERROR(__xludf.DUMMYFUNCTION("""COMPUTED_VALUE"""),0.0)</f>
        <v>0</v>
      </c>
      <c r="F596" s="352"/>
      <c r="G596" s="343"/>
      <c r="H596" s="344">
        <f>IFERROR(__xludf.DUMMYFUNCTION("""COMPUTED_VALUE"""),0.0)</f>
        <v>0</v>
      </c>
      <c r="I596" s="353"/>
      <c r="J596" s="353"/>
      <c r="K596" s="346">
        <f>IFERROR(__xludf.DUMMYFUNCTION("""COMPUTED_VALUE"""),0.0)</f>
        <v>0</v>
      </c>
      <c r="L596" s="347">
        <f>IFERROR(__xludf.DUMMYFUNCTION("""COMPUTED_VALUE"""),0.0)</f>
        <v>0</v>
      </c>
      <c r="M596" s="348">
        <f>IFERROR(__xludf.DUMMYFUNCTION("""COMPUTED_VALUE"""),0.0)</f>
        <v>0</v>
      </c>
      <c r="N596" s="348">
        <f>IFERROR(__xludf.DUMMYFUNCTION("""COMPUTED_VALUE"""),0.0)</f>
        <v>0</v>
      </c>
      <c r="O596" s="348">
        <f>IFERROR(__xludf.DUMMYFUNCTION("""COMPUTED_VALUE"""),0.0)</f>
        <v>0</v>
      </c>
      <c r="P596" s="348">
        <f>IFERROR(__xludf.DUMMYFUNCTION("""COMPUTED_VALUE"""),0.0)</f>
        <v>0</v>
      </c>
      <c r="Q596" s="348">
        <f>IFERROR(__xludf.DUMMYFUNCTION("""COMPUTED_VALUE"""),0.0)</f>
        <v>0</v>
      </c>
      <c r="R596" s="355" t="str">
        <f>IFERROR(__xludf.DUMMYFUNCTION("""COMPUTED_VALUE""")," Cash Proyek ")</f>
        <v>Cash Proyek</v>
      </c>
      <c r="S596" s="350"/>
      <c r="T596" s="262"/>
      <c r="U596" s="351"/>
      <c r="V596" s="262"/>
      <c r="W596" s="262"/>
      <c r="X596" s="262"/>
      <c r="Y596" s="262"/>
      <c r="Z596" s="262"/>
      <c r="AA596" s="262"/>
      <c r="AB596" s="262"/>
      <c r="AC596" s="262"/>
      <c r="AD596" s="262"/>
      <c r="AE596" s="262"/>
      <c r="AF596" s="262"/>
      <c r="AG596" s="264"/>
      <c r="AH596" s="264"/>
      <c r="AI596" s="264"/>
      <c r="AJ596" s="264"/>
      <c r="AK596" s="264"/>
      <c r="AL596" s="264"/>
      <c r="AM596" s="264"/>
      <c r="AN596" s="264"/>
    </row>
    <row r="597" ht="15.75" customHeight="1">
      <c r="A597" s="262"/>
      <c r="B597" s="338">
        <f>IFERROR(__xludf.DUMMYFUNCTION("""COMPUTED_VALUE"""),1078.0)</f>
        <v>1078</v>
      </c>
      <c r="C597" s="354"/>
      <c r="D597" s="340" t="str">
        <f>IFERROR(__xludf.DUMMYFUNCTION("""COMPUTED_VALUE"""),"")</f>
        <v/>
      </c>
      <c r="E597" s="341">
        <f>IFERROR(__xludf.DUMMYFUNCTION("""COMPUTED_VALUE"""),0.0)</f>
        <v>0</v>
      </c>
      <c r="F597" s="352"/>
      <c r="G597" s="343"/>
      <c r="H597" s="344">
        <f>IFERROR(__xludf.DUMMYFUNCTION("""COMPUTED_VALUE"""),0.0)</f>
        <v>0</v>
      </c>
      <c r="I597" s="353"/>
      <c r="J597" s="353"/>
      <c r="K597" s="346">
        <f>IFERROR(__xludf.DUMMYFUNCTION("""COMPUTED_VALUE"""),0.0)</f>
        <v>0</v>
      </c>
      <c r="L597" s="347">
        <f>IFERROR(__xludf.DUMMYFUNCTION("""COMPUTED_VALUE"""),0.0)</f>
        <v>0</v>
      </c>
      <c r="M597" s="348">
        <f>IFERROR(__xludf.DUMMYFUNCTION("""COMPUTED_VALUE"""),0.0)</f>
        <v>0</v>
      </c>
      <c r="N597" s="348">
        <f>IFERROR(__xludf.DUMMYFUNCTION("""COMPUTED_VALUE"""),0.0)</f>
        <v>0</v>
      </c>
      <c r="O597" s="348">
        <f>IFERROR(__xludf.DUMMYFUNCTION("""COMPUTED_VALUE"""),0.0)</f>
        <v>0</v>
      </c>
      <c r="P597" s="348">
        <f>IFERROR(__xludf.DUMMYFUNCTION("""COMPUTED_VALUE"""),0.0)</f>
        <v>0</v>
      </c>
      <c r="Q597" s="348">
        <f>IFERROR(__xludf.DUMMYFUNCTION("""COMPUTED_VALUE"""),0.0)</f>
        <v>0</v>
      </c>
      <c r="R597" s="355" t="str">
        <f>IFERROR(__xludf.DUMMYFUNCTION("""COMPUTED_VALUE""")," Cash Proyek ")</f>
        <v>Cash Proyek</v>
      </c>
      <c r="S597" s="350"/>
      <c r="T597" s="262"/>
      <c r="U597" s="351"/>
      <c r="V597" s="262"/>
      <c r="W597" s="262"/>
      <c r="X597" s="262"/>
      <c r="Y597" s="262"/>
      <c r="Z597" s="262"/>
      <c r="AA597" s="262"/>
      <c r="AB597" s="262"/>
      <c r="AC597" s="262"/>
      <c r="AD597" s="262"/>
      <c r="AE597" s="262"/>
      <c r="AF597" s="262"/>
      <c r="AG597" s="264"/>
      <c r="AH597" s="264"/>
      <c r="AI597" s="264"/>
      <c r="AJ597" s="264"/>
      <c r="AK597" s="264"/>
      <c r="AL597" s="264"/>
      <c r="AM597" s="264"/>
      <c r="AN597" s="264"/>
    </row>
    <row r="598" ht="15.75" customHeight="1">
      <c r="A598" s="262"/>
      <c r="B598" s="338">
        <f>IFERROR(__xludf.DUMMYFUNCTION("""COMPUTED_VALUE"""),1079.0)</f>
        <v>1079</v>
      </c>
      <c r="C598" s="354"/>
      <c r="D598" s="340" t="str">
        <f>IFERROR(__xludf.DUMMYFUNCTION("""COMPUTED_VALUE"""),"")</f>
        <v/>
      </c>
      <c r="E598" s="341">
        <f>IFERROR(__xludf.DUMMYFUNCTION("""COMPUTED_VALUE"""),0.0)</f>
        <v>0</v>
      </c>
      <c r="F598" s="352"/>
      <c r="G598" s="343"/>
      <c r="H598" s="344">
        <f>IFERROR(__xludf.DUMMYFUNCTION("""COMPUTED_VALUE"""),0.0)</f>
        <v>0</v>
      </c>
      <c r="I598" s="353"/>
      <c r="J598" s="353"/>
      <c r="K598" s="346">
        <f>IFERROR(__xludf.DUMMYFUNCTION("""COMPUTED_VALUE"""),0.0)</f>
        <v>0</v>
      </c>
      <c r="L598" s="347">
        <f>IFERROR(__xludf.DUMMYFUNCTION("""COMPUTED_VALUE"""),0.0)</f>
        <v>0</v>
      </c>
      <c r="M598" s="348">
        <f>IFERROR(__xludf.DUMMYFUNCTION("""COMPUTED_VALUE"""),0.0)</f>
        <v>0</v>
      </c>
      <c r="N598" s="348">
        <f>IFERROR(__xludf.DUMMYFUNCTION("""COMPUTED_VALUE"""),0.0)</f>
        <v>0</v>
      </c>
      <c r="O598" s="348">
        <f>IFERROR(__xludf.DUMMYFUNCTION("""COMPUTED_VALUE"""),0.0)</f>
        <v>0</v>
      </c>
      <c r="P598" s="348">
        <f>IFERROR(__xludf.DUMMYFUNCTION("""COMPUTED_VALUE"""),0.0)</f>
        <v>0</v>
      </c>
      <c r="Q598" s="348">
        <f>IFERROR(__xludf.DUMMYFUNCTION("""COMPUTED_VALUE"""),0.0)</f>
        <v>0</v>
      </c>
      <c r="R598" s="355" t="str">
        <f>IFERROR(__xludf.DUMMYFUNCTION("""COMPUTED_VALUE""")," Cash Proyek ")</f>
        <v>Cash Proyek</v>
      </c>
      <c r="S598" s="350"/>
      <c r="T598" s="262"/>
      <c r="U598" s="351"/>
      <c r="V598" s="262"/>
      <c r="W598" s="262"/>
      <c r="X598" s="262"/>
      <c r="Y598" s="262"/>
      <c r="Z598" s="262"/>
      <c r="AA598" s="262"/>
      <c r="AB598" s="262"/>
      <c r="AC598" s="262"/>
      <c r="AD598" s="262"/>
      <c r="AE598" s="262"/>
      <c r="AF598" s="262"/>
      <c r="AG598" s="264"/>
      <c r="AH598" s="264"/>
      <c r="AI598" s="264"/>
      <c r="AJ598" s="264"/>
      <c r="AK598" s="264"/>
      <c r="AL598" s="264"/>
      <c r="AM598" s="264"/>
      <c r="AN598" s="264"/>
    </row>
    <row r="599" ht="15.75" customHeight="1">
      <c r="A599" s="262"/>
      <c r="B599" s="338">
        <f>IFERROR(__xludf.DUMMYFUNCTION("""COMPUTED_VALUE"""),1080.0)</f>
        <v>1080</v>
      </c>
      <c r="C599" s="354"/>
      <c r="D599" s="340" t="str">
        <f>IFERROR(__xludf.DUMMYFUNCTION("""COMPUTED_VALUE"""),"")</f>
        <v/>
      </c>
      <c r="E599" s="341">
        <f>IFERROR(__xludf.DUMMYFUNCTION("""COMPUTED_VALUE"""),0.0)</f>
        <v>0</v>
      </c>
      <c r="F599" s="352"/>
      <c r="G599" s="343"/>
      <c r="H599" s="344">
        <f>IFERROR(__xludf.DUMMYFUNCTION("""COMPUTED_VALUE"""),0.0)</f>
        <v>0</v>
      </c>
      <c r="I599" s="353"/>
      <c r="J599" s="353"/>
      <c r="K599" s="346">
        <f>IFERROR(__xludf.DUMMYFUNCTION("""COMPUTED_VALUE"""),0.0)</f>
        <v>0</v>
      </c>
      <c r="L599" s="347">
        <f>IFERROR(__xludf.DUMMYFUNCTION("""COMPUTED_VALUE"""),0.0)</f>
        <v>0</v>
      </c>
      <c r="M599" s="348">
        <f>IFERROR(__xludf.DUMMYFUNCTION("""COMPUTED_VALUE"""),0.0)</f>
        <v>0</v>
      </c>
      <c r="N599" s="348">
        <f>IFERROR(__xludf.DUMMYFUNCTION("""COMPUTED_VALUE"""),0.0)</f>
        <v>0</v>
      </c>
      <c r="O599" s="348">
        <f>IFERROR(__xludf.DUMMYFUNCTION("""COMPUTED_VALUE"""),0.0)</f>
        <v>0</v>
      </c>
      <c r="P599" s="348">
        <f>IFERROR(__xludf.DUMMYFUNCTION("""COMPUTED_VALUE"""),0.0)</f>
        <v>0</v>
      </c>
      <c r="Q599" s="348">
        <f>IFERROR(__xludf.DUMMYFUNCTION("""COMPUTED_VALUE"""),0.0)</f>
        <v>0</v>
      </c>
      <c r="R599" s="355" t="str">
        <f>IFERROR(__xludf.DUMMYFUNCTION("""COMPUTED_VALUE""")," Cash Proyek ")</f>
        <v>Cash Proyek</v>
      </c>
      <c r="S599" s="350"/>
      <c r="T599" s="262"/>
      <c r="U599" s="351"/>
      <c r="V599" s="262"/>
      <c r="W599" s="262"/>
      <c r="X599" s="262"/>
      <c r="Y599" s="262"/>
      <c r="Z599" s="262"/>
      <c r="AA599" s="262"/>
      <c r="AB599" s="262"/>
      <c r="AC599" s="262"/>
      <c r="AD599" s="262"/>
      <c r="AE599" s="262"/>
      <c r="AF599" s="262"/>
      <c r="AG599" s="264"/>
      <c r="AH599" s="264"/>
      <c r="AI599" s="264"/>
      <c r="AJ599" s="264"/>
      <c r="AK599" s="264"/>
      <c r="AL599" s="264"/>
      <c r="AM599" s="264"/>
      <c r="AN599" s="264"/>
    </row>
    <row r="600" ht="15.75" customHeight="1">
      <c r="A600" s="262"/>
      <c r="B600" s="338">
        <f>IFERROR(__xludf.DUMMYFUNCTION("""COMPUTED_VALUE"""),1081.0)</f>
        <v>1081</v>
      </c>
      <c r="C600" s="354"/>
      <c r="D600" s="340" t="str">
        <f>IFERROR(__xludf.DUMMYFUNCTION("""COMPUTED_VALUE"""),"")</f>
        <v/>
      </c>
      <c r="E600" s="341">
        <f>IFERROR(__xludf.DUMMYFUNCTION("""COMPUTED_VALUE"""),0.0)</f>
        <v>0</v>
      </c>
      <c r="F600" s="352"/>
      <c r="G600" s="343"/>
      <c r="H600" s="344">
        <f>IFERROR(__xludf.DUMMYFUNCTION("""COMPUTED_VALUE"""),0.0)</f>
        <v>0</v>
      </c>
      <c r="I600" s="353"/>
      <c r="J600" s="353"/>
      <c r="K600" s="346">
        <f>IFERROR(__xludf.DUMMYFUNCTION("""COMPUTED_VALUE"""),0.0)</f>
        <v>0</v>
      </c>
      <c r="L600" s="347">
        <f>IFERROR(__xludf.DUMMYFUNCTION("""COMPUTED_VALUE"""),0.0)</f>
        <v>0</v>
      </c>
      <c r="M600" s="348">
        <f>IFERROR(__xludf.DUMMYFUNCTION("""COMPUTED_VALUE"""),0.0)</f>
        <v>0</v>
      </c>
      <c r="N600" s="348">
        <f>IFERROR(__xludf.DUMMYFUNCTION("""COMPUTED_VALUE"""),0.0)</f>
        <v>0</v>
      </c>
      <c r="O600" s="348">
        <f>IFERROR(__xludf.DUMMYFUNCTION("""COMPUTED_VALUE"""),0.0)</f>
        <v>0</v>
      </c>
      <c r="P600" s="348">
        <f>IFERROR(__xludf.DUMMYFUNCTION("""COMPUTED_VALUE"""),0.0)</f>
        <v>0</v>
      </c>
      <c r="Q600" s="348">
        <f>IFERROR(__xludf.DUMMYFUNCTION("""COMPUTED_VALUE"""),0.0)</f>
        <v>0</v>
      </c>
      <c r="R600" s="355" t="str">
        <f>IFERROR(__xludf.DUMMYFUNCTION("""COMPUTED_VALUE""")," Cash Proyek ")</f>
        <v>Cash Proyek</v>
      </c>
      <c r="S600" s="350"/>
      <c r="T600" s="262"/>
      <c r="U600" s="351"/>
      <c r="V600" s="262"/>
      <c r="W600" s="262"/>
      <c r="X600" s="262"/>
      <c r="Y600" s="262"/>
      <c r="Z600" s="262"/>
      <c r="AA600" s="262"/>
      <c r="AB600" s="262"/>
      <c r="AC600" s="262"/>
      <c r="AD600" s="262"/>
      <c r="AE600" s="262"/>
      <c r="AF600" s="262"/>
      <c r="AG600" s="264"/>
      <c r="AH600" s="264"/>
      <c r="AI600" s="264"/>
      <c r="AJ600" s="264"/>
      <c r="AK600" s="264"/>
      <c r="AL600" s="264"/>
      <c r="AM600" s="264"/>
      <c r="AN600" s="264"/>
    </row>
    <row r="601" ht="15.75" customHeight="1">
      <c r="A601" s="262"/>
      <c r="B601" s="338">
        <f>IFERROR(__xludf.DUMMYFUNCTION("""COMPUTED_VALUE"""),1082.0)</f>
        <v>1082</v>
      </c>
      <c r="C601" s="354"/>
      <c r="D601" s="340" t="str">
        <f>IFERROR(__xludf.DUMMYFUNCTION("""COMPUTED_VALUE"""),"")</f>
        <v/>
      </c>
      <c r="E601" s="341">
        <f>IFERROR(__xludf.DUMMYFUNCTION("""COMPUTED_VALUE"""),0.0)</f>
        <v>0</v>
      </c>
      <c r="F601" s="352"/>
      <c r="G601" s="343"/>
      <c r="H601" s="344">
        <f>IFERROR(__xludf.DUMMYFUNCTION("""COMPUTED_VALUE"""),0.0)</f>
        <v>0</v>
      </c>
      <c r="I601" s="353"/>
      <c r="J601" s="353"/>
      <c r="K601" s="346">
        <f>IFERROR(__xludf.DUMMYFUNCTION("""COMPUTED_VALUE"""),0.0)</f>
        <v>0</v>
      </c>
      <c r="L601" s="347">
        <f>IFERROR(__xludf.DUMMYFUNCTION("""COMPUTED_VALUE"""),0.0)</f>
        <v>0</v>
      </c>
      <c r="M601" s="348">
        <f>IFERROR(__xludf.DUMMYFUNCTION("""COMPUTED_VALUE"""),0.0)</f>
        <v>0</v>
      </c>
      <c r="N601" s="348">
        <f>IFERROR(__xludf.DUMMYFUNCTION("""COMPUTED_VALUE"""),0.0)</f>
        <v>0</v>
      </c>
      <c r="O601" s="348">
        <f>IFERROR(__xludf.DUMMYFUNCTION("""COMPUTED_VALUE"""),0.0)</f>
        <v>0</v>
      </c>
      <c r="P601" s="348">
        <f>IFERROR(__xludf.DUMMYFUNCTION("""COMPUTED_VALUE"""),0.0)</f>
        <v>0</v>
      </c>
      <c r="Q601" s="348">
        <f>IFERROR(__xludf.DUMMYFUNCTION("""COMPUTED_VALUE"""),0.0)</f>
        <v>0</v>
      </c>
      <c r="R601" s="355" t="str">
        <f>IFERROR(__xludf.DUMMYFUNCTION("""COMPUTED_VALUE""")," Cash Proyek ")</f>
        <v>Cash Proyek</v>
      </c>
      <c r="S601" s="350"/>
      <c r="T601" s="262"/>
      <c r="U601" s="351"/>
      <c r="V601" s="262"/>
      <c r="W601" s="262"/>
      <c r="X601" s="262"/>
      <c r="Y601" s="262"/>
      <c r="Z601" s="262"/>
      <c r="AA601" s="262"/>
      <c r="AB601" s="262"/>
      <c r="AC601" s="262"/>
      <c r="AD601" s="262"/>
      <c r="AE601" s="262"/>
      <c r="AF601" s="262"/>
      <c r="AG601" s="264"/>
      <c r="AH601" s="264"/>
      <c r="AI601" s="264"/>
      <c r="AJ601" s="264"/>
      <c r="AK601" s="264"/>
      <c r="AL601" s="264"/>
      <c r="AM601" s="264"/>
      <c r="AN601" s="264"/>
    </row>
    <row r="602" ht="15.75" customHeight="1">
      <c r="A602" s="262"/>
      <c r="B602" s="338">
        <f>IFERROR(__xludf.DUMMYFUNCTION("""COMPUTED_VALUE"""),1083.0)</f>
        <v>1083</v>
      </c>
      <c r="C602" s="354"/>
      <c r="D602" s="340" t="str">
        <f>IFERROR(__xludf.DUMMYFUNCTION("""COMPUTED_VALUE"""),"")</f>
        <v/>
      </c>
      <c r="E602" s="341">
        <f>IFERROR(__xludf.DUMMYFUNCTION("""COMPUTED_VALUE"""),0.0)</f>
        <v>0</v>
      </c>
      <c r="F602" s="352"/>
      <c r="G602" s="343"/>
      <c r="H602" s="344">
        <f>IFERROR(__xludf.DUMMYFUNCTION("""COMPUTED_VALUE"""),0.0)</f>
        <v>0</v>
      </c>
      <c r="I602" s="353"/>
      <c r="J602" s="353"/>
      <c r="K602" s="346">
        <f>IFERROR(__xludf.DUMMYFUNCTION("""COMPUTED_VALUE"""),0.0)</f>
        <v>0</v>
      </c>
      <c r="L602" s="347">
        <f>IFERROR(__xludf.DUMMYFUNCTION("""COMPUTED_VALUE"""),0.0)</f>
        <v>0</v>
      </c>
      <c r="M602" s="348">
        <f>IFERROR(__xludf.DUMMYFUNCTION("""COMPUTED_VALUE"""),0.0)</f>
        <v>0</v>
      </c>
      <c r="N602" s="348">
        <f>IFERROR(__xludf.DUMMYFUNCTION("""COMPUTED_VALUE"""),0.0)</f>
        <v>0</v>
      </c>
      <c r="O602" s="348">
        <f>IFERROR(__xludf.DUMMYFUNCTION("""COMPUTED_VALUE"""),0.0)</f>
        <v>0</v>
      </c>
      <c r="P602" s="348">
        <f>IFERROR(__xludf.DUMMYFUNCTION("""COMPUTED_VALUE"""),0.0)</f>
        <v>0</v>
      </c>
      <c r="Q602" s="348">
        <f>IFERROR(__xludf.DUMMYFUNCTION("""COMPUTED_VALUE"""),0.0)</f>
        <v>0</v>
      </c>
      <c r="R602" s="355" t="str">
        <f>IFERROR(__xludf.DUMMYFUNCTION("""COMPUTED_VALUE""")," Cash Proyek ")</f>
        <v>Cash Proyek</v>
      </c>
      <c r="S602" s="350"/>
      <c r="T602" s="262"/>
      <c r="U602" s="351"/>
      <c r="V602" s="262"/>
      <c r="W602" s="262"/>
      <c r="X602" s="262"/>
      <c r="Y602" s="262"/>
      <c r="Z602" s="262"/>
      <c r="AA602" s="262"/>
      <c r="AB602" s="262"/>
      <c r="AC602" s="262"/>
      <c r="AD602" s="262"/>
      <c r="AE602" s="262"/>
      <c r="AF602" s="262"/>
      <c r="AG602" s="264"/>
      <c r="AH602" s="264"/>
      <c r="AI602" s="264"/>
      <c r="AJ602" s="264"/>
      <c r="AK602" s="264"/>
      <c r="AL602" s="264"/>
      <c r="AM602" s="264"/>
      <c r="AN602" s="264"/>
    </row>
    <row r="603" ht="15.75" customHeight="1">
      <c r="A603" s="262"/>
      <c r="B603" s="338">
        <f>IFERROR(__xludf.DUMMYFUNCTION("""COMPUTED_VALUE"""),1084.0)</f>
        <v>1084</v>
      </c>
      <c r="C603" s="354"/>
      <c r="D603" s="340" t="str">
        <f>IFERROR(__xludf.DUMMYFUNCTION("""COMPUTED_VALUE"""),"")</f>
        <v/>
      </c>
      <c r="E603" s="341">
        <f>IFERROR(__xludf.DUMMYFUNCTION("""COMPUTED_VALUE"""),0.0)</f>
        <v>0</v>
      </c>
      <c r="F603" s="352"/>
      <c r="G603" s="343"/>
      <c r="H603" s="344">
        <f>IFERROR(__xludf.DUMMYFUNCTION("""COMPUTED_VALUE"""),0.0)</f>
        <v>0</v>
      </c>
      <c r="I603" s="353"/>
      <c r="J603" s="353"/>
      <c r="K603" s="346">
        <f>IFERROR(__xludf.DUMMYFUNCTION("""COMPUTED_VALUE"""),0.0)</f>
        <v>0</v>
      </c>
      <c r="L603" s="347">
        <f>IFERROR(__xludf.DUMMYFUNCTION("""COMPUTED_VALUE"""),0.0)</f>
        <v>0</v>
      </c>
      <c r="M603" s="348">
        <f>IFERROR(__xludf.DUMMYFUNCTION("""COMPUTED_VALUE"""),0.0)</f>
        <v>0</v>
      </c>
      <c r="N603" s="348">
        <f>IFERROR(__xludf.DUMMYFUNCTION("""COMPUTED_VALUE"""),0.0)</f>
        <v>0</v>
      </c>
      <c r="O603" s="348">
        <f>IFERROR(__xludf.DUMMYFUNCTION("""COMPUTED_VALUE"""),0.0)</f>
        <v>0</v>
      </c>
      <c r="P603" s="348">
        <f>IFERROR(__xludf.DUMMYFUNCTION("""COMPUTED_VALUE"""),0.0)</f>
        <v>0</v>
      </c>
      <c r="Q603" s="348">
        <f>IFERROR(__xludf.DUMMYFUNCTION("""COMPUTED_VALUE"""),0.0)</f>
        <v>0</v>
      </c>
      <c r="R603" s="355" t="str">
        <f>IFERROR(__xludf.DUMMYFUNCTION("""COMPUTED_VALUE""")," Cash Proyek ")</f>
        <v>Cash Proyek</v>
      </c>
      <c r="S603" s="350"/>
      <c r="T603" s="262"/>
      <c r="U603" s="351"/>
      <c r="V603" s="262"/>
      <c r="W603" s="262"/>
      <c r="X603" s="262"/>
      <c r="Y603" s="262"/>
      <c r="Z603" s="262"/>
      <c r="AA603" s="262"/>
      <c r="AB603" s="262"/>
      <c r="AC603" s="262"/>
      <c r="AD603" s="262"/>
      <c r="AE603" s="262"/>
      <c r="AF603" s="262"/>
      <c r="AG603" s="264"/>
      <c r="AH603" s="264"/>
      <c r="AI603" s="264"/>
      <c r="AJ603" s="264"/>
      <c r="AK603" s="264"/>
      <c r="AL603" s="264"/>
      <c r="AM603" s="264"/>
      <c r="AN603" s="264"/>
    </row>
    <row r="604" ht="15.75" customHeight="1">
      <c r="A604" s="262"/>
      <c r="B604" s="338">
        <f>IFERROR(__xludf.DUMMYFUNCTION("""COMPUTED_VALUE"""),1085.0)</f>
        <v>1085</v>
      </c>
      <c r="C604" s="354"/>
      <c r="D604" s="340" t="str">
        <f>IFERROR(__xludf.DUMMYFUNCTION("""COMPUTED_VALUE"""),"")</f>
        <v/>
      </c>
      <c r="E604" s="341">
        <f>IFERROR(__xludf.DUMMYFUNCTION("""COMPUTED_VALUE"""),0.0)</f>
        <v>0</v>
      </c>
      <c r="F604" s="352"/>
      <c r="G604" s="343"/>
      <c r="H604" s="344">
        <f>IFERROR(__xludf.DUMMYFUNCTION("""COMPUTED_VALUE"""),0.0)</f>
        <v>0</v>
      </c>
      <c r="I604" s="353"/>
      <c r="J604" s="353"/>
      <c r="K604" s="346">
        <f>IFERROR(__xludf.DUMMYFUNCTION("""COMPUTED_VALUE"""),0.0)</f>
        <v>0</v>
      </c>
      <c r="L604" s="347">
        <f>IFERROR(__xludf.DUMMYFUNCTION("""COMPUTED_VALUE"""),0.0)</f>
        <v>0</v>
      </c>
      <c r="M604" s="348">
        <f>IFERROR(__xludf.DUMMYFUNCTION("""COMPUTED_VALUE"""),0.0)</f>
        <v>0</v>
      </c>
      <c r="N604" s="348">
        <f>IFERROR(__xludf.DUMMYFUNCTION("""COMPUTED_VALUE"""),0.0)</f>
        <v>0</v>
      </c>
      <c r="O604" s="348">
        <f>IFERROR(__xludf.DUMMYFUNCTION("""COMPUTED_VALUE"""),0.0)</f>
        <v>0</v>
      </c>
      <c r="P604" s="348">
        <f>IFERROR(__xludf.DUMMYFUNCTION("""COMPUTED_VALUE"""),0.0)</f>
        <v>0</v>
      </c>
      <c r="Q604" s="348">
        <f>IFERROR(__xludf.DUMMYFUNCTION("""COMPUTED_VALUE"""),0.0)</f>
        <v>0</v>
      </c>
      <c r="R604" s="355" t="str">
        <f>IFERROR(__xludf.DUMMYFUNCTION("""COMPUTED_VALUE""")," Cash Proyek ")</f>
        <v>Cash Proyek</v>
      </c>
      <c r="S604" s="350"/>
      <c r="T604" s="262"/>
      <c r="U604" s="351"/>
      <c r="V604" s="262"/>
      <c r="W604" s="262"/>
      <c r="X604" s="262"/>
      <c r="Y604" s="262"/>
      <c r="Z604" s="262"/>
      <c r="AA604" s="262"/>
      <c r="AB604" s="262"/>
      <c r="AC604" s="262"/>
      <c r="AD604" s="262"/>
      <c r="AE604" s="262"/>
      <c r="AF604" s="262"/>
      <c r="AG604" s="264"/>
      <c r="AH604" s="264"/>
      <c r="AI604" s="264"/>
      <c r="AJ604" s="264"/>
      <c r="AK604" s="264"/>
      <c r="AL604" s="264"/>
      <c r="AM604" s="264"/>
      <c r="AN604" s="264"/>
    </row>
    <row r="605" ht="15.75" customHeight="1">
      <c r="A605" s="262"/>
      <c r="B605" s="338">
        <f>IFERROR(__xludf.DUMMYFUNCTION("""COMPUTED_VALUE"""),1086.0)</f>
        <v>1086</v>
      </c>
      <c r="C605" s="354"/>
      <c r="D605" s="340" t="str">
        <f>IFERROR(__xludf.DUMMYFUNCTION("""COMPUTED_VALUE"""),"")</f>
        <v/>
      </c>
      <c r="E605" s="341">
        <f>IFERROR(__xludf.DUMMYFUNCTION("""COMPUTED_VALUE"""),0.0)</f>
        <v>0</v>
      </c>
      <c r="F605" s="352"/>
      <c r="G605" s="343"/>
      <c r="H605" s="344">
        <f>IFERROR(__xludf.DUMMYFUNCTION("""COMPUTED_VALUE"""),0.0)</f>
        <v>0</v>
      </c>
      <c r="I605" s="353"/>
      <c r="J605" s="353"/>
      <c r="K605" s="346">
        <f>IFERROR(__xludf.DUMMYFUNCTION("""COMPUTED_VALUE"""),0.0)</f>
        <v>0</v>
      </c>
      <c r="L605" s="347">
        <f>IFERROR(__xludf.DUMMYFUNCTION("""COMPUTED_VALUE"""),0.0)</f>
        <v>0</v>
      </c>
      <c r="M605" s="348">
        <f>IFERROR(__xludf.DUMMYFUNCTION("""COMPUTED_VALUE"""),0.0)</f>
        <v>0</v>
      </c>
      <c r="N605" s="348">
        <f>IFERROR(__xludf.DUMMYFUNCTION("""COMPUTED_VALUE"""),0.0)</f>
        <v>0</v>
      </c>
      <c r="O605" s="348">
        <f>IFERROR(__xludf.DUMMYFUNCTION("""COMPUTED_VALUE"""),0.0)</f>
        <v>0</v>
      </c>
      <c r="P605" s="348">
        <f>IFERROR(__xludf.DUMMYFUNCTION("""COMPUTED_VALUE"""),0.0)</f>
        <v>0</v>
      </c>
      <c r="Q605" s="348">
        <f>IFERROR(__xludf.DUMMYFUNCTION("""COMPUTED_VALUE"""),0.0)</f>
        <v>0</v>
      </c>
      <c r="R605" s="355" t="str">
        <f>IFERROR(__xludf.DUMMYFUNCTION("""COMPUTED_VALUE""")," Cash Proyek ")</f>
        <v>Cash Proyek</v>
      </c>
      <c r="S605" s="350"/>
      <c r="T605" s="262"/>
      <c r="U605" s="351"/>
      <c r="V605" s="262"/>
      <c r="W605" s="262"/>
      <c r="X605" s="262"/>
      <c r="Y605" s="262"/>
      <c r="Z605" s="262"/>
      <c r="AA605" s="262"/>
      <c r="AB605" s="262"/>
      <c r="AC605" s="262"/>
      <c r="AD605" s="262"/>
      <c r="AE605" s="262"/>
      <c r="AF605" s="262"/>
      <c r="AG605" s="264"/>
      <c r="AH605" s="264"/>
      <c r="AI605" s="264"/>
      <c r="AJ605" s="264"/>
      <c r="AK605" s="264"/>
      <c r="AL605" s="264"/>
      <c r="AM605" s="264"/>
      <c r="AN605" s="264"/>
    </row>
    <row r="606" ht="15.75" customHeight="1">
      <c r="A606" s="262"/>
      <c r="B606" s="338">
        <f>IFERROR(__xludf.DUMMYFUNCTION("""COMPUTED_VALUE"""),1087.0)</f>
        <v>1087</v>
      </c>
      <c r="C606" s="354"/>
      <c r="D606" s="340" t="str">
        <f>IFERROR(__xludf.DUMMYFUNCTION("""COMPUTED_VALUE"""),"")</f>
        <v/>
      </c>
      <c r="E606" s="341">
        <f>IFERROR(__xludf.DUMMYFUNCTION("""COMPUTED_VALUE"""),0.0)</f>
        <v>0</v>
      </c>
      <c r="F606" s="352"/>
      <c r="G606" s="343"/>
      <c r="H606" s="344">
        <f>IFERROR(__xludf.DUMMYFUNCTION("""COMPUTED_VALUE"""),0.0)</f>
        <v>0</v>
      </c>
      <c r="I606" s="353"/>
      <c r="J606" s="353"/>
      <c r="K606" s="346">
        <f>IFERROR(__xludf.DUMMYFUNCTION("""COMPUTED_VALUE"""),0.0)</f>
        <v>0</v>
      </c>
      <c r="L606" s="347">
        <f>IFERROR(__xludf.DUMMYFUNCTION("""COMPUTED_VALUE"""),0.0)</f>
        <v>0</v>
      </c>
      <c r="M606" s="348">
        <f>IFERROR(__xludf.DUMMYFUNCTION("""COMPUTED_VALUE"""),0.0)</f>
        <v>0</v>
      </c>
      <c r="N606" s="348">
        <f>IFERROR(__xludf.DUMMYFUNCTION("""COMPUTED_VALUE"""),0.0)</f>
        <v>0</v>
      </c>
      <c r="O606" s="348">
        <f>IFERROR(__xludf.DUMMYFUNCTION("""COMPUTED_VALUE"""),0.0)</f>
        <v>0</v>
      </c>
      <c r="P606" s="348">
        <f>IFERROR(__xludf.DUMMYFUNCTION("""COMPUTED_VALUE"""),0.0)</f>
        <v>0</v>
      </c>
      <c r="Q606" s="348">
        <f>IFERROR(__xludf.DUMMYFUNCTION("""COMPUTED_VALUE"""),0.0)</f>
        <v>0</v>
      </c>
      <c r="R606" s="355" t="str">
        <f>IFERROR(__xludf.DUMMYFUNCTION("""COMPUTED_VALUE""")," Cash Proyek ")</f>
        <v>Cash Proyek</v>
      </c>
      <c r="S606" s="350"/>
      <c r="T606" s="262"/>
      <c r="U606" s="351"/>
      <c r="V606" s="262"/>
      <c r="W606" s="262"/>
      <c r="X606" s="262"/>
      <c r="Y606" s="262"/>
      <c r="Z606" s="262"/>
      <c r="AA606" s="262"/>
      <c r="AB606" s="262"/>
      <c r="AC606" s="262"/>
      <c r="AD606" s="262"/>
      <c r="AE606" s="262"/>
      <c r="AF606" s="262"/>
      <c r="AG606" s="264"/>
      <c r="AH606" s="264"/>
      <c r="AI606" s="264"/>
      <c r="AJ606" s="264"/>
      <c r="AK606" s="264"/>
      <c r="AL606" s="264"/>
      <c r="AM606" s="264"/>
      <c r="AN606" s="264"/>
    </row>
    <row r="607" ht="15.75" customHeight="1">
      <c r="A607" s="262"/>
      <c r="B607" s="338">
        <f>IFERROR(__xludf.DUMMYFUNCTION("""COMPUTED_VALUE"""),1088.0)</f>
        <v>1088</v>
      </c>
      <c r="C607" s="354"/>
      <c r="D607" s="340" t="str">
        <f>IFERROR(__xludf.DUMMYFUNCTION("""COMPUTED_VALUE"""),"")</f>
        <v/>
      </c>
      <c r="E607" s="341">
        <f>IFERROR(__xludf.DUMMYFUNCTION("""COMPUTED_VALUE"""),0.0)</f>
        <v>0</v>
      </c>
      <c r="F607" s="352"/>
      <c r="G607" s="343"/>
      <c r="H607" s="344">
        <f>IFERROR(__xludf.DUMMYFUNCTION("""COMPUTED_VALUE"""),0.0)</f>
        <v>0</v>
      </c>
      <c r="I607" s="353"/>
      <c r="J607" s="353"/>
      <c r="K607" s="346">
        <f>IFERROR(__xludf.DUMMYFUNCTION("""COMPUTED_VALUE"""),0.0)</f>
        <v>0</v>
      </c>
      <c r="L607" s="347">
        <f>IFERROR(__xludf.DUMMYFUNCTION("""COMPUTED_VALUE"""),0.0)</f>
        <v>0</v>
      </c>
      <c r="M607" s="348">
        <f>IFERROR(__xludf.DUMMYFUNCTION("""COMPUTED_VALUE"""),0.0)</f>
        <v>0</v>
      </c>
      <c r="N607" s="348">
        <f>IFERROR(__xludf.DUMMYFUNCTION("""COMPUTED_VALUE"""),0.0)</f>
        <v>0</v>
      </c>
      <c r="O607" s="348">
        <f>IFERROR(__xludf.DUMMYFUNCTION("""COMPUTED_VALUE"""),0.0)</f>
        <v>0</v>
      </c>
      <c r="P607" s="348">
        <f>IFERROR(__xludf.DUMMYFUNCTION("""COMPUTED_VALUE"""),0.0)</f>
        <v>0</v>
      </c>
      <c r="Q607" s="348">
        <f>IFERROR(__xludf.DUMMYFUNCTION("""COMPUTED_VALUE"""),0.0)</f>
        <v>0</v>
      </c>
      <c r="R607" s="355" t="str">
        <f>IFERROR(__xludf.DUMMYFUNCTION("""COMPUTED_VALUE""")," Cash Proyek ")</f>
        <v>Cash Proyek</v>
      </c>
      <c r="S607" s="350"/>
      <c r="T607" s="262"/>
      <c r="U607" s="351"/>
      <c r="V607" s="262"/>
      <c r="W607" s="262"/>
      <c r="X607" s="262"/>
      <c r="Y607" s="262"/>
      <c r="Z607" s="262"/>
      <c r="AA607" s="262"/>
      <c r="AB607" s="262"/>
      <c r="AC607" s="262"/>
      <c r="AD607" s="262"/>
      <c r="AE607" s="262"/>
      <c r="AF607" s="262"/>
      <c r="AG607" s="264"/>
      <c r="AH607" s="264"/>
      <c r="AI607" s="264"/>
      <c r="AJ607" s="264"/>
      <c r="AK607" s="264"/>
      <c r="AL607" s="264"/>
      <c r="AM607" s="264"/>
      <c r="AN607" s="264"/>
    </row>
    <row r="608" ht="15.75" customHeight="1">
      <c r="A608" s="262"/>
      <c r="B608" s="338">
        <f>IFERROR(__xludf.DUMMYFUNCTION("""COMPUTED_VALUE"""),1089.0)</f>
        <v>1089</v>
      </c>
      <c r="C608" s="354"/>
      <c r="D608" s="340" t="str">
        <f>IFERROR(__xludf.DUMMYFUNCTION("""COMPUTED_VALUE"""),"")</f>
        <v/>
      </c>
      <c r="E608" s="341">
        <f>IFERROR(__xludf.DUMMYFUNCTION("""COMPUTED_VALUE"""),0.0)</f>
        <v>0</v>
      </c>
      <c r="F608" s="352"/>
      <c r="G608" s="343"/>
      <c r="H608" s="344">
        <f>IFERROR(__xludf.DUMMYFUNCTION("""COMPUTED_VALUE"""),0.0)</f>
        <v>0</v>
      </c>
      <c r="I608" s="353"/>
      <c r="J608" s="353"/>
      <c r="K608" s="346">
        <f>IFERROR(__xludf.DUMMYFUNCTION("""COMPUTED_VALUE"""),0.0)</f>
        <v>0</v>
      </c>
      <c r="L608" s="347">
        <f>IFERROR(__xludf.DUMMYFUNCTION("""COMPUTED_VALUE"""),0.0)</f>
        <v>0</v>
      </c>
      <c r="M608" s="348">
        <f>IFERROR(__xludf.DUMMYFUNCTION("""COMPUTED_VALUE"""),0.0)</f>
        <v>0</v>
      </c>
      <c r="N608" s="348">
        <f>IFERROR(__xludf.DUMMYFUNCTION("""COMPUTED_VALUE"""),0.0)</f>
        <v>0</v>
      </c>
      <c r="O608" s="348">
        <f>IFERROR(__xludf.DUMMYFUNCTION("""COMPUTED_VALUE"""),0.0)</f>
        <v>0</v>
      </c>
      <c r="P608" s="348">
        <f>IFERROR(__xludf.DUMMYFUNCTION("""COMPUTED_VALUE"""),0.0)</f>
        <v>0</v>
      </c>
      <c r="Q608" s="348">
        <f>IFERROR(__xludf.DUMMYFUNCTION("""COMPUTED_VALUE"""),0.0)</f>
        <v>0</v>
      </c>
      <c r="R608" s="355" t="str">
        <f>IFERROR(__xludf.DUMMYFUNCTION("""COMPUTED_VALUE""")," Cash Proyek ")</f>
        <v>Cash Proyek</v>
      </c>
      <c r="S608" s="350"/>
      <c r="T608" s="262"/>
      <c r="U608" s="351"/>
      <c r="V608" s="262"/>
      <c r="W608" s="262"/>
      <c r="X608" s="262"/>
      <c r="Y608" s="262"/>
      <c r="Z608" s="262"/>
      <c r="AA608" s="262"/>
      <c r="AB608" s="262"/>
      <c r="AC608" s="262"/>
      <c r="AD608" s="262"/>
      <c r="AE608" s="262"/>
      <c r="AF608" s="262"/>
      <c r="AG608" s="264"/>
      <c r="AH608" s="264"/>
      <c r="AI608" s="264"/>
      <c r="AJ608" s="264"/>
      <c r="AK608" s="264"/>
      <c r="AL608" s="264"/>
      <c r="AM608" s="264"/>
      <c r="AN608" s="264"/>
    </row>
    <row r="609" ht="15.75" customHeight="1">
      <c r="A609" s="262"/>
      <c r="B609" s="338">
        <f>IFERROR(__xludf.DUMMYFUNCTION("""COMPUTED_VALUE"""),1090.0)</f>
        <v>1090</v>
      </c>
      <c r="C609" s="354"/>
      <c r="D609" s="340" t="str">
        <f>IFERROR(__xludf.DUMMYFUNCTION("""COMPUTED_VALUE"""),"")</f>
        <v/>
      </c>
      <c r="E609" s="341">
        <f>IFERROR(__xludf.DUMMYFUNCTION("""COMPUTED_VALUE"""),0.0)</f>
        <v>0</v>
      </c>
      <c r="F609" s="352"/>
      <c r="G609" s="343"/>
      <c r="H609" s="344">
        <f>IFERROR(__xludf.DUMMYFUNCTION("""COMPUTED_VALUE"""),0.0)</f>
        <v>0</v>
      </c>
      <c r="I609" s="353"/>
      <c r="J609" s="353"/>
      <c r="K609" s="346">
        <f>IFERROR(__xludf.DUMMYFUNCTION("""COMPUTED_VALUE"""),0.0)</f>
        <v>0</v>
      </c>
      <c r="L609" s="347">
        <f>IFERROR(__xludf.DUMMYFUNCTION("""COMPUTED_VALUE"""),0.0)</f>
        <v>0</v>
      </c>
      <c r="M609" s="348">
        <f>IFERROR(__xludf.DUMMYFUNCTION("""COMPUTED_VALUE"""),0.0)</f>
        <v>0</v>
      </c>
      <c r="N609" s="348">
        <f>IFERROR(__xludf.DUMMYFUNCTION("""COMPUTED_VALUE"""),0.0)</f>
        <v>0</v>
      </c>
      <c r="O609" s="348">
        <f>IFERROR(__xludf.DUMMYFUNCTION("""COMPUTED_VALUE"""),0.0)</f>
        <v>0</v>
      </c>
      <c r="P609" s="348">
        <f>IFERROR(__xludf.DUMMYFUNCTION("""COMPUTED_VALUE"""),0.0)</f>
        <v>0</v>
      </c>
      <c r="Q609" s="348">
        <f>IFERROR(__xludf.DUMMYFUNCTION("""COMPUTED_VALUE"""),0.0)</f>
        <v>0</v>
      </c>
      <c r="R609" s="355" t="str">
        <f>IFERROR(__xludf.DUMMYFUNCTION("""COMPUTED_VALUE""")," Cash Proyek ")</f>
        <v>Cash Proyek</v>
      </c>
      <c r="S609" s="350"/>
      <c r="T609" s="262"/>
      <c r="U609" s="351"/>
      <c r="V609" s="262"/>
      <c r="W609" s="262"/>
      <c r="X609" s="262"/>
      <c r="Y609" s="262"/>
      <c r="Z609" s="262"/>
      <c r="AA609" s="262"/>
      <c r="AB609" s="262"/>
      <c r="AC609" s="262"/>
      <c r="AD609" s="262"/>
      <c r="AE609" s="262"/>
      <c r="AF609" s="262"/>
      <c r="AG609" s="264"/>
      <c r="AH609" s="264"/>
      <c r="AI609" s="264"/>
      <c r="AJ609" s="264"/>
      <c r="AK609" s="264"/>
      <c r="AL609" s="264"/>
      <c r="AM609" s="264"/>
      <c r="AN609" s="264"/>
    </row>
    <row r="610" ht="15.75" customHeight="1">
      <c r="A610" s="262"/>
      <c r="B610" s="338">
        <f>IFERROR(__xludf.DUMMYFUNCTION("""COMPUTED_VALUE"""),1091.0)</f>
        <v>1091</v>
      </c>
      <c r="C610" s="354"/>
      <c r="D610" s="340" t="str">
        <f>IFERROR(__xludf.DUMMYFUNCTION("""COMPUTED_VALUE"""),"")</f>
        <v/>
      </c>
      <c r="E610" s="341">
        <f>IFERROR(__xludf.DUMMYFUNCTION("""COMPUTED_VALUE"""),0.0)</f>
        <v>0</v>
      </c>
      <c r="F610" s="352"/>
      <c r="G610" s="343"/>
      <c r="H610" s="344">
        <f>IFERROR(__xludf.DUMMYFUNCTION("""COMPUTED_VALUE"""),0.0)</f>
        <v>0</v>
      </c>
      <c r="I610" s="353"/>
      <c r="J610" s="353"/>
      <c r="K610" s="346">
        <f>IFERROR(__xludf.DUMMYFUNCTION("""COMPUTED_VALUE"""),0.0)</f>
        <v>0</v>
      </c>
      <c r="L610" s="347">
        <f>IFERROR(__xludf.DUMMYFUNCTION("""COMPUTED_VALUE"""),0.0)</f>
        <v>0</v>
      </c>
      <c r="M610" s="348">
        <f>IFERROR(__xludf.DUMMYFUNCTION("""COMPUTED_VALUE"""),0.0)</f>
        <v>0</v>
      </c>
      <c r="N610" s="348">
        <f>IFERROR(__xludf.DUMMYFUNCTION("""COMPUTED_VALUE"""),0.0)</f>
        <v>0</v>
      </c>
      <c r="O610" s="348">
        <f>IFERROR(__xludf.DUMMYFUNCTION("""COMPUTED_VALUE"""),0.0)</f>
        <v>0</v>
      </c>
      <c r="P610" s="348">
        <f>IFERROR(__xludf.DUMMYFUNCTION("""COMPUTED_VALUE"""),0.0)</f>
        <v>0</v>
      </c>
      <c r="Q610" s="348">
        <f>IFERROR(__xludf.DUMMYFUNCTION("""COMPUTED_VALUE"""),0.0)</f>
        <v>0</v>
      </c>
      <c r="R610" s="355" t="str">
        <f>IFERROR(__xludf.DUMMYFUNCTION("""COMPUTED_VALUE""")," Cash Proyek ")</f>
        <v>Cash Proyek</v>
      </c>
      <c r="S610" s="350"/>
      <c r="T610" s="262"/>
      <c r="U610" s="351"/>
      <c r="V610" s="262"/>
      <c r="W610" s="262"/>
      <c r="X610" s="262"/>
      <c r="Y610" s="262"/>
      <c r="Z610" s="262"/>
      <c r="AA610" s="262"/>
      <c r="AB610" s="262"/>
      <c r="AC610" s="262"/>
      <c r="AD610" s="262"/>
      <c r="AE610" s="262"/>
      <c r="AF610" s="262"/>
      <c r="AG610" s="264"/>
      <c r="AH610" s="264"/>
      <c r="AI610" s="264"/>
      <c r="AJ610" s="264"/>
      <c r="AK610" s="264"/>
      <c r="AL610" s="264"/>
      <c r="AM610" s="264"/>
      <c r="AN610" s="264"/>
    </row>
    <row r="611" ht="15.75" customHeight="1">
      <c r="A611" s="262"/>
      <c r="B611" s="338">
        <f>IFERROR(__xludf.DUMMYFUNCTION("""COMPUTED_VALUE"""),1092.0)</f>
        <v>1092</v>
      </c>
      <c r="C611" s="354"/>
      <c r="D611" s="340" t="str">
        <f>IFERROR(__xludf.DUMMYFUNCTION("""COMPUTED_VALUE"""),"")</f>
        <v/>
      </c>
      <c r="E611" s="341">
        <f>IFERROR(__xludf.DUMMYFUNCTION("""COMPUTED_VALUE"""),0.0)</f>
        <v>0</v>
      </c>
      <c r="F611" s="352"/>
      <c r="G611" s="343"/>
      <c r="H611" s="344">
        <f>IFERROR(__xludf.DUMMYFUNCTION("""COMPUTED_VALUE"""),0.0)</f>
        <v>0</v>
      </c>
      <c r="I611" s="353"/>
      <c r="J611" s="353"/>
      <c r="K611" s="346">
        <f>IFERROR(__xludf.DUMMYFUNCTION("""COMPUTED_VALUE"""),0.0)</f>
        <v>0</v>
      </c>
      <c r="L611" s="347">
        <f>IFERROR(__xludf.DUMMYFUNCTION("""COMPUTED_VALUE"""),0.0)</f>
        <v>0</v>
      </c>
      <c r="M611" s="348">
        <f>IFERROR(__xludf.DUMMYFUNCTION("""COMPUTED_VALUE"""),0.0)</f>
        <v>0</v>
      </c>
      <c r="N611" s="348">
        <f>IFERROR(__xludf.DUMMYFUNCTION("""COMPUTED_VALUE"""),0.0)</f>
        <v>0</v>
      </c>
      <c r="O611" s="348">
        <f>IFERROR(__xludf.DUMMYFUNCTION("""COMPUTED_VALUE"""),0.0)</f>
        <v>0</v>
      </c>
      <c r="P611" s="348">
        <f>IFERROR(__xludf.DUMMYFUNCTION("""COMPUTED_VALUE"""),0.0)</f>
        <v>0</v>
      </c>
      <c r="Q611" s="348">
        <f>IFERROR(__xludf.DUMMYFUNCTION("""COMPUTED_VALUE"""),0.0)</f>
        <v>0</v>
      </c>
      <c r="R611" s="355" t="str">
        <f>IFERROR(__xludf.DUMMYFUNCTION("""COMPUTED_VALUE""")," Cash Proyek ")</f>
        <v>Cash Proyek</v>
      </c>
      <c r="S611" s="350"/>
      <c r="T611" s="262"/>
      <c r="U611" s="351"/>
      <c r="V611" s="262"/>
      <c r="W611" s="262"/>
      <c r="X611" s="262"/>
      <c r="Y611" s="262"/>
      <c r="Z611" s="262"/>
      <c r="AA611" s="262"/>
      <c r="AB611" s="262"/>
      <c r="AC611" s="262"/>
      <c r="AD611" s="262"/>
      <c r="AE611" s="262"/>
      <c r="AF611" s="262"/>
      <c r="AG611" s="264"/>
      <c r="AH611" s="264"/>
      <c r="AI611" s="264"/>
      <c r="AJ611" s="264"/>
      <c r="AK611" s="264"/>
      <c r="AL611" s="264"/>
      <c r="AM611" s="264"/>
      <c r="AN611" s="264"/>
    </row>
    <row r="612" ht="15.75" customHeight="1">
      <c r="A612" s="262"/>
      <c r="B612" s="338">
        <f>IFERROR(__xludf.DUMMYFUNCTION("""COMPUTED_VALUE"""),1093.0)</f>
        <v>1093</v>
      </c>
      <c r="C612" s="354"/>
      <c r="D612" s="340" t="str">
        <f>IFERROR(__xludf.DUMMYFUNCTION("""COMPUTED_VALUE"""),"")</f>
        <v/>
      </c>
      <c r="E612" s="341">
        <f>IFERROR(__xludf.DUMMYFUNCTION("""COMPUTED_VALUE"""),0.0)</f>
        <v>0</v>
      </c>
      <c r="F612" s="352"/>
      <c r="G612" s="343"/>
      <c r="H612" s="344">
        <f>IFERROR(__xludf.DUMMYFUNCTION("""COMPUTED_VALUE"""),0.0)</f>
        <v>0</v>
      </c>
      <c r="I612" s="353"/>
      <c r="J612" s="353"/>
      <c r="K612" s="346">
        <f>IFERROR(__xludf.DUMMYFUNCTION("""COMPUTED_VALUE"""),0.0)</f>
        <v>0</v>
      </c>
      <c r="L612" s="347">
        <f>IFERROR(__xludf.DUMMYFUNCTION("""COMPUTED_VALUE"""),0.0)</f>
        <v>0</v>
      </c>
      <c r="M612" s="348">
        <f>IFERROR(__xludf.DUMMYFUNCTION("""COMPUTED_VALUE"""),0.0)</f>
        <v>0</v>
      </c>
      <c r="N612" s="348">
        <f>IFERROR(__xludf.DUMMYFUNCTION("""COMPUTED_VALUE"""),0.0)</f>
        <v>0</v>
      </c>
      <c r="O612" s="348">
        <f>IFERROR(__xludf.DUMMYFUNCTION("""COMPUTED_VALUE"""),0.0)</f>
        <v>0</v>
      </c>
      <c r="P612" s="348">
        <f>IFERROR(__xludf.DUMMYFUNCTION("""COMPUTED_VALUE"""),0.0)</f>
        <v>0</v>
      </c>
      <c r="Q612" s="348">
        <f>IFERROR(__xludf.DUMMYFUNCTION("""COMPUTED_VALUE"""),0.0)</f>
        <v>0</v>
      </c>
      <c r="R612" s="355" t="str">
        <f>IFERROR(__xludf.DUMMYFUNCTION("""COMPUTED_VALUE""")," Cash Proyek ")</f>
        <v>Cash Proyek</v>
      </c>
      <c r="S612" s="350"/>
      <c r="T612" s="262"/>
      <c r="U612" s="351"/>
      <c r="V612" s="262"/>
      <c r="W612" s="262"/>
      <c r="X612" s="262"/>
      <c r="Y612" s="262"/>
      <c r="Z612" s="262"/>
      <c r="AA612" s="262"/>
      <c r="AB612" s="262"/>
      <c r="AC612" s="262"/>
      <c r="AD612" s="262"/>
      <c r="AE612" s="262"/>
      <c r="AF612" s="262"/>
      <c r="AG612" s="264"/>
      <c r="AH612" s="264"/>
      <c r="AI612" s="264"/>
      <c r="AJ612" s="264"/>
      <c r="AK612" s="264"/>
      <c r="AL612" s="264"/>
      <c r="AM612" s="264"/>
      <c r="AN612" s="264"/>
    </row>
    <row r="613" ht="15.75" customHeight="1">
      <c r="A613" s="262"/>
      <c r="B613" s="338">
        <f>IFERROR(__xludf.DUMMYFUNCTION("""COMPUTED_VALUE"""),1094.0)</f>
        <v>1094</v>
      </c>
      <c r="C613" s="354"/>
      <c r="D613" s="340" t="str">
        <f>IFERROR(__xludf.DUMMYFUNCTION("""COMPUTED_VALUE"""),"")</f>
        <v/>
      </c>
      <c r="E613" s="341">
        <f>IFERROR(__xludf.DUMMYFUNCTION("""COMPUTED_VALUE"""),0.0)</f>
        <v>0</v>
      </c>
      <c r="F613" s="352"/>
      <c r="G613" s="343"/>
      <c r="H613" s="344">
        <f>IFERROR(__xludf.DUMMYFUNCTION("""COMPUTED_VALUE"""),0.0)</f>
        <v>0</v>
      </c>
      <c r="I613" s="353"/>
      <c r="J613" s="353"/>
      <c r="K613" s="346">
        <f>IFERROR(__xludf.DUMMYFUNCTION("""COMPUTED_VALUE"""),0.0)</f>
        <v>0</v>
      </c>
      <c r="L613" s="347">
        <f>IFERROR(__xludf.DUMMYFUNCTION("""COMPUTED_VALUE"""),0.0)</f>
        <v>0</v>
      </c>
      <c r="M613" s="348">
        <f>IFERROR(__xludf.DUMMYFUNCTION("""COMPUTED_VALUE"""),0.0)</f>
        <v>0</v>
      </c>
      <c r="N613" s="348">
        <f>IFERROR(__xludf.DUMMYFUNCTION("""COMPUTED_VALUE"""),0.0)</f>
        <v>0</v>
      </c>
      <c r="O613" s="348">
        <f>IFERROR(__xludf.DUMMYFUNCTION("""COMPUTED_VALUE"""),0.0)</f>
        <v>0</v>
      </c>
      <c r="P613" s="348">
        <f>IFERROR(__xludf.DUMMYFUNCTION("""COMPUTED_VALUE"""),0.0)</f>
        <v>0</v>
      </c>
      <c r="Q613" s="348">
        <f>IFERROR(__xludf.DUMMYFUNCTION("""COMPUTED_VALUE"""),0.0)</f>
        <v>0</v>
      </c>
      <c r="R613" s="355" t="str">
        <f>IFERROR(__xludf.DUMMYFUNCTION("""COMPUTED_VALUE""")," Cash Proyek ")</f>
        <v>Cash Proyek</v>
      </c>
      <c r="S613" s="350"/>
      <c r="T613" s="262"/>
      <c r="U613" s="351"/>
      <c r="V613" s="262"/>
      <c r="W613" s="262"/>
      <c r="X613" s="262"/>
      <c r="Y613" s="262"/>
      <c r="Z613" s="262"/>
      <c r="AA613" s="262"/>
      <c r="AB613" s="262"/>
      <c r="AC613" s="262"/>
      <c r="AD613" s="262"/>
      <c r="AE613" s="262"/>
      <c r="AF613" s="262"/>
      <c r="AG613" s="264"/>
      <c r="AH613" s="264"/>
      <c r="AI613" s="264"/>
      <c r="AJ613" s="264"/>
      <c r="AK613" s="264"/>
      <c r="AL613" s="264"/>
      <c r="AM613" s="264"/>
      <c r="AN613" s="264"/>
    </row>
    <row r="614" ht="15.75" customHeight="1">
      <c r="A614" s="262"/>
      <c r="B614" s="338">
        <f>IFERROR(__xludf.DUMMYFUNCTION("""COMPUTED_VALUE"""),1095.0)</f>
        <v>1095</v>
      </c>
      <c r="C614" s="354"/>
      <c r="D614" s="340" t="str">
        <f>IFERROR(__xludf.DUMMYFUNCTION("""COMPUTED_VALUE"""),"")</f>
        <v/>
      </c>
      <c r="E614" s="341">
        <f>IFERROR(__xludf.DUMMYFUNCTION("""COMPUTED_VALUE"""),0.0)</f>
        <v>0</v>
      </c>
      <c r="F614" s="352"/>
      <c r="G614" s="343"/>
      <c r="H614" s="344">
        <f>IFERROR(__xludf.DUMMYFUNCTION("""COMPUTED_VALUE"""),0.0)</f>
        <v>0</v>
      </c>
      <c r="I614" s="353"/>
      <c r="J614" s="353"/>
      <c r="K614" s="346">
        <f>IFERROR(__xludf.DUMMYFUNCTION("""COMPUTED_VALUE"""),0.0)</f>
        <v>0</v>
      </c>
      <c r="L614" s="347">
        <f>IFERROR(__xludf.DUMMYFUNCTION("""COMPUTED_VALUE"""),0.0)</f>
        <v>0</v>
      </c>
      <c r="M614" s="348">
        <f>IFERROR(__xludf.DUMMYFUNCTION("""COMPUTED_VALUE"""),0.0)</f>
        <v>0</v>
      </c>
      <c r="N614" s="348">
        <f>IFERROR(__xludf.DUMMYFUNCTION("""COMPUTED_VALUE"""),0.0)</f>
        <v>0</v>
      </c>
      <c r="O614" s="348">
        <f>IFERROR(__xludf.DUMMYFUNCTION("""COMPUTED_VALUE"""),0.0)</f>
        <v>0</v>
      </c>
      <c r="P614" s="348">
        <f>IFERROR(__xludf.DUMMYFUNCTION("""COMPUTED_VALUE"""),0.0)</f>
        <v>0</v>
      </c>
      <c r="Q614" s="348">
        <f>IFERROR(__xludf.DUMMYFUNCTION("""COMPUTED_VALUE"""),0.0)</f>
        <v>0</v>
      </c>
      <c r="R614" s="355" t="str">
        <f>IFERROR(__xludf.DUMMYFUNCTION("""COMPUTED_VALUE""")," Cash Proyek ")</f>
        <v>Cash Proyek</v>
      </c>
      <c r="S614" s="350"/>
      <c r="T614" s="262"/>
      <c r="U614" s="351"/>
      <c r="V614" s="262"/>
      <c r="W614" s="262"/>
      <c r="X614" s="262"/>
      <c r="Y614" s="262"/>
      <c r="Z614" s="262"/>
      <c r="AA614" s="262"/>
      <c r="AB614" s="262"/>
      <c r="AC614" s="262"/>
      <c r="AD614" s="262"/>
      <c r="AE614" s="262"/>
      <c r="AF614" s="262"/>
      <c r="AG614" s="264"/>
      <c r="AH614" s="264"/>
      <c r="AI614" s="264"/>
      <c r="AJ614" s="264"/>
      <c r="AK614" s="264"/>
      <c r="AL614" s="264"/>
      <c r="AM614" s="264"/>
      <c r="AN614" s="264"/>
    </row>
    <row r="615" ht="15.75" customHeight="1">
      <c r="A615" s="262"/>
      <c r="B615" s="338">
        <f>IFERROR(__xludf.DUMMYFUNCTION("""COMPUTED_VALUE"""),1096.0)</f>
        <v>1096</v>
      </c>
      <c r="C615" s="354"/>
      <c r="D615" s="340" t="str">
        <f>IFERROR(__xludf.DUMMYFUNCTION("""COMPUTED_VALUE"""),"")</f>
        <v/>
      </c>
      <c r="E615" s="341">
        <f>IFERROR(__xludf.DUMMYFUNCTION("""COMPUTED_VALUE"""),0.0)</f>
        <v>0</v>
      </c>
      <c r="F615" s="352"/>
      <c r="G615" s="343"/>
      <c r="H615" s="344">
        <f>IFERROR(__xludf.DUMMYFUNCTION("""COMPUTED_VALUE"""),0.0)</f>
        <v>0</v>
      </c>
      <c r="I615" s="353"/>
      <c r="J615" s="353"/>
      <c r="K615" s="346">
        <f>IFERROR(__xludf.DUMMYFUNCTION("""COMPUTED_VALUE"""),0.0)</f>
        <v>0</v>
      </c>
      <c r="L615" s="347">
        <f>IFERROR(__xludf.DUMMYFUNCTION("""COMPUTED_VALUE"""),0.0)</f>
        <v>0</v>
      </c>
      <c r="M615" s="348">
        <f>IFERROR(__xludf.DUMMYFUNCTION("""COMPUTED_VALUE"""),0.0)</f>
        <v>0</v>
      </c>
      <c r="N615" s="348">
        <f>IFERROR(__xludf.DUMMYFUNCTION("""COMPUTED_VALUE"""),0.0)</f>
        <v>0</v>
      </c>
      <c r="O615" s="348">
        <f>IFERROR(__xludf.DUMMYFUNCTION("""COMPUTED_VALUE"""),0.0)</f>
        <v>0</v>
      </c>
      <c r="P615" s="348">
        <f>IFERROR(__xludf.DUMMYFUNCTION("""COMPUTED_VALUE"""),0.0)</f>
        <v>0</v>
      </c>
      <c r="Q615" s="348">
        <f>IFERROR(__xludf.DUMMYFUNCTION("""COMPUTED_VALUE"""),0.0)</f>
        <v>0</v>
      </c>
      <c r="R615" s="355" t="str">
        <f>IFERROR(__xludf.DUMMYFUNCTION("""COMPUTED_VALUE""")," Cash Proyek ")</f>
        <v>Cash Proyek</v>
      </c>
      <c r="S615" s="350"/>
      <c r="T615" s="262"/>
      <c r="U615" s="351"/>
      <c r="V615" s="262"/>
      <c r="W615" s="262"/>
      <c r="X615" s="262"/>
      <c r="Y615" s="262"/>
      <c r="Z615" s="262"/>
      <c r="AA615" s="262"/>
      <c r="AB615" s="262"/>
      <c r="AC615" s="262"/>
      <c r="AD615" s="262"/>
      <c r="AE615" s="262"/>
      <c r="AF615" s="262"/>
      <c r="AG615" s="264"/>
      <c r="AH615" s="264"/>
      <c r="AI615" s="264"/>
      <c r="AJ615" s="264"/>
      <c r="AK615" s="264"/>
      <c r="AL615" s="264"/>
      <c r="AM615" s="264"/>
      <c r="AN615" s="264"/>
    </row>
    <row r="616" ht="15.75" customHeight="1">
      <c r="A616" s="262"/>
      <c r="B616" s="338">
        <f>IFERROR(__xludf.DUMMYFUNCTION("""COMPUTED_VALUE"""),1097.0)</f>
        <v>1097</v>
      </c>
      <c r="C616" s="354"/>
      <c r="D616" s="340" t="str">
        <f>IFERROR(__xludf.DUMMYFUNCTION("""COMPUTED_VALUE"""),"")</f>
        <v/>
      </c>
      <c r="E616" s="341">
        <f>IFERROR(__xludf.DUMMYFUNCTION("""COMPUTED_VALUE"""),0.0)</f>
        <v>0</v>
      </c>
      <c r="F616" s="352"/>
      <c r="G616" s="343"/>
      <c r="H616" s="344">
        <f>IFERROR(__xludf.DUMMYFUNCTION("""COMPUTED_VALUE"""),0.0)</f>
        <v>0</v>
      </c>
      <c r="I616" s="353"/>
      <c r="J616" s="353"/>
      <c r="K616" s="346">
        <f>IFERROR(__xludf.DUMMYFUNCTION("""COMPUTED_VALUE"""),0.0)</f>
        <v>0</v>
      </c>
      <c r="L616" s="347">
        <f>IFERROR(__xludf.DUMMYFUNCTION("""COMPUTED_VALUE"""),0.0)</f>
        <v>0</v>
      </c>
      <c r="M616" s="348">
        <f>IFERROR(__xludf.DUMMYFUNCTION("""COMPUTED_VALUE"""),0.0)</f>
        <v>0</v>
      </c>
      <c r="N616" s="348">
        <f>IFERROR(__xludf.DUMMYFUNCTION("""COMPUTED_VALUE"""),0.0)</f>
        <v>0</v>
      </c>
      <c r="O616" s="348">
        <f>IFERROR(__xludf.DUMMYFUNCTION("""COMPUTED_VALUE"""),0.0)</f>
        <v>0</v>
      </c>
      <c r="P616" s="348">
        <f>IFERROR(__xludf.DUMMYFUNCTION("""COMPUTED_VALUE"""),0.0)</f>
        <v>0</v>
      </c>
      <c r="Q616" s="348">
        <f>IFERROR(__xludf.DUMMYFUNCTION("""COMPUTED_VALUE"""),0.0)</f>
        <v>0</v>
      </c>
      <c r="R616" s="355" t="str">
        <f>IFERROR(__xludf.DUMMYFUNCTION("""COMPUTED_VALUE""")," Cash Proyek ")</f>
        <v>Cash Proyek</v>
      </c>
      <c r="S616" s="350"/>
      <c r="T616" s="262"/>
      <c r="U616" s="351"/>
      <c r="V616" s="262"/>
      <c r="W616" s="262"/>
      <c r="X616" s="262"/>
      <c r="Y616" s="262"/>
      <c r="Z616" s="262"/>
      <c r="AA616" s="262"/>
      <c r="AB616" s="262"/>
      <c r="AC616" s="262"/>
      <c r="AD616" s="262"/>
      <c r="AE616" s="262"/>
      <c r="AF616" s="262"/>
      <c r="AG616" s="264"/>
      <c r="AH616" s="264"/>
      <c r="AI616" s="264"/>
      <c r="AJ616" s="264"/>
      <c r="AK616" s="264"/>
      <c r="AL616" s="264"/>
      <c r="AM616" s="264"/>
      <c r="AN616" s="264"/>
    </row>
    <row r="617" ht="15.75" customHeight="1">
      <c r="A617" s="262"/>
      <c r="B617" s="338">
        <f>IFERROR(__xludf.DUMMYFUNCTION("""COMPUTED_VALUE"""),1098.0)</f>
        <v>1098</v>
      </c>
      <c r="C617" s="354"/>
      <c r="D617" s="340" t="str">
        <f>IFERROR(__xludf.DUMMYFUNCTION("""COMPUTED_VALUE"""),"")</f>
        <v/>
      </c>
      <c r="E617" s="341">
        <f>IFERROR(__xludf.DUMMYFUNCTION("""COMPUTED_VALUE"""),0.0)</f>
        <v>0</v>
      </c>
      <c r="F617" s="352"/>
      <c r="G617" s="343"/>
      <c r="H617" s="344">
        <f>IFERROR(__xludf.DUMMYFUNCTION("""COMPUTED_VALUE"""),0.0)</f>
        <v>0</v>
      </c>
      <c r="I617" s="353"/>
      <c r="J617" s="353"/>
      <c r="K617" s="346">
        <f>IFERROR(__xludf.DUMMYFUNCTION("""COMPUTED_VALUE"""),0.0)</f>
        <v>0</v>
      </c>
      <c r="L617" s="347">
        <f>IFERROR(__xludf.DUMMYFUNCTION("""COMPUTED_VALUE"""),0.0)</f>
        <v>0</v>
      </c>
      <c r="M617" s="348">
        <f>IFERROR(__xludf.DUMMYFUNCTION("""COMPUTED_VALUE"""),0.0)</f>
        <v>0</v>
      </c>
      <c r="N617" s="348">
        <f>IFERROR(__xludf.DUMMYFUNCTION("""COMPUTED_VALUE"""),0.0)</f>
        <v>0</v>
      </c>
      <c r="O617" s="348">
        <f>IFERROR(__xludf.DUMMYFUNCTION("""COMPUTED_VALUE"""),0.0)</f>
        <v>0</v>
      </c>
      <c r="P617" s="348">
        <f>IFERROR(__xludf.DUMMYFUNCTION("""COMPUTED_VALUE"""),0.0)</f>
        <v>0</v>
      </c>
      <c r="Q617" s="348">
        <f>IFERROR(__xludf.DUMMYFUNCTION("""COMPUTED_VALUE"""),0.0)</f>
        <v>0</v>
      </c>
      <c r="R617" s="355" t="str">
        <f>IFERROR(__xludf.DUMMYFUNCTION("""COMPUTED_VALUE""")," Cash Proyek ")</f>
        <v>Cash Proyek</v>
      </c>
      <c r="S617" s="350"/>
      <c r="T617" s="262"/>
      <c r="U617" s="351"/>
      <c r="V617" s="262"/>
      <c r="W617" s="262"/>
      <c r="X617" s="262"/>
      <c r="Y617" s="262"/>
      <c r="Z617" s="262"/>
      <c r="AA617" s="262"/>
      <c r="AB617" s="262"/>
      <c r="AC617" s="262"/>
      <c r="AD617" s="262"/>
      <c r="AE617" s="262"/>
      <c r="AF617" s="262"/>
      <c r="AG617" s="264"/>
      <c r="AH617" s="264"/>
      <c r="AI617" s="264"/>
      <c r="AJ617" s="264"/>
      <c r="AK617" s="264"/>
      <c r="AL617" s="264"/>
      <c r="AM617" s="264"/>
      <c r="AN617" s="264"/>
    </row>
    <row r="618" ht="15.75" customHeight="1">
      <c r="A618" s="262"/>
      <c r="B618" s="338">
        <f>IFERROR(__xludf.DUMMYFUNCTION("""COMPUTED_VALUE"""),1099.0)</f>
        <v>1099</v>
      </c>
      <c r="C618" s="354"/>
      <c r="D618" s="340" t="str">
        <f>IFERROR(__xludf.DUMMYFUNCTION("""COMPUTED_VALUE"""),"")</f>
        <v/>
      </c>
      <c r="E618" s="341">
        <f>IFERROR(__xludf.DUMMYFUNCTION("""COMPUTED_VALUE"""),0.0)</f>
        <v>0</v>
      </c>
      <c r="F618" s="352"/>
      <c r="G618" s="343"/>
      <c r="H618" s="344">
        <f>IFERROR(__xludf.DUMMYFUNCTION("""COMPUTED_VALUE"""),0.0)</f>
        <v>0</v>
      </c>
      <c r="I618" s="353"/>
      <c r="J618" s="353"/>
      <c r="K618" s="346">
        <f>IFERROR(__xludf.DUMMYFUNCTION("""COMPUTED_VALUE"""),0.0)</f>
        <v>0</v>
      </c>
      <c r="L618" s="347">
        <f>IFERROR(__xludf.DUMMYFUNCTION("""COMPUTED_VALUE"""),0.0)</f>
        <v>0</v>
      </c>
      <c r="M618" s="348">
        <f>IFERROR(__xludf.DUMMYFUNCTION("""COMPUTED_VALUE"""),0.0)</f>
        <v>0</v>
      </c>
      <c r="N618" s="348">
        <f>IFERROR(__xludf.DUMMYFUNCTION("""COMPUTED_VALUE"""),0.0)</f>
        <v>0</v>
      </c>
      <c r="O618" s="348">
        <f>IFERROR(__xludf.DUMMYFUNCTION("""COMPUTED_VALUE"""),0.0)</f>
        <v>0</v>
      </c>
      <c r="P618" s="348">
        <f>IFERROR(__xludf.DUMMYFUNCTION("""COMPUTED_VALUE"""),0.0)</f>
        <v>0</v>
      </c>
      <c r="Q618" s="348">
        <f>IFERROR(__xludf.DUMMYFUNCTION("""COMPUTED_VALUE"""),0.0)</f>
        <v>0</v>
      </c>
      <c r="R618" s="355" t="str">
        <f>IFERROR(__xludf.DUMMYFUNCTION("""COMPUTED_VALUE""")," Cash Proyek ")</f>
        <v>Cash Proyek</v>
      </c>
      <c r="S618" s="350"/>
      <c r="T618" s="262"/>
      <c r="U618" s="351"/>
      <c r="V618" s="262"/>
      <c r="W618" s="262"/>
      <c r="X618" s="262"/>
      <c r="Y618" s="262"/>
      <c r="Z618" s="262"/>
      <c r="AA618" s="262"/>
      <c r="AB618" s="262"/>
      <c r="AC618" s="262"/>
      <c r="AD618" s="262"/>
      <c r="AE618" s="262"/>
      <c r="AF618" s="262"/>
      <c r="AG618" s="264"/>
      <c r="AH618" s="264"/>
      <c r="AI618" s="264"/>
      <c r="AJ618" s="264"/>
      <c r="AK618" s="264"/>
      <c r="AL618" s="264"/>
      <c r="AM618" s="264"/>
      <c r="AN618" s="264"/>
    </row>
    <row r="619" ht="15.75" customHeight="1">
      <c r="A619" s="262"/>
      <c r="B619" s="338">
        <f>IFERROR(__xludf.DUMMYFUNCTION("""COMPUTED_VALUE"""),1100.0)</f>
        <v>1100</v>
      </c>
      <c r="C619" s="354"/>
      <c r="D619" s="340" t="str">
        <f>IFERROR(__xludf.DUMMYFUNCTION("""COMPUTED_VALUE"""),"")</f>
        <v/>
      </c>
      <c r="E619" s="341">
        <f>IFERROR(__xludf.DUMMYFUNCTION("""COMPUTED_VALUE"""),0.0)</f>
        <v>0</v>
      </c>
      <c r="F619" s="352"/>
      <c r="G619" s="343"/>
      <c r="H619" s="344">
        <f>IFERROR(__xludf.DUMMYFUNCTION("""COMPUTED_VALUE"""),0.0)</f>
        <v>0</v>
      </c>
      <c r="I619" s="353"/>
      <c r="J619" s="353"/>
      <c r="K619" s="346">
        <f>IFERROR(__xludf.DUMMYFUNCTION("""COMPUTED_VALUE"""),0.0)</f>
        <v>0</v>
      </c>
      <c r="L619" s="347">
        <f>IFERROR(__xludf.DUMMYFUNCTION("""COMPUTED_VALUE"""),0.0)</f>
        <v>0</v>
      </c>
      <c r="M619" s="348">
        <f>IFERROR(__xludf.DUMMYFUNCTION("""COMPUTED_VALUE"""),0.0)</f>
        <v>0</v>
      </c>
      <c r="N619" s="348">
        <f>IFERROR(__xludf.DUMMYFUNCTION("""COMPUTED_VALUE"""),0.0)</f>
        <v>0</v>
      </c>
      <c r="O619" s="348">
        <f>IFERROR(__xludf.DUMMYFUNCTION("""COMPUTED_VALUE"""),0.0)</f>
        <v>0</v>
      </c>
      <c r="P619" s="348">
        <f>IFERROR(__xludf.DUMMYFUNCTION("""COMPUTED_VALUE"""),0.0)</f>
        <v>0</v>
      </c>
      <c r="Q619" s="348">
        <f>IFERROR(__xludf.DUMMYFUNCTION("""COMPUTED_VALUE"""),0.0)</f>
        <v>0</v>
      </c>
      <c r="R619" s="355" t="str">
        <f>IFERROR(__xludf.DUMMYFUNCTION("""COMPUTED_VALUE""")," Cash Proyek ")</f>
        <v>Cash Proyek</v>
      </c>
      <c r="S619" s="350"/>
      <c r="T619" s="262"/>
      <c r="U619" s="351"/>
      <c r="V619" s="262"/>
      <c r="W619" s="262"/>
      <c r="X619" s="262"/>
      <c r="Y619" s="262"/>
      <c r="Z619" s="262"/>
      <c r="AA619" s="262"/>
      <c r="AB619" s="262"/>
      <c r="AC619" s="262"/>
      <c r="AD619" s="262"/>
      <c r="AE619" s="262"/>
      <c r="AF619" s="262"/>
      <c r="AG619" s="264"/>
      <c r="AH619" s="264"/>
      <c r="AI619" s="264"/>
      <c r="AJ619" s="264"/>
      <c r="AK619" s="264"/>
      <c r="AL619" s="264"/>
      <c r="AM619" s="264"/>
      <c r="AN619" s="264"/>
    </row>
    <row r="620" ht="15.75" customHeight="1">
      <c r="A620" s="262"/>
      <c r="B620" s="338">
        <f>IFERROR(__xludf.DUMMYFUNCTION("""COMPUTED_VALUE"""),1101.0)</f>
        <v>1101</v>
      </c>
      <c r="C620" s="354"/>
      <c r="D620" s="340" t="str">
        <f>IFERROR(__xludf.DUMMYFUNCTION("""COMPUTED_VALUE"""),"")</f>
        <v/>
      </c>
      <c r="E620" s="341">
        <f>IFERROR(__xludf.DUMMYFUNCTION("""COMPUTED_VALUE"""),0.0)</f>
        <v>0</v>
      </c>
      <c r="F620" s="352"/>
      <c r="G620" s="343"/>
      <c r="H620" s="344">
        <f>IFERROR(__xludf.DUMMYFUNCTION("""COMPUTED_VALUE"""),0.0)</f>
        <v>0</v>
      </c>
      <c r="I620" s="353"/>
      <c r="J620" s="353"/>
      <c r="K620" s="346">
        <f>IFERROR(__xludf.DUMMYFUNCTION("""COMPUTED_VALUE"""),0.0)</f>
        <v>0</v>
      </c>
      <c r="L620" s="347">
        <f>IFERROR(__xludf.DUMMYFUNCTION("""COMPUTED_VALUE"""),0.0)</f>
        <v>0</v>
      </c>
      <c r="M620" s="348">
        <f>IFERROR(__xludf.DUMMYFUNCTION("""COMPUTED_VALUE"""),0.0)</f>
        <v>0</v>
      </c>
      <c r="N620" s="348">
        <f>IFERROR(__xludf.DUMMYFUNCTION("""COMPUTED_VALUE"""),0.0)</f>
        <v>0</v>
      </c>
      <c r="O620" s="348">
        <f>IFERROR(__xludf.DUMMYFUNCTION("""COMPUTED_VALUE"""),0.0)</f>
        <v>0</v>
      </c>
      <c r="P620" s="348">
        <f>IFERROR(__xludf.DUMMYFUNCTION("""COMPUTED_VALUE"""),0.0)</f>
        <v>0</v>
      </c>
      <c r="Q620" s="348">
        <f>IFERROR(__xludf.DUMMYFUNCTION("""COMPUTED_VALUE"""),0.0)</f>
        <v>0</v>
      </c>
      <c r="R620" s="355" t="str">
        <f>IFERROR(__xludf.DUMMYFUNCTION("""COMPUTED_VALUE""")," Cash Proyek ")</f>
        <v>Cash Proyek</v>
      </c>
      <c r="S620" s="350"/>
      <c r="T620" s="262"/>
      <c r="U620" s="351"/>
      <c r="V620" s="262"/>
      <c r="W620" s="262"/>
      <c r="X620" s="262"/>
      <c r="Y620" s="262"/>
      <c r="Z620" s="262"/>
      <c r="AA620" s="262"/>
      <c r="AB620" s="262"/>
      <c r="AC620" s="262"/>
      <c r="AD620" s="262"/>
      <c r="AE620" s="262"/>
      <c r="AF620" s="262"/>
      <c r="AG620" s="264"/>
      <c r="AH620" s="264"/>
      <c r="AI620" s="264"/>
      <c r="AJ620" s="264"/>
      <c r="AK620" s="264"/>
      <c r="AL620" s="264"/>
      <c r="AM620" s="264"/>
      <c r="AN620" s="264"/>
    </row>
    <row r="621" ht="15.75" customHeight="1">
      <c r="A621" s="262"/>
      <c r="B621" s="338">
        <f>IFERROR(__xludf.DUMMYFUNCTION("""COMPUTED_VALUE"""),1102.0)</f>
        <v>1102</v>
      </c>
      <c r="C621" s="354"/>
      <c r="D621" s="340" t="str">
        <f>IFERROR(__xludf.DUMMYFUNCTION("""COMPUTED_VALUE"""),"")</f>
        <v/>
      </c>
      <c r="E621" s="341">
        <f>IFERROR(__xludf.DUMMYFUNCTION("""COMPUTED_VALUE"""),0.0)</f>
        <v>0</v>
      </c>
      <c r="F621" s="352"/>
      <c r="G621" s="343"/>
      <c r="H621" s="344">
        <f>IFERROR(__xludf.DUMMYFUNCTION("""COMPUTED_VALUE"""),0.0)</f>
        <v>0</v>
      </c>
      <c r="I621" s="353"/>
      <c r="J621" s="353"/>
      <c r="K621" s="346">
        <f>IFERROR(__xludf.DUMMYFUNCTION("""COMPUTED_VALUE"""),0.0)</f>
        <v>0</v>
      </c>
      <c r="L621" s="347">
        <f>IFERROR(__xludf.DUMMYFUNCTION("""COMPUTED_VALUE"""),0.0)</f>
        <v>0</v>
      </c>
      <c r="M621" s="348">
        <f>IFERROR(__xludf.DUMMYFUNCTION("""COMPUTED_VALUE"""),0.0)</f>
        <v>0</v>
      </c>
      <c r="N621" s="348">
        <f>IFERROR(__xludf.DUMMYFUNCTION("""COMPUTED_VALUE"""),0.0)</f>
        <v>0</v>
      </c>
      <c r="O621" s="348">
        <f>IFERROR(__xludf.DUMMYFUNCTION("""COMPUTED_VALUE"""),0.0)</f>
        <v>0</v>
      </c>
      <c r="P621" s="348">
        <f>IFERROR(__xludf.DUMMYFUNCTION("""COMPUTED_VALUE"""),0.0)</f>
        <v>0</v>
      </c>
      <c r="Q621" s="348">
        <f>IFERROR(__xludf.DUMMYFUNCTION("""COMPUTED_VALUE"""),0.0)</f>
        <v>0</v>
      </c>
      <c r="R621" s="355" t="str">
        <f>IFERROR(__xludf.DUMMYFUNCTION("""COMPUTED_VALUE""")," Cash Proyek ")</f>
        <v>Cash Proyek</v>
      </c>
      <c r="S621" s="350"/>
      <c r="T621" s="262"/>
      <c r="U621" s="351"/>
      <c r="V621" s="262"/>
      <c r="W621" s="262"/>
      <c r="X621" s="262"/>
      <c r="Y621" s="262"/>
      <c r="Z621" s="262"/>
      <c r="AA621" s="262"/>
      <c r="AB621" s="262"/>
      <c r="AC621" s="262"/>
      <c r="AD621" s="262"/>
      <c r="AE621" s="262"/>
      <c r="AF621" s="262"/>
      <c r="AG621" s="264"/>
      <c r="AH621" s="264"/>
      <c r="AI621" s="264"/>
      <c r="AJ621" s="264"/>
      <c r="AK621" s="264"/>
      <c r="AL621" s="264"/>
      <c r="AM621" s="264"/>
      <c r="AN621" s="264"/>
    </row>
    <row r="622" ht="15.75" customHeight="1">
      <c r="A622" s="262"/>
      <c r="B622" s="338">
        <f>IFERROR(__xludf.DUMMYFUNCTION("""COMPUTED_VALUE"""),1103.0)</f>
        <v>1103</v>
      </c>
      <c r="C622" s="354"/>
      <c r="D622" s="340" t="str">
        <f>IFERROR(__xludf.DUMMYFUNCTION("""COMPUTED_VALUE"""),"")</f>
        <v/>
      </c>
      <c r="E622" s="341">
        <f>IFERROR(__xludf.DUMMYFUNCTION("""COMPUTED_VALUE"""),0.0)</f>
        <v>0</v>
      </c>
      <c r="F622" s="352"/>
      <c r="G622" s="343"/>
      <c r="H622" s="344">
        <f>IFERROR(__xludf.DUMMYFUNCTION("""COMPUTED_VALUE"""),0.0)</f>
        <v>0</v>
      </c>
      <c r="I622" s="353"/>
      <c r="J622" s="353"/>
      <c r="K622" s="346">
        <f>IFERROR(__xludf.DUMMYFUNCTION("""COMPUTED_VALUE"""),0.0)</f>
        <v>0</v>
      </c>
      <c r="L622" s="347">
        <f>IFERROR(__xludf.DUMMYFUNCTION("""COMPUTED_VALUE"""),0.0)</f>
        <v>0</v>
      </c>
      <c r="M622" s="348">
        <f>IFERROR(__xludf.DUMMYFUNCTION("""COMPUTED_VALUE"""),0.0)</f>
        <v>0</v>
      </c>
      <c r="N622" s="348">
        <f>IFERROR(__xludf.DUMMYFUNCTION("""COMPUTED_VALUE"""),0.0)</f>
        <v>0</v>
      </c>
      <c r="O622" s="348">
        <f>IFERROR(__xludf.DUMMYFUNCTION("""COMPUTED_VALUE"""),0.0)</f>
        <v>0</v>
      </c>
      <c r="P622" s="348">
        <f>IFERROR(__xludf.DUMMYFUNCTION("""COMPUTED_VALUE"""),0.0)</f>
        <v>0</v>
      </c>
      <c r="Q622" s="348">
        <f>IFERROR(__xludf.DUMMYFUNCTION("""COMPUTED_VALUE"""),0.0)</f>
        <v>0</v>
      </c>
      <c r="R622" s="355" t="str">
        <f>IFERROR(__xludf.DUMMYFUNCTION("""COMPUTED_VALUE""")," Cash Proyek ")</f>
        <v>Cash Proyek</v>
      </c>
      <c r="S622" s="350"/>
      <c r="T622" s="262"/>
      <c r="U622" s="351"/>
      <c r="V622" s="262"/>
      <c r="W622" s="262"/>
      <c r="X622" s="262"/>
      <c r="Y622" s="262"/>
      <c r="Z622" s="262"/>
      <c r="AA622" s="262"/>
      <c r="AB622" s="262"/>
      <c r="AC622" s="262"/>
      <c r="AD622" s="262"/>
      <c r="AE622" s="262"/>
      <c r="AF622" s="262"/>
      <c r="AG622" s="264"/>
      <c r="AH622" s="264"/>
      <c r="AI622" s="264"/>
      <c r="AJ622" s="264"/>
      <c r="AK622" s="264"/>
      <c r="AL622" s="264"/>
      <c r="AM622" s="264"/>
      <c r="AN622" s="264"/>
    </row>
    <row r="623" ht="15.75" customHeight="1">
      <c r="A623" s="262"/>
      <c r="B623" s="338">
        <f>IFERROR(__xludf.DUMMYFUNCTION("""COMPUTED_VALUE"""),1104.0)</f>
        <v>1104</v>
      </c>
      <c r="C623" s="354"/>
      <c r="D623" s="340" t="str">
        <f>IFERROR(__xludf.DUMMYFUNCTION("""COMPUTED_VALUE"""),"")</f>
        <v/>
      </c>
      <c r="E623" s="341">
        <f>IFERROR(__xludf.DUMMYFUNCTION("""COMPUTED_VALUE"""),0.0)</f>
        <v>0</v>
      </c>
      <c r="F623" s="352"/>
      <c r="G623" s="343"/>
      <c r="H623" s="344">
        <f>IFERROR(__xludf.DUMMYFUNCTION("""COMPUTED_VALUE"""),0.0)</f>
        <v>0</v>
      </c>
      <c r="I623" s="353"/>
      <c r="J623" s="353"/>
      <c r="K623" s="346">
        <f>IFERROR(__xludf.DUMMYFUNCTION("""COMPUTED_VALUE"""),0.0)</f>
        <v>0</v>
      </c>
      <c r="L623" s="347">
        <f>IFERROR(__xludf.DUMMYFUNCTION("""COMPUTED_VALUE"""),0.0)</f>
        <v>0</v>
      </c>
      <c r="M623" s="348">
        <f>IFERROR(__xludf.DUMMYFUNCTION("""COMPUTED_VALUE"""),0.0)</f>
        <v>0</v>
      </c>
      <c r="N623" s="348">
        <f>IFERROR(__xludf.DUMMYFUNCTION("""COMPUTED_VALUE"""),0.0)</f>
        <v>0</v>
      </c>
      <c r="O623" s="348">
        <f>IFERROR(__xludf.DUMMYFUNCTION("""COMPUTED_VALUE"""),0.0)</f>
        <v>0</v>
      </c>
      <c r="P623" s="348">
        <f>IFERROR(__xludf.DUMMYFUNCTION("""COMPUTED_VALUE"""),0.0)</f>
        <v>0</v>
      </c>
      <c r="Q623" s="348">
        <f>IFERROR(__xludf.DUMMYFUNCTION("""COMPUTED_VALUE"""),0.0)</f>
        <v>0</v>
      </c>
      <c r="R623" s="355" t="str">
        <f>IFERROR(__xludf.DUMMYFUNCTION("""COMPUTED_VALUE""")," Cash Proyek ")</f>
        <v>Cash Proyek</v>
      </c>
      <c r="S623" s="350"/>
      <c r="T623" s="262"/>
      <c r="U623" s="351"/>
      <c r="V623" s="262"/>
      <c r="W623" s="262"/>
      <c r="X623" s="262"/>
      <c r="Y623" s="262"/>
      <c r="Z623" s="262"/>
      <c r="AA623" s="262"/>
      <c r="AB623" s="262"/>
      <c r="AC623" s="262"/>
      <c r="AD623" s="262"/>
      <c r="AE623" s="262"/>
      <c r="AF623" s="262"/>
      <c r="AG623" s="264"/>
      <c r="AH623" s="264"/>
      <c r="AI623" s="264"/>
      <c r="AJ623" s="264"/>
      <c r="AK623" s="264"/>
      <c r="AL623" s="264"/>
      <c r="AM623" s="264"/>
      <c r="AN623" s="264"/>
    </row>
    <row r="624" ht="15.75" customHeight="1">
      <c r="A624" s="262"/>
      <c r="B624" s="338">
        <f>IFERROR(__xludf.DUMMYFUNCTION("""COMPUTED_VALUE"""),1105.0)</f>
        <v>1105</v>
      </c>
      <c r="C624" s="354"/>
      <c r="D624" s="340" t="str">
        <f>IFERROR(__xludf.DUMMYFUNCTION("""COMPUTED_VALUE"""),"")</f>
        <v/>
      </c>
      <c r="E624" s="341">
        <f>IFERROR(__xludf.DUMMYFUNCTION("""COMPUTED_VALUE"""),0.0)</f>
        <v>0</v>
      </c>
      <c r="F624" s="352"/>
      <c r="G624" s="343"/>
      <c r="H624" s="344">
        <f>IFERROR(__xludf.DUMMYFUNCTION("""COMPUTED_VALUE"""),0.0)</f>
        <v>0</v>
      </c>
      <c r="I624" s="353"/>
      <c r="J624" s="353"/>
      <c r="K624" s="346">
        <f>IFERROR(__xludf.DUMMYFUNCTION("""COMPUTED_VALUE"""),0.0)</f>
        <v>0</v>
      </c>
      <c r="L624" s="347">
        <f>IFERROR(__xludf.DUMMYFUNCTION("""COMPUTED_VALUE"""),0.0)</f>
        <v>0</v>
      </c>
      <c r="M624" s="348">
        <f>IFERROR(__xludf.DUMMYFUNCTION("""COMPUTED_VALUE"""),0.0)</f>
        <v>0</v>
      </c>
      <c r="N624" s="348">
        <f>IFERROR(__xludf.DUMMYFUNCTION("""COMPUTED_VALUE"""),0.0)</f>
        <v>0</v>
      </c>
      <c r="O624" s="348">
        <f>IFERROR(__xludf.DUMMYFUNCTION("""COMPUTED_VALUE"""),0.0)</f>
        <v>0</v>
      </c>
      <c r="P624" s="348">
        <f>IFERROR(__xludf.DUMMYFUNCTION("""COMPUTED_VALUE"""),0.0)</f>
        <v>0</v>
      </c>
      <c r="Q624" s="348">
        <f>IFERROR(__xludf.DUMMYFUNCTION("""COMPUTED_VALUE"""),0.0)</f>
        <v>0</v>
      </c>
      <c r="R624" s="355" t="str">
        <f>IFERROR(__xludf.DUMMYFUNCTION("""COMPUTED_VALUE""")," Cash Proyek ")</f>
        <v>Cash Proyek</v>
      </c>
      <c r="S624" s="350"/>
      <c r="T624" s="262"/>
      <c r="U624" s="351"/>
      <c r="V624" s="262"/>
      <c r="W624" s="262"/>
      <c r="X624" s="262"/>
      <c r="Y624" s="262"/>
      <c r="Z624" s="262"/>
      <c r="AA624" s="262"/>
      <c r="AB624" s="262"/>
      <c r="AC624" s="262"/>
      <c r="AD624" s="262"/>
      <c r="AE624" s="262"/>
      <c r="AF624" s="262"/>
      <c r="AG624" s="264"/>
      <c r="AH624" s="264"/>
      <c r="AI624" s="264"/>
      <c r="AJ624" s="264"/>
      <c r="AK624" s="264"/>
      <c r="AL624" s="264"/>
      <c r="AM624" s="264"/>
      <c r="AN624" s="264"/>
    </row>
    <row r="625" ht="15.75" customHeight="1">
      <c r="A625" s="262"/>
      <c r="B625" s="338">
        <f>IFERROR(__xludf.DUMMYFUNCTION("""COMPUTED_VALUE"""),1106.0)</f>
        <v>1106</v>
      </c>
      <c r="C625" s="354"/>
      <c r="D625" s="340" t="str">
        <f>IFERROR(__xludf.DUMMYFUNCTION("""COMPUTED_VALUE"""),"")</f>
        <v/>
      </c>
      <c r="E625" s="341">
        <f>IFERROR(__xludf.DUMMYFUNCTION("""COMPUTED_VALUE"""),0.0)</f>
        <v>0</v>
      </c>
      <c r="F625" s="352"/>
      <c r="G625" s="343"/>
      <c r="H625" s="344">
        <f>IFERROR(__xludf.DUMMYFUNCTION("""COMPUTED_VALUE"""),0.0)</f>
        <v>0</v>
      </c>
      <c r="I625" s="353"/>
      <c r="J625" s="353"/>
      <c r="K625" s="346">
        <f>IFERROR(__xludf.DUMMYFUNCTION("""COMPUTED_VALUE"""),0.0)</f>
        <v>0</v>
      </c>
      <c r="L625" s="347">
        <f>IFERROR(__xludf.DUMMYFUNCTION("""COMPUTED_VALUE"""),0.0)</f>
        <v>0</v>
      </c>
      <c r="M625" s="348">
        <f>IFERROR(__xludf.DUMMYFUNCTION("""COMPUTED_VALUE"""),0.0)</f>
        <v>0</v>
      </c>
      <c r="N625" s="348">
        <f>IFERROR(__xludf.DUMMYFUNCTION("""COMPUTED_VALUE"""),0.0)</f>
        <v>0</v>
      </c>
      <c r="O625" s="348">
        <f>IFERROR(__xludf.DUMMYFUNCTION("""COMPUTED_VALUE"""),0.0)</f>
        <v>0</v>
      </c>
      <c r="P625" s="348">
        <f>IFERROR(__xludf.DUMMYFUNCTION("""COMPUTED_VALUE"""),0.0)</f>
        <v>0</v>
      </c>
      <c r="Q625" s="348">
        <f>IFERROR(__xludf.DUMMYFUNCTION("""COMPUTED_VALUE"""),0.0)</f>
        <v>0</v>
      </c>
      <c r="R625" s="355" t="str">
        <f>IFERROR(__xludf.DUMMYFUNCTION("""COMPUTED_VALUE""")," Cash Proyek ")</f>
        <v>Cash Proyek</v>
      </c>
      <c r="S625" s="350"/>
      <c r="T625" s="262"/>
      <c r="U625" s="351"/>
      <c r="V625" s="262"/>
      <c r="W625" s="262"/>
      <c r="X625" s="262"/>
      <c r="Y625" s="262"/>
      <c r="Z625" s="262"/>
      <c r="AA625" s="262"/>
      <c r="AB625" s="262"/>
      <c r="AC625" s="262"/>
      <c r="AD625" s="262"/>
      <c r="AE625" s="262"/>
      <c r="AF625" s="262"/>
      <c r="AG625" s="264"/>
      <c r="AH625" s="264"/>
      <c r="AI625" s="264"/>
      <c r="AJ625" s="264"/>
      <c r="AK625" s="264"/>
      <c r="AL625" s="264"/>
      <c r="AM625" s="264"/>
      <c r="AN625" s="264"/>
    </row>
    <row r="626" ht="15.75" customHeight="1">
      <c r="A626" s="262"/>
      <c r="B626" s="338">
        <f>IFERROR(__xludf.DUMMYFUNCTION("""COMPUTED_VALUE"""),1107.0)</f>
        <v>1107</v>
      </c>
      <c r="C626" s="354"/>
      <c r="D626" s="340" t="str">
        <f>IFERROR(__xludf.DUMMYFUNCTION("""COMPUTED_VALUE"""),"")</f>
        <v/>
      </c>
      <c r="E626" s="341">
        <f>IFERROR(__xludf.DUMMYFUNCTION("""COMPUTED_VALUE"""),0.0)</f>
        <v>0</v>
      </c>
      <c r="F626" s="352"/>
      <c r="G626" s="343"/>
      <c r="H626" s="344">
        <f>IFERROR(__xludf.DUMMYFUNCTION("""COMPUTED_VALUE"""),0.0)</f>
        <v>0</v>
      </c>
      <c r="I626" s="353"/>
      <c r="J626" s="353"/>
      <c r="K626" s="346">
        <f>IFERROR(__xludf.DUMMYFUNCTION("""COMPUTED_VALUE"""),0.0)</f>
        <v>0</v>
      </c>
      <c r="L626" s="347">
        <f>IFERROR(__xludf.DUMMYFUNCTION("""COMPUTED_VALUE"""),0.0)</f>
        <v>0</v>
      </c>
      <c r="M626" s="348">
        <f>IFERROR(__xludf.DUMMYFUNCTION("""COMPUTED_VALUE"""),0.0)</f>
        <v>0</v>
      </c>
      <c r="N626" s="348">
        <f>IFERROR(__xludf.DUMMYFUNCTION("""COMPUTED_VALUE"""),0.0)</f>
        <v>0</v>
      </c>
      <c r="O626" s="348">
        <f>IFERROR(__xludf.DUMMYFUNCTION("""COMPUTED_VALUE"""),0.0)</f>
        <v>0</v>
      </c>
      <c r="P626" s="348">
        <f>IFERROR(__xludf.DUMMYFUNCTION("""COMPUTED_VALUE"""),0.0)</f>
        <v>0</v>
      </c>
      <c r="Q626" s="348">
        <f>IFERROR(__xludf.DUMMYFUNCTION("""COMPUTED_VALUE"""),0.0)</f>
        <v>0</v>
      </c>
      <c r="R626" s="355" t="str">
        <f>IFERROR(__xludf.DUMMYFUNCTION("""COMPUTED_VALUE""")," Cash Proyek ")</f>
        <v>Cash Proyek</v>
      </c>
      <c r="S626" s="350"/>
      <c r="T626" s="262"/>
      <c r="U626" s="351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  <c r="AF626" s="262"/>
      <c r="AG626" s="264"/>
      <c r="AH626" s="264"/>
      <c r="AI626" s="264"/>
      <c r="AJ626" s="264"/>
      <c r="AK626" s="264"/>
      <c r="AL626" s="264"/>
      <c r="AM626" s="264"/>
      <c r="AN626" s="264"/>
    </row>
    <row r="627" ht="15.75" customHeight="1">
      <c r="A627" s="262"/>
      <c r="B627" s="338">
        <f>IFERROR(__xludf.DUMMYFUNCTION("""COMPUTED_VALUE"""),1108.0)</f>
        <v>1108</v>
      </c>
      <c r="C627" s="354"/>
      <c r="D627" s="340" t="str">
        <f>IFERROR(__xludf.DUMMYFUNCTION("""COMPUTED_VALUE"""),"")</f>
        <v/>
      </c>
      <c r="E627" s="341">
        <f>IFERROR(__xludf.DUMMYFUNCTION("""COMPUTED_VALUE"""),0.0)</f>
        <v>0</v>
      </c>
      <c r="F627" s="352"/>
      <c r="G627" s="343"/>
      <c r="H627" s="344">
        <f>IFERROR(__xludf.DUMMYFUNCTION("""COMPUTED_VALUE"""),0.0)</f>
        <v>0</v>
      </c>
      <c r="I627" s="353"/>
      <c r="J627" s="353"/>
      <c r="K627" s="346">
        <f>IFERROR(__xludf.DUMMYFUNCTION("""COMPUTED_VALUE"""),0.0)</f>
        <v>0</v>
      </c>
      <c r="L627" s="347">
        <f>IFERROR(__xludf.DUMMYFUNCTION("""COMPUTED_VALUE"""),0.0)</f>
        <v>0</v>
      </c>
      <c r="M627" s="348">
        <f>IFERROR(__xludf.DUMMYFUNCTION("""COMPUTED_VALUE"""),0.0)</f>
        <v>0</v>
      </c>
      <c r="N627" s="348">
        <f>IFERROR(__xludf.DUMMYFUNCTION("""COMPUTED_VALUE"""),0.0)</f>
        <v>0</v>
      </c>
      <c r="O627" s="348">
        <f>IFERROR(__xludf.DUMMYFUNCTION("""COMPUTED_VALUE"""),0.0)</f>
        <v>0</v>
      </c>
      <c r="P627" s="348">
        <f>IFERROR(__xludf.DUMMYFUNCTION("""COMPUTED_VALUE"""),0.0)</f>
        <v>0</v>
      </c>
      <c r="Q627" s="348">
        <f>IFERROR(__xludf.DUMMYFUNCTION("""COMPUTED_VALUE"""),0.0)</f>
        <v>0</v>
      </c>
      <c r="R627" s="355" t="str">
        <f>IFERROR(__xludf.DUMMYFUNCTION("""COMPUTED_VALUE""")," Cash Proyek ")</f>
        <v>Cash Proyek</v>
      </c>
      <c r="S627" s="350"/>
      <c r="T627" s="262"/>
      <c r="U627" s="351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  <c r="AF627" s="262"/>
      <c r="AG627" s="264"/>
      <c r="AH627" s="264"/>
      <c r="AI627" s="264"/>
      <c r="AJ627" s="264"/>
      <c r="AK627" s="264"/>
      <c r="AL627" s="264"/>
      <c r="AM627" s="264"/>
      <c r="AN627" s="264"/>
    </row>
    <row r="628" ht="15.75" customHeight="1">
      <c r="A628" s="262"/>
      <c r="B628" s="338">
        <f>IFERROR(__xludf.DUMMYFUNCTION("""COMPUTED_VALUE"""),1109.0)</f>
        <v>1109</v>
      </c>
      <c r="C628" s="354"/>
      <c r="D628" s="340" t="str">
        <f>IFERROR(__xludf.DUMMYFUNCTION("""COMPUTED_VALUE"""),"")</f>
        <v/>
      </c>
      <c r="E628" s="341">
        <f>IFERROR(__xludf.DUMMYFUNCTION("""COMPUTED_VALUE"""),0.0)</f>
        <v>0</v>
      </c>
      <c r="F628" s="352"/>
      <c r="G628" s="343"/>
      <c r="H628" s="344">
        <f>IFERROR(__xludf.DUMMYFUNCTION("""COMPUTED_VALUE"""),0.0)</f>
        <v>0</v>
      </c>
      <c r="I628" s="353"/>
      <c r="J628" s="353"/>
      <c r="K628" s="346">
        <f>IFERROR(__xludf.DUMMYFUNCTION("""COMPUTED_VALUE"""),0.0)</f>
        <v>0</v>
      </c>
      <c r="L628" s="347">
        <f>IFERROR(__xludf.DUMMYFUNCTION("""COMPUTED_VALUE"""),0.0)</f>
        <v>0</v>
      </c>
      <c r="M628" s="348">
        <f>IFERROR(__xludf.DUMMYFUNCTION("""COMPUTED_VALUE"""),0.0)</f>
        <v>0</v>
      </c>
      <c r="N628" s="348">
        <f>IFERROR(__xludf.DUMMYFUNCTION("""COMPUTED_VALUE"""),0.0)</f>
        <v>0</v>
      </c>
      <c r="O628" s="348">
        <f>IFERROR(__xludf.DUMMYFUNCTION("""COMPUTED_VALUE"""),0.0)</f>
        <v>0</v>
      </c>
      <c r="P628" s="348">
        <f>IFERROR(__xludf.DUMMYFUNCTION("""COMPUTED_VALUE"""),0.0)</f>
        <v>0</v>
      </c>
      <c r="Q628" s="348">
        <f>IFERROR(__xludf.DUMMYFUNCTION("""COMPUTED_VALUE"""),0.0)</f>
        <v>0</v>
      </c>
      <c r="R628" s="355" t="str">
        <f>IFERROR(__xludf.DUMMYFUNCTION("""COMPUTED_VALUE""")," Cash Proyek ")</f>
        <v>Cash Proyek</v>
      </c>
      <c r="S628" s="350"/>
      <c r="T628" s="262"/>
      <c r="U628" s="351"/>
      <c r="V628" s="262"/>
      <c r="W628" s="262"/>
      <c r="X628" s="262"/>
      <c r="Y628" s="262"/>
      <c r="Z628" s="262"/>
      <c r="AA628" s="262"/>
      <c r="AB628" s="262"/>
      <c r="AC628" s="262"/>
      <c r="AD628" s="262"/>
      <c r="AE628" s="262"/>
      <c r="AF628" s="262"/>
      <c r="AG628" s="264"/>
      <c r="AH628" s="264"/>
      <c r="AI628" s="264"/>
      <c r="AJ628" s="264"/>
      <c r="AK628" s="264"/>
      <c r="AL628" s="264"/>
      <c r="AM628" s="264"/>
      <c r="AN628" s="264"/>
    </row>
    <row r="629" ht="15.75" customHeight="1">
      <c r="A629" s="262"/>
      <c r="B629" s="338">
        <f>IFERROR(__xludf.DUMMYFUNCTION("""COMPUTED_VALUE"""),1110.0)</f>
        <v>1110</v>
      </c>
      <c r="C629" s="354"/>
      <c r="D629" s="340" t="str">
        <f>IFERROR(__xludf.DUMMYFUNCTION("""COMPUTED_VALUE"""),"")</f>
        <v/>
      </c>
      <c r="E629" s="341">
        <f>IFERROR(__xludf.DUMMYFUNCTION("""COMPUTED_VALUE"""),0.0)</f>
        <v>0</v>
      </c>
      <c r="F629" s="352"/>
      <c r="G629" s="343"/>
      <c r="H629" s="344">
        <f>IFERROR(__xludf.DUMMYFUNCTION("""COMPUTED_VALUE"""),0.0)</f>
        <v>0</v>
      </c>
      <c r="I629" s="353"/>
      <c r="J629" s="353"/>
      <c r="K629" s="346">
        <f>IFERROR(__xludf.DUMMYFUNCTION("""COMPUTED_VALUE"""),0.0)</f>
        <v>0</v>
      </c>
      <c r="L629" s="347">
        <f>IFERROR(__xludf.DUMMYFUNCTION("""COMPUTED_VALUE"""),0.0)</f>
        <v>0</v>
      </c>
      <c r="M629" s="348">
        <f>IFERROR(__xludf.DUMMYFUNCTION("""COMPUTED_VALUE"""),0.0)</f>
        <v>0</v>
      </c>
      <c r="N629" s="348">
        <f>IFERROR(__xludf.DUMMYFUNCTION("""COMPUTED_VALUE"""),0.0)</f>
        <v>0</v>
      </c>
      <c r="O629" s="348">
        <f>IFERROR(__xludf.DUMMYFUNCTION("""COMPUTED_VALUE"""),0.0)</f>
        <v>0</v>
      </c>
      <c r="P629" s="348">
        <f>IFERROR(__xludf.DUMMYFUNCTION("""COMPUTED_VALUE"""),0.0)</f>
        <v>0</v>
      </c>
      <c r="Q629" s="348">
        <f>IFERROR(__xludf.DUMMYFUNCTION("""COMPUTED_VALUE"""),0.0)</f>
        <v>0</v>
      </c>
      <c r="R629" s="355" t="str">
        <f>IFERROR(__xludf.DUMMYFUNCTION("""COMPUTED_VALUE""")," Cash Proyek ")</f>
        <v>Cash Proyek</v>
      </c>
      <c r="S629" s="350"/>
      <c r="T629" s="262"/>
      <c r="U629" s="351"/>
      <c r="V629" s="262"/>
      <c r="W629" s="262"/>
      <c r="X629" s="262"/>
      <c r="Y629" s="262"/>
      <c r="Z629" s="262"/>
      <c r="AA629" s="262"/>
      <c r="AB629" s="262"/>
      <c r="AC629" s="262"/>
      <c r="AD629" s="262"/>
      <c r="AE629" s="262"/>
      <c r="AF629" s="262"/>
      <c r="AG629" s="264"/>
      <c r="AH629" s="264"/>
      <c r="AI629" s="264"/>
      <c r="AJ629" s="264"/>
      <c r="AK629" s="264"/>
      <c r="AL629" s="264"/>
      <c r="AM629" s="264"/>
      <c r="AN629" s="264"/>
    </row>
    <row r="630" ht="15.75" customHeight="1">
      <c r="A630" s="262"/>
      <c r="B630" s="338">
        <f>IFERROR(__xludf.DUMMYFUNCTION("""COMPUTED_VALUE"""),1111.0)</f>
        <v>1111</v>
      </c>
      <c r="C630" s="354"/>
      <c r="D630" s="340" t="str">
        <f>IFERROR(__xludf.DUMMYFUNCTION("""COMPUTED_VALUE"""),"")</f>
        <v/>
      </c>
      <c r="E630" s="341">
        <f>IFERROR(__xludf.DUMMYFUNCTION("""COMPUTED_VALUE"""),0.0)</f>
        <v>0</v>
      </c>
      <c r="F630" s="352"/>
      <c r="G630" s="343"/>
      <c r="H630" s="344">
        <f>IFERROR(__xludf.DUMMYFUNCTION("""COMPUTED_VALUE"""),0.0)</f>
        <v>0</v>
      </c>
      <c r="I630" s="353"/>
      <c r="J630" s="353"/>
      <c r="K630" s="346">
        <f>IFERROR(__xludf.DUMMYFUNCTION("""COMPUTED_VALUE"""),0.0)</f>
        <v>0</v>
      </c>
      <c r="L630" s="347">
        <f>IFERROR(__xludf.DUMMYFUNCTION("""COMPUTED_VALUE"""),0.0)</f>
        <v>0</v>
      </c>
      <c r="M630" s="348">
        <f>IFERROR(__xludf.DUMMYFUNCTION("""COMPUTED_VALUE"""),0.0)</f>
        <v>0</v>
      </c>
      <c r="N630" s="348">
        <f>IFERROR(__xludf.DUMMYFUNCTION("""COMPUTED_VALUE"""),0.0)</f>
        <v>0</v>
      </c>
      <c r="O630" s="348">
        <f>IFERROR(__xludf.DUMMYFUNCTION("""COMPUTED_VALUE"""),0.0)</f>
        <v>0</v>
      </c>
      <c r="P630" s="348">
        <f>IFERROR(__xludf.DUMMYFUNCTION("""COMPUTED_VALUE"""),0.0)</f>
        <v>0</v>
      </c>
      <c r="Q630" s="348">
        <f>IFERROR(__xludf.DUMMYFUNCTION("""COMPUTED_VALUE"""),0.0)</f>
        <v>0</v>
      </c>
      <c r="R630" s="355" t="str">
        <f>IFERROR(__xludf.DUMMYFUNCTION("""COMPUTED_VALUE""")," Cash Proyek ")</f>
        <v>Cash Proyek</v>
      </c>
      <c r="S630" s="350"/>
      <c r="T630" s="262"/>
      <c r="U630" s="351"/>
      <c r="V630" s="262"/>
      <c r="W630" s="262"/>
      <c r="X630" s="262"/>
      <c r="Y630" s="262"/>
      <c r="Z630" s="262"/>
      <c r="AA630" s="262"/>
      <c r="AB630" s="262"/>
      <c r="AC630" s="262"/>
      <c r="AD630" s="262"/>
      <c r="AE630" s="262"/>
      <c r="AF630" s="262"/>
      <c r="AG630" s="264"/>
      <c r="AH630" s="264"/>
      <c r="AI630" s="264"/>
      <c r="AJ630" s="264"/>
      <c r="AK630" s="264"/>
      <c r="AL630" s="264"/>
      <c r="AM630" s="264"/>
      <c r="AN630" s="264"/>
    </row>
    <row r="631" ht="15.75" customHeight="1">
      <c r="A631" s="262"/>
      <c r="B631" s="338">
        <f>IFERROR(__xludf.DUMMYFUNCTION("""COMPUTED_VALUE"""),1112.0)</f>
        <v>1112</v>
      </c>
      <c r="C631" s="354"/>
      <c r="D631" s="340" t="str">
        <f>IFERROR(__xludf.DUMMYFUNCTION("""COMPUTED_VALUE"""),"")</f>
        <v/>
      </c>
      <c r="E631" s="341">
        <f>IFERROR(__xludf.DUMMYFUNCTION("""COMPUTED_VALUE"""),0.0)</f>
        <v>0</v>
      </c>
      <c r="F631" s="352"/>
      <c r="G631" s="343"/>
      <c r="H631" s="344">
        <f>IFERROR(__xludf.DUMMYFUNCTION("""COMPUTED_VALUE"""),0.0)</f>
        <v>0</v>
      </c>
      <c r="I631" s="353"/>
      <c r="J631" s="353"/>
      <c r="K631" s="346">
        <f>IFERROR(__xludf.DUMMYFUNCTION("""COMPUTED_VALUE"""),0.0)</f>
        <v>0</v>
      </c>
      <c r="L631" s="347">
        <f>IFERROR(__xludf.DUMMYFUNCTION("""COMPUTED_VALUE"""),0.0)</f>
        <v>0</v>
      </c>
      <c r="M631" s="348">
        <f>IFERROR(__xludf.DUMMYFUNCTION("""COMPUTED_VALUE"""),0.0)</f>
        <v>0</v>
      </c>
      <c r="N631" s="348">
        <f>IFERROR(__xludf.DUMMYFUNCTION("""COMPUTED_VALUE"""),0.0)</f>
        <v>0</v>
      </c>
      <c r="O631" s="348">
        <f>IFERROR(__xludf.DUMMYFUNCTION("""COMPUTED_VALUE"""),0.0)</f>
        <v>0</v>
      </c>
      <c r="P631" s="348">
        <f>IFERROR(__xludf.DUMMYFUNCTION("""COMPUTED_VALUE"""),0.0)</f>
        <v>0</v>
      </c>
      <c r="Q631" s="348">
        <f>IFERROR(__xludf.DUMMYFUNCTION("""COMPUTED_VALUE"""),0.0)</f>
        <v>0</v>
      </c>
      <c r="R631" s="355" t="str">
        <f>IFERROR(__xludf.DUMMYFUNCTION("""COMPUTED_VALUE""")," Cash Proyek ")</f>
        <v>Cash Proyek</v>
      </c>
      <c r="S631" s="350"/>
      <c r="T631" s="262"/>
      <c r="U631" s="351"/>
      <c r="V631" s="262"/>
      <c r="W631" s="262"/>
      <c r="X631" s="262"/>
      <c r="Y631" s="262"/>
      <c r="Z631" s="262"/>
      <c r="AA631" s="262"/>
      <c r="AB631" s="262"/>
      <c r="AC631" s="262"/>
      <c r="AD631" s="262"/>
      <c r="AE631" s="262"/>
      <c r="AF631" s="262"/>
      <c r="AG631" s="264"/>
      <c r="AH631" s="264"/>
      <c r="AI631" s="264"/>
      <c r="AJ631" s="264"/>
      <c r="AK631" s="264"/>
      <c r="AL631" s="264"/>
      <c r="AM631" s="264"/>
      <c r="AN631" s="264"/>
    </row>
    <row r="632" ht="15.75" customHeight="1">
      <c r="A632" s="262"/>
      <c r="B632" s="338">
        <f>IFERROR(__xludf.DUMMYFUNCTION("""COMPUTED_VALUE"""),1113.0)</f>
        <v>1113</v>
      </c>
      <c r="C632" s="354"/>
      <c r="D632" s="340" t="str">
        <f>IFERROR(__xludf.DUMMYFUNCTION("""COMPUTED_VALUE"""),"")</f>
        <v/>
      </c>
      <c r="E632" s="341">
        <f>IFERROR(__xludf.DUMMYFUNCTION("""COMPUTED_VALUE"""),0.0)</f>
        <v>0</v>
      </c>
      <c r="F632" s="352"/>
      <c r="G632" s="343"/>
      <c r="H632" s="344">
        <f>IFERROR(__xludf.DUMMYFUNCTION("""COMPUTED_VALUE"""),0.0)</f>
        <v>0</v>
      </c>
      <c r="I632" s="353"/>
      <c r="J632" s="353"/>
      <c r="K632" s="346">
        <f>IFERROR(__xludf.DUMMYFUNCTION("""COMPUTED_VALUE"""),0.0)</f>
        <v>0</v>
      </c>
      <c r="L632" s="347">
        <f>IFERROR(__xludf.DUMMYFUNCTION("""COMPUTED_VALUE"""),0.0)</f>
        <v>0</v>
      </c>
      <c r="M632" s="348">
        <f>IFERROR(__xludf.DUMMYFUNCTION("""COMPUTED_VALUE"""),0.0)</f>
        <v>0</v>
      </c>
      <c r="N632" s="348">
        <f>IFERROR(__xludf.DUMMYFUNCTION("""COMPUTED_VALUE"""),0.0)</f>
        <v>0</v>
      </c>
      <c r="O632" s="348">
        <f>IFERROR(__xludf.DUMMYFUNCTION("""COMPUTED_VALUE"""),0.0)</f>
        <v>0</v>
      </c>
      <c r="P632" s="348">
        <f>IFERROR(__xludf.DUMMYFUNCTION("""COMPUTED_VALUE"""),0.0)</f>
        <v>0</v>
      </c>
      <c r="Q632" s="348">
        <f>IFERROR(__xludf.DUMMYFUNCTION("""COMPUTED_VALUE"""),0.0)</f>
        <v>0</v>
      </c>
      <c r="R632" s="355" t="str">
        <f>IFERROR(__xludf.DUMMYFUNCTION("""COMPUTED_VALUE""")," Cash Proyek ")</f>
        <v>Cash Proyek</v>
      </c>
      <c r="S632" s="350"/>
      <c r="T632" s="262"/>
      <c r="U632" s="351"/>
      <c r="V632" s="262"/>
      <c r="W632" s="262"/>
      <c r="X632" s="262"/>
      <c r="Y632" s="262"/>
      <c r="Z632" s="262"/>
      <c r="AA632" s="262"/>
      <c r="AB632" s="262"/>
      <c r="AC632" s="262"/>
      <c r="AD632" s="262"/>
      <c r="AE632" s="262"/>
      <c r="AF632" s="262"/>
      <c r="AG632" s="264"/>
      <c r="AH632" s="264"/>
      <c r="AI632" s="264"/>
      <c r="AJ632" s="264"/>
      <c r="AK632" s="264"/>
      <c r="AL632" s="264"/>
      <c r="AM632" s="264"/>
      <c r="AN632" s="264"/>
    </row>
    <row r="633" ht="15.75" customHeight="1">
      <c r="A633" s="262"/>
      <c r="B633" s="338">
        <f>IFERROR(__xludf.DUMMYFUNCTION("""COMPUTED_VALUE"""),1114.0)</f>
        <v>1114</v>
      </c>
      <c r="C633" s="354"/>
      <c r="D633" s="340" t="str">
        <f>IFERROR(__xludf.DUMMYFUNCTION("""COMPUTED_VALUE"""),"")</f>
        <v/>
      </c>
      <c r="E633" s="341">
        <f>IFERROR(__xludf.DUMMYFUNCTION("""COMPUTED_VALUE"""),0.0)</f>
        <v>0</v>
      </c>
      <c r="F633" s="352"/>
      <c r="G633" s="343"/>
      <c r="H633" s="344">
        <f>IFERROR(__xludf.DUMMYFUNCTION("""COMPUTED_VALUE"""),0.0)</f>
        <v>0</v>
      </c>
      <c r="I633" s="353"/>
      <c r="J633" s="353"/>
      <c r="K633" s="346">
        <f>IFERROR(__xludf.DUMMYFUNCTION("""COMPUTED_VALUE"""),0.0)</f>
        <v>0</v>
      </c>
      <c r="L633" s="347">
        <f>IFERROR(__xludf.DUMMYFUNCTION("""COMPUTED_VALUE"""),0.0)</f>
        <v>0</v>
      </c>
      <c r="M633" s="348">
        <f>IFERROR(__xludf.DUMMYFUNCTION("""COMPUTED_VALUE"""),0.0)</f>
        <v>0</v>
      </c>
      <c r="N633" s="348">
        <f>IFERROR(__xludf.DUMMYFUNCTION("""COMPUTED_VALUE"""),0.0)</f>
        <v>0</v>
      </c>
      <c r="O633" s="348">
        <f>IFERROR(__xludf.DUMMYFUNCTION("""COMPUTED_VALUE"""),0.0)</f>
        <v>0</v>
      </c>
      <c r="P633" s="348">
        <f>IFERROR(__xludf.DUMMYFUNCTION("""COMPUTED_VALUE"""),0.0)</f>
        <v>0</v>
      </c>
      <c r="Q633" s="348">
        <f>IFERROR(__xludf.DUMMYFUNCTION("""COMPUTED_VALUE"""),0.0)</f>
        <v>0</v>
      </c>
      <c r="R633" s="355" t="str">
        <f>IFERROR(__xludf.DUMMYFUNCTION("""COMPUTED_VALUE""")," Cash Proyek ")</f>
        <v>Cash Proyek</v>
      </c>
      <c r="S633" s="350"/>
      <c r="T633" s="262"/>
      <c r="U633" s="351"/>
      <c r="V633" s="262"/>
      <c r="W633" s="262"/>
      <c r="X633" s="262"/>
      <c r="Y633" s="262"/>
      <c r="Z633" s="262"/>
      <c r="AA633" s="262"/>
      <c r="AB633" s="262"/>
      <c r="AC633" s="262"/>
      <c r="AD633" s="262"/>
      <c r="AE633" s="262"/>
      <c r="AF633" s="262"/>
      <c r="AG633" s="264"/>
      <c r="AH633" s="264"/>
      <c r="AI633" s="264"/>
      <c r="AJ633" s="264"/>
      <c r="AK633" s="264"/>
      <c r="AL633" s="264"/>
      <c r="AM633" s="264"/>
      <c r="AN633" s="264"/>
    </row>
    <row r="634" ht="15.75" customHeight="1">
      <c r="A634" s="262"/>
      <c r="B634" s="338">
        <f>IFERROR(__xludf.DUMMYFUNCTION("""COMPUTED_VALUE"""),1115.0)</f>
        <v>1115</v>
      </c>
      <c r="C634" s="354"/>
      <c r="D634" s="340" t="str">
        <f>IFERROR(__xludf.DUMMYFUNCTION("""COMPUTED_VALUE"""),"")</f>
        <v/>
      </c>
      <c r="E634" s="341">
        <f>IFERROR(__xludf.DUMMYFUNCTION("""COMPUTED_VALUE"""),0.0)</f>
        <v>0</v>
      </c>
      <c r="F634" s="352"/>
      <c r="G634" s="343"/>
      <c r="H634" s="344">
        <f>IFERROR(__xludf.DUMMYFUNCTION("""COMPUTED_VALUE"""),0.0)</f>
        <v>0</v>
      </c>
      <c r="I634" s="353"/>
      <c r="J634" s="353"/>
      <c r="K634" s="346">
        <f>IFERROR(__xludf.DUMMYFUNCTION("""COMPUTED_VALUE"""),0.0)</f>
        <v>0</v>
      </c>
      <c r="L634" s="347">
        <f>IFERROR(__xludf.DUMMYFUNCTION("""COMPUTED_VALUE"""),0.0)</f>
        <v>0</v>
      </c>
      <c r="M634" s="348">
        <f>IFERROR(__xludf.DUMMYFUNCTION("""COMPUTED_VALUE"""),0.0)</f>
        <v>0</v>
      </c>
      <c r="N634" s="348">
        <f>IFERROR(__xludf.DUMMYFUNCTION("""COMPUTED_VALUE"""),0.0)</f>
        <v>0</v>
      </c>
      <c r="O634" s="348">
        <f>IFERROR(__xludf.DUMMYFUNCTION("""COMPUTED_VALUE"""),0.0)</f>
        <v>0</v>
      </c>
      <c r="P634" s="348">
        <f>IFERROR(__xludf.DUMMYFUNCTION("""COMPUTED_VALUE"""),0.0)</f>
        <v>0</v>
      </c>
      <c r="Q634" s="348">
        <f>IFERROR(__xludf.DUMMYFUNCTION("""COMPUTED_VALUE"""),0.0)</f>
        <v>0</v>
      </c>
      <c r="R634" s="355" t="str">
        <f>IFERROR(__xludf.DUMMYFUNCTION("""COMPUTED_VALUE""")," Cash Proyek ")</f>
        <v>Cash Proyek</v>
      </c>
      <c r="S634" s="350"/>
      <c r="T634" s="262"/>
      <c r="U634" s="351"/>
      <c r="V634" s="262"/>
      <c r="W634" s="262"/>
      <c r="X634" s="262"/>
      <c r="Y634" s="262"/>
      <c r="Z634" s="262"/>
      <c r="AA634" s="262"/>
      <c r="AB634" s="262"/>
      <c r="AC634" s="262"/>
      <c r="AD634" s="262"/>
      <c r="AE634" s="262"/>
      <c r="AF634" s="262"/>
      <c r="AG634" s="264"/>
      <c r="AH634" s="264"/>
      <c r="AI634" s="264"/>
      <c r="AJ634" s="264"/>
      <c r="AK634" s="264"/>
      <c r="AL634" s="264"/>
      <c r="AM634" s="264"/>
      <c r="AN634" s="264"/>
    </row>
    <row r="635" ht="15.75" customHeight="1">
      <c r="A635" s="262"/>
      <c r="B635" s="338">
        <f>IFERROR(__xludf.DUMMYFUNCTION("""COMPUTED_VALUE"""),1116.0)</f>
        <v>1116</v>
      </c>
      <c r="C635" s="354"/>
      <c r="D635" s="340" t="str">
        <f>IFERROR(__xludf.DUMMYFUNCTION("""COMPUTED_VALUE"""),"")</f>
        <v/>
      </c>
      <c r="E635" s="341">
        <f>IFERROR(__xludf.DUMMYFUNCTION("""COMPUTED_VALUE"""),0.0)</f>
        <v>0</v>
      </c>
      <c r="F635" s="352"/>
      <c r="G635" s="343"/>
      <c r="H635" s="344">
        <f>IFERROR(__xludf.DUMMYFUNCTION("""COMPUTED_VALUE"""),0.0)</f>
        <v>0</v>
      </c>
      <c r="I635" s="353"/>
      <c r="J635" s="353"/>
      <c r="K635" s="346">
        <f>IFERROR(__xludf.DUMMYFUNCTION("""COMPUTED_VALUE"""),0.0)</f>
        <v>0</v>
      </c>
      <c r="L635" s="347">
        <f>IFERROR(__xludf.DUMMYFUNCTION("""COMPUTED_VALUE"""),0.0)</f>
        <v>0</v>
      </c>
      <c r="M635" s="348">
        <f>IFERROR(__xludf.DUMMYFUNCTION("""COMPUTED_VALUE"""),0.0)</f>
        <v>0</v>
      </c>
      <c r="N635" s="348">
        <f>IFERROR(__xludf.DUMMYFUNCTION("""COMPUTED_VALUE"""),0.0)</f>
        <v>0</v>
      </c>
      <c r="O635" s="348">
        <f>IFERROR(__xludf.DUMMYFUNCTION("""COMPUTED_VALUE"""),0.0)</f>
        <v>0</v>
      </c>
      <c r="P635" s="348">
        <f>IFERROR(__xludf.DUMMYFUNCTION("""COMPUTED_VALUE"""),0.0)</f>
        <v>0</v>
      </c>
      <c r="Q635" s="348">
        <f>IFERROR(__xludf.DUMMYFUNCTION("""COMPUTED_VALUE"""),0.0)</f>
        <v>0</v>
      </c>
      <c r="R635" s="355" t="str">
        <f>IFERROR(__xludf.DUMMYFUNCTION("""COMPUTED_VALUE""")," Cash Proyek ")</f>
        <v>Cash Proyek</v>
      </c>
      <c r="S635" s="350"/>
      <c r="T635" s="262"/>
      <c r="U635" s="351"/>
      <c r="V635" s="262"/>
      <c r="W635" s="262"/>
      <c r="X635" s="262"/>
      <c r="Y635" s="262"/>
      <c r="Z635" s="262"/>
      <c r="AA635" s="262"/>
      <c r="AB635" s="262"/>
      <c r="AC635" s="262"/>
      <c r="AD635" s="262"/>
      <c r="AE635" s="262"/>
      <c r="AF635" s="262"/>
      <c r="AG635" s="264"/>
      <c r="AH635" s="264"/>
      <c r="AI635" s="264"/>
      <c r="AJ635" s="264"/>
      <c r="AK635" s="264"/>
      <c r="AL635" s="264"/>
      <c r="AM635" s="264"/>
      <c r="AN635" s="264"/>
    </row>
    <row r="636" ht="15.75" customHeight="1">
      <c r="A636" s="262"/>
      <c r="B636" s="338">
        <f>IFERROR(__xludf.DUMMYFUNCTION("""COMPUTED_VALUE"""),1117.0)</f>
        <v>1117</v>
      </c>
      <c r="C636" s="354"/>
      <c r="D636" s="340" t="str">
        <f>IFERROR(__xludf.DUMMYFUNCTION("""COMPUTED_VALUE"""),"")</f>
        <v/>
      </c>
      <c r="E636" s="341">
        <f>IFERROR(__xludf.DUMMYFUNCTION("""COMPUTED_VALUE"""),0.0)</f>
        <v>0</v>
      </c>
      <c r="F636" s="352"/>
      <c r="G636" s="343"/>
      <c r="H636" s="344">
        <f>IFERROR(__xludf.DUMMYFUNCTION("""COMPUTED_VALUE"""),0.0)</f>
        <v>0</v>
      </c>
      <c r="I636" s="353"/>
      <c r="J636" s="353"/>
      <c r="K636" s="346">
        <f>IFERROR(__xludf.DUMMYFUNCTION("""COMPUTED_VALUE"""),0.0)</f>
        <v>0</v>
      </c>
      <c r="L636" s="347">
        <f>IFERROR(__xludf.DUMMYFUNCTION("""COMPUTED_VALUE"""),0.0)</f>
        <v>0</v>
      </c>
      <c r="M636" s="348">
        <f>IFERROR(__xludf.DUMMYFUNCTION("""COMPUTED_VALUE"""),0.0)</f>
        <v>0</v>
      </c>
      <c r="N636" s="348">
        <f>IFERROR(__xludf.DUMMYFUNCTION("""COMPUTED_VALUE"""),0.0)</f>
        <v>0</v>
      </c>
      <c r="O636" s="348">
        <f>IFERROR(__xludf.DUMMYFUNCTION("""COMPUTED_VALUE"""),0.0)</f>
        <v>0</v>
      </c>
      <c r="P636" s="348">
        <f>IFERROR(__xludf.DUMMYFUNCTION("""COMPUTED_VALUE"""),0.0)</f>
        <v>0</v>
      </c>
      <c r="Q636" s="348">
        <f>IFERROR(__xludf.DUMMYFUNCTION("""COMPUTED_VALUE"""),0.0)</f>
        <v>0</v>
      </c>
      <c r="R636" s="355" t="str">
        <f>IFERROR(__xludf.DUMMYFUNCTION("""COMPUTED_VALUE""")," Cash Proyek ")</f>
        <v>Cash Proyek</v>
      </c>
      <c r="S636" s="350"/>
      <c r="T636" s="262"/>
      <c r="U636" s="351"/>
      <c r="V636" s="262"/>
      <c r="W636" s="262"/>
      <c r="X636" s="262"/>
      <c r="Y636" s="262"/>
      <c r="Z636" s="262"/>
      <c r="AA636" s="262"/>
      <c r="AB636" s="262"/>
      <c r="AC636" s="262"/>
      <c r="AD636" s="262"/>
      <c r="AE636" s="262"/>
      <c r="AF636" s="262"/>
      <c r="AG636" s="264"/>
      <c r="AH636" s="264"/>
      <c r="AI636" s="264"/>
      <c r="AJ636" s="264"/>
      <c r="AK636" s="264"/>
      <c r="AL636" s="264"/>
      <c r="AM636" s="264"/>
      <c r="AN636" s="264"/>
    </row>
    <row r="637" ht="15.75" customHeight="1">
      <c r="A637" s="262"/>
      <c r="B637" s="338">
        <f>IFERROR(__xludf.DUMMYFUNCTION("""COMPUTED_VALUE"""),1118.0)</f>
        <v>1118</v>
      </c>
      <c r="C637" s="354"/>
      <c r="D637" s="340" t="str">
        <f>IFERROR(__xludf.DUMMYFUNCTION("""COMPUTED_VALUE"""),"")</f>
        <v/>
      </c>
      <c r="E637" s="341">
        <f>IFERROR(__xludf.DUMMYFUNCTION("""COMPUTED_VALUE"""),0.0)</f>
        <v>0</v>
      </c>
      <c r="F637" s="352"/>
      <c r="G637" s="343"/>
      <c r="H637" s="344">
        <f>IFERROR(__xludf.DUMMYFUNCTION("""COMPUTED_VALUE"""),0.0)</f>
        <v>0</v>
      </c>
      <c r="I637" s="353"/>
      <c r="J637" s="353"/>
      <c r="K637" s="346">
        <f>IFERROR(__xludf.DUMMYFUNCTION("""COMPUTED_VALUE"""),0.0)</f>
        <v>0</v>
      </c>
      <c r="L637" s="347">
        <f>IFERROR(__xludf.DUMMYFUNCTION("""COMPUTED_VALUE"""),0.0)</f>
        <v>0</v>
      </c>
      <c r="M637" s="348">
        <f>IFERROR(__xludf.DUMMYFUNCTION("""COMPUTED_VALUE"""),0.0)</f>
        <v>0</v>
      </c>
      <c r="N637" s="348">
        <f>IFERROR(__xludf.DUMMYFUNCTION("""COMPUTED_VALUE"""),0.0)</f>
        <v>0</v>
      </c>
      <c r="O637" s="348">
        <f>IFERROR(__xludf.DUMMYFUNCTION("""COMPUTED_VALUE"""),0.0)</f>
        <v>0</v>
      </c>
      <c r="P637" s="348">
        <f>IFERROR(__xludf.DUMMYFUNCTION("""COMPUTED_VALUE"""),0.0)</f>
        <v>0</v>
      </c>
      <c r="Q637" s="348">
        <f>IFERROR(__xludf.DUMMYFUNCTION("""COMPUTED_VALUE"""),0.0)</f>
        <v>0</v>
      </c>
      <c r="R637" s="355" t="str">
        <f>IFERROR(__xludf.DUMMYFUNCTION("""COMPUTED_VALUE""")," Cash Proyek ")</f>
        <v>Cash Proyek</v>
      </c>
      <c r="S637" s="350"/>
      <c r="T637" s="262"/>
      <c r="U637" s="351"/>
      <c r="V637" s="262"/>
      <c r="W637" s="262"/>
      <c r="X637" s="262"/>
      <c r="Y637" s="262"/>
      <c r="Z637" s="262"/>
      <c r="AA637" s="262"/>
      <c r="AB637" s="262"/>
      <c r="AC637" s="262"/>
      <c r="AD637" s="262"/>
      <c r="AE637" s="262"/>
      <c r="AF637" s="262"/>
      <c r="AG637" s="264"/>
      <c r="AH637" s="264"/>
      <c r="AI637" s="264"/>
      <c r="AJ637" s="264"/>
      <c r="AK637" s="264"/>
      <c r="AL637" s="264"/>
      <c r="AM637" s="264"/>
      <c r="AN637" s="264"/>
    </row>
    <row r="638" ht="15.75" customHeight="1">
      <c r="A638" s="262"/>
      <c r="B638" s="338">
        <f>IFERROR(__xludf.DUMMYFUNCTION("""COMPUTED_VALUE"""),1119.0)</f>
        <v>1119</v>
      </c>
      <c r="C638" s="354"/>
      <c r="D638" s="340" t="str">
        <f>IFERROR(__xludf.DUMMYFUNCTION("""COMPUTED_VALUE"""),"")</f>
        <v/>
      </c>
      <c r="E638" s="341">
        <f>IFERROR(__xludf.DUMMYFUNCTION("""COMPUTED_VALUE"""),0.0)</f>
        <v>0</v>
      </c>
      <c r="F638" s="352"/>
      <c r="G638" s="343"/>
      <c r="H638" s="344">
        <f>IFERROR(__xludf.DUMMYFUNCTION("""COMPUTED_VALUE"""),0.0)</f>
        <v>0</v>
      </c>
      <c r="I638" s="353"/>
      <c r="J638" s="353"/>
      <c r="K638" s="346">
        <f>IFERROR(__xludf.DUMMYFUNCTION("""COMPUTED_VALUE"""),0.0)</f>
        <v>0</v>
      </c>
      <c r="L638" s="347">
        <f>IFERROR(__xludf.DUMMYFUNCTION("""COMPUTED_VALUE"""),0.0)</f>
        <v>0</v>
      </c>
      <c r="M638" s="348">
        <f>IFERROR(__xludf.DUMMYFUNCTION("""COMPUTED_VALUE"""),0.0)</f>
        <v>0</v>
      </c>
      <c r="N638" s="348">
        <f>IFERROR(__xludf.DUMMYFUNCTION("""COMPUTED_VALUE"""),0.0)</f>
        <v>0</v>
      </c>
      <c r="O638" s="348">
        <f>IFERROR(__xludf.DUMMYFUNCTION("""COMPUTED_VALUE"""),0.0)</f>
        <v>0</v>
      </c>
      <c r="P638" s="348">
        <f>IFERROR(__xludf.DUMMYFUNCTION("""COMPUTED_VALUE"""),0.0)</f>
        <v>0</v>
      </c>
      <c r="Q638" s="348">
        <f>IFERROR(__xludf.DUMMYFUNCTION("""COMPUTED_VALUE"""),0.0)</f>
        <v>0</v>
      </c>
      <c r="R638" s="355" t="str">
        <f>IFERROR(__xludf.DUMMYFUNCTION("""COMPUTED_VALUE""")," Cash Proyek ")</f>
        <v>Cash Proyek</v>
      </c>
      <c r="S638" s="350"/>
      <c r="T638" s="262"/>
      <c r="U638" s="351"/>
      <c r="V638" s="262"/>
      <c r="W638" s="262"/>
      <c r="X638" s="262"/>
      <c r="Y638" s="262"/>
      <c r="Z638" s="262"/>
      <c r="AA638" s="262"/>
      <c r="AB638" s="262"/>
      <c r="AC638" s="262"/>
      <c r="AD638" s="262"/>
      <c r="AE638" s="262"/>
      <c r="AF638" s="262"/>
      <c r="AG638" s="264"/>
      <c r="AH638" s="264"/>
      <c r="AI638" s="264"/>
      <c r="AJ638" s="264"/>
      <c r="AK638" s="264"/>
      <c r="AL638" s="264"/>
      <c r="AM638" s="264"/>
      <c r="AN638" s="264"/>
    </row>
    <row r="639" ht="15.75" customHeight="1">
      <c r="A639" s="262"/>
      <c r="B639" s="338">
        <f>IFERROR(__xludf.DUMMYFUNCTION("""COMPUTED_VALUE"""),1120.0)</f>
        <v>1120</v>
      </c>
      <c r="C639" s="354"/>
      <c r="D639" s="340" t="str">
        <f>IFERROR(__xludf.DUMMYFUNCTION("""COMPUTED_VALUE"""),"")</f>
        <v/>
      </c>
      <c r="E639" s="341">
        <f>IFERROR(__xludf.DUMMYFUNCTION("""COMPUTED_VALUE"""),0.0)</f>
        <v>0</v>
      </c>
      <c r="F639" s="352"/>
      <c r="G639" s="343"/>
      <c r="H639" s="344">
        <f>IFERROR(__xludf.DUMMYFUNCTION("""COMPUTED_VALUE"""),0.0)</f>
        <v>0</v>
      </c>
      <c r="I639" s="353"/>
      <c r="J639" s="353"/>
      <c r="K639" s="346">
        <f>IFERROR(__xludf.DUMMYFUNCTION("""COMPUTED_VALUE"""),0.0)</f>
        <v>0</v>
      </c>
      <c r="L639" s="347">
        <f>IFERROR(__xludf.DUMMYFUNCTION("""COMPUTED_VALUE"""),0.0)</f>
        <v>0</v>
      </c>
      <c r="M639" s="348">
        <f>IFERROR(__xludf.DUMMYFUNCTION("""COMPUTED_VALUE"""),0.0)</f>
        <v>0</v>
      </c>
      <c r="N639" s="348">
        <f>IFERROR(__xludf.DUMMYFUNCTION("""COMPUTED_VALUE"""),0.0)</f>
        <v>0</v>
      </c>
      <c r="O639" s="348">
        <f>IFERROR(__xludf.DUMMYFUNCTION("""COMPUTED_VALUE"""),0.0)</f>
        <v>0</v>
      </c>
      <c r="P639" s="348">
        <f>IFERROR(__xludf.DUMMYFUNCTION("""COMPUTED_VALUE"""),0.0)</f>
        <v>0</v>
      </c>
      <c r="Q639" s="348">
        <f>IFERROR(__xludf.DUMMYFUNCTION("""COMPUTED_VALUE"""),0.0)</f>
        <v>0</v>
      </c>
      <c r="R639" s="355" t="str">
        <f>IFERROR(__xludf.DUMMYFUNCTION("""COMPUTED_VALUE""")," Cash Proyek ")</f>
        <v>Cash Proyek</v>
      </c>
      <c r="S639" s="350"/>
      <c r="T639" s="262"/>
      <c r="U639" s="351"/>
      <c r="V639" s="262"/>
      <c r="W639" s="262"/>
      <c r="X639" s="262"/>
      <c r="Y639" s="262"/>
      <c r="Z639" s="262"/>
      <c r="AA639" s="262"/>
      <c r="AB639" s="262"/>
      <c r="AC639" s="262"/>
      <c r="AD639" s="262"/>
      <c r="AE639" s="262"/>
      <c r="AF639" s="262"/>
      <c r="AG639" s="264"/>
      <c r="AH639" s="264"/>
      <c r="AI639" s="264"/>
      <c r="AJ639" s="264"/>
      <c r="AK639" s="264"/>
      <c r="AL639" s="264"/>
      <c r="AM639" s="264"/>
      <c r="AN639" s="264"/>
    </row>
    <row r="640" ht="15.75" customHeight="1">
      <c r="A640" s="262"/>
      <c r="B640" s="338">
        <f>IFERROR(__xludf.DUMMYFUNCTION("""COMPUTED_VALUE"""),1121.0)</f>
        <v>1121</v>
      </c>
      <c r="C640" s="354"/>
      <c r="D640" s="340" t="str">
        <f>IFERROR(__xludf.DUMMYFUNCTION("""COMPUTED_VALUE"""),"")</f>
        <v/>
      </c>
      <c r="E640" s="341">
        <f>IFERROR(__xludf.DUMMYFUNCTION("""COMPUTED_VALUE"""),0.0)</f>
        <v>0</v>
      </c>
      <c r="F640" s="352"/>
      <c r="G640" s="343"/>
      <c r="H640" s="344">
        <f>IFERROR(__xludf.DUMMYFUNCTION("""COMPUTED_VALUE"""),0.0)</f>
        <v>0</v>
      </c>
      <c r="I640" s="353"/>
      <c r="J640" s="353"/>
      <c r="K640" s="346">
        <f>IFERROR(__xludf.DUMMYFUNCTION("""COMPUTED_VALUE"""),0.0)</f>
        <v>0</v>
      </c>
      <c r="L640" s="347">
        <f>IFERROR(__xludf.DUMMYFUNCTION("""COMPUTED_VALUE"""),0.0)</f>
        <v>0</v>
      </c>
      <c r="M640" s="348">
        <f>IFERROR(__xludf.DUMMYFUNCTION("""COMPUTED_VALUE"""),0.0)</f>
        <v>0</v>
      </c>
      <c r="N640" s="348">
        <f>IFERROR(__xludf.DUMMYFUNCTION("""COMPUTED_VALUE"""),0.0)</f>
        <v>0</v>
      </c>
      <c r="O640" s="348">
        <f>IFERROR(__xludf.DUMMYFUNCTION("""COMPUTED_VALUE"""),0.0)</f>
        <v>0</v>
      </c>
      <c r="P640" s="348">
        <f>IFERROR(__xludf.DUMMYFUNCTION("""COMPUTED_VALUE"""),0.0)</f>
        <v>0</v>
      </c>
      <c r="Q640" s="348">
        <f>IFERROR(__xludf.DUMMYFUNCTION("""COMPUTED_VALUE"""),0.0)</f>
        <v>0</v>
      </c>
      <c r="R640" s="355" t="str">
        <f>IFERROR(__xludf.DUMMYFUNCTION("""COMPUTED_VALUE""")," Cash Proyek ")</f>
        <v>Cash Proyek</v>
      </c>
      <c r="S640" s="350"/>
      <c r="T640" s="262"/>
      <c r="U640" s="351"/>
      <c r="V640" s="262"/>
      <c r="W640" s="262"/>
      <c r="X640" s="262"/>
      <c r="Y640" s="262"/>
      <c r="Z640" s="262"/>
      <c r="AA640" s="262"/>
      <c r="AB640" s="262"/>
      <c r="AC640" s="262"/>
      <c r="AD640" s="262"/>
      <c r="AE640" s="262"/>
      <c r="AF640" s="262"/>
      <c r="AG640" s="264"/>
      <c r="AH640" s="264"/>
      <c r="AI640" s="264"/>
      <c r="AJ640" s="264"/>
      <c r="AK640" s="264"/>
      <c r="AL640" s="264"/>
      <c r="AM640" s="264"/>
      <c r="AN640" s="264"/>
    </row>
    <row r="641" ht="15.75" customHeight="1">
      <c r="A641" s="262"/>
      <c r="B641" s="338">
        <f>IFERROR(__xludf.DUMMYFUNCTION("""COMPUTED_VALUE"""),1122.0)</f>
        <v>1122</v>
      </c>
      <c r="C641" s="354"/>
      <c r="D641" s="340" t="str">
        <f>IFERROR(__xludf.DUMMYFUNCTION("""COMPUTED_VALUE"""),"")</f>
        <v/>
      </c>
      <c r="E641" s="341">
        <f>IFERROR(__xludf.DUMMYFUNCTION("""COMPUTED_VALUE"""),0.0)</f>
        <v>0</v>
      </c>
      <c r="F641" s="352"/>
      <c r="G641" s="343"/>
      <c r="H641" s="344">
        <f>IFERROR(__xludf.DUMMYFUNCTION("""COMPUTED_VALUE"""),0.0)</f>
        <v>0</v>
      </c>
      <c r="I641" s="353"/>
      <c r="J641" s="353"/>
      <c r="K641" s="346">
        <f>IFERROR(__xludf.DUMMYFUNCTION("""COMPUTED_VALUE"""),0.0)</f>
        <v>0</v>
      </c>
      <c r="L641" s="347">
        <f>IFERROR(__xludf.DUMMYFUNCTION("""COMPUTED_VALUE"""),0.0)</f>
        <v>0</v>
      </c>
      <c r="M641" s="348">
        <f>IFERROR(__xludf.DUMMYFUNCTION("""COMPUTED_VALUE"""),0.0)</f>
        <v>0</v>
      </c>
      <c r="N641" s="348">
        <f>IFERROR(__xludf.DUMMYFUNCTION("""COMPUTED_VALUE"""),0.0)</f>
        <v>0</v>
      </c>
      <c r="O641" s="348">
        <f>IFERROR(__xludf.DUMMYFUNCTION("""COMPUTED_VALUE"""),0.0)</f>
        <v>0</v>
      </c>
      <c r="P641" s="348">
        <f>IFERROR(__xludf.DUMMYFUNCTION("""COMPUTED_VALUE"""),0.0)</f>
        <v>0</v>
      </c>
      <c r="Q641" s="348">
        <f>IFERROR(__xludf.DUMMYFUNCTION("""COMPUTED_VALUE"""),0.0)</f>
        <v>0</v>
      </c>
      <c r="R641" s="355" t="str">
        <f>IFERROR(__xludf.DUMMYFUNCTION("""COMPUTED_VALUE""")," Cash Proyek ")</f>
        <v>Cash Proyek</v>
      </c>
      <c r="S641" s="350"/>
      <c r="T641" s="262"/>
      <c r="U641" s="351"/>
      <c r="V641" s="262"/>
      <c r="W641" s="262"/>
      <c r="X641" s="262"/>
      <c r="Y641" s="262"/>
      <c r="Z641" s="262"/>
      <c r="AA641" s="262"/>
      <c r="AB641" s="262"/>
      <c r="AC641" s="262"/>
      <c r="AD641" s="262"/>
      <c r="AE641" s="262"/>
      <c r="AF641" s="262"/>
      <c r="AG641" s="264"/>
      <c r="AH641" s="264"/>
      <c r="AI641" s="264"/>
      <c r="AJ641" s="264"/>
      <c r="AK641" s="264"/>
      <c r="AL641" s="264"/>
      <c r="AM641" s="264"/>
      <c r="AN641" s="264"/>
    </row>
    <row r="642" ht="15.75" customHeight="1">
      <c r="A642" s="262"/>
      <c r="B642" s="338">
        <f>IFERROR(__xludf.DUMMYFUNCTION("""COMPUTED_VALUE"""),1123.0)</f>
        <v>1123</v>
      </c>
      <c r="C642" s="354"/>
      <c r="D642" s="340" t="str">
        <f>IFERROR(__xludf.DUMMYFUNCTION("""COMPUTED_VALUE"""),"")</f>
        <v/>
      </c>
      <c r="E642" s="341">
        <f>IFERROR(__xludf.DUMMYFUNCTION("""COMPUTED_VALUE"""),0.0)</f>
        <v>0</v>
      </c>
      <c r="F642" s="352"/>
      <c r="G642" s="343"/>
      <c r="H642" s="344">
        <f>IFERROR(__xludf.DUMMYFUNCTION("""COMPUTED_VALUE"""),0.0)</f>
        <v>0</v>
      </c>
      <c r="I642" s="353"/>
      <c r="J642" s="353"/>
      <c r="K642" s="346">
        <f>IFERROR(__xludf.DUMMYFUNCTION("""COMPUTED_VALUE"""),0.0)</f>
        <v>0</v>
      </c>
      <c r="L642" s="347">
        <f>IFERROR(__xludf.DUMMYFUNCTION("""COMPUTED_VALUE"""),0.0)</f>
        <v>0</v>
      </c>
      <c r="M642" s="348">
        <f>IFERROR(__xludf.DUMMYFUNCTION("""COMPUTED_VALUE"""),0.0)</f>
        <v>0</v>
      </c>
      <c r="N642" s="348">
        <f>IFERROR(__xludf.DUMMYFUNCTION("""COMPUTED_VALUE"""),0.0)</f>
        <v>0</v>
      </c>
      <c r="O642" s="348">
        <f>IFERROR(__xludf.DUMMYFUNCTION("""COMPUTED_VALUE"""),0.0)</f>
        <v>0</v>
      </c>
      <c r="P642" s="348">
        <f>IFERROR(__xludf.DUMMYFUNCTION("""COMPUTED_VALUE"""),0.0)</f>
        <v>0</v>
      </c>
      <c r="Q642" s="348">
        <f>IFERROR(__xludf.DUMMYFUNCTION("""COMPUTED_VALUE"""),0.0)</f>
        <v>0</v>
      </c>
      <c r="R642" s="355" t="str">
        <f>IFERROR(__xludf.DUMMYFUNCTION("""COMPUTED_VALUE""")," Cash Proyek ")</f>
        <v>Cash Proyek</v>
      </c>
      <c r="S642" s="350"/>
      <c r="T642" s="262"/>
      <c r="U642" s="351"/>
      <c r="V642" s="262"/>
      <c r="W642" s="262"/>
      <c r="X642" s="262"/>
      <c r="Y642" s="262"/>
      <c r="Z642" s="262"/>
      <c r="AA642" s="262"/>
      <c r="AB642" s="262"/>
      <c r="AC642" s="262"/>
      <c r="AD642" s="262"/>
      <c r="AE642" s="262"/>
      <c r="AF642" s="262"/>
      <c r="AG642" s="264"/>
      <c r="AH642" s="264"/>
      <c r="AI642" s="264"/>
      <c r="AJ642" s="264"/>
      <c r="AK642" s="264"/>
      <c r="AL642" s="264"/>
      <c r="AM642" s="264"/>
      <c r="AN642" s="264"/>
    </row>
    <row r="643" ht="15.75" customHeight="1">
      <c r="A643" s="262"/>
      <c r="B643" s="338">
        <f>IFERROR(__xludf.DUMMYFUNCTION("""COMPUTED_VALUE"""),1124.0)</f>
        <v>1124</v>
      </c>
      <c r="C643" s="354"/>
      <c r="D643" s="340" t="str">
        <f>IFERROR(__xludf.DUMMYFUNCTION("""COMPUTED_VALUE"""),"")</f>
        <v/>
      </c>
      <c r="E643" s="341">
        <f>IFERROR(__xludf.DUMMYFUNCTION("""COMPUTED_VALUE"""),0.0)</f>
        <v>0</v>
      </c>
      <c r="F643" s="352"/>
      <c r="G643" s="343"/>
      <c r="H643" s="344">
        <f>IFERROR(__xludf.DUMMYFUNCTION("""COMPUTED_VALUE"""),0.0)</f>
        <v>0</v>
      </c>
      <c r="I643" s="353"/>
      <c r="J643" s="353"/>
      <c r="K643" s="346">
        <f>IFERROR(__xludf.DUMMYFUNCTION("""COMPUTED_VALUE"""),0.0)</f>
        <v>0</v>
      </c>
      <c r="L643" s="347">
        <f>IFERROR(__xludf.DUMMYFUNCTION("""COMPUTED_VALUE"""),0.0)</f>
        <v>0</v>
      </c>
      <c r="M643" s="348">
        <f>IFERROR(__xludf.DUMMYFUNCTION("""COMPUTED_VALUE"""),0.0)</f>
        <v>0</v>
      </c>
      <c r="N643" s="348">
        <f>IFERROR(__xludf.DUMMYFUNCTION("""COMPUTED_VALUE"""),0.0)</f>
        <v>0</v>
      </c>
      <c r="O643" s="348">
        <f>IFERROR(__xludf.DUMMYFUNCTION("""COMPUTED_VALUE"""),0.0)</f>
        <v>0</v>
      </c>
      <c r="P643" s="348">
        <f>IFERROR(__xludf.DUMMYFUNCTION("""COMPUTED_VALUE"""),0.0)</f>
        <v>0</v>
      </c>
      <c r="Q643" s="348">
        <f>IFERROR(__xludf.DUMMYFUNCTION("""COMPUTED_VALUE"""),0.0)</f>
        <v>0</v>
      </c>
      <c r="R643" s="355" t="str">
        <f>IFERROR(__xludf.DUMMYFUNCTION("""COMPUTED_VALUE""")," Cash Proyek ")</f>
        <v>Cash Proyek</v>
      </c>
      <c r="S643" s="350"/>
      <c r="T643" s="262"/>
      <c r="U643" s="351"/>
      <c r="V643" s="262"/>
      <c r="W643" s="262"/>
      <c r="X643" s="262"/>
      <c r="Y643" s="262"/>
      <c r="Z643" s="262"/>
      <c r="AA643" s="262"/>
      <c r="AB643" s="262"/>
      <c r="AC643" s="262"/>
      <c r="AD643" s="262"/>
      <c r="AE643" s="262"/>
      <c r="AF643" s="262"/>
      <c r="AG643" s="264"/>
      <c r="AH643" s="264"/>
      <c r="AI643" s="264"/>
      <c r="AJ643" s="264"/>
      <c r="AK643" s="264"/>
      <c r="AL643" s="264"/>
      <c r="AM643" s="264"/>
      <c r="AN643" s="264"/>
    </row>
    <row r="644" ht="15.75" customHeight="1">
      <c r="A644" s="262"/>
      <c r="B644" s="338">
        <f>IFERROR(__xludf.DUMMYFUNCTION("""COMPUTED_VALUE"""),1125.0)</f>
        <v>1125</v>
      </c>
      <c r="C644" s="354"/>
      <c r="D644" s="340" t="str">
        <f>IFERROR(__xludf.DUMMYFUNCTION("""COMPUTED_VALUE"""),"")</f>
        <v/>
      </c>
      <c r="E644" s="341">
        <f>IFERROR(__xludf.DUMMYFUNCTION("""COMPUTED_VALUE"""),0.0)</f>
        <v>0</v>
      </c>
      <c r="F644" s="352"/>
      <c r="G644" s="343"/>
      <c r="H644" s="344">
        <f>IFERROR(__xludf.DUMMYFUNCTION("""COMPUTED_VALUE"""),0.0)</f>
        <v>0</v>
      </c>
      <c r="I644" s="353"/>
      <c r="J644" s="353"/>
      <c r="K644" s="346">
        <f>IFERROR(__xludf.DUMMYFUNCTION("""COMPUTED_VALUE"""),0.0)</f>
        <v>0</v>
      </c>
      <c r="L644" s="347">
        <f>IFERROR(__xludf.DUMMYFUNCTION("""COMPUTED_VALUE"""),0.0)</f>
        <v>0</v>
      </c>
      <c r="M644" s="348">
        <f>IFERROR(__xludf.DUMMYFUNCTION("""COMPUTED_VALUE"""),0.0)</f>
        <v>0</v>
      </c>
      <c r="N644" s="348">
        <f>IFERROR(__xludf.DUMMYFUNCTION("""COMPUTED_VALUE"""),0.0)</f>
        <v>0</v>
      </c>
      <c r="O644" s="348">
        <f>IFERROR(__xludf.DUMMYFUNCTION("""COMPUTED_VALUE"""),0.0)</f>
        <v>0</v>
      </c>
      <c r="P644" s="348">
        <f>IFERROR(__xludf.DUMMYFUNCTION("""COMPUTED_VALUE"""),0.0)</f>
        <v>0</v>
      </c>
      <c r="Q644" s="348">
        <f>IFERROR(__xludf.DUMMYFUNCTION("""COMPUTED_VALUE"""),0.0)</f>
        <v>0</v>
      </c>
      <c r="R644" s="355" t="str">
        <f>IFERROR(__xludf.DUMMYFUNCTION("""COMPUTED_VALUE""")," Cash Proyek ")</f>
        <v>Cash Proyek</v>
      </c>
      <c r="S644" s="350"/>
      <c r="T644" s="262"/>
      <c r="U644" s="351"/>
      <c r="V644" s="262"/>
      <c r="W644" s="262"/>
      <c r="X644" s="262"/>
      <c r="Y644" s="262"/>
      <c r="Z644" s="262"/>
      <c r="AA644" s="262"/>
      <c r="AB644" s="262"/>
      <c r="AC644" s="262"/>
      <c r="AD644" s="262"/>
      <c r="AE644" s="262"/>
      <c r="AF644" s="262"/>
      <c r="AG644" s="264"/>
      <c r="AH644" s="264"/>
      <c r="AI644" s="264"/>
      <c r="AJ644" s="264"/>
      <c r="AK644" s="264"/>
      <c r="AL644" s="264"/>
      <c r="AM644" s="264"/>
      <c r="AN644" s="264"/>
    </row>
    <row r="645" ht="15.75" customHeight="1">
      <c r="A645" s="262"/>
      <c r="B645" s="338">
        <f>IFERROR(__xludf.DUMMYFUNCTION("""COMPUTED_VALUE"""),1126.0)</f>
        <v>1126</v>
      </c>
      <c r="C645" s="354"/>
      <c r="D645" s="340" t="str">
        <f>IFERROR(__xludf.DUMMYFUNCTION("""COMPUTED_VALUE"""),"")</f>
        <v/>
      </c>
      <c r="E645" s="341">
        <f>IFERROR(__xludf.DUMMYFUNCTION("""COMPUTED_VALUE"""),0.0)</f>
        <v>0</v>
      </c>
      <c r="F645" s="352"/>
      <c r="G645" s="343"/>
      <c r="H645" s="344">
        <f>IFERROR(__xludf.DUMMYFUNCTION("""COMPUTED_VALUE"""),0.0)</f>
        <v>0</v>
      </c>
      <c r="I645" s="353"/>
      <c r="J645" s="353"/>
      <c r="K645" s="346">
        <f>IFERROR(__xludf.DUMMYFUNCTION("""COMPUTED_VALUE"""),0.0)</f>
        <v>0</v>
      </c>
      <c r="L645" s="347">
        <f>IFERROR(__xludf.DUMMYFUNCTION("""COMPUTED_VALUE"""),0.0)</f>
        <v>0</v>
      </c>
      <c r="M645" s="348">
        <f>IFERROR(__xludf.DUMMYFUNCTION("""COMPUTED_VALUE"""),0.0)</f>
        <v>0</v>
      </c>
      <c r="N645" s="348">
        <f>IFERROR(__xludf.DUMMYFUNCTION("""COMPUTED_VALUE"""),0.0)</f>
        <v>0</v>
      </c>
      <c r="O645" s="348">
        <f>IFERROR(__xludf.DUMMYFUNCTION("""COMPUTED_VALUE"""),0.0)</f>
        <v>0</v>
      </c>
      <c r="P645" s="348">
        <f>IFERROR(__xludf.DUMMYFUNCTION("""COMPUTED_VALUE"""),0.0)</f>
        <v>0</v>
      </c>
      <c r="Q645" s="348">
        <f>IFERROR(__xludf.DUMMYFUNCTION("""COMPUTED_VALUE"""),0.0)</f>
        <v>0</v>
      </c>
      <c r="R645" s="355" t="str">
        <f>IFERROR(__xludf.DUMMYFUNCTION("""COMPUTED_VALUE""")," Cash Proyek ")</f>
        <v>Cash Proyek</v>
      </c>
      <c r="S645" s="350"/>
      <c r="T645" s="262"/>
      <c r="U645" s="351"/>
      <c r="V645" s="262"/>
      <c r="W645" s="262"/>
      <c r="X645" s="262"/>
      <c r="Y645" s="262"/>
      <c r="Z645" s="262"/>
      <c r="AA645" s="262"/>
      <c r="AB645" s="262"/>
      <c r="AC645" s="262"/>
      <c r="AD645" s="262"/>
      <c r="AE645" s="262"/>
      <c r="AF645" s="262"/>
      <c r="AG645" s="264"/>
      <c r="AH645" s="264"/>
      <c r="AI645" s="264"/>
      <c r="AJ645" s="264"/>
      <c r="AK645" s="264"/>
      <c r="AL645" s="264"/>
      <c r="AM645" s="264"/>
      <c r="AN645" s="264"/>
    </row>
    <row r="646" ht="15.75" customHeight="1">
      <c r="A646" s="262"/>
      <c r="B646" s="338">
        <f>IFERROR(__xludf.DUMMYFUNCTION("""COMPUTED_VALUE"""),1127.0)</f>
        <v>1127</v>
      </c>
      <c r="C646" s="354"/>
      <c r="D646" s="340" t="str">
        <f>IFERROR(__xludf.DUMMYFUNCTION("""COMPUTED_VALUE"""),"")</f>
        <v/>
      </c>
      <c r="E646" s="341">
        <f>IFERROR(__xludf.DUMMYFUNCTION("""COMPUTED_VALUE"""),0.0)</f>
        <v>0</v>
      </c>
      <c r="F646" s="352"/>
      <c r="G646" s="343"/>
      <c r="H646" s="344">
        <f>IFERROR(__xludf.DUMMYFUNCTION("""COMPUTED_VALUE"""),0.0)</f>
        <v>0</v>
      </c>
      <c r="I646" s="353"/>
      <c r="J646" s="353"/>
      <c r="K646" s="346">
        <f>IFERROR(__xludf.DUMMYFUNCTION("""COMPUTED_VALUE"""),0.0)</f>
        <v>0</v>
      </c>
      <c r="L646" s="347">
        <f>IFERROR(__xludf.DUMMYFUNCTION("""COMPUTED_VALUE"""),0.0)</f>
        <v>0</v>
      </c>
      <c r="M646" s="348">
        <f>IFERROR(__xludf.DUMMYFUNCTION("""COMPUTED_VALUE"""),0.0)</f>
        <v>0</v>
      </c>
      <c r="N646" s="348">
        <f>IFERROR(__xludf.DUMMYFUNCTION("""COMPUTED_VALUE"""),0.0)</f>
        <v>0</v>
      </c>
      <c r="O646" s="348">
        <f>IFERROR(__xludf.DUMMYFUNCTION("""COMPUTED_VALUE"""),0.0)</f>
        <v>0</v>
      </c>
      <c r="P646" s="348">
        <f>IFERROR(__xludf.DUMMYFUNCTION("""COMPUTED_VALUE"""),0.0)</f>
        <v>0</v>
      </c>
      <c r="Q646" s="348">
        <f>IFERROR(__xludf.DUMMYFUNCTION("""COMPUTED_VALUE"""),0.0)</f>
        <v>0</v>
      </c>
      <c r="R646" s="355" t="str">
        <f>IFERROR(__xludf.DUMMYFUNCTION("""COMPUTED_VALUE""")," Cash Proyek ")</f>
        <v>Cash Proyek</v>
      </c>
      <c r="S646" s="350"/>
      <c r="T646" s="262"/>
      <c r="U646" s="351"/>
      <c r="V646" s="262"/>
      <c r="W646" s="262"/>
      <c r="X646" s="262"/>
      <c r="Y646" s="262"/>
      <c r="Z646" s="262"/>
      <c r="AA646" s="262"/>
      <c r="AB646" s="262"/>
      <c r="AC646" s="262"/>
      <c r="AD646" s="262"/>
      <c r="AE646" s="262"/>
      <c r="AF646" s="262"/>
      <c r="AG646" s="264"/>
      <c r="AH646" s="264"/>
      <c r="AI646" s="264"/>
      <c r="AJ646" s="264"/>
      <c r="AK646" s="264"/>
      <c r="AL646" s="264"/>
      <c r="AM646" s="264"/>
      <c r="AN646" s="264"/>
    </row>
    <row r="647" ht="15.75" customHeight="1">
      <c r="A647" s="262"/>
      <c r="B647" s="338">
        <f>IFERROR(__xludf.DUMMYFUNCTION("""COMPUTED_VALUE"""),1128.0)</f>
        <v>1128</v>
      </c>
      <c r="C647" s="354"/>
      <c r="D647" s="340" t="str">
        <f>IFERROR(__xludf.DUMMYFUNCTION("""COMPUTED_VALUE"""),"")</f>
        <v/>
      </c>
      <c r="E647" s="341">
        <f>IFERROR(__xludf.DUMMYFUNCTION("""COMPUTED_VALUE"""),0.0)</f>
        <v>0</v>
      </c>
      <c r="F647" s="352"/>
      <c r="G647" s="343"/>
      <c r="H647" s="344">
        <f>IFERROR(__xludf.DUMMYFUNCTION("""COMPUTED_VALUE"""),0.0)</f>
        <v>0</v>
      </c>
      <c r="I647" s="353"/>
      <c r="J647" s="353"/>
      <c r="K647" s="346">
        <f>IFERROR(__xludf.DUMMYFUNCTION("""COMPUTED_VALUE"""),0.0)</f>
        <v>0</v>
      </c>
      <c r="L647" s="347">
        <f>IFERROR(__xludf.DUMMYFUNCTION("""COMPUTED_VALUE"""),0.0)</f>
        <v>0</v>
      </c>
      <c r="M647" s="348">
        <f>IFERROR(__xludf.DUMMYFUNCTION("""COMPUTED_VALUE"""),0.0)</f>
        <v>0</v>
      </c>
      <c r="N647" s="348">
        <f>IFERROR(__xludf.DUMMYFUNCTION("""COMPUTED_VALUE"""),0.0)</f>
        <v>0</v>
      </c>
      <c r="O647" s="348">
        <f>IFERROR(__xludf.DUMMYFUNCTION("""COMPUTED_VALUE"""),0.0)</f>
        <v>0</v>
      </c>
      <c r="P647" s="348">
        <f>IFERROR(__xludf.DUMMYFUNCTION("""COMPUTED_VALUE"""),0.0)</f>
        <v>0</v>
      </c>
      <c r="Q647" s="348">
        <f>IFERROR(__xludf.DUMMYFUNCTION("""COMPUTED_VALUE"""),0.0)</f>
        <v>0</v>
      </c>
      <c r="R647" s="355" t="str">
        <f>IFERROR(__xludf.DUMMYFUNCTION("""COMPUTED_VALUE""")," Cash Proyek ")</f>
        <v>Cash Proyek</v>
      </c>
      <c r="S647" s="350"/>
      <c r="T647" s="262"/>
      <c r="U647" s="351"/>
      <c r="V647" s="262"/>
      <c r="W647" s="262"/>
      <c r="X647" s="262"/>
      <c r="Y647" s="262"/>
      <c r="Z647" s="262"/>
      <c r="AA647" s="262"/>
      <c r="AB647" s="262"/>
      <c r="AC647" s="262"/>
      <c r="AD647" s="262"/>
      <c r="AE647" s="262"/>
      <c r="AF647" s="262"/>
      <c r="AG647" s="264"/>
      <c r="AH647" s="264"/>
      <c r="AI647" s="264"/>
      <c r="AJ647" s="264"/>
      <c r="AK647" s="264"/>
      <c r="AL647" s="264"/>
      <c r="AM647" s="264"/>
      <c r="AN647" s="264"/>
    </row>
    <row r="648" ht="15.75" customHeight="1">
      <c r="A648" s="262"/>
      <c r="B648" s="338">
        <f>IFERROR(__xludf.DUMMYFUNCTION("""COMPUTED_VALUE"""),1129.0)</f>
        <v>1129</v>
      </c>
      <c r="C648" s="354"/>
      <c r="D648" s="340" t="str">
        <f>IFERROR(__xludf.DUMMYFUNCTION("""COMPUTED_VALUE"""),"")</f>
        <v/>
      </c>
      <c r="E648" s="341">
        <f>IFERROR(__xludf.DUMMYFUNCTION("""COMPUTED_VALUE"""),0.0)</f>
        <v>0</v>
      </c>
      <c r="F648" s="352"/>
      <c r="G648" s="343"/>
      <c r="H648" s="344">
        <f>IFERROR(__xludf.DUMMYFUNCTION("""COMPUTED_VALUE"""),0.0)</f>
        <v>0</v>
      </c>
      <c r="I648" s="353"/>
      <c r="J648" s="353"/>
      <c r="K648" s="346">
        <f>IFERROR(__xludf.DUMMYFUNCTION("""COMPUTED_VALUE"""),0.0)</f>
        <v>0</v>
      </c>
      <c r="L648" s="347">
        <f>IFERROR(__xludf.DUMMYFUNCTION("""COMPUTED_VALUE"""),0.0)</f>
        <v>0</v>
      </c>
      <c r="M648" s="348">
        <f>IFERROR(__xludf.DUMMYFUNCTION("""COMPUTED_VALUE"""),0.0)</f>
        <v>0</v>
      </c>
      <c r="N648" s="348">
        <f>IFERROR(__xludf.DUMMYFUNCTION("""COMPUTED_VALUE"""),0.0)</f>
        <v>0</v>
      </c>
      <c r="O648" s="348">
        <f>IFERROR(__xludf.DUMMYFUNCTION("""COMPUTED_VALUE"""),0.0)</f>
        <v>0</v>
      </c>
      <c r="P648" s="348">
        <f>IFERROR(__xludf.DUMMYFUNCTION("""COMPUTED_VALUE"""),0.0)</f>
        <v>0</v>
      </c>
      <c r="Q648" s="348">
        <f>IFERROR(__xludf.DUMMYFUNCTION("""COMPUTED_VALUE"""),0.0)</f>
        <v>0</v>
      </c>
      <c r="R648" s="355" t="str">
        <f>IFERROR(__xludf.DUMMYFUNCTION("""COMPUTED_VALUE""")," Cash Proyek ")</f>
        <v>Cash Proyek</v>
      </c>
      <c r="S648" s="350"/>
      <c r="T648" s="262"/>
      <c r="U648" s="351"/>
      <c r="V648" s="262"/>
      <c r="W648" s="262"/>
      <c r="X648" s="262"/>
      <c r="Y648" s="262"/>
      <c r="Z648" s="262"/>
      <c r="AA648" s="262"/>
      <c r="AB648" s="262"/>
      <c r="AC648" s="262"/>
      <c r="AD648" s="262"/>
      <c r="AE648" s="262"/>
      <c r="AF648" s="262"/>
      <c r="AG648" s="264"/>
      <c r="AH648" s="264"/>
      <c r="AI648" s="264"/>
      <c r="AJ648" s="264"/>
      <c r="AK648" s="264"/>
      <c r="AL648" s="264"/>
      <c r="AM648" s="264"/>
      <c r="AN648" s="264"/>
    </row>
    <row r="649" ht="15.75" customHeight="1">
      <c r="A649" s="262"/>
      <c r="B649" s="338">
        <f>IFERROR(__xludf.DUMMYFUNCTION("""COMPUTED_VALUE"""),1130.0)</f>
        <v>1130</v>
      </c>
      <c r="C649" s="354"/>
      <c r="D649" s="340" t="str">
        <f>IFERROR(__xludf.DUMMYFUNCTION("""COMPUTED_VALUE"""),"")</f>
        <v/>
      </c>
      <c r="E649" s="341">
        <f>IFERROR(__xludf.DUMMYFUNCTION("""COMPUTED_VALUE"""),0.0)</f>
        <v>0</v>
      </c>
      <c r="F649" s="352"/>
      <c r="G649" s="343"/>
      <c r="H649" s="344">
        <f>IFERROR(__xludf.DUMMYFUNCTION("""COMPUTED_VALUE"""),0.0)</f>
        <v>0</v>
      </c>
      <c r="I649" s="353"/>
      <c r="J649" s="353"/>
      <c r="K649" s="346">
        <f>IFERROR(__xludf.DUMMYFUNCTION("""COMPUTED_VALUE"""),0.0)</f>
        <v>0</v>
      </c>
      <c r="L649" s="347">
        <f>IFERROR(__xludf.DUMMYFUNCTION("""COMPUTED_VALUE"""),0.0)</f>
        <v>0</v>
      </c>
      <c r="M649" s="348">
        <f>IFERROR(__xludf.DUMMYFUNCTION("""COMPUTED_VALUE"""),0.0)</f>
        <v>0</v>
      </c>
      <c r="N649" s="348">
        <f>IFERROR(__xludf.DUMMYFUNCTION("""COMPUTED_VALUE"""),0.0)</f>
        <v>0</v>
      </c>
      <c r="O649" s="348">
        <f>IFERROR(__xludf.DUMMYFUNCTION("""COMPUTED_VALUE"""),0.0)</f>
        <v>0</v>
      </c>
      <c r="P649" s="348">
        <f>IFERROR(__xludf.DUMMYFUNCTION("""COMPUTED_VALUE"""),0.0)</f>
        <v>0</v>
      </c>
      <c r="Q649" s="348">
        <f>IFERROR(__xludf.DUMMYFUNCTION("""COMPUTED_VALUE"""),0.0)</f>
        <v>0</v>
      </c>
      <c r="R649" s="355" t="str">
        <f>IFERROR(__xludf.DUMMYFUNCTION("""COMPUTED_VALUE""")," Cash Proyek ")</f>
        <v>Cash Proyek</v>
      </c>
      <c r="S649" s="350"/>
      <c r="T649" s="262"/>
      <c r="U649" s="351"/>
      <c r="V649" s="262"/>
      <c r="W649" s="262"/>
      <c r="X649" s="262"/>
      <c r="Y649" s="262"/>
      <c r="Z649" s="262"/>
      <c r="AA649" s="262"/>
      <c r="AB649" s="262"/>
      <c r="AC649" s="262"/>
      <c r="AD649" s="262"/>
      <c r="AE649" s="262"/>
      <c r="AF649" s="262"/>
      <c r="AG649" s="264"/>
      <c r="AH649" s="264"/>
      <c r="AI649" s="264"/>
      <c r="AJ649" s="264"/>
      <c r="AK649" s="264"/>
      <c r="AL649" s="264"/>
      <c r="AM649" s="264"/>
      <c r="AN649" s="264"/>
    </row>
    <row r="650" ht="15.75" customHeight="1">
      <c r="A650" s="262"/>
      <c r="B650" s="338">
        <f>IFERROR(__xludf.DUMMYFUNCTION("""COMPUTED_VALUE"""),1131.0)</f>
        <v>1131</v>
      </c>
      <c r="C650" s="354"/>
      <c r="D650" s="340" t="str">
        <f>IFERROR(__xludf.DUMMYFUNCTION("""COMPUTED_VALUE"""),"")</f>
        <v/>
      </c>
      <c r="E650" s="341">
        <f>IFERROR(__xludf.DUMMYFUNCTION("""COMPUTED_VALUE"""),0.0)</f>
        <v>0</v>
      </c>
      <c r="F650" s="352"/>
      <c r="G650" s="343"/>
      <c r="H650" s="344">
        <f>IFERROR(__xludf.DUMMYFUNCTION("""COMPUTED_VALUE"""),0.0)</f>
        <v>0</v>
      </c>
      <c r="I650" s="353"/>
      <c r="J650" s="353"/>
      <c r="K650" s="346">
        <f>IFERROR(__xludf.DUMMYFUNCTION("""COMPUTED_VALUE"""),0.0)</f>
        <v>0</v>
      </c>
      <c r="L650" s="347">
        <f>IFERROR(__xludf.DUMMYFUNCTION("""COMPUTED_VALUE"""),0.0)</f>
        <v>0</v>
      </c>
      <c r="M650" s="348">
        <f>IFERROR(__xludf.DUMMYFUNCTION("""COMPUTED_VALUE"""),0.0)</f>
        <v>0</v>
      </c>
      <c r="N650" s="348">
        <f>IFERROR(__xludf.DUMMYFUNCTION("""COMPUTED_VALUE"""),0.0)</f>
        <v>0</v>
      </c>
      <c r="O650" s="348">
        <f>IFERROR(__xludf.DUMMYFUNCTION("""COMPUTED_VALUE"""),0.0)</f>
        <v>0</v>
      </c>
      <c r="P650" s="348">
        <f>IFERROR(__xludf.DUMMYFUNCTION("""COMPUTED_VALUE"""),0.0)</f>
        <v>0</v>
      </c>
      <c r="Q650" s="348">
        <f>IFERROR(__xludf.DUMMYFUNCTION("""COMPUTED_VALUE"""),0.0)</f>
        <v>0</v>
      </c>
      <c r="R650" s="355" t="str">
        <f>IFERROR(__xludf.DUMMYFUNCTION("""COMPUTED_VALUE""")," Cash Proyek ")</f>
        <v>Cash Proyek</v>
      </c>
      <c r="S650" s="350"/>
      <c r="T650" s="262"/>
      <c r="U650" s="351"/>
      <c r="V650" s="262"/>
      <c r="W650" s="262"/>
      <c r="X650" s="262"/>
      <c r="Y650" s="262"/>
      <c r="Z650" s="262"/>
      <c r="AA650" s="262"/>
      <c r="AB650" s="262"/>
      <c r="AC650" s="262"/>
      <c r="AD650" s="262"/>
      <c r="AE650" s="262"/>
      <c r="AF650" s="262"/>
      <c r="AG650" s="264"/>
      <c r="AH650" s="264"/>
      <c r="AI650" s="264"/>
      <c r="AJ650" s="264"/>
      <c r="AK650" s="264"/>
      <c r="AL650" s="264"/>
      <c r="AM650" s="264"/>
      <c r="AN650" s="264"/>
    </row>
    <row r="651" ht="15.75" customHeight="1">
      <c r="A651" s="262"/>
      <c r="B651" s="338">
        <f>IFERROR(__xludf.DUMMYFUNCTION("""COMPUTED_VALUE"""),1132.0)</f>
        <v>1132</v>
      </c>
      <c r="C651" s="354"/>
      <c r="D651" s="340" t="str">
        <f>IFERROR(__xludf.DUMMYFUNCTION("""COMPUTED_VALUE"""),"")</f>
        <v/>
      </c>
      <c r="E651" s="341">
        <f>IFERROR(__xludf.DUMMYFUNCTION("""COMPUTED_VALUE"""),0.0)</f>
        <v>0</v>
      </c>
      <c r="F651" s="352"/>
      <c r="G651" s="343"/>
      <c r="H651" s="344">
        <f>IFERROR(__xludf.DUMMYFUNCTION("""COMPUTED_VALUE"""),0.0)</f>
        <v>0</v>
      </c>
      <c r="I651" s="353"/>
      <c r="J651" s="353"/>
      <c r="K651" s="346">
        <f>IFERROR(__xludf.DUMMYFUNCTION("""COMPUTED_VALUE"""),0.0)</f>
        <v>0</v>
      </c>
      <c r="L651" s="347">
        <f>IFERROR(__xludf.DUMMYFUNCTION("""COMPUTED_VALUE"""),0.0)</f>
        <v>0</v>
      </c>
      <c r="M651" s="348">
        <f>IFERROR(__xludf.DUMMYFUNCTION("""COMPUTED_VALUE"""),0.0)</f>
        <v>0</v>
      </c>
      <c r="N651" s="348">
        <f>IFERROR(__xludf.DUMMYFUNCTION("""COMPUTED_VALUE"""),0.0)</f>
        <v>0</v>
      </c>
      <c r="O651" s="348">
        <f>IFERROR(__xludf.DUMMYFUNCTION("""COMPUTED_VALUE"""),0.0)</f>
        <v>0</v>
      </c>
      <c r="P651" s="348">
        <f>IFERROR(__xludf.DUMMYFUNCTION("""COMPUTED_VALUE"""),0.0)</f>
        <v>0</v>
      </c>
      <c r="Q651" s="348">
        <f>IFERROR(__xludf.DUMMYFUNCTION("""COMPUTED_VALUE"""),0.0)</f>
        <v>0</v>
      </c>
      <c r="R651" s="355" t="str">
        <f>IFERROR(__xludf.DUMMYFUNCTION("""COMPUTED_VALUE""")," Cash Proyek ")</f>
        <v>Cash Proyek</v>
      </c>
      <c r="S651" s="350"/>
      <c r="T651" s="262"/>
      <c r="U651" s="351"/>
      <c r="V651" s="262"/>
      <c r="W651" s="262"/>
      <c r="X651" s="262"/>
      <c r="Y651" s="262"/>
      <c r="Z651" s="262"/>
      <c r="AA651" s="262"/>
      <c r="AB651" s="262"/>
      <c r="AC651" s="262"/>
      <c r="AD651" s="262"/>
      <c r="AE651" s="262"/>
      <c r="AF651" s="262"/>
      <c r="AG651" s="264"/>
      <c r="AH651" s="264"/>
      <c r="AI651" s="264"/>
      <c r="AJ651" s="264"/>
      <c r="AK651" s="264"/>
      <c r="AL651" s="264"/>
      <c r="AM651" s="264"/>
      <c r="AN651" s="264"/>
    </row>
    <row r="652" ht="15.75" customHeight="1">
      <c r="A652" s="262"/>
      <c r="B652" s="338">
        <f>IFERROR(__xludf.DUMMYFUNCTION("""COMPUTED_VALUE"""),1133.0)</f>
        <v>1133</v>
      </c>
      <c r="C652" s="354"/>
      <c r="D652" s="340" t="str">
        <f>IFERROR(__xludf.DUMMYFUNCTION("""COMPUTED_VALUE"""),"")</f>
        <v/>
      </c>
      <c r="E652" s="341">
        <f>IFERROR(__xludf.DUMMYFUNCTION("""COMPUTED_VALUE"""),0.0)</f>
        <v>0</v>
      </c>
      <c r="F652" s="352"/>
      <c r="G652" s="343"/>
      <c r="H652" s="344">
        <f>IFERROR(__xludf.DUMMYFUNCTION("""COMPUTED_VALUE"""),0.0)</f>
        <v>0</v>
      </c>
      <c r="I652" s="353"/>
      <c r="J652" s="353"/>
      <c r="K652" s="346">
        <f>IFERROR(__xludf.DUMMYFUNCTION("""COMPUTED_VALUE"""),0.0)</f>
        <v>0</v>
      </c>
      <c r="L652" s="347">
        <f>IFERROR(__xludf.DUMMYFUNCTION("""COMPUTED_VALUE"""),0.0)</f>
        <v>0</v>
      </c>
      <c r="M652" s="348">
        <f>IFERROR(__xludf.DUMMYFUNCTION("""COMPUTED_VALUE"""),0.0)</f>
        <v>0</v>
      </c>
      <c r="N652" s="348">
        <f>IFERROR(__xludf.DUMMYFUNCTION("""COMPUTED_VALUE"""),0.0)</f>
        <v>0</v>
      </c>
      <c r="O652" s="348">
        <f>IFERROR(__xludf.DUMMYFUNCTION("""COMPUTED_VALUE"""),0.0)</f>
        <v>0</v>
      </c>
      <c r="P652" s="348">
        <f>IFERROR(__xludf.DUMMYFUNCTION("""COMPUTED_VALUE"""),0.0)</f>
        <v>0</v>
      </c>
      <c r="Q652" s="348">
        <f>IFERROR(__xludf.DUMMYFUNCTION("""COMPUTED_VALUE"""),0.0)</f>
        <v>0</v>
      </c>
      <c r="R652" s="355" t="str">
        <f>IFERROR(__xludf.DUMMYFUNCTION("""COMPUTED_VALUE""")," Cash Proyek ")</f>
        <v>Cash Proyek</v>
      </c>
      <c r="S652" s="350"/>
      <c r="T652" s="262"/>
      <c r="U652" s="351"/>
      <c r="V652" s="262"/>
      <c r="W652" s="262"/>
      <c r="X652" s="262"/>
      <c r="Y652" s="262"/>
      <c r="Z652" s="262"/>
      <c r="AA652" s="262"/>
      <c r="AB652" s="262"/>
      <c r="AC652" s="262"/>
      <c r="AD652" s="262"/>
      <c r="AE652" s="262"/>
      <c r="AF652" s="262"/>
      <c r="AG652" s="264"/>
      <c r="AH652" s="264"/>
      <c r="AI652" s="264"/>
      <c r="AJ652" s="264"/>
      <c r="AK652" s="264"/>
      <c r="AL652" s="264"/>
      <c r="AM652" s="264"/>
      <c r="AN652" s="264"/>
    </row>
    <row r="653" ht="15.75" customHeight="1">
      <c r="A653" s="262"/>
      <c r="B653" s="338">
        <f>IFERROR(__xludf.DUMMYFUNCTION("""COMPUTED_VALUE"""),1134.0)</f>
        <v>1134</v>
      </c>
      <c r="C653" s="354"/>
      <c r="D653" s="340" t="str">
        <f>IFERROR(__xludf.DUMMYFUNCTION("""COMPUTED_VALUE"""),"")</f>
        <v/>
      </c>
      <c r="E653" s="341">
        <f>IFERROR(__xludf.DUMMYFUNCTION("""COMPUTED_VALUE"""),0.0)</f>
        <v>0</v>
      </c>
      <c r="F653" s="352"/>
      <c r="G653" s="343"/>
      <c r="H653" s="344">
        <f>IFERROR(__xludf.DUMMYFUNCTION("""COMPUTED_VALUE"""),0.0)</f>
        <v>0</v>
      </c>
      <c r="I653" s="353"/>
      <c r="J653" s="353"/>
      <c r="K653" s="346">
        <f>IFERROR(__xludf.DUMMYFUNCTION("""COMPUTED_VALUE"""),0.0)</f>
        <v>0</v>
      </c>
      <c r="L653" s="347">
        <f>IFERROR(__xludf.DUMMYFUNCTION("""COMPUTED_VALUE"""),0.0)</f>
        <v>0</v>
      </c>
      <c r="M653" s="348">
        <f>IFERROR(__xludf.DUMMYFUNCTION("""COMPUTED_VALUE"""),0.0)</f>
        <v>0</v>
      </c>
      <c r="N653" s="348">
        <f>IFERROR(__xludf.DUMMYFUNCTION("""COMPUTED_VALUE"""),0.0)</f>
        <v>0</v>
      </c>
      <c r="O653" s="348">
        <f>IFERROR(__xludf.DUMMYFUNCTION("""COMPUTED_VALUE"""),0.0)</f>
        <v>0</v>
      </c>
      <c r="P653" s="348">
        <f>IFERROR(__xludf.DUMMYFUNCTION("""COMPUTED_VALUE"""),0.0)</f>
        <v>0</v>
      </c>
      <c r="Q653" s="348">
        <f>IFERROR(__xludf.DUMMYFUNCTION("""COMPUTED_VALUE"""),0.0)</f>
        <v>0</v>
      </c>
      <c r="R653" s="355" t="str">
        <f>IFERROR(__xludf.DUMMYFUNCTION("""COMPUTED_VALUE""")," Cash Proyek ")</f>
        <v>Cash Proyek</v>
      </c>
      <c r="S653" s="350"/>
      <c r="T653" s="262"/>
      <c r="U653" s="351"/>
      <c r="V653" s="262"/>
      <c r="W653" s="262"/>
      <c r="X653" s="262"/>
      <c r="Y653" s="262"/>
      <c r="Z653" s="262"/>
      <c r="AA653" s="262"/>
      <c r="AB653" s="262"/>
      <c r="AC653" s="262"/>
      <c r="AD653" s="262"/>
      <c r="AE653" s="262"/>
      <c r="AF653" s="262"/>
      <c r="AG653" s="264"/>
      <c r="AH653" s="264"/>
      <c r="AI653" s="264"/>
      <c r="AJ653" s="264"/>
      <c r="AK653" s="264"/>
      <c r="AL653" s="264"/>
      <c r="AM653" s="264"/>
      <c r="AN653" s="264"/>
    </row>
    <row r="654" ht="15.75" customHeight="1">
      <c r="A654" s="262"/>
      <c r="B654" s="338">
        <f>IFERROR(__xludf.DUMMYFUNCTION("""COMPUTED_VALUE"""),1135.0)</f>
        <v>1135</v>
      </c>
      <c r="C654" s="354"/>
      <c r="D654" s="340" t="str">
        <f>IFERROR(__xludf.DUMMYFUNCTION("""COMPUTED_VALUE"""),"")</f>
        <v/>
      </c>
      <c r="E654" s="341">
        <f>IFERROR(__xludf.DUMMYFUNCTION("""COMPUTED_VALUE"""),0.0)</f>
        <v>0</v>
      </c>
      <c r="F654" s="352"/>
      <c r="G654" s="343"/>
      <c r="H654" s="344">
        <f>IFERROR(__xludf.DUMMYFUNCTION("""COMPUTED_VALUE"""),0.0)</f>
        <v>0</v>
      </c>
      <c r="I654" s="353"/>
      <c r="J654" s="353"/>
      <c r="K654" s="346">
        <f>IFERROR(__xludf.DUMMYFUNCTION("""COMPUTED_VALUE"""),0.0)</f>
        <v>0</v>
      </c>
      <c r="L654" s="347">
        <f>IFERROR(__xludf.DUMMYFUNCTION("""COMPUTED_VALUE"""),0.0)</f>
        <v>0</v>
      </c>
      <c r="M654" s="348">
        <f>IFERROR(__xludf.DUMMYFUNCTION("""COMPUTED_VALUE"""),0.0)</f>
        <v>0</v>
      </c>
      <c r="N654" s="348">
        <f>IFERROR(__xludf.DUMMYFUNCTION("""COMPUTED_VALUE"""),0.0)</f>
        <v>0</v>
      </c>
      <c r="O654" s="348">
        <f>IFERROR(__xludf.DUMMYFUNCTION("""COMPUTED_VALUE"""),0.0)</f>
        <v>0</v>
      </c>
      <c r="P654" s="348">
        <f>IFERROR(__xludf.DUMMYFUNCTION("""COMPUTED_VALUE"""),0.0)</f>
        <v>0</v>
      </c>
      <c r="Q654" s="348">
        <f>IFERROR(__xludf.DUMMYFUNCTION("""COMPUTED_VALUE"""),0.0)</f>
        <v>0</v>
      </c>
      <c r="R654" s="355" t="str">
        <f>IFERROR(__xludf.DUMMYFUNCTION("""COMPUTED_VALUE""")," Cash Proyek ")</f>
        <v>Cash Proyek</v>
      </c>
      <c r="S654" s="350"/>
      <c r="T654" s="262"/>
      <c r="U654" s="351"/>
      <c r="V654" s="262"/>
      <c r="W654" s="262"/>
      <c r="X654" s="262"/>
      <c r="Y654" s="262"/>
      <c r="Z654" s="262"/>
      <c r="AA654" s="262"/>
      <c r="AB654" s="262"/>
      <c r="AC654" s="262"/>
      <c r="AD654" s="262"/>
      <c r="AE654" s="262"/>
      <c r="AF654" s="262"/>
      <c r="AG654" s="264"/>
      <c r="AH654" s="264"/>
      <c r="AI654" s="264"/>
      <c r="AJ654" s="264"/>
      <c r="AK654" s="264"/>
      <c r="AL654" s="264"/>
      <c r="AM654" s="264"/>
      <c r="AN654" s="264"/>
    </row>
    <row r="655" ht="15.75" customHeight="1">
      <c r="A655" s="262"/>
      <c r="B655" s="338">
        <f>IFERROR(__xludf.DUMMYFUNCTION("""COMPUTED_VALUE"""),1136.0)</f>
        <v>1136</v>
      </c>
      <c r="C655" s="354"/>
      <c r="D655" s="340" t="str">
        <f>IFERROR(__xludf.DUMMYFUNCTION("""COMPUTED_VALUE"""),"")</f>
        <v/>
      </c>
      <c r="E655" s="341">
        <f>IFERROR(__xludf.DUMMYFUNCTION("""COMPUTED_VALUE"""),0.0)</f>
        <v>0</v>
      </c>
      <c r="F655" s="352"/>
      <c r="G655" s="343"/>
      <c r="H655" s="344">
        <f>IFERROR(__xludf.DUMMYFUNCTION("""COMPUTED_VALUE"""),0.0)</f>
        <v>0</v>
      </c>
      <c r="I655" s="353"/>
      <c r="J655" s="353"/>
      <c r="K655" s="346">
        <f>IFERROR(__xludf.DUMMYFUNCTION("""COMPUTED_VALUE"""),0.0)</f>
        <v>0</v>
      </c>
      <c r="L655" s="347">
        <f>IFERROR(__xludf.DUMMYFUNCTION("""COMPUTED_VALUE"""),0.0)</f>
        <v>0</v>
      </c>
      <c r="M655" s="348">
        <f>IFERROR(__xludf.DUMMYFUNCTION("""COMPUTED_VALUE"""),0.0)</f>
        <v>0</v>
      </c>
      <c r="N655" s="348">
        <f>IFERROR(__xludf.DUMMYFUNCTION("""COMPUTED_VALUE"""),0.0)</f>
        <v>0</v>
      </c>
      <c r="O655" s="348">
        <f>IFERROR(__xludf.DUMMYFUNCTION("""COMPUTED_VALUE"""),0.0)</f>
        <v>0</v>
      </c>
      <c r="P655" s="348">
        <f>IFERROR(__xludf.DUMMYFUNCTION("""COMPUTED_VALUE"""),0.0)</f>
        <v>0</v>
      </c>
      <c r="Q655" s="348">
        <f>IFERROR(__xludf.DUMMYFUNCTION("""COMPUTED_VALUE"""),0.0)</f>
        <v>0</v>
      </c>
      <c r="R655" s="355" t="str">
        <f>IFERROR(__xludf.DUMMYFUNCTION("""COMPUTED_VALUE""")," Cash Proyek ")</f>
        <v>Cash Proyek</v>
      </c>
      <c r="S655" s="350"/>
      <c r="T655" s="262"/>
      <c r="U655" s="351"/>
      <c r="V655" s="262"/>
      <c r="W655" s="262"/>
      <c r="X655" s="262"/>
      <c r="Y655" s="262"/>
      <c r="Z655" s="262"/>
      <c r="AA655" s="262"/>
      <c r="AB655" s="262"/>
      <c r="AC655" s="262"/>
      <c r="AD655" s="262"/>
      <c r="AE655" s="262"/>
      <c r="AF655" s="262"/>
      <c r="AG655" s="264"/>
      <c r="AH655" s="264"/>
      <c r="AI655" s="264"/>
      <c r="AJ655" s="264"/>
      <c r="AK655" s="264"/>
      <c r="AL655" s="264"/>
      <c r="AM655" s="264"/>
      <c r="AN655" s="264"/>
    </row>
    <row r="656" ht="15.75" customHeight="1">
      <c r="A656" s="262"/>
      <c r="B656" s="338">
        <f>IFERROR(__xludf.DUMMYFUNCTION("""COMPUTED_VALUE"""),1137.0)</f>
        <v>1137</v>
      </c>
      <c r="C656" s="354"/>
      <c r="D656" s="340" t="str">
        <f>IFERROR(__xludf.DUMMYFUNCTION("""COMPUTED_VALUE"""),"")</f>
        <v/>
      </c>
      <c r="E656" s="341">
        <f>IFERROR(__xludf.DUMMYFUNCTION("""COMPUTED_VALUE"""),0.0)</f>
        <v>0</v>
      </c>
      <c r="F656" s="352"/>
      <c r="G656" s="343"/>
      <c r="H656" s="344">
        <f>IFERROR(__xludf.DUMMYFUNCTION("""COMPUTED_VALUE"""),0.0)</f>
        <v>0</v>
      </c>
      <c r="I656" s="353"/>
      <c r="J656" s="353"/>
      <c r="K656" s="346">
        <f>IFERROR(__xludf.DUMMYFUNCTION("""COMPUTED_VALUE"""),0.0)</f>
        <v>0</v>
      </c>
      <c r="L656" s="347">
        <f>IFERROR(__xludf.DUMMYFUNCTION("""COMPUTED_VALUE"""),0.0)</f>
        <v>0</v>
      </c>
      <c r="M656" s="348">
        <f>IFERROR(__xludf.DUMMYFUNCTION("""COMPUTED_VALUE"""),0.0)</f>
        <v>0</v>
      </c>
      <c r="N656" s="348">
        <f>IFERROR(__xludf.DUMMYFUNCTION("""COMPUTED_VALUE"""),0.0)</f>
        <v>0</v>
      </c>
      <c r="O656" s="348">
        <f>IFERROR(__xludf.DUMMYFUNCTION("""COMPUTED_VALUE"""),0.0)</f>
        <v>0</v>
      </c>
      <c r="P656" s="348">
        <f>IFERROR(__xludf.DUMMYFUNCTION("""COMPUTED_VALUE"""),0.0)</f>
        <v>0</v>
      </c>
      <c r="Q656" s="348">
        <f>IFERROR(__xludf.DUMMYFUNCTION("""COMPUTED_VALUE"""),0.0)</f>
        <v>0</v>
      </c>
      <c r="R656" s="355" t="str">
        <f>IFERROR(__xludf.DUMMYFUNCTION("""COMPUTED_VALUE""")," Cash Proyek ")</f>
        <v>Cash Proyek</v>
      </c>
      <c r="S656" s="350"/>
      <c r="T656" s="262"/>
      <c r="U656" s="351"/>
      <c r="V656" s="262"/>
      <c r="W656" s="262"/>
      <c r="X656" s="262"/>
      <c r="Y656" s="262"/>
      <c r="Z656" s="262"/>
      <c r="AA656" s="262"/>
      <c r="AB656" s="262"/>
      <c r="AC656" s="262"/>
      <c r="AD656" s="262"/>
      <c r="AE656" s="262"/>
      <c r="AF656" s="262"/>
      <c r="AG656" s="264"/>
      <c r="AH656" s="264"/>
      <c r="AI656" s="264"/>
      <c r="AJ656" s="264"/>
      <c r="AK656" s="264"/>
      <c r="AL656" s="264"/>
      <c r="AM656" s="264"/>
      <c r="AN656" s="264"/>
    </row>
    <row r="657" ht="15.75" customHeight="1">
      <c r="A657" s="262"/>
      <c r="B657" s="338">
        <f>IFERROR(__xludf.DUMMYFUNCTION("""COMPUTED_VALUE"""),1138.0)</f>
        <v>1138</v>
      </c>
      <c r="C657" s="354"/>
      <c r="D657" s="340" t="str">
        <f>IFERROR(__xludf.DUMMYFUNCTION("""COMPUTED_VALUE"""),"")</f>
        <v/>
      </c>
      <c r="E657" s="341">
        <f>IFERROR(__xludf.DUMMYFUNCTION("""COMPUTED_VALUE"""),0.0)</f>
        <v>0</v>
      </c>
      <c r="F657" s="352"/>
      <c r="G657" s="343"/>
      <c r="H657" s="344">
        <f>IFERROR(__xludf.DUMMYFUNCTION("""COMPUTED_VALUE"""),0.0)</f>
        <v>0</v>
      </c>
      <c r="I657" s="353"/>
      <c r="J657" s="353"/>
      <c r="K657" s="346">
        <f>IFERROR(__xludf.DUMMYFUNCTION("""COMPUTED_VALUE"""),0.0)</f>
        <v>0</v>
      </c>
      <c r="L657" s="347">
        <f>IFERROR(__xludf.DUMMYFUNCTION("""COMPUTED_VALUE"""),0.0)</f>
        <v>0</v>
      </c>
      <c r="M657" s="348">
        <f>IFERROR(__xludf.DUMMYFUNCTION("""COMPUTED_VALUE"""),0.0)</f>
        <v>0</v>
      </c>
      <c r="N657" s="348">
        <f>IFERROR(__xludf.DUMMYFUNCTION("""COMPUTED_VALUE"""),0.0)</f>
        <v>0</v>
      </c>
      <c r="O657" s="348">
        <f>IFERROR(__xludf.DUMMYFUNCTION("""COMPUTED_VALUE"""),0.0)</f>
        <v>0</v>
      </c>
      <c r="P657" s="348">
        <f>IFERROR(__xludf.DUMMYFUNCTION("""COMPUTED_VALUE"""),0.0)</f>
        <v>0</v>
      </c>
      <c r="Q657" s="348">
        <f>IFERROR(__xludf.DUMMYFUNCTION("""COMPUTED_VALUE"""),0.0)</f>
        <v>0</v>
      </c>
      <c r="R657" s="355" t="str">
        <f>IFERROR(__xludf.DUMMYFUNCTION("""COMPUTED_VALUE""")," Cash Proyek ")</f>
        <v>Cash Proyek</v>
      </c>
      <c r="S657" s="350"/>
      <c r="T657" s="262"/>
      <c r="U657" s="351"/>
      <c r="V657" s="262"/>
      <c r="W657" s="262"/>
      <c r="X657" s="262"/>
      <c r="Y657" s="262"/>
      <c r="Z657" s="262"/>
      <c r="AA657" s="262"/>
      <c r="AB657" s="262"/>
      <c r="AC657" s="262"/>
      <c r="AD657" s="262"/>
      <c r="AE657" s="262"/>
      <c r="AF657" s="262"/>
      <c r="AG657" s="264"/>
      <c r="AH657" s="264"/>
      <c r="AI657" s="264"/>
      <c r="AJ657" s="264"/>
      <c r="AK657" s="264"/>
      <c r="AL657" s="264"/>
      <c r="AM657" s="264"/>
      <c r="AN657" s="264"/>
    </row>
    <row r="658" ht="15.75" customHeight="1">
      <c r="A658" s="262"/>
      <c r="B658" s="338">
        <f>IFERROR(__xludf.DUMMYFUNCTION("""COMPUTED_VALUE"""),1139.0)</f>
        <v>1139</v>
      </c>
      <c r="C658" s="354"/>
      <c r="D658" s="340" t="str">
        <f>IFERROR(__xludf.DUMMYFUNCTION("""COMPUTED_VALUE"""),"")</f>
        <v/>
      </c>
      <c r="E658" s="341">
        <f>IFERROR(__xludf.DUMMYFUNCTION("""COMPUTED_VALUE"""),0.0)</f>
        <v>0</v>
      </c>
      <c r="F658" s="352"/>
      <c r="G658" s="343"/>
      <c r="H658" s="344">
        <f>IFERROR(__xludf.DUMMYFUNCTION("""COMPUTED_VALUE"""),0.0)</f>
        <v>0</v>
      </c>
      <c r="I658" s="353"/>
      <c r="J658" s="353"/>
      <c r="K658" s="346">
        <f>IFERROR(__xludf.DUMMYFUNCTION("""COMPUTED_VALUE"""),0.0)</f>
        <v>0</v>
      </c>
      <c r="L658" s="347">
        <f>IFERROR(__xludf.DUMMYFUNCTION("""COMPUTED_VALUE"""),0.0)</f>
        <v>0</v>
      </c>
      <c r="M658" s="348">
        <f>IFERROR(__xludf.DUMMYFUNCTION("""COMPUTED_VALUE"""),0.0)</f>
        <v>0</v>
      </c>
      <c r="N658" s="348">
        <f>IFERROR(__xludf.DUMMYFUNCTION("""COMPUTED_VALUE"""),0.0)</f>
        <v>0</v>
      </c>
      <c r="O658" s="348">
        <f>IFERROR(__xludf.DUMMYFUNCTION("""COMPUTED_VALUE"""),0.0)</f>
        <v>0</v>
      </c>
      <c r="P658" s="348">
        <f>IFERROR(__xludf.DUMMYFUNCTION("""COMPUTED_VALUE"""),0.0)</f>
        <v>0</v>
      </c>
      <c r="Q658" s="348">
        <f>IFERROR(__xludf.DUMMYFUNCTION("""COMPUTED_VALUE"""),0.0)</f>
        <v>0</v>
      </c>
      <c r="R658" s="355" t="str">
        <f>IFERROR(__xludf.DUMMYFUNCTION("""COMPUTED_VALUE""")," Cash Proyek ")</f>
        <v>Cash Proyek</v>
      </c>
      <c r="S658" s="350"/>
      <c r="T658" s="262"/>
      <c r="U658" s="351"/>
      <c r="V658" s="262"/>
      <c r="W658" s="262"/>
      <c r="X658" s="262"/>
      <c r="Y658" s="262"/>
      <c r="Z658" s="262"/>
      <c r="AA658" s="262"/>
      <c r="AB658" s="262"/>
      <c r="AC658" s="262"/>
      <c r="AD658" s="262"/>
      <c r="AE658" s="262"/>
      <c r="AF658" s="262"/>
      <c r="AG658" s="264"/>
      <c r="AH658" s="264"/>
      <c r="AI658" s="264"/>
      <c r="AJ658" s="264"/>
      <c r="AK658" s="264"/>
      <c r="AL658" s="264"/>
      <c r="AM658" s="264"/>
      <c r="AN658" s="264"/>
    </row>
    <row r="659" ht="15.75" customHeight="1">
      <c r="A659" s="262"/>
      <c r="B659" s="338">
        <f>IFERROR(__xludf.DUMMYFUNCTION("""COMPUTED_VALUE"""),1140.0)</f>
        <v>1140</v>
      </c>
      <c r="C659" s="354"/>
      <c r="D659" s="340" t="str">
        <f>IFERROR(__xludf.DUMMYFUNCTION("""COMPUTED_VALUE"""),"")</f>
        <v/>
      </c>
      <c r="E659" s="341">
        <f>IFERROR(__xludf.DUMMYFUNCTION("""COMPUTED_VALUE"""),0.0)</f>
        <v>0</v>
      </c>
      <c r="F659" s="352"/>
      <c r="G659" s="343"/>
      <c r="H659" s="344">
        <f>IFERROR(__xludf.DUMMYFUNCTION("""COMPUTED_VALUE"""),0.0)</f>
        <v>0</v>
      </c>
      <c r="I659" s="353"/>
      <c r="J659" s="353"/>
      <c r="K659" s="346">
        <f>IFERROR(__xludf.DUMMYFUNCTION("""COMPUTED_VALUE"""),0.0)</f>
        <v>0</v>
      </c>
      <c r="L659" s="347">
        <f>IFERROR(__xludf.DUMMYFUNCTION("""COMPUTED_VALUE"""),0.0)</f>
        <v>0</v>
      </c>
      <c r="M659" s="348">
        <f>IFERROR(__xludf.DUMMYFUNCTION("""COMPUTED_VALUE"""),0.0)</f>
        <v>0</v>
      </c>
      <c r="N659" s="348">
        <f>IFERROR(__xludf.DUMMYFUNCTION("""COMPUTED_VALUE"""),0.0)</f>
        <v>0</v>
      </c>
      <c r="O659" s="348">
        <f>IFERROR(__xludf.DUMMYFUNCTION("""COMPUTED_VALUE"""),0.0)</f>
        <v>0</v>
      </c>
      <c r="P659" s="348">
        <f>IFERROR(__xludf.DUMMYFUNCTION("""COMPUTED_VALUE"""),0.0)</f>
        <v>0</v>
      </c>
      <c r="Q659" s="348">
        <f>IFERROR(__xludf.DUMMYFUNCTION("""COMPUTED_VALUE"""),0.0)</f>
        <v>0</v>
      </c>
      <c r="R659" s="355" t="str">
        <f>IFERROR(__xludf.DUMMYFUNCTION("""COMPUTED_VALUE""")," Cash Proyek ")</f>
        <v>Cash Proyek</v>
      </c>
      <c r="S659" s="350"/>
      <c r="T659" s="262"/>
      <c r="U659" s="351"/>
      <c r="V659" s="262"/>
      <c r="W659" s="262"/>
      <c r="X659" s="262"/>
      <c r="Y659" s="262"/>
      <c r="Z659" s="262"/>
      <c r="AA659" s="262"/>
      <c r="AB659" s="262"/>
      <c r="AC659" s="262"/>
      <c r="AD659" s="262"/>
      <c r="AE659" s="262"/>
      <c r="AF659" s="262"/>
      <c r="AG659" s="264"/>
      <c r="AH659" s="264"/>
      <c r="AI659" s="264"/>
      <c r="AJ659" s="264"/>
      <c r="AK659" s="264"/>
      <c r="AL659" s="264"/>
      <c r="AM659" s="264"/>
      <c r="AN659" s="264"/>
    </row>
    <row r="660" ht="15.75" customHeight="1">
      <c r="A660" s="262"/>
      <c r="B660" s="338">
        <f>IFERROR(__xludf.DUMMYFUNCTION("""COMPUTED_VALUE"""),1141.0)</f>
        <v>1141</v>
      </c>
      <c r="C660" s="354"/>
      <c r="D660" s="340" t="str">
        <f>IFERROR(__xludf.DUMMYFUNCTION("""COMPUTED_VALUE"""),"")</f>
        <v/>
      </c>
      <c r="E660" s="341">
        <f>IFERROR(__xludf.DUMMYFUNCTION("""COMPUTED_VALUE"""),0.0)</f>
        <v>0</v>
      </c>
      <c r="F660" s="352"/>
      <c r="G660" s="343"/>
      <c r="H660" s="344">
        <f>IFERROR(__xludf.DUMMYFUNCTION("""COMPUTED_VALUE"""),0.0)</f>
        <v>0</v>
      </c>
      <c r="I660" s="353"/>
      <c r="J660" s="353"/>
      <c r="K660" s="346">
        <f>IFERROR(__xludf.DUMMYFUNCTION("""COMPUTED_VALUE"""),0.0)</f>
        <v>0</v>
      </c>
      <c r="L660" s="347">
        <f>IFERROR(__xludf.DUMMYFUNCTION("""COMPUTED_VALUE"""),0.0)</f>
        <v>0</v>
      </c>
      <c r="M660" s="348">
        <f>IFERROR(__xludf.DUMMYFUNCTION("""COMPUTED_VALUE"""),0.0)</f>
        <v>0</v>
      </c>
      <c r="N660" s="348">
        <f>IFERROR(__xludf.DUMMYFUNCTION("""COMPUTED_VALUE"""),0.0)</f>
        <v>0</v>
      </c>
      <c r="O660" s="348">
        <f>IFERROR(__xludf.DUMMYFUNCTION("""COMPUTED_VALUE"""),0.0)</f>
        <v>0</v>
      </c>
      <c r="P660" s="348">
        <f>IFERROR(__xludf.DUMMYFUNCTION("""COMPUTED_VALUE"""),0.0)</f>
        <v>0</v>
      </c>
      <c r="Q660" s="348">
        <f>IFERROR(__xludf.DUMMYFUNCTION("""COMPUTED_VALUE"""),0.0)</f>
        <v>0</v>
      </c>
      <c r="R660" s="355" t="str">
        <f>IFERROR(__xludf.DUMMYFUNCTION("""COMPUTED_VALUE""")," Cash Proyek ")</f>
        <v>Cash Proyek</v>
      </c>
      <c r="S660" s="350"/>
      <c r="T660" s="262"/>
      <c r="U660" s="351"/>
      <c r="V660" s="262"/>
      <c r="W660" s="262"/>
      <c r="X660" s="262"/>
      <c r="Y660" s="262"/>
      <c r="Z660" s="262"/>
      <c r="AA660" s="262"/>
      <c r="AB660" s="262"/>
      <c r="AC660" s="262"/>
      <c r="AD660" s="262"/>
      <c r="AE660" s="262"/>
      <c r="AF660" s="262"/>
      <c r="AG660" s="264"/>
      <c r="AH660" s="264"/>
      <c r="AI660" s="264"/>
      <c r="AJ660" s="264"/>
      <c r="AK660" s="264"/>
      <c r="AL660" s="264"/>
      <c r="AM660" s="264"/>
      <c r="AN660" s="264"/>
    </row>
    <row r="661" ht="15.75" customHeight="1">
      <c r="A661" s="262"/>
      <c r="B661" s="338">
        <f>IFERROR(__xludf.DUMMYFUNCTION("""COMPUTED_VALUE"""),1142.0)</f>
        <v>1142</v>
      </c>
      <c r="C661" s="354"/>
      <c r="D661" s="340" t="str">
        <f>IFERROR(__xludf.DUMMYFUNCTION("""COMPUTED_VALUE"""),"")</f>
        <v/>
      </c>
      <c r="E661" s="341">
        <f>IFERROR(__xludf.DUMMYFUNCTION("""COMPUTED_VALUE"""),0.0)</f>
        <v>0</v>
      </c>
      <c r="F661" s="352"/>
      <c r="G661" s="343"/>
      <c r="H661" s="344">
        <f>IFERROR(__xludf.DUMMYFUNCTION("""COMPUTED_VALUE"""),0.0)</f>
        <v>0</v>
      </c>
      <c r="I661" s="353"/>
      <c r="J661" s="353"/>
      <c r="K661" s="346">
        <f>IFERROR(__xludf.DUMMYFUNCTION("""COMPUTED_VALUE"""),0.0)</f>
        <v>0</v>
      </c>
      <c r="L661" s="347">
        <f>IFERROR(__xludf.DUMMYFUNCTION("""COMPUTED_VALUE"""),0.0)</f>
        <v>0</v>
      </c>
      <c r="M661" s="348">
        <f>IFERROR(__xludf.DUMMYFUNCTION("""COMPUTED_VALUE"""),0.0)</f>
        <v>0</v>
      </c>
      <c r="N661" s="348">
        <f>IFERROR(__xludf.DUMMYFUNCTION("""COMPUTED_VALUE"""),0.0)</f>
        <v>0</v>
      </c>
      <c r="O661" s="348">
        <f>IFERROR(__xludf.DUMMYFUNCTION("""COMPUTED_VALUE"""),0.0)</f>
        <v>0</v>
      </c>
      <c r="P661" s="348">
        <f>IFERROR(__xludf.DUMMYFUNCTION("""COMPUTED_VALUE"""),0.0)</f>
        <v>0</v>
      </c>
      <c r="Q661" s="348">
        <f>IFERROR(__xludf.DUMMYFUNCTION("""COMPUTED_VALUE"""),0.0)</f>
        <v>0</v>
      </c>
      <c r="R661" s="355" t="str">
        <f>IFERROR(__xludf.DUMMYFUNCTION("""COMPUTED_VALUE""")," Cash Proyek ")</f>
        <v>Cash Proyek</v>
      </c>
      <c r="S661" s="350"/>
      <c r="T661" s="262"/>
      <c r="U661" s="351"/>
      <c r="V661" s="262"/>
      <c r="W661" s="262"/>
      <c r="X661" s="262"/>
      <c r="Y661" s="262"/>
      <c r="Z661" s="262"/>
      <c r="AA661" s="262"/>
      <c r="AB661" s="262"/>
      <c r="AC661" s="262"/>
      <c r="AD661" s="262"/>
      <c r="AE661" s="262"/>
      <c r="AF661" s="262"/>
      <c r="AG661" s="264"/>
      <c r="AH661" s="264"/>
      <c r="AI661" s="264"/>
      <c r="AJ661" s="264"/>
      <c r="AK661" s="264"/>
      <c r="AL661" s="264"/>
      <c r="AM661" s="264"/>
      <c r="AN661" s="264"/>
    </row>
    <row r="662" ht="15.75" customHeight="1">
      <c r="A662" s="262"/>
      <c r="B662" s="338">
        <f>IFERROR(__xludf.DUMMYFUNCTION("""COMPUTED_VALUE"""),1143.0)</f>
        <v>1143</v>
      </c>
      <c r="C662" s="354"/>
      <c r="D662" s="340" t="str">
        <f>IFERROR(__xludf.DUMMYFUNCTION("""COMPUTED_VALUE"""),"")</f>
        <v/>
      </c>
      <c r="E662" s="341">
        <f>IFERROR(__xludf.DUMMYFUNCTION("""COMPUTED_VALUE"""),0.0)</f>
        <v>0</v>
      </c>
      <c r="F662" s="352"/>
      <c r="G662" s="343"/>
      <c r="H662" s="344">
        <f>IFERROR(__xludf.DUMMYFUNCTION("""COMPUTED_VALUE"""),0.0)</f>
        <v>0</v>
      </c>
      <c r="I662" s="353"/>
      <c r="J662" s="353"/>
      <c r="K662" s="346">
        <f>IFERROR(__xludf.DUMMYFUNCTION("""COMPUTED_VALUE"""),0.0)</f>
        <v>0</v>
      </c>
      <c r="L662" s="347">
        <f>IFERROR(__xludf.DUMMYFUNCTION("""COMPUTED_VALUE"""),0.0)</f>
        <v>0</v>
      </c>
      <c r="M662" s="348">
        <f>IFERROR(__xludf.DUMMYFUNCTION("""COMPUTED_VALUE"""),0.0)</f>
        <v>0</v>
      </c>
      <c r="N662" s="348">
        <f>IFERROR(__xludf.DUMMYFUNCTION("""COMPUTED_VALUE"""),0.0)</f>
        <v>0</v>
      </c>
      <c r="O662" s="348">
        <f>IFERROR(__xludf.DUMMYFUNCTION("""COMPUTED_VALUE"""),0.0)</f>
        <v>0</v>
      </c>
      <c r="P662" s="348">
        <f>IFERROR(__xludf.DUMMYFUNCTION("""COMPUTED_VALUE"""),0.0)</f>
        <v>0</v>
      </c>
      <c r="Q662" s="348">
        <f>IFERROR(__xludf.DUMMYFUNCTION("""COMPUTED_VALUE"""),0.0)</f>
        <v>0</v>
      </c>
      <c r="R662" s="355" t="str">
        <f>IFERROR(__xludf.DUMMYFUNCTION("""COMPUTED_VALUE""")," Cash Proyek ")</f>
        <v>Cash Proyek</v>
      </c>
      <c r="S662" s="350"/>
      <c r="T662" s="262"/>
      <c r="U662" s="351"/>
      <c r="V662" s="262"/>
      <c r="W662" s="262"/>
      <c r="X662" s="262"/>
      <c r="Y662" s="262"/>
      <c r="Z662" s="262"/>
      <c r="AA662" s="262"/>
      <c r="AB662" s="262"/>
      <c r="AC662" s="262"/>
      <c r="AD662" s="262"/>
      <c r="AE662" s="262"/>
      <c r="AF662" s="262"/>
      <c r="AG662" s="264"/>
      <c r="AH662" s="264"/>
      <c r="AI662" s="264"/>
      <c r="AJ662" s="264"/>
      <c r="AK662" s="264"/>
      <c r="AL662" s="264"/>
      <c r="AM662" s="264"/>
      <c r="AN662" s="264"/>
    </row>
    <row r="663" ht="15.75" customHeight="1">
      <c r="A663" s="262"/>
      <c r="B663" s="338">
        <f>IFERROR(__xludf.DUMMYFUNCTION("""COMPUTED_VALUE"""),1144.0)</f>
        <v>1144</v>
      </c>
      <c r="C663" s="354"/>
      <c r="D663" s="340" t="str">
        <f>IFERROR(__xludf.DUMMYFUNCTION("""COMPUTED_VALUE"""),"")</f>
        <v/>
      </c>
      <c r="E663" s="341">
        <f>IFERROR(__xludf.DUMMYFUNCTION("""COMPUTED_VALUE"""),0.0)</f>
        <v>0</v>
      </c>
      <c r="F663" s="352"/>
      <c r="G663" s="343"/>
      <c r="H663" s="344">
        <f>IFERROR(__xludf.DUMMYFUNCTION("""COMPUTED_VALUE"""),0.0)</f>
        <v>0</v>
      </c>
      <c r="I663" s="353"/>
      <c r="J663" s="353"/>
      <c r="K663" s="346">
        <f>IFERROR(__xludf.DUMMYFUNCTION("""COMPUTED_VALUE"""),0.0)</f>
        <v>0</v>
      </c>
      <c r="L663" s="347">
        <f>IFERROR(__xludf.DUMMYFUNCTION("""COMPUTED_VALUE"""),0.0)</f>
        <v>0</v>
      </c>
      <c r="M663" s="348">
        <f>IFERROR(__xludf.DUMMYFUNCTION("""COMPUTED_VALUE"""),0.0)</f>
        <v>0</v>
      </c>
      <c r="N663" s="348">
        <f>IFERROR(__xludf.DUMMYFUNCTION("""COMPUTED_VALUE"""),0.0)</f>
        <v>0</v>
      </c>
      <c r="O663" s="348">
        <f>IFERROR(__xludf.DUMMYFUNCTION("""COMPUTED_VALUE"""),0.0)</f>
        <v>0</v>
      </c>
      <c r="P663" s="348">
        <f>IFERROR(__xludf.DUMMYFUNCTION("""COMPUTED_VALUE"""),0.0)</f>
        <v>0</v>
      </c>
      <c r="Q663" s="348">
        <f>IFERROR(__xludf.DUMMYFUNCTION("""COMPUTED_VALUE"""),0.0)</f>
        <v>0</v>
      </c>
      <c r="R663" s="355" t="str">
        <f>IFERROR(__xludf.DUMMYFUNCTION("""COMPUTED_VALUE""")," Cash Proyek ")</f>
        <v>Cash Proyek</v>
      </c>
      <c r="S663" s="350"/>
      <c r="T663" s="262"/>
      <c r="U663" s="351"/>
      <c r="V663" s="262"/>
      <c r="W663" s="262"/>
      <c r="X663" s="262"/>
      <c r="Y663" s="262"/>
      <c r="Z663" s="262"/>
      <c r="AA663" s="262"/>
      <c r="AB663" s="262"/>
      <c r="AC663" s="262"/>
      <c r="AD663" s="262"/>
      <c r="AE663" s="262"/>
      <c r="AF663" s="262"/>
      <c r="AG663" s="264"/>
      <c r="AH663" s="264"/>
      <c r="AI663" s="264"/>
      <c r="AJ663" s="264"/>
      <c r="AK663" s="264"/>
      <c r="AL663" s="264"/>
      <c r="AM663" s="264"/>
      <c r="AN663" s="264"/>
    </row>
    <row r="664" ht="15.75" customHeight="1">
      <c r="A664" s="262"/>
      <c r="B664" s="338">
        <f>IFERROR(__xludf.DUMMYFUNCTION("""COMPUTED_VALUE"""),1145.0)</f>
        <v>1145</v>
      </c>
      <c r="C664" s="354"/>
      <c r="D664" s="340" t="str">
        <f>IFERROR(__xludf.DUMMYFUNCTION("""COMPUTED_VALUE"""),"")</f>
        <v/>
      </c>
      <c r="E664" s="341">
        <f>IFERROR(__xludf.DUMMYFUNCTION("""COMPUTED_VALUE"""),0.0)</f>
        <v>0</v>
      </c>
      <c r="F664" s="352"/>
      <c r="G664" s="343"/>
      <c r="H664" s="344">
        <f>IFERROR(__xludf.DUMMYFUNCTION("""COMPUTED_VALUE"""),0.0)</f>
        <v>0</v>
      </c>
      <c r="I664" s="353"/>
      <c r="J664" s="353"/>
      <c r="K664" s="346">
        <f>IFERROR(__xludf.DUMMYFUNCTION("""COMPUTED_VALUE"""),0.0)</f>
        <v>0</v>
      </c>
      <c r="L664" s="347">
        <f>IFERROR(__xludf.DUMMYFUNCTION("""COMPUTED_VALUE"""),0.0)</f>
        <v>0</v>
      </c>
      <c r="M664" s="348">
        <f>IFERROR(__xludf.DUMMYFUNCTION("""COMPUTED_VALUE"""),0.0)</f>
        <v>0</v>
      </c>
      <c r="N664" s="348">
        <f>IFERROR(__xludf.DUMMYFUNCTION("""COMPUTED_VALUE"""),0.0)</f>
        <v>0</v>
      </c>
      <c r="O664" s="348">
        <f>IFERROR(__xludf.DUMMYFUNCTION("""COMPUTED_VALUE"""),0.0)</f>
        <v>0</v>
      </c>
      <c r="P664" s="348">
        <f>IFERROR(__xludf.DUMMYFUNCTION("""COMPUTED_VALUE"""),0.0)</f>
        <v>0</v>
      </c>
      <c r="Q664" s="348">
        <f>IFERROR(__xludf.DUMMYFUNCTION("""COMPUTED_VALUE"""),0.0)</f>
        <v>0</v>
      </c>
      <c r="R664" s="355" t="str">
        <f>IFERROR(__xludf.DUMMYFUNCTION("""COMPUTED_VALUE""")," Cash Proyek ")</f>
        <v>Cash Proyek</v>
      </c>
      <c r="S664" s="350"/>
      <c r="T664" s="262"/>
      <c r="U664" s="351"/>
      <c r="V664" s="262"/>
      <c r="W664" s="262"/>
      <c r="X664" s="262"/>
      <c r="Y664" s="262"/>
      <c r="Z664" s="262"/>
      <c r="AA664" s="262"/>
      <c r="AB664" s="262"/>
      <c r="AC664" s="262"/>
      <c r="AD664" s="262"/>
      <c r="AE664" s="262"/>
      <c r="AF664" s="262"/>
      <c r="AG664" s="264"/>
      <c r="AH664" s="264"/>
      <c r="AI664" s="264"/>
      <c r="AJ664" s="264"/>
      <c r="AK664" s="264"/>
      <c r="AL664" s="264"/>
      <c r="AM664" s="264"/>
      <c r="AN664" s="264"/>
    </row>
    <row r="665" ht="15.75" customHeight="1">
      <c r="A665" s="262"/>
      <c r="B665" s="338">
        <f>IFERROR(__xludf.DUMMYFUNCTION("""COMPUTED_VALUE"""),1146.0)</f>
        <v>1146</v>
      </c>
      <c r="C665" s="354"/>
      <c r="D665" s="340" t="str">
        <f>IFERROR(__xludf.DUMMYFUNCTION("""COMPUTED_VALUE"""),"")</f>
        <v/>
      </c>
      <c r="E665" s="341">
        <f>IFERROR(__xludf.DUMMYFUNCTION("""COMPUTED_VALUE"""),0.0)</f>
        <v>0</v>
      </c>
      <c r="F665" s="352"/>
      <c r="G665" s="343"/>
      <c r="H665" s="344">
        <f>IFERROR(__xludf.DUMMYFUNCTION("""COMPUTED_VALUE"""),0.0)</f>
        <v>0</v>
      </c>
      <c r="I665" s="353"/>
      <c r="J665" s="353"/>
      <c r="K665" s="346">
        <f>IFERROR(__xludf.DUMMYFUNCTION("""COMPUTED_VALUE"""),0.0)</f>
        <v>0</v>
      </c>
      <c r="L665" s="347">
        <f>IFERROR(__xludf.DUMMYFUNCTION("""COMPUTED_VALUE"""),0.0)</f>
        <v>0</v>
      </c>
      <c r="M665" s="348">
        <f>IFERROR(__xludf.DUMMYFUNCTION("""COMPUTED_VALUE"""),0.0)</f>
        <v>0</v>
      </c>
      <c r="N665" s="348">
        <f>IFERROR(__xludf.DUMMYFUNCTION("""COMPUTED_VALUE"""),0.0)</f>
        <v>0</v>
      </c>
      <c r="O665" s="348">
        <f>IFERROR(__xludf.DUMMYFUNCTION("""COMPUTED_VALUE"""),0.0)</f>
        <v>0</v>
      </c>
      <c r="P665" s="348">
        <f>IFERROR(__xludf.DUMMYFUNCTION("""COMPUTED_VALUE"""),0.0)</f>
        <v>0</v>
      </c>
      <c r="Q665" s="348">
        <f>IFERROR(__xludf.DUMMYFUNCTION("""COMPUTED_VALUE"""),0.0)</f>
        <v>0</v>
      </c>
      <c r="R665" s="355" t="str">
        <f>IFERROR(__xludf.DUMMYFUNCTION("""COMPUTED_VALUE""")," Cash Proyek ")</f>
        <v>Cash Proyek</v>
      </c>
      <c r="S665" s="350"/>
      <c r="T665" s="262"/>
      <c r="U665" s="351"/>
      <c r="V665" s="262"/>
      <c r="W665" s="262"/>
      <c r="X665" s="262"/>
      <c r="Y665" s="262"/>
      <c r="Z665" s="262"/>
      <c r="AA665" s="262"/>
      <c r="AB665" s="262"/>
      <c r="AC665" s="262"/>
      <c r="AD665" s="262"/>
      <c r="AE665" s="262"/>
      <c r="AF665" s="262"/>
      <c r="AG665" s="264"/>
      <c r="AH665" s="264"/>
      <c r="AI665" s="264"/>
      <c r="AJ665" s="264"/>
      <c r="AK665" s="264"/>
      <c r="AL665" s="264"/>
      <c r="AM665" s="264"/>
      <c r="AN665" s="264"/>
    </row>
    <row r="666" ht="15.75" customHeight="1">
      <c r="A666" s="262"/>
      <c r="B666" s="338">
        <f>IFERROR(__xludf.DUMMYFUNCTION("""COMPUTED_VALUE"""),1147.0)</f>
        <v>1147</v>
      </c>
      <c r="C666" s="354"/>
      <c r="D666" s="340" t="str">
        <f>IFERROR(__xludf.DUMMYFUNCTION("""COMPUTED_VALUE"""),"")</f>
        <v/>
      </c>
      <c r="E666" s="341">
        <f>IFERROR(__xludf.DUMMYFUNCTION("""COMPUTED_VALUE"""),0.0)</f>
        <v>0</v>
      </c>
      <c r="F666" s="352"/>
      <c r="G666" s="343"/>
      <c r="H666" s="344">
        <f>IFERROR(__xludf.DUMMYFUNCTION("""COMPUTED_VALUE"""),0.0)</f>
        <v>0</v>
      </c>
      <c r="I666" s="353"/>
      <c r="J666" s="353"/>
      <c r="K666" s="346">
        <f>IFERROR(__xludf.DUMMYFUNCTION("""COMPUTED_VALUE"""),0.0)</f>
        <v>0</v>
      </c>
      <c r="L666" s="347">
        <f>IFERROR(__xludf.DUMMYFUNCTION("""COMPUTED_VALUE"""),0.0)</f>
        <v>0</v>
      </c>
      <c r="M666" s="348">
        <f>IFERROR(__xludf.DUMMYFUNCTION("""COMPUTED_VALUE"""),0.0)</f>
        <v>0</v>
      </c>
      <c r="N666" s="348">
        <f>IFERROR(__xludf.DUMMYFUNCTION("""COMPUTED_VALUE"""),0.0)</f>
        <v>0</v>
      </c>
      <c r="O666" s="348">
        <f>IFERROR(__xludf.DUMMYFUNCTION("""COMPUTED_VALUE"""),0.0)</f>
        <v>0</v>
      </c>
      <c r="P666" s="348">
        <f>IFERROR(__xludf.DUMMYFUNCTION("""COMPUTED_VALUE"""),0.0)</f>
        <v>0</v>
      </c>
      <c r="Q666" s="348">
        <f>IFERROR(__xludf.DUMMYFUNCTION("""COMPUTED_VALUE"""),0.0)</f>
        <v>0</v>
      </c>
      <c r="R666" s="355" t="str">
        <f>IFERROR(__xludf.DUMMYFUNCTION("""COMPUTED_VALUE""")," Cash Proyek ")</f>
        <v>Cash Proyek</v>
      </c>
      <c r="S666" s="350"/>
      <c r="T666" s="262"/>
      <c r="U666" s="351"/>
      <c r="V666" s="262"/>
      <c r="W666" s="262"/>
      <c r="X666" s="262"/>
      <c r="Y666" s="262"/>
      <c r="Z666" s="262"/>
      <c r="AA666" s="262"/>
      <c r="AB666" s="262"/>
      <c r="AC666" s="262"/>
      <c r="AD666" s="262"/>
      <c r="AE666" s="262"/>
      <c r="AF666" s="262"/>
      <c r="AG666" s="264"/>
      <c r="AH666" s="264"/>
      <c r="AI666" s="264"/>
      <c r="AJ666" s="264"/>
      <c r="AK666" s="264"/>
      <c r="AL666" s="264"/>
      <c r="AM666" s="264"/>
      <c r="AN666" s="264"/>
    </row>
    <row r="667" ht="15.75" customHeight="1">
      <c r="A667" s="262"/>
      <c r="B667" s="338">
        <f>IFERROR(__xludf.DUMMYFUNCTION("""COMPUTED_VALUE"""),1148.0)</f>
        <v>1148</v>
      </c>
      <c r="C667" s="354"/>
      <c r="D667" s="340" t="str">
        <f>IFERROR(__xludf.DUMMYFUNCTION("""COMPUTED_VALUE"""),"")</f>
        <v/>
      </c>
      <c r="E667" s="341">
        <f>IFERROR(__xludf.DUMMYFUNCTION("""COMPUTED_VALUE"""),0.0)</f>
        <v>0</v>
      </c>
      <c r="F667" s="352"/>
      <c r="G667" s="343"/>
      <c r="H667" s="344">
        <f>IFERROR(__xludf.DUMMYFUNCTION("""COMPUTED_VALUE"""),0.0)</f>
        <v>0</v>
      </c>
      <c r="I667" s="353"/>
      <c r="J667" s="353"/>
      <c r="K667" s="346">
        <f>IFERROR(__xludf.DUMMYFUNCTION("""COMPUTED_VALUE"""),0.0)</f>
        <v>0</v>
      </c>
      <c r="L667" s="347">
        <f>IFERROR(__xludf.DUMMYFUNCTION("""COMPUTED_VALUE"""),0.0)</f>
        <v>0</v>
      </c>
      <c r="M667" s="348">
        <f>IFERROR(__xludf.DUMMYFUNCTION("""COMPUTED_VALUE"""),0.0)</f>
        <v>0</v>
      </c>
      <c r="N667" s="348">
        <f>IFERROR(__xludf.DUMMYFUNCTION("""COMPUTED_VALUE"""),0.0)</f>
        <v>0</v>
      </c>
      <c r="O667" s="348">
        <f>IFERROR(__xludf.DUMMYFUNCTION("""COMPUTED_VALUE"""),0.0)</f>
        <v>0</v>
      </c>
      <c r="P667" s="348">
        <f>IFERROR(__xludf.DUMMYFUNCTION("""COMPUTED_VALUE"""),0.0)</f>
        <v>0</v>
      </c>
      <c r="Q667" s="348">
        <f>IFERROR(__xludf.DUMMYFUNCTION("""COMPUTED_VALUE"""),0.0)</f>
        <v>0</v>
      </c>
      <c r="R667" s="355" t="str">
        <f>IFERROR(__xludf.DUMMYFUNCTION("""COMPUTED_VALUE""")," Cash Proyek ")</f>
        <v>Cash Proyek</v>
      </c>
      <c r="S667" s="350"/>
      <c r="T667" s="262"/>
      <c r="U667" s="351"/>
      <c r="V667" s="262"/>
      <c r="W667" s="262"/>
      <c r="X667" s="262"/>
      <c r="Y667" s="262"/>
      <c r="Z667" s="262"/>
      <c r="AA667" s="262"/>
      <c r="AB667" s="262"/>
      <c r="AC667" s="262"/>
      <c r="AD667" s="262"/>
      <c r="AE667" s="262"/>
      <c r="AF667" s="262"/>
      <c r="AG667" s="264"/>
      <c r="AH667" s="264"/>
      <c r="AI667" s="264"/>
      <c r="AJ667" s="264"/>
      <c r="AK667" s="264"/>
      <c r="AL667" s="264"/>
      <c r="AM667" s="264"/>
      <c r="AN667" s="264"/>
    </row>
    <row r="668" ht="15.75" customHeight="1">
      <c r="A668" s="262"/>
      <c r="B668" s="338">
        <f>IFERROR(__xludf.DUMMYFUNCTION("""COMPUTED_VALUE"""),1149.0)</f>
        <v>1149</v>
      </c>
      <c r="C668" s="354"/>
      <c r="D668" s="340" t="str">
        <f>IFERROR(__xludf.DUMMYFUNCTION("""COMPUTED_VALUE"""),"")</f>
        <v/>
      </c>
      <c r="E668" s="341">
        <f>IFERROR(__xludf.DUMMYFUNCTION("""COMPUTED_VALUE"""),0.0)</f>
        <v>0</v>
      </c>
      <c r="F668" s="352"/>
      <c r="G668" s="343"/>
      <c r="H668" s="344">
        <f>IFERROR(__xludf.DUMMYFUNCTION("""COMPUTED_VALUE"""),0.0)</f>
        <v>0</v>
      </c>
      <c r="I668" s="353"/>
      <c r="J668" s="353"/>
      <c r="K668" s="346">
        <f>IFERROR(__xludf.DUMMYFUNCTION("""COMPUTED_VALUE"""),0.0)</f>
        <v>0</v>
      </c>
      <c r="L668" s="347">
        <f>IFERROR(__xludf.DUMMYFUNCTION("""COMPUTED_VALUE"""),0.0)</f>
        <v>0</v>
      </c>
      <c r="M668" s="348">
        <f>IFERROR(__xludf.DUMMYFUNCTION("""COMPUTED_VALUE"""),0.0)</f>
        <v>0</v>
      </c>
      <c r="N668" s="348">
        <f>IFERROR(__xludf.DUMMYFUNCTION("""COMPUTED_VALUE"""),0.0)</f>
        <v>0</v>
      </c>
      <c r="O668" s="348">
        <f>IFERROR(__xludf.DUMMYFUNCTION("""COMPUTED_VALUE"""),0.0)</f>
        <v>0</v>
      </c>
      <c r="P668" s="348">
        <f>IFERROR(__xludf.DUMMYFUNCTION("""COMPUTED_VALUE"""),0.0)</f>
        <v>0</v>
      </c>
      <c r="Q668" s="348">
        <f>IFERROR(__xludf.DUMMYFUNCTION("""COMPUTED_VALUE"""),0.0)</f>
        <v>0</v>
      </c>
      <c r="R668" s="355" t="str">
        <f>IFERROR(__xludf.DUMMYFUNCTION("""COMPUTED_VALUE""")," Cash Proyek ")</f>
        <v>Cash Proyek</v>
      </c>
      <c r="S668" s="350"/>
      <c r="T668" s="262"/>
      <c r="U668" s="351"/>
      <c r="V668" s="262"/>
      <c r="W668" s="262"/>
      <c r="X668" s="262"/>
      <c r="Y668" s="262"/>
      <c r="Z668" s="262"/>
      <c r="AA668" s="262"/>
      <c r="AB668" s="262"/>
      <c r="AC668" s="262"/>
      <c r="AD668" s="262"/>
      <c r="AE668" s="262"/>
      <c r="AF668" s="262"/>
      <c r="AG668" s="264"/>
      <c r="AH668" s="264"/>
      <c r="AI668" s="264"/>
      <c r="AJ668" s="264"/>
      <c r="AK668" s="264"/>
      <c r="AL668" s="264"/>
      <c r="AM668" s="264"/>
      <c r="AN668" s="264"/>
    </row>
    <row r="669" ht="15.75" customHeight="1">
      <c r="A669" s="262"/>
      <c r="B669" s="338">
        <f>IFERROR(__xludf.DUMMYFUNCTION("""COMPUTED_VALUE"""),1150.0)</f>
        <v>1150</v>
      </c>
      <c r="C669" s="354"/>
      <c r="D669" s="340" t="str">
        <f>IFERROR(__xludf.DUMMYFUNCTION("""COMPUTED_VALUE"""),"")</f>
        <v/>
      </c>
      <c r="E669" s="341">
        <f>IFERROR(__xludf.DUMMYFUNCTION("""COMPUTED_VALUE"""),0.0)</f>
        <v>0</v>
      </c>
      <c r="F669" s="352"/>
      <c r="G669" s="343"/>
      <c r="H669" s="344">
        <f>IFERROR(__xludf.DUMMYFUNCTION("""COMPUTED_VALUE"""),0.0)</f>
        <v>0</v>
      </c>
      <c r="I669" s="353"/>
      <c r="J669" s="353"/>
      <c r="K669" s="346">
        <f>IFERROR(__xludf.DUMMYFUNCTION("""COMPUTED_VALUE"""),0.0)</f>
        <v>0</v>
      </c>
      <c r="L669" s="347">
        <f>IFERROR(__xludf.DUMMYFUNCTION("""COMPUTED_VALUE"""),0.0)</f>
        <v>0</v>
      </c>
      <c r="M669" s="348">
        <f>IFERROR(__xludf.DUMMYFUNCTION("""COMPUTED_VALUE"""),0.0)</f>
        <v>0</v>
      </c>
      <c r="N669" s="348">
        <f>IFERROR(__xludf.DUMMYFUNCTION("""COMPUTED_VALUE"""),0.0)</f>
        <v>0</v>
      </c>
      <c r="O669" s="348">
        <f>IFERROR(__xludf.DUMMYFUNCTION("""COMPUTED_VALUE"""),0.0)</f>
        <v>0</v>
      </c>
      <c r="P669" s="348">
        <f>IFERROR(__xludf.DUMMYFUNCTION("""COMPUTED_VALUE"""),0.0)</f>
        <v>0</v>
      </c>
      <c r="Q669" s="348">
        <f>IFERROR(__xludf.DUMMYFUNCTION("""COMPUTED_VALUE"""),0.0)</f>
        <v>0</v>
      </c>
      <c r="R669" s="355" t="str">
        <f>IFERROR(__xludf.DUMMYFUNCTION("""COMPUTED_VALUE""")," Cash Proyek ")</f>
        <v>Cash Proyek</v>
      </c>
      <c r="S669" s="350"/>
      <c r="T669" s="262"/>
      <c r="U669" s="351"/>
      <c r="V669" s="262"/>
      <c r="W669" s="262"/>
      <c r="X669" s="262"/>
      <c r="Y669" s="262"/>
      <c r="Z669" s="262"/>
      <c r="AA669" s="262"/>
      <c r="AB669" s="262"/>
      <c r="AC669" s="262"/>
      <c r="AD669" s="262"/>
      <c r="AE669" s="262"/>
      <c r="AF669" s="262"/>
      <c r="AG669" s="264"/>
      <c r="AH669" s="264"/>
      <c r="AI669" s="264"/>
      <c r="AJ669" s="264"/>
      <c r="AK669" s="264"/>
      <c r="AL669" s="264"/>
      <c r="AM669" s="264"/>
      <c r="AN669" s="264"/>
    </row>
    <row r="670" ht="15.75" customHeight="1">
      <c r="A670" s="262"/>
      <c r="B670" s="338">
        <f>IFERROR(__xludf.DUMMYFUNCTION("""COMPUTED_VALUE"""),1151.0)</f>
        <v>1151</v>
      </c>
      <c r="C670" s="354"/>
      <c r="D670" s="340" t="str">
        <f>IFERROR(__xludf.DUMMYFUNCTION("""COMPUTED_VALUE"""),"")</f>
        <v/>
      </c>
      <c r="E670" s="341">
        <f>IFERROR(__xludf.DUMMYFUNCTION("""COMPUTED_VALUE"""),0.0)</f>
        <v>0</v>
      </c>
      <c r="F670" s="352"/>
      <c r="G670" s="343"/>
      <c r="H670" s="344">
        <f>IFERROR(__xludf.DUMMYFUNCTION("""COMPUTED_VALUE"""),0.0)</f>
        <v>0</v>
      </c>
      <c r="I670" s="353"/>
      <c r="J670" s="353"/>
      <c r="K670" s="346">
        <f>IFERROR(__xludf.DUMMYFUNCTION("""COMPUTED_VALUE"""),0.0)</f>
        <v>0</v>
      </c>
      <c r="L670" s="347">
        <f>IFERROR(__xludf.DUMMYFUNCTION("""COMPUTED_VALUE"""),0.0)</f>
        <v>0</v>
      </c>
      <c r="M670" s="348">
        <f>IFERROR(__xludf.DUMMYFUNCTION("""COMPUTED_VALUE"""),0.0)</f>
        <v>0</v>
      </c>
      <c r="N670" s="348">
        <f>IFERROR(__xludf.DUMMYFUNCTION("""COMPUTED_VALUE"""),0.0)</f>
        <v>0</v>
      </c>
      <c r="O670" s="348">
        <f>IFERROR(__xludf.DUMMYFUNCTION("""COMPUTED_VALUE"""),0.0)</f>
        <v>0</v>
      </c>
      <c r="P670" s="348">
        <f>IFERROR(__xludf.DUMMYFUNCTION("""COMPUTED_VALUE"""),0.0)</f>
        <v>0</v>
      </c>
      <c r="Q670" s="348">
        <f>IFERROR(__xludf.DUMMYFUNCTION("""COMPUTED_VALUE"""),0.0)</f>
        <v>0</v>
      </c>
      <c r="R670" s="355" t="str">
        <f>IFERROR(__xludf.DUMMYFUNCTION("""COMPUTED_VALUE""")," Cash Proyek ")</f>
        <v>Cash Proyek</v>
      </c>
      <c r="S670" s="350"/>
      <c r="T670" s="262"/>
      <c r="U670" s="351"/>
      <c r="V670" s="262"/>
      <c r="W670" s="262"/>
      <c r="X670" s="262"/>
      <c r="Y670" s="262"/>
      <c r="Z670" s="262"/>
      <c r="AA670" s="262"/>
      <c r="AB670" s="262"/>
      <c r="AC670" s="262"/>
      <c r="AD670" s="262"/>
      <c r="AE670" s="262"/>
      <c r="AF670" s="262"/>
      <c r="AG670" s="264"/>
      <c r="AH670" s="264"/>
      <c r="AI670" s="264"/>
      <c r="AJ670" s="264"/>
      <c r="AK670" s="264"/>
      <c r="AL670" s="264"/>
      <c r="AM670" s="264"/>
      <c r="AN670" s="264"/>
    </row>
    <row r="671" ht="15.75" customHeight="1">
      <c r="A671" s="262"/>
      <c r="B671" s="338">
        <f>IFERROR(__xludf.DUMMYFUNCTION("""COMPUTED_VALUE"""),1152.0)</f>
        <v>1152</v>
      </c>
      <c r="C671" s="354"/>
      <c r="D671" s="340" t="str">
        <f>IFERROR(__xludf.DUMMYFUNCTION("""COMPUTED_VALUE"""),"")</f>
        <v/>
      </c>
      <c r="E671" s="341">
        <f>IFERROR(__xludf.DUMMYFUNCTION("""COMPUTED_VALUE"""),0.0)</f>
        <v>0</v>
      </c>
      <c r="F671" s="352"/>
      <c r="G671" s="343"/>
      <c r="H671" s="344">
        <f>IFERROR(__xludf.DUMMYFUNCTION("""COMPUTED_VALUE"""),0.0)</f>
        <v>0</v>
      </c>
      <c r="I671" s="353"/>
      <c r="J671" s="353"/>
      <c r="K671" s="346">
        <f>IFERROR(__xludf.DUMMYFUNCTION("""COMPUTED_VALUE"""),0.0)</f>
        <v>0</v>
      </c>
      <c r="L671" s="347">
        <f>IFERROR(__xludf.DUMMYFUNCTION("""COMPUTED_VALUE"""),0.0)</f>
        <v>0</v>
      </c>
      <c r="M671" s="348">
        <f>IFERROR(__xludf.DUMMYFUNCTION("""COMPUTED_VALUE"""),0.0)</f>
        <v>0</v>
      </c>
      <c r="N671" s="348">
        <f>IFERROR(__xludf.DUMMYFUNCTION("""COMPUTED_VALUE"""),0.0)</f>
        <v>0</v>
      </c>
      <c r="O671" s="348">
        <f>IFERROR(__xludf.DUMMYFUNCTION("""COMPUTED_VALUE"""),0.0)</f>
        <v>0</v>
      </c>
      <c r="P671" s="348">
        <f>IFERROR(__xludf.DUMMYFUNCTION("""COMPUTED_VALUE"""),0.0)</f>
        <v>0</v>
      </c>
      <c r="Q671" s="348">
        <f>IFERROR(__xludf.DUMMYFUNCTION("""COMPUTED_VALUE"""),0.0)</f>
        <v>0</v>
      </c>
      <c r="R671" s="355" t="str">
        <f>IFERROR(__xludf.DUMMYFUNCTION("""COMPUTED_VALUE""")," Cash Proyek ")</f>
        <v>Cash Proyek</v>
      </c>
      <c r="S671" s="350"/>
      <c r="T671" s="262"/>
      <c r="U671" s="351"/>
      <c r="V671" s="262"/>
      <c r="W671" s="262"/>
      <c r="X671" s="262"/>
      <c r="Y671" s="262"/>
      <c r="Z671" s="262"/>
      <c r="AA671" s="262"/>
      <c r="AB671" s="262"/>
      <c r="AC671" s="262"/>
      <c r="AD671" s="262"/>
      <c r="AE671" s="262"/>
      <c r="AF671" s="262"/>
      <c r="AG671" s="264"/>
      <c r="AH671" s="264"/>
      <c r="AI671" s="264"/>
      <c r="AJ671" s="264"/>
      <c r="AK671" s="264"/>
      <c r="AL671" s="264"/>
      <c r="AM671" s="264"/>
      <c r="AN671" s="264"/>
    </row>
    <row r="672" ht="15.75" customHeight="1">
      <c r="A672" s="262"/>
      <c r="B672" s="338">
        <f>IFERROR(__xludf.DUMMYFUNCTION("""COMPUTED_VALUE"""),1153.0)</f>
        <v>1153</v>
      </c>
      <c r="C672" s="354"/>
      <c r="D672" s="340" t="str">
        <f>IFERROR(__xludf.DUMMYFUNCTION("""COMPUTED_VALUE"""),"")</f>
        <v/>
      </c>
      <c r="E672" s="341">
        <f>IFERROR(__xludf.DUMMYFUNCTION("""COMPUTED_VALUE"""),0.0)</f>
        <v>0</v>
      </c>
      <c r="F672" s="352"/>
      <c r="G672" s="343"/>
      <c r="H672" s="344">
        <f>IFERROR(__xludf.DUMMYFUNCTION("""COMPUTED_VALUE"""),0.0)</f>
        <v>0</v>
      </c>
      <c r="I672" s="353"/>
      <c r="J672" s="353"/>
      <c r="K672" s="346">
        <f>IFERROR(__xludf.DUMMYFUNCTION("""COMPUTED_VALUE"""),0.0)</f>
        <v>0</v>
      </c>
      <c r="L672" s="347">
        <f>IFERROR(__xludf.DUMMYFUNCTION("""COMPUTED_VALUE"""),0.0)</f>
        <v>0</v>
      </c>
      <c r="M672" s="348">
        <f>IFERROR(__xludf.DUMMYFUNCTION("""COMPUTED_VALUE"""),0.0)</f>
        <v>0</v>
      </c>
      <c r="N672" s="348">
        <f>IFERROR(__xludf.DUMMYFUNCTION("""COMPUTED_VALUE"""),0.0)</f>
        <v>0</v>
      </c>
      <c r="O672" s="348">
        <f>IFERROR(__xludf.DUMMYFUNCTION("""COMPUTED_VALUE"""),0.0)</f>
        <v>0</v>
      </c>
      <c r="P672" s="348">
        <f>IFERROR(__xludf.DUMMYFUNCTION("""COMPUTED_VALUE"""),0.0)</f>
        <v>0</v>
      </c>
      <c r="Q672" s="348">
        <f>IFERROR(__xludf.DUMMYFUNCTION("""COMPUTED_VALUE"""),0.0)</f>
        <v>0</v>
      </c>
      <c r="R672" s="355" t="str">
        <f>IFERROR(__xludf.DUMMYFUNCTION("""COMPUTED_VALUE""")," Cash Proyek ")</f>
        <v>Cash Proyek</v>
      </c>
      <c r="S672" s="350"/>
      <c r="T672" s="262"/>
      <c r="U672" s="351"/>
      <c r="V672" s="262"/>
      <c r="W672" s="262"/>
      <c r="X672" s="262"/>
      <c r="Y672" s="262"/>
      <c r="Z672" s="262"/>
      <c r="AA672" s="262"/>
      <c r="AB672" s="262"/>
      <c r="AC672" s="262"/>
      <c r="AD672" s="262"/>
      <c r="AE672" s="262"/>
      <c r="AF672" s="262"/>
      <c r="AG672" s="264"/>
      <c r="AH672" s="264"/>
      <c r="AI672" s="264"/>
      <c r="AJ672" s="264"/>
      <c r="AK672" s="264"/>
      <c r="AL672" s="264"/>
      <c r="AM672" s="264"/>
      <c r="AN672" s="264"/>
    </row>
    <row r="673" ht="15.75" customHeight="1">
      <c r="A673" s="262"/>
      <c r="B673" s="338">
        <f>IFERROR(__xludf.DUMMYFUNCTION("""COMPUTED_VALUE"""),1154.0)</f>
        <v>1154</v>
      </c>
      <c r="C673" s="354"/>
      <c r="D673" s="340" t="str">
        <f>IFERROR(__xludf.DUMMYFUNCTION("""COMPUTED_VALUE"""),"")</f>
        <v/>
      </c>
      <c r="E673" s="341">
        <f>IFERROR(__xludf.DUMMYFUNCTION("""COMPUTED_VALUE"""),0.0)</f>
        <v>0</v>
      </c>
      <c r="F673" s="352"/>
      <c r="G673" s="343"/>
      <c r="H673" s="344">
        <f>IFERROR(__xludf.DUMMYFUNCTION("""COMPUTED_VALUE"""),0.0)</f>
        <v>0</v>
      </c>
      <c r="I673" s="353"/>
      <c r="J673" s="353"/>
      <c r="K673" s="346">
        <f>IFERROR(__xludf.DUMMYFUNCTION("""COMPUTED_VALUE"""),0.0)</f>
        <v>0</v>
      </c>
      <c r="L673" s="347">
        <f>IFERROR(__xludf.DUMMYFUNCTION("""COMPUTED_VALUE"""),0.0)</f>
        <v>0</v>
      </c>
      <c r="M673" s="348">
        <f>IFERROR(__xludf.DUMMYFUNCTION("""COMPUTED_VALUE"""),0.0)</f>
        <v>0</v>
      </c>
      <c r="N673" s="348">
        <f>IFERROR(__xludf.DUMMYFUNCTION("""COMPUTED_VALUE"""),0.0)</f>
        <v>0</v>
      </c>
      <c r="O673" s="348">
        <f>IFERROR(__xludf.DUMMYFUNCTION("""COMPUTED_VALUE"""),0.0)</f>
        <v>0</v>
      </c>
      <c r="P673" s="348">
        <f>IFERROR(__xludf.DUMMYFUNCTION("""COMPUTED_VALUE"""),0.0)</f>
        <v>0</v>
      </c>
      <c r="Q673" s="348">
        <f>IFERROR(__xludf.DUMMYFUNCTION("""COMPUTED_VALUE"""),0.0)</f>
        <v>0</v>
      </c>
      <c r="R673" s="355" t="str">
        <f>IFERROR(__xludf.DUMMYFUNCTION("""COMPUTED_VALUE""")," Cash Proyek ")</f>
        <v>Cash Proyek</v>
      </c>
      <c r="S673" s="350"/>
      <c r="T673" s="262"/>
      <c r="U673" s="351"/>
      <c r="V673" s="262"/>
      <c r="W673" s="262"/>
      <c r="X673" s="262"/>
      <c r="Y673" s="262"/>
      <c r="Z673" s="262"/>
      <c r="AA673" s="262"/>
      <c r="AB673" s="262"/>
      <c r="AC673" s="262"/>
      <c r="AD673" s="262"/>
      <c r="AE673" s="262"/>
      <c r="AF673" s="262"/>
      <c r="AG673" s="264"/>
      <c r="AH673" s="264"/>
      <c r="AI673" s="264"/>
      <c r="AJ673" s="264"/>
      <c r="AK673" s="264"/>
      <c r="AL673" s="264"/>
      <c r="AM673" s="264"/>
      <c r="AN673" s="264"/>
    </row>
    <row r="674" ht="15.75" customHeight="1">
      <c r="A674" s="262"/>
      <c r="B674" s="338">
        <f>IFERROR(__xludf.DUMMYFUNCTION("""COMPUTED_VALUE"""),1155.0)</f>
        <v>1155</v>
      </c>
      <c r="C674" s="354"/>
      <c r="D674" s="340" t="str">
        <f>IFERROR(__xludf.DUMMYFUNCTION("""COMPUTED_VALUE"""),"")</f>
        <v/>
      </c>
      <c r="E674" s="341">
        <f>IFERROR(__xludf.DUMMYFUNCTION("""COMPUTED_VALUE"""),0.0)</f>
        <v>0</v>
      </c>
      <c r="F674" s="352"/>
      <c r="G674" s="343"/>
      <c r="H674" s="344">
        <f>IFERROR(__xludf.DUMMYFUNCTION("""COMPUTED_VALUE"""),0.0)</f>
        <v>0</v>
      </c>
      <c r="I674" s="353"/>
      <c r="J674" s="353"/>
      <c r="K674" s="346">
        <f>IFERROR(__xludf.DUMMYFUNCTION("""COMPUTED_VALUE"""),0.0)</f>
        <v>0</v>
      </c>
      <c r="L674" s="347">
        <f>IFERROR(__xludf.DUMMYFUNCTION("""COMPUTED_VALUE"""),0.0)</f>
        <v>0</v>
      </c>
      <c r="M674" s="348">
        <f>IFERROR(__xludf.DUMMYFUNCTION("""COMPUTED_VALUE"""),0.0)</f>
        <v>0</v>
      </c>
      <c r="N674" s="348">
        <f>IFERROR(__xludf.DUMMYFUNCTION("""COMPUTED_VALUE"""),0.0)</f>
        <v>0</v>
      </c>
      <c r="O674" s="348">
        <f>IFERROR(__xludf.DUMMYFUNCTION("""COMPUTED_VALUE"""),0.0)</f>
        <v>0</v>
      </c>
      <c r="P674" s="348">
        <f>IFERROR(__xludf.DUMMYFUNCTION("""COMPUTED_VALUE"""),0.0)</f>
        <v>0</v>
      </c>
      <c r="Q674" s="348">
        <f>IFERROR(__xludf.DUMMYFUNCTION("""COMPUTED_VALUE"""),0.0)</f>
        <v>0</v>
      </c>
      <c r="R674" s="355" t="str">
        <f>IFERROR(__xludf.DUMMYFUNCTION("""COMPUTED_VALUE""")," Cash Proyek ")</f>
        <v>Cash Proyek</v>
      </c>
      <c r="S674" s="350"/>
      <c r="T674" s="262"/>
      <c r="U674" s="351"/>
      <c r="V674" s="262"/>
      <c r="W674" s="262"/>
      <c r="X674" s="262"/>
      <c r="Y674" s="262"/>
      <c r="Z674" s="262"/>
      <c r="AA674" s="262"/>
      <c r="AB674" s="262"/>
      <c r="AC674" s="262"/>
      <c r="AD674" s="262"/>
      <c r="AE674" s="262"/>
      <c r="AF674" s="262"/>
      <c r="AG674" s="264"/>
      <c r="AH674" s="264"/>
      <c r="AI674" s="264"/>
      <c r="AJ674" s="264"/>
      <c r="AK674" s="264"/>
      <c r="AL674" s="264"/>
      <c r="AM674" s="264"/>
      <c r="AN674" s="264"/>
    </row>
    <row r="675" ht="15.75" customHeight="1">
      <c r="A675" s="262"/>
      <c r="B675" s="338">
        <f>IFERROR(__xludf.DUMMYFUNCTION("""COMPUTED_VALUE"""),1156.0)</f>
        <v>1156</v>
      </c>
      <c r="C675" s="354"/>
      <c r="D675" s="340" t="str">
        <f>IFERROR(__xludf.DUMMYFUNCTION("""COMPUTED_VALUE"""),"")</f>
        <v/>
      </c>
      <c r="E675" s="341">
        <f>IFERROR(__xludf.DUMMYFUNCTION("""COMPUTED_VALUE"""),0.0)</f>
        <v>0</v>
      </c>
      <c r="F675" s="352"/>
      <c r="G675" s="343"/>
      <c r="H675" s="344">
        <f>IFERROR(__xludf.DUMMYFUNCTION("""COMPUTED_VALUE"""),0.0)</f>
        <v>0</v>
      </c>
      <c r="I675" s="353"/>
      <c r="J675" s="353"/>
      <c r="K675" s="346">
        <f>IFERROR(__xludf.DUMMYFUNCTION("""COMPUTED_VALUE"""),0.0)</f>
        <v>0</v>
      </c>
      <c r="L675" s="347">
        <f>IFERROR(__xludf.DUMMYFUNCTION("""COMPUTED_VALUE"""),0.0)</f>
        <v>0</v>
      </c>
      <c r="M675" s="348">
        <f>IFERROR(__xludf.DUMMYFUNCTION("""COMPUTED_VALUE"""),0.0)</f>
        <v>0</v>
      </c>
      <c r="N675" s="348">
        <f>IFERROR(__xludf.DUMMYFUNCTION("""COMPUTED_VALUE"""),0.0)</f>
        <v>0</v>
      </c>
      <c r="O675" s="348">
        <f>IFERROR(__xludf.DUMMYFUNCTION("""COMPUTED_VALUE"""),0.0)</f>
        <v>0</v>
      </c>
      <c r="P675" s="348">
        <f>IFERROR(__xludf.DUMMYFUNCTION("""COMPUTED_VALUE"""),0.0)</f>
        <v>0</v>
      </c>
      <c r="Q675" s="348">
        <f>IFERROR(__xludf.DUMMYFUNCTION("""COMPUTED_VALUE"""),0.0)</f>
        <v>0</v>
      </c>
      <c r="R675" s="355" t="str">
        <f>IFERROR(__xludf.DUMMYFUNCTION("""COMPUTED_VALUE""")," Cash Proyek ")</f>
        <v>Cash Proyek</v>
      </c>
      <c r="S675" s="350"/>
      <c r="T675" s="262"/>
      <c r="U675" s="351"/>
      <c r="V675" s="262"/>
      <c r="W675" s="262"/>
      <c r="X675" s="262"/>
      <c r="Y675" s="262"/>
      <c r="Z675" s="262"/>
      <c r="AA675" s="262"/>
      <c r="AB675" s="262"/>
      <c r="AC675" s="262"/>
      <c r="AD675" s="262"/>
      <c r="AE675" s="262"/>
      <c r="AF675" s="262"/>
      <c r="AG675" s="264"/>
      <c r="AH675" s="264"/>
      <c r="AI675" s="264"/>
      <c r="AJ675" s="264"/>
      <c r="AK675" s="264"/>
      <c r="AL675" s="264"/>
      <c r="AM675" s="264"/>
      <c r="AN675" s="264"/>
    </row>
    <row r="676" ht="15.75" customHeight="1">
      <c r="A676" s="262"/>
      <c r="B676" s="338">
        <f>IFERROR(__xludf.DUMMYFUNCTION("""COMPUTED_VALUE"""),1157.0)</f>
        <v>1157</v>
      </c>
      <c r="C676" s="354"/>
      <c r="D676" s="340" t="str">
        <f>IFERROR(__xludf.DUMMYFUNCTION("""COMPUTED_VALUE"""),"")</f>
        <v/>
      </c>
      <c r="E676" s="341">
        <f>IFERROR(__xludf.DUMMYFUNCTION("""COMPUTED_VALUE"""),0.0)</f>
        <v>0</v>
      </c>
      <c r="F676" s="352"/>
      <c r="G676" s="343"/>
      <c r="H676" s="344">
        <f>IFERROR(__xludf.DUMMYFUNCTION("""COMPUTED_VALUE"""),0.0)</f>
        <v>0</v>
      </c>
      <c r="I676" s="353"/>
      <c r="J676" s="353"/>
      <c r="K676" s="346">
        <f>IFERROR(__xludf.DUMMYFUNCTION("""COMPUTED_VALUE"""),0.0)</f>
        <v>0</v>
      </c>
      <c r="L676" s="347">
        <f>IFERROR(__xludf.DUMMYFUNCTION("""COMPUTED_VALUE"""),0.0)</f>
        <v>0</v>
      </c>
      <c r="M676" s="348">
        <f>IFERROR(__xludf.DUMMYFUNCTION("""COMPUTED_VALUE"""),0.0)</f>
        <v>0</v>
      </c>
      <c r="N676" s="348">
        <f>IFERROR(__xludf.DUMMYFUNCTION("""COMPUTED_VALUE"""),0.0)</f>
        <v>0</v>
      </c>
      <c r="O676" s="348">
        <f>IFERROR(__xludf.DUMMYFUNCTION("""COMPUTED_VALUE"""),0.0)</f>
        <v>0</v>
      </c>
      <c r="P676" s="348">
        <f>IFERROR(__xludf.DUMMYFUNCTION("""COMPUTED_VALUE"""),0.0)</f>
        <v>0</v>
      </c>
      <c r="Q676" s="348">
        <f>IFERROR(__xludf.DUMMYFUNCTION("""COMPUTED_VALUE"""),0.0)</f>
        <v>0</v>
      </c>
      <c r="R676" s="355" t="str">
        <f>IFERROR(__xludf.DUMMYFUNCTION("""COMPUTED_VALUE""")," Cash Proyek ")</f>
        <v>Cash Proyek</v>
      </c>
      <c r="S676" s="350"/>
      <c r="T676" s="262"/>
      <c r="U676" s="351"/>
      <c r="V676" s="262"/>
      <c r="W676" s="262"/>
      <c r="X676" s="262"/>
      <c r="Y676" s="262"/>
      <c r="Z676" s="262"/>
      <c r="AA676" s="262"/>
      <c r="AB676" s="262"/>
      <c r="AC676" s="262"/>
      <c r="AD676" s="262"/>
      <c r="AE676" s="262"/>
      <c r="AF676" s="262"/>
      <c r="AG676" s="264"/>
      <c r="AH676" s="264"/>
      <c r="AI676" s="264"/>
      <c r="AJ676" s="264"/>
      <c r="AK676" s="264"/>
      <c r="AL676" s="264"/>
      <c r="AM676" s="264"/>
      <c r="AN676" s="264"/>
    </row>
    <row r="677" ht="15.75" customHeight="1">
      <c r="A677" s="262"/>
      <c r="B677" s="338">
        <f>IFERROR(__xludf.DUMMYFUNCTION("""COMPUTED_VALUE"""),1158.0)</f>
        <v>1158</v>
      </c>
      <c r="C677" s="354"/>
      <c r="D677" s="340" t="str">
        <f>IFERROR(__xludf.DUMMYFUNCTION("""COMPUTED_VALUE"""),"")</f>
        <v/>
      </c>
      <c r="E677" s="341">
        <f>IFERROR(__xludf.DUMMYFUNCTION("""COMPUTED_VALUE"""),0.0)</f>
        <v>0</v>
      </c>
      <c r="F677" s="352"/>
      <c r="G677" s="343"/>
      <c r="H677" s="344">
        <f>IFERROR(__xludf.DUMMYFUNCTION("""COMPUTED_VALUE"""),0.0)</f>
        <v>0</v>
      </c>
      <c r="I677" s="353"/>
      <c r="J677" s="353"/>
      <c r="K677" s="346">
        <f>IFERROR(__xludf.DUMMYFUNCTION("""COMPUTED_VALUE"""),0.0)</f>
        <v>0</v>
      </c>
      <c r="L677" s="347">
        <f>IFERROR(__xludf.DUMMYFUNCTION("""COMPUTED_VALUE"""),0.0)</f>
        <v>0</v>
      </c>
      <c r="M677" s="348">
        <f>IFERROR(__xludf.DUMMYFUNCTION("""COMPUTED_VALUE"""),0.0)</f>
        <v>0</v>
      </c>
      <c r="N677" s="348">
        <f>IFERROR(__xludf.DUMMYFUNCTION("""COMPUTED_VALUE"""),0.0)</f>
        <v>0</v>
      </c>
      <c r="O677" s="348">
        <f>IFERROR(__xludf.DUMMYFUNCTION("""COMPUTED_VALUE"""),0.0)</f>
        <v>0</v>
      </c>
      <c r="P677" s="348">
        <f>IFERROR(__xludf.DUMMYFUNCTION("""COMPUTED_VALUE"""),0.0)</f>
        <v>0</v>
      </c>
      <c r="Q677" s="348">
        <f>IFERROR(__xludf.DUMMYFUNCTION("""COMPUTED_VALUE"""),0.0)</f>
        <v>0</v>
      </c>
      <c r="R677" s="355" t="str">
        <f>IFERROR(__xludf.DUMMYFUNCTION("""COMPUTED_VALUE""")," Cash Proyek ")</f>
        <v>Cash Proyek</v>
      </c>
      <c r="S677" s="350"/>
      <c r="T677" s="262"/>
      <c r="U677" s="351"/>
      <c r="V677" s="262"/>
      <c r="W677" s="262"/>
      <c r="X677" s="262"/>
      <c r="Y677" s="262"/>
      <c r="Z677" s="262"/>
      <c r="AA677" s="262"/>
      <c r="AB677" s="262"/>
      <c r="AC677" s="262"/>
      <c r="AD677" s="262"/>
      <c r="AE677" s="262"/>
      <c r="AF677" s="262"/>
      <c r="AG677" s="264"/>
      <c r="AH677" s="264"/>
      <c r="AI677" s="264"/>
      <c r="AJ677" s="264"/>
      <c r="AK677" s="264"/>
      <c r="AL677" s="264"/>
      <c r="AM677" s="264"/>
      <c r="AN677" s="264"/>
    </row>
    <row r="678" ht="15.75" customHeight="1">
      <c r="A678" s="262"/>
      <c r="B678" s="338">
        <f>IFERROR(__xludf.DUMMYFUNCTION("""COMPUTED_VALUE"""),1159.0)</f>
        <v>1159</v>
      </c>
      <c r="C678" s="354"/>
      <c r="D678" s="340" t="str">
        <f>IFERROR(__xludf.DUMMYFUNCTION("""COMPUTED_VALUE"""),"")</f>
        <v/>
      </c>
      <c r="E678" s="341">
        <f>IFERROR(__xludf.DUMMYFUNCTION("""COMPUTED_VALUE"""),0.0)</f>
        <v>0</v>
      </c>
      <c r="F678" s="352"/>
      <c r="G678" s="343"/>
      <c r="H678" s="344">
        <f>IFERROR(__xludf.DUMMYFUNCTION("""COMPUTED_VALUE"""),0.0)</f>
        <v>0</v>
      </c>
      <c r="I678" s="353"/>
      <c r="J678" s="353"/>
      <c r="K678" s="346">
        <f>IFERROR(__xludf.DUMMYFUNCTION("""COMPUTED_VALUE"""),0.0)</f>
        <v>0</v>
      </c>
      <c r="L678" s="347">
        <f>IFERROR(__xludf.DUMMYFUNCTION("""COMPUTED_VALUE"""),0.0)</f>
        <v>0</v>
      </c>
      <c r="M678" s="348">
        <f>IFERROR(__xludf.DUMMYFUNCTION("""COMPUTED_VALUE"""),0.0)</f>
        <v>0</v>
      </c>
      <c r="N678" s="348">
        <f>IFERROR(__xludf.DUMMYFUNCTION("""COMPUTED_VALUE"""),0.0)</f>
        <v>0</v>
      </c>
      <c r="O678" s="348">
        <f>IFERROR(__xludf.DUMMYFUNCTION("""COMPUTED_VALUE"""),0.0)</f>
        <v>0</v>
      </c>
      <c r="P678" s="348">
        <f>IFERROR(__xludf.DUMMYFUNCTION("""COMPUTED_VALUE"""),0.0)</f>
        <v>0</v>
      </c>
      <c r="Q678" s="348">
        <f>IFERROR(__xludf.DUMMYFUNCTION("""COMPUTED_VALUE"""),0.0)</f>
        <v>0</v>
      </c>
      <c r="R678" s="355" t="str">
        <f>IFERROR(__xludf.DUMMYFUNCTION("""COMPUTED_VALUE""")," Cash Proyek ")</f>
        <v>Cash Proyek</v>
      </c>
      <c r="S678" s="350"/>
      <c r="T678" s="262"/>
      <c r="U678" s="351"/>
      <c r="V678" s="262"/>
      <c r="W678" s="262"/>
      <c r="X678" s="262"/>
      <c r="Y678" s="262"/>
      <c r="Z678" s="262"/>
      <c r="AA678" s="262"/>
      <c r="AB678" s="262"/>
      <c r="AC678" s="262"/>
      <c r="AD678" s="262"/>
      <c r="AE678" s="262"/>
      <c r="AF678" s="262"/>
      <c r="AG678" s="264"/>
      <c r="AH678" s="264"/>
      <c r="AI678" s="264"/>
      <c r="AJ678" s="264"/>
      <c r="AK678" s="264"/>
      <c r="AL678" s="264"/>
      <c r="AM678" s="264"/>
      <c r="AN678" s="264"/>
    </row>
    <row r="679" ht="15.75" customHeight="1">
      <c r="A679" s="262"/>
      <c r="B679" s="338">
        <f>IFERROR(__xludf.DUMMYFUNCTION("""COMPUTED_VALUE"""),1160.0)</f>
        <v>1160</v>
      </c>
      <c r="C679" s="354"/>
      <c r="D679" s="340" t="str">
        <f>IFERROR(__xludf.DUMMYFUNCTION("""COMPUTED_VALUE"""),"")</f>
        <v/>
      </c>
      <c r="E679" s="341">
        <f>IFERROR(__xludf.DUMMYFUNCTION("""COMPUTED_VALUE"""),0.0)</f>
        <v>0</v>
      </c>
      <c r="F679" s="352"/>
      <c r="G679" s="343"/>
      <c r="H679" s="344">
        <f>IFERROR(__xludf.DUMMYFUNCTION("""COMPUTED_VALUE"""),0.0)</f>
        <v>0</v>
      </c>
      <c r="I679" s="353"/>
      <c r="J679" s="353"/>
      <c r="K679" s="346">
        <f>IFERROR(__xludf.DUMMYFUNCTION("""COMPUTED_VALUE"""),0.0)</f>
        <v>0</v>
      </c>
      <c r="L679" s="347">
        <f>IFERROR(__xludf.DUMMYFUNCTION("""COMPUTED_VALUE"""),0.0)</f>
        <v>0</v>
      </c>
      <c r="M679" s="348">
        <f>IFERROR(__xludf.DUMMYFUNCTION("""COMPUTED_VALUE"""),0.0)</f>
        <v>0</v>
      </c>
      <c r="N679" s="348">
        <f>IFERROR(__xludf.DUMMYFUNCTION("""COMPUTED_VALUE"""),0.0)</f>
        <v>0</v>
      </c>
      <c r="O679" s="348">
        <f>IFERROR(__xludf.DUMMYFUNCTION("""COMPUTED_VALUE"""),0.0)</f>
        <v>0</v>
      </c>
      <c r="P679" s="348">
        <f>IFERROR(__xludf.DUMMYFUNCTION("""COMPUTED_VALUE"""),0.0)</f>
        <v>0</v>
      </c>
      <c r="Q679" s="348">
        <f>IFERROR(__xludf.DUMMYFUNCTION("""COMPUTED_VALUE"""),0.0)</f>
        <v>0</v>
      </c>
      <c r="R679" s="355" t="str">
        <f>IFERROR(__xludf.DUMMYFUNCTION("""COMPUTED_VALUE""")," Cash Proyek ")</f>
        <v>Cash Proyek</v>
      </c>
      <c r="S679" s="350"/>
      <c r="T679" s="262"/>
      <c r="U679" s="351"/>
      <c r="V679" s="262"/>
      <c r="W679" s="262"/>
      <c r="X679" s="262"/>
      <c r="Y679" s="262"/>
      <c r="Z679" s="262"/>
      <c r="AA679" s="262"/>
      <c r="AB679" s="262"/>
      <c r="AC679" s="262"/>
      <c r="AD679" s="262"/>
      <c r="AE679" s="262"/>
      <c r="AF679" s="262"/>
      <c r="AG679" s="264"/>
      <c r="AH679" s="264"/>
      <c r="AI679" s="264"/>
      <c r="AJ679" s="264"/>
      <c r="AK679" s="264"/>
      <c r="AL679" s="264"/>
      <c r="AM679" s="264"/>
      <c r="AN679" s="264"/>
    </row>
    <row r="680" ht="15.75" customHeight="1">
      <c r="A680" s="262"/>
      <c r="B680" s="338">
        <f>IFERROR(__xludf.DUMMYFUNCTION("""COMPUTED_VALUE"""),1161.0)</f>
        <v>1161</v>
      </c>
      <c r="C680" s="354"/>
      <c r="D680" s="340" t="str">
        <f>IFERROR(__xludf.DUMMYFUNCTION("""COMPUTED_VALUE"""),"")</f>
        <v/>
      </c>
      <c r="E680" s="341">
        <f>IFERROR(__xludf.DUMMYFUNCTION("""COMPUTED_VALUE"""),0.0)</f>
        <v>0</v>
      </c>
      <c r="F680" s="352"/>
      <c r="G680" s="343"/>
      <c r="H680" s="344">
        <f>IFERROR(__xludf.DUMMYFUNCTION("""COMPUTED_VALUE"""),0.0)</f>
        <v>0</v>
      </c>
      <c r="I680" s="353"/>
      <c r="J680" s="353"/>
      <c r="K680" s="346">
        <f>IFERROR(__xludf.DUMMYFUNCTION("""COMPUTED_VALUE"""),0.0)</f>
        <v>0</v>
      </c>
      <c r="L680" s="347">
        <f>IFERROR(__xludf.DUMMYFUNCTION("""COMPUTED_VALUE"""),0.0)</f>
        <v>0</v>
      </c>
      <c r="M680" s="348">
        <f>IFERROR(__xludf.DUMMYFUNCTION("""COMPUTED_VALUE"""),0.0)</f>
        <v>0</v>
      </c>
      <c r="N680" s="348">
        <f>IFERROR(__xludf.DUMMYFUNCTION("""COMPUTED_VALUE"""),0.0)</f>
        <v>0</v>
      </c>
      <c r="O680" s="348">
        <f>IFERROR(__xludf.DUMMYFUNCTION("""COMPUTED_VALUE"""),0.0)</f>
        <v>0</v>
      </c>
      <c r="P680" s="348">
        <f>IFERROR(__xludf.DUMMYFUNCTION("""COMPUTED_VALUE"""),0.0)</f>
        <v>0</v>
      </c>
      <c r="Q680" s="348">
        <f>IFERROR(__xludf.DUMMYFUNCTION("""COMPUTED_VALUE"""),0.0)</f>
        <v>0</v>
      </c>
      <c r="R680" s="355" t="str">
        <f>IFERROR(__xludf.DUMMYFUNCTION("""COMPUTED_VALUE""")," Cash Proyek ")</f>
        <v>Cash Proyek</v>
      </c>
      <c r="S680" s="350"/>
      <c r="T680" s="262"/>
      <c r="U680" s="351"/>
      <c r="V680" s="262"/>
      <c r="W680" s="262"/>
      <c r="X680" s="262"/>
      <c r="Y680" s="262"/>
      <c r="Z680" s="262"/>
      <c r="AA680" s="262"/>
      <c r="AB680" s="262"/>
      <c r="AC680" s="262"/>
      <c r="AD680" s="262"/>
      <c r="AE680" s="262"/>
      <c r="AF680" s="262"/>
      <c r="AG680" s="264"/>
      <c r="AH680" s="264"/>
      <c r="AI680" s="264"/>
      <c r="AJ680" s="264"/>
      <c r="AK680" s="264"/>
      <c r="AL680" s="264"/>
      <c r="AM680" s="264"/>
      <c r="AN680" s="264"/>
    </row>
    <row r="681" ht="15.75" customHeight="1">
      <c r="A681" s="262"/>
      <c r="B681" s="338">
        <f>IFERROR(__xludf.DUMMYFUNCTION("""COMPUTED_VALUE"""),1162.0)</f>
        <v>1162</v>
      </c>
      <c r="C681" s="354"/>
      <c r="D681" s="340" t="str">
        <f>IFERROR(__xludf.DUMMYFUNCTION("""COMPUTED_VALUE"""),"")</f>
        <v/>
      </c>
      <c r="E681" s="341">
        <f>IFERROR(__xludf.DUMMYFUNCTION("""COMPUTED_VALUE"""),0.0)</f>
        <v>0</v>
      </c>
      <c r="F681" s="352"/>
      <c r="G681" s="343"/>
      <c r="H681" s="344">
        <f>IFERROR(__xludf.DUMMYFUNCTION("""COMPUTED_VALUE"""),0.0)</f>
        <v>0</v>
      </c>
      <c r="I681" s="353"/>
      <c r="J681" s="353"/>
      <c r="K681" s="346">
        <f>IFERROR(__xludf.DUMMYFUNCTION("""COMPUTED_VALUE"""),0.0)</f>
        <v>0</v>
      </c>
      <c r="L681" s="347">
        <f>IFERROR(__xludf.DUMMYFUNCTION("""COMPUTED_VALUE"""),0.0)</f>
        <v>0</v>
      </c>
      <c r="M681" s="348">
        <f>IFERROR(__xludf.DUMMYFUNCTION("""COMPUTED_VALUE"""),0.0)</f>
        <v>0</v>
      </c>
      <c r="N681" s="348">
        <f>IFERROR(__xludf.DUMMYFUNCTION("""COMPUTED_VALUE"""),0.0)</f>
        <v>0</v>
      </c>
      <c r="O681" s="348">
        <f>IFERROR(__xludf.DUMMYFUNCTION("""COMPUTED_VALUE"""),0.0)</f>
        <v>0</v>
      </c>
      <c r="P681" s="348">
        <f>IFERROR(__xludf.DUMMYFUNCTION("""COMPUTED_VALUE"""),0.0)</f>
        <v>0</v>
      </c>
      <c r="Q681" s="348">
        <f>IFERROR(__xludf.DUMMYFUNCTION("""COMPUTED_VALUE"""),0.0)</f>
        <v>0</v>
      </c>
      <c r="R681" s="355" t="str">
        <f>IFERROR(__xludf.DUMMYFUNCTION("""COMPUTED_VALUE""")," Cash Proyek ")</f>
        <v>Cash Proyek</v>
      </c>
      <c r="S681" s="350"/>
      <c r="T681" s="262"/>
      <c r="U681" s="351"/>
      <c r="V681" s="262"/>
      <c r="W681" s="262"/>
      <c r="X681" s="262"/>
      <c r="Y681" s="262"/>
      <c r="Z681" s="262"/>
      <c r="AA681" s="262"/>
      <c r="AB681" s="262"/>
      <c r="AC681" s="262"/>
      <c r="AD681" s="262"/>
      <c r="AE681" s="262"/>
      <c r="AF681" s="262"/>
      <c r="AG681" s="264"/>
      <c r="AH681" s="264"/>
      <c r="AI681" s="264"/>
      <c r="AJ681" s="264"/>
      <c r="AK681" s="264"/>
      <c r="AL681" s="264"/>
      <c r="AM681" s="264"/>
      <c r="AN681" s="264"/>
    </row>
    <row r="682" ht="15.75" customHeight="1">
      <c r="A682" s="262"/>
      <c r="B682" s="338">
        <f>IFERROR(__xludf.DUMMYFUNCTION("""COMPUTED_VALUE"""),1163.0)</f>
        <v>1163</v>
      </c>
      <c r="C682" s="354"/>
      <c r="D682" s="340" t="str">
        <f>IFERROR(__xludf.DUMMYFUNCTION("""COMPUTED_VALUE"""),"")</f>
        <v/>
      </c>
      <c r="E682" s="341">
        <f>IFERROR(__xludf.DUMMYFUNCTION("""COMPUTED_VALUE"""),0.0)</f>
        <v>0</v>
      </c>
      <c r="F682" s="352"/>
      <c r="G682" s="343"/>
      <c r="H682" s="344">
        <f>IFERROR(__xludf.DUMMYFUNCTION("""COMPUTED_VALUE"""),0.0)</f>
        <v>0</v>
      </c>
      <c r="I682" s="353"/>
      <c r="J682" s="353"/>
      <c r="K682" s="346">
        <f>IFERROR(__xludf.DUMMYFUNCTION("""COMPUTED_VALUE"""),0.0)</f>
        <v>0</v>
      </c>
      <c r="L682" s="347">
        <f>IFERROR(__xludf.DUMMYFUNCTION("""COMPUTED_VALUE"""),0.0)</f>
        <v>0</v>
      </c>
      <c r="M682" s="348">
        <f>IFERROR(__xludf.DUMMYFUNCTION("""COMPUTED_VALUE"""),0.0)</f>
        <v>0</v>
      </c>
      <c r="N682" s="348">
        <f>IFERROR(__xludf.DUMMYFUNCTION("""COMPUTED_VALUE"""),0.0)</f>
        <v>0</v>
      </c>
      <c r="O682" s="348">
        <f>IFERROR(__xludf.DUMMYFUNCTION("""COMPUTED_VALUE"""),0.0)</f>
        <v>0</v>
      </c>
      <c r="P682" s="348">
        <f>IFERROR(__xludf.DUMMYFUNCTION("""COMPUTED_VALUE"""),0.0)</f>
        <v>0</v>
      </c>
      <c r="Q682" s="348">
        <f>IFERROR(__xludf.DUMMYFUNCTION("""COMPUTED_VALUE"""),0.0)</f>
        <v>0</v>
      </c>
      <c r="R682" s="355" t="str">
        <f>IFERROR(__xludf.DUMMYFUNCTION("""COMPUTED_VALUE""")," Cash Proyek ")</f>
        <v>Cash Proyek</v>
      </c>
      <c r="S682" s="350"/>
      <c r="T682" s="262"/>
      <c r="U682" s="351"/>
      <c r="V682" s="262"/>
      <c r="W682" s="262"/>
      <c r="X682" s="262"/>
      <c r="Y682" s="262"/>
      <c r="Z682" s="262"/>
      <c r="AA682" s="262"/>
      <c r="AB682" s="262"/>
      <c r="AC682" s="262"/>
      <c r="AD682" s="262"/>
      <c r="AE682" s="262"/>
      <c r="AF682" s="262"/>
      <c r="AG682" s="264"/>
      <c r="AH682" s="264"/>
      <c r="AI682" s="264"/>
      <c r="AJ682" s="264"/>
      <c r="AK682" s="264"/>
      <c r="AL682" s="264"/>
      <c r="AM682" s="264"/>
      <c r="AN682" s="264"/>
    </row>
    <row r="683" ht="15.75" customHeight="1">
      <c r="A683" s="262"/>
      <c r="B683" s="338">
        <f>IFERROR(__xludf.DUMMYFUNCTION("""COMPUTED_VALUE"""),1164.0)</f>
        <v>1164</v>
      </c>
      <c r="C683" s="354"/>
      <c r="D683" s="340" t="str">
        <f>IFERROR(__xludf.DUMMYFUNCTION("""COMPUTED_VALUE"""),"")</f>
        <v/>
      </c>
      <c r="E683" s="341">
        <f>IFERROR(__xludf.DUMMYFUNCTION("""COMPUTED_VALUE"""),0.0)</f>
        <v>0</v>
      </c>
      <c r="F683" s="352"/>
      <c r="G683" s="343"/>
      <c r="H683" s="344">
        <f>IFERROR(__xludf.DUMMYFUNCTION("""COMPUTED_VALUE"""),0.0)</f>
        <v>0</v>
      </c>
      <c r="I683" s="353"/>
      <c r="J683" s="353"/>
      <c r="K683" s="346">
        <f>IFERROR(__xludf.DUMMYFUNCTION("""COMPUTED_VALUE"""),0.0)</f>
        <v>0</v>
      </c>
      <c r="L683" s="347">
        <f>IFERROR(__xludf.DUMMYFUNCTION("""COMPUTED_VALUE"""),0.0)</f>
        <v>0</v>
      </c>
      <c r="M683" s="348">
        <f>IFERROR(__xludf.DUMMYFUNCTION("""COMPUTED_VALUE"""),0.0)</f>
        <v>0</v>
      </c>
      <c r="N683" s="348">
        <f>IFERROR(__xludf.DUMMYFUNCTION("""COMPUTED_VALUE"""),0.0)</f>
        <v>0</v>
      </c>
      <c r="O683" s="348">
        <f>IFERROR(__xludf.DUMMYFUNCTION("""COMPUTED_VALUE"""),0.0)</f>
        <v>0</v>
      </c>
      <c r="P683" s="348">
        <f>IFERROR(__xludf.DUMMYFUNCTION("""COMPUTED_VALUE"""),0.0)</f>
        <v>0</v>
      </c>
      <c r="Q683" s="348">
        <f>IFERROR(__xludf.DUMMYFUNCTION("""COMPUTED_VALUE"""),0.0)</f>
        <v>0</v>
      </c>
      <c r="R683" s="355" t="str">
        <f>IFERROR(__xludf.DUMMYFUNCTION("""COMPUTED_VALUE""")," Cash Proyek ")</f>
        <v>Cash Proyek</v>
      </c>
      <c r="S683" s="350"/>
      <c r="T683" s="262"/>
      <c r="U683" s="351"/>
      <c r="V683" s="262"/>
      <c r="W683" s="262"/>
      <c r="X683" s="262"/>
      <c r="Y683" s="262"/>
      <c r="Z683" s="262"/>
      <c r="AA683" s="262"/>
      <c r="AB683" s="262"/>
      <c r="AC683" s="262"/>
      <c r="AD683" s="262"/>
      <c r="AE683" s="262"/>
      <c r="AF683" s="262"/>
      <c r="AG683" s="264"/>
      <c r="AH683" s="264"/>
      <c r="AI683" s="264"/>
      <c r="AJ683" s="264"/>
      <c r="AK683" s="264"/>
      <c r="AL683" s="264"/>
      <c r="AM683" s="264"/>
      <c r="AN683" s="264"/>
    </row>
    <row r="684" ht="15.75" customHeight="1">
      <c r="A684" s="262"/>
      <c r="B684" s="338">
        <f>IFERROR(__xludf.DUMMYFUNCTION("""COMPUTED_VALUE"""),1165.0)</f>
        <v>1165</v>
      </c>
      <c r="C684" s="354"/>
      <c r="D684" s="340" t="str">
        <f>IFERROR(__xludf.DUMMYFUNCTION("""COMPUTED_VALUE"""),"")</f>
        <v/>
      </c>
      <c r="E684" s="341">
        <f>IFERROR(__xludf.DUMMYFUNCTION("""COMPUTED_VALUE"""),0.0)</f>
        <v>0</v>
      </c>
      <c r="F684" s="352"/>
      <c r="G684" s="343"/>
      <c r="H684" s="344">
        <f>IFERROR(__xludf.DUMMYFUNCTION("""COMPUTED_VALUE"""),0.0)</f>
        <v>0</v>
      </c>
      <c r="I684" s="353"/>
      <c r="J684" s="353"/>
      <c r="K684" s="346">
        <f>IFERROR(__xludf.DUMMYFUNCTION("""COMPUTED_VALUE"""),0.0)</f>
        <v>0</v>
      </c>
      <c r="L684" s="347">
        <f>IFERROR(__xludf.DUMMYFUNCTION("""COMPUTED_VALUE"""),0.0)</f>
        <v>0</v>
      </c>
      <c r="M684" s="348">
        <f>IFERROR(__xludf.DUMMYFUNCTION("""COMPUTED_VALUE"""),0.0)</f>
        <v>0</v>
      </c>
      <c r="N684" s="348">
        <f>IFERROR(__xludf.DUMMYFUNCTION("""COMPUTED_VALUE"""),0.0)</f>
        <v>0</v>
      </c>
      <c r="O684" s="348">
        <f>IFERROR(__xludf.DUMMYFUNCTION("""COMPUTED_VALUE"""),0.0)</f>
        <v>0</v>
      </c>
      <c r="P684" s="348">
        <f>IFERROR(__xludf.DUMMYFUNCTION("""COMPUTED_VALUE"""),0.0)</f>
        <v>0</v>
      </c>
      <c r="Q684" s="348">
        <f>IFERROR(__xludf.DUMMYFUNCTION("""COMPUTED_VALUE"""),0.0)</f>
        <v>0</v>
      </c>
      <c r="R684" s="355" t="str">
        <f>IFERROR(__xludf.DUMMYFUNCTION("""COMPUTED_VALUE""")," Cash Proyek ")</f>
        <v>Cash Proyek</v>
      </c>
      <c r="S684" s="350"/>
      <c r="T684" s="262"/>
      <c r="U684" s="351"/>
      <c r="V684" s="262"/>
      <c r="W684" s="262"/>
      <c r="X684" s="262"/>
      <c r="Y684" s="262"/>
      <c r="Z684" s="262"/>
      <c r="AA684" s="262"/>
      <c r="AB684" s="262"/>
      <c r="AC684" s="262"/>
      <c r="AD684" s="262"/>
      <c r="AE684" s="262"/>
      <c r="AF684" s="262"/>
      <c r="AG684" s="264"/>
      <c r="AH684" s="264"/>
      <c r="AI684" s="264"/>
      <c r="AJ684" s="264"/>
      <c r="AK684" s="264"/>
      <c r="AL684" s="264"/>
      <c r="AM684" s="264"/>
      <c r="AN684" s="264"/>
    </row>
    <row r="685" ht="15.75" customHeight="1">
      <c r="A685" s="262"/>
      <c r="B685" s="338">
        <f>IFERROR(__xludf.DUMMYFUNCTION("""COMPUTED_VALUE"""),1166.0)</f>
        <v>1166</v>
      </c>
      <c r="C685" s="354"/>
      <c r="D685" s="340" t="str">
        <f>IFERROR(__xludf.DUMMYFUNCTION("""COMPUTED_VALUE"""),"")</f>
        <v/>
      </c>
      <c r="E685" s="341">
        <f>IFERROR(__xludf.DUMMYFUNCTION("""COMPUTED_VALUE"""),0.0)</f>
        <v>0</v>
      </c>
      <c r="F685" s="352"/>
      <c r="G685" s="343"/>
      <c r="H685" s="344">
        <f>IFERROR(__xludf.DUMMYFUNCTION("""COMPUTED_VALUE"""),0.0)</f>
        <v>0</v>
      </c>
      <c r="I685" s="353"/>
      <c r="J685" s="353"/>
      <c r="K685" s="346">
        <f>IFERROR(__xludf.DUMMYFUNCTION("""COMPUTED_VALUE"""),0.0)</f>
        <v>0</v>
      </c>
      <c r="L685" s="347">
        <f>IFERROR(__xludf.DUMMYFUNCTION("""COMPUTED_VALUE"""),0.0)</f>
        <v>0</v>
      </c>
      <c r="M685" s="348">
        <f>IFERROR(__xludf.DUMMYFUNCTION("""COMPUTED_VALUE"""),0.0)</f>
        <v>0</v>
      </c>
      <c r="N685" s="348">
        <f>IFERROR(__xludf.DUMMYFUNCTION("""COMPUTED_VALUE"""),0.0)</f>
        <v>0</v>
      </c>
      <c r="O685" s="348">
        <f>IFERROR(__xludf.DUMMYFUNCTION("""COMPUTED_VALUE"""),0.0)</f>
        <v>0</v>
      </c>
      <c r="P685" s="348">
        <f>IFERROR(__xludf.DUMMYFUNCTION("""COMPUTED_VALUE"""),0.0)</f>
        <v>0</v>
      </c>
      <c r="Q685" s="348">
        <f>IFERROR(__xludf.DUMMYFUNCTION("""COMPUTED_VALUE"""),0.0)</f>
        <v>0</v>
      </c>
      <c r="R685" s="355" t="str">
        <f>IFERROR(__xludf.DUMMYFUNCTION("""COMPUTED_VALUE""")," Cash Proyek ")</f>
        <v>Cash Proyek</v>
      </c>
      <c r="S685" s="350"/>
      <c r="T685" s="262"/>
      <c r="U685" s="351"/>
      <c r="V685" s="262"/>
      <c r="W685" s="262"/>
      <c r="X685" s="262"/>
      <c r="Y685" s="262"/>
      <c r="Z685" s="262"/>
      <c r="AA685" s="262"/>
      <c r="AB685" s="262"/>
      <c r="AC685" s="262"/>
      <c r="AD685" s="262"/>
      <c r="AE685" s="262"/>
      <c r="AF685" s="262"/>
      <c r="AG685" s="264"/>
      <c r="AH685" s="264"/>
      <c r="AI685" s="264"/>
      <c r="AJ685" s="264"/>
      <c r="AK685" s="264"/>
      <c r="AL685" s="264"/>
      <c r="AM685" s="264"/>
      <c r="AN685" s="264"/>
    </row>
    <row r="686" ht="15.75" customHeight="1">
      <c r="A686" s="262"/>
      <c r="B686" s="338">
        <f>IFERROR(__xludf.DUMMYFUNCTION("""COMPUTED_VALUE"""),1167.0)</f>
        <v>1167</v>
      </c>
      <c r="C686" s="354"/>
      <c r="D686" s="340" t="str">
        <f>IFERROR(__xludf.DUMMYFUNCTION("""COMPUTED_VALUE"""),"")</f>
        <v/>
      </c>
      <c r="E686" s="341">
        <f>IFERROR(__xludf.DUMMYFUNCTION("""COMPUTED_VALUE"""),0.0)</f>
        <v>0</v>
      </c>
      <c r="F686" s="352"/>
      <c r="G686" s="343"/>
      <c r="H686" s="344">
        <f>IFERROR(__xludf.DUMMYFUNCTION("""COMPUTED_VALUE"""),0.0)</f>
        <v>0</v>
      </c>
      <c r="I686" s="353"/>
      <c r="J686" s="353"/>
      <c r="K686" s="346">
        <f>IFERROR(__xludf.DUMMYFUNCTION("""COMPUTED_VALUE"""),0.0)</f>
        <v>0</v>
      </c>
      <c r="L686" s="347">
        <f>IFERROR(__xludf.DUMMYFUNCTION("""COMPUTED_VALUE"""),0.0)</f>
        <v>0</v>
      </c>
      <c r="M686" s="348">
        <f>IFERROR(__xludf.DUMMYFUNCTION("""COMPUTED_VALUE"""),0.0)</f>
        <v>0</v>
      </c>
      <c r="N686" s="348">
        <f>IFERROR(__xludf.DUMMYFUNCTION("""COMPUTED_VALUE"""),0.0)</f>
        <v>0</v>
      </c>
      <c r="O686" s="348">
        <f>IFERROR(__xludf.DUMMYFUNCTION("""COMPUTED_VALUE"""),0.0)</f>
        <v>0</v>
      </c>
      <c r="P686" s="348">
        <f>IFERROR(__xludf.DUMMYFUNCTION("""COMPUTED_VALUE"""),0.0)</f>
        <v>0</v>
      </c>
      <c r="Q686" s="348">
        <f>IFERROR(__xludf.DUMMYFUNCTION("""COMPUTED_VALUE"""),0.0)</f>
        <v>0</v>
      </c>
      <c r="R686" s="355" t="str">
        <f>IFERROR(__xludf.DUMMYFUNCTION("""COMPUTED_VALUE""")," Cash Proyek ")</f>
        <v>Cash Proyek</v>
      </c>
      <c r="S686" s="350"/>
      <c r="T686" s="262"/>
      <c r="U686" s="351"/>
      <c r="V686" s="262"/>
      <c r="W686" s="262"/>
      <c r="X686" s="262"/>
      <c r="Y686" s="262"/>
      <c r="Z686" s="262"/>
      <c r="AA686" s="262"/>
      <c r="AB686" s="262"/>
      <c r="AC686" s="262"/>
      <c r="AD686" s="262"/>
      <c r="AE686" s="262"/>
      <c r="AF686" s="262"/>
      <c r="AG686" s="264"/>
      <c r="AH686" s="264"/>
      <c r="AI686" s="264"/>
      <c r="AJ686" s="264"/>
      <c r="AK686" s="264"/>
      <c r="AL686" s="264"/>
      <c r="AM686" s="264"/>
      <c r="AN686" s="264"/>
    </row>
    <row r="687" ht="15.75" customHeight="1">
      <c r="A687" s="262"/>
      <c r="B687" s="338">
        <f>IFERROR(__xludf.DUMMYFUNCTION("""COMPUTED_VALUE"""),1168.0)</f>
        <v>1168</v>
      </c>
      <c r="C687" s="354"/>
      <c r="D687" s="340" t="str">
        <f>IFERROR(__xludf.DUMMYFUNCTION("""COMPUTED_VALUE"""),"")</f>
        <v/>
      </c>
      <c r="E687" s="341">
        <f>IFERROR(__xludf.DUMMYFUNCTION("""COMPUTED_VALUE"""),0.0)</f>
        <v>0</v>
      </c>
      <c r="F687" s="352"/>
      <c r="G687" s="343"/>
      <c r="H687" s="344">
        <f>IFERROR(__xludf.DUMMYFUNCTION("""COMPUTED_VALUE"""),0.0)</f>
        <v>0</v>
      </c>
      <c r="I687" s="353"/>
      <c r="J687" s="353"/>
      <c r="K687" s="346">
        <f>IFERROR(__xludf.DUMMYFUNCTION("""COMPUTED_VALUE"""),0.0)</f>
        <v>0</v>
      </c>
      <c r="L687" s="347">
        <f>IFERROR(__xludf.DUMMYFUNCTION("""COMPUTED_VALUE"""),0.0)</f>
        <v>0</v>
      </c>
      <c r="M687" s="348">
        <f>IFERROR(__xludf.DUMMYFUNCTION("""COMPUTED_VALUE"""),0.0)</f>
        <v>0</v>
      </c>
      <c r="N687" s="348">
        <f>IFERROR(__xludf.DUMMYFUNCTION("""COMPUTED_VALUE"""),0.0)</f>
        <v>0</v>
      </c>
      <c r="O687" s="348">
        <f>IFERROR(__xludf.DUMMYFUNCTION("""COMPUTED_VALUE"""),0.0)</f>
        <v>0</v>
      </c>
      <c r="P687" s="348">
        <f>IFERROR(__xludf.DUMMYFUNCTION("""COMPUTED_VALUE"""),0.0)</f>
        <v>0</v>
      </c>
      <c r="Q687" s="348">
        <f>IFERROR(__xludf.DUMMYFUNCTION("""COMPUTED_VALUE"""),0.0)</f>
        <v>0</v>
      </c>
      <c r="R687" s="355" t="str">
        <f>IFERROR(__xludf.DUMMYFUNCTION("""COMPUTED_VALUE""")," Cash Proyek ")</f>
        <v>Cash Proyek</v>
      </c>
      <c r="S687" s="350"/>
      <c r="T687" s="262"/>
      <c r="U687" s="351"/>
      <c r="V687" s="262"/>
      <c r="W687" s="262"/>
      <c r="X687" s="262"/>
      <c r="Y687" s="262"/>
      <c r="Z687" s="262"/>
      <c r="AA687" s="262"/>
      <c r="AB687" s="262"/>
      <c r="AC687" s="262"/>
      <c r="AD687" s="262"/>
      <c r="AE687" s="262"/>
      <c r="AF687" s="262"/>
      <c r="AG687" s="264"/>
      <c r="AH687" s="264"/>
      <c r="AI687" s="264"/>
      <c r="AJ687" s="264"/>
      <c r="AK687" s="264"/>
      <c r="AL687" s="264"/>
      <c r="AM687" s="264"/>
      <c r="AN687" s="264"/>
    </row>
    <row r="688" ht="15.75" customHeight="1">
      <c r="A688" s="262"/>
      <c r="B688" s="338">
        <f>IFERROR(__xludf.DUMMYFUNCTION("""COMPUTED_VALUE"""),1169.0)</f>
        <v>1169</v>
      </c>
      <c r="C688" s="354"/>
      <c r="D688" s="340" t="str">
        <f>IFERROR(__xludf.DUMMYFUNCTION("""COMPUTED_VALUE"""),"")</f>
        <v/>
      </c>
      <c r="E688" s="341">
        <f>IFERROR(__xludf.DUMMYFUNCTION("""COMPUTED_VALUE"""),0.0)</f>
        <v>0</v>
      </c>
      <c r="F688" s="352"/>
      <c r="G688" s="343"/>
      <c r="H688" s="344">
        <f>IFERROR(__xludf.DUMMYFUNCTION("""COMPUTED_VALUE"""),0.0)</f>
        <v>0</v>
      </c>
      <c r="I688" s="353"/>
      <c r="J688" s="353"/>
      <c r="K688" s="346">
        <f>IFERROR(__xludf.DUMMYFUNCTION("""COMPUTED_VALUE"""),0.0)</f>
        <v>0</v>
      </c>
      <c r="L688" s="347">
        <f>IFERROR(__xludf.DUMMYFUNCTION("""COMPUTED_VALUE"""),0.0)</f>
        <v>0</v>
      </c>
      <c r="M688" s="348">
        <f>IFERROR(__xludf.DUMMYFUNCTION("""COMPUTED_VALUE"""),0.0)</f>
        <v>0</v>
      </c>
      <c r="N688" s="348">
        <f>IFERROR(__xludf.DUMMYFUNCTION("""COMPUTED_VALUE"""),0.0)</f>
        <v>0</v>
      </c>
      <c r="O688" s="348">
        <f>IFERROR(__xludf.DUMMYFUNCTION("""COMPUTED_VALUE"""),0.0)</f>
        <v>0</v>
      </c>
      <c r="P688" s="348">
        <f>IFERROR(__xludf.DUMMYFUNCTION("""COMPUTED_VALUE"""),0.0)</f>
        <v>0</v>
      </c>
      <c r="Q688" s="348">
        <f>IFERROR(__xludf.DUMMYFUNCTION("""COMPUTED_VALUE"""),0.0)</f>
        <v>0</v>
      </c>
      <c r="R688" s="355" t="str">
        <f>IFERROR(__xludf.DUMMYFUNCTION("""COMPUTED_VALUE""")," Cash Proyek ")</f>
        <v>Cash Proyek</v>
      </c>
      <c r="S688" s="350"/>
      <c r="T688" s="262"/>
      <c r="U688" s="351"/>
      <c r="V688" s="262"/>
      <c r="W688" s="262"/>
      <c r="X688" s="262"/>
      <c r="Y688" s="262"/>
      <c r="Z688" s="262"/>
      <c r="AA688" s="262"/>
      <c r="AB688" s="262"/>
      <c r="AC688" s="262"/>
      <c r="AD688" s="262"/>
      <c r="AE688" s="262"/>
      <c r="AF688" s="262"/>
      <c r="AG688" s="264"/>
      <c r="AH688" s="264"/>
      <c r="AI688" s="264"/>
      <c r="AJ688" s="264"/>
      <c r="AK688" s="264"/>
      <c r="AL688" s="264"/>
      <c r="AM688" s="264"/>
      <c r="AN688" s="264"/>
    </row>
    <row r="689" ht="15.75" customHeight="1">
      <c r="A689" s="262"/>
      <c r="B689" s="338">
        <f>IFERROR(__xludf.DUMMYFUNCTION("""COMPUTED_VALUE"""),1170.0)</f>
        <v>1170</v>
      </c>
      <c r="C689" s="354"/>
      <c r="D689" s="340" t="str">
        <f>IFERROR(__xludf.DUMMYFUNCTION("""COMPUTED_VALUE"""),"")</f>
        <v/>
      </c>
      <c r="E689" s="341">
        <f>IFERROR(__xludf.DUMMYFUNCTION("""COMPUTED_VALUE"""),0.0)</f>
        <v>0</v>
      </c>
      <c r="F689" s="352"/>
      <c r="G689" s="343"/>
      <c r="H689" s="344">
        <f>IFERROR(__xludf.DUMMYFUNCTION("""COMPUTED_VALUE"""),0.0)</f>
        <v>0</v>
      </c>
      <c r="I689" s="353"/>
      <c r="J689" s="353"/>
      <c r="K689" s="346">
        <f>IFERROR(__xludf.DUMMYFUNCTION("""COMPUTED_VALUE"""),0.0)</f>
        <v>0</v>
      </c>
      <c r="L689" s="347">
        <f>IFERROR(__xludf.DUMMYFUNCTION("""COMPUTED_VALUE"""),0.0)</f>
        <v>0</v>
      </c>
      <c r="M689" s="348">
        <f>IFERROR(__xludf.DUMMYFUNCTION("""COMPUTED_VALUE"""),0.0)</f>
        <v>0</v>
      </c>
      <c r="N689" s="348">
        <f>IFERROR(__xludf.DUMMYFUNCTION("""COMPUTED_VALUE"""),0.0)</f>
        <v>0</v>
      </c>
      <c r="O689" s="348">
        <f>IFERROR(__xludf.DUMMYFUNCTION("""COMPUTED_VALUE"""),0.0)</f>
        <v>0</v>
      </c>
      <c r="P689" s="348">
        <f>IFERROR(__xludf.DUMMYFUNCTION("""COMPUTED_VALUE"""),0.0)</f>
        <v>0</v>
      </c>
      <c r="Q689" s="348">
        <f>IFERROR(__xludf.DUMMYFUNCTION("""COMPUTED_VALUE"""),0.0)</f>
        <v>0</v>
      </c>
      <c r="R689" s="355" t="str">
        <f>IFERROR(__xludf.DUMMYFUNCTION("""COMPUTED_VALUE""")," Cash Proyek ")</f>
        <v>Cash Proyek</v>
      </c>
      <c r="S689" s="350"/>
      <c r="T689" s="262"/>
      <c r="U689" s="351"/>
      <c r="V689" s="262"/>
      <c r="W689" s="262"/>
      <c r="X689" s="262"/>
      <c r="Y689" s="262"/>
      <c r="Z689" s="262"/>
      <c r="AA689" s="262"/>
      <c r="AB689" s="262"/>
      <c r="AC689" s="262"/>
      <c r="AD689" s="262"/>
      <c r="AE689" s="262"/>
      <c r="AF689" s="262"/>
      <c r="AG689" s="264"/>
      <c r="AH689" s="264"/>
      <c r="AI689" s="264"/>
      <c r="AJ689" s="264"/>
      <c r="AK689" s="264"/>
      <c r="AL689" s="264"/>
      <c r="AM689" s="264"/>
      <c r="AN689" s="264"/>
    </row>
    <row r="690" ht="15.75" customHeight="1">
      <c r="A690" s="262"/>
      <c r="B690" s="338">
        <f>IFERROR(__xludf.DUMMYFUNCTION("""COMPUTED_VALUE"""),1171.0)</f>
        <v>1171</v>
      </c>
      <c r="C690" s="354"/>
      <c r="D690" s="340" t="str">
        <f>IFERROR(__xludf.DUMMYFUNCTION("""COMPUTED_VALUE"""),"")</f>
        <v/>
      </c>
      <c r="E690" s="341">
        <f>IFERROR(__xludf.DUMMYFUNCTION("""COMPUTED_VALUE"""),0.0)</f>
        <v>0</v>
      </c>
      <c r="F690" s="352"/>
      <c r="G690" s="343"/>
      <c r="H690" s="344">
        <f>IFERROR(__xludf.DUMMYFUNCTION("""COMPUTED_VALUE"""),0.0)</f>
        <v>0</v>
      </c>
      <c r="I690" s="353"/>
      <c r="J690" s="353"/>
      <c r="K690" s="346">
        <f>IFERROR(__xludf.DUMMYFUNCTION("""COMPUTED_VALUE"""),0.0)</f>
        <v>0</v>
      </c>
      <c r="L690" s="347">
        <f>IFERROR(__xludf.DUMMYFUNCTION("""COMPUTED_VALUE"""),0.0)</f>
        <v>0</v>
      </c>
      <c r="M690" s="348">
        <f>IFERROR(__xludf.DUMMYFUNCTION("""COMPUTED_VALUE"""),0.0)</f>
        <v>0</v>
      </c>
      <c r="N690" s="348">
        <f>IFERROR(__xludf.DUMMYFUNCTION("""COMPUTED_VALUE"""),0.0)</f>
        <v>0</v>
      </c>
      <c r="O690" s="348">
        <f>IFERROR(__xludf.DUMMYFUNCTION("""COMPUTED_VALUE"""),0.0)</f>
        <v>0</v>
      </c>
      <c r="P690" s="348">
        <f>IFERROR(__xludf.DUMMYFUNCTION("""COMPUTED_VALUE"""),0.0)</f>
        <v>0</v>
      </c>
      <c r="Q690" s="348">
        <f>IFERROR(__xludf.DUMMYFUNCTION("""COMPUTED_VALUE"""),0.0)</f>
        <v>0</v>
      </c>
      <c r="R690" s="355" t="str">
        <f>IFERROR(__xludf.DUMMYFUNCTION("""COMPUTED_VALUE""")," Cash Proyek ")</f>
        <v>Cash Proyek</v>
      </c>
      <c r="S690" s="350"/>
      <c r="T690" s="262"/>
      <c r="U690" s="351"/>
      <c r="V690" s="262"/>
      <c r="W690" s="262"/>
      <c r="X690" s="262"/>
      <c r="Y690" s="262"/>
      <c r="Z690" s="262"/>
      <c r="AA690" s="262"/>
      <c r="AB690" s="262"/>
      <c r="AC690" s="262"/>
      <c r="AD690" s="262"/>
      <c r="AE690" s="262"/>
      <c r="AF690" s="262"/>
      <c r="AG690" s="264"/>
      <c r="AH690" s="264"/>
      <c r="AI690" s="264"/>
      <c r="AJ690" s="264"/>
      <c r="AK690" s="264"/>
      <c r="AL690" s="264"/>
      <c r="AM690" s="264"/>
      <c r="AN690" s="264"/>
    </row>
    <row r="691" ht="15.75" customHeight="1">
      <c r="A691" s="262"/>
      <c r="B691" s="338">
        <f>IFERROR(__xludf.DUMMYFUNCTION("""COMPUTED_VALUE"""),1172.0)</f>
        <v>1172</v>
      </c>
      <c r="C691" s="354"/>
      <c r="D691" s="340" t="str">
        <f>IFERROR(__xludf.DUMMYFUNCTION("""COMPUTED_VALUE"""),"")</f>
        <v/>
      </c>
      <c r="E691" s="341">
        <f>IFERROR(__xludf.DUMMYFUNCTION("""COMPUTED_VALUE"""),0.0)</f>
        <v>0</v>
      </c>
      <c r="F691" s="352"/>
      <c r="G691" s="343"/>
      <c r="H691" s="344">
        <f>IFERROR(__xludf.DUMMYFUNCTION("""COMPUTED_VALUE"""),0.0)</f>
        <v>0</v>
      </c>
      <c r="I691" s="353"/>
      <c r="J691" s="353"/>
      <c r="K691" s="346">
        <f>IFERROR(__xludf.DUMMYFUNCTION("""COMPUTED_VALUE"""),0.0)</f>
        <v>0</v>
      </c>
      <c r="L691" s="347">
        <f>IFERROR(__xludf.DUMMYFUNCTION("""COMPUTED_VALUE"""),0.0)</f>
        <v>0</v>
      </c>
      <c r="M691" s="348">
        <f>IFERROR(__xludf.DUMMYFUNCTION("""COMPUTED_VALUE"""),0.0)</f>
        <v>0</v>
      </c>
      <c r="N691" s="348">
        <f>IFERROR(__xludf.DUMMYFUNCTION("""COMPUTED_VALUE"""),0.0)</f>
        <v>0</v>
      </c>
      <c r="O691" s="348">
        <f>IFERROR(__xludf.DUMMYFUNCTION("""COMPUTED_VALUE"""),0.0)</f>
        <v>0</v>
      </c>
      <c r="P691" s="348">
        <f>IFERROR(__xludf.DUMMYFUNCTION("""COMPUTED_VALUE"""),0.0)</f>
        <v>0</v>
      </c>
      <c r="Q691" s="348">
        <f>IFERROR(__xludf.DUMMYFUNCTION("""COMPUTED_VALUE"""),0.0)</f>
        <v>0</v>
      </c>
      <c r="R691" s="355" t="str">
        <f>IFERROR(__xludf.DUMMYFUNCTION("""COMPUTED_VALUE""")," Cash Proyek ")</f>
        <v>Cash Proyek</v>
      </c>
      <c r="S691" s="350"/>
      <c r="T691" s="262"/>
      <c r="U691" s="351"/>
      <c r="V691" s="262"/>
      <c r="W691" s="262"/>
      <c r="X691" s="262"/>
      <c r="Y691" s="262"/>
      <c r="Z691" s="262"/>
      <c r="AA691" s="262"/>
      <c r="AB691" s="262"/>
      <c r="AC691" s="262"/>
      <c r="AD691" s="262"/>
      <c r="AE691" s="262"/>
      <c r="AF691" s="262"/>
      <c r="AG691" s="264"/>
      <c r="AH691" s="264"/>
      <c r="AI691" s="264"/>
      <c r="AJ691" s="264"/>
      <c r="AK691" s="264"/>
      <c r="AL691" s="264"/>
      <c r="AM691" s="264"/>
      <c r="AN691" s="264"/>
    </row>
    <row r="692" ht="15.75" customHeight="1">
      <c r="A692" s="262"/>
      <c r="B692" s="338">
        <f>IFERROR(__xludf.DUMMYFUNCTION("""COMPUTED_VALUE"""),1173.0)</f>
        <v>1173</v>
      </c>
      <c r="C692" s="354"/>
      <c r="D692" s="340" t="str">
        <f>IFERROR(__xludf.DUMMYFUNCTION("""COMPUTED_VALUE"""),"")</f>
        <v/>
      </c>
      <c r="E692" s="341">
        <f>IFERROR(__xludf.DUMMYFUNCTION("""COMPUTED_VALUE"""),0.0)</f>
        <v>0</v>
      </c>
      <c r="F692" s="352"/>
      <c r="G692" s="343"/>
      <c r="H692" s="344">
        <f>IFERROR(__xludf.DUMMYFUNCTION("""COMPUTED_VALUE"""),0.0)</f>
        <v>0</v>
      </c>
      <c r="I692" s="353"/>
      <c r="J692" s="353"/>
      <c r="K692" s="346">
        <f>IFERROR(__xludf.DUMMYFUNCTION("""COMPUTED_VALUE"""),0.0)</f>
        <v>0</v>
      </c>
      <c r="L692" s="347">
        <f>IFERROR(__xludf.DUMMYFUNCTION("""COMPUTED_VALUE"""),0.0)</f>
        <v>0</v>
      </c>
      <c r="M692" s="348">
        <f>IFERROR(__xludf.DUMMYFUNCTION("""COMPUTED_VALUE"""),0.0)</f>
        <v>0</v>
      </c>
      <c r="N692" s="348">
        <f>IFERROR(__xludf.DUMMYFUNCTION("""COMPUTED_VALUE"""),0.0)</f>
        <v>0</v>
      </c>
      <c r="O692" s="348">
        <f>IFERROR(__xludf.DUMMYFUNCTION("""COMPUTED_VALUE"""),0.0)</f>
        <v>0</v>
      </c>
      <c r="P692" s="348">
        <f>IFERROR(__xludf.DUMMYFUNCTION("""COMPUTED_VALUE"""),0.0)</f>
        <v>0</v>
      </c>
      <c r="Q692" s="348">
        <f>IFERROR(__xludf.DUMMYFUNCTION("""COMPUTED_VALUE"""),0.0)</f>
        <v>0</v>
      </c>
      <c r="R692" s="355" t="str">
        <f>IFERROR(__xludf.DUMMYFUNCTION("""COMPUTED_VALUE""")," Cash Proyek ")</f>
        <v>Cash Proyek</v>
      </c>
      <c r="S692" s="350"/>
      <c r="T692" s="262"/>
      <c r="U692" s="351"/>
      <c r="V692" s="262"/>
      <c r="W692" s="262"/>
      <c r="X692" s="262"/>
      <c r="Y692" s="262"/>
      <c r="Z692" s="262"/>
      <c r="AA692" s="262"/>
      <c r="AB692" s="262"/>
      <c r="AC692" s="262"/>
      <c r="AD692" s="262"/>
      <c r="AE692" s="262"/>
      <c r="AF692" s="262"/>
      <c r="AG692" s="264"/>
      <c r="AH692" s="264"/>
      <c r="AI692" s="264"/>
      <c r="AJ692" s="264"/>
      <c r="AK692" s="264"/>
      <c r="AL692" s="264"/>
      <c r="AM692" s="264"/>
      <c r="AN692" s="264"/>
    </row>
    <row r="693" ht="15.75" customHeight="1">
      <c r="A693" s="262"/>
      <c r="B693" s="338">
        <f>IFERROR(__xludf.DUMMYFUNCTION("""COMPUTED_VALUE"""),1174.0)</f>
        <v>1174</v>
      </c>
      <c r="C693" s="354"/>
      <c r="D693" s="340" t="str">
        <f>IFERROR(__xludf.DUMMYFUNCTION("""COMPUTED_VALUE"""),"")</f>
        <v/>
      </c>
      <c r="E693" s="341">
        <f>IFERROR(__xludf.DUMMYFUNCTION("""COMPUTED_VALUE"""),0.0)</f>
        <v>0</v>
      </c>
      <c r="F693" s="352"/>
      <c r="G693" s="343"/>
      <c r="H693" s="344">
        <f>IFERROR(__xludf.DUMMYFUNCTION("""COMPUTED_VALUE"""),0.0)</f>
        <v>0</v>
      </c>
      <c r="I693" s="353"/>
      <c r="J693" s="353"/>
      <c r="K693" s="346">
        <f>IFERROR(__xludf.DUMMYFUNCTION("""COMPUTED_VALUE"""),0.0)</f>
        <v>0</v>
      </c>
      <c r="L693" s="347">
        <f>IFERROR(__xludf.DUMMYFUNCTION("""COMPUTED_VALUE"""),0.0)</f>
        <v>0</v>
      </c>
      <c r="M693" s="348">
        <f>IFERROR(__xludf.DUMMYFUNCTION("""COMPUTED_VALUE"""),0.0)</f>
        <v>0</v>
      </c>
      <c r="N693" s="348">
        <f>IFERROR(__xludf.DUMMYFUNCTION("""COMPUTED_VALUE"""),0.0)</f>
        <v>0</v>
      </c>
      <c r="O693" s="348">
        <f>IFERROR(__xludf.DUMMYFUNCTION("""COMPUTED_VALUE"""),0.0)</f>
        <v>0</v>
      </c>
      <c r="P693" s="348">
        <f>IFERROR(__xludf.DUMMYFUNCTION("""COMPUTED_VALUE"""),0.0)</f>
        <v>0</v>
      </c>
      <c r="Q693" s="348">
        <f>IFERROR(__xludf.DUMMYFUNCTION("""COMPUTED_VALUE"""),0.0)</f>
        <v>0</v>
      </c>
      <c r="R693" s="355" t="str">
        <f>IFERROR(__xludf.DUMMYFUNCTION("""COMPUTED_VALUE""")," Cash Proyek ")</f>
        <v>Cash Proyek</v>
      </c>
      <c r="S693" s="350"/>
      <c r="T693" s="262"/>
      <c r="U693" s="351"/>
      <c r="V693" s="262"/>
      <c r="W693" s="262"/>
      <c r="X693" s="262"/>
      <c r="Y693" s="262"/>
      <c r="Z693" s="262"/>
      <c r="AA693" s="262"/>
      <c r="AB693" s="262"/>
      <c r="AC693" s="262"/>
      <c r="AD693" s="262"/>
      <c r="AE693" s="262"/>
      <c r="AF693" s="262"/>
      <c r="AG693" s="264"/>
      <c r="AH693" s="264"/>
      <c r="AI693" s="264"/>
      <c r="AJ693" s="264"/>
      <c r="AK693" s="264"/>
      <c r="AL693" s="264"/>
      <c r="AM693" s="264"/>
      <c r="AN693" s="264"/>
    </row>
    <row r="694" ht="15.75" customHeight="1">
      <c r="A694" s="262"/>
      <c r="B694" s="338">
        <f>IFERROR(__xludf.DUMMYFUNCTION("""COMPUTED_VALUE"""),1175.0)</f>
        <v>1175</v>
      </c>
      <c r="C694" s="354"/>
      <c r="D694" s="340" t="str">
        <f>IFERROR(__xludf.DUMMYFUNCTION("""COMPUTED_VALUE"""),"")</f>
        <v/>
      </c>
      <c r="E694" s="341">
        <f>IFERROR(__xludf.DUMMYFUNCTION("""COMPUTED_VALUE"""),0.0)</f>
        <v>0</v>
      </c>
      <c r="F694" s="352"/>
      <c r="G694" s="343"/>
      <c r="H694" s="344">
        <f>IFERROR(__xludf.DUMMYFUNCTION("""COMPUTED_VALUE"""),0.0)</f>
        <v>0</v>
      </c>
      <c r="I694" s="353"/>
      <c r="J694" s="353"/>
      <c r="K694" s="346">
        <f>IFERROR(__xludf.DUMMYFUNCTION("""COMPUTED_VALUE"""),0.0)</f>
        <v>0</v>
      </c>
      <c r="L694" s="347">
        <f>IFERROR(__xludf.DUMMYFUNCTION("""COMPUTED_VALUE"""),0.0)</f>
        <v>0</v>
      </c>
      <c r="M694" s="348">
        <f>IFERROR(__xludf.DUMMYFUNCTION("""COMPUTED_VALUE"""),0.0)</f>
        <v>0</v>
      </c>
      <c r="N694" s="348">
        <f>IFERROR(__xludf.DUMMYFUNCTION("""COMPUTED_VALUE"""),0.0)</f>
        <v>0</v>
      </c>
      <c r="O694" s="348">
        <f>IFERROR(__xludf.DUMMYFUNCTION("""COMPUTED_VALUE"""),0.0)</f>
        <v>0</v>
      </c>
      <c r="P694" s="348">
        <f>IFERROR(__xludf.DUMMYFUNCTION("""COMPUTED_VALUE"""),0.0)</f>
        <v>0</v>
      </c>
      <c r="Q694" s="348">
        <f>IFERROR(__xludf.DUMMYFUNCTION("""COMPUTED_VALUE"""),0.0)</f>
        <v>0</v>
      </c>
      <c r="R694" s="355" t="str">
        <f>IFERROR(__xludf.DUMMYFUNCTION("""COMPUTED_VALUE""")," Cash Proyek ")</f>
        <v>Cash Proyek</v>
      </c>
      <c r="S694" s="350"/>
      <c r="T694" s="262"/>
      <c r="U694" s="351"/>
      <c r="V694" s="262"/>
      <c r="W694" s="262"/>
      <c r="X694" s="262"/>
      <c r="Y694" s="262"/>
      <c r="Z694" s="262"/>
      <c r="AA694" s="262"/>
      <c r="AB694" s="262"/>
      <c r="AC694" s="262"/>
      <c r="AD694" s="262"/>
      <c r="AE694" s="262"/>
      <c r="AF694" s="262"/>
      <c r="AG694" s="264"/>
      <c r="AH694" s="264"/>
      <c r="AI694" s="264"/>
      <c r="AJ694" s="264"/>
      <c r="AK694" s="264"/>
      <c r="AL694" s="264"/>
      <c r="AM694" s="264"/>
      <c r="AN694" s="264"/>
    </row>
    <row r="695" ht="15.75" customHeight="1">
      <c r="A695" s="262"/>
      <c r="B695" s="338">
        <f>IFERROR(__xludf.DUMMYFUNCTION("""COMPUTED_VALUE"""),1176.0)</f>
        <v>1176</v>
      </c>
      <c r="C695" s="354"/>
      <c r="D695" s="340" t="str">
        <f>IFERROR(__xludf.DUMMYFUNCTION("""COMPUTED_VALUE"""),"")</f>
        <v/>
      </c>
      <c r="E695" s="341">
        <f>IFERROR(__xludf.DUMMYFUNCTION("""COMPUTED_VALUE"""),0.0)</f>
        <v>0</v>
      </c>
      <c r="F695" s="352"/>
      <c r="G695" s="343"/>
      <c r="H695" s="344">
        <f>IFERROR(__xludf.DUMMYFUNCTION("""COMPUTED_VALUE"""),0.0)</f>
        <v>0</v>
      </c>
      <c r="I695" s="353"/>
      <c r="J695" s="353"/>
      <c r="K695" s="346">
        <f>IFERROR(__xludf.DUMMYFUNCTION("""COMPUTED_VALUE"""),0.0)</f>
        <v>0</v>
      </c>
      <c r="L695" s="347">
        <f>IFERROR(__xludf.DUMMYFUNCTION("""COMPUTED_VALUE"""),0.0)</f>
        <v>0</v>
      </c>
      <c r="M695" s="348">
        <f>IFERROR(__xludf.DUMMYFUNCTION("""COMPUTED_VALUE"""),0.0)</f>
        <v>0</v>
      </c>
      <c r="N695" s="348">
        <f>IFERROR(__xludf.DUMMYFUNCTION("""COMPUTED_VALUE"""),0.0)</f>
        <v>0</v>
      </c>
      <c r="O695" s="348">
        <f>IFERROR(__xludf.DUMMYFUNCTION("""COMPUTED_VALUE"""),0.0)</f>
        <v>0</v>
      </c>
      <c r="P695" s="348">
        <f>IFERROR(__xludf.DUMMYFUNCTION("""COMPUTED_VALUE"""),0.0)</f>
        <v>0</v>
      </c>
      <c r="Q695" s="348">
        <f>IFERROR(__xludf.DUMMYFUNCTION("""COMPUTED_VALUE"""),0.0)</f>
        <v>0</v>
      </c>
      <c r="R695" s="355" t="str">
        <f>IFERROR(__xludf.DUMMYFUNCTION("""COMPUTED_VALUE""")," Cash Proyek ")</f>
        <v>Cash Proyek</v>
      </c>
      <c r="S695" s="350"/>
      <c r="T695" s="262"/>
      <c r="U695" s="351"/>
      <c r="V695" s="262"/>
      <c r="W695" s="262"/>
      <c r="X695" s="262"/>
      <c r="Y695" s="262"/>
      <c r="Z695" s="262"/>
      <c r="AA695" s="262"/>
      <c r="AB695" s="262"/>
      <c r="AC695" s="262"/>
      <c r="AD695" s="262"/>
      <c r="AE695" s="262"/>
      <c r="AF695" s="262"/>
      <c r="AG695" s="264"/>
      <c r="AH695" s="264"/>
      <c r="AI695" s="264"/>
      <c r="AJ695" s="264"/>
      <c r="AK695" s="264"/>
      <c r="AL695" s="264"/>
      <c r="AM695" s="264"/>
      <c r="AN695" s="264"/>
    </row>
    <row r="696" ht="15.75" customHeight="1">
      <c r="A696" s="262"/>
      <c r="B696" s="338">
        <f>IFERROR(__xludf.DUMMYFUNCTION("""COMPUTED_VALUE"""),1177.0)</f>
        <v>1177</v>
      </c>
      <c r="C696" s="354"/>
      <c r="D696" s="340" t="str">
        <f>IFERROR(__xludf.DUMMYFUNCTION("""COMPUTED_VALUE"""),"")</f>
        <v/>
      </c>
      <c r="E696" s="341">
        <f>IFERROR(__xludf.DUMMYFUNCTION("""COMPUTED_VALUE"""),0.0)</f>
        <v>0</v>
      </c>
      <c r="F696" s="352"/>
      <c r="G696" s="343"/>
      <c r="H696" s="344">
        <f>IFERROR(__xludf.DUMMYFUNCTION("""COMPUTED_VALUE"""),0.0)</f>
        <v>0</v>
      </c>
      <c r="I696" s="353"/>
      <c r="J696" s="353"/>
      <c r="K696" s="346">
        <f>IFERROR(__xludf.DUMMYFUNCTION("""COMPUTED_VALUE"""),0.0)</f>
        <v>0</v>
      </c>
      <c r="L696" s="347">
        <f>IFERROR(__xludf.DUMMYFUNCTION("""COMPUTED_VALUE"""),0.0)</f>
        <v>0</v>
      </c>
      <c r="M696" s="348">
        <f>IFERROR(__xludf.DUMMYFUNCTION("""COMPUTED_VALUE"""),0.0)</f>
        <v>0</v>
      </c>
      <c r="N696" s="348">
        <f>IFERROR(__xludf.DUMMYFUNCTION("""COMPUTED_VALUE"""),0.0)</f>
        <v>0</v>
      </c>
      <c r="O696" s="348">
        <f>IFERROR(__xludf.DUMMYFUNCTION("""COMPUTED_VALUE"""),0.0)</f>
        <v>0</v>
      </c>
      <c r="P696" s="348">
        <f>IFERROR(__xludf.DUMMYFUNCTION("""COMPUTED_VALUE"""),0.0)</f>
        <v>0</v>
      </c>
      <c r="Q696" s="348">
        <f>IFERROR(__xludf.DUMMYFUNCTION("""COMPUTED_VALUE"""),0.0)</f>
        <v>0</v>
      </c>
      <c r="R696" s="355" t="str">
        <f>IFERROR(__xludf.DUMMYFUNCTION("""COMPUTED_VALUE""")," Cash Proyek ")</f>
        <v>Cash Proyek</v>
      </c>
      <c r="S696" s="350"/>
      <c r="T696" s="262"/>
      <c r="U696" s="351"/>
      <c r="V696" s="262"/>
      <c r="W696" s="262"/>
      <c r="X696" s="262"/>
      <c r="Y696" s="262"/>
      <c r="Z696" s="262"/>
      <c r="AA696" s="262"/>
      <c r="AB696" s="262"/>
      <c r="AC696" s="262"/>
      <c r="AD696" s="262"/>
      <c r="AE696" s="262"/>
      <c r="AF696" s="262"/>
      <c r="AG696" s="264"/>
      <c r="AH696" s="264"/>
      <c r="AI696" s="264"/>
      <c r="AJ696" s="264"/>
      <c r="AK696" s="264"/>
      <c r="AL696" s="264"/>
      <c r="AM696" s="264"/>
      <c r="AN696" s="264"/>
    </row>
    <row r="697" ht="15.75" customHeight="1">
      <c r="A697" s="262"/>
      <c r="B697" s="338">
        <f>IFERROR(__xludf.DUMMYFUNCTION("""COMPUTED_VALUE"""),1178.0)</f>
        <v>1178</v>
      </c>
      <c r="C697" s="354"/>
      <c r="D697" s="340" t="str">
        <f>IFERROR(__xludf.DUMMYFUNCTION("""COMPUTED_VALUE"""),"")</f>
        <v/>
      </c>
      <c r="E697" s="341">
        <f>IFERROR(__xludf.DUMMYFUNCTION("""COMPUTED_VALUE"""),0.0)</f>
        <v>0</v>
      </c>
      <c r="F697" s="352"/>
      <c r="G697" s="343"/>
      <c r="H697" s="344">
        <f>IFERROR(__xludf.DUMMYFUNCTION("""COMPUTED_VALUE"""),0.0)</f>
        <v>0</v>
      </c>
      <c r="I697" s="353"/>
      <c r="J697" s="353"/>
      <c r="K697" s="346">
        <f>IFERROR(__xludf.DUMMYFUNCTION("""COMPUTED_VALUE"""),0.0)</f>
        <v>0</v>
      </c>
      <c r="L697" s="347">
        <f>IFERROR(__xludf.DUMMYFUNCTION("""COMPUTED_VALUE"""),0.0)</f>
        <v>0</v>
      </c>
      <c r="M697" s="348">
        <f>IFERROR(__xludf.DUMMYFUNCTION("""COMPUTED_VALUE"""),0.0)</f>
        <v>0</v>
      </c>
      <c r="N697" s="348">
        <f>IFERROR(__xludf.DUMMYFUNCTION("""COMPUTED_VALUE"""),0.0)</f>
        <v>0</v>
      </c>
      <c r="O697" s="348">
        <f>IFERROR(__xludf.DUMMYFUNCTION("""COMPUTED_VALUE"""),0.0)</f>
        <v>0</v>
      </c>
      <c r="P697" s="348">
        <f>IFERROR(__xludf.DUMMYFUNCTION("""COMPUTED_VALUE"""),0.0)</f>
        <v>0</v>
      </c>
      <c r="Q697" s="348">
        <f>IFERROR(__xludf.DUMMYFUNCTION("""COMPUTED_VALUE"""),0.0)</f>
        <v>0</v>
      </c>
      <c r="R697" s="355" t="str">
        <f>IFERROR(__xludf.DUMMYFUNCTION("""COMPUTED_VALUE""")," Cash Proyek ")</f>
        <v>Cash Proyek</v>
      </c>
      <c r="S697" s="350"/>
      <c r="T697" s="262"/>
      <c r="U697" s="351"/>
      <c r="V697" s="262"/>
      <c r="W697" s="262"/>
      <c r="X697" s="262"/>
      <c r="Y697" s="262"/>
      <c r="Z697" s="262"/>
      <c r="AA697" s="262"/>
      <c r="AB697" s="262"/>
      <c r="AC697" s="262"/>
      <c r="AD697" s="262"/>
      <c r="AE697" s="262"/>
      <c r="AF697" s="262"/>
      <c r="AG697" s="264"/>
      <c r="AH697" s="264"/>
      <c r="AI697" s="264"/>
      <c r="AJ697" s="264"/>
      <c r="AK697" s="264"/>
      <c r="AL697" s="264"/>
      <c r="AM697" s="264"/>
      <c r="AN697" s="264"/>
    </row>
    <row r="698" ht="15.75" customHeight="1">
      <c r="A698" s="262"/>
      <c r="B698" s="338">
        <f>IFERROR(__xludf.DUMMYFUNCTION("""COMPUTED_VALUE"""),1179.0)</f>
        <v>1179</v>
      </c>
      <c r="C698" s="354"/>
      <c r="D698" s="340" t="str">
        <f>IFERROR(__xludf.DUMMYFUNCTION("""COMPUTED_VALUE"""),"")</f>
        <v/>
      </c>
      <c r="E698" s="341">
        <f>IFERROR(__xludf.DUMMYFUNCTION("""COMPUTED_VALUE"""),0.0)</f>
        <v>0</v>
      </c>
      <c r="F698" s="352"/>
      <c r="G698" s="343"/>
      <c r="H698" s="344">
        <f>IFERROR(__xludf.DUMMYFUNCTION("""COMPUTED_VALUE"""),0.0)</f>
        <v>0</v>
      </c>
      <c r="I698" s="353"/>
      <c r="J698" s="353"/>
      <c r="K698" s="346">
        <f>IFERROR(__xludf.DUMMYFUNCTION("""COMPUTED_VALUE"""),0.0)</f>
        <v>0</v>
      </c>
      <c r="L698" s="347">
        <f>IFERROR(__xludf.DUMMYFUNCTION("""COMPUTED_VALUE"""),0.0)</f>
        <v>0</v>
      </c>
      <c r="M698" s="348">
        <f>IFERROR(__xludf.DUMMYFUNCTION("""COMPUTED_VALUE"""),0.0)</f>
        <v>0</v>
      </c>
      <c r="N698" s="348">
        <f>IFERROR(__xludf.DUMMYFUNCTION("""COMPUTED_VALUE"""),0.0)</f>
        <v>0</v>
      </c>
      <c r="O698" s="348">
        <f>IFERROR(__xludf.DUMMYFUNCTION("""COMPUTED_VALUE"""),0.0)</f>
        <v>0</v>
      </c>
      <c r="P698" s="348">
        <f>IFERROR(__xludf.DUMMYFUNCTION("""COMPUTED_VALUE"""),0.0)</f>
        <v>0</v>
      </c>
      <c r="Q698" s="348">
        <f>IFERROR(__xludf.DUMMYFUNCTION("""COMPUTED_VALUE"""),0.0)</f>
        <v>0</v>
      </c>
      <c r="R698" s="355" t="str">
        <f>IFERROR(__xludf.DUMMYFUNCTION("""COMPUTED_VALUE""")," Cash Proyek ")</f>
        <v>Cash Proyek</v>
      </c>
      <c r="S698" s="350"/>
      <c r="T698" s="262"/>
      <c r="U698" s="351"/>
      <c r="V698" s="262"/>
      <c r="W698" s="262"/>
      <c r="X698" s="262"/>
      <c r="Y698" s="262"/>
      <c r="Z698" s="262"/>
      <c r="AA698" s="262"/>
      <c r="AB698" s="262"/>
      <c r="AC698" s="262"/>
      <c r="AD698" s="262"/>
      <c r="AE698" s="262"/>
      <c r="AF698" s="262"/>
      <c r="AG698" s="264"/>
      <c r="AH698" s="264"/>
      <c r="AI698" s="264"/>
      <c r="AJ698" s="264"/>
      <c r="AK698" s="264"/>
      <c r="AL698" s="264"/>
      <c r="AM698" s="264"/>
      <c r="AN698" s="264"/>
    </row>
    <row r="699" ht="15.75" customHeight="1">
      <c r="A699" s="262"/>
      <c r="B699" s="338">
        <f>IFERROR(__xludf.DUMMYFUNCTION("""COMPUTED_VALUE"""),1180.0)</f>
        <v>1180</v>
      </c>
      <c r="C699" s="354"/>
      <c r="D699" s="340" t="str">
        <f>IFERROR(__xludf.DUMMYFUNCTION("""COMPUTED_VALUE"""),"")</f>
        <v/>
      </c>
      <c r="E699" s="341">
        <f>IFERROR(__xludf.DUMMYFUNCTION("""COMPUTED_VALUE"""),0.0)</f>
        <v>0</v>
      </c>
      <c r="F699" s="352"/>
      <c r="G699" s="343"/>
      <c r="H699" s="344">
        <f>IFERROR(__xludf.DUMMYFUNCTION("""COMPUTED_VALUE"""),0.0)</f>
        <v>0</v>
      </c>
      <c r="I699" s="353"/>
      <c r="J699" s="353"/>
      <c r="K699" s="346">
        <f>IFERROR(__xludf.DUMMYFUNCTION("""COMPUTED_VALUE"""),0.0)</f>
        <v>0</v>
      </c>
      <c r="L699" s="347">
        <f>IFERROR(__xludf.DUMMYFUNCTION("""COMPUTED_VALUE"""),0.0)</f>
        <v>0</v>
      </c>
      <c r="M699" s="348">
        <f>IFERROR(__xludf.DUMMYFUNCTION("""COMPUTED_VALUE"""),0.0)</f>
        <v>0</v>
      </c>
      <c r="N699" s="348">
        <f>IFERROR(__xludf.DUMMYFUNCTION("""COMPUTED_VALUE"""),0.0)</f>
        <v>0</v>
      </c>
      <c r="O699" s="348">
        <f>IFERROR(__xludf.DUMMYFUNCTION("""COMPUTED_VALUE"""),0.0)</f>
        <v>0</v>
      </c>
      <c r="P699" s="348">
        <f>IFERROR(__xludf.DUMMYFUNCTION("""COMPUTED_VALUE"""),0.0)</f>
        <v>0</v>
      </c>
      <c r="Q699" s="348">
        <f>IFERROR(__xludf.DUMMYFUNCTION("""COMPUTED_VALUE"""),0.0)</f>
        <v>0</v>
      </c>
      <c r="R699" s="355" t="str">
        <f>IFERROR(__xludf.DUMMYFUNCTION("""COMPUTED_VALUE""")," Cash Proyek ")</f>
        <v>Cash Proyek</v>
      </c>
      <c r="S699" s="350"/>
      <c r="T699" s="262"/>
      <c r="U699" s="351"/>
      <c r="V699" s="262"/>
      <c r="W699" s="262"/>
      <c r="X699" s="262"/>
      <c r="Y699" s="262"/>
      <c r="Z699" s="262"/>
      <c r="AA699" s="262"/>
      <c r="AB699" s="262"/>
      <c r="AC699" s="262"/>
      <c r="AD699" s="262"/>
      <c r="AE699" s="262"/>
      <c r="AF699" s="262"/>
      <c r="AG699" s="264"/>
      <c r="AH699" s="264"/>
      <c r="AI699" s="264"/>
      <c r="AJ699" s="264"/>
      <c r="AK699" s="264"/>
      <c r="AL699" s="264"/>
      <c r="AM699" s="264"/>
      <c r="AN699" s="264"/>
    </row>
    <row r="700" ht="15.75" customHeight="1">
      <c r="A700" s="262"/>
      <c r="B700" s="338">
        <f>IFERROR(__xludf.DUMMYFUNCTION("""COMPUTED_VALUE"""),1181.0)</f>
        <v>1181</v>
      </c>
      <c r="C700" s="354"/>
      <c r="D700" s="340" t="str">
        <f>IFERROR(__xludf.DUMMYFUNCTION("""COMPUTED_VALUE"""),"")</f>
        <v/>
      </c>
      <c r="E700" s="341">
        <f>IFERROR(__xludf.DUMMYFUNCTION("""COMPUTED_VALUE"""),0.0)</f>
        <v>0</v>
      </c>
      <c r="F700" s="352"/>
      <c r="G700" s="343"/>
      <c r="H700" s="344">
        <f>IFERROR(__xludf.DUMMYFUNCTION("""COMPUTED_VALUE"""),0.0)</f>
        <v>0</v>
      </c>
      <c r="I700" s="353"/>
      <c r="J700" s="353"/>
      <c r="K700" s="346">
        <f>IFERROR(__xludf.DUMMYFUNCTION("""COMPUTED_VALUE"""),0.0)</f>
        <v>0</v>
      </c>
      <c r="L700" s="347">
        <f>IFERROR(__xludf.DUMMYFUNCTION("""COMPUTED_VALUE"""),0.0)</f>
        <v>0</v>
      </c>
      <c r="M700" s="348">
        <f>IFERROR(__xludf.DUMMYFUNCTION("""COMPUTED_VALUE"""),0.0)</f>
        <v>0</v>
      </c>
      <c r="N700" s="348">
        <f>IFERROR(__xludf.DUMMYFUNCTION("""COMPUTED_VALUE"""),0.0)</f>
        <v>0</v>
      </c>
      <c r="O700" s="348">
        <f>IFERROR(__xludf.DUMMYFUNCTION("""COMPUTED_VALUE"""),0.0)</f>
        <v>0</v>
      </c>
      <c r="P700" s="348">
        <f>IFERROR(__xludf.DUMMYFUNCTION("""COMPUTED_VALUE"""),0.0)</f>
        <v>0</v>
      </c>
      <c r="Q700" s="348">
        <f>IFERROR(__xludf.DUMMYFUNCTION("""COMPUTED_VALUE"""),0.0)</f>
        <v>0</v>
      </c>
      <c r="R700" s="355" t="str">
        <f>IFERROR(__xludf.DUMMYFUNCTION("""COMPUTED_VALUE""")," Cash Proyek ")</f>
        <v>Cash Proyek</v>
      </c>
      <c r="S700" s="350"/>
      <c r="T700" s="262"/>
      <c r="U700" s="351"/>
      <c r="V700" s="262"/>
      <c r="W700" s="262"/>
      <c r="X700" s="262"/>
      <c r="Y700" s="262"/>
      <c r="Z700" s="262"/>
      <c r="AA700" s="262"/>
      <c r="AB700" s="262"/>
      <c r="AC700" s="262"/>
      <c r="AD700" s="262"/>
      <c r="AE700" s="262"/>
      <c r="AF700" s="262"/>
      <c r="AG700" s="264"/>
      <c r="AH700" s="264"/>
      <c r="AI700" s="264"/>
      <c r="AJ700" s="264"/>
      <c r="AK700" s="264"/>
      <c r="AL700" s="264"/>
      <c r="AM700" s="264"/>
      <c r="AN700" s="264"/>
    </row>
    <row r="701" ht="15.75" customHeight="1">
      <c r="A701" s="262"/>
      <c r="B701" s="338">
        <f>IFERROR(__xludf.DUMMYFUNCTION("""COMPUTED_VALUE"""),1182.0)</f>
        <v>1182</v>
      </c>
      <c r="C701" s="354"/>
      <c r="D701" s="340" t="str">
        <f>IFERROR(__xludf.DUMMYFUNCTION("""COMPUTED_VALUE"""),"")</f>
        <v/>
      </c>
      <c r="E701" s="341">
        <f>IFERROR(__xludf.DUMMYFUNCTION("""COMPUTED_VALUE"""),0.0)</f>
        <v>0</v>
      </c>
      <c r="F701" s="352"/>
      <c r="G701" s="343"/>
      <c r="H701" s="344">
        <f>IFERROR(__xludf.DUMMYFUNCTION("""COMPUTED_VALUE"""),0.0)</f>
        <v>0</v>
      </c>
      <c r="I701" s="353"/>
      <c r="J701" s="353"/>
      <c r="K701" s="346">
        <f>IFERROR(__xludf.DUMMYFUNCTION("""COMPUTED_VALUE"""),0.0)</f>
        <v>0</v>
      </c>
      <c r="L701" s="347">
        <f>IFERROR(__xludf.DUMMYFUNCTION("""COMPUTED_VALUE"""),0.0)</f>
        <v>0</v>
      </c>
      <c r="M701" s="348">
        <f>IFERROR(__xludf.DUMMYFUNCTION("""COMPUTED_VALUE"""),0.0)</f>
        <v>0</v>
      </c>
      <c r="N701" s="348">
        <f>IFERROR(__xludf.DUMMYFUNCTION("""COMPUTED_VALUE"""),0.0)</f>
        <v>0</v>
      </c>
      <c r="O701" s="348">
        <f>IFERROR(__xludf.DUMMYFUNCTION("""COMPUTED_VALUE"""),0.0)</f>
        <v>0</v>
      </c>
      <c r="P701" s="348">
        <f>IFERROR(__xludf.DUMMYFUNCTION("""COMPUTED_VALUE"""),0.0)</f>
        <v>0</v>
      </c>
      <c r="Q701" s="348">
        <f>IFERROR(__xludf.DUMMYFUNCTION("""COMPUTED_VALUE"""),0.0)</f>
        <v>0</v>
      </c>
      <c r="R701" s="355" t="str">
        <f>IFERROR(__xludf.DUMMYFUNCTION("""COMPUTED_VALUE""")," Cash Proyek ")</f>
        <v>Cash Proyek</v>
      </c>
      <c r="S701" s="350"/>
      <c r="T701" s="262"/>
      <c r="U701" s="351"/>
      <c r="V701" s="262"/>
      <c r="W701" s="262"/>
      <c r="X701" s="262"/>
      <c r="Y701" s="262"/>
      <c r="Z701" s="262"/>
      <c r="AA701" s="262"/>
      <c r="AB701" s="262"/>
      <c r="AC701" s="262"/>
      <c r="AD701" s="262"/>
      <c r="AE701" s="262"/>
      <c r="AF701" s="262"/>
      <c r="AG701" s="264"/>
      <c r="AH701" s="264"/>
      <c r="AI701" s="264"/>
      <c r="AJ701" s="264"/>
      <c r="AK701" s="264"/>
      <c r="AL701" s="264"/>
      <c r="AM701" s="264"/>
      <c r="AN701" s="264"/>
    </row>
    <row r="702" ht="15.75" customHeight="1">
      <c r="A702" s="262"/>
      <c r="B702" s="338">
        <f>IFERROR(__xludf.DUMMYFUNCTION("""COMPUTED_VALUE"""),1183.0)</f>
        <v>1183</v>
      </c>
      <c r="C702" s="354"/>
      <c r="D702" s="340" t="str">
        <f>IFERROR(__xludf.DUMMYFUNCTION("""COMPUTED_VALUE"""),"")</f>
        <v/>
      </c>
      <c r="E702" s="341">
        <f>IFERROR(__xludf.DUMMYFUNCTION("""COMPUTED_VALUE"""),0.0)</f>
        <v>0</v>
      </c>
      <c r="F702" s="352"/>
      <c r="G702" s="343"/>
      <c r="H702" s="344">
        <f>IFERROR(__xludf.DUMMYFUNCTION("""COMPUTED_VALUE"""),0.0)</f>
        <v>0</v>
      </c>
      <c r="I702" s="353"/>
      <c r="J702" s="353"/>
      <c r="K702" s="346">
        <f>IFERROR(__xludf.DUMMYFUNCTION("""COMPUTED_VALUE"""),0.0)</f>
        <v>0</v>
      </c>
      <c r="L702" s="347">
        <f>IFERROR(__xludf.DUMMYFUNCTION("""COMPUTED_VALUE"""),0.0)</f>
        <v>0</v>
      </c>
      <c r="M702" s="348">
        <f>IFERROR(__xludf.DUMMYFUNCTION("""COMPUTED_VALUE"""),0.0)</f>
        <v>0</v>
      </c>
      <c r="N702" s="348">
        <f>IFERROR(__xludf.DUMMYFUNCTION("""COMPUTED_VALUE"""),0.0)</f>
        <v>0</v>
      </c>
      <c r="O702" s="348">
        <f>IFERROR(__xludf.DUMMYFUNCTION("""COMPUTED_VALUE"""),0.0)</f>
        <v>0</v>
      </c>
      <c r="P702" s="348">
        <f>IFERROR(__xludf.DUMMYFUNCTION("""COMPUTED_VALUE"""),0.0)</f>
        <v>0</v>
      </c>
      <c r="Q702" s="348">
        <f>IFERROR(__xludf.DUMMYFUNCTION("""COMPUTED_VALUE"""),0.0)</f>
        <v>0</v>
      </c>
      <c r="R702" s="355" t="str">
        <f>IFERROR(__xludf.DUMMYFUNCTION("""COMPUTED_VALUE""")," Cash Proyek ")</f>
        <v>Cash Proyek</v>
      </c>
      <c r="S702" s="350"/>
      <c r="T702" s="262"/>
      <c r="U702" s="351"/>
      <c r="V702" s="262"/>
      <c r="W702" s="262"/>
      <c r="X702" s="262"/>
      <c r="Y702" s="262"/>
      <c r="Z702" s="262"/>
      <c r="AA702" s="262"/>
      <c r="AB702" s="262"/>
      <c r="AC702" s="262"/>
      <c r="AD702" s="262"/>
      <c r="AE702" s="262"/>
      <c r="AF702" s="262"/>
      <c r="AG702" s="264"/>
      <c r="AH702" s="264"/>
      <c r="AI702" s="264"/>
      <c r="AJ702" s="264"/>
      <c r="AK702" s="264"/>
      <c r="AL702" s="264"/>
      <c r="AM702" s="264"/>
      <c r="AN702" s="264"/>
    </row>
    <row r="703" ht="15.75" customHeight="1">
      <c r="A703" s="262"/>
      <c r="B703" s="338">
        <f>IFERROR(__xludf.DUMMYFUNCTION("""COMPUTED_VALUE"""),1184.0)</f>
        <v>1184</v>
      </c>
      <c r="C703" s="354"/>
      <c r="D703" s="340" t="str">
        <f>IFERROR(__xludf.DUMMYFUNCTION("""COMPUTED_VALUE"""),"")</f>
        <v/>
      </c>
      <c r="E703" s="341">
        <f>IFERROR(__xludf.DUMMYFUNCTION("""COMPUTED_VALUE"""),0.0)</f>
        <v>0</v>
      </c>
      <c r="F703" s="352"/>
      <c r="G703" s="343"/>
      <c r="H703" s="344">
        <f>IFERROR(__xludf.DUMMYFUNCTION("""COMPUTED_VALUE"""),0.0)</f>
        <v>0</v>
      </c>
      <c r="I703" s="353"/>
      <c r="J703" s="353"/>
      <c r="K703" s="346">
        <f>IFERROR(__xludf.DUMMYFUNCTION("""COMPUTED_VALUE"""),0.0)</f>
        <v>0</v>
      </c>
      <c r="L703" s="347">
        <f>IFERROR(__xludf.DUMMYFUNCTION("""COMPUTED_VALUE"""),0.0)</f>
        <v>0</v>
      </c>
      <c r="M703" s="348">
        <f>IFERROR(__xludf.DUMMYFUNCTION("""COMPUTED_VALUE"""),0.0)</f>
        <v>0</v>
      </c>
      <c r="N703" s="348">
        <f>IFERROR(__xludf.DUMMYFUNCTION("""COMPUTED_VALUE"""),0.0)</f>
        <v>0</v>
      </c>
      <c r="O703" s="348">
        <f>IFERROR(__xludf.DUMMYFUNCTION("""COMPUTED_VALUE"""),0.0)</f>
        <v>0</v>
      </c>
      <c r="P703" s="348">
        <f>IFERROR(__xludf.DUMMYFUNCTION("""COMPUTED_VALUE"""),0.0)</f>
        <v>0</v>
      </c>
      <c r="Q703" s="348">
        <f>IFERROR(__xludf.DUMMYFUNCTION("""COMPUTED_VALUE"""),0.0)</f>
        <v>0</v>
      </c>
      <c r="R703" s="355" t="str">
        <f>IFERROR(__xludf.DUMMYFUNCTION("""COMPUTED_VALUE""")," Cash Proyek ")</f>
        <v>Cash Proyek</v>
      </c>
      <c r="S703" s="350"/>
      <c r="T703" s="262"/>
      <c r="U703" s="351"/>
      <c r="V703" s="262"/>
      <c r="W703" s="262"/>
      <c r="X703" s="262"/>
      <c r="Y703" s="262"/>
      <c r="Z703" s="262"/>
      <c r="AA703" s="262"/>
      <c r="AB703" s="262"/>
      <c r="AC703" s="262"/>
      <c r="AD703" s="262"/>
      <c r="AE703" s="262"/>
      <c r="AF703" s="262"/>
      <c r="AG703" s="264"/>
      <c r="AH703" s="264"/>
      <c r="AI703" s="264"/>
      <c r="AJ703" s="264"/>
      <c r="AK703" s="264"/>
      <c r="AL703" s="264"/>
      <c r="AM703" s="264"/>
      <c r="AN703" s="264"/>
    </row>
    <row r="704" ht="15.75" customHeight="1">
      <c r="A704" s="262"/>
      <c r="B704" s="338">
        <f>IFERROR(__xludf.DUMMYFUNCTION("""COMPUTED_VALUE"""),1185.0)</f>
        <v>1185</v>
      </c>
      <c r="C704" s="354"/>
      <c r="D704" s="340" t="str">
        <f>IFERROR(__xludf.DUMMYFUNCTION("""COMPUTED_VALUE"""),"")</f>
        <v/>
      </c>
      <c r="E704" s="341">
        <f>IFERROR(__xludf.DUMMYFUNCTION("""COMPUTED_VALUE"""),0.0)</f>
        <v>0</v>
      </c>
      <c r="F704" s="352"/>
      <c r="G704" s="343"/>
      <c r="H704" s="344">
        <f>IFERROR(__xludf.DUMMYFUNCTION("""COMPUTED_VALUE"""),0.0)</f>
        <v>0</v>
      </c>
      <c r="I704" s="353"/>
      <c r="J704" s="353"/>
      <c r="K704" s="346">
        <f>IFERROR(__xludf.DUMMYFUNCTION("""COMPUTED_VALUE"""),0.0)</f>
        <v>0</v>
      </c>
      <c r="L704" s="347">
        <f>IFERROR(__xludf.DUMMYFUNCTION("""COMPUTED_VALUE"""),0.0)</f>
        <v>0</v>
      </c>
      <c r="M704" s="348">
        <f>IFERROR(__xludf.DUMMYFUNCTION("""COMPUTED_VALUE"""),0.0)</f>
        <v>0</v>
      </c>
      <c r="N704" s="348">
        <f>IFERROR(__xludf.DUMMYFUNCTION("""COMPUTED_VALUE"""),0.0)</f>
        <v>0</v>
      </c>
      <c r="O704" s="348">
        <f>IFERROR(__xludf.DUMMYFUNCTION("""COMPUTED_VALUE"""),0.0)</f>
        <v>0</v>
      </c>
      <c r="P704" s="348">
        <f>IFERROR(__xludf.DUMMYFUNCTION("""COMPUTED_VALUE"""),0.0)</f>
        <v>0</v>
      </c>
      <c r="Q704" s="348">
        <f>IFERROR(__xludf.DUMMYFUNCTION("""COMPUTED_VALUE"""),0.0)</f>
        <v>0</v>
      </c>
      <c r="R704" s="355" t="str">
        <f>IFERROR(__xludf.DUMMYFUNCTION("""COMPUTED_VALUE""")," Cash Proyek ")</f>
        <v>Cash Proyek</v>
      </c>
      <c r="S704" s="350"/>
      <c r="T704" s="262"/>
      <c r="U704" s="351"/>
      <c r="V704" s="262"/>
      <c r="W704" s="262"/>
      <c r="X704" s="262"/>
      <c r="Y704" s="262"/>
      <c r="Z704" s="262"/>
      <c r="AA704" s="262"/>
      <c r="AB704" s="262"/>
      <c r="AC704" s="262"/>
      <c r="AD704" s="262"/>
      <c r="AE704" s="262"/>
      <c r="AF704" s="262"/>
      <c r="AG704" s="264"/>
      <c r="AH704" s="264"/>
      <c r="AI704" s="264"/>
      <c r="AJ704" s="264"/>
      <c r="AK704" s="264"/>
      <c r="AL704" s="264"/>
      <c r="AM704" s="264"/>
      <c r="AN704" s="264"/>
    </row>
    <row r="705" ht="15.75" customHeight="1">
      <c r="A705" s="262"/>
      <c r="B705" s="338">
        <f>IFERROR(__xludf.DUMMYFUNCTION("""COMPUTED_VALUE"""),1186.0)</f>
        <v>1186</v>
      </c>
      <c r="C705" s="354"/>
      <c r="D705" s="340" t="str">
        <f>IFERROR(__xludf.DUMMYFUNCTION("""COMPUTED_VALUE"""),"")</f>
        <v/>
      </c>
      <c r="E705" s="341">
        <f>IFERROR(__xludf.DUMMYFUNCTION("""COMPUTED_VALUE"""),0.0)</f>
        <v>0</v>
      </c>
      <c r="F705" s="352"/>
      <c r="G705" s="343"/>
      <c r="H705" s="344">
        <f>IFERROR(__xludf.DUMMYFUNCTION("""COMPUTED_VALUE"""),0.0)</f>
        <v>0</v>
      </c>
      <c r="I705" s="353"/>
      <c r="J705" s="353"/>
      <c r="K705" s="346">
        <f>IFERROR(__xludf.DUMMYFUNCTION("""COMPUTED_VALUE"""),0.0)</f>
        <v>0</v>
      </c>
      <c r="L705" s="347">
        <f>IFERROR(__xludf.DUMMYFUNCTION("""COMPUTED_VALUE"""),0.0)</f>
        <v>0</v>
      </c>
      <c r="M705" s="348">
        <f>IFERROR(__xludf.DUMMYFUNCTION("""COMPUTED_VALUE"""),0.0)</f>
        <v>0</v>
      </c>
      <c r="N705" s="348">
        <f>IFERROR(__xludf.DUMMYFUNCTION("""COMPUTED_VALUE"""),0.0)</f>
        <v>0</v>
      </c>
      <c r="O705" s="348">
        <f>IFERROR(__xludf.DUMMYFUNCTION("""COMPUTED_VALUE"""),0.0)</f>
        <v>0</v>
      </c>
      <c r="P705" s="348">
        <f>IFERROR(__xludf.DUMMYFUNCTION("""COMPUTED_VALUE"""),0.0)</f>
        <v>0</v>
      </c>
      <c r="Q705" s="348">
        <f>IFERROR(__xludf.DUMMYFUNCTION("""COMPUTED_VALUE"""),0.0)</f>
        <v>0</v>
      </c>
      <c r="R705" s="355" t="str">
        <f>IFERROR(__xludf.DUMMYFUNCTION("""COMPUTED_VALUE""")," Cash Proyek ")</f>
        <v>Cash Proyek</v>
      </c>
      <c r="S705" s="350"/>
      <c r="T705" s="262"/>
      <c r="U705" s="351"/>
      <c r="V705" s="262"/>
      <c r="W705" s="262"/>
      <c r="X705" s="262"/>
      <c r="Y705" s="262"/>
      <c r="Z705" s="262"/>
      <c r="AA705" s="262"/>
      <c r="AB705" s="262"/>
      <c r="AC705" s="262"/>
      <c r="AD705" s="262"/>
      <c r="AE705" s="262"/>
      <c r="AF705" s="262"/>
      <c r="AG705" s="264"/>
      <c r="AH705" s="264"/>
      <c r="AI705" s="264"/>
      <c r="AJ705" s="264"/>
      <c r="AK705" s="264"/>
      <c r="AL705" s="264"/>
      <c r="AM705" s="264"/>
      <c r="AN705" s="264"/>
    </row>
    <row r="706" ht="15.75" customHeight="1">
      <c r="A706" s="262"/>
      <c r="B706" s="338">
        <f>IFERROR(__xludf.DUMMYFUNCTION("""COMPUTED_VALUE"""),1187.0)</f>
        <v>1187</v>
      </c>
      <c r="C706" s="354"/>
      <c r="D706" s="340" t="str">
        <f>IFERROR(__xludf.DUMMYFUNCTION("""COMPUTED_VALUE"""),"")</f>
        <v/>
      </c>
      <c r="E706" s="341">
        <f>IFERROR(__xludf.DUMMYFUNCTION("""COMPUTED_VALUE"""),0.0)</f>
        <v>0</v>
      </c>
      <c r="F706" s="352"/>
      <c r="G706" s="343"/>
      <c r="H706" s="344">
        <f>IFERROR(__xludf.DUMMYFUNCTION("""COMPUTED_VALUE"""),0.0)</f>
        <v>0</v>
      </c>
      <c r="I706" s="353"/>
      <c r="J706" s="353"/>
      <c r="K706" s="346">
        <f>IFERROR(__xludf.DUMMYFUNCTION("""COMPUTED_VALUE"""),0.0)</f>
        <v>0</v>
      </c>
      <c r="L706" s="347">
        <f>IFERROR(__xludf.DUMMYFUNCTION("""COMPUTED_VALUE"""),0.0)</f>
        <v>0</v>
      </c>
      <c r="M706" s="348">
        <f>IFERROR(__xludf.DUMMYFUNCTION("""COMPUTED_VALUE"""),0.0)</f>
        <v>0</v>
      </c>
      <c r="N706" s="348">
        <f>IFERROR(__xludf.DUMMYFUNCTION("""COMPUTED_VALUE"""),0.0)</f>
        <v>0</v>
      </c>
      <c r="O706" s="348">
        <f>IFERROR(__xludf.DUMMYFUNCTION("""COMPUTED_VALUE"""),0.0)</f>
        <v>0</v>
      </c>
      <c r="P706" s="348">
        <f>IFERROR(__xludf.DUMMYFUNCTION("""COMPUTED_VALUE"""),0.0)</f>
        <v>0</v>
      </c>
      <c r="Q706" s="348">
        <f>IFERROR(__xludf.DUMMYFUNCTION("""COMPUTED_VALUE"""),0.0)</f>
        <v>0</v>
      </c>
      <c r="R706" s="355" t="str">
        <f>IFERROR(__xludf.DUMMYFUNCTION("""COMPUTED_VALUE""")," Cash Proyek ")</f>
        <v>Cash Proyek</v>
      </c>
      <c r="S706" s="350"/>
      <c r="T706" s="262"/>
      <c r="U706" s="351"/>
      <c r="V706" s="262"/>
      <c r="W706" s="262"/>
      <c r="X706" s="262"/>
      <c r="Y706" s="262"/>
      <c r="Z706" s="262"/>
      <c r="AA706" s="262"/>
      <c r="AB706" s="262"/>
      <c r="AC706" s="262"/>
      <c r="AD706" s="262"/>
      <c r="AE706" s="262"/>
      <c r="AF706" s="262"/>
      <c r="AG706" s="264"/>
      <c r="AH706" s="264"/>
      <c r="AI706" s="264"/>
      <c r="AJ706" s="264"/>
      <c r="AK706" s="264"/>
      <c r="AL706" s="264"/>
      <c r="AM706" s="264"/>
      <c r="AN706" s="264"/>
    </row>
    <row r="707" ht="15.75" customHeight="1">
      <c r="A707" s="262"/>
      <c r="B707" s="338">
        <f>IFERROR(__xludf.DUMMYFUNCTION("""COMPUTED_VALUE"""),1188.0)</f>
        <v>1188</v>
      </c>
      <c r="C707" s="354"/>
      <c r="D707" s="340" t="str">
        <f>IFERROR(__xludf.DUMMYFUNCTION("""COMPUTED_VALUE"""),"")</f>
        <v/>
      </c>
      <c r="E707" s="341">
        <f>IFERROR(__xludf.DUMMYFUNCTION("""COMPUTED_VALUE"""),0.0)</f>
        <v>0</v>
      </c>
      <c r="F707" s="352"/>
      <c r="G707" s="343"/>
      <c r="H707" s="344">
        <f>IFERROR(__xludf.DUMMYFUNCTION("""COMPUTED_VALUE"""),0.0)</f>
        <v>0</v>
      </c>
      <c r="I707" s="353"/>
      <c r="J707" s="353"/>
      <c r="K707" s="346">
        <f>IFERROR(__xludf.DUMMYFUNCTION("""COMPUTED_VALUE"""),0.0)</f>
        <v>0</v>
      </c>
      <c r="L707" s="347">
        <f>IFERROR(__xludf.DUMMYFUNCTION("""COMPUTED_VALUE"""),0.0)</f>
        <v>0</v>
      </c>
      <c r="M707" s="348">
        <f>IFERROR(__xludf.DUMMYFUNCTION("""COMPUTED_VALUE"""),0.0)</f>
        <v>0</v>
      </c>
      <c r="N707" s="348">
        <f>IFERROR(__xludf.DUMMYFUNCTION("""COMPUTED_VALUE"""),0.0)</f>
        <v>0</v>
      </c>
      <c r="O707" s="348">
        <f>IFERROR(__xludf.DUMMYFUNCTION("""COMPUTED_VALUE"""),0.0)</f>
        <v>0</v>
      </c>
      <c r="P707" s="348">
        <f>IFERROR(__xludf.DUMMYFUNCTION("""COMPUTED_VALUE"""),0.0)</f>
        <v>0</v>
      </c>
      <c r="Q707" s="348">
        <f>IFERROR(__xludf.DUMMYFUNCTION("""COMPUTED_VALUE"""),0.0)</f>
        <v>0</v>
      </c>
      <c r="R707" s="355" t="str">
        <f>IFERROR(__xludf.DUMMYFUNCTION("""COMPUTED_VALUE""")," Cash Proyek ")</f>
        <v>Cash Proyek</v>
      </c>
      <c r="S707" s="350"/>
      <c r="T707" s="262"/>
      <c r="U707" s="351"/>
      <c r="V707" s="262"/>
      <c r="W707" s="262"/>
      <c r="X707" s="262"/>
      <c r="Y707" s="262"/>
      <c r="Z707" s="262"/>
      <c r="AA707" s="262"/>
      <c r="AB707" s="262"/>
      <c r="AC707" s="262"/>
      <c r="AD707" s="262"/>
      <c r="AE707" s="262"/>
      <c r="AF707" s="262"/>
      <c r="AG707" s="264"/>
      <c r="AH707" s="264"/>
      <c r="AI707" s="264"/>
      <c r="AJ707" s="264"/>
      <c r="AK707" s="264"/>
      <c r="AL707" s="264"/>
      <c r="AM707" s="264"/>
      <c r="AN707" s="264"/>
    </row>
    <row r="708" ht="15.75" customHeight="1">
      <c r="A708" s="262"/>
      <c r="B708" s="338">
        <f>IFERROR(__xludf.DUMMYFUNCTION("""COMPUTED_VALUE"""),1189.0)</f>
        <v>1189</v>
      </c>
      <c r="C708" s="354"/>
      <c r="D708" s="340" t="str">
        <f>IFERROR(__xludf.DUMMYFUNCTION("""COMPUTED_VALUE"""),"")</f>
        <v/>
      </c>
      <c r="E708" s="341">
        <f>IFERROR(__xludf.DUMMYFUNCTION("""COMPUTED_VALUE"""),0.0)</f>
        <v>0</v>
      </c>
      <c r="F708" s="352"/>
      <c r="G708" s="343"/>
      <c r="H708" s="344">
        <f>IFERROR(__xludf.DUMMYFUNCTION("""COMPUTED_VALUE"""),0.0)</f>
        <v>0</v>
      </c>
      <c r="I708" s="353"/>
      <c r="J708" s="353"/>
      <c r="K708" s="346">
        <f>IFERROR(__xludf.DUMMYFUNCTION("""COMPUTED_VALUE"""),0.0)</f>
        <v>0</v>
      </c>
      <c r="L708" s="347">
        <f>IFERROR(__xludf.DUMMYFUNCTION("""COMPUTED_VALUE"""),0.0)</f>
        <v>0</v>
      </c>
      <c r="M708" s="348">
        <f>IFERROR(__xludf.DUMMYFUNCTION("""COMPUTED_VALUE"""),0.0)</f>
        <v>0</v>
      </c>
      <c r="N708" s="348">
        <f>IFERROR(__xludf.DUMMYFUNCTION("""COMPUTED_VALUE"""),0.0)</f>
        <v>0</v>
      </c>
      <c r="O708" s="348">
        <f>IFERROR(__xludf.DUMMYFUNCTION("""COMPUTED_VALUE"""),0.0)</f>
        <v>0</v>
      </c>
      <c r="P708" s="348">
        <f>IFERROR(__xludf.DUMMYFUNCTION("""COMPUTED_VALUE"""),0.0)</f>
        <v>0</v>
      </c>
      <c r="Q708" s="348">
        <f>IFERROR(__xludf.DUMMYFUNCTION("""COMPUTED_VALUE"""),0.0)</f>
        <v>0</v>
      </c>
      <c r="R708" s="355" t="str">
        <f>IFERROR(__xludf.DUMMYFUNCTION("""COMPUTED_VALUE""")," Cash Proyek ")</f>
        <v>Cash Proyek</v>
      </c>
      <c r="S708" s="350"/>
      <c r="T708" s="262"/>
      <c r="U708" s="351"/>
      <c r="V708" s="262"/>
      <c r="W708" s="262"/>
      <c r="X708" s="262"/>
      <c r="Y708" s="262"/>
      <c r="Z708" s="262"/>
      <c r="AA708" s="262"/>
      <c r="AB708" s="262"/>
      <c r="AC708" s="262"/>
      <c r="AD708" s="262"/>
      <c r="AE708" s="262"/>
      <c r="AF708" s="262"/>
      <c r="AG708" s="264"/>
      <c r="AH708" s="264"/>
      <c r="AI708" s="264"/>
      <c r="AJ708" s="264"/>
      <c r="AK708" s="264"/>
      <c r="AL708" s="264"/>
      <c r="AM708" s="264"/>
      <c r="AN708" s="264"/>
    </row>
    <row r="709" ht="15.75" customHeight="1">
      <c r="A709" s="262"/>
      <c r="B709" s="338">
        <f>IFERROR(__xludf.DUMMYFUNCTION("""COMPUTED_VALUE"""),1190.0)</f>
        <v>1190</v>
      </c>
      <c r="C709" s="354"/>
      <c r="D709" s="340" t="str">
        <f>IFERROR(__xludf.DUMMYFUNCTION("""COMPUTED_VALUE"""),"")</f>
        <v/>
      </c>
      <c r="E709" s="341">
        <f>IFERROR(__xludf.DUMMYFUNCTION("""COMPUTED_VALUE"""),0.0)</f>
        <v>0</v>
      </c>
      <c r="F709" s="352"/>
      <c r="G709" s="343"/>
      <c r="H709" s="344">
        <f>IFERROR(__xludf.DUMMYFUNCTION("""COMPUTED_VALUE"""),0.0)</f>
        <v>0</v>
      </c>
      <c r="I709" s="353"/>
      <c r="J709" s="353"/>
      <c r="K709" s="346">
        <f>IFERROR(__xludf.DUMMYFUNCTION("""COMPUTED_VALUE"""),0.0)</f>
        <v>0</v>
      </c>
      <c r="L709" s="347">
        <f>IFERROR(__xludf.DUMMYFUNCTION("""COMPUTED_VALUE"""),0.0)</f>
        <v>0</v>
      </c>
      <c r="M709" s="348">
        <f>IFERROR(__xludf.DUMMYFUNCTION("""COMPUTED_VALUE"""),0.0)</f>
        <v>0</v>
      </c>
      <c r="N709" s="348">
        <f>IFERROR(__xludf.DUMMYFUNCTION("""COMPUTED_VALUE"""),0.0)</f>
        <v>0</v>
      </c>
      <c r="O709" s="348">
        <f>IFERROR(__xludf.DUMMYFUNCTION("""COMPUTED_VALUE"""),0.0)</f>
        <v>0</v>
      </c>
      <c r="P709" s="348">
        <f>IFERROR(__xludf.DUMMYFUNCTION("""COMPUTED_VALUE"""),0.0)</f>
        <v>0</v>
      </c>
      <c r="Q709" s="348">
        <f>IFERROR(__xludf.DUMMYFUNCTION("""COMPUTED_VALUE"""),0.0)</f>
        <v>0</v>
      </c>
      <c r="R709" s="355" t="str">
        <f>IFERROR(__xludf.DUMMYFUNCTION("""COMPUTED_VALUE""")," Cash Proyek ")</f>
        <v>Cash Proyek</v>
      </c>
      <c r="S709" s="350"/>
      <c r="T709" s="262"/>
      <c r="U709" s="351"/>
      <c r="V709" s="262"/>
      <c r="W709" s="262"/>
      <c r="X709" s="262"/>
      <c r="Y709" s="262"/>
      <c r="Z709" s="262"/>
      <c r="AA709" s="262"/>
      <c r="AB709" s="262"/>
      <c r="AC709" s="262"/>
      <c r="AD709" s="262"/>
      <c r="AE709" s="262"/>
      <c r="AF709" s="262"/>
      <c r="AG709" s="264"/>
      <c r="AH709" s="264"/>
      <c r="AI709" s="264"/>
      <c r="AJ709" s="264"/>
      <c r="AK709" s="264"/>
      <c r="AL709" s="264"/>
      <c r="AM709" s="264"/>
      <c r="AN709" s="264"/>
    </row>
    <row r="710" ht="15.75" customHeight="1">
      <c r="A710" s="262"/>
      <c r="B710" s="338">
        <f>IFERROR(__xludf.DUMMYFUNCTION("""COMPUTED_VALUE"""),1191.0)</f>
        <v>1191</v>
      </c>
      <c r="C710" s="354"/>
      <c r="D710" s="340" t="str">
        <f>IFERROR(__xludf.DUMMYFUNCTION("""COMPUTED_VALUE"""),"")</f>
        <v/>
      </c>
      <c r="E710" s="341">
        <f>IFERROR(__xludf.DUMMYFUNCTION("""COMPUTED_VALUE"""),0.0)</f>
        <v>0</v>
      </c>
      <c r="F710" s="352"/>
      <c r="G710" s="343"/>
      <c r="H710" s="344">
        <f>IFERROR(__xludf.DUMMYFUNCTION("""COMPUTED_VALUE"""),0.0)</f>
        <v>0</v>
      </c>
      <c r="I710" s="353"/>
      <c r="J710" s="353"/>
      <c r="K710" s="346">
        <f>IFERROR(__xludf.DUMMYFUNCTION("""COMPUTED_VALUE"""),0.0)</f>
        <v>0</v>
      </c>
      <c r="L710" s="347">
        <f>IFERROR(__xludf.DUMMYFUNCTION("""COMPUTED_VALUE"""),0.0)</f>
        <v>0</v>
      </c>
      <c r="M710" s="348">
        <f>IFERROR(__xludf.DUMMYFUNCTION("""COMPUTED_VALUE"""),0.0)</f>
        <v>0</v>
      </c>
      <c r="N710" s="348">
        <f>IFERROR(__xludf.DUMMYFUNCTION("""COMPUTED_VALUE"""),0.0)</f>
        <v>0</v>
      </c>
      <c r="O710" s="348">
        <f>IFERROR(__xludf.DUMMYFUNCTION("""COMPUTED_VALUE"""),0.0)</f>
        <v>0</v>
      </c>
      <c r="P710" s="348">
        <f>IFERROR(__xludf.DUMMYFUNCTION("""COMPUTED_VALUE"""),0.0)</f>
        <v>0</v>
      </c>
      <c r="Q710" s="348">
        <f>IFERROR(__xludf.DUMMYFUNCTION("""COMPUTED_VALUE"""),0.0)</f>
        <v>0</v>
      </c>
      <c r="R710" s="355" t="str">
        <f>IFERROR(__xludf.DUMMYFUNCTION("""COMPUTED_VALUE""")," Cash Proyek ")</f>
        <v>Cash Proyek</v>
      </c>
      <c r="S710" s="350"/>
      <c r="T710" s="262"/>
      <c r="U710" s="351"/>
      <c r="V710" s="262"/>
      <c r="W710" s="262"/>
      <c r="X710" s="262"/>
      <c r="Y710" s="262"/>
      <c r="Z710" s="262"/>
      <c r="AA710" s="262"/>
      <c r="AB710" s="262"/>
      <c r="AC710" s="262"/>
      <c r="AD710" s="262"/>
      <c r="AE710" s="262"/>
      <c r="AF710" s="262"/>
      <c r="AG710" s="264"/>
      <c r="AH710" s="264"/>
      <c r="AI710" s="264"/>
      <c r="AJ710" s="264"/>
      <c r="AK710" s="264"/>
      <c r="AL710" s="264"/>
      <c r="AM710" s="264"/>
      <c r="AN710" s="264"/>
    </row>
    <row r="711" ht="15.75" customHeight="1">
      <c r="A711" s="262"/>
      <c r="B711" s="338">
        <f>IFERROR(__xludf.DUMMYFUNCTION("""COMPUTED_VALUE"""),1192.0)</f>
        <v>1192</v>
      </c>
      <c r="C711" s="354"/>
      <c r="D711" s="340" t="str">
        <f>IFERROR(__xludf.DUMMYFUNCTION("""COMPUTED_VALUE"""),"")</f>
        <v/>
      </c>
      <c r="E711" s="341">
        <f>IFERROR(__xludf.DUMMYFUNCTION("""COMPUTED_VALUE"""),0.0)</f>
        <v>0</v>
      </c>
      <c r="F711" s="352"/>
      <c r="G711" s="343"/>
      <c r="H711" s="344">
        <f>IFERROR(__xludf.DUMMYFUNCTION("""COMPUTED_VALUE"""),0.0)</f>
        <v>0</v>
      </c>
      <c r="I711" s="353"/>
      <c r="J711" s="353"/>
      <c r="K711" s="346">
        <f>IFERROR(__xludf.DUMMYFUNCTION("""COMPUTED_VALUE"""),0.0)</f>
        <v>0</v>
      </c>
      <c r="L711" s="347">
        <f>IFERROR(__xludf.DUMMYFUNCTION("""COMPUTED_VALUE"""),0.0)</f>
        <v>0</v>
      </c>
      <c r="M711" s="348">
        <f>IFERROR(__xludf.DUMMYFUNCTION("""COMPUTED_VALUE"""),0.0)</f>
        <v>0</v>
      </c>
      <c r="N711" s="348">
        <f>IFERROR(__xludf.DUMMYFUNCTION("""COMPUTED_VALUE"""),0.0)</f>
        <v>0</v>
      </c>
      <c r="O711" s="348">
        <f>IFERROR(__xludf.DUMMYFUNCTION("""COMPUTED_VALUE"""),0.0)</f>
        <v>0</v>
      </c>
      <c r="P711" s="348">
        <f>IFERROR(__xludf.DUMMYFUNCTION("""COMPUTED_VALUE"""),0.0)</f>
        <v>0</v>
      </c>
      <c r="Q711" s="348">
        <f>IFERROR(__xludf.DUMMYFUNCTION("""COMPUTED_VALUE"""),0.0)</f>
        <v>0</v>
      </c>
      <c r="R711" s="355" t="str">
        <f>IFERROR(__xludf.DUMMYFUNCTION("""COMPUTED_VALUE""")," Cash Proyek ")</f>
        <v>Cash Proyek</v>
      </c>
      <c r="S711" s="350"/>
      <c r="T711" s="262"/>
      <c r="U711" s="351"/>
      <c r="V711" s="262"/>
      <c r="W711" s="262"/>
      <c r="X711" s="262"/>
      <c r="Y711" s="262"/>
      <c r="Z711" s="262"/>
      <c r="AA711" s="262"/>
      <c r="AB711" s="262"/>
      <c r="AC711" s="262"/>
      <c r="AD711" s="262"/>
      <c r="AE711" s="262"/>
      <c r="AF711" s="262"/>
      <c r="AG711" s="264"/>
      <c r="AH711" s="264"/>
      <c r="AI711" s="264"/>
      <c r="AJ711" s="264"/>
      <c r="AK711" s="264"/>
      <c r="AL711" s="264"/>
      <c r="AM711" s="264"/>
      <c r="AN711" s="264"/>
    </row>
    <row r="712" ht="15.75" customHeight="1">
      <c r="A712" s="262"/>
      <c r="B712" s="338">
        <f>IFERROR(__xludf.DUMMYFUNCTION("""COMPUTED_VALUE"""),1193.0)</f>
        <v>1193</v>
      </c>
      <c r="C712" s="354"/>
      <c r="D712" s="340" t="str">
        <f>IFERROR(__xludf.DUMMYFUNCTION("""COMPUTED_VALUE"""),"")</f>
        <v/>
      </c>
      <c r="E712" s="341">
        <f>IFERROR(__xludf.DUMMYFUNCTION("""COMPUTED_VALUE"""),0.0)</f>
        <v>0</v>
      </c>
      <c r="F712" s="352"/>
      <c r="G712" s="343"/>
      <c r="H712" s="344">
        <f>IFERROR(__xludf.DUMMYFUNCTION("""COMPUTED_VALUE"""),0.0)</f>
        <v>0</v>
      </c>
      <c r="I712" s="353"/>
      <c r="J712" s="353"/>
      <c r="K712" s="346">
        <f>IFERROR(__xludf.DUMMYFUNCTION("""COMPUTED_VALUE"""),0.0)</f>
        <v>0</v>
      </c>
      <c r="L712" s="347">
        <f>IFERROR(__xludf.DUMMYFUNCTION("""COMPUTED_VALUE"""),0.0)</f>
        <v>0</v>
      </c>
      <c r="M712" s="348">
        <f>IFERROR(__xludf.DUMMYFUNCTION("""COMPUTED_VALUE"""),0.0)</f>
        <v>0</v>
      </c>
      <c r="N712" s="348">
        <f>IFERROR(__xludf.DUMMYFUNCTION("""COMPUTED_VALUE"""),0.0)</f>
        <v>0</v>
      </c>
      <c r="O712" s="348">
        <f>IFERROR(__xludf.DUMMYFUNCTION("""COMPUTED_VALUE"""),0.0)</f>
        <v>0</v>
      </c>
      <c r="P712" s="348">
        <f>IFERROR(__xludf.DUMMYFUNCTION("""COMPUTED_VALUE"""),0.0)</f>
        <v>0</v>
      </c>
      <c r="Q712" s="348">
        <f>IFERROR(__xludf.DUMMYFUNCTION("""COMPUTED_VALUE"""),0.0)</f>
        <v>0</v>
      </c>
      <c r="R712" s="355" t="str">
        <f>IFERROR(__xludf.DUMMYFUNCTION("""COMPUTED_VALUE""")," Cash Proyek ")</f>
        <v>Cash Proyek</v>
      </c>
      <c r="S712" s="350"/>
      <c r="T712" s="262"/>
      <c r="U712" s="351"/>
      <c r="V712" s="262"/>
      <c r="W712" s="262"/>
      <c r="X712" s="262"/>
      <c r="Y712" s="262"/>
      <c r="Z712" s="262"/>
      <c r="AA712" s="262"/>
      <c r="AB712" s="262"/>
      <c r="AC712" s="262"/>
      <c r="AD712" s="262"/>
      <c r="AE712" s="262"/>
      <c r="AF712" s="262"/>
      <c r="AG712" s="264"/>
      <c r="AH712" s="264"/>
      <c r="AI712" s="264"/>
      <c r="AJ712" s="264"/>
      <c r="AK712" s="264"/>
      <c r="AL712" s="264"/>
      <c r="AM712" s="264"/>
      <c r="AN712" s="264"/>
    </row>
    <row r="713" ht="15.75" customHeight="1">
      <c r="A713" s="262"/>
      <c r="B713" s="338">
        <f>IFERROR(__xludf.DUMMYFUNCTION("""COMPUTED_VALUE"""),1194.0)</f>
        <v>1194</v>
      </c>
      <c r="C713" s="354"/>
      <c r="D713" s="340" t="str">
        <f>IFERROR(__xludf.DUMMYFUNCTION("""COMPUTED_VALUE"""),"")</f>
        <v/>
      </c>
      <c r="E713" s="341">
        <f>IFERROR(__xludf.DUMMYFUNCTION("""COMPUTED_VALUE"""),0.0)</f>
        <v>0</v>
      </c>
      <c r="F713" s="352"/>
      <c r="G713" s="343"/>
      <c r="H713" s="344">
        <f>IFERROR(__xludf.DUMMYFUNCTION("""COMPUTED_VALUE"""),0.0)</f>
        <v>0</v>
      </c>
      <c r="I713" s="353"/>
      <c r="J713" s="353"/>
      <c r="K713" s="346">
        <f>IFERROR(__xludf.DUMMYFUNCTION("""COMPUTED_VALUE"""),0.0)</f>
        <v>0</v>
      </c>
      <c r="L713" s="347">
        <f>IFERROR(__xludf.DUMMYFUNCTION("""COMPUTED_VALUE"""),0.0)</f>
        <v>0</v>
      </c>
      <c r="M713" s="348">
        <f>IFERROR(__xludf.DUMMYFUNCTION("""COMPUTED_VALUE"""),0.0)</f>
        <v>0</v>
      </c>
      <c r="N713" s="348">
        <f>IFERROR(__xludf.DUMMYFUNCTION("""COMPUTED_VALUE"""),0.0)</f>
        <v>0</v>
      </c>
      <c r="O713" s="348">
        <f>IFERROR(__xludf.DUMMYFUNCTION("""COMPUTED_VALUE"""),0.0)</f>
        <v>0</v>
      </c>
      <c r="P713" s="348">
        <f>IFERROR(__xludf.DUMMYFUNCTION("""COMPUTED_VALUE"""),0.0)</f>
        <v>0</v>
      </c>
      <c r="Q713" s="348">
        <f>IFERROR(__xludf.DUMMYFUNCTION("""COMPUTED_VALUE"""),0.0)</f>
        <v>0</v>
      </c>
      <c r="R713" s="355" t="str">
        <f>IFERROR(__xludf.DUMMYFUNCTION("""COMPUTED_VALUE""")," Cash Proyek ")</f>
        <v>Cash Proyek</v>
      </c>
      <c r="S713" s="350"/>
      <c r="T713" s="262"/>
      <c r="U713" s="351"/>
      <c r="V713" s="262"/>
      <c r="W713" s="262"/>
      <c r="X713" s="262"/>
      <c r="Y713" s="262"/>
      <c r="Z713" s="262"/>
      <c r="AA713" s="262"/>
      <c r="AB713" s="262"/>
      <c r="AC713" s="262"/>
      <c r="AD713" s="262"/>
      <c r="AE713" s="262"/>
      <c r="AF713" s="262"/>
      <c r="AG713" s="264"/>
      <c r="AH713" s="264"/>
      <c r="AI713" s="264"/>
      <c r="AJ713" s="264"/>
      <c r="AK713" s="264"/>
      <c r="AL713" s="264"/>
      <c r="AM713" s="264"/>
      <c r="AN713" s="264"/>
    </row>
    <row r="714" ht="15.75" customHeight="1">
      <c r="A714" s="262"/>
      <c r="B714" s="338">
        <f>IFERROR(__xludf.DUMMYFUNCTION("""COMPUTED_VALUE"""),1195.0)</f>
        <v>1195</v>
      </c>
      <c r="C714" s="354"/>
      <c r="D714" s="340" t="str">
        <f>IFERROR(__xludf.DUMMYFUNCTION("""COMPUTED_VALUE"""),"")</f>
        <v/>
      </c>
      <c r="E714" s="341">
        <f>IFERROR(__xludf.DUMMYFUNCTION("""COMPUTED_VALUE"""),0.0)</f>
        <v>0</v>
      </c>
      <c r="F714" s="352"/>
      <c r="G714" s="343"/>
      <c r="H714" s="344">
        <f>IFERROR(__xludf.DUMMYFUNCTION("""COMPUTED_VALUE"""),0.0)</f>
        <v>0</v>
      </c>
      <c r="I714" s="353"/>
      <c r="J714" s="353"/>
      <c r="K714" s="346">
        <f>IFERROR(__xludf.DUMMYFUNCTION("""COMPUTED_VALUE"""),0.0)</f>
        <v>0</v>
      </c>
      <c r="L714" s="347">
        <f>IFERROR(__xludf.DUMMYFUNCTION("""COMPUTED_VALUE"""),0.0)</f>
        <v>0</v>
      </c>
      <c r="M714" s="348">
        <f>IFERROR(__xludf.DUMMYFUNCTION("""COMPUTED_VALUE"""),0.0)</f>
        <v>0</v>
      </c>
      <c r="N714" s="348">
        <f>IFERROR(__xludf.DUMMYFUNCTION("""COMPUTED_VALUE"""),0.0)</f>
        <v>0</v>
      </c>
      <c r="O714" s="348">
        <f>IFERROR(__xludf.DUMMYFUNCTION("""COMPUTED_VALUE"""),0.0)</f>
        <v>0</v>
      </c>
      <c r="P714" s="348">
        <f>IFERROR(__xludf.DUMMYFUNCTION("""COMPUTED_VALUE"""),0.0)</f>
        <v>0</v>
      </c>
      <c r="Q714" s="348">
        <f>IFERROR(__xludf.DUMMYFUNCTION("""COMPUTED_VALUE"""),0.0)</f>
        <v>0</v>
      </c>
      <c r="R714" s="355" t="str">
        <f>IFERROR(__xludf.DUMMYFUNCTION("""COMPUTED_VALUE""")," Cash Proyek ")</f>
        <v>Cash Proyek</v>
      </c>
      <c r="S714" s="350"/>
      <c r="T714" s="262"/>
      <c r="U714" s="351"/>
      <c r="V714" s="262"/>
      <c r="W714" s="262"/>
      <c r="X714" s="262"/>
      <c r="Y714" s="262"/>
      <c r="Z714" s="262"/>
      <c r="AA714" s="262"/>
      <c r="AB714" s="262"/>
      <c r="AC714" s="262"/>
      <c r="AD714" s="262"/>
      <c r="AE714" s="262"/>
      <c r="AF714" s="262"/>
      <c r="AG714" s="264"/>
      <c r="AH714" s="264"/>
      <c r="AI714" s="264"/>
      <c r="AJ714" s="264"/>
      <c r="AK714" s="264"/>
      <c r="AL714" s="264"/>
      <c r="AM714" s="264"/>
      <c r="AN714" s="264"/>
    </row>
    <row r="715" ht="15.75" customHeight="1">
      <c r="A715" s="262"/>
      <c r="B715" s="338">
        <f>IFERROR(__xludf.DUMMYFUNCTION("""COMPUTED_VALUE"""),1196.0)</f>
        <v>1196</v>
      </c>
      <c r="C715" s="354"/>
      <c r="D715" s="340" t="str">
        <f>IFERROR(__xludf.DUMMYFUNCTION("""COMPUTED_VALUE"""),"")</f>
        <v/>
      </c>
      <c r="E715" s="341">
        <f>IFERROR(__xludf.DUMMYFUNCTION("""COMPUTED_VALUE"""),0.0)</f>
        <v>0</v>
      </c>
      <c r="F715" s="352"/>
      <c r="G715" s="343"/>
      <c r="H715" s="344">
        <f>IFERROR(__xludf.DUMMYFUNCTION("""COMPUTED_VALUE"""),0.0)</f>
        <v>0</v>
      </c>
      <c r="I715" s="353"/>
      <c r="J715" s="353"/>
      <c r="K715" s="346">
        <f>IFERROR(__xludf.DUMMYFUNCTION("""COMPUTED_VALUE"""),0.0)</f>
        <v>0</v>
      </c>
      <c r="L715" s="347">
        <f>IFERROR(__xludf.DUMMYFUNCTION("""COMPUTED_VALUE"""),0.0)</f>
        <v>0</v>
      </c>
      <c r="M715" s="348">
        <f>IFERROR(__xludf.DUMMYFUNCTION("""COMPUTED_VALUE"""),0.0)</f>
        <v>0</v>
      </c>
      <c r="N715" s="348">
        <f>IFERROR(__xludf.DUMMYFUNCTION("""COMPUTED_VALUE"""),0.0)</f>
        <v>0</v>
      </c>
      <c r="O715" s="348">
        <f>IFERROR(__xludf.DUMMYFUNCTION("""COMPUTED_VALUE"""),0.0)</f>
        <v>0</v>
      </c>
      <c r="P715" s="348">
        <f>IFERROR(__xludf.DUMMYFUNCTION("""COMPUTED_VALUE"""),0.0)</f>
        <v>0</v>
      </c>
      <c r="Q715" s="348">
        <f>IFERROR(__xludf.DUMMYFUNCTION("""COMPUTED_VALUE"""),0.0)</f>
        <v>0</v>
      </c>
      <c r="R715" s="355" t="str">
        <f>IFERROR(__xludf.DUMMYFUNCTION("""COMPUTED_VALUE""")," Cash Proyek ")</f>
        <v>Cash Proyek</v>
      </c>
      <c r="S715" s="350"/>
      <c r="T715" s="262"/>
      <c r="U715" s="351"/>
      <c r="V715" s="262"/>
      <c r="W715" s="262"/>
      <c r="X715" s="262"/>
      <c r="Y715" s="262"/>
      <c r="Z715" s="262"/>
      <c r="AA715" s="262"/>
      <c r="AB715" s="262"/>
      <c r="AC715" s="262"/>
      <c r="AD715" s="262"/>
      <c r="AE715" s="262"/>
      <c r="AF715" s="262"/>
      <c r="AG715" s="264"/>
      <c r="AH715" s="264"/>
      <c r="AI715" s="264"/>
      <c r="AJ715" s="264"/>
      <c r="AK715" s="264"/>
      <c r="AL715" s="264"/>
      <c r="AM715" s="264"/>
      <c r="AN715" s="264"/>
    </row>
    <row r="716" ht="15.75" customHeight="1">
      <c r="A716" s="262"/>
      <c r="B716" s="338">
        <f>IFERROR(__xludf.DUMMYFUNCTION("""COMPUTED_VALUE"""),1197.0)</f>
        <v>1197</v>
      </c>
      <c r="C716" s="354"/>
      <c r="D716" s="340" t="str">
        <f>IFERROR(__xludf.DUMMYFUNCTION("""COMPUTED_VALUE"""),"")</f>
        <v/>
      </c>
      <c r="E716" s="341">
        <f>IFERROR(__xludf.DUMMYFUNCTION("""COMPUTED_VALUE"""),0.0)</f>
        <v>0</v>
      </c>
      <c r="F716" s="352"/>
      <c r="G716" s="343"/>
      <c r="H716" s="344">
        <f>IFERROR(__xludf.DUMMYFUNCTION("""COMPUTED_VALUE"""),0.0)</f>
        <v>0</v>
      </c>
      <c r="I716" s="353"/>
      <c r="J716" s="353"/>
      <c r="K716" s="346">
        <f>IFERROR(__xludf.DUMMYFUNCTION("""COMPUTED_VALUE"""),0.0)</f>
        <v>0</v>
      </c>
      <c r="L716" s="347">
        <f>IFERROR(__xludf.DUMMYFUNCTION("""COMPUTED_VALUE"""),0.0)</f>
        <v>0</v>
      </c>
      <c r="M716" s="348">
        <f>IFERROR(__xludf.DUMMYFUNCTION("""COMPUTED_VALUE"""),0.0)</f>
        <v>0</v>
      </c>
      <c r="N716" s="348">
        <f>IFERROR(__xludf.DUMMYFUNCTION("""COMPUTED_VALUE"""),0.0)</f>
        <v>0</v>
      </c>
      <c r="O716" s="348">
        <f>IFERROR(__xludf.DUMMYFUNCTION("""COMPUTED_VALUE"""),0.0)</f>
        <v>0</v>
      </c>
      <c r="P716" s="348">
        <f>IFERROR(__xludf.DUMMYFUNCTION("""COMPUTED_VALUE"""),0.0)</f>
        <v>0</v>
      </c>
      <c r="Q716" s="348">
        <f>IFERROR(__xludf.DUMMYFUNCTION("""COMPUTED_VALUE"""),0.0)</f>
        <v>0</v>
      </c>
      <c r="R716" s="355" t="str">
        <f>IFERROR(__xludf.DUMMYFUNCTION("""COMPUTED_VALUE""")," Cash Proyek ")</f>
        <v>Cash Proyek</v>
      </c>
      <c r="S716" s="350"/>
      <c r="T716" s="262"/>
      <c r="U716" s="351"/>
      <c r="V716" s="262"/>
      <c r="W716" s="262"/>
      <c r="X716" s="262"/>
      <c r="Y716" s="262"/>
      <c r="Z716" s="262"/>
      <c r="AA716" s="262"/>
      <c r="AB716" s="262"/>
      <c r="AC716" s="262"/>
      <c r="AD716" s="262"/>
      <c r="AE716" s="262"/>
      <c r="AF716" s="262"/>
      <c r="AG716" s="264"/>
      <c r="AH716" s="264"/>
      <c r="AI716" s="264"/>
      <c r="AJ716" s="264"/>
      <c r="AK716" s="264"/>
      <c r="AL716" s="264"/>
      <c r="AM716" s="264"/>
      <c r="AN716" s="264"/>
    </row>
    <row r="717" ht="15.75" customHeight="1">
      <c r="A717" s="262"/>
      <c r="B717" s="338">
        <f>IFERROR(__xludf.DUMMYFUNCTION("""COMPUTED_VALUE"""),1198.0)</f>
        <v>1198</v>
      </c>
      <c r="C717" s="354"/>
      <c r="D717" s="340" t="str">
        <f>IFERROR(__xludf.DUMMYFUNCTION("""COMPUTED_VALUE"""),"")</f>
        <v/>
      </c>
      <c r="E717" s="341">
        <f>IFERROR(__xludf.DUMMYFUNCTION("""COMPUTED_VALUE"""),0.0)</f>
        <v>0</v>
      </c>
      <c r="F717" s="352"/>
      <c r="G717" s="343"/>
      <c r="H717" s="344">
        <f>IFERROR(__xludf.DUMMYFUNCTION("""COMPUTED_VALUE"""),0.0)</f>
        <v>0</v>
      </c>
      <c r="I717" s="353"/>
      <c r="J717" s="353"/>
      <c r="K717" s="346">
        <f>IFERROR(__xludf.DUMMYFUNCTION("""COMPUTED_VALUE"""),0.0)</f>
        <v>0</v>
      </c>
      <c r="L717" s="347">
        <f>IFERROR(__xludf.DUMMYFUNCTION("""COMPUTED_VALUE"""),0.0)</f>
        <v>0</v>
      </c>
      <c r="M717" s="348">
        <f>IFERROR(__xludf.DUMMYFUNCTION("""COMPUTED_VALUE"""),0.0)</f>
        <v>0</v>
      </c>
      <c r="N717" s="348">
        <f>IFERROR(__xludf.DUMMYFUNCTION("""COMPUTED_VALUE"""),0.0)</f>
        <v>0</v>
      </c>
      <c r="O717" s="348">
        <f>IFERROR(__xludf.DUMMYFUNCTION("""COMPUTED_VALUE"""),0.0)</f>
        <v>0</v>
      </c>
      <c r="P717" s="348">
        <f>IFERROR(__xludf.DUMMYFUNCTION("""COMPUTED_VALUE"""),0.0)</f>
        <v>0</v>
      </c>
      <c r="Q717" s="348">
        <f>IFERROR(__xludf.DUMMYFUNCTION("""COMPUTED_VALUE"""),0.0)</f>
        <v>0</v>
      </c>
      <c r="R717" s="355" t="str">
        <f>IFERROR(__xludf.DUMMYFUNCTION("""COMPUTED_VALUE""")," Cash Proyek ")</f>
        <v>Cash Proyek</v>
      </c>
      <c r="S717" s="350"/>
      <c r="T717" s="262"/>
      <c r="U717" s="351"/>
      <c r="V717" s="262"/>
      <c r="W717" s="262"/>
      <c r="X717" s="262"/>
      <c r="Y717" s="262"/>
      <c r="Z717" s="262"/>
      <c r="AA717" s="262"/>
      <c r="AB717" s="262"/>
      <c r="AC717" s="262"/>
      <c r="AD717" s="262"/>
      <c r="AE717" s="262"/>
      <c r="AF717" s="262"/>
      <c r="AG717" s="264"/>
      <c r="AH717" s="264"/>
      <c r="AI717" s="264"/>
      <c r="AJ717" s="264"/>
      <c r="AK717" s="264"/>
      <c r="AL717" s="264"/>
      <c r="AM717" s="264"/>
      <c r="AN717" s="264"/>
    </row>
    <row r="718" ht="15.75" customHeight="1">
      <c r="A718" s="262"/>
      <c r="B718" s="338">
        <f>IFERROR(__xludf.DUMMYFUNCTION("""COMPUTED_VALUE"""),1199.0)</f>
        <v>1199</v>
      </c>
      <c r="C718" s="354"/>
      <c r="D718" s="340" t="str">
        <f>IFERROR(__xludf.DUMMYFUNCTION("""COMPUTED_VALUE"""),"")</f>
        <v/>
      </c>
      <c r="E718" s="341">
        <f>IFERROR(__xludf.DUMMYFUNCTION("""COMPUTED_VALUE"""),0.0)</f>
        <v>0</v>
      </c>
      <c r="F718" s="352"/>
      <c r="G718" s="343"/>
      <c r="H718" s="344">
        <f>IFERROR(__xludf.DUMMYFUNCTION("""COMPUTED_VALUE"""),0.0)</f>
        <v>0</v>
      </c>
      <c r="I718" s="353"/>
      <c r="J718" s="353"/>
      <c r="K718" s="346">
        <f>IFERROR(__xludf.DUMMYFUNCTION("""COMPUTED_VALUE"""),0.0)</f>
        <v>0</v>
      </c>
      <c r="L718" s="347">
        <f>IFERROR(__xludf.DUMMYFUNCTION("""COMPUTED_VALUE"""),0.0)</f>
        <v>0</v>
      </c>
      <c r="M718" s="348">
        <f>IFERROR(__xludf.DUMMYFUNCTION("""COMPUTED_VALUE"""),0.0)</f>
        <v>0</v>
      </c>
      <c r="N718" s="348">
        <f>IFERROR(__xludf.DUMMYFUNCTION("""COMPUTED_VALUE"""),0.0)</f>
        <v>0</v>
      </c>
      <c r="O718" s="348">
        <f>IFERROR(__xludf.DUMMYFUNCTION("""COMPUTED_VALUE"""),0.0)</f>
        <v>0</v>
      </c>
      <c r="P718" s="348">
        <f>IFERROR(__xludf.DUMMYFUNCTION("""COMPUTED_VALUE"""),0.0)</f>
        <v>0</v>
      </c>
      <c r="Q718" s="348">
        <f>IFERROR(__xludf.DUMMYFUNCTION("""COMPUTED_VALUE"""),0.0)</f>
        <v>0</v>
      </c>
      <c r="R718" s="355" t="str">
        <f>IFERROR(__xludf.DUMMYFUNCTION("""COMPUTED_VALUE""")," Cash Proyek ")</f>
        <v>Cash Proyek</v>
      </c>
      <c r="S718" s="350"/>
      <c r="T718" s="262"/>
      <c r="U718" s="351"/>
      <c r="V718" s="262"/>
      <c r="W718" s="262"/>
      <c r="X718" s="262"/>
      <c r="Y718" s="262"/>
      <c r="Z718" s="262"/>
      <c r="AA718" s="262"/>
      <c r="AB718" s="262"/>
      <c r="AC718" s="262"/>
      <c r="AD718" s="262"/>
      <c r="AE718" s="262"/>
      <c r="AF718" s="262"/>
      <c r="AG718" s="264"/>
      <c r="AH718" s="264"/>
      <c r="AI718" s="264"/>
      <c r="AJ718" s="264"/>
      <c r="AK718" s="264"/>
      <c r="AL718" s="264"/>
      <c r="AM718" s="264"/>
      <c r="AN718" s="264"/>
    </row>
    <row r="719" ht="15.75" customHeight="1">
      <c r="A719" s="262"/>
      <c r="B719" s="338">
        <f>IFERROR(__xludf.DUMMYFUNCTION("""COMPUTED_VALUE"""),1200.0)</f>
        <v>1200</v>
      </c>
      <c r="C719" s="354"/>
      <c r="D719" s="340" t="str">
        <f>IFERROR(__xludf.DUMMYFUNCTION("""COMPUTED_VALUE"""),"")</f>
        <v/>
      </c>
      <c r="E719" s="341">
        <f>IFERROR(__xludf.DUMMYFUNCTION("""COMPUTED_VALUE"""),0.0)</f>
        <v>0</v>
      </c>
      <c r="F719" s="352"/>
      <c r="G719" s="343"/>
      <c r="H719" s="344">
        <f>IFERROR(__xludf.DUMMYFUNCTION("""COMPUTED_VALUE"""),0.0)</f>
        <v>0</v>
      </c>
      <c r="I719" s="353"/>
      <c r="J719" s="353"/>
      <c r="K719" s="346">
        <f>IFERROR(__xludf.DUMMYFUNCTION("""COMPUTED_VALUE"""),0.0)</f>
        <v>0</v>
      </c>
      <c r="L719" s="347">
        <f>IFERROR(__xludf.DUMMYFUNCTION("""COMPUTED_VALUE"""),0.0)</f>
        <v>0</v>
      </c>
      <c r="M719" s="348">
        <f>IFERROR(__xludf.DUMMYFUNCTION("""COMPUTED_VALUE"""),0.0)</f>
        <v>0</v>
      </c>
      <c r="N719" s="348">
        <f>IFERROR(__xludf.DUMMYFUNCTION("""COMPUTED_VALUE"""),0.0)</f>
        <v>0</v>
      </c>
      <c r="O719" s="348">
        <f>IFERROR(__xludf.DUMMYFUNCTION("""COMPUTED_VALUE"""),0.0)</f>
        <v>0</v>
      </c>
      <c r="P719" s="348">
        <f>IFERROR(__xludf.DUMMYFUNCTION("""COMPUTED_VALUE"""),0.0)</f>
        <v>0</v>
      </c>
      <c r="Q719" s="348">
        <f>IFERROR(__xludf.DUMMYFUNCTION("""COMPUTED_VALUE"""),0.0)</f>
        <v>0</v>
      </c>
      <c r="R719" s="355" t="str">
        <f>IFERROR(__xludf.DUMMYFUNCTION("""COMPUTED_VALUE""")," Cash Proyek ")</f>
        <v>Cash Proyek</v>
      </c>
      <c r="S719" s="350"/>
      <c r="T719" s="262"/>
      <c r="U719" s="351"/>
      <c r="V719" s="262"/>
      <c r="W719" s="262"/>
      <c r="X719" s="262"/>
      <c r="Y719" s="262"/>
      <c r="Z719" s="262"/>
      <c r="AA719" s="262"/>
      <c r="AB719" s="262"/>
      <c r="AC719" s="262"/>
      <c r="AD719" s="262"/>
      <c r="AE719" s="262"/>
      <c r="AF719" s="262"/>
      <c r="AG719" s="264"/>
      <c r="AH719" s="264"/>
      <c r="AI719" s="264"/>
      <c r="AJ719" s="264"/>
      <c r="AK719" s="264"/>
      <c r="AL719" s="264"/>
      <c r="AM719" s="264"/>
      <c r="AN719" s="264"/>
    </row>
    <row r="720" ht="15.75" customHeight="1">
      <c r="A720" s="262"/>
      <c r="B720" s="338">
        <f>IFERROR(__xludf.DUMMYFUNCTION("""COMPUTED_VALUE"""),1201.0)</f>
        <v>1201</v>
      </c>
      <c r="C720" s="354"/>
      <c r="D720" s="340" t="str">
        <f>IFERROR(__xludf.DUMMYFUNCTION("""COMPUTED_VALUE"""),"")</f>
        <v/>
      </c>
      <c r="E720" s="341">
        <f>IFERROR(__xludf.DUMMYFUNCTION("""COMPUTED_VALUE"""),0.0)</f>
        <v>0</v>
      </c>
      <c r="F720" s="352"/>
      <c r="G720" s="343"/>
      <c r="H720" s="344">
        <f>IFERROR(__xludf.DUMMYFUNCTION("""COMPUTED_VALUE"""),0.0)</f>
        <v>0</v>
      </c>
      <c r="I720" s="353"/>
      <c r="J720" s="353"/>
      <c r="K720" s="346">
        <f>IFERROR(__xludf.DUMMYFUNCTION("""COMPUTED_VALUE"""),0.0)</f>
        <v>0</v>
      </c>
      <c r="L720" s="347">
        <f>IFERROR(__xludf.DUMMYFUNCTION("""COMPUTED_VALUE"""),0.0)</f>
        <v>0</v>
      </c>
      <c r="M720" s="348">
        <f>IFERROR(__xludf.DUMMYFUNCTION("""COMPUTED_VALUE"""),0.0)</f>
        <v>0</v>
      </c>
      <c r="N720" s="348">
        <f>IFERROR(__xludf.DUMMYFUNCTION("""COMPUTED_VALUE"""),0.0)</f>
        <v>0</v>
      </c>
      <c r="O720" s="348">
        <f>IFERROR(__xludf.DUMMYFUNCTION("""COMPUTED_VALUE"""),0.0)</f>
        <v>0</v>
      </c>
      <c r="P720" s="348">
        <f>IFERROR(__xludf.DUMMYFUNCTION("""COMPUTED_VALUE"""),0.0)</f>
        <v>0</v>
      </c>
      <c r="Q720" s="348">
        <f>IFERROR(__xludf.DUMMYFUNCTION("""COMPUTED_VALUE"""),0.0)</f>
        <v>0</v>
      </c>
      <c r="R720" s="355" t="str">
        <f>IFERROR(__xludf.DUMMYFUNCTION("""COMPUTED_VALUE""")," Cash Proyek ")</f>
        <v>Cash Proyek</v>
      </c>
      <c r="S720" s="350"/>
      <c r="T720" s="262"/>
      <c r="U720" s="351"/>
      <c r="V720" s="262"/>
      <c r="W720" s="262"/>
      <c r="X720" s="262"/>
      <c r="Y720" s="262"/>
      <c r="Z720" s="262"/>
      <c r="AA720" s="262"/>
      <c r="AB720" s="262"/>
      <c r="AC720" s="262"/>
      <c r="AD720" s="262"/>
      <c r="AE720" s="262"/>
      <c r="AF720" s="262"/>
      <c r="AG720" s="264"/>
      <c r="AH720" s="264"/>
      <c r="AI720" s="264"/>
      <c r="AJ720" s="264"/>
      <c r="AK720" s="264"/>
      <c r="AL720" s="264"/>
      <c r="AM720" s="264"/>
      <c r="AN720" s="264"/>
    </row>
    <row r="721" ht="15.75" customHeight="1">
      <c r="A721" s="262"/>
      <c r="B721" s="338">
        <f>IFERROR(__xludf.DUMMYFUNCTION("""COMPUTED_VALUE"""),1202.0)</f>
        <v>1202</v>
      </c>
      <c r="C721" s="354"/>
      <c r="D721" s="340" t="str">
        <f>IFERROR(__xludf.DUMMYFUNCTION("""COMPUTED_VALUE"""),"")</f>
        <v/>
      </c>
      <c r="E721" s="341">
        <f>IFERROR(__xludf.DUMMYFUNCTION("""COMPUTED_VALUE"""),0.0)</f>
        <v>0</v>
      </c>
      <c r="F721" s="352"/>
      <c r="G721" s="343"/>
      <c r="H721" s="344">
        <f>IFERROR(__xludf.DUMMYFUNCTION("""COMPUTED_VALUE"""),0.0)</f>
        <v>0</v>
      </c>
      <c r="I721" s="353"/>
      <c r="J721" s="353"/>
      <c r="K721" s="346">
        <f>IFERROR(__xludf.DUMMYFUNCTION("""COMPUTED_VALUE"""),0.0)</f>
        <v>0</v>
      </c>
      <c r="L721" s="347">
        <f>IFERROR(__xludf.DUMMYFUNCTION("""COMPUTED_VALUE"""),0.0)</f>
        <v>0</v>
      </c>
      <c r="M721" s="348">
        <f>IFERROR(__xludf.DUMMYFUNCTION("""COMPUTED_VALUE"""),0.0)</f>
        <v>0</v>
      </c>
      <c r="N721" s="348">
        <f>IFERROR(__xludf.DUMMYFUNCTION("""COMPUTED_VALUE"""),0.0)</f>
        <v>0</v>
      </c>
      <c r="O721" s="348">
        <f>IFERROR(__xludf.DUMMYFUNCTION("""COMPUTED_VALUE"""),0.0)</f>
        <v>0</v>
      </c>
      <c r="P721" s="348">
        <f>IFERROR(__xludf.DUMMYFUNCTION("""COMPUTED_VALUE"""),0.0)</f>
        <v>0</v>
      </c>
      <c r="Q721" s="348">
        <f>IFERROR(__xludf.DUMMYFUNCTION("""COMPUTED_VALUE"""),0.0)</f>
        <v>0</v>
      </c>
      <c r="R721" s="355" t="str">
        <f>IFERROR(__xludf.DUMMYFUNCTION("""COMPUTED_VALUE""")," Cash Proyek ")</f>
        <v>Cash Proyek</v>
      </c>
      <c r="S721" s="350"/>
      <c r="T721" s="262"/>
      <c r="U721" s="351"/>
      <c r="V721" s="262"/>
      <c r="W721" s="262"/>
      <c r="X721" s="262"/>
      <c r="Y721" s="262"/>
      <c r="Z721" s="262"/>
      <c r="AA721" s="262"/>
      <c r="AB721" s="262"/>
      <c r="AC721" s="262"/>
      <c r="AD721" s="262"/>
      <c r="AE721" s="262"/>
      <c r="AF721" s="262"/>
      <c r="AG721" s="264"/>
      <c r="AH721" s="264"/>
      <c r="AI721" s="264"/>
      <c r="AJ721" s="264"/>
      <c r="AK721" s="264"/>
      <c r="AL721" s="264"/>
      <c r="AM721" s="264"/>
      <c r="AN721" s="264"/>
    </row>
    <row r="722" ht="15.75" customHeight="1">
      <c r="A722" s="262"/>
      <c r="B722" s="338">
        <f>IFERROR(__xludf.DUMMYFUNCTION("""COMPUTED_VALUE"""),1203.0)</f>
        <v>1203</v>
      </c>
      <c r="C722" s="354"/>
      <c r="D722" s="340" t="str">
        <f>IFERROR(__xludf.DUMMYFUNCTION("""COMPUTED_VALUE"""),"")</f>
        <v/>
      </c>
      <c r="E722" s="341">
        <f>IFERROR(__xludf.DUMMYFUNCTION("""COMPUTED_VALUE"""),0.0)</f>
        <v>0</v>
      </c>
      <c r="F722" s="352"/>
      <c r="G722" s="343"/>
      <c r="H722" s="344">
        <f>IFERROR(__xludf.DUMMYFUNCTION("""COMPUTED_VALUE"""),0.0)</f>
        <v>0</v>
      </c>
      <c r="I722" s="353"/>
      <c r="J722" s="353"/>
      <c r="K722" s="346">
        <f>IFERROR(__xludf.DUMMYFUNCTION("""COMPUTED_VALUE"""),0.0)</f>
        <v>0</v>
      </c>
      <c r="L722" s="347">
        <f>IFERROR(__xludf.DUMMYFUNCTION("""COMPUTED_VALUE"""),0.0)</f>
        <v>0</v>
      </c>
      <c r="M722" s="348">
        <f>IFERROR(__xludf.DUMMYFUNCTION("""COMPUTED_VALUE"""),0.0)</f>
        <v>0</v>
      </c>
      <c r="N722" s="348">
        <f>IFERROR(__xludf.DUMMYFUNCTION("""COMPUTED_VALUE"""),0.0)</f>
        <v>0</v>
      </c>
      <c r="O722" s="348">
        <f>IFERROR(__xludf.DUMMYFUNCTION("""COMPUTED_VALUE"""),0.0)</f>
        <v>0</v>
      </c>
      <c r="P722" s="348">
        <f>IFERROR(__xludf.DUMMYFUNCTION("""COMPUTED_VALUE"""),0.0)</f>
        <v>0</v>
      </c>
      <c r="Q722" s="348">
        <f>IFERROR(__xludf.DUMMYFUNCTION("""COMPUTED_VALUE"""),0.0)</f>
        <v>0</v>
      </c>
      <c r="R722" s="355" t="str">
        <f>IFERROR(__xludf.DUMMYFUNCTION("""COMPUTED_VALUE""")," Cash Proyek ")</f>
        <v>Cash Proyek</v>
      </c>
      <c r="S722" s="350"/>
      <c r="T722" s="262"/>
      <c r="U722" s="351"/>
      <c r="V722" s="262"/>
      <c r="W722" s="262"/>
      <c r="X722" s="262"/>
      <c r="Y722" s="262"/>
      <c r="Z722" s="262"/>
      <c r="AA722" s="262"/>
      <c r="AB722" s="262"/>
      <c r="AC722" s="262"/>
      <c r="AD722" s="262"/>
      <c r="AE722" s="262"/>
      <c r="AF722" s="262"/>
      <c r="AG722" s="264"/>
      <c r="AH722" s="264"/>
      <c r="AI722" s="264"/>
      <c r="AJ722" s="264"/>
      <c r="AK722" s="264"/>
      <c r="AL722" s="264"/>
      <c r="AM722" s="264"/>
      <c r="AN722" s="264"/>
    </row>
    <row r="723" ht="15.75" customHeight="1">
      <c r="A723" s="262"/>
      <c r="B723" s="338">
        <f>IFERROR(__xludf.DUMMYFUNCTION("""COMPUTED_VALUE"""),1204.0)</f>
        <v>1204</v>
      </c>
      <c r="C723" s="354"/>
      <c r="D723" s="340" t="str">
        <f>IFERROR(__xludf.DUMMYFUNCTION("""COMPUTED_VALUE"""),"")</f>
        <v/>
      </c>
      <c r="E723" s="341">
        <f>IFERROR(__xludf.DUMMYFUNCTION("""COMPUTED_VALUE"""),0.0)</f>
        <v>0</v>
      </c>
      <c r="F723" s="352"/>
      <c r="G723" s="343"/>
      <c r="H723" s="344">
        <f>IFERROR(__xludf.DUMMYFUNCTION("""COMPUTED_VALUE"""),0.0)</f>
        <v>0</v>
      </c>
      <c r="I723" s="353"/>
      <c r="J723" s="353"/>
      <c r="K723" s="346">
        <f>IFERROR(__xludf.DUMMYFUNCTION("""COMPUTED_VALUE"""),0.0)</f>
        <v>0</v>
      </c>
      <c r="L723" s="347">
        <f>IFERROR(__xludf.DUMMYFUNCTION("""COMPUTED_VALUE"""),0.0)</f>
        <v>0</v>
      </c>
      <c r="M723" s="348">
        <f>IFERROR(__xludf.DUMMYFUNCTION("""COMPUTED_VALUE"""),0.0)</f>
        <v>0</v>
      </c>
      <c r="N723" s="348">
        <f>IFERROR(__xludf.DUMMYFUNCTION("""COMPUTED_VALUE"""),0.0)</f>
        <v>0</v>
      </c>
      <c r="O723" s="348">
        <f>IFERROR(__xludf.DUMMYFUNCTION("""COMPUTED_VALUE"""),0.0)</f>
        <v>0</v>
      </c>
      <c r="P723" s="348">
        <f>IFERROR(__xludf.DUMMYFUNCTION("""COMPUTED_VALUE"""),0.0)</f>
        <v>0</v>
      </c>
      <c r="Q723" s="348">
        <f>IFERROR(__xludf.DUMMYFUNCTION("""COMPUTED_VALUE"""),0.0)</f>
        <v>0</v>
      </c>
      <c r="R723" s="355" t="str">
        <f>IFERROR(__xludf.DUMMYFUNCTION("""COMPUTED_VALUE""")," Cash Proyek ")</f>
        <v>Cash Proyek</v>
      </c>
      <c r="S723" s="350"/>
      <c r="T723" s="262"/>
      <c r="U723" s="351"/>
      <c r="V723" s="262"/>
      <c r="W723" s="262"/>
      <c r="X723" s="262"/>
      <c r="Y723" s="262"/>
      <c r="Z723" s="262"/>
      <c r="AA723" s="262"/>
      <c r="AB723" s="262"/>
      <c r="AC723" s="262"/>
      <c r="AD723" s="262"/>
      <c r="AE723" s="262"/>
      <c r="AF723" s="262"/>
      <c r="AG723" s="264"/>
      <c r="AH723" s="264"/>
      <c r="AI723" s="264"/>
      <c r="AJ723" s="264"/>
      <c r="AK723" s="264"/>
      <c r="AL723" s="264"/>
      <c r="AM723" s="264"/>
      <c r="AN723" s="264"/>
    </row>
    <row r="724" ht="15.75" customHeight="1">
      <c r="A724" s="262"/>
      <c r="B724" s="338">
        <f>IFERROR(__xludf.DUMMYFUNCTION("""COMPUTED_VALUE"""),1205.0)</f>
        <v>1205</v>
      </c>
      <c r="C724" s="354"/>
      <c r="D724" s="340" t="str">
        <f>IFERROR(__xludf.DUMMYFUNCTION("""COMPUTED_VALUE"""),"")</f>
        <v/>
      </c>
      <c r="E724" s="341">
        <f>IFERROR(__xludf.DUMMYFUNCTION("""COMPUTED_VALUE"""),0.0)</f>
        <v>0</v>
      </c>
      <c r="F724" s="352"/>
      <c r="G724" s="343"/>
      <c r="H724" s="344">
        <f>IFERROR(__xludf.DUMMYFUNCTION("""COMPUTED_VALUE"""),0.0)</f>
        <v>0</v>
      </c>
      <c r="I724" s="353"/>
      <c r="J724" s="353"/>
      <c r="K724" s="346">
        <f>IFERROR(__xludf.DUMMYFUNCTION("""COMPUTED_VALUE"""),0.0)</f>
        <v>0</v>
      </c>
      <c r="L724" s="347">
        <f>IFERROR(__xludf.DUMMYFUNCTION("""COMPUTED_VALUE"""),0.0)</f>
        <v>0</v>
      </c>
      <c r="M724" s="348">
        <f>IFERROR(__xludf.DUMMYFUNCTION("""COMPUTED_VALUE"""),0.0)</f>
        <v>0</v>
      </c>
      <c r="N724" s="348">
        <f>IFERROR(__xludf.DUMMYFUNCTION("""COMPUTED_VALUE"""),0.0)</f>
        <v>0</v>
      </c>
      <c r="O724" s="348">
        <f>IFERROR(__xludf.DUMMYFUNCTION("""COMPUTED_VALUE"""),0.0)</f>
        <v>0</v>
      </c>
      <c r="P724" s="348">
        <f>IFERROR(__xludf.DUMMYFUNCTION("""COMPUTED_VALUE"""),0.0)</f>
        <v>0</v>
      </c>
      <c r="Q724" s="348">
        <f>IFERROR(__xludf.DUMMYFUNCTION("""COMPUTED_VALUE"""),0.0)</f>
        <v>0</v>
      </c>
      <c r="R724" s="355" t="str">
        <f>IFERROR(__xludf.DUMMYFUNCTION("""COMPUTED_VALUE""")," Cash Proyek ")</f>
        <v>Cash Proyek</v>
      </c>
      <c r="S724" s="350"/>
      <c r="T724" s="262"/>
      <c r="U724" s="351"/>
      <c r="V724" s="262"/>
      <c r="W724" s="262"/>
      <c r="X724" s="262"/>
      <c r="Y724" s="262"/>
      <c r="Z724" s="262"/>
      <c r="AA724" s="262"/>
      <c r="AB724" s="262"/>
      <c r="AC724" s="262"/>
      <c r="AD724" s="262"/>
      <c r="AE724" s="262"/>
      <c r="AF724" s="262"/>
      <c r="AG724" s="264"/>
      <c r="AH724" s="264"/>
      <c r="AI724" s="264"/>
      <c r="AJ724" s="264"/>
      <c r="AK724" s="264"/>
      <c r="AL724" s="264"/>
      <c r="AM724" s="264"/>
      <c r="AN724" s="264"/>
    </row>
    <row r="725" ht="15.75" customHeight="1">
      <c r="A725" s="262"/>
      <c r="B725" s="338">
        <f>IFERROR(__xludf.DUMMYFUNCTION("""COMPUTED_VALUE"""),1206.0)</f>
        <v>1206</v>
      </c>
      <c r="C725" s="354"/>
      <c r="D725" s="340" t="str">
        <f>IFERROR(__xludf.DUMMYFUNCTION("""COMPUTED_VALUE"""),"")</f>
        <v/>
      </c>
      <c r="E725" s="341">
        <f>IFERROR(__xludf.DUMMYFUNCTION("""COMPUTED_VALUE"""),0.0)</f>
        <v>0</v>
      </c>
      <c r="F725" s="352"/>
      <c r="G725" s="343"/>
      <c r="H725" s="344">
        <f>IFERROR(__xludf.DUMMYFUNCTION("""COMPUTED_VALUE"""),0.0)</f>
        <v>0</v>
      </c>
      <c r="I725" s="353"/>
      <c r="J725" s="353"/>
      <c r="K725" s="346">
        <f>IFERROR(__xludf.DUMMYFUNCTION("""COMPUTED_VALUE"""),0.0)</f>
        <v>0</v>
      </c>
      <c r="L725" s="347">
        <f>IFERROR(__xludf.DUMMYFUNCTION("""COMPUTED_VALUE"""),0.0)</f>
        <v>0</v>
      </c>
      <c r="M725" s="348">
        <f>IFERROR(__xludf.DUMMYFUNCTION("""COMPUTED_VALUE"""),0.0)</f>
        <v>0</v>
      </c>
      <c r="N725" s="348">
        <f>IFERROR(__xludf.DUMMYFUNCTION("""COMPUTED_VALUE"""),0.0)</f>
        <v>0</v>
      </c>
      <c r="O725" s="348">
        <f>IFERROR(__xludf.DUMMYFUNCTION("""COMPUTED_VALUE"""),0.0)</f>
        <v>0</v>
      </c>
      <c r="P725" s="348">
        <f>IFERROR(__xludf.DUMMYFUNCTION("""COMPUTED_VALUE"""),0.0)</f>
        <v>0</v>
      </c>
      <c r="Q725" s="348">
        <f>IFERROR(__xludf.DUMMYFUNCTION("""COMPUTED_VALUE"""),0.0)</f>
        <v>0</v>
      </c>
      <c r="R725" s="355" t="str">
        <f>IFERROR(__xludf.DUMMYFUNCTION("""COMPUTED_VALUE""")," Cash Proyek ")</f>
        <v>Cash Proyek</v>
      </c>
      <c r="S725" s="350"/>
      <c r="T725" s="262"/>
      <c r="U725" s="351"/>
      <c r="V725" s="262"/>
      <c r="W725" s="262"/>
      <c r="X725" s="262"/>
      <c r="Y725" s="262"/>
      <c r="Z725" s="262"/>
      <c r="AA725" s="262"/>
      <c r="AB725" s="262"/>
      <c r="AC725" s="262"/>
      <c r="AD725" s="262"/>
      <c r="AE725" s="262"/>
      <c r="AF725" s="262"/>
      <c r="AG725" s="264"/>
      <c r="AH725" s="264"/>
      <c r="AI725" s="264"/>
      <c r="AJ725" s="264"/>
      <c r="AK725" s="264"/>
      <c r="AL725" s="264"/>
      <c r="AM725" s="264"/>
      <c r="AN725" s="264"/>
    </row>
    <row r="726" ht="15.75" customHeight="1">
      <c r="A726" s="262"/>
      <c r="B726" s="338">
        <f>IFERROR(__xludf.DUMMYFUNCTION("""COMPUTED_VALUE"""),1207.0)</f>
        <v>1207</v>
      </c>
      <c r="C726" s="354"/>
      <c r="D726" s="340" t="str">
        <f>IFERROR(__xludf.DUMMYFUNCTION("""COMPUTED_VALUE"""),"")</f>
        <v/>
      </c>
      <c r="E726" s="341">
        <f>IFERROR(__xludf.DUMMYFUNCTION("""COMPUTED_VALUE"""),0.0)</f>
        <v>0</v>
      </c>
      <c r="F726" s="352"/>
      <c r="G726" s="343"/>
      <c r="H726" s="344">
        <f>IFERROR(__xludf.DUMMYFUNCTION("""COMPUTED_VALUE"""),0.0)</f>
        <v>0</v>
      </c>
      <c r="I726" s="353"/>
      <c r="J726" s="353"/>
      <c r="K726" s="346">
        <f>IFERROR(__xludf.DUMMYFUNCTION("""COMPUTED_VALUE"""),0.0)</f>
        <v>0</v>
      </c>
      <c r="L726" s="347">
        <f>IFERROR(__xludf.DUMMYFUNCTION("""COMPUTED_VALUE"""),0.0)</f>
        <v>0</v>
      </c>
      <c r="M726" s="348">
        <f>IFERROR(__xludf.DUMMYFUNCTION("""COMPUTED_VALUE"""),0.0)</f>
        <v>0</v>
      </c>
      <c r="N726" s="348">
        <f>IFERROR(__xludf.DUMMYFUNCTION("""COMPUTED_VALUE"""),0.0)</f>
        <v>0</v>
      </c>
      <c r="O726" s="348">
        <f>IFERROR(__xludf.DUMMYFUNCTION("""COMPUTED_VALUE"""),0.0)</f>
        <v>0</v>
      </c>
      <c r="P726" s="348">
        <f>IFERROR(__xludf.DUMMYFUNCTION("""COMPUTED_VALUE"""),0.0)</f>
        <v>0</v>
      </c>
      <c r="Q726" s="348">
        <f>IFERROR(__xludf.DUMMYFUNCTION("""COMPUTED_VALUE"""),0.0)</f>
        <v>0</v>
      </c>
      <c r="R726" s="355" t="str">
        <f>IFERROR(__xludf.DUMMYFUNCTION("""COMPUTED_VALUE""")," Cash Proyek ")</f>
        <v>Cash Proyek</v>
      </c>
      <c r="S726" s="350"/>
      <c r="T726" s="262"/>
      <c r="U726" s="351"/>
      <c r="V726" s="262"/>
      <c r="W726" s="262"/>
      <c r="X726" s="262"/>
      <c r="Y726" s="262"/>
      <c r="Z726" s="262"/>
      <c r="AA726" s="262"/>
      <c r="AB726" s="262"/>
      <c r="AC726" s="262"/>
      <c r="AD726" s="262"/>
      <c r="AE726" s="262"/>
      <c r="AF726" s="262"/>
      <c r="AG726" s="264"/>
      <c r="AH726" s="264"/>
      <c r="AI726" s="264"/>
      <c r="AJ726" s="264"/>
      <c r="AK726" s="264"/>
      <c r="AL726" s="264"/>
      <c r="AM726" s="264"/>
      <c r="AN726" s="264"/>
    </row>
    <row r="727" ht="15.75" customHeight="1">
      <c r="A727" s="262"/>
      <c r="B727" s="338">
        <f>IFERROR(__xludf.DUMMYFUNCTION("""COMPUTED_VALUE"""),1208.0)</f>
        <v>1208</v>
      </c>
      <c r="C727" s="354"/>
      <c r="D727" s="340" t="str">
        <f>IFERROR(__xludf.DUMMYFUNCTION("""COMPUTED_VALUE"""),"")</f>
        <v/>
      </c>
      <c r="E727" s="341">
        <f>IFERROR(__xludf.DUMMYFUNCTION("""COMPUTED_VALUE"""),0.0)</f>
        <v>0</v>
      </c>
      <c r="F727" s="352"/>
      <c r="G727" s="343"/>
      <c r="H727" s="344">
        <f>IFERROR(__xludf.DUMMYFUNCTION("""COMPUTED_VALUE"""),0.0)</f>
        <v>0</v>
      </c>
      <c r="I727" s="353"/>
      <c r="J727" s="353"/>
      <c r="K727" s="346">
        <f>IFERROR(__xludf.DUMMYFUNCTION("""COMPUTED_VALUE"""),0.0)</f>
        <v>0</v>
      </c>
      <c r="L727" s="347">
        <f>IFERROR(__xludf.DUMMYFUNCTION("""COMPUTED_VALUE"""),0.0)</f>
        <v>0</v>
      </c>
      <c r="M727" s="348">
        <f>IFERROR(__xludf.DUMMYFUNCTION("""COMPUTED_VALUE"""),0.0)</f>
        <v>0</v>
      </c>
      <c r="N727" s="348">
        <f>IFERROR(__xludf.DUMMYFUNCTION("""COMPUTED_VALUE"""),0.0)</f>
        <v>0</v>
      </c>
      <c r="O727" s="348">
        <f>IFERROR(__xludf.DUMMYFUNCTION("""COMPUTED_VALUE"""),0.0)</f>
        <v>0</v>
      </c>
      <c r="P727" s="348">
        <f>IFERROR(__xludf.DUMMYFUNCTION("""COMPUTED_VALUE"""),0.0)</f>
        <v>0</v>
      </c>
      <c r="Q727" s="348">
        <f>IFERROR(__xludf.DUMMYFUNCTION("""COMPUTED_VALUE"""),0.0)</f>
        <v>0</v>
      </c>
      <c r="R727" s="355" t="str">
        <f>IFERROR(__xludf.DUMMYFUNCTION("""COMPUTED_VALUE""")," Cash Proyek ")</f>
        <v>Cash Proyek</v>
      </c>
      <c r="S727" s="350"/>
      <c r="T727" s="262"/>
      <c r="U727" s="351"/>
      <c r="V727" s="262"/>
      <c r="W727" s="262"/>
      <c r="X727" s="262"/>
      <c r="Y727" s="262"/>
      <c r="Z727" s="262"/>
      <c r="AA727" s="262"/>
      <c r="AB727" s="262"/>
      <c r="AC727" s="262"/>
      <c r="AD727" s="262"/>
      <c r="AE727" s="262"/>
      <c r="AF727" s="262"/>
      <c r="AG727" s="264"/>
      <c r="AH727" s="264"/>
      <c r="AI727" s="264"/>
      <c r="AJ727" s="264"/>
      <c r="AK727" s="264"/>
      <c r="AL727" s="264"/>
      <c r="AM727" s="264"/>
      <c r="AN727" s="264"/>
    </row>
    <row r="728" ht="15.75" customHeight="1">
      <c r="A728" s="262"/>
      <c r="B728" s="338">
        <f>IFERROR(__xludf.DUMMYFUNCTION("""COMPUTED_VALUE"""),1209.0)</f>
        <v>1209</v>
      </c>
      <c r="C728" s="354"/>
      <c r="D728" s="340" t="str">
        <f>IFERROR(__xludf.DUMMYFUNCTION("""COMPUTED_VALUE"""),"")</f>
        <v/>
      </c>
      <c r="E728" s="341">
        <f>IFERROR(__xludf.DUMMYFUNCTION("""COMPUTED_VALUE"""),0.0)</f>
        <v>0</v>
      </c>
      <c r="F728" s="352"/>
      <c r="G728" s="343"/>
      <c r="H728" s="344">
        <f>IFERROR(__xludf.DUMMYFUNCTION("""COMPUTED_VALUE"""),0.0)</f>
        <v>0</v>
      </c>
      <c r="I728" s="353"/>
      <c r="J728" s="353"/>
      <c r="K728" s="346">
        <f>IFERROR(__xludf.DUMMYFUNCTION("""COMPUTED_VALUE"""),0.0)</f>
        <v>0</v>
      </c>
      <c r="L728" s="347">
        <f>IFERROR(__xludf.DUMMYFUNCTION("""COMPUTED_VALUE"""),0.0)</f>
        <v>0</v>
      </c>
      <c r="M728" s="348">
        <f>IFERROR(__xludf.DUMMYFUNCTION("""COMPUTED_VALUE"""),0.0)</f>
        <v>0</v>
      </c>
      <c r="N728" s="348">
        <f>IFERROR(__xludf.DUMMYFUNCTION("""COMPUTED_VALUE"""),0.0)</f>
        <v>0</v>
      </c>
      <c r="O728" s="348">
        <f>IFERROR(__xludf.DUMMYFUNCTION("""COMPUTED_VALUE"""),0.0)</f>
        <v>0</v>
      </c>
      <c r="P728" s="348">
        <f>IFERROR(__xludf.DUMMYFUNCTION("""COMPUTED_VALUE"""),0.0)</f>
        <v>0</v>
      </c>
      <c r="Q728" s="348">
        <f>IFERROR(__xludf.DUMMYFUNCTION("""COMPUTED_VALUE"""),0.0)</f>
        <v>0</v>
      </c>
      <c r="R728" s="355" t="str">
        <f>IFERROR(__xludf.DUMMYFUNCTION("""COMPUTED_VALUE""")," Cash Proyek ")</f>
        <v>Cash Proyek</v>
      </c>
      <c r="S728" s="350"/>
      <c r="T728" s="262"/>
      <c r="U728" s="351"/>
      <c r="V728" s="262"/>
      <c r="W728" s="262"/>
      <c r="X728" s="262"/>
      <c r="Y728" s="262"/>
      <c r="Z728" s="262"/>
      <c r="AA728" s="262"/>
      <c r="AB728" s="262"/>
      <c r="AC728" s="262"/>
      <c r="AD728" s="262"/>
      <c r="AE728" s="262"/>
      <c r="AF728" s="262"/>
      <c r="AG728" s="264"/>
      <c r="AH728" s="264"/>
      <c r="AI728" s="264"/>
      <c r="AJ728" s="264"/>
      <c r="AK728" s="264"/>
      <c r="AL728" s="264"/>
      <c r="AM728" s="264"/>
      <c r="AN728" s="264"/>
    </row>
    <row r="729" ht="15.75" customHeight="1">
      <c r="A729" s="262"/>
      <c r="B729" s="338">
        <f>IFERROR(__xludf.DUMMYFUNCTION("""COMPUTED_VALUE"""),1210.0)</f>
        <v>1210</v>
      </c>
      <c r="C729" s="354"/>
      <c r="D729" s="340" t="str">
        <f>IFERROR(__xludf.DUMMYFUNCTION("""COMPUTED_VALUE"""),"")</f>
        <v/>
      </c>
      <c r="E729" s="341">
        <f>IFERROR(__xludf.DUMMYFUNCTION("""COMPUTED_VALUE"""),0.0)</f>
        <v>0</v>
      </c>
      <c r="F729" s="352"/>
      <c r="G729" s="343"/>
      <c r="H729" s="344">
        <f>IFERROR(__xludf.DUMMYFUNCTION("""COMPUTED_VALUE"""),0.0)</f>
        <v>0</v>
      </c>
      <c r="I729" s="353"/>
      <c r="J729" s="353"/>
      <c r="K729" s="346">
        <f>IFERROR(__xludf.DUMMYFUNCTION("""COMPUTED_VALUE"""),0.0)</f>
        <v>0</v>
      </c>
      <c r="L729" s="347">
        <f>IFERROR(__xludf.DUMMYFUNCTION("""COMPUTED_VALUE"""),0.0)</f>
        <v>0</v>
      </c>
      <c r="M729" s="348">
        <f>IFERROR(__xludf.DUMMYFUNCTION("""COMPUTED_VALUE"""),0.0)</f>
        <v>0</v>
      </c>
      <c r="N729" s="348">
        <f>IFERROR(__xludf.DUMMYFUNCTION("""COMPUTED_VALUE"""),0.0)</f>
        <v>0</v>
      </c>
      <c r="O729" s="348">
        <f>IFERROR(__xludf.DUMMYFUNCTION("""COMPUTED_VALUE"""),0.0)</f>
        <v>0</v>
      </c>
      <c r="P729" s="348">
        <f>IFERROR(__xludf.DUMMYFUNCTION("""COMPUTED_VALUE"""),0.0)</f>
        <v>0</v>
      </c>
      <c r="Q729" s="348">
        <f>IFERROR(__xludf.DUMMYFUNCTION("""COMPUTED_VALUE"""),0.0)</f>
        <v>0</v>
      </c>
      <c r="R729" s="355" t="str">
        <f>IFERROR(__xludf.DUMMYFUNCTION("""COMPUTED_VALUE""")," Cash Proyek ")</f>
        <v>Cash Proyek</v>
      </c>
      <c r="S729" s="350"/>
      <c r="T729" s="262"/>
      <c r="U729" s="351"/>
      <c r="V729" s="262"/>
      <c r="W729" s="262"/>
      <c r="X729" s="262"/>
      <c r="Y729" s="262"/>
      <c r="Z729" s="262"/>
      <c r="AA729" s="262"/>
      <c r="AB729" s="262"/>
      <c r="AC729" s="262"/>
      <c r="AD729" s="262"/>
      <c r="AE729" s="262"/>
      <c r="AF729" s="262"/>
      <c r="AG729" s="264"/>
      <c r="AH729" s="264"/>
      <c r="AI729" s="264"/>
      <c r="AJ729" s="264"/>
      <c r="AK729" s="264"/>
      <c r="AL729" s="264"/>
      <c r="AM729" s="264"/>
      <c r="AN729" s="264"/>
    </row>
    <row r="730" ht="15.75" customHeight="1">
      <c r="A730" s="262"/>
      <c r="B730" s="338">
        <f>IFERROR(__xludf.DUMMYFUNCTION("""COMPUTED_VALUE"""),1211.0)</f>
        <v>1211</v>
      </c>
      <c r="C730" s="354"/>
      <c r="D730" s="340" t="str">
        <f>IFERROR(__xludf.DUMMYFUNCTION("""COMPUTED_VALUE"""),"")</f>
        <v/>
      </c>
      <c r="E730" s="341">
        <f>IFERROR(__xludf.DUMMYFUNCTION("""COMPUTED_VALUE"""),0.0)</f>
        <v>0</v>
      </c>
      <c r="F730" s="352"/>
      <c r="G730" s="343"/>
      <c r="H730" s="344">
        <f>IFERROR(__xludf.DUMMYFUNCTION("""COMPUTED_VALUE"""),0.0)</f>
        <v>0</v>
      </c>
      <c r="I730" s="353"/>
      <c r="J730" s="353"/>
      <c r="K730" s="346">
        <f>IFERROR(__xludf.DUMMYFUNCTION("""COMPUTED_VALUE"""),0.0)</f>
        <v>0</v>
      </c>
      <c r="L730" s="347">
        <f>IFERROR(__xludf.DUMMYFUNCTION("""COMPUTED_VALUE"""),0.0)</f>
        <v>0</v>
      </c>
      <c r="M730" s="348">
        <f>IFERROR(__xludf.DUMMYFUNCTION("""COMPUTED_VALUE"""),0.0)</f>
        <v>0</v>
      </c>
      <c r="N730" s="348">
        <f>IFERROR(__xludf.DUMMYFUNCTION("""COMPUTED_VALUE"""),0.0)</f>
        <v>0</v>
      </c>
      <c r="O730" s="348">
        <f>IFERROR(__xludf.DUMMYFUNCTION("""COMPUTED_VALUE"""),0.0)</f>
        <v>0</v>
      </c>
      <c r="P730" s="348">
        <f>IFERROR(__xludf.DUMMYFUNCTION("""COMPUTED_VALUE"""),0.0)</f>
        <v>0</v>
      </c>
      <c r="Q730" s="348">
        <f>IFERROR(__xludf.DUMMYFUNCTION("""COMPUTED_VALUE"""),0.0)</f>
        <v>0</v>
      </c>
      <c r="R730" s="355" t="str">
        <f>IFERROR(__xludf.DUMMYFUNCTION("""COMPUTED_VALUE""")," Cash Proyek ")</f>
        <v>Cash Proyek</v>
      </c>
      <c r="S730" s="350"/>
      <c r="T730" s="262"/>
      <c r="U730" s="351"/>
      <c r="V730" s="262"/>
      <c r="W730" s="262"/>
      <c r="X730" s="262"/>
      <c r="Y730" s="262"/>
      <c r="Z730" s="262"/>
      <c r="AA730" s="262"/>
      <c r="AB730" s="262"/>
      <c r="AC730" s="262"/>
      <c r="AD730" s="262"/>
      <c r="AE730" s="262"/>
      <c r="AF730" s="262"/>
      <c r="AG730" s="264"/>
      <c r="AH730" s="264"/>
      <c r="AI730" s="264"/>
      <c r="AJ730" s="264"/>
      <c r="AK730" s="264"/>
      <c r="AL730" s="264"/>
      <c r="AM730" s="264"/>
      <c r="AN730" s="264"/>
    </row>
    <row r="731" ht="15.75" customHeight="1">
      <c r="A731" s="262"/>
      <c r="B731" s="338">
        <f>IFERROR(__xludf.DUMMYFUNCTION("""COMPUTED_VALUE"""),1212.0)</f>
        <v>1212</v>
      </c>
      <c r="C731" s="354"/>
      <c r="D731" s="340" t="str">
        <f>IFERROR(__xludf.DUMMYFUNCTION("""COMPUTED_VALUE"""),"")</f>
        <v/>
      </c>
      <c r="E731" s="341">
        <f>IFERROR(__xludf.DUMMYFUNCTION("""COMPUTED_VALUE"""),0.0)</f>
        <v>0</v>
      </c>
      <c r="F731" s="352"/>
      <c r="G731" s="343"/>
      <c r="H731" s="344">
        <f>IFERROR(__xludf.DUMMYFUNCTION("""COMPUTED_VALUE"""),0.0)</f>
        <v>0</v>
      </c>
      <c r="I731" s="353"/>
      <c r="J731" s="353"/>
      <c r="K731" s="346">
        <f>IFERROR(__xludf.DUMMYFUNCTION("""COMPUTED_VALUE"""),0.0)</f>
        <v>0</v>
      </c>
      <c r="L731" s="347">
        <f>IFERROR(__xludf.DUMMYFUNCTION("""COMPUTED_VALUE"""),0.0)</f>
        <v>0</v>
      </c>
      <c r="M731" s="348">
        <f>IFERROR(__xludf.DUMMYFUNCTION("""COMPUTED_VALUE"""),0.0)</f>
        <v>0</v>
      </c>
      <c r="N731" s="348">
        <f>IFERROR(__xludf.DUMMYFUNCTION("""COMPUTED_VALUE"""),0.0)</f>
        <v>0</v>
      </c>
      <c r="O731" s="348">
        <f>IFERROR(__xludf.DUMMYFUNCTION("""COMPUTED_VALUE"""),0.0)</f>
        <v>0</v>
      </c>
      <c r="P731" s="348">
        <f>IFERROR(__xludf.DUMMYFUNCTION("""COMPUTED_VALUE"""),0.0)</f>
        <v>0</v>
      </c>
      <c r="Q731" s="348">
        <f>IFERROR(__xludf.DUMMYFUNCTION("""COMPUTED_VALUE"""),0.0)</f>
        <v>0</v>
      </c>
      <c r="R731" s="355" t="str">
        <f>IFERROR(__xludf.DUMMYFUNCTION("""COMPUTED_VALUE""")," Cash Proyek ")</f>
        <v>Cash Proyek</v>
      </c>
      <c r="S731" s="350"/>
      <c r="T731" s="262"/>
      <c r="U731" s="351"/>
      <c r="V731" s="262"/>
      <c r="W731" s="262"/>
      <c r="X731" s="262"/>
      <c r="Y731" s="262"/>
      <c r="Z731" s="262"/>
      <c r="AA731" s="262"/>
      <c r="AB731" s="262"/>
      <c r="AC731" s="262"/>
      <c r="AD731" s="262"/>
      <c r="AE731" s="262"/>
      <c r="AF731" s="262"/>
      <c r="AG731" s="264"/>
      <c r="AH731" s="264"/>
      <c r="AI731" s="264"/>
      <c r="AJ731" s="264"/>
      <c r="AK731" s="264"/>
      <c r="AL731" s="264"/>
      <c r="AM731" s="264"/>
      <c r="AN731" s="264"/>
    </row>
    <row r="732" ht="15.75" customHeight="1">
      <c r="A732" s="262"/>
      <c r="B732" s="338">
        <f>IFERROR(__xludf.DUMMYFUNCTION("""COMPUTED_VALUE"""),1213.0)</f>
        <v>1213</v>
      </c>
      <c r="C732" s="354"/>
      <c r="D732" s="340" t="str">
        <f>IFERROR(__xludf.DUMMYFUNCTION("""COMPUTED_VALUE"""),"")</f>
        <v/>
      </c>
      <c r="E732" s="341">
        <f>IFERROR(__xludf.DUMMYFUNCTION("""COMPUTED_VALUE"""),0.0)</f>
        <v>0</v>
      </c>
      <c r="F732" s="352"/>
      <c r="G732" s="343"/>
      <c r="H732" s="344">
        <f>IFERROR(__xludf.DUMMYFUNCTION("""COMPUTED_VALUE"""),0.0)</f>
        <v>0</v>
      </c>
      <c r="I732" s="353"/>
      <c r="J732" s="353"/>
      <c r="K732" s="346">
        <f>IFERROR(__xludf.DUMMYFUNCTION("""COMPUTED_VALUE"""),0.0)</f>
        <v>0</v>
      </c>
      <c r="L732" s="347">
        <f>IFERROR(__xludf.DUMMYFUNCTION("""COMPUTED_VALUE"""),0.0)</f>
        <v>0</v>
      </c>
      <c r="M732" s="348">
        <f>IFERROR(__xludf.DUMMYFUNCTION("""COMPUTED_VALUE"""),0.0)</f>
        <v>0</v>
      </c>
      <c r="N732" s="348">
        <f>IFERROR(__xludf.DUMMYFUNCTION("""COMPUTED_VALUE"""),0.0)</f>
        <v>0</v>
      </c>
      <c r="O732" s="348">
        <f>IFERROR(__xludf.DUMMYFUNCTION("""COMPUTED_VALUE"""),0.0)</f>
        <v>0</v>
      </c>
      <c r="P732" s="348">
        <f>IFERROR(__xludf.DUMMYFUNCTION("""COMPUTED_VALUE"""),0.0)</f>
        <v>0</v>
      </c>
      <c r="Q732" s="348">
        <f>IFERROR(__xludf.DUMMYFUNCTION("""COMPUTED_VALUE"""),0.0)</f>
        <v>0</v>
      </c>
      <c r="R732" s="355" t="str">
        <f>IFERROR(__xludf.DUMMYFUNCTION("""COMPUTED_VALUE""")," Cash Proyek ")</f>
        <v>Cash Proyek</v>
      </c>
      <c r="S732" s="350"/>
      <c r="T732" s="262"/>
      <c r="U732" s="351"/>
      <c r="V732" s="262"/>
      <c r="W732" s="262"/>
      <c r="X732" s="262"/>
      <c r="Y732" s="262"/>
      <c r="Z732" s="262"/>
      <c r="AA732" s="262"/>
      <c r="AB732" s="262"/>
      <c r="AC732" s="262"/>
      <c r="AD732" s="262"/>
      <c r="AE732" s="262"/>
      <c r="AF732" s="262"/>
      <c r="AG732" s="264"/>
      <c r="AH732" s="264"/>
      <c r="AI732" s="264"/>
      <c r="AJ732" s="264"/>
      <c r="AK732" s="264"/>
      <c r="AL732" s="264"/>
      <c r="AM732" s="264"/>
      <c r="AN732" s="264"/>
    </row>
    <row r="733" ht="15.75" customHeight="1">
      <c r="A733" s="262"/>
      <c r="B733" s="338">
        <f>IFERROR(__xludf.DUMMYFUNCTION("""COMPUTED_VALUE"""),1214.0)</f>
        <v>1214</v>
      </c>
      <c r="C733" s="354"/>
      <c r="D733" s="340" t="str">
        <f>IFERROR(__xludf.DUMMYFUNCTION("""COMPUTED_VALUE"""),"")</f>
        <v/>
      </c>
      <c r="E733" s="341">
        <f>IFERROR(__xludf.DUMMYFUNCTION("""COMPUTED_VALUE"""),0.0)</f>
        <v>0</v>
      </c>
      <c r="F733" s="352"/>
      <c r="G733" s="343"/>
      <c r="H733" s="344">
        <f>IFERROR(__xludf.DUMMYFUNCTION("""COMPUTED_VALUE"""),0.0)</f>
        <v>0</v>
      </c>
      <c r="I733" s="353"/>
      <c r="J733" s="353"/>
      <c r="K733" s="346">
        <f>IFERROR(__xludf.DUMMYFUNCTION("""COMPUTED_VALUE"""),0.0)</f>
        <v>0</v>
      </c>
      <c r="L733" s="347">
        <f>IFERROR(__xludf.DUMMYFUNCTION("""COMPUTED_VALUE"""),0.0)</f>
        <v>0</v>
      </c>
      <c r="M733" s="348">
        <f>IFERROR(__xludf.DUMMYFUNCTION("""COMPUTED_VALUE"""),0.0)</f>
        <v>0</v>
      </c>
      <c r="N733" s="348">
        <f>IFERROR(__xludf.DUMMYFUNCTION("""COMPUTED_VALUE"""),0.0)</f>
        <v>0</v>
      </c>
      <c r="O733" s="348">
        <f>IFERROR(__xludf.DUMMYFUNCTION("""COMPUTED_VALUE"""),0.0)</f>
        <v>0</v>
      </c>
      <c r="P733" s="348">
        <f>IFERROR(__xludf.DUMMYFUNCTION("""COMPUTED_VALUE"""),0.0)</f>
        <v>0</v>
      </c>
      <c r="Q733" s="348">
        <f>IFERROR(__xludf.DUMMYFUNCTION("""COMPUTED_VALUE"""),0.0)</f>
        <v>0</v>
      </c>
      <c r="R733" s="355" t="str">
        <f>IFERROR(__xludf.DUMMYFUNCTION("""COMPUTED_VALUE""")," Cash Proyek ")</f>
        <v>Cash Proyek</v>
      </c>
      <c r="S733" s="350"/>
      <c r="T733" s="262"/>
      <c r="U733" s="351"/>
      <c r="V733" s="262"/>
      <c r="W733" s="262"/>
      <c r="X733" s="262"/>
      <c r="Y733" s="262"/>
      <c r="Z733" s="262"/>
      <c r="AA733" s="262"/>
      <c r="AB733" s="262"/>
      <c r="AC733" s="262"/>
      <c r="AD733" s="262"/>
      <c r="AE733" s="262"/>
      <c r="AF733" s="262"/>
      <c r="AG733" s="264"/>
      <c r="AH733" s="264"/>
      <c r="AI733" s="264"/>
      <c r="AJ733" s="264"/>
      <c r="AK733" s="264"/>
      <c r="AL733" s="264"/>
      <c r="AM733" s="264"/>
      <c r="AN733" s="264"/>
    </row>
    <row r="734" ht="15.75" customHeight="1">
      <c r="A734" s="262"/>
      <c r="B734" s="338">
        <f>IFERROR(__xludf.DUMMYFUNCTION("""COMPUTED_VALUE"""),1215.0)</f>
        <v>1215</v>
      </c>
      <c r="C734" s="354"/>
      <c r="D734" s="340" t="str">
        <f>IFERROR(__xludf.DUMMYFUNCTION("""COMPUTED_VALUE"""),"")</f>
        <v/>
      </c>
      <c r="E734" s="341">
        <f>IFERROR(__xludf.DUMMYFUNCTION("""COMPUTED_VALUE"""),0.0)</f>
        <v>0</v>
      </c>
      <c r="F734" s="352"/>
      <c r="G734" s="343"/>
      <c r="H734" s="344">
        <f>IFERROR(__xludf.DUMMYFUNCTION("""COMPUTED_VALUE"""),0.0)</f>
        <v>0</v>
      </c>
      <c r="I734" s="353"/>
      <c r="J734" s="353"/>
      <c r="K734" s="346">
        <f>IFERROR(__xludf.DUMMYFUNCTION("""COMPUTED_VALUE"""),0.0)</f>
        <v>0</v>
      </c>
      <c r="L734" s="347">
        <f>IFERROR(__xludf.DUMMYFUNCTION("""COMPUTED_VALUE"""),0.0)</f>
        <v>0</v>
      </c>
      <c r="M734" s="348">
        <f>IFERROR(__xludf.DUMMYFUNCTION("""COMPUTED_VALUE"""),0.0)</f>
        <v>0</v>
      </c>
      <c r="N734" s="348">
        <f>IFERROR(__xludf.DUMMYFUNCTION("""COMPUTED_VALUE"""),0.0)</f>
        <v>0</v>
      </c>
      <c r="O734" s="348">
        <f>IFERROR(__xludf.DUMMYFUNCTION("""COMPUTED_VALUE"""),0.0)</f>
        <v>0</v>
      </c>
      <c r="P734" s="348">
        <f>IFERROR(__xludf.DUMMYFUNCTION("""COMPUTED_VALUE"""),0.0)</f>
        <v>0</v>
      </c>
      <c r="Q734" s="348">
        <f>IFERROR(__xludf.DUMMYFUNCTION("""COMPUTED_VALUE"""),0.0)</f>
        <v>0</v>
      </c>
      <c r="R734" s="355" t="str">
        <f>IFERROR(__xludf.DUMMYFUNCTION("""COMPUTED_VALUE""")," Cash Proyek ")</f>
        <v>Cash Proyek</v>
      </c>
      <c r="S734" s="350"/>
      <c r="T734" s="262"/>
      <c r="U734" s="351"/>
      <c r="V734" s="262"/>
      <c r="W734" s="262"/>
      <c r="X734" s="262"/>
      <c r="Y734" s="262"/>
      <c r="Z734" s="262"/>
      <c r="AA734" s="262"/>
      <c r="AB734" s="262"/>
      <c r="AC734" s="262"/>
      <c r="AD734" s="262"/>
      <c r="AE734" s="262"/>
      <c r="AF734" s="262"/>
      <c r="AG734" s="264"/>
      <c r="AH734" s="264"/>
      <c r="AI734" s="264"/>
      <c r="AJ734" s="264"/>
      <c r="AK734" s="264"/>
      <c r="AL734" s="264"/>
      <c r="AM734" s="264"/>
      <c r="AN734" s="264"/>
    </row>
    <row r="735" ht="15.75" customHeight="1">
      <c r="A735" s="262"/>
      <c r="B735" s="338">
        <f>IFERROR(__xludf.DUMMYFUNCTION("""COMPUTED_VALUE"""),1216.0)</f>
        <v>1216</v>
      </c>
      <c r="C735" s="354"/>
      <c r="D735" s="340" t="str">
        <f>IFERROR(__xludf.DUMMYFUNCTION("""COMPUTED_VALUE"""),"")</f>
        <v/>
      </c>
      <c r="E735" s="341">
        <f>IFERROR(__xludf.DUMMYFUNCTION("""COMPUTED_VALUE"""),0.0)</f>
        <v>0</v>
      </c>
      <c r="F735" s="352"/>
      <c r="G735" s="343"/>
      <c r="H735" s="344">
        <f>IFERROR(__xludf.DUMMYFUNCTION("""COMPUTED_VALUE"""),0.0)</f>
        <v>0</v>
      </c>
      <c r="I735" s="353"/>
      <c r="J735" s="353"/>
      <c r="K735" s="346">
        <f>IFERROR(__xludf.DUMMYFUNCTION("""COMPUTED_VALUE"""),0.0)</f>
        <v>0</v>
      </c>
      <c r="L735" s="347">
        <f>IFERROR(__xludf.DUMMYFUNCTION("""COMPUTED_VALUE"""),0.0)</f>
        <v>0</v>
      </c>
      <c r="M735" s="348">
        <f>IFERROR(__xludf.DUMMYFUNCTION("""COMPUTED_VALUE"""),0.0)</f>
        <v>0</v>
      </c>
      <c r="N735" s="348">
        <f>IFERROR(__xludf.DUMMYFUNCTION("""COMPUTED_VALUE"""),0.0)</f>
        <v>0</v>
      </c>
      <c r="O735" s="348">
        <f>IFERROR(__xludf.DUMMYFUNCTION("""COMPUTED_VALUE"""),0.0)</f>
        <v>0</v>
      </c>
      <c r="P735" s="348">
        <f>IFERROR(__xludf.DUMMYFUNCTION("""COMPUTED_VALUE"""),0.0)</f>
        <v>0</v>
      </c>
      <c r="Q735" s="348">
        <f>IFERROR(__xludf.DUMMYFUNCTION("""COMPUTED_VALUE"""),0.0)</f>
        <v>0</v>
      </c>
      <c r="R735" s="355" t="str">
        <f>IFERROR(__xludf.DUMMYFUNCTION("""COMPUTED_VALUE""")," Cash Proyek ")</f>
        <v>Cash Proyek</v>
      </c>
      <c r="S735" s="350"/>
      <c r="T735" s="262"/>
      <c r="U735" s="351"/>
      <c r="V735" s="262"/>
      <c r="W735" s="262"/>
      <c r="X735" s="262"/>
      <c r="Y735" s="262"/>
      <c r="Z735" s="262"/>
      <c r="AA735" s="262"/>
      <c r="AB735" s="262"/>
      <c r="AC735" s="262"/>
      <c r="AD735" s="262"/>
      <c r="AE735" s="262"/>
      <c r="AF735" s="262"/>
      <c r="AG735" s="264"/>
      <c r="AH735" s="264"/>
      <c r="AI735" s="264"/>
      <c r="AJ735" s="264"/>
      <c r="AK735" s="264"/>
      <c r="AL735" s="264"/>
      <c r="AM735" s="264"/>
      <c r="AN735" s="264"/>
    </row>
    <row r="736" ht="15.75" customHeight="1">
      <c r="A736" s="262"/>
      <c r="B736" s="338">
        <f>IFERROR(__xludf.DUMMYFUNCTION("""COMPUTED_VALUE"""),1217.0)</f>
        <v>1217</v>
      </c>
      <c r="C736" s="354"/>
      <c r="D736" s="340" t="str">
        <f>IFERROR(__xludf.DUMMYFUNCTION("""COMPUTED_VALUE"""),"")</f>
        <v/>
      </c>
      <c r="E736" s="341">
        <f>IFERROR(__xludf.DUMMYFUNCTION("""COMPUTED_VALUE"""),0.0)</f>
        <v>0</v>
      </c>
      <c r="F736" s="352"/>
      <c r="G736" s="343"/>
      <c r="H736" s="344">
        <f>IFERROR(__xludf.DUMMYFUNCTION("""COMPUTED_VALUE"""),0.0)</f>
        <v>0</v>
      </c>
      <c r="I736" s="353"/>
      <c r="J736" s="353"/>
      <c r="K736" s="346">
        <f>IFERROR(__xludf.DUMMYFUNCTION("""COMPUTED_VALUE"""),0.0)</f>
        <v>0</v>
      </c>
      <c r="L736" s="347">
        <f>IFERROR(__xludf.DUMMYFUNCTION("""COMPUTED_VALUE"""),0.0)</f>
        <v>0</v>
      </c>
      <c r="M736" s="348">
        <f>IFERROR(__xludf.DUMMYFUNCTION("""COMPUTED_VALUE"""),0.0)</f>
        <v>0</v>
      </c>
      <c r="N736" s="348">
        <f>IFERROR(__xludf.DUMMYFUNCTION("""COMPUTED_VALUE"""),0.0)</f>
        <v>0</v>
      </c>
      <c r="O736" s="348">
        <f>IFERROR(__xludf.DUMMYFUNCTION("""COMPUTED_VALUE"""),0.0)</f>
        <v>0</v>
      </c>
      <c r="P736" s="348">
        <f>IFERROR(__xludf.DUMMYFUNCTION("""COMPUTED_VALUE"""),0.0)</f>
        <v>0</v>
      </c>
      <c r="Q736" s="348">
        <f>IFERROR(__xludf.DUMMYFUNCTION("""COMPUTED_VALUE"""),0.0)</f>
        <v>0</v>
      </c>
      <c r="R736" s="355" t="str">
        <f>IFERROR(__xludf.DUMMYFUNCTION("""COMPUTED_VALUE""")," Cash Proyek ")</f>
        <v>Cash Proyek</v>
      </c>
      <c r="S736" s="350"/>
      <c r="T736" s="262"/>
      <c r="U736" s="351"/>
      <c r="V736" s="262"/>
      <c r="W736" s="262"/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4"/>
      <c r="AH736" s="264"/>
      <c r="AI736" s="264"/>
      <c r="AJ736" s="264"/>
      <c r="AK736" s="264"/>
      <c r="AL736" s="264"/>
      <c r="AM736" s="264"/>
      <c r="AN736" s="264"/>
    </row>
    <row r="737" ht="15.75" customHeight="1">
      <c r="A737" s="262"/>
      <c r="B737" s="338">
        <f>IFERROR(__xludf.DUMMYFUNCTION("""COMPUTED_VALUE"""),1218.0)</f>
        <v>1218</v>
      </c>
      <c r="C737" s="354"/>
      <c r="D737" s="340" t="str">
        <f>IFERROR(__xludf.DUMMYFUNCTION("""COMPUTED_VALUE"""),"")</f>
        <v/>
      </c>
      <c r="E737" s="341">
        <f>IFERROR(__xludf.DUMMYFUNCTION("""COMPUTED_VALUE"""),0.0)</f>
        <v>0</v>
      </c>
      <c r="F737" s="352"/>
      <c r="G737" s="343"/>
      <c r="H737" s="344">
        <f>IFERROR(__xludf.DUMMYFUNCTION("""COMPUTED_VALUE"""),0.0)</f>
        <v>0</v>
      </c>
      <c r="I737" s="353"/>
      <c r="J737" s="353"/>
      <c r="K737" s="346">
        <f>IFERROR(__xludf.DUMMYFUNCTION("""COMPUTED_VALUE"""),0.0)</f>
        <v>0</v>
      </c>
      <c r="L737" s="347">
        <f>IFERROR(__xludf.DUMMYFUNCTION("""COMPUTED_VALUE"""),0.0)</f>
        <v>0</v>
      </c>
      <c r="M737" s="348">
        <f>IFERROR(__xludf.DUMMYFUNCTION("""COMPUTED_VALUE"""),0.0)</f>
        <v>0</v>
      </c>
      <c r="N737" s="348">
        <f>IFERROR(__xludf.DUMMYFUNCTION("""COMPUTED_VALUE"""),0.0)</f>
        <v>0</v>
      </c>
      <c r="O737" s="348">
        <f>IFERROR(__xludf.DUMMYFUNCTION("""COMPUTED_VALUE"""),0.0)</f>
        <v>0</v>
      </c>
      <c r="P737" s="348">
        <f>IFERROR(__xludf.DUMMYFUNCTION("""COMPUTED_VALUE"""),0.0)</f>
        <v>0</v>
      </c>
      <c r="Q737" s="348">
        <f>IFERROR(__xludf.DUMMYFUNCTION("""COMPUTED_VALUE"""),0.0)</f>
        <v>0</v>
      </c>
      <c r="R737" s="355" t="str">
        <f>IFERROR(__xludf.DUMMYFUNCTION("""COMPUTED_VALUE""")," Cash Proyek ")</f>
        <v>Cash Proyek</v>
      </c>
      <c r="S737" s="350"/>
      <c r="T737" s="262"/>
      <c r="U737" s="351"/>
      <c r="V737" s="262"/>
      <c r="W737" s="262"/>
      <c r="X737" s="262"/>
      <c r="Y737" s="262"/>
      <c r="Z737" s="262"/>
      <c r="AA737" s="262"/>
      <c r="AB737" s="262"/>
      <c r="AC737" s="262"/>
      <c r="AD737" s="262"/>
      <c r="AE737" s="262"/>
      <c r="AF737" s="262"/>
      <c r="AG737" s="264"/>
      <c r="AH737" s="264"/>
      <c r="AI737" s="264"/>
      <c r="AJ737" s="264"/>
      <c r="AK737" s="264"/>
      <c r="AL737" s="264"/>
      <c r="AM737" s="264"/>
      <c r="AN737" s="264"/>
    </row>
    <row r="738" ht="15.75" customHeight="1">
      <c r="A738" s="262"/>
      <c r="B738" s="338">
        <f>IFERROR(__xludf.DUMMYFUNCTION("""COMPUTED_VALUE"""),1219.0)</f>
        <v>1219</v>
      </c>
      <c r="C738" s="354"/>
      <c r="D738" s="340" t="str">
        <f>IFERROR(__xludf.DUMMYFUNCTION("""COMPUTED_VALUE"""),"")</f>
        <v/>
      </c>
      <c r="E738" s="341">
        <f>IFERROR(__xludf.DUMMYFUNCTION("""COMPUTED_VALUE"""),0.0)</f>
        <v>0</v>
      </c>
      <c r="F738" s="352"/>
      <c r="G738" s="343"/>
      <c r="H738" s="344">
        <f>IFERROR(__xludf.DUMMYFUNCTION("""COMPUTED_VALUE"""),0.0)</f>
        <v>0</v>
      </c>
      <c r="I738" s="353"/>
      <c r="J738" s="353"/>
      <c r="K738" s="346">
        <f>IFERROR(__xludf.DUMMYFUNCTION("""COMPUTED_VALUE"""),0.0)</f>
        <v>0</v>
      </c>
      <c r="L738" s="347">
        <f>IFERROR(__xludf.DUMMYFUNCTION("""COMPUTED_VALUE"""),0.0)</f>
        <v>0</v>
      </c>
      <c r="M738" s="348">
        <f>IFERROR(__xludf.DUMMYFUNCTION("""COMPUTED_VALUE"""),0.0)</f>
        <v>0</v>
      </c>
      <c r="N738" s="348">
        <f>IFERROR(__xludf.DUMMYFUNCTION("""COMPUTED_VALUE"""),0.0)</f>
        <v>0</v>
      </c>
      <c r="O738" s="348">
        <f>IFERROR(__xludf.DUMMYFUNCTION("""COMPUTED_VALUE"""),0.0)</f>
        <v>0</v>
      </c>
      <c r="P738" s="348">
        <f>IFERROR(__xludf.DUMMYFUNCTION("""COMPUTED_VALUE"""),0.0)</f>
        <v>0</v>
      </c>
      <c r="Q738" s="348">
        <f>IFERROR(__xludf.DUMMYFUNCTION("""COMPUTED_VALUE"""),0.0)</f>
        <v>0</v>
      </c>
      <c r="R738" s="355" t="str">
        <f>IFERROR(__xludf.DUMMYFUNCTION("""COMPUTED_VALUE""")," Cash Proyek ")</f>
        <v>Cash Proyek</v>
      </c>
      <c r="S738" s="350"/>
      <c r="T738" s="262"/>
      <c r="U738" s="351"/>
      <c r="V738" s="262"/>
      <c r="W738" s="262"/>
      <c r="X738" s="262"/>
      <c r="Y738" s="262"/>
      <c r="Z738" s="262"/>
      <c r="AA738" s="262"/>
      <c r="AB738" s="262"/>
      <c r="AC738" s="262"/>
      <c r="AD738" s="262"/>
      <c r="AE738" s="262"/>
      <c r="AF738" s="262"/>
      <c r="AG738" s="264"/>
      <c r="AH738" s="264"/>
      <c r="AI738" s="264"/>
      <c r="AJ738" s="264"/>
      <c r="AK738" s="264"/>
      <c r="AL738" s="264"/>
      <c r="AM738" s="264"/>
      <c r="AN738" s="264"/>
    </row>
    <row r="739" ht="15.75" customHeight="1">
      <c r="A739" s="262"/>
      <c r="B739" s="338">
        <f>IFERROR(__xludf.DUMMYFUNCTION("""COMPUTED_VALUE"""),1220.0)</f>
        <v>1220</v>
      </c>
      <c r="C739" s="354"/>
      <c r="D739" s="340" t="str">
        <f>IFERROR(__xludf.DUMMYFUNCTION("""COMPUTED_VALUE"""),"")</f>
        <v/>
      </c>
      <c r="E739" s="341">
        <f>IFERROR(__xludf.DUMMYFUNCTION("""COMPUTED_VALUE"""),0.0)</f>
        <v>0</v>
      </c>
      <c r="F739" s="352"/>
      <c r="G739" s="343"/>
      <c r="H739" s="344">
        <f>IFERROR(__xludf.DUMMYFUNCTION("""COMPUTED_VALUE"""),0.0)</f>
        <v>0</v>
      </c>
      <c r="I739" s="353"/>
      <c r="J739" s="353"/>
      <c r="K739" s="346">
        <f>IFERROR(__xludf.DUMMYFUNCTION("""COMPUTED_VALUE"""),0.0)</f>
        <v>0</v>
      </c>
      <c r="L739" s="347">
        <f>IFERROR(__xludf.DUMMYFUNCTION("""COMPUTED_VALUE"""),0.0)</f>
        <v>0</v>
      </c>
      <c r="M739" s="348">
        <f>IFERROR(__xludf.DUMMYFUNCTION("""COMPUTED_VALUE"""),0.0)</f>
        <v>0</v>
      </c>
      <c r="N739" s="348">
        <f>IFERROR(__xludf.DUMMYFUNCTION("""COMPUTED_VALUE"""),0.0)</f>
        <v>0</v>
      </c>
      <c r="O739" s="348">
        <f>IFERROR(__xludf.DUMMYFUNCTION("""COMPUTED_VALUE"""),0.0)</f>
        <v>0</v>
      </c>
      <c r="P739" s="348">
        <f>IFERROR(__xludf.DUMMYFUNCTION("""COMPUTED_VALUE"""),0.0)</f>
        <v>0</v>
      </c>
      <c r="Q739" s="348">
        <f>IFERROR(__xludf.DUMMYFUNCTION("""COMPUTED_VALUE"""),0.0)</f>
        <v>0</v>
      </c>
      <c r="R739" s="355" t="str">
        <f>IFERROR(__xludf.DUMMYFUNCTION("""COMPUTED_VALUE""")," Cash Proyek ")</f>
        <v>Cash Proyek</v>
      </c>
      <c r="S739" s="350"/>
      <c r="T739" s="262"/>
      <c r="U739" s="351"/>
      <c r="V739" s="262"/>
      <c r="W739" s="262"/>
      <c r="X739" s="262"/>
      <c r="Y739" s="262"/>
      <c r="Z739" s="262"/>
      <c r="AA739" s="262"/>
      <c r="AB739" s="262"/>
      <c r="AC739" s="262"/>
      <c r="AD739" s="262"/>
      <c r="AE739" s="262"/>
      <c r="AF739" s="262"/>
      <c r="AG739" s="264"/>
      <c r="AH739" s="264"/>
      <c r="AI739" s="264"/>
      <c r="AJ739" s="264"/>
      <c r="AK739" s="264"/>
      <c r="AL739" s="264"/>
      <c r="AM739" s="264"/>
      <c r="AN739" s="264"/>
    </row>
    <row r="740" ht="15.75" customHeight="1">
      <c r="A740" s="262"/>
      <c r="B740" s="338">
        <f>IFERROR(__xludf.DUMMYFUNCTION("""COMPUTED_VALUE"""),1221.0)</f>
        <v>1221</v>
      </c>
      <c r="C740" s="354"/>
      <c r="D740" s="340" t="str">
        <f>IFERROR(__xludf.DUMMYFUNCTION("""COMPUTED_VALUE"""),"")</f>
        <v/>
      </c>
      <c r="E740" s="341">
        <f>IFERROR(__xludf.DUMMYFUNCTION("""COMPUTED_VALUE"""),0.0)</f>
        <v>0</v>
      </c>
      <c r="F740" s="352"/>
      <c r="G740" s="343"/>
      <c r="H740" s="344">
        <f>IFERROR(__xludf.DUMMYFUNCTION("""COMPUTED_VALUE"""),0.0)</f>
        <v>0</v>
      </c>
      <c r="I740" s="353"/>
      <c r="J740" s="353"/>
      <c r="K740" s="346">
        <f>IFERROR(__xludf.DUMMYFUNCTION("""COMPUTED_VALUE"""),0.0)</f>
        <v>0</v>
      </c>
      <c r="L740" s="347">
        <f>IFERROR(__xludf.DUMMYFUNCTION("""COMPUTED_VALUE"""),0.0)</f>
        <v>0</v>
      </c>
      <c r="M740" s="348">
        <f>IFERROR(__xludf.DUMMYFUNCTION("""COMPUTED_VALUE"""),0.0)</f>
        <v>0</v>
      </c>
      <c r="N740" s="348">
        <f>IFERROR(__xludf.DUMMYFUNCTION("""COMPUTED_VALUE"""),0.0)</f>
        <v>0</v>
      </c>
      <c r="O740" s="348">
        <f>IFERROR(__xludf.DUMMYFUNCTION("""COMPUTED_VALUE"""),0.0)</f>
        <v>0</v>
      </c>
      <c r="P740" s="348">
        <f>IFERROR(__xludf.DUMMYFUNCTION("""COMPUTED_VALUE"""),0.0)</f>
        <v>0</v>
      </c>
      <c r="Q740" s="348">
        <f>IFERROR(__xludf.DUMMYFUNCTION("""COMPUTED_VALUE"""),0.0)</f>
        <v>0</v>
      </c>
      <c r="R740" s="355" t="str">
        <f>IFERROR(__xludf.DUMMYFUNCTION("""COMPUTED_VALUE""")," Cash Proyek ")</f>
        <v>Cash Proyek</v>
      </c>
      <c r="S740" s="350"/>
      <c r="T740" s="262"/>
      <c r="U740" s="351"/>
      <c r="V740" s="262"/>
      <c r="W740" s="262"/>
      <c r="X740" s="262"/>
      <c r="Y740" s="262"/>
      <c r="Z740" s="262"/>
      <c r="AA740" s="262"/>
      <c r="AB740" s="262"/>
      <c r="AC740" s="262"/>
      <c r="AD740" s="262"/>
      <c r="AE740" s="262"/>
      <c r="AF740" s="262"/>
      <c r="AG740" s="264"/>
      <c r="AH740" s="264"/>
      <c r="AI740" s="264"/>
      <c r="AJ740" s="264"/>
      <c r="AK740" s="264"/>
      <c r="AL740" s="264"/>
      <c r="AM740" s="264"/>
      <c r="AN740" s="264"/>
    </row>
    <row r="741" ht="15.75" customHeight="1">
      <c r="A741" s="262"/>
      <c r="B741" s="338">
        <f>IFERROR(__xludf.DUMMYFUNCTION("""COMPUTED_VALUE"""),1222.0)</f>
        <v>1222</v>
      </c>
      <c r="C741" s="354"/>
      <c r="D741" s="340" t="str">
        <f>IFERROR(__xludf.DUMMYFUNCTION("""COMPUTED_VALUE"""),"")</f>
        <v/>
      </c>
      <c r="E741" s="341">
        <f>IFERROR(__xludf.DUMMYFUNCTION("""COMPUTED_VALUE"""),0.0)</f>
        <v>0</v>
      </c>
      <c r="F741" s="352"/>
      <c r="G741" s="343"/>
      <c r="H741" s="344">
        <f>IFERROR(__xludf.DUMMYFUNCTION("""COMPUTED_VALUE"""),0.0)</f>
        <v>0</v>
      </c>
      <c r="I741" s="353"/>
      <c r="J741" s="353"/>
      <c r="K741" s="346">
        <f>IFERROR(__xludf.DUMMYFUNCTION("""COMPUTED_VALUE"""),0.0)</f>
        <v>0</v>
      </c>
      <c r="L741" s="347">
        <f>IFERROR(__xludf.DUMMYFUNCTION("""COMPUTED_VALUE"""),0.0)</f>
        <v>0</v>
      </c>
      <c r="M741" s="348">
        <f>IFERROR(__xludf.DUMMYFUNCTION("""COMPUTED_VALUE"""),0.0)</f>
        <v>0</v>
      </c>
      <c r="N741" s="348">
        <f>IFERROR(__xludf.DUMMYFUNCTION("""COMPUTED_VALUE"""),0.0)</f>
        <v>0</v>
      </c>
      <c r="O741" s="348">
        <f>IFERROR(__xludf.DUMMYFUNCTION("""COMPUTED_VALUE"""),0.0)</f>
        <v>0</v>
      </c>
      <c r="P741" s="348">
        <f>IFERROR(__xludf.DUMMYFUNCTION("""COMPUTED_VALUE"""),0.0)</f>
        <v>0</v>
      </c>
      <c r="Q741" s="348">
        <f>IFERROR(__xludf.DUMMYFUNCTION("""COMPUTED_VALUE"""),0.0)</f>
        <v>0</v>
      </c>
      <c r="R741" s="355" t="str">
        <f>IFERROR(__xludf.DUMMYFUNCTION("""COMPUTED_VALUE""")," Cash Proyek ")</f>
        <v>Cash Proyek</v>
      </c>
      <c r="S741" s="350"/>
      <c r="T741" s="262"/>
      <c r="U741" s="351"/>
      <c r="V741" s="262"/>
      <c r="W741" s="262"/>
      <c r="X741" s="262"/>
      <c r="Y741" s="262"/>
      <c r="Z741" s="262"/>
      <c r="AA741" s="262"/>
      <c r="AB741" s="262"/>
      <c r="AC741" s="262"/>
      <c r="AD741" s="262"/>
      <c r="AE741" s="262"/>
      <c r="AF741" s="262"/>
      <c r="AG741" s="264"/>
      <c r="AH741" s="264"/>
      <c r="AI741" s="264"/>
      <c r="AJ741" s="264"/>
      <c r="AK741" s="264"/>
      <c r="AL741" s="264"/>
      <c r="AM741" s="264"/>
      <c r="AN741" s="264"/>
    </row>
    <row r="742" ht="15.75" customHeight="1">
      <c r="A742" s="262"/>
      <c r="B742" s="338">
        <f>IFERROR(__xludf.DUMMYFUNCTION("""COMPUTED_VALUE"""),1223.0)</f>
        <v>1223</v>
      </c>
      <c r="C742" s="354"/>
      <c r="D742" s="340" t="str">
        <f>IFERROR(__xludf.DUMMYFUNCTION("""COMPUTED_VALUE"""),"")</f>
        <v/>
      </c>
      <c r="E742" s="341">
        <f>IFERROR(__xludf.DUMMYFUNCTION("""COMPUTED_VALUE"""),0.0)</f>
        <v>0</v>
      </c>
      <c r="F742" s="352"/>
      <c r="G742" s="343"/>
      <c r="H742" s="344">
        <f>IFERROR(__xludf.DUMMYFUNCTION("""COMPUTED_VALUE"""),0.0)</f>
        <v>0</v>
      </c>
      <c r="I742" s="353"/>
      <c r="J742" s="353"/>
      <c r="K742" s="346">
        <f>IFERROR(__xludf.DUMMYFUNCTION("""COMPUTED_VALUE"""),0.0)</f>
        <v>0</v>
      </c>
      <c r="L742" s="347">
        <f>IFERROR(__xludf.DUMMYFUNCTION("""COMPUTED_VALUE"""),0.0)</f>
        <v>0</v>
      </c>
      <c r="M742" s="348">
        <f>IFERROR(__xludf.DUMMYFUNCTION("""COMPUTED_VALUE"""),0.0)</f>
        <v>0</v>
      </c>
      <c r="N742" s="348">
        <f>IFERROR(__xludf.DUMMYFUNCTION("""COMPUTED_VALUE"""),0.0)</f>
        <v>0</v>
      </c>
      <c r="O742" s="348">
        <f>IFERROR(__xludf.DUMMYFUNCTION("""COMPUTED_VALUE"""),0.0)</f>
        <v>0</v>
      </c>
      <c r="P742" s="348">
        <f>IFERROR(__xludf.DUMMYFUNCTION("""COMPUTED_VALUE"""),0.0)</f>
        <v>0</v>
      </c>
      <c r="Q742" s="348">
        <f>IFERROR(__xludf.DUMMYFUNCTION("""COMPUTED_VALUE"""),0.0)</f>
        <v>0</v>
      </c>
      <c r="R742" s="355" t="str">
        <f>IFERROR(__xludf.DUMMYFUNCTION("""COMPUTED_VALUE""")," Cash Proyek ")</f>
        <v>Cash Proyek</v>
      </c>
      <c r="S742" s="350"/>
      <c r="T742" s="262"/>
      <c r="U742" s="351"/>
      <c r="V742" s="262"/>
      <c r="W742" s="262"/>
      <c r="X742" s="262"/>
      <c r="Y742" s="262"/>
      <c r="Z742" s="262"/>
      <c r="AA742" s="262"/>
      <c r="AB742" s="262"/>
      <c r="AC742" s="262"/>
      <c r="AD742" s="262"/>
      <c r="AE742" s="262"/>
      <c r="AF742" s="262"/>
      <c r="AG742" s="264"/>
      <c r="AH742" s="264"/>
      <c r="AI742" s="264"/>
      <c r="AJ742" s="264"/>
      <c r="AK742" s="264"/>
      <c r="AL742" s="264"/>
      <c r="AM742" s="264"/>
      <c r="AN742" s="264"/>
    </row>
    <row r="743" ht="15.75" customHeight="1">
      <c r="A743" s="262"/>
      <c r="B743" s="338">
        <f>IFERROR(__xludf.DUMMYFUNCTION("""COMPUTED_VALUE"""),1224.0)</f>
        <v>1224</v>
      </c>
      <c r="C743" s="354"/>
      <c r="D743" s="340" t="str">
        <f>IFERROR(__xludf.DUMMYFUNCTION("""COMPUTED_VALUE"""),"")</f>
        <v/>
      </c>
      <c r="E743" s="341">
        <f>IFERROR(__xludf.DUMMYFUNCTION("""COMPUTED_VALUE"""),0.0)</f>
        <v>0</v>
      </c>
      <c r="F743" s="352"/>
      <c r="G743" s="343"/>
      <c r="H743" s="344">
        <f>IFERROR(__xludf.DUMMYFUNCTION("""COMPUTED_VALUE"""),0.0)</f>
        <v>0</v>
      </c>
      <c r="I743" s="353"/>
      <c r="J743" s="353"/>
      <c r="K743" s="346">
        <f>IFERROR(__xludf.DUMMYFUNCTION("""COMPUTED_VALUE"""),0.0)</f>
        <v>0</v>
      </c>
      <c r="L743" s="347">
        <f>IFERROR(__xludf.DUMMYFUNCTION("""COMPUTED_VALUE"""),0.0)</f>
        <v>0</v>
      </c>
      <c r="M743" s="348">
        <f>IFERROR(__xludf.DUMMYFUNCTION("""COMPUTED_VALUE"""),0.0)</f>
        <v>0</v>
      </c>
      <c r="N743" s="348">
        <f>IFERROR(__xludf.DUMMYFUNCTION("""COMPUTED_VALUE"""),0.0)</f>
        <v>0</v>
      </c>
      <c r="O743" s="348">
        <f>IFERROR(__xludf.DUMMYFUNCTION("""COMPUTED_VALUE"""),0.0)</f>
        <v>0</v>
      </c>
      <c r="P743" s="348">
        <f>IFERROR(__xludf.DUMMYFUNCTION("""COMPUTED_VALUE"""),0.0)</f>
        <v>0</v>
      </c>
      <c r="Q743" s="348">
        <f>IFERROR(__xludf.DUMMYFUNCTION("""COMPUTED_VALUE"""),0.0)</f>
        <v>0</v>
      </c>
      <c r="R743" s="355" t="str">
        <f>IFERROR(__xludf.DUMMYFUNCTION("""COMPUTED_VALUE""")," Cash Proyek ")</f>
        <v>Cash Proyek</v>
      </c>
      <c r="S743" s="350"/>
      <c r="T743" s="262"/>
      <c r="U743" s="351"/>
      <c r="V743" s="262"/>
      <c r="W743" s="262"/>
      <c r="X743" s="262"/>
      <c r="Y743" s="262"/>
      <c r="Z743" s="262"/>
      <c r="AA743" s="262"/>
      <c r="AB743" s="262"/>
      <c r="AC743" s="262"/>
      <c r="AD743" s="262"/>
      <c r="AE743" s="262"/>
      <c r="AF743" s="262"/>
      <c r="AG743" s="264"/>
      <c r="AH743" s="264"/>
      <c r="AI743" s="264"/>
      <c r="AJ743" s="264"/>
      <c r="AK743" s="264"/>
      <c r="AL743" s="264"/>
      <c r="AM743" s="264"/>
      <c r="AN743" s="264"/>
    </row>
    <row r="744" ht="15.75" customHeight="1">
      <c r="A744" s="262"/>
      <c r="B744" s="338">
        <f>IFERROR(__xludf.DUMMYFUNCTION("""COMPUTED_VALUE"""),1225.0)</f>
        <v>1225</v>
      </c>
      <c r="C744" s="354"/>
      <c r="D744" s="340" t="str">
        <f>IFERROR(__xludf.DUMMYFUNCTION("""COMPUTED_VALUE"""),"")</f>
        <v/>
      </c>
      <c r="E744" s="341">
        <f>IFERROR(__xludf.DUMMYFUNCTION("""COMPUTED_VALUE"""),0.0)</f>
        <v>0</v>
      </c>
      <c r="F744" s="352"/>
      <c r="G744" s="343"/>
      <c r="H744" s="344">
        <f>IFERROR(__xludf.DUMMYFUNCTION("""COMPUTED_VALUE"""),0.0)</f>
        <v>0</v>
      </c>
      <c r="I744" s="353"/>
      <c r="J744" s="353"/>
      <c r="K744" s="346">
        <f>IFERROR(__xludf.DUMMYFUNCTION("""COMPUTED_VALUE"""),0.0)</f>
        <v>0</v>
      </c>
      <c r="L744" s="347">
        <f>IFERROR(__xludf.DUMMYFUNCTION("""COMPUTED_VALUE"""),0.0)</f>
        <v>0</v>
      </c>
      <c r="M744" s="348">
        <f>IFERROR(__xludf.DUMMYFUNCTION("""COMPUTED_VALUE"""),0.0)</f>
        <v>0</v>
      </c>
      <c r="N744" s="348">
        <f>IFERROR(__xludf.DUMMYFUNCTION("""COMPUTED_VALUE"""),0.0)</f>
        <v>0</v>
      </c>
      <c r="O744" s="348">
        <f>IFERROR(__xludf.DUMMYFUNCTION("""COMPUTED_VALUE"""),0.0)</f>
        <v>0</v>
      </c>
      <c r="P744" s="348">
        <f>IFERROR(__xludf.DUMMYFUNCTION("""COMPUTED_VALUE"""),0.0)</f>
        <v>0</v>
      </c>
      <c r="Q744" s="348">
        <f>IFERROR(__xludf.DUMMYFUNCTION("""COMPUTED_VALUE"""),0.0)</f>
        <v>0</v>
      </c>
      <c r="R744" s="355" t="str">
        <f>IFERROR(__xludf.DUMMYFUNCTION("""COMPUTED_VALUE""")," Cash Proyek ")</f>
        <v>Cash Proyek</v>
      </c>
      <c r="S744" s="350"/>
      <c r="T744" s="262"/>
      <c r="U744" s="351"/>
      <c r="V744" s="262"/>
      <c r="W744" s="262"/>
      <c r="X744" s="262"/>
      <c r="Y744" s="262"/>
      <c r="Z744" s="262"/>
      <c r="AA744" s="262"/>
      <c r="AB744" s="262"/>
      <c r="AC744" s="262"/>
      <c r="AD744" s="262"/>
      <c r="AE744" s="262"/>
      <c r="AF744" s="262"/>
      <c r="AG744" s="264"/>
      <c r="AH744" s="264"/>
      <c r="AI744" s="264"/>
      <c r="AJ744" s="264"/>
      <c r="AK744" s="264"/>
      <c r="AL744" s="264"/>
      <c r="AM744" s="264"/>
      <c r="AN744" s="264"/>
    </row>
    <row r="745" ht="15.75" customHeight="1">
      <c r="A745" s="262"/>
      <c r="B745" s="338">
        <f>IFERROR(__xludf.DUMMYFUNCTION("""COMPUTED_VALUE"""),1226.0)</f>
        <v>1226</v>
      </c>
      <c r="C745" s="354"/>
      <c r="D745" s="340" t="str">
        <f>IFERROR(__xludf.DUMMYFUNCTION("""COMPUTED_VALUE"""),"")</f>
        <v/>
      </c>
      <c r="E745" s="341">
        <f>IFERROR(__xludf.DUMMYFUNCTION("""COMPUTED_VALUE"""),0.0)</f>
        <v>0</v>
      </c>
      <c r="F745" s="352"/>
      <c r="G745" s="343"/>
      <c r="H745" s="344">
        <f>IFERROR(__xludf.DUMMYFUNCTION("""COMPUTED_VALUE"""),0.0)</f>
        <v>0</v>
      </c>
      <c r="I745" s="353"/>
      <c r="J745" s="353"/>
      <c r="K745" s="346">
        <f>IFERROR(__xludf.DUMMYFUNCTION("""COMPUTED_VALUE"""),0.0)</f>
        <v>0</v>
      </c>
      <c r="L745" s="347">
        <f>IFERROR(__xludf.DUMMYFUNCTION("""COMPUTED_VALUE"""),0.0)</f>
        <v>0</v>
      </c>
      <c r="M745" s="348">
        <f>IFERROR(__xludf.DUMMYFUNCTION("""COMPUTED_VALUE"""),0.0)</f>
        <v>0</v>
      </c>
      <c r="N745" s="348">
        <f>IFERROR(__xludf.DUMMYFUNCTION("""COMPUTED_VALUE"""),0.0)</f>
        <v>0</v>
      </c>
      <c r="O745" s="348">
        <f>IFERROR(__xludf.DUMMYFUNCTION("""COMPUTED_VALUE"""),0.0)</f>
        <v>0</v>
      </c>
      <c r="P745" s="348">
        <f>IFERROR(__xludf.DUMMYFUNCTION("""COMPUTED_VALUE"""),0.0)</f>
        <v>0</v>
      </c>
      <c r="Q745" s="348">
        <f>IFERROR(__xludf.DUMMYFUNCTION("""COMPUTED_VALUE"""),0.0)</f>
        <v>0</v>
      </c>
      <c r="R745" s="355" t="str">
        <f>IFERROR(__xludf.DUMMYFUNCTION("""COMPUTED_VALUE""")," Cash Proyek ")</f>
        <v>Cash Proyek</v>
      </c>
      <c r="S745" s="350"/>
      <c r="T745" s="262"/>
      <c r="U745" s="351"/>
      <c r="V745" s="262"/>
      <c r="W745" s="262"/>
      <c r="X745" s="262"/>
      <c r="Y745" s="262"/>
      <c r="Z745" s="262"/>
      <c r="AA745" s="262"/>
      <c r="AB745" s="262"/>
      <c r="AC745" s="262"/>
      <c r="AD745" s="262"/>
      <c r="AE745" s="262"/>
      <c r="AF745" s="262"/>
      <c r="AG745" s="264"/>
      <c r="AH745" s="264"/>
      <c r="AI745" s="264"/>
      <c r="AJ745" s="264"/>
      <c r="AK745" s="264"/>
      <c r="AL745" s="264"/>
      <c r="AM745" s="264"/>
      <c r="AN745" s="264"/>
    </row>
    <row r="746" ht="15.75" customHeight="1">
      <c r="A746" s="262"/>
      <c r="B746" s="338">
        <f>IFERROR(__xludf.DUMMYFUNCTION("""COMPUTED_VALUE"""),1227.0)</f>
        <v>1227</v>
      </c>
      <c r="C746" s="354"/>
      <c r="D746" s="340" t="str">
        <f>IFERROR(__xludf.DUMMYFUNCTION("""COMPUTED_VALUE"""),"")</f>
        <v/>
      </c>
      <c r="E746" s="341">
        <f>IFERROR(__xludf.DUMMYFUNCTION("""COMPUTED_VALUE"""),0.0)</f>
        <v>0</v>
      </c>
      <c r="F746" s="352"/>
      <c r="G746" s="343"/>
      <c r="H746" s="344">
        <f>IFERROR(__xludf.DUMMYFUNCTION("""COMPUTED_VALUE"""),0.0)</f>
        <v>0</v>
      </c>
      <c r="I746" s="353"/>
      <c r="J746" s="353"/>
      <c r="K746" s="346">
        <f>IFERROR(__xludf.DUMMYFUNCTION("""COMPUTED_VALUE"""),0.0)</f>
        <v>0</v>
      </c>
      <c r="L746" s="347">
        <f>IFERROR(__xludf.DUMMYFUNCTION("""COMPUTED_VALUE"""),0.0)</f>
        <v>0</v>
      </c>
      <c r="M746" s="348">
        <f>IFERROR(__xludf.DUMMYFUNCTION("""COMPUTED_VALUE"""),0.0)</f>
        <v>0</v>
      </c>
      <c r="N746" s="348">
        <f>IFERROR(__xludf.DUMMYFUNCTION("""COMPUTED_VALUE"""),0.0)</f>
        <v>0</v>
      </c>
      <c r="O746" s="348">
        <f>IFERROR(__xludf.DUMMYFUNCTION("""COMPUTED_VALUE"""),0.0)</f>
        <v>0</v>
      </c>
      <c r="P746" s="348">
        <f>IFERROR(__xludf.DUMMYFUNCTION("""COMPUTED_VALUE"""),0.0)</f>
        <v>0</v>
      </c>
      <c r="Q746" s="348">
        <f>IFERROR(__xludf.DUMMYFUNCTION("""COMPUTED_VALUE"""),0.0)</f>
        <v>0</v>
      </c>
      <c r="R746" s="355" t="str">
        <f>IFERROR(__xludf.DUMMYFUNCTION("""COMPUTED_VALUE""")," Cash Proyek ")</f>
        <v>Cash Proyek</v>
      </c>
      <c r="S746" s="350"/>
      <c r="T746" s="262"/>
      <c r="U746" s="351"/>
      <c r="V746" s="262"/>
      <c r="W746" s="262"/>
      <c r="X746" s="262"/>
      <c r="Y746" s="262"/>
      <c r="Z746" s="262"/>
      <c r="AA746" s="262"/>
      <c r="AB746" s="262"/>
      <c r="AC746" s="262"/>
      <c r="AD746" s="262"/>
      <c r="AE746" s="262"/>
      <c r="AF746" s="262"/>
      <c r="AG746" s="264"/>
      <c r="AH746" s="264"/>
      <c r="AI746" s="264"/>
      <c r="AJ746" s="264"/>
      <c r="AK746" s="264"/>
      <c r="AL746" s="264"/>
      <c r="AM746" s="264"/>
      <c r="AN746" s="264"/>
    </row>
    <row r="747" ht="15.75" customHeight="1">
      <c r="A747" s="262"/>
      <c r="B747" s="338">
        <f>IFERROR(__xludf.DUMMYFUNCTION("""COMPUTED_VALUE"""),1228.0)</f>
        <v>1228</v>
      </c>
      <c r="C747" s="354"/>
      <c r="D747" s="340" t="str">
        <f>IFERROR(__xludf.DUMMYFUNCTION("""COMPUTED_VALUE"""),"")</f>
        <v/>
      </c>
      <c r="E747" s="341">
        <f>IFERROR(__xludf.DUMMYFUNCTION("""COMPUTED_VALUE"""),0.0)</f>
        <v>0</v>
      </c>
      <c r="F747" s="352"/>
      <c r="G747" s="343"/>
      <c r="H747" s="344">
        <f>IFERROR(__xludf.DUMMYFUNCTION("""COMPUTED_VALUE"""),0.0)</f>
        <v>0</v>
      </c>
      <c r="I747" s="353"/>
      <c r="J747" s="353"/>
      <c r="K747" s="346">
        <f>IFERROR(__xludf.DUMMYFUNCTION("""COMPUTED_VALUE"""),0.0)</f>
        <v>0</v>
      </c>
      <c r="L747" s="347">
        <f>IFERROR(__xludf.DUMMYFUNCTION("""COMPUTED_VALUE"""),0.0)</f>
        <v>0</v>
      </c>
      <c r="M747" s="348">
        <f>IFERROR(__xludf.DUMMYFUNCTION("""COMPUTED_VALUE"""),0.0)</f>
        <v>0</v>
      </c>
      <c r="N747" s="348">
        <f>IFERROR(__xludf.DUMMYFUNCTION("""COMPUTED_VALUE"""),0.0)</f>
        <v>0</v>
      </c>
      <c r="O747" s="348">
        <f>IFERROR(__xludf.DUMMYFUNCTION("""COMPUTED_VALUE"""),0.0)</f>
        <v>0</v>
      </c>
      <c r="P747" s="348">
        <f>IFERROR(__xludf.DUMMYFUNCTION("""COMPUTED_VALUE"""),0.0)</f>
        <v>0</v>
      </c>
      <c r="Q747" s="348">
        <f>IFERROR(__xludf.DUMMYFUNCTION("""COMPUTED_VALUE"""),0.0)</f>
        <v>0</v>
      </c>
      <c r="R747" s="355" t="str">
        <f>IFERROR(__xludf.DUMMYFUNCTION("""COMPUTED_VALUE""")," Cash Proyek ")</f>
        <v>Cash Proyek</v>
      </c>
      <c r="S747" s="350"/>
      <c r="T747" s="262"/>
      <c r="U747" s="351"/>
      <c r="V747" s="262"/>
      <c r="W747" s="262"/>
      <c r="X747" s="262"/>
      <c r="Y747" s="262"/>
      <c r="Z747" s="262"/>
      <c r="AA747" s="262"/>
      <c r="AB747" s="262"/>
      <c r="AC747" s="262"/>
      <c r="AD747" s="262"/>
      <c r="AE747" s="262"/>
      <c r="AF747" s="262"/>
      <c r="AG747" s="264"/>
      <c r="AH747" s="264"/>
      <c r="AI747" s="264"/>
      <c r="AJ747" s="264"/>
      <c r="AK747" s="264"/>
      <c r="AL747" s="264"/>
      <c r="AM747" s="264"/>
      <c r="AN747" s="264"/>
    </row>
    <row r="748" ht="15.75" customHeight="1">
      <c r="A748" s="262"/>
      <c r="B748" s="338">
        <f>IFERROR(__xludf.DUMMYFUNCTION("""COMPUTED_VALUE"""),1229.0)</f>
        <v>1229</v>
      </c>
      <c r="C748" s="354"/>
      <c r="D748" s="340" t="str">
        <f>IFERROR(__xludf.DUMMYFUNCTION("""COMPUTED_VALUE"""),"")</f>
        <v/>
      </c>
      <c r="E748" s="341">
        <f>IFERROR(__xludf.DUMMYFUNCTION("""COMPUTED_VALUE"""),0.0)</f>
        <v>0</v>
      </c>
      <c r="F748" s="352"/>
      <c r="G748" s="343"/>
      <c r="H748" s="344">
        <f>IFERROR(__xludf.DUMMYFUNCTION("""COMPUTED_VALUE"""),0.0)</f>
        <v>0</v>
      </c>
      <c r="I748" s="353"/>
      <c r="J748" s="353"/>
      <c r="K748" s="346">
        <f>IFERROR(__xludf.DUMMYFUNCTION("""COMPUTED_VALUE"""),0.0)</f>
        <v>0</v>
      </c>
      <c r="L748" s="347">
        <f>IFERROR(__xludf.DUMMYFUNCTION("""COMPUTED_VALUE"""),0.0)</f>
        <v>0</v>
      </c>
      <c r="M748" s="348">
        <f>IFERROR(__xludf.DUMMYFUNCTION("""COMPUTED_VALUE"""),0.0)</f>
        <v>0</v>
      </c>
      <c r="N748" s="348">
        <f>IFERROR(__xludf.DUMMYFUNCTION("""COMPUTED_VALUE"""),0.0)</f>
        <v>0</v>
      </c>
      <c r="O748" s="348">
        <f>IFERROR(__xludf.DUMMYFUNCTION("""COMPUTED_VALUE"""),0.0)</f>
        <v>0</v>
      </c>
      <c r="P748" s="348">
        <f>IFERROR(__xludf.DUMMYFUNCTION("""COMPUTED_VALUE"""),0.0)</f>
        <v>0</v>
      </c>
      <c r="Q748" s="348">
        <f>IFERROR(__xludf.DUMMYFUNCTION("""COMPUTED_VALUE"""),0.0)</f>
        <v>0</v>
      </c>
      <c r="R748" s="355" t="str">
        <f>IFERROR(__xludf.DUMMYFUNCTION("""COMPUTED_VALUE""")," Cash Proyek ")</f>
        <v>Cash Proyek</v>
      </c>
      <c r="S748" s="350"/>
      <c r="T748" s="262"/>
      <c r="U748" s="351"/>
      <c r="V748" s="262"/>
      <c r="W748" s="262"/>
      <c r="X748" s="262"/>
      <c r="Y748" s="262"/>
      <c r="Z748" s="262"/>
      <c r="AA748" s="262"/>
      <c r="AB748" s="262"/>
      <c r="AC748" s="262"/>
      <c r="AD748" s="262"/>
      <c r="AE748" s="262"/>
      <c r="AF748" s="262"/>
      <c r="AG748" s="264"/>
      <c r="AH748" s="264"/>
      <c r="AI748" s="264"/>
      <c r="AJ748" s="264"/>
      <c r="AK748" s="264"/>
      <c r="AL748" s="264"/>
      <c r="AM748" s="264"/>
      <c r="AN748" s="264"/>
    </row>
    <row r="749" ht="15.75" customHeight="1">
      <c r="A749" s="262"/>
      <c r="B749" s="338">
        <f>IFERROR(__xludf.DUMMYFUNCTION("""COMPUTED_VALUE"""),1230.0)</f>
        <v>1230</v>
      </c>
      <c r="C749" s="354"/>
      <c r="D749" s="340" t="str">
        <f>IFERROR(__xludf.DUMMYFUNCTION("""COMPUTED_VALUE"""),"")</f>
        <v/>
      </c>
      <c r="E749" s="341">
        <f>IFERROR(__xludf.DUMMYFUNCTION("""COMPUTED_VALUE"""),0.0)</f>
        <v>0</v>
      </c>
      <c r="F749" s="352"/>
      <c r="G749" s="343"/>
      <c r="H749" s="344">
        <f>IFERROR(__xludf.DUMMYFUNCTION("""COMPUTED_VALUE"""),0.0)</f>
        <v>0</v>
      </c>
      <c r="I749" s="353"/>
      <c r="J749" s="353"/>
      <c r="K749" s="346">
        <f>IFERROR(__xludf.DUMMYFUNCTION("""COMPUTED_VALUE"""),0.0)</f>
        <v>0</v>
      </c>
      <c r="L749" s="347">
        <f>IFERROR(__xludf.DUMMYFUNCTION("""COMPUTED_VALUE"""),0.0)</f>
        <v>0</v>
      </c>
      <c r="M749" s="348">
        <f>IFERROR(__xludf.DUMMYFUNCTION("""COMPUTED_VALUE"""),0.0)</f>
        <v>0</v>
      </c>
      <c r="N749" s="348">
        <f>IFERROR(__xludf.DUMMYFUNCTION("""COMPUTED_VALUE"""),0.0)</f>
        <v>0</v>
      </c>
      <c r="O749" s="348">
        <f>IFERROR(__xludf.DUMMYFUNCTION("""COMPUTED_VALUE"""),0.0)</f>
        <v>0</v>
      </c>
      <c r="P749" s="348">
        <f>IFERROR(__xludf.DUMMYFUNCTION("""COMPUTED_VALUE"""),0.0)</f>
        <v>0</v>
      </c>
      <c r="Q749" s="348">
        <f>IFERROR(__xludf.DUMMYFUNCTION("""COMPUTED_VALUE"""),0.0)</f>
        <v>0</v>
      </c>
      <c r="R749" s="355" t="str">
        <f>IFERROR(__xludf.DUMMYFUNCTION("""COMPUTED_VALUE""")," Cash Proyek ")</f>
        <v>Cash Proyek</v>
      </c>
      <c r="S749" s="350"/>
      <c r="T749" s="262"/>
      <c r="U749" s="351"/>
      <c r="V749" s="262"/>
      <c r="W749" s="262"/>
      <c r="X749" s="262"/>
      <c r="Y749" s="262"/>
      <c r="Z749" s="262"/>
      <c r="AA749" s="262"/>
      <c r="AB749" s="262"/>
      <c r="AC749" s="262"/>
      <c r="AD749" s="262"/>
      <c r="AE749" s="262"/>
      <c r="AF749" s="262"/>
      <c r="AG749" s="264"/>
      <c r="AH749" s="264"/>
      <c r="AI749" s="264"/>
      <c r="AJ749" s="264"/>
      <c r="AK749" s="264"/>
      <c r="AL749" s="264"/>
      <c r="AM749" s="264"/>
      <c r="AN749" s="264"/>
    </row>
    <row r="750" ht="15.75" customHeight="1">
      <c r="A750" s="262"/>
      <c r="B750" s="338">
        <f>IFERROR(__xludf.DUMMYFUNCTION("""COMPUTED_VALUE"""),1231.0)</f>
        <v>1231</v>
      </c>
      <c r="C750" s="354"/>
      <c r="D750" s="340" t="str">
        <f>IFERROR(__xludf.DUMMYFUNCTION("""COMPUTED_VALUE"""),"")</f>
        <v/>
      </c>
      <c r="E750" s="341">
        <f>IFERROR(__xludf.DUMMYFUNCTION("""COMPUTED_VALUE"""),0.0)</f>
        <v>0</v>
      </c>
      <c r="F750" s="352"/>
      <c r="G750" s="343"/>
      <c r="H750" s="344">
        <f>IFERROR(__xludf.DUMMYFUNCTION("""COMPUTED_VALUE"""),0.0)</f>
        <v>0</v>
      </c>
      <c r="I750" s="353"/>
      <c r="J750" s="353"/>
      <c r="K750" s="346">
        <f>IFERROR(__xludf.DUMMYFUNCTION("""COMPUTED_VALUE"""),0.0)</f>
        <v>0</v>
      </c>
      <c r="L750" s="347">
        <f>IFERROR(__xludf.DUMMYFUNCTION("""COMPUTED_VALUE"""),0.0)</f>
        <v>0</v>
      </c>
      <c r="M750" s="348">
        <f>IFERROR(__xludf.DUMMYFUNCTION("""COMPUTED_VALUE"""),0.0)</f>
        <v>0</v>
      </c>
      <c r="N750" s="348">
        <f>IFERROR(__xludf.DUMMYFUNCTION("""COMPUTED_VALUE"""),0.0)</f>
        <v>0</v>
      </c>
      <c r="O750" s="348">
        <f>IFERROR(__xludf.DUMMYFUNCTION("""COMPUTED_VALUE"""),0.0)</f>
        <v>0</v>
      </c>
      <c r="P750" s="348">
        <f>IFERROR(__xludf.DUMMYFUNCTION("""COMPUTED_VALUE"""),0.0)</f>
        <v>0</v>
      </c>
      <c r="Q750" s="348">
        <f>IFERROR(__xludf.DUMMYFUNCTION("""COMPUTED_VALUE"""),0.0)</f>
        <v>0</v>
      </c>
      <c r="R750" s="355" t="str">
        <f>IFERROR(__xludf.DUMMYFUNCTION("""COMPUTED_VALUE""")," Cash Proyek ")</f>
        <v>Cash Proyek</v>
      </c>
      <c r="S750" s="350"/>
      <c r="T750" s="262"/>
      <c r="U750" s="351"/>
      <c r="V750" s="262"/>
      <c r="W750" s="262"/>
      <c r="X750" s="262"/>
      <c r="Y750" s="262"/>
      <c r="Z750" s="262"/>
      <c r="AA750" s="262"/>
      <c r="AB750" s="262"/>
      <c r="AC750" s="262"/>
      <c r="AD750" s="262"/>
      <c r="AE750" s="262"/>
      <c r="AF750" s="262"/>
      <c r="AG750" s="264"/>
      <c r="AH750" s="264"/>
      <c r="AI750" s="264"/>
      <c r="AJ750" s="264"/>
      <c r="AK750" s="264"/>
      <c r="AL750" s="264"/>
      <c r="AM750" s="264"/>
      <c r="AN750" s="264"/>
    </row>
    <row r="751" ht="15.75" customHeight="1">
      <c r="A751" s="262"/>
      <c r="B751" s="338">
        <f>IFERROR(__xludf.DUMMYFUNCTION("""COMPUTED_VALUE"""),1232.0)</f>
        <v>1232</v>
      </c>
      <c r="C751" s="354"/>
      <c r="D751" s="340" t="str">
        <f>IFERROR(__xludf.DUMMYFUNCTION("""COMPUTED_VALUE"""),"")</f>
        <v/>
      </c>
      <c r="E751" s="341">
        <f>IFERROR(__xludf.DUMMYFUNCTION("""COMPUTED_VALUE"""),0.0)</f>
        <v>0</v>
      </c>
      <c r="F751" s="352"/>
      <c r="G751" s="343"/>
      <c r="H751" s="344">
        <f>IFERROR(__xludf.DUMMYFUNCTION("""COMPUTED_VALUE"""),0.0)</f>
        <v>0</v>
      </c>
      <c r="I751" s="353"/>
      <c r="J751" s="353"/>
      <c r="K751" s="346">
        <f>IFERROR(__xludf.DUMMYFUNCTION("""COMPUTED_VALUE"""),0.0)</f>
        <v>0</v>
      </c>
      <c r="L751" s="347">
        <f>IFERROR(__xludf.DUMMYFUNCTION("""COMPUTED_VALUE"""),0.0)</f>
        <v>0</v>
      </c>
      <c r="M751" s="348">
        <f>IFERROR(__xludf.DUMMYFUNCTION("""COMPUTED_VALUE"""),0.0)</f>
        <v>0</v>
      </c>
      <c r="N751" s="348">
        <f>IFERROR(__xludf.DUMMYFUNCTION("""COMPUTED_VALUE"""),0.0)</f>
        <v>0</v>
      </c>
      <c r="O751" s="348">
        <f>IFERROR(__xludf.DUMMYFUNCTION("""COMPUTED_VALUE"""),0.0)</f>
        <v>0</v>
      </c>
      <c r="P751" s="348">
        <f>IFERROR(__xludf.DUMMYFUNCTION("""COMPUTED_VALUE"""),0.0)</f>
        <v>0</v>
      </c>
      <c r="Q751" s="348">
        <f>IFERROR(__xludf.DUMMYFUNCTION("""COMPUTED_VALUE"""),0.0)</f>
        <v>0</v>
      </c>
      <c r="R751" s="355" t="str">
        <f>IFERROR(__xludf.DUMMYFUNCTION("""COMPUTED_VALUE""")," Cash Proyek ")</f>
        <v>Cash Proyek</v>
      </c>
      <c r="S751" s="350"/>
      <c r="T751" s="262"/>
      <c r="U751" s="351"/>
      <c r="V751" s="262"/>
      <c r="W751" s="262"/>
      <c r="X751" s="262"/>
      <c r="Y751" s="262"/>
      <c r="Z751" s="262"/>
      <c r="AA751" s="262"/>
      <c r="AB751" s="262"/>
      <c r="AC751" s="262"/>
      <c r="AD751" s="262"/>
      <c r="AE751" s="262"/>
      <c r="AF751" s="262"/>
      <c r="AG751" s="264"/>
      <c r="AH751" s="264"/>
      <c r="AI751" s="264"/>
      <c r="AJ751" s="264"/>
      <c r="AK751" s="264"/>
      <c r="AL751" s="264"/>
      <c r="AM751" s="264"/>
      <c r="AN751" s="264"/>
    </row>
    <row r="752" ht="15.75" customHeight="1">
      <c r="A752" s="262"/>
      <c r="B752" s="338">
        <f>IFERROR(__xludf.DUMMYFUNCTION("""COMPUTED_VALUE"""),1233.0)</f>
        <v>1233</v>
      </c>
      <c r="C752" s="354"/>
      <c r="D752" s="340" t="str">
        <f>IFERROR(__xludf.DUMMYFUNCTION("""COMPUTED_VALUE"""),"")</f>
        <v/>
      </c>
      <c r="E752" s="341">
        <f>IFERROR(__xludf.DUMMYFUNCTION("""COMPUTED_VALUE"""),0.0)</f>
        <v>0</v>
      </c>
      <c r="F752" s="352"/>
      <c r="G752" s="343"/>
      <c r="H752" s="344">
        <f>IFERROR(__xludf.DUMMYFUNCTION("""COMPUTED_VALUE"""),0.0)</f>
        <v>0</v>
      </c>
      <c r="I752" s="353"/>
      <c r="J752" s="353"/>
      <c r="K752" s="346">
        <f>IFERROR(__xludf.DUMMYFUNCTION("""COMPUTED_VALUE"""),0.0)</f>
        <v>0</v>
      </c>
      <c r="L752" s="347">
        <f>IFERROR(__xludf.DUMMYFUNCTION("""COMPUTED_VALUE"""),0.0)</f>
        <v>0</v>
      </c>
      <c r="M752" s="348">
        <f>IFERROR(__xludf.DUMMYFUNCTION("""COMPUTED_VALUE"""),0.0)</f>
        <v>0</v>
      </c>
      <c r="N752" s="348">
        <f>IFERROR(__xludf.DUMMYFUNCTION("""COMPUTED_VALUE"""),0.0)</f>
        <v>0</v>
      </c>
      <c r="O752" s="348">
        <f>IFERROR(__xludf.DUMMYFUNCTION("""COMPUTED_VALUE"""),0.0)</f>
        <v>0</v>
      </c>
      <c r="P752" s="348">
        <f>IFERROR(__xludf.DUMMYFUNCTION("""COMPUTED_VALUE"""),0.0)</f>
        <v>0</v>
      </c>
      <c r="Q752" s="348">
        <f>IFERROR(__xludf.DUMMYFUNCTION("""COMPUTED_VALUE"""),0.0)</f>
        <v>0</v>
      </c>
      <c r="R752" s="355" t="str">
        <f>IFERROR(__xludf.DUMMYFUNCTION("""COMPUTED_VALUE""")," Cash Proyek ")</f>
        <v>Cash Proyek</v>
      </c>
      <c r="S752" s="350"/>
      <c r="T752" s="262"/>
      <c r="U752" s="351"/>
      <c r="V752" s="262"/>
      <c r="W752" s="262"/>
      <c r="X752" s="262"/>
      <c r="Y752" s="262"/>
      <c r="Z752" s="262"/>
      <c r="AA752" s="262"/>
      <c r="AB752" s="262"/>
      <c r="AC752" s="262"/>
      <c r="AD752" s="262"/>
      <c r="AE752" s="262"/>
      <c r="AF752" s="262"/>
      <c r="AG752" s="264"/>
      <c r="AH752" s="264"/>
      <c r="AI752" s="264"/>
      <c r="AJ752" s="264"/>
      <c r="AK752" s="264"/>
      <c r="AL752" s="264"/>
      <c r="AM752" s="264"/>
      <c r="AN752" s="264"/>
    </row>
    <row r="753" ht="15.75" customHeight="1">
      <c r="A753" s="262"/>
      <c r="B753" s="338">
        <f>IFERROR(__xludf.DUMMYFUNCTION("""COMPUTED_VALUE"""),1234.0)</f>
        <v>1234</v>
      </c>
      <c r="C753" s="354"/>
      <c r="D753" s="340" t="str">
        <f>IFERROR(__xludf.DUMMYFUNCTION("""COMPUTED_VALUE"""),"")</f>
        <v/>
      </c>
      <c r="E753" s="341">
        <f>IFERROR(__xludf.DUMMYFUNCTION("""COMPUTED_VALUE"""),0.0)</f>
        <v>0</v>
      </c>
      <c r="F753" s="352"/>
      <c r="G753" s="343"/>
      <c r="H753" s="344">
        <f>IFERROR(__xludf.DUMMYFUNCTION("""COMPUTED_VALUE"""),0.0)</f>
        <v>0</v>
      </c>
      <c r="I753" s="353"/>
      <c r="J753" s="353"/>
      <c r="K753" s="346">
        <f>IFERROR(__xludf.DUMMYFUNCTION("""COMPUTED_VALUE"""),0.0)</f>
        <v>0</v>
      </c>
      <c r="L753" s="347">
        <f>IFERROR(__xludf.DUMMYFUNCTION("""COMPUTED_VALUE"""),0.0)</f>
        <v>0</v>
      </c>
      <c r="M753" s="348">
        <f>IFERROR(__xludf.DUMMYFUNCTION("""COMPUTED_VALUE"""),0.0)</f>
        <v>0</v>
      </c>
      <c r="N753" s="348">
        <f>IFERROR(__xludf.DUMMYFUNCTION("""COMPUTED_VALUE"""),0.0)</f>
        <v>0</v>
      </c>
      <c r="O753" s="348">
        <f>IFERROR(__xludf.DUMMYFUNCTION("""COMPUTED_VALUE"""),0.0)</f>
        <v>0</v>
      </c>
      <c r="P753" s="348">
        <f>IFERROR(__xludf.DUMMYFUNCTION("""COMPUTED_VALUE"""),0.0)</f>
        <v>0</v>
      </c>
      <c r="Q753" s="348">
        <f>IFERROR(__xludf.DUMMYFUNCTION("""COMPUTED_VALUE"""),0.0)</f>
        <v>0</v>
      </c>
      <c r="R753" s="355" t="str">
        <f>IFERROR(__xludf.DUMMYFUNCTION("""COMPUTED_VALUE""")," Cash Proyek ")</f>
        <v>Cash Proyek</v>
      </c>
      <c r="S753" s="350"/>
      <c r="T753" s="262"/>
      <c r="U753" s="351"/>
      <c r="V753" s="262"/>
      <c r="W753" s="262"/>
      <c r="X753" s="262"/>
      <c r="Y753" s="262"/>
      <c r="Z753" s="262"/>
      <c r="AA753" s="262"/>
      <c r="AB753" s="262"/>
      <c r="AC753" s="262"/>
      <c r="AD753" s="262"/>
      <c r="AE753" s="262"/>
      <c r="AF753" s="262"/>
      <c r="AG753" s="264"/>
      <c r="AH753" s="264"/>
      <c r="AI753" s="264"/>
      <c r="AJ753" s="264"/>
      <c r="AK753" s="264"/>
      <c r="AL753" s="264"/>
      <c r="AM753" s="264"/>
      <c r="AN753" s="264"/>
    </row>
    <row r="754" ht="15.75" customHeight="1">
      <c r="A754" s="262"/>
      <c r="B754" s="338">
        <f>IFERROR(__xludf.DUMMYFUNCTION("""COMPUTED_VALUE"""),1235.0)</f>
        <v>1235</v>
      </c>
      <c r="C754" s="354"/>
      <c r="D754" s="340" t="str">
        <f>IFERROR(__xludf.DUMMYFUNCTION("""COMPUTED_VALUE"""),"")</f>
        <v/>
      </c>
      <c r="E754" s="341">
        <f>IFERROR(__xludf.DUMMYFUNCTION("""COMPUTED_VALUE"""),0.0)</f>
        <v>0</v>
      </c>
      <c r="F754" s="352"/>
      <c r="G754" s="343"/>
      <c r="H754" s="344">
        <f>IFERROR(__xludf.DUMMYFUNCTION("""COMPUTED_VALUE"""),0.0)</f>
        <v>0</v>
      </c>
      <c r="I754" s="353"/>
      <c r="J754" s="353"/>
      <c r="K754" s="346">
        <f>IFERROR(__xludf.DUMMYFUNCTION("""COMPUTED_VALUE"""),0.0)</f>
        <v>0</v>
      </c>
      <c r="L754" s="347">
        <f>IFERROR(__xludf.DUMMYFUNCTION("""COMPUTED_VALUE"""),0.0)</f>
        <v>0</v>
      </c>
      <c r="M754" s="348">
        <f>IFERROR(__xludf.DUMMYFUNCTION("""COMPUTED_VALUE"""),0.0)</f>
        <v>0</v>
      </c>
      <c r="N754" s="348">
        <f>IFERROR(__xludf.DUMMYFUNCTION("""COMPUTED_VALUE"""),0.0)</f>
        <v>0</v>
      </c>
      <c r="O754" s="348">
        <f>IFERROR(__xludf.DUMMYFUNCTION("""COMPUTED_VALUE"""),0.0)</f>
        <v>0</v>
      </c>
      <c r="P754" s="348">
        <f>IFERROR(__xludf.DUMMYFUNCTION("""COMPUTED_VALUE"""),0.0)</f>
        <v>0</v>
      </c>
      <c r="Q754" s="348">
        <f>IFERROR(__xludf.DUMMYFUNCTION("""COMPUTED_VALUE"""),0.0)</f>
        <v>0</v>
      </c>
      <c r="R754" s="355" t="str">
        <f>IFERROR(__xludf.DUMMYFUNCTION("""COMPUTED_VALUE""")," Cash Proyek ")</f>
        <v>Cash Proyek</v>
      </c>
      <c r="S754" s="350"/>
      <c r="T754" s="262"/>
      <c r="U754" s="351"/>
      <c r="V754" s="262"/>
      <c r="W754" s="262"/>
      <c r="X754" s="262"/>
      <c r="Y754" s="262"/>
      <c r="Z754" s="262"/>
      <c r="AA754" s="262"/>
      <c r="AB754" s="262"/>
      <c r="AC754" s="262"/>
      <c r="AD754" s="262"/>
      <c r="AE754" s="262"/>
      <c r="AF754" s="262"/>
      <c r="AG754" s="264"/>
      <c r="AH754" s="264"/>
      <c r="AI754" s="264"/>
      <c r="AJ754" s="264"/>
      <c r="AK754" s="264"/>
      <c r="AL754" s="264"/>
      <c r="AM754" s="264"/>
      <c r="AN754" s="264"/>
    </row>
    <row r="755" ht="15.75" customHeight="1">
      <c r="A755" s="262"/>
      <c r="B755" s="338">
        <f>IFERROR(__xludf.DUMMYFUNCTION("""COMPUTED_VALUE"""),1236.0)</f>
        <v>1236</v>
      </c>
      <c r="C755" s="354"/>
      <c r="D755" s="340" t="str">
        <f>IFERROR(__xludf.DUMMYFUNCTION("""COMPUTED_VALUE"""),"")</f>
        <v/>
      </c>
      <c r="E755" s="341">
        <f>IFERROR(__xludf.DUMMYFUNCTION("""COMPUTED_VALUE"""),0.0)</f>
        <v>0</v>
      </c>
      <c r="F755" s="352"/>
      <c r="G755" s="343"/>
      <c r="H755" s="344">
        <f>IFERROR(__xludf.DUMMYFUNCTION("""COMPUTED_VALUE"""),0.0)</f>
        <v>0</v>
      </c>
      <c r="I755" s="353"/>
      <c r="J755" s="353"/>
      <c r="K755" s="346">
        <f>IFERROR(__xludf.DUMMYFUNCTION("""COMPUTED_VALUE"""),0.0)</f>
        <v>0</v>
      </c>
      <c r="L755" s="347">
        <f>IFERROR(__xludf.DUMMYFUNCTION("""COMPUTED_VALUE"""),0.0)</f>
        <v>0</v>
      </c>
      <c r="M755" s="348">
        <f>IFERROR(__xludf.DUMMYFUNCTION("""COMPUTED_VALUE"""),0.0)</f>
        <v>0</v>
      </c>
      <c r="N755" s="348">
        <f>IFERROR(__xludf.DUMMYFUNCTION("""COMPUTED_VALUE"""),0.0)</f>
        <v>0</v>
      </c>
      <c r="O755" s="348">
        <f>IFERROR(__xludf.DUMMYFUNCTION("""COMPUTED_VALUE"""),0.0)</f>
        <v>0</v>
      </c>
      <c r="P755" s="348">
        <f>IFERROR(__xludf.DUMMYFUNCTION("""COMPUTED_VALUE"""),0.0)</f>
        <v>0</v>
      </c>
      <c r="Q755" s="348">
        <f>IFERROR(__xludf.DUMMYFUNCTION("""COMPUTED_VALUE"""),0.0)</f>
        <v>0</v>
      </c>
      <c r="R755" s="355" t="str">
        <f>IFERROR(__xludf.DUMMYFUNCTION("""COMPUTED_VALUE""")," Cash Proyek ")</f>
        <v>Cash Proyek</v>
      </c>
      <c r="S755" s="350"/>
      <c r="T755" s="262"/>
      <c r="U755" s="351"/>
      <c r="V755" s="262"/>
      <c r="W755" s="262"/>
      <c r="X755" s="262"/>
      <c r="Y755" s="262"/>
      <c r="Z755" s="262"/>
      <c r="AA755" s="262"/>
      <c r="AB755" s="262"/>
      <c r="AC755" s="262"/>
      <c r="AD755" s="262"/>
      <c r="AE755" s="262"/>
      <c r="AF755" s="262"/>
      <c r="AG755" s="264"/>
      <c r="AH755" s="264"/>
      <c r="AI755" s="264"/>
      <c r="AJ755" s="264"/>
      <c r="AK755" s="264"/>
      <c r="AL755" s="264"/>
      <c r="AM755" s="264"/>
      <c r="AN755" s="264"/>
    </row>
    <row r="756" ht="15.75" customHeight="1">
      <c r="A756" s="262"/>
      <c r="B756" s="338">
        <f>IFERROR(__xludf.DUMMYFUNCTION("""COMPUTED_VALUE"""),1237.0)</f>
        <v>1237</v>
      </c>
      <c r="C756" s="354"/>
      <c r="D756" s="340" t="str">
        <f>IFERROR(__xludf.DUMMYFUNCTION("""COMPUTED_VALUE"""),"")</f>
        <v/>
      </c>
      <c r="E756" s="341">
        <f>IFERROR(__xludf.DUMMYFUNCTION("""COMPUTED_VALUE"""),0.0)</f>
        <v>0</v>
      </c>
      <c r="F756" s="352"/>
      <c r="G756" s="343"/>
      <c r="H756" s="344">
        <f>IFERROR(__xludf.DUMMYFUNCTION("""COMPUTED_VALUE"""),0.0)</f>
        <v>0</v>
      </c>
      <c r="I756" s="353"/>
      <c r="J756" s="353"/>
      <c r="K756" s="346">
        <f>IFERROR(__xludf.DUMMYFUNCTION("""COMPUTED_VALUE"""),0.0)</f>
        <v>0</v>
      </c>
      <c r="L756" s="347">
        <f>IFERROR(__xludf.DUMMYFUNCTION("""COMPUTED_VALUE"""),0.0)</f>
        <v>0</v>
      </c>
      <c r="M756" s="348">
        <f>IFERROR(__xludf.DUMMYFUNCTION("""COMPUTED_VALUE"""),0.0)</f>
        <v>0</v>
      </c>
      <c r="N756" s="348">
        <f>IFERROR(__xludf.DUMMYFUNCTION("""COMPUTED_VALUE"""),0.0)</f>
        <v>0</v>
      </c>
      <c r="O756" s="348">
        <f>IFERROR(__xludf.DUMMYFUNCTION("""COMPUTED_VALUE"""),0.0)</f>
        <v>0</v>
      </c>
      <c r="P756" s="348">
        <f>IFERROR(__xludf.DUMMYFUNCTION("""COMPUTED_VALUE"""),0.0)</f>
        <v>0</v>
      </c>
      <c r="Q756" s="348">
        <f>IFERROR(__xludf.DUMMYFUNCTION("""COMPUTED_VALUE"""),0.0)</f>
        <v>0</v>
      </c>
      <c r="R756" s="355" t="str">
        <f>IFERROR(__xludf.DUMMYFUNCTION("""COMPUTED_VALUE""")," Cash Proyek ")</f>
        <v>Cash Proyek</v>
      </c>
      <c r="S756" s="350"/>
      <c r="T756" s="262"/>
      <c r="U756" s="351"/>
      <c r="V756" s="262"/>
      <c r="W756" s="262"/>
      <c r="X756" s="262"/>
      <c r="Y756" s="262"/>
      <c r="Z756" s="262"/>
      <c r="AA756" s="262"/>
      <c r="AB756" s="262"/>
      <c r="AC756" s="262"/>
      <c r="AD756" s="262"/>
      <c r="AE756" s="262"/>
      <c r="AF756" s="262"/>
      <c r="AG756" s="264"/>
      <c r="AH756" s="264"/>
      <c r="AI756" s="264"/>
      <c r="AJ756" s="264"/>
      <c r="AK756" s="264"/>
      <c r="AL756" s="264"/>
      <c r="AM756" s="264"/>
      <c r="AN756" s="264"/>
    </row>
    <row r="757" ht="15.75" customHeight="1">
      <c r="A757" s="262"/>
      <c r="B757" s="338">
        <f>IFERROR(__xludf.DUMMYFUNCTION("""COMPUTED_VALUE"""),1238.0)</f>
        <v>1238</v>
      </c>
      <c r="C757" s="354"/>
      <c r="D757" s="340" t="str">
        <f>IFERROR(__xludf.DUMMYFUNCTION("""COMPUTED_VALUE"""),"")</f>
        <v/>
      </c>
      <c r="E757" s="341">
        <f>IFERROR(__xludf.DUMMYFUNCTION("""COMPUTED_VALUE"""),0.0)</f>
        <v>0</v>
      </c>
      <c r="F757" s="352"/>
      <c r="G757" s="343"/>
      <c r="H757" s="344">
        <f>IFERROR(__xludf.DUMMYFUNCTION("""COMPUTED_VALUE"""),0.0)</f>
        <v>0</v>
      </c>
      <c r="I757" s="353"/>
      <c r="J757" s="353"/>
      <c r="K757" s="346">
        <f>IFERROR(__xludf.DUMMYFUNCTION("""COMPUTED_VALUE"""),0.0)</f>
        <v>0</v>
      </c>
      <c r="L757" s="347">
        <f>IFERROR(__xludf.DUMMYFUNCTION("""COMPUTED_VALUE"""),0.0)</f>
        <v>0</v>
      </c>
      <c r="M757" s="348">
        <f>IFERROR(__xludf.DUMMYFUNCTION("""COMPUTED_VALUE"""),0.0)</f>
        <v>0</v>
      </c>
      <c r="N757" s="348">
        <f>IFERROR(__xludf.DUMMYFUNCTION("""COMPUTED_VALUE"""),0.0)</f>
        <v>0</v>
      </c>
      <c r="O757" s="348">
        <f>IFERROR(__xludf.DUMMYFUNCTION("""COMPUTED_VALUE"""),0.0)</f>
        <v>0</v>
      </c>
      <c r="P757" s="348">
        <f>IFERROR(__xludf.DUMMYFUNCTION("""COMPUTED_VALUE"""),0.0)</f>
        <v>0</v>
      </c>
      <c r="Q757" s="348">
        <f>IFERROR(__xludf.DUMMYFUNCTION("""COMPUTED_VALUE"""),0.0)</f>
        <v>0</v>
      </c>
      <c r="R757" s="355" t="str">
        <f>IFERROR(__xludf.DUMMYFUNCTION("""COMPUTED_VALUE""")," Cash Proyek ")</f>
        <v>Cash Proyek</v>
      </c>
      <c r="S757" s="350"/>
      <c r="T757" s="262"/>
      <c r="U757" s="351"/>
      <c r="V757" s="262"/>
      <c r="W757" s="262"/>
      <c r="X757" s="262"/>
      <c r="Y757" s="262"/>
      <c r="Z757" s="262"/>
      <c r="AA757" s="262"/>
      <c r="AB757" s="262"/>
      <c r="AC757" s="262"/>
      <c r="AD757" s="262"/>
      <c r="AE757" s="262"/>
      <c r="AF757" s="262"/>
      <c r="AG757" s="264"/>
      <c r="AH757" s="264"/>
      <c r="AI757" s="264"/>
      <c r="AJ757" s="264"/>
      <c r="AK757" s="264"/>
      <c r="AL757" s="264"/>
      <c r="AM757" s="264"/>
      <c r="AN757" s="264"/>
    </row>
    <row r="758" ht="15.75" customHeight="1">
      <c r="A758" s="262"/>
      <c r="B758" s="338">
        <f>IFERROR(__xludf.DUMMYFUNCTION("""COMPUTED_VALUE"""),1239.0)</f>
        <v>1239</v>
      </c>
      <c r="C758" s="354"/>
      <c r="D758" s="340" t="str">
        <f>IFERROR(__xludf.DUMMYFUNCTION("""COMPUTED_VALUE"""),"")</f>
        <v/>
      </c>
      <c r="E758" s="341">
        <f>IFERROR(__xludf.DUMMYFUNCTION("""COMPUTED_VALUE"""),0.0)</f>
        <v>0</v>
      </c>
      <c r="F758" s="352"/>
      <c r="G758" s="343"/>
      <c r="H758" s="344">
        <f>IFERROR(__xludf.DUMMYFUNCTION("""COMPUTED_VALUE"""),0.0)</f>
        <v>0</v>
      </c>
      <c r="I758" s="353"/>
      <c r="J758" s="353"/>
      <c r="K758" s="346">
        <f>IFERROR(__xludf.DUMMYFUNCTION("""COMPUTED_VALUE"""),0.0)</f>
        <v>0</v>
      </c>
      <c r="L758" s="347">
        <f>IFERROR(__xludf.DUMMYFUNCTION("""COMPUTED_VALUE"""),0.0)</f>
        <v>0</v>
      </c>
      <c r="M758" s="348">
        <f>IFERROR(__xludf.DUMMYFUNCTION("""COMPUTED_VALUE"""),0.0)</f>
        <v>0</v>
      </c>
      <c r="N758" s="348">
        <f>IFERROR(__xludf.DUMMYFUNCTION("""COMPUTED_VALUE"""),0.0)</f>
        <v>0</v>
      </c>
      <c r="O758" s="348">
        <f>IFERROR(__xludf.DUMMYFUNCTION("""COMPUTED_VALUE"""),0.0)</f>
        <v>0</v>
      </c>
      <c r="P758" s="348">
        <f>IFERROR(__xludf.DUMMYFUNCTION("""COMPUTED_VALUE"""),0.0)</f>
        <v>0</v>
      </c>
      <c r="Q758" s="348">
        <f>IFERROR(__xludf.DUMMYFUNCTION("""COMPUTED_VALUE"""),0.0)</f>
        <v>0</v>
      </c>
      <c r="R758" s="355" t="str">
        <f>IFERROR(__xludf.DUMMYFUNCTION("""COMPUTED_VALUE""")," Cash Proyek ")</f>
        <v>Cash Proyek</v>
      </c>
      <c r="S758" s="350"/>
      <c r="T758" s="262"/>
      <c r="U758" s="351"/>
      <c r="V758" s="262"/>
      <c r="W758" s="262"/>
      <c r="X758" s="262"/>
      <c r="Y758" s="262"/>
      <c r="Z758" s="262"/>
      <c r="AA758" s="262"/>
      <c r="AB758" s="262"/>
      <c r="AC758" s="262"/>
      <c r="AD758" s="262"/>
      <c r="AE758" s="262"/>
      <c r="AF758" s="262"/>
      <c r="AG758" s="264"/>
      <c r="AH758" s="264"/>
      <c r="AI758" s="264"/>
      <c r="AJ758" s="264"/>
      <c r="AK758" s="264"/>
      <c r="AL758" s="264"/>
      <c r="AM758" s="264"/>
      <c r="AN758" s="264"/>
    </row>
    <row r="759" ht="15.75" customHeight="1">
      <c r="A759" s="262"/>
      <c r="B759" s="338">
        <f>IFERROR(__xludf.DUMMYFUNCTION("""COMPUTED_VALUE"""),1240.0)</f>
        <v>1240</v>
      </c>
      <c r="C759" s="354"/>
      <c r="D759" s="340" t="str">
        <f>IFERROR(__xludf.DUMMYFUNCTION("""COMPUTED_VALUE"""),"")</f>
        <v/>
      </c>
      <c r="E759" s="341">
        <f>IFERROR(__xludf.DUMMYFUNCTION("""COMPUTED_VALUE"""),0.0)</f>
        <v>0</v>
      </c>
      <c r="F759" s="352"/>
      <c r="G759" s="343"/>
      <c r="H759" s="344">
        <f>IFERROR(__xludf.DUMMYFUNCTION("""COMPUTED_VALUE"""),0.0)</f>
        <v>0</v>
      </c>
      <c r="I759" s="353"/>
      <c r="J759" s="353"/>
      <c r="K759" s="346">
        <f>IFERROR(__xludf.DUMMYFUNCTION("""COMPUTED_VALUE"""),0.0)</f>
        <v>0</v>
      </c>
      <c r="L759" s="347">
        <f>IFERROR(__xludf.DUMMYFUNCTION("""COMPUTED_VALUE"""),0.0)</f>
        <v>0</v>
      </c>
      <c r="M759" s="348">
        <f>IFERROR(__xludf.DUMMYFUNCTION("""COMPUTED_VALUE"""),0.0)</f>
        <v>0</v>
      </c>
      <c r="N759" s="348">
        <f>IFERROR(__xludf.DUMMYFUNCTION("""COMPUTED_VALUE"""),0.0)</f>
        <v>0</v>
      </c>
      <c r="O759" s="348">
        <f>IFERROR(__xludf.DUMMYFUNCTION("""COMPUTED_VALUE"""),0.0)</f>
        <v>0</v>
      </c>
      <c r="P759" s="348">
        <f>IFERROR(__xludf.DUMMYFUNCTION("""COMPUTED_VALUE"""),0.0)</f>
        <v>0</v>
      </c>
      <c r="Q759" s="348">
        <f>IFERROR(__xludf.DUMMYFUNCTION("""COMPUTED_VALUE"""),0.0)</f>
        <v>0</v>
      </c>
      <c r="R759" s="355" t="str">
        <f>IFERROR(__xludf.DUMMYFUNCTION("""COMPUTED_VALUE""")," Cash Proyek ")</f>
        <v>Cash Proyek</v>
      </c>
      <c r="S759" s="350"/>
      <c r="T759" s="262"/>
      <c r="U759" s="351"/>
      <c r="V759" s="262"/>
      <c r="W759" s="262"/>
      <c r="X759" s="262"/>
      <c r="Y759" s="262"/>
      <c r="Z759" s="262"/>
      <c r="AA759" s="262"/>
      <c r="AB759" s="262"/>
      <c r="AC759" s="262"/>
      <c r="AD759" s="262"/>
      <c r="AE759" s="262"/>
      <c r="AF759" s="262"/>
      <c r="AG759" s="264"/>
      <c r="AH759" s="264"/>
      <c r="AI759" s="264"/>
      <c r="AJ759" s="264"/>
      <c r="AK759" s="264"/>
      <c r="AL759" s="264"/>
      <c r="AM759" s="264"/>
      <c r="AN759" s="264"/>
    </row>
    <row r="760" ht="15.75" customHeight="1">
      <c r="A760" s="262"/>
      <c r="B760" s="338">
        <f>IFERROR(__xludf.DUMMYFUNCTION("""COMPUTED_VALUE"""),1241.0)</f>
        <v>1241</v>
      </c>
      <c r="C760" s="354"/>
      <c r="D760" s="340" t="str">
        <f>IFERROR(__xludf.DUMMYFUNCTION("""COMPUTED_VALUE"""),"")</f>
        <v/>
      </c>
      <c r="E760" s="341">
        <f>IFERROR(__xludf.DUMMYFUNCTION("""COMPUTED_VALUE"""),0.0)</f>
        <v>0</v>
      </c>
      <c r="F760" s="352"/>
      <c r="G760" s="343"/>
      <c r="H760" s="344">
        <f>IFERROR(__xludf.DUMMYFUNCTION("""COMPUTED_VALUE"""),0.0)</f>
        <v>0</v>
      </c>
      <c r="I760" s="353"/>
      <c r="J760" s="353"/>
      <c r="K760" s="346">
        <f>IFERROR(__xludf.DUMMYFUNCTION("""COMPUTED_VALUE"""),0.0)</f>
        <v>0</v>
      </c>
      <c r="L760" s="347">
        <f>IFERROR(__xludf.DUMMYFUNCTION("""COMPUTED_VALUE"""),0.0)</f>
        <v>0</v>
      </c>
      <c r="M760" s="348">
        <f>IFERROR(__xludf.DUMMYFUNCTION("""COMPUTED_VALUE"""),0.0)</f>
        <v>0</v>
      </c>
      <c r="N760" s="348">
        <f>IFERROR(__xludf.DUMMYFUNCTION("""COMPUTED_VALUE"""),0.0)</f>
        <v>0</v>
      </c>
      <c r="O760" s="348">
        <f>IFERROR(__xludf.DUMMYFUNCTION("""COMPUTED_VALUE"""),0.0)</f>
        <v>0</v>
      </c>
      <c r="P760" s="348">
        <f>IFERROR(__xludf.DUMMYFUNCTION("""COMPUTED_VALUE"""),0.0)</f>
        <v>0</v>
      </c>
      <c r="Q760" s="348">
        <f>IFERROR(__xludf.DUMMYFUNCTION("""COMPUTED_VALUE"""),0.0)</f>
        <v>0</v>
      </c>
      <c r="R760" s="355" t="str">
        <f>IFERROR(__xludf.DUMMYFUNCTION("""COMPUTED_VALUE""")," Cash Proyek ")</f>
        <v>Cash Proyek</v>
      </c>
      <c r="S760" s="350"/>
      <c r="T760" s="262"/>
      <c r="U760" s="351"/>
      <c r="V760" s="262"/>
      <c r="W760" s="262"/>
      <c r="X760" s="262"/>
      <c r="Y760" s="262"/>
      <c r="Z760" s="262"/>
      <c r="AA760" s="262"/>
      <c r="AB760" s="262"/>
      <c r="AC760" s="262"/>
      <c r="AD760" s="262"/>
      <c r="AE760" s="262"/>
      <c r="AF760" s="262"/>
      <c r="AG760" s="264"/>
      <c r="AH760" s="264"/>
      <c r="AI760" s="264"/>
      <c r="AJ760" s="264"/>
      <c r="AK760" s="264"/>
      <c r="AL760" s="264"/>
      <c r="AM760" s="264"/>
      <c r="AN760" s="264"/>
    </row>
    <row r="761" ht="15.75" customHeight="1">
      <c r="A761" s="262"/>
      <c r="B761" s="338">
        <f>IFERROR(__xludf.DUMMYFUNCTION("""COMPUTED_VALUE"""),1242.0)</f>
        <v>1242</v>
      </c>
      <c r="C761" s="354"/>
      <c r="D761" s="340" t="str">
        <f>IFERROR(__xludf.DUMMYFUNCTION("""COMPUTED_VALUE"""),"")</f>
        <v/>
      </c>
      <c r="E761" s="341">
        <f>IFERROR(__xludf.DUMMYFUNCTION("""COMPUTED_VALUE"""),0.0)</f>
        <v>0</v>
      </c>
      <c r="F761" s="352"/>
      <c r="G761" s="343"/>
      <c r="H761" s="344">
        <f>IFERROR(__xludf.DUMMYFUNCTION("""COMPUTED_VALUE"""),0.0)</f>
        <v>0</v>
      </c>
      <c r="I761" s="353"/>
      <c r="J761" s="353"/>
      <c r="K761" s="346">
        <f>IFERROR(__xludf.DUMMYFUNCTION("""COMPUTED_VALUE"""),0.0)</f>
        <v>0</v>
      </c>
      <c r="L761" s="347">
        <f>IFERROR(__xludf.DUMMYFUNCTION("""COMPUTED_VALUE"""),0.0)</f>
        <v>0</v>
      </c>
      <c r="M761" s="348">
        <f>IFERROR(__xludf.DUMMYFUNCTION("""COMPUTED_VALUE"""),0.0)</f>
        <v>0</v>
      </c>
      <c r="N761" s="348">
        <f>IFERROR(__xludf.DUMMYFUNCTION("""COMPUTED_VALUE"""),0.0)</f>
        <v>0</v>
      </c>
      <c r="O761" s="348">
        <f>IFERROR(__xludf.DUMMYFUNCTION("""COMPUTED_VALUE"""),0.0)</f>
        <v>0</v>
      </c>
      <c r="P761" s="348">
        <f>IFERROR(__xludf.DUMMYFUNCTION("""COMPUTED_VALUE"""),0.0)</f>
        <v>0</v>
      </c>
      <c r="Q761" s="348">
        <f>IFERROR(__xludf.DUMMYFUNCTION("""COMPUTED_VALUE"""),0.0)</f>
        <v>0</v>
      </c>
      <c r="R761" s="355" t="str">
        <f>IFERROR(__xludf.DUMMYFUNCTION("""COMPUTED_VALUE""")," Cash Proyek ")</f>
        <v>Cash Proyek</v>
      </c>
      <c r="S761" s="350"/>
      <c r="T761" s="262"/>
      <c r="U761" s="351"/>
      <c r="V761" s="262"/>
      <c r="W761" s="262"/>
      <c r="X761" s="262"/>
      <c r="Y761" s="262"/>
      <c r="Z761" s="262"/>
      <c r="AA761" s="262"/>
      <c r="AB761" s="262"/>
      <c r="AC761" s="262"/>
      <c r="AD761" s="262"/>
      <c r="AE761" s="262"/>
      <c r="AF761" s="262"/>
      <c r="AG761" s="264"/>
      <c r="AH761" s="264"/>
      <c r="AI761" s="264"/>
      <c r="AJ761" s="264"/>
      <c r="AK761" s="264"/>
      <c r="AL761" s="264"/>
      <c r="AM761" s="264"/>
      <c r="AN761" s="264"/>
    </row>
    <row r="762" ht="15.75" customHeight="1">
      <c r="A762" s="262"/>
      <c r="B762" s="338">
        <f>IFERROR(__xludf.DUMMYFUNCTION("""COMPUTED_VALUE"""),1243.0)</f>
        <v>1243</v>
      </c>
      <c r="C762" s="354"/>
      <c r="D762" s="340" t="str">
        <f>IFERROR(__xludf.DUMMYFUNCTION("""COMPUTED_VALUE"""),"")</f>
        <v/>
      </c>
      <c r="E762" s="341">
        <f>IFERROR(__xludf.DUMMYFUNCTION("""COMPUTED_VALUE"""),0.0)</f>
        <v>0</v>
      </c>
      <c r="F762" s="352"/>
      <c r="G762" s="343"/>
      <c r="H762" s="344">
        <f>IFERROR(__xludf.DUMMYFUNCTION("""COMPUTED_VALUE"""),0.0)</f>
        <v>0</v>
      </c>
      <c r="I762" s="353"/>
      <c r="J762" s="353"/>
      <c r="K762" s="346">
        <f>IFERROR(__xludf.DUMMYFUNCTION("""COMPUTED_VALUE"""),0.0)</f>
        <v>0</v>
      </c>
      <c r="L762" s="347">
        <f>IFERROR(__xludf.DUMMYFUNCTION("""COMPUTED_VALUE"""),0.0)</f>
        <v>0</v>
      </c>
      <c r="M762" s="348">
        <f>IFERROR(__xludf.DUMMYFUNCTION("""COMPUTED_VALUE"""),0.0)</f>
        <v>0</v>
      </c>
      <c r="N762" s="348">
        <f>IFERROR(__xludf.DUMMYFUNCTION("""COMPUTED_VALUE"""),0.0)</f>
        <v>0</v>
      </c>
      <c r="O762" s="348">
        <f>IFERROR(__xludf.DUMMYFUNCTION("""COMPUTED_VALUE"""),0.0)</f>
        <v>0</v>
      </c>
      <c r="P762" s="348">
        <f>IFERROR(__xludf.DUMMYFUNCTION("""COMPUTED_VALUE"""),0.0)</f>
        <v>0</v>
      </c>
      <c r="Q762" s="348">
        <f>IFERROR(__xludf.DUMMYFUNCTION("""COMPUTED_VALUE"""),0.0)</f>
        <v>0</v>
      </c>
      <c r="R762" s="355" t="str">
        <f>IFERROR(__xludf.DUMMYFUNCTION("""COMPUTED_VALUE""")," Cash Proyek ")</f>
        <v>Cash Proyek</v>
      </c>
      <c r="S762" s="350"/>
      <c r="T762" s="262"/>
      <c r="U762" s="351"/>
      <c r="V762" s="262"/>
      <c r="W762" s="262"/>
      <c r="X762" s="262"/>
      <c r="Y762" s="262"/>
      <c r="Z762" s="262"/>
      <c r="AA762" s="262"/>
      <c r="AB762" s="262"/>
      <c r="AC762" s="262"/>
      <c r="AD762" s="262"/>
      <c r="AE762" s="262"/>
      <c r="AF762" s="262"/>
      <c r="AG762" s="264"/>
      <c r="AH762" s="264"/>
      <c r="AI762" s="264"/>
      <c r="AJ762" s="264"/>
      <c r="AK762" s="264"/>
      <c r="AL762" s="264"/>
      <c r="AM762" s="264"/>
      <c r="AN762" s="264"/>
    </row>
    <row r="763" ht="15.75" customHeight="1">
      <c r="A763" s="262"/>
      <c r="B763" s="338">
        <f>IFERROR(__xludf.DUMMYFUNCTION("""COMPUTED_VALUE"""),1244.0)</f>
        <v>1244</v>
      </c>
      <c r="C763" s="354"/>
      <c r="D763" s="340" t="str">
        <f>IFERROR(__xludf.DUMMYFUNCTION("""COMPUTED_VALUE"""),"")</f>
        <v/>
      </c>
      <c r="E763" s="341">
        <f>IFERROR(__xludf.DUMMYFUNCTION("""COMPUTED_VALUE"""),0.0)</f>
        <v>0</v>
      </c>
      <c r="F763" s="352"/>
      <c r="G763" s="343"/>
      <c r="H763" s="344">
        <f>IFERROR(__xludf.DUMMYFUNCTION("""COMPUTED_VALUE"""),0.0)</f>
        <v>0</v>
      </c>
      <c r="I763" s="353"/>
      <c r="J763" s="353"/>
      <c r="K763" s="346">
        <f>IFERROR(__xludf.DUMMYFUNCTION("""COMPUTED_VALUE"""),0.0)</f>
        <v>0</v>
      </c>
      <c r="L763" s="347">
        <f>IFERROR(__xludf.DUMMYFUNCTION("""COMPUTED_VALUE"""),0.0)</f>
        <v>0</v>
      </c>
      <c r="M763" s="348">
        <f>IFERROR(__xludf.DUMMYFUNCTION("""COMPUTED_VALUE"""),0.0)</f>
        <v>0</v>
      </c>
      <c r="N763" s="348">
        <f>IFERROR(__xludf.DUMMYFUNCTION("""COMPUTED_VALUE"""),0.0)</f>
        <v>0</v>
      </c>
      <c r="O763" s="348">
        <f>IFERROR(__xludf.DUMMYFUNCTION("""COMPUTED_VALUE"""),0.0)</f>
        <v>0</v>
      </c>
      <c r="P763" s="348">
        <f>IFERROR(__xludf.DUMMYFUNCTION("""COMPUTED_VALUE"""),0.0)</f>
        <v>0</v>
      </c>
      <c r="Q763" s="348">
        <f>IFERROR(__xludf.DUMMYFUNCTION("""COMPUTED_VALUE"""),0.0)</f>
        <v>0</v>
      </c>
      <c r="R763" s="355" t="str">
        <f>IFERROR(__xludf.DUMMYFUNCTION("""COMPUTED_VALUE""")," Cash Proyek ")</f>
        <v>Cash Proyek</v>
      </c>
      <c r="S763" s="350"/>
      <c r="T763" s="262"/>
      <c r="U763" s="351"/>
      <c r="V763" s="262"/>
      <c r="W763" s="262"/>
      <c r="X763" s="262"/>
      <c r="Y763" s="262"/>
      <c r="Z763" s="262"/>
      <c r="AA763" s="262"/>
      <c r="AB763" s="262"/>
      <c r="AC763" s="262"/>
      <c r="AD763" s="262"/>
      <c r="AE763" s="262"/>
      <c r="AF763" s="262"/>
      <c r="AG763" s="264"/>
      <c r="AH763" s="264"/>
      <c r="AI763" s="264"/>
      <c r="AJ763" s="264"/>
      <c r="AK763" s="264"/>
      <c r="AL763" s="264"/>
      <c r="AM763" s="264"/>
      <c r="AN763" s="264"/>
    </row>
    <row r="764" ht="15.75" customHeight="1">
      <c r="A764" s="262"/>
      <c r="B764" s="338">
        <f>IFERROR(__xludf.DUMMYFUNCTION("""COMPUTED_VALUE"""),1245.0)</f>
        <v>1245</v>
      </c>
      <c r="C764" s="354"/>
      <c r="D764" s="340" t="str">
        <f>IFERROR(__xludf.DUMMYFUNCTION("""COMPUTED_VALUE"""),"")</f>
        <v/>
      </c>
      <c r="E764" s="341">
        <f>IFERROR(__xludf.DUMMYFUNCTION("""COMPUTED_VALUE"""),0.0)</f>
        <v>0</v>
      </c>
      <c r="F764" s="352"/>
      <c r="G764" s="343"/>
      <c r="H764" s="344">
        <f>IFERROR(__xludf.DUMMYFUNCTION("""COMPUTED_VALUE"""),0.0)</f>
        <v>0</v>
      </c>
      <c r="I764" s="353"/>
      <c r="J764" s="353"/>
      <c r="K764" s="346">
        <f>IFERROR(__xludf.DUMMYFUNCTION("""COMPUTED_VALUE"""),0.0)</f>
        <v>0</v>
      </c>
      <c r="L764" s="347">
        <f>IFERROR(__xludf.DUMMYFUNCTION("""COMPUTED_VALUE"""),0.0)</f>
        <v>0</v>
      </c>
      <c r="M764" s="348">
        <f>IFERROR(__xludf.DUMMYFUNCTION("""COMPUTED_VALUE"""),0.0)</f>
        <v>0</v>
      </c>
      <c r="N764" s="348">
        <f>IFERROR(__xludf.DUMMYFUNCTION("""COMPUTED_VALUE"""),0.0)</f>
        <v>0</v>
      </c>
      <c r="O764" s="348">
        <f>IFERROR(__xludf.DUMMYFUNCTION("""COMPUTED_VALUE"""),0.0)</f>
        <v>0</v>
      </c>
      <c r="P764" s="348">
        <f>IFERROR(__xludf.DUMMYFUNCTION("""COMPUTED_VALUE"""),0.0)</f>
        <v>0</v>
      </c>
      <c r="Q764" s="348">
        <f>IFERROR(__xludf.DUMMYFUNCTION("""COMPUTED_VALUE"""),0.0)</f>
        <v>0</v>
      </c>
      <c r="R764" s="355" t="str">
        <f>IFERROR(__xludf.DUMMYFUNCTION("""COMPUTED_VALUE""")," Cash Proyek ")</f>
        <v>Cash Proyek</v>
      </c>
      <c r="S764" s="350"/>
      <c r="T764" s="262"/>
      <c r="U764" s="351"/>
      <c r="V764" s="262"/>
      <c r="W764" s="262"/>
      <c r="X764" s="262"/>
      <c r="Y764" s="262"/>
      <c r="Z764" s="262"/>
      <c r="AA764" s="262"/>
      <c r="AB764" s="262"/>
      <c r="AC764" s="262"/>
      <c r="AD764" s="262"/>
      <c r="AE764" s="262"/>
      <c r="AF764" s="262"/>
      <c r="AG764" s="264"/>
      <c r="AH764" s="264"/>
      <c r="AI764" s="264"/>
      <c r="AJ764" s="264"/>
      <c r="AK764" s="264"/>
      <c r="AL764" s="264"/>
      <c r="AM764" s="264"/>
      <c r="AN764" s="264"/>
    </row>
    <row r="765" ht="15.75" customHeight="1">
      <c r="A765" s="262"/>
      <c r="B765" s="338">
        <f>IFERROR(__xludf.DUMMYFUNCTION("""COMPUTED_VALUE"""),1246.0)</f>
        <v>1246</v>
      </c>
      <c r="C765" s="354"/>
      <c r="D765" s="340" t="str">
        <f>IFERROR(__xludf.DUMMYFUNCTION("""COMPUTED_VALUE"""),"")</f>
        <v/>
      </c>
      <c r="E765" s="341">
        <f>IFERROR(__xludf.DUMMYFUNCTION("""COMPUTED_VALUE"""),0.0)</f>
        <v>0</v>
      </c>
      <c r="F765" s="352"/>
      <c r="G765" s="343"/>
      <c r="H765" s="344">
        <f>IFERROR(__xludf.DUMMYFUNCTION("""COMPUTED_VALUE"""),0.0)</f>
        <v>0</v>
      </c>
      <c r="I765" s="353"/>
      <c r="J765" s="353"/>
      <c r="K765" s="346">
        <f>IFERROR(__xludf.DUMMYFUNCTION("""COMPUTED_VALUE"""),0.0)</f>
        <v>0</v>
      </c>
      <c r="L765" s="347">
        <f>IFERROR(__xludf.DUMMYFUNCTION("""COMPUTED_VALUE"""),0.0)</f>
        <v>0</v>
      </c>
      <c r="M765" s="348">
        <f>IFERROR(__xludf.DUMMYFUNCTION("""COMPUTED_VALUE"""),0.0)</f>
        <v>0</v>
      </c>
      <c r="N765" s="348">
        <f>IFERROR(__xludf.DUMMYFUNCTION("""COMPUTED_VALUE"""),0.0)</f>
        <v>0</v>
      </c>
      <c r="O765" s="348">
        <f>IFERROR(__xludf.DUMMYFUNCTION("""COMPUTED_VALUE"""),0.0)</f>
        <v>0</v>
      </c>
      <c r="P765" s="348">
        <f>IFERROR(__xludf.DUMMYFUNCTION("""COMPUTED_VALUE"""),0.0)</f>
        <v>0</v>
      </c>
      <c r="Q765" s="348">
        <f>IFERROR(__xludf.DUMMYFUNCTION("""COMPUTED_VALUE"""),0.0)</f>
        <v>0</v>
      </c>
      <c r="R765" s="355" t="str">
        <f>IFERROR(__xludf.DUMMYFUNCTION("""COMPUTED_VALUE""")," Cash Proyek ")</f>
        <v>Cash Proyek</v>
      </c>
      <c r="S765" s="350"/>
      <c r="T765" s="262"/>
      <c r="U765" s="351"/>
      <c r="V765" s="262"/>
      <c r="W765" s="262"/>
      <c r="X765" s="262"/>
      <c r="Y765" s="262"/>
      <c r="Z765" s="262"/>
      <c r="AA765" s="262"/>
      <c r="AB765" s="262"/>
      <c r="AC765" s="262"/>
      <c r="AD765" s="262"/>
      <c r="AE765" s="262"/>
      <c r="AF765" s="262"/>
      <c r="AG765" s="264"/>
      <c r="AH765" s="264"/>
      <c r="AI765" s="264"/>
      <c r="AJ765" s="264"/>
      <c r="AK765" s="264"/>
      <c r="AL765" s="264"/>
      <c r="AM765" s="264"/>
      <c r="AN765" s="264"/>
    </row>
    <row r="766" ht="15.75" customHeight="1">
      <c r="A766" s="262"/>
      <c r="B766" s="338">
        <f>IFERROR(__xludf.DUMMYFUNCTION("""COMPUTED_VALUE"""),1247.0)</f>
        <v>1247</v>
      </c>
      <c r="C766" s="354"/>
      <c r="D766" s="340" t="str">
        <f>IFERROR(__xludf.DUMMYFUNCTION("""COMPUTED_VALUE"""),"")</f>
        <v/>
      </c>
      <c r="E766" s="341">
        <f>IFERROR(__xludf.DUMMYFUNCTION("""COMPUTED_VALUE"""),0.0)</f>
        <v>0</v>
      </c>
      <c r="F766" s="352"/>
      <c r="G766" s="343"/>
      <c r="H766" s="344">
        <f>IFERROR(__xludf.DUMMYFUNCTION("""COMPUTED_VALUE"""),0.0)</f>
        <v>0</v>
      </c>
      <c r="I766" s="353"/>
      <c r="J766" s="353"/>
      <c r="K766" s="346">
        <f>IFERROR(__xludf.DUMMYFUNCTION("""COMPUTED_VALUE"""),0.0)</f>
        <v>0</v>
      </c>
      <c r="L766" s="347">
        <f>IFERROR(__xludf.DUMMYFUNCTION("""COMPUTED_VALUE"""),0.0)</f>
        <v>0</v>
      </c>
      <c r="M766" s="348">
        <f>IFERROR(__xludf.DUMMYFUNCTION("""COMPUTED_VALUE"""),0.0)</f>
        <v>0</v>
      </c>
      <c r="N766" s="348">
        <f>IFERROR(__xludf.DUMMYFUNCTION("""COMPUTED_VALUE"""),0.0)</f>
        <v>0</v>
      </c>
      <c r="O766" s="348">
        <f>IFERROR(__xludf.DUMMYFUNCTION("""COMPUTED_VALUE"""),0.0)</f>
        <v>0</v>
      </c>
      <c r="P766" s="348">
        <f>IFERROR(__xludf.DUMMYFUNCTION("""COMPUTED_VALUE"""),0.0)</f>
        <v>0</v>
      </c>
      <c r="Q766" s="348">
        <f>IFERROR(__xludf.DUMMYFUNCTION("""COMPUTED_VALUE"""),0.0)</f>
        <v>0</v>
      </c>
      <c r="R766" s="355" t="str">
        <f>IFERROR(__xludf.DUMMYFUNCTION("""COMPUTED_VALUE""")," Cash Proyek ")</f>
        <v>Cash Proyek</v>
      </c>
      <c r="S766" s="350"/>
      <c r="T766" s="262"/>
      <c r="U766" s="351"/>
      <c r="V766" s="262"/>
      <c r="W766" s="262"/>
      <c r="X766" s="262"/>
      <c r="Y766" s="262"/>
      <c r="Z766" s="262"/>
      <c r="AA766" s="262"/>
      <c r="AB766" s="262"/>
      <c r="AC766" s="262"/>
      <c r="AD766" s="262"/>
      <c r="AE766" s="262"/>
      <c r="AF766" s="262"/>
      <c r="AG766" s="264"/>
      <c r="AH766" s="264"/>
      <c r="AI766" s="264"/>
      <c r="AJ766" s="264"/>
      <c r="AK766" s="264"/>
      <c r="AL766" s="264"/>
      <c r="AM766" s="264"/>
      <c r="AN766" s="264"/>
    </row>
    <row r="767" ht="15.75" customHeight="1">
      <c r="A767" s="262"/>
      <c r="B767" s="338">
        <f>IFERROR(__xludf.DUMMYFUNCTION("""COMPUTED_VALUE"""),1248.0)</f>
        <v>1248</v>
      </c>
      <c r="C767" s="354"/>
      <c r="D767" s="340" t="str">
        <f>IFERROR(__xludf.DUMMYFUNCTION("""COMPUTED_VALUE"""),"")</f>
        <v/>
      </c>
      <c r="E767" s="341">
        <f>IFERROR(__xludf.DUMMYFUNCTION("""COMPUTED_VALUE"""),0.0)</f>
        <v>0</v>
      </c>
      <c r="F767" s="352"/>
      <c r="G767" s="343"/>
      <c r="H767" s="344">
        <f>IFERROR(__xludf.DUMMYFUNCTION("""COMPUTED_VALUE"""),0.0)</f>
        <v>0</v>
      </c>
      <c r="I767" s="353"/>
      <c r="J767" s="353"/>
      <c r="K767" s="346">
        <f>IFERROR(__xludf.DUMMYFUNCTION("""COMPUTED_VALUE"""),0.0)</f>
        <v>0</v>
      </c>
      <c r="L767" s="347">
        <f>IFERROR(__xludf.DUMMYFUNCTION("""COMPUTED_VALUE"""),0.0)</f>
        <v>0</v>
      </c>
      <c r="M767" s="348">
        <f>IFERROR(__xludf.DUMMYFUNCTION("""COMPUTED_VALUE"""),0.0)</f>
        <v>0</v>
      </c>
      <c r="N767" s="348">
        <f>IFERROR(__xludf.DUMMYFUNCTION("""COMPUTED_VALUE"""),0.0)</f>
        <v>0</v>
      </c>
      <c r="O767" s="348">
        <f>IFERROR(__xludf.DUMMYFUNCTION("""COMPUTED_VALUE"""),0.0)</f>
        <v>0</v>
      </c>
      <c r="P767" s="348">
        <f>IFERROR(__xludf.DUMMYFUNCTION("""COMPUTED_VALUE"""),0.0)</f>
        <v>0</v>
      </c>
      <c r="Q767" s="348">
        <f>IFERROR(__xludf.DUMMYFUNCTION("""COMPUTED_VALUE"""),0.0)</f>
        <v>0</v>
      </c>
      <c r="R767" s="355" t="str">
        <f>IFERROR(__xludf.DUMMYFUNCTION("""COMPUTED_VALUE""")," Cash Proyek ")</f>
        <v>Cash Proyek</v>
      </c>
      <c r="S767" s="350"/>
      <c r="T767" s="262"/>
      <c r="U767" s="351"/>
      <c r="V767" s="262"/>
      <c r="W767" s="262"/>
      <c r="X767" s="262"/>
      <c r="Y767" s="262"/>
      <c r="Z767" s="262"/>
      <c r="AA767" s="262"/>
      <c r="AB767" s="262"/>
      <c r="AC767" s="262"/>
      <c r="AD767" s="262"/>
      <c r="AE767" s="262"/>
      <c r="AF767" s="262"/>
      <c r="AG767" s="264"/>
      <c r="AH767" s="264"/>
      <c r="AI767" s="264"/>
      <c r="AJ767" s="264"/>
      <c r="AK767" s="264"/>
      <c r="AL767" s="264"/>
      <c r="AM767" s="264"/>
      <c r="AN767" s="264"/>
    </row>
    <row r="768" ht="15.75" customHeight="1">
      <c r="A768" s="262"/>
      <c r="B768" s="338">
        <f>IFERROR(__xludf.DUMMYFUNCTION("""COMPUTED_VALUE"""),1249.0)</f>
        <v>1249</v>
      </c>
      <c r="C768" s="354"/>
      <c r="D768" s="340" t="str">
        <f>IFERROR(__xludf.DUMMYFUNCTION("""COMPUTED_VALUE"""),"")</f>
        <v/>
      </c>
      <c r="E768" s="341">
        <f>IFERROR(__xludf.DUMMYFUNCTION("""COMPUTED_VALUE"""),0.0)</f>
        <v>0</v>
      </c>
      <c r="F768" s="352"/>
      <c r="G768" s="343"/>
      <c r="H768" s="344">
        <f>IFERROR(__xludf.DUMMYFUNCTION("""COMPUTED_VALUE"""),0.0)</f>
        <v>0</v>
      </c>
      <c r="I768" s="353"/>
      <c r="J768" s="353"/>
      <c r="K768" s="346">
        <f>IFERROR(__xludf.DUMMYFUNCTION("""COMPUTED_VALUE"""),0.0)</f>
        <v>0</v>
      </c>
      <c r="L768" s="347">
        <f>IFERROR(__xludf.DUMMYFUNCTION("""COMPUTED_VALUE"""),0.0)</f>
        <v>0</v>
      </c>
      <c r="M768" s="348">
        <f>IFERROR(__xludf.DUMMYFUNCTION("""COMPUTED_VALUE"""),0.0)</f>
        <v>0</v>
      </c>
      <c r="N768" s="348">
        <f>IFERROR(__xludf.DUMMYFUNCTION("""COMPUTED_VALUE"""),0.0)</f>
        <v>0</v>
      </c>
      <c r="O768" s="348">
        <f>IFERROR(__xludf.DUMMYFUNCTION("""COMPUTED_VALUE"""),0.0)</f>
        <v>0</v>
      </c>
      <c r="P768" s="348">
        <f>IFERROR(__xludf.DUMMYFUNCTION("""COMPUTED_VALUE"""),0.0)</f>
        <v>0</v>
      </c>
      <c r="Q768" s="348">
        <f>IFERROR(__xludf.DUMMYFUNCTION("""COMPUTED_VALUE"""),0.0)</f>
        <v>0</v>
      </c>
      <c r="R768" s="355" t="str">
        <f>IFERROR(__xludf.DUMMYFUNCTION("""COMPUTED_VALUE""")," Cash Proyek ")</f>
        <v>Cash Proyek</v>
      </c>
      <c r="S768" s="350"/>
      <c r="T768" s="262"/>
      <c r="U768" s="351"/>
      <c r="V768" s="262"/>
      <c r="W768" s="262"/>
      <c r="X768" s="262"/>
      <c r="Y768" s="262"/>
      <c r="Z768" s="262"/>
      <c r="AA768" s="262"/>
      <c r="AB768" s="262"/>
      <c r="AC768" s="262"/>
      <c r="AD768" s="262"/>
      <c r="AE768" s="262"/>
      <c r="AF768" s="262"/>
      <c r="AG768" s="264"/>
      <c r="AH768" s="264"/>
      <c r="AI768" s="264"/>
      <c r="AJ768" s="264"/>
      <c r="AK768" s="264"/>
      <c r="AL768" s="264"/>
      <c r="AM768" s="264"/>
      <c r="AN768" s="264"/>
    </row>
    <row r="769" ht="15.75" customHeight="1">
      <c r="A769" s="262"/>
      <c r="B769" s="338">
        <f>IFERROR(__xludf.DUMMYFUNCTION("""COMPUTED_VALUE"""),1250.0)</f>
        <v>1250</v>
      </c>
      <c r="C769" s="354"/>
      <c r="D769" s="340" t="str">
        <f>IFERROR(__xludf.DUMMYFUNCTION("""COMPUTED_VALUE"""),"")</f>
        <v/>
      </c>
      <c r="E769" s="341">
        <f>IFERROR(__xludf.DUMMYFUNCTION("""COMPUTED_VALUE"""),0.0)</f>
        <v>0</v>
      </c>
      <c r="F769" s="352"/>
      <c r="G769" s="343"/>
      <c r="H769" s="344">
        <f>IFERROR(__xludf.DUMMYFUNCTION("""COMPUTED_VALUE"""),0.0)</f>
        <v>0</v>
      </c>
      <c r="I769" s="353"/>
      <c r="J769" s="353"/>
      <c r="K769" s="346">
        <f>IFERROR(__xludf.DUMMYFUNCTION("""COMPUTED_VALUE"""),0.0)</f>
        <v>0</v>
      </c>
      <c r="L769" s="347">
        <f>IFERROR(__xludf.DUMMYFUNCTION("""COMPUTED_VALUE"""),0.0)</f>
        <v>0</v>
      </c>
      <c r="M769" s="348">
        <f>IFERROR(__xludf.DUMMYFUNCTION("""COMPUTED_VALUE"""),0.0)</f>
        <v>0</v>
      </c>
      <c r="N769" s="348">
        <f>IFERROR(__xludf.DUMMYFUNCTION("""COMPUTED_VALUE"""),0.0)</f>
        <v>0</v>
      </c>
      <c r="O769" s="348">
        <f>IFERROR(__xludf.DUMMYFUNCTION("""COMPUTED_VALUE"""),0.0)</f>
        <v>0</v>
      </c>
      <c r="P769" s="348">
        <f>IFERROR(__xludf.DUMMYFUNCTION("""COMPUTED_VALUE"""),0.0)</f>
        <v>0</v>
      </c>
      <c r="Q769" s="348">
        <f>IFERROR(__xludf.DUMMYFUNCTION("""COMPUTED_VALUE"""),0.0)</f>
        <v>0</v>
      </c>
      <c r="R769" s="355" t="str">
        <f>IFERROR(__xludf.DUMMYFUNCTION("""COMPUTED_VALUE""")," Cash Proyek ")</f>
        <v>Cash Proyek</v>
      </c>
      <c r="S769" s="350"/>
      <c r="T769" s="262"/>
      <c r="U769" s="351"/>
      <c r="V769" s="262"/>
      <c r="W769" s="262"/>
      <c r="X769" s="262"/>
      <c r="Y769" s="262"/>
      <c r="Z769" s="262"/>
      <c r="AA769" s="262"/>
      <c r="AB769" s="262"/>
      <c r="AC769" s="262"/>
      <c r="AD769" s="262"/>
      <c r="AE769" s="262"/>
      <c r="AF769" s="262"/>
      <c r="AG769" s="264"/>
      <c r="AH769" s="264"/>
      <c r="AI769" s="264"/>
      <c r="AJ769" s="264"/>
      <c r="AK769" s="264"/>
      <c r="AL769" s="264"/>
      <c r="AM769" s="264"/>
      <c r="AN769" s="264"/>
    </row>
    <row r="770" ht="15.75" customHeight="1">
      <c r="A770" s="262"/>
      <c r="B770" s="338">
        <f>IFERROR(__xludf.DUMMYFUNCTION("""COMPUTED_VALUE"""),1251.0)</f>
        <v>1251</v>
      </c>
      <c r="C770" s="354"/>
      <c r="D770" s="340" t="str">
        <f>IFERROR(__xludf.DUMMYFUNCTION("""COMPUTED_VALUE"""),"")</f>
        <v/>
      </c>
      <c r="E770" s="341">
        <f>IFERROR(__xludf.DUMMYFUNCTION("""COMPUTED_VALUE"""),0.0)</f>
        <v>0</v>
      </c>
      <c r="F770" s="352"/>
      <c r="G770" s="343"/>
      <c r="H770" s="344">
        <f>IFERROR(__xludf.DUMMYFUNCTION("""COMPUTED_VALUE"""),0.0)</f>
        <v>0</v>
      </c>
      <c r="I770" s="353"/>
      <c r="J770" s="353"/>
      <c r="K770" s="346">
        <f>IFERROR(__xludf.DUMMYFUNCTION("""COMPUTED_VALUE"""),0.0)</f>
        <v>0</v>
      </c>
      <c r="L770" s="347">
        <f>IFERROR(__xludf.DUMMYFUNCTION("""COMPUTED_VALUE"""),0.0)</f>
        <v>0</v>
      </c>
      <c r="M770" s="348">
        <f>IFERROR(__xludf.DUMMYFUNCTION("""COMPUTED_VALUE"""),0.0)</f>
        <v>0</v>
      </c>
      <c r="N770" s="348">
        <f>IFERROR(__xludf.DUMMYFUNCTION("""COMPUTED_VALUE"""),0.0)</f>
        <v>0</v>
      </c>
      <c r="O770" s="348">
        <f>IFERROR(__xludf.DUMMYFUNCTION("""COMPUTED_VALUE"""),0.0)</f>
        <v>0</v>
      </c>
      <c r="P770" s="348">
        <f>IFERROR(__xludf.DUMMYFUNCTION("""COMPUTED_VALUE"""),0.0)</f>
        <v>0</v>
      </c>
      <c r="Q770" s="348">
        <f>IFERROR(__xludf.DUMMYFUNCTION("""COMPUTED_VALUE"""),0.0)</f>
        <v>0</v>
      </c>
      <c r="R770" s="355" t="str">
        <f>IFERROR(__xludf.DUMMYFUNCTION("""COMPUTED_VALUE""")," Cash Proyek ")</f>
        <v>Cash Proyek</v>
      </c>
      <c r="S770" s="350"/>
      <c r="T770" s="262"/>
      <c r="U770" s="351"/>
      <c r="V770" s="262"/>
      <c r="W770" s="262"/>
      <c r="X770" s="262"/>
      <c r="Y770" s="262"/>
      <c r="Z770" s="262"/>
      <c r="AA770" s="262"/>
      <c r="AB770" s="262"/>
      <c r="AC770" s="262"/>
      <c r="AD770" s="262"/>
      <c r="AE770" s="262"/>
      <c r="AF770" s="262"/>
      <c r="AG770" s="264"/>
      <c r="AH770" s="264"/>
      <c r="AI770" s="264"/>
      <c r="AJ770" s="264"/>
      <c r="AK770" s="264"/>
      <c r="AL770" s="264"/>
      <c r="AM770" s="264"/>
      <c r="AN770" s="264"/>
    </row>
    <row r="771" ht="15.75" customHeight="1">
      <c r="A771" s="262"/>
      <c r="B771" s="338">
        <f>IFERROR(__xludf.DUMMYFUNCTION("""COMPUTED_VALUE"""),1252.0)</f>
        <v>1252</v>
      </c>
      <c r="C771" s="354"/>
      <c r="D771" s="340" t="str">
        <f>IFERROR(__xludf.DUMMYFUNCTION("""COMPUTED_VALUE"""),"")</f>
        <v/>
      </c>
      <c r="E771" s="341">
        <f>IFERROR(__xludf.DUMMYFUNCTION("""COMPUTED_VALUE"""),0.0)</f>
        <v>0</v>
      </c>
      <c r="F771" s="352"/>
      <c r="G771" s="343"/>
      <c r="H771" s="344">
        <f>IFERROR(__xludf.DUMMYFUNCTION("""COMPUTED_VALUE"""),0.0)</f>
        <v>0</v>
      </c>
      <c r="I771" s="353"/>
      <c r="J771" s="353"/>
      <c r="K771" s="346">
        <f>IFERROR(__xludf.DUMMYFUNCTION("""COMPUTED_VALUE"""),0.0)</f>
        <v>0</v>
      </c>
      <c r="L771" s="347">
        <f>IFERROR(__xludf.DUMMYFUNCTION("""COMPUTED_VALUE"""),0.0)</f>
        <v>0</v>
      </c>
      <c r="M771" s="348">
        <f>IFERROR(__xludf.DUMMYFUNCTION("""COMPUTED_VALUE"""),0.0)</f>
        <v>0</v>
      </c>
      <c r="N771" s="348">
        <f>IFERROR(__xludf.DUMMYFUNCTION("""COMPUTED_VALUE"""),0.0)</f>
        <v>0</v>
      </c>
      <c r="O771" s="348">
        <f>IFERROR(__xludf.DUMMYFUNCTION("""COMPUTED_VALUE"""),0.0)</f>
        <v>0</v>
      </c>
      <c r="P771" s="348">
        <f>IFERROR(__xludf.DUMMYFUNCTION("""COMPUTED_VALUE"""),0.0)</f>
        <v>0</v>
      </c>
      <c r="Q771" s="348">
        <f>IFERROR(__xludf.DUMMYFUNCTION("""COMPUTED_VALUE"""),0.0)</f>
        <v>0</v>
      </c>
      <c r="R771" s="355" t="str">
        <f>IFERROR(__xludf.DUMMYFUNCTION("""COMPUTED_VALUE""")," Cash Proyek ")</f>
        <v>Cash Proyek</v>
      </c>
      <c r="S771" s="350"/>
      <c r="T771" s="262"/>
      <c r="U771" s="351"/>
      <c r="V771" s="262"/>
      <c r="W771" s="262"/>
      <c r="X771" s="262"/>
      <c r="Y771" s="262"/>
      <c r="Z771" s="262"/>
      <c r="AA771" s="262"/>
      <c r="AB771" s="262"/>
      <c r="AC771" s="262"/>
      <c r="AD771" s="262"/>
      <c r="AE771" s="262"/>
      <c r="AF771" s="262"/>
      <c r="AG771" s="264"/>
      <c r="AH771" s="264"/>
      <c r="AI771" s="264"/>
      <c r="AJ771" s="264"/>
      <c r="AK771" s="264"/>
      <c r="AL771" s="264"/>
      <c r="AM771" s="264"/>
      <c r="AN771" s="264"/>
    </row>
    <row r="772" ht="15.75" customHeight="1">
      <c r="A772" s="262"/>
      <c r="B772" s="338">
        <f>IFERROR(__xludf.DUMMYFUNCTION("""COMPUTED_VALUE"""),1253.0)</f>
        <v>1253</v>
      </c>
      <c r="C772" s="354"/>
      <c r="D772" s="340" t="str">
        <f>IFERROR(__xludf.DUMMYFUNCTION("""COMPUTED_VALUE"""),"")</f>
        <v/>
      </c>
      <c r="E772" s="341">
        <f>IFERROR(__xludf.DUMMYFUNCTION("""COMPUTED_VALUE"""),0.0)</f>
        <v>0</v>
      </c>
      <c r="F772" s="352"/>
      <c r="G772" s="343"/>
      <c r="H772" s="344">
        <f>IFERROR(__xludf.DUMMYFUNCTION("""COMPUTED_VALUE"""),0.0)</f>
        <v>0</v>
      </c>
      <c r="I772" s="353"/>
      <c r="J772" s="353"/>
      <c r="K772" s="346">
        <f>IFERROR(__xludf.DUMMYFUNCTION("""COMPUTED_VALUE"""),0.0)</f>
        <v>0</v>
      </c>
      <c r="L772" s="347">
        <f>IFERROR(__xludf.DUMMYFUNCTION("""COMPUTED_VALUE"""),0.0)</f>
        <v>0</v>
      </c>
      <c r="M772" s="348">
        <f>IFERROR(__xludf.DUMMYFUNCTION("""COMPUTED_VALUE"""),0.0)</f>
        <v>0</v>
      </c>
      <c r="N772" s="348">
        <f>IFERROR(__xludf.DUMMYFUNCTION("""COMPUTED_VALUE"""),0.0)</f>
        <v>0</v>
      </c>
      <c r="O772" s="348">
        <f>IFERROR(__xludf.DUMMYFUNCTION("""COMPUTED_VALUE"""),0.0)</f>
        <v>0</v>
      </c>
      <c r="P772" s="348">
        <f>IFERROR(__xludf.DUMMYFUNCTION("""COMPUTED_VALUE"""),0.0)</f>
        <v>0</v>
      </c>
      <c r="Q772" s="348">
        <f>IFERROR(__xludf.DUMMYFUNCTION("""COMPUTED_VALUE"""),0.0)</f>
        <v>0</v>
      </c>
      <c r="R772" s="355" t="str">
        <f>IFERROR(__xludf.DUMMYFUNCTION("""COMPUTED_VALUE""")," Cash Proyek ")</f>
        <v>Cash Proyek</v>
      </c>
      <c r="S772" s="350"/>
      <c r="T772" s="262"/>
      <c r="U772" s="351"/>
      <c r="V772" s="262"/>
      <c r="W772" s="262"/>
      <c r="X772" s="262"/>
      <c r="Y772" s="262"/>
      <c r="Z772" s="262"/>
      <c r="AA772" s="262"/>
      <c r="AB772" s="262"/>
      <c r="AC772" s="262"/>
      <c r="AD772" s="262"/>
      <c r="AE772" s="262"/>
      <c r="AF772" s="262"/>
      <c r="AG772" s="264"/>
      <c r="AH772" s="264"/>
      <c r="AI772" s="264"/>
      <c r="AJ772" s="264"/>
      <c r="AK772" s="264"/>
      <c r="AL772" s="264"/>
      <c r="AM772" s="264"/>
      <c r="AN772" s="264"/>
    </row>
    <row r="773" ht="15.75" customHeight="1">
      <c r="A773" s="262"/>
      <c r="B773" s="338">
        <f>IFERROR(__xludf.DUMMYFUNCTION("""COMPUTED_VALUE"""),1254.0)</f>
        <v>1254</v>
      </c>
      <c r="C773" s="354"/>
      <c r="D773" s="340" t="str">
        <f>IFERROR(__xludf.DUMMYFUNCTION("""COMPUTED_VALUE"""),"")</f>
        <v/>
      </c>
      <c r="E773" s="341">
        <f>IFERROR(__xludf.DUMMYFUNCTION("""COMPUTED_VALUE"""),0.0)</f>
        <v>0</v>
      </c>
      <c r="F773" s="352"/>
      <c r="G773" s="343"/>
      <c r="H773" s="344">
        <f>IFERROR(__xludf.DUMMYFUNCTION("""COMPUTED_VALUE"""),0.0)</f>
        <v>0</v>
      </c>
      <c r="I773" s="353"/>
      <c r="J773" s="353"/>
      <c r="K773" s="346">
        <f>IFERROR(__xludf.DUMMYFUNCTION("""COMPUTED_VALUE"""),0.0)</f>
        <v>0</v>
      </c>
      <c r="L773" s="347">
        <f>IFERROR(__xludf.DUMMYFUNCTION("""COMPUTED_VALUE"""),0.0)</f>
        <v>0</v>
      </c>
      <c r="M773" s="348">
        <f>IFERROR(__xludf.DUMMYFUNCTION("""COMPUTED_VALUE"""),0.0)</f>
        <v>0</v>
      </c>
      <c r="N773" s="348">
        <f>IFERROR(__xludf.DUMMYFUNCTION("""COMPUTED_VALUE"""),0.0)</f>
        <v>0</v>
      </c>
      <c r="O773" s="348">
        <f>IFERROR(__xludf.DUMMYFUNCTION("""COMPUTED_VALUE"""),0.0)</f>
        <v>0</v>
      </c>
      <c r="P773" s="348">
        <f>IFERROR(__xludf.DUMMYFUNCTION("""COMPUTED_VALUE"""),0.0)</f>
        <v>0</v>
      </c>
      <c r="Q773" s="348">
        <f>IFERROR(__xludf.DUMMYFUNCTION("""COMPUTED_VALUE"""),0.0)</f>
        <v>0</v>
      </c>
      <c r="R773" s="355" t="str">
        <f>IFERROR(__xludf.DUMMYFUNCTION("""COMPUTED_VALUE""")," Cash Proyek ")</f>
        <v>Cash Proyek</v>
      </c>
      <c r="S773" s="350"/>
      <c r="T773" s="262"/>
      <c r="U773" s="351"/>
      <c r="V773" s="262"/>
      <c r="W773" s="262"/>
      <c r="X773" s="262"/>
      <c r="Y773" s="262"/>
      <c r="Z773" s="262"/>
      <c r="AA773" s="262"/>
      <c r="AB773" s="262"/>
      <c r="AC773" s="262"/>
      <c r="AD773" s="262"/>
      <c r="AE773" s="262"/>
      <c r="AF773" s="262"/>
      <c r="AG773" s="264"/>
      <c r="AH773" s="264"/>
      <c r="AI773" s="264"/>
      <c r="AJ773" s="264"/>
      <c r="AK773" s="264"/>
      <c r="AL773" s="264"/>
      <c r="AM773" s="264"/>
      <c r="AN773" s="264"/>
    </row>
    <row r="774" ht="15.75" customHeight="1">
      <c r="A774" s="262"/>
      <c r="B774" s="338">
        <f>IFERROR(__xludf.DUMMYFUNCTION("""COMPUTED_VALUE"""),1255.0)</f>
        <v>1255</v>
      </c>
      <c r="C774" s="354"/>
      <c r="D774" s="340" t="str">
        <f>IFERROR(__xludf.DUMMYFUNCTION("""COMPUTED_VALUE"""),"")</f>
        <v/>
      </c>
      <c r="E774" s="341">
        <f>IFERROR(__xludf.DUMMYFUNCTION("""COMPUTED_VALUE"""),0.0)</f>
        <v>0</v>
      </c>
      <c r="F774" s="352"/>
      <c r="G774" s="343"/>
      <c r="H774" s="344">
        <f>IFERROR(__xludf.DUMMYFUNCTION("""COMPUTED_VALUE"""),0.0)</f>
        <v>0</v>
      </c>
      <c r="I774" s="353"/>
      <c r="J774" s="353"/>
      <c r="K774" s="346">
        <f>IFERROR(__xludf.DUMMYFUNCTION("""COMPUTED_VALUE"""),0.0)</f>
        <v>0</v>
      </c>
      <c r="L774" s="347">
        <f>IFERROR(__xludf.DUMMYFUNCTION("""COMPUTED_VALUE"""),0.0)</f>
        <v>0</v>
      </c>
      <c r="M774" s="348">
        <f>IFERROR(__xludf.DUMMYFUNCTION("""COMPUTED_VALUE"""),0.0)</f>
        <v>0</v>
      </c>
      <c r="N774" s="348">
        <f>IFERROR(__xludf.DUMMYFUNCTION("""COMPUTED_VALUE"""),0.0)</f>
        <v>0</v>
      </c>
      <c r="O774" s="348">
        <f>IFERROR(__xludf.DUMMYFUNCTION("""COMPUTED_VALUE"""),0.0)</f>
        <v>0</v>
      </c>
      <c r="P774" s="348">
        <f>IFERROR(__xludf.DUMMYFUNCTION("""COMPUTED_VALUE"""),0.0)</f>
        <v>0</v>
      </c>
      <c r="Q774" s="348">
        <f>IFERROR(__xludf.DUMMYFUNCTION("""COMPUTED_VALUE"""),0.0)</f>
        <v>0</v>
      </c>
      <c r="R774" s="355" t="str">
        <f>IFERROR(__xludf.DUMMYFUNCTION("""COMPUTED_VALUE""")," Cash Proyek ")</f>
        <v>Cash Proyek</v>
      </c>
      <c r="S774" s="350"/>
      <c r="T774" s="262"/>
      <c r="U774" s="351"/>
      <c r="V774" s="262"/>
      <c r="W774" s="262"/>
      <c r="X774" s="262"/>
      <c r="Y774" s="262"/>
      <c r="Z774" s="262"/>
      <c r="AA774" s="262"/>
      <c r="AB774" s="262"/>
      <c r="AC774" s="262"/>
      <c r="AD774" s="262"/>
      <c r="AE774" s="262"/>
      <c r="AF774" s="262"/>
      <c r="AG774" s="264"/>
      <c r="AH774" s="264"/>
      <c r="AI774" s="264"/>
      <c r="AJ774" s="264"/>
      <c r="AK774" s="264"/>
      <c r="AL774" s="264"/>
      <c r="AM774" s="264"/>
      <c r="AN774" s="264"/>
    </row>
    <row r="775" ht="15.75" customHeight="1">
      <c r="A775" s="262"/>
      <c r="B775" s="338">
        <f>IFERROR(__xludf.DUMMYFUNCTION("""COMPUTED_VALUE"""),1256.0)</f>
        <v>1256</v>
      </c>
      <c r="C775" s="354"/>
      <c r="D775" s="340" t="str">
        <f>IFERROR(__xludf.DUMMYFUNCTION("""COMPUTED_VALUE"""),"")</f>
        <v/>
      </c>
      <c r="E775" s="341">
        <f>IFERROR(__xludf.DUMMYFUNCTION("""COMPUTED_VALUE"""),0.0)</f>
        <v>0</v>
      </c>
      <c r="F775" s="352"/>
      <c r="G775" s="343"/>
      <c r="H775" s="344">
        <f>IFERROR(__xludf.DUMMYFUNCTION("""COMPUTED_VALUE"""),0.0)</f>
        <v>0</v>
      </c>
      <c r="I775" s="353"/>
      <c r="J775" s="353"/>
      <c r="K775" s="346">
        <f>IFERROR(__xludf.DUMMYFUNCTION("""COMPUTED_VALUE"""),0.0)</f>
        <v>0</v>
      </c>
      <c r="L775" s="347">
        <f>IFERROR(__xludf.DUMMYFUNCTION("""COMPUTED_VALUE"""),0.0)</f>
        <v>0</v>
      </c>
      <c r="M775" s="348">
        <f>IFERROR(__xludf.DUMMYFUNCTION("""COMPUTED_VALUE"""),0.0)</f>
        <v>0</v>
      </c>
      <c r="N775" s="348">
        <f>IFERROR(__xludf.DUMMYFUNCTION("""COMPUTED_VALUE"""),0.0)</f>
        <v>0</v>
      </c>
      <c r="O775" s="348">
        <f>IFERROR(__xludf.DUMMYFUNCTION("""COMPUTED_VALUE"""),0.0)</f>
        <v>0</v>
      </c>
      <c r="P775" s="348">
        <f>IFERROR(__xludf.DUMMYFUNCTION("""COMPUTED_VALUE"""),0.0)</f>
        <v>0</v>
      </c>
      <c r="Q775" s="348">
        <f>IFERROR(__xludf.DUMMYFUNCTION("""COMPUTED_VALUE"""),0.0)</f>
        <v>0</v>
      </c>
      <c r="R775" s="355" t="str">
        <f>IFERROR(__xludf.DUMMYFUNCTION("""COMPUTED_VALUE""")," Cash Proyek ")</f>
        <v>Cash Proyek</v>
      </c>
      <c r="S775" s="350"/>
      <c r="T775" s="262"/>
      <c r="U775" s="351"/>
      <c r="V775" s="262"/>
      <c r="W775" s="262"/>
      <c r="X775" s="262"/>
      <c r="Y775" s="262"/>
      <c r="Z775" s="262"/>
      <c r="AA775" s="262"/>
      <c r="AB775" s="262"/>
      <c r="AC775" s="262"/>
      <c r="AD775" s="262"/>
      <c r="AE775" s="262"/>
      <c r="AF775" s="262"/>
      <c r="AG775" s="264"/>
      <c r="AH775" s="264"/>
      <c r="AI775" s="264"/>
      <c r="AJ775" s="264"/>
      <c r="AK775" s="264"/>
      <c r="AL775" s="264"/>
      <c r="AM775" s="264"/>
      <c r="AN775" s="264"/>
    </row>
    <row r="776" ht="15.75" customHeight="1">
      <c r="A776" s="262"/>
      <c r="B776" s="338">
        <f>IFERROR(__xludf.DUMMYFUNCTION("""COMPUTED_VALUE"""),1257.0)</f>
        <v>1257</v>
      </c>
      <c r="C776" s="354"/>
      <c r="D776" s="340" t="str">
        <f>IFERROR(__xludf.DUMMYFUNCTION("""COMPUTED_VALUE"""),"")</f>
        <v/>
      </c>
      <c r="E776" s="341">
        <f>IFERROR(__xludf.DUMMYFUNCTION("""COMPUTED_VALUE"""),0.0)</f>
        <v>0</v>
      </c>
      <c r="F776" s="352"/>
      <c r="G776" s="343"/>
      <c r="H776" s="344">
        <f>IFERROR(__xludf.DUMMYFUNCTION("""COMPUTED_VALUE"""),0.0)</f>
        <v>0</v>
      </c>
      <c r="I776" s="353"/>
      <c r="J776" s="353"/>
      <c r="K776" s="346">
        <f>IFERROR(__xludf.DUMMYFUNCTION("""COMPUTED_VALUE"""),0.0)</f>
        <v>0</v>
      </c>
      <c r="L776" s="347">
        <f>IFERROR(__xludf.DUMMYFUNCTION("""COMPUTED_VALUE"""),0.0)</f>
        <v>0</v>
      </c>
      <c r="M776" s="348">
        <f>IFERROR(__xludf.DUMMYFUNCTION("""COMPUTED_VALUE"""),0.0)</f>
        <v>0</v>
      </c>
      <c r="N776" s="348">
        <f>IFERROR(__xludf.DUMMYFUNCTION("""COMPUTED_VALUE"""),0.0)</f>
        <v>0</v>
      </c>
      <c r="O776" s="348">
        <f>IFERROR(__xludf.DUMMYFUNCTION("""COMPUTED_VALUE"""),0.0)</f>
        <v>0</v>
      </c>
      <c r="P776" s="348">
        <f>IFERROR(__xludf.DUMMYFUNCTION("""COMPUTED_VALUE"""),0.0)</f>
        <v>0</v>
      </c>
      <c r="Q776" s="348">
        <f>IFERROR(__xludf.DUMMYFUNCTION("""COMPUTED_VALUE"""),0.0)</f>
        <v>0</v>
      </c>
      <c r="R776" s="355" t="str">
        <f>IFERROR(__xludf.DUMMYFUNCTION("""COMPUTED_VALUE""")," Cash Proyek ")</f>
        <v>Cash Proyek</v>
      </c>
      <c r="S776" s="350"/>
      <c r="T776" s="262"/>
      <c r="U776" s="351"/>
      <c r="V776" s="262"/>
      <c r="W776" s="262"/>
      <c r="X776" s="262"/>
      <c r="Y776" s="262"/>
      <c r="Z776" s="262"/>
      <c r="AA776" s="262"/>
      <c r="AB776" s="262"/>
      <c r="AC776" s="262"/>
      <c r="AD776" s="262"/>
      <c r="AE776" s="262"/>
      <c r="AF776" s="262"/>
      <c r="AG776" s="264"/>
      <c r="AH776" s="264"/>
      <c r="AI776" s="264"/>
      <c r="AJ776" s="264"/>
      <c r="AK776" s="264"/>
      <c r="AL776" s="264"/>
      <c r="AM776" s="264"/>
      <c r="AN776" s="264"/>
    </row>
    <row r="777" ht="15.75" customHeight="1">
      <c r="A777" s="262"/>
      <c r="B777" s="338">
        <f>IFERROR(__xludf.DUMMYFUNCTION("""COMPUTED_VALUE"""),1258.0)</f>
        <v>1258</v>
      </c>
      <c r="C777" s="354"/>
      <c r="D777" s="340" t="str">
        <f>IFERROR(__xludf.DUMMYFUNCTION("""COMPUTED_VALUE"""),"")</f>
        <v/>
      </c>
      <c r="E777" s="341">
        <f>IFERROR(__xludf.DUMMYFUNCTION("""COMPUTED_VALUE"""),0.0)</f>
        <v>0</v>
      </c>
      <c r="F777" s="352"/>
      <c r="G777" s="343"/>
      <c r="H777" s="344">
        <f>IFERROR(__xludf.DUMMYFUNCTION("""COMPUTED_VALUE"""),0.0)</f>
        <v>0</v>
      </c>
      <c r="I777" s="353"/>
      <c r="J777" s="353"/>
      <c r="K777" s="346">
        <f>IFERROR(__xludf.DUMMYFUNCTION("""COMPUTED_VALUE"""),0.0)</f>
        <v>0</v>
      </c>
      <c r="L777" s="347">
        <f>IFERROR(__xludf.DUMMYFUNCTION("""COMPUTED_VALUE"""),0.0)</f>
        <v>0</v>
      </c>
      <c r="M777" s="348">
        <f>IFERROR(__xludf.DUMMYFUNCTION("""COMPUTED_VALUE"""),0.0)</f>
        <v>0</v>
      </c>
      <c r="N777" s="348">
        <f>IFERROR(__xludf.DUMMYFUNCTION("""COMPUTED_VALUE"""),0.0)</f>
        <v>0</v>
      </c>
      <c r="O777" s="348">
        <f>IFERROR(__xludf.DUMMYFUNCTION("""COMPUTED_VALUE"""),0.0)</f>
        <v>0</v>
      </c>
      <c r="P777" s="348">
        <f>IFERROR(__xludf.DUMMYFUNCTION("""COMPUTED_VALUE"""),0.0)</f>
        <v>0</v>
      </c>
      <c r="Q777" s="348">
        <f>IFERROR(__xludf.DUMMYFUNCTION("""COMPUTED_VALUE"""),0.0)</f>
        <v>0</v>
      </c>
      <c r="R777" s="355" t="str">
        <f>IFERROR(__xludf.DUMMYFUNCTION("""COMPUTED_VALUE""")," Cash Proyek ")</f>
        <v>Cash Proyek</v>
      </c>
      <c r="S777" s="350"/>
      <c r="T777" s="262"/>
      <c r="U777" s="351"/>
      <c r="V777" s="262"/>
      <c r="W777" s="262"/>
      <c r="X777" s="262"/>
      <c r="Y777" s="262"/>
      <c r="Z777" s="262"/>
      <c r="AA777" s="262"/>
      <c r="AB777" s="262"/>
      <c r="AC777" s="262"/>
      <c r="AD777" s="262"/>
      <c r="AE777" s="262"/>
      <c r="AF777" s="262"/>
      <c r="AG777" s="264"/>
      <c r="AH777" s="264"/>
      <c r="AI777" s="264"/>
      <c r="AJ777" s="264"/>
      <c r="AK777" s="264"/>
      <c r="AL777" s="264"/>
      <c r="AM777" s="264"/>
      <c r="AN777" s="264"/>
    </row>
    <row r="778" ht="15.75" customHeight="1">
      <c r="A778" s="262"/>
      <c r="B778" s="338">
        <f>IFERROR(__xludf.DUMMYFUNCTION("""COMPUTED_VALUE"""),1259.0)</f>
        <v>1259</v>
      </c>
      <c r="C778" s="354"/>
      <c r="D778" s="340" t="str">
        <f>IFERROR(__xludf.DUMMYFUNCTION("""COMPUTED_VALUE"""),"")</f>
        <v/>
      </c>
      <c r="E778" s="341">
        <f>IFERROR(__xludf.DUMMYFUNCTION("""COMPUTED_VALUE"""),0.0)</f>
        <v>0</v>
      </c>
      <c r="F778" s="352"/>
      <c r="G778" s="343"/>
      <c r="H778" s="344">
        <f>IFERROR(__xludf.DUMMYFUNCTION("""COMPUTED_VALUE"""),0.0)</f>
        <v>0</v>
      </c>
      <c r="I778" s="353"/>
      <c r="J778" s="353"/>
      <c r="K778" s="346">
        <f>IFERROR(__xludf.DUMMYFUNCTION("""COMPUTED_VALUE"""),0.0)</f>
        <v>0</v>
      </c>
      <c r="L778" s="347">
        <f>IFERROR(__xludf.DUMMYFUNCTION("""COMPUTED_VALUE"""),0.0)</f>
        <v>0</v>
      </c>
      <c r="M778" s="348">
        <f>IFERROR(__xludf.DUMMYFUNCTION("""COMPUTED_VALUE"""),0.0)</f>
        <v>0</v>
      </c>
      <c r="N778" s="348">
        <f>IFERROR(__xludf.DUMMYFUNCTION("""COMPUTED_VALUE"""),0.0)</f>
        <v>0</v>
      </c>
      <c r="O778" s="348">
        <f>IFERROR(__xludf.DUMMYFUNCTION("""COMPUTED_VALUE"""),0.0)</f>
        <v>0</v>
      </c>
      <c r="P778" s="348">
        <f>IFERROR(__xludf.DUMMYFUNCTION("""COMPUTED_VALUE"""),0.0)</f>
        <v>0</v>
      </c>
      <c r="Q778" s="348">
        <f>IFERROR(__xludf.DUMMYFUNCTION("""COMPUTED_VALUE"""),0.0)</f>
        <v>0</v>
      </c>
      <c r="R778" s="355" t="str">
        <f>IFERROR(__xludf.DUMMYFUNCTION("""COMPUTED_VALUE""")," Cash Proyek ")</f>
        <v>Cash Proyek</v>
      </c>
      <c r="S778" s="350"/>
      <c r="T778" s="262"/>
      <c r="U778" s="351"/>
      <c r="V778" s="262"/>
      <c r="W778" s="262"/>
      <c r="X778" s="262"/>
      <c r="Y778" s="262"/>
      <c r="Z778" s="262"/>
      <c r="AA778" s="262"/>
      <c r="AB778" s="262"/>
      <c r="AC778" s="262"/>
      <c r="AD778" s="262"/>
      <c r="AE778" s="262"/>
      <c r="AF778" s="262"/>
      <c r="AG778" s="264"/>
      <c r="AH778" s="264"/>
      <c r="AI778" s="264"/>
      <c r="AJ778" s="264"/>
      <c r="AK778" s="264"/>
      <c r="AL778" s="264"/>
      <c r="AM778" s="264"/>
      <c r="AN778" s="264"/>
    </row>
    <row r="779" ht="15.75" customHeight="1">
      <c r="A779" s="262"/>
      <c r="B779" s="338">
        <f>IFERROR(__xludf.DUMMYFUNCTION("""COMPUTED_VALUE"""),1260.0)</f>
        <v>1260</v>
      </c>
      <c r="C779" s="354"/>
      <c r="D779" s="340" t="str">
        <f>IFERROR(__xludf.DUMMYFUNCTION("""COMPUTED_VALUE"""),"")</f>
        <v/>
      </c>
      <c r="E779" s="341">
        <f>IFERROR(__xludf.DUMMYFUNCTION("""COMPUTED_VALUE"""),0.0)</f>
        <v>0</v>
      </c>
      <c r="F779" s="352"/>
      <c r="G779" s="343"/>
      <c r="H779" s="344">
        <f>IFERROR(__xludf.DUMMYFUNCTION("""COMPUTED_VALUE"""),0.0)</f>
        <v>0</v>
      </c>
      <c r="I779" s="353"/>
      <c r="J779" s="353"/>
      <c r="K779" s="346">
        <f>IFERROR(__xludf.DUMMYFUNCTION("""COMPUTED_VALUE"""),0.0)</f>
        <v>0</v>
      </c>
      <c r="L779" s="347">
        <f>IFERROR(__xludf.DUMMYFUNCTION("""COMPUTED_VALUE"""),0.0)</f>
        <v>0</v>
      </c>
      <c r="M779" s="348">
        <f>IFERROR(__xludf.DUMMYFUNCTION("""COMPUTED_VALUE"""),0.0)</f>
        <v>0</v>
      </c>
      <c r="N779" s="348">
        <f>IFERROR(__xludf.DUMMYFUNCTION("""COMPUTED_VALUE"""),0.0)</f>
        <v>0</v>
      </c>
      <c r="O779" s="348">
        <f>IFERROR(__xludf.DUMMYFUNCTION("""COMPUTED_VALUE"""),0.0)</f>
        <v>0</v>
      </c>
      <c r="P779" s="348">
        <f>IFERROR(__xludf.DUMMYFUNCTION("""COMPUTED_VALUE"""),0.0)</f>
        <v>0</v>
      </c>
      <c r="Q779" s="348">
        <f>IFERROR(__xludf.DUMMYFUNCTION("""COMPUTED_VALUE"""),0.0)</f>
        <v>0</v>
      </c>
      <c r="R779" s="355" t="str">
        <f>IFERROR(__xludf.DUMMYFUNCTION("""COMPUTED_VALUE""")," Cash Proyek ")</f>
        <v>Cash Proyek</v>
      </c>
      <c r="S779" s="350"/>
      <c r="T779" s="262"/>
      <c r="U779" s="351"/>
      <c r="V779" s="262"/>
      <c r="W779" s="262"/>
      <c r="X779" s="262"/>
      <c r="Y779" s="262"/>
      <c r="Z779" s="262"/>
      <c r="AA779" s="262"/>
      <c r="AB779" s="262"/>
      <c r="AC779" s="262"/>
      <c r="AD779" s="262"/>
      <c r="AE779" s="262"/>
      <c r="AF779" s="262"/>
      <c r="AG779" s="264"/>
      <c r="AH779" s="264"/>
      <c r="AI779" s="264"/>
      <c r="AJ779" s="264"/>
      <c r="AK779" s="264"/>
      <c r="AL779" s="264"/>
      <c r="AM779" s="264"/>
      <c r="AN779" s="264"/>
    </row>
    <row r="780" ht="15.75" customHeight="1">
      <c r="A780" s="262"/>
      <c r="B780" s="338">
        <f>IFERROR(__xludf.DUMMYFUNCTION("""COMPUTED_VALUE"""),1261.0)</f>
        <v>1261</v>
      </c>
      <c r="C780" s="354"/>
      <c r="D780" s="340" t="str">
        <f>IFERROR(__xludf.DUMMYFUNCTION("""COMPUTED_VALUE"""),"")</f>
        <v/>
      </c>
      <c r="E780" s="341">
        <f>IFERROR(__xludf.DUMMYFUNCTION("""COMPUTED_VALUE"""),0.0)</f>
        <v>0</v>
      </c>
      <c r="F780" s="352"/>
      <c r="G780" s="343"/>
      <c r="H780" s="344">
        <f>IFERROR(__xludf.DUMMYFUNCTION("""COMPUTED_VALUE"""),0.0)</f>
        <v>0</v>
      </c>
      <c r="I780" s="353"/>
      <c r="J780" s="353"/>
      <c r="K780" s="346">
        <f>IFERROR(__xludf.DUMMYFUNCTION("""COMPUTED_VALUE"""),0.0)</f>
        <v>0</v>
      </c>
      <c r="L780" s="347">
        <f>IFERROR(__xludf.DUMMYFUNCTION("""COMPUTED_VALUE"""),0.0)</f>
        <v>0</v>
      </c>
      <c r="M780" s="348">
        <f>IFERROR(__xludf.DUMMYFUNCTION("""COMPUTED_VALUE"""),0.0)</f>
        <v>0</v>
      </c>
      <c r="N780" s="348">
        <f>IFERROR(__xludf.DUMMYFUNCTION("""COMPUTED_VALUE"""),0.0)</f>
        <v>0</v>
      </c>
      <c r="O780" s="348">
        <f>IFERROR(__xludf.DUMMYFUNCTION("""COMPUTED_VALUE"""),0.0)</f>
        <v>0</v>
      </c>
      <c r="P780" s="348">
        <f>IFERROR(__xludf.DUMMYFUNCTION("""COMPUTED_VALUE"""),0.0)</f>
        <v>0</v>
      </c>
      <c r="Q780" s="348">
        <f>IFERROR(__xludf.DUMMYFUNCTION("""COMPUTED_VALUE"""),0.0)</f>
        <v>0</v>
      </c>
      <c r="R780" s="355" t="str">
        <f>IFERROR(__xludf.DUMMYFUNCTION("""COMPUTED_VALUE""")," Cash Proyek ")</f>
        <v>Cash Proyek</v>
      </c>
      <c r="S780" s="350"/>
      <c r="T780" s="262"/>
      <c r="U780" s="351"/>
      <c r="V780" s="262"/>
      <c r="W780" s="262"/>
      <c r="X780" s="262"/>
      <c r="Y780" s="262"/>
      <c r="Z780" s="262"/>
      <c r="AA780" s="262"/>
      <c r="AB780" s="262"/>
      <c r="AC780" s="262"/>
      <c r="AD780" s="262"/>
      <c r="AE780" s="262"/>
      <c r="AF780" s="262"/>
      <c r="AG780" s="264"/>
      <c r="AH780" s="264"/>
      <c r="AI780" s="264"/>
      <c r="AJ780" s="264"/>
      <c r="AK780" s="264"/>
      <c r="AL780" s="264"/>
      <c r="AM780" s="264"/>
      <c r="AN780" s="264"/>
    </row>
    <row r="781" ht="15.75" customHeight="1">
      <c r="A781" s="262"/>
      <c r="B781" s="338">
        <f>IFERROR(__xludf.DUMMYFUNCTION("""COMPUTED_VALUE"""),1262.0)</f>
        <v>1262</v>
      </c>
      <c r="C781" s="354"/>
      <c r="D781" s="340" t="str">
        <f>IFERROR(__xludf.DUMMYFUNCTION("""COMPUTED_VALUE"""),"")</f>
        <v/>
      </c>
      <c r="E781" s="341">
        <f>IFERROR(__xludf.DUMMYFUNCTION("""COMPUTED_VALUE"""),0.0)</f>
        <v>0</v>
      </c>
      <c r="F781" s="352"/>
      <c r="G781" s="343"/>
      <c r="H781" s="344">
        <f>IFERROR(__xludf.DUMMYFUNCTION("""COMPUTED_VALUE"""),0.0)</f>
        <v>0</v>
      </c>
      <c r="I781" s="353"/>
      <c r="J781" s="353"/>
      <c r="K781" s="346">
        <f>IFERROR(__xludf.DUMMYFUNCTION("""COMPUTED_VALUE"""),0.0)</f>
        <v>0</v>
      </c>
      <c r="L781" s="347">
        <f>IFERROR(__xludf.DUMMYFUNCTION("""COMPUTED_VALUE"""),0.0)</f>
        <v>0</v>
      </c>
      <c r="M781" s="348">
        <f>IFERROR(__xludf.DUMMYFUNCTION("""COMPUTED_VALUE"""),0.0)</f>
        <v>0</v>
      </c>
      <c r="N781" s="348">
        <f>IFERROR(__xludf.DUMMYFUNCTION("""COMPUTED_VALUE"""),0.0)</f>
        <v>0</v>
      </c>
      <c r="O781" s="348">
        <f>IFERROR(__xludf.DUMMYFUNCTION("""COMPUTED_VALUE"""),0.0)</f>
        <v>0</v>
      </c>
      <c r="P781" s="348">
        <f>IFERROR(__xludf.DUMMYFUNCTION("""COMPUTED_VALUE"""),0.0)</f>
        <v>0</v>
      </c>
      <c r="Q781" s="348">
        <f>IFERROR(__xludf.DUMMYFUNCTION("""COMPUTED_VALUE"""),0.0)</f>
        <v>0</v>
      </c>
      <c r="R781" s="355" t="str">
        <f>IFERROR(__xludf.DUMMYFUNCTION("""COMPUTED_VALUE""")," Cash Proyek ")</f>
        <v>Cash Proyek</v>
      </c>
      <c r="S781" s="350"/>
      <c r="T781" s="262"/>
      <c r="U781" s="351"/>
      <c r="V781" s="262"/>
      <c r="W781" s="262"/>
      <c r="X781" s="262"/>
      <c r="Y781" s="262"/>
      <c r="Z781" s="262"/>
      <c r="AA781" s="262"/>
      <c r="AB781" s="262"/>
      <c r="AC781" s="262"/>
      <c r="AD781" s="262"/>
      <c r="AE781" s="262"/>
      <c r="AF781" s="262"/>
      <c r="AG781" s="264"/>
      <c r="AH781" s="264"/>
      <c r="AI781" s="264"/>
      <c r="AJ781" s="264"/>
      <c r="AK781" s="264"/>
      <c r="AL781" s="264"/>
      <c r="AM781" s="264"/>
      <c r="AN781" s="264"/>
    </row>
    <row r="782" ht="15.75" customHeight="1">
      <c r="A782" s="262"/>
      <c r="B782" s="338">
        <f>IFERROR(__xludf.DUMMYFUNCTION("""COMPUTED_VALUE"""),1263.0)</f>
        <v>1263</v>
      </c>
      <c r="C782" s="354"/>
      <c r="D782" s="340" t="str">
        <f>IFERROR(__xludf.DUMMYFUNCTION("""COMPUTED_VALUE"""),"")</f>
        <v/>
      </c>
      <c r="E782" s="341">
        <f>IFERROR(__xludf.DUMMYFUNCTION("""COMPUTED_VALUE"""),0.0)</f>
        <v>0</v>
      </c>
      <c r="F782" s="352"/>
      <c r="G782" s="343"/>
      <c r="H782" s="344">
        <f>IFERROR(__xludf.DUMMYFUNCTION("""COMPUTED_VALUE"""),0.0)</f>
        <v>0</v>
      </c>
      <c r="I782" s="353"/>
      <c r="J782" s="353"/>
      <c r="K782" s="346">
        <f>IFERROR(__xludf.DUMMYFUNCTION("""COMPUTED_VALUE"""),0.0)</f>
        <v>0</v>
      </c>
      <c r="L782" s="347">
        <f>IFERROR(__xludf.DUMMYFUNCTION("""COMPUTED_VALUE"""),0.0)</f>
        <v>0</v>
      </c>
      <c r="M782" s="348">
        <f>IFERROR(__xludf.DUMMYFUNCTION("""COMPUTED_VALUE"""),0.0)</f>
        <v>0</v>
      </c>
      <c r="N782" s="348">
        <f>IFERROR(__xludf.DUMMYFUNCTION("""COMPUTED_VALUE"""),0.0)</f>
        <v>0</v>
      </c>
      <c r="O782" s="348">
        <f>IFERROR(__xludf.DUMMYFUNCTION("""COMPUTED_VALUE"""),0.0)</f>
        <v>0</v>
      </c>
      <c r="P782" s="348">
        <f>IFERROR(__xludf.DUMMYFUNCTION("""COMPUTED_VALUE"""),0.0)</f>
        <v>0</v>
      </c>
      <c r="Q782" s="348">
        <f>IFERROR(__xludf.DUMMYFUNCTION("""COMPUTED_VALUE"""),0.0)</f>
        <v>0</v>
      </c>
      <c r="R782" s="355" t="str">
        <f>IFERROR(__xludf.DUMMYFUNCTION("""COMPUTED_VALUE""")," Cash Proyek ")</f>
        <v>Cash Proyek</v>
      </c>
      <c r="S782" s="350"/>
      <c r="T782" s="262"/>
      <c r="U782" s="351"/>
      <c r="V782" s="262"/>
      <c r="W782" s="262"/>
      <c r="X782" s="262"/>
      <c r="Y782" s="262"/>
      <c r="Z782" s="262"/>
      <c r="AA782" s="262"/>
      <c r="AB782" s="262"/>
      <c r="AC782" s="262"/>
      <c r="AD782" s="262"/>
      <c r="AE782" s="262"/>
      <c r="AF782" s="262"/>
      <c r="AG782" s="264"/>
      <c r="AH782" s="264"/>
      <c r="AI782" s="264"/>
      <c r="AJ782" s="264"/>
      <c r="AK782" s="264"/>
      <c r="AL782" s="264"/>
      <c r="AM782" s="264"/>
      <c r="AN782" s="264"/>
    </row>
    <row r="783" ht="15.75" customHeight="1">
      <c r="A783" s="262"/>
      <c r="B783" s="338">
        <f>IFERROR(__xludf.DUMMYFUNCTION("""COMPUTED_VALUE"""),1264.0)</f>
        <v>1264</v>
      </c>
      <c r="C783" s="354"/>
      <c r="D783" s="340" t="str">
        <f>IFERROR(__xludf.DUMMYFUNCTION("""COMPUTED_VALUE"""),"")</f>
        <v/>
      </c>
      <c r="E783" s="341">
        <f>IFERROR(__xludf.DUMMYFUNCTION("""COMPUTED_VALUE"""),0.0)</f>
        <v>0</v>
      </c>
      <c r="F783" s="352"/>
      <c r="G783" s="343"/>
      <c r="H783" s="344">
        <f>IFERROR(__xludf.DUMMYFUNCTION("""COMPUTED_VALUE"""),0.0)</f>
        <v>0</v>
      </c>
      <c r="I783" s="353"/>
      <c r="J783" s="353"/>
      <c r="K783" s="346">
        <f>IFERROR(__xludf.DUMMYFUNCTION("""COMPUTED_VALUE"""),0.0)</f>
        <v>0</v>
      </c>
      <c r="L783" s="347">
        <f>IFERROR(__xludf.DUMMYFUNCTION("""COMPUTED_VALUE"""),0.0)</f>
        <v>0</v>
      </c>
      <c r="M783" s="348">
        <f>IFERROR(__xludf.DUMMYFUNCTION("""COMPUTED_VALUE"""),0.0)</f>
        <v>0</v>
      </c>
      <c r="N783" s="348">
        <f>IFERROR(__xludf.DUMMYFUNCTION("""COMPUTED_VALUE"""),0.0)</f>
        <v>0</v>
      </c>
      <c r="O783" s="348">
        <f>IFERROR(__xludf.DUMMYFUNCTION("""COMPUTED_VALUE"""),0.0)</f>
        <v>0</v>
      </c>
      <c r="P783" s="348">
        <f>IFERROR(__xludf.DUMMYFUNCTION("""COMPUTED_VALUE"""),0.0)</f>
        <v>0</v>
      </c>
      <c r="Q783" s="348">
        <f>IFERROR(__xludf.DUMMYFUNCTION("""COMPUTED_VALUE"""),0.0)</f>
        <v>0</v>
      </c>
      <c r="R783" s="355" t="str">
        <f>IFERROR(__xludf.DUMMYFUNCTION("""COMPUTED_VALUE""")," Cash Proyek ")</f>
        <v>Cash Proyek</v>
      </c>
      <c r="S783" s="350"/>
      <c r="T783" s="262"/>
      <c r="U783" s="351"/>
      <c r="V783" s="262"/>
      <c r="W783" s="262"/>
      <c r="X783" s="262"/>
      <c r="Y783" s="262"/>
      <c r="Z783" s="262"/>
      <c r="AA783" s="262"/>
      <c r="AB783" s="262"/>
      <c r="AC783" s="262"/>
      <c r="AD783" s="262"/>
      <c r="AE783" s="262"/>
      <c r="AF783" s="262"/>
      <c r="AG783" s="264"/>
      <c r="AH783" s="264"/>
      <c r="AI783" s="264"/>
      <c r="AJ783" s="264"/>
      <c r="AK783" s="264"/>
      <c r="AL783" s="264"/>
      <c r="AM783" s="264"/>
      <c r="AN783" s="264"/>
    </row>
    <row r="784" ht="15.75" customHeight="1">
      <c r="A784" s="262"/>
      <c r="B784" s="338">
        <f>IFERROR(__xludf.DUMMYFUNCTION("""COMPUTED_VALUE"""),1265.0)</f>
        <v>1265</v>
      </c>
      <c r="C784" s="354"/>
      <c r="D784" s="340" t="str">
        <f>IFERROR(__xludf.DUMMYFUNCTION("""COMPUTED_VALUE"""),"")</f>
        <v/>
      </c>
      <c r="E784" s="341">
        <f>IFERROR(__xludf.DUMMYFUNCTION("""COMPUTED_VALUE"""),0.0)</f>
        <v>0</v>
      </c>
      <c r="F784" s="352"/>
      <c r="G784" s="343"/>
      <c r="H784" s="344">
        <f>IFERROR(__xludf.DUMMYFUNCTION("""COMPUTED_VALUE"""),0.0)</f>
        <v>0</v>
      </c>
      <c r="I784" s="353"/>
      <c r="J784" s="353"/>
      <c r="K784" s="346">
        <f>IFERROR(__xludf.DUMMYFUNCTION("""COMPUTED_VALUE"""),0.0)</f>
        <v>0</v>
      </c>
      <c r="L784" s="347">
        <f>IFERROR(__xludf.DUMMYFUNCTION("""COMPUTED_VALUE"""),0.0)</f>
        <v>0</v>
      </c>
      <c r="M784" s="348">
        <f>IFERROR(__xludf.DUMMYFUNCTION("""COMPUTED_VALUE"""),0.0)</f>
        <v>0</v>
      </c>
      <c r="N784" s="348">
        <f>IFERROR(__xludf.DUMMYFUNCTION("""COMPUTED_VALUE"""),0.0)</f>
        <v>0</v>
      </c>
      <c r="O784" s="348">
        <f>IFERROR(__xludf.DUMMYFUNCTION("""COMPUTED_VALUE"""),0.0)</f>
        <v>0</v>
      </c>
      <c r="P784" s="348">
        <f>IFERROR(__xludf.DUMMYFUNCTION("""COMPUTED_VALUE"""),0.0)</f>
        <v>0</v>
      </c>
      <c r="Q784" s="348">
        <f>IFERROR(__xludf.DUMMYFUNCTION("""COMPUTED_VALUE"""),0.0)</f>
        <v>0</v>
      </c>
      <c r="R784" s="355" t="str">
        <f>IFERROR(__xludf.DUMMYFUNCTION("""COMPUTED_VALUE""")," Cash Proyek ")</f>
        <v>Cash Proyek</v>
      </c>
      <c r="S784" s="350"/>
      <c r="T784" s="262"/>
      <c r="U784" s="351"/>
      <c r="V784" s="262"/>
      <c r="W784" s="262"/>
      <c r="X784" s="262"/>
      <c r="Y784" s="262"/>
      <c r="Z784" s="262"/>
      <c r="AA784" s="262"/>
      <c r="AB784" s="262"/>
      <c r="AC784" s="262"/>
      <c r="AD784" s="262"/>
      <c r="AE784" s="262"/>
      <c r="AF784" s="262"/>
      <c r="AG784" s="264"/>
      <c r="AH784" s="264"/>
      <c r="AI784" s="264"/>
      <c r="AJ784" s="264"/>
      <c r="AK784" s="264"/>
      <c r="AL784" s="264"/>
      <c r="AM784" s="264"/>
      <c r="AN784" s="264"/>
    </row>
    <row r="785" ht="15.75" customHeight="1">
      <c r="A785" s="262"/>
      <c r="B785" s="338">
        <f>IFERROR(__xludf.DUMMYFUNCTION("""COMPUTED_VALUE"""),1266.0)</f>
        <v>1266</v>
      </c>
      <c r="C785" s="354"/>
      <c r="D785" s="340" t="str">
        <f>IFERROR(__xludf.DUMMYFUNCTION("""COMPUTED_VALUE"""),"")</f>
        <v/>
      </c>
      <c r="E785" s="341">
        <f>IFERROR(__xludf.DUMMYFUNCTION("""COMPUTED_VALUE"""),0.0)</f>
        <v>0</v>
      </c>
      <c r="F785" s="352"/>
      <c r="G785" s="343"/>
      <c r="H785" s="344">
        <f>IFERROR(__xludf.DUMMYFUNCTION("""COMPUTED_VALUE"""),0.0)</f>
        <v>0</v>
      </c>
      <c r="I785" s="353"/>
      <c r="J785" s="353"/>
      <c r="K785" s="346">
        <f>IFERROR(__xludf.DUMMYFUNCTION("""COMPUTED_VALUE"""),0.0)</f>
        <v>0</v>
      </c>
      <c r="L785" s="347">
        <f>IFERROR(__xludf.DUMMYFUNCTION("""COMPUTED_VALUE"""),0.0)</f>
        <v>0</v>
      </c>
      <c r="M785" s="348">
        <f>IFERROR(__xludf.DUMMYFUNCTION("""COMPUTED_VALUE"""),0.0)</f>
        <v>0</v>
      </c>
      <c r="N785" s="348">
        <f>IFERROR(__xludf.DUMMYFUNCTION("""COMPUTED_VALUE"""),0.0)</f>
        <v>0</v>
      </c>
      <c r="O785" s="348">
        <f>IFERROR(__xludf.DUMMYFUNCTION("""COMPUTED_VALUE"""),0.0)</f>
        <v>0</v>
      </c>
      <c r="P785" s="348">
        <f>IFERROR(__xludf.DUMMYFUNCTION("""COMPUTED_VALUE"""),0.0)</f>
        <v>0</v>
      </c>
      <c r="Q785" s="348">
        <f>IFERROR(__xludf.DUMMYFUNCTION("""COMPUTED_VALUE"""),0.0)</f>
        <v>0</v>
      </c>
      <c r="R785" s="355" t="str">
        <f>IFERROR(__xludf.DUMMYFUNCTION("""COMPUTED_VALUE""")," Cash Proyek ")</f>
        <v>Cash Proyek</v>
      </c>
      <c r="S785" s="350"/>
      <c r="T785" s="262"/>
      <c r="U785" s="351"/>
      <c r="V785" s="262"/>
      <c r="W785" s="262"/>
      <c r="X785" s="262"/>
      <c r="Y785" s="262"/>
      <c r="Z785" s="262"/>
      <c r="AA785" s="262"/>
      <c r="AB785" s="262"/>
      <c r="AC785" s="262"/>
      <c r="AD785" s="262"/>
      <c r="AE785" s="262"/>
      <c r="AF785" s="262"/>
      <c r="AG785" s="264"/>
      <c r="AH785" s="264"/>
      <c r="AI785" s="264"/>
      <c r="AJ785" s="264"/>
      <c r="AK785" s="264"/>
      <c r="AL785" s="264"/>
      <c r="AM785" s="264"/>
      <c r="AN785" s="264"/>
    </row>
    <row r="786" ht="15.75" customHeight="1">
      <c r="A786" s="262"/>
      <c r="B786" s="338">
        <f>IFERROR(__xludf.DUMMYFUNCTION("""COMPUTED_VALUE"""),1267.0)</f>
        <v>1267</v>
      </c>
      <c r="C786" s="354"/>
      <c r="D786" s="340" t="str">
        <f>IFERROR(__xludf.DUMMYFUNCTION("""COMPUTED_VALUE"""),"")</f>
        <v/>
      </c>
      <c r="E786" s="341">
        <f>IFERROR(__xludf.DUMMYFUNCTION("""COMPUTED_VALUE"""),0.0)</f>
        <v>0</v>
      </c>
      <c r="F786" s="352"/>
      <c r="G786" s="343"/>
      <c r="H786" s="344">
        <f>IFERROR(__xludf.DUMMYFUNCTION("""COMPUTED_VALUE"""),0.0)</f>
        <v>0</v>
      </c>
      <c r="I786" s="353"/>
      <c r="J786" s="353"/>
      <c r="K786" s="346">
        <f>IFERROR(__xludf.DUMMYFUNCTION("""COMPUTED_VALUE"""),0.0)</f>
        <v>0</v>
      </c>
      <c r="L786" s="347">
        <f>IFERROR(__xludf.DUMMYFUNCTION("""COMPUTED_VALUE"""),0.0)</f>
        <v>0</v>
      </c>
      <c r="M786" s="348">
        <f>IFERROR(__xludf.DUMMYFUNCTION("""COMPUTED_VALUE"""),0.0)</f>
        <v>0</v>
      </c>
      <c r="N786" s="348">
        <f>IFERROR(__xludf.DUMMYFUNCTION("""COMPUTED_VALUE"""),0.0)</f>
        <v>0</v>
      </c>
      <c r="O786" s="348">
        <f>IFERROR(__xludf.DUMMYFUNCTION("""COMPUTED_VALUE"""),0.0)</f>
        <v>0</v>
      </c>
      <c r="P786" s="348">
        <f>IFERROR(__xludf.DUMMYFUNCTION("""COMPUTED_VALUE"""),0.0)</f>
        <v>0</v>
      </c>
      <c r="Q786" s="348">
        <f>IFERROR(__xludf.DUMMYFUNCTION("""COMPUTED_VALUE"""),0.0)</f>
        <v>0</v>
      </c>
      <c r="R786" s="355" t="str">
        <f>IFERROR(__xludf.DUMMYFUNCTION("""COMPUTED_VALUE""")," Cash Proyek ")</f>
        <v>Cash Proyek</v>
      </c>
      <c r="S786" s="350"/>
      <c r="T786" s="262"/>
      <c r="U786" s="351"/>
      <c r="V786" s="262"/>
      <c r="W786" s="262"/>
      <c r="X786" s="262"/>
      <c r="Y786" s="262"/>
      <c r="Z786" s="262"/>
      <c r="AA786" s="262"/>
      <c r="AB786" s="262"/>
      <c r="AC786" s="262"/>
      <c r="AD786" s="262"/>
      <c r="AE786" s="262"/>
      <c r="AF786" s="262"/>
      <c r="AG786" s="264"/>
      <c r="AH786" s="264"/>
      <c r="AI786" s="264"/>
      <c r="AJ786" s="264"/>
      <c r="AK786" s="264"/>
      <c r="AL786" s="264"/>
      <c r="AM786" s="264"/>
      <c r="AN786" s="264"/>
    </row>
    <row r="787" ht="15.75" customHeight="1">
      <c r="A787" s="262"/>
      <c r="B787" s="338">
        <f>IFERROR(__xludf.DUMMYFUNCTION("""COMPUTED_VALUE"""),1268.0)</f>
        <v>1268</v>
      </c>
      <c r="C787" s="354"/>
      <c r="D787" s="340" t="str">
        <f>IFERROR(__xludf.DUMMYFUNCTION("""COMPUTED_VALUE"""),"")</f>
        <v/>
      </c>
      <c r="E787" s="341">
        <f>IFERROR(__xludf.DUMMYFUNCTION("""COMPUTED_VALUE"""),0.0)</f>
        <v>0</v>
      </c>
      <c r="F787" s="352"/>
      <c r="G787" s="343"/>
      <c r="H787" s="344">
        <f>IFERROR(__xludf.DUMMYFUNCTION("""COMPUTED_VALUE"""),0.0)</f>
        <v>0</v>
      </c>
      <c r="I787" s="353"/>
      <c r="J787" s="353"/>
      <c r="K787" s="346">
        <f>IFERROR(__xludf.DUMMYFUNCTION("""COMPUTED_VALUE"""),0.0)</f>
        <v>0</v>
      </c>
      <c r="L787" s="347">
        <f>IFERROR(__xludf.DUMMYFUNCTION("""COMPUTED_VALUE"""),0.0)</f>
        <v>0</v>
      </c>
      <c r="M787" s="348">
        <f>IFERROR(__xludf.DUMMYFUNCTION("""COMPUTED_VALUE"""),0.0)</f>
        <v>0</v>
      </c>
      <c r="N787" s="348">
        <f>IFERROR(__xludf.DUMMYFUNCTION("""COMPUTED_VALUE"""),0.0)</f>
        <v>0</v>
      </c>
      <c r="O787" s="348">
        <f>IFERROR(__xludf.DUMMYFUNCTION("""COMPUTED_VALUE"""),0.0)</f>
        <v>0</v>
      </c>
      <c r="P787" s="348">
        <f>IFERROR(__xludf.DUMMYFUNCTION("""COMPUTED_VALUE"""),0.0)</f>
        <v>0</v>
      </c>
      <c r="Q787" s="348">
        <f>IFERROR(__xludf.DUMMYFUNCTION("""COMPUTED_VALUE"""),0.0)</f>
        <v>0</v>
      </c>
      <c r="R787" s="355" t="str">
        <f>IFERROR(__xludf.DUMMYFUNCTION("""COMPUTED_VALUE""")," Cash Proyek ")</f>
        <v>Cash Proyek</v>
      </c>
      <c r="S787" s="350"/>
      <c r="T787" s="262"/>
      <c r="U787" s="351"/>
      <c r="V787" s="262"/>
      <c r="W787" s="262"/>
      <c r="X787" s="262"/>
      <c r="Y787" s="262"/>
      <c r="Z787" s="262"/>
      <c r="AA787" s="262"/>
      <c r="AB787" s="262"/>
      <c r="AC787" s="262"/>
      <c r="AD787" s="262"/>
      <c r="AE787" s="262"/>
      <c r="AF787" s="262"/>
      <c r="AG787" s="264"/>
      <c r="AH787" s="264"/>
      <c r="AI787" s="264"/>
      <c r="AJ787" s="264"/>
      <c r="AK787" s="264"/>
      <c r="AL787" s="264"/>
      <c r="AM787" s="264"/>
      <c r="AN787" s="264"/>
    </row>
    <row r="788" ht="15.75" customHeight="1">
      <c r="A788" s="262"/>
      <c r="B788" s="338">
        <f>IFERROR(__xludf.DUMMYFUNCTION("""COMPUTED_VALUE"""),1269.0)</f>
        <v>1269</v>
      </c>
      <c r="C788" s="354"/>
      <c r="D788" s="340" t="str">
        <f>IFERROR(__xludf.DUMMYFUNCTION("""COMPUTED_VALUE"""),"")</f>
        <v/>
      </c>
      <c r="E788" s="341">
        <f>IFERROR(__xludf.DUMMYFUNCTION("""COMPUTED_VALUE"""),0.0)</f>
        <v>0</v>
      </c>
      <c r="F788" s="352"/>
      <c r="G788" s="343"/>
      <c r="H788" s="344">
        <f>IFERROR(__xludf.DUMMYFUNCTION("""COMPUTED_VALUE"""),0.0)</f>
        <v>0</v>
      </c>
      <c r="I788" s="353"/>
      <c r="J788" s="353"/>
      <c r="K788" s="346">
        <f>IFERROR(__xludf.DUMMYFUNCTION("""COMPUTED_VALUE"""),0.0)</f>
        <v>0</v>
      </c>
      <c r="L788" s="347">
        <f>IFERROR(__xludf.DUMMYFUNCTION("""COMPUTED_VALUE"""),0.0)</f>
        <v>0</v>
      </c>
      <c r="M788" s="348">
        <f>IFERROR(__xludf.DUMMYFUNCTION("""COMPUTED_VALUE"""),0.0)</f>
        <v>0</v>
      </c>
      <c r="N788" s="348">
        <f>IFERROR(__xludf.DUMMYFUNCTION("""COMPUTED_VALUE"""),0.0)</f>
        <v>0</v>
      </c>
      <c r="O788" s="348">
        <f>IFERROR(__xludf.DUMMYFUNCTION("""COMPUTED_VALUE"""),0.0)</f>
        <v>0</v>
      </c>
      <c r="P788" s="348">
        <f>IFERROR(__xludf.DUMMYFUNCTION("""COMPUTED_VALUE"""),0.0)</f>
        <v>0</v>
      </c>
      <c r="Q788" s="348">
        <f>IFERROR(__xludf.DUMMYFUNCTION("""COMPUTED_VALUE"""),0.0)</f>
        <v>0</v>
      </c>
      <c r="R788" s="355" t="str">
        <f>IFERROR(__xludf.DUMMYFUNCTION("""COMPUTED_VALUE""")," Cash Proyek ")</f>
        <v>Cash Proyek</v>
      </c>
      <c r="S788" s="350"/>
      <c r="T788" s="262"/>
      <c r="U788" s="351"/>
      <c r="V788" s="262"/>
      <c r="W788" s="262"/>
      <c r="X788" s="262"/>
      <c r="Y788" s="262"/>
      <c r="Z788" s="262"/>
      <c r="AA788" s="262"/>
      <c r="AB788" s="262"/>
      <c r="AC788" s="262"/>
      <c r="AD788" s="262"/>
      <c r="AE788" s="262"/>
      <c r="AF788" s="262"/>
      <c r="AG788" s="264"/>
      <c r="AH788" s="264"/>
      <c r="AI788" s="264"/>
      <c r="AJ788" s="264"/>
      <c r="AK788" s="264"/>
      <c r="AL788" s="264"/>
      <c r="AM788" s="264"/>
      <c r="AN788" s="264"/>
    </row>
    <row r="789" ht="15.75" customHeight="1">
      <c r="A789" s="262"/>
      <c r="B789" s="338">
        <f>IFERROR(__xludf.DUMMYFUNCTION("""COMPUTED_VALUE"""),1270.0)</f>
        <v>1270</v>
      </c>
      <c r="C789" s="354"/>
      <c r="D789" s="340" t="str">
        <f>IFERROR(__xludf.DUMMYFUNCTION("""COMPUTED_VALUE"""),"")</f>
        <v/>
      </c>
      <c r="E789" s="341">
        <f>IFERROR(__xludf.DUMMYFUNCTION("""COMPUTED_VALUE"""),0.0)</f>
        <v>0</v>
      </c>
      <c r="F789" s="352"/>
      <c r="G789" s="343"/>
      <c r="H789" s="344">
        <f>IFERROR(__xludf.DUMMYFUNCTION("""COMPUTED_VALUE"""),0.0)</f>
        <v>0</v>
      </c>
      <c r="I789" s="353"/>
      <c r="J789" s="353"/>
      <c r="K789" s="346">
        <f>IFERROR(__xludf.DUMMYFUNCTION("""COMPUTED_VALUE"""),0.0)</f>
        <v>0</v>
      </c>
      <c r="L789" s="347">
        <f>IFERROR(__xludf.DUMMYFUNCTION("""COMPUTED_VALUE"""),0.0)</f>
        <v>0</v>
      </c>
      <c r="M789" s="348">
        <f>IFERROR(__xludf.DUMMYFUNCTION("""COMPUTED_VALUE"""),0.0)</f>
        <v>0</v>
      </c>
      <c r="N789" s="348">
        <f>IFERROR(__xludf.DUMMYFUNCTION("""COMPUTED_VALUE"""),0.0)</f>
        <v>0</v>
      </c>
      <c r="O789" s="348">
        <f>IFERROR(__xludf.DUMMYFUNCTION("""COMPUTED_VALUE"""),0.0)</f>
        <v>0</v>
      </c>
      <c r="P789" s="348">
        <f>IFERROR(__xludf.DUMMYFUNCTION("""COMPUTED_VALUE"""),0.0)</f>
        <v>0</v>
      </c>
      <c r="Q789" s="348">
        <f>IFERROR(__xludf.DUMMYFUNCTION("""COMPUTED_VALUE"""),0.0)</f>
        <v>0</v>
      </c>
      <c r="R789" s="355" t="str">
        <f>IFERROR(__xludf.DUMMYFUNCTION("""COMPUTED_VALUE""")," Cash Proyek ")</f>
        <v>Cash Proyek</v>
      </c>
      <c r="S789" s="350"/>
      <c r="T789" s="262"/>
      <c r="U789" s="351"/>
      <c r="V789" s="262"/>
      <c r="W789" s="262"/>
      <c r="X789" s="262"/>
      <c r="Y789" s="262"/>
      <c r="Z789" s="262"/>
      <c r="AA789" s="262"/>
      <c r="AB789" s="262"/>
      <c r="AC789" s="262"/>
      <c r="AD789" s="262"/>
      <c r="AE789" s="262"/>
      <c r="AF789" s="262"/>
      <c r="AG789" s="264"/>
      <c r="AH789" s="264"/>
      <c r="AI789" s="264"/>
      <c r="AJ789" s="264"/>
      <c r="AK789" s="264"/>
      <c r="AL789" s="264"/>
      <c r="AM789" s="264"/>
      <c r="AN789" s="264"/>
    </row>
    <row r="790" ht="15.75" customHeight="1">
      <c r="A790" s="262"/>
      <c r="B790" s="338">
        <f>IFERROR(__xludf.DUMMYFUNCTION("""COMPUTED_VALUE"""),1271.0)</f>
        <v>1271</v>
      </c>
      <c r="C790" s="354"/>
      <c r="D790" s="340" t="str">
        <f>IFERROR(__xludf.DUMMYFUNCTION("""COMPUTED_VALUE"""),"")</f>
        <v/>
      </c>
      <c r="E790" s="341">
        <f>IFERROR(__xludf.DUMMYFUNCTION("""COMPUTED_VALUE"""),0.0)</f>
        <v>0</v>
      </c>
      <c r="F790" s="352"/>
      <c r="G790" s="343"/>
      <c r="H790" s="344">
        <f>IFERROR(__xludf.DUMMYFUNCTION("""COMPUTED_VALUE"""),0.0)</f>
        <v>0</v>
      </c>
      <c r="I790" s="353"/>
      <c r="J790" s="353"/>
      <c r="K790" s="346">
        <f>IFERROR(__xludf.DUMMYFUNCTION("""COMPUTED_VALUE"""),0.0)</f>
        <v>0</v>
      </c>
      <c r="L790" s="347">
        <f>IFERROR(__xludf.DUMMYFUNCTION("""COMPUTED_VALUE"""),0.0)</f>
        <v>0</v>
      </c>
      <c r="M790" s="348">
        <f>IFERROR(__xludf.DUMMYFUNCTION("""COMPUTED_VALUE"""),0.0)</f>
        <v>0</v>
      </c>
      <c r="N790" s="348">
        <f>IFERROR(__xludf.DUMMYFUNCTION("""COMPUTED_VALUE"""),0.0)</f>
        <v>0</v>
      </c>
      <c r="O790" s="348">
        <f>IFERROR(__xludf.DUMMYFUNCTION("""COMPUTED_VALUE"""),0.0)</f>
        <v>0</v>
      </c>
      <c r="P790" s="348">
        <f>IFERROR(__xludf.DUMMYFUNCTION("""COMPUTED_VALUE"""),0.0)</f>
        <v>0</v>
      </c>
      <c r="Q790" s="348">
        <f>IFERROR(__xludf.DUMMYFUNCTION("""COMPUTED_VALUE"""),0.0)</f>
        <v>0</v>
      </c>
      <c r="R790" s="355" t="str">
        <f>IFERROR(__xludf.DUMMYFUNCTION("""COMPUTED_VALUE""")," Cash Proyek ")</f>
        <v>Cash Proyek</v>
      </c>
      <c r="S790" s="350"/>
      <c r="T790" s="262"/>
      <c r="U790" s="351"/>
      <c r="V790" s="262"/>
      <c r="W790" s="262"/>
      <c r="X790" s="262"/>
      <c r="Y790" s="262"/>
      <c r="Z790" s="262"/>
      <c r="AA790" s="262"/>
      <c r="AB790" s="262"/>
      <c r="AC790" s="262"/>
      <c r="AD790" s="262"/>
      <c r="AE790" s="262"/>
      <c r="AF790" s="262"/>
      <c r="AG790" s="264"/>
      <c r="AH790" s="264"/>
      <c r="AI790" s="264"/>
      <c r="AJ790" s="264"/>
      <c r="AK790" s="264"/>
      <c r="AL790" s="264"/>
      <c r="AM790" s="264"/>
      <c r="AN790" s="264"/>
    </row>
    <row r="791" ht="15.75" customHeight="1">
      <c r="A791" s="262"/>
      <c r="B791" s="338">
        <f>IFERROR(__xludf.DUMMYFUNCTION("""COMPUTED_VALUE"""),1272.0)</f>
        <v>1272</v>
      </c>
      <c r="C791" s="354"/>
      <c r="D791" s="340" t="str">
        <f>IFERROR(__xludf.DUMMYFUNCTION("""COMPUTED_VALUE"""),"")</f>
        <v/>
      </c>
      <c r="E791" s="341">
        <f>IFERROR(__xludf.DUMMYFUNCTION("""COMPUTED_VALUE"""),0.0)</f>
        <v>0</v>
      </c>
      <c r="F791" s="352"/>
      <c r="G791" s="343"/>
      <c r="H791" s="344">
        <f>IFERROR(__xludf.DUMMYFUNCTION("""COMPUTED_VALUE"""),0.0)</f>
        <v>0</v>
      </c>
      <c r="I791" s="353"/>
      <c r="J791" s="353"/>
      <c r="K791" s="346">
        <f>IFERROR(__xludf.DUMMYFUNCTION("""COMPUTED_VALUE"""),0.0)</f>
        <v>0</v>
      </c>
      <c r="L791" s="347">
        <f>IFERROR(__xludf.DUMMYFUNCTION("""COMPUTED_VALUE"""),0.0)</f>
        <v>0</v>
      </c>
      <c r="M791" s="348">
        <f>IFERROR(__xludf.DUMMYFUNCTION("""COMPUTED_VALUE"""),0.0)</f>
        <v>0</v>
      </c>
      <c r="N791" s="348">
        <f>IFERROR(__xludf.DUMMYFUNCTION("""COMPUTED_VALUE"""),0.0)</f>
        <v>0</v>
      </c>
      <c r="O791" s="348">
        <f>IFERROR(__xludf.DUMMYFUNCTION("""COMPUTED_VALUE"""),0.0)</f>
        <v>0</v>
      </c>
      <c r="P791" s="348">
        <f>IFERROR(__xludf.DUMMYFUNCTION("""COMPUTED_VALUE"""),0.0)</f>
        <v>0</v>
      </c>
      <c r="Q791" s="348">
        <f>IFERROR(__xludf.DUMMYFUNCTION("""COMPUTED_VALUE"""),0.0)</f>
        <v>0</v>
      </c>
      <c r="R791" s="355" t="str">
        <f>IFERROR(__xludf.DUMMYFUNCTION("""COMPUTED_VALUE""")," Cash Proyek ")</f>
        <v>Cash Proyek</v>
      </c>
      <c r="S791" s="350"/>
      <c r="T791" s="262"/>
      <c r="U791" s="351"/>
      <c r="V791" s="262"/>
      <c r="W791" s="262"/>
      <c r="X791" s="262"/>
      <c r="Y791" s="262"/>
      <c r="Z791" s="262"/>
      <c r="AA791" s="262"/>
      <c r="AB791" s="262"/>
      <c r="AC791" s="262"/>
      <c r="AD791" s="262"/>
      <c r="AE791" s="262"/>
      <c r="AF791" s="262"/>
      <c r="AG791" s="264"/>
      <c r="AH791" s="264"/>
      <c r="AI791" s="264"/>
      <c r="AJ791" s="264"/>
      <c r="AK791" s="264"/>
      <c r="AL791" s="264"/>
      <c r="AM791" s="264"/>
      <c r="AN791" s="264"/>
    </row>
    <row r="792" ht="15.75" customHeight="1">
      <c r="A792" s="262"/>
      <c r="B792" s="338">
        <f>IFERROR(__xludf.DUMMYFUNCTION("""COMPUTED_VALUE"""),1273.0)</f>
        <v>1273</v>
      </c>
      <c r="C792" s="354"/>
      <c r="D792" s="340" t="str">
        <f>IFERROR(__xludf.DUMMYFUNCTION("""COMPUTED_VALUE"""),"")</f>
        <v/>
      </c>
      <c r="E792" s="341">
        <f>IFERROR(__xludf.DUMMYFUNCTION("""COMPUTED_VALUE"""),0.0)</f>
        <v>0</v>
      </c>
      <c r="F792" s="352"/>
      <c r="G792" s="343"/>
      <c r="H792" s="344">
        <f>IFERROR(__xludf.DUMMYFUNCTION("""COMPUTED_VALUE"""),0.0)</f>
        <v>0</v>
      </c>
      <c r="I792" s="353"/>
      <c r="J792" s="353"/>
      <c r="K792" s="346">
        <f>IFERROR(__xludf.DUMMYFUNCTION("""COMPUTED_VALUE"""),0.0)</f>
        <v>0</v>
      </c>
      <c r="L792" s="347">
        <f>IFERROR(__xludf.DUMMYFUNCTION("""COMPUTED_VALUE"""),0.0)</f>
        <v>0</v>
      </c>
      <c r="M792" s="348">
        <f>IFERROR(__xludf.DUMMYFUNCTION("""COMPUTED_VALUE"""),0.0)</f>
        <v>0</v>
      </c>
      <c r="N792" s="348">
        <f>IFERROR(__xludf.DUMMYFUNCTION("""COMPUTED_VALUE"""),0.0)</f>
        <v>0</v>
      </c>
      <c r="O792" s="348">
        <f>IFERROR(__xludf.DUMMYFUNCTION("""COMPUTED_VALUE"""),0.0)</f>
        <v>0</v>
      </c>
      <c r="P792" s="348">
        <f>IFERROR(__xludf.DUMMYFUNCTION("""COMPUTED_VALUE"""),0.0)</f>
        <v>0</v>
      </c>
      <c r="Q792" s="348">
        <f>IFERROR(__xludf.DUMMYFUNCTION("""COMPUTED_VALUE"""),0.0)</f>
        <v>0</v>
      </c>
      <c r="R792" s="355" t="str">
        <f>IFERROR(__xludf.DUMMYFUNCTION("""COMPUTED_VALUE""")," Cash Proyek ")</f>
        <v>Cash Proyek</v>
      </c>
      <c r="S792" s="350"/>
      <c r="T792" s="262"/>
      <c r="U792" s="351"/>
      <c r="V792" s="262"/>
      <c r="W792" s="262"/>
      <c r="X792" s="262"/>
      <c r="Y792" s="262"/>
      <c r="Z792" s="262"/>
      <c r="AA792" s="262"/>
      <c r="AB792" s="262"/>
      <c r="AC792" s="262"/>
      <c r="AD792" s="262"/>
      <c r="AE792" s="262"/>
      <c r="AF792" s="262"/>
      <c r="AG792" s="264"/>
      <c r="AH792" s="264"/>
      <c r="AI792" s="264"/>
      <c r="AJ792" s="264"/>
      <c r="AK792" s="264"/>
      <c r="AL792" s="264"/>
      <c r="AM792" s="264"/>
      <c r="AN792" s="264"/>
    </row>
    <row r="793" ht="15.75" customHeight="1">
      <c r="A793" s="262"/>
      <c r="B793" s="338">
        <f>IFERROR(__xludf.DUMMYFUNCTION("""COMPUTED_VALUE"""),1274.0)</f>
        <v>1274</v>
      </c>
      <c r="C793" s="354"/>
      <c r="D793" s="340" t="str">
        <f>IFERROR(__xludf.DUMMYFUNCTION("""COMPUTED_VALUE"""),"")</f>
        <v/>
      </c>
      <c r="E793" s="341">
        <f>IFERROR(__xludf.DUMMYFUNCTION("""COMPUTED_VALUE"""),0.0)</f>
        <v>0</v>
      </c>
      <c r="F793" s="352"/>
      <c r="G793" s="343"/>
      <c r="H793" s="344">
        <f>IFERROR(__xludf.DUMMYFUNCTION("""COMPUTED_VALUE"""),0.0)</f>
        <v>0</v>
      </c>
      <c r="I793" s="353"/>
      <c r="J793" s="353"/>
      <c r="K793" s="346">
        <f>IFERROR(__xludf.DUMMYFUNCTION("""COMPUTED_VALUE"""),0.0)</f>
        <v>0</v>
      </c>
      <c r="L793" s="347">
        <f>IFERROR(__xludf.DUMMYFUNCTION("""COMPUTED_VALUE"""),0.0)</f>
        <v>0</v>
      </c>
      <c r="M793" s="348">
        <f>IFERROR(__xludf.DUMMYFUNCTION("""COMPUTED_VALUE"""),0.0)</f>
        <v>0</v>
      </c>
      <c r="N793" s="348">
        <f>IFERROR(__xludf.DUMMYFUNCTION("""COMPUTED_VALUE"""),0.0)</f>
        <v>0</v>
      </c>
      <c r="O793" s="348">
        <f>IFERROR(__xludf.DUMMYFUNCTION("""COMPUTED_VALUE"""),0.0)</f>
        <v>0</v>
      </c>
      <c r="P793" s="348">
        <f>IFERROR(__xludf.DUMMYFUNCTION("""COMPUTED_VALUE"""),0.0)</f>
        <v>0</v>
      </c>
      <c r="Q793" s="348">
        <f>IFERROR(__xludf.DUMMYFUNCTION("""COMPUTED_VALUE"""),0.0)</f>
        <v>0</v>
      </c>
      <c r="R793" s="355" t="str">
        <f>IFERROR(__xludf.DUMMYFUNCTION("""COMPUTED_VALUE""")," Cash Proyek ")</f>
        <v>Cash Proyek</v>
      </c>
      <c r="S793" s="350"/>
      <c r="T793" s="262"/>
      <c r="U793" s="351"/>
      <c r="V793" s="262"/>
      <c r="W793" s="262"/>
      <c r="X793" s="262"/>
      <c r="Y793" s="262"/>
      <c r="Z793" s="262"/>
      <c r="AA793" s="262"/>
      <c r="AB793" s="262"/>
      <c r="AC793" s="262"/>
      <c r="AD793" s="262"/>
      <c r="AE793" s="262"/>
      <c r="AF793" s="262"/>
      <c r="AG793" s="264"/>
      <c r="AH793" s="264"/>
      <c r="AI793" s="264"/>
      <c r="AJ793" s="264"/>
      <c r="AK793" s="264"/>
      <c r="AL793" s="264"/>
      <c r="AM793" s="264"/>
      <c r="AN793" s="264"/>
    </row>
    <row r="794" ht="15.75" customHeight="1">
      <c r="A794" s="262"/>
      <c r="B794" s="338">
        <f>IFERROR(__xludf.DUMMYFUNCTION("""COMPUTED_VALUE"""),1275.0)</f>
        <v>1275</v>
      </c>
      <c r="C794" s="354"/>
      <c r="D794" s="340" t="str">
        <f>IFERROR(__xludf.DUMMYFUNCTION("""COMPUTED_VALUE"""),"")</f>
        <v/>
      </c>
      <c r="E794" s="341">
        <f>IFERROR(__xludf.DUMMYFUNCTION("""COMPUTED_VALUE"""),0.0)</f>
        <v>0</v>
      </c>
      <c r="F794" s="352"/>
      <c r="G794" s="343"/>
      <c r="H794" s="344">
        <f>IFERROR(__xludf.DUMMYFUNCTION("""COMPUTED_VALUE"""),0.0)</f>
        <v>0</v>
      </c>
      <c r="I794" s="353"/>
      <c r="J794" s="353"/>
      <c r="K794" s="346">
        <f>IFERROR(__xludf.DUMMYFUNCTION("""COMPUTED_VALUE"""),0.0)</f>
        <v>0</v>
      </c>
      <c r="L794" s="347">
        <f>IFERROR(__xludf.DUMMYFUNCTION("""COMPUTED_VALUE"""),0.0)</f>
        <v>0</v>
      </c>
      <c r="M794" s="348">
        <f>IFERROR(__xludf.DUMMYFUNCTION("""COMPUTED_VALUE"""),0.0)</f>
        <v>0</v>
      </c>
      <c r="N794" s="348">
        <f>IFERROR(__xludf.DUMMYFUNCTION("""COMPUTED_VALUE"""),0.0)</f>
        <v>0</v>
      </c>
      <c r="O794" s="348">
        <f>IFERROR(__xludf.DUMMYFUNCTION("""COMPUTED_VALUE"""),0.0)</f>
        <v>0</v>
      </c>
      <c r="P794" s="348">
        <f>IFERROR(__xludf.DUMMYFUNCTION("""COMPUTED_VALUE"""),0.0)</f>
        <v>0</v>
      </c>
      <c r="Q794" s="348">
        <f>IFERROR(__xludf.DUMMYFUNCTION("""COMPUTED_VALUE"""),0.0)</f>
        <v>0</v>
      </c>
      <c r="R794" s="355" t="str">
        <f>IFERROR(__xludf.DUMMYFUNCTION("""COMPUTED_VALUE""")," Cash Proyek ")</f>
        <v>Cash Proyek</v>
      </c>
      <c r="S794" s="350"/>
      <c r="T794" s="262"/>
      <c r="U794" s="351"/>
      <c r="V794" s="262"/>
      <c r="W794" s="262"/>
      <c r="X794" s="262"/>
      <c r="Y794" s="262"/>
      <c r="Z794" s="262"/>
      <c r="AA794" s="262"/>
      <c r="AB794" s="262"/>
      <c r="AC794" s="262"/>
      <c r="AD794" s="262"/>
      <c r="AE794" s="262"/>
      <c r="AF794" s="262"/>
      <c r="AG794" s="264"/>
      <c r="AH794" s="264"/>
      <c r="AI794" s="264"/>
      <c r="AJ794" s="264"/>
      <c r="AK794" s="264"/>
      <c r="AL794" s="264"/>
      <c r="AM794" s="264"/>
      <c r="AN794" s="264"/>
    </row>
    <row r="795" ht="15.75" customHeight="1">
      <c r="A795" s="262"/>
      <c r="B795" s="338">
        <f>IFERROR(__xludf.DUMMYFUNCTION("""COMPUTED_VALUE"""),1276.0)</f>
        <v>1276</v>
      </c>
      <c r="C795" s="354"/>
      <c r="D795" s="340" t="str">
        <f>IFERROR(__xludf.DUMMYFUNCTION("""COMPUTED_VALUE"""),"")</f>
        <v/>
      </c>
      <c r="E795" s="341">
        <f>IFERROR(__xludf.DUMMYFUNCTION("""COMPUTED_VALUE"""),0.0)</f>
        <v>0</v>
      </c>
      <c r="F795" s="352"/>
      <c r="G795" s="343"/>
      <c r="H795" s="344">
        <f>IFERROR(__xludf.DUMMYFUNCTION("""COMPUTED_VALUE"""),0.0)</f>
        <v>0</v>
      </c>
      <c r="I795" s="353"/>
      <c r="J795" s="353"/>
      <c r="K795" s="346">
        <f>IFERROR(__xludf.DUMMYFUNCTION("""COMPUTED_VALUE"""),0.0)</f>
        <v>0</v>
      </c>
      <c r="L795" s="347">
        <f>IFERROR(__xludf.DUMMYFUNCTION("""COMPUTED_VALUE"""),0.0)</f>
        <v>0</v>
      </c>
      <c r="M795" s="348">
        <f>IFERROR(__xludf.DUMMYFUNCTION("""COMPUTED_VALUE"""),0.0)</f>
        <v>0</v>
      </c>
      <c r="N795" s="348">
        <f>IFERROR(__xludf.DUMMYFUNCTION("""COMPUTED_VALUE"""),0.0)</f>
        <v>0</v>
      </c>
      <c r="O795" s="348">
        <f>IFERROR(__xludf.DUMMYFUNCTION("""COMPUTED_VALUE"""),0.0)</f>
        <v>0</v>
      </c>
      <c r="P795" s="348">
        <f>IFERROR(__xludf.DUMMYFUNCTION("""COMPUTED_VALUE"""),0.0)</f>
        <v>0</v>
      </c>
      <c r="Q795" s="348">
        <f>IFERROR(__xludf.DUMMYFUNCTION("""COMPUTED_VALUE"""),0.0)</f>
        <v>0</v>
      </c>
      <c r="R795" s="355" t="str">
        <f>IFERROR(__xludf.DUMMYFUNCTION("""COMPUTED_VALUE""")," Cash Proyek ")</f>
        <v>Cash Proyek</v>
      </c>
      <c r="S795" s="350"/>
      <c r="T795" s="262"/>
      <c r="U795" s="351"/>
      <c r="V795" s="262"/>
      <c r="W795" s="262"/>
      <c r="X795" s="262"/>
      <c r="Y795" s="262"/>
      <c r="Z795" s="262"/>
      <c r="AA795" s="262"/>
      <c r="AB795" s="262"/>
      <c r="AC795" s="262"/>
      <c r="AD795" s="262"/>
      <c r="AE795" s="262"/>
      <c r="AF795" s="262"/>
      <c r="AG795" s="264"/>
      <c r="AH795" s="264"/>
      <c r="AI795" s="264"/>
      <c r="AJ795" s="264"/>
      <c r="AK795" s="264"/>
      <c r="AL795" s="264"/>
      <c r="AM795" s="264"/>
      <c r="AN795" s="264"/>
    </row>
    <row r="796" ht="15.75" customHeight="1">
      <c r="A796" s="262"/>
      <c r="B796" s="338">
        <f>IFERROR(__xludf.DUMMYFUNCTION("""COMPUTED_VALUE"""),1277.0)</f>
        <v>1277</v>
      </c>
      <c r="C796" s="354"/>
      <c r="D796" s="340" t="str">
        <f>IFERROR(__xludf.DUMMYFUNCTION("""COMPUTED_VALUE"""),"")</f>
        <v/>
      </c>
      <c r="E796" s="341">
        <f>IFERROR(__xludf.DUMMYFUNCTION("""COMPUTED_VALUE"""),0.0)</f>
        <v>0</v>
      </c>
      <c r="F796" s="352"/>
      <c r="G796" s="343"/>
      <c r="H796" s="344">
        <f>IFERROR(__xludf.DUMMYFUNCTION("""COMPUTED_VALUE"""),0.0)</f>
        <v>0</v>
      </c>
      <c r="I796" s="353"/>
      <c r="J796" s="353"/>
      <c r="K796" s="346">
        <f>IFERROR(__xludf.DUMMYFUNCTION("""COMPUTED_VALUE"""),0.0)</f>
        <v>0</v>
      </c>
      <c r="L796" s="347">
        <f>IFERROR(__xludf.DUMMYFUNCTION("""COMPUTED_VALUE"""),0.0)</f>
        <v>0</v>
      </c>
      <c r="M796" s="348">
        <f>IFERROR(__xludf.DUMMYFUNCTION("""COMPUTED_VALUE"""),0.0)</f>
        <v>0</v>
      </c>
      <c r="N796" s="348">
        <f>IFERROR(__xludf.DUMMYFUNCTION("""COMPUTED_VALUE"""),0.0)</f>
        <v>0</v>
      </c>
      <c r="O796" s="348">
        <f>IFERROR(__xludf.DUMMYFUNCTION("""COMPUTED_VALUE"""),0.0)</f>
        <v>0</v>
      </c>
      <c r="P796" s="348">
        <f>IFERROR(__xludf.DUMMYFUNCTION("""COMPUTED_VALUE"""),0.0)</f>
        <v>0</v>
      </c>
      <c r="Q796" s="348">
        <f>IFERROR(__xludf.DUMMYFUNCTION("""COMPUTED_VALUE"""),0.0)</f>
        <v>0</v>
      </c>
      <c r="R796" s="355" t="str">
        <f>IFERROR(__xludf.DUMMYFUNCTION("""COMPUTED_VALUE""")," Cash Proyek ")</f>
        <v>Cash Proyek</v>
      </c>
      <c r="S796" s="350"/>
      <c r="T796" s="262"/>
      <c r="U796" s="351"/>
      <c r="V796" s="262"/>
      <c r="W796" s="262"/>
      <c r="X796" s="262"/>
      <c r="Y796" s="262"/>
      <c r="Z796" s="262"/>
      <c r="AA796" s="262"/>
      <c r="AB796" s="262"/>
      <c r="AC796" s="262"/>
      <c r="AD796" s="262"/>
      <c r="AE796" s="262"/>
      <c r="AF796" s="262"/>
      <c r="AG796" s="264"/>
      <c r="AH796" s="264"/>
      <c r="AI796" s="264"/>
      <c r="AJ796" s="264"/>
      <c r="AK796" s="264"/>
      <c r="AL796" s="264"/>
      <c r="AM796" s="264"/>
      <c r="AN796" s="264"/>
    </row>
    <row r="797" ht="15.75" customHeight="1">
      <c r="A797" s="262"/>
      <c r="B797" s="338">
        <f>IFERROR(__xludf.DUMMYFUNCTION("""COMPUTED_VALUE"""),1278.0)</f>
        <v>1278</v>
      </c>
      <c r="C797" s="354"/>
      <c r="D797" s="340" t="str">
        <f>IFERROR(__xludf.DUMMYFUNCTION("""COMPUTED_VALUE"""),"")</f>
        <v/>
      </c>
      <c r="E797" s="341">
        <f>IFERROR(__xludf.DUMMYFUNCTION("""COMPUTED_VALUE"""),0.0)</f>
        <v>0</v>
      </c>
      <c r="F797" s="352"/>
      <c r="G797" s="343"/>
      <c r="H797" s="344">
        <f>IFERROR(__xludf.DUMMYFUNCTION("""COMPUTED_VALUE"""),0.0)</f>
        <v>0</v>
      </c>
      <c r="I797" s="353"/>
      <c r="J797" s="353"/>
      <c r="K797" s="346">
        <f>IFERROR(__xludf.DUMMYFUNCTION("""COMPUTED_VALUE"""),0.0)</f>
        <v>0</v>
      </c>
      <c r="L797" s="347">
        <f>IFERROR(__xludf.DUMMYFUNCTION("""COMPUTED_VALUE"""),0.0)</f>
        <v>0</v>
      </c>
      <c r="M797" s="348">
        <f>IFERROR(__xludf.DUMMYFUNCTION("""COMPUTED_VALUE"""),0.0)</f>
        <v>0</v>
      </c>
      <c r="N797" s="348">
        <f>IFERROR(__xludf.DUMMYFUNCTION("""COMPUTED_VALUE"""),0.0)</f>
        <v>0</v>
      </c>
      <c r="O797" s="348">
        <f>IFERROR(__xludf.DUMMYFUNCTION("""COMPUTED_VALUE"""),0.0)</f>
        <v>0</v>
      </c>
      <c r="P797" s="348">
        <f>IFERROR(__xludf.DUMMYFUNCTION("""COMPUTED_VALUE"""),0.0)</f>
        <v>0</v>
      </c>
      <c r="Q797" s="348">
        <f>IFERROR(__xludf.DUMMYFUNCTION("""COMPUTED_VALUE"""),0.0)</f>
        <v>0</v>
      </c>
      <c r="R797" s="355" t="str">
        <f>IFERROR(__xludf.DUMMYFUNCTION("""COMPUTED_VALUE""")," Cash Proyek ")</f>
        <v>Cash Proyek</v>
      </c>
      <c r="S797" s="350"/>
      <c r="T797" s="262"/>
      <c r="U797" s="351"/>
      <c r="V797" s="262"/>
      <c r="W797" s="262"/>
      <c r="X797" s="262"/>
      <c r="Y797" s="262"/>
      <c r="Z797" s="262"/>
      <c r="AA797" s="262"/>
      <c r="AB797" s="262"/>
      <c r="AC797" s="262"/>
      <c r="AD797" s="262"/>
      <c r="AE797" s="262"/>
      <c r="AF797" s="262"/>
      <c r="AG797" s="264"/>
      <c r="AH797" s="264"/>
      <c r="AI797" s="264"/>
      <c r="AJ797" s="264"/>
      <c r="AK797" s="264"/>
      <c r="AL797" s="264"/>
      <c r="AM797" s="264"/>
      <c r="AN797" s="264"/>
    </row>
    <row r="798" ht="15.75" customHeight="1">
      <c r="A798" s="262"/>
      <c r="B798" s="338">
        <f>IFERROR(__xludf.DUMMYFUNCTION("""COMPUTED_VALUE"""),1279.0)</f>
        <v>1279</v>
      </c>
      <c r="C798" s="354"/>
      <c r="D798" s="340" t="str">
        <f>IFERROR(__xludf.DUMMYFUNCTION("""COMPUTED_VALUE"""),"")</f>
        <v/>
      </c>
      <c r="E798" s="341">
        <f>IFERROR(__xludf.DUMMYFUNCTION("""COMPUTED_VALUE"""),0.0)</f>
        <v>0</v>
      </c>
      <c r="F798" s="352"/>
      <c r="G798" s="343"/>
      <c r="H798" s="344">
        <f>IFERROR(__xludf.DUMMYFUNCTION("""COMPUTED_VALUE"""),0.0)</f>
        <v>0</v>
      </c>
      <c r="I798" s="353"/>
      <c r="J798" s="353"/>
      <c r="K798" s="346">
        <f>IFERROR(__xludf.DUMMYFUNCTION("""COMPUTED_VALUE"""),0.0)</f>
        <v>0</v>
      </c>
      <c r="L798" s="347">
        <f>IFERROR(__xludf.DUMMYFUNCTION("""COMPUTED_VALUE"""),0.0)</f>
        <v>0</v>
      </c>
      <c r="M798" s="348">
        <f>IFERROR(__xludf.DUMMYFUNCTION("""COMPUTED_VALUE"""),0.0)</f>
        <v>0</v>
      </c>
      <c r="N798" s="348">
        <f>IFERROR(__xludf.DUMMYFUNCTION("""COMPUTED_VALUE"""),0.0)</f>
        <v>0</v>
      </c>
      <c r="O798" s="348">
        <f>IFERROR(__xludf.DUMMYFUNCTION("""COMPUTED_VALUE"""),0.0)</f>
        <v>0</v>
      </c>
      <c r="P798" s="348">
        <f>IFERROR(__xludf.DUMMYFUNCTION("""COMPUTED_VALUE"""),0.0)</f>
        <v>0</v>
      </c>
      <c r="Q798" s="348">
        <f>IFERROR(__xludf.DUMMYFUNCTION("""COMPUTED_VALUE"""),0.0)</f>
        <v>0</v>
      </c>
      <c r="R798" s="355" t="str">
        <f>IFERROR(__xludf.DUMMYFUNCTION("""COMPUTED_VALUE""")," Cash Proyek ")</f>
        <v>Cash Proyek</v>
      </c>
      <c r="S798" s="350"/>
      <c r="T798" s="262"/>
      <c r="U798" s="351"/>
      <c r="V798" s="262"/>
      <c r="W798" s="262"/>
      <c r="X798" s="262"/>
      <c r="Y798" s="262"/>
      <c r="Z798" s="262"/>
      <c r="AA798" s="262"/>
      <c r="AB798" s="262"/>
      <c r="AC798" s="262"/>
      <c r="AD798" s="262"/>
      <c r="AE798" s="262"/>
      <c r="AF798" s="262"/>
      <c r="AG798" s="264"/>
      <c r="AH798" s="264"/>
      <c r="AI798" s="264"/>
      <c r="AJ798" s="264"/>
      <c r="AK798" s="264"/>
      <c r="AL798" s="264"/>
      <c r="AM798" s="264"/>
      <c r="AN798" s="264"/>
    </row>
    <row r="799" ht="15.75" customHeight="1">
      <c r="A799" s="262"/>
      <c r="B799" s="338">
        <f>IFERROR(__xludf.DUMMYFUNCTION("""COMPUTED_VALUE"""),1280.0)</f>
        <v>1280</v>
      </c>
      <c r="C799" s="354"/>
      <c r="D799" s="340" t="str">
        <f>IFERROR(__xludf.DUMMYFUNCTION("""COMPUTED_VALUE"""),"")</f>
        <v/>
      </c>
      <c r="E799" s="341">
        <f>IFERROR(__xludf.DUMMYFUNCTION("""COMPUTED_VALUE"""),0.0)</f>
        <v>0</v>
      </c>
      <c r="F799" s="352"/>
      <c r="G799" s="343"/>
      <c r="H799" s="344">
        <f>IFERROR(__xludf.DUMMYFUNCTION("""COMPUTED_VALUE"""),0.0)</f>
        <v>0</v>
      </c>
      <c r="I799" s="353"/>
      <c r="J799" s="353"/>
      <c r="K799" s="346">
        <f>IFERROR(__xludf.DUMMYFUNCTION("""COMPUTED_VALUE"""),0.0)</f>
        <v>0</v>
      </c>
      <c r="L799" s="347">
        <f>IFERROR(__xludf.DUMMYFUNCTION("""COMPUTED_VALUE"""),0.0)</f>
        <v>0</v>
      </c>
      <c r="M799" s="348">
        <f>IFERROR(__xludf.DUMMYFUNCTION("""COMPUTED_VALUE"""),0.0)</f>
        <v>0</v>
      </c>
      <c r="N799" s="348">
        <f>IFERROR(__xludf.DUMMYFUNCTION("""COMPUTED_VALUE"""),0.0)</f>
        <v>0</v>
      </c>
      <c r="O799" s="348">
        <f>IFERROR(__xludf.DUMMYFUNCTION("""COMPUTED_VALUE"""),0.0)</f>
        <v>0</v>
      </c>
      <c r="P799" s="348">
        <f>IFERROR(__xludf.DUMMYFUNCTION("""COMPUTED_VALUE"""),0.0)</f>
        <v>0</v>
      </c>
      <c r="Q799" s="348">
        <f>IFERROR(__xludf.DUMMYFUNCTION("""COMPUTED_VALUE"""),0.0)</f>
        <v>0</v>
      </c>
      <c r="R799" s="355" t="str">
        <f>IFERROR(__xludf.DUMMYFUNCTION("""COMPUTED_VALUE""")," Cash Proyek ")</f>
        <v>Cash Proyek</v>
      </c>
      <c r="S799" s="350"/>
      <c r="T799" s="262"/>
      <c r="U799" s="351"/>
      <c r="V799" s="262"/>
      <c r="W799" s="262"/>
      <c r="X799" s="262"/>
      <c r="Y799" s="262"/>
      <c r="Z799" s="262"/>
      <c r="AA799" s="262"/>
      <c r="AB799" s="262"/>
      <c r="AC799" s="262"/>
      <c r="AD799" s="262"/>
      <c r="AE799" s="262"/>
      <c r="AF799" s="262"/>
      <c r="AG799" s="264"/>
      <c r="AH799" s="264"/>
      <c r="AI799" s="264"/>
      <c r="AJ799" s="264"/>
      <c r="AK799" s="264"/>
      <c r="AL799" s="264"/>
      <c r="AM799" s="264"/>
      <c r="AN799" s="264"/>
    </row>
    <row r="800" ht="15.75" customHeight="1">
      <c r="A800" s="262"/>
      <c r="B800" s="338">
        <f>IFERROR(__xludf.DUMMYFUNCTION("""COMPUTED_VALUE"""),1281.0)</f>
        <v>1281</v>
      </c>
      <c r="C800" s="354"/>
      <c r="D800" s="340" t="str">
        <f>IFERROR(__xludf.DUMMYFUNCTION("""COMPUTED_VALUE"""),"")</f>
        <v/>
      </c>
      <c r="E800" s="341">
        <f>IFERROR(__xludf.DUMMYFUNCTION("""COMPUTED_VALUE"""),0.0)</f>
        <v>0</v>
      </c>
      <c r="F800" s="352"/>
      <c r="G800" s="343"/>
      <c r="H800" s="344">
        <f>IFERROR(__xludf.DUMMYFUNCTION("""COMPUTED_VALUE"""),0.0)</f>
        <v>0</v>
      </c>
      <c r="I800" s="353"/>
      <c r="J800" s="353"/>
      <c r="K800" s="346">
        <f>IFERROR(__xludf.DUMMYFUNCTION("""COMPUTED_VALUE"""),0.0)</f>
        <v>0</v>
      </c>
      <c r="L800" s="347">
        <f>IFERROR(__xludf.DUMMYFUNCTION("""COMPUTED_VALUE"""),0.0)</f>
        <v>0</v>
      </c>
      <c r="M800" s="348">
        <f>IFERROR(__xludf.DUMMYFUNCTION("""COMPUTED_VALUE"""),0.0)</f>
        <v>0</v>
      </c>
      <c r="N800" s="348">
        <f>IFERROR(__xludf.DUMMYFUNCTION("""COMPUTED_VALUE"""),0.0)</f>
        <v>0</v>
      </c>
      <c r="O800" s="348">
        <f>IFERROR(__xludf.DUMMYFUNCTION("""COMPUTED_VALUE"""),0.0)</f>
        <v>0</v>
      </c>
      <c r="P800" s="348">
        <f>IFERROR(__xludf.DUMMYFUNCTION("""COMPUTED_VALUE"""),0.0)</f>
        <v>0</v>
      </c>
      <c r="Q800" s="348">
        <f>IFERROR(__xludf.DUMMYFUNCTION("""COMPUTED_VALUE"""),0.0)</f>
        <v>0</v>
      </c>
      <c r="R800" s="355" t="str">
        <f>IFERROR(__xludf.DUMMYFUNCTION("""COMPUTED_VALUE""")," Cash Proyek ")</f>
        <v>Cash Proyek</v>
      </c>
      <c r="S800" s="350"/>
      <c r="T800" s="262"/>
      <c r="U800" s="351"/>
      <c r="V800" s="262"/>
      <c r="W800" s="262"/>
      <c r="X800" s="262"/>
      <c r="Y800" s="262"/>
      <c r="Z800" s="262"/>
      <c r="AA800" s="262"/>
      <c r="AB800" s="262"/>
      <c r="AC800" s="262"/>
      <c r="AD800" s="262"/>
      <c r="AE800" s="262"/>
      <c r="AF800" s="262"/>
      <c r="AG800" s="264"/>
      <c r="AH800" s="264"/>
      <c r="AI800" s="264"/>
      <c r="AJ800" s="264"/>
      <c r="AK800" s="264"/>
      <c r="AL800" s="264"/>
      <c r="AM800" s="264"/>
      <c r="AN800" s="264"/>
    </row>
    <row r="801" ht="15.75" customHeight="1">
      <c r="A801" s="262"/>
      <c r="B801" s="338">
        <f>IFERROR(__xludf.DUMMYFUNCTION("""COMPUTED_VALUE"""),1282.0)</f>
        <v>1282</v>
      </c>
      <c r="C801" s="354"/>
      <c r="D801" s="340" t="str">
        <f>IFERROR(__xludf.DUMMYFUNCTION("""COMPUTED_VALUE"""),"")</f>
        <v/>
      </c>
      <c r="E801" s="341">
        <f>IFERROR(__xludf.DUMMYFUNCTION("""COMPUTED_VALUE"""),0.0)</f>
        <v>0</v>
      </c>
      <c r="F801" s="352"/>
      <c r="G801" s="343"/>
      <c r="H801" s="344">
        <f>IFERROR(__xludf.DUMMYFUNCTION("""COMPUTED_VALUE"""),0.0)</f>
        <v>0</v>
      </c>
      <c r="I801" s="353"/>
      <c r="J801" s="353"/>
      <c r="K801" s="346">
        <f>IFERROR(__xludf.DUMMYFUNCTION("""COMPUTED_VALUE"""),0.0)</f>
        <v>0</v>
      </c>
      <c r="L801" s="347">
        <f>IFERROR(__xludf.DUMMYFUNCTION("""COMPUTED_VALUE"""),0.0)</f>
        <v>0</v>
      </c>
      <c r="M801" s="348">
        <f>IFERROR(__xludf.DUMMYFUNCTION("""COMPUTED_VALUE"""),0.0)</f>
        <v>0</v>
      </c>
      <c r="N801" s="348">
        <f>IFERROR(__xludf.DUMMYFUNCTION("""COMPUTED_VALUE"""),0.0)</f>
        <v>0</v>
      </c>
      <c r="O801" s="348">
        <f>IFERROR(__xludf.DUMMYFUNCTION("""COMPUTED_VALUE"""),0.0)</f>
        <v>0</v>
      </c>
      <c r="P801" s="348">
        <f>IFERROR(__xludf.DUMMYFUNCTION("""COMPUTED_VALUE"""),0.0)</f>
        <v>0</v>
      </c>
      <c r="Q801" s="348">
        <f>IFERROR(__xludf.DUMMYFUNCTION("""COMPUTED_VALUE"""),0.0)</f>
        <v>0</v>
      </c>
      <c r="R801" s="355" t="str">
        <f>IFERROR(__xludf.DUMMYFUNCTION("""COMPUTED_VALUE""")," Cash Proyek ")</f>
        <v>Cash Proyek</v>
      </c>
      <c r="S801" s="350"/>
      <c r="T801" s="262"/>
      <c r="U801" s="351"/>
      <c r="V801" s="262"/>
      <c r="W801" s="262"/>
      <c r="X801" s="262"/>
      <c r="Y801" s="262"/>
      <c r="Z801" s="262"/>
      <c r="AA801" s="262"/>
      <c r="AB801" s="262"/>
      <c r="AC801" s="262"/>
      <c r="AD801" s="262"/>
      <c r="AE801" s="262"/>
      <c r="AF801" s="262"/>
      <c r="AG801" s="264"/>
      <c r="AH801" s="264"/>
      <c r="AI801" s="264"/>
      <c r="AJ801" s="264"/>
      <c r="AK801" s="264"/>
      <c r="AL801" s="264"/>
      <c r="AM801" s="264"/>
      <c r="AN801" s="264"/>
    </row>
    <row r="802" ht="15.75" customHeight="1">
      <c r="A802" s="262"/>
      <c r="B802" s="338">
        <f>IFERROR(__xludf.DUMMYFUNCTION("""COMPUTED_VALUE"""),1283.0)</f>
        <v>1283</v>
      </c>
      <c r="C802" s="354"/>
      <c r="D802" s="340" t="str">
        <f>IFERROR(__xludf.DUMMYFUNCTION("""COMPUTED_VALUE"""),"")</f>
        <v/>
      </c>
      <c r="E802" s="341">
        <f>IFERROR(__xludf.DUMMYFUNCTION("""COMPUTED_VALUE"""),0.0)</f>
        <v>0</v>
      </c>
      <c r="F802" s="352"/>
      <c r="G802" s="343"/>
      <c r="H802" s="344">
        <f>IFERROR(__xludf.DUMMYFUNCTION("""COMPUTED_VALUE"""),0.0)</f>
        <v>0</v>
      </c>
      <c r="I802" s="353"/>
      <c r="J802" s="353"/>
      <c r="K802" s="346">
        <f>IFERROR(__xludf.DUMMYFUNCTION("""COMPUTED_VALUE"""),0.0)</f>
        <v>0</v>
      </c>
      <c r="L802" s="347">
        <f>IFERROR(__xludf.DUMMYFUNCTION("""COMPUTED_VALUE"""),0.0)</f>
        <v>0</v>
      </c>
      <c r="M802" s="348">
        <f>IFERROR(__xludf.DUMMYFUNCTION("""COMPUTED_VALUE"""),0.0)</f>
        <v>0</v>
      </c>
      <c r="N802" s="348">
        <f>IFERROR(__xludf.DUMMYFUNCTION("""COMPUTED_VALUE"""),0.0)</f>
        <v>0</v>
      </c>
      <c r="O802" s="348">
        <f>IFERROR(__xludf.DUMMYFUNCTION("""COMPUTED_VALUE"""),0.0)</f>
        <v>0</v>
      </c>
      <c r="P802" s="348">
        <f>IFERROR(__xludf.DUMMYFUNCTION("""COMPUTED_VALUE"""),0.0)</f>
        <v>0</v>
      </c>
      <c r="Q802" s="348">
        <f>IFERROR(__xludf.DUMMYFUNCTION("""COMPUTED_VALUE"""),0.0)</f>
        <v>0</v>
      </c>
      <c r="R802" s="355" t="str">
        <f>IFERROR(__xludf.DUMMYFUNCTION("""COMPUTED_VALUE""")," Cash Proyek ")</f>
        <v>Cash Proyek</v>
      </c>
      <c r="S802" s="350"/>
      <c r="T802" s="262"/>
      <c r="U802" s="351"/>
      <c r="V802" s="262"/>
      <c r="W802" s="262"/>
      <c r="X802" s="262"/>
      <c r="Y802" s="262"/>
      <c r="Z802" s="262"/>
      <c r="AA802" s="262"/>
      <c r="AB802" s="262"/>
      <c r="AC802" s="262"/>
      <c r="AD802" s="262"/>
      <c r="AE802" s="262"/>
      <c r="AF802" s="262"/>
      <c r="AG802" s="264"/>
      <c r="AH802" s="264"/>
      <c r="AI802" s="264"/>
      <c r="AJ802" s="264"/>
      <c r="AK802" s="264"/>
      <c r="AL802" s="264"/>
      <c r="AM802" s="264"/>
      <c r="AN802" s="264"/>
    </row>
    <row r="803" ht="15.75" customHeight="1">
      <c r="A803" s="262"/>
      <c r="B803" s="338">
        <f>IFERROR(__xludf.DUMMYFUNCTION("""COMPUTED_VALUE"""),1284.0)</f>
        <v>1284</v>
      </c>
      <c r="C803" s="354"/>
      <c r="D803" s="340" t="str">
        <f>IFERROR(__xludf.DUMMYFUNCTION("""COMPUTED_VALUE"""),"")</f>
        <v/>
      </c>
      <c r="E803" s="341">
        <f>IFERROR(__xludf.DUMMYFUNCTION("""COMPUTED_VALUE"""),0.0)</f>
        <v>0</v>
      </c>
      <c r="F803" s="352"/>
      <c r="G803" s="343"/>
      <c r="H803" s="344">
        <f>IFERROR(__xludf.DUMMYFUNCTION("""COMPUTED_VALUE"""),0.0)</f>
        <v>0</v>
      </c>
      <c r="I803" s="353"/>
      <c r="J803" s="353"/>
      <c r="K803" s="346">
        <f>IFERROR(__xludf.DUMMYFUNCTION("""COMPUTED_VALUE"""),0.0)</f>
        <v>0</v>
      </c>
      <c r="L803" s="347">
        <f>IFERROR(__xludf.DUMMYFUNCTION("""COMPUTED_VALUE"""),0.0)</f>
        <v>0</v>
      </c>
      <c r="M803" s="348">
        <f>IFERROR(__xludf.DUMMYFUNCTION("""COMPUTED_VALUE"""),0.0)</f>
        <v>0</v>
      </c>
      <c r="N803" s="348">
        <f>IFERROR(__xludf.DUMMYFUNCTION("""COMPUTED_VALUE"""),0.0)</f>
        <v>0</v>
      </c>
      <c r="O803" s="348">
        <f>IFERROR(__xludf.DUMMYFUNCTION("""COMPUTED_VALUE"""),0.0)</f>
        <v>0</v>
      </c>
      <c r="P803" s="348">
        <f>IFERROR(__xludf.DUMMYFUNCTION("""COMPUTED_VALUE"""),0.0)</f>
        <v>0</v>
      </c>
      <c r="Q803" s="348">
        <f>IFERROR(__xludf.DUMMYFUNCTION("""COMPUTED_VALUE"""),0.0)</f>
        <v>0</v>
      </c>
      <c r="R803" s="355" t="str">
        <f>IFERROR(__xludf.DUMMYFUNCTION("""COMPUTED_VALUE""")," Cash Proyek ")</f>
        <v>Cash Proyek</v>
      </c>
      <c r="S803" s="350"/>
      <c r="T803" s="262"/>
      <c r="U803" s="351"/>
      <c r="V803" s="262"/>
      <c r="W803" s="262"/>
      <c r="X803" s="262"/>
      <c r="Y803" s="262"/>
      <c r="Z803" s="262"/>
      <c r="AA803" s="262"/>
      <c r="AB803" s="262"/>
      <c r="AC803" s="262"/>
      <c r="AD803" s="262"/>
      <c r="AE803" s="262"/>
      <c r="AF803" s="262"/>
      <c r="AG803" s="264"/>
      <c r="AH803" s="264"/>
      <c r="AI803" s="264"/>
      <c r="AJ803" s="264"/>
      <c r="AK803" s="264"/>
      <c r="AL803" s="264"/>
      <c r="AM803" s="264"/>
      <c r="AN803" s="264"/>
    </row>
    <row r="804" ht="15.75" customHeight="1">
      <c r="A804" s="262"/>
      <c r="B804" s="338">
        <f>IFERROR(__xludf.DUMMYFUNCTION("""COMPUTED_VALUE"""),1285.0)</f>
        <v>1285</v>
      </c>
      <c r="C804" s="354"/>
      <c r="D804" s="340" t="str">
        <f>IFERROR(__xludf.DUMMYFUNCTION("""COMPUTED_VALUE"""),"")</f>
        <v/>
      </c>
      <c r="E804" s="341">
        <f>IFERROR(__xludf.DUMMYFUNCTION("""COMPUTED_VALUE"""),0.0)</f>
        <v>0</v>
      </c>
      <c r="F804" s="352"/>
      <c r="G804" s="343"/>
      <c r="H804" s="344">
        <f>IFERROR(__xludf.DUMMYFUNCTION("""COMPUTED_VALUE"""),0.0)</f>
        <v>0</v>
      </c>
      <c r="I804" s="353"/>
      <c r="J804" s="353"/>
      <c r="K804" s="346">
        <f>IFERROR(__xludf.DUMMYFUNCTION("""COMPUTED_VALUE"""),0.0)</f>
        <v>0</v>
      </c>
      <c r="L804" s="347">
        <f>IFERROR(__xludf.DUMMYFUNCTION("""COMPUTED_VALUE"""),0.0)</f>
        <v>0</v>
      </c>
      <c r="M804" s="348">
        <f>IFERROR(__xludf.DUMMYFUNCTION("""COMPUTED_VALUE"""),0.0)</f>
        <v>0</v>
      </c>
      <c r="N804" s="348">
        <f>IFERROR(__xludf.DUMMYFUNCTION("""COMPUTED_VALUE"""),0.0)</f>
        <v>0</v>
      </c>
      <c r="O804" s="348">
        <f>IFERROR(__xludf.DUMMYFUNCTION("""COMPUTED_VALUE"""),0.0)</f>
        <v>0</v>
      </c>
      <c r="P804" s="348">
        <f>IFERROR(__xludf.DUMMYFUNCTION("""COMPUTED_VALUE"""),0.0)</f>
        <v>0</v>
      </c>
      <c r="Q804" s="348">
        <f>IFERROR(__xludf.DUMMYFUNCTION("""COMPUTED_VALUE"""),0.0)</f>
        <v>0</v>
      </c>
      <c r="R804" s="355" t="str">
        <f>IFERROR(__xludf.DUMMYFUNCTION("""COMPUTED_VALUE""")," Cash Proyek ")</f>
        <v>Cash Proyek</v>
      </c>
      <c r="S804" s="350"/>
      <c r="T804" s="262"/>
      <c r="U804" s="351"/>
      <c r="V804" s="262"/>
      <c r="W804" s="262"/>
      <c r="X804" s="262"/>
      <c r="Y804" s="262"/>
      <c r="Z804" s="262"/>
      <c r="AA804" s="262"/>
      <c r="AB804" s="262"/>
      <c r="AC804" s="262"/>
      <c r="AD804" s="262"/>
      <c r="AE804" s="262"/>
      <c r="AF804" s="262"/>
      <c r="AG804" s="264"/>
      <c r="AH804" s="264"/>
      <c r="AI804" s="264"/>
      <c r="AJ804" s="264"/>
      <c r="AK804" s="264"/>
      <c r="AL804" s="264"/>
      <c r="AM804" s="264"/>
      <c r="AN804" s="264"/>
    </row>
    <row r="805" ht="15.75" customHeight="1">
      <c r="A805" s="262"/>
      <c r="B805" s="338">
        <f>IFERROR(__xludf.DUMMYFUNCTION("""COMPUTED_VALUE"""),1286.0)</f>
        <v>1286</v>
      </c>
      <c r="C805" s="354"/>
      <c r="D805" s="340" t="str">
        <f>IFERROR(__xludf.DUMMYFUNCTION("""COMPUTED_VALUE"""),"")</f>
        <v/>
      </c>
      <c r="E805" s="341">
        <f>IFERROR(__xludf.DUMMYFUNCTION("""COMPUTED_VALUE"""),0.0)</f>
        <v>0</v>
      </c>
      <c r="F805" s="352"/>
      <c r="G805" s="343"/>
      <c r="H805" s="344">
        <f>IFERROR(__xludf.DUMMYFUNCTION("""COMPUTED_VALUE"""),0.0)</f>
        <v>0</v>
      </c>
      <c r="I805" s="353"/>
      <c r="J805" s="353"/>
      <c r="K805" s="346">
        <f>IFERROR(__xludf.DUMMYFUNCTION("""COMPUTED_VALUE"""),0.0)</f>
        <v>0</v>
      </c>
      <c r="L805" s="347">
        <f>IFERROR(__xludf.DUMMYFUNCTION("""COMPUTED_VALUE"""),0.0)</f>
        <v>0</v>
      </c>
      <c r="M805" s="348">
        <f>IFERROR(__xludf.DUMMYFUNCTION("""COMPUTED_VALUE"""),0.0)</f>
        <v>0</v>
      </c>
      <c r="N805" s="348">
        <f>IFERROR(__xludf.DUMMYFUNCTION("""COMPUTED_VALUE"""),0.0)</f>
        <v>0</v>
      </c>
      <c r="O805" s="348">
        <f>IFERROR(__xludf.DUMMYFUNCTION("""COMPUTED_VALUE"""),0.0)</f>
        <v>0</v>
      </c>
      <c r="P805" s="348">
        <f>IFERROR(__xludf.DUMMYFUNCTION("""COMPUTED_VALUE"""),0.0)</f>
        <v>0</v>
      </c>
      <c r="Q805" s="348">
        <f>IFERROR(__xludf.DUMMYFUNCTION("""COMPUTED_VALUE"""),0.0)</f>
        <v>0</v>
      </c>
      <c r="R805" s="355" t="str">
        <f>IFERROR(__xludf.DUMMYFUNCTION("""COMPUTED_VALUE""")," Cash Proyek ")</f>
        <v>Cash Proyek</v>
      </c>
      <c r="S805" s="350"/>
      <c r="T805" s="262"/>
      <c r="U805" s="351"/>
      <c r="V805" s="262"/>
      <c r="W805" s="262"/>
      <c r="X805" s="262"/>
      <c r="Y805" s="262"/>
      <c r="Z805" s="262"/>
      <c r="AA805" s="262"/>
      <c r="AB805" s="262"/>
      <c r="AC805" s="262"/>
      <c r="AD805" s="262"/>
      <c r="AE805" s="262"/>
      <c r="AF805" s="262"/>
      <c r="AG805" s="264"/>
      <c r="AH805" s="264"/>
      <c r="AI805" s="264"/>
      <c r="AJ805" s="264"/>
      <c r="AK805" s="264"/>
      <c r="AL805" s="264"/>
      <c r="AM805" s="264"/>
      <c r="AN805" s="264"/>
    </row>
    <row r="806" ht="15.75" customHeight="1">
      <c r="A806" s="262"/>
      <c r="B806" s="338">
        <f>IFERROR(__xludf.DUMMYFUNCTION("""COMPUTED_VALUE"""),1287.0)</f>
        <v>1287</v>
      </c>
      <c r="C806" s="354"/>
      <c r="D806" s="340" t="str">
        <f>IFERROR(__xludf.DUMMYFUNCTION("""COMPUTED_VALUE"""),"")</f>
        <v/>
      </c>
      <c r="E806" s="341">
        <f>IFERROR(__xludf.DUMMYFUNCTION("""COMPUTED_VALUE"""),0.0)</f>
        <v>0</v>
      </c>
      <c r="F806" s="352"/>
      <c r="G806" s="343"/>
      <c r="H806" s="344">
        <f>IFERROR(__xludf.DUMMYFUNCTION("""COMPUTED_VALUE"""),0.0)</f>
        <v>0</v>
      </c>
      <c r="I806" s="353"/>
      <c r="J806" s="353"/>
      <c r="K806" s="346">
        <f>IFERROR(__xludf.DUMMYFUNCTION("""COMPUTED_VALUE"""),0.0)</f>
        <v>0</v>
      </c>
      <c r="L806" s="347">
        <f>IFERROR(__xludf.DUMMYFUNCTION("""COMPUTED_VALUE"""),0.0)</f>
        <v>0</v>
      </c>
      <c r="M806" s="348">
        <f>IFERROR(__xludf.DUMMYFUNCTION("""COMPUTED_VALUE"""),0.0)</f>
        <v>0</v>
      </c>
      <c r="N806" s="348">
        <f>IFERROR(__xludf.DUMMYFUNCTION("""COMPUTED_VALUE"""),0.0)</f>
        <v>0</v>
      </c>
      <c r="O806" s="348">
        <f>IFERROR(__xludf.DUMMYFUNCTION("""COMPUTED_VALUE"""),0.0)</f>
        <v>0</v>
      </c>
      <c r="P806" s="348">
        <f>IFERROR(__xludf.DUMMYFUNCTION("""COMPUTED_VALUE"""),0.0)</f>
        <v>0</v>
      </c>
      <c r="Q806" s="348">
        <f>IFERROR(__xludf.DUMMYFUNCTION("""COMPUTED_VALUE"""),0.0)</f>
        <v>0</v>
      </c>
      <c r="R806" s="355" t="str">
        <f>IFERROR(__xludf.DUMMYFUNCTION("""COMPUTED_VALUE""")," Cash Proyek ")</f>
        <v>Cash Proyek</v>
      </c>
      <c r="S806" s="350"/>
      <c r="T806" s="262"/>
      <c r="U806" s="351"/>
      <c r="V806" s="262"/>
      <c r="W806" s="262"/>
      <c r="X806" s="262"/>
      <c r="Y806" s="262"/>
      <c r="Z806" s="262"/>
      <c r="AA806" s="262"/>
      <c r="AB806" s="262"/>
      <c r="AC806" s="262"/>
      <c r="AD806" s="262"/>
      <c r="AE806" s="262"/>
      <c r="AF806" s="262"/>
      <c r="AG806" s="264"/>
      <c r="AH806" s="264"/>
      <c r="AI806" s="264"/>
      <c r="AJ806" s="264"/>
      <c r="AK806" s="264"/>
      <c r="AL806" s="264"/>
      <c r="AM806" s="264"/>
      <c r="AN806" s="264"/>
    </row>
    <row r="807" ht="15.75" customHeight="1">
      <c r="A807" s="262"/>
      <c r="B807" s="338">
        <f>IFERROR(__xludf.DUMMYFUNCTION("""COMPUTED_VALUE"""),1288.0)</f>
        <v>1288</v>
      </c>
      <c r="C807" s="354"/>
      <c r="D807" s="340" t="str">
        <f>IFERROR(__xludf.DUMMYFUNCTION("""COMPUTED_VALUE"""),"")</f>
        <v/>
      </c>
      <c r="E807" s="341">
        <f>IFERROR(__xludf.DUMMYFUNCTION("""COMPUTED_VALUE"""),0.0)</f>
        <v>0</v>
      </c>
      <c r="F807" s="352"/>
      <c r="G807" s="343"/>
      <c r="H807" s="344">
        <f>IFERROR(__xludf.DUMMYFUNCTION("""COMPUTED_VALUE"""),0.0)</f>
        <v>0</v>
      </c>
      <c r="I807" s="353"/>
      <c r="J807" s="353"/>
      <c r="K807" s="346">
        <f>IFERROR(__xludf.DUMMYFUNCTION("""COMPUTED_VALUE"""),0.0)</f>
        <v>0</v>
      </c>
      <c r="L807" s="347">
        <f>IFERROR(__xludf.DUMMYFUNCTION("""COMPUTED_VALUE"""),0.0)</f>
        <v>0</v>
      </c>
      <c r="M807" s="348">
        <f>IFERROR(__xludf.DUMMYFUNCTION("""COMPUTED_VALUE"""),0.0)</f>
        <v>0</v>
      </c>
      <c r="N807" s="348">
        <f>IFERROR(__xludf.DUMMYFUNCTION("""COMPUTED_VALUE"""),0.0)</f>
        <v>0</v>
      </c>
      <c r="O807" s="348">
        <f>IFERROR(__xludf.DUMMYFUNCTION("""COMPUTED_VALUE"""),0.0)</f>
        <v>0</v>
      </c>
      <c r="P807" s="348">
        <f>IFERROR(__xludf.DUMMYFUNCTION("""COMPUTED_VALUE"""),0.0)</f>
        <v>0</v>
      </c>
      <c r="Q807" s="348">
        <f>IFERROR(__xludf.DUMMYFUNCTION("""COMPUTED_VALUE"""),0.0)</f>
        <v>0</v>
      </c>
      <c r="R807" s="355" t="str">
        <f>IFERROR(__xludf.DUMMYFUNCTION("""COMPUTED_VALUE""")," Cash Proyek ")</f>
        <v>Cash Proyek</v>
      </c>
      <c r="S807" s="350"/>
      <c r="T807" s="262"/>
      <c r="U807" s="351"/>
      <c r="V807" s="262"/>
      <c r="W807" s="262"/>
      <c r="X807" s="262"/>
      <c r="Y807" s="262"/>
      <c r="Z807" s="262"/>
      <c r="AA807" s="262"/>
      <c r="AB807" s="262"/>
      <c r="AC807" s="262"/>
      <c r="AD807" s="262"/>
      <c r="AE807" s="262"/>
      <c r="AF807" s="262"/>
      <c r="AG807" s="264"/>
      <c r="AH807" s="264"/>
      <c r="AI807" s="264"/>
      <c r="AJ807" s="264"/>
      <c r="AK807" s="264"/>
      <c r="AL807" s="264"/>
      <c r="AM807" s="264"/>
      <c r="AN807" s="264"/>
    </row>
    <row r="808" ht="15.75" customHeight="1">
      <c r="A808" s="262"/>
      <c r="B808" s="338">
        <f>IFERROR(__xludf.DUMMYFUNCTION("""COMPUTED_VALUE"""),1289.0)</f>
        <v>1289</v>
      </c>
      <c r="C808" s="354"/>
      <c r="D808" s="340" t="str">
        <f>IFERROR(__xludf.DUMMYFUNCTION("""COMPUTED_VALUE"""),"")</f>
        <v/>
      </c>
      <c r="E808" s="341">
        <f>IFERROR(__xludf.DUMMYFUNCTION("""COMPUTED_VALUE"""),0.0)</f>
        <v>0</v>
      </c>
      <c r="F808" s="352"/>
      <c r="G808" s="343"/>
      <c r="H808" s="344">
        <f>IFERROR(__xludf.DUMMYFUNCTION("""COMPUTED_VALUE"""),0.0)</f>
        <v>0</v>
      </c>
      <c r="I808" s="353"/>
      <c r="J808" s="353"/>
      <c r="K808" s="346">
        <f>IFERROR(__xludf.DUMMYFUNCTION("""COMPUTED_VALUE"""),0.0)</f>
        <v>0</v>
      </c>
      <c r="L808" s="347">
        <f>IFERROR(__xludf.DUMMYFUNCTION("""COMPUTED_VALUE"""),0.0)</f>
        <v>0</v>
      </c>
      <c r="M808" s="348">
        <f>IFERROR(__xludf.DUMMYFUNCTION("""COMPUTED_VALUE"""),0.0)</f>
        <v>0</v>
      </c>
      <c r="N808" s="348">
        <f>IFERROR(__xludf.DUMMYFUNCTION("""COMPUTED_VALUE"""),0.0)</f>
        <v>0</v>
      </c>
      <c r="O808" s="348">
        <f>IFERROR(__xludf.DUMMYFUNCTION("""COMPUTED_VALUE"""),0.0)</f>
        <v>0</v>
      </c>
      <c r="P808" s="348">
        <f>IFERROR(__xludf.DUMMYFUNCTION("""COMPUTED_VALUE"""),0.0)</f>
        <v>0</v>
      </c>
      <c r="Q808" s="348">
        <f>IFERROR(__xludf.DUMMYFUNCTION("""COMPUTED_VALUE"""),0.0)</f>
        <v>0</v>
      </c>
      <c r="R808" s="355" t="str">
        <f>IFERROR(__xludf.DUMMYFUNCTION("""COMPUTED_VALUE""")," Cash Proyek ")</f>
        <v>Cash Proyek</v>
      </c>
      <c r="S808" s="350"/>
      <c r="T808" s="262"/>
      <c r="U808" s="351"/>
      <c r="V808" s="262"/>
      <c r="W808" s="262"/>
      <c r="X808" s="262"/>
      <c r="Y808" s="262"/>
      <c r="Z808" s="262"/>
      <c r="AA808" s="262"/>
      <c r="AB808" s="262"/>
      <c r="AC808" s="262"/>
      <c r="AD808" s="262"/>
      <c r="AE808" s="262"/>
      <c r="AF808" s="262"/>
      <c r="AG808" s="264"/>
      <c r="AH808" s="264"/>
      <c r="AI808" s="264"/>
      <c r="AJ808" s="264"/>
      <c r="AK808" s="264"/>
      <c r="AL808" s="264"/>
      <c r="AM808" s="264"/>
      <c r="AN808" s="264"/>
    </row>
    <row r="809" ht="15.75" customHeight="1">
      <c r="A809" s="262"/>
      <c r="B809" s="338">
        <f>IFERROR(__xludf.DUMMYFUNCTION("""COMPUTED_VALUE"""),1290.0)</f>
        <v>1290</v>
      </c>
      <c r="C809" s="354"/>
      <c r="D809" s="340" t="str">
        <f>IFERROR(__xludf.DUMMYFUNCTION("""COMPUTED_VALUE"""),"")</f>
        <v/>
      </c>
      <c r="E809" s="341">
        <f>IFERROR(__xludf.DUMMYFUNCTION("""COMPUTED_VALUE"""),0.0)</f>
        <v>0</v>
      </c>
      <c r="F809" s="352"/>
      <c r="G809" s="343"/>
      <c r="H809" s="344">
        <f>IFERROR(__xludf.DUMMYFUNCTION("""COMPUTED_VALUE"""),0.0)</f>
        <v>0</v>
      </c>
      <c r="I809" s="353"/>
      <c r="J809" s="353"/>
      <c r="K809" s="346">
        <f>IFERROR(__xludf.DUMMYFUNCTION("""COMPUTED_VALUE"""),0.0)</f>
        <v>0</v>
      </c>
      <c r="L809" s="347">
        <f>IFERROR(__xludf.DUMMYFUNCTION("""COMPUTED_VALUE"""),0.0)</f>
        <v>0</v>
      </c>
      <c r="M809" s="348">
        <f>IFERROR(__xludf.DUMMYFUNCTION("""COMPUTED_VALUE"""),0.0)</f>
        <v>0</v>
      </c>
      <c r="N809" s="348">
        <f>IFERROR(__xludf.DUMMYFUNCTION("""COMPUTED_VALUE"""),0.0)</f>
        <v>0</v>
      </c>
      <c r="O809" s="348">
        <f>IFERROR(__xludf.DUMMYFUNCTION("""COMPUTED_VALUE"""),0.0)</f>
        <v>0</v>
      </c>
      <c r="P809" s="348">
        <f>IFERROR(__xludf.DUMMYFUNCTION("""COMPUTED_VALUE"""),0.0)</f>
        <v>0</v>
      </c>
      <c r="Q809" s="348">
        <f>IFERROR(__xludf.DUMMYFUNCTION("""COMPUTED_VALUE"""),0.0)</f>
        <v>0</v>
      </c>
      <c r="R809" s="355" t="str">
        <f>IFERROR(__xludf.DUMMYFUNCTION("""COMPUTED_VALUE""")," Cash Proyek ")</f>
        <v>Cash Proyek</v>
      </c>
      <c r="S809" s="350"/>
      <c r="T809" s="262"/>
      <c r="U809" s="351"/>
      <c r="V809" s="262"/>
      <c r="W809" s="262"/>
      <c r="X809" s="262"/>
      <c r="Y809" s="262"/>
      <c r="Z809" s="262"/>
      <c r="AA809" s="262"/>
      <c r="AB809" s="262"/>
      <c r="AC809" s="262"/>
      <c r="AD809" s="262"/>
      <c r="AE809" s="262"/>
      <c r="AF809" s="262"/>
      <c r="AG809" s="264"/>
      <c r="AH809" s="264"/>
      <c r="AI809" s="264"/>
      <c r="AJ809" s="264"/>
      <c r="AK809" s="264"/>
      <c r="AL809" s="264"/>
      <c r="AM809" s="264"/>
      <c r="AN809" s="264"/>
    </row>
    <row r="810" ht="15.75" customHeight="1">
      <c r="A810" s="262"/>
      <c r="B810" s="338">
        <f>IFERROR(__xludf.DUMMYFUNCTION("""COMPUTED_VALUE"""),1291.0)</f>
        <v>1291</v>
      </c>
      <c r="C810" s="354"/>
      <c r="D810" s="340" t="str">
        <f>IFERROR(__xludf.DUMMYFUNCTION("""COMPUTED_VALUE"""),"")</f>
        <v/>
      </c>
      <c r="E810" s="341">
        <f>IFERROR(__xludf.DUMMYFUNCTION("""COMPUTED_VALUE"""),0.0)</f>
        <v>0</v>
      </c>
      <c r="F810" s="352"/>
      <c r="G810" s="343"/>
      <c r="H810" s="344">
        <f>IFERROR(__xludf.DUMMYFUNCTION("""COMPUTED_VALUE"""),0.0)</f>
        <v>0</v>
      </c>
      <c r="I810" s="353"/>
      <c r="J810" s="353"/>
      <c r="K810" s="346">
        <f>IFERROR(__xludf.DUMMYFUNCTION("""COMPUTED_VALUE"""),0.0)</f>
        <v>0</v>
      </c>
      <c r="L810" s="347">
        <f>IFERROR(__xludf.DUMMYFUNCTION("""COMPUTED_VALUE"""),0.0)</f>
        <v>0</v>
      </c>
      <c r="M810" s="348">
        <f>IFERROR(__xludf.DUMMYFUNCTION("""COMPUTED_VALUE"""),0.0)</f>
        <v>0</v>
      </c>
      <c r="N810" s="348">
        <f>IFERROR(__xludf.DUMMYFUNCTION("""COMPUTED_VALUE"""),0.0)</f>
        <v>0</v>
      </c>
      <c r="O810" s="348">
        <f>IFERROR(__xludf.DUMMYFUNCTION("""COMPUTED_VALUE"""),0.0)</f>
        <v>0</v>
      </c>
      <c r="P810" s="348">
        <f>IFERROR(__xludf.DUMMYFUNCTION("""COMPUTED_VALUE"""),0.0)</f>
        <v>0</v>
      </c>
      <c r="Q810" s="348">
        <f>IFERROR(__xludf.DUMMYFUNCTION("""COMPUTED_VALUE"""),0.0)</f>
        <v>0</v>
      </c>
      <c r="R810" s="355" t="str">
        <f>IFERROR(__xludf.DUMMYFUNCTION("""COMPUTED_VALUE""")," Cash Proyek ")</f>
        <v>Cash Proyek</v>
      </c>
      <c r="S810" s="350"/>
      <c r="T810" s="262"/>
      <c r="U810" s="351"/>
      <c r="V810" s="262"/>
      <c r="W810" s="262"/>
      <c r="X810" s="262"/>
      <c r="Y810" s="262"/>
      <c r="Z810" s="262"/>
      <c r="AA810" s="262"/>
      <c r="AB810" s="262"/>
      <c r="AC810" s="262"/>
      <c r="AD810" s="262"/>
      <c r="AE810" s="262"/>
      <c r="AF810" s="262"/>
      <c r="AG810" s="264"/>
      <c r="AH810" s="264"/>
      <c r="AI810" s="264"/>
      <c r="AJ810" s="264"/>
      <c r="AK810" s="264"/>
      <c r="AL810" s="264"/>
      <c r="AM810" s="264"/>
      <c r="AN810" s="264"/>
    </row>
    <row r="811" ht="15.75" customHeight="1">
      <c r="A811" s="262"/>
      <c r="B811" s="338">
        <f>IFERROR(__xludf.DUMMYFUNCTION("""COMPUTED_VALUE"""),1292.0)</f>
        <v>1292</v>
      </c>
      <c r="C811" s="354"/>
      <c r="D811" s="340" t="str">
        <f>IFERROR(__xludf.DUMMYFUNCTION("""COMPUTED_VALUE"""),"")</f>
        <v/>
      </c>
      <c r="E811" s="341">
        <f>IFERROR(__xludf.DUMMYFUNCTION("""COMPUTED_VALUE"""),0.0)</f>
        <v>0</v>
      </c>
      <c r="F811" s="352"/>
      <c r="G811" s="343"/>
      <c r="H811" s="344">
        <f>IFERROR(__xludf.DUMMYFUNCTION("""COMPUTED_VALUE"""),0.0)</f>
        <v>0</v>
      </c>
      <c r="I811" s="353"/>
      <c r="J811" s="353"/>
      <c r="K811" s="346">
        <f>IFERROR(__xludf.DUMMYFUNCTION("""COMPUTED_VALUE"""),0.0)</f>
        <v>0</v>
      </c>
      <c r="L811" s="347">
        <f>IFERROR(__xludf.DUMMYFUNCTION("""COMPUTED_VALUE"""),0.0)</f>
        <v>0</v>
      </c>
      <c r="M811" s="348">
        <f>IFERROR(__xludf.DUMMYFUNCTION("""COMPUTED_VALUE"""),0.0)</f>
        <v>0</v>
      </c>
      <c r="N811" s="348">
        <f>IFERROR(__xludf.DUMMYFUNCTION("""COMPUTED_VALUE"""),0.0)</f>
        <v>0</v>
      </c>
      <c r="O811" s="348">
        <f>IFERROR(__xludf.DUMMYFUNCTION("""COMPUTED_VALUE"""),0.0)</f>
        <v>0</v>
      </c>
      <c r="P811" s="348">
        <f>IFERROR(__xludf.DUMMYFUNCTION("""COMPUTED_VALUE"""),0.0)</f>
        <v>0</v>
      </c>
      <c r="Q811" s="348">
        <f>IFERROR(__xludf.DUMMYFUNCTION("""COMPUTED_VALUE"""),0.0)</f>
        <v>0</v>
      </c>
      <c r="R811" s="355" t="str">
        <f>IFERROR(__xludf.DUMMYFUNCTION("""COMPUTED_VALUE""")," Cash Proyek ")</f>
        <v>Cash Proyek</v>
      </c>
      <c r="S811" s="350"/>
      <c r="T811" s="262"/>
      <c r="U811" s="351"/>
      <c r="V811" s="262"/>
      <c r="W811" s="262"/>
      <c r="X811" s="262"/>
      <c r="Y811" s="262"/>
      <c r="Z811" s="262"/>
      <c r="AA811" s="262"/>
      <c r="AB811" s="262"/>
      <c r="AC811" s="262"/>
      <c r="AD811" s="262"/>
      <c r="AE811" s="262"/>
      <c r="AF811" s="262"/>
      <c r="AG811" s="264"/>
      <c r="AH811" s="264"/>
      <c r="AI811" s="264"/>
      <c r="AJ811" s="264"/>
      <c r="AK811" s="264"/>
      <c r="AL811" s="264"/>
      <c r="AM811" s="264"/>
      <c r="AN811" s="264"/>
    </row>
    <row r="812" ht="15.75" customHeight="1">
      <c r="A812" s="262"/>
      <c r="B812" s="338">
        <f>IFERROR(__xludf.DUMMYFUNCTION("""COMPUTED_VALUE"""),1293.0)</f>
        <v>1293</v>
      </c>
      <c r="C812" s="354"/>
      <c r="D812" s="340" t="str">
        <f>IFERROR(__xludf.DUMMYFUNCTION("""COMPUTED_VALUE"""),"")</f>
        <v/>
      </c>
      <c r="E812" s="341">
        <f>IFERROR(__xludf.DUMMYFUNCTION("""COMPUTED_VALUE"""),0.0)</f>
        <v>0</v>
      </c>
      <c r="F812" s="352"/>
      <c r="G812" s="343"/>
      <c r="H812" s="344">
        <f>IFERROR(__xludf.DUMMYFUNCTION("""COMPUTED_VALUE"""),0.0)</f>
        <v>0</v>
      </c>
      <c r="I812" s="353"/>
      <c r="J812" s="353"/>
      <c r="K812" s="346">
        <f>IFERROR(__xludf.DUMMYFUNCTION("""COMPUTED_VALUE"""),0.0)</f>
        <v>0</v>
      </c>
      <c r="L812" s="347">
        <f>IFERROR(__xludf.DUMMYFUNCTION("""COMPUTED_VALUE"""),0.0)</f>
        <v>0</v>
      </c>
      <c r="M812" s="348">
        <f>IFERROR(__xludf.DUMMYFUNCTION("""COMPUTED_VALUE"""),0.0)</f>
        <v>0</v>
      </c>
      <c r="N812" s="348">
        <f>IFERROR(__xludf.DUMMYFUNCTION("""COMPUTED_VALUE"""),0.0)</f>
        <v>0</v>
      </c>
      <c r="O812" s="348">
        <f>IFERROR(__xludf.DUMMYFUNCTION("""COMPUTED_VALUE"""),0.0)</f>
        <v>0</v>
      </c>
      <c r="P812" s="348">
        <f>IFERROR(__xludf.DUMMYFUNCTION("""COMPUTED_VALUE"""),0.0)</f>
        <v>0</v>
      </c>
      <c r="Q812" s="348">
        <f>IFERROR(__xludf.DUMMYFUNCTION("""COMPUTED_VALUE"""),0.0)</f>
        <v>0</v>
      </c>
      <c r="R812" s="355" t="str">
        <f>IFERROR(__xludf.DUMMYFUNCTION("""COMPUTED_VALUE""")," Cash Proyek ")</f>
        <v>Cash Proyek</v>
      </c>
      <c r="S812" s="350"/>
      <c r="T812" s="262"/>
      <c r="U812" s="351"/>
      <c r="V812" s="262"/>
      <c r="W812" s="262"/>
      <c r="X812" s="262"/>
      <c r="Y812" s="262"/>
      <c r="Z812" s="262"/>
      <c r="AA812" s="262"/>
      <c r="AB812" s="262"/>
      <c r="AC812" s="262"/>
      <c r="AD812" s="262"/>
      <c r="AE812" s="262"/>
      <c r="AF812" s="262"/>
      <c r="AG812" s="264"/>
      <c r="AH812" s="264"/>
      <c r="AI812" s="264"/>
      <c r="AJ812" s="264"/>
      <c r="AK812" s="264"/>
      <c r="AL812" s="264"/>
      <c r="AM812" s="264"/>
      <c r="AN812" s="264"/>
    </row>
    <row r="813" ht="15.75" customHeight="1">
      <c r="A813" s="262"/>
      <c r="B813" s="338">
        <f>IFERROR(__xludf.DUMMYFUNCTION("""COMPUTED_VALUE"""),1294.0)</f>
        <v>1294</v>
      </c>
      <c r="C813" s="354"/>
      <c r="D813" s="340" t="str">
        <f>IFERROR(__xludf.DUMMYFUNCTION("""COMPUTED_VALUE"""),"")</f>
        <v/>
      </c>
      <c r="E813" s="341">
        <f>IFERROR(__xludf.DUMMYFUNCTION("""COMPUTED_VALUE"""),0.0)</f>
        <v>0</v>
      </c>
      <c r="F813" s="352"/>
      <c r="G813" s="343"/>
      <c r="H813" s="344">
        <f>IFERROR(__xludf.DUMMYFUNCTION("""COMPUTED_VALUE"""),0.0)</f>
        <v>0</v>
      </c>
      <c r="I813" s="353"/>
      <c r="J813" s="353"/>
      <c r="K813" s="346">
        <f>IFERROR(__xludf.DUMMYFUNCTION("""COMPUTED_VALUE"""),0.0)</f>
        <v>0</v>
      </c>
      <c r="L813" s="347">
        <f>IFERROR(__xludf.DUMMYFUNCTION("""COMPUTED_VALUE"""),0.0)</f>
        <v>0</v>
      </c>
      <c r="M813" s="348">
        <f>IFERROR(__xludf.DUMMYFUNCTION("""COMPUTED_VALUE"""),0.0)</f>
        <v>0</v>
      </c>
      <c r="N813" s="348">
        <f>IFERROR(__xludf.DUMMYFUNCTION("""COMPUTED_VALUE"""),0.0)</f>
        <v>0</v>
      </c>
      <c r="O813" s="348">
        <f>IFERROR(__xludf.DUMMYFUNCTION("""COMPUTED_VALUE"""),0.0)</f>
        <v>0</v>
      </c>
      <c r="P813" s="348">
        <f>IFERROR(__xludf.DUMMYFUNCTION("""COMPUTED_VALUE"""),0.0)</f>
        <v>0</v>
      </c>
      <c r="Q813" s="348">
        <f>IFERROR(__xludf.DUMMYFUNCTION("""COMPUTED_VALUE"""),0.0)</f>
        <v>0</v>
      </c>
      <c r="R813" s="355" t="str">
        <f>IFERROR(__xludf.DUMMYFUNCTION("""COMPUTED_VALUE""")," Cash Proyek ")</f>
        <v>Cash Proyek</v>
      </c>
      <c r="S813" s="350"/>
      <c r="T813" s="262"/>
      <c r="U813" s="351"/>
      <c r="V813" s="262"/>
      <c r="W813" s="262"/>
      <c r="X813" s="262"/>
      <c r="Y813" s="262"/>
      <c r="Z813" s="262"/>
      <c r="AA813" s="262"/>
      <c r="AB813" s="262"/>
      <c r="AC813" s="262"/>
      <c r="AD813" s="262"/>
      <c r="AE813" s="262"/>
      <c r="AF813" s="262"/>
      <c r="AG813" s="264"/>
      <c r="AH813" s="264"/>
      <c r="AI813" s="264"/>
      <c r="AJ813" s="264"/>
      <c r="AK813" s="264"/>
      <c r="AL813" s="264"/>
      <c r="AM813" s="264"/>
      <c r="AN813" s="264"/>
    </row>
    <row r="814" ht="15.75" customHeight="1">
      <c r="A814" s="262"/>
      <c r="B814" s="338">
        <f>IFERROR(__xludf.DUMMYFUNCTION("""COMPUTED_VALUE"""),1295.0)</f>
        <v>1295</v>
      </c>
      <c r="C814" s="354"/>
      <c r="D814" s="340" t="str">
        <f>IFERROR(__xludf.DUMMYFUNCTION("""COMPUTED_VALUE"""),"")</f>
        <v/>
      </c>
      <c r="E814" s="341">
        <f>IFERROR(__xludf.DUMMYFUNCTION("""COMPUTED_VALUE"""),0.0)</f>
        <v>0</v>
      </c>
      <c r="F814" s="352"/>
      <c r="G814" s="343"/>
      <c r="H814" s="344">
        <f>IFERROR(__xludf.DUMMYFUNCTION("""COMPUTED_VALUE"""),0.0)</f>
        <v>0</v>
      </c>
      <c r="I814" s="353"/>
      <c r="J814" s="353"/>
      <c r="K814" s="346">
        <f>IFERROR(__xludf.DUMMYFUNCTION("""COMPUTED_VALUE"""),0.0)</f>
        <v>0</v>
      </c>
      <c r="L814" s="347">
        <f>IFERROR(__xludf.DUMMYFUNCTION("""COMPUTED_VALUE"""),0.0)</f>
        <v>0</v>
      </c>
      <c r="M814" s="348">
        <f>IFERROR(__xludf.DUMMYFUNCTION("""COMPUTED_VALUE"""),0.0)</f>
        <v>0</v>
      </c>
      <c r="N814" s="348">
        <f>IFERROR(__xludf.DUMMYFUNCTION("""COMPUTED_VALUE"""),0.0)</f>
        <v>0</v>
      </c>
      <c r="O814" s="348">
        <f>IFERROR(__xludf.DUMMYFUNCTION("""COMPUTED_VALUE"""),0.0)</f>
        <v>0</v>
      </c>
      <c r="P814" s="348">
        <f>IFERROR(__xludf.DUMMYFUNCTION("""COMPUTED_VALUE"""),0.0)</f>
        <v>0</v>
      </c>
      <c r="Q814" s="348">
        <f>IFERROR(__xludf.DUMMYFUNCTION("""COMPUTED_VALUE"""),0.0)</f>
        <v>0</v>
      </c>
      <c r="R814" s="355" t="str">
        <f>IFERROR(__xludf.DUMMYFUNCTION("""COMPUTED_VALUE""")," Cash Proyek ")</f>
        <v>Cash Proyek</v>
      </c>
      <c r="S814" s="350"/>
      <c r="T814" s="262"/>
      <c r="U814" s="351"/>
      <c r="V814" s="262"/>
      <c r="W814" s="262"/>
      <c r="X814" s="262"/>
      <c r="Y814" s="262"/>
      <c r="Z814" s="262"/>
      <c r="AA814" s="262"/>
      <c r="AB814" s="262"/>
      <c r="AC814" s="262"/>
      <c r="AD814" s="262"/>
      <c r="AE814" s="262"/>
      <c r="AF814" s="262"/>
      <c r="AG814" s="264"/>
      <c r="AH814" s="264"/>
      <c r="AI814" s="264"/>
      <c r="AJ814" s="264"/>
      <c r="AK814" s="264"/>
      <c r="AL814" s="264"/>
      <c r="AM814" s="264"/>
      <c r="AN814" s="264"/>
    </row>
    <row r="815" ht="15.75" customHeight="1">
      <c r="A815" s="262"/>
      <c r="B815" s="338">
        <f>IFERROR(__xludf.DUMMYFUNCTION("""COMPUTED_VALUE"""),1296.0)</f>
        <v>1296</v>
      </c>
      <c r="C815" s="354"/>
      <c r="D815" s="340" t="str">
        <f>IFERROR(__xludf.DUMMYFUNCTION("""COMPUTED_VALUE"""),"")</f>
        <v/>
      </c>
      <c r="E815" s="341">
        <f>IFERROR(__xludf.DUMMYFUNCTION("""COMPUTED_VALUE"""),0.0)</f>
        <v>0</v>
      </c>
      <c r="F815" s="352"/>
      <c r="G815" s="343"/>
      <c r="H815" s="344">
        <f>IFERROR(__xludf.DUMMYFUNCTION("""COMPUTED_VALUE"""),0.0)</f>
        <v>0</v>
      </c>
      <c r="I815" s="353"/>
      <c r="J815" s="353"/>
      <c r="K815" s="346">
        <f>IFERROR(__xludf.DUMMYFUNCTION("""COMPUTED_VALUE"""),0.0)</f>
        <v>0</v>
      </c>
      <c r="L815" s="347">
        <f>IFERROR(__xludf.DUMMYFUNCTION("""COMPUTED_VALUE"""),0.0)</f>
        <v>0</v>
      </c>
      <c r="M815" s="348">
        <f>IFERROR(__xludf.DUMMYFUNCTION("""COMPUTED_VALUE"""),0.0)</f>
        <v>0</v>
      </c>
      <c r="N815" s="348">
        <f>IFERROR(__xludf.DUMMYFUNCTION("""COMPUTED_VALUE"""),0.0)</f>
        <v>0</v>
      </c>
      <c r="O815" s="348">
        <f>IFERROR(__xludf.DUMMYFUNCTION("""COMPUTED_VALUE"""),0.0)</f>
        <v>0</v>
      </c>
      <c r="P815" s="348">
        <f>IFERROR(__xludf.DUMMYFUNCTION("""COMPUTED_VALUE"""),0.0)</f>
        <v>0</v>
      </c>
      <c r="Q815" s="348">
        <f>IFERROR(__xludf.DUMMYFUNCTION("""COMPUTED_VALUE"""),0.0)</f>
        <v>0</v>
      </c>
      <c r="R815" s="355" t="str">
        <f>IFERROR(__xludf.DUMMYFUNCTION("""COMPUTED_VALUE""")," Cash Proyek ")</f>
        <v>Cash Proyek</v>
      </c>
      <c r="S815" s="350"/>
      <c r="T815" s="262"/>
      <c r="U815" s="351"/>
      <c r="V815" s="262"/>
      <c r="W815" s="262"/>
      <c r="X815" s="262"/>
      <c r="Y815" s="262"/>
      <c r="Z815" s="262"/>
      <c r="AA815" s="262"/>
      <c r="AB815" s="262"/>
      <c r="AC815" s="262"/>
      <c r="AD815" s="262"/>
      <c r="AE815" s="262"/>
      <c r="AF815" s="262"/>
      <c r="AG815" s="264"/>
      <c r="AH815" s="264"/>
      <c r="AI815" s="264"/>
      <c r="AJ815" s="264"/>
      <c r="AK815" s="264"/>
      <c r="AL815" s="264"/>
      <c r="AM815" s="264"/>
      <c r="AN815" s="264"/>
    </row>
    <row r="816" ht="15.75" customHeight="1">
      <c r="A816" s="262"/>
      <c r="B816" s="338">
        <f>IFERROR(__xludf.DUMMYFUNCTION("""COMPUTED_VALUE"""),1297.0)</f>
        <v>1297</v>
      </c>
      <c r="C816" s="354"/>
      <c r="D816" s="340" t="str">
        <f>IFERROR(__xludf.DUMMYFUNCTION("""COMPUTED_VALUE"""),"")</f>
        <v/>
      </c>
      <c r="E816" s="341">
        <f>IFERROR(__xludf.DUMMYFUNCTION("""COMPUTED_VALUE"""),0.0)</f>
        <v>0</v>
      </c>
      <c r="F816" s="352"/>
      <c r="G816" s="343"/>
      <c r="H816" s="344">
        <f>IFERROR(__xludf.DUMMYFUNCTION("""COMPUTED_VALUE"""),0.0)</f>
        <v>0</v>
      </c>
      <c r="I816" s="353"/>
      <c r="J816" s="353"/>
      <c r="K816" s="346">
        <f>IFERROR(__xludf.DUMMYFUNCTION("""COMPUTED_VALUE"""),0.0)</f>
        <v>0</v>
      </c>
      <c r="L816" s="347">
        <f>IFERROR(__xludf.DUMMYFUNCTION("""COMPUTED_VALUE"""),0.0)</f>
        <v>0</v>
      </c>
      <c r="M816" s="348">
        <f>IFERROR(__xludf.DUMMYFUNCTION("""COMPUTED_VALUE"""),0.0)</f>
        <v>0</v>
      </c>
      <c r="N816" s="348">
        <f>IFERROR(__xludf.DUMMYFUNCTION("""COMPUTED_VALUE"""),0.0)</f>
        <v>0</v>
      </c>
      <c r="O816" s="348">
        <f>IFERROR(__xludf.DUMMYFUNCTION("""COMPUTED_VALUE"""),0.0)</f>
        <v>0</v>
      </c>
      <c r="P816" s="348">
        <f>IFERROR(__xludf.DUMMYFUNCTION("""COMPUTED_VALUE"""),0.0)</f>
        <v>0</v>
      </c>
      <c r="Q816" s="348">
        <f>IFERROR(__xludf.DUMMYFUNCTION("""COMPUTED_VALUE"""),0.0)</f>
        <v>0</v>
      </c>
      <c r="R816" s="355" t="str">
        <f>IFERROR(__xludf.DUMMYFUNCTION("""COMPUTED_VALUE""")," Cash Proyek ")</f>
        <v>Cash Proyek</v>
      </c>
      <c r="S816" s="350"/>
      <c r="T816" s="262"/>
      <c r="U816" s="351"/>
      <c r="V816" s="262"/>
      <c r="W816" s="262"/>
      <c r="X816" s="262"/>
      <c r="Y816" s="262"/>
      <c r="Z816" s="262"/>
      <c r="AA816" s="262"/>
      <c r="AB816" s="262"/>
      <c r="AC816" s="262"/>
      <c r="AD816" s="262"/>
      <c r="AE816" s="262"/>
      <c r="AF816" s="262"/>
      <c r="AG816" s="264"/>
      <c r="AH816" s="264"/>
      <c r="AI816" s="264"/>
      <c r="AJ816" s="264"/>
      <c r="AK816" s="264"/>
      <c r="AL816" s="264"/>
      <c r="AM816" s="264"/>
      <c r="AN816" s="264"/>
    </row>
    <row r="817" ht="15.75" customHeight="1">
      <c r="A817" s="262"/>
      <c r="B817" s="338">
        <f>IFERROR(__xludf.DUMMYFUNCTION("""COMPUTED_VALUE"""),1298.0)</f>
        <v>1298</v>
      </c>
      <c r="C817" s="354"/>
      <c r="D817" s="340" t="str">
        <f>IFERROR(__xludf.DUMMYFUNCTION("""COMPUTED_VALUE"""),"")</f>
        <v/>
      </c>
      <c r="E817" s="341">
        <f>IFERROR(__xludf.DUMMYFUNCTION("""COMPUTED_VALUE"""),0.0)</f>
        <v>0</v>
      </c>
      <c r="F817" s="352"/>
      <c r="G817" s="343"/>
      <c r="H817" s="344">
        <f>IFERROR(__xludf.DUMMYFUNCTION("""COMPUTED_VALUE"""),0.0)</f>
        <v>0</v>
      </c>
      <c r="I817" s="353"/>
      <c r="J817" s="353"/>
      <c r="K817" s="346">
        <f>IFERROR(__xludf.DUMMYFUNCTION("""COMPUTED_VALUE"""),0.0)</f>
        <v>0</v>
      </c>
      <c r="L817" s="347">
        <f>IFERROR(__xludf.DUMMYFUNCTION("""COMPUTED_VALUE"""),0.0)</f>
        <v>0</v>
      </c>
      <c r="M817" s="348">
        <f>IFERROR(__xludf.DUMMYFUNCTION("""COMPUTED_VALUE"""),0.0)</f>
        <v>0</v>
      </c>
      <c r="N817" s="348">
        <f>IFERROR(__xludf.DUMMYFUNCTION("""COMPUTED_VALUE"""),0.0)</f>
        <v>0</v>
      </c>
      <c r="O817" s="348">
        <f>IFERROR(__xludf.DUMMYFUNCTION("""COMPUTED_VALUE"""),0.0)</f>
        <v>0</v>
      </c>
      <c r="P817" s="348">
        <f>IFERROR(__xludf.DUMMYFUNCTION("""COMPUTED_VALUE"""),0.0)</f>
        <v>0</v>
      </c>
      <c r="Q817" s="348">
        <f>IFERROR(__xludf.DUMMYFUNCTION("""COMPUTED_VALUE"""),0.0)</f>
        <v>0</v>
      </c>
      <c r="R817" s="355" t="str">
        <f>IFERROR(__xludf.DUMMYFUNCTION("""COMPUTED_VALUE""")," Cash Proyek ")</f>
        <v>Cash Proyek</v>
      </c>
      <c r="S817" s="350"/>
      <c r="T817" s="262"/>
      <c r="U817" s="351"/>
      <c r="V817" s="262"/>
      <c r="W817" s="262"/>
      <c r="X817" s="262"/>
      <c r="Y817" s="262"/>
      <c r="Z817" s="262"/>
      <c r="AA817" s="262"/>
      <c r="AB817" s="262"/>
      <c r="AC817" s="262"/>
      <c r="AD817" s="262"/>
      <c r="AE817" s="262"/>
      <c r="AF817" s="262"/>
      <c r="AG817" s="264"/>
      <c r="AH817" s="264"/>
      <c r="AI817" s="264"/>
      <c r="AJ817" s="264"/>
      <c r="AK817" s="264"/>
      <c r="AL817" s="264"/>
      <c r="AM817" s="264"/>
      <c r="AN817" s="264"/>
    </row>
    <row r="818" ht="15.75" customHeight="1">
      <c r="A818" s="262"/>
      <c r="B818" s="338">
        <f>IFERROR(__xludf.DUMMYFUNCTION("""COMPUTED_VALUE"""),1299.0)</f>
        <v>1299</v>
      </c>
      <c r="C818" s="354"/>
      <c r="D818" s="340" t="str">
        <f>IFERROR(__xludf.DUMMYFUNCTION("""COMPUTED_VALUE"""),"")</f>
        <v/>
      </c>
      <c r="E818" s="341">
        <f>IFERROR(__xludf.DUMMYFUNCTION("""COMPUTED_VALUE"""),0.0)</f>
        <v>0</v>
      </c>
      <c r="F818" s="352"/>
      <c r="G818" s="343"/>
      <c r="H818" s="344">
        <f>IFERROR(__xludf.DUMMYFUNCTION("""COMPUTED_VALUE"""),0.0)</f>
        <v>0</v>
      </c>
      <c r="I818" s="353"/>
      <c r="J818" s="353"/>
      <c r="K818" s="346">
        <f>IFERROR(__xludf.DUMMYFUNCTION("""COMPUTED_VALUE"""),0.0)</f>
        <v>0</v>
      </c>
      <c r="L818" s="347">
        <f>IFERROR(__xludf.DUMMYFUNCTION("""COMPUTED_VALUE"""),0.0)</f>
        <v>0</v>
      </c>
      <c r="M818" s="348">
        <f>IFERROR(__xludf.DUMMYFUNCTION("""COMPUTED_VALUE"""),0.0)</f>
        <v>0</v>
      </c>
      <c r="N818" s="348">
        <f>IFERROR(__xludf.DUMMYFUNCTION("""COMPUTED_VALUE"""),0.0)</f>
        <v>0</v>
      </c>
      <c r="O818" s="348">
        <f>IFERROR(__xludf.DUMMYFUNCTION("""COMPUTED_VALUE"""),0.0)</f>
        <v>0</v>
      </c>
      <c r="P818" s="348">
        <f>IFERROR(__xludf.DUMMYFUNCTION("""COMPUTED_VALUE"""),0.0)</f>
        <v>0</v>
      </c>
      <c r="Q818" s="348">
        <f>IFERROR(__xludf.DUMMYFUNCTION("""COMPUTED_VALUE"""),0.0)</f>
        <v>0</v>
      </c>
      <c r="R818" s="355" t="str">
        <f>IFERROR(__xludf.DUMMYFUNCTION("""COMPUTED_VALUE""")," Cash Proyek ")</f>
        <v>Cash Proyek</v>
      </c>
      <c r="S818" s="350"/>
      <c r="T818" s="262"/>
      <c r="U818" s="351"/>
      <c r="V818" s="262"/>
      <c r="W818" s="262"/>
      <c r="X818" s="262"/>
      <c r="Y818" s="262"/>
      <c r="Z818" s="262"/>
      <c r="AA818" s="262"/>
      <c r="AB818" s="262"/>
      <c r="AC818" s="262"/>
      <c r="AD818" s="262"/>
      <c r="AE818" s="262"/>
      <c r="AF818" s="262"/>
      <c r="AG818" s="264"/>
      <c r="AH818" s="264"/>
      <c r="AI818" s="264"/>
      <c r="AJ818" s="264"/>
      <c r="AK818" s="264"/>
      <c r="AL818" s="264"/>
      <c r="AM818" s="264"/>
      <c r="AN818" s="264"/>
    </row>
    <row r="819" ht="15.75" customHeight="1">
      <c r="A819" s="262"/>
      <c r="B819" s="338">
        <f>IFERROR(__xludf.DUMMYFUNCTION("""COMPUTED_VALUE"""),1300.0)</f>
        <v>1300</v>
      </c>
      <c r="C819" s="354"/>
      <c r="D819" s="340" t="str">
        <f>IFERROR(__xludf.DUMMYFUNCTION("""COMPUTED_VALUE"""),"")</f>
        <v/>
      </c>
      <c r="E819" s="341">
        <f>IFERROR(__xludf.DUMMYFUNCTION("""COMPUTED_VALUE"""),0.0)</f>
        <v>0</v>
      </c>
      <c r="F819" s="352"/>
      <c r="G819" s="343"/>
      <c r="H819" s="344">
        <f>IFERROR(__xludf.DUMMYFUNCTION("""COMPUTED_VALUE"""),0.0)</f>
        <v>0</v>
      </c>
      <c r="I819" s="353"/>
      <c r="J819" s="353"/>
      <c r="K819" s="346">
        <f>IFERROR(__xludf.DUMMYFUNCTION("""COMPUTED_VALUE"""),0.0)</f>
        <v>0</v>
      </c>
      <c r="L819" s="347">
        <f>IFERROR(__xludf.DUMMYFUNCTION("""COMPUTED_VALUE"""),0.0)</f>
        <v>0</v>
      </c>
      <c r="M819" s="348">
        <f>IFERROR(__xludf.DUMMYFUNCTION("""COMPUTED_VALUE"""),0.0)</f>
        <v>0</v>
      </c>
      <c r="N819" s="348">
        <f>IFERROR(__xludf.DUMMYFUNCTION("""COMPUTED_VALUE"""),0.0)</f>
        <v>0</v>
      </c>
      <c r="O819" s="348">
        <f>IFERROR(__xludf.DUMMYFUNCTION("""COMPUTED_VALUE"""),0.0)</f>
        <v>0</v>
      </c>
      <c r="P819" s="348">
        <f>IFERROR(__xludf.DUMMYFUNCTION("""COMPUTED_VALUE"""),0.0)</f>
        <v>0</v>
      </c>
      <c r="Q819" s="348">
        <f>IFERROR(__xludf.DUMMYFUNCTION("""COMPUTED_VALUE"""),0.0)</f>
        <v>0</v>
      </c>
      <c r="R819" s="355" t="str">
        <f>IFERROR(__xludf.DUMMYFUNCTION("""COMPUTED_VALUE""")," Cash Proyek ")</f>
        <v>Cash Proyek</v>
      </c>
      <c r="S819" s="350"/>
      <c r="T819" s="262"/>
      <c r="U819" s="351"/>
      <c r="V819" s="262"/>
      <c r="W819" s="262"/>
      <c r="X819" s="262"/>
      <c r="Y819" s="262"/>
      <c r="Z819" s="262"/>
      <c r="AA819" s="262"/>
      <c r="AB819" s="262"/>
      <c r="AC819" s="262"/>
      <c r="AD819" s="262"/>
      <c r="AE819" s="262"/>
      <c r="AF819" s="262"/>
      <c r="AG819" s="264"/>
      <c r="AH819" s="264"/>
      <c r="AI819" s="264"/>
      <c r="AJ819" s="264"/>
      <c r="AK819" s="264"/>
      <c r="AL819" s="264"/>
      <c r="AM819" s="264"/>
      <c r="AN819" s="264"/>
    </row>
    <row r="820" ht="15.75" customHeight="1">
      <c r="A820" s="262"/>
      <c r="B820" s="338">
        <f>IFERROR(__xludf.DUMMYFUNCTION("""COMPUTED_VALUE"""),1301.0)</f>
        <v>1301</v>
      </c>
      <c r="C820" s="354"/>
      <c r="D820" s="340" t="str">
        <f>IFERROR(__xludf.DUMMYFUNCTION("""COMPUTED_VALUE"""),"")</f>
        <v/>
      </c>
      <c r="E820" s="341">
        <f>IFERROR(__xludf.DUMMYFUNCTION("""COMPUTED_VALUE"""),0.0)</f>
        <v>0</v>
      </c>
      <c r="F820" s="352"/>
      <c r="G820" s="343"/>
      <c r="H820" s="344">
        <f>IFERROR(__xludf.DUMMYFUNCTION("""COMPUTED_VALUE"""),0.0)</f>
        <v>0</v>
      </c>
      <c r="I820" s="353"/>
      <c r="J820" s="353"/>
      <c r="K820" s="346">
        <f>IFERROR(__xludf.DUMMYFUNCTION("""COMPUTED_VALUE"""),0.0)</f>
        <v>0</v>
      </c>
      <c r="L820" s="347">
        <f>IFERROR(__xludf.DUMMYFUNCTION("""COMPUTED_VALUE"""),0.0)</f>
        <v>0</v>
      </c>
      <c r="M820" s="348">
        <f>IFERROR(__xludf.DUMMYFUNCTION("""COMPUTED_VALUE"""),0.0)</f>
        <v>0</v>
      </c>
      <c r="N820" s="348">
        <f>IFERROR(__xludf.DUMMYFUNCTION("""COMPUTED_VALUE"""),0.0)</f>
        <v>0</v>
      </c>
      <c r="O820" s="348">
        <f>IFERROR(__xludf.DUMMYFUNCTION("""COMPUTED_VALUE"""),0.0)</f>
        <v>0</v>
      </c>
      <c r="P820" s="348">
        <f>IFERROR(__xludf.DUMMYFUNCTION("""COMPUTED_VALUE"""),0.0)</f>
        <v>0</v>
      </c>
      <c r="Q820" s="348">
        <f>IFERROR(__xludf.DUMMYFUNCTION("""COMPUTED_VALUE"""),0.0)</f>
        <v>0</v>
      </c>
      <c r="R820" s="355" t="str">
        <f>IFERROR(__xludf.DUMMYFUNCTION("""COMPUTED_VALUE""")," Cash Proyek ")</f>
        <v>Cash Proyek</v>
      </c>
      <c r="S820" s="350"/>
      <c r="T820" s="262"/>
      <c r="U820" s="351"/>
      <c r="V820" s="262"/>
      <c r="W820" s="262"/>
      <c r="X820" s="262"/>
      <c r="Y820" s="262"/>
      <c r="Z820" s="262"/>
      <c r="AA820" s="262"/>
      <c r="AB820" s="262"/>
      <c r="AC820" s="262"/>
      <c r="AD820" s="262"/>
      <c r="AE820" s="262"/>
      <c r="AF820" s="262"/>
      <c r="AG820" s="264"/>
      <c r="AH820" s="264"/>
      <c r="AI820" s="264"/>
      <c r="AJ820" s="264"/>
      <c r="AK820" s="264"/>
      <c r="AL820" s="264"/>
      <c r="AM820" s="264"/>
      <c r="AN820" s="264"/>
    </row>
    <row r="821" ht="15.75" customHeight="1">
      <c r="A821" s="262"/>
      <c r="B821" s="338">
        <f>IFERROR(__xludf.DUMMYFUNCTION("""COMPUTED_VALUE"""),1302.0)</f>
        <v>1302</v>
      </c>
      <c r="C821" s="354"/>
      <c r="D821" s="340" t="str">
        <f>IFERROR(__xludf.DUMMYFUNCTION("""COMPUTED_VALUE"""),"")</f>
        <v/>
      </c>
      <c r="E821" s="341">
        <f>IFERROR(__xludf.DUMMYFUNCTION("""COMPUTED_VALUE"""),0.0)</f>
        <v>0</v>
      </c>
      <c r="F821" s="352"/>
      <c r="G821" s="343"/>
      <c r="H821" s="344">
        <f>IFERROR(__xludf.DUMMYFUNCTION("""COMPUTED_VALUE"""),0.0)</f>
        <v>0</v>
      </c>
      <c r="I821" s="353"/>
      <c r="J821" s="353"/>
      <c r="K821" s="346">
        <f>IFERROR(__xludf.DUMMYFUNCTION("""COMPUTED_VALUE"""),0.0)</f>
        <v>0</v>
      </c>
      <c r="L821" s="347">
        <f>IFERROR(__xludf.DUMMYFUNCTION("""COMPUTED_VALUE"""),0.0)</f>
        <v>0</v>
      </c>
      <c r="M821" s="348">
        <f>IFERROR(__xludf.DUMMYFUNCTION("""COMPUTED_VALUE"""),0.0)</f>
        <v>0</v>
      </c>
      <c r="N821" s="348">
        <f>IFERROR(__xludf.DUMMYFUNCTION("""COMPUTED_VALUE"""),0.0)</f>
        <v>0</v>
      </c>
      <c r="O821" s="348">
        <f>IFERROR(__xludf.DUMMYFUNCTION("""COMPUTED_VALUE"""),0.0)</f>
        <v>0</v>
      </c>
      <c r="P821" s="348">
        <f>IFERROR(__xludf.DUMMYFUNCTION("""COMPUTED_VALUE"""),0.0)</f>
        <v>0</v>
      </c>
      <c r="Q821" s="348">
        <f>IFERROR(__xludf.DUMMYFUNCTION("""COMPUTED_VALUE"""),0.0)</f>
        <v>0</v>
      </c>
      <c r="R821" s="355" t="str">
        <f>IFERROR(__xludf.DUMMYFUNCTION("""COMPUTED_VALUE""")," Cash Proyek ")</f>
        <v>Cash Proyek</v>
      </c>
      <c r="S821" s="350"/>
      <c r="T821" s="262"/>
      <c r="U821" s="351"/>
      <c r="V821" s="262"/>
      <c r="W821" s="262"/>
      <c r="X821" s="262"/>
      <c r="Y821" s="262"/>
      <c r="Z821" s="262"/>
      <c r="AA821" s="262"/>
      <c r="AB821" s="262"/>
      <c r="AC821" s="262"/>
      <c r="AD821" s="262"/>
      <c r="AE821" s="262"/>
      <c r="AF821" s="262"/>
      <c r="AG821" s="264"/>
      <c r="AH821" s="264"/>
      <c r="AI821" s="264"/>
      <c r="AJ821" s="264"/>
      <c r="AK821" s="264"/>
      <c r="AL821" s="264"/>
      <c r="AM821" s="264"/>
      <c r="AN821" s="264"/>
    </row>
    <row r="822" ht="15.75" customHeight="1">
      <c r="A822" s="262"/>
      <c r="B822" s="338">
        <f>IFERROR(__xludf.DUMMYFUNCTION("""COMPUTED_VALUE"""),1303.0)</f>
        <v>1303</v>
      </c>
      <c r="C822" s="354"/>
      <c r="D822" s="340" t="str">
        <f>IFERROR(__xludf.DUMMYFUNCTION("""COMPUTED_VALUE"""),"")</f>
        <v/>
      </c>
      <c r="E822" s="341">
        <f>IFERROR(__xludf.DUMMYFUNCTION("""COMPUTED_VALUE"""),0.0)</f>
        <v>0</v>
      </c>
      <c r="F822" s="352"/>
      <c r="G822" s="343"/>
      <c r="H822" s="344">
        <f>IFERROR(__xludf.DUMMYFUNCTION("""COMPUTED_VALUE"""),0.0)</f>
        <v>0</v>
      </c>
      <c r="I822" s="353"/>
      <c r="J822" s="353"/>
      <c r="K822" s="346">
        <f>IFERROR(__xludf.DUMMYFUNCTION("""COMPUTED_VALUE"""),0.0)</f>
        <v>0</v>
      </c>
      <c r="L822" s="347">
        <f>IFERROR(__xludf.DUMMYFUNCTION("""COMPUTED_VALUE"""),0.0)</f>
        <v>0</v>
      </c>
      <c r="M822" s="348">
        <f>IFERROR(__xludf.DUMMYFUNCTION("""COMPUTED_VALUE"""),0.0)</f>
        <v>0</v>
      </c>
      <c r="N822" s="348">
        <f>IFERROR(__xludf.DUMMYFUNCTION("""COMPUTED_VALUE"""),0.0)</f>
        <v>0</v>
      </c>
      <c r="O822" s="348">
        <f>IFERROR(__xludf.DUMMYFUNCTION("""COMPUTED_VALUE"""),0.0)</f>
        <v>0</v>
      </c>
      <c r="P822" s="348">
        <f>IFERROR(__xludf.DUMMYFUNCTION("""COMPUTED_VALUE"""),0.0)</f>
        <v>0</v>
      </c>
      <c r="Q822" s="348">
        <f>IFERROR(__xludf.DUMMYFUNCTION("""COMPUTED_VALUE"""),0.0)</f>
        <v>0</v>
      </c>
      <c r="R822" s="355" t="str">
        <f>IFERROR(__xludf.DUMMYFUNCTION("""COMPUTED_VALUE""")," Cash Proyek ")</f>
        <v>Cash Proyek</v>
      </c>
      <c r="S822" s="350"/>
      <c r="T822" s="262"/>
      <c r="U822" s="351"/>
      <c r="V822" s="262"/>
      <c r="W822" s="262"/>
      <c r="X822" s="262"/>
      <c r="Y822" s="262"/>
      <c r="Z822" s="262"/>
      <c r="AA822" s="262"/>
      <c r="AB822" s="262"/>
      <c r="AC822" s="262"/>
      <c r="AD822" s="262"/>
      <c r="AE822" s="262"/>
      <c r="AF822" s="262"/>
      <c r="AG822" s="264"/>
      <c r="AH822" s="264"/>
      <c r="AI822" s="264"/>
      <c r="AJ822" s="264"/>
      <c r="AK822" s="264"/>
      <c r="AL822" s="264"/>
      <c r="AM822" s="264"/>
      <c r="AN822" s="264"/>
    </row>
    <row r="823" ht="15.75" customHeight="1">
      <c r="A823" s="262"/>
      <c r="B823" s="338">
        <f>IFERROR(__xludf.DUMMYFUNCTION("""COMPUTED_VALUE"""),1304.0)</f>
        <v>1304</v>
      </c>
      <c r="C823" s="354"/>
      <c r="D823" s="340" t="str">
        <f>IFERROR(__xludf.DUMMYFUNCTION("""COMPUTED_VALUE"""),"")</f>
        <v/>
      </c>
      <c r="E823" s="341">
        <f>IFERROR(__xludf.DUMMYFUNCTION("""COMPUTED_VALUE"""),0.0)</f>
        <v>0</v>
      </c>
      <c r="F823" s="352"/>
      <c r="G823" s="343"/>
      <c r="H823" s="344">
        <f>IFERROR(__xludf.DUMMYFUNCTION("""COMPUTED_VALUE"""),0.0)</f>
        <v>0</v>
      </c>
      <c r="I823" s="353"/>
      <c r="J823" s="353"/>
      <c r="K823" s="346">
        <f>IFERROR(__xludf.DUMMYFUNCTION("""COMPUTED_VALUE"""),0.0)</f>
        <v>0</v>
      </c>
      <c r="L823" s="347">
        <f>IFERROR(__xludf.DUMMYFUNCTION("""COMPUTED_VALUE"""),0.0)</f>
        <v>0</v>
      </c>
      <c r="M823" s="348">
        <f>IFERROR(__xludf.DUMMYFUNCTION("""COMPUTED_VALUE"""),0.0)</f>
        <v>0</v>
      </c>
      <c r="N823" s="348">
        <f>IFERROR(__xludf.DUMMYFUNCTION("""COMPUTED_VALUE"""),0.0)</f>
        <v>0</v>
      </c>
      <c r="O823" s="348">
        <f>IFERROR(__xludf.DUMMYFUNCTION("""COMPUTED_VALUE"""),0.0)</f>
        <v>0</v>
      </c>
      <c r="P823" s="348">
        <f>IFERROR(__xludf.DUMMYFUNCTION("""COMPUTED_VALUE"""),0.0)</f>
        <v>0</v>
      </c>
      <c r="Q823" s="348">
        <f>IFERROR(__xludf.DUMMYFUNCTION("""COMPUTED_VALUE"""),0.0)</f>
        <v>0</v>
      </c>
      <c r="R823" s="355" t="str">
        <f>IFERROR(__xludf.DUMMYFUNCTION("""COMPUTED_VALUE""")," Cash Proyek ")</f>
        <v>Cash Proyek</v>
      </c>
      <c r="S823" s="350"/>
      <c r="T823" s="262"/>
      <c r="U823" s="351"/>
      <c r="V823" s="262"/>
      <c r="W823" s="262"/>
      <c r="X823" s="262"/>
      <c r="Y823" s="262"/>
      <c r="Z823" s="262"/>
      <c r="AA823" s="262"/>
      <c r="AB823" s="262"/>
      <c r="AC823" s="262"/>
      <c r="AD823" s="262"/>
      <c r="AE823" s="262"/>
      <c r="AF823" s="262"/>
      <c r="AG823" s="264"/>
      <c r="AH823" s="264"/>
      <c r="AI823" s="264"/>
      <c r="AJ823" s="264"/>
      <c r="AK823" s="264"/>
      <c r="AL823" s="264"/>
      <c r="AM823" s="264"/>
      <c r="AN823" s="264"/>
    </row>
    <row r="824" ht="15.75" customHeight="1">
      <c r="A824" s="262"/>
      <c r="B824" s="338">
        <f>IFERROR(__xludf.DUMMYFUNCTION("""COMPUTED_VALUE"""),1305.0)</f>
        <v>1305</v>
      </c>
      <c r="C824" s="354"/>
      <c r="D824" s="340" t="str">
        <f>IFERROR(__xludf.DUMMYFUNCTION("""COMPUTED_VALUE"""),"")</f>
        <v/>
      </c>
      <c r="E824" s="341">
        <f>IFERROR(__xludf.DUMMYFUNCTION("""COMPUTED_VALUE"""),0.0)</f>
        <v>0</v>
      </c>
      <c r="F824" s="352"/>
      <c r="G824" s="343"/>
      <c r="H824" s="344">
        <f>IFERROR(__xludf.DUMMYFUNCTION("""COMPUTED_VALUE"""),0.0)</f>
        <v>0</v>
      </c>
      <c r="I824" s="353"/>
      <c r="J824" s="353"/>
      <c r="K824" s="346">
        <f>IFERROR(__xludf.DUMMYFUNCTION("""COMPUTED_VALUE"""),0.0)</f>
        <v>0</v>
      </c>
      <c r="L824" s="347">
        <f>IFERROR(__xludf.DUMMYFUNCTION("""COMPUTED_VALUE"""),0.0)</f>
        <v>0</v>
      </c>
      <c r="M824" s="348">
        <f>IFERROR(__xludf.DUMMYFUNCTION("""COMPUTED_VALUE"""),0.0)</f>
        <v>0</v>
      </c>
      <c r="N824" s="348">
        <f>IFERROR(__xludf.DUMMYFUNCTION("""COMPUTED_VALUE"""),0.0)</f>
        <v>0</v>
      </c>
      <c r="O824" s="348">
        <f>IFERROR(__xludf.DUMMYFUNCTION("""COMPUTED_VALUE"""),0.0)</f>
        <v>0</v>
      </c>
      <c r="P824" s="348">
        <f>IFERROR(__xludf.DUMMYFUNCTION("""COMPUTED_VALUE"""),0.0)</f>
        <v>0</v>
      </c>
      <c r="Q824" s="348">
        <f>IFERROR(__xludf.DUMMYFUNCTION("""COMPUTED_VALUE"""),0.0)</f>
        <v>0</v>
      </c>
      <c r="R824" s="355" t="str">
        <f>IFERROR(__xludf.DUMMYFUNCTION("""COMPUTED_VALUE""")," Cash Proyek ")</f>
        <v>Cash Proyek</v>
      </c>
      <c r="S824" s="350"/>
      <c r="T824" s="262"/>
      <c r="U824" s="351"/>
      <c r="V824" s="262"/>
      <c r="W824" s="262"/>
      <c r="X824" s="262"/>
      <c r="Y824" s="262"/>
      <c r="Z824" s="262"/>
      <c r="AA824" s="262"/>
      <c r="AB824" s="262"/>
      <c r="AC824" s="262"/>
      <c r="AD824" s="262"/>
      <c r="AE824" s="262"/>
      <c r="AF824" s="262"/>
      <c r="AG824" s="264"/>
      <c r="AH824" s="264"/>
      <c r="AI824" s="264"/>
      <c r="AJ824" s="264"/>
      <c r="AK824" s="264"/>
      <c r="AL824" s="264"/>
      <c r="AM824" s="264"/>
      <c r="AN824" s="264"/>
    </row>
    <row r="825" ht="15.75" customHeight="1">
      <c r="A825" s="262"/>
      <c r="B825" s="338">
        <f>IFERROR(__xludf.DUMMYFUNCTION("""COMPUTED_VALUE"""),1306.0)</f>
        <v>1306</v>
      </c>
      <c r="C825" s="354"/>
      <c r="D825" s="340" t="str">
        <f>IFERROR(__xludf.DUMMYFUNCTION("""COMPUTED_VALUE"""),"")</f>
        <v/>
      </c>
      <c r="E825" s="341">
        <f>IFERROR(__xludf.DUMMYFUNCTION("""COMPUTED_VALUE"""),0.0)</f>
        <v>0</v>
      </c>
      <c r="F825" s="352"/>
      <c r="G825" s="343"/>
      <c r="H825" s="344">
        <f>IFERROR(__xludf.DUMMYFUNCTION("""COMPUTED_VALUE"""),0.0)</f>
        <v>0</v>
      </c>
      <c r="I825" s="353"/>
      <c r="J825" s="353"/>
      <c r="K825" s="346">
        <f>IFERROR(__xludf.DUMMYFUNCTION("""COMPUTED_VALUE"""),0.0)</f>
        <v>0</v>
      </c>
      <c r="L825" s="347">
        <f>IFERROR(__xludf.DUMMYFUNCTION("""COMPUTED_VALUE"""),0.0)</f>
        <v>0</v>
      </c>
      <c r="M825" s="348">
        <f>IFERROR(__xludf.DUMMYFUNCTION("""COMPUTED_VALUE"""),0.0)</f>
        <v>0</v>
      </c>
      <c r="N825" s="348">
        <f>IFERROR(__xludf.DUMMYFUNCTION("""COMPUTED_VALUE"""),0.0)</f>
        <v>0</v>
      </c>
      <c r="O825" s="348">
        <f>IFERROR(__xludf.DUMMYFUNCTION("""COMPUTED_VALUE"""),0.0)</f>
        <v>0</v>
      </c>
      <c r="P825" s="348">
        <f>IFERROR(__xludf.DUMMYFUNCTION("""COMPUTED_VALUE"""),0.0)</f>
        <v>0</v>
      </c>
      <c r="Q825" s="348">
        <f>IFERROR(__xludf.DUMMYFUNCTION("""COMPUTED_VALUE"""),0.0)</f>
        <v>0</v>
      </c>
      <c r="R825" s="355" t="str">
        <f>IFERROR(__xludf.DUMMYFUNCTION("""COMPUTED_VALUE""")," Cash Proyek ")</f>
        <v>Cash Proyek</v>
      </c>
      <c r="S825" s="350"/>
      <c r="T825" s="262"/>
      <c r="U825" s="351"/>
      <c r="V825" s="262"/>
      <c r="W825" s="262"/>
      <c r="X825" s="262"/>
      <c r="Y825" s="262"/>
      <c r="Z825" s="262"/>
      <c r="AA825" s="262"/>
      <c r="AB825" s="262"/>
      <c r="AC825" s="262"/>
      <c r="AD825" s="262"/>
      <c r="AE825" s="262"/>
      <c r="AF825" s="262"/>
      <c r="AG825" s="264"/>
      <c r="AH825" s="264"/>
      <c r="AI825" s="264"/>
      <c r="AJ825" s="264"/>
      <c r="AK825" s="264"/>
      <c r="AL825" s="264"/>
      <c r="AM825" s="264"/>
      <c r="AN825" s="264"/>
    </row>
    <row r="826" ht="15.75" customHeight="1">
      <c r="A826" s="262"/>
      <c r="B826" s="338">
        <f>IFERROR(__xludf.DUMMYFUNCTION("""COMPUTED_VALUE"""),1307.0)</f>
        <v>1307</v>
      </c>
      <c r="C826" s="354"/>
      <c r="D826" s="340" t="str">
        <f>IFERROR(__xludf.DUMMYFUNCTION("""COMPUTED_VALUE"""),"")</f>
        <v/>
      </c>
      <c r="E826" s="341">
        <f>IFERROR(__xludf.DUMMYFUNCTION("""COMPUTED_VALUE"""),0.0)</f>
        <v>0</v>
      </c>
      <c r="F826" s="352"/>
      <c r="G826" s="343"/>
      <c r="H826" s="344">
        <f>IFERROR(__xludf.DUMMYFUNCTION("""COMPUTED_VALUE"""),0.0)</f>
        <v>0</v>
      </c>
      <c r="I826" s="353"/>
      <c r="J826" s="353"/>
      <c r="K826" s="346">
        <f>IFERROR(__xludf.DUMMYFUNCTION("""COMPUTED_VALUE"""),0.0)</f>
        <v>0</v>
      </c>
      <c r="L826" s="347">
        <f>IFERROR(__xludf.DUMMYFUNCTION("""COMPUTED_VALUE"""),0.0)</f>
        <v>0</v>
      </c>
      <c r="M826" s="348">
        <f>IFERROR(__xludf.DUMMYFUNCTION("""COMPUTED_VALUE"""),0.0)</f>
        <v>0</v>
      </c>
      <c r="N826" s="348">
        <f>IFERROR(__xludf.DUMMYFUNCTION("""COMPUTED_VALUE"""),0.0)</f>
        <v>0</v>
      </c>
      <c r="O826" s="348">
        <f>IFERROR(__xludf.DUMMYFUNCTION("""COMPUTED_VALUE"""),0.0)</f>
        <v>0</v>
      </c>
      <c r="P826" s="348">
        <f>IFERROR(__xludf.DUMMYFUNCTION("""COMPUTED_VALUE"""),0.0)</f>
        <v>0</v>
      </c>
      <c r="Q826" s="348">
        <f>IFERROR(__xludf.DUMMYFUNCTION("""COMPUTED_VALUE"""),0.0)</f>
        <v>0</v>
      </c>
      <c r="R826" s="355" t="str">
        <f>IFERROR(__xludf.DUMMYFUNCTION("""COMPUTED_VALUE""")," Cash Proyek ")</f>
        <v>Cash Proyek</v>
      </c>
      <c r="S826" s="350"/>
      <c r="T826" s="262"/>
      <c r="U826" s="351"/>
      <c r="V826" s="262"/>
      <c r="W826" s="262"/>
      <c r="X826" s="262"/>
      <c r="Y826" s="262"/>
      <c r="Z826" s="262"/>
      <c r="AA826" s="262"/>
      <c r="AB826" s="262"/>
      <c r="AC826" s="262"/>
      <c r="AD826" s="262"/>
      <c r="AE826" s="262"/>
      <c r="AF826" s="262"/>
      <c r="AG826" s="264"/>
      <c r="AH826" s="264"/>
      <c r="AI826" s="264"/>
      <c r="AJ826" s="264"/>
      <c r="AK826" s="264"/>
      <c r="AL826" s="264"/>
      <c r="AM826" s="264"/>
      <c r="AN826" s="264"/>
    </row>
    <row r="827" ht="15.75" customHeight="1">
      <c r="A827" s="262"/>
      <c r="B827" s="338">
        <f>IFERROR(__xludf.DUMMYFUNCTION("""COMPUTED_VALUE"""),1308.0)</f>
        <v>1308</v>
      </c>
      <c r="C827" s="354"/>
      <c r="D827" s="340" t="str">
        <f>IFERROR(__xludf.DUMMYFUNCTION("""COMPUTED_VALUE"""),"")</f>
        <v/>
      </c>
      <c r="E827" s="341">
        <f>IFERROR(__xludf.DUMMYFUNCTION("""COMPUTED_VALUE"""),0.0)</f>
        <v>0</v>
      </c>
      <c r="F827" s="352"/>
      <c r="G827" s="343"/>
      <c r="H827" s="344">
        <f>IFERROR(__xludf.DUMMYFUNCTION("""COMPUTED_VALUE"""),0.0)</f>
        <v>0</v>
      </c>
      <c r="I827" s="353"/>
      <c r="J827" s="353"/>
      <c r="K827" s="346">
        <f>IFERROR(__xludf.DUMMYFUNCTION("""COMPUTED_VALUE"""),0.0)</f>
        <v>0</v>
      </c>
      <c r="L827" s="347">
        <f>IFERROR(__xludf.DUMMYFUNCTION("""COMPUTED_VALUE"""),0.0)</f>
        <v>0</v>
      </c>
      <c r="M827" s="348">
        <f>IFERROR(__xludf.DUMMYFUNCTION("""COMPUTED_VALUE"""),0.0)</f>
        <v>0</v>
      </c>
      <c r="N827" s="348">
        <f>IFERROR(__xludf.DUMMYFUNCTION("""COMPUTED_VALUE"""),0.0)</f>
        <v>0</v>
      </c>
      <c r="O827" s="348">
        <f>IFERROR(__xludf.DUMMYFUNCTION("""COMPUTED_VALUE"""),0.0)</f>
        <v>0</v>
      </c>
      <c r="P827" s="348">
        <f>IFERROR(__xludf.DUMMYFUNCTION("""COMPUTED_VALUE"""),0.0)</f>
        <v>0</v>
      </c>
      <c r="Q827" s="348">
        <f>IFERROR(__xludf.DUMMYFUNCTION("""COMPUTED_VALUE"""),0.0)</f>
        <v>0</v>
      </c>
      <c r="R827" s="355" t="str">
        <f>IFERROR(__xludf.DUMMYFUNCTION("""COMPUTED_VALUE""")," Cash Proyek ")</f>
        <v>Cash Proyek</v>
      </c>
      <c r="S827" s="350"/>
      <c r="T827" s="262"/>
      <c r="U827" s="351"/>
      <c r="V827" s="262"/>
      <c r="W827" s="262"/>
      <c r="X827" s="262"/>
      <c r="Y827" s="262"/>
      <c r="Z827" s="262"/>
      <c r="AA827" s="262"/>
      <c r="AB827" s="262"/>
      <c r="AC827" s="262"/>
      <c r="AD827" s="262"/>
      <c r="AE827" s="262"/>
      <c r="AF827" s="262"/>
      <c r="AG827" s="264"/>
      <c r="AH827" s="264"/>
      <c r="AI827" s="264"/>
      <c r="AJ827" s="264"/>
      <c r="AK827" s="264"/>
      <c r="AL827" s="264"/>
      <c r="AM827" s="264"/>
      <c r="AN827" s="264"/>
    </row>
    <row r="828" ht="15.75" customHeight="1">
      <c r="A828" s="262"/>
      <c r="B828" s="338">
        <f>IFERROR(__xludf.DUMMYFUNCTION("""COMPUTED_VALUE"""),1309.0)</f>
        <v>1309</v>
      </c>
      <c r="C828" s="354"/>
      <c r="D828" s="340" t="str">
        <f>IFERROR(__xludf.DUMMYFUNCTION("""COMPUTED_VALUE"""),"")</f>
        <v/>
      </c>
      <c r="E828" s="341">
        <f>IFERROR(__xludf.DUMMYFUNCTION("""COMPUTED_VALUE"""),0.0)</f>
        <v>0</v>
      </c>
      <c r="F828" s="352"/>
      <c r="G828" s="343"/>
      <c r="H828" s="344">
        <f>IFERROR(__xludf.DUMMYFUNCTION("""COMPUTED_VALUE"""),0.0)</f>
        <v>0</v>
      </c>
      <c r="I828" s="353"/>
      <c r="J828" s="353"/>
      <c r="K828" s="346">
        <f>IFERROR(__xludf.DUMMYFUNCTION("""COMPUTED_VALUE"""),0.0)</f>
        <v>0</v>
      </c>
      <c r="L828" s="347">
        <f>IFERROR(__xludf.DUMMYFUNCTION("""COMPUTED_VALUE"""),0.0)</f>
        <v>0</v>
      </c>
      <c r="M828" s="348">
        <f>IFERROR(__xludf.DUMMYFUNCTION("""COMPUTED_VALUE"""),0.0)</f>
        <v>0</v>
      </c>
      <c r="N828" s="348">
        <f>IFERROR(__xludf.DUMMYFUNCTION("""COMPUTED_VALUE"""),0.0)</f>
        <v>0</v>
      </c>
      <c r="O828" s="348">
        <f>IFERROR(__xludf.DUMMYFUNCTION("""COMPUTED_VALUE"""),0.0)</f>
        <v>0</v>
      </c>
      <c r="P828" s="348">
        <f>IFERROR(__xludf.DUMMYFUNCTION("""COMPUTED_VALUE"""),0.0)</f>
        <v>0</v>
      </c>
      <c r="Q828" s="348">
        <f>IFERROR(__xludf.DUMMYFUNCTION("""COMPUTED_VALUE"""),0.0)</f>
        <v>0</v>
      </c>
      <c r="R828" s="355" t="str">
        <f>IFERROR(__xludf.DUMMYFUNCTION("""COMPUTED_VALUE""")," Cash Proyek ")</f>
        <v>Cash Proyek</v>
      </c>
      <c r="S828" s="350"/>
      <c r="T828" s="262"/>
      <c r="U828" s="351"/>
      <c r="V828" s="262"/>
      <c r="W828" s="262"/>
      <c r="X828" s="262"/>
      <c r="Y828" s="262"/>
      <c r="Z828" s="262"/>
      <c r="AA828" s="262"/>
      <c r="AB828" s="262"/>
      <c r="AC828" s="262"/>
      <c r="AD828" s="262"/>
      <c r="AE828" s="262"/>
      <c r="AF828" s="262"/>
      <c r="AG828" s="264"/>
      <c r="AH828" s="264"/>
      <c r="AI828" s="264"/>
      <c r="AJ828" s="264"/>
      <c r="AK828" s="264"/>
      <c r="AL828" s="264"/>
      <c r="AM828" s="264"/>
      <c r="AN828" s="264"/>
    </row>
    <row r="829" ht="15.75" customHeight="1">
      <c r="A829" s="262"/>
      <c r="B829" s="338">
        <f>IFERROR(__xludf.DUMMYFUNCTION("""COMPUTED_VALUE"""),1310.0)</f>
        <v>1310</v>
      </c>
      <c r="C829" s="354"/>
      <c r="D829" s="340" t="str">
        <f>IFERROR(__xludf.DUMMYFUNCTION("""COMPUTED_VALUE"""),"")</f>
        <v/>
      </c>
      <c r="E829" s="341">
        <f>IFERROR(__xludf.DUMMYFUNCTION("""COMPUTED_VALUE"""),0.0)</f>
        <v>0</v>
      </c>
      <c r="F829" s="352"/>
      <c r="G829" s="343"/>
      <c r="H829" s="344">
        <f>IFERROR(__xludf.DUMMYFUNCTION("""COMPUTED_VALUE"""),0.0)</f>
        <v>0</v>
      </c>
      <c r="I829" s="353"/>
      <c r="J829" s="353"/>
      <c r="K829" s="346">
        <f>IFERROR(__xludf.DUMMYFUNCTION("""COMPUTED_VALUE"""),0.0)</f>
        <v>0</v>
      </c>
      <c r="L829" s="347">
        <f>IFERROR(__xludf.DUMMYFUNCTION("""COMPUTED_VALUE"""),0.0)</f>
        <v>0</v>
      </c>
      <c r="M829" s="348">
        <f>IFERROR(__xludf.DUMMYFUNCTION("""COMPUTED_VALUE"""),0.0)</f>
        <v>0</v>
      </c>
      <c r="N829" s="348">
        <f>IFERROR(__xludf.DUMMYFUNCTION("""COMPUTED_VALUE"""),0.0)</f>
        <v>0</v>
      </c>
      <c r="O829" s="348">
        <f>IFERROR(__xludf.DUMMYFUNCTION("""COMPUTED_VALUE"""),0.0)</f>
        <v>0</v>
      </c>
      <c r="P829" s="348">
        <f>IFERROR(__xludf.DUMMYFUNCTION("""COMPUTED_VALUE"""),0.0)</f>
        <v>0</v>
      </c>
      <c r="Q829" s="348">
        <f>IFERROR(__xludf.DUMMYFUNCTION("""COMPUTED_VALUE"""),0.0)</f>
        <v>0</v>
      </c>
      <c r="R829" s="355" t="str">
        <f>IFERROR(__xludf.DUMMYFUNCTION("""COMPUTED_VALUE""")," Cash Proyek ")</f>
        <v>Cash Proyek</v>
      </c>
      <c r="S829" s="350"/>
      <c r="T829" s="262"/>
      <c r="U829" s="351"/>
      <c r="V829" s="262"/>
      <c r="W829" s="262"/>
      <c r="X829" s="262"/>
      <c r="Y829" s="262"/>
      <c r="Z829" s="262"/>
      <c r="AA829" s="262"/>
      <c r="AB829" s="262"/>
      <c r="AC829" s="262"/>
      <c r="AD829" s="262"/>
      <c r="AE829" s="262"/>
      <c r="AF829" s="262"/>
      <c r="AG829" s="264"/>
      <c r="AH829" s="264"/>
      <c r="AI829" s="264"/>
      <c r="AJ829" s="264"/>
      <c r="AK829" s="264"/>
      <c r="AL829" s="264"/>
      <c r="AM829" s="264"/>
      <c r="AN829" s="264"/>
    </row>
    <row r="830" ht="15.75" customHeight="1">
      <c r="A830" s="262"/>
      <c r="B830" s="338">
        <f>IFERROR(__xludf.DUMMYFUNCTION("""COMPUTED_VALUE"""),1311.0)</f>
        <v>1311</v>
      </c>
      <c r="C830" s="354"/>
      <c r="D830" s="340" t="str">
        <f>IFERROR(__xludf.DUMMYFUNCTION("""COMPUTED_VALUE"""),"")</f>
        <v/>
      </c>
      <c r="E830" s="341">
        <f>IFERROR(__xludf.DUMMYFUNCTION("""COMPUTED_VALUE"""),0.0)</f>
        <v>0</v>
      </c>
      <c r="F830" s="352"/>
      <c r="G830" s="343"/>
      <c r="H830" s="344">
        <f>IFERROR(__xludf.DUMMYFUNCTION("""COMPUTED_VALUE"""),0.0)</f>
        <v>0</v>
      </c>
      <c r="I830" s="353"/>
      <c r="J830" s="353"/>
      <c r="K830" s="346">
        <f>IFERROR(__xludf.DUMMYFUNCTION("""COMPUTED_VALUE"""),0.0)</f>
        <v>0</v>
      </c>
      <c r="L830" s="347">
        <f>IFERROR(__xludf.DUMMYFUNCTION("""COMPUTED_VALUE"""),0.0)</f>
        <v>0</v>
      </c>
      <c r="M830" s="348">
        <f>IFERROR(__xludf.DUMMYFUNCTION("""COMPUTED_VALUE"""),0.0)</f>
        <v>0</v>
      </c>
      <c r="N830" s="348">
        <f>IFERROR(__xludf.DUMMYFUNCTION("""COMPUTED_VALUE"""),0.0)</f>
        <v>0</v>
      </c>
      <c r="O830" s="348">
        <f>IFERROR(__xludf.DUMMYFUNCTION("""COMPUTED_VALUE"""),0.0)</f>
        <v>0</v>
      </c>
      <c r="P830" s="348">
        <f>IFERROR(__xludf.DUMMYFUNCTION("""COMPUTED_VALUE"""),0.0)</f>
        <v>0</v>
      </c>
      <c r="Q830" s="348">
        <f>IFERROR(__xludf.DUMMYFUNCTION("""COMPUTED_VALUE"""),0.0)</f>
        <v>0</v>
      </c>
      <c r="R830" s="355" t="str">
        <f>IFERROR(__xludf.DUMMYFUNCTION("""COMPUTED_VALUE""")," Cash Proyek ")</f>
        <v>Cash Proyek</v>
      </c>
      <c r="S830" s="350"/>
      <c r="T830" s="262"/>
      <c r="U830" s="351"/>
      <c r="V830" s="262"/>
      <c r="W830" s="262"/>
      <c r="X830" s="262"/>
      <c r="Y830" s="262"/>
      <c r="Z830" s="262"/>
      <c r="AA830" s="262"/>
      <c r="AB830" s="262"/>
      <c r="AC830" s="262"/>
      <c r="AD830" s="262"/>
      <c r="AE830" s="262"/>
      <c r="AF830" s="262"/>
      <c r="AG830" s="264"/>
      <c r="AH830" s="264"/>
      <c r="AI830" s="264"/>
      <c r="AJ830" s="264"/>
      <c r="AK830" s="264"/>
      <c r="AL830" s="264"/>
      <c r="AM830" s="264"/>
      <c r="AN830" s="264"/>
    </row>
    <row r="831" ht="15.75" customHeight="1">
      <c r="A831" s="262"/>
      <c r="B831" s="338">
        <f>IFERROR(__xludf.DUMMYFUNCTION("""COMPUTED_VALUE"""),1312.0)</f>
        <v>1312</v>
      </c>
      <c r="C831" s="354"/>
      <c r="D831" s="340" t="str">
        <f>IFERROR(__xludf.DUMMYFUNCTION("""COMPUTED_VALUE"""),"")</f>
        <v/>
      </c>
      <c r="E831" s="341">
        <f>IFERROR(__xludf.DUMMYFUNCTION("""COMPUTED_VALUE"""),0.0)</f>
        <v>0</v>
      </c>
      <c r="F831" s="352"/>
      <c r="G831" s="343"/>
      <c r="H831" s="344">
        <f>IFERROR(__xludf.DUMMYFUNCTION("""COMPUTED_VALUE"""),0.0)</f>
        <v>0</v>
      </c>
      <c r="I831" s="353"/>
      <c r="J831" s="353"/>
      <c r="K831" s="346">
        <f>IFERROR(__xludf.DUMMYFUNCTION("""COMPUTED_VALUE"""),0.0)</f>
        <v>0</v>
      </c>
      <c r="L831" s="347">
        <f>IFERROR(__xludf.DUMMYFUNCTION("""COMPUTED_VALUE"""),0.0)</f>
        <v>0</v>
      </c>
      <c r="M831" s="348">
        <f>IFERROR(__xludf.DUMMYFUNCTION("""COMPUTED_VALUE"""),0.0)</f>
        <v>0</v>
      </c>
      <c r="N831" s="348">
        <f>IFERROR(__xludf.DUMMYFUNCTION("""COMPUTED_VALUE"""),0.0)</f>
        <v>0</v>
      </c>
      <c r="O831" s="348">
        <f>IFERROR(__xludf.DUMMYFUNCTION("""COMPUTED_VALUE"""),0.0)</f>
        <v>0</v>
      </c>
      <c r="P831" s="348">
        <f>IFERROR(__xludf.DUMMYFUNCTION("""COMPUTED_VALUE"""),0.0)</f>
        <v>0</v>
      </c>
      <c r="Q831" s="348">
        <f>IFERROR(__xludf.DUMMYFUNCTION("""COMPUTED_VALUE"""),0.0)</f>
        <v>0</v>
      </c>
      <c r="R831" s="355" t="str">
        <f>IFERROR(__xludf.DUMMYFUNCTION("""COMPUTED_VALUE""")," Cash Proyek ")</f>
        <v>Cash Proyek</v>
      </c>
      <c r="S831" s="350"/>
      <c r="T831" s="262"/>
      <c r="U831" s="351"/>
      <c r="V831" s="262"/>
      <c r="W831" s="262"/>
      <c r="X831" s="262"/>
      <c r="Y831" s="262"/>
      <c r="Z831" s="262"/>
      <c r="AA831" s="262"/>
      <c r="AB831" s="262"/>
      <c r="AC831" s="262"/>
      <c r="AD831" s="262"/>
      <c r="AE831" s="262"/>
      <c r="AF831" s="262"/>
      <c r="AG831" s="264"/>
      <c r="AH831" s="264"/>
      <c r="AI831" s="264"/>
      <c r="AJ831" s="264"/>
      <c r="AK831" s="264"/>
      <c r="AL831" s="264"/>
      <c r="AM831" s="264"/>
      <c r="AN831" s="264"/>
    </row>
    <row r="832" ht="15.75" customHeight="1">
      <c r="A832" s="262"/>
      <c r="B832" s="338">
        <f>IFERROR(__xludf.DUMMYFUNCTION("""COMPUTED_VALUE"""),1313.0)</f>
        <v>1313</v>
      </c>
      <c r="C832" s="354"/>
      <c r="D832" s="340" t="str">
        <f>IFERROR(__xludf.DUMMYFUNCTION("""COMPUTED_VALUE"""),"")</f>
        <v/>
      </c>
      <c r="E832" s="341">
        <f>IFERROR(__xludf.DUMMYFUNCTION("""COMPUTED_VALUE"""),0.0)</f>
        <v>0</v>
      </c>
      <c r="F832" s="352"/>
      <c r="G832" s="343"/>
      <c r="H832" s="344">
        <f>IFERROR(__xludf.DUMMYFUNCTION("""COMPUTED_VALUE"""),0.0)</f>
        <v>0</v>
      </c>
      <c r="I832" s="353"/>
      <c r="J832" s="353"/>
      <c r="K832" s="346">
        <f>IFERROR(__xludf.DUMMYFUNCTION("""COMPUTED_VALUE"""),0.0)</f>
        <v>0</v>
      </c>
      <c r="L832" s="347">
        <f>IFERROR(__xludf.DUMMYFUNCTION("""COMPUTED_VALUE"""),0.0)</f>
        <v>0</v>
      </c>
      <c r="M832" s="348">
        <f>IFERROR(__xludf.DUMMYFUNCTION("""COMPUTED_VALUE"""),0.0)</f>
        <v>0</v>
      </c>
      <c r="N832" s="348">
        <f>IFERROR(__xludf.DUMMYFUNCTION("""COMPUTED_VALUE"""),0.0)</f>
        <v>0</v>
      </c>
      <c r="O832" s="348">
        <f>IFERROR(__xludf.DUMMYFUNCTION("""COMPUTED_VALUE"""),0.0)</f>
        <v>0</v>
      </c>
      <c r="P832" s="348">
        <f>IFERROR(__xludf.DUMMYFUNCTION("""COMPUTED_VALUE"""),0.0)</f>
        <v>0</v>
      </c>
      <c r="Q832" s="348">
        <f>IFERROR(__xludf.DUMMYFUNCTION("""COMPUTED_VALUE"""),0.0)</f>
        <v>0</v>
      </c>
      <c r="R832" s="355" t="str">
        <f>IFERROR(__xludf.DUMMYFUNCTION("""COMPUTED_VALUE""")," Cash Proyek ")</f>
        <v>Cash Proyek</v>
      </c>
      <c r="S832" s="350"/>
      <c r="T832" s="262"/>
      <c r="U832" s="351"/>
      <c r="V832" s="262"/>
      <c r="W832" s="262"/>
      <c r="X832" s="262"/>
      <c r="Y832" s="262"/>
      <c r="Z832" s="262"/>
      <c r="AA832" s="262"/>
      <c r="AB832" s="262"/>
      <c r="AC832" s="262"/>
      <c r="AD832" s="262"/>
      <c r="AE832" s="262"/>
      <c r="AF832" s="262"/>
      <c r="AG832" s="264"/>
      <c r="AH832" s="264"/>
      <c r="AI832" s="264"/>
      <c r="AJ832" s="264"/>
      <c r="AK832" s="264"/>
      <c r="AL832" s="264"/>
      <c r="AM832" s="264"/>
      <c r="AN832" s="264"/>
    </row>
    <row r="833" ht="15.75" customHeight="1">
      <c r="A833" s="262"/>
      <c r="B833" s="338">
        <f>IFERROR(__xludf.DUMMYFUNCTION("""COMPUTED_VALUE"""),1314.0)</f>
        <v>1314</v>
      </c>
      <c r="C833" s="354"/>
      <c r="D833" s="340" t="str">
        <f>IFERROR(__xludf.DUMMYFUNCTION("""COMPUTED_VALUE"""),"")</f>
        <v/>
      </c>
      <c r="E833" s="341">
        <f>IFERROR(__xludf.DUMMYFUNCTION("""COMPUTED_VALUE"""),0.0)</f>
        <v>0</v>
      </c>
      <c r="F833" s="352"/>
      <c r="G833" s="343"/>
      <c r="H833" s="344">
        <f>IFERROR(__xludf.DUMMYFUNCTION("""COMPUTED_VALUE"""),0.0)</f>
        <v>0</v>
      </c>
      <c r="I833" s="353"/>
      <c r="J833" s="353"/>
      <c r="K833" s="346">
        <f>IFERROR(__xludf.DUMMYFUNCTION("""COMPUTED_VALUE"""),0.0)</f>
        <v>0</v>
      </c>
      <c r="L833" s="347">
        <f>IFERROR(__xludf.DUMMYFUNCTION("""COMPUTED_VALUE"""),0.0)</f>
        <v>0</v>
      </c>
      <c r="M833" s="348">
        <f>IFERROR(__xludf.DUMMYFUNCTION("""COMPUTED_VALUE"""),0.0)</f>
        <v>0</v>
      </c>
      <c r="N833" s="348">
        <f>IFERROR(__xludf.DUMMYFUNCTION("""COMPUTED_VALUE"""),0.0)</f>
        <v>0</v>
      </c>
      <c r="O833" s="348">
        <f>IFERROR(__xludf.DUMMYFUNCTION("""COMPUTED_VALUE"""),0.0)</f>
        <v>0</v>
      </c>
      <c r="P833" s="348">
        <f>IFERROR(__xludf.DUMMYFUNCTION("""COMPUTED_VALUE"""),0.0)</f>
        <v>0</v>
      </c>
      <c r="Q833" s="348">
        <f>IFERROR(__xludf.DUMMYFUNCTION("""COMPUTED_VALUE"""),0.0)</f>
        <v>0</v>
      </c>
      <c r="R833" s="355" t="str">
        <f>IFERROR(__xludf.DUMMYFUNCTION("""COMPUTED_VALUE""")," Cash Proyek ")</f>
        <v>Cash Proyek</v>
      </c>
      <c r="S833" s="350"/>
      <c r="T833" s="262"/>
      <c r="U833" s="351"/>
      <c r="V833" s="262"/>
      <c r="W833" s="262"/>
      <c r="X833" s="262"/>
      <c r="Y833" s="262"/>
      <c r="Z833" s="262"/>
      <c r="AA833" s="262"/>
      <c r="AB833" s="262"/>
      <c r="AC833" s="262"/>
      <c r="AD833" s="262"/>
      <c r="AE833" s="262"/>
      <c r="AF833" s="262"/>
      <c r="AG833" s="264"/>
      <c r="AH833" s="264"/>
      <c r="AI833" s="264"/>
      <c r="AJ833" s="264"/>
      <c r="AK833" s="264"/>
      <c r="AL833" s="264"/>
      <c r="AM833" s="264"/>
      <c r="AN833" s="264"/>
    </row>
    <row r="834" ht="15.75" customHeight="1">
      <c r="A834" s="262"/>
      <c r="B834" s="338">
        <f>IFERROR(__xludf.DUMMYFUNCTION("""COMPUTED_VALUE"""),1315.0)</f>
        <v>1315</v>
      </c>
      <c r="C834" s="354"/>
      <c r="D834" s="340" t="str">
        <f>IFERROR(__xludf.DUMMYFUNCTION("""COMPUTED_VALUE"""),"")</f>
        <v/>
      </c>
      <c r="E834" s="341">
        <f>IFERROR(__xludf.DUMMYFUNCTION("""COMPUTED_VALUE"""),0.0)</f>
        <v>0</v>
      </c>
      <c r="F834" s="352"/>
      <c r="G834" s="343"/>
      <c r="H834" s="344">
        <f>IFERROR(__xludf.DUMMYFUNCTION("""COMPUTED_VALUE"""),0.0)</f>
        <v>0</v>
      </c>
      <c r="I834" s="353"/>
      <c r="J834" s="353"/>
      <c r="K834" s="346">
        <f>IFERROR(__xludf.DUMMYFUNCTION("""COMPUTED_VALUE"""),0.0)</f>
        <v>0</v>
      </c>
      <c r="L834" s="347">
        <f>IFERROR(__xludf.DUMMYFUNCTION("""COMPUTED_VALUE"""),0.0)</f>
        <v>0</v>
      </c>
      <c r="M834" s="348">
        <f>IFERROR(__xludf.DUMMYFUNCTION("""COMPUTED_VALUE"""),0.0)</f>
        <v>0</v>
      </c>
      <c r="N834" s="348">
        <f>IFERROR(__xludf.DUMMYFUNCTION("""COMPUTED_VALUE"""),0.0)</f>
        <v>0</v>
      </c>
      <c r="O834" s="348">
        <f>IFERROR(__xludf.DUMMYFUNCTION("""COMPUTED_VALUE"""),0.0)</f>
        <v>0</v>
      </c>
      <c r="P834" s="348">
        <f>IFERROR(__xludf.DUMMYFUNCTION("""COMPUTED_VALUE"""),0.0)</f>
        <v>0</v>
      </c>
      <c r="Q834" s="348">
        <f>IFERROR(__xludf.DUMMYFUNCTION("""COMPUTED_VALUE"""),0.0)</f>
        <v>0</v>
      </c>
      <c r="R834" s="355" t="str">
        <f>IFERROR(__xludf.DUMMYFUNCTION("""COMPUTED_VALUE""")," Cash Proyek ")</f>
        <v>Cash Proyek</v>
      </c>
      <c r="S834" s="350"/>
      <c r="T834" s="262"/>
      <c r="U834" s="351"/>
      <c r="V834" s="262"/>
      <c r="W834" s="262"/>
      <c r="X834" s="262"/>
      <c r="Y834" s="262"/>
      <c r="Z834" s="262"/>
      <c r="AA834" s="262"/>
      <c r="AB834" s="262"/>
      <c r="AC834" s="262"/>
      <c r="AD834" s="262"/>
      <c r="AE834" s="262"/>
      <c r="AF834" s="262"/>
      <c r="AG834" s="264"/>
      <c r="AH834" s="264"/>
      <c r="AI834" s="264"/>
      <c r="AJ834" s="264"/>
      <c r="AK834" s="264"/>
      <c r="AL834" s="264"/>
      <c r="AM834" s="264"/>
      <c r="AN834" s="264"/>
    </row>
    <row r="835" ht="15.75" customHeight="1">
      <c r="A835" s="262"/>
      <c r="B835" s="338">
        <f>IFERROR(__xludf.DUMMYFUNCTION("""COMPUTED_VALUE"""),1316.0)</f>
        <v>1316</v>
      </c>
      <c r="C835" s="354"/>
      <c r="D835" s="340" t="str">
        <f>IFERROR(__xludf.DUMMYFUNCTION("""COMPUTED_VALUE"""),"")</f>
        <v/>
      </c>
      <c r="E835" s="341">
        <f>IFERROR(__xludf.DUMMYFUNCTION("""COMPUTED_VALUE"""),0.0)</f>
        <v>0</v>
      </c>
      <c r="F835" s="352"/>
      <c r="G835" s="343"/>
      <c r="H835" s="344">
        <f>IFERROR(__xludf.DUMMYFUNCTION("""COMPUTED_VALUE"""),0.0)</f>
        <v>0</v>
      </c>
      <c r="I835" s="353"/>
      <c r="J835" s="353"/>
      <c r="K835" s="346">
        <f>IFERROR(__xludf.DUMMYFUNCTION("""COMPUTED_VALUE"""),0.0)</f>
        <v>0</v>
      </c>
      <c r="L835" s="347">
        <f>IFERROR(__xludf.DUMMYFUNCTION("""COMPUTED_VALUE"""),0.0)</f>
        <v>0</v>
      </c>
      <c r="M835" s="348">
        <f>IFERROR(__xludf.DUMMYFUNCTION("""COMPUTED_VALUE"""),0.0)</f>
        <v>0</v>
      </c>
      <c r="N835" s="348">
        <f>IFERROR(__xludf.DUMMYFUNCTION("""COMPUTED_VALUE"""),0.0)</f>
        <v>0</v>
      </c>
      <c r="O835" s="348">
        <f>IFERROR(__xludf.DUMMYFUNCTION("""COMPUTED_VALUE"""),0.0)</f>
        <v>0</v>
      </c>
      <c r="P835" s="348">
        <f>IFERROR(__xludf.DUMMYFUNCTION("""COMPUTED_VALUE"""),0.0)</f>
        <v>0</v>
      </c>
      <c r="Q835" s="348">
        <f>IFERROR(__xludf.DUMMYFUNCTION("""COMPUTED_VALUE"""),0.0)</f>
        <v>0</v>
      </c>
      <c r="R835" s="355" t="str">
        <f>IFERROR(__xludf.DUMMYFUNCTION("""COMPUTED_VALUE""")," Cash Proyek ")</f>
        <v>Cash Proyek</v>
      </c>
      <c r="S835" s="350"/>
      <c r="T835" s="262"/>
      <c r="U835" s="351"/>
      <c r="V835" s="262"/>
      <c r="W835" s="262"/>
      <c r="X835" s="262"/>
      <c r="Y835" s="262"/>
      <c r="Z835" s="262"/>
      <c r="AA835" s="262"/>
      <c r="AB835" s="262"/>
      <c r="AC835" s="262"/>
      <c r="AD835" s="262"/>
      <c r="AE835" s="262"/>
      <c r="AF835" s="262"/>
      <c r="AG835" s="264"/>
      <c r="AH835" s="264"/>
      <c r="AI835" s="264"/>
      <c r="AJ835" s="264"/>
      <c r="AK835" s="264"/>
      <c r="AL835" s="264"/>
      <c r="AM835" s="264"/>
      <c r="AN835" s="264"/>
    </row>
    <row r="836" ht="15.75" customHeight="1">
      <c r="A836" s="262"/>
      <c r="B836" s="338">
        <f>IFERROR(__xludf.DUMMYFUNCTION("""COMPUTED_VALUE"""),1317.0)</f>
        <v>1317</v>
      </c>
      <c r="C836" s="354"/>
      <c r="D836" s="340" t="str">
        <f>IFERROR(__xludf.DUMMYFUNCTION("""COMPUTED_VALUE"""),"")</f>
        <v/>
      </c>
      <c r="E836" s="341">
        <f>IFERROR(__xludf.DUMMYFUNCTION("""COMPUTED_VALUE"""),0.0)</f>
        <v>0</v>
      </c>
      <c r="F836" s="352"/>
      <c r="G836" s="343"/>
      <c r="H836" s="344">
        <f>IFERROR(__xludf.DUMMYFUNCTION("""COMPUTED_VALUE"""),0.0)</f>
        <v>0</v>
      </c>
      <c r="I836" s="353"/>
      <c r="J836" s="353"/>
      <c r="K836" s="346">
        <f>IFERROR(__xludf.DUMMYFUNCTION("""COMPUTED_VALUE"""),0.0)</f>
        <v>0</v>
      </c>
      <c r="L836" s="347">
        <f>IFERROR(__xludf.DUMMYFUNCTION("""COMPUTED_VALUE"""),0.0)</f>
        <v>0</v>
      </c>
      <c r="M836" s="348">
        <f>IFERROR(__xludf.DUMMYFUNCTION("""COMPUTED_VALUE"""),0.0)</f>
        <v>0</v>
      </c>
      <c r="N836" s="348">
        <f>IFERROR(__xludf.DUMMYFUNCTION("""COMPUTED_VALUE"""),0.0)</f>
        <v>0</v>
      </c>
      <c r="O836" s="348">
        <f>IFERROR(__xludf.DUMMYFUNCTION("""COMPUTED_VALUE"""),0.0)</f>
        <v>0</v>
      </c>
      <c r="P836" s="348">
        <f>IFERROR(__xludf.DUMMYFUNCTION("""COMPUTED_VALUE"""),0.0)</f>
        <v>0</v>
      </c>
      <c r="Q836" s="348">
        <f>IFERROR(__xludf.DUMMYFUNCTION("""COMPUTED_VALUE"""),0.0)</f>
        <v>0</v>
      </c>
      <c r="R836" s="355" t="str">
        <f>IFERROR(__xludf.DUMMYFUNCTION("""COMPUTED_VALUE""")," Cash Proyek ")</f>
        <v>Cash Proyek</v>
      </c>
      <c r="S836" s="350"/>
      <c r="T836" s="262"/>
      <c r="U836" s="351"/>
      <c r="V836" s="262"/>
      <c r="W836" s="262"/>
      <c r="X836" s="262"/>
      <c r="Y836" s="262"/>
      <c r="Z836" s="262"/>
      <c r="AA836" s="262"/>
      <c r="AB836" s="262"/>
      <c r="AC836" s="262"/>
      <c r="AD836" s="262"/>
      <c r="AE836" s="262"/>
      <c r="AF836" s="262"/>
      <c r="AG836" s="264"/>
      <c r="AH836" s="264"/>
      <c r="AI836" s="264"/>
      <c r="AJ836" s="264"/>
      <c r="AK836" s="264"/>
      <c r="AL836" s="264"/>
      <c r="AM836" s="264"/>
      <c r="AN836" s="264"/>
    </row>
    <row r="837" ht="15.75" customHeight="1">
      <c r="A837" s="262"/>
      <c r="B837" s="338">
        <f>IFERROR(__xludf.DUMMYFUNCTION("""COMPUTED_VALUE"""),1318.0)</f>
        <v>1318</v>
      </c>
      <c r="C837" s="354"/>
      <c r="D837" s="340" t="str">
        <f>IFERROR(__xludf.DUMMYFUNCTION("""COMPUTED_VALUE"""),"")</f>
        <v/>
      </c>
      <c r="E837" s="341">
        <f>IFERROR(__xludf.DUMMYFUNCTION("""COMPUTED_VALUE"""),0.0)</f>
        <v>0</v>
      </c>
      <c r="F837" s="352"/>
      <c r="G837" s="343"/>
      <c r="H837" s="344">
        <f>IFERROR(__xludf.DUMMYFUNCTION("""COMPUTED_VALUE"""),0.0)</f>
        <v>0</v>
      </c>
      <c r="I837" s="353"/>
      <c r="J837" s="353"/>
      <c r="K837" s="346">
        <f>IFERROR(__xludf.DUMMYFUNCTION("""COMPUTED_VALUE"""),0.0)</f>
        <v>0</v>
      </c>
      <c r="L837" s="347">
        <f>IFERROR(__xludf.DUMMYFUNCTION("""COMPUTED_VALUE"""),0.0)</f>
        <v>0</v>
      </c>
      <c r="M837" s="348">
        <f>IFERROR(__xludf.DUMMYFUNCTION("""COMPUTED_VALUE"""),0.0)</f>
        <v>0</v>
      </c>
      <c r="N837" s="348">
        <f>IFERROR(__xludf.DUMMYFUNCTION("""COMPUTED_VALUE"""),0.0)</f>
        <v>0</v>
      </c>
      <c r="O837" s="348">
        <f>IFERROR(__xludf.DUMMYFUNCTION("""COMPUTED_VALUE"""),0.0)</f>
        <v>0</v>
      </c>
      <c r="P837" s="348">
        <f>IFERROR(__xludf.DUMMYFUNCTION("""COMPUTED_VALUE"""),0.0)</f>
        <v>0</v>
      </c>
      <c r="Q837" s="348">
        <f>IFERROR(__xludf.DUMMYFUNCTION("""COMPUTED_VALUE"""),0.0)</f>
        <v>0</v>
      </c>
      <c r="R837" s="355" t="str">
        <f>IFERROR(__xludf.DUMMYFUNCTION("""COMPUTED_VALUE""")," Cash Proyek ")</f>
        <v>Cash Proyek</v>
      </c>
      <c r="S837" s="350"/>
      <c r="T837" s="262"/>
      <c r="U837" s="351"/>
      <c r="V837" s="262"/>
      <c r="W837" s="262"/>
      <c r="X837" s="262"/>
      <c r="Y837" s="262"/>
      <c r="Z837" s="262"/>
      <c r="AA837" s="262"/>
      <c r="AB837" s="262"/>
      <c r="AC837" s="262"/>
      <c r="AD837" s="262"/>
      <c r="AE837" s="262"/>
      <c r="AF837" s="262"/>
      <c r="AG837" s="264"/>
      <c r="AH837" s="264"/>
      <c r="AI837" s="264"/>
      <c r="AJ837" s="264"/>
      <c r="AK837" s="264"/>
      <c r="AL837" s="264"/>
      <c r="AM837" s="264"/>
      <c r="AN837" s="264"/>
    </row>
    <row r="838" ht="15.75" customHeight="1">
      <c r="A838" s="262"/>
      <c r="B838" s="338">
        <f>IFERROR(__xludf.DUMMYFUNCTION("""COMPUTED_VALUE"""),1319.0)</f>
        <v>1319</v>
      </c>
      <c r="C838" s="354"/>
      <c r="D838" s="340" t="str">
        <f>IFERROR(__xludf.DUMMYFUNCTION("""COMPUTED_VALUE"""),"")</f>
        <v/>
      </c>
      <c r="E838" s="341">
        <f>IFERROR(__xludf.DUMMYFUNCTION("""COMPUTED_VALUE"""),0.0)</f>
        <v>0</v>
      </c>
      <c r="F838" s="352"/>
      <c r="G838" s="343"/>
      <c r="H838" s="344">
        <f>IFERROR(__xludf.DUMMYFUNCTION("""COMPUTED_VALUE"""),0.0)</f>
        <v>0</v>
      </c>
      <c r="I838" s="353"/>
      <c r="J838" s="353"/>
      <c r="K838" s="346">
        <f>IFERROR(__xludf.DUMMYFUNCTION("""COMPUTED_VALUE"""),0.0)</f>
        <v>0</v>
      </c>
      <c r="L838" s="347">
        <f>IFERROR(__xludf.DUMMYFUNCTION("""COMPUTED_VALUE"""),0.0)</f>
        <v>0</v>
      </c>
      <c r="M838" s="348">
        <f>IFERROR(__xludf.DUMMYFUNCTION("""COMPUTED_VALUE"""),0.0)</f>
        <v>0</v>
      </c>
      <c r="N838" s="348">
        <f>IFERROR(__xludf.DUMMYFUNCTION("""COMPUTED_VALUE"""),0.0)</f>
        <v>0</v>
      </c>
      <c r="O838" s="348">
        <f>IFERROR(__xludf.DUMMYFUNCTION("""COMPUTED_VALUE"""),0.0)</f>
        <v>0</v>
      </c>
      <c r="P838" s="348">
        <f>IFERROR(__xludf.DUMMYFUNCTION("""COMPUTED_VALUE"""),0.0)</f>
        <v>0</v>
      </c>
      <c r="Q838" s="348">
        <f>IFERROR(__xludf.DUMMYFUNCTION("""COMPUTED_VALUE"""),0.0)</f>
        <v>0</v>
      </c>
      <c r="R838" s="355" t="str">
        <f>IFERROR(__xludf.DUMMYFUNCTION("""COMPUTED_VALUE""")," Cash Proyek ")</f>
        <v>Cash Proyek</v>
      </c>
      <c r="S838" s="350"/>
      <c r="T838" s="262"/>
      <c r="U838" s="351"/>
      <c r="V838" s="262"/>
      <c r="W838" s="262"/>
      <c r="X838" s="262"/>
      <c r="Y838" s="262"/>
      <c r="Z838" s="262"/>
      <c r="AA838" s="262"/>
      <c r="AB838" s="262"/>
      <c r="AC838" s="262"/>
      <c r="AD838" s="262"/>
      <c r="AE838" s="262"/>
      <c r="AF838" s="262"/>
      <c r="AG838" s="264"/>
      <c r="AH838" s="264"/>
      <c r="AI838" s="264"/>
      <c r="AJ838" s="264"/>
      <c r="AK838" s="264"/>
      <c r="AL838" s="264"/>
      <c r="AM838" s="264"/>
      <c r="AN838" s="264"/>
    </row>
    <row r="839" ht="15.75" customHeight="1">
      <c r="A839" s="262"/>
      <c r="B839" s="338">
        <f>IFERROR(__xludf.DUMMYFUNCTION("""COMPUTED_VALUE"""),1320.0)</f>
        <v>1320</v>
      </c>
      <c r="C839" s="354"/>
      <c r="D839" s="340" t="str">
        <f>IFERROR(__xludf.DUMMYFUNCTION("""COMPUTED_VALUE"""),"")</f>
        <v/>
      </c>
      <c r="E839" s="341">
        <f>IFERROR(__xludf.DUMMYFUNCTION("""COMPUTED_VALUE"""),0.0)</f>
        <v>0</v>
      </c>
      <c r="F839" s="352"/>
      <c r="G839" s="343"/>
      <c r="H839" s="344">
        <f>IFERROR(__xludf.DUMMYFUNCTION("""COMPUTED_VALUE"""),0.0)</f>
        <v>0</v>
      </c>
      <c r="I839" s="353"/>
      <c r="J839" s="353"/>
      <c r="K839" s="346">
        <f>IFERROR(__xludf.DUMMYFUNCTION("""COMPUTED_VALUE"""),0.0)</f>
        <v>0</v>
      </c>
      <c r="L839" s="347">
        <f>IFERROR(__xludf.DUMMYFUNCTION("""COMPUTED_VALUE"""),0.0)</f>
        <v>0</v>
      </c>
      <c r="M839" s="348">
        <f>IFERROR(__xludf.DUMMYFUNCTION("""COMPUTED_VALUE"""),0.0)</f>
        <v>0</v>
      </c>
      <c r="N839" s="348">
        <f>IFERROR(__xludf.DUMMYFUNCTION("""COMPUTED_VALUE"""),0.0)</f>
        <v>0</v>
      </c>
      <c r="O839" s="348">
        <f>IFERROR(__xludf.DUMMYFUNCTION("""COMPUTED_VALUE"""),0.0)</f>
        <v>0</v>
      </c>
      <c r="P839" s="348">
        <f>IFERROR(__xludf.DUMMYFUNCTION("""COMPUTED_VALUE"""),0.0)</f>
        <v>0</v>
      </c>
      <c r="Q839" s="348">
        <f>IFERROR(__xludf.DUMMYFUNCTION("""COMPUTED_VALUE"""),0.0)</f>
        <v>0</v>
      </c>
      <c r="R839" s="355" t="str">
        <f>IFERROR(__xludf.DUMMYFUNCTION("""COMPUTED_VALUE""")," Cash Proyek ")</f>
        <v>Cash Proyek</v>
      </c>
      <c r="S839" s="350"/>
      <c r="T839" s="262"/>
      <c r="U839" s="351"/>
      <c r="V839" s="262"/>
      <c r="W839" s="262"/>
      <c r="X839" s="262"/>
      <c r="Y839" s="262"/>
      <c r="Z839" s="262"/>
      <c r="AA839" s="262"/>
      <c r="AB839" s="262"/>
      <c r="AC839" s="262"/>
      <c r="AD839" s="262"/>
      <c r="AE839" s="262"/>
      <c r="AF839" s="262"/>
      <c r="AG839" s="264"/>
      <c r="AH839" s="264"/>
      <c r="AI839" s="264"/>
      <c r="AJ839" s="264"/>
      <c r="AK839" s="264"/>
      <c r="AL839" s="264"/>
      <c r="AM839" s="264"/>
      <c r="AN839" s="264"/>
    </row>
    <row r="840" ht="15.75" customHeight="1">
      <c r="A840" s="262"/>
      <c r="B840" s="338">
        <f>IFERROR(__xludf.DUMMYFUNCTION("""COMPUTED_VALUE"""),1321.0)</f>
        <v>1321</v>
      </c>
      <c r="C840" s="354"/>
      <c r="D840" s="340" t="str">
        <f>IFERROR(__xludf.DUMMYFUNCTION("""COMPUTED_VALUE"""),"")</f>
        <v/>
      </c>
      <c r="E840" s="341">
        <f>IFERROR(__xludf.DUMMYFUNCTION("""COMPUTED_VALUE"""),0.0)</f>
        <v>0</v>
      </c>
      <c r="F840" s="352"/>
      <c r="G840" s="343"/>
      <c r="H840" s="344">
        <f>IFERROR(__xludf.DUMMYFUNCTION("""COMPUTED_VALUE"""),0.0)</f>
        <v>0</v>
      </c>
      <c r="I840" s="353"/>
      <c r="J840" s="353"/>
      <c r="K840" s="346">
        <f>IFERROR(__xludf.DUMMYFUNCTION("""COMPUTED_VALUE"""),0.0)</f>
        <v>0</v>
      </c>
      <c r="L840" s="347">
        <f>IFERROR(__xludf.DUMMYFUNCTION("""COMPUTED_VALUE"""),0.0)</f>
        <v>0</v>
      </c>
      <c r="M840" s="348">
        <f>IFERROR(__xludf.DUMMYFUNCTION("""COMPUTED_VALUE"""),0.0)</f>
        <v>0</v>
      </c>
      <c r="N840" s="348">
        <f>IFERROR(__xludf.DUMMYFUNCTION("""COMPUTED_VALUE"""),0.0)</f>
        <v>0</v>
      </c>
      <c r="O840" s="348">
        <f>IFERROR(__xludf.DUMMYFUNCTION("""COMPUTED_VALUE"""),0.0)</f>
        <v>0</v>
      </c>
      <c r="P840" s="348">
        <f>IFERROR(__xludf.DUMMYFUNCTION("""COMPUTED_VALUE"""),0.0)</f>
        <v>0</v>
      </c>
      <c r="Q840" s="348">
        <f>IFERROR(__xludf.DUMMYFUNCTION("""COMPUTED_VALUE"""),0.0)</f>
        <v>0</v>
      </c>
      <c r="R840" s="355" t="str">
        <f>IFERROR(__xludf.DUMMYFUNCTION("""COMPUTED_VALUE""")," Cash Proyek ")</f>
        <v>Cash Proyek</v>
      </c>
      <c r="S840" s="350"/>
      <c r="T840" s="262"/>
      <c r="U840" s="351"/>
      <c r="V840" s="262"/>
      <c r="W840" s="262"/>
      <c r="X840" s="262"/>
      <c r="Y840" s="262"/>
      <c r="Z840" s="262"/>
      <c r="AA840" s="262"/>
      <c r="AB840" s="262"/>
      <c r="AC840" s="262"/>
      <c r="AD840" s="262"/>
      <c r="AE840" s="262"/>
      <c r="AF840" s="262"/>
      <c r="AG840" s="264"/>
      <c r="AH840" s="264"/>
      <c r="AI840" s="264"/>
      <c r="AJ840" s="264"/>
      <c r="AK840" s="264"/>
      <c r="AL840" s="264"/>
      <c r="AM840" s="264"/>
      <c r="AN840" s="264"/>
    </row>
    <row r="841" ht="15.75" customHeight="1">
      <c r="A841" s="262"/>
      <c r="B841" s="338">
        <f>IFERROR(__xludf.DUMMYFUNCTION("""COMPUTED_VALUE"""),1322.0)</f>
        <v>1322</v>
      </c>
      <c r="C841" s="354"/>
      <c r="D841" s="340" t="str">
        <f>IFERROR(__xludf.DUMMYFUNCTION("""COMPUTED_VALUE"""),"")</f>
        <v/>
      </c>
      <c r="E841" s="341">
        <f>IFERROR(__xludf.DUMMYFUNCTION("""COMPUTED_VALUE"""),0.0)</f>
        <v>0</v>
      </c>
      <c r="F841" s="352"/>
      <c r="G841" s="343"/>
      <c r="H841" s="344">
        <f>IFERROR(__xludf.DUMMYFUNCTION("""COMPUTED_VALUE"""),0.0)</f>
        <v>0</v>
      </c>
      <c r="I841" s="353"/>
      <c r="J841" s="353"/>
      <c r="K841" s="346">
        <f>IFERROR(__xludf.DUMMYFUNCTION("""COMPUTED_VALUE"""),0.0)</f>
        <v>0</v>
      </c>
      <c r="L841" s="347">
        <f>IFERROR(__xludf.DUMMYFUNCTION("""COMPUTED_VALUE"""),0.0)</f>
        <v>0</v>
      </c>
      <c r="M841" s="348">
        <f>IFERROR(__xludf.DUMMYFUNCTION("""COMPUTED_VALUE"""),0.0)</f>
        <v>0</v>
      </c>
      <c r="N841" s="348">
        <f>IFERROR(__xludf.DUMMYFUNCTION("""COMPUTED_VALUE"""),0.0)</f>
        <v>0</v>
      </c>
      <c r="O841" s="348">
        <f>IFERROR(__xludf.DUMMYFUNCTION("""COMPUTED_VALUE"""),0.0)</f>
        <v>0</v>
      </c>
      <c r="P841" s="348">
        <f>IFERROR(__xludf.DUMMYFUNCTION("""COMPUTED_VALUE"""),0.0)</f>
        <v>0</v>
      </c>
      <c r="Q841" s="348">
        <f>IFERROR(__xludf.DUMMYFUNCTION("""COMPUTED_VALUE"""),0.0)</f>
        <v>0</v>
      </c>
      <c r="R841" s="355" t="str">
        <f>IFERROR(__xludf.DUMMYFUNCTION("""COMPUTED_VALUE""")," Cash Proyek ")</f>
        <v>Cash Proyek</v>
      </c>
      <c r="S841" s="350"/>
      <c r="T841" s="262"/>
      <c r="U841" s="351"/>
      <c r="V841" s="262"/>
      <c r="W841" s="262"/>
      <c r="X841" s="262"/>
      <c r="Y841" s="262"/>
      <c r="Z841" s="262"/>
      <c r="AA841" s="262"/>
      <c r="AB841" s="262"/>
      <c r="AC841" s="262"/>
      <c r="AD841" s="262"/>
      <c r="AE841" s="262"/>
      <c r="AF841" s="262"/>
      <c r="AG841" s="264"/>
      <c r="AH841" s="264"/>
      <c r="AI841" s="264"/>
      <c r="AJ841" s="264"/>
      <c r="AK841" s="264"/>
      <c r="AL841" s="264"/>
      <c r="AM841" s="264"/>
      <c r="AN841" s="264"/>
    </row>
    <row r="842" ht="15.75" customHeight="1">
      <c r="A842" s="262"/>
      <c r="B842" s="338">
        <f>IFERROR(__xludf.DUMMYFUNCTION("""COMPUTED_VALUE"""),1323.0)</f>
        <v>1323</v>
      </c>
      <c r="C842" s="354"/>
      <c r="D842" s="340" t="str">
        <f>IFERROR(__xludf.DUMMYFUNCTION("""COMPUTED_VALUE"""),"")</f>
        <v/>
      </c>
      <c r="E842" s="341">
        <f>IFERROR(__xludf.DUMMYFUNCTION("""COMPUTED_VALUE"""),0.0)</f>
        <v>0</v>
      </c>
      <c r="F842" s="352"/>
      <c r="G842" s="343"/>
      <c r="H842" s="344">
        <f>IFERROR(__xludf.DUMMYFUNCTION("""COMPUTED_VALUE"""),0.0)</f>
        <v>0</v>
      </c>
      <c r="I842" s="353"/>
      <c r="J842" s="353"/>
      <c r="K842" s="346">
        <f>IFERROR(__xludf.DUMMYFUNCTION("""COMPUTED_VALUE"""),0.0)</f>
        <v>0</v>
      </c>
      <c r="L842" s="347">
        <f>IFERROR(__xludf.DUMMYFUNCTION("""COMPUTED_VALUE"""),0.0)</f>
        <v>0</v>
      </c>
      <c r="M842" s="348">
        <f>IFERROR(__xludf.DUMMYFUNCTION("""COMPUTED_VALUE"""),0.0)</f>
        <v>0</v>
      </c>
      <c r="N842" s="348">
        <f>IFERROR(__xludf.DUMMYFUNCTION("""COMPUTED_VALUE"""),0.0)</f>
        <v>0</v>
      </c>
      <c r="O842" s="348">
        <f>IFERROR(__xludf.DUMMYFUNCTION("""COMPUTED_VALUE"""),0.0)</f>
        <v>0</v>
      </c>
      <c r="P842" s="348">
        <f>IFERROR(__xludf.DUMMYFUNCTION("""COMPUTED_VALUE"""),0.0)</f>
        <v>0</v>
      </c>
      <c r="Q842" s="348">
        <f>IFERROR(__xludf.DUMMYFUNCTION("""COMPUTED_VALUE"""),0.0)</f>
        <v>0</v>
      </c>
      <c r="R842" s="355" t="str">
        <f>IFERROR(__xludf.DUMMYFUNCTION("""COMPUTED_VALUE""")," Cash Proyek ")</f>
        <v>Cash Proyek</v>
      </c>
      <c r="S842" s="350"/>
      <c r="T842" s="262"/>
      <c r="U842" s="351"/>
      <c r="V842" s="262"/>
      <c r="W842" s="262"/>
      <c r="X842" s="262"/>
      <c r="Y842" s="262"/>
      <c r="Z842" s="262"/>
      <c r="AA842" s="262"/>
      <c r="AB842" s="262"/>
      <c r="AC842" s="262"/>
      <c r="AD842" s="262"/>
      <c r="AE842" s="262"/>
      <c r="AF842" s="262"/>
      <c r="AG842" s="264"/>
      <c r="AH842" s="264"/>
      <c r="AI842" s="264"/>
      <c r="AJ842" s="264"/>
      <c r="AK842" s="264"/>
      <c r="AL842" s="264"/>
      <c r="AM842" s="264"/>
      <c r="AN842" s="264"/>
    </row>
    <row r="843" ht="15.75" customHeight="1">
      <c r="A843" s="262"/>
      <c r="B843" s="338">
        <f>IFERROR(__xludf.DUMMYFUNCTION("""COMPUTED_VALUE"""),1324.0)</f>
        <v>1324</v>
      </c>
      <c r="C843" s="354"/>
      <c r="D843" s="340" t="str">
        <f>IFERROR(__xludf.DUMMYFUNCTION("""COMPUTED_VALUE"""),"")</f>
        <v/>
      </c>
      <c r="E843" s="341">
        <f>IFERROR(__xludf.DUMMYFUNCTION("""COMPUTED_VALUE"""),0.0)</f>
        <v>0</v>
      </c>
      <c r="F843" s="352"/>
      <c r="G843" s="343"/>
      <c r="H843" s="344">
        <f>IFERROR(__xludf.DUMMYFUNCTION("""COMPUTED_VALUE"""),0.0)</f>
        <v>0</v>
      </c>
      <c r="I843" s="353"/>
      <c r="J843" s="353"/>
      <c r="K843" s="346">
        <f>IFERROR(__xludf.DUMMYFUNCTION("""COMPUTED_VALUE"""),0.0)</f>
        <v>0</v>
      </c>
      <c r="L843" s="347">
        <f>IFERROR(__xludf.DUMMYFUNCTION("""COMPUTED_VALUE"""),0.0)</f>
        <v>0</v>
      </c>
      <c r="M843" s="348">
        <f>IFERROR(__xludf.DUMMYFUNCTION("""COMPUTED_VALUE"""),0.0)</f>
        <v>0</v>
      </c>
      <c r="N843" s="348">
        <f>IFERROR(__xludf.DUMMYFUNCTION("""COMPUTED_VALUE"""),0.0)</f>
        <v>0</v>
      </c>
      <c r="O843" s="348">
        <f>IFERROR(__xludf.DUMMYFUNCTION("""COMPUTED_VALUE"""),0.0)</f>
        <v>0</v>
      </c>
      <c r="P843" s="348">
        <f>IFERROR(__xludf.DUMMYFUNCTION("""COMPUTED_VALUE"""),0.0)</f>
        <v>0</v>
      </c>
      <c r="Q843" s="348">
        <f>IFERROR(__xludf.DUMMYFUNCTION("""COMPUTED_VALUE"""),0.0)</f>
        <v>0</v>
      </c>
      <c r="R843" s="355" t="str">
        <f>IFERROR(__xludf.DUMMYFUNCTION("""COMPUTED_VALUE""")," Cash Proyek ")</f>
        <v>Cash Proyek</v>
      </c>
      <c r="S843" s="350"/>
      <c r="T843" s="262"/>
      <c r="U843" s="351"/>
      <c r="V843" s="262"/>
      <c r="W843" s="262"/>
      <c r="X843" s="262"/>
      <c r="Y843" s="262"/>
      <c r="Z843" s="262"/>
      <c r="AA843" s="262"/>
      <c r="AB843" s="262"/>
      <c r="AC843" s="262"/>
      <c r="AD843" s="262"/>
      <c r="AE843" s="262"/>
      <c r="AF843" s="262"/>
      <c r="AG843" s="264"/>
      <c r="AH843" s="264"/>
      <c r="AI843" s="264"/>
      <c r="AJ843" s="264"/>
      <c r="AK843" s="264"/>
      <c r="AL843" s="264"/>
      <c r="AM843" s="264"/>
      <c r="AN843" s="264"/>
    </row>
    <row r="844" ht="15.75" customHeight="1">
      <c r="A844" s="262"/>
      <c r="B844" s="338">
        <f>IFERROR(__xludf.DUMMYFUNCTION("""COMPUTED_VALUE"""),1325.0)</f>
        <v>1325</v>
      </c>
      <c r="C844" s="354"/>
      <c r="D844" s="340" t="str">
        <f>IFERROR(__xludf.DUMMYFUNCTION("""COMPUTED_VALUE"""),"")</f>
        <v/>
      </c>
      <c r="E844" s="341">
        <f>IFERROR(__xludf.DUMMYFUNCTION("""COMPUTED_VALUE"""),0.0)</f>
        <v>0</v>
      </c>
      <c r="F844" s="352"/>
      <c r="G844" s="343"/>
      <c r="H844" s="344">
        <f>IFERROR(__xludf.DUMMYFUNCTION("""COMPUTED_VALUE"""),0.0)</f>
        <v>0</v>
      </c>
      <c r="I844" s="353"/>
      <c r="J844" s="353"/>
      <c r="K844" s="346">
        <f>IFERROR(__xludf.DUMMYFUNCTION("""COMPUTED_VALUE"""),0.0)</f>
        <v>0</v>
      </c>
      <c r="L844" s="347">
        <f>IFERROR(__xludf.DUMMYFUNCTION("""COMPUTED_VALUE"""),0.0)</f>
        <v>0</v>
      </c>
      <c r="M844" s="348">
        <f>IFERROR(__xludf.DUMMYFUNCTION("""COMPUTED_VALUE"""),0.0)</f>
        <v>0</v>
      </c>
      <c r="N844" s="348">
        <f>IFERROR(__xludf.DUMMYFUNCTION("""COMPUTED_VALUE"""),0.0)</f>
        <v>0</v>
      </c>
      <c r="O844" s="348">
        <f>IFERROR(__xludf.DUMMYFUNCTION("""COMPUTED_VALUE"""),0.0)</f>
        <v>0</v>
      </c>
      <c r="P844" s="348">
        <f>IFERROR(__xludf.DUMMYFUNCTION("""COMPUTED_VALUE"""),0.0)</f>
        <v>0</v>
      </c>
      <c r="Q844" s="348">
        <f>IFERROR(__xludf.DUMMYFUNCTION("""COMPUTED_VALUE"""),0.0)</f>
        <v>0</v>
      </c>
      <c r="R844" s="355" t="str">
        <f>IFERROR(__xludf.DUMMYFUNCTION("""COMPUTED_VALUE""")," Cash Proyek ")</f>
        <v>Cash Proyek</v>
      </c>
      <c r="S844" s="350"/>
      <c r="T844" s="262"/>
      <c r="U844" s="351"/>
      <c r="V844" s="262"/>
      <c r="W844" s="262"/>
      <c r="X844" s="262"/>
      <c r="Y844" s="262"/>
      <c r="Z844" s="262"/>
      <c r="AA844" s="262"/>
      <c r="AB844" s="262"/>
      <c r="AC844" s="262"/>
      <c r="AD844" s="262"/>
      <c r="AE844" s="262"/>
      <c r="AF844" s="262"/>
      <c r="AG844" s="264"/>
      <c r="AH844" s="264"/>
      <c r="AI844" s="264"/>
      <c r="AJ844" s="264"/>
      <c r="AK844" s="264"/>
      <c r="AL844" s="264"/>
      <c r="AM844" s="264"/>
      <c r="AN844" s="264"/>
    </row>
    <row r="845" ht="15.75" customHeight="1">
      <c r="A845" s="262"/>
      <c r="B845" s="338">
        <f>IFERROR(__xludf.DUMMYFUNCTION("""COMPUTED_VALUE"""),1326.0)</f>
        <v>1326</v>
      </c>
      <c r="C845" s="354"/>
      <c r="D845" s="340" t="str">
        <f>IFERROR(__xludf.DUMMYFUNCTION("""COMPUTED_VALUE"""),"")</f>
        <v/>
      </c>
      <c r="E845" s="341">
        <f>IFERROR(__xludf.DUMMYFUNCTION("""COMPUTED_VALUE"""),0.0)</f>
        <v>0</v>
      </c>
      <c r="F845" s="352"/>
      <c r="G845" s="343"/>
      <c r="H845" s="344">
        <f>IFERROR(__xludf.DUMMYFUNCTION("""COMPUTED_VALUE"""),0.0)</f>
        <v>0</v>
      </c>
      <c r="I845" s="353"/>
      <c r="J845" s="353"/>
      <c r="K845" s="346">
        <f>IFERROR(__xludf.DUMMYFUNCTION("""COMPUTED_VALUE"""),0.0)</f>
        <v>0</v>
      </c>
      <c r="L845" s="347">
        <f>IFERROR(__xludf.DUMMYFUNCTION("""COMPUTED_VALUE"""),0.0)</f>
        <v>0</v>
      </c>
      <c r="M845" s="348">
        <f>IFERROR(__xludf.DUMMYFUNCTION("""COMPUTED_VALUE"""),0.0)</f>
        <v>0</v>
      </c>
      <c r="N845" s="348">
        <f>IFERROR(__xludf.DUMMYFUNCTION("""COMPUTED_VALUE"""),0.0)</f>
        <v>0</v>
      </c>
      <c r="O845" s="348">
        <f>IFERROR(__xludf.DUMMYFUNCTION("""COMPUTED_VALUE"""),0.0)</f>
        <v>0</v>
      </c>
      <c r="P845" s="348">
        <f>IFERROR(__xludf.DUMMYFUNCTION("""COMPUTED_VALUE"""),0.0)</f>
        <v>0</v>
      </c>
      <c r="Q845" s="348">
        <f>IFERROR(__xludf.DUMMYFUNCTION("""COMPUTED_VALUE"""),0.0)</f>
        <v>0</v>
      </c>
      <c r="R845" s="355" t="str">
        <f>IFERROR(__xludf.DUMMYFUNCTION("""COMPUTED_VALUE""")," Cash Proyek ")</f>
        <v>Cash Proyek</v>
      </c>
      <c r="S845" s="350"/>
      <c r="T845" s="262"/>
      <c r="U845" s="351"/>
      <c r="V845" s="262"/>
      <c r="W845" s="262"/>
      <c r="X845" s="262"/>
      <c r="Y845" s="262"/>
      <c r="Z845" s="262"/>
      <c r="AA845" s="262"/>
      <c r="AB845" s="262"/>
      <c r="AC845" s="262"/>
      <c r="AD845" s="262"/>
      <c r="AE845" s="262"/>
      <c r="AF845" s="262"/>
      <c r="AG845" s="264"/>
      <c r="AH845" s="264"/>
      <c r="AI845" s="264"/>
      <c r="AJ845" s="264"/>
      <c r="AK845" s="264"/>
      <c r="AL845" s="264"/>
      <c r="AM845" s="264"/>
      <c r="AN845" s="264"/>
    </row>
    <row r="846" ht="15.75" customHeight="1">
      <c r="A846" s="262"/>
      <c r="B846" s="338">
        <f>IFERROR(__xludf.DUMMYFUNCTION("""COMPUTED_VALUE"""),1327.0)</f>
        <v>1327</v>
      </c>
      <c r="C846" s="354"/>
      <c r="D846" s="340" t="str">
        <f>IFERROR(__xludf.DUMMYFUNCTION("""COMPUTED_VALUE"""),"")</f>
        <v/>
      </c>
      <c r="E846" s="341">
        <f>IFERROR(__xludf.DUMMYFUNCTION("""COMPUTED_VALUE"""),0.0)</f>
        <v>0</v>
      </c>
      <c r="F846" s="352"/>
      <c r="G846" s="343"/>
      <c r="H846" s="344">
        <f>IFERROR(__xludf.DUMMYFUNCTION("""COMPUTED_VALUE"""),0.0)</f>
        <v>0</v>
      </c>
      <c r="I846" s="353"/>
      <c r="J846" s="353"/>
      <c r="K846" s="346">
        <f>IFERROR(__xludf.DUMMYFUNCTION("""COMPUTED_VALUE"""),0.0)</f>
        <v>0</v>
      </c>
      <c r="L846" s="347">
        <f>IFERROR(__xludf.DUMMYFUNCTION("""COMPUTED_VALUE"""),0.0)</f>
        <v>0</v>
      </c>
      <c r="M846" s="348">
        <f>IFERROR(__xludf.DUMMYFUNCTION("""COMPUTED_VALUE"""),0.0)</f>
        <v>0</v>
      </c>
      <c r="N846" s="348">
        <f>IFERROR(__xludf.DUMMYFUNCTION("""COMPUTED_VALUE"""),0.0)</f>
        <v>0</v>
      </c>
      <c r="O846" s="348">
        <f>IFERROR(__xludf.DUMMYFUNCTION("""COMPUTED_VALUE"""),0.0)</f>
        <v>0</v>
      </c>
      <c r="P846" s="348">
        <f>IFERROR(__xludf.DUMMYFUNCTION("""COMPUTED_VALUE"""),0.0)</f>
        <v>0</v>
      </c>
      <c r="Q846" s="348">
        <f>IFERROR(__xludf.DUMMYFUNCTION("""COMPUTED_VALUE"""),0.0)</f>
        <v>0</v>
      </c>
      <c r="R846" s="355" t="str">
        <f>IFERROR(__xludf.DUMMYFUNCTION("""COMPUTED_VALUE""")," Cash Proyek ")</f>
        <v>Cash Proyek</v>
      </c>
      <c r="S846" s="350"/>
      <c r="T846" s="262"/>
      <c r="U846" s="351"/>
      <c r="V846" s="262"/>
      <c r="W846" s="262"/>
      <c r="X846" s="262"/>
      <c r="Y846" s="262"/>
      <c r="Z846" s="262"/>
      <c r="AA846" s="262"/>
      <c r="AB846" s="262"/>
      <c r="AC846" s="262"/>
      <c r="AD846" s="262"/>
      <c r="AE846" s="262"/>
      <c r="AF846" s="262"/>
      <c r="AG846" s="264"/>
      <c r="AH846" s="264"/>
      <c r="AI846" s="264"/>
      <c r="AJ846" s="264"/>
      <c r="AK846" s="264"/>
      <c r="AL846" s="264"/>
      <c r="AM846" s="264"/>
      <c r="AN846" s="264"/>
    </row>
    <row r="847" ht="15.75" customHeight="1">
      <c r="A847" s="262"/>
      <c r="B847" s="338">
        <f>IFERROR(__xludf.DUMMYFUNCTION("""COMPUTED_VALUE"""),1328.0)</f>
        <v>1328</v>
      </c>
      <c r="C847" s="354"/>
      <c r="D847" s="340" t="str">
        <f>IFERROR(__xludf.DUMMYFUNCTION("""COMPUTED_VALUE"""),"")</f>
        <v/>
      </c>
      <c r="E847" s="341">
        <f>IFERROR(__xludf.DUMMYFUNCTION("""COMPUTED_VALUE"""),0.0)</f>
        <v>0</v>
      </c>
      <c r="F847" s="352"/>
      <c r="G847" s="343"/>
      <c r="H847" s="344">
        <f>IFERROR(__xludf.DUMMYFUNCTION("""COMPUTED_VALUE"""),0.0)</f>
        <v>0</v>
      </c>
      <c r="I847" s="353"/>
      <c r="J847" s="353"/>
      <c r="K847" s="346">
        <f>IFERROR(__xludf.DUMMYFUNCTION("""COMPUTED_VALUE"""),0.0)</f>
        <v>0</v>
      </c>
      <c r="L847" s="347">
        <f>IFERROR(__xludf.DUMMYFUNCTION("""COMPUTED_VALUE"""),0.0)</f>
        <v>0</v>
      </c>
      <c r="M847" s="348">
        <f>IFERROR(__xludf.DUMMYFUNCTION("""COMPUTED_VALUE"""),0.0)</f>
        <v>0</v>
      </c>
      <c r="N847" s="348">
        <f>IFERROR(__xludf.DUMMYFUNCTION("""COMPUTED_VALUE"""),0.0)</f>
        <v>0</v>
      </c>
      <c r="O847" s="348">
        <f>IFERROR(__xludf.DUMMYFUNCTION("""COMPUTED_VALUE"""),0.0)</f>
        <v>0</v>
      </c>
      <c r="P847" s="348">
        <f>IFERROR(__xludf.DUMMYFUNCTION("""COMPUTED_VALUE"""),0.0)</f>
        <v>0</v>
      </c>
      <c r="Q847" s="348">
        <f>IFERROR(__xludf.DUMMYFUNCTION("""COMPUTED_VALUE"""),0.0)</f>
        <v>0</v>
      </c>
      <c r="R847" s="355" t="str">
        <f>IFERROR(__xludf.DUMMYFUNCTION("""COMPUTED_VALUE""")," Cash Proyek ")</f>
        <v>Cash Proyek</v>
      </c>
      <c r="S847" s="350"/>
      <c r="T847" s="262"/>
      <c r="U847" s="351"/>
      <c r="V847" s="262"/>
      <c r="W847" s="262"/>
      <c r="X847" s="262"/>
      <c r="Y847" s="262"/>
      <c r="Z847" s="262"/>
      <c r="AA847" s="262"/>
      <c r="AB847" s="262"/>
      <c r="AC847" s="262"/>
      <c r="AD847" s="262"/>
      <c r="AE847" s="262"/>
      <c r="AF847" s="262"/>
      <c r="AG847" s="264"/>
      <c r="AH847" s="264"/>
      <c r="AI847" s="264"/>
      <c r="AJ847" s="264"/>
      <c r="AK847" s="264"/>
      <c r="AL847" s="264"/>
      <c r="AM847" s="264"/>
      <c r="AN847" s="264"/>
    </row>
    <row r="848" ht="15.75" customHeight="1">
      <c r="A848" s="262"/>
      <c r="B848" s="338">
        <f>IFERROR(__xludf.DUMMYFUNCTION("""COMPUTED_VALUE"""),1329.0)</f>
        <v>1329</v>
      </c>
      <c r="C848" s="354"/>
      <c r="D848" s="340" t="str">
        <f>IFERROR(__xludf.DUMMYFUNCTION("""COMPUTED_VALUE"""),"")</f>
        <v/>
      </c>
      <c r="E848" s="341">
        <f>IFERROR(__xludf.DUMMYFUNCTION("""COMPUTED_VALUE"""),0.0)</f>
        <v>0</v>
      </c>
      <c r="F848" s="352"/>
      <c r="G848" s="343"/>
      <c r="H848" s="344">
        <f>IFERROR(__xludf.DUMMYFUNCTION("""COMPUTED_VALUE"""),0.0)</f>
        <v>0</v>
      </c>
      <c r="I848" s="353"/>
      <c r="J848" s="353"/>
      <c r="K848" s="346">
        <f>IFERROR(__xludf.DUMMYFUNCTION("""COMPUTED_VALUE"""),0.0)</f>
        <v>0</v>
      </c>
      <c r="L848" s="347">
        <f>IFERROR(__xludf.DUMMYFUNCTION("""COMPUTED_VALUE"""),0.0)</f>
        <v>0</v>
      </c>
      <c r="M848" s="348">
        <f>IFERROR(__xludf.DUMMYFUNCTION("""COMPUTED_VALUE"""),0.0)</f>
        <v>0</v>
      </c>
      <c r="N848" s="348">
        <f>IFERROR(__xludf.DUMMYFUNCTION("""COMPUTED_VALUE"""),0.0)</f>
        <v>0</v>
      </c>
      <c r="O848" s="348">
        <f>IFERROR(__xludf.DUMMYFUNCTION("""COMPUTED_VALUE"""),0.0)</f>
        <v>0</v>
      </c>
      <c r="P848" s="348">
        <f>IFERROR(__xludf.DUMMYFUNCTION("""COMPUTED_VALUE"""),0.0)</f>
        <v>0</v>
      </c>
      <c r="Q848" s="348">
        <f>IFERROR(__xludf.DUMMYFUNCTION("""COMPUTED_VALUE"""),0.0)</f>
        <v>0</v>
      </c>
      <c r="R848" s="355" t="str">
        <f>IFERROR(__xludf.DUMMYFUNCTION("""COMPUTED_VALUE""")," Cash Proyek ")</f>
        <v>Cash Proyek</v>
      </c>
      <c r="S848" s="350"/>
      <c r="T848" s="262"/>
      <c r="U848" s="351"/>
      <c r="V848" s="262"/>
      <c r="W848" s="262"/>
      <c r="X848" s="262"/>
      <c r="Y848" s="262"/>
      <c r="Z848" s="262"/>
      <c r="AA848" s="262"/>
      <c r="AB848" s="262"/>
      <c r="AC848" s="262"/>
      <c r="AD848" s="262"/>
      <c r="AE848" s="262"/>
      <c r="AF848" s="262"/>
      <c r="AG848" s="264"/>
      <c r="AH848" s="264"/>
      <c r="AI848" s="264"/>
      <c r="AJ848" s="264"/>
      <c r="AK848" s="264"/>
      <c r="AL848" s="264"/>
      <c r="AM848" s="264"/>
      <c r="AN848" s="264"/>
    </row>
    <row r="849" ht="15.75" customHeight="1">
      <c r="A849" s="262"/>
      <c r="B849" s="338">
        <f>IFERROR(__xludf.DUMMYFUNCTION("""COMPUTED_VALUE"""),1330.0)</f>
        <v>1330</v>
      </c>
      <c r="C849" s="354"/>
      <c r="D849" s="340" t="str">
        <f>IFERROR(__xludf.DUMMYFUNCTION("""COMPUTED_VALUE"""),"")</f>
        <v/>
      </c>
      <c r="E849" s="341">
        <f>IFERROR(__xludf.DUMMYFUNCTION("""COMPUTED_VALUE"""),0.0)</f>
        <v>0</v>
      </c>
      <c r="F849" s="352"/>
      <c r="G849" s="343"/>
      <c r="H849" s="344">
        <f>IFERROR(__xludf.DUMMYFUNCTION("""COMPUTED_VALUE"""),0.0)</f>
        <v>0</v>
      </c>
      <c r="I849" s="353"/>
      <c r="J849" s="353"/>
      <c r="K849" s="346">
        <f>IFERROR(__xludf.DUMMYFUNCTION("""COMPUTED_VALUE"""),0.0)</f>
        <v>0</v>
      </c>
      <c r="L849" s="347">
        <f>IFERROR(__xludf.DUMMYFUNCTION("""COMPUTED_VALUE"""),0.0)</f>
        <v>0</v>
      </c>
      <c r="M849" s="348">
        <f>IFERROR(__xludf.DUMMYFUNCTION("""COMPUTED_VALUE"""),0.0)</f>
        <v>0</v>
      </c>
      <c r="N849" s="348">
        <f>IFERROR(__xludf.DUMMYFUNCTION("""COMPUTED_VALUE"""),0.0)</f>
        <v>0</v>
      </c>
      <c r="O849" s="348">
        <f>IFERROR(__xludf.DUMMYFUNCTION("""COMPUTED_VALUE"""),0.0)</f>
        <v>0</v>
      </c>
      <c r="P849" s="348">
        <f>IFERROR(__xludf.DUMMYFUNCTION("""COMPUTED_VALUE"""),0.0)</f>
        <v>0</v>
      </c>
      <c r="Q849" s="348">
        <f>IFERROR(__xludf.DUMMYFUNCTION("""COMPUTED_VALUE"""),0.0)</f>
        <v>0</v>
      </c>
      <c r="R849" s="355" t="str">
        <f>IFERROR(__xludf.DUMMYFUNCTION("""COMPUTED_VALUE""")," Cash Proyek ")</f>
        <v>Cash Proyek</v>
      </c>
      <c r="S849" s="350"/>
      <c r="T849" s="262"/>
      <c r="U849" s="351"/>
      <c r="V849" s="262"/>
      <c r="W849" s="262"/>
      <c r="X849" s="262"/>
      <c r="Y849" s="262"/>
      <c r="Z849" s="262"/>
      <c r="AA849" s="262"/>
      <c r="AB849" s="262"/>
      <c r="AC849" s="262"/>
      <c r="AD849" s="262"/>
      <c r="AE849" s="262"/>
      <c r="AF849" s="262"/>
      <c r="AG849" s="264"/>
      <c r="AH849" s="264"/>
      <c r="AI849" s="264"/>
      <c r="AJ849" s="264"/>
      <c r="AK849" s="264"/>
      <c r="AL849" s="264"/>
      <c r="AM849" s="264"/>
      <c r="AN849" s="264"/>
    </row>
    <row r="850" ht="15.75" customHeight="1">
      <c r="A850" s="262"/>
      <c r="B850" s="338">
        <f>IFERROR(__xludf.DUMMYFUNCTION("""COMPUTED_VALUE"""),1331.0)</f>
        <v>1331</v>
      </c>
      <c r="C850" s="354"/>
      <c r="D850" s="340" t="str">
        <f>IFERROR(__xludf.DUMMYFUNCTION("""COMPUTED_VALUE"""),"")</f>
        <v/>
      </c>
      <c r="E850" s="341">
        <f>IFERROR(__xludf.DUMMYFUNCTION("""COMPUTED_VALUE"""),0.0)</f>
        <v>0</v>
      </c>
      <c r="F850" s="352"/>
      <c r="G850" s="343"/>
      <c r="H850" s="344">
        <f>IFERROR(__xludf.DUMMYFUNCTION("""COMPUTED_VALUE"""),0.0)</f>
        <v>0</v>
      </c>
      <c r="I850" s="353"/>
      <c r="J850" s="353"/>
      <c r="K850" s="346">
        <f>IFERROR(__xludf.DUMMYFUNCTION("""COMPUTED_VALUE"""),0.0)</f>
        <v>0</v>
      </c>
      <c r="L850" s="347">
        <f>IFERROR(__xludf.DUMMYFUNCTION("""COMPUTED_VALUE"""),0.0)</f>
        <v>0</v>
      </c>
      <c r="M850" s="348">
        <f>IFERROR(__xludf.DUMMYFUNCTION("""COMPUTED_VALUE"""),0.0)</f>
        <v>0</v>
      </c>
      <c r="N850" s="348">
        <f>IFERROR(__xludf.DUMMYFUNCTION("""COMPUTED_VALUE"""),0.0)</f>
        <v>0</v>
      </c>
      <c r="O850" s="348">
        <f>IFERROR(__xludf.DUMMYFUNCTION("""COMPUTED_VALUE"""),0.0)</f>
        <v>0</v>
      </c>
      <c r="P850" s="348">
        <f>IFERROR(__xludf.DUMMYFUNCTION("""COMPUTED_VALUE"""),0.0)</f>
        <v>0</v>
      </c>
      <c r="Q850" s="348">
        <f>IFERROR(__xludf.DUMMYFUNCTION("""COMPUTED_VALUE"""),0.0)</f>
        <v>0</v>
      </c>
      <c r="R850" s="355" t="str">
        <f>IFERROR(__xludf.DUMMYFUNCTION("""COMPUTED_VALUE""")," Cash Proyek ")</f>
        <v>Cash Proyek</v>
      </c>
      <c r="S850" s="350"/>
      <c r="T850" s="262"/>
      <c r="U850" s="351"/>
      <c r="V850" s="262"/>
      <c r="W850" s="262"/>
      <c r="X850" s="262"/>
      <c r="Y850" s="262"/>
      <c r="Z850" s="262"/>
      <c r="AA850" s="262"/>
      <c r="AB850" s="262"/>
      <c r="AC850" s="262"/>
      <c r="AD850" s="262"/>
      <c r="AE850" s="262"/>
      <c r="AF850" s="262"/>
      <c r="AG850" s="264"/>
      <c r="AH850" s="264"/>
      <c r="AI850" s="264"/>
      <c r="AJ850" s="264"/>
      <c r="AK850" s="264"/>
      <c r="AL850" s="264"/>
      <c r="AM850" s="264"/>
      <c r="AN850" s="264"/>
    </row>
    <row r="851" ht="15.75" customHeight="1">
      <c r="A851" s="262"/>
      <c r="B851" s="338">
        <f>IFERROR(__xludf.DUMMYFUNCTION("""COMPUTED_VALUE"""),1332.0)</f>
        <v>1332</v>
      </c>
      <c r="C851" s="354"/>
      <c r="D851" s="340" t="str">
        <f>IFERROR(__xludf.DUMMYFUNCTION("""COMPUTED_VALUE"""),"")</f>
        <v/>
      </c>
      <c r="E851" s="341">
        <f>IFERROR(__xludf.DUMMYFUNCTION("""COMPUTED_VALUE"""),0.0)</f>
        <v>0</v>
      </c>
      <c r="F851" s="352"/>
      <c r="G851" s="343"/>
      <c r="H851" s="344">
        <f>IFERROR(__xludf.DUMMYFUNCTION("""COMPUTED_VALUE"""),0.0)</f>
        <v>0</v>
      </c>
      <c r="I851" s="353"/>
      <c r="J851" s="353"/>
      <c r="K851" s="346">
        <f>IFERROR(__xludf.DUMMYFUNCTION("""COMPUTED_VALUE"""),0.0)</f>
        <v>0</v>
      </c>
      <c r="L851" s="347">
        <f>IFERROR(__xludf.DUMMYFUNCTION("""COMPUTED_VALUE"""),0.0)</f>
        <v>0</v>
      </c>
      <c r="M851" s="348">
        <f>IFERROR(__xludf.DUMMYFUNCTION("""COMPUTED_VALUE"""),0.0)</f>
        <v>0</v>
      </c>
      <c r="N851" s="348">
        <f>IFERROR(__xludf.DUMMYFUNCTION("""COMPUTED_VALUE"""),0.0)</f>
        <v>0</v>
      </c>
      <c r="O851" s="348">
        <f>IFERROR(__xludf.DUMMYFUNCTION("""COMPUTED_VALUE"""),0.0)</f>
        <v>0</v>
      </c>
      <c r="P851" s="348">
        <f>IFERROR(__xludf.DUMMYFUNCTION("""COMPUTED_VALUE"""),0.0)</f>
        <v>0</v>
      </c>
      <c r="Q851" s="348">
        <f>IFERROR(__xludf.DUMMYFUNCTION("""COMPUTED_VALUE"""),0.0)</f>
        <v>0</v>
      </c>
      <c r="R851" s="355" t="str">
        <f>IFERROR(__xludf.DUMMYFUNCTION("""COMPUTED_VALUE""")," Cash Proyek ")</f>
        <v>Cash Proyek</v>
      </c>
      <c r="S851" s="350"/>
      <c r="T851" s="262"/>
      <c r="U851" s="351"/>
      <c r="V851" s="262"/>
      <c r="W851" s="262"/>
      <c r="X851" s="262"/>
      <c r="Y851" s="262"/>
      <c r="Z851" s="262"/>
      <c r="AA851" s="262"/>
      <c r="AB851" s="262"/>
      <c r="AC851" s="262"/>
      <c r="AD851" s="262"/>
      <c r="AE851" s="262"/>
      <c r="AF851" s="262"/>
      <c r="AG851" s="264"/>
      <c r="AH851" s="264"/>
      <c r="AI851" s="264"/>
      <c r="AJ851" s="264"/>
      <c r="AK851" s="264"/>
      <c r="AL851" s="264"/>
      <c r="AM851" s="264"/>
      <c r="AN851" s="264"/>
    </row>
    <row r="852" ht="15.75" customHeight="1">
      <c r="A852" s="262"/>
      <c r="B852" s="338">
        <f>IFERROR(__xludf.DUMMYFUNCTION("""COMPUTED_VALUE"""),1333.0)</f>
        <v>1333</v>
      </c>
      <c r="C852" s="354"/>
      <c r="D852" s="340" t="str">
        <f>IFERROR(__xludf.DUMMYFUNCTION("""COMPUTED_VALUE"""),"")</f>
        <v/>
      </c>
      <c r="E852" s="341">
        <f>IFERROR(__xludf.DUMMYFUNCTION("""COMPUTED_VALUE"""),0.0)</f>
        <v>0</v>
      </c>
      <c r="F852" s="352"/>
      <c r="G852" s="343"/>
      <c r="H852" s="344">
        <f>IFERROR(__xludf.DUMMYFUNCTION("""COMPUTED_VALUE"""),0.0)</f>
        <v>0</v>
      </c>
      <c r="I852" s="353"/>
      <c r="J852" s="353"/>
      <c r="K852" s="346">
        <f>IFERROR(__xludf.DUMMYFUNCTION("""COMPUTED_VALUE"""),0.0)</f>
        <v>0</v>
      </c>
      <c r="L852" s="347">
        <f>IFERROR(__xludf.DUMMYFUNCTION("""COMPUTED_VALUE"""),0.0)</f>
        <v>0</v>
      </c>
      <c r="M852" s="348">
        <f>IFERROR(__xludf.DUMMYFUNCTION("""COMPUTED_VALUE"""),0.0)</f>
        <v>0</v>
      </c>
      <c r="N852" s="348">
        <f>IFERROR(__xludf.DUMMYFUNCTION("""COMPUTED_VALUE"""),0.0)</f>
        <v>0</v>
      </c>
      <c r="O852" s="348">
        <f>IFERROR(__xludf.DUMMYFUNCTION("""COMPUTED_VALUE"""),0.0)</f>
        <v>0</v>
      </c>
      <c r="P852" s="348">
        <f>IFERROR(__xludf.DUMMYFUNCTION("""COMPUTED_VALUE"""),0.0)</f>
        <v>0</v>
      </c>
      <c r="Q852" s="348">
        <f>IFERROR(__xludf.DUMMYFUNCTION("""COMPUTED_VALUE"""),0.0)</f>
        <v>0</v>
      </c>
      <c r="R852" s="355" t="str">
        <f>IFERROR(__xludf.DUMMYFUNCTION("""COMPUTED_VALUE""")," Cash Proyek ")</f>
        <v>Cash Proyek</v>
      </c>
      <c r="S852" s="350"/>
      <c r="T852" s="262"/>
      <c r="U852" s="351"/>
      <c r="V852" s="262"/>
      <c r="W852" s="262"/>
      <c r="X852" s="262"/>
      <c r="Y852" s="262"/>
      <c r="Z852" s="262"/>
      <c r="AA852" s="262"/>
      <c r="AB852" s="262"/>
      <c r="AC852" s="262"/>
      <c r="AD852" s="262"/>
      <c r="AE852" s="262"/>
      <c r="AF852" s="262"/>
      <c r="AG852" s="264"/>
      <c r="AH852" s="264"/>
      <c r="AI852" s="264"/>
      <c r="AJ852" s="264"/>
      <c r="AK852" s="264"/>
      <c r="AL852" s="264"/>
      <c r="AM852" s="264"/>
      <c r="AN852" s="264"/>
    </row>
    <row r="853" ht="15.75" customHeight="1">
      <c r="A853" s="262"/>
      <c r="B853" s="338">
        <f>IFERROR(__xludf.DUMMYFUNCTION("""COMPUTED_VALUE"""),1334.0)</f>
        <v>1334</v>
      </c>
      <c r="C853" s="354"/>
      <c r="D853" s="340" t="str">
        <f>IFERROR(__xludf.DUMMYFUNCTION("""COMPUTED_VALUE"""),"")</f>
        <v/>
      </c>
      <c r="E853" s="341">
        <f>IFERROR(__xludf.DUMMYFUNCTION("""COMPUTED_VALUE"""),0.0)</f>
        <v>0</v>
      </c>
      <c r="F853" s="352"/>
      <c r="G853" s="343"/>
      <c r="H853" s="344">
        <f>IFERROR(__xludf.DUMMYFUNCTION("""COMPUTED_VALUE"""),0.0)</f>
        <v>0</v>
      </c>
      <c r="I853" s="353"/>
      <c r="J853" s="353"/>
      <c r="K853" s="346">
        <f>IFERROR(__xludf.DUMMYFUNCTION("""COMPUTED_VALUE"""),0.0)</f>
        <v>0</v>
      </c>
      <c r="L853" s="347">
        <f>IFERROR(__xludf.DUMMYFUNCTION("""COMPUTED_VALUE"""),0.0)</f>
        <v>0</v>
      </c>
      <c r="M853" s="348">
        <f>IFERROR(__xludf.DUMMYFUNCTION("""COMPUTED_VALUE"""),0.0)</f>
        <v>0</v>
      </c>
      <c r="N853" s="348">
        <f>IFERROR(__xludf.DUMMYFUNCTION("""COMPUTED_VALUE"""),0.0)</f>
        <v>0</v>
      </c>
      <c r="O853" s="348">
        <f>IFERROR(__xludf.DUMMYFUNCTION("""COMPUTED_VALUE"""),0.0)</f>
        <v>0</v>
      </c>
      <c r="P853" s="348">
        <f>IFERROR(__xludf.DUMMYFUNCTION("""COMPUTED_VALUE"""),0.0)</f>
        <v>0</v>
      </c>
      <c r="Q853" s="348">
        <f>IFERROR(__xludf.DUMMYFUNCTION("""COMPUTED_VALUE"""),0.0)</f>
        <v>0</v>
      </c>
      <c r="R853" s="355" t="str">
        <f>IFERROR(__xludf.DUMMYFUNCTION("""COMPUTED_VALUE""")," Cash Proyek ")</f>
        <v>Cash Proyek</v>
      </c>
      <c r="S853" s="350"/>
      <c r="T853" s="262"/>
      <c r="U853" s="351"/>
      <c r="V853" s="262"/>
      <c r="W853" s="262"/>
      <c r="X853" s="262"/>
      <c r="Y853" s="262"/>
      <c r="Z853" s="262"/>
      <c r="AA853" s="262"/>
      <c r="AB853" s="262"/>
      <c r="AC853" s="262"/>
      <c r="AD853" s="262"/>
      <c r="AE853" s="262"/>
      <c r="AF853" s="262"/>
      <c r="AG853" s="264"/>
      <c r="AH853" s="264"/>
      <c r="AI853" s="264"/>
      <c r="AJ853" s="264"/>
      <c r="AK853" s="264"/>
      <c r="AL853" s="264"/>
      <c r="AM853" s="264"/>
      <c r="AN853" s="264"/>
    </row>
    <row r="854" ht="15.75" customHeight="1">
      <c r="A854" s="262"/>
      <c r="B854" s="338">
        <f>IFERROR(__xludf.DUMMYFUNCTION("""COMPUTED_VALUE"""),1335.0)</f>
        <v>1335</v>
      </c>
      <c r="C854" s="354"/>
      <c r="D854" s="340" t="str">
        <f>IFERROR(__xludf.DUMMYFUNCTION("""COMPUTED_VALUE"""),"")</f>
        <v/>
      </c>
      <c r="E854" s="341">
        <f>IFERROR(__xludf.DUMMYFUNCTION("""COMPUTED_VALUE"""),0.0)</f>
        <v>0</v>
      </c>
      <c r="F854" s="352"/>
      <c r="G854" s="343"/>
      <c r="H854" s="344">
        <f>IFERROR(__xludf.DUMMYFUNCTION("""COMPUTED_VALUE"""),0.0)</f>
        <v>0</v>
      </c>
      <c r="I854" s="353"/>
      <c r="J854" s="353"/>
      <c r="K854" s="346">
        <f>IFERROR(__xludf.DUMMYFUNCTION("""COMPUTED_VALUE"""),0.0)</f>
        <v>0</v>
      </c>
      <c r="L854" s="347">
        <f>IFERROR(__xludf.DUMMYFUNCTION("""COMPUTED_VALUE"""),0.0)</f>
        <v>0</v>
      </c>
      <c r="M854" s="348">
        <f>IFERROR(__xludf.DUMMYFUNCTION("""COMPUTED_VALUE"""),0.0)</f>
        <v>0</v>
      </c>
      <c r="N854" s="348">
        <f>IFERROR(__xludf.DUMMYFUNCTION("""COMPUTED_VALUE"""),0.0)</f>
        <v>0</v>
      </c>
      <c r="O854" s="348">
        <f>IFERROR(__xludf.DUMMYFUNCTION("""COMPUTED_VALUE"""),0.0)</f>
        <v>0</v>
      </c>
      <c r="P854" s="348">
        <f>IFERROR(__xludf.DUMMYFUNCTION("""COMPUTED_VALUE"""),0.0)</f>
        <v>0</v>
      </c>
      <c r="Q854" s="348">
        <f>IFERROR(__xludf.DUMMYFUNCTION("""COMPUTED_VALUE"""),0.0)</f>
        <v>0</v>
      </c>
      <c r="R854" s="355" t="str">
        <f>IFERROR(__xludf.DUMMYFUNCTION("""COMPUTED_VALUE""")," Cash Proyek ")</f>
        <v>Cash Proyek</v>
      </c>
      <c r="S854" s="350"/>
      <c r="T854" s="262"/>
      <c r="U854" s="351"/>
      <c r="V854" s="262"/>
      <c r="W854" s="262"/>
      <c r="X854" s="262"/>
      <c r="Y854" s="262"/>
      <c r="Z854" s="262"/>
      <c r="AA854" s="262"/>
      <c r="AB854" s="262"/>
      <c r="AC854" s="262"/>
      <c r="AD854" s="262"/>
      <c r="AE854" s="262"/>
      <c r="AF854" s="262"/>
      <c r="AG854" s="264"/>
      <c r="AH854" s="264"/>
      <c r="AI854" s="264"/>
      <c r="AJ854" s="264"/>
      <c r="AK854" s="264"/>
      <c r="AL854" s="264"/>
      <c r="AM854" s="264"/>
      <c r="AN854" s="264"/>
    </row>
    <row r="855" ht="15.75" customHeight="1">
      <c r="A855" s="262"/>
      <c r="B855" s="338">
        <f>IFERROR(__xludf.DUMMYFUNCTION("""COMPUTED_VALUE"""),1336.0)</f>
        <v>1336</v>
      </c>
      <c r="C855" s="354"/>
      <c r="D855" s="340" t="str">
        <f>IFERROR(__xludf.DUMMYFUNCTION("""COMPUTED_VALUE"""),"")</f>
        <v/>
      </c>
      <c r="E855" s="341">
        <f>IFERROR(__xludf.DUMMYFUNCTION("""COMPUTED_VALUE"""),0.0)</f>
        <v>0</v>
      </c>
      <c r="F855" s="352"/>
      <c r="G855" s="343"/>
      <c r="H855" s="344">
        <f>IFERROR(__xludf.DUMMYFUNCTION("""COMPUTED_VALUE"""),0.0)</f>
        <v>0</v>
      </c>
      <c r="I855" s="353"/>
      <c r="J855" s="353"/>
      <c r="K855" s="346">
        <f>IFERROR(__xludf.DUMMYFUNCTION("""COMPUTED_VALUE"""),0.0)</f>
        <v>0</v>
      </c>
      <c r="L855" s="347">
        <f>IFERROR(__xludf.DUMMYFUNCTION("""COMPUTED_VALUE"""),0.0)</f>
        <v>0</v>
      </c>
      <c r="M855" s="348">
        <f>IFERROR(__xludf.DUMMYFUNCTION("""COMPUTED_VALUE"""),0.0)</f>
        <v>0</v>
      </c>
      <c r="N855" s="348">
        <f>IFERROR(__xludf.DUMMYFUNCTION("""COMPUTED_VALUE"""),0.0)</f>
        <v>0</v>
      </c>
      <c r="O855" s="348">
        <f>IFERROR(__xludf.DUMMYFUNCTION("""COMPUTED_VALUE"""),0.0)</f>
        <v>0</v>
      </c>
      <c r="P855" s="348">
        <f>IFERROR(__xludf.DUMMYFUNCTION("""COMPUTED_VALUE"""),0.0)</f>
        <v>0</v>
      </c>
      <c r="Q855" s="348">
        <f>IFERROR(__xludf.DUMMYFUNCTION("""COMPUTED_VALUE"""),0.0)</f>
        <v>0</v>
      </c>
      <c r="R855" s="355" t="str">
        <f>IFERROR(__xludf.DUMMYFUNCTION("""COMPUTED_VALUE""")," Cash Proyek ")</f>
        <v>Cash Proyek</v>
      </c>
      <c r="S855" s="350"/>
      <c r="T855" s="262"/>
      <c r="U855" s="351"/>
      <c r="V855" s="262"/>
      <c r="W855" s="262"/>
      <c r="X855" s="262"/>
      <c r="Y855" s="262"/>
      <c r="Z855" s="262"/>
      <c r="AA855" s="262"/>
      <c r="AB855" s="262"/>
      <c r="AC855" s="262"/>
      <c r="AD855" s="262"/>
      <c r="AE855" s="262"/>
      <c r="AF855" s="262"/>
      <c r="AG855" s="264"/>
      <c r="AH855" s="264"/>
      <c r="AI855" s="264"/>
      <c r="AJ855" s="264"/>
      <c r="AK855" s="264"/>
      <c r="AL855" s="264"/>
      <c r="AM855" s="264"/>
      <c r="AN855" s="264"/>
    </row>
    <row r="856" ht="15.75" customHeight="1">
      <c r="A856" s="262"/>
      <c r="B856" s="338">
        <f>IFERROR(__xludf.DUMMYFUNCTION("""COMPUTED_VALUE"""),1337.0)</f>
        <v>1337</v>
      </c>
      <c r="C856" s="354"/>
      <c r="D856" s="340" t="str">
        <f>IFERROR(__xludf.DUMMYFUNCTION("""COMPUTED_VALUE"""),"")</f>
        <v/>
      </c>
      <c r="E856" s="341">
        <f>IFERROR(__xludf.DUMMYFUNCTION("""COMPUTED_VALUE"""),0.0)</f>
        <v>0</v>
      </c>
      <c r="F856" s="352"/>
      <c r="G856" s="343"/>
      <c r="H856" s="344">
        <f>IFERROR(__xludf.DUMMYFUNCTION("""COMPUTED_VALUE"""),0.0)</f>
        <v>0</v>
      </c>
      <c r="I856" s="353"/>
      <c r="J856" s="353"/>
      <c r="K856" s="346">
        <f>IFERROR(__xludf.DUMMYFUNCTION("""COMPUTED_VALUE"""),0.0)</f>
        <v>0</v>
      </c>
      <c r="L856" s="347">
        <f>IFERROR(__xludf.DUMMYFUNCTION("""COMPUTED_VALUE"""),0.0)</f>
        <v>0</v>
      </c>
      <c r="M856" s="348">
        <f>IFERROR(__xludf.DUMMYFUNCTION("""COMPUTED_VALUE"""),0.0)</f>
        <v>0</v>
      </c>
      <c r="N856" s="348">
        <f>IFERROR(__xludf.DUMMYFUNCTION("""COMPUTED_VALUE"""),0.0)</f>
        <v>0</v>
      </c>
      <c r="O856" s="348">
        <f>IFERROR(__xludf.DUMMYFUNCTION("""COMPUTED_VALUE"""),0.0)</f>
        <v>0</v>
      </c>
      <c r="P856" s="348">
        <f>IFERROR(__xludf.DUMMYFUNCTION("""COMPUTED_VALUE"""),0.0)</f>
        <v>0</v>
      </c>
      <c r="Q856" s="348">
        <f>IFERROR(__xludf.DUMMYFUNCTION("""COMPUTED_VALUE"""),0.0)</f>
        <v>0</v>
      </c>
      <c r="R856" s="355" t="str">
        <f>IFERROR(__xludf.DUMMYFUNCTION("""COMPUTED_VALUE""")," Cash Proyek ")</f>
        <v>Cash Proyek</v>
      </c>
      <c r="S856" s="350"/>
      <c r="T856" s="262"/>
      <c r="U856" s="351"/>
      <c r="V856" s="262"/>
      <c r="W856" s="262"/>
      <c r="X856" s="262"/>
      <c r="Y856" s="262"/>
      <c r="Z856" s="262"/>
      <c r="AA856" s="262"/>
      <c r="AB856" s="262"/>
      <c r="AC856" s="262"/>
      <c r="AD856" s="262"/>
      <c r="AE856" s="262"/>
      <c r="AF856" s="262"/>
      <c r="AG856" s="264"/>
      <c r="AH856" s="264"/>
      <c r="AI856" s="264"/>
      <c r="AJ856" s="264"/>
      <c r="AK856" s="264"/>
      <c r="AL856" s="264"/>
      <c r="AM856" s="264"/>
      <c r="AN856" s="264"/>
    </row>
    <row r="857" ht="15.75" customHeight="1">
      <c r="A857" s="262"/>
      <c r="B857" s="338">
        <f>IFERROR(__xludf.DUMMYFUNCTION("""COMPUTED_VALUE"""),1338.0)</f>
        <v>1338</v>
      </c>
      <c r="C857" s="354"/>
      <c r="D857" s="340" t="str">
        <f>IFERROR(__xludf.DUMMYFUNCTION("""COMPUTED_VALUE"""),"")</f>
        <v/>
      </c>
      <c r="E857" s="341">
        <f>IFERROR(__xludf.DUMMYFUNCTION("""COMPUTED_VALUE"""),0.0)</f>
        <v>0</v>
      </c>
      <c r="F857" s="352"/>
      <c r="G857" s="343"/>
      <c r="H857" s="344">
        <f>IFERROR(__xludf.DUMMYFUNCTION("""COMPUTED_VALUE"""),0.0)</f>
        <v>0</v>
      </c>
      <c r="I857" s="353"/>
      <c r="J857" s="353"/>
      <c r="K857" s="346">
        <f>IFERROR(__xludf.DUMMYFUNCTION("""COMPUTED_VALUE"""),0.0)</f>
        <v>0</v>
      </c>
      <c r="L857" s="347">
        <f>IFERROR(__xludf.DUMMYFUNCTION("""COMPUTED_VALUE"""),0.0)</f>
        <v>0</v>
      </c>
      <c r="M857" s="348">
        <f>IFERROR(__xludf.DUMMYFUNCTION("""COMPUTED_VALUE"""),0.0)</f>
        <v>0</v>
      </c>
      <c r="N857" s="348">
        <f>IFERROR(__xludf.DUMMYFUNCTION("""COMPUTED_VALUE"""),0.0)</f>
        <v>0</v>
      </c>
      <c r="O857" s="348">
        <f>IFERROR(__xludf.DUMMYFUNCTION("""COMPUTED_VALUE"""),0.0)</f>
        <v>0</v>
      </c>
      <c r="P857" s="348">
        <f>IFERROR(__xludf.DUMMYFUNCTION("""COMPUTED_VALUE"""),0.0)</f>
        <v>0</v>
      </c>
      <c r="Q857" s="348">
        <f>IFERROR(__xludf.DUMMYFUNCTION("""COMPUTED_VALUE"""),0.0)</f>
        <v>0</v>
      </c>
      <c r="R857" s="355" t="str">
        <f>IFERROR(__xludf.DUMMYFUNCTION("""COMPUTED_VALUE""")," Cash Proyek ")</f>
        <v>Cash Proyek</v>
      </c>
      <c r="S857" s="350"/>
      <c r="T857" s="262"/>
      <c r="U857" s="351"/>
      <c r="V857" s="262"/>
      <c r="W857" s="262"/>
      <c r="X857" s="262"/>
      <c r="Y857" s="262"/>
      <c r="Z857" s="262"/>
      <c r="AA857" s="262"/>
      <c r="AB857" s="262"/>
      <c r="AC857" s="262"/>
      <c r="AD857" s="262"/>
      <c r="AE857" s="262"/>
      <c r="AF857" s="262"/>
      <c r="AG857" s="264"/>
      <c r="AH857" s="264"/>
      <c r="AI857" s="264"/>
      <c r="AJ857" s="264"/>
      <c r="AK857" s="264"/>
      <c r="AL857" s="264"/>
      <c r="AM857" s="264"/>
      <c r="AN857" s="264"/>
    </row>
    <row r="858" ht="15.75" customHeight="1">
      <c r="A858" s="262"/>
      <c r="B858" s="338">
        <f>IFERROR(__xludf.DUMMYFUNCTION("""COMPUTED_VALUE"""),1339.0)</f>
        <v>1339</v>
      </c>
      <c r="C858" s="354"/>
      <c r="D858" s="340" t="str">
        <f>IFERROR(__xludf.DUMMYFUNCTION("""COMPUTED_VALUE"""),"")</f>
        <v/>
      </c>
      <c r="E858" s="341">
        <f>IFERROR(__xludf.DUMMYFUNCTION("""COMPUTED_VALUE"""),0.0)</f>
        <v>0</v>
      </c>
      <c r="F858" s="352"/>
      <c r="G858" s="343"/>
      <c r="H858" s="344">
        <f>IFERROR(__xludf.DUMMYFUNCTION("""COMPUTED_VALUE"""),0.0)</f>
        <v>0</v>
      </c>
      <c r="I858" s="353"/>
      <c r="J858" s="353"/>
      <c r="K858" s="346">
        <f>IFERROR(__xludf.DUMMYFUNCTION("""COMPUTED_VALUE"""),0.0)</f>
        <v>0</v>
      </c>
      <c r="L858" s="347">
        <f>IFERROR(__xludf.DUMMYFUNCTION("""COMPUTED_VALUE"""),0.0)</f>
        <v>0</v>
      </c>
      <c r="M858" s="348">
        <f>IFERROR(__xludf.DUMMYFUNCTION("""COMPUTED_VALUE"""),0.0)</f>
        <v>0</v>
      </c>
      <c r="N858" s="348">
        <f>IFERROR(__xludf.DUMMYFUNCTION("""COMPUTED_VALUE"""),0.0)</f>
        <v>0</v>
      </c>
      <c r="O858" s="348">
        <f>IFERROR(__xludf.DUMMYFUNCTION("""COMPUTED_VALUE"""),0.0)</f>
        <v>0</v>
      </c>
      <c r="P858" s="348">
        <f>IFERROR(__xludf.DUMMYFUNCTION("""COMPUTED_VALUE"""),0.0)</f>
        <v>0</v>
      </c>
      <c r="Q858" s="348">
        <f>IFERROR(__xludf.DUMMYFUNCTION("""COMPUTED_VALUE"""),0.0)</f>
        <v>0</v>
      </c>
      <c r="R858" s="355" t="str">
        <f>IFERROR(__xludf.DUMMYFUNCTION("""COMPUTED_VALUE""")," Cash Proyek ")</f>
        <v>Cash Proyek</v>
      </c>
      <c r="S858" s="350"/>
      <c r="T858" s="262"/>
      <c r="U858" s="351"/>
      <c r="V858" s="262"/>
      <c r="W858" s="262"/>
      <c r="X858" s="262"/>
      <c r="Y858" s="262"/>
      <c r="Z858" s="262"/>
      <c r="AA858" s="262"/>
      <c r="AB858" s="262"/>
      <c r="AC858" s="262"/>
      <c r="AD858" s="262"/>
      <c r="AE858" s="262"/>
      <c r="AF858" s="262"/>
      <c r="AG858" s="264"/>
      <c r="AH858" s="264"/>
      <c r="AI858" s="264"/>
      <c r="AJ858" s="264"/>
      <c r="AK858" s="264"/>
      <c r="AL858" s="264"/>
      <c r="AM858" s="264"/>
      <c r="AN858" s="264"/>
    </row>
    <row r="859" ht="15.75" customHeight="1">
      <c r="A859" s="262"/>
      <c r="B859" s="338">
        <f>IFERROR(__xludf.DUMMYFUNCTION("""COMPUTED_VALUE"""),1340.0)</f>
        <v>1340</v>
      </c>
      <c r="C859" s="354"/>
      <c r="D859" s="340" t="str">
        <f>IFERROR(__xludf.DUMMYFUNCTION("""COMPUTED_VALUE"""),"")</f>
        <v/>
      </c>
      <c r="E859" s="341">
        <f>IFERROR(__xludf.DUMMYFUNCTION("""COMPUTED_VALUE"""),0.0)</f>
        <v>0</v>
      </c>
      <c r="F859" s="352"/>
      <c r="G859" s="343"/>
      <c r="H859" s="344">
        <f>IFERROR(__xludf.DUMMYFUNCTION("""COMPUTED_VALUE"""),0.0)</f>
        <v>0</v>
      </c>
      <c r="I859" s="353"/>
      <c r="J859" s="353"/>
      <c r="K859" s="346">
        <f>IFERROR(__xludf.DUMMYFUNCTION("""COMPUTED_VALUE"""),0.0)</f>
        <v>0</v>
      </c>
      <c r="L859" s="347">
        <f>IFERROR(__xludf.DUMMYFUNCTION("""COMPUTED_VALUE"""),0.0)</f>
        <v>0</v>
      </c>
      <c r="M859" s="348">
        <f>IFERROR(__xludf.DUMMYFUNCTION("""COMPUTED_VALUE"""),0.0)</f>
        <v>0</v>
      </c>
      <c r="N859" s="348">
        <f>IFERROR(__xludf.DUMMYFUNCTION("""COMPUTED_VALUE"""),0.0)</f>
        <v>0</v>
      </c>
      <c r="O859" s="348">
        <f>IFERROR(__xludf.DUMMYFUNCTION("""COMPUTED_VALUE"""),0.0)</f>
        <v>0</v>
      </c>
      <c r="P859" s="348">
        <f>IFERROR(__xludf.DUMMYFUNCTION("""COMPUTED_VALUE"""),0.0)</f>
        <v>0</v>
      </c>
      <c r="Q859" s="348">
        <f>IFERROR(__xludf.DUMMYFUNCTION("""COMPUTED_VALUE"""),0.0)</f>
        <v>0</v>
      </c>
      <c r="R859" s="355" t="str">
        <f>IFERROR(__xludf.DUMMYFUNCTION("""COMPUTED_VALUE""")," Cash Proyek ")</f>
        <v>Cash Proyek</v>
      </c>
      <c r="S859" s="350"/>
      <c r="T859" s="262"/>
      <c r="U859" s="351"/>
      <c r="V859" s="262"/>
      <c r="W859" s="262"/>
      <c r="X859" s="262"/>
      <c r="Y859" s="262"/>
      <c r="Z859" s="262"/>
      <c r="AA859" s="262"/>
      <c r="AB859" s="262"/>
      <c r="AC859" s="262"/>
      <c r="AD859" s="262"/>
      <c r="AE859" s="262"/>
      <c r="AF859" s="262"/>
      <c r="AG859" s="264"/>
      <c r="AH859" s="264"/>
      <c r="AI859" s="264"/>
      <c r="AJ859" s="264"/>
      <c r="AK859" s="264"/>
      <c r="AL859" s="264"/>
      <c r="AM859" s="264"/>
      <c r="AN859" s="264"/>
    </row>
    <row r="860" ht="15.75" customHeight="1">
      <c r="A860" s="262"/>
      <c r="B860" s="338">
        <f>IFERROR(__xludf.DUMMYFUNCTION("""COMPUTED_VALUE"""),1341.0)</f>
        <v>1341</v>
      </c>
      <c r="C860" s="354"/>
      <c r="D860" s="340" t="str">
        <f>IFERROR(__xludf.DUMMYFUNCTION("""COMPUTED_VALUE"""),"")</f>
        <v/>
      </c>
      <c r="E860" s="341">
        <f>IFERROR(__xludf.DUMMYFUNCTION("""COMPUTED_VALUE"""),0.0)</f>
        <v>0</v>
      </c>
      <c r="F860" s="352"/>
      <c r="G860" s="343"/>
      <c r="H860" s="344">
        <f>IFERROR(__xludf.DUMMYFUNCTION("""COMPUTED_VALUE"""),0.0)</f>
        <v>0</v>
      </c>
      <c r="I860" s="353"/>
      <c r="J860" s="353"/>
      <c r="K860" s="346">
        <f>IFERROR(__xludf.DUMMYFUNCTION("""COMPUTED_VALUE"""),0.0)</f>
        <v>0</v>
      </c>
      <c r="L860" s="347">
        <f>IFERROR(__xludf.DUMMYFUNCTION("""COMPUTED_VALUE"""),0.0)</f>
        <v>0</v>
      </c>
      <c r="M860" s="348">
        <f>IFERROR(__xludf.DUMMYFUNCTION("""COMPUTED_VALUE"""),0.0)</f>
        <v>0</v>
      </c>
      <c r="N860" s="348">
        <f>IFERROR(__xludf.DUMMYFUNCTION("""COMPUTED_VALUE"""),0.0)</f>
        <v>0</v>
      </c>
      <c r="O860" s="348">
        <f>IFERROR(__xludf.DUMMYFUNCTION("""COMPUTED_VALUE"""),0.0)</f>
        <v>0</v>
      </c>
      <c r="P860" s="348">
        <f>IFERROR(__xludf.DUMMYFUNCTION("""COMPUTED_VALUE"""),0.0)</f>
        <v>0</v>
      </c>
      <c r="Q860" s="348">
        <f>IFERROR(__xludf.DUMMYFUNCTION("""COMPUTED_VALUE"""),0.0)</f>
        <v>0</v>
      </c>
      <c r="R860" s="355" t="str">
        <f>IFERROR(__xludf.DUMMYFUNCTION("""COMPUTED_VALUE""")," Cash Proyek ")</f>
        <v>Cash Proyek</v>
      </c>
      <c r="S860" s="350"/>
      <c r="T860" s="262"/>
      <c r="U860" s="351"/>
      <c r="V860" s="262"/>
      <c r="W860" s="262"/>
      <c r="X860" s="262"/>
      <c r="Y860" s="262"/>
      <c r="Z860" s="262"/>
      <c r="AA860" s="262"/>
      <c r="AB860" s="262"/>
      <c r="AC860" s="262"/>
      <c r="AD860" s="262"/>
      <c r="AE860" s="262"/>
      <c r="AF860" s="262"/>
      <c r="AG860" s="264"/>
      <c r="AH860" s="264"/>
      <c r="AI860" s="264"/>
      <c r="AJ860" s="264"/>
      <c r="AK860" s="264"/>
      <c r="AL860" s="264"/>
      <c r="AM860" s="264"/>
      <c r="AN860" s="264"/>
    </row>
    <row r="861" ht="15.75" customHeight="1">
      <c r="A861" s="262"/>
      <c r="B861" s="338">
        <f>IFERROR(__xludf.DUMMYFUNCTION("""COMPUTED_VALUE"""),1342.0)</f>
        <v>1342</v>
      </c>
      <c r="C861" s="354"/>
      <c r="D861" s="340" t="str">
        <f>IFERROR(__xludf.DUMMYFUNCTION("""COMPUTED_VALUE"""),"")</f>
        <v/>
      </c>
      <c r="E861" s="341">
        <f>IFERROR(__xludf.DUMMYFUNCTION("""COMPUTED_VALUE"""),0.0)</f>
        <v>0</v>
      </c>
      <c r="F861" s="352"/>
      <c r="G861" s="343"/>
      <c r="H861" s="344">
        <f>IFERROR(__xludf.DUMMYFUNCTION("""COMPUTED_VALUE"""),0.0)</f>
        <v>0</v>
      </c>
      <c r="I861" s="353"/>
      <c r="J861" s="353"/>
      <c r="K861" s="346">
        <f>IFERROR(__xludf.DUMMYFUNCTION("""COMPUTED_VALUE"""),0.0)</f>
        <v>0</v>
      </c>
      <c r="L861" s="347">
        <f>IFERROR(__xludf.DUMMYFUNCTION("""COMPUTED_VALUE"""),0.0)</f>
        <v>0</v>
      </c>
      <c r="M861" s="348">
        <f>IFERROR(__xludf.DUMMYFUNCTION("""COMPUTED_VALUE"""),0.0)</f>
        <v>0</v>
      </c>
      <c r="N861" s="348">
        <f>IFERROR(__xludf.DUMMYFUNCTION("""COMPUTED_VALUE"""),0.0)</f>
        <v>0</v>
      </c>
      <c r="O861" s="348">
        <f>IFERROR(__xludf.DUMMYFUNCTION("""COMPUTED_VALUE"""),0.0)</f>
        <v>0</v>
      </c>
      <c r="P861" s="348">
        <f>IFERROR(__xludf.DUMMYFUNCTION("""COMPUTED_VALUE"""),0.0)</f>
        <v>0</v>
      </c>
      <c r="Q861" s="348">
        <f>IFERROR(__xludf.DUMMYFUNCTION("""COMPUTED_VALUE"""),0.0)</f>
        <v>0</v>
      </c>
      <c r="R861" s="355" t="str">
        <f>IFERROR(__xludf.DUMMYFUNCTION("""COMPUTED_VALUE""")," Cash Proyek ")</f>
        <v>Cash Proyek</v>
      </c>
      <c r="S861" s="350"/>
      <c r="T861" s="262"/>
      <c r="U861" s="351"/>
      <c r="V861" s="262"/>
      <c r="W861" s="262"/>
      <c r="X861" s="262"/>
      <c r="Y861" s="262"/>
      <c r="Z861" s="262"/>
      <c r="AA861" s="262"/>
      <c r="AB861" s="262"/>
      <c r="AC861" s="262"/>
      <c r="AD861" s="262"/>
      <c r="AE861" s="262"/>
      <c r="AF861" s="262"/>
      <c r="AG861" s="264"/>
      <c r="AH861" s="264"/>
      <c r="AI861" s="264"/>
      <c r="AJ861" s="264"/>
      <c r="AK861" s="264"/>
      <c r="AL861" s="264"/>
      <c r="AM861" s="264"/>
      <c r="AN861" s="264"/>
    </row>
    <row r="862" ht="15.75" customHeight="1">
      <c r="A862" s="262"/>
      <c r="B862" s="338">
        <f>IFERROR(__xludf.DUMMYFUNCTION("""COMPUTED_VALUE"""),1343.0)</f>
        <v>1343</v>
      </c>
      <c r="C862" s="354"/>
      <c r="D862" s="340" t="str">
        <f>IFERROR(__xludf.DUMMYFUNCTION("""COMPUTED_VALUE"""),"")</f>
        <v/>
      </c>
      <c r="E862" s="341">
        <f>IFERROR(__xludf.DUMMYFUNCTION("""COMPUTED_VALUE"""),0.0)</f>
        <v>0</v>
      </c>
      <c r="F862" s="352"/>
      <c r="G862" s="343"/>
      <c r="H862" s="344">
        <f>IFERROR(__xludf.DUMMYFUNCTION("""COMPUTED_VALUE"""),0.0)</f>
        <v>0</v>
      </c>
      <c r="I862" s="353"/>
      <c r="J862" s="353"/>
      <c r="K862" s="346">
        <f>IFERROR(__xludf.DUMMYFUNCTION("""COMPUTED_VALUE"""),0.0)</f>
        <v>0</v>
      </c>
      <c r="L862" s="347">
        <f>IFERROR(__xludf.DUMMYFUNCTION("""COMPUTED_VALUE"""),0.0)</f>
        <v>0</v>
      </c>
      <c r="M862" s="348">
        <f>IFERROR(__xludf.DUMMYFUNCTION("""COMPUTED_VALUE"""),0.0)</f>
        <v>0</v>
      </c>
      <c r="N862" s="348">
        <f>IFERROR(__xludf.DUMMYFUNCTION("""COMPUTED_VALUE"""),0.0)</f>
        <v>0</v>
      </c>
      <c r="O862" s="348">
        <f>IFERROR(__xludf.DUMMYFUNCTION("""COMPUTED_VALUE"""),0.0)</f>
        <v>0</v>
      </c>
      <c r="P862" s="348">
        <f>IFERROR(__xludf.DUMMYFUNCTION("""COMPUTED_VALUE"""),0.0)</f>
        <v>0</v>
      </c>
      <c r="Q862" s="348">
        <f>IFERROR(__xludf.DUMMYFUNCTION("""COMPUTED_VALUE"""),0.0)</f>
        <v>0</v>
      </c>
      <c r="R862" s="355" t="str">
        <f>IFERROR(__xludf.DUMMYFUNCTION("""COMPUTED_VALUE""")," Cash Proyek ")</f>
        <v>Cash Proyek</v>
      </c>
      <c r="S862" s="350"/>
      <c r="T862" s="262"/>
      <c r="U862" s="351"/>
      <c r="V862" s="262"/>
      <c r="W862" s="262"/>
      <c r="X862" s="262"/>
      <c r="Y862" s="262"/>
      <c r="Z862" s="262"/>
      <c r="AA862" s="262"/>
      <c r="AB862" s="262"/>
      <c r="AC862" s="262"/>
      <c r="AD862" s="262"/>
      <c r="AE862" s="262"/>
      <c r="AF862" s="262"/>
      <c r="AG862" s="264"/>
      <c r="AH862" s="264"/>
      <c r="AI862" s="264"/>
      <c r="AJ862" s="264"/>
      <c r="AK862" s="264"/>
      <c r="AL862" s="264"/>
      <c r="AM862" s="264"/>
      <c r="AN862" s="264"/>
    </row>
    <row r="863" ht="15.75" customHeight="1">
      <c r="A863" s="262"/>
      <c r="B863" s="338">
        <f>IFERROR(__xludf.DUMMYFUNCTION("""COMPUTED_VALUE"""),1344.0)</f>
        <v>1344</v>
      </c>
      <c r="C863" s="354"/>
      <c r="D863" s="340" t="str">
        <f>IFERROR(__xludf.DUMMYFUNCTION("""COMPUTED_VALUE"""),"")</f>
        <v/>
      </c>
      <c r="E863" s="341">
        <f>IFERROR(__xludf.DUMMYFUNCTION("""COMPUTED_VALUE"""),0.0)</f>
        <v>0</v>
      </c>
      <c r="F863" s="352"/>
      <c r="G863" s="343"/>
      <c r="H863" s="344">
        <f>IFERROR(__xludf.DUMMYFUNCTION("""COMPUTED_VALUE"""),0.0)</f>
        <v>0</v>
      </c>
      <c r="I863" s="353"/>
      <c r="J863" s="353"/>
      <c r="K863" s="346">
        <f>IFERROR(__xludf.DUMMYFUNCTION("""COMPUTED_VALUE"""),0.0)</f>
        <v>0</v>
      </c>
      <c r="L863" s="347">
        <f>IFERROR(__xludf.DUMMYFUNCTION("""COMPUTED_VALUE"""),0.0)</f>
        <v>0</v>
      </c>
      <c r="M863" s="348">
        <f>IFERROR(__xludf.DUMMYFUNCTION("""COMPUTED_VALUE"""),0.0)</f>
        <v>0</v>
      </c>
      <c r="N863" s="348">
        <f>IFERROR(__xludf.DUMMYFUNCTION("""COMPUTED_VALUE"""),0.0)</f>
        <v>0</v>
      </c>
      <c r="O863" s="348">
        <f>IFERROR(__xludf.DUMMYFUNCTION("""COMPUTED_VALUE"""),0.0)</f>
        <v>0</v>
      </c>
      <c r="P863" s="348">
        <f>IFERROR(__xludf.DUMMYFUNCTION("""COMPUTED_VALUE"""),0.0)</f>
        <v>0</v>
      </c>
      <c r="Q863" s="348">
        <f>IFERROR(__xludf.DUMMYFUNCTION("""COMPUTED_VALUE"""),0.0)</f>
        <v>0</v>
      </c>
      <c r="R863" s="355" t="str">
        <f>IFERROR(__xludf.DUMMYFUNCTION("""COMPUTED_VALUE""")," Cash Proyek ")</f>
        <v>Cash Proyek</v>
      </c>
      <c r="S863" s="350"/>
      <c r="T863" s="262"/>
      <c r="U863" s="351"/>
      <c r="V863" s="262"/>
      <c r="W863" s="262"/>
      <c r="X863" s="262"/>
      <c r="Y863" s="262"/>
      <c r="Z863" s="262"/>
      <c r="AA863" s="262"/>
      <c r="AB863" s="262"/>
      <c r="AC863" s="262"/>
      <c r="AD863" s="262"/>
      <c r="AE863" s="262"/>
      <c r="AF863" s="262"/>
      <c r="AG863" s="264"/>
      <c r="AH863" s="264"/>
      <c r="AI863" s="264"/>
      <c r="AJ863" s="264"/>
      <c r="AK863" s="264"/>
      <c r="AL863" s="264"/>
      <c r="AM863" s="264"/>
      <c r="AN863" s="264"/>
    </row>
    <row r="864" ht="15.75" customHeight="1">
      <c r="A864" s="262"/>
      <c r="B864" s="338">
        <f>IFERROR(__xludf.DUMMYFUNCTION("""COMPUTED_VALUE"""),1345.0)</f>
        <v>1345</v>
      </c>
      <c r="C864" s="354"/>
      <c r="D864" s="340" t="str">
        <f>IFERROR(__xludf.DUMMYFUNCTION("""COMPUTED_VALUE"""),"")</f>
        <v/>
      </c>
      <c r="E864" s="341">
        <f>IFERROR(__xludf.DUMMYFUNCTION("""COMPUTED_VALUE"""),0.0)</f>
        <v>0</v>
      </c>
      <c r="F864" s="352"/>
      <c r="G864" s="343"/>
      <c r="H864" s="344">
        <f>IFERROR(__xludf.DUMMYFUNCTION("""COMPUTED_VALUE"""),0.0)</f>
        <v>0</v>
      </c>
      <c r="I864" s="353"/>
      <c r="J864" s="353"/>
      <c r="K864" s="346">
        <f>IFERROR(__xludf.DUMMYFUNCTION("""COMPUTED_VALUE"""),0.0)</f>
        <v>0</v>
      </c>
      <c r="L864" s="347">
        <f>IFERROR(__xludf.DUMMYFUNCTION("""COMPUTED_VALUE"""),0.0)</f>
        <v>0</v>
      </c>
      <c r="M864" s="348">
        <f>IFERROR(__xludf.DUMMYFUNCTION("""COMPUTED_VALUE"""),0.0)</f>
        <v>0</v>
      </c>
      <c r="N864" s="348">
        <f>IFERROR(__xludf.DUMMYFUNCTION("""COMPUTED_VALUE"""),0.0)</f>
        <v>0</v>
      </c>
      <c r="O864" s="348">
        <f>IFERROR(__xludf.DUMMYFUNCTION("""COMPUTED_VALUE"""),0.0)</f>
        <v>0</v>
      </c>
      <c r="P864" s="348">
        <f>IFERROR(__xludf.DUMMYFUNCTION("""COMPUTED_VALUE"""),0.0)</f>
        <v>0</v>
      </c>
      <c r="Q864" s="348">
        <f>IFERROR(__xludf.DUMMYFUNCTION("""COMPUTED_VALUE"""),0.0)</f>
        <v>0</v>
      </c>
      <c r="R864" s="355" t="str">
        <f>IFERROR(__xludf.DUMMYFUNCTION("""COMPUTED_VALUE""")," Cash Proyek ")</f>
        <v>Cash Proyek</v>
      </c>
      <c r="S864" s="350"/>
      <c r="T864" s="262"/>
      <c r="U864" s="351"/>
      <c r="V864" s="262"/>
      <c r="W864" s="262"/>
      <c r="X864" s="262"/>
      <c r="Y864" s="262"/>
      <c r="Z864" s="262"/>
      <c r="AA864" s="262"/>
      <c r="AB864" s="262"/>
      <c r="AC864" s="262"/>
      <c r="AD864" s="262"/>
      <c r="AE864" s="262"/>
      <c r="AF864" s="262"/>
      <c r="AG864" s="264"/>
      <c r="AH864" s="264"/>
      <c r="AI864" s="264"/>
      <c r="AJ864" s="264"/>
      <c r="AK864" s="264"/>
      <c r="AL864" s="264"/>
      <c r="AM864" s="264"/>
      <c r="AN864" s="264"/>
    </row>
    <row r="865" ht="15.75" customHeight="1">
      <c r="A865" s="262"/>
      <c r="B865" s="338">
        <f>IFERROR(__xludf.DUMMYFUNCTION("""COMPUTED_VALUE"""),1346.0)</f>
        <v>1346</v>
      </c>
      <c r="C865" s="354"/>
      <c r="D865" s="340" t="str">
        <f>IFERROR(__xludf.DUMMYFUNCTION("""COMPUTED_VALUE"""),"")</f>
        <v/>
      </c>
      <c r="E865" s="341">
        <f>IFERROR(__xludf.DUMMYFUNCTION("""COMPUTED_VALUE"""),0.0)</f>
        <v>0</v>
      </c>
      <c r="F865" s="352"/>
      <c r="G865" s="343"/>
      <c r="H865" s="344">
        <f>IFERROR(__xludf.DUMMYFUNCTION("""COMPUTED_VALUE"""),0.0)</f>
        <v>0</v>
      </c>
      <c r="I865" s="353"/>
      <c r="J865" s="353"/>
      <c r="K865" s="346">
        <f>IFERROR(__xludf.DUMMYFUNCTION("""COMPUTED_VALUE"""),0.0)</f>
        <v>0</v>
      </c>
      <c r="L865" s="347">
        <f>IFERROR(__xludf.DUMMYFUNCTION("""COMPUTED_VALUE"""),0.0)</f>
        <v>0</v>
      </c>
      <c r="M865" s="348">
        <f>IFERROR(__xludf.DUMMYFUNCTION("""COMPUTED_VALUE"""),0.0)</f>
        <v>0</v>
      </c>
      <c r="N865" s="348">
        <f>IFERROR(__xludf.DUMMYFUNCTION("""COMPUTED_VALUE"""),0.0)</f>
        <v>0</v>
      </c>
      <c r="O865" s="348">
        <f>IFERROR(__xludf.DUMMYFUNCTION("""COMPUTED_VALUE"""),0.0)</f>
        <v>0</v>
      </c>
      <c r="P865" s="348">
        <f>IFERROR(__xludf.DUMMYFUNCTION("""COMPUTED_VALUE"""),0.0)</f>
        <v>0</v>
      </c>
      <c r="Q865" s="348">
        <f>IFERROR(__xludf.DUMMYFUNCTION("""COMPUTED_VALUE"""),0.0)</f>
        <v>0</v>
      </c>
      <c r="R865" s="355" t="str">
        <f>IFERROR(__xludf.DUMMYFUNCTION("""COMPUTED_VALUE""")," Cash Proyek ")</f>
        <v>Cash Proyek</v>
      </c>
      <c r="S865" s="350"/>
      <c r="T865" s="262"/>
      <c r="U865" s="351"/>
      <c r="V865" s="262"/>
      <c r="W865" s="262"/>
      <c r="X865" s="262"/>
      <c r="Y865" s="262"/>
      <c r="Z865" s="262"/>
      <c r="AA865" s="262"/>
      <c r="AB865" s="262"/>
      <c r="AC865" s="262"/>
      <c r="AD865" s="262"/>
      <c r="AE865" s="262"/>
      <c r="AF865" s="262"/>
      <c r="AG865" s="264"/>
      <c r="AH865" s="264"/>
      <c r="AI865" s="264"/>
      <c r="AJ865" s="264"/>
      <c r="AK865" s="264"/>
      <c r="AL865" s="264"/>
      <c r="AM865" s="264"/>
      <c r="AN865" s="264"/>
    </row>
    <row r="866" ht="15.75" customHeight="1">
      <c r="A866" s="262"/>
      <c r="B866" s="338">
        <f>IFERROR(__xludf.DUMMYFUNCTION("""COMPUTED_VALUE"""),1347.0)</f>
        <v>1347</v>
      </c>
      <c r="C866" s="354"/>
      <c r="D866" s="340" t="str">
        <f>IFERROR(__xludf.DUMMYFUNCTION("""COMPUTED_VALUE"""),"")</f>
        <v/>
      </c>
      <c r="E866" s="341">
        <f>IFERROR(__xludf.DUMMYFUNCTION("""COMPUTED_VALUE"""),0.0)</f>
        <v>0</v>
      </c>
      <c r="F866" s="352"/>
      <c r="G866" s="343"/>
      <c r="H866" s="344">
        <f>IFERROR(__xludf.DUMMYFUNCTION("""COMPUTED_VALUE"""),0.0)</f>
        <v>0</v>
      </c>
      <c r="I866" s="353"/>
      <c r="J866" s="353"/>
      <c r="K866" s="346">
        <f>IFERROR(__xludf.DUMMYFUNCTION("""COMPUTED_VALUE"""),0.0)</f>
        <v>0</v>
      </c>
      <c r="L866" s="347">
        <f>IFERROR(__xludf.DUMMYFUNCTION("""COMPUTED_VALUE"""),0.0)</f>
        <v>0</v>
      </c>
      <c r="M866" s="348">
        <f>IFERROR(__xludf.DUMMYFUNCTION("""COMPUTED_VALUE"""),0.0)</f>
        <v>0</v>
      </c>
      <c r="N866" s="348">
        <f>IFERROR(__xludf.DUMMYFUNCTION("""COMPUTED_VALUE"""),0.0)</f>
        <v>0</v>
      </c>
      <c r="O866" s="348">
        <f>IFERROR(__xludf.DUMMYFUNCTION("""COMPUTED_VALUE"""),0.0)</f>
        <v>0</v>
      </c>
      <c r="P866" s="348">
        <f>IFERROR(__xludf.DUMMYFUNCTION("""COMPUTED_VALUE"""),0.0)</f>
        <v>0</v>
      </c>
      <c r="Q866" s="348">
        <f>IFERROR(__xludf.DUMMYFUNCTION("""COMPUTED_VALUE"""),0.0)</f>
        <v>0</v>
      </c>
      <c r="R866" s="355" t="str">
        <f>IFERROR(__xludf.DUMMYFUNCTION("""COMPUTED_VALUE""")," Cash Proyek ")</f>
        <v>Cash Proyek</v>
      </c>
      <c r="S866" s="350"/>
      <c r="T866" s="262"/>
      <c r="U866" s="351"/>
      <c r="V866" s="262"/>
      <c r="W866" s="262"/>
      <c r="X866" s="262"/>
      <c r="Y866" s="262"/>
      <c r="Z866" s="262"/>
      <c r="AA866" s="262"/>
      <c r="AB866" s="262"/>
      <c r="AC866" s="262"/>
      <c r="AD866" s="262"/>
      <c r="AE866" s="262"/>
      <c r="AF866" s="262"/>
      <c r="AG866" s="264"/>
      <c r="AH866" s="264"/>
      <c r="AI866" s="264"/>
      <c r="AJ866" s="264"/>
      <c r="AK866" s="264"/>
      <c r="AL866" s="264"/>
      <c r="AM866" s="264"/>
      <c r="AN866" s="264"/>
    </row>
    <row r="867" ht="15.75" customHeight="1">
      <c r="A867" s="262"/>
      <c r="B867" s="338">
        <f>IFERROR(__xludf.DUMMYFUNCTION("""COMPUTED_VALUE"""),1348.0)</f>
        <v>1348</v>
      </c>
      <c r="C867" s="354"/>
      <c r="D867" s="340" t="str">
        <f>IFERROR(__xludf.DUMMYFUNCTION("""COMPUTED_VALUE"""),"")</f>
        <v/>
      </c>
      <c r="E867" s="341">
        <f>IFERROR(__xludf.DUMMYFUNCTION("""COMPUTED_VALUE"""),0.0)</f>
        <v>0</v>
      </c>
      <c r="F867" s="352"/>
      <c r="G867" s="343"/>
      <c r="H867" s="344">
        <f>IFERROR(__xludf.DUMMYFUNCTION("""COMPUTED_VALUE"""),0.0)</f>
        <v>0</v>
      </c>
      <c r="I867" s="353"/>
      <c r="J867" s="353"/>
      <c r="K867" s="346">
        <f>IFERROR(__xludf.DUMMYFUNCTION("""COMPUTED_VALUE"""),0.0)</f>
        <v>0</v>
      </c>
      <c r="L867" s="347">
        <f>IFERROR(__xludf.DUMMYFUNCTION("""COMPUTED_VALUE"""),0.0)</f>
        <v>0</v>
      </c>
      <c r="M867" s="348">
        <f>IFERROR(__xludf.DUMMYFUNCTION("""COMPUTED_VALUE"""),0.0)</f>
        <v>0</v>
      </c>
      <c r="N867" s="348">
        <f>IFERROR(__xludf.DUMMYFUNCTION("""COMPUTED_VALUE"""),0.0)</f>
        <v>0</v>
      </c>
      <c r="O867" s="348">
        <f>IFERROR(__xludf.DUMMYFUNCTION("""COMPUTED_VALUE"""),0.0)</f>
        <v>0</v>
      </c>
      <c r="P867" s="348">
        <f>IFERROR(__xludf.DUMMYFUNCTION("""COMPUTED_VALUE"""),0.0)</f>
        <v>0</v>
      </c>
      <c r="Q867" s="348">
        <f>IFERROR(__xludf.DUMMYFUNCTION("""COMPUTED_VALUE"""),0.0)</f>
        <v>0</v>
      </c>
      <c r="R867" s="355" t="str">
        <f>IFERROR(__xludf.DUMMYFUNCTION("""COMPUTED_VALUE""")," Cash Proyek ")</f>
        <v>Cash Proyek</v>
      </c>
      <c r="S867" s="350"/>
      <c r="T867" s="262"/>
      <c r="U867" s="351"/>
      <c r="V867" s="262"/>
      <c r="W867" s="262"/>
      <c r="X867" s="262"/>
      <c r="Y867" s="262"/>
      <c r="Z867" s="262"/>
      <c r="AA867" s="262"/>
      <c r="AB867" s="262"/>
      <c r="AC867" s="262"/>
      <c r="AD867" s="262"/>
      <c r="AE867" s="262"/>
      <c r="AF867" s="262"/>
      <c r="AG867" s="264"/>
      <c r="AH867" s="264"/>
      <c r="AI867" s="264"/>
      <c r="AJ867" s="264"/>
      <c r="AK867" s="264"/>
      <c r="AL867" s="264"/>
      <c r="AM867" s="264"/>
      <c r="AN867" s="264"/>
    </row>
    <row r="868" ht="15.75" customHeight="1">
      <c r="A868" s="262"/>
      <c r="B868" s="338">
        <f>IFERROR(__xludf.DUMMYFUNCTION("""COMPUTED_VALUE"""),1349.0)</f>
        <v>1349</v>
      </c>
      <c r="C868" s="354"/>
      <c r="D868" s="340" t="str">
        <f>IFERROR(__xludf.DUMMYFUNCTION("""COMPUTED_VALUE"""),"")</f>
        <v/>
      </c>
      <c r="E868" s="341">
        <f>IFERROR(__xludf.DUMMYFUNCTION("""COMPUTED_VALUE"""),0.0)</f>
        <v>0</v>
      </c>
      <c r="F868" s="352"/>
      <c r="G868" s="343"/>
      <c r="H868" s="344">
        <f>IFERROR(__xludf.DUMMYFUNCTION("""COMPUTED_VALUE"""),0.0)</f>
        <v>0</v>
      </c>
      <c r="I868" s="353"/>
      <c r="J868" s="353"/>
      <c r="K868" s="346">
        <f>IFERROR(__xludf.DUMMYFUNCTION("""COMPUTED_VALUE"""),0.0)</f>
        <v>0</v>
      </c>
      <c r="L868" s="347">
        <f>IFERROR(__xludf.DUMMYFUNCTION("""COMPUTED_VALUE"""),0.0)</f>
        <v>0</v>
      </c>
      <c r="M868" s="348">
        <f>IFERROR(__xludf.DUMMYFUNCTION("""COMPUTED_VALUE"""),0.0)</f>
        <v>0</v>
      </c>
      <c r="N868" s="348">
        <f>IFERROR(__xludf.DUMMYFUNCTION("""COMPUTED_VALUE"""),0.0)</f>
        <v>0</v>
      </c>
      <c r="O868" s="348">
        <f>IFERROR(__xludf.DUMMYFUNCTION("""COMPUTED_VALUE"""),0.0)</f>
        <v>0</v>
      </c>
      <c r="P868" s="348">
        <f>IFERROR(__xludf.DUMMYFUNCTION("""COMPUTED_VALUE"""),0.0)</f>
        <v>0</v>
      </c>
      <c r="Q868" s="348">
        <f>IFERROR(__xludf.DUMMYFUNCTION("""COMPUTED_VALUE"""),0.0)</f>
        <v>0</v>
      </c>
      <c r="R868" s="355" t="str">
        <f>IFERROR(__xludf.DUMMYFUNCTION("""COMPUTED_VALUE""")," Cash Proyek ")</f>
        <v>Cash Proyek</v>
      </c>
      <c r="S868" s="350"/>
      <c r="T868" s="262"/>
      <c r="U868" s="351"/>
      <c r="V868" s="262"/>
      <c r="W868" s="262"/>
      <c r="X868" s="262"/>
      <c r="Y868" s="262"/>
      <c r="Z868" s="262"/>
      <c r="AA868" s="262"/>
      <c r="AB868" s="262"/>
      <c r="AC868" s="262"/>
      <c r="AD868" s="262"/>
      <c r="AE868" s="262"/>
      <c r="AF868" s="262"/>
      <c r="AG868" s="264"/>
      <c r="AH868" s="264"/>
      <c r="AI868" s="264"/>
      <c r="AJ868" s="264"/>
      <c r="AK868" s="264"/>
      <c r="AL868" s="264"/>
      <c r="AM868" s="264"/>
      <c r="AN868" s="264"/>
    </row>
    <row r="869" ht="15.75" customHeight="1">
      <c r="A869" s="262"/>
      <c r="B869" s="338">
        <f>IFERROR(__xludf.DUMMYFUNCTION("""COMPUTED_VALUE"""),1350.0)</f>
        <v>1350</v>
      </c>
      <c r="C869" s="354"/>
      <c r="D869" s="340" t="str">
        <f>IFERROR(__xludf.DUMMYFUNCTION("""COMPUTED_VALUE"""),"")</f>
        <v/>
      </c>
      <c r="E869" s="341">
        <f>IFERROR(__xludf.DUMMYFUNCTION("""COMPUTED_VALUE"""),0.0)</f>
        <v>0</v>
      </c>
      <c r="F869" s="352"/>
      <c r="G869" s="343"/>
      <c r="H869" s="344">
        <f>IFERROR(__xludf.DUMMYFUNCTION("""COMPUTED_VALUE"""),0.0)</f>
        <v>0</v>
      </c>
      <c r="I869" s="353"/>
      <c r="J869" s="353"/>
      <c r="K869" s="346">
        <f>IFERROR(__xludf.DUMMYFUNCTION("""COMPUTED_VALUE"""),0.0)</f>
        <v>0</v>
      </c>
      <c r="L869" s="347">
        <f>IFERROR(__xludf.DUMMYFUNCTION("""COMPUTED_VALUE"""),0.0)</f>
        <v>0</v>
      </c>
      <c r="M869" s="348">
        <f>IFERROR(__xludf.DUMMYFUNCTION("""COMPUTED_VALUE"""),0.0)</f>
        <v>0</v>
      </c>
      <c r="N869" s="348">
        <f>IFERROR(__xludf.DUMMYFUNCTION("""COMPUTED_VALUE"""),0.0)</f>
        <v>0</v>
      </c>
      <c r="O869" s="348">
        <f>IFERROR(__xludf.DUMMYFUNCTION("""COMPUTED_VALUE"""),0.0)</f>
        <v>0</v>
      </c>
      <c r="P869" s="348">
        <f>IFERROR(__xludf.DUMMYFUNCTION("""COMPUTED_VALUE"""),0.0)</f>
        <v>0</v>
      </c>
      <c r="Q869" s="348">
        <f>IFERROR(__xludf.DUMMYFUNCTION("""COMPUTED_VALUE"""),0.0)</f>
        <v>0</v>
      </c>
      <c r="R869" s="355" t="str">
        <f>IFERROR(__xludf.DUMMYFUNCTION("""COMPUTED_VALUE""")," Cash Proyek ")</f>
        <v>Cash Proyek</v>
      </c>
      <c r="S869" s="350"/>
      <c r="T869" s="262"/>
      <c r="U869" s="351"/>
      <c r="V869" s="262"/>
      <c r="W869" s="262"/>
      <c r="X869" s="262"/>
      <c r="Y869" s="262"/>
      <c r="Z869" s="262"/>
      <c r="AA869" s="262"/>
      <c r="AB869" s="262"/>
      <c r="AC869" s="262"/>
      <c r="AD869" s="262"/>
      <c r="AE869" s="262"/>
      <c r="AF869" s="262"/>
      <c r="AG869" s="264"/>
      <c r="AH869" s="264"/>
      <c r="AI869" s="264"/>
      <c r="AJ869" s="264"/>
      <c r="AK869" s="264"/>
      <c r="AL869" s="264"/>
      <c r="AM869" s="264"/>
      <c r="AN869" s="264"/>
    </row>
    <row r="870" ht="15.75" customHeight="1">
      <c r="A870" s="262"/>
      <c r="B870" s="338">
        <f>IFERROR(__xludf.DUMMYFUNCTION("""COMPUTED_VALUE"""),1351.0)</f>
        <v>1351</v>
      </c>
      <c r="C870" s="354"/>
      <c r="D870" s="340" t="str">
        <f>IFERROR(__xludf.DUMMYFUNCTION("""COMPUTED_VALUE"""),"")</f>
        <v/>
      </c>
      <c r="E870" s="341">
        <f>IFERROR(__xludf.DUMMYFUNCTION("""COMPUTED_VALUE"""),0.0)</f>
        <v>0</v>
      </c>
      <c r="F870" s="352"/>
      <c r="G870" s="343"/>
      <c r="H870" s="344">
        <f>IFERROR(__xludf.DUMMYFUNCTION("""COMPUTED_VALUE"""),0.0)</f>
        <v>0</v>
      </c>
      <c r="I870" s="353"/>
      <c r="J870" s="353"/>
      <c r="K870" s="346">
        <f>IFERROR(__xludf.DUMMYFUNCTION("""COMPUTED_VALUE"""),0.0)</f>
        <v>0</v>
      </c>
      <c r="L870" s="347">
        <f>IFERROR(__xludf.DUMMYFUNCTION("""COMPUTED_VALUE"""),0.0)</f>
        <v>0</v>
      </c>
      <c r="M870" s="348">
        <f>IFERROR(__xludf.DUMMYFUNCTION("""COMPUTED_VALUE"""),0.0)</f>
        <v>0</v>
      </c>
      <c r="N870" s="348">
        <f>IFERROR(__xludf.DUMMYFUNCTION("""COMPUTED_VALUE"""),0.0)</f>
        <v>0</v>
      </c>
      <c r="O870" s="348">
        <f>IFERROR(__xludf.DUMMYFUNCTION("""COMPUTED_VALUE"""),0.0)</f>
        <v>0</v>
      </c>
      <c r="P870" s="348">
        <f>IFERROR(__xludf.DUMMYFUNCTION("""COMPUTED_VALUE"""),0.0)</f>
        <v>0</v>
      </c>
      <c r="Q870" s="348">
        <f>IFERROR(__xludf.DUMMYFUNCTION("""COMPUTED_VALUE"""),0.0)</f>
        <v>0</v>
      </c>
      <c r="R870" s="355" t="str">
        <f>IFERROR(__xludf.DUMMYFUNCTION("""COMPUTED_VALUE""")," Cash Proyek ")</f>
        <v>Cash Proyek</v>
      </c>
      <c r="S870" s="350"/>
      <c r="T870" s="262"/>
      <c r="U870" s="351"/>
      <c r="V870" s="262"/>
      <c r="W870" s="262"/>
      <c r="X870" s="262"/>
      <c r="Y870" s="262"/>
      <c r="Z870" s="262"/>
      <c r="AA870" s="262"/>
      <c r="AB870" s="262"/>
      <c r="AC870" s="262"/>
      <c r="AD870" s="262"/>
      <c r="AE870" s="262"/>
      <c r="AF870" s="262"/>
      <c r="AG870" s="264"/>
      <c r="AH870" s="264"/>
      <c r="AI870" s="264"/>
      <c r="AJ870" s="264"/>
      <c r="AK870" s="264"/>
      <c r="AL870" s="264"/>
      <c r="AM870" s="264"/>
      <c r="AN870" s="264"/>
    </row>
    <row r="871" ht="15.75" customHeight="1">
      <c r="A871" s="262"/>
      <c r="B871" s="338">
        <f>IFERROR(__xludf.DUMMYFUNCTION("""COMPUTED_VALUE"""),1352.0)</f>
        <v>1352</v>
      </c>
      <c r="C871" s="354"/>
      <c r="D871" s="340" t="str">
        <f>IFERROR(__xludf.DUMMYFUNCTION("""COMPUTED_VALUE"""),"")</f>
        <v/>
      </c>
      <c r="E871" s="341">
        <f>IFERROR(__xludf.DUMMYFUNCTION("""COMPUTED_VALUE"""),0.0)</f>
        <v>0</v>
      </c>
      <c r="F871" s="352"/>
      <c r="G871" s="343"/>
      <c r="H871" s="344">
        <f>IFERROR(__xludf.DUMMYFUNCTION("""COMPUTED_VALUE"""),0.0)</f>
        <v>0</v>
      </c>
      <c r="I871" s="353"/>
      <c r="J871" s="353"/>
      <c r="K871" s="346">
        <f>IFERROR(__xludf.DUMMYFUNCTION("""COMPUTED_VALUE"""),0.0)</f>
        <v>0</v>
      </c>
      <c r="L871" s="347">
        <f>IFERROR(__xludf.DUMMYFUNCTION("""COMPUTED_VALUE"""),0.0)</f>
        <v>0</v>
      </c>
      <c r="M871" s="348">
        <f>IFERROR(__xludf.DUMMYFUNCTION("""COMPUTED_VALUE"""),0.0)</f>
        <v>0</v>
      </c>
      <c r="N871" s="348">
        <f>IFERROR(__xludf.DUMMYFUNCTION("""COMPUTED_VALUE"""),0.0)</f>
        <v>0</v>
      </c>
      <c r="O871" s="348">
        <f>IFERROR(__xludf.DUMMYFUNCTION("""COMPUTED_VALUE"""),0.0)</f>
        <v>0</v>
      </c>
      <c r="P871" s="348">
        <f>IFERROR(__xludf.DUMMYFUNCTION("""COMPUTED_VALUE"""),0.0)</f>
        <v>0</v>
      </c>
      <c r="Q871" s="348">
        <f>IFERROR(__xludf.DUMMYFUNCTION("""COMPUTED_VALUE"""),0.0)</f>
        <v>0</v>
      </c>
      <c r="R871" s="355" t="str">
        <f>IFERROR(__xludf.DUMMYFUNCTION("""COMPUTED_VALUE""")," Cash Proyek ")</f>
        <v>Cash Proyek</v>
      </c>
      <c r="S871" s="350"/>
      <c r="T871" s="262"/>
      <c r="U871" s="351"/>
      <c r="V871" s="262"/>
      <c r="W871" s="262"/>
      <c r="X871" s="262"/>
      <c r="Y871" s="262"/>
      <c r="Z871" s="262"/>
      <c r="AA871" s="262"/>
      <c r="AB871" s="262"/>
      <c r="AC871" s="262"/>
      <c r="AD871" s="262"/>
      <c r="AE871" s="262"/>
      <c r="AF871" s="262"/>
      <c r="AG871" s="264"/>
      <c r="AH871" s="264"/>
      <c r="AI871" s="264"/>
      <c r="AJ871" s="264"/>
      <c r="AK871" s="264"/>
      <c r="AL871" s="264"/>
      <c r="AM871" s="264"/>
      <c r="AN871" s="264"/>
    </row>
    <row r="872" ht="15.75" customHeight="1">
      <c r="A872" s="262"/>
      <c r="B872" s="338">
        <f>IFERROR(__xludf.DUMMYFUNCTION("""COMPUTED_VALUE"""),1353.0)</f>
        <v>1353</v>
      </c>
      <c r="C872" s="354"/>
      <c r="D872" s="340" t="str">
        <f>IFERROR(__xludf.DUMMYFUNCTION("""COMPUTED_VALUE"""),"")</f>
        <v/>
      </c>
      <c r="E872" s="341">
        <f>IFERROR(__xludf.DUMMYFUNCTION("""COMPUTED_VALUE"""),0.0)</f>
        <v>0</v>
      </c>
      <c r="F872" s="352"/>
      <c r="G872" s="343"/>
      <c r="H872" s="344">
        <f>IFERROR(__xludf.DUMMYFUNCTION("""COMPUTED_VALUE"""),0.0)</f>
        <v>0</v>
      </c>
      <c r="I872" s="353"/>
      <c r="J872" s="353"/>
      <c r="K872" s="346">
        <f>IFERROR(__xludf.DUMMYFUNCTION("""COMPUTED_VALUE"""),0.0)</f>
        <v>0</v>
      </c>
      <c r="L872" s="347">
        <f>IFERROR(__xludf.DUMMYFUNCTION("""COMPUTED_VALUE"""),0.0)</f>
        <v>0</v>
      </c>
      <c r="M872" s="348">
        <f>IFERROR(__xludf.DUMMYFUNCTION("""COMPUTED_VALUE"""),0.0)</f>
        <v>0</v>
      </c>
      <c r="N872" s="348">
        <f>IFERROR(__xludf.DUMMYFUNCTION("""COMPUTED_VALUE"""),0.0)</f>
        <v>0</v>
      </c>
      <c r="O872" s="348">
        <f>IFERROR(__xludf.DUMMYFUNCTION("""COMPUTED_VALUE"""),0.0)</f>
        <v>0</v>
      </c>
      <c r="P872" s="348">
        <f>IFERROR(__xludf.DUMMYFUNCTION("""COMPUTED_VALUE"""),0.0)</f>
        <v>0</v>
      </c>
      <c r="Q872" s="348">
        <f>IFERROR(__xludf.DUMMYFUNCTION("""COMPUTED_VALUE"""),0.0)</f>
        <v>0</v>
      </c>
      <c r="R872" s="355" t="str">
        <f>IFERROR(__xludf.DUMMYFUNCTION("""COMPUTED_VALUE""")," Cash Proyek ")</f>
        <v>Cash Proyek</v>
      </c>
      <c r="S872" s="350"/>
      <c r="T872" s="262"/>
      <c r="U872" s="351"/>
      <c r="V872" s="262"/>
      <c r="W872" s="262"/>
      <c r="X872" s="262"/>
      <c r="Y872" s="262"/>
      <c r="Z872" s="262"/>
      <c r="AA872" s="262"/>
      <c r="AB872" s="262"/>
      <c r="AC872" s="262"/>
      <c r="AD872" s="262"/>
      <c r="AE872" s="262"/>
      <c r="AF872" s="262"/>
      <c r="AG872" s="264"/>
      <c r="AH872" s="264"/>
      <c r="AI872" s="264"/>
      <c r="AJ872" s="264"/>
      <c r="AK872" s="264"/>
      <c r="AL872" s="264"/>
      <c r="AM872" s="264"/>
      <c r="AN872" s="264"/>
    </row>
    <row r="873" ht="15.75" customHeight="1">
      <c r="A873" s="262"/>
      <c r="B873" s="338">
        <f>IFERROR(__xludf.DUMMYFUNCTION("""COMPUTED_VALUE"""),1354.0)</f>
        <v>1354</v>
      </c>
      <c r="C873" s="354"/>
      <c r="D873" s="340" t="str">
        <f>IFERROR(__xludf.DUMMYFUNCTION("""COMPUTED_VALUE"""),"")</f>
        <v/>
      </c>
      <c r="E873" s="341">
        <f>IFERROR(__xludf.DUMMYFUNCTION("""COMPUTED_VALUE"""),0.0)</f>
        <v>0</v>
      </c>
      <c r="F873" s="352"/>
      <c r="G873" s="343"/>
      <c r="H873" s="344">
        <f>IFERROR(__xludf.DUMMYFUNCTION("""COMPUTED_VALUE"""),0.0)</f>
        <v>0</v>
      </c>
      <c r="I873" s="353"/>
      <c r="J873" s="353"/>
      <c r="K873" s="346">
        <f>IFERROR(__xludf.DUMMYFUNCTION("""COMPUTED_VALUE"""),0.0)</f>
        <v>0</v>
      </c>
      <c r="L873" s="347">
        <f>IFERROR(__xludf.DUMMYFUNCTION("""COMPUTED_VALUE"""),0.0)</f>
        <v>0</v>
      </c>
      <c r="M873" s="348">
        <f>IFERROR(__xludf.DUMMYFUNCTION("""COMPUTED_VALUE"""),0.0)</f>
        <v>0</v>
      </c>
      <c r="N873" s="348">
        <f>IFERROR(__xludf.DUMMYFUNCTION("""COMPUTED_VALUE"""),0.0)</f>
        <v>0</v>
      </c>
      <c r="O873" s="348">
        <f>IFERROR(__xludf.DUMMYFUNCTION("""COMPUTED_VALUE"""),0.0)</f>
        <v>0</v>
      </c>
      <c r="P873" s="348">
        <f>IFERROR(__xludf.DUMMYFUNCTION("""COMPUTED_VALUE"""),0.0)</f>
        <v>0</v>
      </c>
      <c r="Q873" s="348">
        <f>IFERROR(__xludf.DUMMYFUNCTION("""COMPUTED_VALUE"""),0.0)</f>
        <v>0</v>
      </c>
      <c r="R873" s="355" t="str">
        <f>IFERROR(__xludf.DUMMYFUNCTION("""COMPUTED_VALUE""")," Cash Proyek ")</f>
        <v>Cash Proyek</v>
      </c>
      <c r="S873" s="350"/>
      <c r="T873" s="262"/>
      <c r="U873" s="351"/>
      <c r="V873" s="262"/>
      <c r="W873" s="262"/>
      <c r="X873" s="262"/>
      <c r="Y873" s="262"/>
      <c r="Z873" s="262"/>
      <c r="AA873" s="262"/>
      <c r="AB873" s="262"/>
      <c r="AC873" s="262"/>
      <c r="AD873" s="262"/>
      <c r="AE873" s="262"/>
      <c r="AF873" s="262"/>
      <c r="AG873" s="264"/>
      <c r="AH873" s="264"/>
      <c r="AI873" s="264"/>
      <c r="AJ873" s="264"/>
      <c r="AK873" s="264"/>
      <c r="AL873" s="264"/>
      <c r="AM873" s="264"/>
      <c r="AN873" s="264"/>
    </row>
    <row r="874" ht="15.75" customHeight="1">
      <c r="A874" s="262"/>
      <c r="B874" s="338">
        <f>IFERROR(__xludf.DUMMYFUNCTION("""COMPUTED_VALUE"""),1355.0)</f>
        <v>1355</v>
      </c>
      <c r="C874" s="354"/>
      <c r="D874" s="340" t="str">
        <f>IFERROR(__xludf.DUMMYFUNCTION("""COMPUTED_VALUE"""),"")</f>
        <v/>
      </c>
      <c r="E874" s="341">
        <f>IFERROR(__xludf.DUMMYFUNCTION("""COMPUTED_VALUE"""),0.0)</f>
        <v>0</v>
      </c>
      <c r="F874" s="352"/>
      <c r="G874" s="343"/>
      <c r="H874" s="344">
        <f>IFERROR(__xludf.DUMMYFUNCTION("""COMPUTED_VALUE"""),0.0)</f>
        <v>0</v>
      </c>
      <c r="I874" s="353"/>
      <c r="J874" s="353"/>
      <c r="K874" s="346">
        <f>IFERROR(__xludf.DUMMYFUNCTION("""COMPUTED_VALUE"""),0.0)</f>
        <v>0</v>
      </c>
      <c r="L874" s="347">
        <f>IFERROR(__xludf.DUMMYFUNCTION("""COMPUTED_VALUE"""),0.0)</f>
        <v>0</v>
      </c>
      <c r="M874" s="348">
        <f>IFERROR(__xludf.DUMMYFUNCTION("""COMPUTED_VALUE"""),0.0)</f>
        <v>0</v>
      </c>
      <c r="N874" s="348">
        <f>IFERROR(__xludf.DUMMYFUNCTION("""COMPUTED_VALUE"""),0.0)</f>
        <v>0</v>
      </c>
      <c r="O874" s="348">
        <f>IFERROR(__xludf.DUMMYFUNCTION("""COMPUTED_VALUE"""),0.0)</f>
        <v>0</v>
      </c>
      <c r="P874" s="348">
        <f>IFERROR(__xludf.DUMMYFUNCTION("""COMPUTED_VALUE"""),0.0)</f>
        <v>0</v>
      </c>
      <c r="Q874" s="348">
        <f>IFERROR(__xludf.DUMMYFUNCTION("""COMPUTED_VALUE"""),0.0)</f>
        <v>0</v>
      </c>
      <c r="R874" s="355" t="str">
        <f>IFERROR(__xludf.DUMMYFUNCTION("""COMPUTED_VALUE""")," Cash Proyek ")</f>
        <v>Cash Proyek</v>
      </c>
      <c r="S874" s="350"/>
      <c r="T874" s="262"/>
      <c r="U874" s="351"/>
      <c r="V874" s="262"/>
      <c r="W874" s="262"/>
      <c r="X874" s="262"/>
      <c r="Y874" s="262"/>
      <c r="Z874" s="262"/>
      <c r="AA874" s="262"/>
      <c r="AB874" s="262"/>
      <c r="AC874" s="262"/>
      <c r="AD874" s="262"/>
      <c r="AE874" s="262"/>
      <c r="AF874" s="262"/>
      <c r="AG874" s="264"/>
      <c r="AH874" s="264"/>
      <c r="AI874" s="264"/>
      <c r="AJ874" s="264"/>
      <c r="AK874" s="264"/>
      <c r="AL874" s="264"/>
      <c r="AM874" s="264"/>
      <c r="AN874" s="264"/>
    </row>
    <row r="875" ht="15.75" customHeight="1">
      <c r="A875" s="262"/>
      <c r="B875" s="338">
        <f>IFERROR(__xludf.DUMMYFUNCTION("""COMPUTED_VALUE"""),1356.0)</f>
        <v>1356</v>
      </c>
      <c r="C875" s="354"/>
      <c r="D875" s="340" t="str">
        <f>IFERROR(__xludf.DUMMYFUNCTION("""COMPUTED_VALUE"""),"")</f>
        <v/>
      </c>
      <c r="E875" s="341">
        <f>IFERROR(__xludf.DUMMYFUNCTION("""COMPUTED_VALUE"""),0.0)</f>
        <v>0</v>
      </c>
      <c r="F875" s="352"/>
      <c r="G875" s="343"/>
      <c r="H875" s="344">
        <f>IFERROR(__xludf.DUMMYFUNCTION("""COMPUTED_VALUE"""),0.0)</f>
        <v>0</v>
      </c>
      <c r="I875" s="353"/>
      <c r="J875" s="353"/>
      <c r="K875" s="346">
        <f>IFERROR(__xludf.DUMMYFUNCTION("""COMPUTED_VALUE"""),0.0)</f>
        <v>0</v>
      </c>
      <c r="L875" s="347">
        <f>IFERROR(__xludf.DUMMYFUNCTION("""COMPUTED_VALUE"""),0.0)</f>
        <v>0</v>
      </c>
      <c r="M875" s="348">
        <f>IFERROR(__xludf.DUMMYFUNCTION("""COMPUTED_VALUE"""),0.0)</f>
        <v>0</v>
      </c>
      <c r="N875" s="348">
        <f>IFERROR(__xludf.DUMMYFUNCTION("""COMPUTED_VALUE"""),0.0)</f>
        <v>0</v>
      </c>
      <c r="O875" s="348">
        <f>IFERROR(__xludf.DUMMYFUNCTION("""COMPUTED_VALUE"""),0.0)</f>
        <v>0</v>
      </c>
      <c r="P875" s="348">
        <f>IFERROR(__xludf.DUMMYFUNCTION("""COMPUTED_VALUE"""),0.0)</f>
        <v>0</v>
      </c>
      <c r="Q875" s="348">
        <f>IFERROR(__xludf.DUMMYFUNCTION("""COMPUTED_VALUE"""),0.0)</f>
        <v>0</v>
      </c>
      <c r="R875" s="355" t="str">
        <f>IFERROR(__xludf.DUMMYFUNCTION("""COMPUTED_VALUE""")," Cash Proyek ")</f>
        <v>Cash Proyek</v>
      </c>
      <c r="S875" s="350"/>
      <c r="T875" s="262"/>
      <c r="U875" s="351"/>
      <c r="V875" s="262"/>
      <c r="W875" s="262"/>
      <c r="X875" s="262"/>
      <c r="Y875" s="262"/>
      <c r="Z875" s="262"/>
      <c r="AA875" s="262"/>
      <c r="AB875" s="262"/>
      <c r="AC875" s="262"/>
      <c r="AD875" s="262"/>
      <c r="AE875" s="262"/>
      <c r="AF875" s="262"/>
      <c r="AG875" s="264"/>
      <c r="AH875" s="264"/>
      <c r="AI875" s="264"/>
      <c r="AJ875" s="264"/>
      <c r="AK875" s="264"/>
      <c r="AL875" s="264"/>
      <c r="AM875" s="264"/>
      <c r="AN875" s="264"/>
    </row>
    <row r="876" ht="15.75" customHeight="1">
      <c r="A876" s="262"/>
      <c r="B876" s="338">
        <f>IFERROR(__xludf.DUMMYFUNCTION("""COMPUTED_VALUE"""),1357.0)</f>
        <v>1357</v>
      </c>
      <c r="C876" s="354"/>
      <c r="D876" s="340" t="str">
        <f>IFERROR(__xludf.DUMMYFUNCTION("""COMPUTED_VALUE"""),"")</f>
        <v/>
      </c>
      <c r="E876" s="341">
        <f>IFERROR(__xludf.DUMMYFUNCTION("""COMPUTED_VALUE"""),0.0)</f>
        <v>0</v>
      </c>
      <c r="F876" s="352"/>
      <c r="G876" s="343"/>
      <c r="H876" s="344">
        <f>IFERROR(__xludf.DUMMYFUNCTION("""COMPUTED_VALUE"""),0.0)</f>
        <v>0</v>
      </c>
      <c r="I876" s="353"/>
      <c r="J876" s="353"/>
      <c r="K876" s="346">
        <f>IFERROR(__xludf.DUMMYFUNCTION("""COMPUTED_VALUE"""),0.0)</f>
        <v>0</v>
      </c>
      <c r="L876" s="347">
        <f>IFERROR(__xludf.DUMMYFUNCTION("""COMPUTED_VALUE"""),0.0)</f>
        <v>0</v>
      </c>
      <c r="M876" s="348">
        <f>IFERROR(__xludf.DUMMYFUNCTION("""COMPUTED_VALUE"""),0.0)</f>
        <v>0</v>
      </c>
      <c r="N876" s="348">
        <f>IFERROR(__xludf.DUMMYFUNCTION("""COMPUTED_VALUE"""),0.0)</f>
        <v>0</v>
      </c>
      <c r="O876" s="348">
        <f>IFERROR(__xludf.DUMMYFUNCTION("""COMPUTED_VALUE"""),0.0)</f>
        <v>0</v>
      </c>
      <c r="P876" s="348">
        <f>IFERROR(__xludf.DUMMYFUNCTION("""COMPUTED_VALUE"""),0.0)</f>
        <v>0</v>
      </c>
      <c r="Q876" s="348">
        <f>IFERROR(__xludf.DUMMYFUNCTION("""COMPUTED_VALUE"""),0.0)</f>
        <v>0</v>
      </c>
      <c r="R876" s="355" t="str">
        <f>IFERROR(__xludf.DUMMYFUNCTION("""COMPUTED_VALUE""")," Cash Proyek ")</f>
        <v>Cash Proyek</v>
      </c>
      <c r="S876" s="350"/>
      <c r="T876" s="262"/>
      <c r="U876" s="351"/>
      <c r="V876" s="262"/>
      <c r="W876" s="262"/>
      <c r="X876" s="262"/>
      <c r="Y876" s="262"/>
      <c r="Z876" s="262"/>
      <c r="AA876" s="262"/>
      <c r="AB876" s="262"/>
      <c r="AC876" s="262"/>
      <c r="AD876" s="262"/>
      <c r="AE876" s="262"/>
      <c r="AF876" s="262"/>
      <c r="AG876" s="264"/>
      <c r="AH876" s="264"/>
      <c r="AI876" s="264"/>
      <c r="AJ876" s="264"/>
      <c r="AK876" s="264"/>
      <c r="AL876" s="264"/>
      <c r="AM876" s="264"/>
      <c r="AN876" s="264"/>
    </row>
    <row r="877" ht="15.75" customHeight="1">
      <c r="A877" s="262"/>
      <c r="B877" s="338">
        <f>IFERROR(__xludf.DUMMYFUNCTION("""COMPUTED_VALUE"""),1358.0)</f>
        <v>1358</v>
      </c>
      <c r="C877" s="354"/>
      <c r="D877" s="340" t="str">
        <f>IFERROR(__xludf.DUMMYFUNCTION("""COMPUTED_VALUE"""),"")</f>
        <v/>
      </c>
      <c r="E877" s="341">
        <f>IFERROR(__xludf.DUMMYFUNCTION("""COMPUTED_VALUE"""),0.0)</f>
        <v>0</v>
      </c>
      <c r="F877" s="352"/>
      <c r="G877" s="343"/>
      <c r="H877" s="344">
        <f>IFERROR(__xludf.DUMMYFUNCTION("""COMPUTED_VALUE"""),0.0)</f>
        <v>0</v>
      </c>
      <c r="I877" s="353"/>
      <c r="J877" s="353"/>
      <c r="K877" s="346">
        <f>IFERROR(__xludf.DUMMYFUNCTION("""COMPUTED_VALUE"""),0.0)</f>
        <v>0</v>
      </c>
      <c r="L877" s="347">
        <f>IFERROR(__xludf.DUMMYFUNCTION("""COMPUTED_VALUE"""),0.0)</f>
        <v>0</v>
      </c>
      <c r="M877" s="348">
        <f>IFERROR(__xludf.DUMMYFUNCTION("""COMPUTED_VALUE"""),0.0)</f>
        <v>0</v>
      </c>
      <c r="N877" s="348">
        <f>IFERROR(__xludf.DUMMYFUNCTION("""COMPUTED_VALUE"""),0.0)</f>
        <v>0</v>
      </c>
      <c r="O877" s="348">
        <f>IFERROR(__xludf.DUMMYFUNCTION("""COMPUTED_VALUE"""),0.0)</f>
        <v>0</v>
      </c>
      <c r="P877" s="348">
        <f>IFERROR(__xludf.DUMMYFUNCTION("""COMPUTED_VALUE"""),0.0)</f>
        <v>0</v>
      </c>
      <c r="Q877" s="348">
        <f>IFERROR(__xludf.DUMMYFUNCTION("""COMPUTED_VALUE"""),0.0)</f>
        <v>0</v>
      </c>
      <c r="R877" s="355" t="str">
        <f>IFERROR(__xludf.DUMMYFUNCTION("""COMPUTED_VALUE""")," Cash Proyek ")</f>
        <v>Cash Proyek</v>
      </c>
      <c r="S877" s="350"/>
      <c r="T877" s="262"/>
      <c r="U877" s="351"/>
      <c r="V877" s="262"/>
      <c r="W877" s="262"/>
      <c r="X877" s="262"/>
      <c r="Y877" s="262"/>
      <c r="Z877" s="262"/>
      <c r="AA877" s="262"/>
      <c r="AB877" s="262"/>
      <c r="AC877" s="262"/>
      <c r="AD877" s="262"/>
      <c r="AE877" s="262"/>
      <c r="AF877" s="262"/>
      <c r="AG877" s="264"/>
      <c r="AH877" s="264"/>
      <c r="AI877" s="264"/>
      <c r="AJ877" s="264"/>
      <c r="AK877" s="264"/>
      <c r="AL877" s="264"/>
      <c r="AM877" s="264"/>
      <c r="AN877" s="264"/>
    </row>
    <row r="878" ht="15.75" customHeight="1">
      <c r="A878" s="262"/>
      <c r="B878" s="338">
        <f>IFERROR(__xludf.DUMMYFUNCTION("""COMPUTED_VALUE"""),1359.0)</f>
        <v>1359</v>
      </c>
      <c r="C878" s="354"/>
      <c r="D878" s="340" t="str">
        <f>IFERROR(__xludf.DUMMYFUNCTION("""COMPUTED_VALUE"""),"")</f>
        <v/>
      </c>
      <c r="E878" s="341">
        <f>IFERROR(__xludf.DUMMYFUNCTION("""COMPUTED_VALUE"""),0.0)</f>
        <v>0</v>
      </c>
      <c r="F878" s="352"/>
      <c r="G878" s="343"/>
      <c r="H878" s="344">
        <f>IFERROR(__xludf.DUMMYFUNCTION("""COMPUTED_VALUE"""),0.0)</f>
        <v>0</v>
      </c>
      <c r="I878" s="353"/>
      <c r="J878" s="353"/>
      <c r="K878" s="346">
        <f>IFERROR(__xludf.DUMMYFUNCTION("""COMPUTED_VALUE"""),0.0)</f>
        <v>0</v>
      </c>
      <c r="L878" s="347">
        <f>IFERROR(__xludf.DUMMYFUNCTION("""COMPUTED_VALUE"""),0.0)</f>
        <v>0</v>
      </c>
      <c r="M878" s="348">
        <f>IFERROR(__xludf.DUMMYFUNCTION("""COMPUTED_VALUE"""),0.0)</f>
        <v>0</v>
      </c>
      <c r="N878" s="348">
        <f>IFERROR(__xludf.DUMMYFUNCTION("""COMPUTED_VALUE"""),0.0)</f>
        <v>0</v>
      </c>
      <c r="O878" s="348">
        <f>IFERROR(__xludf.DUMMYFUNCTION("""COMPUTED_VALUE"""),0.0)</f>
        <v>0</v>
      </c>
      <c r="P878" s="348">
        <f>IFERROR(__xludf.DUMMYFUNCTION("""COMPUTED_VALUE"""),0.0)</f>
        <v>0</v>
      </c>
      <c r="Q878" s="348">
        <f>IFERROR(__xludf.DUMMYFUNCTION("""COMPUTED_VALUE"""),0.0)</f>
        <v>0</v>
      </c>
      <c r="R878" s="355" t="str">
        <f>IFERROR(__xludf.DUMMYFUNCTION("""COMPUTED_VALUE""")," Cash Proyek ")</f>
        <v>Cash Proyek</v>
      </c>
      <c r="S878" s="350"/>
      <c r="T878" s="262"/>
      <c r="U878" s="351"/>
      <c r="V878" s="262"/>
      <c r="W878" s="262"/>
      <c r="X878" s="262"/>
      <c r="Y878" s="262"/>
      <c r="Z878" s="262"/>
      <c r="AA878" s="262"/>
      <c r="AB878" s="262"/>
      <c r="AC878" s="262"/>
      <c r="AD878" s="262"/>
      <c r="AE878" s="262"/>
      <c r="AF878" s="262"/>
      <c r="AG878" s="264"/>
      <c r="AH878" s="264"/>
      <c r="AI878" s="264"/>
      <c r="AJ878" s="264"/>
      <c r="AK878" s="264"/>
      <c r="AL878" s="264"/>
      <c r="AM878" s="264"/>
      <c r="AN878" s="264"/>
    </row>
    <row r="879" ht="15.75" customHeight="1">
      <c r="A879" s="262"/>
      <c r="B879" s="338">
        <f>IFERROR(__xludf.DUMMYFUNCTION("""COMPUTED_VALUE"""),1360.0)</f>
        <v>1360</v>
      </c>
      <c r="C879" s="354"/>
      <c r="D879" s="340" t="str">
        <f>IFERROR(__xludf.DUMMYFUNCTION("""COMPUTED_VALUE"""),"")</f>
        <v/>
      </c>
      <c r="E879" s="341">
        <f>IFERROR(__xludf.DUMMYFUNCTION("""COMPUTED_VALUE"""),0.0)</f>
        <v>0</v>
      </c>
      <c r="F879" s="352"/>
      <c r="G879" s="343"/>
      <c r="H879" s="344">
        <f>IFERROR(__xludf.DUMMYFUNCTION("""COMPUTED_VALUE"""),0.0)</f>
        <v>0</v>
      </c>
      <c r="I879" s="353"/>
      <c r="J879" s="353"/>
      <c r="K879" s="346">
        <f>IFERROR(__xludf.DUMMYFUNCTION("""COMPUTED_VALUE"""),0.0)</f>
        <v>0</v>
      </c>
      <c r="L879" s="347">
        <f>IFERROR(__xludf.DUMMYFUNCTION("""COMPUTED_VALUE"""),0.0)</f>
        <v>0</v>
      </c>
      <c r="M879" s="348">
        <f>IFERROR(__xludf.DUMMYFUNCTION("""COMPUTED_VALUE"""),0.0)</f>
        <v>0</v>
      </c>
      <c r="N879" s="348">
        <f>IFERROR(__xludf.DUMMYFUNCTION("""COMPUTED_VALUE"""),0.0)</f>
        <v>0</v>
      </c>
      <c r="O879" s="348">
        <f>IFERROR(__xludf.DUMMYFUNCTION("""COMPUTED_VALUE"""),0.0)</f>
        <v>0</v>
      </c>
      <c r="P879" s="348">
        <f>IFERROR(__xludf.DUMMYFUNCTION("""COMPUTED_VALUE"""),0.0)</f>
        <v>0</v>
      </c>
      <c r="Q879" s="348">
        <f>IFERROR(__xludf.DUMMYFUNCTION("""COMPUTED_VALUE"""),0.0)</f>
        <v>0</v>
      </c>
      <c r="R879" s="355" t="str">
        <f>IFERROR(__xludf.DUMMYFUNCTION("""COMPUTED_VALUE""")," Cash Proyek ")</f>
        <v>Cash Proyek</v>
      </c>
      <c r="S879" s="350"/>
      <c r="T879" s="262"/>
      <c r="U879" s="351"/>
      <c r="V879" s="262"/>
      <c r="W879" s="262"/>
      <c r="X879" s="262"/>
      <c r="Y879" s="262"/>
      <c r="Z879" s="262"/>
      <c r="AA879" s="262"/>
      <c r="AB879" s="262"/>
      <c r="AC879" s="262"/>
      <c r="AD879" s="262"/>
      <c r="AE879" s="262"/>
      <c r="AF879" s="262"/>
      <c r="AG879" s="264"/>
      <c r="AH879" s="264"/>
      <c r="AI879" s="264"/>
      <c r="AJ879" s="264"/>
      <c r="AK879" s="264"/>
      <c r="AL879" s="264"/>
      <c r="AM879" s="264"/>
      <c r="AN879" s="264"/>
    </row>
    <row r="880" ht="15.75" customHeight="1">
      <c r="A880" s="262"/>
      <c r="B880" s="338">
        <f>IFERROR(__xludf.DUMMYFUNCTION("""COMPUTED_VALUE"""),1361.0)</f>
        <v>1361</v>
      </c>
      <c r="C880" s="354"/>
      <c r="D880" s="340" t="str">
        <f>IFERROR(__xludf.DUMMYFUNCTION("""COMPUTED_VALUE"""),"")</f>
        <v/>
      </c>
      <c r="E880" s="341">
        <f>IFERROR(__xludf.DUMMYFUNCTION("""COMPUTED_VALUE"""),0.0)</f>
        <v>0</v>
      </c>
      <c r="F880" s="352"/>
      <c r="G880" s="343"/>
      <c r="H880" s="344">
        <f>IFERROR(__xludf.DUMMYFUNCTION("""COMPUTED_VALUE"""),0.0)</f>
        <v>0</v>
      </c>
      <c r="I880" s="353"/>
      <c r="J880" s="353"/>
      <c r="K880" s="346">
        <f>IFERROR(__xludf.DUMMYFUNCTION("""COMPUTED_VALUE"""),0.0)</f>
        <v>0</v>
      </c>
      <c r="L880" s="347">
        <f>IFERROR(__xludf.DUMMYFUNCTION("""COMPUTED_VALUE"""),0.0)</f>
        <v>0</v>
      </c>
      <c r="M880" s="348">
        <f>IFERROR(__xludf.DUMMYFUNCTION("""COMPUTED_VALUE"""),0.0)</f>
        <v>0</v>
      </c>
      <c r="N880" s="348">
        <f>IFERROR(__xludf.DUMMYFUNCTION("""COMPUTED_VALUE"""),0.0)</f>
        <v>0</v>
      </c>
      <c r="O880" s="348">
        <f>IFERROR(__xludf.DUMMYFUNCTION("""COMPUTED_VALUE"""),0.0)</f>
        <v>0</v>
      </c>
      <c r="P880" s="348">
        <f>IFERROR(__xludf.DUMMYFUNCTION("""COMPUTED_VALUE"""),0.0)</f>
        <v>0</v>
      </c>
      <c r="Q880" s="348">
        <f>IFERROR(__xludf.DUMMYFUNCTION("""COMPUTED_VALUE"""),0.0)</f>
        <v>0</v>
      </c>
      <c r="R880" s="355" t="str">
        <f>IFERROR(__xludf.DUMMYFUNCTION("""COMPUTED_VALUE""")," Cash Proyek ")</f>
        <v>Cash Proyek</v>
      </c>
      <c r="S880" s="350"/>
      <c r="T880" s="262"/>
      <c r="U880" s="351"/>
      <c r="V880" s="262"/>
      <c r="W880" s="262"/>
      <c r="X880" s="262"/>
      <c r="Y880" s="262"/>
      <c r="Z880" s="262"/>
      <c r="AA880" s="262"/>
      <c r="AB880" s="262"/>
      <c r="AC880" s="262"/>
      <c r="AD880" s="262"/>
      <c r="AE880" s="262"/>
      <c r="AF880" s="262"/>
      <c r="AG880" s="264"/>
      <c r="AH880" s="264"/>
      <c r="AI880" s="264"/>
      <c r="AJ880" s="264"/>
      <c r="AK880" s="264"/>
      <c r="AL880" s="264"/>
      <c r="AM880" s="264"/>
      <c r="AN880" s="264"/>
    </row>
    <row r="881" ht="15.75" customHeight="1">
      <c r="A881" s="262"/>
      <c r="B881" s="338">
        <f>IFERROR(__xludf.DUMMYFUNCTION("""COMPUTED_VALUE"""),1362.0)</f>
        <v>1362</v>
      </c>
      <c r="C881" s="354"/>
      <c r="D881" s="340" t="str">
        <f>IFERROR(__xludf.DUMMYFUNCTION("""COMPUTED_VALUE"""),"")</f>
        <v/>
      </c>
      <c r="E881" s="341">
        <f>IFERROR(__xludf.DUMMYFUNCTION("""COMPUTED_VALUE"""),0.0)</f>
        <v>0</v>
      </c>
      <c r="F881" s="352"/>
      <c r="G881" s="343"/>
      <c r="H881" s="344">
        <f>IFERROR(__xludf.DUMMYFUNCTION("""COMPUTED_VALUE"""),0.0)</f>
        <v>0</v>
      </c>
      <c r="I881" s="353"/>
      <c r="J881" s="353"/>
      <c r="K881" s="346">
        <f>IFERROR(__xludf.DUMMYFUNCTION("""COMPUTED_VALUE"""),0.0)</f>
        <v>0</v>
      </c>
      <c r="L881" s="347">
        <f>IFERROR(__xludf.DUMMYFUNCTION("""COMPUTED_VALUE"""),0.0)</f>
        <v>0</v>
      </c>
      <c r="M881" s="348">
        <f>IFERROR(__xludf.DUMMYFUNCTION("""COMPUTED_VALUE"""),0.0)</f>
        <v>0</v>
      </c>
      <c r="N881" s="348">
        <f>IFERROR(__xludf.DUMMYFUNCTION("""COMPUTED_VALUE"""),0.0)</f>
        <v>0</v>
      </c>
      <c r="O881" s="348">
        <f>IFERROR(__xludf.DUMMYFUNCTION("""COMPUTED_VALUE"""),0.0)</f>
        <v>0</v>
      </c>
      <c r="P881" s="348">
        <f>IFERROR(__xludf.DUMMYFUNCTION("""COMPUTED_VALUE"""),0.0)</f>
        <v>0</v>
      </c>
      <c r="Q881" s="348">
        <f>IFERROR(__xludf.DUMMYFUNCTION("""COMPUTED_VALUE"""),0.0)</f>
        <v>0</v>
      </c>
      <c r="R881" s="355" t="str">
        <f>IFERROR(__xludf.DUMMYFUNCTION("""COMPUTED_VALUE""")," Cash Proyek ")</f>
        <v>Cash Proyek</v>
      </c>
      <c r="S881" s="350"/>
      <c r="T881" s="262"/>
      <c r="U881" s="351"/>
      <c r="V881" s="262"/>
      <c r="W881" s="262"/>
      <c r="X881" s="262"/>
      <c r="Y881" s="262"/>
      <c r="Z881" s="262"/>
      <c r="AA881" s="262"/>
      <c r="AB881" s="262"/>
      <c r="AC881" s="262"/>
      <c r="AD881" s="262"/>
      <c r="AE881" s="262"/>
      <c r="AF881" s="262"/>
      <c r="AG881" s="264"/>
      <c r="AH881" s="264"/>
      <c r="AI881" s="264"/>
      <c r="AJ881" s="264"/>
      <c r="AK881" s="264"/>
      <c r="AL881" s="264"/>
      <c r="AM881" s="264"/>
      <c r="AN881" s="264"/>
    </row>
    <row r="882" ht="15.75" customHeight="1">
      <c r="A882" s="262"/>
      <c r="B882" s="338">
        <f>IFERROR(__xludf.DUMMYFUNCTION("""COMPUTED_VALUE"""),1363.0)</f>
        <v>1363</v>
      </c>
      <c r="C882" s="354"/>
      <c r="D882" s="340" t="str">
        <f>IFERROR(__xludf.DUMMYFUNCTION("""COMPUTED_VALUE"""),"")</f>
        <v/>
      </c>
      <c r="E882" s="341">
        <f>IFERROR(__xludf.DUMMYFUNCTION("""COMPUTED_VALUE"""),0.0)</f>
        <v>0</v>
      </c>
      <c r="F882" s="352"/>
      <c r="G882" s="343"/>
      <c r="H882" s="344">
        <f>IFERROR(__xludf.DUMMYFUNCTION("""COMPUTED_VALUE"""),0.0)</f>
        <v>0</v>
      </c>
      <c r="I882" s="353"/>
      <c r="J882" s="353"/>
      <c r="K882" s="346">
        <f>IFERROR(__xludf.DUMMYFUNCTION("""COMPUTED_VALUE"""),0.0)</f>
        <v>0</v>
      </c>
      <c r="L882" s="347">
        <f>IFERROR(__xludf.DUMMYFUNCTION("""COMPUTED_VALUE"""),0.0)</f>
        <v>0</v>
      </c>
      <c r="M882" s="348">
        <f>IFERROR(__xludf.DUMMYFUNCTION("""COMPUTED_VALUE"""),0.0)</f>
        <v>0</v>
      </c>
      <c r="N882" s="348">
        <f>IFERROR(__xludf.DUMMYFUNCTION("""COMPUTED_VALUE"""),0.0)</f>
        <v>0</v>
      </c>
      <c r="O882" s="348">
        <f>IFERROR(__xludf.DUMMYFUNCTION("""COMPUTED_VALUE"""),0.0)</f>
        <v>0</v>
      </c>
      <c r="P882" s="348">
        <f>IFERROR(__xludf.DUMMYFUNCTION("""COMPUTED_VALUE"""),0.0)</f>
        <v>0</v>
      </c>
      <c r="Q882" s="348">
        <f>IFERROR(__xludf.DUMMYFUNCTION("""COMPUTED_VALUE"""),0.0)</f>
        <v>0</v>
      </c>
      <c r="R882" s="355" t="str">
        <f>IFERROR(__xludf.DUMMYFUNCTION("""COMPUTED_VALUE""")," Cash Proyek ")</f>
        <v>Cash Proyek</v>
      </c>
      <c r="S882" s="350"/>
      <c r="T882" s="262"/>
      <c r="U882" s="351"/>
      <c r="V882" s="262"/>
      <c r="W882" s="262"/>
      <c r="X882" s="262"/>
      <c r="Y882" s="262"/>
      <c r="Z882" s="262"/>
      <c r="AA882" s="262"/>
      <c r="AB882" s="262"/>
      <c r="AC882" s="262"/>
      <c r="AD882" s="262"/>
      <c r="AE882" s="262"/>
      <c r="AF882" s="262"/>
      <c r="AG882" s="264"/>
      <c r="AH882" s="264"/>
      <c r="AI882" s="264"/>
      <c r="AJ882" s="264"/>
      <c r="AK882" s="264"/>
      <c r="AL882" s="264"/>
      <c r="AM882" s="264"/>
      <c r="AN882" s="264"/>
    </row>
    <row r="883" ht="15.75" customHeight="1">
      <c r="A883" s="262"/>
      <c r="B883" s="338">
        <f>IFERROR(__xludf.DUMMYFUNCTION("""COMPUTED_VALUE"""),1364.0)</f>
        <v>1364</v>
      </c>
      <c r="C883" s="354"/>
      <c r="D883" s="340" t="str">
        <f>IFERROR(__xludf.DUMMYFUNCTION("""COMPUTED_VALUE"""),"")</f>
        <v/>
      </c>
      <c r="E883" s="341">
        <f>IFERROR(__xludf.DUMMYFUNCTION("""COMPUTED_VALUE"""),0.0)</f>
        <v>0</v>
      </c>
      <c r="F883" s="352"/>
      <c r="G883" s="343"/>
      <c r="H883" s="344">
        <f>IFERROR(__xludf.DUMMYFUNCTION("""COMPUTED_VALUE"""),0.0)</f>
        <v>0</v>
      </c>
      <c r="I883" s="353"/>
      <c r="J883" s="353"/>
      <c r="K883" s="346">
        <f>IFERROR(__xludf.DUMMYFUNCTION("""COMPUTED_VALUE"""),0.0)</f>
        <v>0</v>
      </c>
      <c r="L883" s="347">
        <f>IFERROR(__xludf.DUMMYFUNCTION("""COMPUTED_VALUE"""),0.0)</f>
        <v>0</v>
      </c>
      <c r="M883" s="348">
        <f>IFERROR(__xludf.DUMMYFUNCTION("""COMPUTED_VALUE"""),0.0)</f>
        <v>0</v>
      </c>
      <c r="N883" s="348">
        <f>IFERROR(__xludf.DUMMYFUNCTION("""COMPUTED_VALUE"""),0.0)</f>
        <v>0</v>
      </c>
      <c r="O883" s="348">
        <f>IFERROR(__xludf.DUMMYFUNCTION("""COMPUTED_VALUE"""),0.0)</f>
        <v>0</v>
      </c>
      <c r="P883" s="348">
        <f>IFERROR(__xludf.DUMMYFUNCTION("""COMPUTED_VALUE"""),0.0)</f>
        <v>0</v>
      </c>
      <c r="Q883" s="348">
        <f>IFERROR(__xludf.DUMMYFUNCTION("""COMPUTED_VALUE"""),0.0)</f>
        <v>0</v>
      </c>
      <c r="R883" s="355" t="str">
        <f>IFERROR(__xludf.DUMMYFUNCTION("""COMPUTED_VALUE""")," Cash Proyek ")</f>
        <v>Cash Proyek</v>
      </c>
      <c r="S883" s="350"/>
      <c r="T883" s="262"/>
      <c r="U883" s="351"/>
      <c r="V883" s="262"/>
      <c r="W883" s="262"/>
      <c r="X883" s="262"/>
      <c r="Y883" s="262"/>
      <c r="Z883" s="262"/>
      <c r="AA883" s="262"/>
      <c r="AB883" s="262"/>
      <c r="AC883" s="262"/>
      <c r="AD883" s="262"/>
      <c r="AE883" s="262"/>
      <c r="AF883" s="262"/>
      <c r="AG883" s="264"/>
      <c r="AH883" s="264"/>
      <c r="AI883" s="264"/>
      <c r="AJ883" s="264"/>
      <c r="AK883" s="264"/>
      <c r="AL883" s="264"/>
      <c r="AM883" s="264"/>
      <c r="AN883" s="264"/>
    </row>
    <row r="884" ht="15.75" customHeight="1">
      <c r="A884" s="262"/>
      <c r="B884" s="338">
        <f>IFERROR(__xludf.DUMMYFUNCTION("""COMPUTED_VALUE"""),1365.0)</f>
        <v>1365</v>
      </c>
      <c r="C884" s="354"/>
      <c r="D884" s="340" t="str">
        <f>IFERROR(__xludf.DUMMYFUNCTION("""COMPUTED_VALUE"""),"")</f>
        <v/>
      </c>
      <c r="E884" s="341">
        <f>IFERROR(__xludf.DUMMYFUNCTION("""COMPUTED_VALUE"""),0.0)</f>
        <v>0</v>
      </c>
      <c r="F884" s="352"/>
      <c r="G884" s="343"/>
      <c r="H884" s="344">
        <f>IFERROR(__xludf.DUMMYFUNCTION("""COMPUTED_VALUE"""),0.0)</f>
        <v>0</v>
      </c>
      <c r="I884" s="353"/>
      <c r="J884" s="353"/>
      <c r="K884" s="346">
        <f>IFERROR(__xludf.DUMMYFUNCTION("""COMPUTED_VALUE"""),0.0)</f>
        <v>0</v>
      </c>
      <c r="L884" s="347">
        <f>IFERROR(__xludf.DUMMYFUNCTION("""COMPUTED_VALUE"""),0.0)</f>
        <v>0</v>
      </c>
      <c r="M884" s="348">
        <f>IFERROR(__xludf.DUMMYFUNCTION("""COMPUTED_VALUE"""),0.0)</f>
        <v>0</v>
      </c>
      <c r="N884" s="348">
        <f>IFERROR(__xludf.DUMMYFUNCTION("""COMPUTED_VALUE"""),0.0)</f>
        <v>0</v>
      </c>
      <c r="O884" s="348">
        <f>IFERROR(__xludf.DUMMYFUNCTION("""COMPUTED_VALUE"""),0.0)</f>
        <v>0</v>
      </c>
      <c r="P884" s="348">
        <f>IFERROR(__xludf.DUMMYFUNCTION("""COMPUTED_VALUE"""),0.0)</f>
        <v>0</v>
      </c>
      <c r="Q884" s="348">
        <f>IFERROR(__xludf.DUMMYFUNCTION("""COMPUTED_VALUE"""),0.0)</f>
        <v>0</v>
      </c>
      <c r="R884" s="355" t="str">
        <f>IFERROR(__xludf.DUMMYFUNCTION("""COMPUTED_VALUE""")," Cash Proyek ")</f>
        <v>Cash Proyek</v>
      </c>
      <c r="S884" s="350"/>
      <c r="T884" s="262"/>
      <c r="U884" s="351"/>
      <c r="V884" s="262"/>
      <c r="W884" s="262"/>
      <c r="X884" s="262"/>
      <c r="Y884" s="262"/>
      <c r="Z884" s="262"/>
      <c r="AA884" s="262"/>
      <c r="AB884" s="262"/>
      <c r="AC884" s="262"/>
      <c r="AD884" s="262"/>
      <c r="AE884" s="262"/>
      <c r="AF884" s="262"/>
      <c r="AG884" s="264"/>
      <c r="AH884" s="264"/>
      <c r="AI884" s="264"/>
      <c r="AJ884" s="264"/>
      <c r="AK884" s="264"/>
      <c r="AL884" s="264"/>
      <c r="AM884" s="264"/>
      <c r="AN884" s="264"/>
    </row>
    <row r="885" ht="15.75" customHeight="1">
      <c r="A885" s="262"/>
      <c r="B885" s="338">
        <f>IFERROR(__xludf.DUMMYFUNCTION("""COMPUTED_VALUE"""),1366.0)</f>
        <v>1366</v>
      </c>
      <c r="C885" s="354"/>
      <c r="D885" s="340" t="str">
        <f>IFERROR(__xludf.DUMMYFUNCTION("""COMPUTED_VALUE"""),"")</f>
        <v/>
      </c>
      <c r="E885" s="341">
        <f>IFERROR(__xludf.DUMMYFUNCTION("""COMPUTED_VALUE"""),0.0)</f>
        <v>0</v>
      </c>
      <c r="F885" s="352"/>
      <c r="G885" s="343"/>
      <c r="H885" s="344">
        <f>IFERROR(__xludf.DUMMYFUNCTION("""COMPUTED_VALUE"""),0.0)</f>
        <v>0</v>
      </c>
      <c r="I885" s="353"/>
      <c r="J885" s="353"/>
      <c r="K885" s="346">
        <f>IFERROR(__xludf.DUMMYFUNCTION("""COMPUTED_VALUE"""),0.0)</f>
        <v>0</v>
      </c>
      <c r="L885" s="347">
        <f>IFERROR(__xludf.DUMMYFUNCTION("""COMPUTED_VALUE"""),0.0)</f>
        <v>0</v>
      </c>
      <c r="M885" s="348">
        <f>IFERROR(__xludf.DUMMYFUNCTION("""COMPUTED_VALUE"""),0.0)</f>
        <v>0</v>
      </c>
      <c r="N885" s="348">
        <f>IFERROR(__xludf.DUMMYFUNCTION("""COMPUTED_VALUE"""),0.0)</f>
        <v>0</v>
      </c>
      <c r="O885" s="348">
        <f>IFERROR(__xludf.DUMMYFUNCTION("""COMPUTED_VALUE"""),0.0)</f>
        <v>0</v>
      </c>
      <c r="P885" s="348">
        <f>IFERROR(__xludf.DUMMYFUNCTION("""COMPUTED_VALUE"""),0.0)</f>
        <v>0</v>
      </c>
      <c r="Q885" s="348">
        <f>IFERROR(__xludf.DUMMYFUNCTION("""COMPUTED_VALUE"""),0.0)</f>
        <v>0</v>
      </c>
      <c r="R885" s="355" t="str">
        <f>IFERROR(__xludf.DUMMYFUNCTION("""COMPUTED_VALUE""")," Cash Proyek ")</f>
        <v>Cash Proyek</v>
      </c>
      <c r="S885" s="350"/>
      <c r="T885" s="262"/>
      <c r="U885" s="351"/>
      <c r="V885" s="262"/>
      <c r="W885" s="262"/>
      <c r="X885" s="262"/>
      <c r="Y885" s="262"/>
      <c r="Z885" s="262"/>
      <c r="AA885" s="262"/>
      <c r="AB885" s="262"/>
      <c r="AC885" s="262"/>
      <c r="AD885" s="262"/>
      <c r="AE885" s="262"/>
      <c r="AF885" s="262"/>
      <c r="AG885" s="264"/>
      <c r="AH885" s="264"/>
      <c r="AI885" s="264"/>
      <c r="AJ885" s="264"/>
      <c r="AK885" s="264"/>
      <c r="AL885" s="264"/>
      <c r="AM885" s="264"/>
      <c r="AN885" s="264"/>
    </row>
    <row r="886" ht="15.75" customHeight="1">
      <c r="A886" s="262"/>
      <c r="B886" s="338">
        <f>IFERROR(__xludf.DUMMYFUNCTION("""COMPUTED_VALUE"""),1367.0)</f>
        <v>1367</v>
      </c>
      <c r="C886" s="354"/>
      <c r="D886" s="340" t="str">
        <f>IFERROR(__xludf.DUMMYFUNCTION("""COMPUTED_VALUE"""),"")</f>
        <v/>
      </c>
      <c r="E886" s="341">
        <f>IFERROR(__xludf.DUMMYFUNCTION("""COMPUTED_VALUE"""),0.0)</f>
        <v>0</v>
      </c>
      <c r="F886" s="352"/>
      <c r="G886" s="343"/>
      <c r="H886" s="344">
        <f>IFERROR(__xludf.DUMMYFUNCTION("""COMPUTED_VALUE"""),0.0)</f>
        <v>0</v>
      </c>
      <c r="I886" s="353"/>
      <c r="J886" s="353"/>
      <c r="K886" s="346">
        <f>IFERROR(__xludf.DUMMYFUNCTION("""COMPUTED_VALUE"""),0.0)</f>
        <v>0</v>
      </c>
      <c r="L886" s="347">
        <f>IFERROR(__xludf.DUMMYFUNCTION("""COMPUTED_VALUE"""),0.0)</f>
        <v>0</v>
      </c>
      <c r="M886" s="348">
        <f>IFERROR(__xludf.DUMMYFUNCTION("""COMPUTED_VALUE"""),0.0)</f>
        <v>0</v>
      </c>
      <c r="N886" s="348">
        <f>IFERROR(__xludf.DUMMYFUNCTION("""COMPUTED_VALUE"""),0.0)</f>
        <v>0</v>
      </c>
      <c r="O886" s="348">
        <f>IFERROR(__xludf.DUMMYFUNCTION("""COMPUTED_VALUE"""),0.0)</f>
        <v>0</v>
      </c>
      <c r="P886" s="348">
        <f>IFERROR(__xludf.DUMMYFUNCTION("""COMPUTED_VALUE"""),0.0)</f>
        <v>0</v>
      </c>
      <c r="Q886" s="348">
        <f>IFERROR(__xludf.DUMMYFUNCTION("""COMPUTED_VALUE"""),0.0)</f>
        <v>0</v>
      </c>
      <c r="R886" s="355" t="str">
        <f>IFERROR(__xludf.DUMMYFUNCTION("""COMPUTED_VALUE""")," Cash Proyek ")</f>
        <v>Cash Proyek</v>
      </c>
      <c r="S886" s="350"/>
      <c r="T886" s="262"/>
      <c r="U886" s="351"/>
      <c r="V886" s="262"/>
      <c r="W886" s="262"/>
      <c r="X886" s="262"/>
      <c r="Y886" s="262"/>
      <c r="Z886" s="262"/>
      <c r="AA886" s="262"/>
      <c r="AB886" s="262"/>
      <c r="AC886" s="262"/>
      <c r="AD886" s="262"/>
      <c r="AE886" s="262"/>
      <c r="AF886" s="262"/>
      <c r="AG886" s="264"/>
      <c r="AH886" s="264"/>
      <c r="AI886" s="264"/>
      <c r="AJ886" s="264"/>
      <c r="AK886" s="264"/>
      <c r="AL886" s="264"/>
      <c r="AM886" s="264"/>
      <c r="AN886" s="264"/>
    </row>
    <row r="887" ht="15.75" customHeight="1">
      <c r="A887" s="262"/>
      <c r="B887" s="338">
        <f>IFERROR(__xludf.DUMMYFUNCTION("""COMPUTED_VALUE"""),1368.0)</f>
        <v>1368</v>
      </c>
      <c r="C887" s="354"/>
      <c r="D887" s="340" t="str">
        <f>IFERROR(__xludf.DUMMYFUNCTION("""COMPUTED_VALUE"""),"")</f>
        <v/>
      </c>
      <c r="E887" s="341">
        <f>IFERROR(__xludf.DUMMYFUNCTION("""COMPUTED_VALUE"""),0.0)</f>
        <v>0</v>
      </c>
      <c r="F887" s="352"/>
      <c r="G887" s="343"/>
      <c r="H887" s="344">
        <f>IFERROR(__xludf.DUMMYFUNCTION("""COMPUTED_VALUE"""),0.0)</f>
        <v>0</v>
      </c>
      <c r="I887" s="353"/>
      <c r="J887" s="353"/>
      <c r="K887" s="346">
        <f>IFERROR(__xludf.DUMMYFUNCTION("""COMPUTED_VALUE"""),0.0)</f>
        <v>0</v>
      </c>
      <c r="L887" s="347">
        <f>IFERROR(__xludf.DUMMYFUNCTION("""COMPUTED_VALUE"""),0.0)</f>
        <v>0</v>
      </c>
      <c r="M887" s="348">
        <f>IFERROR(__xludf.DUMMYFUNCTION("""COMPUTED_VALUE"""),0.0)</f>
        <v>0</v>
      </c>
      <c r="N887" s="348">
        <f>IFERROR(__xludf.DUMMYFUNCTION("""COMPUTED_VALUE"""),0.0)</f>
        <v>0</v>
      </c>
      <c r="O887" s="348">
        <f>IFERROR(__xludf.DUMMYFUNCTION("""COMPUTED_VALUE"""),0.0)</f>
        <v>0</v>
      </c>
      <c r="P887" s="348">
        <f>IFERROR(__xludf.DUMMYFUNCTION("""COMPUTED_VALUE"""),0.0)</f>
        <v>0</v>
      </c>
      <c r="Q887" s="348">
        <f>IFERROR(__xludf.DUMMYFUNCTION("""COMPUTED_VALUE"""),0.0)</f>
        <v>0</v>
      </c>
      <c r="R887" s="355" t="str">
        <f>IFERROR(__xludf.DUMMYFUNCTION("""COMPUTED_VALUE""")," Cash Proyek ")</f>
        <v>Cash Proyek</v>
      </c>
      <c r="S887" s="350"/>
      <c r="T887" s="262"/>
      <c r="U887" s="351"/>
      <c r="V887" s="262"/>
      <c r="W887" s="262"/>
      <c r="X887" s="262"/>
      <c r="Y887" s="262"/>
      <c r="Z887" s="262"/>
      <c r="AA887" s="262"/>
      <c r="AB887" s="262"/>
      <c r="AC887" s="262"/>
      <c r="AD887" s="262"/>
      <c r="AE887" s="262"/>
      <c r="AF887" s="262"/>
      <c r="AG887" s="264"/>
      <c r="AH887" s="264"/>
      <c r="AI887" s="264"/>
      <c r="AJ887" s="264"/>
      <c r="AK887" s="264"/>
      <c r="AL887" s="264"/>
      <c r="AM887" s="264"/>
      <c r="AN887" s="264"/>
    </row>
    <row r="888" ht="15.75" customHeight="1">
      <c r="A888" s="262"/>
      <c r="B888" s="338">
        <f>IFERROR(__xludf.DUMMYFUNCTION("""COMPUTED_VALUE"""),1369.0)</f>
        <v>1369</v>
      </c>
      <c r="C888" s="354"/>
      <c r="D888" s="340" t="str">
        <f>IFERROR(__xludf.DUMMYFUNCTION("""COMPUTED_VALUE"""),"")</f>
        <v/>
      </c>
      <c r="E888" s="341">
        <f>IFERROR(__xludf.DUMMYFUNCTION("""COMPUTED_VALUE"""),0.0)</f>
        <v>0</v>
      </c>
      <c r="F888" s="352"/>
      <c r="G888" s="343"/>
      <c r="H888" s="344">
        <f>IFERROR(__xludf.DUMMYFUNCTION("""COMPUTED_VALUE"""),0.0)</f>
        <v>0</v>
      </c>
      <c r="I888" s="353"/>
      <c r="J888" s="353"/>
      <c r="K888" s="346">
        <f>IFERROR(__xludf.DUMMYFUNCTION("""COMPUTED_VALUE"""),0.0)</f>
        <v>0</v>
      </c>
      <c r="L888" s="347">
        <f>IFERROR(__xludf.DUMMYFUNCTION("""COMPUTED_VALUE"""),0.0)</f>
        <v>0</v>
      </c>
      <c r="M888" s="348">
        <f>IFERROR(__xludf.DUMMYFUNCTION("""COMPUTED_VALUE"""),0.0)</f>
        <v>0</v>
      </c>
      <c r="N888" s="348">
        <f>IFERROR(__xludf.DUMMYFUNCTION("""COMPUTED_VALUE"""),0.0)</f>
        <v>0</v>
      </c>
      <c r="O888" s="348">
        <f>IFERROR(__xludf.DUMMYFUNCTION("""COMPUTED_VALUE"""),0.0)</f>
        <v>0</v>
      </c>
      <c r="P888" s="348">
        <f>IFERROR(__xludf.DUMMYFUNCTION("""COMPUTED_VALUE"""),0.0)</f>
        <v>0</v>
      </c>
      <c r="Q888" s="348">
        <f>IFERROR(__xludf.DUMMYFUNCTION("""COMPUTED_VALUE"""),0.0)</f>
        <v>0</v>
      </c>
      <c r="R888" s="355" t="str">
        <f>IFERROR(__xludf.DUMMYFUNCTION("""COMPUTED_VALUE""")," Cash Proyek ")</f>
        <v>Cash Proyek</v>
      </c>
      <c r="S888" s="350"/>
      <c r="T888" s="262"/>
      <c r="U888" s="351"/>
      <c r="V888" s="262"/>
      <c r="W888" s="262"/>
      <c r="X888" s="262"/>
      <c r="Y888" s="262"/>
      <c r="Z888" s="262"/>
      <c r="AA888" s="262"/>
      <c r="AB888" s="262"/>
      <c r="AC888" s="262"/>
      <c r="AD888" s="262"/>
      <c r="AE888" s="262"/>
      <c r="AF888" s="262"/>
      <c r="AG888" s="264"/>
      <c r="AH888" s="264"/>
      <c r="AI888" s="264"/>
      <c r="AJ888" s="264"/>
      <c r="AK888" s="264"/>
      <c r="AL888" s="264"/>
      <c r="AM888" s="264"/>
      <c r="AN888" s="264"/>
    </row>
    <row r="889" ht="15.75" customHeight="1">
      <c r="A889" s="262"/>
      <c r="B889" s="338">
        <f>IFERROR(__xludf.DUMMYFUNCTION("""COMPUTED_VALUE"""),1370.0)</f>
        <v>1370</v>
      </c>
      <c r="C889" s="354"/>
      <c r="D889" s="340" t="str">
        <f>IFERROR(__xludf.DUMMYFUNCTION("""COMPUTED_VALUE"""),"")</f>
        <v/>
      </c>
      <c r="E889" s="341">
        <f>IFERROR(__xludf.DUMMYFUNCTION("""COMPUTED_VALUE"""),0.0)</f>
        <v>0</v>
      </c>
      <c r="F889" s="352"/>
      <c r="G889" s="343"/>
      <c r="H889" s="344">
        <f>IFERROR(__xludf.DUMMYFUNCTION("""COMPUTED_VALUE"""),0.0)</f>
        <v>0</v>
      </c>
      <c r="I889" s="353"/>
      <c r="J889" s="353"/>
      <c r="K889" s="346">
        <f>IFERROR(__xludf.DUMMYFUNCTION("""COMPUTED_VALUE"""),0.0)</f>
        <v>0</v>
      </c>
      <c r="L889" s="347">
        <f>IFERROR(__xludf.DUMMYFUNCTION("""COMPUTED_VALUE"""),0.0)</f>
        <v>0</v>
      </c>
      <c r="M889" s="348">
        <f>IFERROR(__xludf.DUMMYFUNCTION("""COMPUTED_VALUE"""),0.0)</f>
        <v>0</v>
      </c>
      <c r="N889" s="348">
        <f>IFERROR(__xludf.DUMMYFUNCTION("""COMPUTED_VALUE"""),0.0)</f>
        <v>0</v>
      </c>
      <c r="O889" s="348">
        <f>IFERROR(__xludf.DUMMYFUNCTION("""COMPUTED_VALUE"""),0.0)</f>
        <v>0</v>
      </c>
      <c r="P889" s="348">
        <f>IFERROR(__xludf.DUMMYFUNCTION("""COMPUTED_VALUE"""),0.0)</f>
        <v>0</v>
      </c>
      <c r="Q889" s="348">
        <f>IFERROR(__xludf.DUMMYFUNCTION("""COMPUTED_VALUE"""),0.0)</f>
        <v>0</v>
      </c>
      <c r="R889" s="355" t="str">
        <f>IFERROR(__xludf.DUMMYFUNCTION("""COMPUTED_VALUE""")," Cash Proyek ")</f>
        <v>Cash Proyek</v>
      </c>
      <c r="S889" s="350"/>
      <c r="T889" s="262"/>
      <c r="U889" s="351"/>
      <c r="V889" s="262"/>
      <c r="W889" s="262"/>
      <c r="X889" s="262"/>
      <c r="Y889" s="262"/>
      <c r="Z889" s="262"/>
      <c r="AA889" s="262"/>
      <c r="AB889" s="262"/>
      <c r="AC889" s="262"/>
      <c r="AD889" s="262"/>
      <c r="AE889" s="262"/>
      <c r="AF889" s="262"/>
      <c r="AG889" s="264"/>
      <c r="AH889" s="264"/>
      <c r="AI889" s="264"/>
      <c r="AJ889" s="264"/>
      <c r="AK889" s="264"/>
      <c r="AL889" s="264"/>
      <c r="AM889" s="264"/>
      <c r="AN889" s="264"/>
    </row>
    <row r="890" ht="15.75" customHeight="1">
      <c r="A890" s="262"/>
      <c r="B890" s="338">
        <f>IFERROR(__xludf.DUMMYFUNCTION("""COMPUTED_VALUE"""),1371.0)</f>
        <v>1371</v>
      </c>
      <c r="C890" s="354"/>
      <c r="D890" s="340" t="str">
        <f>IFERROR(__xludf.DUMMYFUNCTION("""COMPUTED_VALUE"""),"")</f>
        <v/>
      </c>
      <c r="E890" s="341">
        <f>IFERROR(__xludf.DUMMYFUNCTION("""COMPUTED_VALUE"""),0.0)</f>
        <v>0</v>
      </c>
      <c r="F890" s="352"/>
      <c r="G890" s="343"/>
      <c r="H890" s="344">
        <f>IFERROR(__xludf.DUMMYFUNCTION("""COMPUTED_VALUE"""),0.0)</f>
        <v>0</v>
      </c>
      <c r="I890" s="353"/>
      <c r="J890" s="353"/>
      <c r="K890" s="346">
        <f>IFERROR(__xludf.DUMMYFUNCTION("""COMPUTED_VALUE"""),0.0)</f>
        <v>0</v>
      </c>
      <c r="L890" s="347">
        <f>IFERROR(__xludf.DUMMYFUNCTION("""COMPUTED_VALUE"""),0.0)</f>
        <v>0</v>
      </c>
      <c r="M890" s="348">
        <f>IFERROR(__xludf.DUMMYFUNCTION("""COMPUTED_VALUE"""),0.0)</f>
        <v>0</v>
      </c>
      <c r="N890" s="348">
        <f>IFERROR(__xludf.DUMMYFUNCTION("""COMPUTED_VALUE"""),0.0)</f>
        <v>0</v>
      </c>
      <c r="O890" s="348">
        <f>IFERROR(__xludf.DUMMYFUNCTION("""COMPUTED_VALUE"""),0.0)</f>
        <v>0</v>
      </c>
      <c r="P890" s="348">
        <f>IFERROR(__xludf.DUMMYFUNCTION("""COMPUTED_VALUE"""),0.0)</f>
        <v>0</v>
      </c>
      <c r="Q890" s="348">
        <f>IFERROR(__xludf.DUMMYFUNCTION("""COMPUTED_VALUE"""),0.0)</f>
        <v>0</v>
      </c>
      <c r="R890" s="355" t="str">
        <f>IFERROR(__xludf.DUMMYFUNCTION("""COMPUTED_VALUE""")," Cash Proyek ")</f>
        <v>Cash Proyek</v>
      </c>
      <c r="S890" s="350"/>
      <c r="T890" s="262"/>
      <c r="U890" s="351"/>
      <c r="V890" s="262"/>
      <c r="W890" s="262"/>
      <c r="X890" s="262"/>
      <c r="Y890" s="262"/>
      <c r="Z890" s="262"/>
      <c r="AA890" s="262"/>
      <c r="AB890" s="262"/>
      <c r="AC890" s="262"/>
      <c r="AD890" s="262"/>
      <c r="AE890" s="262"/>
      <c r="AF890" s="262"/>
      <c r="AG890" s="264"/>
      <c r="AH890" s="264"/>
      <c r="AI890" s="264"/>
      <c r="AJ890" s="264"/>
      <c r="AK890" s="264"/>
      <c r="AL890" s="264"/>
      <c r="AM890" s="264"/>
      <c r="AN890" s="264"/>
    </row>
    <row r="891" ht="15.75" customHeight="1">
      <c r="A891" s="262"/>
      <c r="B891" s="338">
        <f>IFERROR(__xludf.DUMMYFUNCTION("""COMPUTED_VALUE"""),1372.0)</f>
        <v>1372</v>
      </c>
      <c r="C891" s="354"/>
      <c r="D891" s="340" t="str">
        <f>IFERROR(__xludf.DUMMYFUNCTION("""COMPUTED_VALUE"""),"")</f>
        <v/>
      </c>
      <c r="E891" s="341">
        <f>IFERROR(__xludf.DUMMYFUNCTION("""COMPUTED_VALUE"""),0.0)</f>
        <v>0</v>
      </c>
      <c r="F891" s="352"/>
      <c r="G891" s="343"/>
      <c r="H891" s="344">
        <f>IFERROR(__xludf.DUMMYFUNCTION("""COMPUTED_VALUE"""),0.0)</f>
        <v>0</v>
      </c>
      <c r="I891" s="353"/>
      <c r="J891" s="353"/>
      <c r="K891" s="346">
        <f>IFERROR(__xludf.DUMMYFUNCTION("""COMPUTED_VALUE"""),0.0)</f>
        <v>0</v>
      </c>
      <c r="L891" s="347">
        <f>IFERROR(__xludf.DUMMYFUNCTION("""COMPUTED_VALUE"""),0.0)</f>
        <v>0</v>
      </c>
      <c r="M891" s="348">
        <f>IFERROR(__xludf.DUMMYFUNCTION("""COMPUTED_VALUE"""),0.0)</f>
        <v>0</v>
      </c>
      <c r="N891" s="348">
        <f>IFERROR(__xludf.DUMMYFUNCTION("""COMPUTED_VALUE"""),0.0)</f>
        <v>0</v>
      </c>
      <c r="O891" s="348">
        <f>IFERROR(__xludf.DUMMYFUNCTION("""COMPUTED_VALUE"""),0.0)</f>
        <v>0</v>
      </c>
      <c r="P891" s="348">
        <f>IFERROR(__xludf.DUMMYFUNCTION("""COMPUTED_VALUE"""),0.0)</f>
        <v>0</v>
      </c>
      <c r="Q891" s="348">
        <f>IFERROR(__xludf.DUMMYFUNCTION("""COMPUTED_VALUE"""),0.0)</f>
        <v>0</v>
      </c>
      <c r="R891" s="355" t="str">
        <f>IFERROR(__xludf.DUMMYFUNCTION("""COMPUTED_VALUE""")," Cash Proyek ")</f>
        <v>Cash Proyek</v>
      </c>
      <c r="S891" s="350"/>
      <c r="T891" s="262"/>
      <c r="U891" s="351"/>
      <c r="V891" s="262"/>
      <c r="W891" s="262"/>
      <c r="X891" s="262"/>
      <c r="Y891" s="262"/>
      <c r="Z891" s="262"/>
      <c r="AA891" s="262"/>
      <c r="AB891" s="262"/>
      <c r="AC891" s="262"/>
      <c r="AD891" s="262"/>
      <c r="AE891" s="262"/>
      <c r="AF891" s="262"/>
      <c r="AG891" s="264"/>
      <c r="AH891" s="264"/>
      <c r="AI891" s="264"/>
      <c r="AJ891" s="264"/>
      <c r="AK891" s="264"/>
      <c r="AL891" s="264"/>
      <c r="AM891" s="264"/>
      <c r="AN891" s="264"/>
    </row>
    <row r="892" ht="15.75" customHeight="1">
      <c r="A892" s="262"/>
      <c r="B892" s="338">
        <f>IFERROR(__xludf.DUMMYFUNCTION("""COMPUTED_VALUE"""),1373.0)</f>
        <v>1373</v>
      </c>
      <c r="C892" s="354"/>
      <c r="D892" s="340" t="str">
        <f>IFERROR(__xludf.DUMMYFUNCTION("""COMPUTED_VALUE"""),"")</f>
        <v/>
      </c>
      <c r="E892" s="341">
        <f>IFERROR(__xludf.DUMMYFUNCTION("""COMPUTED_VALUE"""),0.0)</f>
        <v>0</v>
      </c>
      <c r="F892" s="352"/>
      <c r="G892" s="343"/>
      <c r="H892" s="344">
        <f>IFERROR(__xludf.DUMMYFUNCTION("""COMPUTED_VALUE"""),0.0)</f>
        <v>0</v>
      </c>
      <c r="I892" s="353"/>
      <c r="J892" s="353"/>
      <c r="K892" s="346">
        <f>IFERROR(__xludf.DUMMYFUNCTION("""COMPUTED_VALUE"""),0.0)</f>
        <v>0</v>
      </c>
      <c r="L892" s="347">
        <f>IFERROR(__xludf.DUMMYFUNCTION("""COMPUTED_VALUE"""),0.0)</f>
        <v>0</v>
      </c>
      <c r="M892" s="348">
        <f>IFERROR(__xludf.DUMMYFUNCTION("""COMPUTED_VALUE"""),0.0)</f>
        <v>0</v>
      </c>
      <c r="N892" s="348">
        <f>IFERROR(__xludf.DUMMYFUNCTION("""COMPUTED_VALUE"""),0.0)</f>
        <v>0</v>
      </c>
      <c r="O892" s="348">
        <f>IFERROR(__xludf.DUMMYFUNCTION("""COMPUTED_VALUE"""),0.0)</f>
        <v>0</v>
      </c>
      <c r="P892" s="348">
        <f>IFERROR(__xludf.DUMMYFUNCTION("""COMPUTED_VALUE"""),0.0)</f>
        <v>0</v>
      </c>
      <c r="Q892" s="348">
        <f>IFERROR(__xludf.DUMMYFUNCTION("""COMPUTED_VALUE"""),0.0)</f>
        <v>0</v>
      </c>
      <c r="R892" s="355" t="str">
        <f>IFERROR(__xludf.DUMMYFUNCTION("""COMPUTED_VALUE""")," Cash Proyek ")</f>
        <v>Cash Proyek</v>
      </c>
      <c r="S892" s="350"/>
      <c r="T892" s="262"/>
      <c r="U892" s="351"/>
      <c r="V892" s="262"/>
      <c r="W892" s="262"/>
      <c r="X892" s="262"/>
      <c r="Y892" s="262"/>
      <c r="Z892" s="262"/>
      <c r="AA892" s="262"/>
      <c r="AB892" s="262"/>
      <c r="AC892" s="262"/>
      <c r="AD892" s="262"/>
      <c r="AE892" s="262"/>
      <c r="AF892" s="262"/>
      <c r="AG892" s="264"/>
      <c r="AH892" s="264"/>
      <c r="AI892" s="264"/>
      <c r="AJ892" s="264"/>
      <c r="AK892" s="264"/>
      <c r="AL892" s="264"/>
      <c r="AM892" s="264"/>
      <c r="AN892" s="264"/>
    </row>
    <row r="893" ht="15.75" customHeight="1">
      <c r="A893" s="262"/>
      <c r="B893" s="338">
        <f>IFERROR(__xludf.DUMMYFUNCTION("""COMPUTED_VALUE"""),1374.0)</f>
        <v>1374</v>
      </c>
      <c r="C893" s="354"/>
      <c r="D893" s="340" t="str">
        <f>IFERROR(__xludf.DUMMYFUNCTION("""COMPUTED_VALUE"""),"")</f>
        <v/>
      </c>
      <c r="E893" s="341">
        <f>IFERROR(__xludf.DUMMYFUNCTION("""COMPUTED_VALUE"""),0.0)</f>
        <v>0</v>
      </c>
      <c r="F893" s="352"/>
      <c r="G893" s="343"/>
      <c r="H893" s="344">
        <f>IFERROR(__xludf.DUMMYFUNCTION("""COMPUTED_VALUE"""),0.0)</f>
        <v>0</v>
      </c>
      <c r="I893" s="353"/>
      <c r="J893" s="353"/>
      <c r="K893" s="346">
        <f>IFERROR(__xludf.DUMMYFUNCTION("""COMPUTED_VALUE"""),0.0)</f>
        <v>0</v>
      </c>
      <c r="L893" s="347">
        <f>IFERROR(__xludf.DUMMYFUNCTION("""COMPUTED_VALUE"""),0.0)</f>
        <v>0</v>
      </c>
      <c r="M893" s="348">
        <f>IFERROR(__xludf.DUMMYFUNCTION("""COMPUTED_VALUE"""),0.0)</f>
        <v>0</v>
      </c>
      <c r="N893" s="348">
        <f>IFERROR(__xludf.DUMMYFUNCTION("""COMPUTED_VALUE"""),0.0)</f>
        <v>0</v>
      </c>
      <c r="O893" s="348">
        <f>IFERROR(__xludf.DUMMYFUNCTION("""COMPUTED_VALUE"""),0.0)</f>
        <v>0</v>
      </c>
      <c r="P893" s="348">
        <f>IFERROR(__xludf.DUMMYFUNCTION("""COMPUTED_VALUE"""),0.0)</f>
        <v>0</v>
      </c>
      <c r="Q893" s="348">
        <f>IFERROR(__xludf.DUMMYFUNCTION("""COMPUTED_VALUE"""),0.0)</f>
        <v>0</v>
      </c>
      <c r="R893" s="355" t="str">
        <f>IFERROR(__xludf.DUMMYFUNCTION("""COMPUTED_VALUE""")," Cash Proyek ")</f>
        <v>Cash Proyek</v>
      </c>
      <c r="S893" s="350"/>
      <c r="T893" s="262"/>
      <c r="U893" s="351"/>
      <c r="V893" s="262"/>
      <c r="W893" s="262"/>
      <c r="X893" s="262"/>
      <c r="Y893" s="262"/>
      <c r="Z893" s="262"/>
      <c r="AA893" s="262"/>
      <c r="AB893" s="262"/>
      <c r="AC893" s="262"/>
      <c r="AD893" s="262"/>
      <c r="AE893" s="262"/>
      <c r="AF893" s="262"/>
      <c r="AG893" s="264"/>
      <c r="AH893" s="264"/>
      <c r="AI893" s="264"/>
      <c r="AJ893" s="264"/>
      <c r="AK893" s="264"/>
      <c r="AL893" s="264"/>
      <c r="AM893" s="264"/>
      <c r="AN893" s="264"/>
    </row>
    <row r="894" ht="15.75" customHeight="1">
      <c r="A894" s="262"/>
      <c r="B894" s="338">
        <f>IFERROR(__xludf.DUMMYFUNCTION("""COMPUTED_VALUE"""),1375.0)</f>
        <v>1375</v>
      </c>
      <c r="C894" s="354"/>
      <c r="D894" s="340" t="str">
        <f>IFERROR(__xludf.DUMMYFUNCTION("""COMPUTED_VALUE"""),"")</f>
        <v/>
      </c>
      <c r="E894" s="341">
        <f>IFERROR(__xludf.DUMMYFUNCTION("""COMPUTED_VALUE"""),0.0)</f>
        <v>0</v>
      </c>
      <c r="F894" s="352"/>
      <c r="G894" s="343"/>
      <c r="H894" s="344">
        <f>IFERROR(__xludf.DUMMYFUNCTION("""COMPUTED_VALUE"""),0.0)</f>
        <v>0</v>
      </c>
      <c r="I894" s="353"/>
      <c r="J894" s="353"/>
      <c r="K894" s="346">
        <f>IFERROR(__xludf.DUMMYFUNCTION("""COMPUTED_VALUE"""),0.0)</f>
        <v>0</v>
      </c>
      <c r="L894" s="347">
        <f>IFERROR(__xludf.DUMMYFUNCTION("""COMPUTED_VALUE"""),0.0)</f>
        <v>0</v>
      </c>
      <c r="M894" s="348">
        <f>IFERROR(__xludf.DUMMYFUNCTION("""COMPUTED_VALUE"""),0.0)</f>
        <v>0</v>
      </c>
      <c r="N894" s="348">
        <f>IFERROR(__xludf.DUMMYFUNCTION("""COMPUTED_VALUE"""),0.0)</f>
        <v>0</v>
      </c>
      <c r="O894" s="348">
        <f>IFERROR(__xludf.DUMMYFUNCTION("""COMPUTED_VALUE"""),0.0)</f>
        <v>0</v>
      </c>
      <c r="P894" s="348">
        <f>IFERROR(__xludf.DUMMYFUNCTION("""COMPUTED_VALUE"""),0.0)</f>
        <v>0</v>
      </c>
      <c r="Q894" s="348">
        <f>IFERROR(__xludf.DUMMYFUNCTION("""COMPUTED_VALUE"""),0.0)</f>
        <v>0</v>
      </c>
      <c r="R894" s="355" t="str">
        <f>IFERROR(__xludf.DUMMYFUNCTION("""COMPUTED_VALUE""")," Cash Proyek ")</f>
        <v>Cash Proyek</v>
      </c>
      <c r="S894" s="350"/>
      <c r="T894" s="262"/>
      <c r="U894" s="351"/>
      <c r="V894" s="262"/>
      <c r="W894" s="262"/>
      <c r="X894" s="262"/>
      <c r="Y894" s="262"/>
      <c r="Z894" s="262"/>
      <c r="AA894" s="262"/>
      <c r="AB894" s="262"/>
      <c r="AC894" s="262"/>
      <c r="AD894" s="262"/>
      <c r="AE894" s="262"/>
      <c r="AF894" s="262"/>
      <c r="AG894" s="264"/>
      <c r="AH894" s="264"/>
      <c r="AI894" s="264"/>
      <c r="AJ894" s="264"/>
      <c r="AK894" s="264"/>
      <c r="AL894" s="264"/>
      <c r="AM894" s="264"/>
      <c r="AN894" s="264"/>
    </row>
    <row r="895" ht="15.75" customHeight="1">
      <c r="A895" s="262"/>
      <c r="B895" s="338">
        <f>IFERROR(__xludf.DUMMYFUNCTION("""COMPUTED_VALUE"""),1376.0)</f>
        <v>1376</v>
      </c>
      <c r="C895" s="354"/>
      <c r="D895" s="340" t="str">
        <f>IFERROR(__xludf.DUMMYFUNCTION("""COMPUTED_VALUE"""),"")</f>
        <v/>
      </c>
      <c r="E895" s="341">
        <f>IFERROR(__xludf.DUMMYFUNCTION("""COMPUTED_VALUE"""),0.0)</f>
        <v>0</v>
      </c>
      <c r="F895" s="352"/>
      <c r="G895" s="343"/>
      <c r="H895" s="344">
        <f>IFERROR(__xludf.DUMMYFUNCTION("""COMPUTED_VALUE"""),0.0)</f>
        <v>0</v>
      </c>
      <c r="I895" s="353"/>
      <c r="J895" s="353"/>
      <c r="K895" s="346">
        <f>IFERROR(__xludf.DUMMYFUNCTION("""COMPUTED_VALUE"""),0.0)</f>
        <v>0</v>
      </c>
      <c r="L895" s="347">
        <f>IFERROR(__xludf.DUMMYFUNCTION("""COMPUTED_VALUE"""),0.0)</f>
        <v>0</v>
      </c>
      <c r="M895" s="348">
        <f>IFERROR(__xludf.DUMMYFUNCTION("""COMPUTED_VALUE"""),0.0)</f>
        <v>0</v>
      </c>
      <c r="N895" s="348">
        <f>IFERROR(__xludf.DUMMYFUNCTION("""COMPUTED_VALUE"""),0.0)</f>
        <v>0</v>
      </c>
      <c r="O895" s="348">
        <f>IFERROR(__xludf.DUMMYFUNCTION("""COMPUTED_VALUE"""),0.0)</f>
        <v>0</v>
      </c>
      <c r="P895" s="348">
        <f>IFERROR(__xludf.DUMMYFUNCTION("""COMPUTED_VALUE"""),0.0)</f>
        <v>0</v>
      </c>
      <c r="Q895" s="348">
        <f>IFERROR(__xludf.DUMMYFUNCTION("""COMPUTED_VALUE"""),0.0)</f>
        <v>0</v>
      </c>
      <c r="R895" s="355" t="str">
        <f>IFERROR(__xludf.DUMMYFUNCTION("""COMPUTED_VALUE""")," Cash Proyek ")</f>
        <v>Cash Proyek</v>
      </c>
      <c r="S895" s="350"/>
      <c r="T895" s="262"/>
      <c r="U895" s="351"/>
      <c r="V895" s="262"/>
      <c r="W895" s="262"/>
      <c r="X895" s="262"/>
      <c r="Y895" s="262"/>
      <c r="Z895" s="262"/>
      <c r="AA895" s="262"/>
      <c r="AB895" s="262"/>
      <c r="AC895" s="262"/>
      <c r="AD895" s="262"/>
      <c r="AE895" s="262"/>
      <c r="AF895" s="262"/>
      <c r="AG895" s="264"/>
      <c r="AH895" s="264"/>
      <c r="AI895" s="264"/>
      <c r="AJ895" s="264"/>
      <c r="AK895" s="264"/>
      <c r="AL895" s="264"/>
      <c r="AM895" s="264"/>
      <c r="AN895" s="264"/>
    </row>
    <row r="896" ht="15.75" customHeight="1">
      <c r="A896" s="262"/>
      <c r="B896" s="338">
        <f>IFERROR(__xludf.DUMMYFUNCTION("""COMPUTED_VALUE"""),1377.0)</f>
        <v>1377</v>
      </c>
      <c r="C896" s="354"/>
      <c r="D896" s="340" t="str">
        <f>IFERROR(__xludf.DUMMYFUNCTION("""COMPUTED_VALUE"""),"")</f>
        <v/>
      </c>
      <c r="E896" s="341">
        <f>IFERROR(__xludf.DUMMYFUNCTION("""COMPUTED_VALUE"""),0.0)</f>
        <v>0</v>
      </c>
      <c r="F896" s="352"/>
      <c r="G896" s="343"/>
      <c r="H896" s="344">
        <f>IFERROR(__xludf.DUMMYFUNCTION("""COMPUTED_VALUE"""),0.0)</f>
        <v>0</v>
      </c>
      <c r="I896" s="353"/>
      <c r="J896" s="353"/>
      <c r="K896" s="346">
        <f>IFERROR(__xludf.DUMMYFUNCTION("""COMPUTED_VALUE"""),0.0)</f>
        <v>0</v>
      </c>
      <c r="L896" s="347">
        <f>IFERROR(__xludf.DUMMYFUNCTION("""COMPUTED_VALUE"""),0.0)</f>
        <v>0</v>
      </c>
      <c r="M896" s="348">
        <f>IFERROR(__xludf.DUMMYFUNCTION("""COMPUTED_VALUE"""),0.0)</f>
        <v>0</v>
      </c>
      <c r="N896" s="348">
        <f>IFERROR(__xludf.DUMMYFUNCTION("""COMPUTED_VALUE"""),0.0)</f>
        <v>0</v>
      </c>
      <c r="O896" s="348">
        <f>IFERROR(__xludf.DUMMYFUNCTION("""COMPUTED_VALUE"""),0.0)</f>
        <v>0</v>
      </c>
      <c r="P896" s="348">
        <f>IFERROR(__xludf.DUMMYFUNCTION("""COMPUTED_VALUE"""),0.0)</f>
        <v>0</v>
      </c>
      <c r="Q896" s="348">
        <f>IFERROR(__xludf.DUMMYFUNCTION("""COMPUTED_VALUE"""),0.0)</f>
        <v>0</v>
      </c>
      <c r="R896" s="355" t="str">
        <f>IFERROR(__xludf.DUMMYFUNCTION("""COMPUTED_VALUE""")," Cash Proyek ")</f>
        <v>Cash Proyek</v>
      </c>
      <c r="S896" s="350"/>
      <c r="T896" s="262"/>
      <c r="U896" s="351"/>
      <c r="V896" s="262"/>
      <c r="W896" s="262"/>
      <c r="X896" s="262"/>
      <c r="Y896" s="262"/>
      <c r="Z896" s="262"/>
      <c r="AA896" s="262"/>
      <c r="AB896" s="262"/>
      <c r="AC896" s="262"/>
      <c r="AD896" s="262"/>
      <c r="AE896" s="262"/>
      <c r="AF896" s="262"/>
      <c r="AG896" s="264"/>
      <c r="AH896" s="264"/>
      <c r="AI896" s="264"/>
      <c r="AJ896" s="264"/>
      <c r="AK896" s="264"/>
      <c r="AL896" s="264"/>
      <c r="AM896" s="264"/>
      <c r="AN896" s="264"/>
    </row>
    <row r="897" ht="15.75" customHeight="1">
      <c r="A897" s="262"/>
      <c r="B897" s="338">
        <f>IFERROR(__xludf.DUMMYFUNCTION("""COMPUTED_VALUE"""),1378.0)</f>
        <v>1378</v>
      </c>
      <c r="C897" s="354"/>
      <c r="D897" s="340" t="str">
        <f>IFERROR(__xludf.DUMMYFUNCTION("""COMPUTED_VALUE"""),"")</f>
        <v/>
      </c>
      <c r="E897" s="341">
        <f>IFERROR(__xludf.DUMMYFUNCTION("""COMPUTED_VALUE"""),0.0)</f>
        <v>0</v>
      </c>
      <c r="F897" s="352"/>
      <c r="G897" s="343"/>
      <c r="H897" s="344">
        <f>IFERROR(__xludf.DUMMYFUNCTION("""COMPUTED_VALUE"""),0.0)</f>
        <v>0</v>
      </c>
      <c r="I897" s="353"/>
      <c r="J897" s="353"/>
      <c r="K897" s="346">
        <f>IFERROR(__xludf.DUMMYFUNCTION("""COMPUTED_VALUE"""),0.0)</f>
        <v>0</v>
      </c>
      <c r="L897" s="347">
        <f>IFERROR(__xludf.DUMMYFUNCTION("""COMPUTED_VALUE"""),0.0)</f>
        <v>0</v>
      </c>
      <c r="M897" s="348">
        <f>IFERROR(__xludf.DUMMYFUNCTION("""COMPUTED_VALUE"""),0.0)</f>
        <v>0</v>
      </c>
      <c r="N897" s="348">
        <f>IFERROR(__xludf.DUMMYFUNCTION("""COMPUTED_VALUE"""),0.0)</f>
        <v>0</v>
      </c>
      <c r="O897" s="348">
        <f>IFERROR(__xludf.DUMMYFUNCTION("""COMPUTED_VALUE"""),0.0)</f>
        <v>0</v>
      </c>
      <c r="P897" s="348">
        <f>IFERROR(__xludf.DUMMYFUNCTION("""COMPUTED_VALUE"""),0.0)</f>
        <v>0</v>
      </c>
      <c r="Q897" s="348">
        <f>IFERROR(__xludf.DUMMYFUNCTION("""COMPUTED_VALUE"""),0.0)</f>
        <v>0</v>
      </c>
      <c r="R897" s="355" t="str">
        <f>IFERROR(__xludf.DUMMYFUNCTION("""COMPUTED_VALUE""")," Cash Proyek ")</f>
        <v>Cash Proyek</v>
      </c>
      <c r="S897" s="350"/>
      <c r="T897" s="262"/>
      <c r="U897" s="351"/>
      <c r="V897" s="262"/>
      <c r="W897" s="262"/>
      <c r="X897" s="262"/>
      <c r="Y897" s="262"/>
      <c r="Z897" s="262"/>
      <c r="AA897" s="262"/>
      <c r="AB897" s="262"/>
      <c r="AC897" s="262"/>
      <c r="AD897" s="262"/>
      <c r="AE897" s="262"/>
      <c r="AF897" s="262"/>
      <c r="AG897" s="264"/>
      <c r="AH897" s="264"/>
      <c r="AI897" s="264"/>
      <c r="AJ897" s="264"/>
      <c r="AK897" s="264"/>
      <c r="AL897" s="264"/>
      <c r="AM897" s="264"/>
      <c r="AN897" s="264"/>
    </row>
    <row r="898" ht="15.75" customHeight="1">
      <c r="A898" s="262"/>
      <c r="B898" s="338">
        <f>IFERROR(__xludf.DUMMYFUNCTION("""COMPUTED_VALUE"""),1379.0)</f>
        <v>1379</v>
      </c>
      <c r="C898" s="354"/>
      <c r="D898" s="340" t="str">
        <f>IFERROR(__xludf.DUMMYFUNCTION("""COMPUTED_VALUE"""),"")</f>
        <v/>
      </c>
      <c r="E898" s="341">
        <f>IFERROR(__xludf.DUMMYFUNCTION("""COMPUTED_VALUE"""),0.0)</f>
        <v>0</v>
      </c>
      <c r="F898" s="352"/>
      <c r="G898" s="343"/>
      <c r="H898" s="344">
        <f>IFERROR(__xludf.DUMMYFUNCTION("""COMPUTED_VALUE"""),0.0)</f>
        <v>0</v>
      </c>
      <c r="I898" s="353"/>
      <c r="J898" s="353"/>
      <c r="K898" s="346">
        <f>IFERROR(__xludf.DUMMYFUNCTION("""COMPUTED_VALUE"""),0.0)</f>
        <v>0</v>
      </c>
      <c r="L898" s="347">
        <f>IFERROR(__xludf.DUMMYFUNCTION("""COMPUTED_VALUE"""),0.0)</f>
        <v>0</v>
      </c>
      <c r="M898" s="348">
        <f>IFERROR(__xludf.DUMMYFUNCTION("""COMPUTED_VALUE"""),0.0)</f>
        <v>0</v>
      </c>
      <c r="N898" s="348">
        <f>IFERROR(__xludf.DUMMYFUNCTION("""COMPUTED_VALUE"""),0.0)</f>
        <v>0</v>
      </c>
      <c r="O898" s="348">
        <f>IFERROR(__xludf.DUMMYFUNCTION("""COMPUTED_VALUE"""),0.0)</f>
        <v>0</v>
      </c>
      <c r="P898" s="348">
        <f>IFERROR(__xludf.DUMMYFUNCTION("""COMPUTED_VALUE"""),0.0)</f>
        <v>0</v>
      </c>
      <c r="Q898" s="348">
        <f>IFERROR(__xludf.DUMMYFUNCTION("""COMPUTED_VALUE"""),0.0)</f>
        <v>0</v>
      </c>
      <c r="R898" s="355" t="str">
        <f>IFERROR(__xludf.DUMMYFUNCTION("""COMPUTED_VALUE""")," Cash Proyek ")</f>
        <v>Cash Proyek</v>
      </c>
      <c r="S898" s="350"/>
      <c r="T898" s="262"/>
      <c r="U898" s="351"/>
      <c r="V898" s="262"/>
      <c r="W898" s="262"/>
      <c r="X898" s="262"/>
      <c r="Y898" s="262"/>
      <c r="Z898" s="262"/>
      <c r="AA898" s="262"/>
      <c r="AB898" s="262"/>
      <c r="AC898" s="262"/>
      <c r="AD898" s="262"/>
      <c r="AE898" s="262"/>
      <c r="AF898" s="262"/>
      <c r="AG898" s="264"/>
      <c r="AH898" s="264"/>
      <c r="AI898" s="264"/>
      <c r="AJ898" s="264"/>
      <c r="AK898" s="264"/>
      <c r="AL898" s="264"/>
      <c r="AM898" s="264"/>
      <c r="AN898" s="264"/>
    </row>
    <row r="899" ht="15.75" customHeight="1">
      <c r="A899" s="262"/>
      <c r="B899" s="338">
        <f>IFERROR(__xludf.DUMMYFUNCTION("""COMPUTED_VALUE"""),1380.0)</f>
        <v>1380</v>
      </c>
      <c r="C899" s="354"/>
      <c r="D899" s="340" t="str">
        <f>IFERROR(__xludf.DUMMYFUNCTION("""COMPUTED_VALUE"""),"")</f>
        <v/>
      </c>
      <c r="E899" s="341">
        <f>IFERROR(__xludf.DUMMYFUNCTION("""COMPUTED_VALUE"""),0.0)</f>
        <v>0</v>
      </c>
      <c r="F899" s="352"/>
      <c r="G899" s="343"/>
      <c r="H899" s="344">
        <f>IFERROR(__xludf.DUMMYFUNCTION("""COMPUTED_VALUE"""),0.0)</f>
        <v>0</v>
      </c>
      <c r="I899" s="353"/>
      <c r="J899" s="353"/>
      <c r="K899" s="346">
        <f>IFERROR(__xludf.DUMMYFUNCTION("""COMPUTED_VALUE"""),0.0)</f>
        <v>0</v>
      </c>
      <c r="L899" s="347">
        <f>IFERROR(__xludf.DUMMYFUNCTION("""COMPUTED_VALUE"""),0.0)</f>
        <v>0</v>
      </c>
      <c r="M899" s="348">
        <f>IFERROR(__xludf.DUMMYFUNCTION("""COMPUTED_VALUE"""),0.0)</f>
        <v>0</v>
      </c>
      <c r="N899" s="348">
        <f>IFERROR(__xludf.DUMMYFUNCTION("""COMPUTED_VALUE"""),0.0)</f>
        <v>0</v>
      </c>
      <c r="O899" s="348">
        <f>IFERROR(__xludf.DUMMYFUNCTION("""COMPUTED_VALUE"""),0.0)</f>
        <v>0</v>
      </c>
      <c r="P899" s="348">
        <f>IFERROR(__xludf.DUMMYFUNCTION("""COMPUTED_VALUE"""),0.0)</f>
        <v>0</v>
      </c>
      <c r="Q899" s="348">
        <f>IFERROR(__xludf.DUMMYFUNCTION("""COMPUTED_VALUE"""),0.0)</f>
        <v>0</v>
      </c>
      <c r="R899" s="355" t="str">
        <f>IFERROR(__xludf.DUMMYFUNCTION("""COMPUTED_VALUE""")," Cash Proyek ")</f>
        <v>Cash Proyek</v>
      </c>
      <c r="S899" s="350"/>
      <c r="T899" s="262"/>
      <c r="U899" s="351"/>
      <c r="V899" s="262"/>
      <c r="W899" s="262"/>
      <c r="X899" s="262"/>
      <c r="Y899" s="262"/>
      <c r="Z899" s="262"/>
      <c r="AA899" s="262"/>
      <c r="AB899" s="262"/>
      <c r="AC899" s="262"/>
      <c r="AD899" s="262"/>
      <c r="AE899" s="262"/>
      <c r="AF899" s="262"/>
      <c r="AG899" s="264"/>
      <c r="AH899" s="264"/>
      <c r="AI899" s="264"/>
      <c r="AJ899" s="264"/>
      <c r="AK899" s="264"/>
      <c r="AL899" s="264"/>
      <c r="AM899" s="264"/>
      <c r="AN899" s="264"/>
    </row>
    <row r="900" ht="15.75" customHeight="1">
      <c r="A900" s="262"/>
      <c r="B900" s="338">
        <f>IFERROR(__xludf.DUMMYFUNCTION("""COMPUTED_VALUE"""),1381.0)</f>
        <v>1381</v>
      </c>
      <c r="C900" s="354"/>
      <c r="D900" s="340" t="str">
        <f>IFERROR(__xludf.DUMMYFUNCTION("""COMPUTED_VALUE"""),"")</f>
        <v/>
      </c>
      <c r="E900" s="341">
        <f>IFERROR(__xludf.DUMMYFUNCTION("""COMPUTED_VALUE"""),0.0)</f>
        <v>0</v>
      </c>
      <c r="F900" s="352"/>
      <c r="G900" s="343"/>
      <c r="H900" s="344">
        <f>IFERROR(__xludf.DUMMYFUNCTION("""COMPUTED_VALUE"""),0.0)</f>
        <v>0</v>
      </c>
      <c r="I900" s="353"/>
      <c r="J900" s="353"/>
      <c r="K900" s="346">
        <f>IFERROR(__xludf.DUMMYFUNCTION("""COMPUTED_VALUE"""),0.0)</f>
        <v>0</v>
      </c>
      <c r="L900" s="347">
        <f>IFERROR(__xludf.DUMMYFUNCTION("""COMPUTED_VALUE"""),0.0)</f>
        <v>0</v>
      </c>
      <c r="M900" s="348">
        <f>IFERROR(__xludf.DUMMYFUNCTION("""COMPUTED_VALUE"""),0.0)</f>
        <v>0</v>
      </c>
      <c r="N900" s="348">
        <f>IFERROR(__xludf.DUMMYFUNCTION("""COMPUTED_VALUE"""),0.0)</f>
        <v>0</v>
      </c>
      <c r="O900" s="348">
        <f>IFERROR(__xludf.DUMMYFUNCTION("""COMPUTED_VALUE"""),0.0)</f>
        <v>0</v>
      </c>
      <c r="P900" s="348">
        <f>IFERROR(__xludf.DUMMYFUNCTION("""COMPUTED_VALUE"""),0.0)</f>
        <v>0</v>
      </c>
      <c r="Q900" s="348">
        <f>IFERROR(__xludf.DUMMYFUNCTION("""COMPUTED_VALUE"""),0.0)</f>
        <v>0</v>
      </c>
      <c r="R900" s="355" t="str">
        <f>IFERROR(__xludf.DUMMYFUNCTION("""COMPUTED_VALUE""")," Cash Proyek ")</f>
        <v>Cash Proyek</v>
      </c>
      <c r="S900" s="350"/>
      <c r="T900" s="262"/>
      <c r="U900" s="351"/>
      <c r="V900" s="262"/>
      <c r="W900" s="262"/>
      <c r="X900" s="262"/>
      <c r="Y900" s="262"/>
      <c r="Z900" s="262"/>
      <c r="AA900" s="262"/>
      <c r="AB900" s="262"/>
      <c r="AC900" s="262"/>
      <c r="AD900" s="262"/>
      <c r="AE900" s="262"/>
      <c r="AF900" s="262"/>
      <c r="AG900" s="264"/>
      <c r="AH900" s="264"/>
      <c r="AI900" s="264"/>
      <c r="AJ900" s="264"/>
      <c r="AK900" s="264"/>
      <c r="AL900" s="264"/>
      <c r="AM900" s="264"/>
      <c r="AN900" s="264"/>
    </row>
    <row r="901" ht="15.75" customHeight="1">
      <c r="A901" s="262"/>
      <c r="B901" s="338">
        <f>IFERROR(__xludf.DUMMYFUNCTION("""COMPUTED_VALUE"""),1382.0)</f>
        <v>1382</v>
      </c>
      <c r="C901" s="354"/>
      <c r="D901" s="340" t="str">
        <f>IFERROR(__xludf.DUMMYFUNCTION("""COMPUTED_VALUE"""),"")</f>
        <v/>
      </c>
      <c r="E901" s="341">
        <f>IFERROR(__xludf.DUMMYFUNCTION("""COMPUTED_VALUE"""),0.0)</f>
        <v>0</v>
      </c>
      <c r="F901" s="352"/>
      <c r="G901" s="343"/>
      <c r="H901" s="344">
        <f>IFERROR(__xludf.DUMMYFUNCTION("""COMPUTED_VALUE"""),0.0)</f>
        <v>0</v>
      </c>
      <c r="I901" s="353"/>
      <c r="J901" s="353"/>
      <c r="K901" s="346">
        <f>IFERROR(__xludf.DUMMYFUNCTION("""COMPUTED_VALUE"""),0.0)</f>
        <v>0</v>
      </c>
      <c r="L901" s="347">
        <f>IFERROR(__xludf.DUMMYFUNCTION("""COMPUTED_VALUE"""),0.0)</f>
        <v>0</v>
      </c>
      <c r="M901" s="348">
        <f>IFERROR(__xludf.DUMMYFUNCTION("""COMPUTED_VALUE"""),0.0)</f>
        <v>0</v>
      </c>
      <c r="N901" s="348">
        <f>IFERROR(__xludf.DUMMYFUNCTION("""COMPUTED_VALUE"""),0.0)</f>
        <v>0</v>
      </c>
      <c r="O901" s="348">
        <f>IFERROR(__xludf.DUMMYFUNCTION("""COMPUTED_VALUE"""),0.0)</f>
        <v>0</v>
      </c>
      <c r="P901" s="348">
        <f>IFERROR(__xludf.DUMMYFUNCTION("""COMPUTED_VALUE"""),0.0)</f>
        <v>0</v>
      </c>
      <c r="Q901" s="348">
        <f>IFERROR(__xludf.DUMMYFUNCTION("""COMPUTED_VALUE"""),0.0)</f>
        <v>0</v>
      </c>
      <c r="R901" s="355" t="str">
        <f>IFERROR(__xludf.DUMMYFUNCTION("""COMPUTED_VALUE""")," Cash Proyek ")</f>
        <v>Cash Proyek</v>
      </c>
      <c r="S901" s="350"/>
      <c r="T901" s="262"/>
      <c r="U901" s="351"/>
      <c r="V901" s="262"/>
      <c r="W901" s="262"/>
      <c r="X901" s="262"/>
      <c r="Y901" s="262"/>
      <c r="Z901" s="262"/>
      <c r="AA901" s="262"/>
      <c r="AB901" s="262"/>
      <c r="AC901" s="262"/>
      <c r="AD901" s="262"/>
      <c r="AE901" s="262"/>
      <c r="AF901" s="262"/>
      <c r="AG901" s="264"/>
      <c r="AH901" s="264"/>
      <c r="AI901" s="264"/>
      <c r="AJ901" s="264"/>
      <c r="AK901" s="264"/>
      <c r="AL901" s="264"/>
      <c r="AM901" s="264"/>
      <c r="AN901" s="264"/>
    </row>
    <row r="902" ht="15.75" customHeight="1">
      <c r="A902" s="262"/>
      <c r="B902" s="338">
        <f>IFERROR(__xludf.DUMMYFUNCTION("""COMPUTED_VALUE"""),1383.0)</f>
        <v>1383</v>
      </c>
      <c r="C902" s="354"/>
      <c r="D902" s="340" t="str">
        <f>IFERROR(__xludf.DUMMYFUNCTION("""COMPUTED_VALUE"""),"")</f>
        <v/>
      </c>
      <c r="E902" s="341">
        <f>IFERROR(__xludf.DUMMYFUNCTION("""COMPUTED_VALUE"""),0.0)</f>
        <v>0</v>
      </c>
      <c r="F902" s="352"/>
      <c r="G902" s="343"/>
      <c r="H902" s="344">
        <f>IFERROR(__xludf.DUMMYFUNCTION("""COMPUTED_VALUE"""),0.0)</f>
        <v>0</v>
      </c>
      <c r="I902" s="353"/>
      <c r="J902" s="353"/>
      <c r="K902" s="346">
        <f>IFERROR(__xludf.DUMMYFUNCTION("""COMPUTED_VALUE"""),0.0)</f>
        <v>0</v>
      </c>
      <c r="L902" s="347">
        <f>IFERROR(__xludf.DUMMYFUNCTION("""COMPUTED_VALUE"""),0.0)</f>
        <v>0</v>
      </c>
      <c r="M902" s="348">
        <f>IFERROR(__xludf.DUMMYFUNCTION("""COMPUTED_VALUE"""),0.0)</f>
        <v>0</v>
      </c>
      <c r="N902" s="348">
        <f>IFERROR(__xludf.DUMMYFUNCTION("""COMPUTED_VALUE"""),0.0)</f>
        <v>0</v>
      </c>
      <c r="O902" s="348">
        <f>IFERROR(__xludf.DUMMYFUNCTION("""COMPUTED_VALUE"""),0.0)</f>
        <v>0</v>
      </c>
      <c r="P902" s="348">
        <f>IFERROR(__xludf.DUMMYFUNCTION("""COMPUTED_VALUE"""),0.0)</f>
        <v>0</v>
      </c>
      <c r="Q902" s="348">
        <f>IFERROR(__xludf.DUMMYFUNCTION("""COMPUTED_VALUE"""),0.0)</f>
        <v>0</v>
      </c>
      <c r="R902" s="355" t="str">
        <f>IFERROR(__xludf.DUMMYFUNCTION("""COMPUTED_VALUE""")," Cash Proyek ")</f>
        <v>Cash Proyek</v>
      </c>
      <c r="S902" s="350"/>
      <c r="T902" s="262"/>
      <c r="U902" s="351"/>
      <c r="V902" s="262"/>
      <c r="W902" s="262"/>
      <c r="X902" s="262"/>
      <c r="Y902" s="262"/>
      <c r="Z902" s="262"/>
      <c r="AA902" s="262"/>
      <c r="AB902" s="262"/>
      <c r="AC902" s="262"/>
      <c r="AD902" s="262"/>
      <c r="AE902" s="262"/>
      <c r="AF902" s="262"/>
      <c r="AG902" s="264"/>
      <c r="AH902" s="264"/>
      <c r="AI902" s="264"/>
      <c r="AJ902" s="264"/>
      <c r="AK902" s="264"/>
      <c r="AL902" s="264"/>
      <c r="AM902" s="264"/>
      <c r="AN902" s="264"/>
    </row>
    <row r="903" ht="15.75" customHeight="1">
      <c r="A903" s="262"/>
      <c r="B903" s="338">
        <f>IFERROR(__xludf.DUMMYFUNCTION("""COMPUTED_VALUE"""),1384.0)</f>
        <v>1384</v>
      </c>
      <c r="C903" s="354"/>
      <c r="D903" s="340" t="str">
        <f>IFERROR(__xludf.DUMMYFUNCTION("""COMPUTED_VALUE"""),"")</f>
        <v/>
      </c>
      <c r="E903" s="341">
        <f>IFERROR(__xludf.DUMMYFUNCTION("""COMPUTED_VALUE"""),0.0)</f>
        <v>0</v>
      </c>
      <c r="F903" s="352"/>
      <c r="G903" s="343"/>
      <c r="H903" s="344">
        <f>IFERROR(__xludf.DUMMYFUNCTION("""COMPUTED_VALUE"""),0.0)</f>
        <v>0</v>
      </c>
      <c r="I903" s="353"/>
      <c r="J903" s="353"/>
      <c r="K903" s="346">
        <f>IFERROR(__xludf.DUMMYFUNCTION("""COMPUTED_VALUE"""),0.0)</f>
        <v>0</v>
      </c>
      <c r="L903" s="347">
        <f>IFERROR(__xludf.DUMMYFUNCTION("""COMPUTED_VALUE"""),0.0)</f>
        <v>0</v>
      </c>
      <c r="M903" s="348">
        <f>IFERROR(__xludf.DUMMYFUNCTION("""COMPUTED_VALUE"""),0.0)</f>
        <v>0</v>
      </c>
      <c r="N903" s="348">
        <f>IFERROR(__xludf.DUMMYFUNCTION("""COMPUTED_VALUE"""),0.0)</f>
        <v>0</v>
      </c>
      <c r="O903" s="348">
        <f>IFERROR(__xludf.DUMMYFUNCTION("""COMPUTED_VALUE"""),0.0)</f>
        <v>0</v>
      </c>
      <c r="P903" s="348">
        <f>IFERROR(__xludf.DUMMYFUNCTION("""COMPUTED_VALUE"""),0.0)</f>
        <v>0</v>
      </c>
      <c r="Q903" s="348">
        <f>IFERROR(__xludf.DUMMYFUNCTION("""COMPUTED_VALUE"""),0.0)</f>
        <v>0</v>
      </c>
      <c r="R903" s="355" t="str">
        <f>IFERROR(__xludf.DUMMYFUNCTION("""COMPUTED_VALUE""")," Cash Proyek ")</f>
        <v>Cash Proyek</v>
      </c>
      <c r="S903" s="350"/>
      <c r="T903" s="262"/>
      <c r="U903" s="351"/>
      <c r="V903" s="262"/>
      <c r="W903" s="262"/>
      <c r="X903" s="262"/>
      <c r="Y903" s="262"/>
      <c r="Z903" s="262"/>
      <c r="AA903" s="262"/>
      <c r="AB903" s="262"/>
      <c r="AC903" s="262"/>
      <c r="AD903" s="262"/>
      <c r="AE903" s="262"/>
      <c r="AF903" s="262"/>
      <c r="AG903" s="264"/>
      <c r="AH903" s="264"/>
      <c r="AI903" s="264"/>
      <c r="AJ903" s="264"/>
      <c r="AK903" s="264"/>
      <c r="AL903" s="264"/>
      <c r="AM903" s="264"/>
      <c r="AN903" s="264"/>
    </row>
    <row r="904" ht="15.75" customHeight="1">
      <c r="A904" s="262"/>
      <c r="B904" s="338">
        <f>IFERROR(__xludf.DUMMYFUNCTION("""COMPUTED_VALUE"""),1385.0)</f>
        <v>1385</v>
      </c>
      <c r="C904" s="354"/>
      <c r="D904" s="340" t="str">
        <f>IFERROR(__xludf.DUMMYFUNCTION("""COMPUTED_VALUE"""),"")</f>
        <v/>
      </c>
      <c r="E904" s="341">
        <f>IFERROR(__xludf.DUMMYFUNCTION("""COMPUTED_VALUE"""),0.0)</f>
        <v>0</v>
      </c>
      <c r="F904" s="352"/>
      <c r="G904" s="343"/>
      <c r="H904" s="344">
        <f>IFERROR(__xludf.DUMMYFUNCTION("""COMPUTED_VALUE"""),0.0)</f>
        <v>0</v>
      </c>
      <c r="I904" s="353"/>
      <c r="J904" s="353"/>
      <c r="K904" s="346">
        <f>IFERROR(__xludf.DUMMYFUNCTION("""COMPUTED_VALUE"""),0.0)</f>
        <v>0</v>
      </c>
      <c r="L904" s="347">
        <f>IFERROR(__xludf.DUMMYFUNCTION("""COMPUTED_VALUE"""),0.0)</f>
        <v>0</v>
      </c>
      <c r="M904" s="348">
        <f>IFERROR(__xludf.DUMMYFUNCTION("""COMPUTED_VALUE"""),0.0)</f>
        <v>0</v>
      </c>
      <c r="N904" s="348">
        <f>IFERROR(__xludf.DUMMYFUNCTION("""COMPUTED_VALUE"""),0.0)</f>
        <v>0</v>
      </c>
      <c r="O904" s="348">
        <f>IFERROR(__xludf.DUMMYFUNCTION("""COMPUTED_VALUE"""),0.0)</f>
        <v>0</v>
      </c>
      <c r="P904" s="348">
        <f>IFERROR(__xludf.DUMMYFUNCTION("""COMPUTED_VALUE"""),0.0)</f>
        <v>0</v>
      </c>
      <c r="Q904" s="348">
        <f>IFERROR(__xludf.DUMMYFUNCTION("""COMPUTED_VALUE"""),0.0)</f>
        <v>0</v>
      </c>
      <c r="R904" s="355" t="str">
        <f>IFERROR(__xludf.DUMMYFUNCTION("""COMPUTED_VALUE""")," Cash Proyek ")</f>
        <v>Cash Proyek</v>
      </c>
      <c r="S904" s="350"/>
      <c r="T904" s="262"/>
      <c r="U904" s="351"/>
      <c r="V904" s="262"/>
      <c r="W904" s="262"/>
      <c r="X904" s="262"/>
      <c r="Y904" s="262"/>
      <c r="Z904" s="262"/>
      <c r="AA904" s="262"/>
      <c r="AB904" s="262"/>
      <c r="AC904" s="262"/>
      <c r="AD904" s="262"/>
      <c r="AE904" s="262"/>
      <c r="AF904" s="262"/>
      <c r="AG904" s="264"/>
      <c r="AH904" s="264"/>
      <c r="AI904" s="264"/>
      <c r="AJ904" s="264"/>
      <c r="AK904" s="264"/>
      <c r="AL904" s="264"/>
      <c r="AM904" s="264"/>
      <c r="AN904" s="264"/>
    </row>
    <row r="905" ht="15.75" customHeight="1">
      <c r="A905" s="262"/>
      <c r="B905" s="338">
        <f>IFERROR(__xludf.DUMMYFUNCTION("""COMPUTED_VALUE"""),1386.0)</f>
        <v>1386</v>
      </c>
      <c r="C905" s="354"/>
      <c r="D905" s="340" t="str">
        <f>IFERROR(__xludf.DUMMYFUNCTION("""COMPUTED_VALUE"""),"")</f>
        <v/>
      </c>
      <c r="E905" s="341">
        <f>IFERROR(__xludf.DUMMYFUNCTION("""COMPUTED_VALUE"""),0.0)</f>
        <v>0</v>
      </c>
      <c r="F905" s="352"/>
      <c r="G905" s="343"/>
      <c r="H905" s="344">
        <f>IFERROR(__xludf.DUMMYFUNCTION("""COMPUTED_VALUE"""),0.0)</f>
        <v>0</v>
      </c>
      <c r="I905" s="353"/>
      <c r="J905" s="353"/>
      <c r="K905" s="346">
        <f>IFERROR(__xludf.DUMMYFUNCTION("""COMPUTED_VALUE"""),0.0)</f>
        <v>0</v>
      </c>
      <c r="L905" s="347">
        <f>IFERROR(__xludf.DUMMYFUNCTION("""COMPUTED_VALUE"""),0.0)</f>
        <v>0</v>
      </c>
      <c r="M905" s="348">
        <f>IFERROR(__xludf.DUMMYFUNCTION("""COMPUTED_VALUE"""),0.0)</f>
        <v>0</v>
      </c>
      <c r="N905" s="348">
        <f>IFERROR(__xludf.DUMMYFUNCTION("""COMPUTED_VALUE"""),0.0)</f>
        <v>0</v>
      </c>
      <c r="O905" s="348">
        <f>IFERROR(__xludf.DUMMYFUNCTION("""COMPUTED_VALUE"""),0.0)</f>
        <v>0</v>
      </c>
      <c r="P905" s="348">
        <f>IFERROR(__xludf.DUMMYFUNCTION("""COMPUTED_VALUE"""),0.0)</f>
        <v>0</v>
      </c>
      <c r="Q905" s="348">
        <f>IFERROR(__xludf.DUMMYFUNCTION("""COMPUTED_VALUE"""),0.0)</f>
        <v>0</v>
      </c>
      <c r="R905" s="355" t="str">
        <f>IFERROR(__xludf.DUMMYFUNCTION("""COMPUTED_VALUE""")," Cash Proyek ")</f>
        <v>Cash Proyek</v>
      </c>
      <c r="S905" s="350"/>
      <c r="T905" s="262"/>
      <c r="U905" s="351"/>
      <c r="V905" s="262"/>
      <c r="W905" s="262"/>
      <c r="X905" s="262"/>
      <c r="Y905" s="262"/>
      <c r="Z905" s="262"/>
      <c r="AA905" s="262"/>
      <c r="AB905" s="262"/>
      <c r="AC905" s="262"/>
      <c r="AD905" s="262"/>
      <c r="AE905" s="262"/>
      <c r="AF905" s="262"/>
      <c r="AG905" s="264"/>
      <c r="AH905" s="264"/>
      <c r="AI905" s="264"/>
      <c r="AJ905" s="264"/>
      <c r="AK905" s="264"/>
      <c r="AL905" s="264"/>
      <c r="AM905" s="264"/>
      <c r="AN905" s="264"/>
    </row>
    <row r="906" ht="15.75" customHeight="1">
      <c r="A906" s="262"/>
      <c r="B906" s="338">
        <f>IFERROR(__xludf.DUMMYFUNCTION("""COMPUTED_VALUE"""),1387.0)</f>
        <v>1387</v>
      </c>
      <c r="C906" s="354"/>
      <c r="D906" s="340" t="str">
        <f>IFERROR(__xludf.DUMMYFUNCTION("""COMPUTED_VALUE"""),"")</f>
        <v/>
      </c>
      <c r="E906" s="341">
        <f>IFERROR(__xludf.DUMMYFUNCTION("""COMPUTED_VALUE"""),0.0)</f>
        <v>0</v>
      </c>
      <c r="F906" s="352"/>
      <c r="G906" s="343"/>
      <c r="H906" s="344">
        <f>IFERROR(__xludf.DUMMYFUNCTION("""COMPUTED_VALUE"""),0.0)</f>
        <v>0</v>
      </c>
      <c r="I906" s="353"/>
      <c r="J906" s="353"/>
      <c r="K906" s="346">
        <f>IFERROR(__xludf.DUMMYFUNCTION("""COMPUTED_VALUE"""),0.0)</f>
        <v>0</v>
      </c>
      <c r="L906" s="347">
        <f>IFERROR(__xludf.DUMMYFUNCTION("""COMPUTED_VALUE"""),0.0)</f>
        <v>0</v>
      </c>
      <c r="M906" s="348">
        <f>IFERROR(__xludf.DUMMYFUNCTION("""COMPUTED_VALUE"""),0.0)</f>
        <v>0</v>
      </c>
      <c r="N906" s="348">
        <f>IFERROR(__xludf.DUMMYFUNCTION("""COMPUTED_VALUE"""),0.0)</f>
        <v>0</v>
      </c>
      <c r="O906" s="348">
        <f>IFERROR(__xludf.DUMMYFUNCTION("""COMPUTED_VALUE"""),0.0)</f>
        <v>0</v>
      </c>
      <c r="P906" s="348">
        <f>IFERROR(__xludf.DUMMYFUNCTION("""COMPUTED_VALUE"""),0.0)</f>
        <v>0</v>
      </c>
      <c r="Q906" s="348">
        <f>IFERROR(__xludf.DUMMYFUNCTION("""COMPUTED_VALUE"""),0.0)</f>
        <v>0</v>
      </c>
      <c r="R906" s="355" t="str">
        <f>IFERROR(__xludf.DUMMYFUNCTION("""COMPUTED_VALUE""")," Cash Proyek ")</f>
        <v>Cash Proyek</v>
      </c>
      <c r="S906" s="350"/>
      <c r="T906" s="262"/>
      <c r="U906" s="351"/>
      <c r="V906" s="262"/>
      <c r="W906" s="262"/>
      <c r="X906" s="262"/>
      <c r="Y906" s="262"/>
      <c r="Z906" s="262"/>
      <c r="AA906" s="262"/>
      <c r="AB906" s="262"/>
      <c r="AC906" s="262"/>
      <c r="AD906" s="262"/>
      <c r="AE906" s="262"/>
      <c r="AF906" s="262"/>
      <c r="AG906" s="264"/>
      <c r="AH906" s="264"/>
      <c r="AI906" s="264"/>
      <c r="AJ906" s="264"/>
      <c r="AK906" s="264"/>
      <c r="AL906" s="264"/>
      <c r="AM906" s="264"/>
      <c r="AN906" s="264"/>
    </row>
    <row r="907" ht="15.75" customHeight="1">
      <c r="A907" s="262"/>
      <c r="B907" s="338">
        <f>IFERROR(__xludf.DUMMYFUNCTION("""COMPUTED_VALUE"""),1388.0)</f>
        <v>1388</v>
      </c>
      <c r="C907" s="354"/>
      <c r="D907" s="340" t="str">
        <f>IFERROR(__xludf.DUMMYFUNCTION("""COMPUTED_VALUE"""),"")</f>
        <v/>
      </c>
      <c r="E907" s="341">
        <f>IFERROR(__xludf.DUMMYFUNCTION("""COMPUTED_VALUE"""),0.0)</f>
        <v>0</v>
      </c>
      <c r="F907" s="352"/>
      <c r="G907" s="343"/>
      <c r="H907" s="344">
        <f>IFERROR(__xludf.DUMMYFUNCTION("""COMPUTED_VALUE"""),0.0)</f>
        <v>0</v>
      </c>
      <c r="I907" s="353"/>
      <c r="J907" s="353"/>
      <c r="K907" s="346">
        <f>IFERROR(__xludf.DUMMYFUNCTION("""COMPUTED_VALUE"""),0.0)</f>
        <v>0</v>
      </c>
      <c r="L907" s="347">
        <f>IFERROR(__xludf.DUMMYFUNCTION("""COMPUTED_VALUE"""),0.0)</f>
        <v>0</v>
      </c>
      <c r="M907" s="348">
        <f>IFERROR(__xludf.DUMMYFUNCTION("""COMPUTED_VALUE"""),0.0)</f>
        <v>0</v>
      </c>
      <c r="N907" s="348">
        <f>IFERROR(__xludf.DUMMYFUNCTION("""COMPUTED_VALUE"""),0.0)</f>
        <v>0</v>
      </c>
      <c r="O907" s="348">
        <f>IFERROR(__xludf.DUMMYFUNCTION("""COMPUTED_VALUE"""),0.0)</f>
        <v>0</v>
      </c>
      <c r="P907" s="348">
        <f>IFERROR(__xludf.DUMMYFUNCTION("""COMPUTED_VALUE"""),0.0)</f>
        <v>0</v>
      </c>
      <c r="Q907" s="348">
        <f>IFERROR(__xludf.DUMMYFUNCTION("""COMPUTED_VALUE"""),0.0)</f>
        <v>0</v>
      </c>
      <c r="R907" s="355" t="str">
        <f>IFERROR(__xludf.DUMMYFUNCTION("""COMPUTED_VALUE""")," Cash Proyek ")</f>
        <v>Cash Proyek</v>
      </c>
      <c r="S907" s="350"/>
      <c r="T907" s="262"/>
      <c r="U907" s="351"/>
      <c r="V907" s="262"/>
      <c r="W907" s="262"/>
      <c r="X907" s="262"/>
      <c r="Y907" s="262"/>
      <c r="Z907" s="262"/>
      <c r="AA907" s="262"/>
      <c r="AB907" s="262"/>
      <c r="AC907" s="262"/>
      <c r="AD907" s="262"/>
      <c r="AE907" s="262"/>
      <c r="AF907" s="262"/>
      <c r="AG907" s="264"/>
      <c r="AH907" s="264"/>
      <c r="AI907" s="264"/>
      <c r="AJ907" s="264"/>
      <c r="AK907" s="264"/>
      <c r="AL907" s="264"/>
      <c r="AM907" s="264"/>
      <c r="AN907" s="264"/>
    </row>
    <row r="908" ht="15.75" customHeight="1">
      <c r="A908" s="262"/>
      <c r="B908" s="338">
        <f>IFERROR(__xludf.DUMMYFUNCTION("""COMPUTED_VALUE"""),1389.0)</f>
        <v>1389</v>
      </c>
      <c r="C908" s="354"/>
      <c r="D908" s="340" t="str">
        <f>IFERROR(__xludf.DUMMYFUNCTION("""COMPUTED_VALUE"""),"")</f>
        <v/>
      </c>
      <c r="E908" s="341">
        <f>IFERROR(__xludf.DUMMYFUNCTION("""COMPUTED_VALUE"""),0.0)</f>
        <v>0</v>
      </c>
      <c r="F908" s="352"/>
      <c r="G908" s="343"/>
      <c r="H908" s="344">
        <f>IFERROR(__xludf.DUMMYFUNCTION("""COMPUTED_VALUE"""),0.0)</f>
        <v>0</v>
      </c>
      <c r="I908" s="353"/>
      <c r="J908" s="353"/>
      <c r="K908" s="346">
        <f>IFERROR(__xludf.DUMMYFUNCTION("""COMPUTED_VALUE"""),0.0)</f>
        <v>0</v>
      </c>
      <c r="L908" s="347">
        <f>IFERROR(__xludf.DUMMYFUNCTION("""COMPUTED_VALUE"""),0.0)</f>
        <v>0</v>
      </c>
      <c r="M908" s="348">
        <f>IFERROR(__xludf.DUMMYFUNCTION("""COMPUTED_VALUE"""),0.0)</f>
        <v>0</v>
      </c>
      <c r="N908" s="348">
        <f>IFERROR(__xludf.DUMMYFUNCTION("""COMPUTED_VALUE"""),0.0)</f>
        <v>0</v>
      </c>
      <c r="O908" s="348">
        <f>IFERROR(__xludf.DUMMYFUNCTION("""COMPUTED_VALUE"""),0.0)</f>
        <v>0</v>
      </c>
      <c r="P908" s="348">
        <f>IFERROR(__xludf.DUMMYFUNCTION("""COMPUTED_VALUE"""),0.0)</f>
        <v>0</v>
      </c>
      <c r="Q908" s="348">
        <f>IFERROR(__xludf.DUMMYFUNCTION("""COMPUTED_VALUE"""),0.0)</f>
        <v>0</v>
      </c>
      <c r="R908" s="355" t="str">
        <f>IFERROR(__xludf.DUMMYFUNCTION("""COMPUTED_VALUE""")," Cash Proyek ")</f>
        <v>Cash Proyek</v>
      </c>
      <c r="S908" s="350"/>
      <c r="T908" s="262"/>
      <c r="U908" s="351"/>
      <c r="V908" s="262"/>
      <c r="W908" s="262"/>
      <c r="X908" s="262"/>
      <c r="Y908" s="262"/>
      <c r="Z908" s="262"/>
      <c r="AA908" s="262"/>
      <c r="AB908" s="262"/>
      <c r="AC908" s="262"/>
      <c r="AD908" s="262"/>
      <c r="AE908" s="262"/>
      <c r="AF908" s="262"/>
      <c r="AG908" s="264"/>
      <c r="AH908" s="264"/>
      <c r="AI908" s="264"/>
      <c r="AJ908" s="264"/>
      <c r="AK908" s="264"/>
      <c r="AL908" s="264"/>
      <c r="AM908" s="264"/>
      <c r="AN908" s="264"/>
    </row>
    <row r="909" ht="15.75" customHeight="1">
      <c r="A909" s="262"/>
      <c r="B909" s="338">
        <f>IFERROR(__xludf.DUMMYFUNCTION("""COMPUTED_VALUE"""),1390.0)</f>
        <v>1390</v>
      </c>
      <c r="C909" s="354"/>
      <c r="D909" s="340" t="str">
        <f>IFERROR(__xludf.DUMMYFUNCTION("""COMPUTED_VALUE"""),"")</f>
        <v/>
      </c>
      <c r="E909" s="341">
        <f>IFERROR(__xludf.DUMMYFUNCTION("""COMPUTED_VALUE"""),0.0)</f>
        <v>0</v>
      </c>
      <c r="F909" s="352"/>
      <c r="G909" s="343"/>
      <c r="H909" s="344">
        <f>IFERROR(__xludf.DUMMYFUNCTION("""COMPUTED_VALUE"""),0.0)</f>
        <v>0</v>
      </c>
      <c r="I909" s="353"/>
      <c r="J909" s="353"/>
      <c r="K909" s="346">
        <f>IFERROR(__xludf.DUMMYFUNCTION("""COMPUTED_VALUE"""),0.0)</f>
        <v>0</v>
      </c>
      <c r="L909" s="347">
        <f>IFERROR(__xludf.DUMMYFUNCTION("""COMPUTED_VALUE"""),0.0)</f>
        <v>0</v>
      </c>
      <c r="M909" s="348">
        <f>IFERROR(__xludf.DUMMYFUNCTION("""COMPUTED_VALUE"""),0.0)</f>
        <v>0</v>
      </c>
      <c r="N909" s="348">
        <f>IFERROR(__xludf.DUMMYFUNCTION("""COMPUTED_VALUE"""),0.0)</f>
        <v>0</v>
      </c>
      <c r="O909" s="348">
        <f>IFERROR(__xludf.DUMMYFUNCTION("""COMPUTED_VALUE"""),0.0)</f>
        <v>0</v>
      </c>
      <c r="P909" s="348">
        <f>IFERROR(__xludf.DUMMYFUNCTION("""COMPUTED_VALUE"""),0.0)</f>
        <v>0</v>
      </c>
      <c r="Q909" s="348">
        <f>IFERROR(__xludf.DUMMYFUNCTION("""COMPUTED_VALUE"""),0.0)</f>
        <v>0</v>
      </c>
      <c r="R909" s="355" t="str">
        <f>IFERROR(__xludf.DUMMYFUNCTION("""COMPUTED_VALUE""")," Cash Proyek ")</f>
        <v>Cash Proyek</v>
      </c>
      <c r="S909" s="350"/>
      <c r="T909" s="262"/>
      <c r="U909" s="351"/>
      <c r="V909" s="262"/>
      <c r="W909" s="262"/>
      <c r="X909" s="262"/>
      <c r="Y909" s="262"/>
      <c r="Z909" s="262"/>
      <c r="AA909" s="262"/>
      <c r="AB909" s="262"/>
      <c r="AC909" s="262"/>
      <c r="AD909" s="262"/>
      <c r="AE909" s="262"/>
      <c r="AF909" s="262"/>
      <c r="AG909" s="264"/>
      <c r="AH909" s="264"/>
      <c r="AI909" s="264"/>
      <c r="AJ909" s="264"/>
      <c r="AK909" s="264"/>
      <c r="AL909" s="264"/>
      <c r="AM909" s="264"/>
      <c r="AN909" s="264"/>
    </row>
    <row r="910" ht="15.75" customHeight="1">
      <c r="A910" s="262"/>
      <c r="B910" s="338">
        <f>IFERROR(__xludf.DUMMYFUNCTION("""COMPUTED_VALUE"""),1391.0)</f>
        <v>1391</v>
      </c>
      <c r="C910" s="354"/>
      <c r="D910" s="340" t="str">
        <f>IFERROR(__xludf.DUMMYFUNCTION("""COMPUTED_VALUE"""),"")</f>
        <v/>
      </c>
      <c r="E910" s="341">
        <f>IFERROR(__xludf.DUMMYFUNCTION("""COMPUTED_VALUE"""),0.0)</f>
        <v>0</v>
      </c>
      <c r="F910" s="352"/>
      <c r="G910" s="343"/>
      <c r="H910" s="344">
        <f>IFERROR(__xludf.DUMMYFUNCTION("""COMPUTED_VALUE"""),0.0)</f>
        <v>0</v>
      </c>
      <c r="I910" s="353"/>
      <c r="J910" s="353"/>
      <c r="K910" s="346">
        <f>IFERROR(__xludf.DUMMYFUNCTION("""COMPUTED_VALUE"""),0.0)</f>
        <v>0</v>
      </c>
      <c r="L910" s="347">
        <f>IFERROR(__xludf.DUMMYFUNCTION("""COMPUTED_VALUE"""),0.0)</f>
        <v>0</v>
      </c>
      <c r="M910" s="348">
        <f>IFERROR(__xludf.DUMMYFUNCTION("""COMPUTED_VALUE"""),0.0)</f>
        <v>0</v>
      </c>
      <c r="N910" s="348">
        <f>IFERROR(__xludf.DUMMYFUNCTION("""COMPUTED_VALUE"""),0.0)</f>
        <v>0</v>
      </c>
      <c r="O910" s="348">
        <f>IFERROR(__xludf.DUMMYFUNCTION("""COMPUTED_VALUE"""),0.0)</f>
        <v>0</v>
      </c>
      <c r="P910" s="348">
        <f>IFERROR(__xludf.DUMMYFUNCTION("""COMPUTED_VALUE"""),0.0)</f>
        <v>0</v>
      </c>
      <c r="Q910" s="348">
        <f>IFERROR(__xludf.DUMMYFUNCTION("""COMPUTED_VALUE"""),0.0)</f>
        <v>0</v>
      </c>
      <c r="R910" s="355" t="str">
        <f>IFERROR(__xludf.DUMMYFUNCTION("""COMPUTED_VALUE""")," Cash Proyek ")</f>
        <v>Cash Proyek</v>
      </c>
      <c r="S910" s="350"/>
      <c r="T910" s="262"/>
      <c r="U910" s="351"/>
      <c r="V910" s="262"/>
      <c r="W910" s="262"/>
      <c r="X910" s="262"/>
      <c r="Y910" s="262"/>
      <c r="Z910" s="262"/>
      <c r="AA910" s="262"/>
      <c r="AB910" s="262"/>
      <c r="AC910" s="262"/>
      <c r="AD910" s="262"/>
      <c r="AE910" s="262"/>
      <c r="AF910" s="262"/>
      <c r="AG910" s="264"/>
      <c r="AH910" s="264"/>
      <c r="AI910" s="264"/>
      <c r="AJ910" s="264"/>
      <c r="AK910" s="264"/>
      <c r="AL910" s="264"/>
      <c r="AM910" s="264"/>
      <c r="AN910" s="264"/>
    </row>
    <row r="911" ht="15.75" customHeight="1">
      <c r="A911" s="262"/>
      <c r="B911" s="338">
        <f>IFERROR(__xludf.DUMMYFUNCTION("""COMPUTED_VALUE"""),1392.0)</f>
        <v>1392</v>
      </c>
      <c r="C911" s="354"/>
      <c r="D911" s="340" t="str">
        <f>IFERROR(__xludf.DUMMYFUNCTION("""COMPUTED_VALUE"""),"")</f>
        <v/>
      </c>
      <c r="E911" s="341">
        <f>IFERROR(__xludf.DUMMYFUNCTION("""COMPUTED_VALUE"""),0.0)</f>
        <v>0</v>
      </c>
      <c r="F911" s="352"/>
      <c r="G911" s="343"/>
      <c r="H911" s="344">
        <f>IFERROR(__xludf.DUMMYFUNCTION("""COMPUTED_VALUE"""),0.0)</f>
        <v>0</v>
      </c>
      <c r="I911" s="353"/>
      <c r="J911" s="353"/>
      <c r="K911" s="346">
        <f>IFERROR(__xludf.DUMMYFUNCTION("""COMPUTED_VALUE"""),0.0)</f>
        <v>0</v>
      </c>
      <c r="L911" s="347">
        <f>IFERROR(__xludf.DUMMYFUNCTION("""COMPUTED_VALUE"""),0.0)</f>
        <v>0</v>
      </c>
      <c r="M911" s="348">
        <f>IFERROR(__xludf.DUMMYFUNCTION("""COMPUTED_VALUE"""),0.0)</f>
        <v>0</v>
      </c>
      <c r="N911" s="348">
        <f>IFERROR(__xludf.DUMMYFUNCTION("""COMPUTED_VALUE"""),0.0)</f>
        <v>0</v>
      </c>
      <c r="O911" s="348">
        <f>IFERROR(__xludf.DUMMYFUNCTION("""COMPUTED_VALUE"""),0.0)</f>
        <v>0</v>
      </c>
      <c r="P911" s="348">
        <f>IFERROR(__xludf.DUMMYFUNCTION("""COMPUTED_VALUE"""),0.0)</f>
        <v>0</v>
      </c>
      <c r="Q911" s="348">
        <f>IFERROR(__xludf.DUMMYFUNCTION("""COMPUTED_VALUE"""),0.0)</f>
        <v>0</v>
      </c>
      <c r="R911" s="355" t="str">
        <f>IFERROR(__xludf.DUMMYFUNCTION("""COMPUTED_VALUE""")," Cash Proyek ")</f>
        <v>Cash Proyek</v>
      </c>
      <c r="S911" s="350"/>
      <c r="T911" s="262"/>
      <c r="U911" s="351"/>
      <c r="V911" s="262"/>
      <c r="W911" s="262"/>
      <c r="X911" s="262"/>
      <c r="Y911" s="262"/>
      <c r="Z911" s="262"/>
      <c r="AA911" s="262"/>
      <c r="AB911" s="262"/>
      <c r="AC911" s="262"/>
      <c r="AD911" s="262"/>
      <c r="AE911" s="262"/>
      <c r="AF911" s="262"/>
      <c r="AG911" s="264"/>
      <c r="AH911" s="264"/>
      <c r="AI911" s="264"/>
      <c r="AJ911" s="264"/>
      <c r="AK911" s="264"/>
      <c r="AL911" s="264"/>
      <c r="AM911" s="264"/>
      <c r="AN911" s="264"/>
    </row>
    <row r="912" ht="15.75" customHeight="1">
      <c r="A912" s="262"/>
      <c r="B912" s="338">
        <f>IFERROR(__xludf.DUMMYFUNCTION("""COMPUTED_VALUE"""),1393.0)</f>
        <v>1393</v>
      </c>
      <c r="C912" s="354"/>
      <c r="D912" s="340" t="str">
        <f>IFERROR(__xludf.DUMMYFUNCTION("""COMPUTED_VALUE"""),"")</f>
        <v/>
      </c>
      <c r="E912" s="341">
        <f>IFERROR(__xludf.DUMMYFUNCTION("""COMPUTED_VALUE"""),0.0)</f>
        <v>0</v>
      </c>
      <c r="F912" s="352"/>
      <c r="G912" s="343"/>
      <c r="H912" s="344">
        <f>IFERROR(__xludf.DUMMYFUNCTION("""COMPUTED_VALUE"""),0.0)</f>
        <v>0</v>
      </c>
      <c r="I912" s="353"/>
      <c r="J912" s="353"/>
      <c r="K912" s="346">
        <f>IFERROR(__xludf.DUMMYFUNCTION("""COMPUTED_VALUE"""),0.0)</f>
        <v>0</v>
      </c>
      <c r="L912" s="347">
        <f>IFERROR(__xludf.DUMMYFUNCTION("""COMPUTED_VALUE"""),0.0)</f>
        <v>0</v>
      </c>
      <c r="M912" s="348">
        <f>IFERROR(__xludf.DUMMYFUNCTION("""COMPUTED_VALUE"""),0.0)</f>
        <v>0</v>
      </c>
      <c r="N912" s="348">
        <f>IFERROR(__xludf.DUMMYFUNCTION("""COMPUTED_VALUE"""),0.0)</f>
        <v>0</v>
      </c>
      <c r="O912" s="348">
        <f>IFERROR(__xludf.DUMMYFUNCTION("""COMPUTED_VALUE"""),0.0)</f>
        <v>0</v>
      </c>
      <c r="P912" s="348">
        <f>IFERROR(__xludf.DUMMYFUNCTION("""COMPUTED_VALUE"""),0.0)</f>
        <v>0</v>
      </c>
      <c r="Q912" s="348">
        <f>IFERROR(__xludf.DUMMYFUNCTION("""COMPUTED_VALUE"""),0.0)</f>
        <v>0</v>
      </c>
      <c r="R912" s="355" t="str">
        <f>IFERROR(__xludf.DUMMYFUNCTION("""COMPUTED_VALUE""")," Cash Proyek ")</f>
        <v>Cash Proyek</v>
      </c>
      <c r="S912" s="350"/>
      <c r="T912" s="262"/>
      <c r="U912" s="351"/>
      <c r="V912" s="262"/>
      <c r="W912" s="262"/>
      <c r="X912" s="262"/>
      <c r="Y912" s="262"/>
      <c r="Z912" s="262"/>
      <c r="AA912" s="262"/>
      <c r="AB912" s="262"/>
      <c r="AC912" s="262"/>
      <c r="AD912" s="262"/>
      <c r="AE912" s="262"/>
      <c r="AF912" s="262"/>
      <c r="AG912" s="264"/>
      <c r="AH912" s="264"/>
      <c r="AI912" s="264"/>
      <c r="AJ912" s="264"/>
      <c r="AK912" s="264"/>
      <c r="AL912" s="264"/>
      <c r="AM912" s="264"/>
      <c r="AN912" s="264"/>
    </row>
    <row r="913" ht="15.75" customHeight="1">
      <c r="A913" s="262"/>
      <c r="B913" s="338">
        <f>IFERROR(__xludf.DUMMYFUNCTION("""COMPUTED_VALUE"""),1394.0)</f>
        <v>1394</v>
      </c>
      <c r="C913" s="354"/>
      <c r="D913" s="340" t="str">
        <f>IFERROR(__xludf.DUMMYFUNCTION("""COMPUTED_VALUE"""),"")</f>
        <v/>
      </c>
      <c r="E913" s="341">
        <f>IFERROR(__xludf.DUMMYFUNCTION("""COMPUTED_VALUE"""),0.0)</f>
        <v>0</v>
      </c>
      <c r="F913" s="352"/>
      <c r="G913" s="343"/>
      <c r="H913" s="344">
        <f>IFERROR(__xludf.DUMMYFUNCTION("""COMPUTED_VALUE"""),0.0)</f>
        <v>0</v>
      </c>
      <c r="I913" s="353"/>
      <c r="J913" s="353"/>
      <c r="K913" s="346">
        <f>IFERROR(__xludf.DUMMYFUNCTION("""COMPUTED_VALUE"""),0.0)</f>
        <v>0</v>
      </c>
      <c r="L913" s="347">
        <f>IFERROR(__xludf.DUMMYFUNCTION("""COMPUTED_VALUE"""),0.0)</f>
        <v>0</v>
      </c>
      <c r="M913" s="348">
        <f>IFERROR(__xludf.DUMMYFUNCTION("""COMPUTED_VALUE"""),0.0)</f>
        <v>0</v>
      </c>
      <c r="N913" s="348">
        <f>IFERROR(__xludf.DUMMYFUNCTION("""COMPUTED_VALUE"""),0.0)</f>
        <v>0</v>
      </c>
      <c r="O913" s="348">
        <f>IFERROR(__xludf.DUMMYFUNCTION("""COMPUTED_VALUE"""),0.0)</f>
        <v>0</v>
      </c>
      <c r="P913" s="348">
        <f>IFERROR(__xludf.DUMMYFUNCTION("""COMPUTED_VALUE"""),0.0)</f>
        <v>0</v>
      </c>
      <c r="Q913" s="348">
        <f>IFERROR(__xludf.DUMMYFUNCTION("""COMPUTED_VALUE"""),0.0)</f>
        <v>0</v>
      </c>
      <c r="R913" s="355" t="str">
        <f>IFERROR(__xludf.DUMMYFUNCTION("""COMPUTED_VALUE""")," Cash Proyek ")</f>
        <v>Cash Proyek</v>
      </c>
      <c r="S913" s="350"/>
      <c r="T913" s="262"/>
      <c r="U913" s="351"/>
      <c r="V913" s="262"/>
      <c r="W913" s="262"/>
      <c r="X913" s="262"/>
      <c r="Y913" s="262"/>
      <c r="Z913" s="262"/>
      <c r="AA913" s="262"/>
      <c r="AB913" s="262"/>
      <c r="AC913" s="262"/>
      <c r="AD913" s="262"/>
      <c r="AE913" s="262"/>
      <c r="AF913" s="262"/>
      <c r="AG913" s="264"/>
      <c r="AH913" s="264"/>
      <c r="AI913" s="264"/>
      <c r="AJ913" s="264"/>
      <c r="AK913" s="264"/>
      <c r="AL913" s="264"/>
      <c r="AM913" s="264"/>
      <c r="AN913" s="264"/>
    </row>
    <row r="914" ht="15.75" customHeight="1">
      <c r="A914" s="262"/>
      <c r="B914" s="338">
        <f>IFERROR(__xludf.DUMMYFUNCTION("""COMPUTED_VALUE"""),1395.0)</f>
        <v>1395</v>
      </c>
      <c r="C914" s="354"/>
      <c r="D914" s="340" t="str">
        <f>IFERROR(__xludf.DUMMYFUNCTION("""COMPUTED_VALUE"""),"")</f>
        <v/>
      </c>
      <c r="E914" s="341">
        <f>IFERROR(__xludf.DUMMYFUNCTION("""COMPUTED_VALUE"""),0.0)</f>
        <v>0</v>
      </c>
      <c r="F914" s="352"/>
      <c r="G914" s="343"/>
      <c r="H914" s="344">
        <f>IFERROR(__xludf.DUMMYFUNCTION("""COMPUTED_VALUE"""),0.0)</f>
        <v>0</v>
      </c>
      <c r="I914" s="353"/>
      <c r="J914" s="353"/>
      <c r="K914" s="346">
        <f>IFERROR(__xludf.DUMMYFUNCTION("""COMPUTED_VALUE"""),0.0)</f>
        <v>0</v>
      </c>
      <c r="L914" s="347">
        <f>IFERROR(__xludf.DUMMYFUNCTION("""COMPUTED_VALUE"""),0.0)</f>
        <v>0</v>
      </c>
      <c r="M914" s="348">
        <f>IFERROR(__xludf.DUMMYFUNCTION("""COMPUTED_VALUE"""),0.0)</f>
        <v>0</v>
      </c>
      <c r="N914" s="348">
        <f>IFERROR(__xludf.DUMMYFUNCTION("""COMPUTED_VALUE"""),0.0)</f>
        <v>0</v>
      </c>
      <c r="O914" s="348">
        <f>IFERROR(__xludf.DUMMYFUNCTION("""COMPUTED_VALUE"""),0.0)</f>
        <v>0</v>
      </c>
      <c r="P914" s="348">
        <f>IFERROR(__xludf.DUMMYFUNCTION("""COMPUTED_VALUE"""),0.0)</f>
        <v>0</v>
      </c>
      <c r="Q914" s="348">
        <f>IFERROR(__xludf.DUMMYFUNCTION("""COMPUTED_VALUE"""),0.0)</f>
        <v>0</v>
      </c>
      <c r="R914" s="355" t="str">
        <f>IFERROR(__xludf.DUMMYFUNCTION("""COMPUTED_VALUE""")," Cash Proyek ")</f>
        <v>Cash Proyek</v>
      </c>
      <c r="S914" s="350"/>
      <c r="T914" s="262"/>
      <c r="U914" s="351"/>
      <c r="V914" s="262"/>
      <c r="W914" s="262"/>
      <c r="X914" s="262"/>
      <c r="Y914" s="262"/>
      <c r="Z914" s="262"/>
      <c r="AA914" s="262"/>
      <c r="AB914" s="262"/>
      <c r="AC914" s="262"/>
      <c r="AD914" s="262"/>
      <c r="AE914" s="262"/>
      <c r="AF914" s="262"/>
      <c r="AG914" s="264"/>
      <c r="AH914" s="264"/>
      <c r="AI914" s="264"/>
      <c r="AJ914" s="264"/>
      <c r="AK914" s="264"/>
      <c r="AL914" s="264"/>
      <c r="AM914" s="264"/>
      <c r="AN914" s="264"/>
    </row>
    <row r="915" ht="15.75" customHeight="1">
      <c r="A915" s="262"/>
      <c r="B915" s="338">
        <f>IFERROR(__xludf.DUMMYFUNCTION("""COMPUTED_VALUE"""),1396.0)</f>
        <v>1396</v>
      </c>
      <c r="C915" s="354"/>
      <c r="D915" s="340" t="str">
        <f>IFERROR(__xludf.DUMMYFUNCTION("""COMPUTED_VALUE"""),"")</f>
        <v/>
      </c>
      <c r="E915" s="341">
        <f>IFERROR(__xludf.DUMMYFUNCTION("""COMPUTED_VALUE"""),0.0)</f>
        <v>0</v>
      </c>
      <c r="F915" s="352"/>
      <c r="G915" s="343"/>
      <c r="H915" s="344">
        <f>IFERROR(__xludf.DUMMYFUNCTION("""COMPUTED_VALUE"""),0.0)</f>
        <v>0</v>
      </c>
      <c r="I915" s="353"/>
      <c r="J915" s="353"/>
      <c r="K915" s="346">
        <f>IFERROR(__xludf.DUMMYFUNCTION("""COMPUTED_VALUE"""),0.0)</f>
        <v>0</v>
      </c>
      <c r="L915" s="347">
        <f>IFERROR(__xludf.DUMMYFUNCTION("""COMPUTED_VALUE"""),0.0)</f>
        <v>0</v>
      </c>
      <c r="M915" s="348">
        <f>IFERROR(__xludf.DUMMYFUNCTION("""COMPUTED_VALUE"""),0.0)</f>
        <v>0</v>
      </c>
      <c r="N915" s="348">
        <f>IFERROR(__xludf.DUMMYFUNCTION("""COMPUTED_VALUE"""),0.0)</f>
        <v>0</v>
      </c>
      <c r="O915" s="348">
        <f>IFERROR(__xludf.DUMMYFUNCTION("""COMPUTED_VALUE"""),0.0)</f>
        <v>0</v>
      </c>
      <c r="P915" s="348">
        <f>IFERROR(__xludf.DUMMYFUNCTION("""COMPUTED_VALUE"""),0.0)</f>
        <v>0</v>
      </c>
      <c r="Q915" s="348">
        <f>IFERROR(__xludf.DUMMYFUNCTION("""COMPUTED_VALUE"""),0.0)</f>
        <v>0</v>
      </c>
      <c r="R915" s="355" t="str">
        <f>IFERROR(__xludf.DUMMYFUNCTION("""COMPUTED_VALUE""")," Cash Proyek ")</f>
        <v>Cash Proyek</v>
      </c>
      <c r="S915" s="350"/>
      <c r="T915" s="262"/>
      <c r="U915" s="351"/>
      <c r="V915" s="262"/>
      <c r="W915" s="262"/>
      <c r="X915" s="262"/>
      <c r="Y915" s="262"/>
      <c r="Z915" s="262"/>
      <c r="AA915" s="262"/>
      <c r="AB915" s="262"/>
      <c r="AC915" s="262"/>
      <c r="AD915" s="262"/>
      <c r="AE915" s="262"/>
      <c r="AF915" s="262"/>
      <c r="AG915" s="264"/>
      <c r="AH915" s="264"/>
      <c r="AI915" s="264"/>
      <c r="AJ915" s="264"/>
      <c r="AK915" s="264"/>
      <c r="AL915" s="264"/>
      <c r="AM915" s="264"/>
      <c r="AN915" s="264"/>
    </row>
    <row r="916" ht="15.75" customHeight="1">
      <c r="A916" s="262"/>
      <c r="B916" s="338">
        <f>IFERROR(__xludf.DUMMYFUNCTION("""COMPUTED_VALUE"""),1397.0)</f>
        <v>1397</v>
      </c>
      <c r="C916" s="354"/>
      <c r="D916" s="340" t="str">
        <f>IFERROR(__xludf.DUMMYFUNCTION("""COMPUTED_VALUE"""),"")</f>
        <v/>
      </c>
      <c r="E916" s="341">
        <f>IFERROR(__xludf.DUMMYFUNCTION("""COMPUTED_VALUE"""),0.0)</f>
        <v>0</v>
      </c>
      <c r="F916" s="352"/>
      <c r="G916" s="343"/>
      <c r="H916" s="344">
        <f>IFERROR(__xludf.DUMMYFUNCTION("""COMPUTED_VALUE"""),0.0)</f>
        <v>0</v>
      </c>
      <c r="I916" s="353"/>
      <c r="J916" s="353"/>
      <c r="K916" s="346">
        <f>IFERROR(__xludf.DUMMYFUNCTION("""COMPUTED_VALUE"""),0.0)</f>
        <v>0</v>
      </c>
      <c r="L916" s="347">
        <f>IFERROR(__xludf.DUMMYFUNCTION("""COMPUTED_VALUE"""),0.0)</f>
        <v>0</v>
      </c>
      <c r="M916" s="348">
        <f>IFERROR(__xludf.DUMMYFUNCTION("""COMPUTED_VALUE"""),0.0)</f>
        <v>0</v>
      </c>
      <c r="N916" s="348">
        <f>IFERROR(__xludf.DUMMYFUNCTION("""COMPUTED_VALUE"""),0.0)</f>
        <v>0</v>
      </c>
      <c r="O916" s="348">
        <f>IFERROR(__xludf.DUMMYFUNCTION("""COMPUTED_VALUE"""),0.0)</f>
        <v>0</v>
      </c>
      <c r="P916" s="348">
        <f>IFERROR(__xludf.DUMMYFUNCTION("""COMPUTED_VALUE"""),0.0)</f>
        <v>0</v>
      </c>
      <c r="Q916" s="348">
        <f>IFERROR(__xludf.DUMMYFUNCTION("""COMPUTED_VALUE"""),0.0)</f>
        <v>0</v>
      </c>
      <c r="R916" s="355" t="str">
        <f>IFERROR(__xludf.DUMMYFUNCTION("""COMPUTED_VALUE""")," Cash Proyek ")</f>
        <v>Cash Proyek</v>
      </c>
      <c r="S916" s="350"/>
      <c r="T916" s="262"/>
      <c r="U916" s="351"/>
      <c r="V916" s="262"/>
      <c r="W916" s="262"/>
      <c r="X916" s="262"/>
      <c r="Y916" s="262"/>
      <c r="Z916" s="262"/>
      <c r="AA916" s="262"/>
      <c r="AB916" s="262"/>
      <c r="AC916" s="262"/>
      <c r="AD916" s="262"/>
      <c r="AE916" s="262"/>
      <c r="AF916" s="262"/>
      <c r="AG916" s="264"/>
      <c r="AH916" s="264"/>
      <c r="AI916" s="264"/>
      <c r="AJ916" s="264"/>
      <c r="AK916" s="264"/>
      <c r="AL916" s="264"/>
      <c r="AM916" s="264"/>
      <c r="AN916" s="264"/>
    </row>
    <row r="917" ht="15.75" customHeight="1">
      <c r="A917" s="262"/>
      <c r="B917" s="338">
        <f>IFERROR(__xludf.DUMMYFUNCTION("""COMPUTED_VALUE"""),1398.0)</f>
        <v>1398</v>
      </c>
      <c r="C917" s="354"/>
      <c r="D917" s="340" t="str">
        <f>IFERROR(__xludf.DUMMYFUNCTION("""COMPUTED_VALUE"""),"")</f>
        <v/>
      </c>
      <c r="E917" s="341">
        <f>IFERROR(__xludf.DUMMYFUNCTION("""COMPUTED_VALUE"""),0.0)</f>
        <v>0</v>
      </c>
      <c r="F917" s="352"/>
      <c r="G917" s="343"/>
      <c r="H917" s="344">
        <f>IFERROR(__xludf.DUMMYFUNCTION("""COMPUTED_VALUE"""),0.0)</f>
        <v>0</v>
      </c>
      <c r="I917" s="353"/>
      <c r="J917" s="353"/>
      <c r="K917" s="346">
        <f>IFERROR(__xludf.DUMMYFUNCTION("""COMPUTED_VALUE"""),0.0)</f>
        <v>0</v>
      </c>
      <c r="L917" s="347">
        <f>IFERROR(__xludf.DUMMYFUNCTION("""COMPUTED_VALUE"""),0.0)</f>
        <v>0</v>
      </c>
      <c r="M917" s="348">
        <f>IFERROR(__xludf.DUMMYFUNCTION("""COMPUTED_VALUE"""),0.0)</f>
        <v>0</v>
      </c>
      <c r="N917" s="348">
        <f>IFERROR(__xludf.DUMMYFUNCTION("""COMPUTED_VALUE"""),0.0)</f>
        <v>0</v>
      </c>
      <c r="O917" s="348">
        <f>IFERROR(__xludf.DUMMYFUNCTION("""COMPUTED_VALUE"""),0.0)</f>
        <v>0</v>
      </c>
      <c r="P917" s="348">
        <f>IFERROR(__xludf.DUMMYFUNCTION("""COMPUTED_VALUE"""),0.0)</f>
        <v>0</v>
      </c>
      <c r="Q917" s="348">
        <f>IFERROR(__xludf.DUMMYFUNCTION("""COMPUTED_VALUE"""),0.0)</f>
        <v>0</v>
      </c>
      <c r="R917" s="355" t="str">
        <f>IFERROR(__xludf.DUMMYFUNCTION("""COMPUTED_VALUE""")," Cash Proyek ")</f>
        <v>Cash Proyek</v>
      </c>
      <c r="S917" s="350"/>
      <c r="T917" s="262"/>
      <c r="U917" s="351"/>
      <c r="V917" s="262"/>
      <c r="W917" s="262"/>
      <c r="X917" s="262"/>
      <c r="Y917" s="262"/>
      <c r="Z917" s="262"/>
      <c r="AA917" s="262"/>
      <c r="AB917" s="262"/>
      <c r="AC917" s="262"/>
      <c r="AD917" s="262"/>
      <c r="AE917" s="262"/>
      <c r="AF917" s="262"/>
      <c r="AG917" s="264"/>
      <c r="AH917" s="264"/>
      <c r="AI917" s="264"/>
      <c r="AJ917" s="264"/>
      <c r="AK917" s="264"/>
      <c r="AL917" s="264"/>
      <c r="AM917" s="264"/>
      <c r="AN917" s="264"/>
    </row>
    <row r="918" ht="15.75" customHeight="1">
      <c r="A918" s="262"/>
      <c r="B918" s="338">
        <f>IFERROR(__xludf.DUMMYFUNCTION("""COMPUTED_VALUE"""),1399.0)</f>
        <v>1399</v>
      </c>
      <c r="C918" s="354"/>
      <c r="D918" s="340" t="str">
        <f>IFERROR(__xludf.DUMMYFUNCTION("""COMPUTED_VALUE"""),"")</f>
        <v/>
      </c>
      <c r="E918" s="341">
        <f>IFERROR(__xludf.DUMMYFUNCTION("""COMPUTED_VALUE"""),0.0)</f>
        <v>0</v>
      </c>
      <c r="F918" s="352"/>
      <c r="G918" s="343"/>
      <c r="H918" s="344">
        <f>IFERROR(__xludf.DUMMYFUNCTION("""COMPUTED_VALUE"""),0.0)</f>
        <v>0</v>
      </c>
      <c r="I918" s="353"/>
      <c r="J918" s="353"/>
      <c r="K918" s="346">
        <f>IFERROR(__xludf.DUMMYFUNCTION("""COMPUTED_VALUE"""),0.0)</f>
        <v>0</v>
      </c>
      <c r="L918" s="347">
        <f>IFERROR(__xludf.DUMMYFUNCTION("""COMPUTED_VALUE"""),0.0)</f>
        <v>0</v>
      </c>
      <c r="M918" s="348">
        <f>IFERROR(__xludf.DUMMYFUNCTION("""COMPUTED_VALUE"""),0.0)</f>
        <v>0</v>
      </c>
      <c r="N918" s="348">
        <f>IFERROR(__xludf.DUMMYFUNCTION("""COMPUTED_VALUE"""),0.0)</f>
        <v>0</v>
      </c>
      <c r="O918" s="348">
        <f>IFERROR(__xludf.DUMMYFUNCTION("""COMPUTED_VALUE"""),0.0)</f>
        <v>0</v>
      </c>
      <c r="P918" s="348">
        <f>IFERROR(__xludf.DUMMYFUNCTION("""COMPUTED_VALUE"""),0.0)</f>
        <v>0</v>
      </c>
      <c r="Q918" s="348">
        <f>IFERROR(__xludf.DUMMYFUNCTION("""COMPUTED_VALUE"""),0.0)</f>
        <v>0</v>
      </c>
      <c r="R918" s="355" t="str">
        <f>IFERROR(__xludf.DUMMYFUNCTION("""COMPUTED_VALUE""")," Cash Proyek ")</f>
        <v>Cash Proyek</v>
      </c>
      <c r="S918" s="350"/>
      <c r="T918" s="262"/>
      <c r="U918" s="351"/>
      <c r="V918" s="262"/>
      <c r="W918" s="262"/>
      <c r="X918" s="262"/>
      <c r="Y918" s="262"/>
      <c r="Z918" s="262"/>
      <c r="AA918" s="262"/>
      <c r="AB918" s="262"/>
      <c r="AC918" s="262"/>
      <c r="AD918" s="262"/>
      <c r="AE918" s="262"/>
      <c r="AF918" s="262"/>
      <c r="AG918" s="264"/>
      <c r="AH918" s="264"/>
      <c r="AI918" s="264"/>
      <c r="AJ918" s="264"/>
      <c r="AK918" s="264"/>
      <c r="AL918" s="264"/>
      <c r="AM918" s="264"/>
      <c r="AN918" s="264"/>
    </row>
    <row r="919" ht="15.75" customHeight="1">
      <c r="A919" s="262"/>
      <c r="B919" s="338">
        <f>IFERROR(__xludf.DUMMYFUNCTION("""COMPUTED_VALUE"""),1400.0)</f>
        <v>1400</v>
      </c>
      <c r="C919" s="354"/>
      <c r="D919" s="340" t="str">
        <f>IFERROR(__xludf.DUMMYFUNCTION("""COMPUTED_VALUE"""),"")</f>
        <v/>
      </c>
      <c r="E919" s="341">
        <f>IFERROR(__xludf.DUMMYFUNCTION("""COMPUTED_VALUE"""),0.0)</f>
        <v>0</v>
      </c>
      <c r="F919" s="352"/>
      <c r="G919" s="343"/>
      <c r="H919" s="344">
        <f>IFERROR(__xludf.DUMMYFUNCTION("""COMPUTED_VALUE"""),0.0)</f>
        <v>0</v>
      </c>
      <c r="I919" s="353"/>
      <c r="J919" s="353"/>
      <c r="K919" s="346">
        <f>IFERROR(__xludf.DUMMYFUNCTION("""COMPUTED_VALUE"""),0.0)</f>
        <v>0</v>
      </c>
      <c r="L919" s="347">
        <f>IFERROR(__xludf.DUMMYFUNCTION("""COMPUTED_VALUE"""),0.0)</f>
        <v>0</v>
      </c>
      <c r="M919" s="348">
        <f>IFERROR(__xludf.DUMMYFUNCTION("""COMPUTED_VALUE"""),0.0)</f>
        <v>0</v>
      </c>
      <c r="N919" s="348">
        <f>IFERROR(__xludf.DUMMYFUNCTION("""COMPUTED_VALUE"""),0.0)</f>
        <v>0</v>
      </c>
      <c r="O919" s="348">
        <f>IFERROR(__xludf.DUMMYFUNCTION("""COMPUTED_VALUE"""),0.0)</f>
        <v>0</v>
      </c>
      <c r="P919" s="348">
        <f>IFERROR(__xludf.DUMMYFUNCTION("""COMPUTED_VALUE"""),0.0)</f>
        <v>0</v>
      </c>
      <c r="Q919" s="348">
        <f>IFERROR(__xludf.DUMMYFUNCTION("""COMPUTED_VALUE"""),0.0)</f>
        <v>0</v>
      </c>
      <c r="R919" s="355" t="str">
        <f>IFERROR(__xludf.DUMMYFUNCTION("""COMPUTED_VALUE""")," Cash Proyek ")</f>
        <v>Cash Proyek</v>
      </c>
      <c r="S919" s="350"/>
      <c r="T919" s="262"/>
      <c r="U919" s="351"/>
      <c r="V919" s="262"/>
      <c r="W919" s="262"/>
      <c r="X919" s="262"/>
      <c r="Y919" s="262"/>
      <c r="Z919" s="262"/>
      <c r="AA919" s="262"/>
      <c r="AB919" s="262"/>
      <c r="AC919" s="262"/>
      <c r="AD919" s="262"/>
      <c r="AE919" s="262"/>
      <c r="AF919" s="262"/>
      <c r="AG919" s="264"/>
      <c r="AH919" s="264"/>
      <c r="AI919" s="264"/>
      <c r="AJ919" s="264"/>
      <c r="AK919" s="264"/>
      <c r="AL919" s="264"/>
      <c r="AM919" s="264"/>
      <c r="AN919" s="264"/>
    </row>
    <row r="920" ht="15.75" customHeight="1">
      <c r="A920" s="262"/>
      <c r="B920" s="338">
        <f>IFERROR(__xludf.DUMMYFUNCTION("""COMPUTED_VALUE"""),1401.0)</f>
        <v>1401</v>
      </c>
      <c r="C920" s="354"/>
      <c r="D920" s="340" t="str">
        <f>IFERROR(__xludf.DUMMYFUNCTION("""COMPUTED_VALUE"""),"")</f>
        <v/>
      </c>
      <c r="E920" s="341">
        <f>IFERROR(__xludf.DUMMYFUNCTION("""COMPUTED_VALUE"""),0.0)</f>
        <v>0</v>
      </c>
      <c r="F920" s="352"/>
      <c r="G920" s="343"/>
      <c r="H920" s="344">
        <f>IFERROR(__xludf.DUMMYFUNCTION("""COMPUTED_VALUE"""),0.0)</f>
        <v>0</v>
      </c>
      <c r="I920" s="353"/>
      <c r="J920" s="353"/>
      <c r="K920" s="346">
        <f>IFERROR(__xludf.DUMMYFUNCTION("""COMPUTED_VALUE"""),0.0)</f>
        <v>0</v>
      </c>
      <c r="L920" s="347">
        <f>IFERROR(__xludf.DUMMYFUNCTION("""COMPUTED_VALUE"""),0.0)</f>
        <v>0</v>
      </c>
      <c r="M920" s="348">
        <f>IFERROR(__xludf.DUMMYFUNCTION("""COMPUTED_VALUE"""),0.0)</f>
        <v>0</v>
      </c>
      <c r="N920" s="348">
        <f>IFERROR(__xludf.DUMMYFUNCTION("""COMPUTED_VALUE"""),0.0)</f>
        <v>0</v>
      </c>
      <c r="O920" s="348">
        <f>IFERROR(__xludf.DUMMYFUNCTION("""COMPUTED_VALUE"""),0.0)</f>
        <v>0</v>
      </c>
      <c r="P920" s="348">
        <f>IFERROR(__xludf.DUMMYFUNCTION("""COMPUTED_VALUE"""),0.0)</f>
        <v>0</v>
      </c>
      <c r="Q920" s="348">
        <f>IFERROR(__xludf.DUMMYFUNCTION("""COMPUTED_VALUE"""),0.0)</f>
        <v>0</v>
      </c>
      <c r="R920" s="355" t="str">
        <f>IFERROR(__xludf.DUMMYFUNCTION("""COMPUTED_VALUE""")," Cash Proyek ")</f>
        <v>Cash Proyek</v>
      </c>
      <c r="S920" s="350"/>
      <c r="T920" s="262"/>
      <c r="U920" s="351"/>
      <c r="V920" s="262"/>
      <c r="W920" s="262"/>
      <c r="X920" s="262"/>
      <c r="Y920" s="262"/>
      <c r="Z920" s="262"/>
      <c r="AA920" s="262"/>
      <c r="AB920" s="262"/>
      <c r="AC920" s="262"/>
      <c r="AD920" s="262"/>
      <c r="AE920" s="262"/>
      <c r="AF920" s="262"/>
      <c r="AG920" s="264"/>
      <c r="AH920" s="264"/>
      <c r="AI920" s="264"/>
      <c r="AJ920" s="264"/>
      <c r="AK920" s="264"/>
      <c r="AL920" s="264"/>
      <c r="AM920" s="264"/>
      <c r="AN920" s="264"/>
    </row>
    <row r="921" ht="15.75" customHeight="1">
      <c r="A921" s="262"/>
      <c r="B921" s="338">
        <f>IFERROR(__xludf.DUMMYFUNCTION("""COMPUTED_VALUE"""),1402.0)</f>
        <v>1402</v>
      </c>
      <c r="C921" s="354"/>
      <c r="D921" s="340" t="str">
        <f>IFERROR(__xludf.DUMMYFUNCTION("""COMPUTED_VALUE"""),"")</f>
        <v/>
      </c>
      <c r="E921" s="341">
        <f>IFERROR(__xludf.DUMMYFUNCTION("""COMPUTED_VALUE"""),0.0)</f>
        <v>0</v>
      </c>
      <c r="F921" s="352"/>
      <c r="G921" s="343"/>
      <c r="H921" s="344">
        <f>IFERROR(__xludf.DUMMYFUNCTION("""COMPUTED_VALUE"""),0.0)</f>
        <v>0</v>
      </c>
      <c r="I921" s="353"/>
      <c r="J921" s="353"/>
      <c r="K921" s="346">
        <f>IFERROR(__xludf.DUMMYFUNCTION("""COMPUTED_VALUE"""),0.0)</f>
        <v>0</v>
      </c>
      <c r="L921" s="347">
        <f>IFERROR(__xludf.DUMMYFUNCTION("""COMPUTED_VALUE"""),0.0)</f>
        <v>0</v>
      </c>
      <c r="M921" s="348">
        <f>IFERROR(__xludf.DUMMYFUNCTION("""COMPUTED_VALUE"""),0.0)</f>
        <v>0</v>
      </c>
      <c r="N921" s="348">
        <f>IFERROR(__xludf.DUMMYFUNCTION("""COMPUTED_VALUE"""),0.0)</f>
        <v>0</v>
      </c>
      <c r="O921" s="348">
        <f>IFERROR(__xludf.DUMMYFUNCTION("""COMPUTED_VALUE"""),0.0)</f>
        <v>0</v>
      </c>
      <c r="P921" s="348">
        <f>IFERROR(__xludf.DUMMYFUNCTION("""COMPUTED_VALUE"""),0.0)</f>
        <v>0</v>
      </c>
      <c r="Q921" s="348">
        <f>IFERROR(__xludf.DUMMYFUNCTION("""COMPUTED_VALUE"""),0.0)</f>
        <v>0</v>
      </c>
      <c r="R921" s="355" t="str">
        <f>IFERROR(__xludf.DUMMYFUNCTION("""COMPUTED_VALUE""")," Cash Proyek ")</f>
        <v>Cash Proyek</v>
      </c>
      <c r="S921" s="350"/>
      <c r="T921" s="262"/>
      <c r="U921" s="351"/>
      <c r="V921" s="262"/>
      <c r="W921" s="262"/>
      <c r="X921" s="262"/>
      <c r="Y921" s="262"/>
      <c r="Z921" s="262"/>
      <c r="AA921" s="262"/>
      <c r="AB921" s="262"/>
      <c r="AC921" s="262"/>
      <c r="AD921" s="262"/>
      <c r="AE921" s="262"/>
      <c r="AF921" s="262"/>
      <c r="AG921" s="264"/>
      <c r="AH921" s="264"/>
      <c r="AI921" s="264"/>
      <c r="AJ921" s="264"/>
      <c r="AK921" s="264"/>
      <c r="AL921" s="264"/>
      <c r="AM921" s="264"/>
      <c r="AN921" s="264"/>
    </row>
    <row r="922" ht="15.75" customHeight="1">
      <c r="A922" s="262"/>
      <c r="B922" s="338">
        <f>IFERROR(__xludf.DUMMYFUNCTION("""COMPUTED_VALUE"""),1403.0)</f>
        <v>1403</v>
      </c>
      <c r="C922" s="354"/>
      <c r="D922" s="340" t="str">
        <f>IFERROR(__xludf.DUMMYFUNCTION("""COMPUTED_VALUE"""),"")</f>
        <v/>
      </c>
      <c r="E922" s="341">
        <f>IFERROR(__xludf.DUMMYFUNCTION("""COMPUTED_VALUE"""),0.0)</f>
        <v>0</v>
      </c>
      <c r="F922" s="352"/>
      <c r="G922" s="343"/>
      <c r="H922" s="344">
        <f>IFERROR(__xludf.DUMMYFUNCTION("""COMPUTED_VALUE"""),0.0)</f>
        <v>0</v>
      </c>
      <c r="I922" s="353"/>
      <c r="J922" s="353"/>
      <c r="K922" s="346">
        <f>IFERROR(__xludf.DUMMYFUNCTION("""COMPUTED_VALUE"""),0.0)</f>
        <v>0</v>
      </c>
      <c r="L922" s="347">
        <f>IFERROR(__xludf.DUMMYFUNCTION("""COMPUTED_VALUE"""),0.0)</f>
        <v>0</v>
      </c>
      <c r="M922" s="348">
        <f>IFERROR(__xludf.DUMMYFUNCTION("""COMPUTED_VALUE"""),0.0)</f>
        <v>0</v>
      </c>
      <c r="N922" s="348">
        <f>IFERROR(__xludf.DUMMYFUNCTION("""COMPUTED_VALUE"""),0.0)</f>
        <v>0</v>
      </c>
      <c r="O922" s="348">
        <f>IFERROR(__xludf.DUMMYFUNCTION("""COMPUTED_VALUE"""),0.0)</f>
        <v>0</v>
      </c>
      <c r="P922" s="348">
        <f>IFERROR(__xludf.DUMMYFUNCTION("""COMPUTED_VALUE"""),0.0)</f>
        <v>0</v>
      </c>
      <c r="Q922" s="348">
        <f>IFERROR(__xludf.DUMMYFUNCTION("""COMPUTED_VALUE"""),0.0)</f>
        <v>0</v>
      </c>
      <c r="R922" s="355" t="str">
        <f>IFERROR(__xludf.DUMMYFUNCTION("""COMPUTED_VALUE""")," Cash Proyek ")</f>
        <v>Cash Proyek</v>
      </c>
      <c r="S922" s="350"/>
      <c r="T922" s="262"/>
      <c r="U922" s="351"/>
      <c r="V922" s="262"/>
      <c r="W922" s="262"/>
      <c r="X922" s="262"/>
      <c r="Y922" s="262"/>
      <c r="Z922" s="262"/>
      <c r="AA922" s="262"/>
      <c r="AB922" s="262"/>
      <c r="AC922" s="262"/>
      <c r="AD922" s="262"/>
      <c r="AE922" s="262"/>
      <c r="AF922" s="262"/>
      <c r="AG922" s="264"/>
      <c r="AH922" s="264"/>
      <c r="AI922" s="264"/>
      <c r="AJ922" s="264"/>
      <c r="AK922" s="264"/>
      <c r="AL922" s="264"/>
      <c r="AM922" s="264"/>
      <c r="AN922" s="264"/>
    </row>
    <row r="923" ht="15.75" customHeight="1">
      <c r="A923" s="262"/>
      <c r="B923" s="338">
        <f>IFERROR(__xludf.DUMMYFUNCTION("""COMPUTED_VALUE"""),1404.0)</f>
        <v>1404</v>
      </c>
      <c r="C923" s="354"/>
      <c r="D923" s="340" t="str">
        <f>IFERROR(__xludf.DUMMYFUNCTION("""COMPUTED_VALUE"""),"")</f>
        <v/>
      </c>
      <c r="E923" s="341">
        <f>IFERROR(__xludf.DUMMYFUNCTION("""COMPUTED_VALUE"""),0.0)</f>
        <v>0</v>
      </c>
      <c r="F923" s="352"/>
      <c r="G923" s="343"/>
      <c r="H923" s="344">
        <f>IFERROR(__xludf.DUMMYFUNCTION("""COMPUTED_VALUE"""),0.0)</f>
        <v>0</v>
      </c>
      <c r="I923" s="353"/>
      <c r="J923" s="353"/>
      <c r="K923" s="346">
        <f>IFERROR(__xludf.DUMMYFUNCTION("""COMPUTED_VALUE"""),0.0)</f>
        <v>0</v>
      </c>
      <c r="L923" s="347">
        <f>IFERROR(__xludf.DUMMYFUNCTION("""COMPUTED_VALUE"""),0.0)</f>
        <v>0</v>
      </c>
      <c r="M923" s="348">
        <f>IFERROR(__xludf.DUMMYFUNCTION("""COMPUTED_VALUE"""),0.0)</f>
        <v>0</v>
      </c>
      <c r="N923" s="348">
        <f>IFERROR(__xludf.DUMMYFUNCTION("""COMPUTED_VALUE"""),0.0)</f>
        <v>0</v>
      </c>
      <c r="O923" s="348">
        <f>IFERROR(__xludf.DUMMYFUNCTION("""COMPUTED_VALUE"""),0.0)</f>
        <v>0</v>
      </c>
      <c r="P923" s="348">
        <f>IFERROR(__xludf.DUMMYFUNCTION("""COMPUTED_VALUE"""),0.0)</f>
        <v>0</v>
      </c>
      <c r="Q923" s="348">
        <f>IFERROR(__xludf.DUMMYFUNCTION("""COMPUTED_VALUE"""),0.0)</f>
        <v>0</v>
      </c>
      <c r="R923" s="355" t="str">
        <f>IFERROR(__xludf.DUMMYFUNCTION("""COMPUTED_VALUE""")," Cash Proyek ")</f>
        <v>Cash Proyek</v>
      </c>
      <c r="S923" s="350"/>
      <c r="T923" s="262"/>
      <c r="U923" s="351"/>
      <c r="V923" s="262"/>
      <c r="W923" s="262"/>
      <c r="X923" s="262"/>
      <c r="Y923" s="262"/>
      <c r="Z923" s="262"/>
      <c r="AA923" s="262"/>
      <c r="AB923" s="262"/>
      <c r="AC923" s="262"/>
      <c r="AD923" s="262"/>
      <c r="AE923" s="262"/>
      <c r="AF923" s="262"/>
      <c r="AG923" s="264"/>
      <c r="AH923" s="264"/>
      <c r="AI923" s="264"/>
      <c r="AJ923" s="264"/>
      <c r="AK923" s="264"/>
      <c r="AL923" s="264"/>
      <c r="AM923" s="264"/>
      <c r="AN923" s="264"/>
    </row>
    <row r="924" ht="15.75" customHeight="1">
      <c r="A924" s="262"/>
      <c r="B924" s="338">
        <f>IFERROR(__xludf.DUMMYFUNCTION("""COMPUTED_VALUE"""),1405.0)</f>
        <v>1405</v>
      </c>
      <c r="C924" s="354"/>
      <c r="D924" s="340" t="str">
        <f>IFERROR(__xludf.DUMMYFUNCTION("""COMPUTED_VALUE"""),"")</f>
        <v/>
      </c>
      <c r="E924" s="341">
        <f>IFERROR(__xludf.DUMMYFUNCTION("""COMPUTED_VALUE"""),0.0)</f>
        <v>0</v>
      </c>
      <c r="F924" s="352"/>
      <c r="G924" s="343"/>
      <c r="H924" s="344">
        <f>IFERROR(__xludf.DUMMYFUNCTION("""COMPUTED_VALUE"""),0.0)</f>
        <v>0</v>
      </c>
      <c r="I924" s="353"/>
      <c r="J924" s="353"/>
      <c r="K924" s="346">
        <f>IFERROR(__xludf.DUMMYFUNCTION("""COMPUTED_VALUE"""),0.0)</f>
        <v>0</v>
      </c>
      <c r="L924" s="347">
        <f>IFERROR(__xludf.DUMMYFUNCTION("""COMPUTED_VALUE"""),0.0)</f>
        <v>0</v>
      </c>
      <c r="M924" s="348">
        <f>IFERROR(__xludf.DUMMYFUNCTION("""COMPUTED_VALUE"""),0.0)</f>
        <v>0</v>
      </c>
      <c r="N924" s="348">
        <f>IFERROR(__xludf.DUMMYFUNCTION("""COMPUTED_VALUE"""),0.0)</f>
        <v>0</v>
      </c>
      <c r="O924" s="348">
        <f>IFERROR(__xludf.DUMMYFUNCTION("""COMPUTED_VALUE"""),0.0)</f>
        <v>0</v>
      </c>
      <c r="P924" s="348">
        <f>IFERROR(__xludf.DUMMYFUNCTION("""COMPUTED_VALUE"""),0.0)</f>
        <v>0</v>
      </c>
      <c r="Q924" s="348">
        <f>IFERROR(__xludf.DUMMYFUNCTION("""COMPUTED_VALUE"""),0.0)</f>
        <v>0</v>
      </c>
      <c r="R924" s="355" t="str">
        <f>IFERROR(__xludf.DUMMYFUNCTION("""COMPUTED_VALUE""")," Cash Proyek ")</f>
        <v>Cash Proyek</v>
      </c>
      <c r="S924" s="350"/>
      <c r="T924" s="262"/>
      <c r="U924" s="351"/>
      <c r="V924" s="262"/>
      <c r="W924" s="262"/>
      <c r="X924" s="262"/>
      <c r="Y924" s="262"/>
      <c r="Z924" s="262"/>
      <c r="AA924" s="262"/>
      <c r="AB924" s="262"/>
      <c r="AC924" s="262"/>
      <c r="AD924" s="262"/>
      <c r="AE924" s="262"/>
      <c r="AF924" s="262"/>
      <c r="AG924" s="264"/>
      <c r="AH924" s="264"/>
      <c r="AI924" s="264"/>
      <c r="AJ924" s="264"/>
      <c r="AK924" s="264"/>
      <c r="AL924" s="264"/>
      <c r="AM924" s="264"/>
      <c r="AN924" s="264"/>
    </row>
    <row r="925" ht="15.75" customHeight="1">
      <c r="A925" s="262"/>
      <c r="B925" s="338">
        <f>IFERROR(__xludf.DUMMYFUNCTION("""COMPUTED_VALUE"""),1406.0)</f>
        <v>1406</v>
      </c>
      <c r="C925" s="354"/>
      <c r="D925" s="340" t="str">
        <f>IFERROR(__xludf.DUMMYFUNCTION("""COMPUTED_VALUE"""),"")</f>
        <v/>
      </c>
      <c r="E925" s="341">
        <f>IFERROR(__xludf.DUMMYFUNCTION("""COMPUTED_VALUE"""),0.0)</f>
        <v>0</v>
      </c>
      <c r="F925" s="352"/>
      <c r="G925" s="343"/>
      <c r="H925" s="344">
        <f>IFERROR(__xludf.DUMMYFUNCTION("""COMPUTED_VALUE"""),0.0)</f>
        <v>0</v>
      </c>
      <c r="I925" s="353"/>
      <c r="J925" s="353"/>
      <c r="K925" s="346">
        <f>IFERROR(__xludf.DUMMYFUNCTION("""COMPUTED_VALUE"""),0.0)</f>
        <v>0</v>
      </c>
      <c r="L925" s="347">
        <f>IFERROR(__xludf.DUMMYFUNCTION("""COMPUTED_VALUE"""),0.0)</f>
        <v>0</v>
      </c>
      <c r="M925" s="348">
        <f>IFERROR(__xludf.DUMMYFUNCTION("""COMPUTED_VALUE"""),0.0)</f>
        <v>0</v>
      </c>
      <c r="N925" s="348">
        <f>IFERROR(__xludf.DUMMYFUNCTION("""COMPUTED_VALUE"""),0.0)</f>
        <v>0</v>
      </c>
      <c r="O925" s="348">
        <f>IFERROR(__xludf.DUMMYFUNCTION("""COMPUTED_VALUE"""),0.0)</f>
        <v>0</v>
      </c>
      <c r="P925" s="348">
        <f>IFERROR(__xludf.DUMMYFUNCTION("""COMPUTED_VALUE"""),0.0)</f>
        <v>0</v>
      </c>
      <c r="Q925" s="348">
        <f>IFERROR(__xludf.DUMMYFUNCTION("""COMPUTED_VALUE"""),0.0)</f>
        <v>0</v>
      </c>
      <c r="R925" s="355" t="str">
        <f>IFERROR(__xludf.DUMMYFUNCTION("""COMPUTED_VALUE""")," Cash Proyek ")</f>
        <v>Cash Proyek</v>
      </c>
      <c r="S925" s="350"/>
      <c r="T925" s="262"/>
      <c r="U925" s="351"/>
      <c r="V925" s="262"/>
      <c r="W925" s="262"/>
      <c r="X925" s="262"/>
      <c r="Y925" s="262"/>
      <c r="Z925" s="262"/>
      <c r="AA925" s="262"/>
      <c r="AB925" s="262"/>
      <c r="AC925" s="262"/>
      <c r="AD925" s="262"/>
      <c r="AE925" s="262"/>
      <c r="AF925" s="262"/>
      <c r="AG925" s="264"/>
      <c r="AH925" s="264"/>
      <c r="AI925" s="264"/>
      <c r="AJ925" s="264"/>
      <c r="AK925" s="264"/>
      <c r="AL925" s="264"/>
      <c r="AM925" s="264"/>
      <c r="AN925" s="264"/>
    </row>
    <row r="926" ht="15.75" customHeight="1">
      <c r="A926" s="262"/>
      <c r="B926" s="338">
        <f>IFERROR(__xludf.DUMMYFUNCTION("""COMPUTED_VALUE"""),1407.0)</f>
        <v>1407</v>
      </c>
      <c r="C926" s="354"/>
      <c r="D926" s="340" t="str">
        <f>IFERROR(__xludf.DUMMYFUNCTION("""COMPUTED_VALUE"""),"")</f>
        <v/>
      </c>
      <c r="E926" s="341">
        <f>IFERROR(__xludf.DUMMYFUNCTION("""COMPUTED_VALUE"""),0.0)</f>
        <v>0</v>
      </c>
      <c r="F926" s="352"/>
      <c r="G926" s="343"/>
      <c r="H926" s="344">
        <f>IFERROR(__xludf.DUMMYFUNCTION("""COMPUTED_VALUE"""),0.0)</f>
        <v>0</v>
      </c>
      <c r="I926" s="353"/>
      <c r="J926" s="353"/>
      <c r="K926" s="346">
        <f>IFERROR(__xludf.DUMMYFUNCTION("""COMPUTED_VALUE"""),0.0)</f>
        <v>0</v>
      </c>
      <c r="L926" s="347">
        <f>IFERROR(__xludf.DUMMYFUNCTION("""COMPUTED_VALUE"""),0.0)</f>
        <v>0</v>
      </c>
      <c r="M926" s="348">
        <f>IFERROR(__xludf.DUMMYFUNCTION("""COMPUTED_VALUE"""),0.0)</f>
        <v>0</v>
      </c>
      <c r="N926" s="348">
        <f>IFERROR(__xludf.DUMMYFUNCTION("""COMPUTED_VALUE"""),0.0)</f>
        <v>0</v>
      </c>
      <c r="O926" s="348">
        <f>IFERROR(__xludf.DUMMYFUNCTION("""COMPUTED_VALUE"""),0.0)</f>
        <v>0</v>
      </c>
      <c r="P926" s="348">
        <f>IFERROR(__xludf.DUMMYFUNCTION("""COMPUTED_VALUE"""),0.0)</f>
        <v>0</v>
      </c>
      <c r="Q926" s="348">
        <f>IFERROR(__xludf.DUMMYFUNCTION("""COMPUTED_VALUE"""),0.0)</f>
        <v>0</v>
      </c>
      <c r="R926" s="355" t="str">
        <f>IFERROR(__xludf.DUMMYFUNCTION("""COMPUTED_VALUE""")," Cash Proyek ")</f>
        <v>Cash Proyek</v>
      </c>
      <c r="S926" s="350"/>
      <c r="T926" s="262"/>
      <c r="U926" s="351"/>
      <c r="V926" s="262"/>
      <c r="W926" s="262"/>
      <c r="X926" s="262"/>
      <c r="Y926" s="262"/>
      <c r="Z926" s="262"/>
      <c r="AA926" s="262"/>
      <c r="AB926" s="262"/>
      <c r="AC926" s="262"/>
      <c r="AD926" s="262"/>
      <c r="AE926" s="262"/>
      <c r="AF926" s="262"/>
      <c r="AG926" s="264"/>
      <c r="AH926" s="264"/>
      <c r="AI926" s="264"/>
      <c r="AJ926" s="264"/>
      <c r="AK926" s="264"/>
      <c r="AL926" s="264"/>
      <c r="AM926" s="264"/>
      <c r="AN926" s="264"/>
    </row>
    <row r="927" ht="15.75" customHeight="1">
      <c r="A927" s="262"/>
      <c r="B927" s="338">
        <f>IFERROR(__xludf.DUMMYFUNCTION("""COMPUTED_VALUE"""),1408.0)</f>
        <v>1408</v>
      </c>
      <c r="C927" s="354"/>
      <c r="D927" s="340" t="str">
        <f>IFERROR(__xludf.DUMMYFUNCTION("""COMPUTED_VALUE"""),"")</f>
        <v/>
      </c>
      <c r="E927" s="341">
        <f>IFERROR(__xludf.DUMMYFUNCTION("""COMPUTED_VALUE"""),0.0)</f>
        <v>0</v>
      </c>
      <c r="F927" s="352"/>
      <c r="G927" s="343"/>
      <c r="H927" s="344">
        <f>IFERROR(__xludf.DUMMYFUNCTION("""COMPUTED_VALUE"""),0.0)</f>
        <v>0</v>
      </c>
      <c r="I927" s="353"/>
      <c r="J927" s="353"/>
      <c r="K927" s="346">
        <f>IFERROR(__xludf.DUMMYFUNCTION("""COMPUTED_VALUE"""),0.0)</f>
        <v>0</v>
      </c>
      <c r="L927" s="347">
        <f>IFERROR(__xludf.DUMMYFUNCTION("""COMPUTED_VALUE"""),0.0)</f>
        <v>0</v>
      </c>
      <c r="M927" s="348">
        <f>IFERROR(__xludf.DUMMYFUNCTION("""COMPUTED_VALUE"""),0.0)</f>
        <v>0</v>
      </c>
      <c r="N927" s="348">
        <f>IFERROR(__xludf.DUMMYFUNCTION("""COMPUTED_VALUE"""),0.0)</f>
        <v>0</v>
      </c>
      <c r="O927" s="348">
        <f>IFERROR(__xludf.DUMMYFUNCTION("""COMPUTED_VALUE"""),0.0)</f>
        <v>0</v>
      </c>
      <c r="P927" s="348">
        <f>IFERROR(__xludf.DUMMYFUNCTION("""COMPUTED_VALUE"""),0.0)</f>
        <v>0</v>
      </c>
      <c r="Q927" s="348">
        <f>IFERROR(__xludf.DUMMYFUNCTION("""COMPUTED_VALUE"""),0.0)</f>
        <v>0</v>
      </c>
      <c r="R927" s="355" t="str">
        <f>IFERROR(__xludf.DUMMYFUNCTION("""COMPUTED_VALUE""")," Cash Proyek ")</f>
        <v>Cash Proyek</v>
      </c>
      <c r="S927" s="350"/>
      <c r="T927" s="262"/>
      <c r="U927" s="351"/>
      <c r="V927" s="262"/>
      <c r="W927" s="262"/>
      <c r="X927" s="262"/>
      <c r="Y927" s="262"/>
      <c r="Z927" s="262"/>
      <c r="AA927" s="262"/>
      <c r="AB927" s="262"/>
      <c r="AC927" s="262"/>
      <c r="AD927" s="262"/>
      <c r="AE927" s="262"/>
      <c r="AF927" s="262"/>
      <c r="AG927" s="264"/>
      <c r="AH927" s="264"/>
      <c r="AI927" s="264"/>
      <c r="AJ927" s="264"/>
      <c r="AK927" s="264"/>
      <c r="AL927" s="264"/>
      <c r="AM927" s="264"/>
      <c r="AN927" s="264"/>
    </row>
    <row r="928" ht="15.75" customHeight="1">
      <c r="A928" s="262"/>
      <c r="B928" s="338">
        <f>IFERROR(__xludf.DUMMYFUNCTION("""COMPUTED_VALUE"""),1409.0)</f>
        <v>1409</v>
      </c>
      <c r="C928" s="354"/>
      <c r="D928" s="340" t="str">
        <f>IFERROR(__xludf.DUMMYFUNCTION("""COMPUTED_VALUE"""),"")</f>
        <v/>
      </c>
      <c r="E928" s="341">
        <f>IFERROR(__xludf.DUMMYFUNCTION("""COMPUTED_VALUE"""),0.0)</f>
        <v>0</v>
      </c>
      <c r="F928" s="352"/>
      <c r="G928" s="343"/>
      <c r="H928" s="344">
        <f>IFERROR(__xludf.DUMMYFUNCTION("""COMPUTED_VALUE"""),0.0)</f>
        <v>0</v>
      </c>
      <c r="I928" s="353"/>
      <c r="J928" s="353"/>
      <c r="K928" s="346">
        <f>IFERROR(__xludf.DUMMYFUNCTION("""COMPUTED_VALUE"""),0.0)</f>
        <v>0</v>
      </c>
      <c r="L928" s="347">
        <f>IFERROR(__xludf.DUMMYFUNCTION("""COMPUTED_VALUE"""),0.0)</f>
        <v>0</v>
      </c>
      <c r="M928" s="348">
        <f>IFERROR(__xludf.DUMMYFUNCTION("""COMPUTED_VALUE"""),0.0)</f>
        <v>0</v>
      </c>
      <c r="N928" s="348">
        <f>IFERROR(__xludf.DUMMYFUNCTION("""COMPUTED_VALUE"""),0.0)</f>
        <v>0</v>
      </c>
      <c r="O928" s="348">
        <f>IFERROR(__xludf.DUMMYFUNCTION("""COMPUTED_VALUE"""),0.0)</f>
        <v>0</v>
      </c>
      <c r="P928" s="348">
        <f>IFERROR(__xludf.DUMMYFUNCTION("""COMPUTED_VALUE"""),0.0)</f>
        <v>0</v>
      </c>
      <c r="Q928" s="348">
        <f>IFERROR(__xludf.DUMMYFUNCTION("""COMPUTED_VALUE"""),0.0)</f>
        <v>0</v>
      </c>
      <c r="R928" s="355" t="str">
        <f>IFERROR(__xludf.DUMMYFUNCTION("""COMPUTED_VALUE""")," Cash Proyek ")</f>
        <v>Cash Proyek</v>
      </c>
      <c r="S928" s="350"/>
      <c r="T928" s="262"/>
      <c r="U928" s="351"/>
      <c r="V928" s="262"/>
      <c r="W928" s="262"/>
      <c r="X928" s="262"/>
      <c r="Y928" s="262"/>
      <c r="Z928" s="262"/>
      <c r="AA928" s="262"/>
      <c r="AB928" s="262"/>
      <c r="AC928" s="262"/>
      <c r="AD928" s="262"/>
      <c r="AE928" s="262"/>
      <c r="AF928" s="262"/>
      <c r="AG928" s="264"/>
      <c r="AH928" s="264"/>
      <c r="AI928" s="264"/>
      <c r="AJ928" s="264"/>
      <c r="AK928" s="264"/>
      <c r="AL928" s="264"/>
      <c r="AM928" s="264"/>
      <c r="AN928" s="264"/>
    </row>
    <row r="929" ht="15.75" customHeight="1">
      <c r="A929" s="262"/>
      <c r="B929" s="338">
        <f>IFERROR(__xludf.DUMMYFUNCTION("""COMPUTED_VALUE"""),1410.0)</f>
        <v>1410</v>
      </c>
      <c r="C929" s="354"/>
      <c r="D929" s="340" t="str">
        <f>IFERROR(__xludf.DUMMYFUNCTION("""COMPUTED_VALUE"""),"")</f>
        <v/>
      </c>
      <c r="E929" s="341">
        <f>IFERROR(__xludf.DUMMYFUNCTION("""COMPUTED_VALUE"""),0.0)</f>
        <v>0</v>
      </c>
      <c r="F929" s="352"/>
      <c r="G929" s="343"/>
      <c r="H929" s="344">
        <f>IFERROR(__xludf.DUMMYFUNCTION("""COMPUTED_VALUE"""),0.0)</f>
        <v>0</v>
      </c>
      <c r="I929" s="353"/>
      <c r="J929" s="353"/>
      <c r="K929" s="346">
        <f>IFERROR(__xludf.DUMMYFUNCTION("""COMPUTED_VALUE"""),0.0)</f>
        <v>0</v>
      </c>
      <c r="L929" s="347">
        <f>IFERROR(__xludf.DUMMYFUNCTION("""COMPUTED_VALUE"""),0.0)</f>
        <v>0</v>
      </c>
      <c r="M929" s="348">
        <f>IFERROR(__xludf.DUMMYFUNCTION("""COMPUTED_VALUE"""),0.0)</f>
        <v>0</v>
      </c>
      <c r="N929" s="348">
        <f>IFERROR(__xludf.DUMMYFUNCTION("""COMPUTED_VALUE"""),0.0)</f>
        <v>0</v>
      </c>
      <c r="O929" s="348">
        <f>IFERROR(__xludf.DUMMYFUNCTION("""COMPUTED_VALUE"""),0.0)</f>
        <v>0</v>
      </c>
      <c r="P929" s="348">
        <f>IFERROR(__xludf.DUMMYFUNCTION("""COMPUTED_VALUE"""),0.0)</f>
        <v>0</v>
      </c>
      <c r="Q929" s="348">
        <f>IFERROR(__xludf.DUMMYFUNCTION("""COMPUTED_VALUE"""),0.0)</f>
        <v>0</v>
      </c>
      <c r="R929" s="355" t="str">
        <f>IFERROR(__xludf.DUMMYFUNCTION("""COMPUTED_VALUE""")," Cash Proyek ")</f>
        <v>Cash Proyek</v>
      </c>
      <c r="S929" s="350"/>
      <c r="T929" s="262"/>
      <c r="U929" s="351"/>
      <c r="V929" s="262"/>
      <c r="W929" s="262"/>
      <c r="X929" s="262"/>
      <c r="Y929" s="262"/>
      <c r="Z929" s="262"/>
      <c r="AA929" s="262"/>
      <c r="AB929" s="262"/>
      <c r="AC929" s="262"/>
      <c r="AD929" s="262"/>
      <c r="AE929" s="262"/>
      <c r="AF929" s="262"/>
      <c r="AG929" s="264"/>
      <c r="AH929" s="264"/>
      <c r="AI929" s="264"/>
      <c r="AJ929" s="264"/>
      <c r="AK929" s="264"/>
      <c r="AL929" s="264"/>
      <c r="AM929" s="264"/>
      <c r="AN929" s="264"/>
    </row>
    <row r="930" ht="15.75" customHeight="1">
      <c r="A930" s="262"/>
      <c r="B930" s="338">
        <f>IFERROR(__xludf.DUMMYFUNCTION("""COMPUTED_VALUE"""),1411.0)</f>
        <v>1411</v>
      </c>
      <c r="C930" s="354"/>
      <c r="D930" s="340" t="str">
        <f>IFERROR(__xludf.DUMMYFUNCTION("""COMPUTED_VALUE"""),"")</f>
        <v/>
      </c>
      <c r="E930" s="341">
        <f>IFERROR(__xludf.DUMMYFUNCTION("""COMPUTED_VALUE"""),0.0)</f>
        <v>0</v>
      </c>
      <c r="F930" s="352"/>
      <c r="G930" s="343"/>
      <c r="H930" s="344">
        <f>IFERROR(__xludf.DUMMYFUNCTION("""COMPUTED_VALUE"""),0.0)</f>
        <v>0</v>
      </c>
      <c r="I930" s="353"/>
      <c r="J930" s="353"/>
      <c r="K930" s="346">
        <f>IFERROR(__xludf.DUMMYFUNCTION("""COMPUTED_VALUE"""),0.0)</f>
        <v>0</v>
      </c>
      <c r="L930" s="347">
        <f>IFERROR(__xludf.DUMMYFUNCTION("""COMPUTED_VALUE"""),0.0)</f>
        <v>0</v>
      </c>
      <c r="M930" s="348">
        <f>IFERROR(__xludf.DUMMYFUNCTION("""COMPUTED_VALUE"""),0.0)</f>
        <v>0</v>
      </c>
      <c r="N930" s="348">
        <f>IFERROR(__xludf.DUMMYFUNCTION("""COMPUTED_VALUE"""),0.0)</f>
        <v>0</v>
      </c>
      <c r="O930" s="348">
        <f>IFERROR(__xludf.DUMMYFUNCTION("""COMPUTED_VALUE"""),0.0)</f>
        <v>0</v>
      </c>
      <c r="P930" s="348">
        <f>IFERROR(__xludf.DUMMYFUNCTION("""COMPUTED_VALUE"""),0.0)</f>
        <v>0</v>
      </c>
      <c r="Q930" s="348">
        <f>IFERROR(__xludf.DUMMYFUNCTION("""COMPUTED_VALUE"""),0.0)</f>
        <v>0</v>
      </c>
      <c r="R930" s="355" t="str">
        <f>IFERROR(__xludf.DUMMYFUNCTION("""COMPUTED_VALUE""")," Cash Proyek ")</f>
        <v>Cash Proyek</v>
      </c>
      <c r="S930" s="350"/>
      <c r="T930" s="262"/>
      <c r="U930" s="351"/>
      <c r="V930" s="262"/>
      <c r="W930" s="262"/>
      <c r="X930" s="262"/>
      <c r="Y930" s="262"/>
      <c r="Z930" s="262"/>
      <c r="AA930" s="262"/>
      <c r="AB930" s="262"/>
      <c r="AC930" s="262"/>
      <c r="AD930" s="262"/>
      <c r="AE930" s="262"/>
      <c r="AF930" s="262"/>
      <c r="AG930" s="264"/>
      <c r="AH930" s="264"/>
      <c r="AI930" s="264"/>
      <c r="AJ930" s="264"/>
      <c r="AK930" s="264"/>
      <c r="AL930" s="264"/>
      <c r="AM930" s="264"/>
      <c r="AN930" s="264"/>
    </row>
    <row r="931" ht="15.75" customHeight="1">
      <c r="A931" s="262"/>
      <c r="B931" s="338">
        <f>IFERROR(__xludf.DUMMYFUNCTION("""COMPUTED_VALUE"""),1412.0)</f>
        <v>1412</v>
      </c>
      <c r="C931" s="354"/>
      <c r="D931" s="340" t="str">
        <f>IFERROR(__xludf.DUMMYFUNCTION("""COMPUTED_VALUE"""),"")</f>
        <v/>
      </c>
      <c r="E931" s="341">
        <f>IFERROR(__xludf.DUMMYFUNCTION("""COMPUTED_VALUE"""),0.0)</f>
        <v>0</v>
      </c>
      <c r="F931" s="352"/>
      <c r="G931" s="343"/>
      <c r="H931" s="344">
        <f>IFERROR(__xludf.DUMMYFUNCTION("""COMPUTED_VALUE"""),0.0)</f>
        <v>0</v>
      </c>
      <c r="I931" s="353"/>
      <c r="J931" s="353"/>
      <c r="K931" s="346">
        <f>IFERROR(__xludf.DUMMYFUNCTION("""COMPUTED_VALUE"""),0.0)</f>
        <v>0</v>
      </c>
      <c r="L931" s="347">
        <f>IFERROR(__xludf.DUMMYFUNCTION("""COMPUTED_VALUE"""),0.0)</f>
        <v>0</v>
      </c>
      <c r="M931" s="348">
        <f>IFERROR(__xludf.DUMMYFUNCTION("""COMPUTED_VALUE"""),0.0)</f>
        <v>0</v>
      </c>
      <c r="N931" s="348">
        <f>IFERROR(__xludf.DUMMYFUNCTION("""COMPUTED_VALUE"""),0.0)</f>
        <v>0</v>
      </c>
      <c r="O931" s="348">
        <f>IFERROR(__xludf.DUMMYFUNCTION("""COMPUTED_VALUE"""),0.0)</f>
        <v>0</v>
      </c>
      <c r="P931" s="348">
        <f>IFERROR(__xludf.DUMMYFUNCTION("""COMPUTED_VALUE"""),0.0)</f>
        <v>0</v>
      </c>
      <c r="Q931" s="348">
        <f>IFERROR(__xludf.DUMMYFUNCTION("""COMPUTED_VALUE"""),0.0)</f>
        <v>0</v>
      </c>
      <c r="R931" s="355" t="str">
        <f>IFERROR(__xludf.DUMMYFUNCTION("""COMPUTED_VALUE""")," Cash Proyek ")</f>
        <v>Cash Proyek</v>
      </c>
      <c r="S931" s="350"/>
      <c r="T931" s="262"/>
      <c r="U931" s="351"/>
      <c r="V931" s="262"/>
      <c r="W931" s="262"/>
      <c r="X931" s="262"/>
      <c r="Y931" s="262"/>
      <c r="Z931" s="262"/>
      <c r="AA931" s="262"/>
      <c r="AB931" s="262"/>
      <c r="AC931" s="262"/>
      <c r="AD931" s="262"/>
      <c r="AE931" s="262"/>
      <c r="AF931" s="262"/>
      <c r="AG931" s="264"/>
      <c r="AH931" s="264"/>
      <c r="AI931" s="264"/>
      <c r="AJ931" s="264"/>
      <c r="AK931" s="264"/>
      <c r="AL931" s="264"/>
      <c r="AM931" s="264"/>
      <c r="AN931" s="264"/>
    </row>
    <row r="932" ht="15.75" customHeight="1">
      <c r="A932" s="262"/>
      <c r="B932" s="338">
        <f>IFERROR(__xludf.DUMMYFUNCTION("""COMPUTED_VALUE"""),1413.0)</f>
        <v>1413</v>
      </c>
      <c r="C932" s="354"/>
      <c r="D932" s="340" t="str">
        <f>IFERROR(__xludf.DUMMYFUNCTION("""COMPUTED_VALUE"""),"")</f>
        <v/>
      </c>
      <c r="E932" s="341">
        <f>IFERROR(__xludf.DUMMYFUNCTION("""COMPUTED_VALUE"""),0.0)</f>
        <v>0</v>
      </c>
      <c r="F932" s="352"/>
      <c r="G932" s="343"/>
      <c r="H932" s="344">
        <f>IFERROR(__xludf.DUMMYFUNCTION("""COMPUTED_VALUE"""),0.0)</f>
        <v>0</v>
      </c>
      <c r="I932" s="353"/>
      <c r="J932" s="353"/>
      <c r="K932" s="346">
        <f>IFERROR(__xludf.DUMMYFUNCTION("""COMPUTED_VALUE"""),0.0)</f>
        <v>0</v>
      </c>
      <c r="L932" s="347">
        <f>IFERROR(__xludf.DUMMYFUNCTION("""COMPUTED_VALUE"""),0.0)</f>
        <v>0</v>
      </c>
      <c r="M932" s="348">
        <f>IFERROR(__xludf.DUMMYFUNCTION("""COMPUTED_VALUE"""),0.0)</f>
        <v>0</v>
      </c>
      <c r="N932" s="348">
        <f>IFERROR(__xludf.DUMMYFUNCTION("""COMPUTED_VALUE"""),0.0)</f>
        <v>0</v>
      </c>
      <c r="O932" s="348">
        <f>IFERROR(__xludf.DUMMYFUNCTION("""COMPUTED_VALUE"""),0.0)</f>
        <v>0</v>
      </c>
      <c r="P932" s="348">
        <f>IFERROR(__xludf.DUMMYFUNCTION("""COMPUTED_VALUE"""),0.0)</f>
        <v>0</v>
      </c>
      <c r="Q932" s="348">
        <f>IFERROR(__xludf.DUMMYFUNCTION("""COMPUTED_VALUE"""),0.0)</f>
        <v>0</v>
      </c>
      <c r="R932" s="355" t="str">
        <f>IFERROR(__xludf.DUMMYFUNCTION("""COMPUTED_VALUE""")," Cash Proyek ")</f>
        <v>Cash Proyek</v>
      </c>
      <c r="S932" s="350"/>
      <c r="T932" s="262"/>
      <c r="U932" s="351"/>
      <c r="V932" s="262"/>
      <c r="W932" s="262"/>
      <c r="X932" s="262"/>
      <c r="Y932" s="262"/>
      <c r="Z932" s="262"/>
      <c r="AA932" s="262"/>
      <c r="AB932" s="262"/>
      <c r="AC932" s="262"/>
      <c r="AD932" s="262"/>
      <c r="AE932" s="262"/>
      <c r="AF932" s="262"/>
      <c r="AG932" s="264"/>
      <c r="AH932" s="264"/>
      <c r="AI932" s="264"/>
      <c r="AJ932" s="264"/>
      <c r="AK932" s="264"/>
      <c r="AL932" s="264"/>
      <c r="AM932" s="264"/>
      <c r="AN932" s="264"/>
    </row>
    <row r="933" ht="15.75" customHeight="1">
      <c r="A933" s="262"/>
      <c r="B933" s="338">
        <f>IFERROR(__xludf.DUMMYFUNCTION("""COMPUTED_VALUE"""),1414.0)</f>
        <v>1414</v>
      </c>
      <c r="C933" s="354"/>
      <c r="D933" s="340" t="str">
        <f>IFERROR(__xludf.DUMMYFUNCTION("""COMPUTED_VALUE"""),"")</f>
        <v/>
      </c>
      <c r="E933" s="341">
        <f>IFERROR(__xludf.DUMMYFUNCTION("""COMPUTED_VALUE"""),0.0)</f>
        <v>0</v>
      </c>
      <c r="F933" s="352"/>
      <c r="G933" s="343"/>
      <c r="H933" s="344">
        <f>IFERROR(__xludf.DUMMYFUNCTION("""COMPUTED_VALUE"""),0.0)</f>
        <v>0</v>
      </c>
      <c r="I933" s="353"/>
      <c r="J933" s="353"/>
      <c r="K933" s="346">
        <f>IFERROR(__xludf.DUMMYFUNCTION("""COMPUTED_VALUE"""),0.0)</f>
        <v>0</v>
      </c>
      <c r="L933" s="347">
        <f>IFERROR(__xludf.DUMMYFUNCTION("""COMPUTED_VALUE"""),0.0)</f>
        <v>0</v>
      </c>
      <c r="M933" s="348">
        <f>IFERROR(__xludf.DUMMYFUNCTION("""COMPUTED_VALUE"""),0.0)</f>
        <v>0</v>
      </c>
      <c r="N933" s="348">
        <f>IFERROR(__xludf.DUMMYFUNCTION("""COMPUTED_VALUE"""),0.0)</f>
        <v>0</v>
      </c>
      <c r="O933" s="348">
        <f>IFERROR(__xludf.DUMMYFUNCTION("""COMPUTED_VALUE"""),0.0)</f>
        <v>0</v>
      </c>
      <c r="P933" s="348">
        <f>IFERROR(__xludf.DUMMYFUNCTION("""COMPUTED_VALUE"""),0.0)</f>
        <v>0</v>
      </c>
      <c r="Q933" s="348">
        <f>IFERROR(__xludf.DUMMYFUNCTION("""COMPUTED_VALUE"""),0.0)</f>
        <v>0</v>
      </c>
      <c r="R933" s="355" t="str">
        <f>IFERROR(__xludf.DUMMYFUNCTION("""COMPUTED_VALUE""")," Cash Proyek ")</f>
        <v>Cash Proyek</v>
      </c>
      <c r="S933" s="350"/>
      <c r="T933" s="262"/>
      <c r="U933" s="351"/>
      <c r="V933" s="262"/>
      <c r="W933" s="262"/>
      <c r="X933" s="262"/>
      <c r="Y933" s="262"/>
      <c r="Z933" s="262"/>
      <c r="AA933" s="262"/>
      <c r="AB933" s="262"/>
      <c r="AC933" s="262"/>
      <c r="AD933" s="262"/>
      <c r="AE933" s="262"/>
      <c r="AF933" s="262"/>
      <c r="AG933" s="264"/>
      <c r="AH933" s="264"/>
      <c r="AI933" s="264"/>
      <c r="AJ933" s="264"/>
      <c r="AK933" s="264"/>
      <c r="AL933" s="264"/>
      <c r="AM933" s="264"/>
      <c r="AN933" s="264"/>
    </row>
    <row r="934" ht="15.75" customHeight="1">
      <c r="A934" s="262"/>
      <c r="B934" s="338">
        <f>IFERROR(__xludf.DUMMYFUNCTION("""COMPUTED_VALUE"""),1415.0)</f>
        <v>1415</v>
      </c>
      <c r="C934" s="354"/>
      <c r="D934" s="340" t="str">
        <f>IFERROR(__xludf.DUMMYFUNCTION("""COMPUTED_VALUE"""),"")</f>
        <v/>
      </c>
      <c r="E934" s="341">
        <f>IFERROR(__xludf.DUMMYFUNCTION("""COMPUTED_VALUE"""),0.0)</f>
        <v>0</v>
      </c>
      <c r="F934" s="352"/>
      <c r="G934" s="343"/>
      <c r="H934" s="344">
        <f>IFERROR(__xludf.DUMMYFUNCTION("""COMPUTED_VALUE"""),0.0)</f>
        <v>0</v>
      </c>
      <c r="I934" s="353"/>
      <c r="J934" s="353"/>
      <c r="K934" s="346">
        <f>IFERROR(__xludf.DUMMYFUNCTION("""COMPUTED_VALUE"""),0.0)</f>
        <v>0</v>
      </c>
      <c r="L934" s="347">
        <f>IFERROR(__xludf.DUMMYFUNCTION("""COMPUTED_VALUE"""),0.0)</f>
        <v>0</v>
      </c>
      <c r="M934" s="348">
        <f>IFERROR(__xludf.DUMMYFUNCTION("""COMPUTED_VALUE"""),0.0)</f>
        <v>0</v>
      </c>
      <c r="N934" s="348">
        <f>IFERROR(__xludf.DUMMYFUNCTION("""COMPUTED_VALUE"""),0.0)</f>
        <v>0</v>
      </c>
      <c r="O934" s="348">
        <f>IFERROR(__xludf.DUMMYFUNCTION("""COMPUTED_VALUE"""),0.0)</f>
        <v>0</v>
      </c>
      <c r="P934" s="348">
        <f>IFERROR(__xludf.DUMMYFUNCTION("""COMPUTED_VALUE"""),0.0)</f>
        <v>0</v>
      </c>
      <c r="Q934" s="348">
        <f>IFERROR(__xludf.DUMMYFUNCTION("""COMPUTED_VALUE"""),0.0)</f>
        <v>0</v>
      </c>
      <c r="R934" s="355" t="str">
        <f>IFERROR(__xludf.DUMMYFUNCTION("""COMPUTED_VALUE""")," Cash Proyek ")</f>
        <v>Cash Proyek</v>
      </c>
      <c r="S934" s="350"/>
      <c r="T934" s="262"/>
      <c r="U934" s="351"/>
      <c r="V934" s="262"/>
      <c r="W934" s="262"/>
      <c r="X934" s="262"/>
      <c r="Y934" s="262"/>
      <c r="Z934" s="262"/>
      <c r="AA934" s="262"/>
      <c r="AB934" s="262"/>
      <c r="AC934" s="262"/>
      <c r="AD934" s="262"/>
      <c r="AE934" s="262"/>
      <c r="AF934" s="262"/>
      <c r="AG934" s="264"/>
      <c r="AH934" s="264"/>
      <c r="AI934" s="264"/>
      <c r="AJ934" s="264"/>
      <c r="AK934" s="264"/>
      <c r="AL934" s="264"/>
      <c r="AM934" s="264"/>
      <c r="AN934" s="264"/>
    </row>
    <row r="935" ht="15.75" customHeight="1">
      <c r="A935" s="262"/>
      <c r="B935" s="338">
        <f>IFERROR(__xludf.DUMMYFUNCTION("""COMPUTED_VALUE"""),1416.0)</f>
        <v>1416</v>
      </c>
      <c r="C935" s="354"/>
      <c r="D935" s="340" t="str">
        <f>IFERROR(__xludf.DUMMYFUNCTION("""COMPUTED_VALUE"""),"")</f>
        <v/>
      </c>
      <c r="E935" s="341">
        <f>IFERROR(__xludf.DUMMYFUNCTION("""COMPUTED_VALUE"""),0.0)</f>
        <v>0</v>
      </c>
      <c r="F935" s="352"/>
      <c r="G935" s="343"/>
      <c r="H935" s="344">
        <f>IFERROR(__xludf.DUMMYFUNCTION("""COMPUTED_VALUE"""),0.0)</f>
        <v>0</v>
      </c>
      <c r="I935" s="353"/>
      <c r="J935" s="353"/>
      <c r="K935" s="346">
        <f>IFERROR(__xludf.DUMMYFUNCTION("""COMPUTED_VALUE"""),0.0)</f>
        <v>0</v>
      </c>
      <c r="L935" s="347">
        <f>IFERROR(__xludf.DUMMYFUNCTION("""COMPUTED_VALUE"""),0.0)</f>
        <v>0</v>
      </c>
      <c r="M935" s="348">
        <f>IFERROR(__xludf.DUMMYFUNCTION("""COMPUTED_VALUE"""),0.0)</f>
        <v>0</v>
      </c>
      <c r="N935" s="348">
        <f>IFERROR(__xludf.DUMMYFUNCTION("""COMPUTED_VALUE"""),0.0)</f>
        <v>0</v>
      </c>
      <c r="O935" s="348">
        <f>IFERROR(__xludf.DUMMYFUNCTION("""COMPUTED_VALUE"""),0.0)</f>
        <v>0</v>
      </c>
      <c r="P935" s="348">
        <f>IFERROR(__xludf.DUMMYFUNCTION("""COMPUTED_VALUE"""),0.0)</f>
        <v>0</v>
      </c>
      <c r="Q935" s="348">
        <f>IFERROR(__xludf.DUMMYFUNCTION("""COMPUTED_VALUE"""),0.0)</f>
        <v>0</v>
      </c>
      <c r="R935" s="355" t="str">
        <f>IFERROR(__xludf.DUMMYFUNCTION("""COMPUTED_VALUE""")," Cash Proyek ")</f>
        <v>Cash Proyek</v>
      </c>
      <c r="S935" s="350"/>
      <c r="T935" s="262"/>
      <c r="U935" s="351"/>
      <c r="V935" s="262"/>
      <c r="W935" s="262"/>
      <c r="X935" s="262"/>
      <c r="Y935" s="262"/>
      <c r="Z935" s="262"/>
      <c r="AA935" s="262"/>
      <c r="AB935" s="262"/>
      <c r="AC935" s="262"/>
      <c r="AD935" s="262"/>
      <c r="AE935" s="262"/>
      <c r="AF935" s="262"/>
      <c r="AG935" s="264"/>
      <c r="AH935" s="264"/>
      <c r="AI935" s="264"/>
      <c r="AJ935" s="264"/>
      <c r="AK935" s="264"/>
      <c r="AL935" s="264"/>
      <c r="AM935" s="264"/>
      <c r="AN935" s="264"/>
    </row>
    <row r="936" ht="15.75" customHeight="1">
      <c r="A936" s="262"/>
      <c r="B936" s="338">
        <f>IFERROR(__xludf.DUMMYFUNCTION("""COMPUTED_VALUE"""),1417.0)</f>
        <v>1417</v>
      </c>
      <c r="C936" s="354"/>
      <c r="D936" s="340" t="str">
        <f>IFERROR(__xludf.DUMMYFUNCTION("""COMPUTED_VALUE"""),"")</f>
        <v/>
      </c>
      <c r="E936" s="341">
        <f>IFERROR(__xludf.DUMMYFUNCTION("""COMPUTED_VALUE"""),0.0)</f>
        <v>0</v>
      </c>
      <c r="F936" s="352"/>
      <c r="G936" s="343"/>
      <c r="H936" s="344">
        <f>IFERROR(__xludf.DUMMYFUNCTION("""COMPUTED_VALUE"""),0.0)</f>
        <v>0</v>
      </c>
      <c r="I936" s="353"/>
      <c r="J936" s="353"/>
      <c r="K936" s="346">
        <f>IFERROR(__xludf.DUMMYFUNCTION("""COMPUTED_VALUE"""),0.0)</f>
        <v>0</v>
      </c>
      <c r="L936" s="347">
        <f>IFERROR(__xludf.DUMMYFUNCTION("""COMPUTED_VALUE"""),0.0)</f>
        <v>0</v>
      </c>
      <c r="M936" s="348">
        <f>IFERROR(__xludf.DUMMYFUNCTION("""COMPUTED_VALUE"""),0.0)</f>
        <v>0</v>
      </c>
      <c r="N936" s="348">
        <f>IFERROR(__xludf.DUMMYFUNCTION("""COMPUTED_VALUE"""),0.0)</f>
        <v>0</v>
      </c>
      <c r="O936" s="348">
        <f>IFERROR(__xludf.DUMMYFUNCTION("""COMPUTED_VALUE"""),0.0)</f>
        <v>0</v>
      </c>
      <c r="P936" s="348">
        <f>IFERROR(__xludf.DUMMYFUNCTION("""COMPUTED_VALUE"""),0.0)</f>
        <v>0</v>
      </c>
      <c r="Q936" s="348">
        <f>IFERROR(__xludf.DUMMYFUNCTION("""COMPUTED_VALUE"""),0.0)</f>
        <v>0</v>
      </c>
      <c r="R936" s="355" t="str">
        <f>IFERROR(__xludf.DUMMYFUNCTION("""COMPUTED_VALUE""")," Cash Proyek ")</f>
        <v>Cash Proyek</v>
      </c>
      <c r="S936" s="350"/>
      <c r="T936" s="262"/>
      <c r="U936" s="351"/>
      <c r="V936" s="262"/>
      <c r="W936" s="262"/>
      <c r="X936" s="262"/>
      <c r="Y936" s="262"/>
      <c r="Z936" s="262"/>
      <c r="AA936" s="262"/>
      <c r="AB936" s="262"/>
      <c r="AC936" s="262"/>
      <c r="AD936" s="262"/>
      <c r="AE936" s="262"/>
      <c r="AF936" s="262"/>
      <c r="AG936" s="264"/>
      <c r="AH936" s="264"/>
      <c r="AI936" s="264"/>
      <c r="AJ936" s="264"/>
      <c r="AK936" s="264"/>
      <c r="AL936" s="264"/>
      <c r="AM936" s="264"/>
      <c r="AN936" s="264"/>
    </row>
    <row r="937" ht="15.75" customHeight="1">
      <c r="A937" s="262"/>
      <c r="B937" s="338">
        <f>IFERROR(__xludf.DUMMYFUNCTION("""COMPUTED_VALUE"""),1418.0)</f>
        <v>1418</v>
      </c>
      <c r="C937" s="354"/>
      <c r="D937" s="340" t="str">
        <f>IFERROR(__xludf.DUMMYFUNCTION("""COMPUTED_VALUE"""),"")</f>
        <v/>
      </c>
      <c r="E937" s="341">
        <f>IFERROR(__xludf.DUMMYFUNCTION("""COMPUTED_VALUE"""),0.0)</f>
        <v>0</v>
      </c>
      <c r="F937" s="352"/>
      <c r="G937" s="343"/>
      <c r="H937" s="344">
        <f>IFERROR(__xludf.DUMMYFUNCTION("""COMPUTED_VALUE"""),0.0)</f>
        <v>0</v>
      </c>
      <c r="I937" s="353"/>
      <c r="J937" s="353"/>
      <c r="K937" s="346">
        <f>IFERROR(__xludf.DUMMYFUNCTION("""COMPUTED_VALUE"""),0.0)</f>
        <v>0</v>
      </c>
      <c r="L937" s="347">
        <f>IFERROR(__xludf.DUMMYFUNCTION("""COMPUTED_VALUE"""),0.0)</f>
        <v>0</v>
      </c>
      <c r="M937" s="348">
        <f>IFERROR(__xludf.DUMMYFUNCTION("""COMPUTED_VALUE"""),0.0)</f>
        <v>0</v>
      </c>
      <c r="N937" s="348">
        <f>IFERROR(__xludf.DUMMYFUNCTION("""COMPUTED_VALUE"""),0.0)</f>
        <v>0</v>
      </c>
      <c r="O937" s="348">
        <f>IFERROR(__xludf.DUMMYFUNCTION("""COMPUTED_VALUE"""),0.0)</f>
        <v>0</v>
      </c>
      <c r="P937" s="348">
        <f>IFERROR(__xludf.DUMMYFUNCTION("""COMPUTED_VALUE"""),0.0)</f>
        <v>0</v>
      </c>
      <c r="Q937" s="348">
        <f>IFERROR(__xludf.DUMMYFUNCTION("""COMPUTED_VALUE"""),0.0)</f>
        <v>0</v>
      </c>
      <c r="R937" s="355" t="str">
        <f>IFERROR(__xludf.DUMMYFUNCTION("""COMPUTED_VALUE""")," Cash Proyek ")</f>
        <v>Cash Proyek</v>
      </c>
      <c r="S937" s="350"/>
      <c r="T937" s="262"/>
      <c r="U937" s="351"/>
      <c r="V937" s="262"/>
      <c r="W937" s="262"/>
      <c r="X937" s="262"/>
      <c r="Y937" s="262"/>
      <c r="Z937" s="262"/>
      <c r="AA937" s="262"/>
      <c r="AB937" s="262"/>
      <c r="AC937" s="262"/>
      <c r="AD937" s="262"/>
      <c r="AE937" s="262"/>
      <c r="AF937" s="262"/>
      <c r="AG937" s="264"/>
      <c r="AH937" s="264"/>
      <c r="AI937" s="264"/>
      <c r="AJ937" s="264"/>
      <c r="AK937" s="264"/>
      <c r="AL937" s="264"/>
      <c r="AM937" s="264"/>
      <c r="AN937" s="264"/>
    </row>
    <row r="938" ht="15.75" customHeight="1">
      <c r="A938" s="262"/>
      <c r="B938" s="338">
        <f>IFERROR(__xludf.DUMMYFUNCTION("""COMPUTED_VALUE"""),1419.0)</f>
        <v>1419</v>
      </c>
      <c r="C938" s="354"/>
      <c r="D938" s="340" t="str">
        <f>IFERROR(__xludf.DUMMYFUNCTION("""COMPUTED_VALUE"""),"")</f>
        <v/>
      </c>
      <c r="E938" s="341">
        <f>IFERROR(__xludf.DUMMYFUNCTION("""COMPUTED_VALUE"""),0.0)</f>
        <v>0</v>
      </c>
      <c r="F938" s="352"/>
      <c r="G938" s="343"/>
      <c r="H938" s="344">
        <f>IFERROR(__xludf.DUMMYFUNCTION("""COMPUTED_VALUE"""),0.0)</f>
        <v>0</v>
      </c>
      <c r="I938" s="353"/>
      <c r="J938" s="353"/>
      <c r="K938" s="346">
        <f>IFERROR(__xludf.DUMMYFUNCTION("""COMPUTED_VALUE"""),0.0)</f>
        <v>0</v>
      </c>
      <c r="L938" s="347">
        <f>IFERROR(__xludf.DUMMYFUNCTION("""COMPUTED_VALUE"""),0.0)</f>
        <v>0</v>
      </c>
      <c r="M938" s="348">
        <f>IFERROR(__xludf.DUMMYFUNCTION("""COMPUTED_VALUE"""),0.0)</f>
        <v>0</v>
      </c>
      <c r="N938" s="348">
        <f>IFERROR(__xludf.DUMMYFUNCTION("""COMPUTED_VALUE"""),0.0)</f>
        <v>0</v>
      </c>
      <c r="O938" s="348">
        <f>IFERROR(__xludf.DUMMYFUNCTION("""COMPUTED_VALUE"""),0.0)</f>
        <v>0</v>
      </c>
      <c r="P938" s="348">
        <f>IFERROR(__xludf.DUMMYFUNCTION("""COMPUTED_VALUE"""),0.0)</f>
        <v>0</v>
      </c>
      <c r="Q938" s="348">
        <f>IFERROR(__xludf.DUMMYFUNCTION("""COMPUTED_VALUE"""),0.0)</f>
        <v>0</v>
      </c>
      <c r="R938" s="355" t="str">
        <f>IFERROR(__xludf.DUMMYFUNCTION("""COMPUTED_VALUE""")," Cash Proyek ")</f>
        <v>Cash Proyek</v>
      </c>
      <c r="S938" s="350"/>
      <c r="T938" s="262"/>
      <c r="U938" s="351"/>
      <c r="V938" s="262"/>
      <c r="W938" s="262"/>
      <c r="X938" s="262"/>
      <c r="Y938" s="262"/>
      <c r="Z938" s="262"/>
      <c r="AA938" s="262"/>
      <c r="AB938" s="262"/>
      <c r="AC938" s="262"/>
      <c r="AD938" s="262"/>
      <c r="AE938" s="262"/>
      <c r="AF938" s="262"/>
      <c r="AG938" s="264"/>
      <c r="AH938" s="264"/>
      <c r="AI938" s="264"/>
      <c r="AJ938" s="264"/>
      <c r="AK938" s="264"/>
      <c r="AL938" s="264"/>
      <c r="AM938" s="264"/>
      <c r="AN938" s="264"/>
    </row>
    <row r="939" ht="15.75" customHeight="1">
      <c r="A939" s="262"/>
      <c r="B939" s="338">
        <f>IFERROR(__xludf.DUMMYFUNCTION("""COMPUTED_VALUE"""),1420.0)</f>
        <v>1420</v>
      </c>
      <c r="C939" s="354"/>
      <c r="D939" s="340" t="str">
        <f>IFERROR(__xludf.DUMMYFUNCTION("""COMPUTED_VALUE"""),"")</f>
        <v/>
      </c>
      <c r="E939" s="341">
        <f>IFERROR(__xludf.DUMMYFUNCTION("""COMPUTED_VALUE"""),0.0)</f>
        <v>0</v>
      </c>
      <c r="F939" s="352"/>
      <c r="G939" s="343"/>
      <c r="H939" s="344">
        <f>IFERROR(__xludf.DUMMYFUNCTION("""COMPUTED_VALUE"""),0.0)</f>
        <v>0</v>
      </c>
      <c r="I939" s="353"/>
      <c r="J939" s="353"/>
      <c r="K939" s="346">
        <f>IFERROR(__xludf.DUMMYFUNCTION("""COMPUTED_VALUE"""),0.0)</f>
        <v>0</v>
      </c>
      <c r="L939" s="347">
        <f>IFERROR(__xludf.DUMMYFUNCTION("""COMPUTED_VALUE"""),0.0)</f>
        <v>0</v>
      </c>
      <c r="M939" s="348">
        <f>IFERROR(__xludf.DUMMYFUNCTION("""COMPUTED_VALUE"""),0.0)</f>
        <v>0</v>
      </c>
      <c r="N939" s="348">
        <f>IFERROR(__xludf.DUMMYFUNCTION("""COMPUTED_VALUE"""),0.0)</f>
        <v>0</v>
      </c>
      <c r="O939" s="348">
        <f>IFERROR(__xludf.DUMMYFUNCTION("""COMPUTED_VALUE"""),0.0)</f>
        <v>0</v>
      </c>
      <c r="P939" s="348">
        <f>IFERROR(__xludf.DUMMYFUNCTION("""COMPUTED_VALUE"""),0.0)</f>
        <v>0</v>
      </c>
      <c r="Q939" s="348">
        <f>IFERROR(__xludf.DUMMYFUNCTION("""COMPUTED_VALUE"""),0.0)</f>
        <v>0</v>
      </c>
      <c r="R939" s="355" t="str">
        <f>IFERROR(__xludf.DUMMYFUNCTION("""COMPUTED_VALUE""")," Cash Proyek ")</f>
        <v>Cash Proyek</v>
      </c>
      <c r="S939" s="350"/>
      <c r="T939" s="262"/>
      <c r="U939" s="351"/>
      <c r="V939" s="262"/>
      <c r="W939" s="262"/>
      <c r="X939" s="262"/>
      <c r="Y939" s="262"/>
      <c r="Z939" s="262"/>
      <c r="AA939" s="262"/>
      <c r="AB939" s="262"/>
      <c r="AC939" s="262"/>
      <c r="AD939" s="262"/>
      <c r="AE939" s="262"/>
      <c r="AF939" s="262"/>
      <c r="AG939" s="264"/>
      <c r="AH939" s="264"/>
      <c r="AI939" s="264"/>
      <c r="AJ939" s="264"/>
      <c r="AK939" s="264"/>
      <c r="AL939" s="264"/>
      <c r="AM939" s="264"/>
      <c r="AN939" s="264"/>
    </row>
    <row r="940" ht="15.75" customHeight="1">
      <c r="A940" s="262"/>
      <c r="B940" s="338">
        <f>IFERROR(__xludf.DUMMYFUNCTION("""COMPUTED_VALUE"""),1421.0)</f>
        <v>1421</v>
      </c>
      <c r="C940" s="354"/>
      <c r="D940" s="340" t="str">
        <f>IFERROR(__xludf.DUMMYFUNCTION("""COMPUTED_VALUE"""),"")</f>
        <v/>
      </c>
      <c r="E940" s="341">
        <f>IFERROR(__xludf.DUMMYFUNCTION("""COMPUTED_VALUE"""),0.0)</f>
        <v>0</v>
      </c>
      <c r="F940" s="352"/>
      <c r="G940" s="343"/>
      <c r="H940" s="344">
        <f>IFERROR(__xludf.DUMMYFUNCTION("""COMPUTED_VALUE"""),0.0)</f>
        <v>0</v>
      </c>
      <c r="I940" s="353"/>
      <c r="J940" s="353"/>
      <c r="K940" s="346">
        <f>IFERROR(__xludf.DUMMYFUNCTION("""COMPUTED_VALUE"""),0.0)</f>
        <v>0</v>
      </c>
      <c r="L940" s="347">
        <f>IFERROR(__xludf.DUMMYFUNCTION("""COMPUTED_VALUE"""),0.0)</f>
        <v>0</v>
      </c>
      <c r="M940" s="348">
        <f>IFERROR(__xludf.DUMMYFUNCTION("""COMPUTED_VALUE"""),0.0)</f>
        <v>0</v>
      </c>
      <c r="N940" s="348">
        <f>IFERROR(__xludf.DUMMYFUNCTION("""COMPUTED_VALUE"""),0.0)</f>
        <v>0</v>
      </c>
      <c r="O940" s="348">
        <f>IFERROR(__xludf.DUMMYFUNCTION("""COMPUTED_VALUE"""),0.0)</f>
        <v>0</v>
      </c>
      <c r="P940" s="348">
        <f>IFERROR(__xludf.DUMMYFUNCTION("""COMPUTED_VALUE"""),0.0)</f>
        <v>0</v>
      </c>
      <c r="Q940" s="348">
        <f>IFERROR(__xludf.DUMMYFUNCTION("""COMPUTED_VALUE"""),0.0)</f>
        <v>0</v>
      </c>
      <c r="R940" s="355" t="str">
        <f>IFERROR(__xludf.DUMMYFUNCTION("""COMPUTED_VALUE""")," Cash Proyek ")</f>
        <v>Cash Proyek</v>
      </c>
      <c r="S940" s="350"/>
      <c r="T940" s="262"/>
      <c r="U940" s="351"/>
      <c r="V940" s="262"/>
      <c r="W940" s="262"/>
      <c r="X940" s="262"/>
      <c r="Y940" s="262"/>
      <c r="Z940" s="262"/>
      <c r="AA940" s="262"/>
      <c r="AB940" s="262"/>
      <c r="AC940" s="262"/>
      <c r="AD940" s="262"/>
      <c r="AE940" s="262"/>
      <c r="AF940" s="262"/>
      <c r="AG940" s="264"/>
      <c r="AH940" s="264"/>
      <c r="AI940" s="264"/>
      <c r="AJ940" s="264"/>
      <c r="AK940" s="264"/>
      <c r="AL940" s="264"/>
      <c r="AM940" s="264"/>
      <c r="AN940" s="264"/>
    </row>
    <row r="941" ht="15.75" customHeight="1">
      <c r="A941" s="262"/>
      <c r="B941" s="338">
        <f>IFERROR(__xludf.DUMMYFUNCTION("""COMPUTED_VALUE"""),1422.0)</f>
        <v>1422</v>
      </c>
      <c r="C941" s="354"/>
      <c r="D941" s="340" t="str">
        <f>IFERROR(__xludf.DUMMYFUNCTION("""COMPUTED_VALUE"""),"")</f>
        <v/>
      </c>
      <c r="E941" s="341">
        <f>IFERROR(__xludf.DUMMYFUNCTION("""COMPUTED_VALUE"""),0.0)</f>
        <v>0</v>
      </c>
      <c r="F941" s="352"/>
      <c r="G941" s="343"/>
      <c r="H941" s="344">
        <f>IFERROR(__xludf.DUMMYFUNCTION("""COMPUTED_VALUE"""),0.0)</f>
        <v>0</v>
      </c>
      <c r="I941" s="353"/>
      <c r="J941" s="353"/>
      <c r="K941" s="346">
        <f>IFERROR(__xludf.DUMMYFUNCTION("""COMPUTED_VALUE"""),0.0)</f>
        <v>0</v>
      </c>
      <c r="L941" s="347">
        <f>IFERROR(__xludf.DUMMYFUNCTION("""COMPUTED_VALUE"""),0.0)</f>
        <v>0</v>
      </c>
      <c r="M941" s="348">
        <f>IFERROR(__xludf.DUMMYFUNCTION("""COMPUTED_VALUE"""),0.0)</f>
        <v>0</v>
      </c>
      <c r="N941" s="348">
        <f>IFERROR(__xludf.DUMMYFUNCTION("""COMPUTED_VALUE"""),0.0)</f>
        <v>0</v>
      </c>
      <c r="O941" s="348">
        <f>IFERROR(__xludf.DUMMYFUNCTION("""COMPUTED_VALUE"""),0.0)</f>
        <v>0</v>
      </c>
      <c r="P941" s="348">
        <f>IFERROR(__xludf.DUMMYFUNCTION("""COMPUTED_VALUE"""),0.0)</f>
        <v>0</v>
      </c>
      <c r="Q941" s="348">
        <f>IFERROR(__xludf.DUMMYFUNCTION("""COMPUTED_VALUE"""),0.0)</f>
        <v>0</v>
      </c>
      <c r="R941" s="355" t="str">
        <f>IFERROR(__xludf.DUMMYFUNCTION("""COMPUTED_VALUE""")," Cash Proyek ")</f>
        <v>Cash Proyek</v>
      </c>
      <c r="S941" s="350"/>
      <c r="T941" s="262"/>
      <c r="U941" s="351"/>
      <c r="V941" s="262"/>
      <c r="W941" s="262"/>
      <c r="X941" s="262"/>
      <c r="Y941" s="262"/>
      <c r="Z941" s="262"/>
      <c r="AA941" s="262"/>
      <c r="AB941" s="262"/>
      <c r="AC941" s="262"/>
      <c r="AD941" s="262"/>
      <c r="AE941" s="262"/>
      <c r="AF941" s="262"/>
      <c r="AG941" s="264"/>
      <c r="AH941" s="264"/>
      <c r="AI941" s="264"/>
      <c r="AJ941" s="264"/>
      <c r="AK941" s="264"/>
      <c r="AL941" s="264"/>
      <c r="AM941" s="264"/>
      <c r="AN941" s="264"/>
    </row>
    <row r="942" ht="15.75" customHeight="1">
      <c r="A942" s="262"/>
      <c r="B942" s="338">
        <f>IFERROR(__xludf.DUMMYFUNCTION("""COMPUTED_VALUE"""),1423.0)</f>
        <v>1423</v>
      </c>
      <c r="C942" s="354"/>
      <c r="D942" s="340" t="str">
        <f>IFERROR(__xludf.DUMMYFUNCTION("""COMPUTED_VALUE"""),"")</f>
        <v/>
      </c>
      <c r="E942" s="341">
        <f>IFERROR(__xludf.DUMMYFUNCTION("""COMPUTED_VALUE"""),0.0)</f>
        <v>0</v>
      </c>
      <c r="F942" s="352"/>
      <c r="G942" s="343"/>
      <c r="H942" s="344">
        <f>IFERROR(__xludf.DUMMYFUNCTION("""COMPUTED_VALUE"""),0.0)</f>
        <v>0</v>
      </c>
      <c r="I942" s="353"/>
      <c r="J942" s="353"/>
      <c r="K942" s="346">
        <f>IFERROR(__xludf.DUMMYFUNCTION("""COMPUTED_VALUE"""),0.0)</f>
        <v>0</v>
      </c>
      <c r="L942" s="347">
        <f>IFERROR(__xludf.DUMMYFUNCTION("""COMPUTED_VALUE"""),0.0)</f>
        <v>0</v>
      </c>
      <c r="M942" s="348">
        <f>IFERROR(__xludf.DUMMYFUNCTION("""COMPUTED_VALUE"""),0.0)</f>
        <v>0</v>
      </c>
      <c r="N942" s="348">
        <f>IFERROR(__xludf.DUMMYFUNCTION("""COMPUTED_VALUE"""),0.0)</f>
        <v>0</v>
      </c>
      <c r="O942" s="348">
        <f>IFERROR(__xludf.DUMMYFUNCTION("""COMPUTED_VALUE"""),0.0)</f>
        <v>0</v>
      </c>
      <c r="P942" s="348">
        <f>IFERROR(__xludf.DUMMYFUNCTION("""COMPUTED_VALUE"""),0.0)</f>
        <v>0</v>
      </c>
      <c r="Q942" s="348">
        <f>IFERROR(__xludf.DUMMYFUNCTION("""COMPUTED_VALUE"""),0.0)</f>
        <v>0</v>
      </c>
      <c r="R942" s="355" t="str">
        <f>IFERROR(__xludf.DUMMYFUNCTION("""COMPUTED_VALUE""")," Cash Proyek ")</f>
        <v>Cash Proyek</v>
      </c>
      <c r="S942" s="350"/>
      <c r="T942" s="262"/>
      <c r="U942" s="351"/>
      <c r="V942" s="262"/>
      <c r="W942" s="262"/>
      <c r="X942" s="262"/>
      <c r="Y942" s="262"/>
      <c r="Z942" s="262"/>
      <c r="AA942" s="262"/>
      <c r="AB942" s="262"/>
      <c r="AC942" s="262"/>
      <c r="AD942" s="262"/>
      <c r="AE942" s="262"/>
      <c r="AF942" s="262"/>
      <c r="AG942" s="264"/>
      <c r="AH942" s="264"/>
      <c r="AI942" s="264"/>
      <c r="AJ942" s="264"/>
      <c r="AK942" s="264"/>
      <c r="AL942" s="264"/>
      <c r="AM942" s="264"/>
      <c r="AN942" s="264"/>
    </row>
    <row r="943" ht="15.75" customHeight="1">
      <c r="A943" s="262"/>
      <c r="B943" s="338">
        <f>IFERROR(__xludf.DUMMYFUNCTION("""COMPUTED_VALUE"""),1424.0)</f>
        <v>1424</v>
      </c>
      <c r="C943" s="354"/>
      <c r="D943" s="340" t="str">
        <f>IFERROR(__xludf.DUMMYFUNCTION("""COMPUTED_VALUE"""),"")</f>
        <v/>
      </c>
      <c r="E943" s="341">
        <f>IFERROR(__xludf.DUMMYFUNCTION("""COMPUTED_VALUE"""),0.0)</f>
        <v>0</v>
      </c>
      <c r="F943" s="352"/>
      <c r="G943" s="343"/>
      <c r="H943" s="344">
        <f>IFERROR(__xludf.DUMMYFUNCTION("""COMPUTED_VALUE"""),0.0)</f>
        <v>0</v>
      </c>
      <c r="I943" s="353"/>
      <c r="J943" s="353"/>
      <c r="K943" s="346">
        <f>IFERROR(__xludf.DUMMYFUNCTION("""COMPUTED_VALUE"""),0.0)</f>
        <v>0</v>
      </c>
      <c r="L943" s="347">
        <f>IFERROR(__xludf.DUMMYFUNCTION("""COMPUTED_VALUE"""),0.0)</f>
        <v>0</v>
      </c>
      <c r="M943" s="348">
        <f>IFERROR(__xludf.DUMMYFUNCTION("""COMPUTED_VALUE"""),0.0)</f>
        <v>0</v>
      </c>
      <c r="N943" s="348">
        <f>IFERROR(__xludf.DUMMYFUNCTION("""COMPUTED_VALUE"""),0.0)</f>
        <v>0</v>
      </c>
      <c r="O943" s="348">
        <f>IFERROR(__xludf.DUMMYFUNCTION("""COMPUTED_VALUE"""),0.0)</f>
        <v>0</v>
      </c>
      <c r="P943" s="348">
        <f>IFERROR(__xludf.DUMMYFUNCTION("""COMPUTED_VALUE"""),0.0)</f>
        <v>0</v>
      </c>
      <c r="Q943" s="348">
        <f>IFERROR(__xludf.DUMMYFUNCTION("""COMPUTED_VALUE"""),0.0)</f>
        <v>0</v>
      </c>
      <c r="R943" s="355" t="str">
        <f>IFERROR(__xludf.DUMMYFUNCTION("""COMPUTED_VALUE""")," Cash Proyek ")</f>
        <v>Cash Proyek</v>
      </c>
      <c r="S943" s="350"/>
      <c r="T943" s="262"/>
      <c r="U943" s="351"/>
      <c r="V943" s="262"/>
      <c r="W943" s="262"/>
      <c r="X943" s="262"/>
      <c r="Y943" s="262"/>
      <c r="Z943" s="262"/>
      <c r="AA943" s="262"/>
      <c r="AB943" s="262"/>
      <c r="AC943" s="262"/>
      <c r="AD943" s="262"/>
      <c r="AE943" s="262"/>
      <c r="AF943" s="262"/>
      <c r="AG943" s="264"/>
      <c r="AH943" s="264"/>
      <c r="AI943" s="264"/>
      <c r="AJ943" s="264"/>
      <c r="AK943" s="264"/>
      <c r="AL943" s="264"/>
      <c r="AM943" s="264"/>
      <c r="AN943" s="264"/>
    </row>
    <row r="944" ht="15.75" customHeight="1">
      <c r="A944" s="262"/>
      <c r="B944" s="338">
        <f>IFERROR(__xludf.DUMMYFUNCTION("""COMPUTED_VALUE"""),1425.0)</f>
        <v>1425</v>
      </c>
      <c r="C944" s="354"/>
      <c r="D944" s="340" t="str">
        <f>IFERROR(__xludf.DUMMYFUNCTION("""COMPUTED_VALUE"""),"")</f>
        <v/>
      </c>
      <c r="E944" s="341">
        <f>IFERROR(__xludf.DUMMYFUNCTION("""COMPUTED_VALUE"""),0.0)</f>
        <v>0</v>
      </c>
      <c r="F944" s="352"/>
      <c r="G944" s="343"/>
      <c r="H944" s="344">
        <f>IFERROR(__xludf.DUMMYFUNCTION("""COMPUTED_VALUE"""),0.0)</f>
        <v>0</v>
      </c>
      <c r="I944" s="353"/>
      <c r="J944" s="353"/>
      <c r="K944" s="346">
        <f>IFERROR(__xludf.DUMMYFUNCTION("""COMPUTED_VALUE"""),0.0)</f>
        <v>0</v>
      </c>
      <c r="L944" s="347">
        <f>IFERROR(__xludf.DUMMYFUNCTION("""COMPUTED_VALUE"""),0.0)</f>
        <v>0</v>
      </c>
      <c r="M944" s="348">
        <f>IFERROR(__xludf.DUMMYFUNCTION("""COMPUTED_VALUE"""),0.0)</f>
        <v>0</v>
      </c>
      <c r="N944" s="348">
        <f>IFERROR(__xludf.DUMMYFUNCTION("""COMPUTED_VALUE"""),0.0)</f>
        <v>0</v>
      </c>
      <c r="O944" s="348">
        <f>IFERROR(__xludf.DUMMYFUNCTION("""COMPUTED_VALUE"""),0.0)</f>
        <v>0</v>
      </c>
      <c r="P944" s="348">
        <f>IFERROR(__xludf.DUMMYFUNCTION("""COMPUTED_VALUE"""),0.0)</f>
        <v>0</v>
      </c>
      <c r="Q944" s="348">
        <f>IFERROR(__xludf.DUMMYFUNCTION("""COMPUTED_VALUE"""),0.0)</f>
        <v>0</v>
      </c>
      <c r="R944" s="355" t="str">
        <f>IFERROR(__xludf.DUMMYFUNCTION("""COMPUTED_VALUE""")," Cash Proyek ")</f>
        <v>Cash Proyek</v>
      </c>
      <c r="S944" s="350"/>
      <c r="T944" s="262"/>
      <c r="U944" s="351"/>
      <c r="V944" s="262"/>
      <c r="W944" s="262"/>
      <c r="X944" s="262"/>
      <c r="Y944" s="262"/>
      <c r="Z944" s="262"/>
      <c r="AA944" s="262"/>
      <c r="AB944" s="262"/>
      <c r="AC944" s="262"/>
      <c r="AD944" s="262"/>
      <c r="AE944" s="262"/>
      <c r="AF944" s="262"/>
      <c r="AG944" s="264"/>
      <c r="AH944" s="264"/>
      <c r="AI944" s="264"/>
      <c r="AJ944" s="264"/>
      <c r="AK944" s="264"/>
      <c r="AL944" s="264"/>
      <c r="AM944" s="264"/>
      <c r="AN944" s="264"/>
    </row>
    <row r="945" ht="15.75" customHeight="1">
      <c r="A945" s="262"/>
      <c r="B945" s="338">
        <f>IFERROR(__xludf.DUMMYFUNCTION("""COMPUTED_VALUE"""),1426.0)</f>
        <v>1426</v>
      </c>
      <c r="C945" s="354"/>
      <c r="D945" s="340" t="str">
        <f>IFERROR(__xludf.DUMMYFUNCTION("""COMPUTED_VALUE"""),"")</f>
        <v/>
      </c>
      <c r="E945" s="341">
        <f>IFERROR(__xludf.DUMMYFUNCTION("""COMPUTED_VALUE"""),0.0)</f>
        <v>0</v>
      </c>
      <c r="F945" s="352"/>
      <c r="G945" s="343"/>
      <c r="H945" s="344">
        <f>IFERROR(__xludf.DUMMYFUNCTION("""COMPUTED_VALUE"""),0.0)</f>
        <v>0</v>
      </c>
      <c r="I945" s="353"/>
      <c r="J945" s="353"/>
      <c r="K945" s="346">
        <f>IFERROR(__xludf.DUMMYFUNCTION("""COMPUTED_VALUE"""),0.0)</f>
        <v>0</v>
      </c>
      <c r="L945" s="347">
        <f>IFERROR(__xludf.DUMMYFUNCTION("""COMPUTED_VALUE"""),0.0)</f>
        <v>0</v>
      </c>
      <c r="M945" s="348">
        <f>IFERROR(__xludf.DUMMYFUNCTION("""COMPUTED_VALUE"""),0.0)</f>
        <v>0</v>
      </c>
      <c r="N945" s="348">
        <f>IFERROR(__xludf.DUMMYFUNCTION("""COMPUTED_VALUE"""),0.0)</f>
        <v>0</v>
      </c>
      <c r="O945" s="348">
        <f>IFERROR(__xludf.DUMMYFUNCTION("""COMPUTED_VALUE"""),0.0)</f>
        <v>0</v>
      </c>
      <c r="P945" s="348">
        <f>IFERROR(__xludf.DUMMYFUNCTION("""COMPUTED_VALUE"""),0.0)</f>
        <v>0</v>
      </c>
      <c r="Q945" s="348">
        <f>IFERROR(__xludf.DUMMYFUNCTION("""COMPUTED_VALUE"""),0.0)</f>
        <v>0</v>
      </c>
      <c r="R945" s="355" t="str">
        <f>IFERROR(__xludf.DUMMYFUNCTION("""COMPUTED_VALUE""")," Cash Proyek ")</f>
        <v>Cash Proyek</v>
      </c>
      <c r="S945" s="350"/>
      <c r="T945" s="262"/>
      <c r="U945" s="351"/>
      <c r="V945" s="262"/>
      <c r="W945" s="262"/>
      <c r="X945" s="262"/>
      <c r="Y945" s="262"/>
      <c r="Z945" s="262"/>
      <c r="AA945" s="262"/>
      <c r="AB945" s="262"/>
      <c r="AC945" s="262"/>
      <c r="AD945" s="262"/>
      <c r="AE945" s="262"/>
      <c r="AF945" s="262"/>
      <c r="AG945" s="264"/>
      <c r="AH945" s="264"/>
      <c r="AI945" s="264"/>
      <c r="AJ945" s="264"/>
      <c r="AK945" s="264"/>
      <c r="AL945" s="264"/>
      <c r="AM945" s="264"/>
      <c r="AN945" s="264"/>
    </row>
    <row r="946" ht="15.75" customHeight="1">
      <c r="A946" s="262"/>
      <c r="B946" s="338">
        <f>IFERROR(__xludf.DUMMYFUNCTION("""COMPUTED_VALUE"""),1427.0)</f>
        <v>1427</v>
      </c>
      <c r="C946" s="354"/>
      <c r="D946" s="340" t="str">
        <f>IFERROR(__xludf.DUMMYFUNCTION("""COMPUTED_VALUE"""),"")</f>
        <v/>
      </c>
      <c r="E946" s="341">
        <f>IFERROR(__xludf.DUMMYFUNCTION("""COMPUTED_VALUE"""),0.0)</f>
        <v>0</v>
      </c>
      <c r="F946" s="352"/>
      <c r="G946" s="343"/>
      <c r="H946" s="344">
        <f>IFERROR(__xludf.DUMMYFUNCTION("""COMPUTED_VALUE"""),0.0)</f>
        <v>0</v>
      </c>
      <c r="I946" s="353"/>
      <c r="J946" s="353"/>
      <c r="K946" s="346">
        <f>IFERROR(__xludf.DUMMYFUNCTION("""COMPUTED_VALUE"""),0.0)</f>
        <v>0</v>
      </c>
      <c r="L946" s="347">
        <f>IFERROR(__xludf.DUMMYFUNCTION("""COMPUTED_VALUE"""),0.0)</f>
        <v>0</v>
      </c>
      <c r="M946" s="348">
        <f>IFERROR(__xludf.DUMMYFUNCTION("""COMPUTED_VALUE"""),0.0)</f>
        <v>0</v>
      </c>
      <c r="N946" s="348">
        <f>IFERROR(__xludf.DUMMYFUNCTION("""COMPUTED_VALUE"""),0.0)</f>
        <v>0</v>
      </c>
      <c r="O946" s="348">
        <f>IFERROR(__xludf.DUMMYFUNCTION("""COMPUTED_VALUE"""),0.0)</f>
        <v>0</v>
      </c>
      <c r="P946" s="348">
        <f>IFERROR(__xludf.DUMMYFUNCTION("""COMPUTED_VALUE"""),0.0)</f>
        <v>0</v>
      </c>
      <c r="Q946" s="348">
        <f>IFERROR(__xludf.DUMMYFUNCTION("""COMPUTED_VALUE"""),0.0)</f>
        <v>0</v>
      </c>
      <c r="R946" s="355" t="str">
        <f>IFERROR(__xludf.DUMMYFUNCTION("""COMPUTED_VALUE""")," Cash Proyek ")</f>
        <v>Cash Proyek</v>
      </c>
      <c r="S946" s="350"/>
      <c r="T946" s="262"/>
      <c r="U946" s="351"/>
      <c r="V946" s="262"/>
      <c r="W946" s="262"/>
      <c r="X946" s="262"/>
      <c r="Y946" s="262"/>
      <c r="Z946" s="262"/>
      <c r="AA946" s="262"/>
      <c r="AB946" s="262"/>
      <c r="AC946" s="262"/>
      <c r="AD946" s="262"/>
      <c r="AE946" s="262"/>
      <c r="AF946" s="262"/>
      <c r="AG946" s="264"/>
      <c r="AH946" s="264"/>
      <c r="AI946" s="264"/>
      <c r="AJ946" s="264"/>
      <c r="AK946" s="264"/>
      <c r="AL946" s="264"/>
      <c r="AM946" s="264"/>
      <c r="AN946" s="264"/>
    </row>
    <row r="947" ht="15.75" customHeight="1">
      <c r="A947" s="262"/>
      <c r="B947" s="338">
        <f>IFERROR(__xludf.DUMMYFUNCTION("""COMPUTED_VALUE"""),1428.0)</f>
        <v>1428</v>
      </c>
      <c r="C947" s="354"/>
      <c r="D947" s="340" t="str">
        <f>IFERROR(__xludf.DUMMYFUNCTION("""COMPUTED_VALUE"""),"")</f>
        <v/>
      </c>
      <c r="E947" s="341">
        <f>IFERROR(__xludf.DUMMYFUNCTION("""COMPUTED_VALUE"""),0.0)</f>
        <v>0</v>
      </c>
      <c r="F947" s="352"/>
      <c r="G947" s="343"/>
      <c r="H947" s="344">
        <f>IFERROR(__xludf.DUMMYFUNCTION("""COMPUTED_VALUE"""),0.0)</f>
        <v>0</v>
      </c>
      <c r="I947" s="353"/>
      <c r="J947" s="353"/>
      <c r="K947" s="346">
        <f>IFERROR(__xludf.DUMMYFUNCTION("""COMPUTED_VALUE"""),0.0)</f>
        <v>0</v>
      </c>
      <c r="L947" s="347">
        <f>IFERROR(__xludf.DUMMYFUNCTION("""COMPUTED_VALUE"""),0.0)</f>
        <v>0</v>
      </c>
      <c r="M947" s="348">
        <f>IFERROR(__xludf.DUMMYFUNCTION("""COMPUTED_VALUE"""),0.0)</f>
        <v>0</v>
      </c>
      <c r="N947" s="348">
        <f>IFERROR(__xludf.DUMMYFUNCTION("""COMPUTED_VALUE"""),0.0)</f>
        <v>0</v>
      </c>
      <c r="O947" s="348">
        <f>IFERROR(__xludf.DUMMYFUNCTION("""COMPUTED_VALUE"""),0.0)</f>
        <v>0</v>
      </c>
      <c r="P947" s="348">
        <f>IFERROR(__xludf.DUMMYFUNCTION("""COMPUTED_VALUE"""),0.0)</f>
        <v>0</v>
      </c>
      <c r="Q947" s="348">
        <f>IFERROR(__xludf.DUMMYFUNCTION("""COMPUTED_VALUE"""),0.0)</f>
        <v>0</v>
      </c>
      <c r="R947" s="355" t="str">
        <f>IFERROR(__xludf.DUMMYFUNCTION("""COMPUTED_VALUE""")," Cash Proyek ")</f>
        <v>Cash Proyek</v>
      </c>
      <c r="S947" s="350"/>
      <c r="T947" s="262"/>
      <c r="U947" s="351"/>
      <c r="V947" s="262"/>
      <c r="W947" s="262"/>
      <c r="X947" s="262"/>
      <c r="Y947" s="262"/>
      <c r="Z947" s="262"/>
      <c r="AA947" s="262"/>
      <c r="AB947" s="262"/>
      <c r="AC947" s="262"/>
      <c r="AD947" s="262"/>
      <c r="AE947" s="262"/>
      <c r="AF947" s="262"/>
      <c r="AG947" s="264"/>
      <c r="AH947" s="264"/>
      <c r="AI947" s="264"/>
      <c r="AJ947" s="264"/>
      <c r="AK947" s="264"/>
      <c r="AL947" s="264"/>
      <c r="AM947" s="264"/>
      <c r="AN947" s="264"/>
    </row>
    <row r="948" ht="15.75" customHeight="1">
      <c r="A948" s="262"/>
      <c r="B948" s="338">
        <f>IFERROR(__xludf.DUMMYFUNCTION("""COMPUTED_VALUE"""),1429.0)</f>
        <v>1429</v>
      </c>
      <c r="C948" s="354"/>
      <c r="D948" s="340" t="str">
        <f>IFERROR(__xludf.DUMMYFUNCTION("""COMPUTED_VALUE"""),"")</f>
        <v/>
      </c>
      <c r="E948" s="341">
        <f>IFERROR(__xludf.DUMMYFUNCTION("""COMPUTED_VALUE"""),0.0)</f>
        <v>0</v>
      </c>
      <c r="F948" s="352"/>
      <c r="G948" s="343"/>
      <c r="H948" s="344">
        <f>IFERROR(__xludf.DUMMYFUNCTION("""COMPUTED_VALUE"""),0.0)</f>
        <v>0</v>
      </c>
      <c r="I948" s="353"/>
      <c r="J948" s="353"/>
      <c r="K948" s="346">
        <f>IFERROR(__xludf.DUMMYFUNCTION("""COMPUTED_VALUE"""),0.0)</f>
        <v>0</v>
      </c>
      <c r="L948" s="347">
        <f>IFERROR(__xludf.DUMMYFUNCTION("""COMPUTED_VALUE"""),0.0)</f>
        <v>0</v>
      </c>
      <c r="M948" s="348">
        <f>IFERROR(__xludf.DUMMYFUNCTION("""COMPUTED_VALUE"""),0.0)</f>
        <v>0</v>
      </c>
      <c r="N948" s="348">
        <f>IFERROR(__xludf.DUMMYFUNCTION("""COMPUTED_VALUE"""),0.0)</f>
        <v>0</v>
      </c>
      <c r="O948" s="348">
        <f>IFERROR(__xludf.DUMMYFUNCTION("""COMPUTED_VALUE"""),0.0)</f>
        <v>0</v>
      </c>
      <c r="P948" s="348">
        <f>IFERROR(__xludf.DUMMYFUNCTION("""COMPUTED_VALUE"""),0.0)</f>
        <v>0</v>
      </c>
      <c r="Q948" s="348">
        <f>IFERROR(__xludf.DUMMYFUNCTION("""COMPUTED_VALUE"""),0.0)</f>
        <v>0</v>
      </c>
      <c r="R948" s="355" t="str">
        <f>IFERROR(__xludf.DUMMYFUNCTION("""COMPUTED_VALUE""")," Cash Proyek ")</f>
        <v>Cash Proyek</v>
      </c>
      <c r="S948" s="350"/>
      <c r="T948" s="262"/>
      <c r="U948" s="351"/>
      <c r="V948" s="262"/>
      <c r="W948" s="262"/>
      <c r="X948" s="262"/>
      <c r="Y948" s="262"/>
      <c r="Z948" s="262"/>
      <c r="AA948" s="262"/>
      <c r="AB948" s="262"/>
      <c r="AC948" s="262"/>
      <c r="AD948" s="262"/>
      <c r="AE948" s="262"/>
      <c r="AF948" s="262"/>
      <c r="AG948" s="264"/>
      <c r="AH948" s="264"/>
      <c r="AI948" s="264"/>
      <c r="AJ948" s="264"/>
      <c r="AK948" s="264"/>
      <c r="AL948" s="264"/>
      <c r="AM948" s="264"/>
      <c r="AN948" s="264"/>
    </row>
    <row r="949" ht="15.75" customHeight="1">
      <c r="A949" s="262"/>
      <c r="B949" s="338">
        <f>IFERROR(__xludf.DUMMYFUNCTION("""COMPUTED_VALUE"""),1430.0)</f>
        <v>1430</v>
      </c>
      <c r="C949" s="354"/>
      <c r="D949" s="340" t="str">
        <f>IFERROR(__xludf.DUMMYFUNCTION("""COMPUTED_VALUE"""),"")</f>
        <v/>
      </c>
      <c r="E949" s="341">
        <f>IFERROR(__xludf.DUMMYFUNCTION("""COMPUTED_VALUE"""),0.0)</f>
        <v>0</v>
      </c>
      <c r="F949" s="352"/>
      <c r="G949" s="343"/>
      <c r="H949" s="344">
        <f>IFERROR(__xludf.DUMMYFUNCTION("""COMPUTED_VALUE"""),0.0)</f>
        <v>0</v>
      </c>
      <c r="I949" s="353"/>
      <c r="J949" s="353"/>
      <c r="K949" s="346">
        <f>IFERROR(__xludf.DUMMYFUNCTION("""COMPUTED_VALUE"""),0.0)</f>
        <v>0</v>
      </c>
      <c r="L949" s="347">
        <f>IFERROR(__xludf.DUMMYFUNCTION("""COMPUTED_VALUE"""),0.0)</f>
        <v>0</v>
      </c>
      <c r="M949" s="348">
        <f>IFERROR(__xludf.DUMMYFUNCTION("""COMPUTED_VALUE"""),0.0)</f>
        <v>0</v>
      </c>
      <c r="N949" s="348">
        <f>IFERROR(__xludf.DUMMYFUNCTION("""COMPUTED_VALUE"""),0.0)</f>
        <v>0</v>
      </c>
      <c r="O949" s="348">
        <f>IFERROR(__xludf.DUMMYFUNCTION("""COMPUTED_VALUE"""),0.0)</f>
        <v>0</v>
      </c>
      <c r="P949" s="348">
        <f>IFERROR(__xludf.DUMMYFUNCTION("""COMPUTED_VALUE"""),0.0)</f>
        <v>0</v>
      </c>
      <c r="Q949" s="348">
        <f>IFERROR(__xludf.DUMMYFUNCTION("""COMPUTED_VALUE"""),0.0)</f>
        <v>0</v>
      </c>
      <c r="R949" s="355" t="str">
        <f>IFERROR(__xludf.DUMMYFUNCTION("""COMPUTED_VALUE""")," Cash Proyek ")</f>
        <v>Cash Proyek</v>
      </c>
      <c r="S949" s="350"/>
      <c r="T949" s="262"/>
      <c r="U949" s="351"/>
      <c r="V949" s="262"/>
      <c r="W949" s="262"/>
      <c r="X949" s="262"/>
      <c r="Y949" s="262"/>
      <c r="Z949" s="262"/>
      <c r="AA949" s="262"/>
      <c r="AB949" s="262"/>
      <c r="AC949" s="262"/>
      <c r="AD949" s="262"/>
      <c r="AE949" s="262"/>
      <c r="AF949" s="262"/>
      <c r="AG949" s="264"/>
      <c r="AH949" s="264"/>
      <c r="AI949" s="264"/>
      <c r="AJ949" s="264"/>
      <c r="AK949" s="264"/>
      <c r="AL949" s="264"/>
      <c r="AM949" s="264"/>
      <c r="AN949" s="264"/>
    </row>
    <row r="950" ht="15.75" customHeight="1">
      <c r="A950" s="262"/>
      <c r="B950" s="338">
        <f>IFERROR(__xludf.DUMMYFUNCTION("""COMPUTED_VALUE"""),1431.0)</f>
        <v>1431</v>
      </c>
      <c r="C950" s="354"/>
      <c r="D950" s="340" t="str">
        <f>IFERROR(__xludf.DUMMYFUNCTION("""COMPUTED_VALUE"""),"")</f>
        <v/>
      </c>
      <c r="E950" s="341">
        <f>IFERROR(__xludf.DUMMYFUNCTION("""COMPUTED_VALUE"""),0.0)</f>
        <v>0</v>
      </c>
      <c r="F950" s="352"/>
      <c r="G950" s="343"/>
      <c r="H950" s="344">
        <f>IFERROR(__xludf.DUMMYFUNCTION("""COMPUTED_VALUE"""),0.0)</f>
        <v>0</v>
      </c>
      <c r="I950" s="353"/>
      <c r="J950" s="353"/>
      <c r="K950" s="346">
        <f>IFERROR(__xludf.DUMMYFUNCTION("""COMPUTED_VALUE"""),0.0)</f>
        <v>0</v>
      </c>
      <c r="L950" s="347">
        <f>IFERROR(__xludf.DUMMYFUNCTION("""COMPUTED_VALUE"""),0.0)</f>
        <v>0</v>
      </c>
      <c r="M950" s="348">
        <f>IFERROR(__xludf.DUMMYFUNCTION("""COMPUTED_VALUE"""),0.0)</f>
        <v>0</v>
      </c>
      <c r="N950" s="348">
        <f>IFERROR(__xludf.DUMMYFUNCTION("""COMPUTED_VALUE"""),0.0)</f>
        <v>0</v>
      </c>
      <c r="O950" s="348">
        <f>IFERROR(__xludf.DUMMYFUNCTION("""COMPUTED_VALUE"""),0.0)</f>
        <v>0</v>
      </c>
      <c r="P950" s="348">
        <f>IFERROR(__xludf.DUMMYFUNCTION("""COMPUTED_VALUE"""),0.0)</f>
        <v>0</v>
      </c>
      <c r="Q950" s="348">
        <f>IFERROR(__xludf.DUMMYFUNCTION("""COMPUTED_VALUE"""),0.0)</f>
        <v>0</v>
      </c>
      <c r="R950" s="355" t="str">
        <f>IFERROR(__xludf.DUMMYFUNCTION("""COMPUTED_VALUE""")," Cash Proyek ")</f>
        <v>Cash Proyek</v>
      </c>
      <c r="S950" s="350"/>
      <c r="T950" s="262"/>
      <c r="U950" s="351"/>
      <c r="V950" s="262"/>
      <c r="W950" s="262"/>
      <c r="X950" s="262"/>
      <c r="Y950" s="262"/>
      <c r="Z950" s="262"/>
      <c r="AA950" s="262"/>
      <c r="AB950" s="262"/>
      <c r="AC950" s="262"/>
      <c r="AD950" s="262"/>
      <c r="AE950" s="262"/>
      <c r="AF950" s="262"/>
      <c r="AG950" s="264"/>
      <c r="AH950" s="264"/>
      <c r="AI950" s="264"/>
      <c r="AJ950" s="264"/>
      <c r="AK950" s="264"/>
      <c r="AL950" s="264"/>
      <c r="AM950" s="264"/>
      <c r="AN950" s="264"/>
    </row>
    <row r="951" ht="15.75" customHeight="1">
      <c r="A951" s="262"/>
      <c r="B951" s="338">
        <f>IFERROR(__xludf.DUMMYFUNCTION("""COMPUTED_VALUE"""),1432.0)</f>
        <v>1432</v>
      </c>
      <c r="C951" s="354"/>
      <c r="D951" s="340" t="str">
        <f>IFERROR(__xludf.DUMMYFUNCTION("""COMPUTED_VALUE"""),"")</f>
        <v/>
      </c>
      <c r="E951" s="341">
        <f>IFERROR(__xludf.DUMMYFUNCTION("""COMPUTED_VALUE"""),0.0)</f>
        <v>0</v>
      </c>
      <c r="F951" s="352"/>
      <c r="G951" s="343"/>
      <c r="H951" s="344">
        <f>IFERROR(__xludf.DUMMYFUNCTION("""COMPUTED_VALUE"""),0.0)</f>
        <v>0</v>
      </c>
      <c r="I951" s="353"/>
      <c r="J951" s="353"/>
      <c r="K951" s="346">
        <f>IFERROR(__xludf.DUMMYFUNCTION("""COMPUTED_VALUE"""),0.0)</f>
        <v>0</v>
      </c>
      <c r="L951" s="347">
        <f>IFERROR(__xludf.DUMMYFUNCTION("""COMPUTED_VALUE"""),0.0)</f>
        <v>0</v>
      </c>
      <c r="M951" s="348">
        <f>IFERROR(__xludf.DUMMYFUNCTION("""COMPUTED_VALUE"""),0.0)</f>
        <v>0</v>
      </c>
      <c r="N951" s="348">
        <f>IFERROR(__xludf.DUMMYFUNCTION("""COMPUTED_VALUE"""),0.0)</f>
        <v>0</v>
      </c>
      <c r="O951" s="348">
        <f>IFERROR(__xludf.DUMMYFUNCTION("""COMPUTED_VALUE"""),0.0)</f>
        <v>0</v>
      </c>
      <c r="P951" s="348">
        <f>IFERROR(__xludf.DUMMYFUNCTION("""COMPUTED_VALUE"""),0.0)</f>
        <v>0</v>
      </c>
      <c r="Q951" s="348">
        <f>IFERROR(__xludf.DUMMYFUNCTION("""COMPUTED_VALUE"""),0.0)</f>
        <v>0</v>
      </c>
      <c r="R951" s="355" t="str">
        <f>IFERROR(__xludf.DUMMYFUNCTION("""COMPUTED_VALUE""")," Cash Proyek ")</f>
        <v>Cash Proyek</v>
      </c>
      <c r="S951" s="350"/>
      <c r="T951" s="262"/>
      <c r="U951" s="351"/>
      <c r="V951" s="262"/>
      <c r="W951" s="262"/>
      <c r="X951" s="262"/>
      <c r="Y951" s="262"/>
      <c r="Z951" s="262"/>
      <c r="AA951" s="262"/>
      <c r="AB951" s="262"/>
      <c r="AC951" s="262"/>
      <c r="AD951" s="262"/>
      <c r="AE951" s="262"/>
      <c r="AF951" s="262"/>
      <c r="AG951" s="264"/>
      <c r="AH951" s="264"/>
      <c r="AI951" s="264"/>
      <c r="AJ951" s="264"/>
      <c r="AK951" s="264"/>
      <c r="AL951" s="264"/>
      <c r="AM951" s="264"/>
      <c r="AN951" s="264"/>
    </row>
    <row r="952" ht="15.75" customHeight="1">
      <c r="A952" s="262"/>
      <c r="B952" s="338">
        <f>IFERROR(__xludf.DUMMYFUNCTION("""COMPUTED_VALUE"""),1433.0)</f>
        <v>1433</v>
      </c>
      <c r="C952" s="354"/>
      <c r="D952" s="340" t="str">
        <f>IFERROR(__xludf.DUMMYFUNCTION("""COMPUTED_VALUE"""),"")</f>
        <v/>
      </c>
      <c r="E952" s="341">
        <f>IFERROR(__xludf.DUMMYFUNCTION("""COMPUTED_VALUE"""),0.0)</f>
        <v>0</v>
      </c>
      <c r="F952" s="352"/>
      <c r="G952" s="343"/>
      <c r="H952" s="344">
        <f>IFERROR(__xludf.DUMMYFUNCTION("""COMPUTED_VALUE"""),0.0)</f>
        <v>0</v>
      </c>
      <c r="I952" s="353"/>
      <c r="J952" s="353"/>
      <c r="K952" s="346">
        <f>IFERROR(__xludf.DUMMYFUNCTION("""COMPUTED_VALUE"""),0.0)</f>
        <v>0</v>
      </c>
      <c r="L952" s="347">
        <f>IFERROR(__xludf.DUMMYFUNCTION("""COMPUTED_VALUE"""),0.0)</f>
        <v>0</v>
      </c>
      <c r="M952" s="348">
        <f>IFERROR(__xludf.DUMMYFUNCTION("""COMPUTED_VALUE"""),0.0)</f>
        <v>0</v>
      </c>
      <c r="N952" s="348">
        <f>IFERROR(__xludf.DUMMYFUNCTION("""COMPUTED_VALUE"""),0.0)</f>
        <v>0</v>
      </c>
      <c r="O952" s="348">
        <f>IFERROR(__xludf.DUMMYFUNCTION("""COMPUTED_VALUE"""),0.0)</f>
        <v>0</v>
      </c>
      <c r="P952" s="348">
        <f>IFERROR(__xludf.DUMMYFUNCTION("""COMPUTED_VALUE"""),0.0)</f>
        <v>0</v>
      </c>
      <c r="Q952" s="348">
        <f>IFERROR(__xludf.DUMMYFUNCTION("""COMPUTED_VALUE"""),0.0)</f>
        <v>0</v>
      </c>
      <c r="R952" s="355" t="str">
        <f>IFERROR(__xludf.DUMMYFUNCTION("""COMPUTED_VALUE""")," Cash Proyek ")</f>
        <v>Cash Proyek</v>
      </c>
      <c r="S952" s="350"/>
      <c r="T952" s="262"/>
      <c r="U952" s="351"/>
      <c r="V952" s="262"/>
      <c r="W952" s="262"/>
      <c r="X952" s="262"/>
      <c r="Y952" s="262"/>
      <c r="Z952" s="262"/>
      <c r="AA952" s="262"/>
      <c r="AB952" s="262"/>
      <c r="AC952" s="262"/>
      <c r="AD952" s="262"/>
      <c r="AE952" s="262"/>
      <c r="AF952" s="262"/>
      <c r="AG952" s="264"/>
      <c r="AH952" s="264"/>
      <c r="AI952" s="264"/>
      <c r="AJ952" s="264"/>
      <c r="AK952" s="264"/>
      <c r="AL952" s="264"/>
      <c r="AM952" s="264"/>
      <c r="AN952" s="264"/>
    </row>
    <row r="953" ht="15.75" customHeight="1">
      <c r="A953" s="262"/>
      <c r="B953" s="338">
        <f>IFERROR(__xludf.DUMMYFUNCTION("""COMPUTED_VALUE"""),1434.0)</f>
        <v>1434</v>
      </c>
      <c r="C953" s="354"/>
      <c r="D953" s="340" t="str">
        <f>IFERROR(__xludf.DUMMYFUNCTION("""COMPUTED_VALUE"""),"")</f>
        <v/>
      </c>
      <c r="E953" s="341">
        <f>IFERROR(__xludf.DUMMYFUNCTION("""COMPUTED_VALUE"""),0.0)</f>
        <v>0</v>
      </c>
      <c r="F953" s="352"/>
      <c r="G953" s="343"/>
      <c r="H953" s="344">
        <f>IFERROR(__xludf.DUMMYFUNCTION("""COMPUTED_VALUE"""),0.0)</f>
        <v>0</v>
      </c>
      <c r="I953" s="353"/>
      <c r="J953" s="353"/>
      <c r="K953" s="346">
        <f>IFERROR(__xludf.DUMMYFUNCTION("""COMPUTED_VALUE"""),0.0)</f>
        <v>0</v>
      </c>
      <c r="L953" s="347">
        <f>IFERROR(__xludf.DUMMYFUNCTION("""COMPUTED_VALUE"""),0.0)</f>
        <v>0</v>
      </c>
      <c r="M953" s="348">
        <f>IFERROR(__xludf.DUMMYFUNCTION("""COMPUTED_VALUE"""),0.0)</f>
        <v>0</v>
      </c>
      <c r="N953" s="348">
        <f>IFERROR(__xludf.DUMMYFUNCTION("""COMPUTED_VALUE"""),0.0)</f>
        <v>0</v>
      </c>
      <c r="O953" s="348">
        <f>IFERROR(__xludf.DUMMYFUNCTION("""COMPUTED_VALUE"""),0.0)</f>
        <v>0</v>
      </c>
      <c r="P953" s="348">
        <f>IFERROR(__xludf.DUMMYFUNCTION("""COMPUTED_VALUE"""),0.0)</f>
        <v>0</v>
      </c>
      <c r="Q953" s="348">
        <f>IFERROR(__xludf.DUMMYFUNCTION("""COMPUTED_VALUE"""),0.0)</f>
        <v>0</v>
      </c>
      <c r="R953" s="355" t="str">
        <f>IFERROR(__xludf.DUMMYFUNCTION("""COMPUTED_VALUE""")," Cash Proyek ")</f>
        <v>Cash Proyek</v>
      </c>
      <c r="S953" s="350"/>
      <c r="T953" s="262"/>
      <c r="U953" s="351"/>
      <c r="V953" s="262"/>
      <c r="W953" s="262"/>
      <c r="X953" s="262"/>
      <c r="Y953" s="262"/>
      <c r="Z953" s="262"/>
      <c r="AA953" s="262"/>
      <c r="AB953" s="262"/>
      <c r="AC953" s="262"/>
      <c r="AD953" s="262"/>
      <c r="AE953" s="262"/>
      <c r="AF953" s="262"/>
      <c r="AG953" s="264"/>
      <c r="AH953" s="264"/>
      <c r="AI953" s="264"/>
      <c r="AJ953" s="264"/>
      <c r="AK953" s="264"/>
      <c r="AL953" s="264"/>
      <c r="AM953" s="264"/>
      <c r="AN953" s="264"/>
    </row>
    <row r="954" ht="15.75" customHeight="1">
      <c r="A954" s="262"/>
      <c r="B954" s="338">
        <f>IFERROR(__xludf.DUMMYFUNCTION("""COMPUTED_VALUE"""),1435.0)</f>
        <v>1435</v>
      </c>
      <c r="C954" s="354"/>
      <c r="D954" s="340" t="str">
        <f>IFERROR(__xludf.DUMMYFUNCTION("""COMPUTED_VALUE"""),"")</f>
        <v/>
      </c>
      <c r="E954" s="341">
        <f>IFERROR(__xludf.DUMMYFUNCTION("""COMPUTED_VALUE"""),0.0)</f>
        <v>0</v>
      </c>
      <c r="F954" s="352"/>
      <c r="G954" s="343"/>
      <c r="H954" s="344">
        <f>IFERROR(__xludf.DUMMYFUNCTION("""COMPUTED_VALUE"""),0.0)</f>
        <v>0</v>
      </c>
      <c r="I954" s="353"/>
      <c r="J954" s="353"/>
      <c r="K954" s="346">
        <f>IFERROR(__xludf.DUMMYFUNCTION("""COMPUTED_VALUE"""),0.0)</f>
        <v>0</v>
      </c>
      <c r="L954" s="347">
        <f>IFERROR(__xludf.DUMMYFUNCTION("""COMPUTED_VALUE"""),0.0)</f>
        <v>0</v>
      </c>
      <c r="M954" s="348">
        <f>IFERROR(__xludf.DUMMYFUNCTION("""COMPUTED_VALUE"""),0.0)</f>
        <v>0</v>
      </c>
      <c r="N954" s="348">
        <f>IFERROR(__xludf.DUMMYFUNCTION("""COMPUTED_VALUE"""),0.0)</f>
        <v>0</v>
      </c>
      <c r="O954" s="348">
        <f>IFERROR(__xludf.DUMMYFUNCTION("""COMPUTED_VALUE"""),0.0)</f>
        <v>0</v>
      </c>
      <c r="P954" s="348">
        <f>IFERROR(__xludf.DUMMYFUNCTION("""COMPUTED_VALUE"""),0.0)</f>
        <v>0</v>
      </c>
      <c r="Q954" s="348">
        <f>IFERROR(__xludf.DUMMYFUNCTION("""COMPUTED_VALUE"""),0.0)</f>
        <v>0</v>
      </c>
      <c r="R954" s="355" t="str">
        <f>IFERROR(__xludf.DUMMYFUNCTION("""COMPUTED_VALUE""")," Cash Proyek ")</f>
        <v>Cash Proyek</v>
      </c>
      <c r="S954" s="350"/>
      <c r="T954" s="262"/>
      <c r="U954" s="351"/>
      <c r="V954" s="262"/>
      <c r="W954" s="262"/>
      <c r="X954" s="262"/>
      <c r="Y954" s="262"/>
      <c r="Z954" s="262"/>
      <c r="AA954" s="262"/>
      <c r="AB954" s="262"/>
      <c r="AC954" s="262"/>
      <c r="AD954" s="262"/>
      <c r="AE954" s="262"/>
      <c r="AF954" s="262"/>
      <c r="AG954" s="264"/>
      <c r="AH954" s="264"/>
      <c r="AI954" s="264"/>
      <c r="AJ954" s="264"/>
      <c r="AK954" s="264"/>
      <c r="AL954" s="264"/>
      <c r="AM954" s="264"/>
      <c r="AN954" s="264"/>
    </row>
    <row r="955" ht="15.75" customHeight="1">
      <c r="A955" s="262"/>
      <c r="B955" s="338">
        <f>IFERROR(__xludf.DUMMYFUNCTION("""COMPUTED_VALUE"""),1436.0)</f>
        <v>1436</v>
      </c>
      <c r="C955" s="354"/>
      <c r="D955" s="340" t="str">
        <f>IFERROR(__xludf.DUMMYFUNCTION("""COMPUTED_VALUE"""),"")</f>
        <v/>
      </c>
      <c r="E955" s="341">
        <f>IFERROR(__xludf.DUMMYFUNCTION("""COMPUTED_VALUE"""),0.0)</f>
        <v>0</v>
      </c>
      <c r="F955" s="352"/>
      <c r="G955" s="343"/>
      <c r="H955" s="344">
        <f>IFERROR(__xludf.DUMMYFUNCTION("""COMPUTED_VALUE"""),0.0)</f>
        <v>0</v>
      </c>
      <c r="I955" s="353"/>
      <c r="J955" s="353"/>
      <c r="K955" s="346">
        <f>IFERROR(__xludf.DUMMYFUNCTION("""COMPUTED_VALUE"""),0.0)</f>
        <v>0</v>
      </c>
      <c r="L955" s="347">
        <f>IFERROR(__xludf.DUMMYFUNCTION("""COMPUTED_VALUE"""),0.0)</f>
        <v>0</v>
      </c>
      <c r="M955" s="348">
        <f>IFERROR(__xludf.DUMMYFUNCTION("""COMPUTED_VALUE"""),0.0)</f>
        <v>0</v>
      </c>
      <c r="N955" s="348">
        <f>IFERROR(__xludf.DUMMYFUNCTION("""COMPUTED_VALUE"""),0.0)</f>
        <v>0</v>
      </c>
      <c r="O955" s="348">
        <f>IFERROR(__xludf.DUMMYFUNCTION("""COMPUTED_VALUE"""),0.0)</f>
        <v>0</v>
      </c>
      <c r="P955" s="348">
        <f>IFERROR(__xludf.DUMMYFUNCTION("""COMPUTED_VALUE"""),0.0)</f>
        <v>0</v>
      </c>
      <c r="Q955" s="348">
        <f>IFERROR(__xludf.DUMMYFUNCTION("""COMPUTED_VALUE"""),0.0)</f>
        <v>0</v>
      </c>
      <c r="R955" s="355" t="str">
        <f>IFERROR(__xludf.DUMMYFUNCTION("""COMPUTED_VALUE""")," Cash Proyek ")</f>
        <v>Cash Proyek</v>
      </c>
      <c r="S955" s="350"/>
      <c r="T955" s="262"/>
      <c r="U955" s="351"/>
      <c r="V955" s="262"/>
      <c r="W955" s="262"/>
      <c r="X955" s="262"/>
      <c r="Y955" s="262"/>
      <c r="Z955" s="262"/>
      <c r="AA955" s="262"/>
      <c r="AB955" s="262"/>
      <c r="AC955" s="262"/>
      <c r="AD955" s="262"/>
      <c r="AE955" s="262"/>
      <c r="AF955" s="262"/>
      <c r="AG955" s="264"/>
      <c r="AH955" s="264"/>
      <c r="AI955" s="264"/>
      <c r="AJ955" s="264"/>
      <c r="AK955" s="264"/>
      <c r="AL955" s="264"/>
      <c r="AM955" s="264"/>
      <c r="AN955" s="264"/>
    </row>
    <row r="956" ht="15.75" customHeight="1">
      <c r="A956" s="262"/>
      <c r="B956" s="338">
        <f>IFERROR(__xludf.DUMMYFUNCTION("""COMPUTED_VALUE"""),1437.0)</f>
        <v>1437</v>
      </c>
      <c r="C956" s="354"/>
      <c r="D956" s="340" t="str">
        <f>IFERROR(__xludf.DUMMYFUNCTION("""COMPUTED_VALUE"""),"")</f>
        <v/>
      </c>
      <c r="E956" s="341">
        <f>IFERROR(__xludf.DUMMYFUNCTION("""COMPUTED_VALUE"""),0.0)</f>
        <v>0</v>
      </c>
      <c r="F956" s="352"/>
      <c r="G956" s="343"/>
      <c r="H956" s="344">
        <f>IFERROR(__xludf.DUMMYFUNCTION("""COMPUTED_VALUE"""),0.0)</f>
        <v>0</v>
      </c>
      <c r="I956" s="353"/>
      <c r="J956" s="353"/>
      <c r="K956" s="346">
        <f>IFERROR(__xludf.DUMMYFUNCTION("""COMPUTED_VALUE"""),0.0)</f>
        <v>0</v>
      </c>
      <c r="L956" s="347">
        <f>IFERROR(__xludf.DUMMYFUNCTION("""COMPUTED_VALUE"""),0.0)</f>
        <v>0</v>
      </c>
      <c r="M956" s="348">
        <f>IFERROR(__xludf.DUMMYFUNCTION("""COMPUTED_VALUE"""),0.0)</f>
        <v>0</v>
      </c>
      <c r="N956" s="348">
        <f>IFERROR(__xludf.DUMMYFUNCTION("""COMPUTED_VALUE"""),0.0)</f>
        <v>0</v>
      </c>
      <c r="O956" s="348">
        <f>IFERROR(__xludf.DUMMYFUNCTION("""COMPUTED_VALUE"""),0.0)</f>
        <v>0</v>
      </c>
      <c r="P956" s="348">
        <f>IFERROR(__xludf.DUMMYFUNCTION("""COMPUTED_VALUE"""),0.0)</f>
        <v>0</v>
      </c>
      <c r="Q956" s="348">
        <f>IFERROR(__xludf.DUMMYFUNCTION("""COMPUTED_VALUE"""),0.0)</f>
        <v>0</v>
      </c>
      <c r="R956" s="355" t="str">
        <f>IFERROR(__xludf.DUMMYFUNCTION("""COMPUTED_VALUE""")," Cash Proyek ")</f>
        <v>Cash Proyek</v>
      </c>
      <c r="S956" s="350"/>
      <c r="T956" s="262"/>
      <c r="U956" s="351"/>
      <c r="V956" s="262"/>
      <c r="W956" s="262"/>
      <c r="X956" s="262"/>
      <c r="Y956" s="262"/>
      <c r="Z956" s="262"/>
      <c r="AA956" s="262"/>
      <c r="AB956" s="262"/>
      <c r="AC956" s="262"/>
      <c r="AD956" s="262"/>
      <c r="AE956" s="262"/>
      <c r="AF956" s="262"/>
      <c r="AG956" s="264"/>
      <c r="AH956" s="264"/>
      <c r="AI956" s="264"/>
      <c r="AJ956" s="264"/>
      <c r="AK956" s="264"/>
      <c r="AL956" s="264"/>
      <c r="AM956" s="264"/>
      <c r="AN956" s="264"/>
    </row>
    <row r="957" ht="15.75" customHeight="1">
      <c r="A957" s="262"/>
      <c r="B957" s="338">
        <f>IFERROR(__xludf.DUMMYFUNCTION("""COMPUTED_VALUE"""),1438.0)</f>
        <v>1438</v>
      </c>
      <c r="C957" s="354"/>
      <c r="D957" s="340" t="str">
        <f>IFERROR(__xludf.DUMMYFUNCTION("""COMPUTED_VALUE"""),"")</f>
        <v/>
      </c>
      <c r="E957" s="341">
        <f>IFERROR(__xludf.DUMMYFUNCTION("""COMPUTED_VALUE"""),0.0)</f>
        <v>0</v>
      </c>
      <c r="F957" s="352"/>
      <c r="G957" s="343"/>
      <c r="H957" s="344">
        <f>IFERROR(__xludf.DUMMYFUNCTION("""COMPUTED_VALUE"""),0.0)</f>
        <v>0</v>
      </c>
      <c r="I957" s="353"/>
      <c r="J957" s="353"/>
      <c r="K957" s="346">
        <f>IFERROR(__xludf.DUMMYFUNCTION("""COMPUTED_VALUE"""),0.0)</f>
        <v>0</v>
      </c>
      <c r="L957" s="347">
        <f>IFERROR(__xludf.DUMMYFUNCTION("""COMPUTED_VALUE"""),0.0)</f>
        <v>0</v>
      </c>
      <c r="M957" s="348">
        <f>IFERROR(__xludf.DUMMYFUNCTION("""COMPUTED_VALUE"""),0.0)</f>
        <v>0</v>
      </c>
      <c r="N957" s="348">
        <f>IFERROR(__xludf.DUMMYFUNCTION("""COMPUTED_VALUE"""),0.0)</f>
        <v>0</v>
      </c>
      <c r="O957" s="348">
        <f>IFERROR(__xludf.DUMMYFUNCTION("""COMPUTED_VALUE"""),0.0)</f>
        <v>0</v>
      </c>
      <c r="P957" s="348">
        <f>IFERROR(__xludf.DUMMYFUNCTION("""COMPUTED_VALUE"""),0.0)</f>
        <v>0</v>
      </c>
      <c r="Q957" s="348">
        <f>IFERROR(__xludf.DUMMYFUNCTION("""COMPUTED_VALUE"""),0.0)</f>
        <v>0</v>
      </c>
      <c r="R957" s="355" t="str">
        <f>IFERROR(__xludf.DUMMYFUNCTION("""COMPUTED_VALUE""")," Cash Proyek ")</f>
        <v>Cash Proyek</v>
      </c>
      <c r="S957" s="350"/>
      <c r="T957" s="262"/>
      <c r="U957" s="351"/>
      <c r="V957" s="262"/>
      <c r="W957" s="262"/>
      <c r="X957" s="262"/>
      <c r="Y957" s="262"/>
      <c r="Z957" s="262"/>
      <c r="AA957" s="262"/>
      <c r="AB957" s="262"/>
      <c r="AC957" s="262"/>
      <c r="AD957" s="262"/>
      <c r="AE957" s="262"/>
      <c r="AF957" s="262"/>
      <c r="AG957" s="264"/>
      <c r="AH957" s="264"/>
      <c r="AI957" s="264"/>
      <c r="AJ957" s="264"/>
      <c r="AK957" s="264"/>
      <c r="AL957" s="264"/>
      <c r="AM957" s="264"/>
      <c r="AN957" s="264"/>
    </row>
    <row r="958" ht="15.75" customHeight="1">
      <c r="A958" s="262"/>
      <c r="B958" s="338">
        <f>IFERROR(__xludf.DUMMYFUNCTION("""COMPUTED_VALUE"""),1439.0)</f>
        <v>1439</v>
      </c>
      <c r="C958" s="354"/>
      <c r="D958" s="340" t="str">
        <f>IFERROR(__xludf.DUMMYFUNCTION("""COMPUTED_VALUE"""),"")</f>
        <v/>
      </c>
      <c r="E958" s="341">
        <f>IFERROR(__xludf.DUMMYFUNCTION("""COMPUTED_VALUE"""),0.0)</f>
        <v>0</v>
      </c>
      <c r="F958" s="352"/>
      <c r="G958" s="343"/>
      <c r="H958" s="344">
        <f>IFERROR(__xludf.DUMMYFUNCTION("""COMPUTED_VALUE"""),0.0)</f>
        <v>0</v>
      </c>
      <c r="I958" s="353"/>
      <c r="J958" s="353"/>
      <c r="K958" s="346">
        <f>IFERROR(__xludf.DUMMYFUNCTION("""COMPUTED_VALUE"""),0.0)</f>
        <v>0</v>
      </c>
      <c r="L958" s="347">
        <f>IFERROR(__xludf.DUMMYFUNCTION("""COMPUTED_VALUE"""),0.0)</f>
        <v>0</v>
      </c>
      <c r="M958" s="348">
        <f>IFERROR(__xludf.DUMMYFUNCTION("""COMPUTED_VALUE"""),0.0)</f>
        <v>0</v>
      </c>
      <c r="N958" s="348">
        <f>IFERROR(__xludf.DUMMYFUNCTION("""COMPUTED_VALUE"""),0.0)</f>
        <v>0</v>
      </c>
      <c r="O958" s="348">
        <f>IFERROR(__xludf.DUMMYFUNCTION("""COMPUTED_VALUE"""),0.0)</f>
        <v>0</v>
      </c>
      <c r="P958" s="348">
        <f>IFERROR(__xludf.DUMMYFUNCTION("""COMPUTED_VALUE"""),0.0)</f>
        <v>0</v>
      </c>
      <c r="Q958" s="348">
        <f>IFERROR(__xludf.DUMMYFUNCTION("""COMPUTED_VALUE"""),0.0)</f>
        <v>0</v>
      </c>
      <c r="R958" s="355" t="str">
        <f>IFERROR(__xludf.DUMMYFUNCTION("""COMPUTED_VALUE""")," Cash Proyek ")</f>
        <v>Cash Proyek</v>
      </c>
      <c r="S958" s="350"/>
      <c r="T958" s="262"/>
      <c r="U958" s="351"/>
      <c r="V958" s="262"/>
      <c r="W958" s="262"/>
      <c r="X958" s="262"/>
      <c r="Y958" s="262"/>
      <c r="Z958" s="262"/>
      <c r="AA958" s="262"/>
      <c r="AB958" s="262"/>
      <c r="AC958" s="262"/>
      <c r="AD958" s="262"/>
      <c r="AE958" s="262"/>
      <c r="AF958" s="262"/>
      <c r="AG958" s="264"/>
      <c r="AH958" s="264"/>
      <c r="AI958" s="264"/>
      <c r="AJ958" s="264"/>
      <c r="AK958" s="264"/>
      <c r="AL958" s="264"/>
      <c r="AM958" s="264"/>
      <c r="AN958" s="264"/>
    </row>
    <row r="959" ht="15.75" customHeight="1">
      <c r="A959" s="262"/>
      <c r="B959" s="338">
        <f>IFERROR(__xludf.DUMMYFUNCTION("""COMPUTED_VALUE"""),1440.0)</f>
        <v>1440</v>
      </c>
      <c r="C959" s="354"/>
      <c r="D959" s="340" t="str">
        <f>IFERROR(__xludf.DUMMYFUNCTION("""COMPUTED_VALUE"""),"")</f>
        <v/>
      </c>
      <c r="E959" s="341">
        <f>IFERROR(__xludf.DUMMYFUNCTION("""COMPUTED_VALUE"""),0.0)</f>
        <v>0</v>
      </c>
      <c r="F959" s="352"/>
      <c r="G959" s="343"/>
      <c r="H959" s="344">
        <f>IFERROR(__xludf.DUMMYFUNCTION("""COMPUTED_VALUE"""),0.0)</f>
        <v>0</v>
      </c>
      <c r="I959" s="353"/>
      <c r="J959" s="353"/>
      <c r="K959" s="346">
        <f>IFERROR(__xludf.DUMMYFUNCTION("""COMPUTED_VALUE"""),0.0)</f>
        <v>0</v>
      </c>
      <c r="L959" s="347">
        <f>IFERROR(__xludf.DUMMYFUNCTION("""COMPUTED_VALUE"""),0.0)</f>
        <v>0</v>
      </c>
      <c r="M959" s="348">
        <f>IFERROR(__xludf.DUMMYFUNCTION("""COMPUTED_VALUE"""),0.0)</f>
        <v>0</v>
      </c>
      <c r="N959" s="348">
        <f>IFERROR(__xludf.DUMMYFUNCTION("""COMPUTED_VALUE"""),0.0)</f>
        <v>0</v>
      </c>
      <c r="O959" s="348">
        <f>IFERROR(__xludf.DUMMYFUNCTION("""COMPUTED_VALUE"""),0.0)</f>
        <v>0</v>
      </c>
      <c r="P959" s="348">
        <f>IFERROR(__xludf.DUMMYFUNCTION("""COMPUTED_VALUE"""),0.0)</f>
        <v>0</v>
      </c>
      <c r="Q959" s="348">
        <f>IFERROR(__xludf.DUMMYFUNCTION("""COMPUTED_VALUE"""),0.0)</f>
        <v>0</v>
      </c>
      <c r="R959" s="355" t="str">
        <f>IFERROR(__xludf.DUMMYFUNCTION("""COMPUTED_VALUE""")," Cash Proyek ")</f>
        <v>Cash Proyek</v>
      </c>
      <c r="S959" s="350"/>
      <c r="T959" s="262"/>
      <c r="U959" s="351"/>
      <c r="V959" s="262"/>
      <c r="W959" s="262"/>
      <c r="X959" s="262"/>
      <c r="Y959" s="262"/>
      <c r="Z959" s="262"/>
      <c r="AA959" s="262"/>
      <c r="AB959" s="262"/>
      <c r="AC959" s="262"/>
      <c r="AD959" s="262"/>
      <c r="AE959" s="262"/>
      <c r="AF959" s="262"/>
      <c r="AG959" s="264"/>
      <c r="AH959" s="264"/>
      <c r="AI959" s="264"/>
      <c r="AJ959" s="264"/>
      <c r="AK959" s="264"/>
      <c r="AL959" s="264"/>
      <c r="AM959" s="264"/>
      <c r="AN959" s="264"/>
    </row>
    <row r="960" ht="15.75" customHeight="1">
      <c r="A960" s="262"/>
      <c r="B960" s="338">
        <f>IFERROR(__xludf.DUMMYFUNCTION("""COMPUTED_VALUE"""),1441.0)</f>
        <v>1441</v>
      </c>
      <c r="C960" s="354"/>
      <c r="D960" s="340" t="str">
        <f>IFERROR(__xludf.DUMMYFUNCTION("""COMPUTED_VALUE"""),"")</f>
        <v/>
      </c>
      <c r="E960" s="341">
        <f>IFERROR(__xludf.DUMMYFUNCTION("""COMPUTED_VALUE"""),0.0)</f>
        <v>0</v>
      </c>
      <c r="F960" s="352"/>
      <c r="G960" s="343"/>
      <c r="H960" s="344">
        <f>IFERROR(__xludf.DUMMYFUNCTION("""COMPUTED_VALUE"""),0.0)</f>
        <v>0</v>
      </c>
      <c r="I960" s="353"/>
      <c r="J960" s="353"/>
      <c r="K960" s="346">
        <f>IFERROR(__xludf.DUMMYFUNCTION("""COMPUTED_VALUE"""),0.0)</f>
        <v>0</v>
      </c>
      <c r="L960" s="347">
        <f>IFERROR(__xludf.DUMMYFUNCTION("""COMPUTED_VALUE"""),0.0)</f>
        <v>0</v>
      </c>
      <c r="M960" s="348">
        <f>IFERROR(__xludf.DUMMYFUNCTION("""COMPUTED_VALUE"""),0.0)</f>
        <v>0</v>
      </c>
      <c r="N960" s="348">
        <f>IFERROR(__xludf.DUMMYFUNCTION("""COMPUTED_VALUE"""),0.0)</f>
        <v>0</v>
      </c>
      <c r="O960" s="348">
        <f>IFERROR(__xludf.DUMMYFUNCTION("""COMPUTED_VALUE"""),0.0)</f>
        <v>0</v>
      </c>
      <c r="P960" s="348">
        <f>IFERROR(__xludf.DUMMYFUNCTION("""COMPUTED_VALUE"""),0.0)</f>
        <v>0</v>
      </c>
      <c r="Q960" s="348">
        <f>IFERROR(__xludf.DUMMYFUNCTION("""COMPUTED_VALUE"""),0.0)</f>
        <v>0</v>
      </c>
      <c r="R960" s="355" t="str">
        <f>IFERROR(__xludf.DUMMYFUNCTION("""COMPUTED_VALUE""")," Cash Proyek ")</f>
        <v>Cash Proyek</v>
      </c>
      <c r="S960" s="350"/>
      <c r="T960" s="262"/>
      <c r="U960" s="351"/>
      <c r="V960" s="262"/>
      <c r="W960" s="262"/>
      <c r="X960" s="262"/>
      <c r="Y960" s="262"/>
      <c r="Z960" s="262"/>
      <c r="AA960" s="262"/>
      <c r="AB960" s="262"/>
      <c r="AC960" s="262"/>
      <c r="AD960" s="262"/>
      <c r="AE960" s="262"/>
      <c r="AF960" s="262"/>
      <c r="AG960" s="264"/>
      <c r="AH960" s="264"/>
      <c r="AI960" s="264"/>
      <c r="AJ960" s="264"/>
      <c r="AK960" s="264"/>
      <c r="AL960" s="264"/>
      <c r="AM960" s="264"/>
      <c r="AN960" s="264"/>
    </row>
    <row r="961" ht="15.75" customHeight="1">
      <c r="A961" s="262"/>
      <c r="B961" s="338">
        <f>IFERROR(__xludf.DUMMYFUNCTION("""COMPUTED_VALUE"""),1442.0)</f>
        <v>1442</v>
      </c>
      <c r="C961" s="354"/>
      <c r="D961" s="340" t="str">
        <f>IFERROR(__xludf.DUMMYFUNCTION("""COMPUTED_VALUE"""),"")</f>
        <v/>
      </c>
      <c r="E961" s="341">
        <f>IFERROR(__xludf.DUMMYFUNCTION("""COMPUTED_VALUE"""),0.0)</f>
        <v>0</v>
      </c>
      <c r="F961" s="352"/>
      <c r="G961" s="343"/>
      <c r="H961" s="344">
        <f>IFERROR(__xludf.DUMMYFUNCTION("""COMPUTED_VALUE"""),0.0)</f>
        <v>0</v>
      </c>
      <c r="I961" s="353"/>
      <c r="J961" s="353"/>
      <c r="K961" s="346">
        <f>IFERROR(__xludf.DUMMYFUNCTION("""COMPUTED_VALUE"""),0.0)</f>
        <v>0</v>
      </c>
      <c r="L961" s="347">
        <f>IFERROR(__xludf.DUMMYFUNCTION("""COMPUTED_VALUE"""),0.0)</f>
        <v>0</v>
      </c>
      <c r="M961" s="348">
        <f>IFERROR(__xludf.DUMMYFUNCTION("""COMPUTED_VALUE"""),0.0)</f>
        <v>0</v>
      </c>
      <c r="N961" s="348">
        <f>IFERROR(__xludf.DUMMYFUNCTION("""COMPUTED_VALUE"""),0.0)</f>
        <v>0</v>
      </c>
      <c r="O961" s="348">
        <f>IFERROR(__xludf.DUMMYFUNCTION("""COMPUTED_VALUE"""),0.0)</f>
        <v>0</v>
      </c>
      <c r="P961" s="348">
        <f>IFERROR(__xludf.DUMMYFUNCTION("""COMPUTED_VALUE"""),0.0)</f>
        <v>0</v>
      </c>
      <c r="Q961" s="348">
        <f>IFERROR(__xludf.DUMMYFUNCTION("""COMPUTED_VALUE"""),0.0)</f>
        <v>0</v>
      </c>
      <c r="R961" s="355" t="str">
        <f>IFERROR(__xludf.DUMMYFUNCTION("""COMPUTED_VALUE""")," Cash Proyek ")</f>
        <v>Cash Proyek</v>
      </c>
      <c r="S961" s="350"/>
      <c r="T961" s="262"/>
      <c r="U961" s="351"/>
      <c r="V961" s="262"/>
      <c r="W961" s="262"/>
      <c r="X961" s="262"/>
      <c r="Y961" s="262"/>
      <c r="Z961" s="262"/>
      <c r="AA961" s="262"/>
      <c r="AB961" s="262"/>
      <c r="AC961" s="262"/>
      <c r="AD961" s="262"/>
      <c r="AE961" s="262"/>
      <c r="AF961" s="262"/>
      <c r="AG961" s="264"/>
      <c r="AH961" s="264"/>
      <c r="AI961" s="264"/>
      <c r="AJ961" s="264"/>
      <c r="AK961" s="264"/>
      <c r="AL961" s="264"/>
      <c r="AM961" s="264"/>
      <c r="AN961" s="264"/>
    </row>
    <row r="962" ht="15.75" customHeight="1">
      <c r="A962" s="262"/>
      <c r="B962" s="338">
        <f>IFERROR(__xludf.DUMMYFUNCTION("""COMPUTED_VALUE"""),1443.0)</f>
        <v>1443</v>
      </c>
      <c r="C962" s="354"/>
      <c r="D962" s="340" t="str">
        <f>IFERROR(__xludf.DUMMYFUNCTION("""COMPUTED_VALUE"""),"")</f>
        <v/>
      </c>
      <c r="E962" s="341">
        <f>IFERROR(__xludf.DUMMYFUNCTION("""COMPUTED_VALUE"""),0.0)</f>
        <v>0</v>
      </c>
      <c r="F962" s="352"/>
      <c r="G962" s="343"/>
      <c r="H962" s="344">
        <f>IFERROR(__xludf.DUMMYFUNCTION("""COMPUTED_VALUE"""),0.0)</f>
        <v>0</v>
      </c>
      <c r="I962" s="353"/>
      <c r="J962" s="353"/>
      <c r="K962" s="346">
        <f>IFERROR(__xludf.DUMMYFUNCTION("""COMPUTED_VALUE"""),0.0)</f>
        <v>0</v>
      </c>
      <c r="L962" s="347">
        <f>IFERROR(__xludf.DUMMYFUNCTION("""COMPUTED_VALUE"""),0.0)</f>
        <v>0</v>
      </c>
      <c r="M962" s="348">
        <f>IFERROR(__xludf.DUMMYFUNCTION("""COMPUTED_VALUE"""),0.0)</f>
        <v>0</v>
      </c>
      <c r="N962" s="348">
        <f>IFERROR(__xludf.DUMMYFUNCTION("""COMPUTED_VALUE"""),0.0)</f>
        <v>0</v>
      </c>
      <c r="O962" s="348">
        <f>IFERROR(__xludf.DUMMYFUNCTION("""COMPUTED_VALUE"""),0.0)</f>
        <v>0</v>
      </c>
      <c r="P962" s="348">
        <f>IFERROR(__xludf.DUMMYFUNCTION("""COMPUTED_VALUE"""),0.0)</f>
        <v>0</v>
      </c>
      <c r="Q962" s="348">
        <f>IFERROR(__xludf.DUMMYFUNCTION("""COMPUTED_VALUE"""),0.0)</f>
        <v>0</v>
      </c>
      <c r="R962" s="355" t="str">
        <f>IFERROR(__xludf.DUMMYFUNCTION("""COMPUTED_VALUE""")," Cash Proyek ")</f>
        <v>Cash Proyek</v>
      </c>
      <c r="S962" s="350"/>
      <c r="T962" s="262"/>
      <c r="U962" s="351"/>
      <c r="V962" s="262"/>
      <c r="W962" s="262"/>
      <c r="X962" s="262"/>
      <c r="Y962" s="262"/>
      <c r="Z962" s="262"/>
      <c r="AA962" s="262"/>
      <c r="AB962" s="262"/>
      <c r="AC962" s="262"/>
      <c r="AD962" s="262"/>
      <c r="AE962" s="262"/>
      <c r="AF962" s="262"/>
      <c r="AG962" s="264"/>
      <c r="AH962" s="264"/>
      <c r="AI962" s="264"/>
      <c r="AJ962" s="264"/>
      <c r="AK962" s="264"/>
      <c r="AL962" s="264"/>
      <c r="AM962" s="264"/>
      <c r="AN962" s="264"/>
    </row>
    <row r="963" ht="15.75" customHeight="1">
      <c r="A963" s="262"/>
      <c r="B963" s="338">
        <f>IFERROR(__xludf.DUMMYFUNCTION("""COMPUTED_VALUE"""),1444.0)</f>
        <v>1444</v>
      </c>
      <c r="C963" s="354"/>
      <c r="D963" s="340" t="str">
        <f>IFERROR(__xludf.DUMMYFUNCTION("""COMPUTED_VALUE"""),"")</f>
        <v/>
      </c>
      <c r="E963" s="341">
        <f>IFERROR(__xludf.DUMMYFUNCTION("""COMPUTED_VALUE"""),0.0)</f>
        <v>0</v>
      </c>
      <c r="F963" s="352"/>
      <c r="G963" s="343"/>
      <c r="H963" s="344">
        <f>IFERROR(__xludf.DUMMYFUNCTION("""COMPUTED_VALUE"""),0.0)</f>
        <v>0</v>
      </c>
      <c r="I963" s="353"/>
      <c r="J963" s="353"/>
      <c r="K963" s="346">
        <f>IFERROR(__xludf.DUMMYFUNCTION("""COMPUTED_VALUE"""),0.0)</f>
        <v>0</v>
      </c>
      <c r="L963" s="347">
        <f>IFERROR(__xludf.DUMMYFUNCTION("""COMPUTED_VALUE"""),0.0)</f>
        <v>0</v>
      </c>
      <c r="M963" s="348">
        <f>IFERROR(__xludf.DUMMYFUNCTION("""COMPUTED_VALUE"""),0.0)</f>
        <v>0</v>
      </c>
      <c r="N963" s="348">
        <f>IFERROR(__xludf.DUMMYFUNCTION("""COMPUTED_VALUE"""),0.0)</f>
        <v>0</v>
      </c>
      <c r="O963" s="348">
        <f>IFERROR(__xludf.DUMMYFUNCTION("""COMPUTED_VALUE"""),0.0)</f>
        <v>0</v>
      </c>
      <c r="P963" s="348">
        <f>IFERROR(__xludf.DUMMYFUNCTION("""COMPUTED_VALUE"""),0.0)</f>
        <v>0</v>
      </c>
      <c r="Q963" s="348">
        <f>IFERROR(__xludf.DUMMYFUNCTION("""COMPUTED_VALUE"""),0.0)</f>
        <v>0</v>
      </c>
      <c r="R963" s="355" t="str">
        <f>IFERROR(__xludf.DUMMYFUNCTION("""COMPUTED_VALUE""")," Cash Proyek ")</f>
        <v>Cash Proyek</v>
      </c>
      <c r="S963" s="350"/>
      <c r="T963" s="262"/>
      <c r="U963" s="351"/>
      <c r="V963" s="262"/>
      <c r="W963" s="262"/>
      <c r="X963" s="262"/>
      <c r="Y963" s="262"/>
      <c r="Z963" s="262"/>
      <c r="AA963" s="262"/>
      <c r="AB963" s="262"/>
      <c r="AC963" s="262"/>
      <c r="AD963" s="262"/>
      <c r="AE963" s="262"/>
      <c r="AF963" s="262"/>
      <c r="AG963" s="264"/>
      <c r="AH963" s="264"/>
      <c r="AI963" s="264"/>
      <c r="AJ963" s="264"/>
      <c r="AK963" s="264"/>
      <c r="AL963" s="264"/>
      <c r="AM963" s="264"/>
      <c r="AN963" s="264"/>
    </row>
    <row r="964" ht="15.75" customHeight="1">
      <c r="A964" s="262"/>
      <c r="B964" s="338">
        <f>IFERROR(__xludf.DUMMYFUNCTION("""COMPUTED_VALUE"""),1445.0)</f>
        <v>1445</v>
      </c>
      <c r="C964" s="354"/>
      <c r="D964" s="340" t="str">
        <f>IFERROR(__xludf.DUMMYFUNCTION("""COMPUTED_VALUE"""),"")</f>
        <v/>
      </c>
      <c r="E964" s="341">
        <f>IFERROR(__xludf.DUMMYFUNCTION("""COMPUTED_VALUE"""),0.0)</f>
        <v>0</v>
      </c>
      <c r="F964" s="352"/>
      <c r="G964" s="343"/>
      <c r="H964" s="344">
        <f>IFERROR(__xludf.DUMMYFUNCTION("""COMPUTED_VALUE"""),0.0)</f>
        <v>0</v>
      </c>
      <c r="I964" s="353"/>
      <c r="J964" s="353"/>
      <c r="K964" s="346">
        <f>IFERROR(__xludf.DUMMYFUNCTION("""COMPUTED_VALUE"""),0.0)</f>
        <v>0</v>
      </c>
      <c r="L964" s="347">
        <f>IFERROR(__xludf.DUMMYFUNCTION("""COMPUTED_VALUE"""),0.0)</f>
        <v>0</v>
      </c>
      <c r="M964" s="348">
        <f>IFERROR(__xludf.DUMMYFUNCTION("""COMPUTED_VALUE"""),0.0)</f>
        <v>0</v>
      </c>
      <c r="N964" s="348">
        <f>IFERROR(__xludf.DUMMYFUNCTION("""COMPUTED_VALUE"""),0.0)</f>
        <v>0</v>
      </c>
      <c r="O964" s="348">
        <f>IFERROR(__xludf.DUMMYFUNCTION("""COMPUTED_VALUE"""),0.0)</f>
        <v>0</v>
      </c>
      <c r="P964" s="348">
        <f>IFERROR(__xludf.DUMMYFUNCTION("""COMPUTED_VALUE"""),0.0)</f>
        <v>0</v>
      </c>
      <c r="Q964" s="348">
        <f>IFERROR(__xludf.DUMMYFUNCTION("""COMPUTED_VALUE"""),0.0)</f>
        <v>0</v>
      </c>
      <c r="R964" s="355" t="str">
        <f>IFERROR(__xludf.DUMMYFUNCTION("""COMPUTED_VALUE""")," Cash Proyek ")</f>
        <v>Cash Proyek</v>
      </c>
      <c r="S964" s="350"/>
      <c r="T964" s="262"/>
      <c r="U964" s="351"/>
      <c r="V964" s="262"/>
      <c r="W964" s="262"/>
      <c r="X964" s="262"/>
      <c r="Y964" s="262"/>
      <c r="Z964" s="262"/>
      <c r="AA964" s="262"/>
      <c r="AB964" s="262"/>
      <c r="AC964" s="262"/>
      <c r="AD964" s="262"/>
      <c r="AE964" s="262"/>
      <c r="AF964" s="262"/>
      <c r="AG964" s="264"/>
      <c r="AH964" s="264"/>
      <c r="AI964" s="264"/>
      <c r="AJ964" s="264"/>
      <c r="AK964" s="264"/>
      <c r="AL964" s="264"/>
      <c r="AM964" s="264"/>
      <c r="AN964" s="264"/>
    </row>
    <row r="965" ht="15.75" customHeight="1">
      <c r="A965" s="262"/>
      <c r="B965" s="338">
        <f>IFERROR(__xludf.DUMMYFUNCTION("""COMPUTED_VALUE"""),1446.0)</f>
        <v>1446</v>
      </c>
      <c r="C965" s="354"/>
      <c r="D965" s="340" t="str">
        <f>IFERROR(__xludf.DUMMYFUNCTION("""COMPUTED_VALUE"""),"")</f>
        <v/>
      </c>
      <c r="E965" s="341">
        <f>IFERROR(__xludf.DUMMYFUNCTION("""COMPUTED_VALUE"""),0.0)</f>
        <v>0</v>
      </c>
      <c r="F965" s="352"/>
      <c r="G965" s="343"/>
      <c r="H965" s="344">
        <f>IFERROR(__xludf.DUMMYFUNCTION("""COMPUTED_VALUE"""),0.0)</f>
        <v>0</v>
      </c>
      <c r="I965" s="353"/>
      <c r="J965" s="353"/>
      <c r="K965" s="346">
        <f>IFERROR(__xludf.DUMMYFUNCTION("""COMPUTED_VALUE"""),0.0)</f>
        <v>0</v>
      </c>
      <c r="L965" s="347">
        <f>IFERROR(__xludf.DUMMYFUNCTION("""COMPUTED_VALUE"""),0.0)</f>
        <v>0</v>
      </c>
      <c r="M965" s="348">
        <f>IFERROR(__xludf.DUMMYFUNCTION("""COMPUTED_VALUE"""),0.0)</f>
        <v>0</v>
      </c>
      <c r="N965" s="348">
        <f>IFERROR(__xludf.DUMMYFUNCTION("""COMPUTED_VALUE"""),0.0)</f>
        <v>0</v>
      </c>
      <c r="O965" s="348">
        <f>IFERROR(__xludf.DUMMYFUNCTION("""COMPUTED_VALUE"""),0.0)</f>
        <v>0</v>
      </c>
      <c r="P965" s="348">
        <f>IFERROR(__xludf.DUMMYFUNCTION("""COMPUTED_VALUE"""),0.0)</f>
        <v>0</v>
      </c>
      <c r="Q965" s="348">
        <f>IFERROR(__xludf.DUMMYFUNCTION("""COMPUTED_VALUE"""),0.0)</f>
        <v>0</v>
      </c>
      <c r="R965" s="355" t="str">
        <f>IFERROR(__xludf.DUMMYFUNCTION("""COMPUTED_VALUE""")," Cash Proyek ")</f>
        <v>Cash Proyek</v>
      </c>
      <c r="S965" s="350"/>
      <c r="T965" s="262"/>
      <c r="U965" s="351"/>
      <c r="V965" s="262"/>
      <c r="W965" s="262"/>
      <c r="X965" s="262"/>
      <c r="Y965" s="262"/>
      <c r="Z965" s="262"/>
      <c r="AA965" s="262"/>
      <c r="AB965" s="262"/>
      <c r="AC965" s="262"/>
      <c r="AD965" s="262"/>
      <c r="AE965" s="262"/>
      <c r="AF965" s="262"/>
      <c r="AG965" s="264"/>
      <c r="AH965" s="264"/>
      <c r="AI965" s="264"/>
      <c r="AJ965" s="264"/>
      <c r="AK965" s="264"/>
      <c r="AL965" s="264"/>
      <c r="AM965" s="264"/>
      <c r="AN965" s="264"/>
    </row>
    <row r="966" ht="15.75" customHeight="1">
      <c r="A966" s="262"/>
      <c r="B966" s="338">
        <f>IFERROR(__xludf.DUMMYFUNCTION("""COMPUTED_VALUE"""),1447.0)</f>
        <v>1447</v>
      </c>
      <c r="C966" s="354"/>
      <c r="D966" s="340" t="str">
        <f>IFERROR(__xludf.DUMMYFUNCTION("""COMPUTED_VALUE"""),"")</f>
        <v/>
      </c>
      <c r="E966" s="341">
        <f>IFERROR(__xludf.DUMMYFUNCTION("""COMPUTED_VALUE"""),0.0)</f>
        <v>0</v>
      </c>
      <c r="F966" s="352"/>
      <c r="G966" s="343"/>
      <c r="H966" s="344">
        <f>IFERROR(__xludf.DUMMYFUNCTION("""COMPUTED_VALUE"""),0.0)</f>
        <v>0</v>
      </c>
      <c r="I966" s="353"/>
      <c r="J966" s="353"/>
      <c r="K966" s="346">
        <f>IFERROR(__xludf.DUMMYFUNCTION("""COMPUTED_VALUE"""),0.0)</f>
        <v>0</v>
      </c>
      <c r="L966" s="347">
        <f>IFERROR(__xludf.DUMMYFUNCTION("""COMPUTED_VALUE"""),0.0)</f>
        <v>0</v>
      </c>
      <c r="M966" s="348">
        <f>IFERROR(__xludf.DUMMYFUNCTION("""COMPUTED_VALUE"""),0.0)</f>
        <v>0</v>
      </c>
      <c r="N966" s="348">
        <f>IFERROR(__xludf.DUMMYFUNCTION("""COMPUTED_VALUE"""),0.0)</f>
        <v>0</v>
      </c>
      <c r="O966" s="348">
        <f>IFERROR(__xludf.DUMMYFUNCTION("""COMPUTED_VALUE"""),0.0)</f>
        <v>0</v>
      </c>
      <c r="P966" s="348">
        <f>IFERROR(__xludf.DUMMYFUNCTION("""COMPUTED_VALUE"""),0.0)</f>
        <v>0</v>
      </c>
      <c r="Q966" s="348">
        <f>IFERROR(__xludf.DUMMYFUNCTION("""COMPUTED_VALUE"""),0.0)</f>
        <v>0</v>
      </c>
      <c r="R966" s="355" t="str">
        <f>IFERROR(__xludf.DUMMYFUNCTION("""COMPUTED_VALUE""")," Cash Proyek ")</f>
        <v>Cash Proyek</v>
      </c>
      <c r="S966" s="350"/>
      <c r="T966" s="262"/>
      <c r="U966" s="351"/>
      <c r="V966" s="262"/>
      <c r="W966" s="262"/>
      <c r="X966" s="262"/>
      <c r="Y966" s="262"/>
      <c r="Z966" s="262"/>
      <c r="AA966" s="262"/>
      <c r="AB966" s="262"/>
      <c r="AC966" s="262"/>
      <c r="AD966" s="262"/>
      <c r="AE966" s="262"/>
      <c r="AF966" s="262"/>
      <c r="AG966" s="264"/>
      <c r="AH966" s="264"/>
      <c r="AI966" s="264"/>
      <c r="AJ966" s="264"/>
      <c r="AK966" s="264"/>
      <c r="AL966" s="264"/>
      <c r="AM966" s="264"/>
      <c r="AN966" s="264"/>
    </row>
    <row r="967" ht="15.75" customHeight="1">
      <c r="A967" s="262"/>
      <c r="B967" s="338">
        <f>IFERROR(__xludf.DUMMYFUNCTION("""COMPUTED_VALUE"""),1448.0)</f>
        <v>1448</v>
      </c>
      <c r="C967" s="354"/>
      <c r="D967" s="340" t="str">
        <f>IFERROR(__xludf.DUMMYFUNCTION("""COMPUTED_VALUE"""),"")</f>
        <v/>
      </c>
      <c r="E967" s="341">
        <f>IFERROR(__xludf.DUMMYFUNCTION("""COMPUTED_VALUE"""),0.0)</f>
        <v>0</v>
      </c>
      <c r="F967" s="352"/>
      <c r="G967" s="343"/>
      <c r="H967" s="344">
        <f>IFERROR(__xludf.DUMMYFUNCTION("""COMPUTED_VALUE"""),0.0)</f>
        <v>0</v>
      </c>
      <c r="I967" s="353"/>
      <c r="J967" s="353"/>
      <c r="K967" s="346">
        <f>IFERROR(__xludf.DUMMYFUNCTION("""COMPUTED_VALUE"""),0.0)</f>
        <v>0</v>
      </c>
      <c r="L967" s="347">
        <f>IFERROR(__xludf.DUMMYFUNCTION("""COMPUTED_VALUE"""),0.0)</f>
        <v>0</v>
      </c>
      <c r="M967" s="348">
        <f>IFERROR(__xludf.DUMMYFUNCTION("""COMPUTED_VALUE"""),0.0)</f>
        <v>0</v>
      </c>
      <c r="N967" s="348">
        <f>IFERROR(__xludf.DUMMYFUNCTION("""COMPUTED_VALUE"""),0.0)</f>
        <v>0</v>
      </c>
      <c r="O967" s="348">
        <f>IFERROR(__xludf.DUMMYFUNCTION("""COMPUTED_VALUE"""),0.0)</f>
        <v>0</v>
      </c>
      <c r="P967" s="348">
        <f>IFERROR(__xludf.DUMMYFUNCTION("""COMPUTED_VALUE"""),0.0)</f>
        <v>0</v>
      </c>
      <c r="Q967" s="348">
        <f>IFERROR(__xludf.DUMMYFUNCTION("""COMPUTED_VALUE"""),0.0)</f>
        <v>0</v>
      </c>
      <c r="R967" s="355" t="str">
        <f>IFERROR(__xludf.DUMMYFUNCTION("""COMPUTED_VALUE""")," Cash Proyek ")</f>
        <v>Cash Proyek</v>
      </c>
      <c r="S967" s="350"/>
      <c r="T967" s="262"/>
      <c r="U967" s="351"/>
      <c r="V967" s="262"/>
      <c r="W967" s="262"/>
      <c r="X967" s="262"/>
      <c r="Y967" s="262"/>
      <c r="Z967" s="262"/>
      <c r="AA967" s="262"/>
      <c r="AB967" s="262"/>
      <c r="AC967" s="262"/>
      <c r="AD967" s="262"/>
      <c r="AE967" s="262"/>
      <c r="AF967" s="262"/>
      <c r="AG967" s="264"/>
      <c r="AH967" s="264"/>
      <c r="AI967" s="264"/>
      <c r="AJ967" s="264"/>
      <c r="AK967" s="264"/>
      <c r="AL967" s="264"/>
      <c r="AM967" s="264"/>
      <c r="AN967" s="264"/>
    </row>
    <row r="968" ht="15.75" customHeight="1">
      <c r="A968" s="262"/>
      <c r="B968" s="338">
        <f>IFERROR(__xludf.DUMMYFUNCTION("""COMPUTED_VALUE"""),1449.0)</f>
        <v>1449</v>
      </c>
      <c r="C968" s="354"/>
      <c r="D968" s="340" t="str">
        <f>IFERROR(__xludf.DUMMYFUNCTION("""COMPUTED_VALUE"""),"")</f>
        <v/>
      </c>
      <c r="E968" s="341">
        <f>IFERROR(__xludf.DUMMYFUNCTION("""COMPUTED_VALUE"""),0.0)</f>
        <v>0</v>
      </c>
      <c r="F968" s="352"/>
      <c r="G968" s="343"/>
      <c r="H968" s="344">
        <f>IFERROR(__xludf.DUMMYFUNCTION("""COMPUTED_VALUE"""),0.0)</f>
        <v>0</v>
      </c>
      <c r="I968" s="353"/>
      <c r="J968" s="353"/>
      <c r="K968" s="346">
        <f>IFERROR(__xludf.DUMMYFUNCTION("""COMPUTED_VALUE"""),0.0)</f>
        <v>0</v>
      </c>
      <c r="L968" s="347">
        <f>IFERROR(__xludf.DUMMYFUNCTION("""COMPUTED_VALUE"""),0.0)</f>
        <v>0</v>
      </c>
      <c r="M968" s="348">
        <f>IFERROR(__xludf.DUMMYFUNCTION("""COMPUTED_VALUE"""),0.0)</f>
        <v>0</v>
      </c>
      <c r="N968" s="348">
        <f>IFERROR(__xludf.DUMMYFUNCTION("""COMPUTED_VALUE"""),0.0)</f>
        <v>0</v>
      </c>
      <c r="O968" s="348">
        <f>IFERROR(__xludf.DUMMYFUNCTION("""COMPUTED_VALUE"""),0.0)</f>
        <v>0</v>
      </c>
      <c r="P968" s="348">
        <f>IFERROR(__xludf.DUMMYFUNCTION("""COMPUTED_VALUE"""),0.0)</f>
        <v>0</v>
      </c>
      <c r="Q968" s="348">
        <f>IFERROR(__xludf.DUMMYFUNCTION("""COMPUTED_VALUE"""),0.0)</f>
        <v>0</v>
      </c>
      <c r="R968" s="355" t="str">
        <f>IFERROR(__xludf.DUMMYFUNCTION("""COMPUTED_VALUE""")," Cash Proyek ")</f>
        <v>Cash Proyek</v>
      </c>
      <c r="S968" s="350"/>
      <c r="T968" s="262"/>
      <c r="U968" s="351"/>
      <c r="V968" s="262"/>
      <c r="W968" s="262"/>
      <c r="X968" s="262"/>
      <c r="Y968" s="262"/>
      <c r="Z968" s="262"/>
      <c r="AA968" s="262"/>
      <c r="AB968" s="262"/>
      <c r="AC968" s="262"/>
      <c r="AD968" s="262"/>
      <c r="AE968" s="262"/>
      <c r="AF968" s="262"/>
      <c r="AG968" s="264"/>
      <c r="AH968" s="264"/>
      <c r="AI968" s="264"/>
      <c r="AJ968" s="264"/>
      <c r="AK968" s="264"/>
      <c r="AL968" s="264"/>
      <c r="AM968" s="264"/>
      <c r="AN968" s="264"/>
    </row>
    <row r="969" ht="15.75" customHeight="1">
      <c r="A969" s="262"/>
      <c r="B969" s="338">
        <f>IFERROR(__xludf.DUMMYFUNCTION("""COMPUTED_VALUE"""),1450.0)</f>
        <v>1450</v>
      </c>
      <c r="C969" s="354"/>
      <c r="D969" s="340" t="str">
        <f>IFERROR(__xludf.DUMMYFUNCTION("""COMPUTED_VALUE"""),"")</f>
        <v/>
      </c>
      <c r="E969" s="341">
        <f>IFERROR(__xludf.DUMMYFUNCTION("""COMPUTED_VALUE"""),0.0)</f>
        <v>0</v>
      </c>
      <c r="F969" s="352"/>
      <c r="G969" s="343"/>
      <c r="H969" s="344">
        <f>IFERROR(__xludf.DUMMYFUNCTION("""COMPUTED_VALUE"""),0.0)</f>
        <v>0</v>
      </c>
      <c r="I969" s="353"/>
      <c r="J969" s="353"/>
      <c r="K969" s="346">
        <f>IFERROR(__xludf.DUMMYFUNCTION("""COMPUTED_VALUE"""),0.0)</f>
        <v>0</v>
      </c>
      <c r="L969" s="347">
        <f>IFERROR(__xludf.DUMMYFUNCTION("""COMPUTED_VALUE"""),0.0)</f>
        <v>0</v>
      </c>
      <c r="M969" s="348">
        <f>IFERROR(__xludf.DUMMYFUNCTION("""COMPUTED_VALUE"""),0.0)</f>
        <v>0</v>
      </c>
      <c r="N969" s="348">
        <f>IFERROR(__xludf.DUMMYFUNCTION("""COMPUTED_VALUE"""),0.0)</f>
        <v>0</v>
      </c>
      <c r="O969" s="348">
        <f>IFERROR(__xludf.DUMMYFUNCTION("""COMPUTED_VALUE"""),0.0)</f>
        <v>0</v>
      </c>
      <c r="P969" s="348">
        <f>IFERROR(__xludf.DUMMYFUNCTION("""COMPUTED_VALUE"""),0.0)</f>
        <v>0</v>
      </c>
      <c r="Q969" s="348">
        <f>IFERROR(__xludf.DUMMYFUNCTION("""COMPUTED_VALUE"""),0.0)</f>
        <v>0</v>
      </c>
      <c r="R969" s="355" t="str">
        <f>IFERROR(__xludf.DUMMYFUNCTION("""COMPUTED_VALUE""")," Cash Proyek ")</f>
        <v>Cash Proyek</v>
      </c>
      <c r="S969" s="350"/>
      <c r="T969" s="262"/>
      <c r="U969" s="351"/>
      <c r="V969" s="262"/>
      <c r="W969" s="262"/>
      <c r="X969" s="262"/>
      <c r="Y969" s="262"/>
      <c r="Z969" s="262"/>
      <c r="AA969" s="262"/>
      <c r="AB969" s="262"/>
      <c r="AC969" s="262"/>
      <c r="AD969" s="262"/>
      <c r="AE969" s="262"/>
      <c r="AF969" s="262"/>
      <c r="AG969" s="264"/>
      <c r="AH969" s="264"/>
      <c r="AI969" s="264"/>
      <c r="AJ969" s="264"/>
      <c r="AK969" s="264"/>
      <c r="AL969" s="264"/>
      <c r="AM969" s="264"/>
      <c r="AN969" s="264"/>
    </row>
    <row r="970" ht="15.75" customHeight="1">
      <c r="A970" s="262"/>
      <c r="B970" s="338">
        <f>IFERROR(__xludf.DUMMYFUNCTION("""COMPUTED_VALUE"""),1451.0)</f>
        <v>1451</v>
      </c>
      <c r="C970" s="354"/>
      <c r="D970" s="340" t="str">
        <f>IFERROR(__xludf.DUMMYFUNCTION("""COMPUTED_VALUE"""),"")</f>
        <v/>
      </c>
      <c r="E970" s="341">
        <f>IFERROR(__xludf.DUMMYFUNCTION("""COMPUTED_VALUE"""),0.0)</f>
        <v>0</v>
      </c>
      <c r="F970" s="352"/>
      <c r="G970" s="343"/>
      <c r="H970" s="344">
        <f>IFERROR(__xludf.DUMMYFUNCTION("""COMPUTED_VALUE"""),0.0)</f>
        <v>0</v>
      </c>
      <c r="I970" s="353"/>
      <c r="J970" s="353"/>
      <c r="K970" s="346">
        <f>IFERROR(__xludf.DUMMYFUNCTION("""COMPUTED_VALUE"""),0.0)</f>
        <v>0</v>
      </c>
      <c r="L970" s="347">
        <f>IFERROR(__xludf.DUMMYFUNCTION("""COMPUTED_VALUE"""),0.0)</f>
        <v>0</v>
      </c>
      <c r="M970" s="348">
        <f>IFERROR(__xludf.DUMMYFUNCTION("""COMPUTED_VALUE"""),0.0)</f>
        <v>0</v>
      </c>
      <c r="N970" s="348">
        <f>IFERROR(__xludf.DUMMYFUNCTION("""COMPUTED_VALUE"""),0.0)</f>
        <v>0</v>
      </c>
      <c r="O970" s="348">
        <f>IFERROR(__xludf.DUMMYFUNCTION("""COMPUTED_VALUE"""),0.0)</f>
        <v>0</v>
      </c>
      <c r="P970" s="348">
        <f>IFERROR(__xludf.DUMMYFUNCTION("""COMPUTED_VALUE"""),0.0)</f>
        <v>0</v>
      </c>
      <c r="Q970" s="348">
        <f>IFERROR(__xludf.DUMMYFUNCTION("""COMPUTED_VALUE"""),0.0)</f>
        <v>0</v>
      </c>
      <c r="R970" s="355" t="str">
        <f>IFERROR(__xludf.DUMMYFUNCTION("""COMPUTED_VALUE""")," Cash Proyek ")</f>
        <v>Cash Proyek</v>
      </c>
      <c r="S970" s="350"/>
      <c r="T970" s="262"/>
      <c r="U970" s="351"/>
      <c r="V970" s="262"/>
      <c r="W970" s="262"/>
      <c r="X970" s="262"/>
      <c r="Y970" s="262"/>
      <c r="Z970" s="262"/>
      <c r="AA970" s="262"/>
      <c r="AB970" s="262"/>
      <c r="AC970" s="262"/>
      <c r="AD970" s="262"/>
      <c r="AE970" s="262"/>
      <c r="AF970" s="262"/>
      <c r="AG970" s="264"/>
      <c r="AH970" s="264"/>
      <c r="AI970" s="264"/>
      <c r="AJ970" s="264"/>
      <c r="AK970" s="264"/>
      <c r="AL970" s="264"/>
      <c r="AM970" s="264"/>
      <c r="AN970" s="264"/>
    </row>
    <row r="971" ht="15.75" customHeight="1">
      <c r="A971" s="262"/>
      <c r="B971" s="338">
        <f>IFERROR(__xludf.DUMMYFUNCTION("""COMPUTED_VALUE"""),1452.0)</f>
        <v>1452</v>
      </c>
      <c r="C971" s="354"/>
      <c r="D971" s="340" t="str">
        <f>IFERROR(__xludf.DUMMYFUNCTION("""COMPUTED_VALUE"""),"")</f>
        <v/>
      </c>
      <c r="E971" s="341">
        <f>IFERROR(__xludf.DUMMYFUNCTION("""COMPUTED_VALUE"""),0.0)</f>
        <v>0</v>
      </c>
      <c r="F971" s="352"/>
      <c r="G971" s="343"/>
      <c r="H971" s="344">
        <f>IFERROR(__xludf.DUMMYFUNCTION("""COMPUTED_VALUE"""),0.0)</f>
        <v>0</v>
      </c>
      <c r="I971" s="353"/>
      <c r="J971" s="353"/>
      <c r="K971" s="346">
        <f>IFERROR(__xludf.DUMMYFUNCTION("""COMPUTED_VALUE"""),0.0)</f>
        <v>0</v>
      </c>
      <c r="L971" s="347">
        <f>IFERROR(__xludf.DUMMYFUNCTION("""COMPUTED_VALUE"""),0.0)</f>
        <v>0</v>
      </c>
      <c r="M971" s="348">
        <f>IFERROR(__xludf.DUMMYFUNCTION("""COMPUTED_VALUE"""),0.0)</f>
        <v>0</v>
      </c>
      <c r="N971" s="348">
        <f>IFERROR(__xludf.DUMMYFUNCTION("""COMPUTED_VALUE"""),0.0)</f>
        <v>0</v>
      </c>
      <c r="O971" s="348">
        <f>IFERROR(__xludf.DUMMYFUNCTION("""COMPUTED_VALUE"""),0.0)</f>
        <v>0</v>
      </c>
      <c r="P971" s="348">
        <f>IFERROR(__xludf.DUMMYFUNCTION("""COMPUTED_VALUE"""),0.0)</f>
        <v>0</v>
      </c>
      <c r="Q971" s="348">
        <f>IFERROR(__xludf.DUMMYFUNCTION("""COMPUTED_VALUE"""),0.0)</f>
        <v>0</v>
      </c>
      <c r="R971" s="355" t="str">
        <f>IFERROR(__xludf.DUMMYFUNCTION("""COMPUTED_VALUE""")," Cash Proyek ")</f>
        <v>Cash Proyek</v>
      </c>
      <c r="S971" s="350"/>
      <c r="T971" s="262"/>
      <c r="U971" s="351"/>
      <c r="V971" s="262"/>
      <c r="W971" s="262"/>
      <c r="X971" s="262"/>
      <c r="Y971" s="262"/>
      <c r="Z971" s="262"/>
      <c r="AA971" s="262"/>
      <c r="AB971" s="262"/>
      <c r="AC971" s="262"/>
      <c r="AD971" s="262"/>
      <c r="AE971" s="262"/>
      <c r="AF971" s="262"/>
      <c r="AG971" s="264"/>
      <c r="AH971" s="264"/>
      <c r="AI971" s="264"/>
      <c r="AJ971" s="264"/>
      <c r="AK971" s="264"/>
      <c r="AL971" s="264"/>
      <c r="AM971" s="264"/>
      <c r="AN971" s="264"/>
    </row>
    <row r="972" ht="15.75" customHeight="1">
      <c r="A972" s="262"/>
      <c r="B972" s="338">
        <f>IFERROR(__xludf.DUMMYFUNCTION("""COMPUTED_VALUE"""),1453.0)</f>
        <v>1453</v>
      </c>
      <c r="C972" s="354"/>
      <c r="D972" s="340" t="str">
        <f>IFERROR(__xludf.DUMMYFUNCTION("""COMPUTED_VALUE"""),"")</f>
        <v/>
      </c>
      <c r="E972" s="341">
        <f>IFERROR(__xludf.DUMMYFUNCTION("""COMPUTED_VALUE"""),0.0)</f>
        <v>0</v>
      </c>
      <c r="F972" s="352"/>
      <c r="G972" s="343"/>
      <c r="H972" s="344">
        <f>IFERROR(__xludf.DUMMYFUNCTION("""COMPUTED_VALUE"""),0.0)</f>
        <v>0</v>
      </c>
      <c r="I972" s="353"/>
      <c r="J972" s="353"/>
      <c r="K972" s="346">
        <f>IFERROR(__xludf.DUMMYFUNCTION("""COMPUTED_VALUE"""),0.0)</f>
        <v>0</v>
      </c>
      <c r="L972" s="347">
        <f>IFERROR(__xludf.DUMMYFUNCTION("""COMPUTED_VALUE"""),0.0)</f>
        <v>0</v>
      </c>
      <c r="M972" s="348">
        <f>IFERROR(__xludf.DUMMYFUNCTION("""COMPUTED_VALUE"""),0.0)</f>
        <v>0</v>
      </c>
      <c r="N972" s="348">
        <f>IFERROR(__xludf.DUMMYFUNCTION("""COMPUTED_VALUE"""),0.0)</f>
        <v>0</v>
      </c>
      <c r="O972" s="348">
        <f>IFERROR(__xludf.DUMMYFUNCTION("""COMPUTED_VALUE"""),0.0)</f>
        <v>0</v>
      </c>
      <c r="P972" s="348">
        <f>IFERROR(__xludf.DUMMYFUNCTION("""COMPUTED_VALUE"""),0.0)</f>
        <v>0</v>
      </c>
      <c r="Q972" s="348">
        <f>IFERROR(__xludf.DUMMYFUNCTION("""COMPUTED_VALUE"""),0.0)</f>
        <v>0</v>
      </c>
      <c r="R972" s="355" t="str">
        <f>IFERROR(__xludf.DUMMYFUNCTION("""COMPUTED_VALUE""")," Cash Proyek ")</f>
        <v>Cash Proyek</v>
      </c>
      <c r="S972" s="350"/>
      <c r="T972" s="262"/>
      <c r="U972" s="351"/>
      <c r="V972" s="262"/>
      <c r="W972" s="262"/>
      <c r="X972" s="262"/>
      <c r="Y972" s="262"/>
      <c r="Z972" s="262"/>
      <c r="AA972" s="262"/>
      <c r="AB972" s="262"/>
      <c r="AC972" s="262"/>
      <c r="AD972" s="262"/>
      <c r="AE972" s="262"/>
      <c r="AF972" s="262"/>
      <c r="AG972" s="264"/>
      <c r="AH972" s="264"/>
      <c r="AI972" s="264"/>
      <c r="AJ972" s="264"/>
      <c r="AK972" s="264"/>
      <c r="AL972" s="264"/>
      <c r="AM972" s="264"/>
      <c r="AN972" s="264"/>
    </row>
    <row r="973" ht="15.75" customHeight="1">
      <c r="A973" s="262"/>
      <c r="B973" s="338">
        <f>IFERROR(__xludf.DUMMYFUNCTION("""COMPUTED_VALUE"""),1454.0)</f>
        <v>1454</v>
      </c>
      <c r="C973" s="354"/>
      <c r="D973" s="340" t="str">
        <f>IFERROR(__xludf.DUMMYFUNCTION("""COMPUTED_VALUE"""),"")</f>
        <v/>
      </c>
      <c r="E973" s="341">
        <f>IFERROR(__xludf.DUMMYFUNCTION("""COMPUTED_VALUE"""),0.0)</f>
        <v>0</v>
      </c>
      <c r="F973" s="352"/>
      <c r="G973" s="343"/>
      <c r="H973" s="344">
        <f>IFERROR(__xludf.DUMMYFUNCTION("""COMPUTED_VALUE"""),0.0)</f>
        <v>0</v>
      </c>
      <c r="I973" s="353"/>
      <c r="J973" s="353"/>
      <c r="K973" s="346">
        <f>IFERROR(__xludf.DUMMYFUNCTION("""COMPUTED_VALUE"""),0.0)</f>
        <v>0</v>
      </c>
      <c r="L973" s="347">
        <f>IFERROR(__xludf.DUMMYFUNCTION("""COMPUTED_VALUE"""),0.0)</f>
        <v>0</v>
      </c>
      <c r="M973" s="348">
        <f>IFERROR(__xludf.DUMMYFUNCTION("""COMPUTED_VALUE"""),0.0)</f>
        <v>0</v>
      </c>
      <c r="N973" s="348">
        <f>IFERROR(__xludf.DUMMYFUNCTION("""COMPUTED_VALUE"""),0.0)</f>
        <v>0</v>
      </c>
      <c r="O973" s="348">
        <f>IFERROR(__xludf.DUMMYFUNCTION("""COMPUTED_VALUE"""),0.0)</f>
        <v>0</v>
      </c>
      <c r="P973" s="348">
        <f>IFERROR(__xludf.DUMMYFUNCTION("""COMPUTED_VALUE"""),0.0)</f>
        <v>0</v>
      </c>
      <c r="Q973" s="348">
        <f>IFERROR(__xludf.DUMMYFUNCTION("""COMPUTED_VALUE"""),0.0)</f>
        <v>0</v>
      </c>
      <c r="R973" s="355" t="str">
        <f>IFERROR(__xludf.DUMMYFUNCTION("""COMPUTED_VALUE""")," Cash Proyek ")</f>
        <v>Cash Proyek</v>
      </c>
      <c r="S973" s="350"/>
      <c r="T973" s="262"/>
      <c r="U973" s="351"/>
      <c r="V973" s="262"/>
      <c r="W973" s="262"/>
      <c r="X973" s="262"/>
      <c r="Y973" s="262"/>
      <c r="Z973" s="262"/>
      <c r="AA973" s="262"/>
      <c r="AB973" s="262"/>
      <c r="AC973" s="262"/>
      <c r="AD973" s="262"/>
      <c r="AE973" s="262"/>
      <c r="AF973" s="262"/>
      <c r="AG973" s="264"/>
      <c r="AH973" s="264"/>
      <c r="AI973" s="264"/>
      <c r="AJ973" s="264"/>
      <c r="AK973" s="264"/>
      <c r="AL973" s="264"/>
      <c r="AM973" s="264"/>
      <c r="AN973" s="264"/>
    </row>
    <row r="974" ht="15.75" customHeight="1">
      <c r="A974" s="262"/>
      <c r="B974" s="338">
        <f>IFERROR(__xludf.DUMMYFUNCTION("""COMPUTED_VALUE"""),1455.0)</f>
        <v>1455</v>
      </c>
      <c r="C974" s="354"/>
      <c r="D974" s="340" t="str">
        <f>IFERROR(__xludf.DUMMYFUNCTION("""COMPUTED_VALUE"""),"")</f>
        <v/>
      </c>
      <c r="E974" s="341">
        <f>IFERROR(__xludf.DUMMYFUNCTION("""COMPUTED_VALUE"""),0.0)</f>
        <v>0</v>
      </c>
      <c r="F974" s="352"/>
      <c r="G974" s="343"/>
      <c r="H974" s="344">
        <f>IFERROR(__xludf.DUMMYFUNCTION("""COMPUTED_VALUE"""),0.0)</f>
        <v>0</v>
      </c>
      <c r="I974" s="353"/>
      <c r="J974" s="353"/>
      <c r="K974" s="346">
        <f>IFERROR(__xludf.DUMMYFUNCTION("""COMPUTED_VALUE"""),0.0)</f>
        <v>0</v>
      </c>
      <c r="L974" s="347">
        <f>IFERROR(__xludf.DUMMYFUNCTION("""COMPUTED_VALUE"""),0.0)</f>
        <v>0</v>
      </c>
      <c r="M974" s="348">
        <f>IFERROR(__xludf.DUMMYFUNCTION("""COMPUTED_VALUE"""),0.0)</f>
        <v>0</v>
      </c>
      <c r="N974" s="348">
        <f>IFERROR(__xludf.DUMMYFUNCTION("""COMPUTED_VALUE"""),0.0)</f>
        <v>0</v>
      </c>
      <c r="O974" s="348">
        <f>IFERROR(__xludf.DUMMYFUNCTION("""COMPUTED_VALUE"""),0.0)</f>
        <v>0</v>
      </c>
      <c r="P974" s="348">
        <f>IFERROR(__xludf.DUMMYFUNCTION("""COMPUTED_VALUE"""),0.0)</f>
        <v>0</v>
      </c>
      <c r="Q974" s="348">
        <f>IFERROR(__xludf.DUMMYFUNCTION("""COMPUTED_VALUE"""),0.0)</f>
        <v>0</v>
      </c>
      <c r="R974" s="355" t="str">
        <f>IFERROR(__xludf.DUMMYFUNCTION("""COMPUTED_VALUE""")," Cash Proyek ")</f>
        <v>Cash Proyek</v>
      </c>
      <c r="S974" s="350"/>
      <c r="T974" s="262"/>
      <c r="U974" s="351"/>
      <c r="V974" s="262"/>
      <c r="W974" s="262"/>
      <c r="X974" s="262"/>
      <c r="Y974" s="262"/>
      <c r="Z974" s="262"/>
      <c r="AA974" s="262"/>
      <c r="AB974" s="262"/>
      <c r="AC974" s="262"/>
      <c r="AD974" s="262"/>
      <c r="AE974" s="262"/>
      <c r="AF974" s="262"/>
      <c r="AG974" s="264"/>
      <c r="AH974" s="264"/>
      <c r="AI974" s="264"/>
      <c r="AJ974" s="264"/>
      <c r="AK974" s="264"/>
      <c r="AL974" s="264"/>
      <c r="AM974" s="264"/>
      <c r="AN974" s="264"/>
    </row>
    <row r="975" ht="15.75" customHeight="1">
      <c r="A975" s="262"/>
      <c r="B975" s="338">
        <f>IFERROR(__xludf.DUMMYFUNCTION("""COMPUTED_VALUE"""),1456.0)</f>
        <v>1456</v>
      </c>
      <c r="C975" s="354"/>
      <c r="D975" s="340" t="str">
        <f>IFERROR(__xludf.DUMMYFUNCTION("""COMPUTED_VALUE"""),"")</f>
        <v/>
      </c>
      <c r="E975" s="341">
        <f>IFERROR(__xludf.DUMMYFUNCTION("""COMPUTED_VALUE"""),0.0)</f>
        <v>0</v>
      </c>
      <c r="F975" s="352"/>
      <c r="G975" s="343"/>
      <c r="H975" s="344">
        <f>IFERROR(__xludf.DUMMYFUNCTION("""COMPUTED_VALUE"""),0.0)</f>
        <v>0</v>
      </c>
      <c r="I975" s="353"/>
      <c r="J975" s="353"/>
      <c r="K975" s="346">
        <f>IFERROR(__xludf.DUMMYFUNCTION("""COMPUTED_VALUE"""),0.0)</f>
        <v>0</v>
      </c>
      <c r="L975" s="347">
        <f>IFERROR(__xludf.DUMMYFUNCTION("""COMPUTED_VALUE"""),0.0)</f>
        <v>0</v>
      </c>
      <c r="M975" s="348">
        <f>IFERROR(__xludf.DUMMYFUNCTION("""COMPUTED_VALUE"""),0.0)</f>
        <v>0</v>
      </c>
      <c r="N975" s="348">
        <f>IFERROR(__xludf.DUMMYFUNCTION("""COMPUTED_VALUE"""),0.0)</f>
        <v>0</v>
      </c>
      <c r="O975" s="348">
        <f>IFERROR(__xludf.DUMMYFUNCTION("""COMPUTED_VALUE"""),0.0)</f>
        <v>0</v>
      </c>
      <c r="P975" s="348">
        <f>IFERROR(__xludf.DUMMYFUNCTION("""COMPUTED_VALUE"""),0.0)</f>
        <v>0</v>
      </c>
      <c r="Q975" s="348">
        <f>IFERROR(__xludf.DUMMYFUNCTION("""COMPUTED_VALUE"""),0.0)</f>
        <v>0</v>
      </c>
      <c r="R975" s="355" t="str">
        <f>IFERROR(__xludf.DUMMYFUNCTION("""COMPUTED_VALUE""")," Cash Proyek ")</f>
        <v>Cash Proyek</v>
      </c>
      <c r="S975" s="350"/>
      <c r="T975" s="262"/>
      <c r="U975" s="351"/>
      <c r="V975" s="262"/>
      <c r="W975" s="262"/>
      <c r="X975" s="262"/>
      <c r="Y975" s="262"/>
      <c r="Z975" s="262"/>
      <c r="AA975" s="262"/>
      <c r="AB975" s="262"/>
      <c r="AC975" s="262"/>
      <c r="AD975" s="262"/>
      <c r="AE975" s="262"/>
      <c r="AF975" s="262"/>
      <c r="AG975" s="264"/>
      <c r="AH975" s="264"/>
      <c r="AI975" s="264"/>
      <c r="AJ975" s="264"/>
      <c r="AK975" s="264"/>
      <c r="AL975" s="264"/>
      <c r="AM975" s="264"/>
      <c r="AN975" s="264"/>
    </row>
    <row r="976" ht="15.75" customHeight="1">
      <c r="A976" s="262"/>
      <c r="B976" s="338">
        <f>IFERROR(__xludf.DUMMYFUNCTION("""COMPUTED_VALUE"""),1457.0)</f>
        <v>1457</v>
      </c>
      <c r="C976" s="354"/>
      <c r="D976" s="340" t="str">
        <f>IFERROR(__xludf.DUMMYFUNCTION("""COMPUTED_VALUE"""),"")</f>
        <v/>
      </c>
      <c r="E976" s="341">
        <f>IFERROR(__xludf.DUMMYFUNCTION("""COMPUTED_VALUE"""),0.0)</f>
        <v>0</v>
      </c>
      <c r="F976" s="352"/>
      <c r="G976" s="343"/>
      <c r="H976" s="344">
        <f>IFERROR(__xludf.DUMMYFUNCTION("""COMPUTED_VALUE"""),0.0)</f>
        <v>0</v>
      </c>
      <c r="I976" s="353"/>
      <c r="J976" s="353"/>
      <c r="K976" s="346">
        <f>IFERROR(__xludf.DUMMYFUNCTION("""COMPUTED_VALUE"""),0.0)</f>
        <v>0</v>
      </c>
      <c r="L976" s="347">
        <f>IFERROR(__xludf.DUMMYFUNCTION("""COMPUTED_VALUE"""),0.0)</f>
        <v>0</v>
      </c>
      <c r="M976" s="348">
        <f>IFERROR(__xludf.DUMMYFUNCTION("""COMPUTED_VALUE"""),0.0)</f>
        <v>0</v>
      </c>
      <c r="N976" s="348">
        <f>IFERROR(__xludf.DUMMYFUNCTION("""COMPUTED_VALUE"""),0.0)</f>
        <v>0</v>
      </c>
      <c r="O976" s="348">
        <f>IFERROR(__xludf.DUMMYFUNCTION("""COMPUTED_VALUE"""),0.0)</f>
        <v>0</v>
      </c>
      <c r="P976" s="348">
        <f>IFERROR(__xludf.DUMMYFUNCTION("""COMPUTED_VALUE"""),0.0)</f>
        <v>0</v>
      </c>
      <c r="Q976" s="348">
        <f>IFERROR(__xludf.DUMMYFUNCTION("""COMPUTED_VALUE"""),0.0)</f>
        <v>0</v>
      </c>
      <c r="R976" s="355" t="str">
        <f>IFERROR(__xludf.DUMMYFUNCTION("""COMPUTED_VALUE""")," Cash Proyek ")</f>
        <v>Cash Proyek</v>
      </c>
      <c r="S976" s="350"/>
      <c r="T976" s="262"/>
      <c r="U976" s="351"/>
      <c r="V976" s="262"/>
      <c r="W976" s="262"/>
      <c r="X976" s="262"/>
      <c r="Y976" s="262"/>
      <c r="Z976" s="262"/>
      <c r="AA976" s="262"/>
      <c r="AB976" s="262"/>
      <c r="AC976" s="262"/>
      <c r="AD976" s="262"/>
      <c r="AE976" s="262"/>
      <c r="AF976" s="262"/>
      <c r="AG976" s="264"/>
      <c r="AH976" s="264"/>
      <c r="AI976" s="264"/>
      <c r="AJ976" s="264"/>
      <c r="AK976" s="264"/>
      <c r="AL976" s="264"/>
      <c r="AM976" s="264"/>
      <c r="AN976" s="264"/>
    </row>
    <row r="977" ht="15.75" customHeight="1">
      <c r="A977" s="262"/>
      <c r="B977" s="338">
        <f>IFERROR(__xludf.DUMMYFUNCTION("""COMPUTED_VALUE"""),1458.0)</f>
        <v>1458</v>
      </c>
      <c r="C977" s="354"/>
      <c r="D977" s="340" t="str">
        <f>IFERROR(__xludf.DUMMYFUNCTION("""COMPUTED_VALUE"""),"")</f>
        <v/>
      </c>
      <c r="E977" s="341">
        <f>IFERROR(__xludf.DUMMYFUNCTION("""COMPUTED_VALUE"""),0.0)</f>
        <v>0</v>
      </c>
      <c r="F977" s="352"/>
      <c r="G977" s="343"/>
      <c r="H977" s="344">
        <f>IFERROR(__xludf.DUMMYFUNCTION("""COMPUTED_VALUE"""),0.0)</f>
        <v>0</v>
      </c>
      <c r="I977" s="353"/>
      <c r="J977" s="353"/>
      <c r="K977" s="346">
        <f>IFERROR(__xludf.DUMMYFUNCTION("""COMPUTED_VALUE"""),0.0)</f>
        <v>0</v>
      </c>
      <c r="L977" s="347">
        <f>IFERROR(__xludf.DUMMYFUNCTION("""COMPUTED_VALUE"""),0.0)</f>
        <v>0</v>
      </c>
      <c r="M977" s="348">
        <f>IFERROR(__xludf.DUMMYFUNCTION("""COMPUTED_VALUE"""),0.0)</f>
        <v>0</v>
      </c>
      <c r="N977" s="348">
        <f>IFERROR(__xludf.DUMMYFUNCTION("""COMPUTED_VALUE"""),0.0)</f>
        <v>0</v>
      </c>
      <c r="O977" s="348">
        <f>IFERROR(__xludf.DUMMYFUNCTION("""COMPUTED_VALUE"""),0.0)</f>
        <v>0</v>
      </c>
      <c r="P977" s="348">
        <f>IFERROR(__xludf.DUMMYFUNCTION("""COMPUTED_VALUE"""),0.0)</f>
        <v>0</v>
      </c>
      <c r="Q977" s="348">
        <f>IFERROR(__xludf.DUMMYFUNCTION("""COMPUTED_VALUE"""),0.0)</f>
        <v>0</v>
      </c>
      <c r="R977" s="355" t="str">
        <f>IFERROR(__xludf.DUMMYFUNCTION("""COMPUTED_VALUE""")," Cash Proyek ")</f>
        <v>Cash Proyek</v>
      </c>
      <c r="S977" s="350"/>
      <c r="T977" s="262"/>
      <c r="U977" s="351"/>
      <c r="V977" s="262"/>
      <c r="W977" s="262"/>
      <c r="X977" s="262"/>
      <c r="Y977" s="262"/>
      <c r="Z977" s="262"/>
      <c r="AA977" s="262"/>
      <c r="AB977" s="262"/>
      <c r="AC977" s="262"/>
      <c r="AD977" s="262"/>
      <c r="AE977" s="262"/>
      <c r="AF977" s="262"/>
      <c r="AG977" s="264"/>
      <c r="AH977" s="264"/>
      <c r="AI977" s="264"/>
      <c r="AJ977" s="264"/>
      <c r="AK977" s="264"/>
      <c r="AL977" s="264"/>
      <c r="AM977" s="264"/>
      <c r="AN977" s="264"/>
    </row>
    <row r="978" ht="15.75" customHeight="1">
      <c r="A978" s="262"/>
      <c r="B978" s="338">
        <f>IFERROR(__xludf.DUMMYFUNCTION("""COMPUTED_VALUE"""),1459.0)</f>
        <v>1459</v>
      </c>
      <c r="C978" s="354"/>
      <c r="D978" s="340" t="str">
        <f>IFERROR(__xludf.DUMMYFUNCTION("""COMPUTED_VALUE"""),"")</f>
        <v/>
      </c>
      <c r="E978" s="341">
        <f>IFERROR(__xludf.DUMMYFUNCTION("""COMPUTED_VALUE"""),0.0)</f>
        <v>0</v>
      </c>
      <c r="F978" s="352"/>
      <c r="G978" s="343"/>
      <c r="H978" s="344">
        <f>IFERROR(__xludf.DUMMYFUNCTION("""COMPUTED_VALUE"""),0.0)</f>
        <v>0</v>
      </c>
      <c r="I978" s="353"/>
      <c r="J978" s="353"/>
      <c r="K978" s="346">
        <f>IFERROR(__xludf.DUMMYFUNCTION("""COMPUTED_VALUE"""),0.0)</f>
        <v>0</v>
      </c>
      <c r="L978" s="347">
        <f>IFERROR(__xludf.DUMMYFUNCTION("""COMPUTED_VALUE"""),0.0)</f>
        <v>0</v>
      </c>
      <c r="M978" s="348">
        <f>IFERROR(__xludf.DUMMYFUNCTION("""COMPUTED_VALUE"""),0.0)</f>
        <v>0</v>
      </c>
      <c r="N978" s="348">
        <f>IFERROR(__xludf.DUMMYFUNCTION("""COMPUTED_VALUE"""),0.0)</f>
        <v>0</v>
      </c>
      <c r="O978" s="348">
        <f>IFERROR(__xludf.DUMMYFUNCTION("""COMPUTED_VALUE"""),0.0)</f>
        <v>0</v>
      </c>
      <c r="P978" s="348">
        <f>IFERROR(__xludf.DUMMYFUNCTION("""COMPUTED_VALUE"""),0.0)</f>
        <v>0</v>
      </c>
      <c r="Q978" s="348">
        <f>IFERROR(__xludf.DUMMYFUNCTION("""COMPUTED_VALUE"""),0.0)</f>
        <v>0</v>
      </c>
      <c r="R978" s="355" t="str">
        <f>IFERROR(__xludf.DUMMYFUNCTION("""COMPUTED_VALUE""")," Cash Proyek ")</f>
        <v>Cash Proyek</v>
      </c>
      <c r="S978" s="350"/>
      <c r="T978" s="262"/>
      <c r="U978" s="351"/>
      <c r="V978" s="262"/>
      <c r="W978" s="262"/>
      <c r="X978" s="262"/>
      <c r="Y978" s="262"/>
      <c r="Z978" s="262"/>
      <c r="AA978" s="262"/>
      <c r="AB978" s="262"/>
      <c r="AC978" s="262"/>
      <c r="AD978" s="262"/>
      <c r="AE978" s="262"/>
      <c r="AF978" s="262"/>
      <c r="AG978" s="264"/>
      <c r="AH978" s="264"/>
      <c r="AI978" s="264"/>
      <c r="AJ978" s="264"/>
      <c r="AK978" s="264"/>
      <c r="AL978" s="264"/>
      <c r="AM978" s="264"/>
      <c r="AN978" s="264"/>
    </row>
    <row r="979" ht="15.75" customHeight="1">
      <c r="A979" s="262"/>
      <c r="B979" s="338">
        <f>IFERROR(__xludf.DUMMYFUNCTION("""COMPUTED_VALUE"""),1460.0)</f>
        <v>1460</v>
      </c>
      <c r="C979" s="354"/>
      <c r="D979" s="340" t="str">
        <f>IFERROR(__xludf.DUMMYFUNCTION("""COMPUTED_VALUE"""),"")</f>
        <v/>
      </c>
      <c r="E979" s="341">
        <f>IFERROR(__xludf.DUMMYFUNCTION("""COMPUTED_VALUE"""),0.0)</f>
        <v>0</v>
      </c>
      <c r="F979" s="352"/>
      <c r="G979" s="343"/>
      <c r="H979" s="344">
        <f>IFERROR(__xludf.DUMMYFUNCTION("""COMPUTED_VALUE"""),0.0)</f>
        <v>0</v>
      </c>
      <c r="I979" s="353"/>
      <c r="J979" s="353"/>
      <c r="K979" s="346">
        <f>IFERROR(__xludf.DUMMYFUNCTION("""COMPUTED_VALUE"""),0.0)</f>
        <v>0</v>
      </c>
      <c r="L979" s="347">
        <f>IFERROR(__xludf.DUMMYFUNCTION("""COMPUTED_VALUE"""),0.0)</f>
        <v>0</v>
      </c>
      <c r="M979" s="348">
        <f>IFERROR(__xludf.DUMMYFUNCTION("""COMPUTED_VALUE"""),0.0)</f>
        <v>0</v>
      </c>
      <c r="N979" s="348">
        <f>IFERROR(__xludf.DUMMYFUNCTION("""COMPUTED_VALUE"""),0.0)</f>
        <v>0</v>
      </c>
      <c r="O979" s="348">
        <f>IFERROR(__xludf.DUMMYFUNCTION("""COMPUTED_VALUE"""),0.0)</f>
        <v>0</v>
      </c>
      <c r="P979" s="348">
        <f>IFERROR(__xludf.DUMMYFUNCTION("""COMPUTED_VALUE"""),0.0)</f>
        <v>0</v>
      </c>
      <c r="Q979" s="348">
        <f>IFERROR(__xludf.DUMMYFUNCTION("""COMPUTED_VALUE"""),0.0)</f>
        <v>0</v>
      </c>
      <c r="R979" s="355" t="str">
        <f>IFERROR(__xludf.DUMMYFUNCTION("""COMPUTED_VALUE""")," Cash Proyek ")</f>
        <v>Cash Proyek</v>
      </c>
      <c r="S979" s="350"/>
      <c r="T979" s="262"/>
      <c r="U979" s="351"/>
      <c r="V979" s="262"/>
      <c r="W979" s="262"/>
      <c r="X979" s="262"/>
      <c r="Y979" s="262"/>
      <c r="Z979" s="262"/>
      <c r="AA979" s="262"/>
      <c r="AB979" s="262"/>
      <c r="AC979" s="262"/>
      <c r="AD979" s="262"/>
      <c r="AE979" s="262"/>
      <c r="AF979" s="262"/>
      <c r="AG979" s="264"/>
      <c r="AH979" s="264"/>
      <c r="AI979" s="264"/>
      <c r="AJ979" s="264"/>
      <c r="AK979" s="264"/>
      <c r="AL979" s="264"/>
      <c r="AM979" s="264"/>
      <c r="AN979" s="264"/>
    </row>
    <row r="980" ht="15.75" customHeight="1">
      <c r="A980" s="262"/>
      <c r="B980" s="338">
        <f>IFERROR(__xludf.DUMMYFUNCTION("""COMPUTED_VALUE"""),1461.0)</f>
        <v>1461</v>
      </c>
      <c r="C980" s="354"/>
      <c r="D980" s="340" t="str">
        <f>IFERROR(__xludf.DUMMYFUNCTION("""COMPUTED_VALUE"""),"")</f>
        <v/>
      </c>
      <c r="E980" s="341">
        <f>IFERROR(__xludf.DUMMYFUNCTION("""COMPUTED_VALUE"""),0.0)</f>
        <v>0</v>
      </c>
      <c r="F980" s="352"/>
      <c r="G980" s="343"/>
      <c r="H980" s="344">
        <f>IFERROR(__xludf.DUMMYFUNCTION("""COMPUTED_VALUE"""),0.0)</f>
        <v>0</v>
      </c>
      <c r="I980" s="353"/>
      <c r="J980" s="353"/>
      <c r="K980" s="346">
        <f>IFERROR(__xludf.DUMMYFUNCTION("""COMPUTED_VALUE"""),0.0)</f>
        <v>0</v>
      </c>
      <c r="L980" s="347">
        <f>IFERROR(__xludf.DUMMYFUNCTION("""COMPUTED_VALUE"""),0.0)</f>
        <v>0</v>
      </c>
      <c r="M980" s="348">
        <f>IFERROR(__xludf.DUMMYFUNCTION("""COMPUTED_VALUE"""),0.0)</f>
        <v>0</v>
      </c>
      <c r="N980" s="348">
        <f>IFERROR(__xludf.DUMMYFUNCTION("""COMPUTED_VALUE"""),0.0)</f>
        <v>0</v>
      </c>
      <c r="O980" s="348">
        <f>IFERROR(__xludf.DUMMYFUNCTION("""COMPUTED_VALUE"""),0.0)</f>
        <v>0</v>
      </c>
      <c r="P980" s="348">
        <f>IFERROR(__xludf.DUMMYFUNCTION("""COMPUTED_VALUE"""),0.0)</f>
        <v>0</v>
      </c>
      <c r="Q980" s="348">
        <f>IFERROR(__xludf.DUMMYFUNCTION("""COMPUTED_VALUE"""),0.0)</f>
        <v>0</v>
      </c>
      <c r="R980" s="355" t="str">
        <f>IFERROR(__xludf.DUMMYFUNCTION("""COMPUTED_VALUE""")," Cash Proyek ")</f>
        <v>Cash Proyek</v>
      </c>
      <c r="S980" s="350"/>
      <c r="T980" s="262"/>
      <c r="U980" s="351"/>
      <c r="V980" s="262"/>
      <c r="W980" s="262"/>
      <c r="X980" s="262"/>
      <c r="Y980" s="262"/>
      <c r="Z980" s="262"/>
      <c r="AA980" s="262"/>
      <c r="AB980" s="262"/>
      <c r="AC980" s="262"/>
      <c r="AD980" s="262"/>
      <c r="AE980" s="262"/>
      <c r="AF980" s="262"/>
      <c r="AG980" s="264"/>
      <c r="AH980" s="264"/>
      <c r="AI980" s="264"/>
      <c r="AJ980" s="264"/>
      <c r="AK980" s="264"/>
      <c r="AL980" s="264"/>
      <c r="AM980" s="264"/>
      <c r="AN980" s="264"/>
    </row>
    <row r="981" ht="15.75" customHeight="1">
      <c r="A981" s="262"/>
      <c r="B981" s="338">
        <f>IFERROR(__xludf.DUMMYFUNCTION("""COMPUTED_VALUE"""),1462.0)</f>
        <v>1462</v>
      </c>
      <c r="C981" s="354"/>
      <c r="D981" s="340" t="str">
        <f>IFERROR(__xludf.DUMMYFUNCTION("""COMPUTED_VALUE"""),"")</f>
        <v/>
      </c>
      <c r="E981" s="341">
        <f>IFERROR(__xludf.DUMMYFUNCTION("""COMPUTED_VALUE"""),0.0)</f>
        <v>0</v>
      </c>
      <c r="F981" s="352"/>
      <c r="G981" s="343"/>
      <c r="H981" s="344">
        <f>IFERROR(__xludf.DUMMYFUNCTION("""COMPUTED_VALUE"""),0.0)</f>
        <v>0</v>
      </c>
      <c r="I981" s="353"/>
      <c r="J981" s="353"/>
      <c r="K981" s="346">
        <f>IFERROR(__xludf.DUMMYFUNCTION("""COMPUTED_VALUE"""),0.0)</f>
        <v>0</v>
      </c>
      <c r="L981" s="347">
        <f>IFERROR(__xludf.DUMMYFUNCTION("""COMPUTED_VALUE"""),0.0)</f>
        <v>0</v>
      </c>
      <c r="M981" s="348">
        <f>IFERROR(__xludf.DUMMYFUNCTION("""COMPUTED_VALUE"""),0.0)</f>
        <v>0</v>
      </c>
      <c r="N981" s="348">
        <f>IFERROR(__xludf.DUMMYFUNCTION("""COMPUTED_VALUE"""),0.0)</f>
        <v>0</v>
      </c>
      <c r="O981" s="348">
        <f>IFERROR(__xludf.DUMMYFUNCTION("""COMPUTED_VALUE"""),0.0)</f>
        <v>0</v>
      </c>
      <c r="P981" s="348">
        <f>IFERROR(__xludf.DUMMYFUNCTION("""COMPUTED_VALUE"""),0.0)</f>
        <v>0</v>
      </c>
      <c r="Q981" s="348">
        <f>IFERROR(__xludf.DUMMYFUNCTION("""COMPUTED_VALUE"""),0.0)</f>
        <v>0</v>
      </c>
      <c r="R981" s="355" t="str">
        <f>IFERROR(__xludf.DUMMYFUNCTION("""COMPUTED_VALUE""")," Cash Proyek ")</f>
        <v>Cash Proyek</v>
      </c>
      <c r="S981" s="350"/>
      <c r="T981" s="262"/>
      <c r="U981" s="351"/>
      <c r="V981" s="262"/>
      <c r="W981" s="262"/>
      <c r="X981" s="262"/>
      <c r="Y981" s="262"/>
      <c r="Z981" s="262"/>
      <c r="AA981" s="262"/>
      <c r="AB981" s="262"/>
      <c r="AC981" s="262"/>
      <c r="AD981" s="262"/>
      <c r="AE981" s="262"/>
      <c r="AF981" s="262"/>
      <c r="AG981" s="264"/>
      <c r="AH981" s="264"/>
      <c r="AI981" s="264"/>
      <c r="AJ981" s="264"/>
      <c r="AK981" s="264"/>
      <c r="AL981" s="264"/>
      <c r="AM981" s="264"/>
      <c r="AN981" s="264"/>
    </row>
    <row r="982" ht="15.75" customHeight="1">
      <c r="A982" s="262"/>
      <c r="B982" s="338">
        <f>IFERROR(__xludf.DUMMYFUNCTION("""COMPUTED_VALUE"""),1463.0)</f>
        <v>1463</v>
      </c>
      <c r="C982" s="354"/>
      <c r="D982" s="340" t="str">
        <f>IFERROR(__xludf.DUMMYFUNCTION("""COMPUTED_VALUE"""),"")</f>
        <v/>
      </c>
      <c r="E982" s="341">
        <f>IFERROR(__xludf.DUMMYFUNCTION("""COMPUTED_VALUE"""),0.0)</f>
        <v>0</v>
      </c>
      <c r="F982" s="352"/>
      <c r="G982" s="343"/>
      <c r="H982" s="344">
        <f>IFERROR(__xludf.DUMMYFUNCTION("""COMPUTED_VALUE"""),0.0)</f>
        <v>0</v>
      </c>
      <c r="I982" s="353"/>
      <c r="J982" s="353"/>
      <c r="K982" s="346">
        <f>IFERROR(__xludf.DUMMYFUNCTION("""COMPUTED_VALUE"""),0.0)</f>
        <v>0</v>
      </c>
      <c r="L982" s="347">
        <f>IFERROR(__xludf.DUMMYFUNCTION("""COMPUTED_VALUE"""),0.0)</f>
        <v>0</v>
      </c>
      <c r="M982" s="348">
        <f>IFERROR(__xludf.DUMMYFUNCTION("""COMPUTED_VALUE"""),0.0)</f>
        <v>0</v>
      </c>
      <c r="N982" s="348">
        <f>IFERROR(__xludf.DUMMYFUNCTION("""COMPUTED_VALUE"""),0.0)</f>
        <v>0</v>
      </c>
      <c r="O982" s="348">
        <f>IFERROR(__xludf.DUMMYFUNCTION("""COMPUTED_VALUE"""),0.0)</f>
        <v>0</v>
      </c>
      <c r="P982" s="348">
        <f>IFERROR(__xludf.DUMMYFUNCTION("""COMPUTED_VALUE"""),0.0)</f>
        <v>0</v>
      </c>
      <c r="Q982" s="348">
        <f>IFERROR(__xludf.DUMMYFUNCTION("""COMPUTED_VALUE"""),0.0)</f>
        <v>0</v>
      </c>
      <c r="R982" s="355" t="str">
        <f>IFERROR(__xludf.DUMMYFUNCTION("""COMPUTED_VALUE""")," Cash Proyek ")</f>
        <v>Cash Proyek</v>
      </c>
      <c r="S982" s="350"/>
      <c r="T982" s="262"/>
      <c r="U982" s="351"/>
      <c r="V982" s="262"/>
      <c r="W982" s="262"/>
      <c r="X982" s="262"/>
      <c r="Y982" s="262"/>
      <c r="Z982" s="262"/>
      <c r="AA982" s="262"/>
      <c r="AB982" s="262"/>
      <c r="AC982" s="262"/>
      <c r="AD982" s="262"/>
      <c r="AE982" s="262"/>
      <c r="AF982" s="262"/>
      <c r="AG982" s="264"/>
      <c r="AH982" s="264"/>
      <c r="AI982" s="264"/>
      <c r="AJ982" s="264"/>
      <c r="AK982" s="264"/>
      <c r="AL982" s="264"/>
      <c r="AM982" s="264"/>
      <c r="AN982" s="264"/>
    </row>
    <row r="983" ht="15.75" customHeight="1">
      <c r="A983" s="262"/>
      <c r="B983" s="338">
        <f>IFERROR(__xludf.DUMMYFUNCTION("""COMPUTED_VALUE"""),1464.0)</f>
        <v>1464</v>
      </c>
      <c r="C983" s="354"/>
      <c r="D983" s="340" t="str">
        <f>IFERROR(__xludf.DUMMYFUNCTION("""COMPUTED_VALUE"""),"")</f>
        <v/>
      </c>
      <c r="E983" s="341">
        <f>IFERROR(__xludf.DUMMYFUNCTION("""COMPUTED_VALUE"""),0.0)</f>
        <v>0</v>
      </c>
      <c r="F983" s="352"/>
      <c r="G983" s="343"/>
      <c r="H983" s="344">
        <f>IFERROR(__xludf.DUMMYFUNCTION("""COMPUTED_VALUE"""),0.0)</f>
        <v>0</v>
      </c>
      <c r="I983" s="353"/>
      <c r="J983" s="353"/>
      <c r="K983" s="346">
        <f>IFERROR(__xludf.DUMMYFUNCTION("""COMPUTED_VALUE"""),0.0)</f>
        <v>0</v>
      </c>
      <c r="L983" s="347">
        <f>IFERROR(__xludf.DUMMYFUNCTION("""COMPUTED_VALUE"""),0.0)</f>
        <v>0</v>
      </c>
      <c r="M983" s="348">
        <f>IFERROR(__xludf.DUMMYFUNCTION("""COMPUTED_VALUE"""),0.0)</f>
        <v>0</v>
      </c>
      <c r="N983" s="348">
        <f>IFERROR(__xludf.DUMMYFUNCTION("""COMPUTED_VALUE"""),0.0)</f>
        <v>0</v>
      </c>
      <c r="O983" s="348">
        <f>IFERROR(__xludf.DUMMYFUNCTION("""COMPUTED_VALUE"""),0.0)</f>
        <v>0</v>
      </c>
      <c r="P983" s="348">
        <f>IFERROR(__xludf.DUMMYFUNCTION("""COMPUTED_VALUE"""),0.0)</f>
        <v>0</v>
      </c>
      <c r="Q983" s="348">
        <f>IFERROR(__xludf.DUMMYFUNCTION("""COMPUTED_VALUE"""),0.0)</f>
        <v>0</v>
      </c>
      <c r="R983" s="355" t="str">
        <f>IFERROR(__xludf.DUMMYFUNCTION("""COMPUTED_VALUE""")," Cash Proyek ")</f>
        <v>Cash Proyek</v>
      </c>
      <c r="S983" s="350"/>
      <c r="T983" s="262"/>
      <c r="U983" s="351"/>
      <c r="V983" s="262"/>
      <c r="W983" s="262"/>
      <c r="X983" s="262"/>
      <c r="Y983" s="262"/>
      <c r="Z983" s="262"/>
      <c r="AA983" s="262"/>
      <c r="AB983" s="262"/>
      <c r="AC983" s="262"/>
      <c r="AD983" s="262"/>
      <c r="AE983" s="262"/>
      <c r="AF983" s="262"/>
      <c r="AG983" s="264"/>
      <c r="AH983" s="264"/>
      <c r="AI983" s="264"/>
      <c r="AJ983" s="264"/>
      <c r="AK983" s="264"/>
      <c r="AL983" s="264"/>
      <c r="AM983" s="264"/>
      <c r="AN983" s="264"/>
    </row>
    <row r="984" ht="15.75" customHeight="1">
      <c r="A984" s="262"/>
      <c r="B984" s="338">
        <f>IFERROR(__xludf.DUMMYFUNCTION("""COMPUTED_VALUE"""),1465.0)</f>
        <v>1465</v>
      </c>
      <c r="C984" s="354"/>
      <c r="D984" s="340" t="str">
        <f>IFERROR(__xludf.DUMMYFUNCTION("""COMPUTED_VALUE"""),"")</f>
        <v/>
      </c>
      <c r="E984" s="341">
        <f>IFERROR(__xludf.DUMMYFUNCTION("""COMPUTED_VALUE"""),0.0)</f>
        <v>0</v>
      </c>
      <c r="F984" s="352"/>
      <c r="G984" s="343"/>
      <c r="H984" s="344">
        <f>IFERROR(__xludf.DUMMYFUNCTION("""COMPUTED_VALUE"""),0.0)</f>
        <v>0</v>
      </c>
      <c r="I984" s="353"/>
      <c r="J984" s="353"/>
      <c r="K984" s="346">
        <f>IFERROR(__xludf.DUMMYFUNCTION("""COMPUTED_VALUE"""),0.0)</f>
        <v>0</v>
      </c>
      <c r="L984" s="347">
        <f>IFERROR(__xludf.DUMMYFUNCTION("""COMPUTED_VALUE"""),0.0)</f>
        <v>0</v>
      </c>
      <c r="M984" s="348">
        <f>IFERROR(__xludf.DUMMYFUNCTION("""COMPUTED_VALUE"""),0.0)</f>
        <v>0</v>
      </c>
      <c r="N984" s="348">
        <f>IFERROR(__xludf.DUMMYFUNCTION("""COMPUTED_VALUE"""),0.0)</f>
        <v>0</v>
      </c>
      <c r="O984" s="348">
        <f>IFERROR(__xludf.DUMMYFUNCTION("""COMPUTED_VALUE"""),0.0)</f>
        <v>0</v>
      </c>
      <c r="P984" s="348">
        <f>IFERROR(__xludf.DUMMYFUNCTION("""COMPUTED_VALUE"""),0.0)</f>
        <v>0</v>
      </c>
      <c r="Q984" s="348">
        <f>IFERROR(__xludf.DUMMYFUNCTION("""COMPUTED_VALUE"""),0.0)</f>
        <v>0</v>
      </c>
      <c r="R984" s="355" t="str">
        <f>IFERROR(__xludf.DUMMYFUNCTION("""COMPUTED_VALUE""")," Cash Proyek ")</f>
        <v>Cash Proyek</v>
      </c>
      <c r="S984" s="350"/>
      <c r="T984" s="262"/>
      <c r="U984" s="351"/>
      <c r="V984" s="262"/>
      <c r="W984" s="262"/>
      <c r="X984" s="262"/>
      <c r="Y984" s="262"/>
      <c r="Z984" s="262"/>
      <c r="AA984" s="262"/>
      <c r="AB984" s="262"/>
      <c r="AC984" s="262"/>
      <c r="AD984" s="262"/>
      <c r="AE984" s="262"/>
      <c r="AF984" s="262"/>
      <c r="AG984" s="264"/>
      <c r="AH984" s="264"/>
      <c r="AI984" s="264"/>
      <c r="AJ984" s="264"/>
      <c r="AK984" s="264"/>
      <c r="AL984" s="264"/>
      <c r="AM984" s="264"/>
      <c r="AN984" s="264"/>
    </row>
    <row r="985" ht="15.75" customHeight="1">
      <c r="A985" s="262"/>
      <c r="B985" s="338">
        <f>IFERROR(__xludf.DUMMYFUNCTION("""COMPUTED_VALUE"""),1466.0)</f>
        <v>1466</v>
      </c>
      <c r="C985" s="354"/>
      <c r="D985" s="340" t="str">
        <f>IFERROR(__xludf.DUMMYFUNCTION("""COMPUTED_VALUE"""),"")</f>
        <v/>
      </c>
      <c r="E985" s="341">
        <f>IFERROR(__xludf.DUMMYFUNCTION("""COMPUTED_VALUE"""),0.0)</f>
        <v>0</v>
      </c>
      <c r="F985" s="352"/>
      <c r="G985" s="343"/>
      <c r="H985" s="344">
        <f>IFERROR(__xludf.DUMMYFUNCTION("""COMPUTED_VALUE"""),0.0)</f>
        <v>0</v>
      </c>
      <c r="I985" s="353"/>
      <c r="J985" s="353"/>
      <c r="K985" s="346">
        <f>IFERROR(__xludf.DUMMYFUNCTION("""COMPUTED_VALUE"""),0.0)</f>
        <v>0</v>
      </c>
      <c r="L985" s="347">
        <f>IFERROR(__xludf.DUMMYFUNCTION("""COMPUTED_VALUE"""),0.0)</f>
        <v>0</v>
      </c>
      <c r="M985" s="348">
        <f>IFERROR(__xludf.DUMMYFUNCTION("""COMPUTED_VALUE"""),0.0)</f>
        <v>0</v>
      </c>
      <c r="N985" s="348">
        <f>IFERROR(__xludf.DUMMYFUNCTION("""COMPUTED_VALUE"""),0.0)</f>
        <v>0</v>
      </c>
      <c r="O985" s="348">
        <f>IFERROR(__xludf.DUMMYFUNCTION("""COMPUTED_VALUE"""),0.0)</f>
        <v>0</v>
      </c>
      <c r="P985" s="348">
        <f>IFERROR(__xludf.DUMMYFUNCTION("""COMPUTED_VALUE"""),0.0)</f>
        <v>0</v>
      </c>
      <c r="Q985" s="348">
        <f>IFERROR(__xludf.DUMMYFUNCTION("""COMPUTED_VALUE"""),0.0)</f>
        <v>0</v>
      </c>
      <c r="R985" s="355" t="str">
        <f>IFERROR(__xludf.DUMMYFUNCTION("""COMPUTED_VALUE""")," Cash Proyek ")</f>
        <v>Cash Proyek</v>
      </c>
      <c r="S985" s="350"/>
      <c r="T985" s="262"/>
      <c r="U985" s="351"/>
      <c r="V985" s="262"/>
      <c r="W985" s="262"/>
      <c r="X985" s="262"/>
      <c r="Y985" s="262"/>
      <c r="Z985" s="262"/>
      <c r="AA985" s="262"/>
      <c r="AB985" s="262"/>
      <c r="AC985" s="262"/>
      <c r="AD985" s="262"/>
      <c r="AE985" s="262"/>
      <c r="AF985" s="262"/>
      <c r="AG985" s="264"/>
      <c r="AH985" s="264"/>
      <c r="AI985" s="264"/>
      <c r="AJ985" s="264"/>
      <c r="AK985" s="264"/>
      <c r="AL985" s="264"/>
      <c r="AM985" s="264"/>
      <c r="AN985" s="264"/>
    </row>
    <row r="986" ht="15.75" customHeight="1">
      <c r="A986" s="262"/>
      <c r="B986" s="338">
        <f>IFERROR(__xludf.DUMMYFUNCTION("""COMPUTED_VALUE"""),1467.0)</f>
        <v>1467</v>
      </c>
      <c r="C986" s="354"/>
      <c r="D986" s="340" t="str">
        <f>IFERROR(__xludf.DUMMYFUNCTION("""COMPUTED_VALUE"""),"")</f>
        <v/>
      </c>
      <c r="E986" s="341">
        <f>IFERROR(__xludf.DUMMYFUNCTION("""COMPUTED_VALUE"""),0.0)</f>
        <v>0</v>
      </c>
      <c r="F986" s="352"/>
      <c r="G986" s="343"/>
      <c r="H986" s="344">
        <f>IFERROR(__xludf.DUMMYFUNCTION("""COMPUTED_VALUE"""),0.0)</f>
        <v>0</v>
      </c>
      <c r="I986" s="353"/>
      <c r="J986" s="353"/>
      <c r="K986" s="346">
        <f>IFERROR(__xludf.DUMMYFUNCTION("""COMPUTED_VALUE"""),0.0)</f>
        <v>0</v>
      </c>
      <c r="L986" s="347">
        <f>IFERROR(__xludf.DUMMYFUNCTION("""COMPUTED_VALUE"""),0.0)</f>
        <v>0</v>
      </c>
      <c r="M986" s="348">
        <f>IFERROR(__xludf.DUMMYFUNCTION("""COMPUTED_VALUE"""),0.0)</f>
        <v>0</v>
      </c>
      <c r="N986" s="348">
        <f>IFERROR(__xludf.DUMMYFUNCTION("""COMPUTED_VALUE"""),0.0)</f>
        <v>0</v>
      </c>
      <c r="O986" s="348">
        <f>IFERROR(__xludf.DUMMYFUNCTION("""COMPUTED_VALUE"""),0.0)</f>
        <v>0</v>
      </c>
      <c r="P986" s="348">
        <f>IFERROR(__xludf.DUMMYFUNCTION("""COMPUTED_VALUE"""),0.0)</f>
        <v>0</v>
      </c>
      <c r="Q986" s="348">
        <f>IFERROR(__xludf.DUMMYFUNCTION("""COMPUTED_VALUE"""),0.0)</f>
        <v>0</v>
      </c>
      <c r="R986" s="355" t="str">
        <f>IFERROR(__xludf.DUMMYFUNCTION("""COMPUTED_VALUE""")," Cash Proyek ")</f>
        <v>Cash Proyek</v>
      </c>
      <c r="S986" s="350"/>
      <c r="T986" s="262"/>
      <c r="U986" s="351"/>
      <c r="V986" s="262"/>
      <c r="W986" s="262"/>
      <c r="X986" s="262"/>
      <c r="Y986" s="262"/>
      <c r="Z986" s="262"/>
      <c r="AA986" s="262"/>
      <c r="AB986" s="262"/>
      <c r="AC986" s="262"/>
      <c r="AD986" s="262"/>
      <c r="AE986" s="262"/>
      <c r="AF986" s="262"/>
      <c r="AG986" s="264"/>
      <c r="AH986" s="264"/>
      <c r="AI986" s="264"/>
      <c r="AJ986" s="264"/>
      <c r="AK986" s="264"/>
      <c r="AL986" s="264"/>
      <c r="AM986" s="264"/>
      <c r="AN986" s="264"/>
    </row>
    <row r="987" ht="15.75" customHeight="1">
      <c r="A987" s="262"/>
      <c r="B987" s="338">
        <f>IFERROR(__xludf.DUMMYFUNCTION("""COMPUTED_VALUE"""),1468.0)</f>
        <v>1468</v>
      </c>
      <c r="C987" s="354"/>
      <c r="D987" s="340" t="str">
        <f>IFERROR(__xludf.DUMMYFUNCTION("""COMPUTED_VALUE"""),"")</f>
        <v/>
      </c>
      <c r="E987" s="341">
        <f>IFERROR(__xludf.DUMMYFUNCTION("""COMPUTED_VALUE"""),0.0)</f>
        <v>0</v>
      </c>
      <c r="F987" s="352"/>
      <c r="G987" s="343"/>
      <c r="H987" s="344">
        <f>IFERROR(__xludf.DUMMYFUNCTION("""COMPUTED_VALUE"""),0.0)</f>
        <v>0</v>
      </c>
      <c r="I987" s="353"/>
      <c r="J987" s="353"/>
      <c r="K987" s="346">
        <f>IFERROR(__xludf.DUMMYFUNCTION("""COMPUTED_VALUE"""),0.0)</f>
        <v>0</v>
      </c>
      <c r="L987" s="347">
        <f>IFERROR(__xludf.DUMMYFUNCTION("""COMPUTED_VALUE"""),0.0)</f>
        <v>0</v>
      </c>
      <c r="M987" s="348">
        <f>IFERROR(__xludf.DUMMYFUNCTION("""COMPUTED_VALUE"""),0.0)</f>
        <v>0</v>
      </c>
      <c r="N987" s="348">
        <f>IFERROR(__xludf.DUMMYFUNCTION("""COMPUTED_VALUE"""),0.0)</f>
        <v>0</v>
      </c>
      <c r="O987" s="348">
        <f>IFERROR(__xludf.DUMMYFUNCTION("""COMPUTED_VALUE"""),0.0)</f>
        <v>0</v>
      </c>
      <c r="P987" s="348">
        <f>IFERROR(__xludf.DUMMYFUNCTION("""COMPUTED_VALUE"""),0.0)</f>
        <v>0</v>
      </c>
      <c r="Q987" s="348">
        <f>IFERROR(__xludf.DUMMYFUNCTION("""COMPUTED_VALUE"""),0.0)</f>
        <v>0</v>
      </c>
      <c r="R987" s="355" t="str">
        <f>IFERROR(__xludf.DUMMYFUNCTION("""COMPUTED_VALUE""")," Cash Proyek ")</f>
        <v>Cash Proyek</v>
      </c>
      <c r="S987" s="350"/>
      <c r="T987" s="262"/>
      <c r="U987" s="351"/>
      <c r="V987" s="262"/>
      <c r="W987" s="262"/>
      <c r="X987" s="262"/>
      <c r="Y987" s="262"/>
      <c r="Z987" s="262"/>
      <c r="AA987" s="262"/>
      <c r="AB987" s="262"/>
      <c r="AC987" s="262"/>
      <c r="AD987" s="262"/>
      <c r="AE987" s="262"/>
      <c r="AF987" s="262"/>
      <c r="AG987" s="264"/>
      <c r="AH987" s="264"/>
      <c r="AI987" s="264"/>
      <c r="AJ987" s="264"/>
      <c r="AK987" s="264"/>
      <c r="AL987" s="264"/>
      <c r="AM987" s="264"/>
      <c r="AN987" s="264"/>
    </row>
    <row r="988" ht="15.75" customHeight="1">
      <c r="A988" s="262"/>
      <c r="B988" s="338">
        <f>IFERROR(__xludf.DUMMYFUNCTION("""COMPUTED_VALUE"""),1469.0)</f>
        <v>1469</v>
      </c>
      <c r="C988" s="354"/>
      <c r="D988" s="340" t="str">
        <f>IFERROR(__xludf.DUMMYFUNCTION("""COMPUTED_VALUE"""),"")</f>
        <v/>
      </c>
      <c r="E988" s="341">
        <f>IFERROR(__xludf.DUMMYFUNCTION("""COMPUTED_VALUE"""),0.0)</f>
        <v>0</v>
      </c>
      <c r="F988" s="352"/>
      <c r="G988" s="343"/>
      <c r="H988" s="344">
        <f>IFERROR(__xludf.DUMMYFUNCTION("""COMPUTED_VALUE"""),0.0)</f>
        <v>0</v>
      </c>
      <c r="I988" s="353"/>
      <c r="J988" s="353"/>
      <c r="K988" s="346">
        <f>IFERROR(__xludf.DUMMYFUNCTION("""COMPUTED_VALUE"""),0.0)</f>
        <v>0</v>
      </c>
      <c r="L988" s="347">
        <f>IFERROR(__xludf.DUMMYFUNCTION("""COMPUTED_VALUE"""),0.0)</f>
        <v>0</v>
      </c>
      <c r="M988" s="348">
        <f>IFERROR(__xludf.DUMMYFUNCTION("""COMPUTED_VALUE"""),0.0)</f>
        <v>0</v>
      </c>
      <c r="N988" s="348">
        <f>IFERROR(__xludf.DUMMYFUNCTION("""COMPUTED_VALUE"""),0.0)</f>
        <v>0</v>
      </c>
      <c r="O988" s="348">
        <f>IFERROR(__xludf.DUMMYFUNCTION("""COMPUTED_VALUE"""),0.0)</f>
        <v>0</v>
      </c>
      <c r="P988" s="348">
        <f>IFERROR(__xludf.DUMMYFUNCTION("""COMPUTED_VALUE"""),0.0)</f>
        <v>0</v>
      </c>
      <c r="Q988" s="348">
        <f>IFERROR(__xludf.DUMMYFUNCTION("""COMPUTED_VALUE"""),0.0)</f>
        <v>0</v>
      </c>
      <c r="R988" s="355" t="str">
        <f>IFERROR(__xludf.DUMMYFUNCTION("""COMPUTED_VALUE""")," Cash Proyek ")</f>
        <v>Cash Proyek</v>
      </c>
      <c r="S988" s="350"/>
      <c r="T988" s="262"/>
      <c r="U988" s="351"/>
      <c r="V988" s="262"/>
      <c r="W988" s="262"/>
      <c r="X988" s="262"/>
      <c r="Y988" s="262"/>
      <c r="Z988" s="262"/>
      <c r="AA988" s="262"/>
      <c r="AB988" s="262"/>
      <c r="AC988" s="262"/>
      <c r="AD988" s="262"/>
      <c r="AE988" s="262"/>
      <c r="AF988" s="262"/>
      <c r="AG988" s="264"/>
      <c r="AH988" s="264"/>
      <c r="AI988" s="264"/>
      <c r="AJ988" s="264"/>
      <c r="AK988" s="264"/>
      <c r="AL988" s="264"/>
      <c r="AM988" s="264"/>
      <c r="AN988" s="264"/>
    </row>
    <row r="989" ht="15.75" customHeight="1">
      <c r="A989" s="262"/>
      <c r="B989" s="338">
        <f>IFERROR(__xludf.DUMMYFUNCTION("""COMPUTED_VALUE"""),1470.0)</f>
        <v>1470</v>
      </c>
      <c r="C989" s="354"/>
      <c r="D989" s="340" t="str">
        <f>IFERROR(__xludf.DUMMYFUNCTION("""COMPUTED_VALUE"""),"")</f>
        <v/>
      </c>
      <c r="E989" s="341">
        <f>IFERROR(__xludf.DUMMYFUNCTION("""COMPUTED_VALUE"""),0.0)</f>
        <v>0</v>
      </c>
      <c r="F989" s="352"/>
      <c r="G989" s="343"/>
      <c r="H989" s="344">
        <f>IFERROR(__xludf.DUMMYFUNCTION("""COMPUTED_VALUE"""),0.0)</f>
        <v>0</v>
      </c>
      <c r="I989" s="353"/>
      <c r="J989" s="353"/>
      <c r="K989" s="346">
        <f>IFERROR(__xludf.DUMMYFUNCTION("""COMPUTED_VALUE"""),0.0)</f>
        <v>0</v>
      </c>
      <c r="L989" s="347">
        <f>IFERROR(__xludf.DUMMYFUNCTION("""COMPUTED_VALUE"""),0.0)</f>
        <v>0</v>
      </c>
      <c r="M989" s="348">
        <f>IFERROR(__xludf.DUMMYFUNCTION("""COMPUTED_VALUE"""),0.0)</f>
        <v>0</v>
      </c>
      <c r="N989" s="348">
        <f>IFERROR(__xludf.DUMMYFUNCTION("""COMPUTED_VALUE"""),0.0)</f>
        <v>0</v>
      </c>
      <c r="O989" s="348">
        <f>IFERROR(__xludf.DUMMYFUNCTION("""COMPUTED_VALUE"""),0.0)</f>
        <v>0</v>
      </c>
      <c r="P989" s="348">
        <f>IFERROR(__xludf.DUMMYFUNCTION("""COMPUTED_VALUE"""),0.0)</f>
        <v>0</v>
      </c>
      <c r="Q989" s="348">
        <f>IFERROR(__xludf.DUMMYFUNCTION("""COMPUTED_VALUE"""),0.0)</f>
        <v>0</v>
      </c>
      <c r="R989" s="355" t="str">
        <f>IFERROR(__xludf.DUMMYFUNCTION("""COMPUTED_VALUE""")," Cash Proyek ")</f>
        <v>Cash Proyek</v>
      </c>
      <c r="S989" s="350"/>
      <c r="T989" s="262"/>
      <c r="U989" s="351"/>
      <c r="V989" s="262"/>
      <c r="W989" s="262"/>
      <c r="X989" s="262"/>
      <c r="Y989" s="262"/>
      <c r="Z989" s="262"/>
      <c r="AA989" s="262"/>
      <c r="AB989" s="262"/>
      <c r="AC989" s="262"/>
      <c r="AD989" s="262"/>
      <c r="AE989" s="262"/>
      <c r="AF989" s="262"/>
      <c r="AG989" s="264"/>
      <c r="AH989" s="264"/>
      <c r="AI989" s="264"/>
      <c r="AJ989" s="264"/>
      <c r="AK989" s="264"/>
      <c r="AL989" s="264"/>
      <c r="AM989" s="264"/>
      <c r="AN989" s="264"/>
    </row>
    <row r="990" ht="15.75" customHeight="1">
      <c r="A990" s="262"/>
      <c r="B990" s="338">
        <f>IFERROR(__xludf.DUMMYFUNCTION("""COMPUTED_VALUE"""),1471.0)</f>
        <v>1471</v>
      </c>
      <c r="C990" s="354"/>
      <c r="D990" s="340" t="str">
        <f>IFERROR(__xludf.DUMMYFUNCTION("""COMPUTED_VALUE"""),"")</f>
        <v/>
      </c>
      <c r="E990" s="341">
        <f>IFERROR(__xludf.DUMMYFUNCTION("""COMPUTED_VALUE"""),0.0)</f>
        <v>0</v>
      </c>
      <c r="F990" s="352"/>
      <c r="G990" s="343"/>
      <c r="H990" s="344">
        <f>IFERROR(__xludf.DUMMYFUNCTION("""COMPUTED_VALUE"""),0.0)</f>
        <v>0</v>
      </c>
      <c r="I990" s="353"/>
      <c r="J990" s="353"/>
      <c r="K990" s="346">
        <f>IFERROR(__xludf.DUMMYFUNCTION("""COMPUTED_VALUE"""),0.0)</f>
        <v>0</v>
      </c>
      <c r="L990" s="347">
        <f>IFERROR(__xludf.DUMMYFUNCTION("""COMPUTED_VALUE"""),0.0)</f>
        <v>0</v>
      </c>
      <c r="M990" s="348">
        <f>IFERROR(__xludf.DUMMYFUNCTION("""COMPUTED_VALUE"""),0.0)</f>
        <v>0</v>
      </c>
      <c r="N990" s="348">
        <f>IFERROR(__xludf.DUMMYFUNCTION("""COMPUTED_VALUE"""),0.0)</f>
        <v>0</v>
      </c>
      <c r="O990" s="348">
        <f>IFERROR(__xludf.DUMMYFUNCTION("""COMPUTED_VALUE"""),0.0)</f>
        <v>0</v>
      </c>
      <c r="P990" s="348">
        <f>IFERROR(__xludf.DUMMYFUNCTION("""COMPUTED_VALUE"""),0.0)</f>
        <v>0</v>
      </c>
      <c r="Q990" s="348">
        <f>IFERROR(__xludf.DUMMYFUNCTION("""COMPUTED_VALUE"""),0.0)</f>
        <v>0</v>
      </c>
      <c r="R990" s="355" t="str">
        <f>IFERROR(__xludf.DUMMYFUNCTION("""COMPUTED_VALUE""")," Cash Proyek ")</f>
        <v>Cash Proyek</v>
      </c>
      <c r="S990" s="350"/>
      <c r="T990" s="262"/>
      <c r="U990" s="351"/>
      <c r="V990" s="262"/>
      <c r="W990" s="262"/>
      <c r="X990" s="262"/>
      <c r="Y990" s="262"/>
      <c r="Z990" s="262"/>
      <c r="AA990" s="262"/>
      <c r="AB990" s="262"/>
      <c r="AC990" s="262"/>
      <c r="AD990" s="262"/>
      <c r="AE990" s="262"/>
      <c r="AF990" s="262"/>
      <c r="AG990" s="264"/>
      <c r="AH990" s="264"/>
      <c r="AI990" s="264"/>
      <c r="AJ990" s="264"/>
      <c r="AK990" s="264"/>
      <c r="AL990" s="264"/>
      <c r="AM990" s="264"/>
      <c r="AN990" s="264"/>
    </row>
    <row r="991" ht="15.75" customHeight="1">
      <c r="A991" s="262"/>
      <c r="B991" s="338">
        <f>IFERROR(__xludf.DUMMYFUNCTION("""COMPUTED_VALUE"""),1472.0)</f>
        <v>1472</v>
      </c>
      <c r="C991" s="354"/>
      <c r="D991" s="340" t="str">
        <f>IFERROR(__xludf.DUMMYFUNCTION("""COMPUTED_VALUE"""),"")</f>
        <v/>
      </c>
      <c r="E991" s="341">
        <f>IFERROR(__xludf.DUMMYFUNCTION("""COMPUTED_VALUE"""),0.0)</f>
        <v>0</v>
      </c>
      <c r="F991" s="352"/>
      <c r="G991" s="343"/>
      <c r="H991" s="344">
        <f>IFERROR(__xludf.DUMMYFUNCTION("""COMPUTED_VALUE"""),0.0)</f>
        <v>0</v>
      </c>
      <c r="I991" s="353"/>
      <c r="J991" s="353"/>
      <c r="K991" s="346">
        <f>IFERROR(__xludf.DUMMYFUNCTION("""COMPUTED_VALUE"""),0.0)</f>
        <v>0</v>
      </c>
      <c r="L991" s="347">
        <f>IFERROR(__xludf.DUMMYFUNCTION("""COMPUTED_VALUE"""),0.0)</f>
        <v>0</v>
      </c>
      <c r="M991" s="348">
        <f>IFERROR(__xludf.DUMMYFUNCTION("""COMPUTED_VALUE"""),0.0)</f>
        <v>0</v>
      </c>
      <c r="N991" s="348">
        <f>IFERROR(__xludf.DUMMYFUNCTION("""COMPUTED_VALUE"""),0.0)</f>
        <v>0</v>
      </c>
      <c r="O991" s="348">
        <f>IFERROR(__xludf.DUMMYFUNCTION("""COMPUTED_VALUE"""),0.0)</f>
        <v>0</v>
      </c>
      <c r="P991" s="348">
        <f>IFERROR(__xludf.DUMMYFUNCTION("""COMPUTED_VALUE"""),0.0)</f>
        <v>0</v>
      </c>
      <c r="Q991" s="348">
        <f>IFERROR(__xludf.DUMMYFUNCTION("""COMPUTED_VALUE"""),0.0)</f>
        <v>0</v>
      </c>
      <c r="R991" s="355" t="str">
        <f>IFERROR(__xludf.DUMMYFUNCTION("""COMPUTED_VALUE""")," Cash Proyek ")</f>
        <v>Cash Proyek</v>
      </c>
      <c r="S991" s="350"/>
      <c r="T991" s="262"/>
      <c r="U991" s="351"/>
      <c r="V991" s="262"/>
      <c r="W991" s="262"/>
      <c r="X991" s="262"/>
      <c r="Y991" s="262"/>
      <c r="Z991" s="262"/>
      <c r="AA991" s="262"/>
      <c r="AB991" s="262"/>
      <c r="AC991" s="262"/>
      <c r="AD991" s="262"/>
      <c r="AE991" s="262"/>
      <c r="AF991" s="262"/>
      <c r="AG991" s="264"/>
      <c r="AH991" s="264"/>
      <c r="AI991" s="264"/>
      <c r="AJ991" s="264"/>
      <c r="AK991" s="264"/>
      <c r="AL991" s="264"/>
      <c r="AM991" s="264"/>
      <c r="AN991" s="264"/>
    </row>
    <row r="992" ht="15.75" customHeight="1">
      <c r="A992" s="262"/>
      <c r="B992" s="338">
        <f>IFERROR(__xludf.DUMMYFUNCTION("""COMPUTED_VALUE"""),1473.0)</f>
        <v>1473</v>
      </c>
      <c r="C992" s="354"/>
      <c r="D992" s="340" t="str">
        <f>IFERROR(__xludf.DUMMYFUNCTION("""COMPUTED_VALUE"""),"")</f>
        <v/>
      </c>
      <c r="E992" s="341">
        <f>IFERROR(__xludf.DUMMYFUNCTION("""COMPUTED_VALUE"""),0.0)</f>
        <v>0</v>
      </c>
      <c r="F992" s="352"/>
      <c r="G992" s="343"/>
      <c r="H992" s="344">
        <f>IFERROR(__xludf.DUMMYFUNCTION("""COMPUTED_VALUE"""),0.0)</f>
        <v>0</v>
      </c>
      <c r="I992" s="353"/>
      <c r="J992" s="353"/>
      <c r="K992" s="346">
        <f>IFERROR(__xludf.DUMMYFUNCTION("""COMPUTED_VALUE"""),0.0)</f>
        <v>0</v>
      </c>
      <c r="L992" s="347">
        <f>IFERROR(__xludf.DUMMYFUNCTION("""COMPUTED_VALUE"""),0.0)</f>
        <v>0</v>
      </c>
      <c r="M992" s="348">
        <f>IFERROR(__xludf.DUMMYFUNCTION("""COMPUTED_VALUE"""),0.0)</f>
        <v>0</v>
      </c>
      <c r="N992" s="348">
        <f>IFERROR(__xludf.DUMMYFUNCTION("""COMPUTED_VALUE"""),0.0)</f>
        <v>0</v>
      </c>
      <c r="O992" s="348">
        <f>IFERROR(__xludf.DUMMYFUNCTION("""COMPUTED_VALUE"""),0.0)</f>
        <v>0</v>
      </c>
      <c r="P992" s="348">
        <f>IFERROR(__xludf.DUMMYFUNCTION("""COMPUTED_VALUE"""),0.0)</f>
        <v>0</v>
      </c>
      <c r="Q992" s="348">
        <f>IFERROR(__xludf.DUMMYFUNCTION("""COMPUTED_VALUE"""),0.0)</f>
        <v>0</v>
      </c>
      <c r="R992" s="355" t="str">
        <f>IFERROR(__xludf.DUMMYFUNCTION("""COMPUTED_VALUE""")," Cash Proyek ")</f>
        <v>Cash Proyek</v>
      </c>
      <c r="S992" s="350"/>
      <c r="T992" s="262"/>
      <c r="U992" s="351"/>
      <c r="V992" s="262"/>
      <c r="W992" s="262"/>
      <c r="X992" s="262"/>
      <c r="Y992" s="262"/>
      <c r="Z992" s="262"/>
      <c r="AA992" s="262"/>
      <c r="AB992" s="262"/>
      <c r="AC992" s="262"/>
      <c r="AD992" s="262"/>
      <c r="AE992" s="262"/>
      <c r="AF992" s="262"/>
      <c r="AG992" s="264"/>
      <c r="AH992" s="264"/>
      <c r="AI992" s="264"/>
      <c r="AJ992" s="264"/>
      <c r="AK992" s="264"/>
      <c r="AL992" s="264"/>
      <c r="AM992" s="264"/>
      <c r="AN992" s="264"/>
    </row>
    <row r="993" ht="15.75" customHeight="1">
      <c r="A993" s="262"/>
      <c r="B993" s="338">
        <f>IFERROR(__xludf.DUMMYFUNCTION("""COMPUTED_VALUE"""),1474.0)</f>
        <v>1474</v>
      </c>
      <c r="C993" s="354"/>
      <c r="D993" s="340" t="str">
        <f>IFERROR(__xludf.DUMMYFUNCTION("""COMPUTED_VALUE"""),"")</f>
        <v/>
      </c>
      <c r="E993" s="341">
        <f>IFERROR(__xludf.DUMMYFUNCTION("""COMPUTED_VALUE"""),0.0)</f>
        <v>0</v>
      </c>
      <c r="F993" s="352"/>
      <c r="G993" s="343"/>
      <c r="H993" s="344">
        <f>IFERROR(__xludf.DUMMYFUNCTION("""COMPUTED_VALUE"""),0.0)</f>
        <v>0</v>
      </c>
      <c r="I993" s="353"/>
      <c r="J993" s="353"/>
      <c r="K993" s="346">
        <f>IFERROR(__xludf.DUMMYFUNCTION("""COMPUTED_VALUE"""),0.0)</f>
        <v>0</v>
      </c>
      <c r="L993" s="347">
        <f>IFERROR(__xludf.DUMMYFUNCTION("""COMPUTED_VALUE"""),0.0)</f>
        <v>0</v>
      </c>
      <c r="M993" s="348">
        <f>IFERROR(__xludf.DUMMYFUNCTION("""COMPUTED_VALUE"""),0.0)</f>
        <v>0</v>
      </c>
      <c r="N993" s="348">
        <f>IFERROR(__xludf.DUMMYFUNCTION("""COMPUTED_VALUE"""),0.0)</f>
        <v>0</v>
      </c>
      <c r="O993" s="348">
        <f>IFERROR(__xludf.DUMMYFUNCTION("""COMPUTED_VALUE"""),0.0)</f>
        <v>0</v>
      </c>
      <c r="P993" s="348">
        <f>IFERROR(__xludf.DUMMYFUNCTION("""COMPUTED_VALUE"""),0.0)</f>
        <v>0</v>
      </c>
      <c r="Q993" s="348">
        <f>IFERROR(__xludf.DUMMYFUNCTION("""COMPUTED_VALUE"""),0.0)</f>
        <v>0</v>
      </c>
      <c r="R993" s="355" t="str">
        <f>IFERROR(__xludf.DUMMYFUNCTION("""COMPUTED_VALUE""")," Cash Proyek ")</f>
        <v>Cash Proyek</v>
      </c>
      <c r="S993" s="350"/>
      <c r="T993" s="262"/>
      <c r="U993" s="351"/>
      <c r="V993" s="262"/>
      <c r="W993" s="262"/>
      <c r="X993" s="262"/>
      <c r="Y993" s="262"/>
      <c r="Z993" s="262"/>
      <c r="AA993" s="262"/>
      <c r="AB993" s="262"/>
      <c r="AC993" s="262"/>
      <c r="AD993" s="262"/>
      <c r="AE993" s="262"/>
      <c r="AF993" s="262"/>
      <c r="AG993" s="264"/>
      <c r="AH993" s="264"/>
      <c r="AI993" s="264"/>
      <c r="AJ993" s="264"/>
      <c r="AK993" s="264"/>
      <c r="AL993" s="264"/>
      <c r="AM993" s="264"/>
      <c r="AN993" s="264"/>
    </row>
    <row r="994" ht="15.75" customHeight="1">
      <c r="A994" s="262"/>
      <c r="B994" s="338">
        <f>IFERROR(__xludf.DUMMYFUNCTION("""COMPUTED_VALUE"""),1475.0)</f>
        <v>1475</v>
      </c>
      <c r="C994" s="354"/>
      <c r="D994" s="340" t="str">
        <f>IFERROR(__xludf.DUMMYFUNCTION("""COMPUTED_VALUE"""),"")</f>
        <v/>
      </c>
      <c r="E994" s="341">
        <f>IFERROR(__xludf.DUMMYFUNCTION("""COMPUTED_VALUE"""),0.0)</f>
        <v>0</v>
      </c>
      <c r="F994" s="352"/>
      <c r="G994" s="343"/>
      <c r="H994" s="344">
        <f>IFERROR(__xludf.DUMMYFUNCTION("""COMPUTED_VALUE"""),0.0)</f>
        <v>0</v>
      </c>
      <c r="I994" s="353"/>
      <c r="J994" s="353"/>
      <c r="K994" s="346">
        <f>IFERROR(__xludf.DUMMYFUNCTION("""COMPUTED_VALUE"""),0.0)</f>
        <v>0</v>
      </c>
      <c r="L994" s="347">
        <f>IFERROR(__xludf.DUMMYFUNCTION("""COMPUTED_VALUE"""),0.0)</f>
        <v>0</v>
      </c>
      <c r="M994" s="348">
        <f>IFERROR(__xludf.DUMMYFUNCTION("""COMPUTED_VALUE"""),0.0)</f>
        <v>0</v>
      </c>
      <c r="N994" s="348">
        <f>IFERROR(__xludf.DUMMYFUNCTION("""COMPUTED_VALUE"""),0.0)</f>
        <v>0</v>
      </c>
      <c r="O994" s="348">
        <f>IFERROR(__xludf.DUMMYFUNCTION("""COMPUTED_VALUE"""),0.0)</f>
        <v>0</v>
      </c>
      <c r="P994" s="348">
        <f>IFERROR(__xludf.DUMMYFUNCTION("""COMPUTED_VALUE"""),0.0)</f>
        <v>0</v>
      </c>
      <c r="Q994" s="348">
        <f>IFERROR(__xludf.DUMMYFUNCTION("""COMPUTED_VALUE"""),0.0)</f>
        <v>0</v>
      </c>
      <c r="R994" s="355" t="str">
        <f>IFERROR(__xludf.DUMMYFUNCTION("""COMPUTED_VALUE""")," Cash Proyek ")</f>
        <v>Cash Proyek</v>
      </c>
      <c r="S994" s="350"/>
      <c r="T994" s="262"/>
      <c r="U994" s="351"/>
      <c r="V994" s="262"/>
      <c r="W994" s="262"/>
      <c r="X994" s="262"/>
      <c r="Y994" s="262"/>
      <c r="Z994" s="262"/>
      <c r="AA994" s="262"/>
      <c r="AB994" s="262"/>
      <c r="AC994" s="262"/>
      <c r="AD994" s="262"/>
      <c r="AE994" s="262"/>
      <c r="AF994" s="262"/>
      <c r="AG994" s="264"/>
      <c r="AH994" s="264"/>
      <c r="AI994" s="264"/>
      <c r="AJ994" s="264"/>
      <c r="AK994" s="264"/>
      <c r="AL994" s="264"/>
      <c r="AM994" s="264"/>
      <c r="AN994" s="264"/>
    </row>
    <row r="995" ht="15.75" customHeight="1">
      <c r="A995" s="262"/>
      <c r="B995" s="338">
        <f>IFERROR(__xludf.DUMMYFUNCTION("""COMPUTED_VALUE"""),1476.0)</f>
        <v>1476</v>
      </c>
      <c r="C995" s="354"/>
      <c r="D995" s="340" t="str">
        <f>IFERROR(__xludf.DUMMYFUNCTION("""COMPUTED_VALUE"""),"")</f>
        <v/>
      </c>
      <c r="E995" s="341">
        <f>IFERROR(__xludf.DUMMYFUNCTION("""COMPUTED_VALUE"""),0.0)</f>
        <v>0</v>
      </c>
      <c r="F995" s="352"/>
      <c r="G995" s="343"/>
      <c r="H995" s="344">
        <f>IFERROR(__xludf.DUMMYFUNCTION("""COMPUTED_VALUE"""),0.0)</f>
        <v>0</v>
      </c>
      <c r="I995" s="353"/>
      <c r="J995" s="353"/>
      <c r="K995" s="346">
        <f>IFERROR(__xludf.DUMMYFUNCTION("""COMPUTED_VALUE"""),0.0)</f>
        <v>0</v>
      </c>
      <c r="L995" s="347">
        <f>IFERROR(__xludf.DUMMYFUNCTION("""COMPUTED_VALUE"""),0.0)</f>
        <v>0</v>
      </c>
      <c r="M995" s="348">
        <f>IFERROR(__xludf.DUMMYFUNCTION("""COMPUTED_VALUE"""),0.0)</f>
        <v>0</v>
      </c>
      <c r="N995" s="348">
        <f>IFERROR(__xludf.DUMMYFUNCTION("""COMPUTED_VALUE"""),0.0)</f>
        <v>0</v>
      </c>
      <c r="O995" s="348">
        <f>IFERROR(__xludf.DUMMYFUNCTION("""COMPUTED_VALUE"""),0.0)</f>
        <v>0</v>
      </c>
      <c r="P995" s="348">
        <f>IFERROR(__xludf.DUMMYFUNCTION("""COMPUTED_VALUE"""),0.0)</f>
        <v>0</v>
      </c>
      <c r="Q995" s="348">
        <f>IFERROR(__xludf.DUMMYFUNCTION("""COMPUTED_VALUE"""),0.0)</f>
        <v>0</v>
      </c>
      <c r="R995" s="355" t="str">
        <f>IFERROR(__xludf.DUMMYFUNCTION("""COMPUTED_VALUE""")," Cash Proyek ")</f>
        <v>Cash Proyek</v>
      </c>
      <c r="S995" s="350"/>
      <c r="T995" s="262"/>
      <c r="U995" s="351"/>
      <c r="V995" s="262"/>
      <c r="W995" s="262"/>
      <c r="X995" s="262"/>
      <c r="Y995" s="262"/>
      <c r="Z995" s="262"/>
      <c r="AA995" s="262"/>
      <c r="AB995" s="262"/>
      <c r="AC995" s="262"/>
      <c r="AD995" s="262"/>
      <c r="AE995" s="262"/>
      <c r="AF995" s="262"/>
      <c r="AG995" s="264"/>
      <c r="AH995" s="264"/>
      <c r="AI995" s="264"/>
      <c r="AJ995" s="264"/>
      <c r="AK995" s="264"/>
      <c r="AL995" s="264"/>
      <c r="AM995" s="264"/>
      <c r="AN995" s="264"/>
    </row>
    <row r="996" ht="15.75" customHeight="1">
      <c r="A996" s="262"/>
      <c r="B996" s="338">
        <f>IFERROR(__xludf.DUMMYFUNCTION("""COMPUTED_VALUE"""),1477.0)</f>
        <v>1477</v>
      </c>
      <c r="C996" s="354"/>
      <c r="D996" s="340" t="str">
        <f>IFERROR(__xludf.DUMMYFUNCTION("""COMPUTED_VALUE"""),"")</f>
        <v/>
      </c>
      <c r="E996" s="341">
        <f>IFERROR(__xludf.DUMMYFUNCTION("""COMPUTED_VALUE"""),0.0)</f>
        <v>0</v>
      </c>
      <c r="F996" s="352"/>
      <c r="G996" s="343"/>
      <c r="H996" s="344">
        <f>IFERROR(__xludf.DUMMYFUNCTION("""COMPUTED_VALUE"""),0.0)</f>
        <v>0</v>
      </c>
      <c r="I996" s="353"/>
      <c r="J996" s="353"/>
      <c r="K996" s="346">
        <f>IFERROR(__xludf.DUMMYFUNCTION("""COMPUTED_VALUE"""),0.0)</f>
        <v>0</v>
      </c>
      <c r="L996" s="347">
        <f>IFERROR(__xludf.DUMMYFUNCTION("""COMPUTED_VALUE"""),0.0)</f>
        <v>0</v>
      </c>
      <c r="M996" s="348">
        <f>IFERROR(__xludf.DUMMYFUNCTION("""COMPUTED_VALUE"""),0.0)</f>
        <v>0</v>
      </c>
      <c r="N996" s="348">
        <f>IFERROR(__xludf.DUMMYFUNCTION("""COMPUTED_VALUE"""),0.0)</f>
        <v>0</v>
      </c>
      <c r="O996" s="348">
        <f>IFERROR(__xludf.DUMMYFUNCTION("""COMPUTED_VALUE"""),0.0)</f>
        <v>0</v>
      </c>
      <c r="P996" s="348">
        <f>IFERROR(__xludf.DUMMYFUNCTION("""COMPUTED_VALUE"""),0.0)</f>
        <v>0</v>
      </c>
      <c r="Q996" s="348">
        <f>IFERROR(__xludf.DUMMYFUNCTION("""COMPUTED_VALUE"""),0.0)</f>
        <v>0</v>
      </c>
      <c r="R996" s="355" t="str">
        <f>IFERROR(__xludf.DUMMYFUNCTION("""COMPUTED_VALUE""")," Cash Proyek ")</f>
        <v>Cash Proyek</v>
      </c>
      <c r="S996" s="350"/>
      <c r="T996" s="262"/>
      <c r="U996" s="351"/>
      <c r="V996" s="262"/>
      <c r="W996" s="262"/>
      <c r="X996" s="262"/>
      <c r="Y996" s="262"/>
      <c r="Z996" s="262"/>
      <c r="AA996" s="262"/>
      <c r="AB996" s="262"/>
      <c r="AC996" s="262"/>
      <c r="AD996" s="262"/>
      <c r="AE996" s="262"/>
      <c r="AF996" s="262"/>
      <c r="AG996" s="264"/>
      <c r="AH996" s="264"/>
      <c r="AI996" s="264"/>
      <c r="AJ996" s="264"/>
      <c r="AK996" s="264"/>
      <c r="AL996" s="264"/>
      <c r="AM996" s="264"/>
      <c r="AN996" s="264"/>
    </row>
    <row r="997" ht="15.75" customHeight="1">
      <c r="A997" s="262"/>
      <c r="B997" s="338">
        <f>IFERROR(__xludf.DUMMYFUNCTION("""COMPUTED_VALUE"""),1478.0)</f>
        <v>1478</v>
      </c>
      <c r="C997" s="354"/>
      <c r="D997" s="340" t="str">
        <f>IFERROR(__xludf.DUMMYFUNCTION("""COMPUTED_VALUE"""),"")</f>
        <v/>
      </c>
      <c r="E997" s="341">
        <f>IFERROR(__xludf.DUMMYFUNCTION("""COMPUTED_VALUE"""),0.0)</f>
        <v>0</v>
      </c>
      <c r="F997" s="352"/>
      <c r="G997" s="343"/>
      <c r="H997" s="344">
        <f>IFERROR(__xludf.DUMMYFUNCTION("""COMPUTED_VALUE"""),0.0)</f>
        <v>0</v>
      </c>
      <c r="I997" s="353"/>
      <c r="J997" s="353"/>
      <c r="K997" s="346">
        <f>IFERROR(__xludf.DUMMYFUNCTION("""COMPUTED_VALUE"""),0.0)</f>
        <v>0</v>
      </c>
      <c r="L997" s="347">
        <f>IFERROR(__xludf.DUMMYFUNCTION("""COMPUTED_VALUE"""),0.0)</f>
        <v>0</v>
      </c>
      <c r="M997" s="348">
        <f>IFERROR(__xludf.DUMMYFUNCTION("""COMPUTED_VALUE"""),0.0)</f>
        <v>0</v>
      </c>
      <c r="N997" s="348">
        <f>IFERROR(__xludf.DUMMYFUNCTION("""COMPUTED_VALUE"""),0.0)</f>
        <v>0</v>
      </c>
      <c r="O997" s="348">
        <f>IFERROR(__xludf.DUMMYFUNCTION("""COMPUTED_VALUE"""),0.0)</f>
        <v>0</v>
      </c>
      <c r="P997" s="348">
        <f>IFERROR(__xludf.DUMMYFUNCTION("""COMPUTED_VALUE"""),0.0)</f>
        <v>0</v>
      </c>
      <c r="Q997" s="348">
        <f>IFERROR(__xludf.DUMMYFUNCTION("""COMPUTED_VALUE"""),0.0)</f>
        <v>0</v>
      </c>
      <c r="R997" s="355" t="str">
        <f>IFERROR(__xludf.DUMMYFUNCTION("""COMPUTED_VALUE""")," Cash Proyek ")</f>
        <v>Cash Proyek</v>
      </c>
      <c r="S997" s="350"/>
      <c r="T997" s="262"/>
      <c r="U997" s="351"/>
      <c r="V997" s="262"/>
      <c r="W997" s="262"/>
      <c r="X997" s="262"/>
      <c r="Y997" s="262"/>
      <c r="Z997" s="262"/>
      <c r="AA997" s="262"/>
      <c r="AB997" s="262"/>
      <c r="AC997" s="262"/>
      <c r="AD997" s="262"/>
      <c r="AE997" s="262"/>
      <c r="AF997" s="262"/>
      <c r="AG997" s="264"/>
      <c r="AH997" s="264"/>
      <c r="AI997" s="264"/>
      <c r="AJ997" s="264"/>
      <c r="AK997" s="264"/>
      <c r="AL997" s="264"/>
      <c r="AM997" s="264"/>
      <c r="AN997" s="264"/>
    </row>
    <row r="998" ht="15.75" customHeight="1">
      <c r="A998" s="262"/>
      <c r="B998" s="338">
        <f>IFERROR(__xludf.DUMMYFUNCTION("""COMPUTED_VALUE"""),1479.0)</f>
        <v>1479</v>
      </c>
      <c r="C998" s="354"/>
      <c r="D998" s="340" t="str">
        <f>IFERROR(__xludf.DUMMYFUNCTION("""COMPUTED_VALUE"""),"")</f>
        <v/>
      </c>
      <c r="E998" s="341">
        <f>IFERROR(__xludf.DUMMYFUNCTION("""COMPUTED_VALUE"""),0.0)</f>
        <v>0</v>
      </c>
      <c r="F998" s="352"/>
      <c r="G998" s="343"/>
      <c r="H998" s="344">
        <f>IFERROR(__xludf.DUMMYFUNCTION("""COMPUTED_VALUE"""),0.0)</f>
        <v>0</v>
      </c>
      <c r="I998" s="353"/>
      <c r="J998" s="353"/>
      <c r="K998" s="346">
        <f>IFERROR(__xludf.DUMMYFUNCTION("""COMPUTED_VALUE"""),0.0)</f>
        <v>0</v>
      </c>
      <c r="L998" s="347">
        <f>IFERROR(__xludf.DUMMYFUNCTION("""COMPUTED_VALUE"""),0.0)</f>
        <v>0</v>
      </c>
      <c r="M998" s="348">
        <f>IFERROR(__xludf.DUMMYFUNCTION("""COMPUTED_VALUE"""),0.0)</f>
        <v>0</v>
      </c>
      <c r="N998" s="348">
        <f>IFERROR(__xludf.DUMMYFUNCTION("""COMPUTED_VALUE"""),0.0)</f>
        <v>0</v>
      </c>
      <c r="O998" s="348">
        <f>IFERROR(__xludf.DUMMYFUNCTION("""COMPUTED_VALUE"""),0.0)</f>
        <v>0</v>
      </c>
      <c r="P998" s="348">
        <f>IFERROR(__xludf.DUMMYFUNCTION("""COMPUTED_VALUE"""),0.0)</f>
        <v>0</v>
      </c>
      <c r="Q998" s="348">
        <f>IFERROR(__xludf.DUMMYFUNCTION("""COMPUTED_VALUE"""),0.0)</f>
        <v>0</v>
      </c>
      <c r="R998" s="355" t="str">
        <f>IFERROR(__xludf.DUMMYFUNCTION("""COMPUTED_VALUE""")," Cash Proyek ")</f>
        <v>Cash Proyek</v>
      </c>
      <c r="S998" s="350"/>
      <c r="T998" s="262"/>
      <c r="U998" s="351"/>
      <c r="V998" s="262"/>
      <c r="W998" s="262"/>
      <c r="X998" s="262"/>
      <c r="Y998" s="262"/>
      <c r="Z998" s="262"/>
      <c r="AA998" s="262"/>
      <c r="AB998" s="262"/>
      <c r="AC998" s="262"/>
      <c r="AD998" s="262"/>
      <c r="AE998" s="262"/>
      <c r="AF998" s="262"/>
      <c r="AG998" s="264"/>
      <c r="AH998" s="264"/>
      <c r="AI998" s="264"/>
      <c r="AJ998" s="264"/>
      <c r="AK998" s="264"/>
      <c r="AL998" s="264"/>
      <c r="AM998" s="264"/>
      <c r="AN998" s="264"/>
    </row>
    <row r="999" ht="15.75" customHeight="1">
      <c r="A999" s="262"/>
      <c r="B999" s="338">
        <f>IFERROR(__xludf.DUMMYFUNCTION("""COMPUTED_VALUE"""),1480.0)</f>
        <v>1480</v>
      </c>
      <c r="C999" s="354"/>
      <c r="D999" s="340" t="str">
        <f>IFERROR(__xludf.DUMMYFUNCTION("""COMPUTED_VALUE"""),"")</f>
        <v/>
      </c>
      <c r="E999" s="341">
        <f>IFERROR(__xludf.DUMMYFUNCTION("""COMPUTED_VALUE"""),0.0)</f>
        <v>0</v>
      </c>
      <c r="F999" s="352"/>
      <c r="G999" s="343"/>
      <c r="H999" s="344">
        <f>IFERROR(__xludf.DUMMYFUNCTION("""COMPUTED_VALUE"""),0.0)</f>
        <v>0</v>
      </c>
      <c r="I999" s="353"/>
      <c r="J999" s="353"/>
      <c r="K999" s="346">
        <f>IFERROR(__xludf.DUMMYFUNCTION("""COMPUTED_VALUE"""),0.0)</f>
        <v>0</v>
      </c>
      <c r="L999" s="347">
        <f>IFERROR(__xludf.DUMMYFUNCTION("""COMPUTED_VALUE"""),0.0)</f>
        <v>0</v>
      </c>
      <c r="M999" s="348">
        <f>IFERROR(__xludf.DUMMYFUNCTION("""COMPUTED_VALUE"""),0.0)</f>
        <v>0</v>
      </c>
      <c r="N999" s="348">
        <f>IFERROR(__xludf.DUMMYFUNCTION("""COMPUTED_VALUE"""),0.0)</f>
        <v>0</v>
      </c>
      <c r="O999" s="348">
        <f>IFERROR(__xludf.DUMMYFUNCTION("""COMPUTED_VALUE"""),0.0)</f>
        <v>0</v>
      </c>
      <c r="P999" s="348">
        <f>IFERROR(__xludf.DUMMYFUNCTION("""COMPUTED_VALUE"""),0.0)</f>
        <v>0</v>
      </c>
      <c r="Q999" s="348">
        <f>IFERROR(__xludf.DUMMYFUNCTION("""COMPUTED_VALUE"""),0.0)</f>
        <v>0</v>
      </c>
      <c r="R999" s="355" t="str">
        <f>IFERROR(__xludf.DUMMYFUNCTION("""COMPUTED_VALUE""")," Cash Proyek ")</f>
        <v>Cash Proyek</v>
      </c>
      <c r="S999" s="350"/>
      <c r="T999" s="262"/>
      <c r="U999" s="351"/>
      <c r="V999" s="262"/>
      <c r="W999" s="262"/>
      <c r="X999" s="262"/>
      <c r="Y999" s="262"/>
      <c r="Z999" s="262"/>
      <c r="AA999" s="262"/>
      <c r="AB999" s="262"/>
      <c r="AC999" s="262"/>
      <c r="AD999" s="262"/>
      <c r="AE999" s="262"/>
      <c r="AF999" s="262"/>
      <c r="AG999" s="264"/>
      <c r="AH999" s="264"/>
      <c r="AI999" s="264"/>
      <c r="AJ999" s="264"/>
      <c r="AK999" s="264"/>
      <c r="AL999" s="264"/>
      <c r="AM999" s="264"/>
      <c r="AN999" s="264"/>
    </row>
    <row r="1000" ht="15.75" customHeight="1">
      <c r="A1000" s="262"/>
      <c r="B1000" s="338">
        <f>IFERROR(__xludf.DUMMYFUNCTION("""COMPUTED_VALUE"""),1481.0)</f>
        <v>1481</v>
      </c>
      <c r="C1000" s="354"/>
      <c r="D1000" s="340" t="str">
        <f>IFERROR(__xludf.DUMMYFUNCTION("""COMPUTED_VALUE"""),"")</f>
        <v/>
      </c>
      <c r="E1000" s="341">
        <f>IFERROR(__xludf.DUMMYFUNCTION("""COMPUTED_VALUE"""),0.0)</f>
        <v>0</v>
      </c>
      <c r="F1000" s="352"/>
      <c r="G1000" s="343"/>
      <c r="H1000" s="344">
        <f>IFERROR(__xludf.DUMMYFUNCTION("""COMPUTED_VALUE"""),0.0)</f>
        <v>0</v>
      </c>
      <c r="I1000" s="353"/>
      <c r="J1000" s="353"/>
      <c r="K1000" s="346">
        <f>IFERROR(__xludf.DUMMYFUNCTION("""COMPUTED_VALUE"""),0.0)</f>
        <v>0</v>
      </c>
      <c r="L1000" s="347">
        <f>IFERROR(__xludf.DUMMYFUNCTION("""COMPUTED_VALUE"""),0.0)</f>
        <v>0</v>
      </c>
      <c r="M1000" s="348">
        <f>IFERROR(__xludf.DUMMYFUNCTION("""COMPUTED_VALUE"""),0.0)</f>
        <v>0</v>
      </c>
      <c r="N1000" s="348">
        <f>IFERROR(__xludf.DUMMYFUNCTION("""COMPUTED_VALUE"""),0.0)</f>
        <v>0</v>
      </c>
      <c r="O1000" s="348">
        <f>IFERROR(__xludf.DUMMYFUNCTION("""COMPUTED_VALUE"""),0.0)</f>
        <v>0</v>
      </c>
      <c r="P1000" s="348">
        <f>IFERROR(__xludf.DUMMYFUNCTION("""COMPUTED_VALUE"""),0.0)</f>
        <v>0</v>
      </c>
      <c r="Q1000" s="348">
        <f>IFERROR(__xludf.DUMMYFUNCTION("""COMPUTED_VALUE"""),0.0)</f>
        <v>0</v>
      </c>
      <c r="R1000" s="355" t="str">
        <f>IFERROR(__xludf.DUMMYFUNCTION("""COMPUTED_VALUE""")," Cash Proyek ")</f>
        <v>Cash Proyek</v>
      </c>
      <c r="S1000" s="350"/>
      <c r="T1000" s="262"/>
      <c r="U1000" s="351"/>
      <c r="V1000" s="262"/>
      <c r="W1000" s="262"/>
      <c r="X1000" s="262"/>
      <c r="Y1000" s="262"/>
      <c r="Z1000" s="262"/>
      <c r="AA1000" s="262"/>
      <c r="AB1000" s="262"/>
      <c r="AC1000" s="262"/>
      <c r="AD1000" s="262"/>
      <c r="AE1000" s="262"/>
      <c r="AF1000" s="262"/>
      <c r="AG1000" s="264"/>
      <c r="AH1000" s="264"/>
      <c r="AI1000" s="264"/>
      <c r="AJ1000" s="264"/>
      <c r="AK1000" s="264"/>
      <c r="AL1000" s="264"/>
      <c r="AM1000" s="264"/>
      <c r="AN1000" s="264"/>
    </row>
    <row r="1001" ht="15.75" customHeight="1">
      <c r="A1001" s="262"/>
      <c r="B1001" s="338">
        <f>IFERROR(__xludf.DUMMYFUNCTION("""COMPUTED_VALUE"""),1482.0)</f>
        <v>1482</v>
      </c>
      <c r="C1001" s="354"/>
      <c r="D1001" s="340" t="str">
        <f>IFERROR(__xludf.DUMMYFUNCTION("""COMPUTED_VALUE"""),"")</f>
        <v/>
      </c>
      <c r="E1001" s="341">
        <f>IFERROR(__xludf.DUMMYFUNCTION("""COMPUTED_VALUE"""),0.0)</f>
        <v>0</v>
      </c>
      <c r="F1001" s="352"/>
      <c r="G1001" s="343"/>
      <c r="H1001" s="344">
        <f>IFERROR(__xludf.DUMMYFUNCTION("""COMPUTED_VALUE"""),0.0)</f>
        <v>0</v>
      </c>
      <c r="I1001" s="353"/>
      <c r="J1001" s="353"/>
      <c r="K1001" s="346">
        <f>IFERROR(__xludf.DUMMYFUNCTION("""COMPUTED_VALUE"""),0.0)</f>
        <v>0</v>
      </c>
      <c r="L1001" s="347">
        <f>IFERROR(__xludf.DUMMYFUNCTION("""COMPUTED_VALUE"""),0.0)</f>
        <v>0</v>
      </c>
      <c r="M1001" s="348">
        <f>IFERROR(__xludf.DUMMYFUNCTION("""COMPUTED_VALUE"""),0.0)</f>
        <v>0</v>
      </c>
      <c r="N1001" s="348">
        <f>IFERROR(__xludf.DUMMYFUNCTION("""COMPUTED_VALUE"""),0.0)</f>
        <v>0</v>
      </c>
      <c r="O1001" s="348">
        <f>IFERROR(__xludf.DUMMYFUNCTION("""COMPUTED_VALUE"""),0.0)</f>
        <v>0</v>
      </c>
      <c r="P1001" s="348">
        <f>IFERROR(__xludf.DUMMYFUNCTION("""COMPUTED_VALUE"""),0.0)</f>
        <v>0</v>
      </c>
      <c r="Q1001" s="348">
        <f>IFERROR(__xludf.DUMMYFUNCTION("""COMPUTED_VALUE"""),0.0)</f>
        <v>0</v>
      </c>
      <c r="R1001" s="355" t="str">
        <f>IFERROR(__xludf.DUMMYFUNCTION("""COMPUTED_VALUE""")," Cash Proyek ")</f>
        <v>Cash Proyek</v>
      </c>
      <c r="S1001" s="350"/>
      <c r="T1001" s="262"/>
      <c r="U1001" s="351"/>
      <c r="V1001" s="262"/>
      <c r="W1001" s="262"/>
      <c r="X1001" s="262"/>
      <c r="Y1001" s="262"/>
      <c r="Z1001" s="262"/>
      <c r="AA1001" s="262"/>
      <c r="AB1001" s="262"/>
      <c r="AC1001" s="262"/>
      <c r="AD1001" s="262"/>
      <c r="AE1001" s="262"/>
      <c r="AF1001" s="262"/>
      <c r="AG1001" s="264"/>
      <c r="AH1001" s="264"/>
      <c r="AI1001" s="264"/>
      <c r="AJ1001" s="264"/>
      <c r="AK1001" s="264"/>
      <c r="AL1001" s="264"/>
      <c r="AM1001" s="264"/>
      <c r="AN1001" s="264"/>
    </row>
    <row r="1002" ht="15.75" customHeight="1">
      <c r="A1002" s="262"/>
      <c r="B1002" s="338">
        <f>IFERROR(__xludf.DUMMYFUNCTION("""COMPUTED_VALUE"""),1483.0)</f>
        <v>1483</v>
      </c>
      <c r="C1002" s="354"/>
      <c r="D1002" s="340" t="str">
        <f>IFERROR(__xludf.DUMMYFUNCTION("""COMPUTED_VALUE"""),"")</f>
        <v/>
      </c>
      <c r="E1002" s="341">
        <f>IFERROR(__xludf.DUMMYFUNCTION("""COMPUTED_VALUE"""),0.0)</f>
        <v>0</v>
      </c>
      <c r="F1002" s="352"/>
      <c r="G1002" s="343"/>
      <c r="H1002" s="344">
        <f>IFERROR(__xludf.DUMMYFUNCTION("""COMPUTED_VALUE"""),0.0)</f>
        <v>0</v>
      </c>
      <c r="I1002" s="353"/>
      <c r="J1002" s="353"/>
      <c r="K1002" s="346">
        <f>IFERROR(__xludf.DUMMYFUNCTION("""COMPUTED_VALUE"""),0.0)</f>
        <v>0</v>
      </c>
      <c r="L1002" s="347">
        <f>IFERROR(__xludf.DUMMYFUNCTION("""COMPUTED_VALUE"""),0.0)</f>
        <v>0</v>
      </c>
      <c r="M1002" s="348">
        <f>IFERROR(__xludf.DUMMYFUNCTION("""COMPUTED_VALUE"""),0.0)</f>
        <v>0</v>
      </c>
      <c r="N1002" s="348">
        <f>IFERROR(__xludf.DUMMYFUNCTION("""COMPUTED_VALUE"""),0.0)</f>
        <v>0</v>
      </c>
      <c r="O1002" s="348">
        <f>IFERROR(__xludf.DUMMYFUNCTION("""COMPUTED_VALUE"""),0.0)</f>
        <v>0</v>
      </c>
      <c r="P1002" s="348">
        <f>IFERROR(__xludf.DUMMYFUNCTION("""COMPUTED_VALUE"""),0.0)</f>
        <v>0</v>
      </c>
      <c r="Q1002" s="348">
        <f>IFERROR(__xludf.DUMMYFUNCTION("""COMPUTED_VALUE"""),0.0)</f>
        <v>0</v>
      </c>
      <c r="R1002" s="355" t="str">
        <f>IFERROR(__xludf.DUMMYFUNCTION("""COMPUTED_VALUE""")," Cash Proyek ")</f>
        <v>Cash Proyek</v>
      </c>
      <c r="S1002" s="350"/>
      <c r="T1002" s="262"/>
      <c r="U1002" s="351"/>
      <c r="V1002" s="262"/>
      <c r="W1002" s="262"/>
      <c r="X1002" s="262"/>
      <c r="Y1002" s="262"/>
      <c r="Z1002" s="262"/>
      <c r="AA1002" s="262"/>
      <c r="AB1002" s="262"/>
      <c r="AC1002" s="262"/>
      <c r="AD1002" s="262"/>
      <c r="AE1002" s="262"/>
      <c r="AF1002" s="262"/>
      <c r="AG1002" s="264"/>
      <c r="AH1002" s="264"/>
      <c r="AI1002" s="264"/>
      <c r="AJ1002" s="264"/>
      <c r="AK1002" s="264"/>
      <c r="AL1002" s="264"/>
      <c r="AM1002" s="264"/>
      <c r="AN1002" s="264"/>
    </row>
    <row r="1003" ht="15.75" customHeight="1">
      <c r="A1003" s="262"/>
      <c r="B1003" s="338">
        <f>IFERROR(__xludf.DUMMYFUNCTION("""COMPUTED_VALUE"""),1484.0)</f>
        <v>1484</v>
      </c>
      <c r="C1003" s="354"/>
      <c r="D1003" s="340" t="str">
        <f>IFERROR(__xludf.DUMMYFUNCTION("""COMPUTED_VALUE"""),"")</f>
        <v/>
      </c>
      <c r="E1003" s="341">
        <f>IFERROR(__xludf.DUMMYFUNCTION("""COMPUTED_VALUE"""),0.0)</f>
        <v>0</v>
      </c>
      <c r="F1003" s="352"/>
      <c r="G1003" s="343"/>
      <c r="H1003" s="344">
        <f>IFERROR(__xludf.DUMMYFUNCTION("""COMPUTED_VALUE"""),0.0)</f>
        <v>0</v>
      </c>
      <c r="I1003" s="353"/>
      <c r="J1003" s="353"/>
      <c r="K1003" s="346">
        <f>IFERROR(__xludf.DUMMYFUNCTION("""COMPUTED_VALUE"""),0.0)</f>
        <v>0</v>
      </c>
      <c r="L1003" s="347">
        <f>IFERROR(__xludf.DUMMYFUNCTION("""COMPUTED_VALUE"""),0.0)</f>
        <v>0</v>
      </c>
      <c r="M1003" s="348">
        <f>IFERROR(__xludf.DUMMYFUNCTION("""COMPUTED_VALUE"""),0.0)</f>
        <v>0</v>
      </c>
      <c r="N1003" s="348">
        <f>IFERROR(__xludf.DUMMYFUNCTION("""COMPUTED_VALUE"""),0.0)</f>
        <v>0</v>
      </c>
      <c r="O1003" s="348">
        <f>IFERROR(__xludf.DUMMYFUNCTION("""COMPUTED_VALUE"""),0.0)</f>
        <v>0</v>
      </c>
      <c r="P1003" s="348">
        <f>IFERROR(__xludf.DUMMYFUNCTION("""COMPUTED_VALUE"""),0.0)</f>
        <v>0</v>
      </c>
      <c r="Q1003" s="348">
        <f>IFERROR(__xludf.DUMMYFUNCTION("""COMPUTED_VALUE"""),0.0)</f>
        <v>0</v>
      </c>
      <c r="R1003" s="355" t="str">
        <f>IFERROR(__xludf.DUMMYFUNCTION("""COMPUTED_VALUE""")," Cash Proyek ")</f>
        <v>Cash Proyek</v>
      </c>
      <c r="S1003" s="350"/>
      <c r="T1003" s="262"/>
      <c r="U1003" s="351"/>
      <c r="V1003" s="262"/>
      <c r="W1003" s="262"/>
      <c r="X1003" s="262"/>
      <c r="Y1003" s="262"/>
      <c r="Z1003" s="262"/>
      <c r="AA1003" s="262"/>
      <c r="AB1003" s="262"/>
      <c r="AC1003" s="262"/>
      <c r="AD1003" s="262"/>
      <c r="AE1003" s="262"/>
      <c r="AF1003" s="262"/>
      <c r="AG1003" s="264"/>
      <c r="AH1003" s="264"/>
      <c r="AI1003" s="264"/>
      <c r="AJ1003" s="264"/>
      <c r="AK1003" s="264"/>
      <c r="AL1003" s="264"/>
      <c r="AM1003" s="264"/>
      <c r="AN1003" s="264"/>
    </row>
    <row r="1004" ht="15.75" customHeight="1">
      <c r="A1004" s="262"/>
      <c r="B1004" s="338">
        <f>IFERROR(__xludf.DUMMYFUNCTION("""COMPUTED_VALUE"""),1485.0)</f>
        <v>1485</v>
      </c>
      <c r="C1004" s="354"/>
      <c r="D1004" s="340" t="str">
        <f>IFERROR(__xludf.DUMMYFUNCTION("""COMPUTED_VALUE"""),"")</f>
        <v/>
      </c>
      <c r="E1004" s="341">
        <f>IFERROR(__xludf.DUMMYFUNCTION("""COMPUTED_VALUE"""),0.0)</f>
        <v>0</v>
      </c>
      <c r="F1004" s="352"/>
      <c r="G1004" s="343"/>
      <c r="H1004" s="344">
        <f>IFERROR(__xludf.DUMMYFUNCTION("""COMPUTED_VALUE"""),0.0)</f>
        <v>0</v>
      </c>
      <c r="I1004" s="353"/>
      <c r="J1004" s="353"/>
      <c r="K1004" s="346">
        <f>IFERROR(__xludf.DUMMYFUNCTION("""COMPUTED_VALUE"""),0.0)</f>
        <v>0</v>
      </c>
      <c r="L1004" s="347">
        <f>IFERROR(__xludf.DUMMYFUNCTION("""COMPUTED_VALUE"""),0.0)</f>
        <v>0</v>
      </c>
      <c r="M1004" s="348">
        <f>IFERROR(__xludf.DUMMYFUNCTION("""COMPUTED_VALUE"""),0.0)</f>
        <v>0</v>
      </c>
      <c r="N1004" s="348">
        <f>IFERROR(__xludf.DUMMYFUNCTION("""COMPUTED_VALUE"""),0.0)</f>
        <v>0</v>
      </c>
      <c r="O1004" s="348">
        <f>IFERROR(__xludf.DUMMYFUNCTION("""COMPUTED_VALUE"""),0.0)</f>
        <v>0</v>
      </c>
      <c r="P1004" s="348">
        <f>IFERROR(__xludf.DUMMYFUNCTION("""COMPUTED_VALUE"""),0.0)</f>
        <v>0</v>
      </c>
      <c r="Q1004" s="348">
        <f>IFERROR(__xludf.DUMMYFUNCTION("""COMPUTED_VALUE"""),0.0)</f>
        <v>0</v>
      </c>
      <c r="R1004" s="355" t="str">
        <f>IFERROR(__xludf.DUMMYFUNCTION("""COMPUTED_VALUE""")," Cash Proyek ")</f>
        <v>Cash Proyek</v>
      </c>
      <c r="S1004" s="350"/>
      <c r="T1004" s="262"/>
      <c r="U1004" s="351"/>
      <c r="V1004" s="262"/>
      <c r="W1004" s="262"/>
      <c r="X1004" s="262"/>
      <c r="Y1004" s="262"/>
      <c r="Z1004" s="262"/>
      <c r="AA1004" s="262"/>
      <c r="AB1004" s="262"/>
      <c r="AC1004" s="262"/>
      <c r="AD1004" s="262"/>
      <c r="AE1004" s="262"/>
      <c r="AF1004" s="262"/>
      <c r="AG1004" s="264"/>
      <c r="AH1004" s="264"/>
      <c r="AI1004" s="264"/>
      <c r="AJ1004" s="264"/>
      <c r="AK1004" s="264"/>
      <c r="AL1004" s="264"/>
      <c r="AM1004" s="264"/>
      <c r="AN1004" s="264"/>
    </row>
    <row r="1005" ht="15.75" customHeight="1">
      <c r="A1005" s="262"/>
      <c r="B1005" s="338">
        <f>IFERROR(__xludf.DUMMYFUNCTION("""COMPUTED_VALUE"""),1486.0)</f>
        <v>1486</v>
      </c>
      <c r="C1005" s="354"/>
      <c r="D1005" s="340" t="str">
        <f>IFERROR(__xludf.DUMMYFUNCTION("""COMPUTED_VALUE"""),"")</f>
        <v/>
      </c>
      <c r="E1005" s="341">
        <f>IFERROR(__xludf.DUMMYFUNCTION("""COMPUTED_VALUE"""),0.0)</f>
        <v>0</v>
      </c>
      <c r="F1005" s="352"/>
      <c r="G1005" s="343"/>
      <c r="H1005" s="344">
        <f>IFERROR(__xludf.DUMMYFUNCTION("""COMPUTED_VALUE"""),0.0)</f>
        <v>0</v>
      </c>
      <c r="I1005" s="353"/>
      <c r="J1005" s="353"/>
      <c r="K1005" s="346">
        <f>IFERROR(__xludf.DUMMYFUNCTION("""COMPUTED_VALUE"""),0.0)</f>
        <v>0</v>
      </c>
      <c r="L1005" s="347">
        <f>IFERROR(__xludf.DUMMYFUNCTION("""COMPUTED_VALUE"""),0.0)</f>
        <v>0</v>
      </c>
      <c r="M1005" s="348">
        <f>IFERROR(__xludf.DUMMYFUNCTION("""COMPUTED_VALUE"""),0.0)</f>
        <v>0</v>
      </c>
      <c r="N1005" s="348">
        <f>IFERROR(__xludf.DUMMYFUNCTION("""COMPUTED_VALUE"""),0.0)</f>
        <v>0</v>
      </c>
      <c r="O1005" s="348">
        <f>IFERROR(__xludf.DUMMYFUNCTION("""COMPUTED_VALUE"""),0.0)</f>
        <v>0</v>
      </c>
      <c r="P1005" s="348">
        <f>IFERROR(__xludf.DUMMYFUNCTION("""COMPUTED_VALUE"""),0.0)</f>
        <v>0</v>
      </c>
      <c r="Q1005" s="348">
        <f>IFERROR(__xludf.DUMMYFUNCTION("""COMPUTED_VALUE"""),0.0)</f>
        <v>0</v>
      </c>
      <c r="R1005" s="355" t="str">
        <f>IFERROR(__xludf.DUMMYFUNCTION("""COMPUTED_VALUE""")," Cash Proyek ")</f>
        <v>Cash Proyek</v>
      </c>
      <c r="S1005" s="350"/>
      <c r="T1005" s="262"/>
      <c r="U1005" s="351"/>
      <c r="V1005" s="262"/>
      <c r="W1005" s="262"/>
      <c r="X1005" s="262"/>
      <c r="Y1005" s="262"/>
      <c r="Z1005" s="262"/>
      <c r="AA1005" s="262"/>
      <c r="AB1005" s="262"/>
      <c r="AC1005" s="262"/>
      <c r="AD1005" s="262"/>
      <c r="AE1005" s="262"/>
      <c r="AF1005" s="262"/>
      <c r="AG1005" s="264"/>
      <c r="AH1005" s="264"/>
      <c r="AI1005" s="264"/>
      <c r="AJ1005" s="264"/>
      <c r="AK1005" s="264"/>
      <c r="AL1005" s="264"/>
      <c r="AM1005" s="264"/>
      <c r="AN1005" s="264"/>
    </row>
    <row r="1006" ht="15.75" customHeight="1">
      <c r="A1006" s="262"/>
      <c r="B1006" s="338">
        <f>IFERROR(__xludf.DUMMYFUNCTION("""COMPUTED_VALUE"""),1487.0)</f>
        <v>1487</v>
      </c>
      <c r="C1006" s="354"/>
      <c r="D1006" s="340" t="str">
        <f>IFERROR(__xludf.DUMMYFUNCTION("""COMPUTED_VALUE"""),"")</f>
        <v/>
      </c>
      <c r="E1006" s="341">
        <f>IFERROR(__xludf.DUMMYFUNCTION("""COMPUTED_VALUE"""),0.0)</f>
        <v>0</v>
      </c>
      <c r="F1006" s="352"/>
      <c r="G1006" s="343"/>
      <c r="H1006" s="344">
        <f>IFERROR(__xludf.DUMMYFUNCTION("""COMPUTED_VALUE"""),0.0)</f>
        <v>0</v>
      </c>
      <c r="I1006" s="353"/>
      <c r="J1006" s="353"/>
      <c r="K1006" s="346">
        <f>IFERROR(__xludf.DUMMYFUNCTION("""COMPUTED_VALUE"""),0.0)</f>
        <v>0</v>
      </c>
      <c r="L1006" s="347">
        <f>IFERROR(__xludf.DUMMYFUNCTION("""COMPUTED_VALUE"""),0.0)</f>
        <v>0</v>
      </c>
      <c r="M1006" s="348">
        <f>IFERROR(__xludf.DUMMYFUNCTION("""COMPUTED_VALUE"""),0.0)</f>
        <v>0</v>
      </c>
      <c r="N1006" s="348">
        <f>IFERROR(__xludf.DUMMYFUNCTION("""COMPUTED_VALUE"""),0.0)</f>
        <v>0</v>
      </c>
      <c r="O1006" s="348">
        <f>IFERROR(__xludf.DUMMYFUNCTION("""COMPUTED_VALUE"""),0.0)</f>
        <v>0</v>
      </c>
      <c r="P1006" s="348">
        <f>IFERROR(__xludf.DUMMYFUNCTION("""COMPUTED_VALUE"""),0.0)</f>
        <v>0</v>
      </c>
      <c r="Q1006" s="348">
        <f>IFERROR(__xludf.DUMMYFUNCTION("""COMPUTED_VALUE"""),0.0)</f>
        <v>0</v>
      </c>
      <c r="R1006" s="355" t="str">
        <f>IFERROR(__xludf.DUMMYFUNCTION("""COMPUTED_VALUE""")," Cash Proyek ")</f>
        <v>Cash Proyek</v>
      </c>
      <c r="S1006" s="350"/>
      <c r="T1006" s="262"/>
      <c r="U1006" s="351"/>
      <c r="V1006" s="262"/>
      <c r="W1006" s="262"/>
      <c r="X1006" s="262"/>
      <c r="Y1006" s="262"/>
      <c r="Z1006" s="262"/>
      <c r="AA1006" s="262"/>
      <c r="AB1006" s="262"/>
      <c r="AC1006" s="262"/>
      <c r="AD1006" s="262"/>
      <c r="AE1006" s="262"/>
      <c r="AF1006" s="262"/>
      <c r="AG1006" s="264"/>
      <c r="AH1006" s="264"/>
      <c r="AI1006" s="264"/>
      <c r="AJ1006" s="264"/>
      <c r="AK1006" s="264"/>
      <c r="AL1006" s="264"/>
      <c r="AM1006" s="264"/>
      <c r="AN1006" s="264"/>
    </row>
    <row r="1007" ht="15.75" customHeight="1">
      <c r="A1007" s="262"/>
      <c r="B1007" s="338">
        <f>IFERROR(__xludf.DUMMYFUNCTION("""COMPUTED_VALUE"""),1488.0)</f>
        <v>1488</v>
      </c>
      <c r="C1007" s="354"/>
      <c r="D1007" s="340" t="str">
        <f>IFERROR(__xludf.DUMMYFUNCTION("""COMPUTED_VALUE"""),"")</f>
        <v/>
      </c>
      <c r="E1007" s="341">
        <f>IFERROR(__xludf.DUMMYFUNCTION("""COMPUTED_VALUE"""),0.0)</f>
        <v>0</v>
      </c>
      <c r="F1007" s="352"/>
      <c r="G1007" s="343"/>
      <c r="H1007" s="344">
        <f>IFERROR(__xludf.DUMMYFUNCTION("""COMPUTED_VALUE"""),0.0)</f>
        <v>0</v>
      </c>
      <c r="I1007" s="353"/>
      <c r="J1007" s="353"/>
      <c r="K1007" s="346">
        <f>IFERROR(__xludf.DUMMYFUNCTION("""COMPUTED_VALUE"""),0.0)</f>
        <v>0</v>
      </c>
      <c r="L1007" s="347">
        <f>IFERROR(__xludf.DUMMYFUNCTION("""COMPUTED_VALUE"""),0.0)</f>
        <v>0</v>
      </c>
      <c r="M1007" s="348">
        <f>IFERROR(__xludf.DUMMYFUNCTION("""COMPUTED_VALUE"""),0.0)</f>
        <v>0</v>
      </c>
      <c r="N1007" s="348">
        <f>IFERROR(__xludf.DUMMYFUNCTION("""COMPUTED_VALUE"""),0.0)</f>
        <v>0</v>
      </c>
      <c r="O1007" s="348">
        <f>IFERROR(__xludf.DUMMYFUNCTION("""COMPUTED_VALUE"""),0.0)</f>
        <v>0</v>
      </c>
      <c r="P1007" s="348">
        <f>IFERROR(__xludf.DUMMYFUNCTION("""COMPUTED_VALUE"""),0.0)</f>
        <v>0</v>
      </c>
      <c r="Q1007" s="348">
        <f>IFERROR(__xludf.DUMMYFUNCTION("""COMPUTED_VALUE"""),0.0)</f>
        <v>0</v>
      </c>
      <c r="R1007" s="355" t="str">
        <f>IFERROR(__xludf.DUMMYFUNCTION("""COMPUTED_VALUE""")," Cash Proyek ")</f>
        <v>Cash Proyek</v>
      </c>
      <c r="S1007" s="350"/>
      <c r="T1007" s="262"/>
      <c r="U1007" s="351"/>
      <c r="V1007" s="262"/>
      <c r="W1007" s="262"/>
      <c r="X1007" s="262"/>
      <c r="Y1007" s="262"/>
      <c r="Z1007" s="262"/>
      <c r="AA1007" s="262"/>
      <c r="AB1007" s="262"/>
      <c r="AC1007" s="262"/>
      <c r="AD1007" s="262"/>
      <c r="AE1007" s="262"/>
      <c r="AF1007" s="262"/>
      <c r="AG1007" s="264"/>
      <c r="AH1007" s="264"/>
      <c r="AI1007" s="264"/>
      <c r="AJ1007" s="264"/>
      <c r="AK1007" s="264"/>
      <c r="AL1007" s="264"/>
      <c r="AM1007" s="264"/>
      <c r="AN1007" s="264"/>
    </row>
    <row r="1008" ht="15.75" customHeight="1">
      <c r="A1008" s="262"/>
      <c r="B1008" s="338">
        <f>IFERROR(__xludf.DUMMYFUNCTION("""COMPUTED_VALUE"""),1489.0)</f>
        <v>1489</v>
      </c>
      <c r="C1008" s="354"/>
      <c r="D1008" s="340" t="str">
        <f>IFERROR(__xludf.DUMMYFUNCTION("""COMPUTED_VALUE"""),"")</f>
        <v/>
      </c>
      <c r="E1008" s="341">
        <f>IFERROR(__xludf.DUMMYFUNCTION("""COMPUTED_VALUE"""),0.0)</f>
        <v>0</v>
      </c>
      <c r="F1008" s="352"/>
      <c r="G1008" s="343"/>
      <c r="H1008" s="344">
        <f>IFERROR(__xludf.DUMMYFUNCTION("""COMPUTED_VALUE"""),0.0)</f>
        <v>0</v>
      </c>
      <c r="I1008" s="353"/>
      <c r="J1008" s="353"/>
      <c r="K1008" s="346">
        <f>IFERROR(__xludf.DUMMYFUNCTION("""COMPUTED_VALUE"""),0.0)</f>
        <v>0</v>
      </c>
      <c r="L1008" s="347">
        <f>IFERROR(__xludf.DUMMYFUNCTION("""COMPUTED_VALUE"""),0.0)</f>
        <v>0</v>
      </c>
      <c r="M1008" s="348">
        <f>IFERROR(__xludf.DUMMYFUNCTION("""COMPUTED_VALUE"""),0.0)</f>
        <v>0</v>
      </c>
      <c r="N1008" s="348">
        <f>IFERROR(__xludf.DUMMYFUNCTION("""COMPUTED_VALUE"""),0.0)</f>
        <v>0</v>
      </c>
      <c r="O1008" s="348">
        <f>IFERROR(__xludf.DUMMYFUNCTION("""COMPUTED_VALUE"""),0.0)</f>
        <v>0</v>
      </c>
      <c r="P1008" s="348">
        <f>IFERROR(__xludf.DUMMYFUNCTION("""COMPUTED_VALUE"""),0.0)</f>
        <v>0</v>
      </c>
      <c r="Q1008" s="348">
        <f>IFERROR(__xludf.DUMMYFUNCTION("""COMPUTED_VALUE"""),0.0)</f>
        <v>0</v>
      </c>
      <c r="R1008" s="355" t="str">
        <f>IFERROR(__xludf.DUMMYFUNCTION("""COMPUTED_VALUE""")," Cash Proyek ")</f>
        <v>Cash Proyek</v>
      </c>
      <c r="S1008" s="350"/>
      <c r="T1008" s="262"/>
      <c r="U1008" s="351"/>
      <c r="V1008" s="262"/>
      <c r="W1008" s="262"/>
      <c r="X1008" s="262"/>
      <c r="Y1008" s="262"/>
      <c r="Z1008" s="262"/>
      <c r="AA1008" s="262"/>
      <c r="AB1008" s="262"/>
      <c r="AC1008" s="262"/>
      <c r="AD1008" s="262"/>
      <c r="AE1008" s="262"/>
      <c r="AF1008" s="262"/>
      <c r="AG1008" s="264"/>
      <c r="AH1008" s="264"/>
      <c r="AI1008" s="264"/>
      <c r="AJ1008" s="264"/>
      <c r="AK1008" s="264"/>
      <c r="AL1008" s="264"/>
      <c r="AM1008" s="264"/>
      <c r="AN1008" s="264"/>
    </row>
    <row r="1009" ht="15.75" customHeight="1">
      <c r="A1009" s="262"/>
      <c r="B1009" s="338">
        <f>IFERROR(__xludf.DUMMYFUNCTION("""COMPUTED_VALUE"""),1490.0)</f>
        <v>1490</v>
      </c>
      <c r="C1009" s="354"/>
      <c r="D1009" s="340" t="str">
        <f>IFERROR(__xludf.DUMMYFUNCTION("""COMPUTED_VALUE"""),"")</f>
        <v/>
      </c>
      <c r="E1009" s="341">
        <f>IFERROR(__xludf.DUMMYFUNCTION("""COMPUTED_VALUE"""),0.0)</f>
        <v>0</v>
      </c>
      <c r="F1009" s="352"/>
      <c r="G1009" s="343"/>
      <c r="H1009" s="344">
        <f>IFERROR(__xludf.DUMMYFUNCTION("""COMPUTED_VALUE"""),0.0)</f>
        <v>0</v>
      </c>
      <c r="I1009" s="353"/>
      <c r="J1009" s="353"/>
      <c r="K1009" s="346">
        <f>IFERROR(__xludf.DUMMYFUNCTION("""COMPUTED_VALUE"""),0.0)</f>
        <v>0</v>
      </c>
      <c r="L1009" s="347">
        <f>IFERROR(__xludf.DUMMYFUNCTION("""COMPUTED_VALUE"""),0.0)</f>
        <v>0</v>
      </c>
      <c r="M1009" s="348">
        <f>IFERROR(__xludf.DUMMYFUNCTION("""COMPUTED_VALUE"""),0.0)</f>
        <v>0</v>
      </c>
      <c r="N1009" s="348">
        <f>IFERROR(__xludf.DUMMYFUNCTION("""COMPUTED_VALUE"""),0.0)</f>
        <v>0</v>
      </c>
      <c r="O1009" s="348">
        <f>IFERROR(__xludf.DUMMYFUNCTION("""COMPUTED_VALUE"""),0.0)</f>
        <v>0</v>
      </c>
      <c r="P1009" s="348">
        <f>IFERROR(__xludf.DUMMYFUNCTION("""COMPUTED_VALUE"""),0.0)</f>
        <v>0</v>
      </c>
      <c r="Q1009" s="348">
        <f>IFERROR(__xludf.DUMMYFUNCTION("""COMPUTED_VALUE"""),0.0)</f>
        <v>0</v>
      </c>
      <c r="R1009" s="355" t="str">
        <f>IFERROR(__xludf.DUMMYFUNCTION("""COMPUTED_VALUE""")," Cash Proyek ")</f>
        <v>Cash Proyek</v>
      </c>
      <c r="S1009" s="350"/>
      <c r="T1009" s="262"/>
      <c r="U1009" s="351"/>
      <c r="V1009" s="262"/>
      <c r="W1009" s="262"/>
      <c r="X1009" s="262"/>
      <c r="Y1009" s="262"/>
      <c r="Z1009" s="262"/>
      <c r="AA1009" s="262"/>
      <c r="AB1009" s="262"/>
      <c r="AC1009" s="262"/>
      <c r="AD1009" s="262"/>
      <c r="AE1009" s="262"/>
      <c r="AF1009" s="262"/>
      <c r="AG1009" s="264"/>
      <c r="AH1009" s="264"/>
      <c r="AI1009" s="264"/>
      <c r="AJ1009" s="264"/>
      <c r="AK1009" s="264"/>
      <c r="AL1009" s="264"/>
      <c r="AM1009" s="264"/>
      <c r="AN1009" s="264"/>
    </row>
    <row r="1010" ht="15.75" customHeight="1">
      <c r="A1010" s="262"/>
      <c r="B1010" s="338">
        <f>IFERROR(__xludf.DUMMYFUNCTION("""COMPUTED_VALUE"""),1491.0)</f>
        <v>1491</v>
      </c>
      <c r="C1010" s="354"/>
      <c r="D1010" s="340" t="str">
        <f>IFERROR(__xludf.DUMMYFUNCTION("""COMPUTED_VALUE"""),"")</f>
        <v/>
      </c>
      <c r="E1010" s="341">
        <f>IFERROR(__xludf.DUMMYFUNCTION("""COMPUTED_VALUE"""),0.0)</f>
        <v>0</v>
      </c>
      <c r="F1010" s="352"/>
      <c r="G1010" s="343"/>
      <c r="H1010" s="344">
        <f>IFERROR(__xludf.DUMMYFUNCTION("""COMPUTED_VALUE"""),0.0)</f>
        <v>0</v>
      </c>
      <c r="I1010" s="353"/>
      <c r="J1010" s="353"/>
      <c r="K1010" s="346">
        <f>IFERROR(__xludf.DUMMYFUNCTION("""COMPUTED_VALUE"""),0.0)</f>
        <v>0</v>
      </c>
      <c r="L1010" s="347">
        <f>IFERROR(__xludf.DUMMYFUNCTION("""COMPUTED_VALUE"""),0.0)</f>
        <v>0</v>
      </c>
      <c r="M1010" s="348">
        <f>IFERROR(__xludf.DUMMYFUNCTION("""COMPUTED_VALUE"""),0.0)</f>
        <v>0</v>
      </c>
      <c r="N1010" s="348">
        <f>IFERROR(__xludf.DUMMYFUNCTION("""COMPUTED_VALUE"""),0.0)</f>
        <v>0</v>
      </c>
      <c r="O1010" s="348">
        <f>IFERROR(__xludf.DUMMYFUNCTION("""COMPUTED_VALUE"""),0.0)</f>
        <v>0</v>
      </c>
      <c r="P1010" s="348">
        <f>IFERROR(__xludf.DUMMYFUNCTION("""COMPUTED_VALUE"""),0.0)</f>
        <v>0</v>
      </c>
      <c r="Q1010" s="348">
        <f>IFERROR(__xludf.DUMMYFUNCTION("""COMPUTED_VALUE"""),0.0)</f>
        <v>0</v>
      </c>
      <c r="R1010" s="355" t="str">
        <f>IFERROR(__xludf.DUMMYFUNCTION("""COMPUTED_VALUE""")," Cash Proyek ")</f>
        <v>Cash Proyek</v>
      </c>
      <c r="S1010" s="350"/>
      <c r="T1010" s="262"/>
      <c r="U1010" s="351"/>
      <c r="V1010" s="262"/>
      <c r="W1010" s="262"/>
      <c r="X1010" s="262"/>
      <c r="Y1010" s="262"/>
      <c r="Z1010" s="262"/>
      <c r="AA1010" s="262"/>
      <c r="AB1010" s="262"/>
      <c r="AC1010" s="262"/>
      <c r="AD1010" s="262"/>
      <c r="AE1010" s="262"/>
      <c r="AF1010" s="262"/>
      <c r="AG1010" s="264"/>
      <c r="AH1010" s="264"/>
      <c r="AI1010" s="264"/>
      <c r="AJ1010" s="264"/>
      <c r="AK1010" s="264"/>
      <c r="AL1010" s="264"/>
      <c r="AM1010" s="264"/>
      <c r="AN1010" s="264"/>
    </row>
    <row r="1011" ht="15.75" customHeight="1">
      <c r="A1011" s="16"/>
      <c r="B1011" s="357"/>
      <c r="C1011" s="358"/>
      <c r="D1011" s="359"/>
      <c r="E1011" s="359"/>
      <c r="F1011" s="360"/>
      <c r="G1011" s="361"/>
      <c r="H1011" s="361"/>
      <c r="I1011" s="361"/>
      <c r="J1011" s="361"/>
      <c r="K1011" s="362"/>
      <c r="L1011" s="362"/>
      <c r="M1011" s="362"/>
      <c r="N1011" s="362"/>
      <c r="O1011" s="362"/>
      <c r="P1011" s="362"/>
      <c r="Q1011" s="362"/>
      <c r="R1011" s="362"/>
      <c r="S1011" s="363"/>
      <c r="T1011" s="16"/>
      <c r="U1011" s="290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264"/>
      <c r="AH1011" s="264"/>
      <c r="AI1011" s="264"/>
      <c r="AJ1011" s="264"/>
      <c r="AK1011" s="264"/>
      <c r="AL1011" s="264"/>
      <c r="AM1011" s="264"/>
      <c r="AN1011" s="264"/>
    </row>
    <row r="1012" ht="15.75" customHeight="1">
      <c r="A1012" s="16"/>
      <c r="B1012" s="364"/>
      <c r="C1012" s="365"/>
      <c r="D1012" s="366"/>
      <c r="E1012" s="366"/>
      <c r="F1012" s="367" t="str">
        <f>IFERROR(__xludf.DUMMYFUNCTION("""COMPUTED_VALUE"""),"TOTAL …......")</f>
        <v>TOTAL …......</v>
      </c>
      <c r="G1012" s="366"/>
      <c r="H1012" s="366"/>
      <c r="I1012" s="368"/>
      <c r="J1012" s="368"/>
      <c r="K1012" s="366"/>
      <c r="L1012" s="369">
        <f>IFERROR(__xludf.DUMMYFUNCTION("""COMPUTED_VALUE"""),3.0242E7)</f>
        <v>30242000</v>
      </c>
      <c r="M1012" s="366"/>
      <c r="N1012" s="366"/>
      <c r="O1012" s="366"/>
      <c r="P1012" s="366"/>
      <c r="Q1012" s="369">
        <f>IFERROR(__xludf.DUMMYFUNCTION("""COMPUTED_VALUE"""),4198000.0)</f>
        <v>4198000</v>
      </c>
      <c r="R1012" s="370"/>
      <c r="S1012" s="371"/>
      <c r="T1012" s="16"/>
      <c r="U1012" s="290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264"/>
      <c r="AH1012" s="264"/>
      <c r="AI1012" s="264"/>
      <c r="AJ1012" s="264"/>
      <c r="AK1012" s="264"/>
      <c r="AL1012" s="264"/>
      <c r="AM1012" s="264"/>
      <c r="AN1012" s="264"/>
    </row>
    <row r="1013" ht="15.75" customHeight="1">
      <c r="A1013" s="16"/>
      <c r="B1013" s="43"/>
      <c r="C1013" s="16"/>
      <c r="D1013" s="16"/>
      <c r="E1013" s="16"/>
      <c r="F1013" s="16"/>
      <c r="G1013" s="16"/>
      <c r="H1013" s="16"/>
      <c r="I1013" s="293"/>
      <c r="J1013" s="293"/>
      <c r="K1013" s="16"/>
      <c r="L1013" s="16"/>
      <c r="M1013" s="16"/>
      <c r="N1013" s="16"/>
      <c r="O1013" s="16"/>
      <c r="P1013" s="16"/>
      <c r="Q1013" s="16"/>
      <c r="R1013" s="295"/>
      <c r="S1013" s="295"/>
      <c r="T1013" s="16"/>
      <c r="U1013" s="290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264"/>
      <c r="AH1013" s="264"/>
      <c r="AI1013" s="264"/>
      <c r="AJ1013" s="264"/>
      <c r="AK1013" s="264"/>
      <c r="AL1013" s="264"/>
      <c r="AM1013" s="264"/>
      <c r="AN1013" s="264"/>
    </row>
    <row r="1014" ht="15.75" customHeight="1">
      <c r="A1014" s="264"/>
      <c r="B1014" s="42"/>
      <c r="C1014" s="280"/>
      <c r="D1014" s="264"/>
      <c r="E1014" s="264"/>
      <c r="F1014" s="264"/>
      <c r="G1014" s="264"/>
      <c r="H1014" s="264"/>
      <c r="I1014" s="281"/>
      <c r="J1014" s="281"/>
      <c r="K1014" s="264"/>
      <c r="L1014" s="264"/>
      <c r="M1014" s="264"/>
      <c r="N1014" s="264"/>
      <c r="O1014" s="264"/>
      <c r="P1014" s="264"/>
      <c r="Q1014" s="264"/>
      <c r="R1014" s="264"/>
      <c r="S1014" s="264"/>
      <c r="T1014" s="264"/>
      <c r="U1014" s="16"/>
      <c r="V1014" s="264"/>
      <c r="W1014" s="264"/>
      <c r="X1014" s="264"/>
      <c r="Y1014" s="264"/>
      <c r="Z1014" s="264"/>
      <c r="AA1014" s="264"/>
      <c r="AB1014" s="264"/>
      <c r="AC1014" s="264"/>
      <c r="AD1014" s="264"/>
      <c r="AE1014" s="264"/>
      <c r="AF1014" s="264"/>
      <c r="AG1014" s="264"/>
      <c r="AH1014" s="264"/>
      <c r="AI1014" s="264"/>
      <c r="AJ1014" s="264"/>
      <c r="AK1014" s="264"/>
      <c r="AL1014" s="264"/>
      <c r="AM1014" s="264"/>
      <c r="AN1014" s="264"/>
    </row>
    <row r="1015" ht="15.75" customHeight="1">
      <c r="A1015" s="264"/>
      <c r="B1015" s="42"/>
      <c r="C1015" s="280"/>
      <c r="D1015" s="264"/>
      <c r="E1015" s="264"/>
      <c r="F1015" s="264"/>
      <c r="G1015" s="264"/>
      <c r="H1015" s="264"/>
      <c r="I1015" s="281"/>
      <c r="J1015" s="281"/>
      <c r="K1015" s="264"/>
      <c r="L1015" s="264"/>
      <c r="M1015" s="264"/>
      <c r="N1015" s="264"/>
      <c r="O1015" s="264"/>
      <c r="P1015" s="264"/>
      <c r="Q1015" s="264"/>
      <c r="R1015" s="264"/>
      <c r="S1015" s="264"/>
      <c r="T1015" s="264"/>
      <c r="U1015" s="16"/>
      <c r="V1015" s="264"/>
      <c r="W1015" s="264"/>
      <c r="X1015" s="264"/>
      <c r="Y1015" s="264"/>
      <c r="Z1015" s="264"/>
      <c r="AA1015" s="264"/>
      <c r="AB1015" s="264"/>
      <c r="AC1015" s="264"/>
      <c r="AD1015" s="264"/>
      <c r="AE1015" s="264"/>
      <c r="AF1015" s="264"/>
      <c r="AG1015" s="264"/>
      <c r="AH1015" s="264"/>
      <c r="AI1015" s="264"/>
      <c r="AJ1015" s="264"/>
      <c r="AK1015" s="264"/>
      <c r="AL1015" s="264"/>
      <c r="AM1015" s="264"/>
      <c r="AN1015" s="264"/>
    </row>
    <row r="1016" ht="15.75" customHeight="1">
      <c r="A1016" s="264"/>
      <c r="B1016" s="42"/>
      <c r="C1016" s="280"/>
      <c r="D1016" s="264"/>
      <c r="E1016" s="264"/>
      <c r="F1016" s="264"/>
      <c r="G1016" s="264"/>
      <c r="H1016" s="264"/>
      <c r="I1016" s="281"/>
      <c r="J1016" s="281"/>
      <c r="K1016" s="264"/>
      <c r="L1016" s="264"/>
      <c r="M1016" s="264"/>
      <c r="N1016" s="264"/>
      <c r="O1016" s="264"/>
      <c r="P1016" s="264"/>
      <c r="Q1016" s="264"/>
      <c r="R1016" s="264"/>
      <c r="S1016" s="264"/>
      <c r="T1016" s="264"/>
      <c r="U1016" s="16"/>
      <c r="V1016" s="264"/>
      <c r="W1016" s="264"/>
      <c r="X1016" s="264"/>
      <c r="Y1016" s="264"/>
      <c r="Z1016" s="264"/>
      <c r="AA1016" s="264"/>
      <c r="AB1016" s="264"/>
      <c r="AC1016" s="264"/>
      <c r="AD1016" s="264"/>
      <c r="AE1016" s="264"/>
      <c r="AF1016" s="264"/>
      <c r="AG1016" s="264"/>
      <c r="AH1016" s="264"/>
      <c r="AI1016" s="264"/>
      <c r="AJ1016" s="264"/>
      <c r="AK1016" s="264"/>
      <c r="AL1016" s="264"/>
      <c r="AM1016" s="264"/>
      <c r="AN1016" s="264"/>
    </row>
    <row r="1017" ht="15.75" customHeight="1">
      <c r="A1017" s="264"/>
      <c r="B1017" s="42"/>
      <c r="C1017" s="280"/>
      <c r="D1017" s="264"/>
      <c r="E1017" s="264"/>
      <c r="F1017" s="264"/>
      <c r="G1017" s="264"/>
      <c r="H1017" s="264"/>
      <c r="I1017" s="281"/>
      <c r="J1017" s="281"/>
      <c r="K1017" s="264"/>
      <c r="L1017" s="264"/>
      <c r="M1017" s="264"/>
      <c r="N1017" s="264"/>
      <c r="O1017" s="264"/>
      <c r="P1017" s="264"/>
      <c r="Q1017" s="264"/>
      <c r="R1017" s="264"/>
      <c r="S1017" s="264"/>
      <c r="T1017" s="264"/>
      <c r="U1017" s="16"/>
      <c r="V1017" s="264"/>
      <c r="W1017" s="264"/>
      <c r="X1017" s="264"/>
      <c r="Y1017" s="264"/>
      <c r="Z1017" s="264"/>
      <c r="AA1017" s="264"/>
      <c r="AB1017" s="264"/>
      <c r="AC1017" s="264"/>
      <c r="AD1017" s="264"/>
      <c r="AE1017" s="264"/>
      <c r="AF1017" s="264"/>
      <c r="AG1017" s="264"/>
      <c r="AH1017" s="264"/>
      <c r="AI1017" s="264"/>
      <c r="AJ1017" s="264"/>
      <c r="AK1017" s="264"/>
      <c r="AL1017" s="264"/>
      <c r="AM1017" s="264"/>
      <c r="AN1017" s="264"/>
    </row>
    <row r="1018" ht="15.75" customHeight="1">
      <c r="A1018" s="264"/>
      <c r="B1018" s="42"/>
      <c r="C1018" s="280"/>
      <c r="D1018" s="264"/>
      <c r="E1018" s="264"/>
      <c r="F1018" s="264"/>
      <c r="G1018" s="264"/>
      <c r="H1018" s="264"/>
      <c r="I1018" s="281"/>
      <c r="J1018" s="281"/>
      <c r="K1018" s="264"/>
      <c r="L1018" s="264"/>
      <c r="M1018" s="264"/>
      <c r="N1018" s="264"/>
      <c r="O1018" s="264"/>
      <c r="P1018" s="264"/>
      <c r="Q1018" s="264"/>
      <c r="R1018" s="264"/>
      <c r="S1018" s="264"/>
      <c r="T1018" s="264"/>
      <c r="U1018" s="16"/>
      <c r="V1018" s="264"/>
      <c r="W1018" s="264"/>
      <c r="X1018" s="264"/>
      <c r="Y1018" s="264"/>
      <c r="Z1018" s="264"/>
      <c r="AA1018" s="264"/>
      <c r="AB1018" s="264"/>
      <c r="AC1018" s="264"/>
      <c r="AD1018" s="264"/>
      <c r="AE1018" s="264"/>
      <c r="AF1018" s="264"/>
      <c r="AG1018" s="264"/>
      <c r="AH1018" s="264"/>
      <c r="AI1018" s="264"/>
      <c r="AJ1018" s="264"/>
      <c r="AK1018" s="264"/>
      <c r="AL1018" s="264"/>
      <c r="AM1018" s="264"/>
      <c r="AN1018" s="264"/>
    </row>
    <row r="1019" ht="15.75" customHeight="1">
      <c r="A1019" s="264"/>
      <c r="B1019" s="42"/>
      <c r="C1019" s="280"/>
      <c r="D1019" s="264"/>
      <c r="E1019" s="264"/>
      <c r="F1019" s="264"/>
      <c r="G1019" s="264"/>
      <c r="H1019" s="264"/>
      <c r="I1019" s="281"/>
      <c r="J1019" s="281"/>
      <c r="K1019" s="264"/>
      <c r="L1019" s="264"/>
      <c r="M1019" s="264"/>
      <c r="N1019" s="264"/>
      <c r="O1019" s="264"/>
      <c r="P1019" s="264"/>
      <c r="Q1019" s="264"/>
      <c r="R1019" s="264"/>
      <c r="S1019" s="264"/>
      <c r="T1019" s="264"/>
      <c r="U1019" s="16"/>
      <c r="V1019" s="264"/>
      <c r="W1019" s="264"/>
      <c r="X1019" s="264"/>
      <c r="Y1019" s="264"/>
      <c r="Z1019" s="264"/>
      <c r="AA1019" s="264"/>
      <c r="AB1019" s="264"/>
      <c r="AC1019" s="264"/>
      <c r="AD1019" s="264"/>
      <c r="AE1019" s="264"/>
      <c r="AF1019" s="264"/>
      <c r="AG1019" s="264"/>
      <c r="AH1019" s="264"/>
      <c r="AI1019" s="264"/>
      <c r="AJ1019" s="264"/>
      <c r="AK1019" s="264"/>
      <c r="AL1019" s="264"/>
      <c r="AM1019" s="264"/>
      <c r="AN1019" s="264"/>
    </row>
    <row r="1020" ht="15.75" customHeight="1">
      <c r="A1020" s="264"/>
      <c r="B1020" s="42"/>
      <c r="C1020" s="280"/>
      <c r="D1020" s="264"/>
      <c r="E1020" s="264"/>
      <c r="F1020" s="264"/>
      <c r="G1020" s="264"/>
      <c r="H1020" s="264"/>
      <c r="I1020" s="281"/>
      <c r="J1020" s="281"/>
      <c r="K1020" s="264"/>
      <c r="L1020" s="264"/>
      <c r="M1020" s="264"/>
      <c r="N1020" s="264"/>
      <c r="O1020" s="264"/>
      <c r="P1020" s="264"/>
      <c r="Q1020" s="264"/>
      <c r="R1020" s="264"/>
      <c r="S1020" s="264"/>
      <c r="T1020" s="264"/>
      <c r="U1020" s="16"/>
      <c r="V1020" s="264"/>
      <c r="W1020" s="264"/>
      <c r="X1020" s="264"/>
      <c r="Y1020" s="264"/>
      <c r="Z1020" s="264"/>
      <c r="AA1020" s="264"/>
      <c r="AB1020" s="264"/>
      <c r="AC1020" s="264"/>
      <c r="AD1020" s="264"/>
      <c r="AE1020" s="264"/>
      <c r="AF1020" s="264"/>
      <c r="AG1020" s="264"/>
      <c r="AH1020" s="264"/>
      <c r="AI1020" s="264"/>
      <c r="AJ1020" s="264"/>
      <c r="AK1020" s="264"/>
      <c r="AL1020" s="264"/>
      <c r="AM1020" s="264"/>
      <c r="AN1020" s="264"/>
    </row>
    <row r="1021" ht="15.75" customHeight="1">
      <c r="A1021" s="264"/>
      <c r="B1021" s="42"/>
      <c r="C1021" s="280"/>
      <c r="D1021" s="264"/>
      <c r="E1021" s="264"/>
      <c r="F1021" s="264"/>
      <c r="G1021" s="264"/>
      <c r="H1021" s="264"/>
      <c r="I1021" s="281"/>
      <c r="J1021" s="281"/>
      <c r="K1021" s="264"/>
      <c r="L1021" s="264"/>
      <c r="M1021" s="264"/>
      <c r="N1021" s="264"/>
      <c r="O1021" s="264"/>
      <c r="P1021" s="264"/>
      <c r="Q1021" s="264"/>
      <c r="R1021" s="264"/>
      <c r="S1021" s="264"/>
      <c r="T1021" s="264"/>
      <c r="U1021" s="16"/>
      <c r="V1021" s="264"/>
      <c r="W1021" s="264"/>
      <c r="X1021" s="264"/>
      <c r="Y1021" s="264"/>
      <c r="Z1021" s="264"/>
      <c r="AA1021" s="264"/>
      <c r="AB1021" s="264"/>
      <c r="AC1021" s="264"/>
      <c r="AD1021" s="264"/>
      <c r="AE1021" s="264"/>
      <c r="AF1021" s="264"/>
      <c r="AG1021" s="264"/>
      <c r="AH1021" s="264"/>
      <c r="AI1021" s="264"/>
      <c r="AJ1021" s="264"/>
      <c r="AK1021" s="264"/>
      <c r="AL1021" s="264"/>
      <c r="AM1021" s="264"/>
      <c r="AN1021" s="264"/>
    </row>
    <row r="1022" ht="15.75" customHeight="1">
      <c r="A1022" s="264"/>
      <c r="B1022" s="42"/>
      <c r="C1022" s="280"/>
      <c r="D1022" s="264"/>
      <c r="E1022" s="264"/>
      <c r="F1022" s="264"/>
      <c r="G1022" s="264"/>
      <c r="H1022" s="264"/>
      <c r="I1022" s="281"/>
      <c r="J1022" s="281"/>
      <c r="K1022" s="264"/>
      <c r="L1022" s="264"/>
      <c r="M1022" s="264"/>
      <c r="N1022" s="264"/>
      <c r="O1022" s="264"/>
      <c r="P1022" s="264"/>
      <c r="Q1022" s="264"/>
      <c r="R1022" s="264"/>
      <c r="S1022" s="264"/>
      <c r="T1022" s="264"/>
      <c r="U1022" s="16"/>
      <c r="V1022" s="264"/>
      <c r="W1022" s="264"/>
      <c r="X1022" s="264"/>
      <c r="Y1022" s="264"/>
      <c r="Z1022" s="264"/>
      <c r="AA1022" s="264"/>
      <c r="AB1022" s="264"/>
      <c r="AC1022" s="264"/>
      <c r="AD1022" s="264"/>
      <c r="AE1022" s="264"/>
      <c r="AF1022" s="264"/>
      <c r="AG1022" s="264"/>
      <c r="AH1022" s="264"/>
      <c r="AI1022" s="264"/>
      <c r="AJ1022" s="264"/>
      <c r="AK1022" s="264"/>
      <c r="AL1022" s="264"/>
      <c r="AM1022" s="264"/>
      <c r="AN1022" s="264"/>
    </row>
    <row r="1023" ht="15.75" customHeight="1">
      <c r="A1023" s="264"/>
      <c r="B1023" s="42"/>
      <c r="C1023" s="280"/>
      <c r="D1023" s="264"/>
      <c r="E1023" s="264"/>
      <c r="F1023" s="264"/>
      <c r="G1023" s="264"/>
      <c r="H1023" s="264"/>
      <c r="I1023" s="281"/>
      <c r="J1023" s="281"/>
      <c r="K1023" s="264"/>
      <c r="L1023" s="264"/>
      <c r="M1023" s="264"/>
      <c r="N1023" s="264"/>
      <c r="O1023" s="264"/>
      <c r="P1023" s="264"/>
      <c r="Q1023" s="264"/>
      <c r="R1023" s="264"/>
      <c r="S1023" s="264"/>
      <c r="T1023" s="264"/>
      <c r="U1023" s="16"/>
      <c r="V1023" s="264"/>
      <c r="W1023" s="264"/>
      <c r="X1023" s="264"/>
      <c r="Y1023" s="264"/>
      <c r="Z1023" s="264"/>
      <c r="AA1023" s="264"/>
      <c r="AB1023" s="264"/>
      <c r="AC1023" s="264"/>
      <c r="AD1023" s="264"/>
      <c r="AE1023" s="264"/>
      <c r="AF1023" s="264"/>
      <c r="AG1023" s="264"/>
      <c r="AH1023" s="264"/>
      <c r="AI1023" s="264"/>
      <c r="AJ1023" s="264"/>
      <c r="AK1023" s="264"/>
      <c r="AL1023" s="264"/>
      <c r="AM1023" s="264"/>
      <c r="AN1023" s="264"/>
    </row>
    <row r="1024" ht="15.75" customHeight="1">
      <c r="A1024" s="264"/>
      <c r="B1024" s="42"/>
      <c r="C1024" s="280"/>
      <c r="D1024" s="264"/>
      <c r="E1024" s="264"/>
      <c r="F1024" s="264"/>
      <c r="G1024" s="264"/>
      <c r="H1024" s="264"/>
      <c r="I1024" s="281"/>
      <c r="J1024" s="281"/>
      <c r="K1024" s="264"/>
      <c r="L1024" s="264"/>
      <c r="M1024" s="264"/>
      <c r="N1024" s="264"/>
      <c r="O1024" s="264"/>
      <c r="P1024" s="264"/>
      <c r="Q1024" s="264"/>
      <c r="R1024" s="264"/>
      <c r="S1024" s="264"/>
      <c r="T1024" s="264"/>
      <c r="U1024" s="16"/>
      <c r="V1024" s="264"/>
      <c r="W1024" s="264"/>
      <c r="X1024" s="264"/>
      <c r="Y1024" s="264"/>
      <c r="Z1024" s="264"/>
      <c r="AA1024" s="264"/>
      <c r="AB1024" s="264"/>
      <c r="AC1024" s="264"/>
      <c r="AD1024" s="264"/>
      <c r="AE1024" s="264"/>
      <c r="AF1024" s="264"/>
      <c r="AG1024" s="264"/>
      <c r="AH1024" s="264"/>
      <c r="AI1024" s="264"/>
      <c r="AJ1024" s="264"/>
      <c r="AK1024" s="264"/>
      <c r="AL1024" s="264"/>
      <c r="AM1024" s="264"/>
      <c r="AN1024" s="264"/>
    </row>
    <row r="1025" ht="15.75" customHeight="1">
      <c r="A1025" s="264"/>
      <c r="B1025" s="42"/>
      <c r="C1025" s="280"/>
      <c r="D1025" s="264"/>
      <c r="E1025" s="264"/>
      <c r="F1025" s="264"/>
      <c r="G1025" s="264"/>
      <c r="H1025" s="264"/>
      <c r="I1025" s="281"/>
      <c r="J1025" s="281"/>
      <c r="K1025" s="264"/>
      <c r="L1025" s="264"/>
      <c r="M1025" s="264"/>
      <c r="N1025" s="264"/>
      <c r="O1025" s="264"/>
      <c r="P1025" s="264"/>
      <c r="Q1025" s="264"/>
      <c r="R1025" s="264"/>
      <c r="S1025" s="264"/>
      <c r="T1025" s="264"/>
      <c r="U1025" s="16"/>
      <c r="V1025" s="264"/>
      <c r="W1025" s="264"/>
      <c r="X1025" s="264"/>
      <c r="Y1025" s="264"/>
      <c r="Z1025" s="264"/>
      <c r="AA1025" s="264"/>
      <c r="AB1025" s="264"/>
      <c r="AC1025" s="264"/>
      <c r="AD1025" s="264"/>
      <c r="AE1025" s="264"/>
      <c r="AF1025" s="264"/>
      <c r="AG1025" s="264"/>
      <c r="AH1025" s="264"/>
      <c r="AI1025" s="264"/>
      <c r="AJ1025" s="264"/>
      <c r="AK1025" s="264"/>
      <c r="AL1025" s="264"/>
      <c r="AM1025" s="264"/>
      <c r="AN1025" s="264"/>
    </row>
    <row r="1026" ht="15.75" customHeight="1">
      <c r="A1026" s="264"/>
      <c r="B1026" s="42"/>
      <c r="C1026" s="280"/>
      <c r="D1026" s="264"/>
      <c r="E1026" s="264"/>
      <c r="F1026" s="264"/>
      <c r="G1026" s="264"/>
      <c r="H1026" s="264"/>
      <c r="I1026" s="281"/>
      <c r="J1026" s="281"/>
      <c r="K1026" s="264"/>
      <c r="L1026" s="264"/>
      <c r="M1026" s="264"/>
      <c r="N1026" s="264"/>
      <c r="O1026" s="264"/>
      <c r="P1026" s="264"/>
      <c r="Q1026" s="264"/>
      <c r="R1026" s="264"/>
      <c r="S1026" s="264"/>
      <c r="T1026" s="264"/>
      <c r="U1026" s="16"/>
      <c r="V1026" s="264"/>
      <c r="W1026" s="264"/>
      <c r="X1026" s="264"/>
      <c r="Y1026" s="264"/>
      <c r="Z1026" s="264"/>
      <c r="AA1026" s="264"/>
      <c r="AB1026" s="264"/>
      <c r="AC1026" s="264"/>
      <c r="AD1026" s="264"/>
      <c r="AE1026" s="264"/>
      <c r="AF1026" s="264"/>
      <c r="AG1026" s="264"/>
      <c r="AH1026" s="264"/>
      <c r="AI1026" s="264"/>
      <c r="AJ1026" s="264"/>
      <c r="AK1026" s="264"/>
      <c r="AL1026" s="264"/>
      <c r="AM1026" s="264"/>
      <c r="AN1026" s="264"/>
    </row>
    <row r="1027" ht="15.75" customHeight="1">
      <c r="A1027" s="264"/>
      <c r="B1027" s="42"/>
      <c r="C1027" s="280"/>
      <c r="D1027" s="264"/>
      <c r="E1027" s="264"/>
      <c r="F1027" s="264"/>
      <c r="G1027" s="264"/>
      <c r="H1027" s="264"/>
      <c r="I1027" s="281"/>
      <c r="J1027" s="281"/>
      <c r="K1027" s="264"/>
      <c r="L1027" s="264"/>
      <c r="M1027" s="264"/>
      <c r="N1027" s="264"/>
      <c r="O1027" s="264"/>
      <c r="P1027" s="264"/>
      <c r="Q1027" s="264"/>
      <c r="R1027" s="264"/>
      <c r="S1027" s="264"/>
      <c r="T1027" s="264"/>
      <c r="U1027" s="16"/>
      <c r="V1027" s="264"/>
      <c r="W1027" s="264"/>
      <c r="X1027" s="264"/>
      <c r="Y1027" s="264"/>
      <c r="Z1027" s="264"/>
      <c r="AA1027" s="264"/>
      <c r="AB1027" s="264"/>
      <c r="AC1027" s="264"/>
      <c r="AD1027" s="264"/>
      <c r="AE1027" s="264"/>
      <c r="AF1027" s="264"/>
      <c r="AG1027" s="264"/>
      <c r="AH1027" s="264"/>
      <c r="AI1027" s="264"/>
      <c r="AJ1027" s="264"/>
      <c r="AK1027" s="264"/>
      <c r="AL1027" s="264"/>
      <c r="AM1027" s="264"/>
      <c r="AN1027" s="264"/>
    </row>
    <row r="1028" ht="15.75" customHeight="1">
      <c r="A1028" s="264"/>
      <c r="B1028" s="42"/>
      <c r="C1028" s="280"/>
      <c r="D1028" s="264"/>
      <c r="E1028" s="264"/>
      <c r="F1028" s="264"/>
      <c r="G1028" s="264"/>
      <c r="H1028" s="264"/>
      <c r="I1028" s="281"/>
      <c r="J1028" s="281"/>
      <c r="K1028" s="264"/>
      <c r="L1028" s="264"/>
      <c r="M1028" s="264"/>
      <c r="N1028" s="264"/>
      <c r="O1028" s="264"/>
      <c r="P1028" s="264"/>
      <c r="Q1028" s="264"/>
      <c r="R1028" s="264"/>
      <c r="S1028" s="264"/>
      <c r="T1028" s="264"/>
      <c r="U1028" s="16"/>
      <c r="V1028" s="264"/>
      <c r="W1028" s="264"/>
      <c r="X1028" s="264"/>
      <c r="Y1028" s="264"/>
      <c r="Z1028" s="264"/>
      <c r="AA1028" s="264"/>
      <c r="AB1028" s="264"/>
      <c r="AC1028" s="264"/>
      <c r="AD1028" s="264"/>
      <c r="AE1028" s="264"/>
      <c r="AF1028" s="264"/>
      <c r="AG1028" s="264"/>
      <c r="AH1028" s="264"/>
      <c r="AI1028" s="264"/>
      <c r="AJ1028" s="264"/>
      <c r="AK1028" s="264"/>
      <c r="AL1028" s="264"/>
      <c r="AM1028" s="264"/>
      <c r="AN1028" s="264"/>
    </row>
    <row r="1029" ht="15.75" customHeight="1">
      <c r="A1029" s="264"/>
      <c r="B1029" s="42"/>
      <c r="C1029" s="280"/>
      <c r="D1029" s="264"/>
      <c r="E1029" s="264"/>
      <c r="F1029" s="264"/>
      <c r="G1029" s="264"/>
      <c r="H1029" s="264"/>
      <c r="I1029" s="281"/>
      <c r="J1029" s="281"/>
      <c r="K1029" s="264"/>
      <c r="L1029" s="264"/>
      <c r="M1029" s="264"/>
      <c r="N1029" s="264"/>
      <c r="O1029" s="264"/>
      <c r="P1029" s="264"/>
      <c r="Q1029" s="264"/>
      <c r="R1029" s="264"/>
      <c r="S1029" s="264"/>
      <c r="T1029" s="264"/>
      <c r="U1029" s="16"/>
      <c r="V1029" s="264"/>
      <c r="W1029" s="264"/>
      <c r="X1029" s="264"/>
      <c r="Y1029" s="264"/>
      <c r="Z1029" s="264"/>
      <c r="AA1029" s="264"/>
      <c r="AB1029" s="264"/>
      <c r="AC1029" s="264"/>
      <c r="AD1029" s="264"/>
      <c r="AE1029" s="264"/>
      <c r="AF1029" s="264"/>
      <c r="AG1029" s="264"/>
      <c r="AH1029" s="264"/>
      <c r="AI1029" s="264"/>
      <c r="AJ1029" s="264"/>
      <c r="AK1029" s="264"/>
      <c r="AL1029" s="264"/>
      <c r="AM1029" s="264"/>
      <c r="AN1029" s="264"/>
    </row>
    <row r="1030" ht="15.75" customHeight="1">
      <c r="A1030" s="264"/>
      <c r="B1030" s="42"/>
      <c r="C1030" s="280"/>
      <c r="D1030" s="264"/>
      <c r="E1030" s="264"/>
      <c r="F1030" s="264"/>
      <c r="G1030" s="264"/>
      <c r="H1030" s="264"/>
      <c r="I1030" s="281"/>
      <c r="J1030" s="281"/>
      <c r="K1030" s="264"/>
      <c r="L1030" s="264"/>
      <c r="M1030" s="264"/>
      <c r="N1030" s="264"/>
      <c r="O1030" s="264"/>
      <c r="P1030" s="264"/>
      <c r="Q1030" s="264"/>
      <c r="R1030" s="264"/>
      <c r="S1030" s="264"/>
      <c r="T1030" s="264"/>
      <c r="U1030" s="16"/>
      <c r="V1030" s="264"/>
      <c r="W1030" s="264"/>
      <c r="X1030" s="264"/>
      <c r="Y1030" s="264"/>
      <c r="Z1030" s="264"/>
      <c r="AA1030" s="264"/>
      <c r="AB1030" s="264"/>
      <c r="AC1030" s="264"/>
      <c r="AD1030" s="264"/>
      <c r="AE1030" s="264"/>
      <c r="AF1030" s="264"/>
      <c r="AG1030" s="264"/>
      <c r="AH1030" s="264"/>
      <c r="AI1030" s="264"/>
      <c r="AJ1030" s="264"/>
      <c r="AK1030" s="264"/>
      <c r="AL1030" s="264"/>
      <c r="AM1030" s="264"/>
      <c r="AN1030" s="264"/>
    </row>
    <row r="1031" ht="15.75" customHeight="1">
      <c r="A1031" s="264"/>
      <c r="B1031" s="42"/>
      <c r="C1031" s="280"/>
      <c r="D1031" s="264"/>
      <c r="E1031" s="264"/>
      <c r="F1031" s="264"/>
      <c r="G1031" s="264"/>
      <c r="H1031" s="264"/>
      <c r="I1031" s="281"/>
      <c r="J1031" s="281"/>
      <c r="K1031" s="264"/>
      <c r="L1031" s="264"/>
      <c r="M1031" s="264"/>
      <c r="N1031" s="264"/>
      <c r="O1031" s="264"/>
      <c r="P1031" s="264"/>
      <c r="Q1031" s="264"/>
      <c r="R1031" s="264"/>
      <c r="S1031" s="264"/>
      <c r="T1031" s="264"/>
      <c r="U1031" s="16"/>
      <c r="V1031" s="264"/>
      <c r="W1031" s="264"/>
      <c r="X1031" s="264"/>
      <c r="Y1031" s="264"/>
      <c r="Z1031" s="264"/>
      <c r="AA1031" s="264"/>
      <c r="AB1031" s="264"/>
      <c r="AC1031" s="264"/>
      <c r="AD1031" s="264"/>
      <c r="AE1031" s="264"/>
      <c r="AF1031" s="264"/>
      <c r="AG1031" s="264"/>
      <c r="AH1031" s="264"/>
      <c r="AI1031" s="264"/>
      <c r="AJ1031" s="264"/>
      <c r="AK1031" s="264"/>
      <c r="AL1031" s="264"/>
      <c r="AM1031" s="264"/>
      <c r="AN1031" s="264"/>
    </row>
    <row r="1032" ht="15.75" customHeight="1">
      <c r="A1032" s="264"/>
      <c r="B1032" s="42"/>
      <c r="C1032" s="280"/>
      <c r="D1032" s="264"/>
      <c r="E1032" s="264"/>
      <c r="F1032" s="264"/>
      <c r="G1032" s="264"/>
      <c r="H1032" s="264"/>
      <c r="I1032" s="281"/>
      <c r="J1032" s="281"/>
      <c r="K1032" s="264"/>
      <c r="L1032" s="264"/>
      <c r="M1032" s="264"/>
      <c r="N1032" s="264"/>
      <c r="O1032" s="264"/>
      <c r="P1032" s="264"/>
      <c r="Q1032" s="264"/>
      <c r="R1032" s="264"/>
      <c r="S1032" s="264"/>
      <c r="T1032" s="264"/>
      <c r="U1032" s="16"/>
      <c r="V1032" s="264"/>
      <c r="W1032" s="264"/>
      <c r="X1032" s="264"/>
      <c r="Y1032" s="264"/>
      <c r="Z1032" s="264"/>
      <c r="AA1032" s="264"/>
      <c r="AB1032" s="264"/>
      <c r="AC1032" s="264"/>
      <c r="AD1032" s="264"/>
      <c r="AE1032" s="264"/>
      <c r="AF1032" s="264"/>
      <c r="AG1032" s="264"/>
      <c r="AH1032" s="264"/>
      <c r="AI1032" s="264"/>
      <c r="AJ1032" s="264"/>
      <c r="AK1032" s="264"/>
      <c r="AL1032" s="264"/>
      <c r="AM1032" s="264"/>
      <c r="AN1032" s="264"/>
    </row>
    <row r="1033" ht="15.75" customHeight="1">
      <c r="A1033" s="264"/>
      <c r="B1033" s="42"/>
      <c r="C1033" s="280"/>
      <c r="D1033" s="264"/>
      <c r="E1033" s="264"/>
      <c r="F1033" s="264"/>
      <c r="G1033" s="264"/>
      <c r="H1033" s="264"/>
      <c r="I1033" s="281"/>
      <c r="J1033" s="281"/>
      <c r="K1033" s="264"/>
      <c r="L1033" s="264"/>
      <c r="M1033" s="264"/>
      <c r="N1033" s="264"/>
      <c r="O1033" s="264"/>
      <c r="P1033" s="264"/>
      <c r="Q1033" s="264"/>
      <c r="R1033" s="264"/>
      <c r="S1033" s="264"/>
      <c r="T1033" s="264"/>
      <c r="U1033" s="16"/>
      <c r="V1033" s="264"/>
      <c r="W1033" s="264"/>
      <c r="X1033" s="264"/>
      <c r="Y1033" s="264"/>
      <c r="Z1033" s="264"/>
      <c r="AA1033" s="264"/>
      <c r="AB1033" s="264"/>
      <c r="AC1033" s="264"/>
      <c r="AD1033" s="264"/>
      <c r="AE1033" s="264"/>
      <c r="AF1033" s="264"/>
      <c r="AG1033" s="264"/>
      <c r="AH1033" s="264"/>
      <c r="AI1033" s="264"/>
      <c r="AJ1033" s="264"/>
      <c r="AK1033" s="264"/>
      <c r="AL1033" s="264"/>
      <c r="AM1033" s="264"/>
      <c r="AN1033" s="264"/>
    </row>
    <row r="1034" ht="15.75" customHeight="1">
      <c r="A1034" s="264"/>
      <c r="B1034" s="42"/>
      <c r="C1034" s="280"/>
      <c r="D1034" s="264"/>
      <c r="E1034" s="264"/>
      <c r="F1034" s="264"/>
      <c r="G1034" s="264"/>
      <c r="H1034" s="264"/>
      <c r="I1034" s="281"/>
      <c r="J1034" s="281"/>
      <c r="K1034" s="264"/>
      <c r="L1034" s="264"/>
      <c r="M1034" s="264"/>
      <c r="N1034" s="264"/>
      <c r="O1034" s="264"/>
      <c r="P1034" s="264"/>
      <c r="Q1034" s="264"/>
      <c r="R1034" s="264"/>
      <c r="S1034" s="264"/>
      <c r="T1034" s="264"/>
      <c r="U1034" s="16"/>
      <c r="V1034" s="264"/>
      <c r="W1034" s="264"/>
      <c r="X1034" s="264"/>
      <c r="Y1034" s="264"/>
      <c r="Z1034" s="264"/>
      <c r="AA1034" s="264"/>
      <c r="AB1034" s="264"/>
      <c r="AC1034" s="264"/>
      <c r="AD1034" s="264"/>
      <c r="AE1034" s="264"/>
      <c r="AF1034" s="264"/>
      <c r="AG1034" s="264"/>
      <c r="AH1034" s="264"/>
      <c r="AI1034" s="264"/>
      <c r="AJ1034" s="264"/>
      <c r="AK1034" s="264"/>
      <c r="AL1034" s="264"/>
      <c r="AM1034" s="264"/>
      <c r="AN1034" s="264"/>
    </row>
    <row r="1035" ht="15.75" customHeight="1">
      <c r="A1035" s="264"/>
      <c r="B1035" s="42"/>
      <c r="C1035" s="280"/>
      <c r="D1035" s="264"/>
      <c r="E1035" s="264"/>
      <c r="F1035" s="264"/>
      <c r="G1035" s="264"/>
      <c r="H1035" s="264"/>
      <c r="I1035" s="281"/>
      <c r="J1035" s="281"/>
      <c r="K1035" s="264"/>
      <c r="L1035" s="264"/>
      <c r="M1035" s="264"/>
      <c r="N1035" s="264"/>
      <c r="O1035" s="264"/>
      <c r="P1035" s="264"/>
      <c r="Q1035" s="264"/>
      <c r="R1035" s="264"/>
      <c r="S1035" s="264"/>
      <c r="T1035" s="264"/>
      <c r="U1035" s="16"/>
      <c r="V1035" s="264"/>
      <c r="W1035" s="264"/>
      <c r="X1035" s="264"/>
      <c r="Y1035" s="264"/>
      <c r="Z1035" s="264"/>
      <c r="AA1035" s="264"/>
      <c r="AB1035" s="264"/>
      <c r="AC1035" s="264"/>
      <c r="AD1035" s="264"/>
      <c r="AE1035" s="264"/>
      <c r="AF1035" s="264"/>
      <c r="AG1035" s="264"/>
      <c r="AH1035" s="264"/>
      <c r="AI1035" s="264"/>
      <c r="AJ1035" s="264"/>
      <c r="AK1035" s="264"/>
      <c r="AL1035" s="264"/>
      <c r="AM1035" s="264"/>
      <c r="AN1035" s="264"/>
    </row>
    <row r="1036" ht="15.75" customHeight="1">
      <c r="A1036" s="264"/>
      <c r="B1036" s="42"/>
      <c r="C1036" s="280"/>
      <c r="D1036" s="264"/>
      <c r="E1036" s="264"/>
      <c r="F1036" s="264"/>
      <c r="G1036" s="264"/>
      <c r="H1036" s="264"/>
      <c r="I1036" s="281"/>
      <c r="J1036" s="281"/>
      <c r="K1036" s="264"/>
      <c r="L1036" s="264"/>
      <c r="M1036" s="264"/>
      <c r="N1036" s="264"/>
      <c r="O1036" s="264"/>
      <c r="P1036" s="264"/>
      <c r="Q1036" s="264"/>
      <c r="R1036" s="264"/>
      <c r="S1036" s="264"/>
      <c r="T1036" s="264"/>
      <c r="U1036" s="16"/>
      <c r="V1036" s="264"/>
      <c r="W1036" s="264"/>
      <c r="X1036" s="264"/>
      <c r="Y1036" s="264"/>
      <c r="Z1036" s="264"/>
      <c r="AA1036" s="264"/>
      <c r="AB1036" s="264"/>
      <c r="AC1036" s="264"/>
      <c r="AD1036" s="264"/>
      <c r="AE1036" s="264"/>
      <c r="AF1036" s="264"/>
      <c r="AG1036" s="264"/>
      <c r="AH1036" s="264"/>
      <c r="AI1036" s="264"/>
      <c r="AJ1036" s="264"/>
      <c r="AK1036" s="264"/>
      <c r="AL1036" s="264"/>
      <c r="AM1036" s="264"/>
      <c r="AN1036" s="264"/>
    </row>
    <row r="1037" ht="15.75" customHeight="1">
      <c r="A1037" s="264"/>
      <c r="B1037" s="42"/>
      <c r="C1037" s="280"/>
      <c r="D1037" s="264"/>
      <c r="E1037" s="264"/>
      <c r="F1037" s="264"/>
      <c r="G1037" s="264"/>
      <c r="H1037" s="264"/>
      <c r="I1037" s="281"/>
      <c r="J1037" s="281"/>
      <c r="K1037" s="264"/>
      <c r="L1037" s="264"/>
      <c r="M1037" s="264"/>
      <c r="N1037" s="264"/>
      <c r="O1037" s="264"/>
      <c r="P1037" s="264"/>
      <c r="Q1037" s="264"/>
      <c r="R1037" s="264"/>
      <c r="S1037" s="264"/>
      <c r="T1037" s="264"/>
      <c r="U1037" s="16"/>
      <c r="V1037" s="264"/>
      <c r="W1037" s="264"/>
      <c r="X1037" s="264"/>
      <c r="Y1037" s="264"/>
      <c r="Z1037" s="264"/>
      <c r="AA1037" s="264"/>
      <c r="AB1037" s="264"/>
      <c r="AC1037" s="264"/>
      <c r="AD1037" s="264"/>
      <c r="AE1037" s="264"/>
      <c r="AF1037" s="264"/>
      <c r="AG1037" s="264"/>
      <c r="AH1037" s="264"/>
      <c r="AI1037" s="264"/>
      <c r="AJ1037" s="264"/>
      <c r="AK1037" s="264"/>
      <c r="AL1037" s="264"/>
      <c r="AM1037" s="264"/>
      <c r="AN1037" s="264"/>
    </row>
    <row r="1038" ht="15.75" customHeight="1">
      <c r="A1038" s="264"/>
      <c r="B1038" s="42"/>
      <c r="C1038" s="280"/>
      <c r="D1038" s="264"/>
      <c r="E1038" s="264"/>
      <c r="F1038" s="264"/>
      <c r="G1038" s="264"/>
      <c r="H1038" s="264"/>
      <c r="I1038" s="281"/>
      <c r="J1038" s="281"/>
      <c r="K1038" s="264"/>
      <c r="L1038" s="264"/>
      <c r="M1038" s="264"/>
      <c r="N1038" s="264"/>
      <c r="O1038" s="264"/>
      <c r="P1038" s="264"/>
      <c r="Q1038" s="264"/>
      <c r="R1038" s="264"/>
      <c r="S1038" s="264"/>
      <c r="T1038" s="264"/>
      <c r="U1038" s="16"/>
      <c r="V1038" s="264"/>
      <c r="W1038" s="264"/>
      <c r="X1038" s="264"/>
      <c r="Y1038" s="264"/>
      <c r="Z1038" s="264"/>
      <c r="AA1038" s="264"/>
      <c r="AB1038" s="264"/>
      <c r="AC1038" s="264"/>
      <c r="AD1038" s="264"/>
      <c r="AE1038" s="264"/>
      <c r="AF1038" s="264"/>
      <c r="AG1038" s="264"/>
      <c r="AH1038" s="264"/>
      <c r="AI1038" s="264"/>
      <c r="AJ1038" s="264"/>
      <c r="AK1038" s="264"/>
      <c r="AL1038" s="264"/>
      <c r="AM1038" s="264"/>
      <c r="AN1038" s="264"/>
    </row>
    <row r="1039" ht="15.75" customHeight="1">
      <c r="A1039" s="264"/>
      <c r="B1039" s="42"/>
      <c r="C1039" s="280"/>
      <c r="D1039" s="264"/>
      <c r="E1039" s="264"/>
      <c r="F1039" s="264"/>
      <c r="G1039" s="264"/>
      <c r="H1039" s="264"/>
      <c r="I1039" s="281"/>
      <c r="J1039" s="281"/>
      <c r="K1039" s="264"/>
      <c r="L1039" s="264"/>
      <c r="M1039" s="264"/>
      <c r="N1039" s="264"/>
      <c r="O1039" s="264"/>
      <c r="P1039" s="264"/>
      <c r="Q1039" s="264"/>
      <c r="R1039" s="264"/>
      <c r="S1039" s="264"/>
      <c r="T1039" s="264"/>
      <c r="U1039" s="16"/>
      <c r="V1039" s="264"/>
      <c r="W1039" s="264"/>
      <c r="X1039" s="264"/>
      <c r="Y1039" s="264"/>
      <c r="Z1039" s="264"/>
      <c r="AA1039" s="264"/>
      <c r="AB1039" s="264"/>
      <c r="AC1039" s="264"/>
      <c r="AD1039" s="264"/>
      <c r="AE1039" s="264"/>
      <c r="AF1039" s="264"/>
      <c r="AG1039" s="264"/>
      <c r="AH1039" s="264"/>
      <c r="AI1039" s="264"/>
      <c r="AJ1039" s="264"/>
      <c r="AK1039" s="264"/>
      <c r="AL1039" s="264"/>
      <c r="AM1039" s="264"/>
      <c r="AN1039" s="264"/>
    </row>
    <row r="1040" ht="15.75" customHeight="1">
      <c r="A1040" s="264"/>
      <c r="B1040" s="42"/>
      <c r="C1040" s="280"/>
      <c r="D1040" s="264"/>
      <c r="E1040" s="264"/>
      <c r="F1040" s="264"/>
      <c r="G1040" s="264"/>
      <c r="H1040" s="264"/>
      <c r="I1040" s="281"/>
      <c r="J1040" s="281"/>
      <c r="K1040" s="264"/>
      <c r="L1040" s="264"/>
      <c r="M1040" s="264"/>
      <c r="N1040" s="264"/>
      <c r="O1040" s="264"/>
      <c r="P1040" s="264"/>
      <c r="Q1040" s="264"/>
      <c r="R1040" s="264"/>
      <c r="S1040" s="264"/>
      <c r="T1040" s="264"/>
      <c r="U1040" s="16"/>
      <c r="V1040" s="264"/>
      <c r="W1040" s="264"/>
      <c r="X1040" s="264"/>
      <c r="Y1040" s="264"/>
      <c r="Z1040" s="264"/>
      <c r="AA1040" s="264"/>
      <c r="AB1040" s="264"/>
      <c r="AC1040" s="264"/>
      <c r="AD1040" s="264"/>
      <c r="AE1040" s="264"/>
      <c r="AF1040" s="264"/>
      <c r="AG1040" s="264"/>
      <c r="AH1040" s="264"/>
      <c r="AI1040" s="264"/>
      <c r="AJ1040" s="264"/>
      <c r="AK1040" s="264"/>
      <c r="AL1040" s="264"/>
      <c r="AM1040" s="264"/>
      <c r="AN1040" s="264"/>
    </row>
    <row r="1041" ht="15.75" customHeight="1">
      <c r="A1041" s="264"/>
      <c r="B1041" s="42"/>
      <c r="C1041" s="280"/>
      <c r="D1041" s="264"/>
      <c r="E1041" s="264"/>
      <c r="F1041" s="264"/>
      <c r="G1041" s="264"/>
      <c r="H1041" s="264"/>
      <c r="I1041" s="281"/>
      <c r="J1041" s="281"/>
      <c r="K1041" s="264"/>
      <c r="L1041" s="264"/>
      <c r="M1041" s="264"/>
      <c r="N1041" s="264"/>
      <c r="O1041" s="264"/>
      <c r="P1041" s="264"/>
      <c r="Q1041" s="264"/>
      <c r="R1041" s="264"/>
      <c r="S1041" s="264"/>
      <c r="T1041" s="264"/>
      <c r="U1041" s="16"/>
      <c r="V1041" s="264"/>
      <c r="W1041" s="264"/>
      <c r="X1041" s="264"/>
      <c r="Y1041" s="264"/>
      <c r="Z1041" s="264"/>
      <c r="AA1041" s="264"/>
      <c r="AB1041" s="264"/>
      <c r="AC1041" s="264"/>
      <c r="AD1041" s="264"/>
      <c r="AE1041" s="264"/>
      <c r="AF1041" s="264"/>
      <c r="AG1041" s="264"/>
      <c r="AH1041" s="264"/>
      <c r="AI1041" s="264"/>
      <c r="AJ1041" s="264"/>
      <c r="AK1041" s="264"/>
      <c r="AL1041" s="264"/>
      <c r="AM1041" s="264"/>
      <c r="AN1041" s="264"/>
    </row>
    <row r="1042" ht="15.75" customHeight="1">
      <c r="A1042" s="264"/>
      <c r="B1042" s="42"/>
      <c r="C1042" s="280"/>
      <c r="D1042" s="264"/>
      <c r="E1042" s="264"/>
      <c r="F1042" s="264"/>
      <c r="G1042" s="264"/>
      <c r="H1042" s="264"/>
      <c r="I1042" s="281"/>
      <c r="J1042" s="281"/>
      <c r="K1042" s="264"/>
      <c r="L1042" s="264"/>
      <c r="M1042" s="264"/>
      <c r="N1042" s="264"/>
      <c r="O1042" s="264"/>
      <c r="P1042" s="264"/>
      <c r="Q1042" s="264"/>
      <c r="R1042" s="264"/>
      <c r="S1042" s="264"/>
      <c r="T1042" s="264"/>
      <c r="U1042" s="16"/>
      <c r="V1042" s="264"/>
      <c r="W1042" s="264"/>
      <c r="X1042" s="264"/>
      <c r="Y1042" s="264"/>
      <c r="Z1042" s="264"/>
      <c r="AA1042" s="264"/>
      <c r="AB1042" s="264"/>
      <c r="AC1042" s="264"/>
      <c r="AD1042" s="264"/>
      <c r="AE1042" s="264"/>
      <c r="AF1042" s="264"/>
      <c r="AG1042" s="264"/>
      <c r="AH1042" s="264"/>
      <c r="AI1042" s="264"/>
      <c r="AJ1042" s="264"/>
      <c r="AK1042" s="264"/>
      <c r="AL1042" s="264"/>
      <c r="AM1042" s="264"/>
      <c r="AN1042" s="264"/>
    </row>
    <row r="1043" ht="15.75" customHeight="1">
      <c r="A1043" s="264"/>
      <c r="B1043" s="42"/>
      <c r="C1043" s="280"/>
      <c r="D1043" s="264"/>
      <c r="E1043" s="264"/>
      <c r="F1043" s="264"/>
      <c r="G1043" s="264"/>
      <c r="H1043" s="264"/>
      <c r="I1043" s="281"/>
      <c r="J1043" s="281"/>
      <c r="K1043" s="264"/>
      <c r="L1043" s="264"/>
      <c r="M1043" s="264"/>
      <c r="N1043" s="264"/>
      <c r="O1043" s="264"/>
      <c r="P1043" s="264"/>
      <c r="Q1043" s="264"/>
      <c r="R1043" s="264"/>
      <c r="S1043" s="264"/>
      <c r="T1043" s="264"/>
      <c r="U1043" s="16"/>
      <c r="V1043" s="264"/>
      <c r="W1043" s="264"/>
      <c r="X1043" s="264"/>
      <c r="Y1043" s="264"/>
      <c r="Z1043" s="264"/>
      <c r="AA1043" s="264"/>
      <c r="AB1043" s="264"/>
      <c r="AC1043" s="264"/>
      <c r="AD1043" s="264"/>
      <c r="AE1043" s="264"/>
      <c r="AF1043" s="264"/>
      <c r="AG1043" s="264"/>
      <c r="AH1043" s="264"/>
      <c r="AI1043" s="264"/>
      <c r="AJ1043" s="264"/>
      <c r="AK1043" s="264"/>
      <c r="AL1043" s="264"/>
      <c r="AM1043" s="264"/>
      <c r="AN1043" s="264"/>
    </row>
    <row r="1044" ht="15.75" customHeight="1">
      <c r="A1044" s="264"/>
      <c r="B1044" s="42"/>
      <c r="C1044" s="280"/>
      <c r="D1044" s="264"/>
      <c r="E1044" s="264"/>
      <c r="F1044" s="264"/>
      <c r="G1044" s="264"/>
      <c r="H1044" s="264"/>
      <c r="I1044" s="281"/>
      <c r="J1044" s="281"/>
      <c r="K1044" s="264"/>
      <c r="L1044" s="264"/>
      <c r="M1044" s="264"/>
      <c r="N1044" s="264"/>
      <c r="O1044" s="264"/>
      <c r="P1044" s="264"/>
      <c r="Q1044" s="264"/>
      <c r="R1044" s="264"/>
      <c r="S1044" s="264"/>
      <c r="T1044" s="264"/>
      <c r="U1044" s="16"/>
      <c r="V1044" s="264"/>
      <c r="W1044" s="264"/>
      <c r="X1044" s="264"/>
      <c r="Y1044" s="264"/>
      <c r="Z1044" s="264"/>
      <c r="AA1044" s="264"/>
      <c r="AB1044" s="264"/>
      <c r="AC1044" s="264"/>
      <c r="AD1044" s="264"/>
      <c r="AE1044" s="264"/>
      <c r="AF1044" s="264"/>
      <c r="AG1044" s="264"/>
      <c r="AH1044" s="264"/>
      <c r="AI1044" s="264"/>
      <c r="AJ1044" s="264"/>
      <c r="AK1044" s="264"/>
      <c r="AL1044" s="264"/>
      <c r="AM1044" s="264"/>
      <c r="AN1044" s="264"/>
    </row>
    <row r="1045" ht="15.75" customHeight="1">
      <c r="A1045" s="264"/>
      <c r="B1045" s="42"/>
      <c r="C1045" s="280"/>
      <c r="D1045" s="264"/>
      <c r="E1045" s="264"/>
      <c r="F1045" s="264"/>
      <c r="G1045" s="264"/>
      <c r="H1045" s="264"/>
      <c r="I1045" s="281"/>
      <c r="J1045" s="281"/>
      <c r="K1045" s="264"/>
      <c r="L1045" s="264"/>
      <c r="M1045" s="264"/>
      <c r="N1045" s="264"/>
      <c r="O1045" s="264"/>
      <c r="P1045" s="264"/>
      <c r="Q1045" s="264"/>
      <c r="R1045" s="264"/>
      <c r="S1045" s="264"/>
      <c r="T1045" s="264"/>
      <c r="U1045" s="16"/>
      <c r="V1045" s="264"/>
      <c r="W1045" s="264"/>
      <c r="X1045" s="264"/>
      <c r="Y1045" s="264"/>
      <c r="Z1045" s="264"/>
      <c r="AA1045" s="264"/>
      <c r="AB1045" s="264"/>
      <c r="AC1045" s="264"/>
      <c r="AD1045" s="264"/>
      <c r="AE1045" s="264"/>
      <c r="AF1045" s="264"/>
      <c r="AG1045" s="264"/>
      <c r="AH1045" s="264"/>
      <c r="AI1045" s="264"/>
      <c r="AJ1045" s="264"/>
      <c r="AK1045" s="264"/>
      <c r="AL1045" s="264"/>
      <c r="AM1045" s="264"/>
      <c r="AN1045" s="264"/>
    </row>
    <row r="1046" ht="15.75" customHeight="1">
      <c r="A1046" s="264"/>
      <c r="B1046" s="42"/>
      <c r="C1046" s="280"/>
      <c r="D1046" s="264"/>
      <c r="E1046" s="264"/>
      <c r="F1046" s="264"/>
      <c r="G1046" s="264"/>
      <c r="H1046" s="264"/>
      <c r="I1046" s="281"/>
      <c r="J1046" s="281"/>
      <c r="K1046" s="264"/>
      <c r="L1046" s="264"/>
      <c r="M1046" s="264"/>
      <c r="N1046" s="264"/>
      <c r="O1046" s="264"/>
      <c r="P1046" s="264"/>
      <c r="Q1046" s="264"/>
      <c r="R1046" s="264"/>
      <c r="S1046" s="264"/>
      <c r="T1046" s="264"/>
      <c r="U1046" s="16"/>
      <c r="V1046" s="264"/>
      <c r="W1046" s="264"/>
      <c r="X1046" s="264"/>
      <c r="Y1046" s="264"/>
      <c r="Z1046" s="264"/>
      <c r="AA1046" s="264"/>
      <c r="AB1046" s="264"/>
      <c r="AC1046" s="264"/>
      <c r="AD1046" s="264"/>
      <c r="AE1046" s="264"/>
      <c r="AF1046" s="264"/>
      <c r="AG1046" s="264"/>
      <c r="AH1046" s="264"/>
      <c r="AI1046" s="264"/>
      <c r="AJ1046" s="264"/>
      <c r="AK1046" s="264"/>
      <c r="AL1046" s="264"/>
      <c r="AM1046" s="264"/>
      <c r="AN1046" s="264"/>
    </row>
    <row r="1047" ht="15.75" customHeight="1">
      <c r="A1047" s="264"/>
      <c r="B1047" s="42"/>
      <c r="C1047" s="280"/>
      <c r="D1047" s="264"/>
      <c r="E1047" s="264"/>
      <c r="F1047" s="264"/>
      <c r="G1047" s="264"/>
      <c r="H1047" s="264"/>
      <c r="I1047" s="281"/>
      <c r="J1047" s="281"/>
      <c r="K1047" s="264"/>
      <c r="L1047" s="264"/>
      <c r="M1047" s="264"/>
      <c r="N1047" s="264"/>
      <c r="O1047" s="264"/>
      <c r="P1047" s="264"/>
      <c r="Q1047" s="264"/>
      <c r="R1047" s="264"/>
      <c r="S1047" s="264"/>
      <c r="T1047" s="264"/>
      <c r="U1047" s="16"/>
      <c r="V1047" s="264"/>
      <c r="W1047" s="264"/>
      <c r="X1047" s="264"/>
      <c r="Y1047" s="264"/>
      <c r="Z1047" s="264"/>
      <c r="AA1047" s="264"/>
      <c r="AB1047" s="264"/>
      <c r="AC1047" s="264"/>
      <c r="AD1047" s="264"/>
      <c r="AE1047" s="264"/>
      <c r="AF1047" s="264"/>
      <c r="AG1047" s="264"/>
      <c r="AH1047" s="264"/>
      <c r="AI1047" s="264"/>
      <c r="AJ1047" s="264"/>
      <c r="AK1047" s="264"/>
      <c r="AL1047" s="264"/>
      <c r="AM1047" s="264"/>
      <c r="AN1047" s="264"/>
    </row>
    <row r="1048" ht="15.75" customHeight="1">
      <c r="A1048" s="264"/>
      <c r="B1048" s="42"/>
      <c r="C1048" s="280"/>
      <c r="D1048" s="264"/>
      <c r="E1048" s="264"/>
      <c r="F1048" s="264"/>
      <c r="G1048" s="264"/>
      <c r="H1048" s="264"/>
      <c r="I1048" s="281"/>
      <c r="J1048" s="281"/>
      <c r="K1048" s="264"/>
      <c r="L1048" s="264"/>
      <c r="M1048" s="264"/>
      <c r="N1048" s="264"/>
      <c r="O1048" s="264"/>
      <c r="P1048" s="264"/>
      <c r="Q1048" s="264"/>
      <c r="R1048" s="264"/>
      <c r="S1048" s="264"/>
      <c r="T1048" s="264"/>
      <c r="U1048" s="16"/>
      <c r="V1048" s="264"/>
      <c r="W1048" s="264"/>
      <c r="X1048" s="264"/>
      <c r="Y1048" s="264"/>
      <c r="Z1048" s="264"/>
      <c r="AA1048" s="264"/>
      <c r="AB1048" s="264"/>
      <c r="AC1048" s="264"/>
      <c r="AD1048" s="264"/>
      <c r="AE1048" s="264"/>
      <c r="AF1048" s="264"/>
      <c r="AG1048" s="264"/>
      <c r="AH1048" s="264"/>
      <c r="AI1048" s="264"/>
      <c r="AJ1048" s="264"/>
      <c r="AK1048" s="264"/>
      <c r="AL1048" s="264"/>
      <c r="AM1048" s="264"/>
      <c r="AN1048" s="264"/>
    </row>
    <row r="1049" ht="15.75" customHeight="1">
      <c r="A1049" s="264"/>
      <c r="B1049" s="42"/>
      <c r="C1049" s="280"/>
      <c r="D1049" s="264"/>
      <c r="E1049" s="264"/>
      <c r="F1049" s="264"/>
      <c r="G1049" s="264"/>
      <c r="H1049" s="264"/>
      <c r="I1049" s="281"/>
      <c r="J1049" s="281"/>
      <c r="K1049" s="264"/>
      <c r="L1049" s="264"/>
      <c r="M1049" s="264"/>
      <c r="N1049" s="264"/>
      <c r="O1049" s="264"/>
      <c r="P1049" s="264"/>
      <c r="Q1049" s="264"/>
      <c r="R1049" s="264"/>
      <c r="S1049" s="264"/>
      <c r="T1049" s="264"/>
      <c r="U1049" s="16"/>
      <c r="V1049" s="264"/>
      <c r="W1049" s="264"/>
      <c r="X1049" s="264"/>
      <c r="Y1049" s="264"/>
      <c r="Z1049" s="264"/>
      <c r="AA1049" s="264"/>
      <c r="AB1049" s="264"/>
      <c r="AC1049" s="264"/>
      <c r="AD1049" s="264"/>
      <c r="AE1049" s="264"/>
      <c r="AF1049" s="264"/>
      <c r="AG1049" s="264"/>
      <c r="AH1049" s="264"/>
      <c r="AI1049" s="264"/>
      <c r="AJ1049" s="264"/>
      <c r="AK1049" s="264"/>
      <c r="AL1049" s="264"/>
      <c r="AM1049" s="264"/>
      <c r="AN1049" s="264"/>
    </row>
    <row r="1050" ht="15.75" customHeight="1">
      <c r="A1050" s="264"/>
      <c r="B1050" s="42"/>
      <c r="C1050" s="280"/>
      <c r="D1050" s="264"/>
      <c r="E1050" s="264"/>
      <c r="F1050" s="264"/>
      <c r="G1050" s="264"/>
      <c r="H1050" s="264"/>
      <c r="I1050" s="281"/>
      <c r="J1050" s="281"/>
      <c r="K1050" s="264"/>
      <c r="L1050" s="264"/>
      <c r="M1050" s="264"/>
      <c r="N1050" s="264"/>
      <c r="O1050" s="264"/>
      <c r="P1050" s="264"/>
      <c r="Q1050" s="264"/>
      <c r="R1050" s="264"/>
      <c r="S1050" s="264"/>
      <c r="T1050" s="264"/>
      <c r="U1050" s="16"/>
      <c r="V1050" s="264"/>
      <c r="W1050" s="264"/>
      <c r="X1050" s="264"/>
      <c r="Y1050" s="264"/>
      <c r="Z1050" s="264"/>
      <c r="AA1050" s="264"/>
      <c r="AB1050" s="264"/>
      <c r="AC1050" s="264"/>
      <c r="AD1050" s="264"/>
      <c r="AE1050" s="264"/>
      <c r="AF1050" s="264"/>
      <c r="AG1050" s="264"/>
      <c r="AH1050" s="264"/>
      <c r="AI1050" s="264"/>
      <c r="AJ1050" s="264"/>
      <c r="AK1050" s="264"/>
      <c r="AL1050" s="264"/>
      <c r="AM1050" s="264"/>
      <c r="AN1050" s="264"/>
    </row>
    <row r="1051" ht="15.75" customHeight="1">
      <c r="A1051" s="264"/>
      <c r="B1051" s="42"/>
      <c r="C1051" s="280"/>
      <c r="D1051" s="264"/>
      <c r="E1051" s="264"/>
      <c r="F1051" s="264"/>
      <c r="G1051" s="264"/>
      <c r="H1051" s="264"/>
      <c r="I1051" s="281"/>
      <c r="J1051" s="281"/>
      <c r="K1051" s="264"/>
      <c r="L1051" s="264"/>
      <c r="M1051" s="264"/>
      <c r="N1051" s="264"/>
      <c r="O1051" s="264"/>
      <c r="P1051" s="264"/>
      <c r="Q1051" s="264"/>
      <c r="R1051" s="264"/>
      <c r="S1051" s="264"/>
      <c r="T1051" s="264"/>
      <c r="U1051" s="16"/>
      <c r="V1051" s="264"/>
      <c r="W1051" s="264"/>
      <c r="X1051" s="264"/>
      <c r="Y1051" s="264"/>
      <c r="Z1051" s="264"/>
      <c r="AA1051" s="264"/>
      <c r="AB1051" s="264"/>
      <c r="AC1051" s="264"/>
      <c r="AD1051" s="264"/>
      <c r="AE1051" s="264"/>
      <c r="AF1051" s="264"/>
      <c r="AG1051" s="264"/>
      <c r="AH1051" s="264"/>
      <c r="AI1051" s="264"/>
      <c r="AJ1051" s="264"/>
      <c r="AK1051" s="264"/>
      <c r="AL1051" s="264"/>
      <c r="AM1051" s="264"/>
      <c r="AN1051" s="264"/>
    </row>
    <row r="1052" ht="15.75" customHeight="1">
      <c r="A1052" s="264"/>
      <c r="B1052" s="42"/>
      <c r="C1052" s="280"/>
      <c r="D1052" s="264"/>
      <c r="E1052" s="264"/>
      <c r="F1052" s="264"/>
      <c r="G1052" s="264"/>
      <c r="H1052" s="264"/>
      <c r="I1052" s="281"/>
      <c r="J1052" s="281"/>
      <c r="K1052" s="264"/>
      <c r="L1052" s="264"/>
      <c r="M1052" s="264"/>
      <c r="N1052" s="264"/>
      <c r="O1052" s="264"/>
      <c r="P1052" s="264"/>
      <c r="Q1052" s="264"/>
      <c r="R1052" s="264"/>
      <c r="S1052" s="264"/>
      <c r="T1052" s="264"/>
      <c r="U1052" s="16"/>
      <c r="V1052" s="264"/>
      <c r="W1052" s="264"/>
      <c r="X1052" s="264"/>
      <c r="Y1052" s="264"/>
      <c r="Z1052" s="264"/>
      <c r="AA1052" s="264"/>
      <c r="AB1052" s="264"/>
      <c r="AC1052" s="264"/>
      <c r="AD1052" s="264"/>
      <c r="AE1052" s="264"/>
      <c r="AF1052" s="264"/>
      <c r="AG1052" s="264"/>
      <c r="AH1052" s="264"/>
      <c r="AI1052" s="264"/>
      <c r="AJ1052" s="264"/>
      <c r="AK1052" s="264"/>
      <c r="AL1052" s="264"/>
      <c r="AM1052" s="264"/>
      <c r="AN1052" s="264"/>
    </row>
    <row r="1053" ht="15.75" customHeight="1">
      <c r="A1053" s="264"/>
      <c r="B1053" s="42"/>
      <c r="C1053" s="280"/>
      <c r="D1053" s="264"/>
      <c r="E1053" s="264"/>
      <c r="F1053" s="264"/>
      <c r="G1053" s="264"/>
      <c r="H1053" s="264"/>
      <c r="I1053" s="281"/>
      <c r="J1053" s="281"/>
      <c r="K1053" s="264"/>
      <c r="L1053" s="264"/>
      <c r="M1053" s="264"/>
      <c r="N1053" s="264"/>
      <c r="O1053" s="264"/>
      <c r="P1053" s="264"/>
      <c r="Q1053" s="264"/>
      <c r="R1053" s="264"/>
      <c r="S1053" s="264"/>
      <c r="T1053" s="264"/>
      <c r="U1053" s="16"/>
      <c r="V1053" s="264"/>
      <c r="W1053" s="264"/>
      <c r="X1053" s="264"/>
      <c r="Y1053" s="264"/>
      <c r="Z1053" s="264"/>
      <c r="AA1053" s="264"/>
      <c r="AB1053" s="264"/>
      <c r="AC1053" s="264"/>
      <c r="AD1053" s="264"/>
      <c r="AE1053" s="264"/>
      <c r="AF1053" s="264"/>
      <c r="AG1053" s="264"/>
      <c r="AH1053" s="264"/>
      <c r="AI1053" s="264"/>
      <c r="AJ1053" s="264"/>
      <c r="AK1053" s="264"/>
      <c r="AL1053" s="264"/>
      <c r="AM1053" s="264"/>
      <c r="AN1053" s="264"/>
    </row>
    <row r="1054" ht="15.75" customHeight="1">
      <c r="A1054" s="264"/>
      <c r="B1054" s="42"/>
      <c r="C1054" s="280"/>
      <c r="D1054" s="264"/>
      <c r="E1054" s="264"/>
      <c r="F1054" s="264"/>
      <c r="G1054" s="264"/>
      <c r="H1054" s="264"/>
      <c r="I1054" s="281"/>
      <c r="J1054" s="281"/>
      <c r="K1054" s="264"/>
      <c r="L1054" s="264"/>
      <c r="M1054" s="264"/>
      <c r="N1054" s="264"/>
      <c r="O1054" s="264"/>
      <c r="P1054" s="264"/>
      <c r="Q1054" s="264"/>
      <c r="R1054" s="264"/>
      <c r="S1054" s="264"/>
      <c r="T1054" s="264"/>
      <c r="U1054" s="16"/>
      <c r="V1054" s="264"/>
      <c r="W1054" s="264"/>
      <c r="X1054" s="264"/>
      <c r="Y1054" s="264"/>
      <c r="Z1054" s="264"/>
      <c r="AA1054" s="264"/>
      <c r="AB1054" s="264"/>
      <c r="AC1054" s="264"/>
      <c r="AD1054" s="264"/>
      <c r="AE1054" s="264"/>
      <c r="AF1054" s="264"/>
      <c r="AG1054" s="264"/>
      <c r="AH1054" s="264"/>
      <c r="AI1054" s="264"/>
      <c r="AJ1054" s="264"/>
      <c r="AK1054" s="264"/>
      <c r="AL1054" s="264"/>
      <c r="AM1054" s="264"/>
      <c r="AN1054" s="264"/>
    </row>
    <row r="1055" ht="15.75" customHeight="1">
      <c r="A1055" s="264"/>
      <c r="B1055" s="42"/>
      <c r="C1055" s="280"/>
      <c r="D1055" s="264"/>
      <c r="E1055" s="264"/>
      <c r="F1055" s="264"/>
      <c r="G1055" s="264"/>
      <c r="H1055" s="264"/>
      <c r="I1055" s="281"/>
      <c r="J1055" s="281"/>
      <c r="K1055" s="264"/>
      <c r="L1055" s="264"/>
      <c r="M1055" s="264"/>
      <c r="N1055" s="264"/>
      <c r="O1055" s="264"/>
      <c r="P1055" s="264"/>
      <c r="Q1055" s="264"/>
      <c r="R1055" s="264"/>
      <c r="S1055" s="264"/>
      <c r="T1055" s="264"/>
      <c r="U1055" s="16"/>
      <c r="V1055" s="264"/>
      <c r="W1055" s="264"/>
      <c r="X1055" s="264"/>
      <c r="Y1055" s="264"/>
      <c r="Z1055" s="264"/>
      <c r="AA1055" s="264"/>
      <c r="AB1055" s="264"/>
      <c r="AC1055" s="264"/>
      <c r="AD1055" s="264"/>
      <c r="AE1055" s="264"/>
      <c r="AF1055" s="264"/>
      <c r="AG1055" s="264"/>
      <c r="AH1055" s="264"/>
      <c r="AI1055" s="264"/>
      <c r="AJ1055" s="264"/>
      <c r="AK1055" s="264"/>
      <c r="AL1055" s="264"/>
      <c r="AM1055" s="264"/>
      <c r="AN1055" s="264"/>
    </row>
    <row r="1056" ht="15.75" customHeight="1">
      <c r="A1056" s="264"/>
      <c r="B1056" s="42"/>
      <c r="C1056" s="280"/>
      <c r="D1056" s="264"/>
      <c r="E1056" s="264"/>
      <c r="F1056" s="264"/>
      <c r="G1056" s="264"/>
      <c r="H1056" s="264"/>
      <c r="I1056" s="281"/>
      <c r="J1056" s="281"/>
      <c r="K1056" s="264"/>
      <c r="L1056" s="264"/>
      <c r="M1056" s="264"/>
      <c r="N1056" s="264"/>
      <c r="O1056" s="264"/>
      <c r="P1056" s="264"/>
      <c r="Q1056" s="264"/>
      <c r="R1056" s="264"/>
      <c r="S1056" s="264"/>
      <c r="T1056" s="264"/>
      <c r="U1056" s="16"/>
      <c r="V1056" s="264"/>
      <c r="W1056" s="264"/>
      <c r="X1056" s="264"/>
      <c r="Y1056" s="264"/>
      <c r="Z1056" s="264"/>
      <c r="AA1056" s="264"/>
      <c r="AB1056" s="264"/>
      <c r="AC1056" s="264"/>
      <c r="AD1056" s="264"/>
      <c r="AE1056" s="264"/>
      <c r="AF1056" s="264"/>
      <c r="AG1056" s="264"/>
      <c r="AH1056" s="264"/>
      <c r="AI1056" s="264"/>
      <c r="AJ1056" s="264"/>
      <c r="AK1056" s="264"/>
      <c r="AL1056" s="264"/>
      <c r="AM1056" s="264"/>
      <c r="AN1056" s="264"/>
    </row>
    <row r="1057" ht="15.75" customHeight="1">
      <c r="A1057" s="264"/>
      <c r="B1057" s="42"/>
      <c r="C1057" s="280"/>
      <c r="D1057" s="264"/>
      <c r="E1057" s="264"/>
      <c r="F1057" s="264"/>
      <c r="G1057" s="264"/>
      <c r="H1057" s="264"/>
      <c r="I1057" s="281"/>
      <c r="J1057" s="281"/>
      <c r="K1057" s="264"/>
      <c r="L1057" s="264"/>
      <c r="M1057" s="264"/>
      <c r="N1057" s="264"/>
      <c r="O1057" s="264"/>
      <c r="P1057" s="264"/>
      <c r="Q1057" s="264"/>
      <c r="R1057" s="264"/>
      <c r="S1057" s="264"/>
      <c r="T1057" s="264"/>
      <c r="U1057" s="16"/>
      <c r="V1057" s="264"/>
      <c r="W1057" s="264"/>
      <c r="X1057" s="264"/>
      <c r="Y1057" s="264"/>
      <c r="Z1057" s="264"/>
      <c r="AA1057" s="264"/>
      <c r="AB1057" s="264"/>
      <c r="AC1057" s="264"/>
      <c r="AD1057" s="264"/>
      <c r="AE1057" s="264"/>
      <c r="AF1057" s="264"/>
      <c r="AG1057" s="264"/>
      <c r="AH1057" s="264"/>
      <c r="AI1057" s="264"/>
      <c r="AJ1057" s="264"/>
      <c r="AK1057" s="264"/>
      <c r="AL1057" s="264"/>
      <c r="AM1057" s="264"/>
      <c r="AN1057" s="264"/>
    </row>
    <row r="1058" ht="15.75" customHeight="1">
      <c r="A1058" s="264"/>
      <c r="B1058" s="42"/>
      <c r="C1058" s="280"/>
      <c r="D1058" s="264"/>
      <c r="E1058" s="264"/>
      <c r="F1058" s="264"/>
      <c r="G1058" s="264"/>
      <c r="H1058" s="264"/>
      <c r="I1058" s="281"/>
      <c r="J1058" s="281"/>
      <c r="K1058" s="264"/>
      <c r="L1058" s="264"/>
      <c r="M1058" s="264"/>
      <c r="N1058" s="264"/>
      <c r="O1058" s="264"/>
      <c r="P1058" s="264"/>
      <c r="Q1058" s="264"/>
      <c r="R1058" s="264"/>
      <c r="S1058" s="264"/>
      <c r="T1058" s="264"/>
      <c r="U1058" s="16"/>
      <c r="V1058" s="264"/>
      <c r="W1058" s="264"/>
      <c r="X1058" s="264"/>
      <c r="Y1058" s="264"/>
      <c r="Z1058" s="264"/>
      <c r="AA1058" s="264"/>
      <c r="AB1058" s="264"/>
      <c r="AC1058" s="264"/>
      <c r="AD1058" s="264"/>
      <c r="AE1058" s="264"/>
      <c r="AF1058" s="264"/>
      <c r="AG1058" s="264"/>
      <c r="AH1058" s="264"/>
      <c r="AI1058" s="264"/>
      <c r="AJ1058" s="264"/>
      <c r="AK1058" s="264"/>
      <c r="AL1058" s="264"/>
      <c r="AM1058" s="264"/>
      <c r="AN1058" s="264"/>
    </row>
    <row r="1059" ht="15.75" customHeight="1">
      <c r="A1059" s="264"/>
      <c r="B1059" s="42"/>
      <c r="C1059" s="280"/>
      <c r="D1059" s="264"/>
      <c r="E1059" s="264"/>
      <c r="F1059" s="264"/>
      <c r="G1059" s="264"/>
      <c r="H1059" s="264"/>
      <c r="I1059" s="281"/>
      <c r="J1059" s="281"/>
      <c r="K1059" s="264"/>
      <c r="L1059" s="264"/>
      <c r="M1059" s="264"/>
      <c r="N1059" s="264"/>
      <c r="O1059" s="264"/>
      <c r="P1059" s="264"/>
      <c r="Q1059" s="264"/>
      <c r="R1059" s="264"/>
      <c r="S1059" s="264"/>
      <c r="T1059" s="264"/>
      <c r="U1059" s="16"/>
      <c r="V1059" s="264"/>
      <c r="W1059" s="264"/>
      <c r="X1059" s="264"/>
      <c r="Y1059" s="264"/>
      <c r="Z1059" s="264"/>
      <c r="AA1059" s="264"/>
      <c r="AB1059" s="264"/>
      <c r="AC1059" s="264"/>
      <c r="AD1059" s="264"/>
      <c r="AE1059" s="264"/>
      <c r="AF1059" s="264"/>
      <c r="AG1059" s="264"/>
      <c r="AH1059" s="264"/>
      <c r="AI1059" s="264"/>
      <c r="AJ1059" s="264"/>
      <c r="AK1059" s="264"/>
      <c r="AL1059" s="264"/>
      <c r="AM1059" s="264"/>
      <c r="AN1059" s="264"/>
    </row>
    <row r="1060" ht="15.75" customHeight="1">
      <c r="A1060" s="264"/>
      <c r="B1060" s="42"/>
      <c r="C1060" s="280"/>
      <c r="D1060" s="264"/>
      <c r="E1060" s="264"/>
      <c r="F1060" s="264"/>
      <c r="G1060" s="264"/>
      <c r="H1060" s="264"/>
      <c r="I1060" s="281"/>
      <c r="J1060" s="281"/>
      <c r="K1060" s="264"/>
      <c r="L1060" s="264"/>
      <c r="M1060" s="264"/>
      <c r="N1060" s="264"/>
      <c r="O1060" s="264"/>
      <c r="P1060" s="264"/>
      <c r="Q1060" s="264"/>
      <c r="R1060" s="264"/>
      <c r="S1060" s="264"/>
      <c r="T1060" s="264"/>
      <c r="U1060" s="16"/>
      <c r="V1060" s="264"/>
      <c r="W1060" s="264"/>
      <c r="X1060" s="264"/>
      <c r="Y1060" s="264"/>
      <c r="Z1060" s="264"/>
      <c r="AA1060" s="264"/>
      <c r="AB1060" s="264"/>
      <c r="AC1060" s="264"/>
      <c r="AD1060" s="264"/>
      <c r="AE1060" s="264"/>
      <c r="AF1060" s="264"/>
      <c r="AG1060" s="264"/>
      <c r="AH1060" s="264"/>
      <c r="AI1060" s="264"/>
      <c r="AJ1060" s="264"/>
      <c r="AK1060" s="264"/>
      <c r="AL1060" s="264"/>
      <c r="AM1060" s="264"/>
      <c r="AN1060" s="264"/>
    </row>
    <row r="1061" ht="15.75" customHeight="1">
      <c r="A1061" s="264"/>
      <c r="B1061" s="42"/>
      <c r="C1061" s="280"/>
      <c r="D1061" s="264"/>
      <c r="E1061" s="264"/>
      <c r="F1061" s="264"/>
      <c r="G1061" s="264"/>
      <c r="H1061" s="264"/>
      <c r="I1061" s="281"/>
      <c r="J1061" s="281"/>
      <c r="K1061" s="264"/>
      <c r="L1061" s="264"/>
      <c r="M1061" s="264"/>
      <c r="N1061" s="264"/>
      <c r="O1061" s="264"/>
      <c r="P1061" s="264"/>
      <c r="Q1061" s="264"/>
      <c r="R1061" s="264"/>
      <c r="S1061" s="264"/>
      <c r="T1061" s="264"/>
      <c r="U1061" s="16"/>
      <c r="V1061" s="264"/>
      <c r="W1061" s="264"/>
      <c r="X1061" s="264"/>
      <c r="Y1061" s="264"/>
      <c r="Z1061" s="264"/>
      <c r="AA1061" s="264"/>
      <c r="AB1061" s="264"/>
      <c r="AC1061" s="264"/>
      <c r="AD1061" s="264"/>
      <c r="AE1061" s="264"/>
      <c r="AF1061" s="264"/>
      <c r="AG1061" s="264"/>
      <c r="AH1061" s="264"/>
      <c r="AI1061" s="264"/>
      <c r="AJ1061" s="264"/>
      <c r="AK1061" s="264"/>
      <c r="AL1061" s="264"/>
      <c r="AM1061" s="264"/>
      <c r="AN1061" s="264"/>
    </row>
    <row r="1062" ht="15.75" customHeight="1">
      <c r="A1062" s="264"/>
      <c r="B1062" s="42"/>
      <c r="C1062" s="280"/>
      <c r="D1062" s="264"/>
      <c r="E1062" s="264"/>
      <c r="F1062" s="264"/>
      <c r="G1062" s="264"/>
      <c r="H1062" s="264"/>
      <c r="I1062" s="281"/>
      <c r="J1062" s="281"/>
      <c r="K1062" s="264"/>
      <c r="L1062" s="264"/>
      <c r="M1062" s="264"/>
      <c r="N1062" s="264"/>
      <c r="O1062" s="264"/>
      <c r="P1062" s="264"/>
      <c r="Q1062" s="264"/>
      <c r="R1062" s="264"/>
      <c r="S1062" s="264"/>
      <c r="T1062" s="264"/>
      <c r="U1062" s="16"/>
      <c r="V1062" s="264"/>
      <c r="W1062" s="264"/>
      <c r="X1062" s="264"/>
      <c r="Y1062" s="264"/>
      <c r="Z1062" s="264"/>
      <c r="AA1062" s="264"/>
      <c r="AB1062" s="264"/>
      <c r="AC1062" s="264"/>
      <c r="AD1062" s="264"/>
      <c r="AE1062" s="264"/>
      <c r="AF1062" s="264"/>
      <c r="AG1062" s="264"/>
      <c r="AH1062" s="264"/>
      <c r="AI1062" s="264"/>
      <c r="AJ1062" s="264"/>
      <c r="AK1062" s="264"/>
      <c r="AL1062" s="264"/>
      <c r="AM1062" s="264"/>
      <c r="AN1062" s="264"/>
    </row>
    <row r="1063" ht="15.75" customHeight="1">
      <c r="A1063" s="264"/>
      <c r="B1063" s="42"/>
      <c r="C1063" s="280"/>
      <c r="D1063" s="264"/>
      <c r="E1063" s="264"/>
      <c r="F1063" s="264"/>
      <c r="G1063" s="264"/>
      <c r="H1063" s="264"/>
      <c r="I1063" s="281"/>
      <c r="J1063" s="281"/>
      <c r="K1063" s="264"/>
      <c r="L1063" s="264"/>
      <c r="M1063" s="264"/>
      <c r="N1063" s="264"/>
      <c r="O1063" s="264"/>
      <c r="P1063" s="264"/>
      <c r="Q1063" s="264"/>
      <c r="R1063" s="264"/>
      <c r="S1063" s="264"/>
      <c r="T1063" s="264"/>
      <c r="U1063" s="16"/>
      <c r="V1063" s="264"/>
      <c r="W1063" s="264"/>
      <c r="X1063" s="264"/>
      <c r="Y1063" s="264"/>
      <c r="Z1063" s="264"/>
      <c r="AA1063" s="264"/>
      <c r="AB1063" s="264"/>
      <c r="AC1063" s="264"/>
      <c r="AD1063" s="264"/>
      <c r="AE1063" s="264"/>
      <c r="AF1063" s="264"/>
      <c r="AG1063" s="264"/>
      <c r="AH1063" s="264"/>
      <c r="AI1063" s="264"/>
      <c r="AJ1063" s="264"/>
      <c r="AK1063" s="264"/>
      <c r="AL1063" s="264"/>
      <c r="AM1063" s="264"/>
      <c r="AN1063" s="264"/>
    </row>
    <row r="1064" ht="15.75" customHeight="1">
      <c r="A1064" s="264"/>
      <c r="B1064" s="42"/>
      <c r="C1064" s="280"/>
      <c r="D1064" s="264"/>
      <c r="E1064" s="264"/>
      <c r="F1064" s="264"/>
      <c r="G1064" s="264"/>
      <c r="H1064" s="264"/>
      <c r="I1064" s="281"/>
      <c r="J1064" s="281"/>
      <c r="K1064" s="264"/>
      <c r="L1064" s="264"/>
      <c r="M1064" s="264"/>
      <c r="N1064" s="264"/>
      <c r="O1064" s="264"/>
      <c r="P1064" s="264"/>
      <c r="Q1064" s="264"/>
      <c r="R1064" s="264"/>
      <c r="S1064" s="264"/>
      <c r="T1064" s="264"/>
      <c r="U1064" s="16"/>
      <c r="V1064" s="264"/>
      <c r="W1064" s="264"/>
      <c r="X1064" s="264"/>
      <c r="Y1064" s="264"/>
      <c r="Z1064" s="264"/>
      <c r="AA1064" s="264"/>
      <c r="AB1064" s="264"/>
      <c r="AC1064" s="264"/>
      <c r="AD1064" s="264"/>
      <c r="AE1064" s="264"/>
      <c r="AF1064" s="264"/>
      <c r="AG1064" s="264"/>
      <c r="AH1064" s="264"/>
      <c r="AI1064" s="264"/>
      <c r="AJ1064" s="264"/>
      <c r="AK1064" s="264"/>
      <c r="AL1064" s="264"/>
      <c r="AM1064" s="264"/>
      <c r="AN1064" s="264"/>
    </row>
    <row r="1065" ht="15.75" customHeight="1">
      <c r="A1065" s="264"/>
      <c r="B1065" s="42"/>
      <c r="C1065" s="280"/>
      <c r="D1065" s="264"/>
      <c r="E1065" s="264"/>
      <c r="F1065" s="264"/>
      <c r="G1065" s="264"/>
      <c r="H1065" s="264"/>
      <c r="I1065" s="281"/>
      <c r="J1065" s="281"/>
      <c r="K1065" s="264"/>
      <c r="L1065" s="264"/>
      <c r="M1065" s="264"/>
      <c r="N1065" s="264"/>
      <c r="O1065" s="264"/>
      <c r="P1065" s="264"/>
      <c r="Q1065" s="264"/>
      <c r="R1065" s="264"/>
      <c r="S1065" s="264"/>
      <c r="T1065" s="264"/>
      <c r="U1065" s="16"/>
      <c r="V1065" s="264"/>
      <c r="W1065" s="264"/>
      <c r="X1065" s="264"/>
      <c r="Y1065" s="264"/>
      <c r="Z1065" s="264"/>
      <c r="AA1065" s="264"/>
      <c r="AB1065" s="264"/>
      <c r="AC1065" s="264"/>
      <c r="AD1065" s="264"/>
      <c r="AE1065" s="264"/>
      <c r="AF1065" s="264"/>
      <c r="AG1065" s="264"/>
      <c r="AH1065" s="264"/>
      <c r="AI1065" s="264"/>
      <c r="AJ1065" s="264"/>
      <c r="AK1065" s="264"/>
      <c r="AL1065" s="264"/>
      <c r="AM1065" s="264"/>
      <c r="AN1065" s="264"/>
    </row>
    <row r="1066" ht="15.75" customHeight="1">
      <c r="A1066" s="264"/>
      <c r="B1066" s="42"/>
      <c r="C1066" s="280"/>
      <c r="D1066" s="264"/>
      <c r="E1066" s="264"/>
      <c r="F1066" s="264"/>
      <c r="G1066" s="264"/>
      <c r="H1066" s="264"/>
      <c r="I1066" s="281"/>
      <c r="J1066" s="281"/>
      <c r="K1066" s="264"/>
      <c r="L1066" s="264"/>
      <c r="M1066" s="264"/>
      <c r="N1066" s="264"/>
      <c r="O1066" s="264"/>
      <c r="P1066" s="264"/>
      <c r="Q1066" s="264"/>
      <c r="R1066" s="264"/>
      <c r="S1066" s="264"/>
      <c r="T1066" s="264"/>
      <c r="U1066" s="16"/>
      <c r="V1066" s="264"/>
      <c r="W1066" s="264"/>
      <c r="X1066" s="264"/>
      <c r="Y1066" s="264"/>
      <c r="Z1066" s="264"/>
      <c r="AA1066" s="264"/>
      <c r="AB1066" s="264"/>
      <c r="AC1066" s="264"/>
      <c r="AD1066" s="264"/>
      <c r="AE1066" s="264"/>
      <c r="AF1066" s="264"/>
      <c r="AG1066" s="264"/>
      <c r="AH1066" s="264"/>
      <c r="AI1066" s="264"/>
      <c r="AJ1066" s="264"/>
      <c r="AK1066" s="264"/>
      <c r="AL1066" s="264"/>
      <c r="AM1066" s="264"/>
      <c r="AN1066" s="264"/>
    </row>
    <row r="1067" ht="15.75" customHeight="1">
      <c r="A1067" s="264"/>
      <c r="B1067" s="42"/>
      <c r="C1067" s="280"/>
      <c r="D1067" s="264"/>
      <c r="E1067" s="264"/>
      <c r="F1067" s="264"/>
      <c r="G1067" s="264"/>
      <c r="H1067" s="264"/>
      <c r="I1067" s="281"/>
      <c r="J1067" s="281"/>
      <c r="K1067" s="264"/>
      <c r="L1067" s="264"/>
      <c r="M1067" s="264"/>
      <c r="N1067" s="264"/>
      <c r="O1067" s="264"/>
      <c r="P1067" s="264"/>
      <c r="Q1067" s="264"/>
      <c r="R1067" s="264"/>
      <c r="S1067" s="264"/>
      <c r="T1067" s="264"/>
      <c r="U1067" s="16"/>
      <c r="V1067" s="264"/>
      <c r="W1067" s="264"/>
      <c r="X1067" s="264"/>
      <c r="Y1067" s="264"/>
      <c r="Z1067" s="264"/>
      <c r="AA1067" s="264"/>
      <c r="AB1067" s="264"/>
      <c r="AC1067" s="264"/>
      <c r="AD1067" s="264"/>
      <c r="AE1067" s="264"/>
      <c r="AF1067" s="264"/>
      <c r="AG1067" s="264"/>
      <c r="AH1067" s="264"/>
      <c r="AI1067" s="264"/>
      <c r="AJ1067" s="264"/>
      <c r="AK1067" s="264"/>
      <c r="AL1067" s="264"/>
      <c r="AM1067" s="264"/>
      <c r="AN1067" s="264"/>
    </row>
    <row r="1068" ht="15.75" customHeight="1">
      <c r="A1068" s="264"/>
      <c r="B1068" s="42"/>
      <c r="C1068" s="280"/>
      <c r="D1068" s="264"/>
      <c r="E1068" s="264"/>
      <c r="F1068" s="264"/>
      <c r="G1068" s="264"/>
      <c r="H1068" s="264"/>
      <c r="I1068" s="281"/>
      <c r="J1068" s="281"/>
      <c r="K1068" s="264"/>
      <c r="L1068" s="264"/>
      <c r="M1068" s="264"/>
      <c r="N1068" s="264"/>
      <c r="O1068" s="264"/>
      <c r="P1068" s="264"/>
      <c r="Q1068" s="264"/>
      <c r="R1068" s="264"/>
      <c r="S1068" s="264"/>
      <c r="T1068" s="264"/>
      <c r="U1068" s="16"/>
      <c r="V1068" s="264"/>
      <c r="W1068" s="264"/>
      <c r="X1068" s="264"/>
      <c r="Y1068" s="264"/>
      <c r="Z1068" s="264"/>
      <c r="AA1068" s="264"/>
      <c r="AB1068" s="264"/>
      <c r="AC1068" s="264"/>
      <c r="AD1068" s="264"/>
      <c r="AE1068" s="264"/>
      <c r="AF1068" s="264"/>
      <c r="AG1068" s="264"/>
      <c r="AH1068" s="264"/>
      <c r="AI1068" s="264"/>
      <c r="AJ1068" s="264"/>
      <c r="AK1068" s="264"/>
      <c r="AL1068" s="264"/>
      <c r="AM1068" s="264"/>
      <c r="AN1068" s="264"/>
    </row>
    <row r="1069" ht="15.75" customHeight="1">
      <c r="A1069" s="264"/>
      <c r="B1069" s="42"/>
      <c r="C1069" s="280"/>
      <c r="D1069" s="264"/>
      <c r="E1069" s="264"/>
      <c r="F1069" s="264"/>
      <c r="G1069" s="264"/>
      <c r="H1069" s="264"/>
      <c r="I1069" s="281"/>
      <c r="J1069" s="281"/>
      <c r="K1069" s="264"/>
      <c r="L1069" s="264"/>
      <c r="M1069" s="264"/>
      <c r="N1069" s="264"/>
      <c r="O1069" s="264"/>
      <c r="P1069" s="264"/>
      <c r="Q1069" s="264"/>
      <c r="R1069" s="264"/>
      <c r="S1069" s="264"/>
      <c r="T1069" s="264"/>
      <c r="U1069" s="16"/>
      <c r="V1069" s="264"/>
      <c r="W1069" s="264"/>
      <c r="X1069" s="264"/>
      <c r="Y1069" s="264"/>
      <c r="Z1069" s="264"/>
      <c r="AA1069" s="264"/>
      <c r="AB1069" s="264"/>
      <c r="AC1069" s="264"/>
      <c r="AD1069" s="264"/>
      <c r="AE1069" s="264"/>
      <c r="AF1069" s="264"/>
      <c r="AG1069" s="264"/>
      <c r="AH1069" s="264"/>
      <c r="AI1069" s="264"/>
      <c r="AJ1069" s="264"/>
      <c r="AK1069" s="264"/>
      <c r="AL1069" s="264"/>
      <c r="AM1069" s="264"/>
      <c r="AN1069" s="264"/>
    </row>
    <row r="1070" ht="15.75" customHeight="1">
      <c r="A1070" s="264"/>
      <c r="B1070" s="42"/>
      <c r="C1070" s="280"/>
      <c r="D1070" s="264"/>
      <c r="E1070" s="264"/>
      <c r="F1070" s="264"/>
      <c r="G1070" s="264"/>
      <c r="H1070" s="264"/>
      <c r="I1070" s="281"/>
      <c r="J1070" s="281"/>
      <c r="K1070" s="264"/>
      <c r="L1070" s="264"/>
      <c r="M1070" s="264"/>
      <c r="N1070" s="264"/>
      <c r="O1070" s="264"/>
      <c r="P1070" s="264"/>
      <c r="Q1070" s="264"/>
      <c r="R1070" s="264"/>
      <c r="S1070" s="264"/>
      <c r="T1070" s="264"/>
      <c r="U1070" s="16"/>
      <c r="V1070" s="264"/>
      <c r="W1070" s="264"/>
      <c r="X1070" s="264"/>
      <c r="Y1070" s="264"/>
      <c r="Z1070" s="264"/>
      <c r="AA1070" s="264"/>
      <c r="AB1070" s="264"/>
      <c r="AC1070" s="264"/>
      <c r="AD1070" s="264"/>
      <c r="AE1070" s="264"/>
      <c r="AF1070" s="264"/>
      <c r="AG1070" s="264"/>
      <c r="AH1070" s="264"/>
      <c r="AI1070" s="264"/>
      <c r="AJ1070" s="264"/>
      <c r="AK1070" s="264"/>
      <c r="AL1070" s="264"/>
      <c r="AM1070" s="264"/>
      <c r="AN1070" s="264"/>
    </row>
    <row r="1071" ht="15.75" customHeight="1">
      <c r="A1071" s="264"/>
      <c r="B1071" s="42"/>
      <c r="C1071" s="280"/>
      <c r="D1071" s="264"/>
      <c r="E1071" s="264"/>
      <c r="F1071" s="264"/>
      <c r="G1071" s="264"/>
      <c r="H1071" s="264"/>
      <c r="I1071" s="281"/>
      <c r="J1071" s="281"/>
      <c r="K1071" s="264"/>
      <c r="L1071" s="264"/>
      <c r="M1071" s="264"/>
      <c r="N1071" s="264"/>
      <c r="O1071" s="264"/>
      <c r="P1071" s="264"/>
      <c r="Q1071" s="264"/>
      <c r="R1071" s="264"/>
      <c r="S1071" s="264"/>
      <c r="T1071" s="264"/>
      <c r="U1071" s="16"/>
      <c r="V1071" s="264"/>
      <c r="W1071" s="264"/>
      <c r="X1071" s="264"/>
      <c r="Y1071" s="264"/>
      <c r="Z1071" s="264"/>
      <c r="AA1071" s="264"/>
      <c r="AB1071" s="264"/>
      <c r="AC1071" s="264"/>
      <c r="AD1071" s="264"/>
      <c r="AE1071" s="264"/>
      <c r="AF1071" s="264"/>
      <c r="AG1071" s="264"/>
      <c r="AH1071" s="264"/>
      <c r="AI1071" s="264"/>
      <c r="AJ1071" s="264"/>
      <c r="AK1071" s="264"/>
      <c r="AL1071" s="264"/>
      <c r="AM1071" s="264"/>
      <c r="AN1071" s="264"/>
    </row>
    <row r="1072" ht="15.75" customHeight="1">
      <c r="A1072" s="264"/>
      <c r="B1072" s="42"/>
      <c r="C1072" s="280"/>
      <c r="D1072" s="264"/>
      <c r="E1072" s="264"/>
      <c r="F1072" s="264"/>
      <c r="G1072" s="264"/>
      <c r="H1072" s="264"/>
      <c r="I1072" s="281"/>
      <c r="J1072" s="281"/>
      <c r="K1072" s="264"/>
      <c r="L1072" s="264"/>
      <c r="M1072" s="264"/>
      <c r="N1072" s="264"/>
      <c r="O1072" s="264"/>
      <c r="P1072" s="264"/>
      <c r="Q1072" s="264"/>
      <c r="R1072" s="264"/>
      <c r="S1072" s="264"/>
      <c r="T1072" s="264"/>
      <c r="U1072" s="16"/>
      <c r="V1072" s="264"/>
      <c r="W1072" s="264"/>
      <c r="X1072" s="264"/>
      <c r="Y1072" s="264"/>
      <c r="Z1072" s="264"/>
      <c r="AA1072" s="264"/>
      <c r="AB1072" s="264"/>
      <c r="AC1072" s="264"/>
      <c r="AD1072" s="264"/>
      <c r="AE1072" s="264"/>
      <c r="AF1072" s="264"/>
      <c r="AG1072" s="264"/>
      <c r="AH1072" s="264"/>
      <c r="AI1072" s="264"/>
      <c r="AJ1072" s="264"/>
      <c r="AK1072" s="264"/>
      <c r="AL1072" s="264"/>
      <c r="AM1072" s="264"/>
      <c r="AN1072" s="264"/>
    </row>
    <row r="1073" ht="15.75" customHeight="1">
      <c r="A1073" s="264"/>
      <c r="B1073" s="42"/>
      <c r="C1073" s="280"/>
      <c r="D1073" s="264"/>
      <c r="E1073" s="264"/>
      <c r="F1073" s="264"/>
      <c r="G1073" s="264"/>
      <c r="H1073" s="264"/>
      <c r="I1073" s="281"/>
      <c r="J1073" s="281"/>
      <c r="K1073" s="264"/>
      <c r="L1073" s="264"/>
      <c r="M1073" s="264"/>
      <c r="N1073" s="264"/>
      <c r="O1073" s="264"/>
      <c r="P1073" s="264"/>
      <c r="Q1073" s="264"/>
      <c r="R1073" s="264"/>
      <c r="S1073" s="264"/>
      <c r="T1073" s="264"/>
      <c r="U1073" s="16"/>
      <c r="V1073" s="264"/>
      <c r="W1073" s="264"/>
      <c r="X1073" s="264"/>
      <c r="Y1073" s="264"/>
      <c r="Z1073" s="264"/>
      <c r="AA1073" s="264"/>
      <c r="AB1073" s="264"/>
      <c r="AC1073" s="264"/>
      <c r="AD1073" s="264"/>
      <c r="AE1073" s="264"/>
      <c r="AF1073" s="264"/>
      <c r="AG1073" s="264"/>
      <c r="AH1073" s="264"/>
      <c r="AI1073" s="264"/>
      <c r="AJ1073" s="264"/>
      <c r="AK1073" s="264"/>
      <c r="AL1073" s="264"/>
      <c r="AM1073" s="264"/>
      <c r="AN1073" s="264"/>
    </row>
    <row r="1074" ht="15.75" customHeight="1">
      <c r="A1074" s="264"/>
      <c r="B1074" s="42"/>
      <c r="C1074" s="280"/>
      <c r="D1074" s="264"/>
      <c r="E1074" s="264"/>
      <c r="F1074" s="264"/>
      <c r="G1074" s="264"/>
      <c r="H1074" s="264"/>
      <c r="I1074" s="281"/>
      <c r="J1074" s="281"/>
      <c r="K1074" s="264"/>
      <c r="L1074" s="264"/>
      <c r="M1074" s="264"/>
      <c r="N1074" s="264"/>
      <c r="O1074" s="264"/>
      <c r="P1074" s="264"/>
      <c r="Q1074" s="264"/>
      <c r="R1074" s="264"/>
      <c r="S1074" s="264"/>
      <c r="T1074" s="264"/>
      <c r="U1074" s="16"/>
      <c r="V1074" s="264"/>
      <c r="W1074" s="264"/>
      <c r="X1074" s="264"/>
      <c r="Y1074" s="264"/>
      <c r="Z1074" s="264"/>
      <c r="AA1074" s="264"/>
      <c r="AB1074" s="264"/>
      <c r="AC1074" s="264"/>
      <c r="AD1074" s="264"/>
      <c r="AE1074" s="264"/>
      <c r="AF1074" s="264"/>
      <c r="AG1074" s="264"/>
      <c r="AH1074" s="264"/>
      <c r="AI1074" s="264"/>
      <c r="AJ1074" s="264"/>
      <c r="AK1074" s="264"/>
      <c r="AL1074" s="264"/>
      <c r="AM1074" s="264"/>
      <c r="AN1074" s="264"/>
    </row>
    <row r="1075" ht="15.75" customHeight="1">
      <c r="A1075" s="264"/>
      <c r="B1075" s="42"/>
      <c r="C1075" s="280"/>
      <c r="D1075" s="264"/>
      <c r="E1075" s="264"/>
      <c r="F1075" s="264"/>
      <c r="G1075" s="264"/>
      <c r="H1075" s="264"/>
      <c r="I1075" s="281"/>
      <c r="J1075" s="281"/>
      <c r="K1075" s="264"/>
      <c r="L1075" s="264"/>
      <c r="M1075" s="264"/>
      <c r="N1075" s="264"/>
      <c r="O1075" s="264"/>
      <c r="P1075" s="264"/>
      <c r="Q1075" s="264"/>
      <c r="R1075" s="264"/>
      <c r="S1075" s="264"/>
      <c r="T1075" s="264"/>
      <c r="U1075" s="16"/>
      <c r="V1075" s="264"/>
      <c r="W1075" s="264"/>
      <c r="X1075" s="264"/>
      <c r="Y1075" s="264"/>
      <c r="Z1075" s="264"/>
      <c r="AA1075" s="264"/>
      <c r="AB1075" s="264"/>
      <c r="AC1075" s="264"/>
      <c r="AD1075" s="264"/>
      <c r="AE1075" s="264"/>
      <c r="AF1075" s="264"/>
      <c r="AG1075" s="264"/>
      <c r="AH1075" s="264"/>
      <c r="AI1075" s="264"/>
      <c r="AJ1075" s="264"/>
      <c r="AK1075" s="264"/>
      <c r="AL1075" s="264"/>
      <c r="AM1075" s="264"/>
      <c r="AN1075" s="264"/>
    </row>
    <row r="1076" ht="15.75" customHeight="1">
      <c r="A1076" s="264"/>
      <c r="B1076" s="42"/>
      <c r="C1076" s="280"/>
      <c r="D1076" s="264"/>
      <c r="E1076" s="264"/>
      <c r="F1076" s="264"/>
      <c r="G1076" s="264"/>
      <c r="H1076" s="264"/>
      <c r="I1076" s="281"/>
      <c r="J1076" s="281"/>
      <c r="K1076" s="264"/>
      <c r="L1076" s="264"/>
      <c r="M1076" s="264"/>
      <c r="N1076" s="264"/>
      <c r="O1076" s="264"/>
      <c r="P1076" s="264"/>
      <c r="Q1076" s="264"/>
      <c r="R1076" s="264"/>
      <c r="S1076" s="264"/>
      <c r="T1076" s="264"/>
      <c r="U1076" s="16"/>
      <c r="V1076" s="264"/>
      <c r="W1076" s="264"/>
      <c r="X1076" s="264"/>
      <c r="Y1076" s="264"/>
      <c r="Z1076" s="264"/>
      <c r="AA1076" s="264"/>
      <c r="AB1076" s="264"/>
      <c r="AC1076" s="264"/>
      <c r="AD1076" s="264"/>
      <c r="AE1076" s="264"/>
      <c r="AF1076" s="264"/>
      <c r="AG1076" s="264"/>
      <c r="AH1076" s="264"/>
      <c r="AI1076" s="264"/>
      <c r="AJ1076" s="264"/>
      <c r="AK1076" s="264"/>
      <c r="AL1076" s="264"/>
      <c r="AM1076" s="264"/>
      <c r="AN1076" s="264"/>
    </row>
    <row r="1077" ht="15.75" customHeight="1">
      <c r="A1077" s="264"/>
      <c r="B1077" s="42"/>
      <c r="C1077" s="280"/>
      <c r="D1077" s="264"/>
      <c r="E1077" s="264"/>
      <c r="F1077" s="264"/>
      <c r="G1077" s="264"/>
      <c r="H1077" s="264"/>
      <c r="I1077" s="281"/>
      <c r="J1077" s="281"/>
      <c r="K1077" s="264"/>
      <c r="L1077" s="264"/>
      <c r="M1077" s="264"/>
      <c r="N1077" s="264"/>
      <c r="O1077" s="264"/>
      <c r="P1077" s="264"/>
      <c r="Q1077" s="264"/>
      <c r="R1077" s="264"/>
      <c r="S1077" s="264"/>
      <c r="T1077" s="264"/>
      <c r="U1077" s="16"/>
      <c r="V1077" s="264"/>
      <c r="W1077" s="264"/>
      <c r="X1077" s="264"/>
      <c r="Y1077" s="264"/>
      <c r="Z1077" s="264"/>
      <c r="AA1077" s="264"/>
      <c r="AB1077" s="264"/>
      <c r="AC1077" s="264"/>
      <c r="AD1077" s="264"/>
      <c r="AE1077" s="264"/>
      <c r="AF1077" s="264"/>
      <c r="AG1077" s="264"/>
      <c r="AH1077" s="264"/>
      <c r="AI1077" s="264"/>
      <c r="AJ1077" s="264"/>
      <c r="AK1077" s="264"/>
      <c r="AL1077" s="264"/>
      <c r="AM1077" s="264"/>
      <c r="AN1077" s="264"/>
    </row>
    <row r="1078" ht="15.75" customHeight="1">
      <c r="A1078" s="264"/>
      <c r="B1078" s="42"/>
      <c r="C1078" s="280"/>
      <c r="D1078" s="264"/>
      <c r="E1078" s="264"/>
      <c r="F1078" s="264"/>
      <c r="G1078" s="264"/>
      <c r="H1078" s="264"/>
      <c r="I1078" s="281"/>
      <c r="J1078" s="281"/>
      <c r="K1078" s="264"/>
      <c r="L1078" s="264"/>
      <c r="M1078" s="264"/>
      <c r="N1078" s="264"/>
      <c r="O1078" s="264"/>
      <c r="P1078" s="264"/>
      <c r="Q1078" s="264"/>
      <c r="R1078" s="264"/>
      <c r="S1078" s="264"/>
      <c r="T1078" s="264"/>
      <c r="U1078" s="16"/>
      <c r="V1078" s="264"/>
      <c r="W1078" s="264"/>
      <c r="X1078" s="264"/>
      <c r="Y1078" s="264"/>
      <c r="Z1078" s="264"/>
      <c r="AA1078" s="264"/>
      <c r="AB1078" s="264"/>
      <c r="AC1078" s="264"/>
      <c r="AD1078" s="264"/>
      <c r="AE1078" s="264"/>
      <c r="AF1078" s="264"/>
      <c r="AG1078" s="264"/>
      <c r="AH1078" s="264"/>
      <c r="AI1078" s="264"/>
      <c r="AJ1078" s="264"/>
      <c r="AK1078" s="264"/>
      <c r="AL1078" s="264"/>
      <c r="AM1078" s="264"/>
      <c r="AN1078" s="264"/>
    </row>
    <row r="1079" ht="15.75" customHeight="1">
      <c r="A1079" s="264"/>
      <c r="B1079" s="42"/>
      <c r="C1079" s="280"/>
      <c r="D1079" s="264"/>
      <c r="E1079" s="264"/>
      <c r="F1079" s="264"/>
      <c r="G1079" s="264"/>
      <c r="H1079" s="264"/>
      <c r="I1079" s="281"/>
      <c r="J1079" s="281"/>
      <c r="K1079" s="264"/>
      <c r="L1079" s="264"/>
      <c r="M1079" s="264"/>
      <c r="N1079" s="264"/>
      <c r="O1079" s="264"/>
      <c r="P1079" s="264"/>
      <c r="Q1079" s="264"/>
      <c r="R1079" s="264"/>
      <c r="S1079" s="264"/>
      <c r="T1079" s="264"/>
      <c r="U1079" s="16"/>
      <c r="V1079" s="264"/>
      <c r="W1079" s="264"/>
      <c r="X1079" s="264"/>
      <c r="Y1079" s="264"/>
      <c r="Z1079" s="264"/>
      <c r="AA1079" s="264"/>
      <c r="AB1079" s="264"/>
      <c r="AC1079" s="264"/>
      <c r="AD1079" s="264"/>
      <c r="AE1079" s="264"/>
      <c r="AF1079" s="264"/>
      <c r="AG1079" s="264"/>
      <c r="AH1079" s="264"/>
      <c r="AI1079" s="264"/>
      <c r="AJ1079" s="264"/>
      <c r="AK1079" s="264"/>
      <c r="AL1079" s="264"/>
      <c r="AM1079" s="264"/>
      <c r="AN1079" s="264"/>
    </row>
    <row r="1080" ht="15.75" customHeight="1">
      <c r="A1080" s="264"/>
      <c r="B1080" s="42"/>
      <c r="C1080" s="280"/>
      <c r="D1080" s="264"/>
      <c r="E1080" s="264"/>
      <c r="F1080" s="264"/>
      <c r="G1080" s="264"/>
      <c r="H1080" s="264"/>
      <c r="I1080" s="281"/>
      <c r="J1080" s="281"/>
      <c r="K1080" s="264"/>
      <c r="L1080" s="264"/>
      <c r="M1080" s="264"/>
      <c r="N1080" s="264"/>
      <c r="O1080" s="264"/>
      <c r="P1080" s="264"/>
      <c r="Q1080" s="264"/>
      <c r="R1080" s="264"/>
      <c r="S1080" s="264"/>
      <c r="T1080" s="264"/>
      <c r="U1080" s="16"/>
      <c r="V1080" s="264"/>
      <c r="W1080" s="264"/>
      <c r="X1080" s="264"/>
      <c r="Y1080" s="264"/>
      <c r="Z1080" s="264"/>
      <c r="AA1080" s="264"/>
      <c r="AB1080" s="264"/>
      <c r="AC1080" s="264"/>
      <c r="AD1080" s="264"/>
      <c r="AE1080" s="264"/>
      <c r="AF1080" s="264"/>
      <c r="AG1080" s="264"/>
      <c r="AH1080" s="264"/>
      <c r="AI1080" s="264"/>
      <c r="AJ1080" s="264"/>
      <c r="AK1080" s="264"/>
      <c r="AL1080" s="264"/>
      <c r="AM1080" s="264"/>
      <c r="AN1080" s="264"/>
    </row>
    <row r="1081" ht="15.75" customHeight="1">
      <c r="A1081" s="264"/>
      <c r="B1081" s="42"/>
      <c r="C1081" s="280"/>
      <c r="D1081" s="264"/>
      <c r="E1081" s="264"/>
      <c r="F1081" s="264"/>
      <c r="G1081" s="264"/>
      <c r="H1081" s="264"/>
      <c r="I1081" s="281"/>
      <c r="J1081" s="281"/>
      <c r="K1081" s="264"/>
      <c r="L1081" s="264"/>
      <c r="M1081" s="264"/>
      <c r="N1081" s="264"/>
      <c r="O1081" s="264"/>
      <c r="P1081" s="264"/>
      <c r="Q1081" s="264"/>
      <c r="R1081" s="264"/>
      <c r="S1081" s="264"/>
      <c r="T1081" s="264"/>
      <c r="U1081" s="16"/>
      <c r="V1081" s="264"/>
      <c r="W1081" s="264"/>
      <c r="X1081" s="264"/>
      <c r="Y1081" s="264"/>
      <c r="Z1081" s="264"/>
      <c r="AA1081" s="264"/>
      <c r="AB1081" s="264"/>
      <c r="AC1081" s="264"/>
      <c r="AD1081" s="264"/>
      <c r="AE1081" s="264"/>
      <c r="AF1081" s="264"/>
      <c r="AG1081" s="264"/>
      <c r="AH1081" s="264"/>
      <c r="AI1081" s="264"/>
      <c r="AJ1081" s="264"/>
      <c r="AK1081" s="264"/>
      <c r="AL1081" s="264"/>
      <c r="AM1081" s="264"/>
      <c r="AN1081" s="264"/>
    </row>
    <row r="1082" ht="15.75" customHeight="1">
      <c r="A1082" s="264"/>
      <c r="B1082" s="42"/>
      <c r="C1082" s="280"/>
      <c r="D1082" s="264"/>
      <c r="E1082" s="264"/>
      <c r="F1082" s="264"/>
      <c r="G1082" s="264"/>
      <c r="H1082" s="264"/>
      <c r="I1082" s="281"/>
      <c r="J1082" s="281"/>
      <c r="K1082" s="264"/>
      <c r="L1082" s="264"/>
      <c r="M1082" s="264"/>
      <c r="N1082" s="264"/>
      <c r="O1082" s="264"/>
      <c r="P1082" s="264"/>
      <c r="Q1082" s="264"/>
      <c r="R1082" s="264"/>
      <c r="S1082" s="264"/>
      <c r="T1082" s="264"/>
      <c r="U1082" s="16"/>
      <c r="V1082" s="264"/>
      <c r="W1082" s="264"/>
      <c r="X1082" s="264"/>
      <c r="Y1082" s="264"/>
      <c r="Z1082" s="264"/>
      <c r="AA1082" s="264"/>
      <c r="AB1082" s="264"/>
      <c r="AC1082" s="264"/>
      <c r="AD1082" s="264"/>
      <c r="AE1082" s="264"/>
      <c r="AF1082" s="264"/>
      <c r="AG1082" s="264"/>
      <c r="AH1082" s="264"/>
      <c r="AI1082" s="264"/>
      <c r="AJ1082" s="264"/>
      <c r="AK1082" s="264"/>
      <c r="AL1082" s="264"/>
      <c r="AM1082" s="264"/>
      <c r="AN1082" s="264"/>
    </row>
    <row r="1083" ht="15.75" customHeight="1">
      <c r="A1083" s="264"/>
      <c r="B1083" s="42"/>
      <c r="C1083" s="280"/>
      <c r="D1083" s="264"/>
      <c r="E1083" s="264"/>
      <c r="F1083" s="264"/>
      <c r="G1083" s="264"/>
      <c r="H1083" s="264"/>
      <c r="I1083" s="281"/>
      <c r="J1083" s="281"/>
      <c r="K1083" s="264"/>
      <c r="L1083" s="264"/>
      <c r="M1083" s="264"/>
      <c r="N1083" s="264"/>
      <c r="O1083" s="264"/>
      <c r="P1083" s="264"/>
      <c r="Q1083" s="264"/>
      <c r="R1083" s="264"/>
      <c r="S1083" s="264"/>
      <c r="T1083" s="264"/>
      <c r="U1083" s="16"/>
      <c r="V1083" s="264"/>
      <c r="W1083" s="264"/>
      <c r="X1083" s="264"/>
      <c r="Y1083" s="264"/>
      <c r="Z1083" s="264"/>
      <c r="AA1083" s="264"/>
      <c r="AB1083" s="264"/>
      <c r="AC1083" s="264"/>
      <c r="AD1083" s="264"/>
      <c r="AE1083" s="264"/>
      <c r="AF1083" s="264"/>
      <c r="AG1083" s="264"/>
      <c r="AH1083" s="264"/>
      <c r="AI1083" s="264"/>
      <c r="AJ1083" s="264"/>
      <c r="AK1083" s="264"/>
      <c r="AL1083" s="264"/>
      <c r="AM1083" s="264"/>
      <c r="AN1083" s="264"/>
    </row>
    <row r="1084" ht="15.75" customHeight="1">
      <c r="A1084" s="264"/>
      <c r="B1084" s="42"/>
      <c r="C1084" s="280"/>
      <c r="D1084" s="264"/>
      <c r="E1084" s="264"/>
      <c r="F1084" s="264"/>
      <c r="G1084" s="264"/>
      <c r="H1084" s="264"/>
      <c r="I1084" s="281"/>
      <c r="J1084" s="281"/>
      <c r="K1084" s="264"/>
      <c r="L1084" s="264"/>
      <c r="M1084" s="264"/>
      <c r="N1084" s="264"/>
      <c r="O1084" s="264"/>
      <c r="P1084" s="264"/>
      <c r="Q1084" s="264"/>
      <c r="R1084" s="264"/>
      <c r="S1084" s="264"/>
      <c r="T1084" s="264"/>
      <c r="U1084" s="16"/>
      <c r="V1084" s="264"/>
      <c r="W1084" s="264"/>
      <c r="X1084" s="264"/>
      <c r="Y1084" s="264"/>
      <c r="Z1084" s="264"/>
      <c r="AA1084" s="264"/>
      <c r="AB1084" s="264"/>
      <c r="AC1084" s="264"/>
      <c r="AD1084" s="264"/>
      <c r="AE1084" s="264"/>
      <c r="AF1084" s="264"/>
      <c r="AG1084" s="264"/>
      <c r="AH1084" s="264"/>
      <c r="AI1084" s="264"/>
      <c r="AJ1084" s="264"/>
      <c r="AK1084" s="264"/>
      <c r="AL1084" s="264"/>
      <c r="AM1084" s="264"/>
      <c r="AN1084" s="264"/>
    </row>
    <row r="1085" ht="15.75" customHeight="1">
      <c r="A1085" s="264"/>
      <c r="B1085" s="42"/>
      <c r="C1085" s="280"/>
      <c r="D1085" s="264"/>
      <c r="E1085" s="264"/>
      <c r="F1085" s="264"/>
      <c r="G1085" s="264"/>
      <c r="H1085" s="264"/>
      <c r="I1085" s="281"/>
      <c r="J1085" s="281"/>
      <c r="K1085" s="264"/>
      <c r="L1085" s="264"/>
      <c r="M1085" s="264"/>
      <c r="N1085" s="264"/>
      <c r="O1085" s="264"/>
      <c r="P1085" s="264"/>
      <c r="Q1085" s="264"/>
      <c r="R1085" s="264"/>
      <c r="S1085" s="264"/>
      <c r="T1085" s="264"/>
      <c r="U1085" s="16"/>
      <c r="V1085" s="264"/>
      <c r="W1085" s="264"/>
      <c r="X1085" s="264"/>
      <c r="Y1085" s="264"/>
      <c r="Z1085" s="264"/>
      <c r="AA1085" s="264"/>
      <c r="AB1085" s="264"/>
      <c r="AC1085" s="264"/>
      <c r="AD1085" s="264"/>
      <c r="AE1085" s="264"/>
      <c r="AF1085" s="264"/>
      <c r="AG1085" s="264"/>
      <c r="AH1085" s="264"/>
      <c r="AI1085" s="264"/>
      <c r="AJ1085" s="264"/>
      <c r="AK1085" s="264"/>
      <c r="AL1085" s="264"/>
      <c r="AM1085" s="264"/>
      <c r="AN1085" s="264"/>
    </row>
    <row r="1086" ht="15.75" customHeight="1">
      <c r="A1086" s="264"/>
      <c r="B1086" s="42"/>
      <c r="C1086" s="280"/>
      <c r="D1086" s="264"/>
      <c r="E1086" s="264"/>
      <c r="F1086" s="264"/>
      <c r="G1086" s="264"/>
      <c r="H1086" s="264"/>
      <c r="I1086" s="281"/>
      <c r="J1086" s="281"/>
      <c r="K1086" s="264"/>
      <c r="L1086" s="264"/>
      <c r="M1086" s="264"/>
      <c r="N1086" s="264"/>
      <c r="O1086" s="264"/>
      <c r="P1086" s="264"/>
      <c r="Q1086" s="264"/>
      <c r="R1086" s="264"/>
      <c r="S1086" s="264"/>
      <c r="T1086" s="264"/>
      <c r="U1086" s="16"/>
      <c r="V1086" s="264"/>
      <c r="W1086" s="264"/>
      <c r="X1086" s="264"/>
      <c r="Y1086" s="264"/>
      <c r="Z1086" s="264"/>
      <c r="AA1086" s="264"/>
      <c r="AB1086" s="264"/>
      <c r="AC1086" s="264"/>
      <c r="AD1086" s="264"/>
      <c r="AE1086" s="264"/>
      <c r="AF1086" s="264"/>
      <c r="AG1086" s="264"/>
      <c r="AH1086" s="264"/>
      <c r="AI1086" s="264"/>
      <c r="AJ1086" s="264"/>
      <c r="AK1086" s="264"/>
      <c r="AL1086" s="264"/>
      <c r="AM1086" s="264"/>
      <c r="AN1086" s="264"/>
    </row>
    <row r="1087" ht="15.75" customHeight="1">
      <c r="A1087" s="264"/>
      <c r="B1087" s="42"/>
      <c r="C1087" s="280"/>
      <c r="D1087" s="264"/>
      <c r="E1087" s="264"/>
      <c r="F1087" s="264"/>
      <c r="G1087" s="264"/>
      <c r="H1087" s="264"/>
      <c r="I1087" s="281"/>
      <c r="J1087" s="281"/>
      <c r="K1087" s="264"/>
      <c r="L1087" s="264"/>
      <c r="M1087" s="264"/>
      <c r="N1087" s="264"/>
      <c r="O1087" s="264"/>
      <c r="P1087" s="264"/>
      <c r="Q1087" s="264"/>
      <c r="R1087" s="264"/>
      <c r="S1087" s="264"/>
      <c r="T1087" s="264"/>
      <c r="U1087" s="16"/>
      <c r="V1087" s="264"/>
      <c r="W1087" s="264"/>
      <c r="X1087" s="264"/>
      <c r="Y1087" s="264"/>
      <c r="Z1087" s="264"/>
      <c r="AA1087" s="264"/>
      <c r="AB1087" s="264"/>
      <c r="AC1087" s="264"/>
      <c r="AD1087" s="264"/>
      <c r="AE1087" s="264"/>
      <c r="AF1087" s="264"/>
      <c r="AG1087" s="264"/>
      <c r="AH1087" s="264"/>
      <c r="AI1087" s="264"/>
      <c r="AJ1087" s="264"/>
      <c r="AK1087" s="264"/>
      <c r="AL1087" s="264"/>
      <c r="AM1087" s="264"/>
      <c r="AN1087" s="264"/>
    </row>
    <row r="1088" ht="15.75" customHeight="1">
      <c r="A1088" s="264"/>
      <c r="B1088" s="42"/>
      <c r="C1088" s="280"/>
      <c r="D1088" s="264"/>
      <c r="E1088" s="264"/>
      <c r="F1088" s="264"/>
      <c r="G1088" s="264"/>
      <c r="H1088" s="264"/>
      <c r="I1088" s="281"/>
      <c r="J1088" s="281"/>
      <c r="K1088" s="264"/>
      <c r="L1088" s="264"/>
      <c r="M1088" s="264"/>
      <c r="N1088" s="264"/>
      <c r="O1088" s="264"/>
      <c r="P1088" s="264"/>
      <c r="Q1088" s="264"/>
      <c r="R1088" s="264"/>
      <c r="S1088" s="264"/>
      <c r="T1088" s="264"/>
      <c r="U1088" s="16"/>
      <c r="V1088" s="264"/>
      <c r="W1088" s="264"/>
      <c r="X1088" s="264"/>
      <c r="Y1088" s="264"/>
      <c r="Z1088" s="264"/>
      <c r="AA1088" s="264"/>
      <c r="AB1088" s="264"/>
      <c r="AC1088" s="264"/>
      <c r="AD1088" s="264"/>
      <c r="AE1088" s="264"/>
      <c r="AF1088" s="264"/>
      <c r="AG1088" s="264"/>
      <c r="AH1088" s="264"/>
      <c r="AI1088" s="264"/>
      <c r="AJ1088" s="264"/>
      <c r="AK1088" s="264"/>
      <c r="AL1088" s="264"/>
      <c r="AM1088" s="264"/>
      <c r="AN1088" s="264"/>
    </row>
    <row r="1089" ht="15.75" customHeight="1">
      <c r="A1089" s="264"/>
      <c r="B1089" s="42"/>
      <c r="C1089" s="280"/>
      <c r="D1089" s="264"/>
      <c r="E1089" s="264"/>
      <c r="F1089" s="264"/>
      <c r="G1089" s="264"/>
      <c r="H1089" s="264"/>
      <c r="I1089" s="281"/>
      <c r="J1089" s="281"/>
      <c r="K1089" s="264"/>
      <c r="L1089" s="264"/>
      <c r="M1089" s="264"/>
      <c r="N1089" s="264"/>
      <c r="O1089" s="264"/>
      <c r="P1089" s="264"/>
      <c r="Q1089" s="264"/>
      <c r="R1089" s="264"/>
      <c r="S1089" s="264"/>
      <c r="T1089" s="264"/>
      <c r="U1089" s="16"/>
      <c r="V1089" s="264"/>
      <c r="W1089" s="264"/>
      <c r="X1089" s="264"/>
      <c r="Y1089" s="264"/>
      <c r="Z1089" s="264"/>
      <c r="AA1089" s="264"/>
      <c r="AB1089" s="264"/>
      <c r="AC1089" s="264"/>
      <c r="AD1089" s="264"/>
      <c r="AE1089" s="264"/>
      <c r="AF1089" s="264"/>
      <c r="AG1089" s="264"/>
      <c r="AH1089" s="264"/>
      <c r="AI1089" s="264"/>
      <c r="AJ1089" s="264"/>
      <c r="AK1089" s="264"/>
      <c r="AL1089" s="264"/>
      <c r="AM1089" s="264"/>
      <c r="AN1089" s="264"/>
    </row>
    <row r="1090" ht="15.75" customHeight="1">
      <c r="A1090" s="264"/>
      <c r="B1090" s="42"/>
      <c r="C1090" s="280"/>
      <c r="D1090" s="264"/>
      <c r="E1090" s="264"/>
      <c r="F1090" s="264"/>
      <c r="G1090" s="264"/>
      <c r="H1090" s="264"/>
      <c r="I1090" s="281"/>
      <c r="J1090" s="281"/>
      <c r="K1090" s="264"/>
      <c r="L1090" s="264"/>
      <c r="M1090" s="264"/>
      <c r="N1090" s="264"/>
      <c r="O1090" s="264"/>
      <c r="P1090" s="264"/>
      <c r="Q1090" s="264"/>
      <c r="R1090" s="264"/>
      <c r="S1090" s="264"/>
      <c r="T1090" s="264"/>
      <c r="U1090" s="16"/>
      <c r="V1090" s="264"/>
      <c r="W1090" s="264"/>
      <c r="X1090" s="264"/>
      <c r="Y1090" s="264"/>
      <c r="Z1090" s="264"/>
      <c r="AA1090" s="264"/>
      <c r="AB1090" s="264"/>
      <c r="AC1090" s="264"/>
      <c r="AD1090" s="264"/>
      <c r="AE1090" s="264"/>
      <c r="AF1090" s="264"/>
      <c r="AG1090" s="264"/>
      <c r="AH1090" s="264"/>
      <c r="AI1090" s="264"/>
      <c r="AJ1090" s="264"/>
      <c r="AK1090" s="264"/>
      <c r="AL1090" s="264"/>
      <c r="AM1090" s="264"/>
      <c r="AN1090" s="264"/>
    </row>
    <row r="1091" ht="15.75" customHeight="1">
      <c r="A1091" s="264"/>
      <c r="B1091" s="42"/>
      <c r="C1091" s="280"/>
      <c r="D1091" s="264"/>
      <c r="E1091" s="264"/>
      <c r="F1091" s="264"/>
      <c r="G1091" s="264"/>
      <c r="H1091" s="264"/>
      <c r="I1091" s="281"/>
      <c r="J1091" s="281"/>
      <c r="K1091" s="264"/>
      <c r="L1091" s="264"/>
      <c r="M1091" s="264"/>
      <c r="N1091" s="264"/>
      <c r="O1091" s="264"/>
      <c r="P1091" s="264"/>
      <c r="Q1091" s="264"/>
      <c r="R1091" s="264"/>
      <c r="S1091" s="264"/>
      <c r="T1091" s="264"/>
      <c r="U1091" s="16"/>
      <c r="V1091" s="264"/>
      <c r="W1091" s="264"/>
      <c r="X1091" s="264"/>
      <c r="Y1091" s="264"/>
      <c r="Z1091" s="264"/>
      <c r="AA1091" s="264"/>
      <c r="AB1091" s="264"/>
      <c r="AC1091" s="264"/>
      <c r="AD1091" s="264"/>
      <c r="AE1091" s="264"/>
      <c r="AF1091" s="264"/>
      <c r="AG1091" s="264"/>
      <c r="AH1091" s="264"/>
      <c r="AI1091" s="264"/>
      <c r="AJ1091" s="264"/>
      <c r="AK1091" s="264"/>
      <c r="AL1091" s="264"/>
      <c r="AM1091" s="264"/>
      <c r="AN1091" s="264"/>
    </row>
    <row r="1092" ht="15.75" customHeight="1">
      <c r="A1092" s="264"/>
      <c r="B1092" s="42"/>
      <c r="C1092" s="280"/>
      <c r="D1092" s="264"/>
      <c r="E1092" s="264"/>
      <c r="F1092" s="264"/>
      <c r="G1092" s="264"/>
      <c r="H1092" s="264"/>
      <c r="I1092" s="281"/>
      <c r="J1092" s="281"/>
      <c r="K1092" s="264"/>
      <c r="L1092" s="264"/>
      <c r="M1092" s="264"/>
      <c r="N1092" s="264"/>
      <c r="O1092" s="264"/>
      <c r="P1092" s="264"/>
      <c r="Q1092" s="264"/>
      <c r="R1092" s="264"/>
      <c r="S1092" s="264"/>
      <c r="T1092" s="264"/>
      <c r="U1092" s="16"/>
      <c r="V1092" s="264"/>
      <c r="W1092" s="264"/>
      <c r="X1092" s="264"/>
      <c r="Y1092" s="264"/>
      <c r="Z1092" s="264"/>
      <c r="AA1092" s="264"/>
      <c r="AB1092" s="264"/>
      <c r="AC1092" s="264"/>
      <c r="AD1092" s="264"/>
      <c r="AE1092" s="264"/>
      <c r="AF1092" s="264"/>
      <c r="AG1092" s="264"/>
      <c r="AH1092" s="264"/>
      <c r="AI1092" s="264"/>
      <c r="AJ1092" s="264"/>
      <c r="AK1092" s="264"/>
      <c r="AL1092" s="264"/>
      <c r="AM1092" s="264"/>
      <c r="AN1092" s="264"/>
    </row>
    <row r="1093" ht="15.75" customHeight="1">
      <c r="A1093" s="264"/>
      <c r="B1093" s="42"/>
      <c r="C1093" s="280"/>
      <c r="D1093" s="264"/>
      <c r="E1093" s="264"/>
      <c r="F1093" s="264"/>
      <c r="G1093" s="264"/>
      <c r="H1093" s="264"/>
      <c r="I1093" s="281"/>
      <c r="J1093" s="281"/>
      <c r="K1093" s="264"/>
      <c r="L1093" s="264"/>
      <c r="M1093" s="264"/>
      <c r="N1093" s="264"/>
      <c r="O1093" s="264"/>
      <c r="P1093" s="264"/>
      <c r="Q1093" s="264"/>
      <c r="R1093" s="264"/>
      <c r="S1093" s="264"/>
      <c r="T1093" s="264"/>
      <c r="U1093" s="16"/>
      <c r="V1093" s="264"/>
      <c r="W1093" s="264"/>
      <c r="X1093" s="264"/>
      <c r="Y1093" s="264"/>
      <c r="Z1093" s="264"/>
      <c r="AA1093" s="264"/>
      <c r="AB1093" s="264"/>
      <c r="AC1093" s="264"/>
      <c r="AD1093" s="264"/>
      <c r="AE1093" s="264"/>
      <c r="AF1093" s="264"/>
      <c r="AG1093" s="264"/>
      <c r="AH1093" s="264"/>
      <c r="AI1093" s="264"/>
      <c r="AJ1093" s="264"/>
      <c r="AK1093" s="264"/>
      <c r="AL1093" s="264"/>
      <c r="AM1093" s="264"/>
      <c r="AN1093" s="264"/>
    </row>
    <row r="1094" ht="15.75" customHeight="1">
      <c r="A1094" s="264"/>
      <c r="B1094" s="42"/>
      <c r="C1094" s="280"/>
      <c r="D1094" s="264"/>
      <c r="E1094" s="264"/>
      <c r="F1094" s="264"/>
      <c r="G1094" s="264"/>
      <c r="H1094" s="264"/>
      <c r="I1094" s="281"/>
      <c r="J1094" s="281"/>
      <c r="K1094" s="264"/>
      <c r="L1094" s="264"/>
      <c r="M1094" s="264"/>
      <c r="N1094" s="264"/>
      <c r="O1094" s="264"/>
      <c r="P1094" s="264"/>
      <c r="Q1094" s="264"/>
      <c r="R1094" s="264"/>
      <c r="S1094" s="264"/>
      <c r="T1094" s="264"/>
      <c r="U1094" s="16"/>
      <c r="V1094" s="264"/>
      <c r="W1094" s="264"/>
      <c r="X1094" s="264"/>
      <c r="Y1094" s="264"/>
      <c r="Z1094" s="264"/>
      <c r="AA1094" s="264"/>
      <c r="AB1094" s="264"/>
      <c r="AC1094" s="264"/>
      <c r="AD1094" s="264"/>
      <c r="AE1094" s="264"/>
      <c r="AF1094" s="264"/>
      <c r="AG1094" s="264"/>
      <c r="AH1094" s="264"/>
      <c r="AI1094" s="264"/>
      <c r="AJ1094" s="264"/>
      <c r="AK1094" s="264"/>
      <c r="AL1094" s="264"/>
      <c r="AM1094" s="264"/>
      <c r="AN1094" s="264"/>
    </row>
    <row r="1095" ht="15.75" customHeight="1">
      <c r="A1095" s="264"/>
      <c r="B1095" s="42"/>
      <c r="C1095" s="280"/>
      <c r="D1095" s="264"/>
      <c r="E1095" s="264"/>
      <c r="F1095" s="264"/>
      <c r="G1095" s="264"/>
      <c r="H1095" s="264"/>
      <c r="I1095" s="281"/>
      <c r="J1095" s="281"/>
      <c r="K1095" s="264"/>
      <c r="L1095" s="264"/>
      <c r="M1095" s="264"/>
      <c r="N1095" s="264"/>
      <c r="O1095" s="264"/>
      <c r="P1095" s="264"/>
      <c r="Q1095" s="264"/>
      <c r="R1095" s="264"/>
      <c r="S1095" s="264"/>
      <c r="T1095" s="264"/>
      <c r="U1095" s="16"/>
      <c r="V1095" s="264"/>
      <c r="W1095" s="264"/>
      <c r="X1095" s="264"/>
      <c r="Y1095" s="264"/>
      <c r="Z1095" s="264"/>
      <c r="AA1095" s="264"/>
      <c r="AB1095" s="264"/>
      <c r="AC1095" s="264"/>
      <c r="AD1095" s="264"/>
      <c r="AE1095" s="264"/>
      <c r="AF1095" s="264"/>
      <c r="AG1095" s="264"/>
      <c r="AH1095" s="264"/>
      <c r="AI1095" s="264"/>
      <c r="AJ1095" s="264"/>
      <c r="AK1095" s="264"/>
      <c r="AL1095" s="264"/>
      <c r="AM1095" s="264"/>
      <c r="AN1095" s="264"/>
    </row>
    <row r="1096" ht="15.75" customHeight="1">
      <c r="A1096" s="264"/>
      <c r="B1096" s="42"/>
      <c r="C1096" s="280"/>
      <c r="D1096" s="264"/>
      <c r="E1096" s="264"/>
      <c r="F1096" s="264"/>
      <c r="G1096" s="264"/>
      <c r="H1096" s="264"/>
      <c r="I1096" s="281"/>
      <c r="J1096" s="281"/>
      <c r="K1096" s="264"/>
      <c r="L1096" s="264"/>
      <c r="M1096" s="264"/>
      <c r="N1096" s="264"/>
      <c r="O1096" s="264"/>
      <c r="P1096" s="264"/>
      <c r="Q1096" s="264"/>
      <c r="R1096" s="264"/>
      <c r="S1096" s="264"/>
      <c r="T1096" s="264"/>
      <c r="U1096" s="16"/>
      <c r="V1096" s="264"/>
      <c r="W1096" s="264"/>
      <c r="X1096" s="264"/>
      <c r="Y1096" s="264"/>
      <c r="Z1096" s="264"/>
      <c r="AA1096" s="264"/>
      <c r="AB1096" s="264"/>
      <c r="AC1096" s="264"/>
      <c r="AD1096" s="264"/>
      <c r="AE1096" s="264"/>
      <c r="AF1096" s="264"/>
      <c r="AG1096" s="264"/>
      <c r="AH1096" s="264"/>
      <c r="AI1096" s="264"/>
      <c r="AJ1096" s="264"/>
      <c r="AK1096" s="264"/>
      <c r="AL1096" s="264"/>
      <c r="AM1096" s="264"/>
      <c r="AN1096" s="264"/>
    </row>
    <row r="1097" ht="15.75" customHeight="1">
      <c r="A1097" s="264"/>
      <c r="B1097" s="42"/>
      <c r="C1097" s="280"/>
      <c r="D1097" s="264"/>
      <c r="E1097" s="264"/>
      <c r="F1097" s="264"/>
      <c r="G1097" s="264"/>
      <c r="H1097" s="264"/>
      <c r="I1097" s="281"/>
      <c r="J1097" s="281"/>
      <c r="K1097" s="264"/>
      <c r="L1097" s="264"/>
      <c r="M1097" s="264"/>
      <c r="N1097" s="264"/>
      <c r="O1097" s="264"/>
      <c r="P1097" s="264"/>
      <c r="Q1097" s="264"/>
      <c r="R1097" s="264"/>
      <c r="S1097" s="264"/>
      <c r="T1097" s="264"/>
      <c r="U1097" s="16"/>
      <c r="V1097" s="264"/>
      <c r="W1097" s="264"/>
      <c r="X1097" s="264"/>
      <c r="Y1097" s="264"/>
      <c r="Z1097" s="264"/>
      <c r="AA1097" s="264"/>
      <c r="AB1097" s="264"/>
      <c r="AC1097" s="264"/>
      <c r="AD1097" s="264"/>
      <c r="AE1097" s="264"/>
      <c r="AF1097" s="264"/>
      <c r="AG1097" s="264"/>
      <c r="AH1097" s="264"/>
      <c r="AI1097" s="264"/>
      <c r="AJ1097" s="264"/>
      <c r="AK1097" s="264"/>
      <c r="AL1097" s="264"/>
      <c r="AM1097" s="264"/>
      <c r="AN1097" s="264"/>
    </row>
    <row r="1098" ht="15.75" customHeight="1">
      <c r="A1098" s="264"/>
      <c r="B1098" s="42"/>
      <c r="C1098" s="280"/>
      <c r="D1098" s="264"/>
      <c r="E1098" s="264"/>
      <c r="F1098" s="264"/>
      <c r="G1098" s="264"/>
      <c r="H1098" s="264"/>
      <c r="I1098" s="281"/>
      <c r="J1098" s="281"/>
      <c r="K1098" s="264"/>
      <c r="L1098" s="264"/>
      <c r="M1098" s="264"/>
      <c r="N1098" s="264"/>
      <c r="O1098" s="264"/>
      <c r="P1098" s="264"/>
      <c r="Q1098" s="264"/>
      <c r="R1098" s="264"/>
      <c r="S1098" s="264"/>
      <c r="T1098" s="264"/>
      <c r="U1098" s="16"/>
      <c r="V1098" s="264"/>
      <c r="W1098" s="264"/>
      <c r="X1098" s="264"/>
      <c r="Y1098" s="264"/>
      <c r="Z1098" s="264"/>
      <c r="AA1098" s="264"/>
      <c r="AB1098" s="264"/>
      <c r="AC1098" s="264"/>
      <c r="AD1098" s="264"/>
      <c r="AE1098" s="264"/>
      <c r="AF1098" s="264"/>
      <c r="AG1098" s="264"/>
      <c r="AH1098" s="264"/>
      <c r="AI1098" s="264"/>
      <c r="AJ1098" s="264"/>
      <c r="AK1098" s="264"/>
      <c r="AL1098" s="264"/>
      <c r="AM1098" s="264"/>
      <c r="AN1098" s="264"/>
    </row>
    <row r="1099" ht="15.75" customHeight="1">
      <c r="A1099" s="264"/>
      <c r="B1099" s="42"/>
      <c r="C1099" s="280"/>
      <c r="D1099" s="264"/>
      <c r="E1099" s="264"/>
      <c r="F1099" s="264"/>
      <c r="G1099" s="264"/>
      <c r="H1099" s="264"/>
      <c r="I1099" s="281"/>
      <c r="J1099" s="281"/>
      <c r="K1099" s="264"/>
      <c r="L1099" s="264"/>
      <c r="M1099" s="264"/>
      <c r="N1099" s="264"/>
      <c r="O1099" s="264"/>
      <c r="P1099" s="264"/>
      <c r="Q1099" s="264"/>
      <c r="R1099" s="264"/>
      <c r="S1099" s="264"/>
      <c r="T1099" s="264"/>
      <c r="U1099" s="16"/>
      <c r="V1099" s="264"/>
      <c r="W1099" s="264"/>
      <c r="X1099" s="264"/>
      <c r="Y1099" s="264"/>
      <c r="Z1099" s="264"/>
      <c r="AA1099" s="264"/>
      <c r="AB1099" s="264"/>
      <c r="AC1099" s="264"/>
      <c r="AD1099" s="264"/>
      <c r="AE1099" s="264"/>
      <c r="AF1099" s="264"/>
      <c r="AG1099" s="264"/>
      <c r="AH1099" s="264"/>
      <c r="AI1099" s="264"/>
      <c r="AJ1099" s="264"/>
      <c r="AK1099" s="264"/>
      <c r="AL1099" s="264"/>
      <c r="AM1099" s="264"/>
      <c r="AN1099" s="264"/>
    </row>
    <row r="1100" ht="15.75" customHeight="1">
      <c r="A1100" s="264"/>
      <c r="B1100" s="42"/>
      <c r="C1100" s="280"/>
      <c r="D1100" s="264"/>
      <c r="E1100" s="264"/>
      <c r="F1100" s="264"/>
      <c r="G1100" s="264"/>
      <c r="H1100" s="264"/>
      <c r="I1100" s="281"/>
      <c r="J1100" s="281"/>
      <c r="K1100" s="264"/>
      <c r="L1100" s="264"/>
      <c r="M1100" s="264"/>
      <c r="N1100" s="264"/>
      <c r="O1100" s="264"/>
      <c r="P1100" s="264"/>
      <c r="Q1100" s="264"/>
      <c r="R1100" s="264"/>
      <c r="S1100" s="264"/>
      <c r="T1100" s="264"/>
      <c r="U1100" s="16"/>
      <c r="V1100" s="264"/>
      <c r="W1100" s="264"/>
      <c r="X1100" s="264"/>
      <c r="Y1100" s="264"/>
      <c r="Z1100" s="264"/>
      <c r="AA1100" s="264"/>
      <c r="AB1100" s="264"/>
      <c r="AC1100" s="264"/>
      <c r="AD1100" s="264"/>
      <c r="AE1100" s="264"/>
      <c r="AF1100" s="264"/>
      <c r="AG1100" s="264"/>
      <c r="AH1100" s="264"/>
      <c r="AI1100" s="264"/>
      <c r="AJ1100" s="264"/>
      <c r="AK1100" s="264"/>
      <c r="AL1100" s="264"/>
      <c r="AM1100" s="264"/>
      <c r="AN1100" s="264"/>
    </row>
    <row r="1101" ht="15.75" customHeight="1">
      <c r="A1101" s="264"/>
      <c r="B1101" s="42"/>
      <c r="C1101" s="280"/>
      <c r="D1101" s="264"/>
      <c r="E1101" s="264"/>
      <c r="F1101" s="264"/>
      <c r="G1101" s="264"/>
      <c r="H1101" s="264"/>
      <c r="I1101" s="281"/>
      <c r="J1101" s="281"/>
      <c r="K1101" s="264"/>
      <c r="L1101" s="264"/>
      <c r="M1101" s="264"/>
      <c r="N1101" s="264"/>
      <c r="O1101" s="264"/>
      <c r="P1101" s="264"/>
      <c r="Q1101" s="264"/>
      <c r="R1101" s="264"/>
      <c r="S1101" s="264"/>
      <c r="T1101" s="264"/>
      <c r="U1101" s="16"/>
      <c r="V1101" s="264"/>
      <c r="W1101" s="264"/>
      <c r="X1101" s="264"/>
      <c r="Y1101" s="264"/>
      <c r="Z1101" s="264"/>
      <c r="AA1101" s="264"/>
      <c r="AB1101" s="264"/>
      <c r="AC1101" s="264"/>
      <c r="AD1101" s="264"/>
      <c r="AE1101" s="264"/>
      <c r="AF1101" s="264"/>
      <c r="AG1101" s="264"/>
      <c r="AH1101" s="264"/>
      <c r="AI1101" s="264"/>
      <c r="AJ1101" s="264"/>
      <c r="AK1101" s="264"/>
      <c r="AL1101" s="264"/>
      <c r="AM1101" s="264"/>
      <c r="AN1101" s="264"/>
    </row>
    <row r="1102" ht="15.75" customHeight="1">
      <c r="A1102" s="264"/>
      <c r="B1102" s="42"/>
      <c r="C1102" s="280"/>
      <c r="D1102" s="264"/>
      <c r="E1102" s="264"/>
      <c r="F1102" s="264"/>
      <c r="G1102" s="264"/>
      <c r="H1102" s="264"/>
      <c r="I1102" s="281"/>
      <c r="J1102" s="281"/>
      <c r="K1102" s="264"/>
      <c r="L1102" s="264"/>
      <c r="M1102" s="264"/>
      <c r="N1102" s="264"/>
      <c r="O1102" s="264"/>
      <c r="P1102" s="264"/>
      <c r="Q1102" s="264"/>
      <c r="R1102" s="264"/>
      <c r="S1102" s="264"/>
      <c r="T1102" s="264"/>
      <c r="U1102" s="16"/>
      <c r="V1102" s="264"/>
      <c r="W1102" s="264"/>
      <c r="X1102" s="264"/>
      <c r="Y1102" s="264"/>
      <c r="Z1102" s="264"/>
      <c r="AA1102" s="264"/>
      <c r="AB1102" s="264"/>
      <c r="AC1102" s="264"/>
      <c r="AD1102" s="264"/>
      <c r="AE1102" s="264"/>
      <c r="AF1102" s="264"/>
      <c r="AG1102" s="264"/>
      <c r="AH1102" s="264"/>
      <c r="AI1102" s="264"/>
      <c r="AJ1102" s="264"/>
      <c r="AK1102" s="264"/>
      <c r="AL1102" s="264"/>
      <c r="AM1102" s="264"/>
      <c r="AN1102" s="264"/>
    </row>
    <row r="1103" ht="15.75" customHeight="1">
      <c r="A1103" s="264"/>
      <c r="B1103" s="42"/>
      <c r="C1103" s="280"/>
      <c r="D1103" s="264"/>
      <c r="E1103" s="264"/>
      <c r="F1103" s="264"/>
      <c r="G1103" s="264"/>
      <c r="H1103" s="264"/>
      <c r="I1103" s="281"/>
      <c r="J1103" s="281"/>
      <c r="K1103" s="264"/>
      <c r="L1103" s="264"/>
      <c r="M1103" s="264"/>
      <c r="N1103" s="264"/>
      <c r="O1103" s="264"/>
      <c r="P1103" s="264"/>
      <c r="Q1103" s="264"/>
      <c r="R1103" s="264"/>
      <c r="S1103" s="264"/>
      <c r="T1103" s="264"/>
      <c r="U1103" s="16"/>
      <c r="V1103" s="264"/>
      <c r="W1103" s="264"/>
      <c r="X1103" s="264"/>
      <c r="Y1103" s="264"/>
      <c r="Z1103" s="264"/>
      <c r="AA1103" s="264"/>
      <c r="AB1103" s="264"/>
      <c r="AC1103" s="264"/>
      <c r="AD1103" s="264"/>
      <c r="AE1103" s="264"/>
      <c r="AF1103" s="264"/>
      <c r="AG1103" s="264"/>
      <c r="AH1103" s="264"/>
      <c r="AI1103" s="264"/>
      <c r="AJ1103" s="264"/>
      <c r="AK1103" s="264"/>
      <c r="AL1103" s="264"/>
      <c r="AM1103" s="264"/>
      <c r="AN1103" s="264"/>
    </row>
    <row r="1104" ht="15.75" customHeight="1">
      <c r="A1104" s="264"/>
      <c r="B1104" s="42"/>
      <c r="C1104" s="280"/>
      <c r="D1104" s="264"/>
      <c r="E1104" s="264"/>
      <c r="F1104" s="264"/>
      <c r="G1104" s="264"/>
      <c r="H1104" s="264"/>
      <c r="I1104" s="281"/>
      <c r="J1104" s="281"/>
      <c r="K1104" s="264"/>
      <c r="L1104" s="264"/>
      <c r="M1104" s="264"/>
      <c r="N1104" s="264"/>
      <c r="O1104" s="264"/>
      <c r="P1104" s="264"/>
      <c r="Q1104" s="264"/>
      <c r="R1104" s="264"/>
      <c r="S1104" s="264"/>
      <c r="T1104" s="264"/>
      <c r="U1104" s="16"/>
      <c r="V1104" s="264"/>
      <c r="W1104" s="264"/>
      <c r="X1104" s="264"/>
      <c r="Y1104" s="264"/>
      <c r="Z1104" s="264"/>
      <c r="AA1104" s="264"/>
      <c r="AB1104" s="264"/>
      <c r="AC1104" s="264"/>
      <c r="AD1104" s="264"/>
      <c r="AE1104" s="264"/>
      <c r="AF1104" s="264"/>
      <c r="AG1104" s="264"/>
      <c r="AH1104" s="264"/>
      <c r="AI1104" s="264"/>
      <c r="AJ1104" s="264"/>
      <c r="AK1104" s="264"/>
      <c r="AL1104" s="264"/>
      <c r="AM1104" s="264"/>
      <c r="AN1104" s="264"/>
    </row>
    <row r="1105" ht="15.75" customHeight="1">
      <c r="A1105" s="264"/>
      <c r="B1105" s="42"/>
      <c r="C1105" s="280"/>
      <c r="D1105" s="264"/>
      <c r="E1105" s="264"/>
      <c r="F1105" s="264"/>
      <c r="G1105" s="264"/>
      <c r="H1105" s="264"/>
      <c r="I1105" s="281"/>
      <c r="J1105" s="281"/>
      <c r="K1105" s="264"/>
      <c r="L1105" s="264"/>
      <c r="M1105" s="264"/>
      <c r="N1105" s="264"/>
      <c r="O1105" s="264"/>
      <c r="P1105" s="264"/>
      <c r="Q1105" s="264"/>
      <c r="R1105" s="264"/>
      <c r="S1105" s="264"/>
      <c r="T1105" s="264"/>
      <c r="U1105" s="16"/>
      <c r="V1105" s="264"/>
      <c r="W1105" s="264"/>
      <c r="X1105" s="264"/>
      <c r="Y1105" s="264"/>
      <c r="Z1105" s="264"/>
      <c r="AA1105" s="264"/>
      <c r="AB1105" s="264"/>
      <c r="AC1105" s="264"/>
      <c r="AD1105" s="264"/>
      <c r="AE1105" s="264"/>
      <c r="AF1105" s="264"/>
      <c r="AG1105" s="264"/>
      <c r="AH1105" s="264"/>
      <c r="AI1105" s="264"/>
      <c r="AJ1105" s="264"/>
      <c r="AK1105" s="264"/>
      <c r="AL1105" s="264"/>
      <c r="AM1105" s="264"/>
      <c r="AN1105" s="264"/>
    </row>
    <row r="1106" ht="15.75" customHeight="1">
      <c r="A1106" s="264"/>
      <c r="B1106" s="42"/>
      <c r="C1106" s="280"/>
      <c r="D1106" s="264"/>
      <c r="E1106" s="264"/>
      <c r="F1106" s="264"/>
      <c r="G1106" s="264"/>
      <c r="H1106" s="264"/>
      <c r="I1106" s="281"/>
      <c r="J1106" s="281"/>
      <c r="K1106" s="264"/>
      <c r="L1106" s="264"/>
      <c r="M1106" s="264"/>
      <c r="N1106" s="264"/>
      <c r="O1106" s="264"/>
      <c r="P1106" s="264"/>
      <c r="Q1106" s="264"/>
      <c r="R1106" s="264"/>
      <c r="S1106" s="264"/>
      <c r="T1106" s="264"/>
      <c r="U1106" s="16"/>
      <c r="V1106" s="264"/>
      <c r="W1106" s="264"/>
      <c r="X1106" s="264"/>
      <c r="Y1106" s="264"/>
      <c r="Z1106" s="264"/>
      <c r="AA1106" s="264"/>
      <c r="AB1106" s="264"/>
      <c r="AC1106" s="264"/>
      <c r="AD1106" s="264"/>
      <c r="AE1106" s="264"/>
      <c r="AF1106" s="264"/>
      <c r="AG1106" s="264"/>
      <c r="AH1106" s="264"/>
      <c r="AI1106" s="264"/>
      <c r="AJ1106" s="264"/>
      <c r="AK1106" s="264"/>
      <c r="AL1106" s="264"/>
      <c r="AM1106" s="264"/>
      <c r="AN1106" s="264"/>
    </row>
    <row r="1107" ht="15.75" customHeight="1">
      <c r="A1107" s="264"/>
      <c r="B1107" s="42"/>
      <c r="C1107" s="280"/>
      <c r="D1107" s="264"/>
      <c r="E1107" s="264"/>
      <c r="F1107" s="264"/>
      <c r="G1107" s="264"/>
      <c r="H1107" s="264"/>
      <c r="I1107" s="281"/>
      <c r="J1107" s="281"/>
      <c r="K1107" s="264"/>
      <c r="L1107" s="264"/>
      <c r="M1107" s="264"/>
      <c r="N1107" s="264"/>
      <c r="O1107" s="264"/>
      <c r="P1107" s="264"/>
      <c r="Q1107" s="264"/>
      <c r="R1107" s="264"/>
      <c r="S1107" s="264"/>
      <c r="T1107" s="264"/>
      <c r="U1107" s="16"/>
      <c r="V1107" s="264"/>
      <c r="W1107" s="264"/>
      <c r="X1107" s="264"/>
      <c r="Y1107" s="264"/>
      <c r="Z1107" s="264"/>
      <c r="AA1107" s="264"/>
      <c r="AB1107" s="264"/>
      <c r="AC1107" s="264"/>
      <c r="AD1107" s="264"/>
      <c r="AE1107" s="264"/>
      <c r="AF1107" s="264"/>
      <c r="AG1107" s="264"/>
      <c r="AH1107" s="264"/>
      <c r="AI1107" s="264"/>
      <c r="AJ1107" s="264"/>
      <c r="AK1107" s="264"/>
      <c r="AL1107" s="264"/>
      <c r="AM1107" s="264"/>
      <c r="AN1107" s="264"/>
    </row>
    <row r="1108" ht="15.75" customHeight="1">
      <c r="A1108" s="264"/>
      <c r="B1108" s="42"/>
      <c r="C1108" s="280"/>
      <c r="D1108" s="264"/>
      <c r="E1108" s="264"/>
      <c r="F1108" s="264"/>
      <c r="G1108" s="264"/>
      <c r="H1108" s="264"/>
      <c r="I1108" s="281"/>
      <c r="J1108" s="281"/>
      <c r="K1108" s="264"/>
      <c r="L1108" s="264"/>
      <c r="M1108" s="264"/>
      <c r="N1108" s="264"/>
      <c r="O1108" s="264"/>
      <c r="P1108" s="264"/>
      <c r="Q1108" s="264"/>
      <c r="R1108" s="264"/>
      <c r="S1108" s="264"/>
      <c r="T1108" s="264"/>
      <c r="U1108" s="16"/>
      <c r="V1108" s="264"/>
      <c r="W1108" s="264"/>
      <c r="X1108" s="264"/>
      <c r="Y1108" s="264"/>
      <c r="Z1108" s="264"/>
      <c r="AA1108" s="264"/>
      <c r="AB1108" s="264"/>
      <c r="AC1108" s="264"/>
      <c r="AD1108" s="264"/>
      <c r="AE1108" s="264"/>
      <c r="AF1108" s="264"/>
      <c r="AG1108" s="264"/>
      <c r="AH1108" s="264"/>
      <c r="AI1108" s="264"/>
      <c r="AJ1108" s="264"/>
      <c r="AK1108" s="264"/>
      <c r="AL1108" s="264"/>
      <c r="AM1108" s="264"/>
      <c r="AN1108" s="264"/>
    </row>
    <row r="1109" ht="15.75" customHeight="1">
      <c r="A1109" s="264"/>
      <c r="B1109" s="42"/>
      <c r="C1109" s="280"/>
      <c r="D1109" s="264"/>
      <c r="E1109" s="264"/>
      <c r="F1109" s="264"/>
      <c r="G1109" s="264"/>
      <c r="H1109" s="264"/>
      <c r="I1109" s="281"/>
      <c r="J1109" s="281"/>
      <c r="K1109" s="264"/>
      <c r="L1109" s="264"/>
      <c r="M1109" s="264"/>
      <c r="N1109" s="264"/>
      <c r="O1109" s="264"/>
      <c r="P1109" s="264"/>
      <c r="Q1109" s="264"/>
      <c r="R1109" s="264"/>
      <c r="S1109" s="264"/>
      <c r="T1109" s="264"/>
      <c r="U1109" s="16"/>
      <c r="V1109" s="264"/>
      <c r="W1109" s="264"/>
      <c r="X1109" s="264"/>
      <c r="Y1109" s="264"/>
      <c r="Z1109" s="264"/>
      <c r="AA1109" s="264"/>
      <c r="AB1109" s="264"/>
      <c r="AC1109" s="264"/>
      <c r="AD1109" s="264"/>
      <c r="AE1109" s="264"/>
      <c r="AF1109" s="264"/>
      <c r="AG1109" s="264"/>
      <c r="AH1109" s="264"/>
      <c r="AI1109" s="264"/>
      <c r="AJ1109" s="264"/>
      <c r="AK1109" s="264"/>
      <c r="AL1109" s="264"/>
      <c r="AM1109" s="264"/>
      <c r="AN1109" s="264"/>
    </row>
    <row r="1110" ht="15.75" customHeight="1">
      <c r="A1110" s="264"/>
      <c r="B1110" s="42"/>
      <c r="C1110" s="280"/>
      <c r="D1110" s="264"/>
      <c r="E1110" s="264"/>
      <c r="F1110" s="264"/>
      <c r="G1110" s="264"/>
      <c r="H1110" s="264"/>
      <c r="I1110" s="281"/>
      <c r="J1110" s="281"/>
      <c r="K1110" s="264"/>
      <c r="L1110" s="264"/>
      <c r="M1110" s="264"/>
      <c r="N1110" s="264"/>
      <c r="O1110" s="264"/>
      <c r="P1110" s="264"/>
      <c r="Q1110" s="264"/>
      <c r="R1110" s="264"/>
      <c r="S1110" s="264"/>
      <c r="T1110" s="264"/>
      <c r="U1110" s="16"/>
      <c r="V1110" s="264"/>
      <c r="W1110" s="264"/>
      <c r="X1110" s="264"/>
      <c r="Y1110" s="264"/>
      <c r="Z1110" s="264"/>
      <c r="AA1110" s="264"/>
      <c r="AB1110" s="264"/>
      <c r="AC1110" s="264"/>
      <c r="AD1110" s="264"/>
      <c r="AE1110" s="264"/>
      <c r="AF1110" s="264"/>
      <c r="AG1110" s="264"/>
      <c r="AH1110" s="264"/>
      <c r="AI1110" s="264"/>
      <c r="AJ1110" s="264"/>
      <c r="AK1110" s="264"/>
      <c r="AL1110" s="264"/>
      <c r="AM1110" s="264"/>
      <c r="AN1110" s="264"/>
    </row>
    <row r="1111" ht="15.75" customHeight="1">
      <c r="A1111" s="264"/>
      <c r="B1111" s="42"/>
      <c r="C1111" s="280"/>
      <c r="D1111" s="264"/>
      <c r="E1111" s="264"/>
      <c r="F1111" s="264"/>
      <c r="G1111" s="264"/>
      <c r="H1111" s="264"/>
      <c r="I1111" s="281"/>
      <c r="J1111" s="281"/>
      <c r="K1111" s="264"/>
      <c r="L1111" s="264"/>
      <c r="M1111" s="264"/>
      <c r="N1111" s="264"/>
      <c r="O1111" s="264"/>
      <c r="P1111" s="264"/>
      <c r="Q1111" s="264"/>
      <c r="R1111" s="264"/>
      <c r="S1111" s="264"/>
      <c r="T1111" s="264"/>
      <c r="U1111" s="16"/>
      <c r="V1111" s="264"/>
      <c r="W1111" s="264"/>
      <c r="X1111" s="264"/>
      <c r="Y1111" s="264"/>
      <c r="Z1111" s="264"/>
      <c r="AA1111" s="264"/>
      <c r="AB1111" s="264"/>
      <c r="AC1111" s="264"/>
      <c r="AD1111" s="264"/>
      <c r="AE1111" s="264"/>
      <c r="AF1111" s="264"/>
      <c r="AG1111" s="264"/>
      <c r="AH1111" s="264"/>
      <c r="AI1111" s="264"/>
      <c r="AJ1111" s="264"/>
      <c r="AK1111" s="264"/>
      <c r="AL1111" s="264"/>
      <c r="AM1111" s="264"/>
      <c r="AN1111" s="264"/>
    </row>
    <row r="1112" ht="15.75" customHeight="1">
      <c r="A1112" s="264"/>
      <c r="B1112" s="42"/>
      <c r="C1112" s="280"/>
      <c r="D1112" s="264"/>
      <c r="E1112" s="264"/>
      <c r="F1112" s="264"/>
      <c r="G1112" s="264"/>
      <c r="H1112" s="264"/>
      <c r="I1112" s="281"/>
      <c r="J1112" s="281"/>
      <c r="K1112" s="264"/>
      <c r="L1112" s="264"/>
      <c r="M1112" s="264"/>
      <c r="N1112" s="264"/>
      <c r="O1112" s="264"/>
      <c r="P1112" s="264"/>
      <c r="Q1112" s="264"/>
      <c r="R1112" s="264"/>
      <c r="S1112" s="264"/>
      <c r="T1112" s="264"/>
      <c r="U1112" s="16"/>
      <c r="V1112" s="264"/>
      <c r="W1112" s="264"/>
      <c r="X1112" s="264"/>
      <c r="Y1112" s="264"/>
      <c r="Z1112" s="264"/>
      <c r="AA1112" s="264"/>
      <c r="AB1112" s="264"/>
      <c r="AC1112" s="264"/>
      <c r="AD1112" s="264"/>
      <c r="AE1112" s="264"/>
      <c r="AF1112" s="264"/>
      <c r="AG1112" s="264"/>
      <c r="AH1112" s="264"/>
      <c r="AI1112" s="264"/>
      <c r="AJ1112" s="264"/>
      <c r="AK1112" s="264"/>
      <c r="AL1112" s="264"/>
      <c r="AM1112" s="264"/>
      <c r="AN1112" s="264"/>
    </row>
    <row r="1113" ht="15.75" customHeight="1">
      <c r="A1113" s="264"/>
      <c r="B1113" s="42"/>
      <c r="C1113" s="280"/>
      <c r="D1113" s="264"/>
      <c r="E1113" s="264"/>
      <c r="F1113" s="264"/>
      <c r="G1113" s="264"/>
      <c r="H1113" s="264"/>
      <c r="I1113" s="281"/>
      <c r="J1113" s="281"/>
      <c r="K1113" s="264"/>
      <c r="L1113" s="264"/>
      <c r="M1113" s="264"/>
      <c r="N1113" s="264"/>
      <c r="O1113" s="264"/>
      <c r="P1113" s="264"/>
      <c r="Q1113" s="264"/>
      <c r="R1113" s="264"/>
      <c r="S1113" s="264"/>
      <c r="T1113" s="264"/>
      <c r="U1113" s="16"/>
      <c r="V1113" s="264"/>
      <c r="W1113" s="264"/>
      <c r="X1113" s="264"/>
      <c r="Y1113" s="264"/>
      <c r="Z1113" s="264"/>
      <c r="AA1113" s="264"/>
      <c r="AB1113" s="264"/>
      <c r="AC1113" s="264"/>
      <c r="AD1113" s="264"/>
      <c r="AE1113" s="264"/>
      <c r="AF1113" s="264"/>
      <c r="AG1113" s="264"/>
      <c r="AH1113" s="264"/>
      <c r="AI1113" s="264"/>
      <c r="AJ1113" s="264"/>
      <c r="AK1113" s="264"/>
      <c r="AL1113" s="264"/>
      <c r="AM1113" s="264"/>
      <c r="AN1113" s="264"/>
    </row>
    <row r="1114" ht="15.75" customHeight="1">
      <c r="A1114" s="264"/>
      <c r="B1114" s="42"/>
      <c r="C1114" s="280"/>
      <c r="D1114" s="264"/>
      <c r="E1114" s="264"/>
      <c r="F1114" s="264"/>
      <c r="G1114" s="264"/>
      <c r="H1114" s="264"/>
      <c r="I1114" s="281"/>
      <c r="J1114" s="281"/>
      <c r="K1114" s="264"/>
      <c r="L1114" s="264"/>
      <c r="M1114" s="264"/>
      <c r="N1114" s="264"/>
      <c r="O1114" s="264"/>
      <c r="P1114" s="264"/>
      <c r="Q1114" s="264"/>
      <c r="R1114" s="264"/>
      <c r="S1114" s="264"/>
      <c r="T1114" s="264"/>
      <c r="U1114" s="16"/>
      <c r="V1114" s="264"/>
      <c r="W1114" s="264"/>
      <c r="X1114" s="264"/>
      <c r="Y1114" s="264"/>
      <c r="Z1114" s="264"/>
      <c r="AA1114" s="264"/>
      <c r="AB1114" s="264"/>
      <c r="AC1114" s="264"/>
      <c r="AD1114" s="264"/>
      <c r="AE1114" s="264"/>
      <c r="AF1114" s="264"/>
      <c r="AG1114" s="264"/>
      <c r="AH1114" s="264"/>
      <c r="AI1114" s="264"/>
      <c r="AJ1114" s="264"/>
      <c r="AK1114" s="264"/>
      <c r="AL1114" s="264"/>
      <c r="AM1114" s="264"/>
      <c r="AN1114" s="264"/>
    </row>
    <row r="1115" ht="15.75" customHeight="1">
      <c r="A1115" s="264"/>
      <c r="B1115" s="42"/>
      <c r="C1115" s="280"/>
      <c r="D1115" s="264"/>
      <c r="E1115" s="264"/>
      <c r="F1115" s="264"/>
      <c r="G1115" s="264"/>
      <c r="H1115" s="264"/>
      <c r="I1115" s="281"/>
      <c r="J1115" s="281"/>
      <c r="K1115" s="264"/>
      <c r="L1115" s="264"/>
      <c r="M1115" s="264"/>
      <c r="N1115" s="264"/>
      <c r="O1115" s="264"/>
      <c r="P1115" s="264"/>
      <c r="Q1115" s="264"/>
      <c r="R1115" s="264"/>
      <c r="S1115" s="264"/>
      <c r="T1115" s="264"/>
      <c r="U1115" s="16"/>
      <c r="V1115" s="264"/>
      <c r="W1115" s="264"/>
      <c r="X1115" s="264"/>
      <c r="Y1115" s="264"/>
      <c r="Z1115" s="264"/>
      <c r="AA1115" s="264"/>
      <c r="AB1115" s="264"/>
      <c r="AC1115" s="264"/>
      <c r="AD1115" s="264"/>
      <c r="AE1115" s="264"/>
      <c r="AF1115" s="264"/>
      <c r="AG1115" s="264"/>
      <c r="AH1115" s="264"/>
      <c r="AI1115" s="264"/>
      <c r="AJ1115" s="264"/>
      <c r="AK1115" s="264"/>
      <c r="AL1115" s="264"/>
      <c r="AM1115" s="264"/>
      <c r="AN1115" s="264"/>
    </row>
    <row r="1116" ht="15.75" customHeight="1">
      <c r="A1116" s="264"/>
      <c r="B1116" s="42"/>
      <c r="C1116" s="280"/>
      <c r="D1116" s="264"/>
      <c r="E1116" s="264"/>
      <c r="F1116" s="264"/>
      <c r="G1116" s="264"/>
      <c r="H1116" s="264"/>
      <c r="I1116" s="281"/>
      <c r="J1116" s="281"/>
      <c r="K1116" s="264"/>
      <c r="L1116" s="264"/>
      <c r="M1116" s="264"/>
      <c r="N1116" s="264"/>
      <c r="O1116" s="264"/>
      <c r="P1116" s="264"/>
      <c r="Q1116" s="264"/>
      <c r="R1116" s="264"/>
      <c r="S1116" s="264"/>
      <c r="T1116" s="264"/>
      <c r="U1116" s="16"/>
      <c r="V1116" s="264"/>
      <c r="W1116" s="264"/>
      <c r="X1116" s="264"/>
      <c r="Y1116" s="264"/>
      <c r="Z1116" s="264"/>
      <c r="AA1116" s="264"/>
      <c r="AB1116" s="264"/>
      <c r="AC1116" s="264"/>
      <c r="AD1116" s="264"/>
      <c r="AE1116" s="264"/>
      <c r="AF1116" s="264"/>
      <c r="AG1116" s="264"/>
      <c r="AH1116" s="264"/>
      <c r="AI1116" s="264"/>
      <c r="AJ1116" s="264"/>
      <c r="AK1116" s="264"/>
      <c r="AL1116" s="264"/>
      <c r="AM1116" s="264"/>
      <c r="AN1116" s="264"/>
    </row>
    <row r="1117" ht="15.75" customHeight="1">
      <c r="A1117" s="264"/>
      <c r="B1117" s="42"/>
      <c r="C1117" s="280"/>
      <c r="D1117" s="264"/>
      <c r="E1117" s="264"/>
      <c r="F1117" s="264"/>
      <c r="G1117" s="264"/>
      <c r="H1117" s="264"/>
      <c r="I1117" s="281"/>
      <c r="J1117" s="281"/>
      <c r="K1117" s="264"/>
      <c r="L1117" s="264"/>
      <c r="M1117" s="264"/>
      <c r="N1117" s="264"/>
      <c r="O1117" s="264"/>
      <c r="P1117" s="264"/>
      <c r="Q1117" s="264"/>
      <c r="R1117" s="264"/>
      <c r="S1117" s="264"/>
      <c r="T1117" s="264"/>
      <c r="U1117" s="16"/>
      <c r="V1117" s="264"/>
      <c r="W1117" s="264"/>
      <c r="X1117" s="264"/>
      <c r="Y1117" s="264"/>
      <c r="Z1117" s="264"/>
      <c r="AA1117" s="264"/>
      <c r="AB1117" s="264"/>
      <c r="AC1117" s="264"/>
      <c r="AD1117" s="264"/>
      <c r="AE1117" s="264"/>
      <c r="AF1117" s="264"/>
      <c r="AG1117" s="264"/>
      <c r="AH1117" s="264"/>
      <c r="AI1117" s="264"/>
      <c r="AJ1117" s="264"/>
      <c r="AK1117" s="264"/>
      <c r="AL1117" s="264"/>
      <c r="AM1117" s="264"/>
      <c r="AN1117" s="264"/>
    </row>
    <row r="1118" ht="15.75" customHeight="1">
      <c r="A1118" s="264"/>
      <c r="B1118" s="42"/>
      <c r="C1118" s="280"/>
      <c r="D1118" s="264"/>
      <c r="E1118" s="264"/>
      <c r="F1118" s="264"/>
      <c r="G1118" s="264"/>
      <c r="H1118" s="264"/>
      <c r="I1118" s="281"/>
      <c r="J1118" s="281"/>
      <c r="K1118" s="264"/>
      <c r="L1118" s="264"/>
      <c r="M1118" s="264"/>
      <c r="N1118" s="264"/>
      <c r="O1118" s="264"/>
      <c r="P1118" s="264"/>
      <c r="Q1118" s="264"/>
      <c r="R1118" s="264"/>
      <c r="S1118" s="264"/>
      <c r="T1118" s="264"/>
      <c r="U1118" s="16"/>
      <c r="V1118" s="264"/>
      <c r="W1118" s="264"/>
      <c r="X1118" s="264"/>
      <c r="Y1118" s="264"/>
      <c r="Z1118" s="264"/>
      <c r="AA1118" s="264"/>
      <c r="AB1118" s="264"/>
      <c r="AC1118" s="264"/>
      <c r="AD1118" s="264"/>
      <c r="AE1118" s="264"/>
      <c r="AF1118" s="264"/>
      <c r="AG1118" s="264"/>
      <c r="AH1118" s="264"/>
      <c r="AI1118" s="264"/>
      <c r="AJ1118" s="264"/>
      <c r="AK1118" s="264"/>
      <c r="AL1118" s="264"/>
      <c r="AM1118" s="264"/>
      <c r="AN1118" s="264"/>
    </row>
    <row r="1119" ht="15.75" customHeight="1">
      <c r="A1119" s="264"/>
      <c r="B1119" s="42"/>
      <c r="C1119" s="280"/>
      <c r="D1119" s="264"/>
      <c r="E1119" s="264"/>
      <c r="F1119" s="264"/>
      <c r="G1119" s="264"/>
      <c r="H1119" s="264"/>
      <c r="I1119" s="281"/>
      <c r="J1119" s="281"/>
      <c r="K1119" s="264"/>
      <c r="L1119" s="264"/>
      <c r="M1119" s="264"/>
      <c r="N1119" s="264"/>
      <c r="O1119" s="264"/>
      <c r="P1119" s="264"/>
      <c r="Q1119" s="264"/>
      <c r="R1119" s="264"/>
      <c r="S1119" s="264"/>
      <c r="T1119" s="264"/>
      <c r="U1119" s="16"/>
      <c r="V1119" s="264"/>
      <c r="W1119" s="264"/>
      <c r="X1119" s="264"/>
      <c r="Y1119" s="264"/>
      <c r="Z1119" s="264"/>
      <c r="AA1119" s="264"/>
      <c r="AB1119" s="264"/>
      <c r="AC1119" s="264"/>
      <c r="AD1119" s="264"/>
      <c r="AE1119" s="264"/>
      <c r="AF1119" s="264"/>
      <c r="AG1119" s="264"/>
      <c r="AH1119" s="264"/>
      <c r="AI1119" s="264"/>
      <c r="AJ1119" s="264"/>
      <c r="AK1119" s="264"/>
      <c r="AL1119" s="264"/>
      <c r="AM1119" s="264"/>
      <c r="AN1119" s="264"/>
    </row>
    <row r="1120" ht="15.75" customHeight="1">
      <c r="A1120" s="264"/>
      <c r="B1120" s="42"/>
      <c r="C1120" s="280"/>
      <c r="D1120" s="264"/>
      <c r="E1120" s="264"/>
      <c r="F1120" s="264"/>
      <c r="G1120" s="264"/>
      <c r="H1120" s="264"/>
      <c r="I1120" s="281"/>
      <c r="J1120" s="281"/>
      <c r="K1120" s="264"/>
      <c r="L1120" s="264"/>
      <c r="M1120" s="264"/>
      <c r="N1120" s="264"/>
      <c r="O1120" s="264"/>
      <c r="P1120" s="264"/>
      <c r="Q1120" s="264"/>
      <c r="R1120" s="264"/>
      <c r="S1120" s="264"/>
      <c r="T1120" s="264"/>
      <c r="U1120" s="16"/>
      <c r="V1120" s="264"/>
      <c r="W1120" s="264"/>
      <c r="X1120" s="264"/>
      <c r="Y1120" s="264"/>
      <c r="Z1120" s="264"/>
      <c r="AA1120" s="264"/>
      <c r="AB1120" s="264"/>
      <c r="AC1120" s="264"/>
      <c r="AD1120" s="264"/>
      <c r="AE1120" s="264"/>
      <c r="AF1120" s="264"/>
      <c r="AG1120" s="264"/>
      <c r="AH1120" s="264"/>
      <c r="AI1120" s="264"/>
      <c r="AJ1120" s="264"/>
      <c r="AK1120" s="264"/>
      <c r="AL1120" s="264"/>
      <c r="AM1120" s="264"/>
      <c r="AN1120" s="264"/>
    </row>
    <row r="1121" ht="15.75" customHeight="1">
      <c r="A1121" s="264"/>
      <c r="B1121" s="42"/>
      <c r="C1121" s="280"/>
      <c r="D1121" s="264"/>
      <c r="E1121" s="264"/>
      <c r="F1121" s="264"/>
      <c r="G1121" s="264"/>
      <c r="H1121" s="264"/>
      <c r="I1121" s="281"/>
      <c r="J1121" s="281"/>
      <c r="K1121" s="264"/>
      <c r="L1121" s="264"/>
      <c r="M1121" s="264"/>
      <c r="N1121" s="264"/>
      <c r="O1121" s="264"/>
      <c r="P1121" s="264"/>
      <c r="Q1121" s="264"/>
      <c r="R1121" s="264"/>
      <c r="S1121" s="264"/>
      <c r="T1121" s="264"/>
      <c r="U1121" s="16"/>
      <c r="V1121" s="264"/>
      <c r="W1121" s="264"/>
      <c r="X1121" s="264"/>
      <c r="Y1121" s="264"/>
      <c r="Z1121" s="264"/>
      <c r="AA1121" s="264"/>
      <c r="AB1121" s="264"/>
      <c r="AC1121" s="264"/>
      <c r="AD1121" s="264"/>
      <c r="AE1121" s="264"/>
      <c r="AF1121" s="264"/>
      <c r="AG1121" s="264"/>
      <c r="AH1121" s="264"/>
      <c r="AI1121" s="264"/>
      <c r="AJ1121" s="264"/>
      <c r="AK1121" s="264"/>
      <c r="AL1121" s="264"/>
      <c r="AM1121" s="264"/>
      <c r="AN1121" s="264"/>
    </row>
    <row r="1122" ht="15.75" customHeight="1">
      <c r="A1122" s="264"/>
      <c r="B1122" s="42"/>
      <c r="C1122" s="280"/>
      <c r="D1122" s="264"/>
      <c r="E1122" s="264"/>
      <c r="F1122" s="264"/>
      <c r="G1122" s="264"/>
      <c r="H1122" s="264"/>
      <c r="I1122" s="281"/>
      <c r="J1122" s="281"/>
      <c r="K1122" s="264"/>
      <c r="L1122" s="264"/>
      <c r="M1122" s="264"/>
      <c r="N1122" s="264"/>
      <c r="O1122" s="264"/>
      <c r="P1122" s="264"/>
      <c r="Q1122" s="264"/>
      <c r="R1122" s="264"/>
      <c r="S1122" s="264"/>
      <c r="T1122" s="264"/>
      <c r="U1122" s="16"/>
      <c r="V1122" s="264"/>
      <c r="W1122" s="264"/>
      <c r="X1122" s="264"/>
      <c r="Y1122" s="264"/>
      <c r="Z1122" s="264"/>
      <c r="AA1122" s="264"/>
      <c r="AB1122" s="264"/>
      <c r="AC1122" s="264"/>
      <c r="AD1122" s="264"/>
      <c r="AE1122" s="264"/>
      <c r="AF1122" s="264"/>
      <c r="AG1122" s="264"/>
      <c r="AH1122" s="264"/>
      <c r="AI1122" s="264"/>
      <c r="AJ1122" s="264"/>
      <c r="AK1122" s="264"/>
      <c r="AL1122" s="264"/>
      <c r="AM1122" s="264"/>
      <c r="AN1122" s="264"/>
    </row>
    <row r="1123" ht="15.75" customHeight="1">
      <c r="A1123" s="264"/>
      <c r="B1123" s="42"/>
      <c r="C1123" s="280"/>
      <c r="D1123" s="264"/>
      <c r="E1123" s="264"/>
      <c r="F1123" s="264"/>
      <c r="G1123" s="264"/>
      <c r="H1123" s="264"/>
      <c r="I1123" s="281"/>
      <c r="J1123" s="281"/>
      <c r="K1123" s="264"/>
      <c r="L1123" s="264"/>
      <c r="M1123" s="264"/>
      <c r="N1123" s="264"/>
      <c r="O1123" s="264"/>
      <c r="P1123" s="264"/>
      <c r="Q1123" s="264"/>
      <c r="R1123" s="264"/>
      <c r="S1123" s="264"/>
      <c r="T1123" s="264"/>
      <c r="U1123" s="16"/>
      <c r="V1123" s="264"/>
      <c r="W1123" s="264"/>
      <c r="X1123" s="264"/>
      <c r="Y1123" s="264"/>
      <c r="Z1123" s="264"/>
      <c r="AA1123" s="264"/>
      <c r="AB1123" s="264"/>
      <c r="AC1123" s="264"/>
      <c r="AD1123" s="264"/>
      <c r="AE1123" s="264"/>
      <c r="AF1123" s="264"/>
      <c r="AG1123" s="264"/>
      <c r="AH1123" s="264"/>
      <c r="AI1123" s="264"/>
      <c r="AJ1123" s="264"/>
      <c r="AK1123" s="264"/>
      <c r="AL1123" s="264"/>
      <c r="AM1123" s="264"/>
      <c r="AN1123" s="264"/>
    </row>
    <row r="1124" ht="15.75" customHeight="1">
      <c r="A1124" s="264"/>
      <c r="B1124" s="42"/>
      <c r="C1124" s="280"/>
      <c r="D1124" s="264"/>
      <c r="E1124" s="264"/>
      <c r="F1124" s="264"/>
      <c r="G1124" s="264"/>
      <c r="H1124" s="264"/>
      <c r="I1124" s="281"/>
      <c r="J1124" s="281"/>
      <c r="K1124" s="264"/>
      <c r="L1124" s="264"/>
      <c r="M1124" s="264"/>
      <c r="N1124" s="264"/>
      <c r="O1124" s="264"/>
      <c r="P1124" s="264"/>
      <c r="Q1124" s="264"/>
      <c r="R1124" s="264"/>
      <c r="S1124" s="264"/>
      <c r="T1124" s="264"/>
      <c r="U1124" s="16"/>
      <c r="V1124" s="264"/>
      <c r="W1124" s="264"/>
      <c r="X1124" s="264"/>
      <c r="Y1124" s="264"/>
      <c r="Z1124" s="264"/>
      <c r="AA1124" s="264"/>
      <c r="AB1124" s="264"/>
      <c r="AC1124" s="264"/>
      <c r="AD1124" s="264"/>
      <c r="AE1124" s="264"/>
      <c r="AF1124" s="264"/>
      <c r="AG1124" s="264"/>
      <c r="AH1124" s="264"/>
      <c r="AI1124" s="264"/>
      <c r="AJ1124" s="264"/>
      <c r="AK1124" s="264"/>
      <c r="AL1124" s="264"/>
      <c r="AM1124" s="264"/>
      <c r="AN1124" s="264"/>
    </row>
    <row r="1125" ht="15.75" customHeight="1">
      <c r="A1125" s="264"/>
      <c r="B1125" s="42"/>
      <c r="C1125" s="280"/>
      <c r="D1125" s="264"/>
      <c r="E1125" s="264"/>
      <c r="F1125" s="264"/>
      <c r="G1125" s="264"/>
      <c r="H1125" s="264"/>
      <c r="I1125" s="281"/>
      <c r="J1125" s="281"/>
      <c r="K1125" s="264"/>
      <c r="L1125" s="264"/>
      <c r="M1125" s="264"/>
      <c r="N1125" s="264"/>
      <c r="O1125" s="264"/>
      <c r="P1125" s="264"/>
      <c r="Q1125" s="264"/>
      <c r="R1125" s="264"/>
      <c r="S1125" s="264"/>
      <c r="T1125" s="264"/>
      <c r="U1125" s="16"/>
      <c r="V1125" s="264"/>
      <c r="W1125" s="264"/>
      <c r="X1125" s="264"/>
      <c r="Y1125" s="264"/>
      <c r="Z1125" s="264"/>
      <c r="AA1125" s="264"/>
      <c r="AB1125" s="264"/>
      <c r="AC1125" s="264"/>
      <c r="AD1125" s="264"/>
      <c r="AE1125" s="264"/>
      <c r="AF1125" s="264"/>
      <c r="AG1125" s="264"/>
      <c r="AH1125" s="264"/>
      <c r="AI1125" s="264"/>
      <c r="AJ1125" s="264"/>
      <c r="AK1125" s="264"/>
      <c r="AL1125" s="264"/>
      <c r="AM1125" s="264"/>
      <c r="AN1125" s="264"/>
    </row>
    <row r="1126" ht="15.75" customHeight="1">
      <c r="A1126" s="264"/>
      <c r="B1126" s="42"/>
      <c r="C1126" s="280"/>
      <c r="D1126" s="264"/>
      <c r="E1126" s="264"/>
      <c r="F1126" s="264"/>
      <c r="G1126" s="264"/>
      <c r="H1126" s="264"/>
      <c r="I1126" s="281"/>
      <c r="J1126" s="281"/>
      <c r="K1126" s="264"/>
      <c r="L1126" s="264"/>
      <c r="M1126" s="264"/>
      <c r="N1126" s="264"/>
      <c r="O1126" s="264"/>
      <c r="P1126" s="264"/>
      <c r="Q1126" s="264"/>
      <c r="R1126" s="264"/>
      <c r="S1126" s="264"/>
      <c r="T1126" s="264"/>
      <c r="U1126" s="16"/>
      <c r="V1126" s="264"/>
      <c r="W1126" s="264"/>
      <c r="X1126" s="264"/>
      <c r="Y1126" s="264"/>
      <c r="Z1126" s="264"/>
      <c r="AA1126" s="264"/>
      <c r="AB1126" s="264"/>
      <c r="AC1126" s="264"/>
      <c r="AD1126" s="264"/>
      <c r="AE1126" s="264"/>
      <c r="AF1126" s="264"/>
      <c r="AG1126" s="264"/>
      <c r="AH1126" s="264"/>
      <c r="AI1126" s="264"/>
      <c r="AJ1126" s="264"/>
      <c r="AK1126" s="264"/>
      <c r="AL1126" s="264"/>
      <c r="AM1126" s="264"/>
      <c r="AN1126" s="264"/>
    </row>
    <row r="1127" ht="15.75" customHeight="1">
      <c r="A1127" s="264"/>
      <c r="B1127" s="42"/>
      <c r="C1127" s="280"/>
      <c r="D1127" s="264"/>
      <c r="E1127" s="264"/>
      <c r="F1127" s="264"/>
      <c r="G1127" s="264"/>
      <c r="H1127" s="264"/>
      <c r="I1127" s="281"/>
      <c r="J1127" s="281"/>
      <c r="K1127" s="264"/>
      <c r="L1127" s="264"/>
      <c r="M1127" s="264"/>
      <c r="N1127" s="264"/>
      <c r="O1127" s="264"/>
      <c r="P1127" s="264"/>
      <c r="Q1127" s="264"/>
      <c r="R1127" s="264"/>
      <c r="S1127" s="264"/>
      <c r="T1127" s="264"/>
      <c r="U1127" s="16"/>
      <c r="V1127" s="264"/>
      <c r="W1127" s="264"/>
      <c r="X1127" s="264"/>
      <c r="Y1127" s="264"/>
      <c r="Z1127" s="264"/>
      <c r="AA1127" s="264"/>
      <c r="AB1127" s="264"/>
      <c r="AC1127" s="264"/>
      <c r="AD1127" s="264"/>
      <c r="AE1127" s="264"/>
      <c r="AF1127" s="264"/>
      <c r="AG1127" s="264"/>
      <c r="AH1127" s="264"/>
      <c r="AI1127" s="264"/>
      <c r="AJ1127" s="264"/>
      <c r="AK1127" s="264"/>
      <c r="AL1127" s="264"/>
      <c r="AM1127" s="264"/>
      <c r="AN1127" s="264"/>
    </row>
    <row r="1128" ht="15.75" customHeight="1">
      <c r="A1128" s="264"/>
      <c r="B1128" s="42"/>
      <c r="C1128" s="280"/>
      <c r="D1128" s="264"/>
      <c r="E1128" s="264"/>
      <c r="F1128" s="264"/>
      <c r="G1128" s="264"/>
      <c r="H1128" s="264"/>
      <c r="I1128" s="281"/>
      <c r="J1128" s="281"/>
      <c r="K1128" s="264"/>
      <c r="L1128" s="264"/>
      <c r="M1128" s="264"/>
      <c r="N1128" s="264"/>
      <c r="O1128" s="264"/>
      <c r="P1128" s="264"/>
      <c r="Q1128" s="264"/>
      <c r="R1128" s="264"/>
      <c r="S1128" s="264"/>
      <c r="T1128" s="264"/>
      <c r="U1128" s="16"/>
      <c r="V1128" s="264"/>
      <c r="W1128" s="264"/>
      <c r="X1128" s="264"/>
      <c r="Y1128" s="264"/>
      <c r="Z1128" s="264"/>
      <c r="AA1128" s="264"/>
      <c r="AB1128" s="264"/>
      <c r="AC1128" s="264"/>
      <c r="AD1128" s="264"/>
      <c r="AE1128" s="264"/>
      <c r="AF1128" s="264"/>
      <c r="AG1128" s="264"/>
      <c r="AH1128" s="264"/>
      <c r="AI1128" s="264"/>
      <c r="AJ1128" s="264"/>
      <c r="AK1128" s="264"/>
      <c r="AL1128" s="264"/>
      <c r="AM1128" s="264"/>
      <c r="AN1128" s="264"/>
    </row>
    <row r="1129" ht="15.75" customHeight="1">
      <c r="A1129" s="264"/>
      <c r="B1129" s="42"/>
      <c r="C1129" s="280"/>
      <c r="D1129" s="264"/>
      <c r="E1129" s="264"/>
      <c r="F1129" s="264"/>
      <c r="G1129" s="264"/>
      <c r="H1129" s="264"/>
      <c r="I1129" s="281"/>
      <c r="J1129" s="281"/>
      <c r="K1129" s="264"/>
      <c r="L1129" s="264"/>
      <c r="M1129" s="264"/>
      <c r="N1129" s="264"/>
      <c r="O1129" s="264"/>
      <c r="P1129" s="264"/>
      <c r="Q1129" s="264"/>
      <c r="R1129" s="264"/>
      <c r="S1129" s="264"/>
      <c r="T1129" s="264"/>
      <c r="U1129" s="16"/>
      <c r="V1129" s="264"/>
      <c r="W1129" s="264"/>
      <c r="X1129" s="264"/>
      <c r="Y1129" s="264"/>
      <c r="Z1129" s="264"/>
      <c r="AA1129" s="264"/>
      <c r="AB1129" s="264"/>
      <c r="AC1129" s="264"/>
      <c r="AD1129" s="264"/>
      <c r="AE1129" s="264"/>
      <c r="AF1129" s="264"/>
      <c r="AG1129" s="264"/>
      <c r="AH1129" s="264"/>
      <c r="AI1129" s="264"/>
      <c r="AJ1129" s="264"/>
      <c r="AK1129" s="264"/>
      <c r="AL1129" s="264"/>
      <c r="AM1129" s="264"/>
      <c r="AN1129" s="264"/>
    </row>
    <row r="1130" ht="15.75" customHeight="1">
      <c r="A1130" s="264"/>
      <c r="B1130" s="42"/>
      <c r="C1130" s="280"/>
      <c r="D1130" s="264"/>
      <c r="E1130" s="264"/>
      <c r="F1130" s="264"/>
      <c r="G1130" s="264"/>
      <c r="H1130" s="264"/>
      <c r="I1130" s="281"/>
      <c r="J1130" s="281"/>
      <c r="K1130" s="264"/>
      <c r="L1130" s="264"/>
      <c r="M1130" s="264"/>
      <c r="N1130" s="264"/>
      <c r="O1130" s="264"/>
      <c r="P1130" s="264"/>
      <c r="Q1130" s="264"/>
      <c r="R1130" s="264"/>
      <c r="S1130" s="264"/>
      <c r="T1130" s="264"/>
      <c r="U1130" s="16"/>
      <c r="V1130" s="264"/>
      <c r="W1130" s="264"/>
      <c r="X1130" s="264"/>
      <c r="Y1130" s="264"/>
      <c r="Z1130" s="264"/>
      <c r="AA1130" s="264"/>
      <c r="AB1130" s="264"/>
      <c r="AC1130" s="264"/>
      <c r="AD1130" s="264"/>
      <c r="AE1130" s="264"/>
      <c r="AF1130" s="264"/>
      <c r="AG1130" s="264"/>
      <c r="AH1130" s="264"/>
      <c r="AI1130" s="264"/>
      <c r="AJ1130" s="264"/>
      <c r="AK1130" s="264"/>
      <c r="AL1130" s="264"/>
      <c r="AM1130" s="264"/>
      <c r="AN1130" s="264"/>
    </row>
    <row r="1131" ht="15.75" customHeight="1">
      <c r="A1131" s="264"/>
      <c r="B1131" s="42"/>
      <c r="C1131" s="280"/>
      <c r="D1131" s="264"/>
      <c r="E1131" s="264"/>
      <c r="F1131" s="264"/>
      <c r="G1131" s="264"/>
      <c r="H1131" s="264"/>
      <c r="I1131" s="281"/>
      <c r="J1131" s="281"/>
      <c r="K1131" s="264"/>
      <c r="L1131" s="264"/>
      <c r="M1131" s="264"/>
      <c r="N1131" s="264"/>
      <c r="O1131" s="264"/>
      <c r="P1131" s="264"/>
      <c r="Q1131" s="264"/>
      <c r="R1131" s="264"/>
      <c r="S1131" s="264"/>
      <c r="T1131" s="264"/>
      <c r="U1131" s="16"/>
      <c r="V1131" s="264"/>
      <c r="W1131" s="264"/>
      <c r="X1131" s="264"/>
      <c r="Y1131" s="264"/>
      <c r="Z1131" s="264"/>
      <c r="AA1131" s="264"/>
      <c r="AB1131" s="264"/>
      <c r="AC1131" s="264"/>
      <c r="AD1131" s="264"/>
      <c r="AE1131" s="264"/>
      <c r="AF1131" s="264"/>
      <c r="AG1131" s="264"/>
      <c r="AH1131" s="264"/>
      <c r="AI1131" s="264"/>
      <c r="AJ1131" s="264"/>
      <c r="AK1131" s="264"/>
      <c r="AL1131" s="264"/>
      <c r="AM1131" s="264"/>
      <c r="AN1131" s="264"/>
    </row>
    <row r="1132" ht="15.75" customHeight="1">
      <c r="A1132" s="264"/>
      <c r="B1132" s="42"/>
      <c r="C1132" s="280"/>
      <c r="D1132" s="264"/>
      <c r="E1132" s="264"/>
      <c r="F1132" s="264"/>
      <c r="G1132" s="264"/>
      <c r="H1132" s="264"/>
      <c r="I1132" s="281"/>
      <c r="J1132" s="281"/>
      <c r="K1132" s="264"/>
      <c r="L1132" s="264"/>
      <c r="M1132" s="264"/>
      <c r="N1132" s="264"/>
      <c r="O1132" s="264"/>
      <c r="P1132" s="264"/>
      <c r="Q1132" s="264"/>
      <c r="R1132" s="264"/>
      <c r="S1132" s="264"/>
      <c r="T1132" s="264"/>
      <c r="U1132" s="16"/>
      <c r="V1132" s="264"/>
      <c r="W1132" s="264"/>
      <c r="X1132" s="264"/>
      <c r="Y1132" s="264"/>
      <c r="Z1132" s="264"/>
      <c r="AA1132" s="264"/>
      <c r="AB1132" s="264"/>
      <c r="AC1132" s="264"/>
      <c r="AD1132" s="264"/>
      <c r="AE1132" s="264"/>
      <c r="AF1132" s="264"/>
      <c r="AG1132" s="264"/>
      <c r="AH1132" s="264"/>
      <c r="AI1132" s="264"/>
      <c r="AJ1132" s="264"/>
      <c r="AK1132" s="264"/>
      <c r="AL1132" s="264"/>
      <c r="AM1132" s="264"/>
      <c r="AN1132" s="264"/>
    </row>
    <row r="1133" ht="15.75" customHeight="1">
      <c r="A1133" s="264"/>
      <c r="B1133" s="42"/>
      <c r="C1133" s="280"/>
      <c r="D1133" s="264"/>
      <c r="E1133" s="264"/>
      <c r="F1133" s="264"/>
      <c r="G1133" s="264"/>
      <c r="H1133" s="264"/>
      <c r="I1133" s="281"/>
      <c r="J1133" s="281"/>
      <c r="K1133" s="264"/>
      <c r="L1133" s="264"/>
      <c r="M1133" s="264"/>
      <c r="N1133" s="264"/>
      <c r="O1133" s="264"/>
      <c r="P1133" s="264"/>
      <c r="Q1133" s="264"/>
      <c r="R1133" s="264"/>
      <c r="S1133" s="264"/>
      <c r="T1133" s="264"/>
      <c r="U1133" s="16"/>
      <c r="V1133" s="264"/>
      <c r="W1133" s="264"/>
      <c r="X1133" s="264"/>
      <c r="Y1133" s="264"/>
      <c r="Z1133" s="264"/>
      <c r="AA1133" s="264"/>
      <c r="AB1133" s="264"/>
      <c r="AC1133" s="264"/>
      <c r="AD1133" s="264"/>
      <c r="AE1133" s="264"/>
      <c r="AF1133" s="264"/>
      <c r="AG1133" s="264"/>
      <c r="AH1133" s="264"/>
      <c r="AI1133" s="264"/>
      <c r="AJ1133" s="264"/>
      <c r="AK1133" s="264"/>
      <c r="AL1133" s="264"/>
      <c r="AM1133" s="264"/>
      <c r="AN1133" s="264"/>
    </row>
    <row r="1134" ht="15.75" customHeight="1">
      <c r="A1134" s="264"/>
      <c r="B1134" s="42"/>
      <c r="C1134" s="280"/>
      <c r="D1134" s="264"/>
      <c r="E1134" s="264"/>
      <c r="F1134" s="264"/>
      <c r="G1134" s="264"/>
      <c r="H1134" s="264"/>
      <c r="I1134" s="281"/>
      <c r="J1134" s="281"/>
      <c r="K1134" s="264"/>
      <c r="L1134" s="264"/>
      <c r="M1134" s="264"/>
      <c r="N1134" s="264"/>
      <c r="O1134" s="264"/>
      <c r="P1134" s="264"/>
      <c r="Q1134" s="264"/>
      <c r="R1134" s="264"/>
      <c r="S1134" s="264"/>
      <c r="T1134" s="264"/>
      <c r="U1134" s="16"/>
      <c r="V1134" s="264"/>
      <c r="W1134" s="264"/>
      <c r="X1134" s="264"/>
      <c r="Y1134" s="264"/>
      <c r="Z1134" s="264"/>
      <c r="AA1134" s="264"/>
      <c r="AB1134" s="264"/>
      <c r="AC1134" s="264"/>
      <c r="AD1134" s="264"/>
      <c r="AE1134" s="264"/>
      <c r="AF1134" s="264"/>
      <c r="AG1134" s="264"/>
      <c r="AH1134" s="264"/>
      <c r="AI1134" s="264"/>
      <c r="AJ1134" s="264"/>
      <c r="AK1134" s="264"/>
      <c r="AL1134" s="264"/>
      <c r="AM1134" s="264"/>
      <c r="AN1134" s="264"/>
    </row>
    <row r="1135" ht="15.75" customHeight="1">
      <c r="A1135" s="264"/>
      <c r="B1135" s="42"/>
      <c r="C1135" s="280"/>
      <c r="D1135" s="264"/>
      <c r="E1135" s="264"/>
      <c r="F1135" s="264"/>
      <c r="G1135" s="264"/>
      <c r="H1135" s="264"/>
      <c r="I1135" s="281"/>
      <c r="J1135" s="281"/>
      <c r="K1135" s="264"/>
      <c r="L1135" s="264"/>
      <c r="M1135" s="264"/>
      <c r="N1135" s="264"/>
      <c r="O1135" s="264"/>
      <c r="P1135" s="264"/>
      <c r="Q1135" s="264"/>
      <c r="R1135" s="264"/>
      <c r="S1135" s="264"/>
      <c r="T1135" s="264"/>
      <c r="U1135" s="16"/>
      <c r="V1135" s="264"/>
      <c r="W1135" s="264"/>
      <c r="X1135" s="264"/>
      <c r="Y1135" s="264"/>
      <c r="Z1135" s="264"/>
      <c r="AA1135" s="264"/>
      <c r="AB1135" s="264"/>
      <c r="AC1135" s="264"/>
      <c r="AD1135" s="264"/>
      <c r="AE1135" s="264"/>
      <c r="AF1135" s="264"/>
      <c r="AG1135" s="264"/>
      <c r="AH1135" s="264"/>
      <c r="AI1135" s="264"/>
      <c r="AJ1135" s="264"/>
      <c r="AK1135" s="264"/>
      <c r="AL1135" s="264"/>
      <c r="AM1135" s="264"/>
      <c r="AN1135" s="264"/>
    </row>
    <row r="1136" ht="15.75" customHeight="1">
      <c r="A1136" s="264"/>
      <c r="B1136" s="42"/>
      <c r="C1136" s="280"/>
      <c r="D1136" s="264"/>
      <c r="E1136" s="264"/>
      <c r="F1136" s="264"/>
      <c r="G1136" s="264"/>
      <c r="H1136" s="264"/>
      <c r="I1136" s="281"/>
      <c r="J1136" s="281"/>
      <c r="K1136" s="264"/>
      <c r="L1136" s="264"/>
      <c r="M1136" s="264"/>
      <c r="N1136" s="264"/>
      <c r="O1136" s="264"/>
      <c r="P1136" s="264"/>
      <c r="Q1136" s="264"/>
      <c r="R1136" s="264"/>
      <c r="S1136" s="264"/>
      <c r="T1136" s="264"/>
      <c r="U1136" s="16"/>
      <c r="V1136" s="264"/>
      <c r="W1136" s="264"/>
      <c r="X1136" s="264"/>
      <c r="Y1136" s="264"/>
      <c r="Z1136" s="264"/>
      <c r="AA1136" s="264"/>
      <c r="AB1136" s="264"/>
      <c r="AC1136" s="264"/>
      <c r="AD1136" s="264"/>
      <c r="AE1136" s="264"/>
      <c r="AF1136" s="264"/>
      <c r="AG1136" s="264"/>
      <c r="AH1136" s="264"/>
      <c r="AI1136" s="264"/>
      <c r="AJ1136" s="264"/>
      <c r="AK1136" s="264"/>
      <c r="AL1136" s="264"/>
      <c r="AM1136" s="264"/>
      <c r="AN1136" s="264"/>
    </row>
    <row r="1137" ht="15.75" customHeight="1">
      <c r="A1137" s="264"/>
      <c r="B1137" s="42"/>
      <c r="C1137" s="280"/>
      <c r="D1137" s="264"/>
      <c r="E1137" s="264"/>
      <c r="F1137" s="264"/>
      <c r="G1137" s="264"/>
      <c r="H1137" s="264"/>
      <c r="I1137" s="281"/>
      <c r="J1137" s="281"/>
      <c r="K1137" s="264"/>
      <c r="L1137" s="264"/>
      <c r="M1137" s="264"/>
      <c r="N1137" s="264"/>
      <c r="O1137" s="264"/>
      <c r="P1137" s="264"/>
      <c r="Q1137" s="264"/>
      <c r="R1137" s="264"/>
      <c r="S1137" s="264"/>
      <c r="T1137" s="264"/>
      <c r="U1137" s="16"/>
      <c r="V1137" s="264"/>
      <c r="W1137" s="264"/>
      <c r="X1137" s="264"/>
      <c r="Y1137" s="264"/>
      <c r="Z1137" s="264"/>
      <c r="AA1137" s="264"/>
      <c r="AB1137" s="264"/>
      <c r="AC1137" s="264"/>
      <c r="AD1137" s="264"/>
      <c r="AE1137" s="264"/>
      <c r="AF1137" s="264"/>
      <c r="AG1137" s="264"/>
      <c r="AH1137" s="264"/>
      <c r="AI1137" s="264"/>
      <c r="AJ1137" s="264"/>
      <c r="AK1137" s="264"/>
      <c r="AL1137" s="264"/>
      <c r="AM1137" s="264"/>
      <c r="AN1137" s="264"/>
    </row>
    <row r="1138" ht="15.75" customHeight="1">
      <c r="A1138" s="264"/>
      <c r="B1138" s="42"/>
      <c r="C1138" s="280"/>
      <c r="D1138" s="264"/>
      <c r="E1138" s="264"/>
      <c r="F1138" s="264"/>
      <c r="G1138" s="264"/>
      <c r="H1138" s="264"/>
      <c r="I1138" s="281"/>
      <c r="J1138" s="281"/>
      <c r="K1138" s="264"/>
      <c r="L1138" s="264"/>
      <c r="M1138" s="264"/>
      <c r="N1138" s="264"/>
      <c r="O1138" s="264"/>
      <c r="P1138" s="264"/>
      <c r="Q1138" s="264"/>
      <c r="R1138" s="264"/>
      <c r="S1138" s="264"/>
      <c r="T1138" s="264"/>
      <c r="U1138" s="16"/>
      <c r="V1138" s="264"/>
      <c r="W1138" s="264"/>
      <c r="X1138" s="264"/>
      <c r="Y1138" s="264"/>
      <c r="Z1138" s="264"/>
      <c r="AA1138" s="264"/>
      <c r="AB1138" s="264"/>
      <c r="AC1138" s="264"/>
      <c r="AD1138" s="264"/>
      <c r="AE1138" s="264"/>
      <c r="AF1138" s="264"/>
      <c r="AG1138" s="264"/>
      <c r="AH1138" s="264"/>
      <c r="AI1138" s="264"/>
      <c r="AJ1138" s="264"/>
      <c r="AK1138" s="264"/>
      <c r="AL1138" s="264"/>
      <c r="AM1138" s="264"/>
      <c r="AN1138" s="264"/>
    </row>
    <row r="1139" ht="15.75" customHeight="1">
      <c r="A1139" s="264"/>
      <c r="B1139" s="42"/>
      <c r="C1139" s="280"/>
      <c r="D1139" s="264"/>
      <c r="E1139" s="264"/>
      <c r="F1139" s="264"/>
      <c r="G1139" s="264"/>
      <c r="H1139" s="264"/>
      <c r="I1139" s="281"/>
      <c r="J1139" s="281"/>
      <c r="K1139" s="264"/>
      <c r="L1139" s="264"/>
      <c r="M1139" s="264"/>
      <c r="N1139" s="264"/>
      <c r="O1139" s="264"/>
      <c r="P1139" s="264"/>
      <c r="Q1139" s="264"/>
      <c r="R1139" s="264"/>
      <c r="S1139" s="264"/>
      <c r="T1139" s="264"/>
      <c r="U1139" s="16"/>
      <c r="V1139" s="264"/>
      <c r="W1139" s="264"/>
      <c r="X1139" s="264"/>
      <c r="Y1139" s="264"/>
      <c r="Z1139" s="264"/>
      <c r="AA1139" s="264"/>
      <c r="AB1139" s="264"/>
      <c r="AC1139" s="264"/>
      <c r="AD1139" s="264"/>
      <c r="AE1139" s="264"/>
      <c r="AF1139" s="264"/>
      <c r="AG1139" s="264"/>
      <c r="AH1139" s="264"/>
      <c r="AI1139" s="264"/>
      <c r="AJ1139" s="264"/>
      <c r="AK1139" s="264"/>
      <c r="AL1139" s="264"/>
      <c r="AM1139" s="264"/>
      <c r="AN1139" s="264"/>
    </row>
    <row r="1140" ht="15.75" customHeight="1">
      <c r="A1140" s="264"/>
      <c r="B1140" s="42"/>
      <c r="C1140" s="280"/>
      <c r="D1140" s="264"/>
      <c r="E1140" s="264"/>
      <c r="F1140" s="264"/>
      <c r="G1140" s="264"/>
      <c r="H1140" s="264"/>
      <c r="I1140" s="281"/>
      <c r="J1140" s="281"/>
      <c r="K1140" s="264"/>
      <c r="L1140" s="264"/>
      <c r="M1140" s="264"/>
      <c r="N1140" s="264"/>
      <c r="O1140" s="264"/>
      <c r="P1140" s="264"/>
      <c r="Q1140" s="264"/>
      <c r="R1140" s="264"/>
      <c r="S1140" s="264"/>
      <c r="T1140" s="264"/>
      <c r="U1140" s="16"/>
      <c r="V1140" s="264"/>
      <c r="W1140" s="264"/>
      <c r="X1140" s="264"/>
      <c r="Y1140" s="264"/>
      <c r="Z1140" s="264"/>
      <c r="AA1140" s="264"/>
      <c r="AB1140" s="264"/>
      <c r="AC1140" s="264"/>
      <c r="AD1140" s="264"/>
      <c r="AE1140" s="264"/>
      <c r="AF1140" s="264"/>
      <c r="AG1140" s="264"/>
      <c r="AH1140" s="264"/>
      <c r="AI1140" s="264"/>
      <c r="AJ1140" s="264"/>
      <c r="AK1140" s="264"/>
      <c r="AL1140" s="264"/>
      <c r="AM1140" s="264"/>
      <c r="AN1140" s="264"/>
    </row>
    <row r="1141" ht="15.75" customHeight="1">
      <c r="A1141" s="264"/>
      <c r="B1141" s="42"/>
      <c r="C1141" s="280"/>
      <c r="D1141" s="264"/>
      <c r="E1141" s="264"/>
      <c r="F1141" s="264"/>
      <c r="G1141" s="264"/>
      <c r="H1141" s="264"/>
      <c r="I1141" s="281"/>
      <c r="J1141" s="281"/>
      <c r="K1141" s="264"/>
      <c r="L1141" s="264"/>
      <c r="M1141" s="264"/>
      <c r="N1141" s="264"/>
      <c r="O1141" s="264"/>
      <c r="P1141" s="264"/>
      <c r="Q1141" s="264"/>
      <c r="R1141" s="264"/>
      <c r="S1141" s="264"/>
      <c r="T1141" s="264"/>
      <c r="U1141" s="16"/>
      <c r="V1141" s="264"/>
      <c r="W1141" s="264"/>
      <c r="X1141" s="264"/>
      <c r="Y1141" s="264"/>
      <c r="Z1141" s="264"/>
      <c r="AA1141" s="264"/>
      <c r="AB1141" s="264"/>
      <c r="AC1141" s="264"/>
      <c r="AD1141" s="264"/>
      <c r="AE1141" s="264"/>
      <c r="AF1141" s="264"/>
      <c r="AG1141" s="264"/>
      <c r="AH1141" s="264"/>
      <c r="AI1141" s="264"/>
      <c r="AJ1141" s="264"/>
      <c r="AK1141" s="264"/>
      <c r="AL1141" s="264"/>
      <c r="AM1141" s="264"/>
      <c r="AN1141" s="264"/>
    </row>
    <row r="1142" ht="15.75" customHeight="1">
      <c r="A1142" s="264"/>
      <c r="B1142" s="42"/>
      <c r="C1142" s="280"/>
      <c r="D1142" s="264"/>
      <c r="E1142" s="264"/>
      <c r="F1142" s="264"/>
      <c r="G1142" s="264"/>
      <c r="H1142" s="264"/>
      <c r="I1142" s="281"/>
      <c r="J1142" s="281"/>
      <c r="K1142" s="264"/>
      <c r="L1142" s="264"/>
      <c r="M1142" s="264"/>
      <c r="N1142" s="264"/>
      <c r="O1142" s="264"/>
      <c r="P1142" s="264"/>
      <c r="Q1142" s="264"/>
      <c r="R1142" s="264"/>
      <c r="S1142" s="264"/>
      <c r="T1142" s="264"/>
      <c r="U1142" s="16"/>
      <c r="V1142" s="264"/>
      <c r="W1142" s="264"/>
      <c r="X1142" s="264"/>
      <c r="Y1142" s="264"/>
      <c r="Z1142" s="264"/>
      <c r="AA1142" s="264"/>
      <c r="AB1142" s="264"/>
      <c r="AC1142" s="264"/>
      <c r="AD1142" s="264"/>
      <c r="AE1142" s="264"/>
      <c r="AF1142" s="264"/>
      <c r="AG1142" s="264"/>
      <c r="AH1142" s="264"/>
      <c r="AI1142" s="264"/>
      <c r="AJ1142" s="264"/>
      <c r="AK1142" s="264"/>
      <c r="AL1142" s="264"/>
      <c r="AM1142" s="264"/>
      <c r="AN1142" s="264"/>
    </row>
    <row r="1143" ht="15.75" customHeight="1">
      <c r="A1143" s="264"/>
      <c r="B1143" s="42"/>
      <c r="C1143" s="280"/>
      <c r="D1143" s="264"/>
      <c r="E1143" s="264"/>
      <c r="F1143" s="264"/>
      <c r="G1143" s="264"/>
      <c r="H1143" s="264"/>
      <c r="I1143" s="281"/>
      <c r="J1143" s="281"/>
      <c r="K1143" s="264"/>
      <c r="L1143" s="264"/>
      <c r="M1143" s="264"/>
      <c r="N1143" s="264"/>
      <c r="O1143" s="264"/>
      <c r="P1143" s="264"/>
      <c r="Q1143" s="264"/>
      <c r="R1143" s="264"/>
      <c r="S1143" s="264"/>
      <c r="T1143" s="264"/>
      <c r="U1143" s="16"/>
      <c r="V1143" s="264"/>
      <c r="W1143" s="264"/>
      <c r="X1143" s="264"/>
      <c r="Y1143" s="264"/>
      <c r="Z1143" s="264"/>
      <c r="AA1143" s="264"/>
      <c r="AB1143" s="264"/>
      <c r="AC1143" s="264"/>
      <c r="AD1143" s="264"/>
      <c r="AE1143" s="264"/>
      <c r="AF1143" s="264"/>
      <c r="AG1143" s="264"/>
      <c r="AH1143" s="264"/>
      <c r="AI1143" s="264"/>
      <c r="AJ1143" s="264"/>
      <c r="AK1143" s="264"/>
      <c r="AL1143" s="264"/>
      <c r="AM1143" s="264"/>
      <c r="AN1143" s="264"/>
    </row>
    <row r="1144" ht="15.75" customHeight="1">
      <c r="A1144" s="264"/>
      <c r="B1144" s="42"/>
      <c r="C1144" s="280"/>
      <c r="D1144" s="264"/>
      <c r="E1144" s="264"/>
      <c r="F1144" s="264"/>
      <c r="G1144" s="264"/>
      <c r="H1144" s="264"/>
      <c r="I1144" s="281"/>
      <c r="J1144" s="281"/>
      <c r="K1144" s="264"/>
      <c r="L1144" s="264"/>
      <c r="M1144" s="264"/>
      <c r="N1144" s="264"/>
      <c r="O1144" s="264"/>
      <c r="P1144" s="264"/>
      <c r="Q1144" s="264"/>
      <c r="R1144" s="264"/>
      <c r="S1144" s="264"/>
      <c r="T1144" s="264"/>
      <c r="U1144" s="16"/>
      <c r="V1144" s="264"/>
      <c r="W1144" s="264"/>
      <c r="X1144" s="264"/>
      <c r="Y1144" s="264"/>
      <c r="Z1144" s="264"/>
      <c r="AA1144" s="264"/>
      <c r="AB1144" s="264"/>
      <c r="AC1144" s="264"/>
      <c r="AD1144" s="264"/>
      <c r="AE1144" s="264"/>
      <c r="AF1144" s="264"/>
      <c r="AG1144" s="264"/>
      <c r="AH1144" s="264"/>
      <c r="AI1144" s="264"/>
      <c r="AJ1144" s="264"/>
      <c r="AK1144" s="264"/>
      <c r="AL1144" s="264"/>
      <c r="AM1144" s="264"/>
      <c r="AN1144" s="264"/>
    </row>
    <row r="1145" ht="15.75" customHeight="1">
      <c r="A1145" s="264"/>
      <c r="B1145" s="42"/>
      <c r="C1145" s="280"/>
      <c r="D1145" s="264"/>
      <c r="E1145" s="264"/>
      <c r="F1145" s="264"/>
      <c r="G1145" s="264"/>
      <c r="H1145" s="264"/>
      <c r="I1145" s="281"/>
      <c r="J1145" s="281"/>
      <c r="K1145" s="264"/>
      <c r="L1145" s="264"/>
      <c r="M1145" s="264"/>
      <c r="N1145" s="264"/>
      <c r="O1145" s="264"/>
      <c r="P1145" s="264"/>
      <c r="Q1145" s="264"/>
      <c r="R1145" s="264"/>
      <c r="S1145" s="264"/>
      <c r="T1145" s="264"/>
      <c r="U1145" s="16"/>
      <c r="V1145" s="264"/>
      <c r="W1145" s="264"/>
      <c r="X1145" s="264"/>
      <c r="Y1145" s="264"/>
      <c r="Z1145" s="264"/>
      <c r="AA1145" s="264"/>
      <c r="AB1145" s="264"/>
      <c r="AC1145" s="264"/>
      <c r="AD1145" s="264"/>
      <c r="AE1145" s="264"/>
      <c r="AF1145" s="264"/>
      <c r="AG1145" s="264"/>
      <c r="AH1145" s="264"/>
      <c r="AI1145" s="264"/>
      <c r="AJ1145" s="264"/>
      <c r="AK1145" s="264"/>
      <c r="AL1145" s="264"/>
      <c r="AM1145" s="264"/>
      <c r="AN1145" s="264"/>
    </row>
    <row r="1146" ht="15.75" customHeight="1">
      <c r="A1146" s="264"/>
      <c r="B1146" s="42"/>
      <c r="C1146" s="280"/>
      <c r="D1146" s="264"/>
      <c r="E1146" s="264"/>
      <c r="F1146" s="264"/>
      <c r="G1146" s="264"/>
      <c r="H1146" s="264"/>
      <c r="I1146" s="281"/>
      <c r="J1146" s="281"/>
      <c r="K1146" s="264"/>
      <c r="L1146" s="264"/>
      <c r="M1146" s="264"/>
      <c r="N1146" s="264"/>
      <c r="O1146" s="264"/>
      <c r="P1146" s="264"/>
      <c r="Q1146" s="264"/>
      <c r="R1146" s="264"/>
      <c r="S1146" s="264"/>
      <c r="T1146" s="264"/>
      <c r="U1146" s="16"/>
      <c r="V1146" s="264"/>
      <c r="W1146" s="264"/>
      <c r="X1146" s="264"/>
      <c r="Y1146" s="264"/>
      <c r="Z1146" s="264"/>
      <c r="AA1146" s="264"/>
      <c r="AB1146" s="264"/>
      <c r="AC1146" s="264"/>
      <c r="AD1146" s="264"/>
      <c r="AE1146" s="264"/>
      <c r="AF1146" s="264"/>
      <c r="AG1146" s="264"/>
      <c r="AH1146" s="264"/>
      <c r="AI1146" s="264"/>
      <c r="AJ1146" s="264"/>
      <c r="AK1146" s="264"/>
      <c r="AL1146" s="264"/>
      <c r="AM1146" s="264"/>
      <c r="AN1146" s="264"/>
    </row>
    <row r="1147" ht="15.75" customHeight="1">
      <c r="A1147" s="264"/>
      <c r="B1147" s="42"/>
      <c r="C1147" s="280"/>
      <c r="D1147" s="264"/>
      <c r="E1147" s="264"/>
      <c r="F1147" s="264"/>
      <c r="G1147" s="264"/>
      <c r="H1147" s="264"/>
      <c r="I1147" s="281"/>
      <c r="J1147" s="281"/>
      <c r="K1147" s="264"/>
      <c r="L1147" s="264"/>
      <c r="M1147" s="264"/>
      <c r="N1147" s="264"/>
      <c r="O1147" s="264"/>
      <c r="P1147" s="264"/>
      <c r="Q1147" s="264"/>
      <c r="R1147" s="264"/>
      <c r="S1147" s="264"/>
      <c r="T1147" s="264"/>
      <c r="U1147" s="16"/>
      <c r="V1147" s="264"/>
      <c r="W1147" s="264"/>
      <c r="X1147" s="264"/>
      <c r="Y1147" s="264"/>
      <c r="Z1147" s="264"/>
      <c r="AA1147" s="264"/>
      <c r="AB1147" s="264"/>
      <c r="AC1147" s="264"/>
      <c r="AD1147" s="264"/>
      <c r="AE1147" s="264"/>
      <c r="AF1147" s="264"/>
      <c r="AG1147" s="264"/>
      <c r="AH1147" s="264"/>
      <c r="AI1147" s="264"/>
      <c r="AJ1147" s="264"/>
      <c r="AK1147" s="264"/>
      <c r="AL1147" s="264"/>
      <c r="AM1147" s="264"/>
      <c r="AN1147" s="264"/>
    </row>
    <row r="1148" ht="15.75" customHeight="1">
      <c r="A1148" s="264"/>
      <c r="B1148" s="42"/>
      <c r="C1148" s="280"/>
      <c r="D1148" s="264"/>
      <c r="E1148" s="264"/>
      <c r="F1148" s="264"/>
      <c r="G1148" s="264"/>
      <c r="H1148" s="264"/>
      <c r="I1148" s="281"/>
      <c r="J1148" s="281"/>
      <c r="K1148" s="264"/>
      <c r="L1148" s="264"/>
      <c r="M1148" s="264"/>
      <c r="N1148" s="264"/>
      <c r="O1148" s="264"/>
      <c r="P1148" s="264"/>
      <c r="Q1148" s="264"/>
      <c r="R1148" s="264"/>
      <c r="S1148" s="264"/>
      <c r="T1148" s="264"/>
      <c r="U1148" s="16"/>
      <c r="V1148" s="264"/>
      <c r="W1148" s="264"/>
      <c r="X1148" s="264"/>
      <c r="Y1148" s="264"/>
      <c r="Z1148" s="264"/>
      <c r="AA1148" s="264"/>
      <c r="AB1148" s="264"/>
      <c r="AC1148" s="264"/>
      <c r="AD1148" s="264"/>
      <c r="AE1148" s="264"/>
      <c r="AF1148" s="264"/>
      <c r="AG1148" s="264"/>
      <c r="AH1148" s="264"/>
      <c r="AI1148" s="264"/>
      <c r="AJ1148" s="264"/>
      <c r="AK1148" s="264"/>
      <c r="AL1148" s="264"/>
      <c r="AM1148" s="264"/>
      <c r="AN1148" s="264"/>
    </row>
    <row r="1149" ht="15.75" customHeight="1">
      <c r="A1149" s="264"/>
      <c r="B1149" s="42"/>
      <c r="C1149" s="280"/>
      <c r="D1149" s="264"/>
      <c r="E1149" s="264"/>
      <c r="F1149" s="264"/>
      <c r="G1149" s="264"/>
      <c r="H1149" s="264"/>
      <c r="I1149" s="281"/>
      <c r="J1149" s="281"/>
      <c r="K1149" s="264"/>
      <c r="L1149" s="264"/>
      <c r="M1149" s="264"/>
      <c r="N1149" s="264"/>
      <c r="O1149" s="264"/>
      <c r="P1149" s="264"/>
      <c r="Q1149" s="264"/>
      <c r="R1149" s="264"/>
      <c r="S1149" s="264"/>
      <c r="T1149" s="264"/>
      <c r="U1149" s="16"/>
      <c r="V1149" s="264"/>
      <c r="W1149" s="264"/>
      <c r="X1149" s="264"/>
      <c r="Y1149" s="264"/>
      <c r="Z1149" s="264"/>
      <c r="AA1149" s="264"/>
      <c r="AB1149" s="264"/>
      <c r="AC1149" s="264"/>
      <c r="AD1149" s="264"/>
      <c r="AE1149" s="264"/>
      <c r="AF1149" s="264"/>
      <c r="AG1149" s="264"/>
      <c r="AH1149" s="264"/>
      <c r="AI1149" s="264"/>
      <c r="AJ1149" s="264"/>
      <c r="AK1149" s="264"/>
      <c r="AL1149" s="264"/>
      <c r="AM1149" s="264"/>
      <c r="AN1149" s="264"/>
    </row>
    <row r="1150" ht="15.75" customHeight="1">
      <c r="A1150" s="264"/>
      <c r="B1150" s="42"/>
      <c r="C1150" s="280"/>
      <c r="D1150" s="264"/>
      <c r="E1150" s="264"/>
      <c r="F1150" s="264"/>
      <c r="G1150" s="264"/>
      <c r="H1150" s="264"/>
      <c r="I1150" s="281"/>
      <c r="J1150" s="281"/>
      <c r="K1150" s="264"/>
      <c r="L1150" s="264"/>
      <c r="M1150" s="264"/>
      <c r="N1150" s="264"/>
      <c r="O1150" s="264"/>
      <c r="P1150" s="264"/>
      <c r="Q1150" s="264"/>
      <c r="R1150" s="264"/>
      <c r="S1150" s="264"/>
      <c r="T1150" s="264"/>
      <c r="U1150" s="16"/>
      <c r="V1150" s="264"/>
      <c r="W1150" s="264"/>
      <c r="X1150" s="264"/>
      <c r="Y1150" s="264"/>
      <c r="Z1150" s="264"/>
      <c r="AA1150" s="264"/>
      <c r="AB1150" s="264"/>
      <c r="AC1150" s="264"/>
      <c r="AD1150" s="264"/>
      <c r="AE1150" s="264"/>
      <c r="AF1150" s="264"/>
      <c r="AG1150" s="264"/>
      <c r="AH1150" s="264"/>
      <c r="AI1150" s="264"/>
      <c r="AJ1150" s="264"/>
      <c r="AK1150" s="264"/>
      <c r="AL1150" s="264"/>
      <c r="AM1150" s="264"/>
      <c r="AN1150" s="264"/>
    </row>
    <row r="1151" ht="15.75" customHeight="1">
      <c r="A1151" s="264"/>
      <c r="B1151" s="42"/>
      <c r="C1151" s="280"/>
      <c r="D1151" s="264"/>
      <c r="E1151" s="264"/>
      <c r="F1151" s="264"/>
      <c r="G1151" s="264"/>
      <c r="H1151" s="264"/>
      <c r="I1151" s="281"/>
      <c r="J1151" s="281"/>
      <c r="K1151" s="264"/>
      <c r="L1151" s="264"/>
      <c r="M1151" s="264"/>
      <c r="N1151" s="264"/>
      <c r="O1151" s="264"/>
      <c r="P1151" s="264"/>
      <c r="Q1151" s="264"/>
      <c r="R1151" s="264"/>
      <c r="S1151" s="264"/>
      <c r="T1151" s="264"/>
      <c r="U1151" s="16"/>
      <c r="V1151" s="264"/>
      <c r="W1151" s="264"/>
      <c r="X1151" s="264"/>
      <c r="Y1151" s="264"/>
      <c r="Z1151" s="264"/>
      <c r="AA1151" s="264"/>
      <c r="AB1151" s="264"/>
      <c r="AC1151" s="264"/>
      <c r="AD1151" s="264"/>
      <c r="AE1151" s="264"/>
      <c r="AF1151" s="264"/>
      <c r="AG1151" s="264"/>
      <c r="AH1151" s="264"/>
      <c r="AI1151" s="264"/>
      <c r="AJ1151" s="264"/>
      <c r="AK1151" s="264"/>
      <c r="AL1151" s="264"/>
      <c r="AM1151" s="264"/>
      <c r="AN1151" s="264"/>
    </row>
    <row r="1152" ht="15.75" customHeight="1">
      <c r="A1152" s="264"/>
      <c r="B1152" s="42"/>
      <c r="C1152" s="280"/>
      <c r="D1152" s="264"/>
      <c r="E1152" s="264"/>
      <c r="F1152" s="264"/>
      <c r="G1152" s="264"/>
      <c r="H1152" s="264"/>
      <c r="I1152" s="281"/>
      <c r="J1152" s="281"/>
      <c r="K1152" s="264"/>
      <c r="L1152" s="264"/>
      <c r="M1152" s="264"/>
      <c r="N1152" s="264"/>
      <c r="O1152" s="264"/>
      <c r="P1152" s="264"/>
      <c r="Q1152" s="264"/>
      <c r="R1152" s="264"/>
      <c r="S1152" s="264"/>
      <c r="T1152" s="264"/>
      <c r="U1152" s="16"/>
      <c r="V1152" s="264"/>
      <c r="W1152" s="264"/>
      <c r="X1152" s="264"/>
      <c r="Y1152" s="264"/>
      <c r="Z1152" s="264"/>
      <c r="AA1152" s="264"/>
      <c r="AB1152" s="264"/>
      <c r="AC1152" s="264"/>
      <c r="AD1152" s="264"/>
      <c r="AE1152" s="264"/>
      <c r="AF1152" s="264"/>
      <c r="AG1152" s="264"/>
      <c r="AH1152" s="264"/>
      <c r="AI1152" s="264"/>
      <c r="AJ1152" s="264"/>
      <c r="AK1152" s="264"/>
      <c r="AL1152" s="264"/>
      <c r="AM1152" s="264"/>
      <c r="AN1152" s="264"/>
    </row>
    <row r="1153" ht="15.75" customHeight="1">
      <c r="A1153" s="264"/>
      <c r="B1153" s="42"/>
      <c r="C1153" s="280"/>
      <c r="D1153" s="264"/>
      <c r="E1153" s="264"/>
      <c r="F1153" s="264"/>
      <c r="G1153" s="264"/>
      <c r="H1153" s="264"/>
      <c r="I1153" s="281"/>
      <c r="J1153" s="281"/>
      <c r="K1153" s="264"/>
      <c r="L1153" s="264"/>
      <c r="M1153" s="264"/>
      <c r="N1153" s="264"/>
      <c r="O1153" s="264"/>
      <c r="P1153" s="264"/>
      <c r="Q1153" s="264"/>
      <c r="R1153" s="264"/>
      <c r="S1153" s="264"/>
      <c r="T1153" s="264"/>
      <c r="U1153" s="16"/>
      <c r="V1153" s="264"/>
      <c r="W1153" s="264"/>
      <c r="X1153" s="264"/>
      <c r="Y1153" s="264"/>
      <c r="Z1153" s="264"/>
      <c r="AA1153" s="264"/>
      <c r="AB1153" s="264"/>
      <c r="AC1153" s="264"/>
      <c r="AD1153" s="264"/>
      <c r="AE1153" s="264"/>
      <c r="AF1153" s="264"/>
      <c r="AG1153" s="264"/>
      <c r="AH1153" s="264"/>
      <c r="AI1153" s="264"/>
      <c r="AJ1153" s="264"/>
      <c r="AK1153" s="264"/>
      <c r="AL1153" s="264"/>
      <c r="AM1153" s="264"/>
      <c r="AN1153" s="264"/>
    </row>
    <row r="1154" ht="15.75" customHeight="1">
      <c r="A1154" s="264"/>
      <c r="B1154" s="42"/>
      <c r="C1154" s="280"/>
      <c r="D1154" s="264"/>
      <c r="E1154" s="264"/>
      <c r="F1154" s="264"/>
      <c r="G1154" s="264"/>
      <c r="H1154" s="264"/>
      <c r="I1154" s="281"/>
      <c r="J1154" s="281"/>
      <c r="K1154" s="264"/>
      <c r="L1154" s="264"/>
      <c r="M1154" s="264"/>
      <c r="N1154" s="264"/>
      <c r="O1154" s="264"/>
      <c r="P1154" s="264"/>
      <c r="Q1154" s="264"/>
      <c r="R1154" s="264"/>
      <c r="S1154" s="264"/>
      <c r="T1154" s="264"/>
      <c r="U1154" s="16"/>
      <c r="V1154" s="264"/>
      <c r="W1154" s="264"/>
      <c r="X1154" s="264"/>
      <c r="Y1154" s="264"/>
      <c r="Z1154" s="264"/>
      <c r="AA1154" s="264"/>
      <c r="AB1154" s="264"/>
      <c r="AC1154" s="264"/>
      <c r="AD1154" s="264"/>
      <c r="AE1154" s="264"/>
      <c r="AF1154" s="264"/>
      <c r="AG1154" s="264"/>
      <c r="AH1154" s="264"/>
      <c r="AI1154" s="264"/>
      <c r="AJ1154" s="264"/>
      <c r="AK1154" s="264"/>
      <c r="AL1154" s="264"/>
      <c r="AM1154" s="264"/>
      <c r="AN1154" s="264"/>
    </row>
    <row r="1155" ht="15.75" customHeight="1">
      <c r="A1155" s="264"/>
      <c r="B1155" s="42"/>
      <c r="C1155" s="280"/>
      <c r="D1155" s="264"/>
      <c r="E1155" s="264"/>
      <c r="F1155" s="264"/>
      <c r="G1155" s="264"/>
      <c r="H1155" s="264"/>
      <c r="I1155" s="281"/>
      <c r="J1155" s="281"/>
      <c r="K1155" s="264"/>
      <c r="L1155" s="264"/>
      <c r="M1155" s="264"/>
      <c r="N1155" s="264"/>
      <c r="O1155" s="264"/>
      <c r="P1155" s="264"/>
      <c r="Q1155" s="264"/>
      <c r="R1155" s="264"/>
      <c r="S1155" s="264"/>
      <c r="T1155" s="264"/>
      <c r="U1155" s="16"/>
      <c r="V1155" s="264"/>
      <c r="W1155" s="264"/>
      <c r="X1155" s="264"/>
      <c r="Y1155" s="264"/>
      <c r="Z1155" s="264"/>
      <c r="AA1155" s="264"/>
      <c r="AB1155" s="264"/>
      <c r="AC1155" s="264"/>
      <c r="AD1155" s="264"/>
      <c r="AE1155" s="264"/>
      <c r="AF1155" s="264"/>
      <c r="AG1155" s="264"/>
      <c r="AH1155" s="264"/>
      <c r="AI1155" s="264"/>
      <c r="AJ1155" s="264"/>
      <c r="AK1155" s="264"/>
      <c r="AL1155" s="264"/>
      <c r="AM1155" s="264"/>
      <c r="AN1155" s="264"/>
    </row>
    <row r="1156" ht="15.75" customHeight="1">
      <c r="A1156" s="264"/>
      <c r="B1156" s="42"/>
      <c r="C1156" s="280"/>
      <c r="D1156" s="264"/>
      <c r="E1156" s="264"/>
      <c r="F1156" s="264"/>
      <c r="G1156" s="264"/>
      <c r="H1156" s="264"/>
      <c r="I1156" s="281"/>
      <c r="J1156" s="281"/>
      <c r="K1156" s="264"/>
      <c r="L1156" s="264"/>
      <c r="M1156" s="264"/>
      <c r="N1156" s="264"/>
      <c r="O1156" s="264"/>
      <c r="P1156" s="264"/>
      <c r="Q1156" s="264"/>
      <c r="R1156" s="264"/>
      <c r="S1156" s="264"/>
      <c r="T1156" s="264"/>
      <c r="U1156" s="16"/>
      <c r="V1156" s="264"/>
      <c r="W1156" s="264"/>
      <c r="X1156" s="264"/>
      <c r="Y1156" s="264"/>
      <c r="Z1156" s="264"/>
      <c r="AA1156" s="264"/>
      <c r="AB1156" s="264"/>
      <c r="AC1156" s="264"/>
      <c r="AD1156" s="264"/>
      <c r="AE1156" s="264"/>
      <c r="AF1156" s="264"/>
      <c r="AG1156" s="264"/>
      <c r="AH1156" s="264"/>
      <c r="AI1156" s="264"/>
      <c r="AJ1156" s="264"/>
      <c r="AK1156" s="264"/>
      <c r="AL1156" s="264"/>
      <c r="AM1156" s="264"/>
      <c r="AN1156" s="264"/>
    </row>
    <row r="1157" ht="15.75" customHeight="1">
      <c r="A1157" s="264"/>
      <c r="B1157" s="42"/>
      <c r="C1157" s="280"/>
      <c r="D1157" s="264"/>
      <c r="E1157" s="264"/>
      <c r="F1157" s="264"/>
      <c r="G1157" s="264"/>
      <c r="H1157" s="264"/>
      <c r="I1157" s="281"/>
      <c r="J1157" s="281"/>
      <c r="K1157" s="264"/>
      <c r="L1157" s="264"/>
      <c r="M1157" s="264"/>
      <c r="N1157" s="264"/>
      <c r="O1157" s="264"/>
      <c r="P1157" s="264"/>
      <c r="Q1157" s="264"/>
      <c r="R1157" s="264"/>
      <c r="S1157" s="264"/>
      <c r="T1157" s="264"/>
      <c r="U1157" s="16"/>
      <c r="V1157" s="264"/>
      <c r="W1157" s="264"/>
      <c r="X1157" s="264"/>
      <c r="Y1157" s="264"/>
      <c r="Z1157" s="264"/>
      <c r="AA1157" s="264"/>
      <c r="AB1157" s="264"/>
      <c r="AC1157" s="264"/>
      <c r="AD1157" s="264"/>
      <c r="AE1157" s="264"/>
      <c r="AF1157" s="264"/>
      <c r="AG1157" s="264"/>
      <c r="AH1157" s="264"/>
      <c r="AI1157" s="264"/>
      <c r="AJ1157" s="264"/>
      <c r="AK1157" s="264"/>
      <c r="AL1157" s="264"/>
      <c r="AM1157" s="264"/>
      <c r="AN1157" s="264"/>
    </row>
    <row r="1158" ht="15.75" customHeight="1">
      <c r="A1158" s="264"/>
      <c r="B1158" s="42"/>
      <c r="C1158" s="280"/>
      <c r="D1158" s="264"/>
      <c r="E1158" s="264"/>
      <c r="F1158" s="264"/>
      <c r="G1158" s="264"/>
      <c r="H1158" s="264"/>
      <c r="I1158" s="281"/>
      <c r="J1158" s="281"/>
      <c r="K1158" s="264"/>
      <c r="L1158" s="264"/>
      <c r="M1158" s="264"/>
      <c r="N1158" s="264"/>
      <c r="O1158" s="264"/>
      <c r="P1158" s="264"/>
      <c r="Q1158" s="264"/>
      <c r="R1158" s="264"/>
      <c r="S1158" s="264"/>
      <c r="T1158" s="264"/>
      <c r="U1158" s="16"/>
      <c r="V1158" s="264"/>
      <c r="W1158" s="264"/>
      <c r="X1158" s="264"/>
      <c r="Y1158" s="264"/>
      <c r="Z1158" s="264"/>
      <c r="AA1158" s="264"/>
      <c r="AB1158" s="264"/>
      <c r="AC1158" s="264"/>
      <c r="AD1158" s="264"/>
      <c r="AE1158" s="264"/>
      <c r="AF1158" s="264"/>
      <c r="AG1158" s="264"/>
      <c r="AH1158" s="264"/>
      <c r="AI1158" s="264"/>
      <c r="AJ1158" s="264"/>
      <c r="AK1158" s="264"/>
      <c r="AL1158" s="264"/>
      <c r="AM1158" s="264"/>
      <c r="AN1158" s="264"/>
    </row>
    <row r="1159" ht="15.75" customHeight="1">
      <c r="A1159" s="264"/>
      <c r="B1159" s="42"/>
      <c r="C1159" s="280"/>
      <c r="D1159" s="264"/>
      <c r="E1159" s="264"/>
      <c r="F1159" s="264"/>
      <c r="G1159" s="264"/>
      <c r="H1159" s="264"/>
      <c r="I1159" s="281"/>
      <c r="J1159" s="281"/>
      <c r="K1159" s="264"/>
      <c r="L1159" s="264"/>
      <c r="M1159" s="264"/>
      <c r="N1159" s="264"/>
      <c r="O1159" s="264"/>
      <c r="P1159" s="264"/>
      <c r="Q1159" s="264"/>
      <c r="R1159" s="264"/>
      <c r="S1159" s="264"/>
      <c r="T1159" s="264"/>
      <c r="U1159" s="16"/>
      <c r="V1159" s="264"/>
      <c r="W1159" s="264"/>
      <c r="X1159" s="264"/>
      <c r="Y1159" s="264"/>
      <c r="Z1159" s="264"/>
      <c r="AA1159" s="264"/>
      <c r="AB1159" s="264"/>
      <c r="AC1159" s="264"/>
      <c r="AD1159" s="264"/>
      <c r="AE1159" s="264"/>
      <c r="AF1159" s="264"/>
      <c r="AG1159" s="264"/>
      <c r="AH1159" s="264"/>
      <c r="AI1159" s="264"/>
      <c r="AJ1159" s="264"/>
      <c r="AK1159" s="264"/>
      <c r="AL1159" s="264"/>
      <c r="AM1159" s="264"/>
      <c r="AN1159" s="264"/>
    </row>
    <row r="1160" ht="15.75" customHeight="1">
      <c r="A1160" s="264"/>
      <c r="B1160" s="42"/>
      <c r="C1160" s="280"/>
      <c r="D1160" s="264"/>
      <c r="E1160" s="264"/>
      <c r="F1160" s="264"/>
      <c r="G1160" s="264"/>
      <c r="H1160" s="264"/>
      <c r="I1160" s="281"/>
      <c r="J1160" s="281"/>
      <c r="K1160" s="264"/>
      <c r="L1160" s="264"/>
      <c r="M1160" s="264"/>
      <c r="N1160" s="264"/>
      <c r="O1160" s="264"/>
      <c r="P1160" s="264"/>
      <c r="Q1160" s="264"/>
      <c r="R1160" s="264"/>
      <c r="S1160" s="264"/>
      <c r="T1160" s="264"/>
      <c r="U1160" s="16"/>
      <c r="V1160" s="264"/>
      <c r="W1160" s="264"/>
      <c r="X1160" s="264"/>
      <c r="Y1160" s="264"/>
      <c r="Z1160" s="264"/>
      <c r="AA1160" s="264"/>
      <c r="AB1160" s="264"/>
      <c r="AC1160" s="264"/>
      <c r="AD1160" s="264"/>
      <c r="AE1160" s="264"/>
      <c r="AF1160" s="264"/>
      <c r="AG1160" s="264"/>
      <c r="AH1160" s="264"/>
      <c r="AI1160" s="264"/>
      <c r="AJ1160" s="264"/>
      <c r="AK1160" s="264"/>
      <c r="AL1160" s="264"/>
      <c r="AM1160" s="264"/>
      <c r="AN1160" s="264"/>
    </row>
    <row r="1161" ht="15.75" customHeight="1">
      <c r="A1161" s="264"/>
      <c r="B1161" s="42"/>
      <c r="C1161" s="280"/>
      <c r="D1161" s="264"/>
      <c r="E1161" s="264"/>
      <c r="F1161" s="264"/>
      <c r="G1161" s="264"/>
      <c r="H1161" s="264"/>
      <c r="I1161" s="281"/>
      <c r="J1161" s="281"/>
      <c r="K1161" s="264"/>
      <c r="L1161" s="264"/>
      <c r="M1161" s="264"/>
      <c r="N1161" s="264"/>
      <c r="O1161" s="264"/>
      <c r="P1161" s="264"/>
      <c r="Q1161" s="264"/>
      <c r="R1161" s="264"/>
      <c r="S1161" s="264"/>
      <c r="T1161" s="264"/>
      <c r="U1161" s="16"/>
      <c r="V1161" s="264"/>
      <c r="W1161" s="264"/>
      <c r="X1161" s="264"/>
      <c r="Y1161" s="264"/>
      <c r="Z1161" s="264"/>
      <c r="AA1161" s="264"/>
      <c r="AB1161" s="264"/>
      <c r="AC1161" s="264"/>
      <c r="AD1161" s="264"/>
      <c r="AE1161" s="264"/>
      <c r="AF1161" s="264"/>
      <c r="AG1161" s="264"/>
      <c r="AH1161" s="264"/>
      <c r="AI1161" s="264"/>
      <c r="AJ1161" s="264"/>
      <c r="AK1161" s="264"/>
      <c r="AL1161" s="264"/>
      <c r="AM1161" s="264"/>
      <c r="AN1161" s="264"/>
    </row>
    <row r="1162" ht="15.75" customHeight="1">
      <c r="A1162" s="264"/>
      <c r="B1162" s="42"/>
      <c r="C1162" s="280"/>
      <c r="D1162" s="264"/>
      <c r="E1162" s="264"/>
      <c r="F1162" s="264"/>
      <c r="G1162" s="264"/>
      <c r="H1162" s="264"/>
      <c r="I1162" s="281"/>
      <c r="J1162" s="281"/>
      <c r="K1162" s="264"/>
      <c r="L1162" s="264"/>
      <c r="M1162" s="264"/>
      <c r="N1162" s="264"/>
      <c r="O1162" s="264"/>
      <c r="P1162" s="264"/>
      <c r="Q1162" s="264"/>
      <c r="R1162" s="264"/>
      <c r="S1162" s="264"/>
      <c r="T1162" s="264"/>
      <c r="U1162" s="16"/>
      <c r="V1162" s="264"/>
      <c r="W1162" s="264"/>
      <c r="X1162" s="264"/>
      <c r="Y1162" s="264"/>
      <c r="Z1162" s="264"/>
      <c r="AA1162" s="264"/>
      <c r="AB1162" s="264"/>
      <c r="AC1162" s="264"/>
      <c r="AD1162" s="264"/>
      <c r="AE1162" s="264"/>
      <c r="AF1162" s="264"/>
      <c r="AG1162" s="264"/>
      <c r="AH1162" s="264"/>
      <c r="AI1162" s="264"/>
      <c r="AJ1162" s="264"/>
      <c r="AK1162" s="264"/>
      <c r="AL1162" s="264"/>
      <c r="AM1162" s="264"/>
      <c r="AN1162" s="264"/>
    </row>
    <row r="1163" ht="15.75" customHeight="1">
      <c r="A1163" s="264"/>
      <c r="B1163" s="42"/>
      <c r="C1163" s="280"/>
      <c r="D1163" s="264"/>
      <c r="E1163" s="264"/>
      <c r="F1163" s="264"/>
      <c r="G1163" s="264"/>
      <c r="H1163" s="264"/>
      <c r="I1163" s="281"/>
      <c r="J1163" s="281"/>
      <c r="K1163" s="264"/>
      <c r="L1163" s="264"/>
      <c r="M1163" s="264"/>
      <c r="N1163" s="264"/>
      <c r="O1163" s="264"/>
      <c r="P1163" s="264"/>
      <c r="Q1163" s="264"/>
      <c r="R1163" s="264"/>
      <c r="S1163" s="264"/>
      <c r="T1163" s="264"/>
      <c r="U1163" s="16"/>
      <c r="V1163" s="264"/>
      <c r="W1163" s="264"/>
      <c r="X1163" s="264"/>
      <c r="Y1163" s="264"/>
      <c r="Z1163" s="264"/>
      <c r="AA1163" s="264"/>
      <c r="AB1163" s="264"/>
      <c r="AC1163" s="264"/>
      <c r="AD1163" s="264"/>
      <c r="AE1163" s="264"/>
      <c r="AF1163" s="264"/>
      <c r="AG1163" s="264"/>
      <c r="AH1163" s="264"/>
      <c r="AI1163" s="264"/>
      <c r="AJ1163" s="264"/>
      <c r="AK1163" s="264"/>
      <c r="AL1163" s="264"/>
      <c r="AM1163" s="264"/>
      <c r="AN1163" s="264"/>
    </row>
    <row r="1164" ht="15.75" customHeight="1">
      <c r="A1164" s="264"/>
      <c r="B1164" s="42"/>
      <c r="C1164" s="280"/>
      <c r="D1164" s="264"/>
      <c r="E1164" s="264"/>
      <c r="F1164" s="264"/>
      <c r="G1164" s="264"/>
      <c r="H1164" s="264"/>
      <c r="I1164" s="281"/>
      <c r="J1164" s="281"/>
      <c r="K1164" s="264"/>
      <c r="L1164" s="264"/>
      <c r="M1164" s="264"/>
      <c r="N1164" s="264"/>
      <c r="O1164" s="264"/>
      <c r="P1164" s="264"/>
      <c r="Q1164" s="264"/>
      <c r="R1164" s="264"/>
      <c r="S1164" s="264"/>
      <c r="T1164" s="264"/>
      <c r="U1164" s="16"/>
      <c r="V1164" s="264"/>
      <c r="W1164" s="264"/>
      <c r="X1164" s="264"/>
      <c r="Y1164" s="264"/>
      <c r="Z1164" s="264"/>
      <c r="AA1164" s="264"/>
      <c r="AB1164" s="264"/>
      <c r="AC1164" s="264"/>
      <c r="AD1164" s="264"/>
      <c r="AE1164" s="264"/>
      <c r="AF1164" s="264"/>
      <c r="AG1164" s="264"/>
      <c r="AH1164" s="264"/>
      <c r="AI1164" s="264"/>
      <c r="AJ1164" s="264"/>
      <c r="AK1164" s="264"/>
      <c r="AL1164" s="264"/>
      <c r="AM1164" s="264"/>
      <c r="AN1164" s="264"/>
    </row>
    <row r="1165" ht="15.75" customHeight="1">
      <c r="A1165" s="264"/>
      <c r="B1165" s="42"/>
      <c r="C1165" s="280"/>
      <c r="D1165" s="264"/>
      <c r="E1165" s="264"/>
      <c r="F1165" s="264"/>
      <c r="G1165" s="264"/>
      <c r="H1165" s="264"/>
      <c r="I1165" s="281"/>
      <c r="J1165" s="281"/>
      <c r="K1165" s="264"/>
      <c r="L1165" s="264"/>
      <c r="M1165" s="264"/>
      <c r="N1165" s="264"/>
      <c r="O1165" s="264"/>
      <c r="P1165" s="264"/>
      <c r="Q1165" s="264"/>
      <c r="R1165" s="264"/>
      <c r="S1165" s="264"/>
      <c r="T1165" s="264"/>
      <c r="U1165" s="16"/>
      <c r="V1165" s="264"/>
      <c r="W1165" s="264"/>
      <c r="X1165" s="264"/>
      <c r="Y1165" s="264"/>
      <c r="Z1165" s="264"/>
      <c r="AA1165" s="264"/>
      <c r="AB1165" s="264"/>
      <c r="AC1165" s="264"/>
      <c r="AD1165" s="264"/>
      <c r="AE1165" s="264"/>
      <c r="AF1165" s="264"/>
      <c r="AG1165" s="264"/>
      <c r="AH1165" s="264"/>
      <c r="AI1165" s="264"/>
      <c r="AJ1165" s="264"/>
      <c r="AK1165" s="264"/>
      <c r="AL1165" s="264"/>
      <c r="AM1165" s="264"/>
      <c r="AN1165" s="264"/>
    </row>
    <row r="1166" ht="15.75" customHeight="1">
      <c r="A1166" s="264"/>
      <c r="B1166" s="42"/>
      <c r="C1166" s="280"/>
      <c r="D1166" s="264"/>
      <c r="E1166" s="264"/>
      <c r="F1166" s="264"/>
      <c r="G1166" s="264"/>
      <c r="H1166" s="264"/>
      <c r="I1166" s="281"/>
      <c r="J1166" s="281"/>
      <c r="K1166" s="264"/>
      <c r="L1166" s="264"/>
      <c r="M1166" s="264"/>
      <c r="N1166" s="264"/>
      <c r="O1166" s="264"/>
      <c r="P1166" s="264"/>
      <c r="Q1166" s="264"/>
      <c r="R1166" s="264"/>
      <c r="S1166" s="264"/>
      <c r="T1166" s="264"/>
      <c r="U1166" s="16"/>
      <c r="V1166" s="264"/>
      <c r="W1166" s="264"/>
      <c r="X1166" s="264"/>
      <c r="Y1166" s="264"/>
      <c r="Z1166" s="264"/>
      <c r="AA1166" s="264"/>
      <c r="AB1166" s="264"/>
      <c r="AC1166" s="264"/>
      <c r="AD1166" s="264"/>
      <c r="AE1166" s="264"/>
      <c r="AF1166" s="264"/>
      <c r="AG1166" s="264"/>
      <c r="AH1166" s="264"/>
      <c r="AI1166" s="264"/>
      <c r="AJ1166" s="264"/>
      <c r="AK1166" s="264"/>
      <c r="AL1166" s="264"/>
      <c r="AM1166" s="264"/>
      <c r="AN1166" s="264"/>
    </row>
    <row r="1167" ht="15.75" customHeight="1">
      <c r="A1167" s="264"/>
      <c r="B1167" s="42"/>
      <c r="C1167" s="280"/>
      <c r="D1167" s="264"/>
      <c r="E1167" s="264"/>
      <c r="F1167" s="264"/>
      <c r="G1167" s="264"/>
      <c r="H1167" s="264"/>
      <c r="I1167" s="281"/>
      <c r="J1167" s="281"/>
      <c r="K1167" s="264"/>
      <c r="L1167" s="264"/>
      <c r="M1167" s="264"/>
      <c r="N1167" s="264"/>
      <c r="O1167" s="264"/>
      <c r="P1167" s="264"/>
      <c r="Q1167" s="264"/>
      <c r="R1167" s="264"/>
      <c r="S1167" s="264"/>
      <c r="T1167" s="264"/>
      <c r="U1167" s="16"/>
      <c r="V1167" s="264"/>
      <c r="W1167" s="264"/>
      <c r="X1167" s="264"/>
      <c r="Y1167" s="264"/>
      <c r="Z1167" s="264"/>
      <c r="AA1167" s="264"/>
      <c r="AB1167" s="264"/>
      <c r="AC1167" s="264"/>
      <c r="AD1167" s="264"/>
      <c r="AE1167" s="264"/>
      <c r="AF1167" s="264"/>
      <c r="AG1167" s="264"/>
      <c r="AH1167" s="264"/>
      <c r="AI1167" s="264"/>
      <c r="AJ1167" s="264"/>
      <c r="AK1167" s="264"/>
      <c r="AL1167" s="264"/>
      <c r="AM1167" s="264"/>
      <c r="AN1167" s="264"/>
    </row>
    <row r="1168" ht="15.75" customHeight="1">
      <c r="A1168" s="264"/>
      <c r="B1168" s="42"/>
      <c r="C1168" s="280"/>
      <c r="D1168" s="264"/>
      <c r="E1168" s="264"/>
      <c r="F1168" s="264"/>
      <c r="G1168" s="264"/>
      <c r="H1168" s="264"/>
      <c r="I1168" s="281"/>
      <c r="J1168" s="281"/>
      <c r="K1168" s="264"/>
      <c r="L1168" s="264"/>
      <c r="M1168" s="264"/>
      <c r="N1168" s="264"/>
      <c r="O1168" s="264"/>
      <c r="P1168" s="264"/>
      <c r="Q1168" s="264"/>
      <c r="R1168" s="264"/>
      <c r="S1168" s="264"/>
      <c r="T1168" s="264"/>
      <c r="U1168" s="16"/>
      <c r="V1168" s="264"/>
      <c r="W1168" s="264"/>
      <c r="X1168" s="264"/>
      <c r="Y1168" s="264"/>
      <c r="Z1168" s="264"/>
      <c r="AA1168" s="264"/>
      <c r="AB1168" s="264"/>
      <c r="AC1168" s="264"/>
      <c r="AD1168" s="264"/>
      <c r="AE1168" s="264"/>
      <c r="AF1168" s="264"/>
      <c r="AG1168" s="264"/>
      <c r="AH1168" s="264"/>
      <c r="AI1168" s="264"/>
      <c r="AJ1168" s="264"/>
      <c r="AK1168" s="264"/>
      <c r="AL1168" s="264"/>
      <c r="AM1168" s="264"/>
      <c r="AN1168" s="264"/>
    </row>
    <row r="1169" ht="15.75" customHeight="1">
      <c r="A1169" s="264"/>
      <c r="B1169" s="42"/>
      <c r="C1169" s="280"/>
      <c r="D1169" s="264"/>
      <c r="E1169" s="264"/>
      <c r="F1169" s="264"/>
      <c r="G1169" s="264"/>
      <c r="H1169" s="264"/>
      <c r="I1169" s="281"/>
      <c r="J1169" s="281"/>
      <c r="K1169" s="264"/>
      <c r="L1169" s="264"/>
      <c r="M1169" s="264"/>
      <c r="N1169" s="264"/>
      <c r="O1169" s="264"/>
      <c r="P1169" s="264"/>
      <c r="Q1169" s="264"/>
      <c r="R1169" s="264"/>
      <c r="S1169" s="264"/>
      <c r="T1169" s="264"/>
      <c r="U1169" s="16"/>
      <c r="V1169" s="264"/>
      <c r="W1169" s="264"/>
      <c r="X1169" s="264"/>
      <c r="Y1169" s="264"/>
      <c r="Z1169" s="264"/>
      <c r="AA1169" s="264"/>
      <c r="AB1169" s="264"/>
      <c r="AC1169" s="264"/>
      <c r="AD1169" s="264"/>
      <c r="AE1169" s="264"/>
      <c r="AF1169" s="264"/>
      <c r="AG1169" s="264"/>
      <c r="AH1169" s="264"/>
      <c r="AI1169" s="264"/>
      <c r="AJ1169" s="264"/>
      <c r="AK1169" s="264"/>
      <c r="AL1169" s="264"/>
      <c r="AM1169" s="264"/>
      <c r="AN1169" s="264"/>
    </row>
    <row r="1170" ht="15.75" customHeight="1">
      <c r="A1170" s="264"/>
      <c r="B1170" s="42"/>
      <c r="C1170" s="280"/>
      <c r="D1170" s="264"/>
      <c r="E1170" s="264"/>
      <c r="F1170" s="264"/>
      <c r="G1170" s="264"/>
      <c r="H1170" s="264"/>
      <c r="I1170" s="281"/>
      <c r="J1170" s="281"/>
      <c r="K1170" s="264"/>
      <c r="L1170" s="264"/>
      <c r="M1170" s="264"/>
      <c r="N1170" s="264"/>
      <c r="O1170" s="264"/>
      <c r="P1170" s="264"/>
      <c r="Q1170" s="264"/>
      <c r="R1170" s="264"/>
      <c r="S1170" s="264"/>
      <c r="T1170" s="264"/>
      <c r="U1170" s="16"/>
      <c r="V1170" s="264"/>
      <c r="W1170" s="264"/>
      <c r="X1170" s="264"/>
      <c r="Y1170" s="264"/>
      <c r="Z1170" s="264"/>
      <c r="AA1170" s="264"/>
      <c r="AB1170" s="264"/>
      <c r="AC1170" s="264"/>
      <c r="AD1170" s="264"/>
      <c r="AE1170" s="264"/>
      <c r="AF1170" s="264"/>
      <c r="AG1170" s="264"/>
      <c r="AH1170" s="264"/>
      <c r="AI1170" s="264"/>
      <c r="AJ1170" s="264"/>
      <c r="AK1170" s="264"/>
      <c r="AL1170" s="264"/>
      <c r="AM1170" s="264"/>
      <c r="AN1170" s="264"/>
    </row>
    <row r="1171" ht="15.75" customHeight="1">
      <c r="A1171" s="264"/>
      <c r="B1171" s="42"/>
      <c r="C1171" s="280"/>
      <c r="D1171" s="264"/>
      <c r="E1171" s="264"/>
      <c r="F1171" s="264"/>
      <c r="G1171" s="264"/>
      <c r="H1171" s="264"/>
      <c r="I1171" s="281"/>
      <c r="J1171" s="281"/>
      <c r="K1171" s="264"/>
      <c r="L1171" s="264"/>
      <c r="M1171" s="264"/>
      <c r="N1171" s="264"/>
      <c r="O1171" s="264"/>
      <c r="P1171" s="264"/>
      <c r="Q1171" s="264"/>
      <c r="R1171" s="264"/>
      <c r="S1171" s="264"/>
      <c r="T1171" s="264"/>
      <c r="U1171" s="16"/>
      <c r="V1171" s="264"/>
      <c r="W1171" s="264"/>
      <c r="X1171" s="264"/>
      <c r="Y1171" s="264"/>
      <c r="Z1171" s="264"/>
      <c r="AA1171" s="264"/>
      <c r="AB1171" s="264"/>
      <c r="AC1171" s="264"/>
      <c r="AD1171" s="264"/>
      <c r="AE1171" s="264"/>
      <c r="AF1171" s="264"/>
      <c r="AG1171" s="264"/>
      <c r="AH1171" s="264"/>
      <c r="AI1171" s="264"/>
      <c r="AJ1171" s="264"/>
      <c r="AK1171" s="264"/>
      <c r="AL1171" s="264"/>
      <c r="AM1171" s="264"/>
      <c r="AN1171" s="264"/>
    </row>
    <row r="1172" ht="15.75" customHeight="1">
      <c r="A1172" s="264"/>
      <c r="B1172" s="42"/>
      <c r="C1172" s="280"/>
      <c r="D1172" s="264"/>
      <c r="E1172" s="264"/>
      <c r="F1172" s="264"/>
      <c r="G1172" s="264"/>
      <c r="H1172" s="264"/>
      <c r="I1172" s="281"/>
      <c r="J1172" s="281"/>
      <c r="K1172" s="264"/>
      <c r="L1172" s="264"/>
      <c r="M1172" s="264"/>
      <c r="N1172" s="264"/>
      <c r="O1172" s="264"/>
      <c r="P1172" s="264"/>
      <c r="Q1172" s="264"/>
      <c r="R1172" s="264"/>
      <c r="S1172" s="264"/>
      <c r="T1172" s="264"/>
      <c r="U1172" s="16"/>
      <c r="V1172" s="264"/>
      <c r="W1172" s="264"/>
      <c r="X1172" s="264"/>
      <c r="Y1172" s="264"/>
      <c r="Z1172" s="264"/>
      <c r="AA1172" s="264"/>
      <c r="AB1172" s="264"/>
      <c r="AC1172" s="264"/>
      <c r="AD1172" s="264"/>
      <c r="AE1172" s="264"/>
      <c r="AF1172" s="264"/>
      <c r="AG1172" s="264"/>
      <c r="AH1172" s="264"/>
      <c r="AI1172" s="264"/>
      <c r="AJ1172" s="264"/>
      <c r="AK1172" s="264"/>
      <c r="AL1172" s="264"/>
      <c r="AM1172" s="264"/>
      <c r="AN1172" s="264"/>
    </row>
    <row r="1173" ht="15.75" customHeight="1">
      <c r="A1173" s="264"/>
      <c r="B1173" s="42"/>
      <c r="C1173" s="280"/>
      <c r="D1173" s="264"/>
      <c r="E1173" s="264"/>
      <c r="F1173" s="264"/>
      <c r="G1173" s="264"/>
      <c r="H1173" s="264"/>
      <c r="I1173" s="281"/>
      <c r="J1173" s="281"/>
      <c r="K1173" s="264"/>
      <c r="L1173" s="264"/>
      <c r="M1173" s="264"/>
      <c r="N1173" s="264"/>
      <c r="O1173" s="264"/>
      <c r="P1173" s="264"/>
      <c r="Q1173" s="264"/>
      <c r="R1173" s="264"/>
      <c r="S1173" s="264"/>
      <c r="T1173" s="264"/>
      <c r="U1173" s="16"/>
      <c r="V1173" s="264"/>
      <c r="W1173" s="264"/>
      <c r="X1173" s="264"/>
      <c r="Y1173" s="264"/>
      <c r="Z1173" s="264"/>
      <c r="AA1173" s="264"/>
      <c r="AB1173" s="264"/>
      <c r="AC1173" s="264"/>
      <c r="AD1173" s="264"/>
      <c r="AE1173" s="264"/>
      <c r="AF1173" s="264"/>
      <c r="AG1173" s="264"/>
      <c r="AH1173" s="264"/>
      <c r="AI1173" s="264"/>
      <c r="AJ1173" s="264"/>
      <c r="AK1173" s="264"/>
      <c r="AL1173" s="264"/>
      <c r="AM1173" s="264"/>
      <c r="AN1173" s="264"/>
    </row>
    <row r="1174" ht="15.75" customHeight="1">
      <c r="A1174" s="264"/>
      <c r="B1174" s="42"/>
      <c r="C1174" s="280"/>
      <c r="D1174" s="264"/>
      <c r="E1174" s="264"/>
      <c r="F1174" s="264"/>
      <c r="G1174" s="264"/>
      <c r="H1174" s="264"/>
      <c r="I1174" s="281"/>
      <c r="J1174" s="281"/>
      <c r="K1174" s="264"/>
      <c r="L1174" s="264"/>
      <c r="M1174" s="264"/>
      <c r="N1174" s="264"/>
      <c r="O1174" s="264"/>
      <c r="P1174" s="264"/>
      <c r="Q1174" s="264"/>
      <c r="R1174" s="264"/>
      <c r="S1174" s="264"/>
      <c r="T1174" s="264"/>
      <c r="U1174" s="16"/>
      <c r="V1174" s="264"/>
      <c r="W1174" s="264"/>
      <c r="X1174" s="264"/>
      <c r="Y1174" s="264"/>
      <c r="Z1174" s="264"/>
      <c r="AA1174" s="264"/>
      <c r="AB1174" s="264"/>
      <c r="AC1174" s="264"/>
      <c r="AD1174" s="264"/>
      <c r="AE1174" s="264"/>
      <c r="AF1174" s="264"/>
      <c r="AG1174" s="264"/>
      <c r="AH1174" s="264"/>
      <c r="AI1174" s="264"/>
      <c r="AJ1174" s="264"/>
      <c r="AK1174" s="264"/>
      <c r="AL1174" s="264"/>
      <c r="AM1174" s="264"/>
      <c r="AN1174" s="264"/>
    </row>
    <row r="1175" ht="15.75" customHeight="1">
      <c r="A1175" s="264"/>
      <c r="B1175" s="42"/>
      <c r="C1175" s="280"/>
      <c r="D1175" s="264"/>
      <c r="E1175" s="264"/>
      <c r="F1175" s="264"/>
      <c r="G1175" s="264"/>
      <c r="H1175" s="264"/>
      <c r="I1175" s="281"/>
      <c r="J1175" s="281"/>
      <c r="K1175" s="264"/>
      <c r="L1175" s="264"/>
      <c r="M1175" s="264"/>
      <c r="N1175" s="264"/>
      <c r="O1175" s="264"/>
      <c r="P1175" s="264"/>
      <c r="Q1175" s="264"/>
      <c r="R1175" s="264"/>
      <c r="S1175" s="264"/>
      <c r="T1175" s="264"/>
      <c r="U1175" s="16"/>
      <c r="V1175" s="264"/>
      <c r="W1175" s="264"/>
      <c r="X1175" s="264"/>
      <c r="Y1175" s="264"/>
      <c r="Z1175" s="264"/>
      <c r="AA1175" s="264"/>
      <c r="AB1175" s="264"/>
      <c r="AC1175" s="264"/>
      <c r="AD1175" s="264"/>
      <c r="AE1175" s="264"/>
      <c r="AF1175" s="264"/>
      <c r="AG1175" s="264"/>
      <c r="AH1175" s="264"/>
      <c r="AI1175" s="264"/>
      <c r="AJ1175" s="264"/>
      <c r="AK1175" s="264"/>
      <c r="AL1175" s="264"/>
      <c r="AM1175" s="264"/>
      <c r="AN1175" s="264"/>
    </row>
    <row r="1176" ht="15.75" customHeight="1">
      <c r="A1176" s="264"/>
      <c r="B1176" s="42"/>
      <c r="C1176" s="280"/>
      <c r="D1176" s="264"/>
      <c r="E1176" s="264"/>
      <c r="F1176" s="264"/>
      <c r="G1176" s="264"/>
      <c r="H1176" s="264"/>
      <c r="I1176" s="281"/>
      <c r="J1176" s="281"/>
      <c r="K1176" s="264"/>
      <c r="L1176" s="264"/>
      <c r="M1176" s="264"/>
      <c r="N1176" s="264"/>
      <c r="O1176" s="264"/>
      <c r="P1176" s="264"/>
      <c r="Q1176" s="264"/>
      <c r="R1176" s="264"/>
      <c r="S1176" s="264"/>
      <c r="T1176" s="264"/>
      <c r="U1176" s="16"/>
      <c r="V1176" s="264"/>
      <c r="W1176" s="264"/>
      <c r="X1176" s="264"/>
      <c r="Y1176" s="264"/>
      <c r="Z1176" s="264"/>
      <c r="AA1176" s="264"/>
      <c r="AB1176" s="264"/>
      <c r="AC1176" s="264"/>
      <c r="AD1176" s="264"/>
      <c r="AE1176" s="264"/>
      <c r="AF1176" s="264"/>
      <c r="AG1176" s="264"/>
      <c r="AH1176" s="264"/>
      <c r="AI1176" s="264"/>
      <c r="AJ1176" s="264"/>
      <c r="AK1176" s="264"/>
      <c r="AL1176" s="264"/>
      <c r="AM1176" s="264"/>
      <c r="AN1176" s="264"/>
    </row>
    <row r="1177" ht="15.75" customHeight="1">
      <c r="A1177" s="264"/>
      <c r="B1177" s="42"/>
      <c r="C1177" s="280"/>
      <c r="D1177" s="264"/>
      <c r="E1177" s="264"/>
      <c r="F1177" s="264"/>
      <c r="G1177" s="264"/>
      <c r="H1177" s="264"/>
      <c r="I1177" s="281"/>
      <c r="J1177" s="281"/>
      <c r="K1177" s="264"/>
      <c r="L1177" s="264"/>
      <c r="M1177" s="264"/>
      <c r="N1177" s="264"/>
      <c r="O1177" s="264"/>
      <c r="P1177" s="264"/>
      <c r="Q1177" s="264"/>
      <c r="R1177" s="264"/>
      <c r="S1177" s="264"/>
      <c r="T1177" s="264"/>
      <c r="U1177" s="16"/>
      <c r="V1177" s="264"/>
      <c r="W1177" s="264"/>
      <c r="X1177" s="264"/>
      <c r="Y1177" s="264"/>
      <c r="Z1177" s="264"/>
      <c r="AA1177" s="264"/>
      <c r="AB1177" s="264"/>
      <c r="AC1177" s="264"/>
      <c r="AD1177" s="264"/>
      <c r="AE1177" s="264"/>
      <c r="AF1177" s="264"/>
      <c r="AG1177" s="264"/>
      <c r="AH1177" s="264"/>
      <c r="AI1177" s="264"/>
      <c r="AJ1177" s="264"/>
      <c r="AK1177" s="264"/>
      <c r="AL1177" s="264"/>
      <c r="AM1177" s="264"/>
      <c r="AN1177" s="264"/>
    </row>
    <row r="1178" ht="15.75" customHeight="1">
      <c r="A1178" s="264"/>
      <c r="B1178" s="42"/>
      <c r="C1178" s="280"/>
      <c r="D1178" s="264"/>
      <c r="E1178" s="264"/>
      <c r="F1178" s="264"/>
      <c r="G1178" s="264"/>
      <c r="H1178" s="264"/>
      <c r="I1178" s="281"/>
      <c r="J1178" s="281"/>
      <c r="K1178" s="264"/>
      <c r="L1178" s="264"/>
      <c r="M1178" s="264"/>
      <c r="N1178" s="264"/>
      <c r="O1178" s="264"/>
      <c r="P1178" s="264"/>
      <c r="Q1178" s="264"/>
      <c r="R1178" s="264"/>
      <c r="S1178" s="264"/>
      <c r="T1178" s="264"/>
      <c r="U1178" s="16"/>
      <c r="V1178" s="264"/>
      <c r="W1178" s="264"/>
      <c r="X1178" s="264"/>
      <c r="Y1178" s="264"/>
      <c r="Z1178" s="264"/>
      <c r="AA1178" s="264"/>
      <c r="AB1178" s="264"/>
      <c r="AC1178" s="264"/>
      <c r="AD1178" s="264"/>
      <c r="AE1178" s="264"/>
      <c r="AF1178" s="264"/>
      <c r="AG1178" s="264"/>
      <c r="AH1178" s="264"/>
      <c r="AI1178" s="264"/>
      <c r="AJ1178" s="264"/>
      <c r="AK1178" s="264"/>
      <c r="AL1178" s="264"/>
      <c r="AM1178" s="264"/>
      <c r="AN1178" s="264"/>
    </row>
    <row r="1179" ht="15.75" customHeight="1">
      <c r="A1179" s="264"/>
      <c r="B1179" s="42"/>
      <c r="C1179" s="280"/>
      <c r="D1179" s="264"/>
      <c r="E1179" s="264"/>
      <c r="F1179" s="264"/>
      <c r="G1179" s="264"/>
      <c r="H1179" s="264"/>
      <c r="I1179" s="281"/>
      <c r="J1179" s="281"/>
      <c r="K1179" s="264"/>
      <c r="L1179" s="264"/>
      <c r="M1179" s="264"/>
      <c r="N1179" s="264"/>
      <c r="O1179" s="264"/>
      <c r="P1179" s="264"/>
      <c r="Q1179" s="264"/>
      <c r="R1179" s="264"/>
      <c r="S1179" s="264"/>
      <c r="T1179" s="264"/>
      <c r="U1179" s="16"/>
      <c r="V1179" s="264"/>
      <c r="W1179" s="264"/>
      <c r="X1179" s="264"/>
      <c r="Y1179" s="264"/>
      <c r="Z1179" s="264"/>
      <c r="AA1179" s="264"/>
      <c r="AB1179" s="264"/>
      <c r="AC1179" s="264"/>
      <c r="AD1179" s="264"/>
      <c r="AE1179" s="264"/>
      <c r="AF1179" s="264"/>
      <c r="AG1179" s="264"/>
      <c r="AH1179" s="264"/>
      <c r="AI1179" s="264"/>
      <c r="AJ1179" s="264"/>
      <c r="AK1179" s="264"/>
      <c r="AL1179" s="264"/>
      <c r="AM1179" s="264"/>
      <c r="AN1179" s="264"/>
    </row>
    <row r="1180" ht="15.75" customHeight="1">
      <c r="A1180" s="264"/>
      <c r="B1180" s="42"/>
      <c r="C1180" s="280"/>
      <c r="D1180" s="264"/>
      <c r="E1180" s="264"/>
      <c r="F1180" s="264"/>
      <c r="G1180" s="264"/>
      <c r="H1180" s="264"/>
      <c r="I1180" s="281"/>
      <c r="J1180" s="281"/>
      <c r="K1180" s="264"/>
      <c r="L1180" s="264"/>
      <c r="M1180" s="264"/>
      <c r="N1180" s="264"/>
      <c r="O1180" s="264"/>
      <c r="P1180" s="264"/>
      <c r="Q1180" s="264"/>
      <c r="R1180" s="264"/>
      <c r="S1180" s="264"/>
      <c r="T1180" s="264"/>
      <c r="U1180" s="16"/>
      <c r="V1180" s="264"/>
      <c r="W1180" s="264"/>
      <c r="X1180" s="264"/>
      <c r="Y1180" s="264"/>
      <c r="Z1180" s="264"/>
      <c r="AA1180" s="264"/>
      <c r="AB1180" s="264"/>
      <c r="AC1180" s="264"/>
      <c r="AD1180" s="264"/>
      <c r="AE1180" s="264"/>
      <c r="AF1180" s="264"/>
      <c r="AG1180" s="264"/>
      <c r="AH1180" s="264"/>
      <c r="AI1180" s="264"/>
      <c r="AJ1180" s="264"/>
      <c r="AK1180" s="264"/>
      <c r="AL1180" s="264"/>
      <c r="AM1180" s="264"/>
      <c r="AN1180" s="264"/>
    </row>
    <row r="1181" ht="15.75" customHeight="1">
      <c r="A1181" s="264"/>
      <c r="B1181" s="42"/>
      <c r="C1181" s="280"/>
      <c r="D1181" s="264"/>
      <c r="E1181" s="264"/>
      <c r="F1181" s="264"/>
      <c r="G1181" s="264"/>
      <c r="H1181" s="264"/>
      <c r="I1181" s="281"/>
      <c r="J1181" s="281"/>
      <c r="K1181" s="264"/>
      <c r="L1181" s="264"/>
      <c r="M1181" s="264"/>
      <c r="N1181" s="264"/>
      <c r="O1181" s="264"/>
      <c r="P1181" s="264"/>
      <c r="Q1181" s="264"/>
      <c r="R1181" s="264"/>
      <c r="S1181" s="264"/>
      <c r="T1181" s="264"/>
      <c r="U1181" s="16"/>
      <c r="V1181" s="264"/>
      <c r="W1181" s="264"/>
      <c r="X1181" s="264"/>
      <c r="Y1181" s="264"/>
      <c r="Z1181" s="264"/>
      <c r="AA1181" s="264"/>
      <c r="AB1181" s="264"/>
      <c r="AC1181" s="264"/>
      <c r="AD1181" s="264"/>
      <c r="AE1181" s="264"/>
      <c r="AF1181" s="264"/>
      <c r="AG1181" s="264"/>
      <c r="AH1181" s="264"/>
      <c r="AI1181" s="264"/>
      <c r="AJ1181" s="264"/>
      <c r="AK1181" s="264"/>
      <c r="AL1181" s="264"/>
      <c r="AM1181" s="264"/>
      <c r="AN1181" s="264"/>
    </row>
    <row r="1182" ht="15.75" customHeight="1">
      <c r="A1182" s="264"/>
      <c r="B1182" s="42"/>
      <c r="C1182" s="280"/>
      <c r="D1182" s="264"/>
      <c r="E1182" s="264"/>
      <c r="F1182" s="264"/>
      <c r="G1182" s="264"/>
      <c r="H1182" s="264"/>
      <c r="I1182" s="281"/>
      <c r="J1182" s="281"/>
      <c r="K1182" s="264"/>
      <c r="L1182" s="264"/>
      <c r="M1182" s="264"/>
      <c r="N1182" s="264"/>
      <c r="O1182" s="264"/>
      <c r="P1182" s="264"/>
      <c r="Q1182" s="264"/>
      <c r="R1182" s="264"/>
      <c r="S1182" s="264"/>
      <c r="T1182" s="264"/>
      <c r="U1182" s="16"/>
      <c r="V1182" s="264"/>
      <c r="W1182" s="264"/>
      <c r="X1182" s="264"/>
      <c r="Y1182" s="264"/>
      <c r="Z1182" s="264"/>
      <c r="AA1182" s="264"/>
      <c r="AB1182" s="264"/>
      <c r="AC1182" s="264"/>
      <c r="AD1182" s="264"/>
      <c r="AE1182" s="264"/>
      <c r="AF1182" s="264"/>
      <c r="AG1182" s="264"/>
      <c r="AH1182" s="264"/>
      <c r="AI1182" s="264"/>
      <c r="AJ1182" s="264"/>
      <c r="AK1182" s="264"/>
      <c r="AL1182" s="264"/>
      <c r="AM1182" s="264"/>
      <c r="AN1182" s="264"/>
    </row>
    <row r="1183" ht="15.75" customHeight="1">
      <c r="A1183" s="264"/>
      <c r="B1183" s="42"/>
      <c r="C1183" s="280"/>
      <c r="D1183" s="264"/>
      <c r="E1183" s="264"/>
      <c r="F1183" s="264"/>
      <c r="G1183" s="264"/>
      <c r="H1183" s="264"/>
      <c r="I1183" s="281"/>
      <c r="J1183" s="281"/>
      <c r="K1183" s="264"/>
      <c r="L1183" s="264"/>
      <c r="M1183" s="264"/>
      <c r="N1183" s="264"/>
      <c r="O1183" s="264"/>
      <c r="P1183" s="264"/>
      <c r="Q1183" s="264"/>
      <c r="R1183" s="264"/>
      <c r="S1183" s="264"/>
      <c r="T1183" s="264"/>
      <c r="U1183" s="16"/>
      <c r="V1183" s="264"/>
      <c r="W1183" s="264"/>
      <c r="X1183" s="264"/>
      <c r="Y1183" s="264"/>
      <c r="Z1183" s="264"/>
      <c r="AA1183" s="264"/>
      <c r="AB1183" s="264"/>
      <c r="AC1183" s="264"/>
      <c r="AD1183" s="264"/>
      <c r="AE1183" s="264"/>
      <c r="AF1183" s="264"/>
      <c r="AG1183" s="264"/>
      <c r="AH1183" s="264"/>
      <c r="AI1183" s="264"/>
      <c r="AJ1183" s="264"/>
      <c r="AK1183" s="264"/>
      <c r="AL1183" s="264"/>
      <c r="AM1183" s="264"/>
      <c r="AN1183" s="264"/>
    </row>
    <row r="1184" ht="15.75" customHeight="1">
      <c r="A1184" s="264"/>
      <c r="B1184" s="42"/>
      <c r="C1184" s="280"/>
      <c r="D1184" s="264"/>
      <c r="E1184" s="264"/>
      <c r="F1184" s="264"/>
      <c r="G1184" s="264"/>
      <c r="H1184" s="264"/>
      <c r="I1184" s="281"/>
      <c r="J1184" s="281"/>
      <c r="K1184" s="264"/>
      <c r="L1184" s="264"/>
      <c r="M1184" s="264"/>
      <c r="N1184" s="264"/>
      <c r="O1184" s="264"/>
      <c r="P1184" s="264"/>
      <c r="Q1184" s="264"/>
      <c r="R1184" s="264"/>
      <c r="S1184" s="264"/>
      <c r="T1184" s="264"/>
      <c r="U1184" s="16"/>
      <c r="V1184" s="264"/>
      <c r="W1184" s="264"/>
      <c r="X1184" s="264"/>
      <c r="Y1184" s="264"/>
      <c r="Z1184" s="264"/>
      <c r="AA1184" s="264"/>
      <c r="AB1184" s="264"/>
      <c r="AC1184" s="264"/>
      <c r="AD1184" s="264"/>
      <c r="AE1184" s="264"/>
      <c r="AF1184" s="264"/>
      <c r="AG1184" s="264"/>
      <c r="AH1184" s="264"/>
      <c r="AI1184" s="264"/>
      <c r="AJ1184" s="264"/>
      <c r="AK1184" s="264"/>
      <c r="AL1184" s="264"/>
      <c r="AM1184" s="264"/>
      <c r="AN1184" s="264"/>
    </row>
    <row r="1185" ht="15.75" customHeight="1">
      <c r="A1185" s="264"/>
      <c r="B1185" s="42"/>
      <c r="C1185" s="280"/>
      <c r="D1185" s="264"/>
      <c r="E1185" s="264"/>
      <c r="F1185" s="264"/>
      <c r="G1185" s="264"/>
      <c r="H1185" s="264"/>
      <c r="I1185" s="281"/>
      <c r="J1185" s="281"/>
      <c r="K1185" s="264"/>
      <c r="L1185" s="264"/>
      <c r="M1185" s="264"/>
      <c r="N1185" s="264"/>
      <c r="O1185" s="264"/>
      <c r="P1185" s="264"/>
      <c r="Q1185" s="264"/>
      <c r="R1185" s="264"/>
      <c r="S1185" s="264"/>
      <c r="T1185" s="264"/>
      <c r="U1185" s="16"/>
      <c r="V1185" s="264"/>
      <c r="W1185" s="264"/>
      <c r="X1185" s="264"/>
      <c r="Y1185" s="264"/>
      <c r="Z1185" s="264"/>
      <c r="AA1185" s="264"/>
      <c r="AB1185" s="264"/>
      <c r="AC1185" s="264"/>
      <c r="AD1185" s="264"/>
      <c r="AE1185" s="264"/>
      <c r="AF1185" s="264"/>
      <c r="AG1185" s="264"/>
      <c r="AH1185" s="264"/>
      <c r="AI1185" s="264"/>
      <c r="AJ1185" s="264"/>
      <c r="AK1185" s="264"/>
      <c r="AL1185" s="264"/>
      <c r="AM1185" s="264"/>
      <c r="AN1185" s="264"/>
    </row>
    <row r="1186" ht="15.75" customHeight="1">
      <c r="A1186" s="264"/>
      <c r="B1186" s="42"/>
      <c r="C1186" s="280"/>
      <c r="D1186" s="264"/>
      <c r="E1186" s="264"/>
      <c r="F1186" s="264"/>
      <c r="G1186" s="264"/>
      <c r="H1186" s="264"/>
      <c r="I1186" s="281"/>
      <c r="J1186" s="281"/>
      <c r="K1186" s="264"/>
      <c r="L1186" s="264"/>
      <c r="M1186" s="264"/>
      <c r="N1186" s="264"/>
      <c r="O1186" s="264"/>
      <c r="P1186" s="264"/>
      <c r="Q1186" s="264"/>
      <c r="R1186" s="264"/>
      <c r="S1186" s="264"/>
      <c r="T1186" s="264"/>
      <c r="U1186" s="16"/>
      <c r="V1186" s="264"/>
      <c r="W1186" s="264"/>
      <c r="X1186" s="264"/>
      <c r="Y1186" s="264"/>
      <c r="Z1186" s="264"/>
      <c r="AA1186" s="264"/>
      <c r="AB1186" s="264"/>
      <c r="AC1186" s="264"/>
      <c r="AD1186" s="264"/>
      <c r="AE1186" s="264"/>
      <c r="AF1186" s="264"/>
      <c r="AG1186" s="264"/>
      <c r="AH1186" s="264"/>
      <c r="AI1186" s="264"/>
      <c r="AJ1186" s="264"/>
      <c r="AK1186" s="264"/>
      <c r="AL1186" s="264"/>
      <c r="AM1186" s="264"/>
      <c r="AN1186" s="264"/>
    </row>
    <row r="1187" ht="15.75" customHeight="1">
      <c r="A1187" s="264"/>
      <c r="B1187" s="42"/>
      <c r="C1187" s="280"/>
      <c r="D1187" s="264"/>
      <c r="E1187" s="264"/>
      <c r="F1187" s="264"/>
      <c r="G1187" s="264"/>
      <c r="H1187" s="264"/>
      <c r="I1187" s="281"/>
      <c r="J1187" s="281"/>
      <c r="K1187" s="264"/>
      <c r="L1187" s="264"/>
      <c r="M1187" s="264"/>
      <c r="N1187" s="264"/>
      <c r="O1187" s="264"/>
      <c r="P1187" s="264"/>
      <c r="Q1187" s="264"/>
      <c r="R1187" s="264"/>
      <c r="S1187" s="264"/>
      <c r="T1187" s="264"/>
      <c r="U1187" s="16"/>
      <c r="V1187" s="264"/>
      <c r="W1187" s="264"/>
      <c r="X1187" s="264"/>
      <c r="Y1187" s="264"/>
      <c r="Z1187" s="264"/>
      <c r="AA1187" s="264"/>
      <c r="AB1187" s="264"/>
      <c r="AC1187" s="264"/>
      <c r="AD1187" s="264"/>
      <c r="AE1187" s="264"/>
      <c r="AF1187" s="264"/>
      <c r="AG1187" s="264"/>
      <c r="AH1187" s="264"/>
      <c r="AI1187" s="264"/>
      <c r="AJ1187" s="264"/>
      <c r="AK1187" s="264"/>
      <c r="AL1187" s="264"/>
      <c r="AM1187" s="264"/>
      <c r="AN1187" s="264"/>
    </row>
    <row r="1188" ht="15.75" customHeight="1">
      <c r="A1188" s="264"/>
      <c r="B1188" s="42"/>
      <c r="C1188" s="280"/>
      <c r="D1188" s="264"/>
      <c r="E1188" s="264"/>
      <c r="F1188" s="264"/>
      <c r="G1188" s="264"/>
      <c r="H1188" s="264"/>
      <c r="I1188" s="281"/>
      <c r="J1188" s="281"/>
      <c r="K1188" s="264"/>
      <c r="L1188" s="264"/>
      <c r="M1188" s="264"/>
      <c r="N1188" s="264"/>
      <c r="O1188" s="264"/>
      <c r="P1188" s="264"/>
      <c r="Q1188" s="264"/>
      <c r="R1188" s="264"/>
      <c r="S1188" s="264"/>
      <c r="T1188" s="264"/>
      <c r="U1188" s="16"/>
      <c r="V1188" s="264"/>
      <c r="W1188" s="264"/>
      <c r="X1188" s="264"/>
      <c r="Y1188" s="264"/>
      <c r="Z1188" s="264"/>
      <c r="AA1188" s="264"/>
      <c r="AB1188" s="264"/>
      <c r="AC1188" s="264"/>
      <c r="AD1188" s="264"/>
      <c r="AE1188" s="264"/>
      <c r="AF1188" s="264"/>
      <c r="AG1188" s="264"/>
      <c r="AH1188" s="264"/>
      <c r="AI1188" s="264"/>
      <c r="AJ1188" s="264"/>
      <c r="AK1188" s="264"/>
      <c r="AL1188" s="264"/>
      <c r="AM1188" s="264"/>
      <c r="AN1188" s="264"/>
    </row>
    <row r="1189" ht="15.75" customHeight="1">
      <c r="A1189" s="264"/>
      <c r="B1189" s="42"/>
      <c r="C1189" s="280"/>
      <c r="D1189" s="264"/>
      <c r="E1189" s="264"/>
      <c r="F1189" s="264"/>
      <c r="G1189" s="264"/>
      <c r="H1189" s="264"/>
      <c r="I1189" s="281"/>
      <c r="J1189" s="281"/>
      <c r="K1189" s="264"/>
      <c r="L1189" s="264"/>
      <c r="M1189" s="264"/>
      <c r="N1189" s="264"/>
      <c r="O1189" s="264"/>
      <c r="P1189" s="264"/>
      <c r="Q1189" s="264"/>
      <c r="R1189" s="264"/>
      <c r="S1189" s="264"/>
      <c r="T1189" s="264"/>
      <c r="U1189" s="16"/>
      <c r="V1189" s="264"/>
      <c r="W1189" s="264"/>
      <c r="X1189" s="264"/>
      <c r="Y1189" s="264"/>
      <c r="Z1189" s="264"/>
      <c r="AA1189" s="264"/>
      <c r="AB1189" s="264"/>
      <c r="AC1189" s="264"/>
      <c r="AD1189" s="264"/>
      <c r="AE1189" s="264"/>
      <c r="AF1189" s="264"/>
      <c r="AG1189" s="264"/>
      <c r="AH1189" s="264"/>
      <c r="AI1189" s="264"/>
      <c r="AJ1189" s="264"/>
      <c r="AK1189" s="264"/>
      <c r="AL1189" s="264"/>
      <c r="AM1189" s="264"/>
      <c r="AN1189" s="264"/>
    </row>
    <row r="1190" ht="15.75" customHeight="1">
      <c r="A1190" s="264"/>
      <c r="B1190" s="42"/>
      <c r="C1190" s="280"/>
      <c r="D1190" s="264"/>
      <c r="E1190" s="264"/>
      <c r="F1190" s="264"/>
      <c r="G1190" s="264"/>
      <c r="H1190" s="264"/>
      <c r="I1190" s="281"/>
      <c r="J1190" s="281"/>
      <c r="K1190" s="264"/>
      <c r="L1190" s="264"/>
      <c r="M1190" s="264"/>
      <c r="N1190" s="264"/>
      <c r="O1190" s="264"/>
      <c r="P1190" s="264"/>
      <c r="Q1190" s="264"/>
      <c r="R1190" s="264"/>
      <c r="S1190" s="264"/>
      <c r="T1190" s="264"/>
      <c r="U1190" s="16"/>
      <c r="V1190" s="264"/>
      <c r="W1190" s="264"/>
      <c r="X1190" s="264"/>
      <c r="Y1190" s="264"/>
      <c r="Z1190" s="264"/>
      <c r="AA1190" s="264"/>
      <c r="AB1190" s="264"/>
      <c r="AC1190" s="264"/>
      <c r="AD1190" s="264"/>
      <c r="AE1190" s="264"/>
      <c r="AF1190" s="264"/>
      <c r="AG1190" s="264"/>
      <c r="AH1190" s="264"/>
      <c r="AI1190" s="264"/>
      <c r="AJ1190" s="264"/>
      <c r="AK1190" s="264"/>
      <c r="AL1190" s="264"/>
      <c r="AM1190" s="264"/>
      <c r="AN1190" s="264"/>
    </row>
    <row r="1191" ht="15.75" customHeight="1">
      <c r="A1191" s="264"/>
      <c r="B1191" s="42"/>
      <c r="C1191" s="280"/>
      <c r="D1191" s="264"/>
      <c r="E1191" s="264"/>
      <c r="F1191" s="264"/>
      <c r="G1191" s="264"/>
      <c r="H1191" s="264"/>
      <c r="I1191" s="281"/>
      <c r="J1191" s="281"/>
      <c r="K1191" s="264"/>
      <c r="L1191" s="264"/>
      <c r="M1191" s="264"/>
      <c r="N1191" s="264"/>
      <c r="O1191" s="264"/>
      <c r="P1191" s="264"/>
      <c r="Q1191" s="264"/>
      <c r="R1191" s="264"/>
      <c r="S1191" s="264"/>
      <c r="T1191" s="264"/>
      <c r="U1191" s="16"/>
      <c r="V1191" s="264"/>
      <c r="W1191" s="264"/>
      <c r="X1191" s="264"/>
      <c r="Y1191" s="264"/>
      <c r="Z1191" s="264"/>
      <c r="AA1191" s="264"/>
      <c r="AB1191" s="264"/>
      <c r="AC1191" s="264"/>
      <c r="AD1191" s="264"/>
      <c r="AE1191" s="264"/>
      <c r="AF1191" s="264"/>
      <c r="AG1191" s="264"/>
      <c r="AH1191" s="264"/>
      <c r="AI1191" s="264"/>
      <c r="AJ1191" s="264"/>
      <c r="AK1191" s="264"/>
      <c r="AL1191" s="264"/>
      <c r="AM1191" s="264"/>
      <c r="AN1191" s="264"/>
    </row>
    <row r="1192" ht="15.75" customHeight="1">
      <c r="A1192" s="264"/>
      <c r="B1192" s="42"/>
      <c r="C1192" s="280"/>
      <c r="D1192" s="264"/>
      <c r="E1192" s="264"/>
      <c r="F1192" s="264"/>
      <c r="G1192" s="264"/>
      <c r="H1192" s="264"/>
      <c r="I1192" s="281"/>
      <c r="J1192" s="281"/>
      <c r="K1192" s="264"/>
      <c r="L1192" s="264"/>
      <c r="M1192" s="264"/>
      <c r="N1192" s="264"/>
      <c r="O1192" s="264"/>
      <c r="P1192" s="264"/>
      <c r="Q1192" s="264"/>
      <c r="R1192" s="264"/>
      <c r="S1192" s="264"/>
      <c r="T1192" s="264"/>
      <c r="U1192" s="16"/>
      <c r="V1192" s="264"/>
      <c r="W1192" s="264"/>
      <c r="X1192" s="264"/>
      <c r="Y1192" s="264"/>
      <c r="Z1192" s="264"/>
      <c r="AA1192" s="264"/>
      <c r="AB1192" s="264"/>
      <c r="AC1192" s="264"/>
      <c r="AD1192" s="264"/>
      <c r="AE1192" s="264"/>
      <c r="AF1192" s="264"/>
      <c r="AG1192" s="264"/>
      <c r="AH1192" s="264"/>
      <c r="AI1192" s="264"/>
      <c r="AJ1192" s="264"/>
      <c r="AK1192" s="264"/>
      <c r="AL1192" s="264"/>
      <c r="AM1192" s="264"/>
      <c r="AN1192" s="264"/>
    </row>
    <row r="1193" ht="15.75" customHeight="1">
      <c r="A1193" s="264"/>
      <c r="B1193" s="42"/>
      <c r="C1193" s="280"/>
      <c r="D1193" s="264"/>
      <c r="E1193" s="264"/>
      <c r="F1193" s="264"/>
      <c r="G1193" s="264"/>
      <c r="H1193" s="264"/>
      <c r="I1193" s="281"/>
      <c r="J1193" s="281"/>
      <c r="K1193" s="264"/>
      <c r="L1193" s="264"/>
      <c r="M1193" s="264"/>
      <c r="N1193" s="264"/>
      <c r="O1193" s="264"/>
      <c r="P1193" s="264"/>
      <c r="Q1193" s="264"/>
      <c r="R1193" s="264"/>
      <c r="S1193" s="264"/>
      <c r="T1193" s="264"/>
      <c r="U1193" s="16"/>
      <c r="V1193" s="264"/>
      <c r="W1193" s="264"/>
      <c r="X1193" s="264"/>
      <c r="Y1193" s="264"/>
      <c r="Z1193" s="264"/>
      <c r="AA1193" s="264"/>
      <c r="AB1193" s="264"/>
      <c r="AC1193" s="264"/>
      <c r="AD1193" s="264"/>
      <c r="AE1193" s="264"/>
      <c r="AF1193" s="264"/>
      <c r="AG1193" s="264"/>
      <c r="AH1193" s="264"/>
      <c r="AI1193" s="264"/>
      <c r="AJ1193" s="264"/>
      <c r="AK1193" s="264"/>
      <c r="AL1193" s="264"/>
      <c r="AM1193" s="264"/>
      <c r="AN1193" s="264"/>
    </row>
    <row r="1194" ht="15.75" customHeight="1">
      <c r="A1194" s="264"/>
      <c r="B1194" s="42"/>
      <c r="C1194" s="280"/>
      <c r="D1194" s="264"/>
      <c r="E1194" s="264"/>
      <c r="F1194" s="264"/>
      <c r="G1194" s="264"/>
      <c r="H1194" s="264"/>
      <c r="I1194" s="281"/>
      <c r="J1194" s="281"/>
      <c r="K1194" s="264"/>
      <c r="L1194" s="264"/>
      <c r="M1194" s="264"/>
      <c r="N1194" s="264"/>
      <c r="O1194" s="264"/>
      <c r="P1194" s="264"/>
      <c r="Q1194" s="264"/>
      <c r="R1194" s="264"/>
      <c r="S1194" s="264"/>
      <c r="T1194" s="264"/>
      <c r="U1194" s="16"/>
      <c r="V1194" s="264"/>
      <c r="W1194" s="264"/>
      <c r="X1194" s="264"/>
      <c r="Y1194" s="264"/>
      <c r="Z1194" s="264"/>
      <c r="AA1194" s="264"/>
      <c r="AB1194" s="264"/>
      <c r="AC1194" s="264"/>
      <c r="AD1194" s="264"/>
      <c r="AE1194" s="264"/>
      <c r="AF1194" s="264"/>
      <c r="AG1194" s="264"/>
      <c r="AH1194" s="264"/>
      <c r="AI1194" s="264"/>
      <c r="AJ1194" s="264"/>
      <c r="AK1194" s="264"/>
      <c r="AL1194" s="264"/>
      <c r="AM1194" s="264"/>
      <c r="AN1194" s="264"/>
    </row>
    <row r="1195" ht="15.75" customHeight="1">
      <c r="A1195" s="264"/>
      <c r="B1195" s="42"/>
      <c r="C1195" s="280"/>
      <c r="D1195" s="264"/>
      <c r="E1195" s="264"/>
      <c r="F1195" s="264"/>
      <c r="G1195" s="264"/>
      <c r="H1195" s="264"/>
      <c r="I1195" s="281"/>
      <c r="J1195" s="281"/>
      <c r="K1195" s="264"/>
      <c r="L1195" s="264"/>
      <c r="M1195" s="264"/>
      <c r="N1195" s="264"/>
      <c r="O1195" s="264"/>
      <c r="P1195" s="264"/>
      <c r="Q1195" s="264"/>
      <c r="R1195" s="264"/>
      <c r="S1195" s="264"/>
      <c r="T1195" s="264"/>
      <c r="U1195" s="16"/>
      <c r="V1195" s="264"/>
      <c r="W1195" s="264"/>
      <c r="X1195" s="264"/>
      <c r="Y1195" s="264"/>
      <c r="Z1195" s="264"/>
      <c r="AA1195" s="264"/>
      <c r="AB1195" s="264"/>
      <c r="AC1195" s="264"/>
      <c r="AD1195" s="264"/>
      <c r="AE1195" s="264"/>
      <c r="AF1195" s="264"/>
      <c r="AG1195" s="264"/>
      <c r="AH1195" s="264"/>
      <c r="AI1195" s="264"/>
      <c r="AJ1195" s="264"/>
      <c r="AK1195" s="264"/>
      <c r="AL1195" s="264"/>
      <c r="AM1195" s="264"/>
      <c r="AN1195" s="264"/>
    </row>
    <row r="1196" ht="15.75" customHeight="1">
      <c r="A1196" s="264"/>
      <c r="B1196" s="42"/>
      <c r="C1196" s="280"/>
      <c r="D1196" s="264"/>
      <c r="E1196" s="264"/>
      <c r="F1196" s="264"/>
      <c r="G1196" s="264"/>
      <c r="H1196" s="264"/>
      <c r="I1196" s="281"/>
      <c r="J1196" s="281"/>
      <c r="K1196" s="264"/>
      <c r="L1196" s="264"/>
      <c r="M1196" s="264"/>
      <c r="N1196" s="264"/>
      <c r="O1196" s="264"/>
      <c r="P1196" s="264"/>
      <c r="Q1196" s="264"/>
      <c r="R1196" s="264"/>
      <c r="S1196" s="264"/>
      <c r="T1196" s="264"/>
      <c r="U1196" s="16"/>
      <c r="V1196" s="264"/>
      <c r="W1196" s="264"/>
      <c r="X1196" s="264"/>
      <c r="Y1196" s="264"/>
      <c r="Z1196" s="264"/>
      <c r="AA1196" s="264"/>
      <c r="AB1196" s="264"/>
      <c r="AC1196" s="264"/>
      <c r="AD1196" s="264"/>
      <c r="AE1196" s="264"/>
      <c r="AF1196" s="264"/>
      <c r="AG1196" s="264"/>
      <c r="AH1196" s="264"/>
      <c r="AI1196" s="264"/>
      <c r="AJ1196" s="264"/>
      <c r="AK1196" s="264"/>
      <c r="AL1196" s="264"/>
      <c r="AM1196" s="264"/>
      <c r="AN1196" s="264"/>
    </row>
    <row r="1197" ht="15.75" customHeight="1">
      <c r="A1197" s="264"/>
      <c r="B1197" s="42"/>
      <c r="C1197" s="280"/>
      <c r="D1197" s="264"/>
      <c r="E1197" s="264"/>
      <c r="F1197" s="264"/>
      <c r="G1197" s="264"/>
      <c r="H1197" s="264"/>
      <c r="I1197" s="281"/>
      <c r="J1197" s="281"/>
      <c r="K1197" s="264"/>
      <c r="L1197" s="264"/>
      <c r="M1197" s="264"/>
      <c r="N1197" s="264"/>
      <c r="O1197" s="264"/>
      <c r="P1197" s="264"/>
      <c r="Q1197" s="264"/>
      <c r="R1197" s="264"/>
      <c r="S1197" s="264"/>
      <c r="T1197" s="264"/>
      <c r="U1197" s="16"/>
      <c r="V1197" s="264"/>
      <c r="W1197" s="264"/>
      <c r="X1197" s="264"/>
      <c r="Y1197" s="264"/>
      <c r="Z1197" s="264"/>
      <c r="AA1197" s="264"/>
      <c r="AB1197" s="264"/>
      <c r="AC1197" s="264"/>
      <c r="AD1197" s="264"/>
      <c r="AE1197" s="264"/>
      <c r="AF1197" s="264"/>
      <c r="AG1197" s="264"/>
      <c r="AH1197" s="264"/>
      <c r="AI1197" s="264"/>
      <c r="AJ1197" s="264"/>
      <c r="AK1197" s="264"/>
      <c r="AL1197" s="264"/>
      <c r="AM1197" s="264"/>
      <c r="AN1197" s="264"/>
    </row>
    <row r="1198" ht="15.75" customHeight="1">
      <c r="A1198" s="264"/>
      <c r="B1198" s="42"/>
      <c r="C1198" s="280"/>
      <c r="D1198" s="264"/>
      <c r="E1198" s="264"/>
      <c r="F1198" s="264"/>
      <c r="G1198" s="264"/>
      <c r="H1198" s="264"/>
      <c r="I1198" s="281"/>
      <c r="J1198" s="281"/>
      <c r="K1198" s="264"/>
      <c r="L1198" s="264"/>
      <c r="M1198" s="264"/>
      <c r="N1198" s="264"/>
      <c r="O1198" s="264"/>
      <c r="P1198" s="264"/>
      <c r="Q1198" s="264"/>
      <c r="R1198" s="264"/>
      <c r="S1198" s="264"/>
      <c r="T1198" s="264"/>
      <c r="U1198" s="16"/>
      <c r="V1198" s="264"/>
      <c r="W1198" s="264"/>
      <c r="X1198" s="264"/>
      <c r="Y1198" s="264"/>
      <c r="Z1198" s="264"/>
      <c r="AA1198" s="264"/>
      <c r="AB1198" s="264"/>
      <c r="AC1198" s="264"/>
      <c r="AD1198" s="264"/>
      <c r="AE1198" s="264"/>
      <c r="AF1198" s="264"/>
      <c r="AG1198" s="264"/>
      <c r="AH1198" s="264"/>
      <c r="AI1198" s="264"/>
      <c r="AJ1198" s="264"/>
      <c r="AK1198" s="264"/>
      <c r="AL1198" s="264"/>
      <c r="AM1198" s="264"/>
      <c r="AN1198" s="264"/>
    </row>
    <row r="1199" ht="15.75" customHeight="1">
      <c r="A1199" s="264"/>
      <c r="B1199" s="42"/>
      <c r="C1199" s="280"/>
      <c r="D1199" s="264"/>
      <c r="E1199" s="264"/>
      <c r="F1199" s="264"/>
      <c r="G1199" s="264"/>
      <c r="H1199" s="264"/>
      <c r="I1199" s="281"/>
      <c r="J1199" s="281"/>
      <c r="K1199" s="264"/>
      <c r="L1199" s="264"/>
      <c r="M1199" s="264"/>
      <c r="N1199" s="264"/>
      <c r="O1199" s="264"/>
      <c r="P1199" s="264"/>
      <c r="Q1199" s="264"/>
      <c r="R1199" s="264"/>
      <c r="S1199" s="264"/>
      <c r="T1199" s="264"/>
      <c r="U1199" s="16"/>
      <c r="V1199" s="264"/>
      <c r="W1199" s="264"/>
      <c r="X1199" s="264"/>
      <c r="Y1199" s="264"/>
      <c r="Z1199" s="264"/>
      <c r="AA1199" s="264"/>
      <c r="AB1199" s="264"/>
      <c r="AC1199" s="264"/>
      <c r="AD1199" s="264"/>
      <c r="AE1199" s="264"/>
      <c r="AF1199" s="264"/>
      <c r="AG1199" s="264"/>
      <c r="AH1199" s="264"/>
      <c r="AI1199" s="264"/>
      <c r="AJ1199" s="264"/>
      <c r="AK1199" s="264"/>
      <c r="AL1199" s="264"/>
      <c r="AM1199" s="264"/>
      <c r="AN1199" s="264"/>
    </row>
    <row r="1200" ht="15.75" customHeight="1">
      <c r="A1200" s="264"/>
      <c r="B1200" s="42"/>
      <c r="C1200" s="280"/>
      <c r="D1200" s="264"/>
      <c r="E1200" s="264"/>
      <c r="F1200" s="264"/>
      <c r="G1200" s="264"/>
      <c r="H1200" s="264"/>
      <c r="I1200" s="281"/>
      <c r="J1200" s="281"/>
      <c r="K1200" s="264"/>
      <c r="L1200" s="264"/>
      <c r="M1200" s="264"/>
      <c r="N1200" s="264"/>
      <c r="O1200" s="264"/>
      <c r="P1200" s="264"/>
      <c r="Q1200" s="264"/>
      <c r="R1200" s="264"/>
      <c r="S1200" s="264"/>
      <c r="T1200" s="264"/>
      <c r="U1200" s="16"/>
      <c r="V1200" s="264"/>
      <c r="W1200" s="264"/>
      <c r="X1200" s="264"/>
      <c r="Y1200" s="264"/>
      <c r="Z1200" s="264"/>
      <c r="AA1200" s="264"/>
      <c r="AB1200" s="264"/>
      <c r="AC1200" s="264"/>
      <c r="AD1200" s="264"/>
      <c r="AE1200" s="264"/>
      <c r="AF1200" s="264"/>
      <c r="AG1200" s="264"/>
      <c r="AH1200" s="264"/>
      <c r="AI1200" s="264"/>
      <c r="AJ1200" s="264"/>
      <c r="AK1200" s="264"/>
      <c r="AL1200" s="264"/>
      <c r="AM1200" s="264"/>
      <c r="AN1200" s="264"/>
    </row>
    <row r="1201" ht="15.75" customHeight="1">
      <c r="A1201" s="264"/>
      <c r="B1201" s="42"/>
      <c r="C1201" s="280"/>
      <c r="D1201" s="264"/>
      <c r="E1201" s="264"/>
      <c r="F1201" s="264"/>
      <c r="G1201" s="264"/>
      <c r="H1201" s="264"/>
      <c r="I1201" s="281"/>
      <c r="J1201" s="281"/>
      <c r="K1201" s="264"/>
      <c r="L1201" s="264"/>
      <c r="M1201" s="264"/>
      <c r="N1201" s="264"/>
      <c r="O1201" s="264"/>
      <c r="P1201" s="264"/>
      <c r="Q1201" s="264"/>
      <c r="R1201" s="264"/>
      <c r="S1201" s="264"/>
      <c r="T1201" s="264"/>
      <c r="U1201" s="16"/>
      <c r="V1201" s="264"/>
      <c r="W1201" s="264"/>
      <c r="X1201" s="264"/>
      <c r="Y1201" s="264"/>
      <c r="Z1201" s="264"/>
      <c r="AA1201" s="264"/>
      <c r="AB1201" s="264"/>
      <c r="AC1201" s="264"/>
      <c r="AD1201" s="264"/>
      <c r="AE1201" s="264"/>
      <c r="AF1201" s="264"/>
      <c r="AG1201" s="264"/>
      <c r="AH1201" s="264"/>
      <c r="AI1201" s="264"/>
      <c r="AJ1201" s="264"/>
      <c r="AK1201" s="264"/>
      <c r="AL1201" s="264"/>
      <c r="AM1201" s="264"/>
      <c r="AN1201" s="264"/>
    </row>
    <row r="1202" ht="15.75" customHeight="1">
      <c r="A1202" s="264"/>
      <c r="B1202" s="42"/>
      <c r="C1202" s="280"/>
      <c r="D1202" s="264"/>
      <c r="E1202" s="264"/>
      <c r="F1202" s="264"/>
      <c r="G1202" s="264"/>
      <c r="H1202" s="264"/>
      <c r="I1202" s="281"/>
      <c r="J1202" s="281"/>
      <c r="K1202" s="264"/>
      <c r="L1202" s="264"/>
      <c r="M1202" s="264"/>
      <c r="N1202" s="264"/>
      <c r="O1202" s="264"/>
      <c r="P1202" s="264"/>
      <c r="Q1202" s="264"/>
      <c r="R1202" s="264"/>
      <c r="S1202" s="264"/>
      <c r="T1202" s="264"/>
      <c r="U1202" s="16"/>
      <c r="V1202" s="264"/>
      <c r="W1202" s="264"/>
      <c r="X1202" s="264"/>
      <c r="Y1202" s="264"/>
      <c r="Z1202" s="264"/>
      <c r="AA1202" s="264"/>
      <c r="AB1202" s="264"/>
      <c r="AC1202" s="264"/>
      <c r="AD1202" s="264"/>
      <c r="AE1202" s="264"/>
      <c r="AF1202" s="264"/>
      <c r="AG1202" s="264"/>
      <c r="AH1202" s="264"/>
      <c r="AI1202" s="264"/>
      <c r="AJ1202" s="264"/>
      <c r="AK1202" s="264"/>
      <c r="AL1202" s="264"/>
      <c r="AM1202" s="264"/>
      <c r="AN1202" s="264"/>
    </row>
    <row r="1203" ht="15.75" customHeight="1">
      <c r="A1203" s="264"/>
      <c r="B1203" s="42"/>
      <c r="C1203" s="280"/>
      <c r="D1203" s="264"/>
      <c r="E1203" s="264"/>
      <c r="F1203" s="264"/>
      <c r="G1203" s="264"/>
      <c r="H1203" s="264"/>
      <c r="I1203" s="281"/>
      <c r="J1203" s="281"/>
      <c r="K1203" s="264"/>
      <c r="L1203" s="264"/>
      <c r="M1203" s="264"/>
      <c r="N1203" s="264"/>
      <c r="O1203" s="264"/>
      <c r="P1203" s="264"/>
      <c r="Q1203" s="264"/>
      <c r="R1203" s="264"/>
      <c r="S1203" s="264"/>
      <c r="T1203" s="264"/>
      <c r="U1203" s="16"/>
      <c r="V1203" s="264"/>
      <c r="W1203" s="264"/>
      <c r="X1203" s="264"/>
      <c r="Y1203" s="264"/>
      <c r="Z1203" s="264"/>
      <c r="AA1203" s="264"/>
      <c r="AB1203" s="264"/>
      <c r="AC1203" s="264"/>
      <c r="AD1203" s="264"/>
      <c r="AE1203" s="264"/>
      <c r="AF1203" s="264"/>
      <c r="AG1203" s="264"/>
      <c r="AH1203" s="264"/>
      <c r="AI1203" s="264"/>
      <c r="AJ1203" s="264"/>
      <c r="AK1203" s="264"/>
      <c r="AL1203" s="264"/>
      <c r="AM1203" s="264"/>
      <c r="AN1203" s="264"/>
    </row>
    <row r="1204" ht="15.75" customHeight="1">
      <c r="A1204" s="264"/>
      <c r="B1204" s="42"/>
      <c r="C1204" s="280"/>
      <c r="D1204" s="264"/>
      <c r="E1204" s="264"/>
      <c r="F1204" s="264"/>
      <c r="G1204" s="264"/>
      <c r="H1204" s="264"/>
      <c r="I1204" s="281"/>
      <c r="J1204" s="281"/>
      <c r="K1204" s="264"/>
      <c r="L1204" s="264"/>
      <c r="M1204" s="264"/>
      <c r="N1204" s="264"/>
      <c r="O1204" s="264"/>
      <c r="P1204" s="264"/>
      <c r="Q1204" s="264"/>
      <c r="R1204" s="264"/>
      <c r="S1204" s="264"/>
      <c r="T1204" s="264"/>
      <c r="U1204" s="16"/>
      <c r="V1204" s="264"/>
      <c r="W1204" s="264"/>
      <c r="X1204" s="264"/>
      <c r="Y1204" s="264"/>
      <c r="Z1204" s="264"/>
      <c r="AA1204" s="264"/>
      <c r="AB1204" s="264"/>
      <c r="AC1204" s="264"/>
      <c r="AD1204" s="264"/>
      <c r="AE1204" s="264"/>
      <c r="AF1204" s="264"/>
      <c r="AG1204" s="264"/>
      <c r="AH1204" s="264"/>
      <c r="AI1204" s="264"/>
      <c r="AJ1204" s="264"/>
      <c r="AK1204" s="264"/>
      <c r="AL1204" s="264"/>
      <c r="AM1204" s="264"/>
      <c r="AN1204" s="264"/>
    </row>
    <row r="1205" ht="15.75" customHeight="1">
      <c r="A1205" s="264"/>
      <c r="B1205" s="42"/>
      <c r="C1205" s="280"/>
      <c r="D1205" s="264"/>
      <c r="E1205" s="264"/>
      <c r="F1205" s="264"/>
      <c r="G1205" s="264"/>
      <c r="H1205" s="264"/>
      <c r="I1205" s="281"/>
      <c r="J1205" s="281"/>
      <c r="K1205" s="264"/>
      <c r="L1205" s="264"/>
      <c r="M1205" s="264"/>
      <c r="N1205" s="264"/>
      <c r="O1205" s="264"/>
      <c r="P1205" s="264"/>
      <c r="Q1205" s="264"/>
      <c r="R1205" s="264"/>
      <c r="S1205" s="264"/>
      <c r="T1205" s="264"/>
      <c r="U1205" s="16"/>
      <c r="V1205" s="264"/>
      <c r="W1205" s="264"/>
      <c r="X1205" s="264"/>
      <c r="Y1205" s="264"/>
      <c r="Z1205" s="264"/>
      <c r="AA1205" s="264"/>
      <c r="AB1205" s="264"/>
      <c r="AC1205" s="264"/>
      <c r="AD1205" s="264"/>
      <c r="AE1205" s="264"/>
      <c r="AF1205" s="264"/>
      <c r="AG1205" s="264"/>
      <c r="AH1205" s="264"/>
      <c r="AI1205" s="264"/>
      <c r="AJ1205" s="264"/>
      <c r="AK1205" s="264"/>
      <c r="AL1205" s="264"/>
      <c r="AM1205" s="264"/>
      <c r="AN1205" s="264"/>
    </row>
    <row r="1206" ht="15.75" customHeight="1">
      <c r="A1206" s="264"/>
      <c r="B1206" s="42"/>
      <c r="C1206" s="280"/>
      <c r="D1206" s="264"/>
      <c r="E1206" s="264"/>
      <c r="F1206" s="264"/>
      <c r="G1206" s="264"/>
      <c r="H1206" s="264"/>
      <c r="I1206" s="281"/>
      <c r="J1206" s="281"/>
      <c r="K1206" s="264"/>
      <c r="L1206" s="264"/>
      <c r="M1206" s="264"/>
      <c r="N1206" s="264"/>
      <c r="O1206" s="264"/>
      <c r="P1206" s="264"/>
      <c r="Q1206" s="264"/>
      <c r="R1206" s="264"/>
      <c r="S1206" s="264"/>
      <c r="T1206" s="264"/>
      <c r="U1206" s="16"/>
      <c r="V1206" s="264"/>
      <c r="W1206" s="264"/>
      <c r="X1206" s="264"/>
      <c r="Y1206" s="264"/>
      <c r="Z1206" s="264"/>
      <c r="AA1206" s="264"/>
      <c r="AB1206" s="264"/>
      <c r="AC1206" s="264"/>
      <c r="AD1206" s="264"/>
      <c r="AE1206" s="264"/>
      <c r="AF1206" s="264"/>
      <c r="AG1206" s="264"/>
      <c r="AH1206" s="264"/>
      <c r="AI1206" s="264"/>
      <c r="AJ1206" s="264"/>
      <c r="AK1206" s="264"/>
      <c r="AL1206" s="264"/>
      <c r="AM1206" s="264"/>
      <c r="AN1206" s="264"/>
    </row>
    <row r="1207" ht="15.75" customHeight="1">
      <c r="A1207" s="264"/>
      <c r="B1207" s="42"/>
      <c r="C1207" s="280"/>
      <c r="D1207" s="264"/>
      <c r="E1207" s="264"/>
      <c r="F1207" s="264"/>
      <c r="G1207" s="264"/>
      <c r="H1207" s="264"/>
      <c r="I1207" s="281"/>
      <c r="J1207" s="281"/>
      <c r="K1207" s="264"/>
      <c r="L1207" s="264"/>
      <c r="M1207" s="264"/>
      <c r="N1207" s="264"/>
      <c r="O1207" s="264"/>
      <c r="P1207" s="264"/>
      <c r="Q1207" s="264"/>
      <c r="R1207" s="264"/>
      <c r="S1207" s="264"/>
      <c r="T1207" s="264"/>
      <c r="U1207" s="16"/>
      <c r="V1207" s="264"/>
      <c r="W1207" s="264"/>
      <c r="X1207" s="264"/>
      <c r="Y1207" s="264"/>
      <c r="Z1207" s="264"/>
      <c r="AA1207" s="264"/>
      <c r="AB1207" s="264"/>
      <c r="AC1207" s="264"/>
      <c r="AD1207" s="264"/>
      <c r="AE1207" s="264"/>
      <c r="AF1207" s="264"/>
      <c r="AG1207" s="264"/>
      <c r="AH1207" s="264"/>
      <c r="AI1207" s="264"/>
      <c r="AJ1207" s="264"/>
      <c r="AK1207" s="264"/>
      <c r="AL1207" s="264"/>
      <c r="AM1207" s="264"/>
      <c r="AN1207" s="264"/>
    </row>
    <row r="1208" ht="15.75" customHeight="1">
      <c r="A1208" s="264"/>
      <c r="B1208" s="42"/>
      <c r="C1208" s="280"/>
      <c r="D1208" s="264"/>
      <c r="E1208" s="264"/>
      <c r="F1208" s="264"/>
      <c r="G1208" s="264"/>
      <c r="H1208" s="264"/>
      <c r="I1208" s="281"/>
      <c r="J1208" s="281"/>
      <c r="K1208" s="264"/>
      <c r="L1208" s="264"/>
      <c r="M1208" s="264"/>
      <c r="N1208" s="264"/>
      <c r="O1208" s="264"/>
      <c r="P1208" s="264"/>
      <c r="Q1208" s="264"/>
      <c r="R1208" s="264"/>
      <c r="S1208" s="264"/>
      <c r="T1208" s="264"/>
      <c r="U1208" s="16"/>
      <c r="V1208" s="264"/>
      <c r="W1208" s="264"/>
      <c r="X1208" s="264"/>
      <c r="Y1208" s="264"/>
      <c r="Z1208" s="264"/>
      <c r="AA1208" s="264"/>
      <c r="AB1208" s="264"/>
      <c r="AC1208" s="264"/>
      <c r="AD1208" s="264"/>
      <c r="AE1208" s="264"/>
      <c r="AF1208" s="264"/>
      <c r="AG1208" s="264"/>
      <c r="AH1208" s="264"/>
      <c r="AI1208" s="264"/>
      <c r="AJ1208" s="264"/>
      <c r="AK1208" s="264"/>
      <c r="AL1208" s="264"/>
      <c r="AM1208" s="264"/>
      <c r="AN1208" s="264"/>
    </row>
    <row r="1209" ht="15.75" customHeight="1">
      <c r="A1209" s="264"/>
      <c r="B1209" s="42"/>
      <c r="C1209" s="280"/>
      <c r="D1209" s="264"/>
      <c r="E1209" s="264"/>
      <c r="F1209" s="264"/>
      <c r="G1209" s="264"/>
      <c r="H1209" s="264"/>
      <c r="I1209" s="281"/>
      <c r="J1209" s="281"/>
      <c r="K1209" s="264"/>
      <c r="L1209" s="264"/>
      <c r="M1209" s="264"/>
      <c r="N1209" s="264"/>
      <c r="O1209" s="264"/>
      <c r="P1209" s="264"/>
      <c r="Q1209" s="264"/>
      <c r="R1209" s="264"/>
      <c r="S1209" s="264"/>
      <c r="T1209" s="264"/>
      <c r="U1209" s="16"/>
      <c r="V1209" s="264"/>
      <c r="W1209" s="264"/>
      <c r="X1209" s="264"/>
      <c r="Y1209" s="264"/>
      <c r="Z1209" s="264"/>
      <c r="AA1209" s="264"/>
      <c r="AB1209" s="264"/>
      <c r="AC1209" s="264"/>
      <c r="AD1209" s="264"/>
      <c r="AE1209" s="264"/>
      <c r="AF1209" s="264"/>
      <c r="AG1209" s="264"/>
      <c r="AH1209" s="264"/>
      <c r="AI1209" s="264"/>
      <c r="AJ1209" s="264"/>
      <c r="AK1209" s="264"/>
      <c r="AL1209" s="264"/>
      <c r="AM1209" s="264"/>
      <c r="AN1209" s="264"/>
    </row>
    <row r="1210" ht="15.75" customHeight="1">
      <c r="A1210" s="264"/>
      <c r="B1210" s="42"/>
      <c r="C1210" s="280"/>
      <c r="D1210" s="264"/>
      <c r="E1210" s="264"/>
      <c r="F1210" s="264"/>
      <c r="G1210" s="264"/>
      <c r="H1210" s="264"/>
      <c r="I1210" s="281"/>
      <c r="J1210" s="281"/>
      <c r="K1210" s="264"/>
      <c r="L1210" s="264"/>
      <c r="M1210" s="264"/>
      <c r="N1210" s="264"/>
      <c r="O1210" s="264"/>
      <c r="P1210" s="264"/>
      <c r="Q1210" s="264"/>
      <c r="R1210" s="264"/>
      <c r="S1210" s="264"/>
      <c r="T1210" s="264"/>
      <c r="U1210" s="16"/>
      <c r="V1210" s="264"/>
      <c r="W1210" s="264"/>
      <c r="X1210" s="264"/>
      <c r="Y1210" s="264"/>
      <c r="Z1210" s="264"/>
      <c r="AA1210" s="264"/>
      <c r="AB1210" s="264"/>
      <c r="AC1210" s="264"/>
      <c r="AD1210" s="264"/>
      <c r="AE1210" s="264"/>
      <c r="AF1210" s="264"/>
      <c r="AG1210" s="264"/>
      <c r="AH1210" s="264"/>
      <c r="AI1210" s="264"/>
      <c r="AJ1210" s="264"/>
      <c r="AK1210" s="264"/>
      <c r="AL1210" s="264"/>
      <c r="AM1210" s="264"/>
      <c r="AN1210" s="264"/>
    </row>
    <row r="1211" ht="15.75" customHeight="1">
      <c r="A1211" s="264"/>
      <c r="B1211" s="42"/>
      <c r="C1211" s="280"/>
      <c r="D1211" s="264"/>
      <c r="E1211" s="264"/>
      <c r="F1211" s="264"/>
      <c r="G1211" s="264"/>
      <c r="H1211" s="264"/>
      <c r="I1211" s="281"/>
      <c r="J1211" s="281"/>
      <c r="K1211" s="264"/>
      <c r="L1211" s="264"/>
      <c r="M1211" s="264"/>
      <c r="N1211" s="264"/>
      <c r="O1211" s="264"/>
      <c r="P1211" s="264"/>
      <c r="Q1211" s="264"/>
      <c r="R1211" s="264"/>
      <c r="S1211" s="264"/>
      <c r="T1211" s="264"/>
      <c r="U1211" s="16"/>
      <c r="V1211" s="264"/>
      <c r="W1211" s="264"/>
      <c r="X1211" s="264"/>
      <c r="Y1211" s="264"/>
      <c r="Z1211" s="264"/>
      <c r="AA1211" s="264"/>
      <c r="AB1211" s="264"/>
      <c r="AC1211" s="264"/>
      <c r="AD1211" s="264"/>
      <c r="AE1211" s="264"/>
      <c r="AF1211" s="264"/>
      <c r="AG1211" s="264"/>
      <c r="AH1211" s="264"/>
      <c r="AI1211" s="264"/>
      <c r="AJ1211" s="264"/>
      <c r="AK1211" s="264"/>
      <c r="AL1211" s="264"/>
      <c r="AM1211" s="264"/>
      <c r="AN1211" s="264"/>
    </row>
    <row r="1212" ht="15.75" customHeight="1">
      <c r="A1212" s="264"/>
      <c r="B1212" s="42"/>
      <c r="C1212" s="280"/>
      <c r="D1212" s="264"/>
      <c r="E1212" s="264"/>
      <c r="F1212" s="264"/>
      <c r="G1212" s="264"/>
      <c r="H1212" s="264"/>
      <c r="I1212" s="281"/>
      <c r="J1212" s="281"/>
      <c r="K1212" s="264"/>
      <c r="L1212" s="264"/>
      <c r="M1212" s="264"/>
      <c r="N1212" s="264"/>
      <c r="O1212" s="264"/>
      <c r="P1212" s="264"/>
      <c r="Q1212" s="264"/>
      <c r="R1212" s="264"/>
      <c r="S1212" s="264"/>
      <c r="T1212" s="264"/>
      <c r="U1212" s="16"/>
      <c r="V1212" s="264"/>
      <c r="W1212" s="264"/>
      <c r="X1212" s="264"/>
      <c r="Y1212" s="264"/>
      <c r="Z1212" s="264"/>
      <c r="AA1212" s="264"/>
      <c r="AB1212" s="264"/>
      <c r="AC1212" s="264"/>
      <c r="AD1212" s="264"/>
      <c r="AE1212" s="264"/>
      <c r="AF1212" s="264"/>
      <c r="AG1212" s="264"/>
      <c r="AH1212" s="264"/>
      <c r="AI1212" s="264"/>
      <c r="AJ1212" s="264"/>
      <c r="AK1212" s="264"/>
      <c r="AL1212" s="264"/>
      <c r="AM1212" s="264"/>
      <c r="AN1212" s="264"/>
    </row>
    <row r="1213" ht="15.75" customHeight="1">
      <c r="A1213" s="264"/>
      <c r="B1213" s="42"/>
      <c r="C1213" s="280"/>
      <c r="D1213" s="264"/>
      <c r="E1213" s="264"/>
      <c r="F1213" s="264"/>
      <c r="G1213" s="264"/>
      <c r="H1213" s="264"/>
      <c r="I1213" s="281"/>
      <c r="J1213" s="281"/>
      <c r="K1213" s="264"/>
      <c r="L1213" s="264"/>
      <c r="M1213" s="264"/>
      <c r="N1213" s="264"/>
      <c r="O1213" s="264"/>
      <c r="P1213" s="264"/>
      <c r="Q1213" s="264"/>
      <c r="R1213" s="264"/>
      <c r="S1213" s="264"/>
      <c r="T1213" s="264"/>
      <c r="U1213" s="16"/>
      <c r="V1213" s="264"/>
      <c r="W1213" s="264"/>
      <c r="X1213" s="264"/>
      <c r="Y1213" s="264"/>
      <c r="Z1213" s="264"/>
      <c r="AA1213" s="264"/>
      <c r="AB1213" s="264"/>
      <c r="AC1213" s="264"/>
      <c r="AD1213" s="264"/>
      <c r="AE1213" s="264"/>
      <c r="AF1213" s="264"/>
      <c r="AG1213" s="264"/>
      <c r="AH1213" s="264"/>
      <c r="AI1213" s="264"/>
      <c r="AJ1213" s="264"/>
      <c r="AK1213" s="264"/>
      <c r="AL1213" s="264"/>
      <c r="AM1213" s="264"/>
      <c r="AN1213" s="264"/>
    </row>
    <row r="1214" ht="15.75" customHeight="1">
      <c r="A1214" s="264"/>
      <c r="B1214" s="42"/>
      <c r="C1214" s="280"/>
      <c r="D1214" s="264"/>
      <c r="E1214" s="264"/>
      <c r="F1214" s="264"/>
      <c r="G1214" s="264"/>
      <c r="H1214" s="264"/>
      <c r="I1214" s="281"/>
      <c r="J1214" s="281"/>
      <c r="K1214" s="264"/>
      <c r="L1214" s="264"/>
      <c r="M1214" s="264"/>
      <c r="N1214" s="264"/>
      <c r="O1214" s="264"/>
      <c r="P1214" s="264"/>
      <c r="Q1214" s="264"/>
      <c r="R1214" s="264"/>
      <c r="S1214" s="264"/>
      <c r="T1214" s="264"/>
      <c r="U1214" s="16"/>
      <c r="V1214" s="264"/>
      <c r="W1214" s="264"/>
      <c r="X1214" s="264"/>
      <c r="Y1214" s="264"/>
      <c r="Z1214" s="264"/>
      <c r="AA1214" s="264"/>
      <c r="AB1214" s="264"/>
      <c r="AC1214" s="264"/>
      <c r="AD1214" s="264"/>
      <c r="AE1214" s="264"/>
      <c r="AF1214" s="264"/>
      <c r="AG1214" s="264"/>
      <c r="AH1214" s="264"/>
      <c r="AI1214" s="264"/>
      <c r="AJ1214" s="264"/>
      <c r="AK1214" s="264"/>
      <c r="AL1214" s="264"/>
      <c r="AM1214" s="264"/>
      <c r="AN1214" s="264"/>
    </row>
    <row r="1215" ht="15.75" customHeight="1">
      <c r="A1215" s="264"/>
      <c r="B1215" s="42"/>
      <c r="C1215" s="280"/>
      <c r="D1215" s="264"/>
      <c r="E1215" s="264"/>
      <c r="F1215" s="264"/>
      <c r="G1215" s="264"/>
      <c r="H1215" s="264"/>
      <c r="I1215" s="281"/>
      <c r="J1215" s="281"/>
      <c r="K1215" s="264"/>
      <c r="L1215" s="264"/>
      <c r="M1215" s="264"/>
      <c r="N1215" s="264"/>
      <c r="O1215" s="264"/>
      <c r="P1215" s="264"/>
      <c r="Q1215" s="264"/>
      <c r="R1215" s="264"/>
      <c r="S1215" s="264"/>
      <c r="T1215" s="264"/>
      <c r="U1215" s="16"/>
      <c r="V1215" s="264"/>
      <c r="W1215" s="264"/>
      <c r="X1215" s="264"/>
      <c r="Y1215" s="264"/>
      <c r="Z1215" s="264"/>
      <c r="AA1215" s="264"/>
      <c r="AB1215" s="264"/>
      <c r="AC1215" s="264"/>
      <c r="AD1215" s="264"/>
      <c r="AE1215" s="264"/>
      <c r="AF1215" s="264"/>
      <c r="AG1215" s="264"/>
      <c r="AH1215" s="264"/>
      <c r="AI1215" s="264"/>
      <c r="AJ1215" s="264"/>
      <c r="AK1215" s="264"/>
      <c r="AL1215" s="264"/>
      <c r="AM1215" s="264"/>
      <c r="AN1215" s="264"/>
    </row>
    <row r="1216" ht="15.75" customHeight="1">
      <c r="A1216" s="264"/>
      <c r="B1216" s="42"/>
      <c r="C1216" s="280"/>
      <c r="D1216" s="264"/>
      <c r="E1216" s="264"/>
      <c r="F1216" s="264"/>
      <c r="G1216" s="264"/>
      <c r="H1216" s="264"/>
      <c r="I1216" s="281"/>
      <c r="J1216" s="281"/>
      <c r="K1216" s="264"/>
      <c r="L1216" s="264"/>
      <c r="M1216" s="264"/>
      <c r="N1216" s="264"/>
      <c r="O1216" s="264"/>
      <c r="P1216" s="264"/>
      <c r="Q1216" s="264"/>
      <c r="R1216" s="264"/>
      <c r="S1216" s="264"/>
      <c r="T1216" s="264"/>
      <c r="U1216" s="16"/>
      <c r="V1216" s="264"/>
      <c r="W1216" s="264"/>
      <c r="X1216" s="264"/>
      <c r="Y1216" s="264"/>
      <c r="Z1216" s="264"/>
      <c r="AA1216" s="264"/>
      <c r="AB1216" s="264"/>
      <c r="AC1216" s="264"/>
      <c r="AD1216" s="264"/>
      <c r="AE1216" s="264"/>
      <c r="AF1216" s="264"/>
      <c r="AG1216" s="264"/>
      <c r="AH1216" s="264"/>
      <c r="AI1216" s="264"/>
      <c r="AJ1216" s="264"/>
      <c r="AK1216" s="264"/>
      <c r="AL1216" s="264"/>
      <c r="AM1216" s="264"/>
      <c r="AN1216" s="264"/>
    </row>
    <row r="1217" ht="15.75" customHeight="1">
      <c r="A1217" s="264"/>
      <c r="B1217" s="42"/>
      <c r="C1217" s="280"/>
      <c r="D1217" s="264"/>
      <c r="E1217" s="264"/>
      <c r="F1217" s="264"/>
      <c r="G1217" s="264"/>
      <c r="H1217" s="264"/>
      <c r="I1217" s="281"/>
      <c r="J1217" s="281"/>
      <c r="K1217" s="264"/>
      <c r="L1217" s="264"/>
      <c r="M1217" s="264"/>
      <c r="N1217" s="264"/>
      <c r="O1217" s="264"/>
      <c r="P1217" s="264"/>
      <c r="Q1217" s="264"/>
      <c r="R1217" s="264"/>
      <c r="S1217" s="264"/>
      <c r="T1217" s="264"/>
      <c r="U1217" s="16"/>
      <c r="V1217" s="264"/>
      <c r="W1217" s="264"/>
      <c r="X1217" s="264"/>
      <c r="Y1217" s="264"/>
      <c r="Z1217" s="264"/>
      <c r="AA1217" s="264"/>
      <c r="AB1217" s="264"/>
      <c r="AC1217" s="264"/>
      <c r="AD1217" s="264"/>
      <c r="AE1217" s="264"/>
      <c r="AF1217" s="264"/>
      <c r="AG1217" s="264"/>
      <c r="AH1217" s="264"/>
      <c r="AI1217" s="264"/>
      <c r="AJ1217" s="264"/>
      <c r="AK1217" s="264"/>
      <c r="AL1217" s="264"/>
      <c r="AM1217" s="264"/>
      <c r="AN1217" s="264"/>
    </row>
    <row r="1218" ht="15.75" customHeight="1">
      <c r="A1218" s="264"/>
      <c r="B1218" s="42"/>
      <c r="C1218" s="280"/>
      <c r="D1218" s="264"/>
      <c r="E1218" s="264"/>
      <c r="F1218" s="264"/>
      <c r="G1218" s="264"/>
      <c r="H1218" s="264"/>
      <c r="I1218" s="281"/>
      <c r="J1218" s="281"/>
      <c r="K1218" s="264"/>
      <c r="L1218" s="264"/>
      <c r="M1218" s="264"/>
      <c r="N1218" s="264"/>
      <c r="O1218" s="264"/>
      <c r="P1218" s="264"/>
      <c r="Q1218" s="264"/>
      <c r="R1218" s="264"/>
      <c r="S1218" s="264"/>
      <c r="T1218" s="264"/>
      <c r="U1218" s="16"/>
      <c r="V1218" s="264"/>
      <c r="W1218" s="264"/>
      <c r="X1218" s="264"/>
      <c r="Y1218" s="264"/>
      <c r="Z1218" s="264"/>
      <c r="AA1218" s="264"/>
      <c r="AB1218" s="264"/>
      <c r="AC1218" s="264"/>
      <c r="AD1218" s="264"/>
      <c r="AE1218" s="264"/>
      <c r="AF1218" s="264"/>
      <c r="AG1218" s="264"/>
      <c r="AH1218" s="264"/>
      <c r="AI1218" s="264"/>
      <c r="AJ1218" s="264"/>
      <c r="AK1218" s="264"/>
      <c r="AL1218" s="264"/>
      <c r="AM1218" s="264"/>
      <c r="AN1218" s="264"/>
    </row>
    <row r="1219" ht="15.75" customHeight="1">
      <c r="A1219" s="264"/>
      <c r="B1219" s="42"/>
      <c r="C1219" s="280"/>
      <c r="D1219" s="264"/>
      <c r="E1219" s="264"/>
      <c r="F1219" s="264"/>
      <c r="G1219" s="264"/>
      <c r="H1219" s="264"/>
      <c r="I1219" s="281"/>
      <c r="J1219" s="281"/>
      <c r="K1219" s="264"/>
      <c r="L1219" s="264"/>
      <c r="M1219" s="264"/>
      <c r="N1219" s="264"/>
      <c r="O1219" s="264"/>
      <c r="P1219" s="264"/>
      <c r="Q1219" s="264"/>
      <c r="R1219" s="264"/>
      <c r="S1219" s="264"/>
      <c r="T1219" s="264"/>
      <c r="U1219" s="16"/>
      <c r="V1219" s="264"/>
      <c r="W1219" s="264"/>
      <c r="X1219" s="264"/>
      <c r="Y1219" s="264"/>
      <c r="Z1219" s="264"/>
      <c r="AA1219" s="264"/>
      <c r="AB1219" s="264"/>
      <c r="AC1219" s="264"/>
      <c r="AD1219" s="264"/>
      <c r="AE1219" s="264"/>
      <c r="AF1219" s="264"/>
      <c r="AG1219" s="264"/>
      <c r="AH1219" s="264"/>
      <c r="AI1219" s="264"/>
      <c r="AJ1219" s="264"/>
      <c r="AK1219" s="264"/>
      <c r="AL1219" s="264"/>
      <c r="AM1219" s="264"/>
      <c r="AN1219" s="264"/>
    </row>
    <row r="1220" ht="15.75" customHeight="1">
      <c r="A1220" s="264"/>
      <c r="B1220" s="42"/>
      <c r="C1220" s="280"/>
      <c r="D1220" s="264"/>
      <c r="E1220" s="264"/>
      <c r="F1220" s="264"/>
      <c r="G1220" s="264"/>
      <c r="H1220" s="264"/>
      <c r="I1220" s="281"/>
      <c r="J1220" s="281"/>
      <c r="K1220" s="264"/>
      <c r="L1220" s="264"/>
      <c r="M1220" s="264"/>
      <c r="N1220" s="264"/>
      <c r="O1220" s="264"/>
      <c r="P1220" s="264"/>
      <c r="Q1220" s="264"/>
      <c r="R1220" s="264"/>
      <c r="S1220" s="264"/>
      <c r="T1220" s="264"/>
      <c r="U1220" s="16"/>
      <c r="V1220" s="264"/>
      <c r="W1220" s="264"/>
      <c r="X1220" s="264"/>
      <c r="Y1220" s="264"/>
      <c r="Z1220" s="264"/>
      <c r="AA1220" s="264"/>
      <c r="AB1220" s="264"/>
      <c r="AC1220" s="264"/>
      <c r="AD1220" s="264"/>
      <c r="AE1220" s="264"/>
      <c r="AF1220" s="264"/>
      <c r="AG1220" s="264"/>
      <c r="AH1220" s="264"/>
      <c r="AI1220" s="264"/>
      <c r="AJ1220" s="264"/>
      <c r="AK1220" s="264"/>
      <c r="AL1220" s="264"/>
      <c r="AM1220" s="264"/>
      <c r="AN1220" s="264"/>
    </row>
    <row r="1221" ht="15.75" customHeight="1">
      <c r="A1221" s="264"/>
      <c r="B1221" s="42"/>
      <c r="C1221" s="280"/>
      <c r="D1221" s="264"/>
      <c r="E1221" s="264"/>
      <c r="F1221" s="264"/>
      <c r="G1221" s="264"/>
      <c r="H1221" s="264"/>
      <c r="I1221" s="281"/>
      <c r="J1221" s="281"/>
      <c r="K1221" s="264"/>
      <c r="L1221" s="264"/>
      <c r="M1221" s="264"/>
      <c r="N1221" s="264"/>
      <c r="O1221" s="264"/>
      <c r="P1221" s="264"/>
      <c r="Q1221" s="264"/>
      <c r="R1221" s="264"/>
      <c r="S1221" s="264"/>
      <c r="T1221" s="264"/>
      <c r="U1221" s="16"/>
      <c r="V1221" s="264"/>
      <c r="W1221" s="264"/>
      <c r="X1221" s="264"/>
      <c r="Y1221" s="264"/>
      <c r="Z1221" s="264"/>
      <c r="AA1221" s="264"/>
      <c r="AB1221" s="264"/>
      <c r="AC1221" s="264"/>
      <c r="AD1221" s="264"/>
      <c r="AE1221" s="264"/>
      <c r="AF1221" s="264"/>
      <c r="AG1221" s="264"/>
      <c r="AH1221" s="264"/>
      <c r="AI1221" s="264"/>
      <c r="AJ1221" s="264"/>
      <c r="AK1221" s="264"/>
      <c r="AL1221" s="264"/>
      <c r="AM1221" s="264"/>
      <c r="AN1221" s="264"/>
    </row>
    <row r="1222" ht="15.75" customHeight="1">
      <c r="A1222" s="264"/>
      <c r="B1222" s="42"/>
      <c r="C1222" s="280"/>
      <c r="D1222" s="264"/>
      <c r="E1222" s="264"/>
      <c r="F1222" s="264"/>
      <c r="G1222" s="264"/>
      <c r="H1222" s="264"/>
      <c r="I1222" s="281"/>
      <c r="J1222" s="281"/>
      <c r="K1222" s="264"/>
      <c r="L1222" s="264"/>
      <c r="M1222" s="264"/>
      <c r="N1222" s="264"/>
      <c r="O1222" s="264"/>
      <c r="P1222" s="264"/>
      <c r="Q1222" s="264"/>
      <c r="R1222" s="264"/>
      <c r="S1222" s="264"/>
      <c r="T1222" s="264"/>
      <c r="U1222" s="16"/>
      <c r="V1222" s="264"/>
      <c r="W1222" s="264"/>
      <c r="X1222" s="264"/>
      <c r="Y1222" s="264"/>
      <c r="Z1222" s="264"/>
      <c r="AA1222" s="264"/>
      <c r="AB1222" s="264"/>
      <c r="AC1222" s="264"/>
      <c r="AD1222" s="264"/>
      <c r="AE1222" s="264"/>
      <c r="AF1222" s="264"/>
      <c r="AG1222" s="264"/>
      <c r="AH1222" s="264"/>
      <c r="AI1222" s="264"/>
      <c r="AJ1222" s="264"/>
      <c r="AK1222" s="264"/>
      <c r="AL1222" s="264"/>
      <c r="AM1222" s="264"/>
      <c r="AN1222" s="264"/>
    </row>
    <row r="1223" ht="15.75" customHeight="1">
      <c r="A1223" s="264"/>
      <c r="B1223" s="42"/>
      <c r="C1223" s="280"/>
      <c r="D1223" s="264"/>
      <c r="E1223" s="264"/>
      <c r="F1223" s="264"/>
      <c r="G1223" s="264"/>
      <c r="H1223" s="264"/>
      <c r="I1223" s="281"/>
      <c r="J1223" s="281"/>
      <c r="K1223" s="264"/>
      <c r="L1223" s="264"/>
      <c r="M1223" s="264"/>
      <c r="N1223" s="264"/>
      <c r="O1223" s="264"/>
      <c r="P1223" s="264"/>
      <c r="Q1223" s="264"/>
      <c r="R1223" s="264"/>
      <c r="S1223" s="264"/>
      <c r="T1223" s="264"/>
      <c r="U1223" s="16"/>
      <c r="V1223" s="264"/>
      <c r="W1223" s="264"/>
      <c r="X1223" s="264"/>
      <c r="Y1223" s="264"/>
      <c r="Z1223" s="264"/>
      <c r="AA1223" s="264"/>
      <c r="AB1223" s="264"/>
      <c r="AC1223" s="264"/>
      <c r="AD1223" s="264"/>
      <c r="AE1223" s="264"/>
      <c r="AF1223" s="264"/>
      <c r="AG1223" s="264"/>
      <c r="AH1223" s="264"/>
      <c r="AI1223" s="264"/>
      <c r="AJ1223" s="264"/>
      <c r="AK1223" s="264"/>
      <c r="AL1223" s="264"/>
      <c r="AM1223" s="264"/>
      <c r="AN1223" s="264"/>
    </row>
    <row r="1224" ht="15.75" customHeight="1">
      <c r="A1224" s="264"/>
      <c r="B1224" s="42"/>
      <c r="C1224" s="280"/>
      <c r="D1224" s="264"/>
      <c r="E1224" s="264"/>
      <c r="F1224" s="264"/>
      <c r="G1224" s="264"/>
      <c r="H1224" s="264"/>
      <c r="I1224" s="281"/>
      <c r="J1224" s="281"/>
      <c r="K1224" s="264"/>
      <c r="L1224" s="264"/>
      <c r="M1224" s="264"/>
      <c r="N1224" s="264"/>
      <c r="O1224" s="264"/>
      <c r="P1224" s="264"/>
      <c r="Q1224" s="264"/>
      <c r="R1224" s="264"/>
      <c r="S1224" s="264"/>
      <c r="T1224" s="264"/>
      <c r="U1224" s="16"/>
      <c r="V1224" s="264"/>
      <c r="W1224" s="264"/>
      <c r="X1224" s="264"/>
      <c r="Y1224" s="264"/>
      <c r="Z1224" s="264"/>
      <c r="AA1224" s="264"/>
      <c r="AB1224" s="264"/>
      <c r="AC1224" s="264"/>
      <c r="AD1224" s="264"/>
      <c r="AE1224" s="264"/>
      <c r="AF1224" s="264"/>
      <c r="AG1224" s="264"/>
      <c r="AH1224" s="264"/>
      <c r="AI1224" s="264"/>
      <c r="AJ1224" s="264"/>
      <c r="AK1224" s="264"/>
      <c r="AL1224" s="264"/>
      <c r="AM1224" s="264"/>
      <c r="AN1224" s="264"/>
    </row>
    <row r="1225" ht="15.75" customHeight="1">
      <c r="A1225" s="264"/>
      <c r="B1225" s="42"/>
      <c r="C1225" s="280"/>
      <c r="D1225" s="264"/>
      <c r="E1225" s="264"/>
      <c r="F1225" s="264"/>
      <c r="G1225" s="264"/>
      <c r="H1225" s="264"/>
      <c r="I1225" s="281"/>
      <c r="J1225" s="281"/>
      <c r="K1225" s="264"/>
      <c r="L1225" s="264"/>
      <c r="M1225" s="264"/>
      <c r="N1225" s="264"/>
      <c r="O1225" s="264"/>
      <c r="P1225" s="264"/>
      <c r="Q1225" s="264"/>
      <c r="R1225" s="264"/>
      <c r="S1225" s="264"/>
      <c r="T1225" s="264"/>
      <c r="U1225" s="16"/>
      <c r="V1225" s="264"/>
      <c r="W1225" s="264"/>
      <c r="X1225" s="264"/>
      <c r="Y1225" s="264"/>
      <c r="Z1225" s="264"/>
      <c r="AA1225" s="264"/>
      <c r="AB1225" s="264"/>
      <c r="AC1225" s="264"/>
      <c r="AD1225" s="264"/>
      <c r="AE1225" s="264"/>
      <c r="AF1225" s="264"/>
      <c r="AG1225" s="264"/>
      <c r="AH1225" s="264"/>
      <c r="AI1225" s="264"/>
      <c r="AJ1225" s="264"/>
      <c r="AK1225" s="264"/>
      <c r="AL1225" s="264"/>
      <c r="AM1225" s="264"/>
      <c r="AN1225" s="264"/>
    </row>
    <row r="1226" ht="15.75" customHeight="1">
      <c r="A1226" s="264"/>
      <c r="B1226" s="42"/>
      <c r="C1226" s="280"/>
      <c r="D1226" s="264"/>
      <c r="E1226" s="264"/>
      <c r="F1226" s="264"/>
      <c r="G1226" s="264"/>
      <c r="H1226" s="264"/>
      <c r="I1226" s="281"/>
      <c r="J1226" s="281"/>
      <c r="K1226" s="264"/>
      <c r="L1226" s="264"/>
      <c r="M1226" s="264"/>
      <c r="N1226" s="264"/>
      <c r="O1226" s="264"/>
      <c r="P1226" s="264"/>
      <c r="Q1226" s="264"/>
      <c r="R1226" s="264"/>
      <c r="S1226" s="264"/>
      <c r="T1226" s="264"/>
      <c r="U1226" s="16"/>
      <c r="V1226" s="264"/>
      <c r="W1226" s="264"/>
      <c r="X1226" s="264"/>
      <c r="Y1226" s="264"/>
      <c r="Z1226" s="264"/>
      <c r="AA1226" s="264"/>
      <c r="AB1226" s="264"/>
      <c r="AC1226" s="264"/>
      <c r="AD1226" s="264"/>
      <c r="AE1226" s="264"/>
      <c r="AF1226" s="264"/>
      <c r="AG1226" s="264"/>
      <c r="AH1226" s="264"/>
      <c r="AI1226" s="264"/>
      <c r="AJ1226" s="264"/>
      <c r="AK1226" s="264"/>
      <c r="AL1226" s="264"/>
      <c r="AM1226" s="264"/>
      <c r="AN1226" s="264"/>
    </row>
    <row r="1227" ht="15.75" customHeight="1">
      <c r="A1227" s="264"/>
      <c r="B1227" s="42"/>
      <c r="C1227" s="280"/>
      <c r="D1227" s="264"/>
      <c r="E1227" s="264"/>
      <c r="F1227" s="264"/>
      <c r="G1227" s="264"/>
      <c r="H1227" s="264"/>
      <c r="I1227" s="281"/>
      <c r="J1227" s="281"/>
      <c r="K1227" s="264"/>
      <c r="L1227" s="264"/>
      <c r="M1227" s="264"/>
      <c r="N1227" s="264"/>
      <c r="O1227" s="264"/>
      <c r="P1227" s="264"/>
      <c r="Q1227" s="264"/>
      <c r="R1227" s="264"/>
      <c r="S1227" s="264"/>
      <c r="T1227" s="264"/>
      <c r="U1227" s="16"/>
      <c r="V1227" s="264"/>
      <c r="W1227" s="264"/>
      <c r="X1227" s="264"/>
      <c r="Y1227" s="264"/>
      <c r="Z1227" s="264"/>
      <c r="AA1227" s="264"/>
      <c r="AB1227" s="264"/>
      <c r="AC1227" s="264"/>
      <c r="AD1227" s="264"/>
      <c r="AE1227" s="264"/>
      <c r="AF1227" s="264"/>
      <c r="AG1227" s="264"/>
      <c r="AH1227" s="264"/>
      <c r="AI1227" s="264"/>
      <c r="AJ1227" s="264"/>
      <c r="AK1227" s="264"/>
      <c r="AL1227" s="264"/>
      <c r="AM1227" s="264"/>
      <c r="AN1227" s="264"/>
    </row>
    <row r="1228" ht="15.75" customHeight="1">
      <c r="A1228" s="264"/>
      <c r="B1228" s="42"/>
      <c r="C1228" s="280"/>
      <c r="D1228" s="264"/>
      <c r="E1228" s="264"/>
      <c r="F1228" s="264"/>
      <c r="G1228" s="264"/>
      <c r="H1228" s="264"/>
      <c r="I1228" s="281"/>
      <c r="J1228" s="281"/>
      <c r="K1228" s="264"/>
      <c r="L1228" s="264"/>
      <c r="M1228" s="264"/>
      <c r="N1228" s="264"/>
      <c r="O1228" s="264"/>
      <c r="P1228" s="264"/>
      <c r="Q1228" s="264"/>
      <c r="R1228" s="264"/>
      <c r="S1228" s="264"/>
      <c r="T1228" s="264"/>
      <c r="U1228" s="16"/>
      <c r="V1228" s="264"/>
      <c r="W1228" s="264"/>
      <c r="X1228" s="264"/>
      <c r="Y1228" s="264"/>
      <c r="Z1228" s="264"/>
      <c r="AA1228" s="264"/>
      <c r="AB1228" s="264"/>
      <c r="AC1228" s="264"/>
      <c r="AD1228" s="264"/>
      <c r="AE1228" s="264"/>
      <c r="AF1228" s="264"/>
      <c r="AG1228" s="264"/>
      <c r="AH1228" s="264"/>
      <c r="AI1228" s="264"/>
      <c r="AJ1228" s="264"/>
      <c r="AK1228" s="264"/>
      <c r="AL1228" s="264"/>
      <c r="AM1228" s="264"/>
      <c r="AN1228" s="264"/>
    </row>
    <row r="1229" ht="15.75" customHeight="1">
      <c r="A1229" s="264"/>
      <c r="B1229" s="42"/>
      <c r="C1229" s="280"/>
      <c r="D1229" s="264"/>
      <c r="E1229" s="264"/>
      <c r="F1229" s="264"/>
      <c r="G1229" s="264"/>
      <c r="H1229" s="264"/>
      <c r="I1229" s="281"/>
      <c r="J1229" s="281"/>
      <c r="K1229" s="264"/>
      <c r="L1229" s="264"/>
      <c r="M1229" s="264"/>
      <c r="N1229" s="264"/>
      <c r="O1229" s="264"/>
      <c r="P1229" s="264"/>
      <c r="Q1229" s="264"/>
      <c r="R1229" s="264"/>
      <c r="S1229" s="264"/>
      <c r="T1229" s="264"/>
      <c r="U1229" s="16"/>
      <c r="V1229" s="264"/>
      <c r="W1229" s="264"/>
      <c r="X1229" s="264"/>
      <c r="Y1229" s="264"/>
      <c r="Z1229" s="264"/>
      <c r="AA1229" s="264"/>
      <c r="AB1229" s="264"/>
      <c r="AC1229" s="264"/>
      <c r="AD1229" s="264"/>
      <c r="AE1229" s="264"/>
      <c r="AF1229" s="264"/>
      <c r="AG1229" s="264"/>
      <c r="AH1229" s="264"/>
      <c r="AI1229" s="264"/>
      <c r="AJ1229" s="264"/>
      <c r="AK1229" s="264"/>
      <c r="AL1229" s="264"/>
      <c r="AM1229" s="264"/>
      <c r="AN1229" s="264"/>
    </row>
    <row r="1230" ht="15.75" customHeight="1">
      <c r="A1230" s="264"/>
      <c r="B1230" s="42"/>
      <c r="C1230" s="280"/>
      <c r="D1230" s="264"/>
      <c r="E1230" s="264"/>
      <c r="F1230" s="264"/>
      <c r="G1230" s="264"/>
      <c r="H1230" s="264"/>
      <c r="I1230" s="281"/>
      <c r="J1230" s="281"/>
      <c r="K1230" s="264"/>
      <c r="L1230" s="264"/>
      <c r="M1230" s="264"/>
      <c r="N1230" s="264"/>
      <c r="O1230" s="264"/>
      <c r="P1230" s="264"/>
      <c r="Q1230" s="264"/>
      <c r="R1230" s="264"/>
      <c r="S1230" s="264"/>
      <c r="T1230" s="264"/>
      <c r="U1230" s="16"/>
      <c r="V1230" s="264"/>
      <c r="W1230" s="264"/>
      <c r="X1230" s="264"/>
      <c r="Y1230" s="264"/>
      <c r="Z1230" s="264"/>
      <c r="AA1230" s="264"/>
      <c r="AB1230" s="264"/>
      <c r="AC1230" s="264"/>
      <c r="AD1230" s="264"/>
      <c r="AE1230" s="264"/>
      <c r="AF1230" s="264"/>
      <c r="AG1230" s="264"/>
      <c r="AH1230" s="264"/>
      <c r="AI1230" s="264"/>
      <c r="AJ1230" s="264"/>
      <c r="AK1230" s="264"/>
      <c r="AL1230" s="264"/>
      <c r="AM1230" s="264"/>
      <c r="AN1230" s="264"/>
    </row>
    <row r="1231" ht="15.75" customHeight="1">
      <c r="A1231" s="264"/>
      <c r="B1231" s="42"/>
      <c r="C1231" s="280"/>
      <c r="D1231" s="264"/>
      <c r="E1231" s="264"/>
      <c r="F1231" s="264"/>
      <c r="G1231" s="264"/>
      <c r="H1231" s="264"/>
      <c r="I1231" s="281"/>
      <c r="J1231" s="281"/>
      <c r="K1231" s="264"/>
      <c r="L1231" s="264"/>
      <c r="M1231" s="264"/>
      <c r="N1231" s="264"/>
      <c r="O1231" s="264"/>
      <c r="P1231" s="264"/>
      <c r="Q1231" s="264"/>
      <c r="R1231" s="264"/>
      <c r="S1231" s="264"/>
      <c r="T1231" s="264"/>
      <c r="U1231" s="16"/>
      <c r="V1231" s="264"/>
      <c r="W1231" s="264"/>
      <c r="X1231" s="264"/>
      <c r="Y1231" s="264"/>
      <c r="Z1231" s="264"/>
      <c r="AA1231" s="264"/>
      <c r="AB1231" s="264"/>
      <c r="AC1231" s="264"/>
      <c r="AD1231" s="264"/>
      <c r="AE1231" s="264"/>
      <c r="AF1231" s="264"/>
      <c r="AG1231" s="264"/>
      <c r="AH1231" s="264"/>
      <c r="AI1231" s="264"/>
      <c r="AJ1231" s="264"/>
      <c r="AK1231" s="264"/>
      <c r="AL1231" s="264"/>
      <c r="AM1231" s="264"/>
      <c r="AN1231" s="264"/>
    </row>
    <row r="1232" ht="15.75" customHeight="1">
      <c r="A1232" s="264"/>
      <c r="B1232" s="42"/>
      <c r="C1232" s="280"/>
      <c r="D1232" s="264"/>
      <c r="E1232" s="264"/>
      <c r="F1232" s="264"/>
      <c r="G1232" s="264"/>
      <c r="H1232" s="264"/>
      <c r="I1232" s="281"/>
      <c r="J1232" s="281"/>
      <c r="K1232" s="264"/>
      <c r="L1232" s="264"/>
      <c r="M1232" s="264"/>
      <c r="N1232" s="264"/>
      <c r="O1232" s="264"/>
      <c r="P1232" s="264"/>
      <c r="Q1232" s="264"/>
      <c r="R1232" s="264"/>
      <c r="S1232" s="264"/>
      <c r="T1232" s="264"/>
      <c r="U1232" s="16"/>
      <c r="V1232" s="264"/>
      <c r="W1232" s="264"/>
      <c r="X1232" s="264"/>
      <c r="Y1232" s="264"/>
      <c r="Z1232" s="264"/>
      <c r="AA1232" s="264"/>
      <c r="AB1232" s="264"/>
      <c r="AC1232" s="264"/>
      <c r="AD1232" s="264"/>
      <c r="AE1232" s="264"/>
      <c r="AF1232" s="264"/>
      <c r="AG1232" s="264"/>
      <c r="AH1232" s="264"/>
      <c r="AI1232" s="264"/>
      <c r="AJ1232" s="264"/>
      <c r="AK1232" s="264"/>
      <c r="AL1232" s="264"/>
      <c r="AM1232" s="264"/>
      <c r="AN1232" s="264"/>
    </row>
    <row r="1233" ht="15.75" customHeight="1">
      <c r="A1233" s="264"/>
      <c r="B1233" s="42"/>
      <c r="C1233" s="280"/>
      <c r="D1233" s="264"/>
      <c r="E1233" s="264"/>
      <c r="F1233" s="264"/>
      <c r="G1233" s="264"/>
      <c r="H1233" s="264"/>
      <c r="I1233" s="281"/>
      <c r="J1233" s="281"/>
      <c r="K1233" s="264"/>
      <c r="L1233" s="264"/>
      <c r="M1233" s="264"/>
      <c r="N1233" s="264"/>
      <c r="O1233" s="264"/>
      <c r="P1233" s="264"/>
      <c r="Q1233" s="264"/>
      <c r="R1233" s="264"/>
      <c r="S1233" s="264"/>
      <c r="T1233" s="264"/>
      <c r="U1233" s="16"/>
      <c r="V1233" s="264"/>
      <c r="W1233" s="264"/>
      <c r="X1233" s="264"/>
      <c r="Y1233" s="264"/>
      <c r="Z1233" s="264"/>
      <c r="AA1233" s="264"/>
      <c r="AB1233" s="264"/>
      <c r="AC1233" s="264"/>
      <c r="AD1233" s="264"/>
      <c r="AE1233" s="264"/>
      <c r="AF1233" s="264"/>
      <c r="AG1233" s="264"/>
      <c r="AH1233" s="264"/>
      <c r="AI1233" s="264"/>
      <c r="AJ1233" s="264"/>
      <c r="AK1233" s="264"/>
      <c r="AL1233" s="264"/>
      <c r="AM1233" s="264"/>
      <c r="AN1233" s="264"/>
    </row>
    <row r="1234" ht="15.75" customHeight="1">
      <c r="A1234" s="264"/>
      <c r="B1234" s="42"/>
      <c r="C1234" s="280"/>
      <c r="D1234" s="264"/>
      <c r="E1234" s="264"/>
      <c r="F1234" s="264"/>
      <c r="G1234" s="264"/>
      <c r="H1234" s="264"/>
      <c r="I1234" s="281"/>
      <c r="J1234" s="281"/>
      <c r="K1234" s="264"/>
      <c r="L1234" s="264"/>
      <c r="M1234" s="264"/>
      <c r="N1234" s="264"/>
      <c r="O1234" s="264"/>
      <c r="P1234" s="264"/>
      <c r="Q1234" s="264"/>
      <c r="R1234" s="264"/>
      <c r="S1234" s="264"/>
      <c r="T1234" s="264"/>
      <c r="U1234" s="16"/>
      <c r="V1234" s="264"/>
      <c r="W1234" s="264"/>
      <c r="X1234" s="264"/>
      <c r="Y1234" s="264"/>
      <c r="Z1234" s="264"/>
      <c r="AA1234" s="264"/>
      <c r="AB1234" s="264"/>
      <c r="AC1234" s="264"/>
      <c r="AD1234" s="264"/>
      <c r="AE1234" s="264"/>
      <c r="AF1234" s="264"/>
      <c r="AG1234" s="264"/>
      <c r="AH1234" s="264"/>
      <c r="AI1234" s="264"/>
      <c r="AJ1234" s="264"/>
      <c r="AK1234" s="264"/>
      <c r="AL1234" s="264"/>
      <c r="AM1234" s="264"/>
      <c r="AN1234" s="264"/>
    </row>
    <row r="1235" ht="15.75" customHeight="1">
      <c r="A1235" s="264"/>
      <c r="B1235" s="42"/>
      <c r="C1235" s="280"/>
      <c r="D1235" s="264"/>
      <c r="E1235" s="264"/>
      <c r="F1235" s="264"/>
      <c r="G1235" s="264"/>
      <c r="H1235" s="264"/>
      <c r="I1235" s="281"/>
      <c r="J1235" s="281"/>
      <c r="K1235" s="264"/>
      <c r="L1235" s="264"/>
      <c r="M1235" s="264"/>
      <c r="N1235" s="264"/>
      <c r="O1235" s="264"/>
      <c r="P1235" s="264"/>
      <c r="Q1235" s="264"/>
      <c r="R1235" s="264"/>
      <c r="S1235" s="264"/>
      <c r="T1235" s="264"/>
      <c r="U1235" s="16"/>
      <c r="V1235" s="264"/>
      <c r="W1235" s="264"/>
      <c r="X1235" s="264"/>
      <c r="Y1235" s="264"/>
      <c r="Z1235" s="264"/>
      <c r="AA1235" s="264"/>
      <c r="AB1235" s="264"/>
      <c r="AC1235" s="264"/>
      <c r="AD1235" s="264"/>
      <c r="AE1235" s="264"/>
      <c r="AF1235" s="264"/>
      <c r="AG1235" s="264"/>
      <c r="AH1235" s="264"/>
      <c r="AI1235" s="264"/>
      <c r="AJ1235" s="264"/>
      <c r="AK1235" s="264"/>
      <c r="AL1235" s="264"/>
      <c r="AM1235" s="264"/>
      <c r="AN1235" s="264"/>
    </row>
    <row r="1236" ht="15.75" customHeight="1">
      <c r="A1236" s="264"/>
      <c r="B1236" s="42"/>
      <c r="C1236" s="280"/>
      <c r="D1236" s="264"/>
      <c r="E1236" s="264"/>
      <c r="F1236" s="264"/>
      <c r="G1236" s="264"/>
      <c r="H1236" s="264"/>
      <c r="I1236" s="281"/>
      <c r="J1236" s="281"/>
      <c r="K1236" s="264"/>
      <c r="L1236" s="264"/>
      <c r="M1236" s="264"/>
      <c r="N1236" s="264"/>
      <c r="O1236" s="264"/>
      <c r="P1236" s="264"/>
      <c r="Q1236" s="264"/>
      <c r="R1236" s="264"/>
      <c r="S1236" s="264"/>
      <c r="T1236" s="264"/>
      <c r="U1236" s="16"/>
      <c r="V1236" s="264"/>
      <c r="W1236" s="264"/>
      <c r="X1236" s="264"/>
      <c r="Y1236" s="264"/>
      <c r="Z1236" s="264"/>
      <c r="AA1236" s="264"/>
      <c r="AB1236" s="264"/>
      <c r="AC1236" s="264"/>
      <c r="AD1236" s="264"/>
      <c r="AE1236" s="264"/>
      <c r="AF1236" s="264"/>
      <c r="AG1236" s="264"/>
      <c r="AH1236" s="264"/>
      <c r="AI1236" s="264"/>
      <c r="AJ1236" s="264"/>
      <c r="AK1236" s="264"/>
      <c r="AL1236" s="264"/>
      <c r="AM1236" s="264"/>
      <c r="AN1236" s="264"/>
    </row>
    <row r="1237" ht="15.75" customHeight="1">
      <c r="A1237" s="264"/>
      <c r="B1237" s="42"/>
      <c r="C1237" s="280"/>
      <c r="D1237" s="264"/>
      <c r="E1237" s="264"/>
      <c r="F1237" s="264"/>
      <c r="G1237" s="264"/>
      <c r="H1237" s="264"/>
      <c r="I1237" s="281"/>
      <c r="J1237" s="281"/>
      <c r="K1237" s="264"/>
      <c r="L1237" s="264"/>
      <c r="M1237" s="264"/>
      <c r="N1237" s="264"/>
      <c r="O1237" s="264"/>
      <c r="P1237" s="264"/>
      <c r="Q1237" s="264"/>
      <c r="R1237" s="264"/>
      <c r="S1237" s="264"/>
      <c r="T1237" s="264"/>
      <c r="U1237" s="16"/>
      <c r="V1237" s="264"/>
      <c r="W1237" s="264"/>
      <c r="X1237" s="264"/>
      <c r="Y1237" s="264"/>
      <c r="Z1237" s="264"/>
      <c r="AA1237" s="264"/>
      <c r="AB1237" s="264"/>
      <c r="AC1237" s="264"/>
      <c r="AD1237" s="264"/>
      <c r="AE1237" s="264"/>
      <c r="AF1237" s="264"/>
      <c r="AG1237" s="264"/>
      <c r="AH1237" s="264"/>
      <c r="AI1237" s="264"/>
      <c r="AJ1237" s="264"/>
      <c r="AK1237" s="264"/>
      <c r="AL1237" s="264"/>
      <c r="AM1237" s="264"/>
      <c r="AN1237" s="264"/>
    </row>
    <row r="1238" ht="15.75" customHeight="1">
      <c r="A1238" s="264"/>
      <c r="B1238" s="42"/>
      <c r="C1238" s="280"/>
      <c r="D1238" s="264"/>
      <c r="E1238" s="264"/>
      <c r="F1238" s="264"/>
      <c r="G1238" s="264"/>
      <c r="H1238" s="264"/>
      <c r="I1238" s="281"/>
      <c r="J1238" s="281"/>
      <c r="K1238" s="264"/>
      <c r="L1238" s="264"/>
      <c r="M1238" s="264"/>
      <c r="N1238" s="264"/>
      <c r="O1238" s="264"/>
      <c r="P1238" s="264"/>
      <c r="Q1238" s="264"/>
      <c r="R1238" s="264"/>
      <c r="S1238" s="264"/>
      <c r="T1238" s="264"/>
      <c r="U1238" s="16"/>
      <c r="V1238" s="264"/>
      <c r="W1238" s="264"/>
      <c r="X1238" s="264"/>
      <c r="Y1238" s="264"/>
      <c r="Z1238" s="264"/>
      <c r="AA1238" s="264"/>
      <c r="AB1238" s="264"/>
      <c r="AC1238" s="264"/>
      <c r="AD1238" s="264"/>
      <c r="AE1238" s="264"/>
      <c r="AF1238" s="264"/>
      <c r="AG1238" s="264"/>
      <c r="AH1238" s="264"/>
      <c r="AI1238" s="264"/>
      <c r="AJ1238" s="264"/>
      <c r="AK1238" s="264"/>
      <c r="AL1238" s="264"/>
      <c r="AM1238" s="264"/>
      <c r="AN1238" s="264"/>
    </row>
    <row r="1239" ht="15.75" customHeight="1">
      <c r="A1239" s="264"/>
      <c r="B1239" s="42"/>
      <c r="C1239" s="280"/>
      <c r="D1239" s="264"/>
      <c r="E1239" s="264"/>
      <c r="F1239" s="264"/>
      <c r="G1239" s="264"/>
      <c r="H1239" s="264"/>
      <c r="I1239" s="281"/>
      <c r="J1239" s="281"/>
      <c r="K1239" s="264"/>
      <c r="L1239" s="264"/>
      <c r="M1239" s="264"/>
      <c r="N1239" s="264"/>
      <c r="O1239" s="264"/>
      <c r="P1239" s="264"/>
      <c r="Q1239" s="264"/>
      <c r="R1239" s="264"/>
      <c r="S1239" s="264"/>
      <c r="T1239" s="264"/>
      <c r="U1239" s="16"/>
      <c r="V1239" s="264"/>
      <c r="W1239" s="264"/>
      <c r="X1239" s="264"/>
      <c r="Y1239" s="264"/>
      <c r="Z1239" s="264"/>
      <c r="AA1239" s="264"/>
      <c r="AB1239" s="264"/>
      <c r="AC1239" s="264"/>
      <c r="AD1239" s="264"/>
      <c r="AE1239" s="264"/>
      <c r="AF1239" s="264"/>
      <c r="AG1239" s="264"/>
      <c r="AH1239" s="264"/>
      <c r="AI1239" s="264"/>
      <c r="AJ1239" s="264"/>
      <c r="AK1239" s="264"/>
      <c r="AL1239" s="264"/>
      <c r="AM1239" s="264"/>
      <c r="AN1239" s="264"/>
    </row>
    <row r="1240" ht="15.75" customHeight="1">
      <c r="A1240" s="264"/>
      <c r="B1240" s="42"/>
      <c r="C1240" s="280"/>
      <c r="D1240" s="264"/>
      <c r="E1240" s="264"/>
      <c r="F1240" s="264"/>
      <c r="G1240" s="264"/>
      <c r="H1240" s="264"/>
      <c r="I1240" s="281"/>
      <c r="J1240" s="281"/>
      <c r="K1240" s="264"/>
      <c r="L1240" s="264"/>
      <c r="M1240" s="264"/>
      <c r="N1240" s="264"/>
      <c r="O1240" s="264"/>
      <c r="P1240" s="264"/>
      <c r="Q1240" s="264"/>
      <c r="R1240" s="264"/>
      <c r="S1240" s="264"/>
      <c r="T1240" s="264"/>
      <c r="U1240" s="16"/>
      <c r="V1240" s="264"/>
      <c r="W1240" s="264"/>
      <c r="X1240" s="264"/>
      <c r="Y1240" s="264"/>
      <c r="Z1240" s="264"/>
      <c r="AA1240" s="264"/>
      <c r="AB1240" s="264"/>
      <c r="AC1240" s="264"/>
      <c r="AD1240" s="264"/>
      <c r="AE1240" s="264"/>
      <c r="AF1240" s="264"/>
      <c r="AG1240" s="264"/>
      <c r="AH1240" s="264"/>
      <c r="AI1240" s="264"/>
      <c r="AJ1240" s="264"/>
      <c r="AK1240" s="264"/>
      <c r="AL1240" s="264"/>
      <c r="AM1240" s="264"/>
      <c r="AN1240" s="264"/>
    </row>
    <row r="1241" ht="15.75" customHeight="1">
      <c r="A1241" s="264"/>
      <c r="B1241" s="42"/>
      <c r="C1241" s="280"/>
      <c r="D1241" s="264"/>
      <c r="E1241" s="264"/>
      <c r="F1241" s="264"/>
      <c r="G1241" s="264"/>
      <c r="H1241" s="264"/>
      <c r="I1241" s="281"/>
      <c r="J1241" s="281"/>
      <c r="K1241" s="264"/>
      <c r="L1241" s="264"/>
      <c r="M1241" s="264"/>
      <c r="N1241" s="264"/>
      <c r="O1241" s="264"/>
      <c r="P1241" s="264"/>
      <c r="Q1241" s="264"/>
      <c r="R1241" s="264"/>
      <c r="S1241" s="264"/>
      <c r="T1241" s="264"/>
      <c r="U1241" s="16"/>
      <c r="V1241" s="264"/>
      <c r="W1241" s="264"/>
      <c r="X1241" s="264"/>
      <c r="Y1241" s="264"/>
      <c r="Z1241" s="264"/>
      <c r="AA1241" s="264"/>
      <c r="AB1241" s="264"/>
      <c r="AC1241" s="264"/>
      <c r="AD1241" s="264"/>
      <c r="AE1241" s="264"/>
      <c r="AF1241" s="264"/>
      <c r="AG1241" s="264"/>
      <c r="AH1241" s="264"/>
      <c r="AI1241" s="264"/>
      <c r="AJ1241" s="264"/>
      <c r="AK1241" s="264"/>
      <c r="AL1241" s="264"/>
      <c r="AM1241" s="264"/>
      <c r="AN1241" s="264"/>
    </row>
    <row r="1242" ht="15.75" customHeight="1">
      <c r="A1242" s="264"/>
      <c r="B1242" s="42"/>
      <c r="C1242" s="280"/>
      <c r="D1242" s="264"/>
      <c r="E1242" s="264"/>
      <c r="F1242" s="264"/>
      <c r="G1242" s="264"/>
      <c r="H1242" s="264"/>
      <c r="I1242" s="281"/>
      <c r="J1242" s="281"/>
      <c r="K1242" s="264"/>
      <c r="L1242" s="264"/>
      <c r="M1242" s="264"/>
      <c r="N1242" s="264"/>
      <c r="O1242" s="264"/>
      <c r="P1242" s="264"/>
      <c r="Q1242" s="264"/>
      <c r="R1242" s="264"/>
      <c r="S1242" s="264"/>
      <c r="T1242" s="264"/>
      <c r="U1242" s="16"/>
      <c r="V1242" s="264"/>
      <c r="W1242" s="264"/>
      <c r="X1242" s="264"/>
      <c r="Y1242" s="264"/>
      <c r="Z1242" s="264"/>
      <c r="AA1242" s="264"/>
      <c r="AB1242" s="264"/>
      <c r="AC1242" s="264"/>
      <c r="AD1242" s="264"/>
      <c r="AE1242" s="264"/>
      <c r="AF1242" s="264"/>
      <c r="AG1242" s="264"/>
      <c r="AH1242" s="264"/>
      <c r="AI1242" s="264"/>
      <c r="AJ1242" s="264"/>
      <c r="AK1242" s="264"/>
      <c r="AL1242" s="264"/>
      <c r="AM1242" s="264"/>
      <c r="AN1242" s="264"/>
    </row>
    <row r="1243" ht="15.75" customHeight="1">
      <c r="A1243" s="264"/>
      <c r="B1243" s="42"/>
      <c r="C1243" s="280"/>
      <c r="D1243" s="264"/>
      <c r="E1243" s="264"/>
      <c r="F1243" s="264"/>
      <c r="G1243" s="264"/>
      <c r="H1243" s="264"/>
      <c r="I1243" s="281"/>
      <c r="J1243" s="281"/>
      <c r="K1243" s="264"/>
      <c r="L1243" s="264"/>
      <c r="M1243" s="264"/>
      <c r="N1243" s="264"/>
      <c r="O1243" s="264"/>
      <c r="P1243" s="264"/>
      <c r="Q1243" s="264"/>
      <c r="R1243" s="264"/>
      <c r="S1243" s="264"/>
      <c r="T1243" s="264"/>
      <c r="U1243" s="16"/>
      <c r="V1243" s="264"/>
      <c r="W1243" s="264"/>
      <c r="X1243" s="264"/>
      <c r="Y1243" s="264"/>
      <c r="Z1243" s="264"/>
      <c r="AA1243" s="264"/>
      <c r="AB1243" s="264"/>
      <c r="AC1243" s="264"/>
      <c r="AD1243" s="264"/>
      <c r="AE1243" s="264"/>
      <c r="AF1243" s="264"/>
      <c r="AG1243" s="264"/>
      <c r="AH1243" s="264"/>
      <c r="AI1243" s="264"/>
      <c r="AJ1243" s="264"/>
      <c r="AK1243" s="264"/>
      <c r="AL1243" s="264"/>
      <c r="AM1243" s="264"/>
      <c r="AN1243" s="264"/>
    </row>
    <row r="1244" ht="15.75" customHeight="1">
      <c r="A1244" s="264"/>
      <c r="B1244" s="42"/>
      <c r="C1244" s="280"/>
      <c r="D1244" s="264"/>
      <c r="E1244" s="264"/>
      <c r="F1244" s="264"/>
      <c r="G1244" s="264"/>
      <c r="H1244" s="264"/>
      <c r="I1244" s="281"/>
      <c r="J1244" s="281"/>
      <c r="K1244" s="264"/>
      <c r="L1244" s="264"/>
      <c r="M1244" s="264"/>
      <c r="N1244" s="264"/>
      <c r="O1244" s="264"/>
      <c r="P1244" s="264"/>
      <c r="Q1244" s="264"/>
      <c r="R1244" s="264"/>
      <c r="S1244" s="264"/>
      <c r="T1244" s="264"/>
      <c r="U1244" s="16"/>
      <c r="V1244" s="264"/>
      <c r="W1244" s="264"/>
      <c r="X1244" s="264"/>
      <c r="Y1244" s="264"/>
      <c r="Z1244" s="264"/>
      <c r="AA1244" s="264"/>
      <c r="AB1244" s="264"/>
      <c r="AC1244" s="264"/>
      <c r="AD1244" s="264"/>
      <c r="AE1244" s="264"/>
      <c r="AF1244" s="264"/>
      <c r="AG1244" s="264"/>
      <c r="AH1244" s="264"/>
      <c r="AI1244" s="264"/>
      <c r="AJ1244" s="264"/>
      <c r="AK1244" s="264"/>
      <c r="AL1244" s="264"/>
      <c r="AM1244" s="264"/>
      <c r="AN1244" s="264"/>
    </row>
    <row r="1245" ht="15.75" customHeight="1">
      <c r="A1245" s="264"/>
      <c r="B1245" s="42"/>
      <c r="C1245" s="280"/>
      <c r="D1245" s="264"/>
      <c r="E1245" s="264"/>
      <c r="F1245" s="264"/>
      <c r="G1245" s="264"/>
      <c r="H1245" s="264"/>
      <c r="I1245" s="281"/>
      <c r="J1245" s="281"/>
      <c r="K1245" s="264"/>
      <c r="L1245" s="264"/>
      <c r="M1245" s="264"/>
      <c r="N1245" s="264"/>
      <c r="O1245" s="264"/>
      <c r="P1245" s="264"/>
      <c r="Q1245" s="264"/>
      <c r="R1245" s="264"/>
      <c r="S1245" s="264"/>
      <c r="T1245" s="264"/>
      <c r="U1245" s="16"/>
      <c r="V1245" s="264"/>
      <c r="W1245" s="264"/>
      <c r="X1245" s="264"/>
      <c r="Y1245" s="264"/>
      <c r="Z1245" s="264"/>
      <c r="AA1245" s="264"/>
      <c r="AB1245" s="264"/>
      <c r="AC1245" s="264"/>
      <c r="AD1245" s="264"/>
      <c r="AE1245" s="264"/>
      <c r="AF1245" s="264"/>
      <c r="AG1245" s="264"/>
      <c r="AH1245" s="264"/>
      <c r="AI1245" s="264"/>
      <c r="AJ1245" s="264"/>
      <c r="AK1245" s="264"/>
      <c r="AL1245" s="264"/>
      <c r="AM1245" s="264"/>
      <c r="AN1245" s="264"/>
    </row>
    <row r="1246" ht="15.75" customHeight="1">
      <c r="A1246" s="264"/>
      <c r="B1246" s="42"/>
      <c r="C1246" s="280"/>
      <c r="D1246" s="264"/>
      <c r="E1246" s="264"/>
      <c r="F1246" s="264"/>
      <c r="G1246" s="264"/>
      <c r="H1246" s="264"/>
      <c r="I1246" s="281"/>
      <c r="J1246" s="281"/>
      <c r="K1246" s="264"/>
      <c r="L1246" s="264"/>
      <c r="M1246" s="264"/>
      <c r="N1246" s="264"/>
      <c r="O1246" s="264"/>
      <c r="P1246" s="264"/>
      <c r="Q1246" s="264"/>
      <c r="R1246" s="264"/>
      <c r="S1246" s="264"/>
      <c r="T1246" s="264"/>
      <c r="U1246" s="16"/>
      <c r="V1246" s="264"/>
      <c r="W1246" s="264"/>
      <c r="X1246" s="264"/>
      <c r="Y1246" s="264"/>
      <c r="Z1246" s="264"/>
      <c r="AA1246" s="264"/>
      <c r="AB1246" s="264"/>
      <c r="AC1246" s="264"/>
      <c r="AD1246" s="264"/>
      <c r="AE1246" s="264"/>
      <c r="AF1246" s="264"/>
      <c r="AG1246" s="264"/>
      <c r="AH1246" s="264"/>
      <c r="AI1246" s="264"/>
      <c r="AJ1246" s="264"/>
      <c r="AK1246" s="264"/>
      <c r="AL1246" s="264"/>
      <c r="AM1246" s="264"/>
      <c r="AN1246" s="264"/>
    </row>
    <row r="1247" ht="15.75" customHeight="1">
      <c r="A1247" s="264"/>
      <c r="B1247" s="42"/>
      <c r="C1247" s="280"/>
      <c r="D1247" s="264"/>
      <c r="E1247" s="264"/>
      <c r="F1247" s="264"/>
      <c r="G1247" s="264"/>
      <c r="H1247" s="264"/>
      <c r="I1247" s="281"/>
      <c r="J1247" s="281"/>
      <c r="K1247" s="264"/>
      <c r="L1247" s="264"/>
      <c r="M1247" s="264"/>
      <c r="N1247" s="264"/>
      <c r="O1247" s="264"/>
      <c r="P1247" s="264"/>
      <c r="Q1247" s="264"/>
      <c r="R1247" s="264"/>
      <c r="S1247" s="264"/>
      <c r="T1247" s="264"/>
      <c r="U1247" s="16"/>
      <c r="V1247" s="264"/>
      <c r="W1247" s="264"/>
      <c r="X1247" s="264"/>
      <c r="Y1247" s="264"/>
      <c r="Z1247" s="264"/>
      <c r="AA1247" s="264"/>
      <c r="AB1247" s="264"/>
      <c r="AC1247" s="264"/>
      <c r="AD1247" s="264"/>
      <c r="AE1247" s="264"/>
      <c r="AF1247" s="264"/>
      <c r="AG1247" s="264"/>
      <c r="AH1247" s="264"/>
      <c r="AI1247" s="264"/>
      <c r="AJ1247" s="264"/>
      <c r="AK1247" s="264"/>
      <c r="AL1247" s="264"/>
      <c r="AM1247" s="264"/>
      <c r="AN1247" s="264"/>
    </row>
    <row r="1248" ht="15.75" customHeight="1">
      <c r="A1248" s="264"/>
      <c r="B1248" s="42"/>
      <c r="C1248" s="280"/>
      <c r="D1248" s="264"/>
      <c r="E1248" s="264"/>
      <c r="F1248" s="264"/>
      <c r="G1248" s="264"/>
      <c r="H1248" s="264"/>
      <c r="I1248" s="281"/>
      <c r="J1248" s="281"/>
      <c r="K1248" s="264"/>
      <c r="L1248" s="264"/>
      <c r="M1248" s="264"/>
      <c r="N1248" s="264"/>
      <c r="O1248" s="264"/>
      <c r="P1248" s="264"/>
      <c r="Q1248" s="264"/>
      <c r="R1248" s="264"/>
      <c r="S1248" s="264"/>
      <c r="T1248" s="264"/>
      <c r="U1248" s="16"/>
      <c r="V1248" s="264"/>
      <c r="W1248" s="264"/>
      <c r="X1248" s="264"/>
      <c r="Y1248" s="264"/>
      <c r="Z1248" s="264"/>
      <c r="AA1248" s="264"/>
      <c r="AB1248" s="264"/>
      <c r="AC1248" s="264"/>
      <c r="AD1248" s="264"/>
      <c r="AE1248" s="264"/>
      <c r="AF1248" s="264"/>
      <c r="AG1248" s="264"/>
      <c r="AH1248" s="264"/>
      <c r="AI1248" s="264"/>
      <c r="AJ1248" s="264"/>
      <c r="AK1248" s="264"/>
      <c r="AL1248" s="264"/>
      <c r="AM1248" s="264"/>
      <c r="AN1248" s="264"/>
    </row>
    <row r="1249" ht="15.75" customHeight="1">
      <c r="A1249" s="264"/>
      <c r="B1249" s="42"/>
      <c r="C1249" s="280"/>
      <c r="D1249" s="264"/>
      <c r="E1249" s="264"/>
      <c r="F1249" s="264"/>
      <c r="G1249" s="264"/>
      <c r="H1249" s="264"/>
      <c r="I1249" s="281"/>
      <c r="J1249" s="281"/>
      <c r="K1249" s="264"/>
      <c r="L1249" s="264"/>
      <c r="M1249" s="264"/>
      <c r="N1249" s="264"/>
      <c r="O1249" s="264"/>
      <c r="P1249" s="264"/>
      <c r="Q1249" s="264"/>
      <c r="R1249" s="264"/>
      <c r="S1249" s="264"/>
      <c r="T1249" s="264"/>
      <c r="U1249" s="16"/>
      <c r="V1249" s="264"/>
      <c r="W1249" s="264"/>
      <c r="X1249" s="264"/>
      <c r="Y1249" s="264"/>
      <c r="Z1249" s="264"/>
      <c r="AA1249" s="264"/>
      <c r="AB1249" s="264"/>
      <c r="AC1249" s="264"/>
      <c r="AD1249" s="264"/>
      <c r="AE1249" s="264"/>
      <c r="AF1249" s="264"/>
      <c r="AG1249" s="264"/>
      <c r="AH1249" s="264"/>
      <c r="AI1249" s="264"/>
      <c r="AJ1249" s="264"/>
      <c r="AK1249" s="264"/>
      <c r="AL1249" s="264"/>
      <c r="AM1249" s="264"/>
      <c r="AN1249" s="264"/>
    </row>
    <row r="1250" ht="15.75" customHeight="1">
      <c r="A1250" s="264"/>
      <c r="B1250" s="42"/>
      <c r="C1250" s="280"/>
      <c r="D1250" s="264"/>
      <c r="E1250" s="264"/>
      <c r="F1250" s="264"/>
      <c r="G1250" s="264"/>
      <c r="H1250" s="264"/>
      <c r="I1250" s="281"/>
      <c r="J1250" s="281"/>
      <c r="K1250" s="264"/>
      <c r="L1250" s="264"/>
      <c r="M1250" s="264"/>
      <c r="N1250" s="264"/>
      <c r="O1250" s="264"/>
      <c r="P1250" s="264"/>
      <c r="Q1250" s="264"/>
      <c r="R1250" s="264"/>
      <c r="S1250" s="264"/>
      <c r="T1250" s="264"/>
      <c r="U1250" s="16"/>
      <c r="V1250" s="264"/>
      <c r="W1250" s="264"/>
      <c r="X1250" s="264"/>
      <c r="Y1250" s="264"/>
      <c r="Z1250" s="264"/>
      <c r="AA1250" s="264"/>
      <c r="AB1250" s="264"/>
      <c r="AC1250" s="264"/>
      <c r="AD1250" s="264"/>
      <c r="AE1250" s="264"/>
      <c r="AF1250" s="264"/>
      <c r="AG1250" s="264"/>
      <c r="AH1250" s="264"/>
      <c r="AI1250" s="264"/>
      <c r="AJ1250" s="264"/>
      <c r="AK1250" s="264"/>
      <c r="AL1250" s="264"/>
      <c r="AM1250" s="264"/>
      <c r="AN1250" s="264"/>
    </row>
    <row r="1251" ht="15.75" customHeight="1">
      <c r="A1251" s="264"/>
      <c r="B1251" s="42"/>
      <c r="C1251" s="280"/>
      <c r="D1251" s="264"/>
      <c r="E1251" s="264"/>
      <c r="F1251" s="264"/>
      <c r="G1251" s="264"/>
      <c r="H1251" s="264"/>
      <c r="I1251" s="281"/>
      <c r="J1251" s="281"/>
      <c r="K1251" s="264"/>
      <c r="L1251" s="264"/>
      <c r="M1251" s="264"/>
      <c r="N1251" s="264"/>
      <c r="O1251" s="264"/>
      <c r="P1251" s="264"/>
      <c r="Q1251" s="264"/>
      <c r="R1251" s="264"/>
      <c r="S1251" s="264"/>
      <c r="T1251" s="264"/>
      <c r="U1251" s="16"/>
      <c r="V1251" s="264"/>
      <c r="W1251" s="264"/>
      <c r="X1251" s="264"/>
      <c r="Y1251" s="264"/>
      <c r="Z1251" s="264"/>
      <c r="AA1251" s="264"/>
      <c r="AB1251" s="264"/>
      <c r="AC1251" s="264"/>
      <c r="AD1251" s="264"/>
      <c r="AE1251" s="264"/>
      <c r="AF1251" s="264"/>
      <c r="AG1251" s="264"/>
      <c r="AH1251" s="264"/>
      <c r="AI1251" s="264"/>
      <c r="AJ1251" s="264"/>
      <c r="AK1251" s="264"/>
      <c r="AL1251" s="264"/>
      <c r="AM1251" s="264"/>
      <c r="AN1251" s="264"/>
    </row>
    <row r="1252" ht="15.75" customHeight="1">
      <c r="A1252" s="264"/>
      <c r="B1252" s="42"/>
      <c r="C1252" s="280"/>
      <c r="D1252" s="264"/>
      <c r="E1252" s="264"/>
      <c r="F1252" s="264"/>
      <c r="G1252" s="264"/>
      <c r="H1252" s="264"/>
      <c r="I1252" s="281"/>
      <c r="J1252" s="281"/>
      <c r="K1252" s="264"/>
      <c r="L1252" s="264"/>
      <c r="M1252" s="264"/>
      <c r="N1252" s="264"/>
      <c r="O1252" s="264"/>
      <c r="P1252" s="264"/>
      <c r="Q1252" s="264"/>
      <c r="R1252" s="264"/>
      <c r="S1252" s="264"/>
      <c r="T1252" s="264"/>
      <c r="U1252" s="16"/>
      <c r="V1252" s="264"/>
      <c r="W1252" s="264"/>
      <c r="X1252" s="264"/>
      <c r="Y1252" s="264"/>
      <c r="Z1252" s="264"/>
      <c r="AA1252" s="264"/>
      <c r="AB1252" s="264"/>
      <c r="AC1252" s="264"/>
      <c r="AD1252" s="264"/>
      <c r="AE1252" s="264"/>
      <c r="AF1252" s="264"/>
      <c r="AG1252" s="264"/>
      <c r="AH1252" s="264"/>
      <c r="AI1252" s="264"/>
      <c r="AJ1252" s="264"/>
      <c r="AK1252" s="264"/>
      <c r="AL1252" s="264"/>
      <c r="AM1252" s="264"/>
      <c r="AN1252" s="264"/>
    </row>
    <row r="1253" ht="15.75" customHeight="1">
      <c r="A1253" s="264"/>
      <c r="B1253" s="42"/>
      <c r="C1253" s="280"/>
      <c r="D1253" s="264"/>
      <c r="E1253" s="264"/>
      <c r="F1253" s="264"/>
      <c r="G1253" s="264"/>
      <c r="H1253" s="264"/>
      <c r="I1253" s="281"/>
      <c r="J1253" s="281"/>
      <c r="K1253" s="264"/>
      <c r="L1253" s="264"/>
      <c r="M1253" s="264"/>
      <c r="N1253" s="264"/>
      <c r="O1253" s="264"/>
      <c r="P1253" s="264"/>
      <c r="Q1253" s="264"/>
      <c r="R1253" s="264"/>
      <c r="S1253" s="264"/>
      <c r="T1253" s="264"/>
      <c r="U1253" s="16"/>
      <c r="V1253" s="264"/>
      <c r="W1253" s="264"/>
      <c r="X1253" s="264"/>
      <c r="Y1253" s="264"/>
      <c r="Z1253" s="264"/>
      <c r="AA1253" s="264"/>
      <c r="AB1253" s="264"/>
      <c r="AC1253" s="264"/>
      <c r="AD1253" s="264"/>
      <c r="AE1253" s="264"/>
      <c r="AF1253" s="264"/>
      <c r="AG1253" s="264"/>
      <c r="AH1253" s="264"/>
      <c r="AI1253" s="264"/>
      <c r="AJ1253" s="264"/>
      <c r="AK1253" s="264"/>
      <c r="AL1253" s="264"/>
      <c r="AM1253" s="264"/>
      <c r="AN1253" s="264"/>
    </row>
    <row r="1254" ht="15.75" customHeight="1">
      <c r="A1254" s="264"/>
      <c r="B1254" s="42"/>
      <c r="C1254" s="280"/>
      <c r="D1254" s="264"/>
      <c r="E1254" s="264"/>
      <c r="F1254" s="264"/>
      <c r="G1254" s="264"/>
      <c r="H1254" s="264"/>
      <c r="I1254" s="281"/>
      <c r="J1254" s="281"/>
      <c r="K1254" s="264"/>
      <c r="L1254" s="264"/>
      <c r="M1254" s="264"/>
      <c r="N1254" s="264"/>
      <c r="O1254" s="264"/>
      <c r="P1254" s="264"/>
      <c r="Q1254" s="264"/>
      <c r="R1254" s="264"/>
      <c r="S1254" s="264"/>
      <c r="T1254" s="264"/>
      <c r="U1254" s="16"/>
      <c r="V1254" s="264"/>
      <c r="W1254" s="264"/>
      <c r="X1254" s="264"/>
      <c r="Y1254" s="264"/>
      <c r="Z1254" s="264"/>
      <c r="AA1254" s="264"/>
      <c r="AB1254" s="264"/>
      <c r="AC1254" s="264"/>
      <c r="AD1254" s="264"/>
      <c r="AE1254" s="264"/>
      <c r="AF1254" s="264"/>
      <c r="AG1254" s="264"/>
      <c r="AH1254" s="264"/>
      <c r="AI1254" s="264"/>
      <c r="AJ1254" s="264"/>
      <c r="AK1254" s="264"/>
      <c r="AL1254" s="264"/>
      <c r="AM1254" s="264"/>
      <c r="AN1254" s="264"/>
    </row>
    <row r="1255" ht="15.75" customHeight="1">
      <c r="A1255" s="264"/>
      <c r="B1255" s="42"/>
      <c r="C1255" s="280"/>
      <c r="D1255" s="264"/>
      <c r="E1255" s="264"/>
      <c r="F1255" s="264"/>
      <c r="G1255" s="264"/>
      <c r="H1255" s="264"/>
      <c r="I1255" s="281"/>
      <c r="J1255" s="281"/>
      <c r="K1255" s="264"/>
      <c r="L1255" s="264"/>
      <c r="M1255" s="264"/>
      <c r="N1255" s="264"/>
      <c r="O1255" s="264"/>
      <c r="P1255" s="264"/>
      <c r="Q1255" s="264"/>
      <c r="R1255" s="264"/>
      <c r="S1255" s="264"/>
      <c r="T1255" s="264"/>
      <c r="U1255" s="16"/>
      <c r="V1255" s="264"/>
      <c r="W1255" s="264"/>
      <c r="X1255" s="264"/>
      <c r="Y1255" s="264"/>
      <c r="Z1255" s="264"/>
      <c r="AA1255" s="264"/>
      <c r="AB1255" s="264"/>
      <c r="AC1255" s="264"/>
      <c r="AD1255" s="264"/>
      <c r="AE1255" s="264"/>
      <c r="AF1255" s="264"/>
      <c r="AG1255" s="264"/>
      <c r="AH1255" s="264"/>
      <c r="AI1255" s="264"/>
      <c r="AJ1255" s="264"/>
      <c r="AK1255" s="264"/>
      <c r="AL1255" s="264"/>
      <c r="AM1255" s="264"/>
      <c r="AN1255" s="264"/>
    </row>
    <row r="1256" ht="15.75" customHeight="1">
      <c r="A1256" s="264"/>
      <c r="B1256" s="42"/>
      <c r="C1256" s="280"/>
      <c r="D1256" s="264"/>
      <c r="E1256" s="264"/>
      <c r="F1256" s="264"/>
      <c r="G1256" s="264"/>
      <c r="H1256" s="264"/>
      <c r="I1256" s="281"/>
      <c r="J1256" s="281"/>
      <c r="K1256" s="264"/>
      <c r="L1256" s="264"/>
      <c r="M1256" s="264"/>
      <c r="N1256" s="264"/>
      <c r="O1256" s="264"/>
      <c r="P1256" s="264"/>
      <c r="Q1256" s="264"/>
      <c r="R1256" s="264"/>
      <c r="S1256" s="264"/>
      <c r="T1256" s="264"/>
      <c r="U1256" s="16"/>
      <c r="V1256" s="264"/>
      <c r="W1256" s="264"/>
      <c r="X1256" s="264"/>
      <c r="Y1256" s="264"/>
      <c r="Z1256" s="264"/>
      <c r="AA1256" s="264"/>
      <c r="AB1256" s="264"/>
      <c r="AC1256" s="264"/>
      <c r="AD1256" s="264"/>
      <c r="AE1256" s="264"/>
      <c r="AF1256" s="264"/>
      <c r="AG1256" s="264"/>
      <c r="AH1256" s="264"/>
      <c r="AI1256" s="264"/>
      <c r="AJ1256" s="264"/>
      <c r="AK1256" s="264"/>
      <c r="AL1256" s="264"/>
      <c r="AM1256" s="264"/>
      <c r="AN1256" s="264"/>
    </row>
    <row r="1257" ht="15.75" customHeight="1">
      <c r="A1257" s="264"/>
      <c r="B1257" s="42"/>
      <c r="C1257" s="280"/>
      <c r="D1257" s="264"/>
      <c r="E1257" s="264"/>
      <c r="F1257" s="264"/>
      <c r="G1257" s="264"/>
      <c r="H1257" s="264"/>
      <c r="I1257" s="281"/>
      <c r="J1257" s="281"/>
      <c r="K1257" s="264"/>
      <c r="L1257" s="264"/>
      <c r="M1257" s="264"/>
      <c r="N1257" s="264"/>
      <c r="O1257" s="264"/>
      <c r="P1257" s="264"/>
      <c r="Q1257" s="264"/>
      <c r="R1257" s="264"/>
      <c r="S1257" s="264"/>
      <c r="T1257" s="264"/>
      <c r="U1257" s="16"/>
      <c r="V1257" s="264"/>
      <c r="W1257" s="264"/>
      <c r="X1257" s="264"/>
      <c r="Y1257" s="264"/>
      <c r="Z1257" s="264"/>
      <c r="AA1257" s="264"/>
      <c r="AB1257" s="264"/>
      <c r="AC1257" s="264"/>
      <c r="AD1257" s="264"/>
      <c r="AE1257" s="264"/>
      <c r="AF1257" s="264"/>
      <c r="AG1257" s="264"/>
      <c r="AH1257" s="264"/>
      <c r="AI1257" s="264"/>
      <c r="AJ1257" s="264"/>
      <c r="AK1257" s="264"/>
      <c r="AL1257" s="264"/>
      <c r="AM1257" s="264"/>
      <c r="AN1257" s="264"/>
    </row>
    <row r="1258" ht="15.75" customHeight="1">
      <c r="A1258" s="264"/>
      <c r="B1258" s="42"/>
      <c r="C1258" s="280"/>
      <c r="D1258" s="264"/>
      <c r="E1258" s="264"/>
      <c r="F1258" s="264"/>
      <c r="G1258" s="264"/>
      <c r="H1258" s="264"/>
      <c r="I1258" s="281"/>
      <c r="J1258" s="281"/>
      <c r="K1258" s="264"/>
      <c r="L1258" s="264"/>
      <c r="M1258" s="264"/>
      <c r="N1258" s="264"/>
      <c r="O1258" s="264"/>
      <c r="P1258" s="264"/>
      <c r="Q1258" s="264"/>
      <c r="R1258" s="264"/>
      <c r="S1258" s="264"/>
      <c r="T1258" s="264"/>
      <c r="U1258" s="16"/>
      <c r="V1258" s="264"/>
      <c r="W1258" s="264"/>
      <c r="X1258" s="264"/>
      <c r="Y1258" s="264"/>
      <c r="Z1258" s="264"/>
      <c r="AA1258" s="264"/>
      <c r="AB1258" s="264"/>
      <c r="AC1258" s="264"/>
      <c r="AD1258" s="264"/>
      <c r="AE1258" s="264"/>
      <c r="AF1258" s="264"/>
      <c r="AG1258" s="264"/>
      <c r="AH1258" s="264"/>
      <c r="AI1258" s="264"/>
      <c r="AJ1258" s="264"/>
      <c r="AK1258" s="264"/>
      <c r="AL1258" s="264"/>
      <c r="AM1258" s="264"/>
      <c r="AN1258" s="264"/>
    </row>
    <row r="1259" ht="15.75" customHeight="1">
      <c r="A1259" s="264"/>
      <c r="B1259" s="42"/>
      <c r="C1259" s="280"/>
      <c r="D1259" s="264"/>
      <c r="E1259" s="264"/>
      <c r="F1259" s="264"/>
      <c r="G1259" s="264"/>
      <c r="H1259" s="264"/>
      <c r="I1259" s="281"/>
      <c r="J1259" s="281"/>
      <c r="K1259" s="264"/>
      <c r="L1259" s="264"/>
      <c r="M1259" s="264"/>
      <c r="N1259" s="264"/>
      <c r="O1259" s="264"/>
      <c r="P1259" s="264"/>
      <c r="Q1259" s="264"/>
      <c r="R1259" s="264"/>
      <c r="S1259" s="264"/>
      <c r="T1259" s="264"/>
      <c r="U1259" s="16"/>
      <c r="V1259" s="264"/>
      <c r="W1259" s="264"/>
      <c r="X1259" s="264"/>
      <c r="Y1259" s="264"/>
      <c r="Z1259" s="264"/>
      <c r="AA1259" s="264"/>
      <c r="AB1259" s="264"/>
      <c r="AC1259" s="264"/>
      <c r="AD1259" s="264"/>
      <c r="AE1259" s="264"/>
      <c r="AF1259" s="264"/>
      <c r="AG1259" s="264"/>
      <c r="AH1259" s="264"/>
      <c r="AI1259" s="264"/>
      <c r="AJ1259" s="264"/>
      <c r="AK1259" s="264"/>
      <c r="AL1259" s="264"/>
      <c r="AM1259" s="264"/>
      <c r="AN1259" s="264"/>
    </row>
    <row r="1260" ht="15.75" customHeight="1">
      <c r="A1260" s="264"/>
      <c r="B1260" s="42"/>
      <c r="C1260" s="280"/>
      <c r="D1260" s="264"/>
      <c r="E1260" s="264"/>
      <c r="F1260" s="264"/>
      <c r="G1260" s="264"/>
      <c r="H1260" s="264"/>
      <c r="I1260" s="281"/>
      <c r="J1260" s="281"/>
      <c r="K1260" s="264"/>
      <c r="L1260" s="264"/>
      <c r="M1260" s="264"/>
      <c r="N1260" s="264"/>
      <c r="O1260" s="264"/>
      <c r="P1260" s="264"/>
      <c r="Q1260" s="264"/>
      <c r="R1260" s="264"/>
      <c r="S1260" s="264"/>
      <c r="T1260" s="264"/>
      <c r="U1260" s="16"/>
      <c r="V1260" s="264"/>
      <c r="W1260" s="264"/>
      <c r="X1260" s="264"/>
      <c r="Y1260" s="264"/>
      <c r="Z1260" s="264"/>
      <c r="AA1260" s="264"/>
      <c r="AB1260" s="264"/>
      <c r="AC1260" s="264"/>
      <c r="AD1260" s="264"/>
      <c r="AE1260" s="264"/>
      <c r="AF1260" s="264"/>
      <c r="AG1260" s="264"/>
      <c r="AH1260" s="264"/>
      <c r="AI1260" s="264"/>
      <c r="AJ1260" s="264"/>
      <c r="AK1260" s="264"/>
      <c r="AL1260" s="264"/>
      <c r="AM1260" s="264"/>
      <c r="AN1260" s="264"/>
    </row>
    <row r="1261" ht="15.75" customHeight="1">
      <c r="A1261" s="264"/>
      <c r="B1261" s="42"/>
      <c r="C1261" s="280"/>
      <c r="D1261" s="264"/>
      <c r="E1261" s="264"/>
      <c r="F1261" s="264"/>
      <c r="G1261" s="264"/>
      <c r="H1261" s="264"/>
      <c r="I1261" s="281"/>
      <c r="J1261" s="281"/>
      <c r="K1261" s="264"/>
      <c r="L1261" s="264"/>
      <c r="M1261" s="264"/>
      <c r="N1261" s="264"/>
      <c r="O1261" s="264"/>
      <c r="P1261" s="264"/>
      <c r="Q1261" s="264"/>
      <c r="R1261" s="264"/>
      <c r="S1261" s="264"/>
      <c r="T1261" s="264"/>
      <c r="U1261" s="16"/>
      <c r="V1261" s="264"/>
      <c r="W1261" s="264"/>
      <c r="X1261" s="264"/>
      <c r="Y1261" s="264"/>
      <c r="Z1261" s="264"/>
      <c r="AA1261" s="264"/>
      <c r="AB1261" s="264"/>
      <c r="AC1261" s="264"/>
      <c r="AD1261" s="264"/>
      <c r="AE1261" s="264"/>
      <c r="AF1261" s="264"/>
      <c r="AG1261" s="264"/>
      <c r="AH1261" s="264"/>
      <c r="AI1261" s="264"/>
      <c r="AJ1261" s="264"/>
      <c r="AK1261" s="264"/>
      <c r="AL1261" s="264"/>
      <c r="AM1261" s="264"/>
      <c r="AN1261" s="264"/>
    </row>
    <row r="1262" ht="15.75" customHeight="1">
      <c r="A1262" s="264"/>
      <c r="B1262" s="42"/>
      <c r="C1262" s="280"/>
      <c r="D1262" s="264"/>
      <c r="E1262" s="264"/>
      <c r="F1262" s="264"/>
      <c r="G1262" s="264"/>
      <c r="H1262" s="264"/>
      <c r="I1262" s="281"/>
      <c r="J1262" s="281"/>
      <c r="K1262" s="264"/>
      <c r="L1262" s="264"/>
      <c r="M1262" s="264"/>
      <c r="N1262" s="264"/>
      <c r="O1262" s="264"/>
      <c r="P1262" s="264"/>
      <c r="Q1262" s="264"/>
      <c r="R1262" s="264"/>
      <c r="S1262" s="264"/>
      <c r="T1262" s="264"/>
      <c r="U1262" s="16"/>
      <c r="V1262" s="264"/>
      <c r="W1262" s="264"/>
      <c r="X1262" s="264"/>
      <c r="Y1262" s="264"/>
      <c r="Z1262" s="264"/>
      <c r="AA1262" s="264"/>
      <c r="AB1262" s="264"/>
      <c r="AC1262" s="264"/>
      <c r="AD1262" s="264"/>
      <c r="AE1262" s="264"/>
      <c r="AF1262" s="264"/>
      <c r="AG1262" s="264"/>
      <c r="AH1262" s="264"/>
      <c r="AI1262" s="264"/>
      <c r="AJ1262" s="264"/>
      <c r="AK1262" s="264"/>
      <c r="AL1262" s="264"/>
      <c r="AM1262" s="264"/>
      <c r="AN1262" s="264"/>
    </row>
    <row r="1263" ht="15.75" customHeight="1">
      <c r="A1263" s="264"/>
      <c r="B1263" s="42"/>
      <c r="C1263" s="280"/>
      <c r="D1263" s="264"/>
      <c r="E1263" s="264"/>
      <c r="F1263" s="264"/>
      <c r="G1263" s="264"/>
      <c r="H1263" s="264"/>
      <c r="I1263" s="281"/>
      <c r="J1263" s="281"/>
      <c r="K1263" s="264"/>
      <c r="L1263" s="264"/>
      <c r="M1263" s="264"/>
      <c r="N1263" s="264"/>
      <c r="O1263" s="264"/>
      <c r="P1263" s="264"/>
      <c r="Q1263" s="264"/>
      <c r="R1263" s="264"/>
      <c r="S1263" s="264"/>
      <c r="T1263" s="264"/>
      <c r="U1263" s="16"/>
      <c r="V1263" s="264"/>
      <c r="W1263" s="264"/>
      <c r="X1263" s="264"/>
      <c r="Y1263" s="264"/>
      <c r="Z1263" s="264"/>
      <c r="AA1263" s="264"/>
      <c r="AB1263" s="264"/>
      <c r="AC1263" s="264"/>
      <c r="AD1263" s="264"/>
      <c r="AE1263" s="264"/>
      <c r="AF1263" s="264"/>
      <c r="AG1263" s="264"/>
      <c r="AH1263" s="264"/>
      <c r="AI1263" s="264"/>
      <c r="AJ1263" s="264"/>
      <c r="AK1263" s="264"/>
      <c r="AL1263" s="264"/>
      <c r="AM1263" s="264"/>
      <c r="AN1263" s="264"/>
    </row>
    <row r="1264" ht="15.75" customHeight="1">
      <c r="A1264" s="264"/>
      <c r="B1264" s="42"/>
      <c r="C1264" s="280"/>
      <c r="D1264" s="264"/>
      <c r="E1264" s="264"/>
      <c r="F1264" s="264"/>
      <c r="G1264" s="264"/>
      <c r="H1264" s="264"/>
      <c r="I1264" s="281"/>
      <c r="J1264" s="281"/>
      <c r="K1264" s="264"/>
      <c r="L1264" s="264"/>
      <c r="M1264" s="264"/>
      <c r="N1264" s="264"/>
      <c r="O1264" s="264"/>
      <c r="P1264" s="264"/>
      <c r="Q1264" s="264"/>
      <c r="R1264" s="264"/>
      <c r="S1264" s="264"/>
      <c r="T1264" s="264"/>
      <c r="U1264" s="16"/>
      <c r="V1264" s="264"/>
      <c r="W1264" s="264"/>
      <c r="X1264" s="264"/>
      <c r="Y1264" s="264"/>
      <c r="Z1264" s="264"/>
      <c r="AA1264" s="264"/>
      <c r="AB1264" s="264"/>
      <c r="AC1264" s="264"/>
      <c r="AD1264" s="264"/>
      <c r="AE1264" s="264"/>
      <c r="AF1264" s="264"/>
      <c r="AG1264" s="264"/>
      <c r="AH1264" s="264"/>
      <c r="AI1264" s="264"/>
      <c r="AJ1264" s="264"/>
      <c r="AK1264" s="264"/>
      <c r="AL1264" s="264"/>
      <c r="AM1264" s="264"/>
      <c r="AN1264" s="264"/>
    </row>
    <row r="1265" ht="15.75" customHeight="1">
      <c r="A1265" s="264"/>
      <c r="B1265" s="42"/>
      <c r="C1265" s="280"/>
      <c r="D1265" s="264"/>
      <c r="E1265" s="264"/>
      <c r="F1265" s="264"/>
      <c r="G1265" s="264"/>
      <c r="H1265" s="264"/>
      <c r="I1265" s="281"/>
      <c r="J1265" s="281"/>
      <c r="K1265" s="264"/>
      <c r="L1265" s="264"/>
      <c r="M1265" s="264"/>
      <c r="N1265" s="264"/>
      <c r="O1265" s="264"/>
      <c r="P1265" s="264"/>
      <c r="Q1265" s="264"/>
      <c r="R1265" s="264"/>
      <c r="S1265" s="264"/>
      <c r="T1265" s="264"/>
      <c r="U1265" s="16"/>
      <c r="V1265" s="264"/>
      <c r="W1265" s="264"/>
      <c r="X1265" s="264"/>
      <c r="Y1265" s="264"/>
      <c r="Z1265" s="264"/>
      <c r="AA1265" s="264"/>
      <c r="AB1265" s="264"/>
      <c r="AC1265" s="264"/>
      <c r="AD1265" s="264"/>
      <c r="AE1265" s="264"/>
      <c r="AF1265" s="264"/>
      <c r="AG1265" s="264"/>
      <c r="AH1265" s="264"/>
      <c r="AI1265" s="264"/>
      <c r="AJ1265" s="264"/>
      <c r="AK1265" s="264"/>
      <c r="AL1265" s="264"/>
      <c r="AM1265" s="264"/>
      <c r="AN1265" s="264"/>
    </row>
    <row r="1266" ht="15.75" customHeight="1">
      <c r="A1266" s="264"/>
      <c r="B1266" s="42"/>
      <c r="C1266" s="280"/>
      <c r="D1266" s="264"/>
      <c r="E1266" s="264"/>
      <c r="F1266" s="264"/>
      <c r="G1266" s="264"/>
      <c r="H1266" s="264"/>
      <c r="I1266" s="281"/>
      <c r="J1266" s="281"/>
      <c r="K1266" s="264"/>
      <c r="L1266" s="264"/>
      <c r="M1266" s="264"/>
      <c r="N1266" s="264"/>
      <c r="O1266" s="264"/>
      <c r="P1266" s="264"/>
      <c r="Q1266" s="264"/>
      <c r="R1266" s="264"/>
      <c r="S1266" s="264"/>
      <c r="T1266" s="264"/>
      <c r="U1266" s="16"/>
      <c r="V1266" s="264"/>
      <c r="W1266" s="264"/>
      <c r="X1266" s="264"/>
      <c r="Y1266" s="264"/>
      <c r="Z1266" s="264"/>
      <c r="AA1266" s="264"/>
      <c r="AB1266" s="264"/>
      <c r="AC1266" s="264"/>
      <c r="AD1266" s="264"/>
      <c r="AE1266" s="264"/>
      <c r="AF1266" s="264"/>
      <c r="AG1266" s="264"/>
      <c r="AH1266" s="264"/>
      <c r="AI1266" s="264"/>
      <c r="AJ1266" s="264"/>
      <c r="AK1266" s="264"/>
      <c r="AL1266" s="264"/>
      <c r="AM1266" s="264"/>
      <c r="AN1266" s="264"/>
    </row>
    <row r="1267" ht="15.75" customHeight="1">
      <c r="A1267" s="264"/>
      <c r="B1267" s="42"/>
      <c r="C1267" s="280"/>
      <c r="D1267" s="264"/>
      <c r="E1267" s="264"/>
      <c r="F1267" s="264"/>
      <c r="G1267" s="264"/>
      <c r="H1267" s="264"/>
      <c r="I1267" s="281"/>
      <c r="J1267" s="281"/>
      <c r="K1267" s="264"/>
      <c r="L1267" s="264"/>
      <c r="M1267" s="264"/>
      <c r="N1267" s="264"/>
      <c r="O1267" s="264"/>
      <c r="P1267" s="264"/>
      <c r="Q1267" s="264"/>
      <c r="R1267" s="264"/>
      <c r="S1267" s="264"/>
      <c r="T1267" s="264"/>
      <c r="U1267" s="16"/>
      <c r="V1267" s="264"/>
      <c r="W1267" s="264"/>
      <c r="X1267" s="264"/>
      <c r="Y1267" s="264"/>
      <c r="Z1267" s="264"/>
      <c r="AA1267" s="264"/>
      <c r="AB1267" s="264"/>
      <c r="AC1267" s="264"/>
      <c r="AD1267" s="264"/>
      <c r="AE1267" s="264"/>
      <c r="AF1267" s="264"/>
      <c r="AG1267" s="264"/>
      <c r="AH1267" s="264"/>
      <c r="AI1267" s="264"/>
      <c r="AJ1267" s="264"/>
      <c r="AK1267" s="264"/>
      <c r="AL1267" s="264"/>
      <c r="AM1267" s="264"/>
      <c r="AN1267" s="264"/>
    </row>
    <row r="1268" ht="15.75" customHeight="1">
      <c r="A1268" s="264"/>
      <c r="B1268" s="42"/>
      <c r="C1268" s="280"/>
      <c r="D1268" s="264"/>
      <c r="E1268" s="264"/>
      <c r="F1268" s="264"/>
      <c r="G1268" s="264"/>
      <c r="H1268" s="264"/>
      <c r="I1268" s="281"/>
      <c r="J1268" s="281"/>
      <c r="K1268" s="264"/>
      <c r="L1268" s="264"/>
      <c r="M1268" s="264"/>
      <c r="N1268" s="264"/>
      <c r="O1268" s="264"/>
      <c r="P1268" s="264"/>
      <c r="Q1268" s="264"/>
      <c r="R1268" s="264"/>
      <c r="S1268" s="264"/>
      <c r="T1268" s="264"/>
      <c r="U1268" s="16"/>
      <c r="V1268" s="264"/>
      <c r="W1268" s="264"/>
      <c r="X1268" s="264"/>
      <c r="Y1268" s="264"/>
      <c r="Z1268" s="264"/>
      <c r="AA1268" s="264"/>
      <c r="AB1268" s="264"/>
      <c r="AC1268" s="264"/>
      <c r="AD1268" s="264"/>
      <c r="AE1268" s="264"/>
      <c r="AF1268" s="264"/>
      <c r="AG1268" s="264"/>
      <c r="AH1268" s="264"/>
      <c r="AI1268" s="264"/>
      <c r="AJ1268" s="264"/>
      <c r="AK1268" s="264"/>
      <c r="AL1268" s="264"/>
      <c r="AM1268" s="264"/>
      <c r="AN1268" s="264"/>
    </row>
    <row r="1269" ht="15.75" customHeight="1">
      <c r="A1269" s="264"/>
      <c r="B1269" s="42"/>
      <c r="C1269" s="280"/>
      <c r="D1269" s="264"/>
      <c r="E1269" s="264"/>
      <c r="F1269" s="264"/>
      <c r="G1269" s="264"/>
      <c r="H1269" s="264"/>
      <c r="I1269" s="281"/>
      <c r="J1269" s="281"/>
      <c r="K1269" s="264"/>
      <c r="L1269" s="264"/>
      <c r="M1269" s="264"/>
      <c r="N1269" s="264"/>
      <c r="O1269" s="264"/>
      <c r="P1269" s="264"/>
      <c r="Q1269" s="264"/>
      <c r="R1269" s="264"/>
      <c r="S1269" s="264"/>
      <c r="T1269" s="264"/>
      <c r="U1269" s="16"/>
      <c r="V1269" s="264"/>
      <c r="W1269" s="264"/>
      <c r="X1269" s="264"/>
      <c r="Y1269" s="264"/>
      <c r="Z1269" s="264"/>
      <c r="AA1269" s="264"/>
      <c r="AB1269" s="264"/>
      <c r="AC1269" s="264"/>
      <c r="AD1269" s="264"/>
      <c r="AE1269" s="264"/>
      <c r="AF1269" s="264"/>
      <c r="AG1269" s="264"/>
      <c r="AH1269" s="264"/>
      <c r="AI1269" s="264"/>
      <c r="AJ1269" s="264"/>
      <c r="AK1269" s="264"/>
      <c r="AL1269" s="264"/>
      <c r="AM1269" s="264"/>
      <c r="AN1269" s="264"/>
    </row>
    <row r="1270" ht="15.75" customHeight="1">
      <c r="A1270" s="264"/>
      <c r="B1270" s="42"/>
      <c r="C1270" s="280"/>
      <c r="D1270" s="264"/>
      <c r="E1270" s="264"/>
      <c r="F1270" s="264"/>
      <c r="G1270" s="264"/>
      <c r="H1270" s="264"/>
      <c r="I1270" s="281"/>
      <c r="J1270" s="281"/>
      <c r="K1270" s="264"/>
      <c r="L1270" s="264"/>
      <c r="M1270" s="264"/>
      <c r="N1270" s="264"/>
      <c r="O1270" s="264"/>
      <c r="P1270" s="264"/>
      <c r="Q1270" s="264"/>
      <c r="R1270" s="264"/>
      <c r="S1270" s="264"/>
      <c r="T1270" s="264"/>
      <c r="U1270" s="16"/>
      <c r="V1270" s="264"/>
      <c r="W1270" s="264"/>
      <c r="X1270" s="264"/>
      <c r="Y1270" s="264"/>
      <c r="Z1270" s="264"/>
      <c r="AA1270" s="264"/>
      <c r="AB1270" s="264"/>
      <c r="AC1270" s="264"/>
      <c r="AD1270" s="264"/>
      <c r="AE1270" s="264"/>
      <c r="AF1270" s="264"/>
      <c r="AG1270" s="264"/>
      <c r="AH1270" s="264"/>
      <c r="AI1270" s="264"/>
      <c r="AJ1270" s="264"/>
      <c r="AK1270" s="264"/>
      <c r="AL1270" s="264"/>
      <c r="AM1270" s="264"/>
      <c r="AN1270" s="264"/>
    </row>
    <row r="1271" ht="15.75" customHeight="1">
      <c r="A1271" s="264"/>
      <c r="B1271" s="42"/>
      <c r="C1271" s="280"/>
      <c r="D1271" s="264"/>
      <c r="E1271" s="264"/>
      <c r="F1271" s="264"/>
      <c r="G1271" s="264"/>
      <c r="H1271" s="264"/>
      <c r="I1271" s="281"/>
      <c r="J1271" s="281"/>
      <c r="K1271" s="264"/>
      <c r="L1271" s="264"/>
      <c r="M1271" s="264"/>
      <c r="N1271" s="264"/>
      <c r="O1271" s="264"/>
      <c r="P1271" s="264"/>
      <c r="Q1271" s="264"/>
      <c r="R1271" s="264"/>
      <c r="S1271" s="264"/>
      <c r="T1271" s="264"/>
      <c r="U1271" s="16"/>
      <c r="V1271" s="264"/>
      <c r="W1271" s="264"/>
      <c r="X1271" s="264"/>
      <c r="Y1271" s="264"/>
      <c r="Z1271" s="264"/>
      <c r="AA1271" s="264"/>
      <c r="AB1271" s="264"/>
      <c r="AC1271" s="264"/>
      <c r="AD1271" s="264"/>
      <c r="AE1271" s="264"/>
      <c r="AF1271" s="264"/>
      <c r="AG1271" s="264"/>
      <c r="AH1271" s="264"/>
      <c r="AI1271" s="264"/>
      <c r="AJ1271" s="264"/>
      <c r="AK1271" s="264"/>
      <c r="AL1271" s="264"/>
      <c r="AM1271" s="264"/>
      <c r="AN1271" s="264"/>
    </row>
    <row r="1272" ht="15.75" customHeight="1">
      <c r="A1272" s="264"/>
      <c r="B1272" s="42"/>
      <c r="C1272" s="280"/>
      <c r="D1272" s="264"/>
      <c r="E1272" s="264"/>
      <c r="F1272" s="264"/>
      <c r="G1272" s="264"/>
      <c r="H1272" s="264"/>
      <c r="I1272" s="281"/>
      <c r="J1272" s="281"/>
      <c r="K1272" s="264"/>
      <c r="L1272" s="264"/>
      <c r="M1272" s="264"/>
      <c r="N1272" s="264"/>
      <c r="O1272" s="264"/>
      <c r="P1272" s="264"/>
      <c r="Q1272" s="264"/>
      <c r="R1272" s="264"/>
      <c r="S1272" s="264"/>
      <c r="T1272" s="264"/>
      <c r="U1272" s="16"/>
      <c r="V1272" s="264"/>
      <c r="W1272" s="264"/>
      <c r="X1272" s="264"/>
      <c r="Y1272" s="264"/>
      <c r="Z1272" s="264"/>
      <c r="AA1272" s="264"/>
      <c r="AB1272" s="264"/>
      <c r="AC1272" s="264"/>
      <c r="AD1272" s="264"/>
      <c r="AE1272" s="264"/>
      <c r="AF1272" s="264"/>
      <c r="AG1272" s="264"/>
      <c r="AH1272" s="264"/>
      <c r="AI1272" s="264"/>
      <c r="AJ1272" s="264"/>
      <c r="AK1272" s="264"/>
      <c r="AL1272" s="264"/>
      <c r="AM1272" s="264"/>
      <c r="AN1272" s="264"/>
    </row>
    <row r="1273" ht="15.75" customHeight="1">
      <c r="A1273" s="264"/>
      <c r="B1273" s="42"/>
      <c r="C1273" s="280"/>
      <c r="D1273" s="264"/>
      <c r="E1273" s="264"/>
      <c r="F1273" s="264"/>
      <c r="G1273" s="264"/>
      <c r="H1273" s="264"/>
      <c r="I1273" s="281"/>
      <c r="J1273" s="281"/>
      <c r="K1273" s="264"/>
      <c r="L1273" s="264"/>
      <c r="M1273" s="264"/>
      <c r="N1273" s="264"/>
      <c r="O1273" s="264"/>
      <c r="P1273" s="264"/>
      <c r="Q1273" s="264"/>
      <c r="R1273" s="264"/>
      <c r="S1273" s="264"/>
      <c r="T1273" s="264"/>
      <c r="U1273" s="16"/>
      <c r="V1273" s="264"/>
      <c r="W1273" s="264"/>
      <c r="X1273" s="264"/>
      <c r="Y1273" s="264"/>
      <c r="Z1273" s="264"/>
      <c r="AA1273" s="264"/>
      <c r="AB1273" s="264"/>
      <c r="AC1273" s="264"/>
      <c r="AD1273" s="264"/>
      <c r="AE1273" s="264"/>
      <c r="AF1273" s="264"/>
      <c r="AG1273" s="264"/>
      <c r="AH1273" s="264"/>
      <c r="AI1273" s="264"/>
      <c r="AJ1273" s="264"/>
      <c r="AK1273" s="264"/>
      <c r="AL1273" s="264"/>
      <c r="AM1273" s="264"/>
      <c r="AN1273" s="264"/>
    </row>
    <row r="1274" ht="15.75" customHeight="1">
      <c r="A1274" s="264"/>
      <c r="B1274" s="42"/>
      <c r="C1274" s="280"/>
      <c r="D1274" s="264"/>
      <c r="E1274" s="264"/>
      <c r="F1274" s="264"/>
      <c r="G1274" s="264"/>
      <c r="H1274" s="264"/>
      <c r="I1274" s="281"/>
      <c r="J1274" s="281"/>
      <c r="K1274" s="264"/>
      <c r="L1274" s="264"/>
      <c r="M1274" s="264"/>
      <c r="N1274" s="264"/>
      <c r="O1274" s="264"/>
      <c r="P1274" s="264"/>
      <c r="Q1274" s="264"/>
      <c r="R1274" s="264"/>
      <c r="S1274" s="264"/>
      <c r="T1274" s="264"/>
      <c r="U1274" s="16"/>
      <c r="V1274" s="264"/>
      <c r="W1274" s="264"/>
      <c r="X1274" s="264"/>
      <c r="Y1274" s="264"/>
      <c r="Z1274" s="264"/>
      <c r="AA1274" s="264"/>
      <c r="AB1274" s="264"/>
      <c r="AC1274" s="264"/>
      <c r="AD1274" s="264"/>
      <c r="AE1274" s="264"/>
      <c r="AF1274" s="264"/>
      <c r="AG1274" s="264"/>
      <c r="AH1274" s="264"/>
      <c r="AI1274" s="264"/>
      <c r="AJ1274" s="264"/>
      <c r="AK1274" s="264"/>
      <c r="AL1274" s="264"/>
      <c r="AM1274" s="264"/>
      <c r="AN1274" s="264"/>
    </row>
    <row r="1275" ht="15.75" customHeight="1">
      <c r="A1275" s="264"/>
      <c r="B1275" s="42"/>
      <c r="C1275" s="280"/>
      <c r="D1275" s="264"/>
      <c r="E1275" s="264"/>
      <c r="F1275" s="264"/>
      <c r="G1275" s="264"/>
      <c r="H1275" s="264"/>
      <c r="I1275" s="281"/>
      <c r="J1275" s="281"/>
      <c r="K1275" s="264"/>
      <c r="L1275" s="264"/>
      <c r="M1275" s="264"/>
      <c r="N1275" s="264"/>
      <c r="O1275" s="264"/>
      <c r="P1275" s="264"/>
      <c r="Q1275" s="264"/>
      <c r="R1275" s="264"/>
      <c r="S1275" s="264"/>
      <c r="T1275" s="264"/>
      <c r="U1275" s="16"/>
      <c r="V1275" s="264"/>
      <c r="W1275" s="264"/>
      <c r="X1275" s="264"/>
      <c r="Y1275" s="264"/>
      <c r="Z1275" s="264"/>
      <c r="AA1275" s="264"/>
      <c r="AB1275" s="264"/>
      <c r="AC1275" s="264"/>
      <c r="AD1275" s="264"/>
      <c r="AE1275" s="264"/>
      <c r="AF1275" s="264"/>
      <c r="AG1275" s="264"/>
      <c r="AH1275" s="264"/>
      <c r="AI1275" s="264"/>
      <c r="AJ1275" s="264"/>
      <c r="AK1275" s="264"/>
      <c r="AL1275" s="264"/>
      <c r="AM1275" s="264"/>
      <c r="AN1275" s="264"/>
    </row>
    <row r="1276" ht="15.75" customHeight="1">
      <c r="A1276" s="264"/>
      <c r="B1276" s="42"/>
      <c r="C1276" s="280"/>
      <c r="D1276" s="264"/>
      <c r="E1276" s="264"/>
      <c r="F1276" s="264"/>
      <c r="G1276" s="264"/>
      <c r="H1276" s="264"/>
      <c r="I1276" s="281"/>
      <c r="J1276" s="281"/>
      <c r="K1276" s="264"/>
      <c r="L1276" s="264"/>
      <c r="M1276" s="264"/>
      <c r="N1276" s="264"/>
      <c r="O1276" s="264"/>
      <c r="P1276" s="264"/>
      <c r="Q1276" s="264"/>
      <c r="R1276" s="264"/>
      <c r="S1276" s="264"/>
      <c r="T1276" s="264"/>
      <c r="U1276" s="16"/>
      <c r="V1276" s="264"/>
      <c r="W1276" s="264"/>
      <c r="X1276" s="264"/>
      <c r="Y1276" s="264"/>
      <c r="Z1276" s="264"/>
      <c r="AA1276" s="264"/>
      <c r="AB1276" s="264"/>
      <c r="AC1276" s="264"/>
      <c r="AD1276" s="264"/>
      <c r="AE1276" s="264"/>
      <c r="AF1276" s="264"/>
      <c r="AG1276" s="264"/>
      <c r="AH1276" s="264"/>
      <c r="AI1276" s="264"/>
      <c r="AJ1276" s="264"/>
      <c r="AK1276" s="264"/>
      <c r="AL1276" s="264"/>
      <c r="AM1276" s="264"/>
      <c r="AN1276" s="264"/>
    </row>
    <row r="1277" ht="15.75" customHeight="1">
      <c r="A1277" s="264"/>
      <c r="B1277" s="42"/>
      <c r="C1277" s="280"/>
      <c r="D1277" s="264"/>
      <c r="E1277" s="264"/>
      <c r="F1277" s="264"/>
      <c r="G1277" s="264"/>
      <c r="H1277" s="264"/>
      <c r="I1277" s="281"/>
      <c r="J1277" s="281"/>
      <c r="K1277" s="264"/>
      <c r="L1277" s="264"/>
      <c r="M1277" s="264"/>
      <c r="N1277" s="264"/>
      <c r="O1277" s="264"/>
      <c r="P1277" s="264"/>
      <c r="Q1277" s="264"/>
      <c r="R1277" s="264"/>
      <c r="S1277" s="264"/>
      <c r="T1277" s="264"/>
      <c r="U1277" s="16"/>
      <c r="V1277" s="264"/>
      <c r="W1277" s="264"/>
      <c r="X1277" s="264"/>
      <c r="Y1277" s="264"/>
      <c r="Z1277" s="264"/>
      <c r="AA1277" s="264"/>
      <c r="AB1277" s="264"/>
      <c r="AC1277" s="264"/>
      <c r="AD1277" s="264"/>
      <c r="AE1277" s="264"/>
      <c r="AF1277" s="264"/>
      <c r="AG1277" s="264"/>
      <c r="AH1277" s="264"/>
      <c r="AI1277" s="264"/>
      <c r="AJ1277" s="264"/>
      <c r="AK1277" s="264"/>
      <c r="AL1277" s="264"/>
      <c r="AM1277" s="264"/>
      <c r="AN1277" s="264"/>
    </row>
    <row r="1278" ht="15.75" customHeight="1">
      <c r="A1278" s="264"/>
      <c r="B1278" s="42"/>
      <c r="C1278" s="280"/>
      <c r="D1278" s="264"/>
      <c r="E1278" s="264"/>
      <c r="F1278" s="264"/>
      <c r="G1278" s="264"/>
      <c r="H1278" s="264"/>
      <c r="I1278" s="281"/>
      <c r="J1278" s="281"/>
      <c r="K1278" s="264"/>
      <c r="L1278" s="264"/>
      <c r="M1278" s="264"/>
      <c r="N1278" s="264"/>
      <c r="O1278" s="264"/>
      <c r="P1278" s="264"/>
      <c r="Q1278" s="264"/>
      <c r="R1278" s="264"/>
      <c r="S1278" s="264"/>
      <c r="T1278" s="264"/>
      <c r="U1278" s="16"/>
      <c r="V1278" s="264"/>
      <c r="W1278" s="264"/>
      <c r="X1278" s="264"/>
      <c r="Y1278" s="264"/>
      <c r="Z1278" s="264"/>
      <c r="AA1278" s="264"/>
      <c r="AB1278" s="264"/>
      <c r="AC1278" s="264"/>
      <c r="AD1278" s="264"/>
      <c r="AE1278" s="264"/>
      <c r="AF1278" s="264"/>
      <c r="AG1278" s="264"/>
      <c r="AH1278" s="264"/>
      <c r="AI1278" s="264"/>
      <c r="AJ1278" s="264"/>
      <c r="AK1278" s="264"/>
      <c r="AL1278" s="264"/>
      <c r="AM1278" s="264"/>
      <c r="AN1278" s="264"/>
    </row>
    <row r="1279" ht="15.75" customHeight="1">
      <c r="A1279" s="264"/>
      <c r="B1279" s="42"/>
      <c r="C1279" s="280"/>
      <c r="D1279" s="264"/>
      <c r="E1279" s="264"/>
      <c r="F1279" s="264"/>
      <c r="G1279" s="264"/>
      <c r="H1279" s="264"/>
      <c r="I1279" s="281"/>
      <c r="J1279" s="281"/>
      <c r="K1279" s="264"/>
      <c r="L1279" s="264"/>
      <c r="M1279" s="264"/>
      <c r="N1279" s="264"/>
      <c r="O1279" s="264"/>
      <c r="P1279" s="264"/>
      <c r="Q1279" s="264"/>
      <c r="R1279" s="264"/>
      <c r="S1279" s="264"/>
      <c r="T1279" s="264"/>
      <c r="U1279" s="16"/>
      <c r="V1279" s="264"/>
      <c r="W1279" s="264"/>
      <c r="X1279" s="264"/>
      <c r="Y1279" s="264"/>
      <c r="Z1279" s="264"/>
      <c r="AA1279" s="264"/>
      <c r="AB1279" s="264"/>
      <c r="AC1279" s="264"/>
      <c r="AD1279" s="264"/>
      <c r="AE1279" s="264"/>
      <c r="AF1279" s="264"/>
      <c r="AG1279" s="264"/>
      <c r="AH1279" s="264"/>
      <c r="AI1279" s="264"/>
      <c r="AJ1279" s="264"/>
      <c r="AK1279" s="264"/>
      <c r="AL1279" s="264"/>
      <c r="AM1279" s="264"/>
      <c r="AN1279" s="264"/>
    </row>
    <row r="1280" ht="15.75" customHeight="1">
      <c r="A1280" s="264"/>
      <c r="B1280" s="42"/>
      <c r="C1280" s="280"/>
      <c r="D1280" s="264"/>
      <c r="E1280" s="264"/>
      <c r="F1280" s="264"/>
      <c r="G1280" s="264"/>
      <c r="H1280" s="264"/>
      <c r="I1280" s="281"/>
      <c r="J1280" s="281"/>
      <c r="K1280" s="264"/>
      <c r="L1280" s="264"/>
      <c r="M1280" s="264"/>
      <c r="N1280" s="264"/>
      <c r="O1280" s="264"/>
      <c r="P1280" s="264"/>
      <c r="Q1280" s="264"/>
      <c r="R1280" s="264"/>
      <c r="S1280" s="264"/>
      <c r="T1280" s="264"/>
      <c r="U1280" s="16"/>
      <c r="V1280" s="264"/>
      <c r="W1280" s="264"/>
      <c r="X1280" s="264"/>
      <c r="Y1280" s="264"/>
      <c r="Z1280" s="264"/>
      <c r="AA1280" s="264"/>
      <c r="AB1280" s="264"/>
      <c r="AC1280" s="264"/>
      <c r="AD1280" s="264"/>
      <c r="AE1280" s="264"/>
      <c r="AF1280" s="264"/>
      <c r="AG1280" s="264"/>
      <c r="AH1280" s="264"/>
      <c r="AI1280" s="264"/>
      <c r="AJ1280" s="264"/>
      <c r="AK1280" s="264"/>
      <c r="AL1280" s="264"/>
      <c r="AM1280" s="264"/>
      <c r="AN1280" s="264"/>
    </row>
    <row r="1281" ht="15.75" customHeight="1">
      <c r="A1281" s="264"/>
      <c r="B1281" s="42"/>
      <c r="C1281" s="280"/>
      <c r="D1281" s="264"/>
      <c r="E1281" s="264"/>
      <c r="F1281" s="264"/>
      <c r="G1281" s="264"/>
      <c r="H1281" s="264"/>
      <c r="I1281" s="281"/>
      <c r="J1281" s="281"/>
      <c r="K1281" s="264"/>
      <c r="L1281" s="264"/>
      <c r="M1281" s="264"/>
      <c r="N1281" s="264"/>
      <c r="O1281" s="264"/>
      <c r="P1281" s="264"/>
      <c r="Q1281" s="264"/>
      <c r="R1281" s="264"/>
      <c r="S1281" s="264"/>
      <c r="T1281" s="264"/>
      <c r="U1281" s="16"/>
      <c r="V1281" s="264"/>
      <c r="W1281" s="264"/>
      <c r="X1281" s="264"/>
      <c r="Y1281" s="264"/>
      <c r="Z1281" s="264"/>
      <c r="AA1281" s="264"/>
      <c r="AB1281" s="264"/>
      <c r="AC1281" s="264"/>
      <c r="AD1281" s="264"/>
      <c r="AE1281" s="264"/>
      <c r="AF1281" s="264"/>
      <c r="AG1281" s="264"/>
      <c r="AH1281" s="264"/>
      <c r="AI1281" s="264"/>
      <c r="AJ1281" s="264"/>
      <c r="AK1281" s="264"/>
      <c r="AL1281" s="264"/>
      <c r="AM1281" s="264"/>
      <c r="AN1281" s="264"/>
    </row>
    <row r="1282" ht="15.75" customHeight="1">
      <c r="A1282" s="264"/>
      <c r="B1282" s="42"/>
      <c r="C1282" s="280"/>
      <c r="D1282" s="264"/>
      <c r="E1282" s="264"/>
      <c r="F1282" s="264"/>
      <c r="G1282" s="264"/>
      <c r="H1282" s="264"/>
      <c r="I1282" s="281"/>
      <c r="J1282" s="281"/>
      <c r="K1282" s="264"/>
      <c r="L1282" s="264"/>
      <c r="M1282" s="264"/>
      <c r="N1282" s="264"/>
      <c r="O1282" s="264"/>
      <c r="P1282" s="264"/>
      <c r="Q1282" s="264"/>
      <c r="R1282" s="264"/>
      <c r="S1282" s="264"/>
      <c r="T1282" s="264"/>
      <c r="U1282" s="16"/>
      <c r="V1282" s="264"/>
      <c r="W1282" s="264"/>
      <c r="X1282" s="264"/>
      <c r="Y1282" s="264"/>
      <c r="Z1282" s="264"/>
      <c r="AA1282" s="264"/>
      <c r="AB1282" s="264"/>
      <c r="AC1282" s="264"/>
      <c r="AD1282" s="264"/>
      <c r="AE1282" s="264"/>
      <c r="AF1282" s="264"/>
      <c r="AG1282" s="264"/>
      <c r="AH1282" s="264"/>
      <c r="AI1282" s="264"/>
      <c r="AJ1282" s="264"/>
      <c r="AK1282" s="264"/>
      <c r="AL1282" s="264"/>
      <c r="AM1282" s="264"/>
      <c r="AN1282" s="264"/>
    </row>
    <row r="1283" ht="15.75" customHeight="1">
      <c r="A1283" s="264"/>
      <c r="B1283" s="42"/>
      <c r="C1283" s="280"/>
      <c r="D1283" s="264"/>
      <c r="E1283" s="264"/>
      <c r="F1283" s="264"/>
      <c r="G1283" s="264"/>
      <c r="H1283" s="264"/>
      <c r="I1283" s="281"/>
      <c r="J1283" s="281"/>
      <c r="K1283" s="264"/>
      <c r="L1283" s="264"/>
      <c r="M1283" s="264"/>
      <c r="N1283" s="264"/>
      <c r="O1283" s="264"/>
      <c r="P1283" s="264"/>
      <c r="Q1283" s="264"/>
      <c r="R1283" s="264"/>
      <c r="S1283" s="264"/>
      <c r="T1283" s="264"/>
      <c r="U1283" s="16"/>
      <c r="V1283" s="264"/>
      <c r="W1283" s="264"/>
      <c r="X1283" s="264"/>
      <c r="Y1283" s="264"/>
      <c r="Z1283" s="264"/>
      <c r="AA1283" s="264"/>
      <c r="AB1283" s="264"/>
      <c r="AC1283" s="264"/>
      <c r="AD1283" s="264"/>
      <c r="AE1283" s="264"/>
      <c r="AF1283" s="264"/>
      <c r="AG1283" s="264"/>
      <c r="AH1283" s="264"/>
      <c r="AI1283" s="264"/>
      <c r="AJ1283" s="264"/>
      <c r="AK1283" s="264"/>
      <c r="AL1283" s="264"/>
      <c r="AM1283" s="264"/>
      <c r="AN1283" s="264"/>
    </row>
    <row r="1284" ht="15.75" customHeight="1">
      <c r="A1284" s="264"/>
      <c r="B1284" s="42"/>
      <c r="C1284" s="280"/>
      <c r="D1284" s="264"/>
      <c r="E1284" s="264"/>
      <c r="F1284" s="264"/>
      <c r="G1284" s="264"/>
      <c r="H1284" s="264"/>
      <c r="I1284" s="281"/>
      <c r="J1284" s="281"/>
      <c r="K1284" s="264"/>
      <c r="L1284" s="264"/>
      <c r="M1284" s="264"/>
      <c r="N1284" s="264"/>
      <c r="O1284" s="264"/>
      <c r="P1284" s="264"/>
      <c r="Q1284" s="264"/>
      <c r="R1284" s="264"/>
      <c r="S1284" s="264"/>
      <c r="T1284" s="264"/>
      <c r="U1284" s="16"/>
      <c r="V1284" s="264"/>
      <c r="W1284" s="264"/>
      <c r="X1284" s="264"/>
      <c r="Y1284" s="264"/>
      <c r="Z1284" s="264"/>
      <c r="AA1284" s="264"/>
      <c r="AB1284" s="264"/>
      <c r="AC1284" s="264"/>
      <c r="AD1284" s="264"/>
      <c r="AE1284" s="264"/>
      <c r="AF1284" s="264"/>
      <c r="AG1284" s="264"/>
      <c r="AH1284" s="264"/>
      <c r="AI1284" s="264"/>
      <c r="AJ1284" s="264"/>
      <c r="AK1284" s="264"/>
      <c r="AL1284" s="264"/>
      <c r="AM1284" s="264"/>
      <c r="AN1284" s="264"/>
    </row>
    <row r="1285" ht="15.75" customHeight="1">
      <c r="A1285" s="264"/>
      <c r="B1285" s="42"/>
      <c r="C1285" s="280"/>
      <c r="D1285" s="264"/>
      <c r="E1285" s="264"/>
      <c r="F1285" s="264"/>
      <c r="G1285" s="264"/>
      <c r="H1285" s="264"/>
      <c r="I1285" s="281"/>
      <c r="J1285" s="281"/>
      <c r="K1285" s="264"/>
      <c r="L1285" s="264"/>
      <c r="M1285" s="264"/>
      <c r="N1285" s="264"/>
      <c r="O1285" s="264"/>
      <c r="P1285" s="264"/>
      <c r="Q1285" s="264"/>
      <c r="R1285" s="264"/>
      <c r="S1285" s="264"/>
      <c r="T1285" s="264"/>
      <c r="U1285" s="16"/>
      <c r="V1285" s="264"/>
      <c r="W1285" s="264"/>
      <c r="X1285" s="264"/>
      <c r="Y1285" s="264"/>
      <c r="Z1285" s="264"/>
      <c r="AA1285" s="264"/>
      <c r="AB1285" s="264"/>
      <c r="AC1285" s="264"/>
      <c r="AD1285" s="264"/>
      <c r="AE1285" s="264"/>
      <c r="AF1285" s="264"/>
      <c r="AG1285" s="264"/>
      <c r="AH1285" s="264"/>
      <c r="AI1285" s="264"/>
      <c r="AJ1285" s="264"/>
      <c r="AK1285" s="264"/>
      <c r="AL1285" s="264"/>
      <c r="AM1285" s="264"/>
      <c r="AN1285" s="264"/>
    </row>
    <row r="1286" ht="15.75" customHeight="1">
      <c r="A1286" s="264"/>
      <c r="B1286" s="42"/>
      <c r="C1286" s="280"/>
      <c r="D1286" s="264"/>
      <c r="E1286" s="264"/>
      <c r="F1286" s="264"/>
      <c r="G1286" s="264"/>
      <c r="H1286" s="264"/>
      <c r="I1286" s="281"/>
      <c r="J1286" s="281"/>
      <c r="K1286" s="264"/>
      <c r="L1286" s="264"/>
      <c r="M1286" s="264"/>
      <c r="N1286" s="264"/>
      <c r="O1286" s="264"/>
      <c r="P1286" s="264"/>
      <c r="Q1286" s="264"/>
      <c r="R1286" s="264"/>
      <c r="S1286" s="264"/>
      <c r="T1286" s="264"/>
      <c r="U1286" s="16"/>
      <c r="V1286" s="264"/>
      <c r="W1286" s="264"/>
      <c r="X1286" s="264"/>
      <c r="Y1286" s="264"/>
      <c r="Z1286" s="264"/>
      <c r="AA1286" s="264"/>
      <c r="AB1286" s="264"/>
      <c r="AC1286" s="264"/>
      <c r="AD1286" s="264"/>
      <c r="AE1286" s="264"/>
      <c r="AF1286" s="264"/>
      <c r="AG1286" s="264"/>
      <c r="AH1286" s="264"/>
      <c r="AI1286" s="264"/>
      <c r="AJ1286" s="264"/>
      <c r="AK1286" s="264"/>
      <c r="AL1286" s="264"/>
      <c r="AM1286" s="264"/>
      <c r="AN1286" s="264"/>
    </row>
    <row r="1287" ht="15.75" customHeight="1">
      <c r="A1287" s="264"/>
      <c r="B1287" s="42"/>
      <c r="C1287" s="280"/>
      <c r="D1287" s="264"/>
      <c r="E1287" s="264"/>
      <c r="F1287" s="264"/>
      <c r="G1287" s="264"/>
      <c r="H1287" s="264"/>
      <c r="I1287" s="281"/>
      <c r="J1287" s="281"/>
      <c r="K1287" s="264"/>
      <c r="L1287" s="264"/>
      <c r="M1287" s="264"/>
      <c r="N1287" s="264"/>
      <c r="O1287" s="264"/>
      <c r="P1287" s="264"/>
      <c r="Q1287" s="264"/>
      <c r="R1287" s="264"/>
      <c r="S1287" s="264"/>
      <c r="T1287" s="264"/>
      <c r="U1287" s="16"/>
      <c r="V1287" s="264"/>
      <c r="W1287" s="264"/>
      <c r="X1287" s="264"/>
      <c r="Y1287" s="264"/>
      <c r="Z1287" s="264"/>
      <c r="AA1287" s="264"/>
      <c r="AB1287" s="264"/>
      <c r="AC1287" s="264"/>
      <c r="AD1287" s="264"/>
      <c r="AE1287" s="264"/>
      <c r="AF1287" s="264"/>
      <c r="AG1287" s="264"/>
      <c r="AH1287" s="264"/>
      <c r="AI1287" s="264"/>
      <c r="AJ1287" s="264"/>
      <c r="AK1287" s="264"/>
      <c r="AL1287" s="264"/>
      <c r="AM1287" s="264"/>
      <c r="AN1287" s="264"/>
    </row>
    <row r="1288" ht="15.75" customHeight="1">
      <c r="A1288" s="264"/>
      <c r="B1288" s="42"/>
      <c r="C1288" s="280"/>
      <c r="D1288" s="264"/>
      <c r="E1288" s="264"/>
      <c r="F1288" s="264"/>
      <c r="G1288" s="264"/>
      <c r="H1288" s="264"/>
      <c r="I1288" s="281"/>
      <c r="J1288" s="281"/>
      <c r="K1288" s="264"/>
      <c r="L1288" s="264"/>
      <c r="M1288" s="264"/>
      <c r="N1288" s="264"/>
      <c r="O1288" s="264"/>
      <c r="P1288" s="264"/>
      <c r="Q1288" s="264"/>
      <c r="R1288" s="264"/>
      <c r="S1288" s="264"/>
      <c r="T1288" s="264"/>
      <c r="U1288" s="16"/>
      <c r="V1288" s="264"/>
      <c r="W1288" s="264"/>
      <c r="X1288" s="264"/>
      <c r="Y1288" s="264"/>
      <c r="Z1288" s="264"/>
      <c r="AA1288" s="264"/>
      <c r="AB1288" s="264"/>
      <c r="AC1288" s="264"/>
      <c r="AD1288" s="264"/>
      <c r="AE1288" s="264"/>
      <c r="AF1288" s="264"/>
      <c r="AG1288" s="264"/>
      <c r="AH1288" s="264"/>
      <c r="AI1288" s="264"/>
      <c r="AJ1288" s="264"/>
      <c r="AK1288" s="264"/>
      <c r="AL1288" s="264"/>
      <c r="AM1288" s="264"/>
      <c r="AN1288" s="264"/>
    </row>
    <row r="1289" ht="15.75" customHeight="1">
      <c r="A1289" s="264"/>
      <c r="B1289" s="42"/>
      <c r="C1289" s="280"/>
      <c r="D1289" s="264"/>
      <c r="E1289" s="264"/>
      <c r="F1289" s="264"/>
      <c r="G1289" s="264"/>
      <c r="H1289" s="264"/>
      <c r="I1289" s="281"/>
      <c r="J1289" s="281"/>
      <c r="K1289" s="264"/>
      <c r="L1289" s="264"/>
      <c r="M1289" s="264"/>
      <c r="N1289" s="264"/>
      <c r="O1289" s="264"/>
      <c r="P1289" s="264"/>
      <c r="Q1289" s="264"/>
      <c r="R1289" s="264"/>
      <c r="S1289" s="264"/>
      <c r="T1289" s="264"/>
      <c r="U1289" s="16"/>
      <c r="V1289" s="264"/>
      <c r="W1289" s="264"/>
      <c r="X1289" s="264"/>
      <c r="Y1289" s="264"/>
      <c r="Z1289" s="264"/>
      <c r="AA1289" s="264"/>
      <c r="AB1289" s="264"/>
      <c r="AC1289" s="264"/>
      <c r="AD1289" s="264"/>
      <c r="AE1289" s="264"/>
      <c r="AF1289" s="264"/>
      <c r="AG1289" s="264"/>
      <c r="AH1289" s="264"/>
      <c r="AI1289" s="264"/>
      <c r="AJ1289" s="264"/>
      <c r="AK1289" s="264"/>
      <c r="AL1289" s="264"/>
      <c r="AM1289" s="264"/>
      <c r="AN1289" s="264"/>
    </row>
    <row r="1290" ht="15.75" customHeight="1">
      <c r="A1290" s="264"/>
      <c r="B1290" s="42"/>
      <c r="C1290" s="280"/>
      <c r="D1290" s="264"/>
      <c r="E1290" s="264"/>
      <c r="F1290" s="264"/>
      <c r="G1290" s="264"/>
      <c r="H1290" s="264"/>
      <c r="I1290" s="281"/>
      <c r="J1290" s="281"/>
      <c r="K1290" s="264"/>
      <c r="L1290" s="264"/>
      <c r="M1290" s="264"/>
      <c r="N1290" s="264"/>
      <c r="O1290" s="264"/>
      <c r="P1290" s="264"/>
      <c r="Q1290" s="264"/>
      <c r="R1290" s="264"/>
      <c r="S1290" s="264"/>
      <c r="T1290" s="264"/>
      <c r="U1290" s="16"/>
      <c r="V1290" s="264"/>
      <c r="W1290" s="264"/>
      <c r="X1290" s="264"/>
      <c r="Y1290" s="264"/>
      <c r="Z1290" s="264"/>
      <c r="AA1290" s="264"/>
      <c r="AB1290" s="264"/>
      <c r="AC1290" s="264"/>
      <c r="AD1290" s="264"/>
      <c r="AE1290" s="264"/>
      <c r="AF1290" s="264"/>
      <c r="AG1290" s="264"/>
      <c r="AH1290" s="264"/>
      <c r="AI1290" s="264"/>
      <c r="AJ1290" s="264"/>
      <c r="AK1290" s="264"/>
      <c r="AL1290" s="264"/>
      <c r="AM1290" s="264"/>
      <c r="AN1290" s="264"/>
    </row>
    <row r="1291" ht="15.75" customHeight="1">
      <c r="A1291" s="264"/>
      <c r="B1291" s="42"/>
      <c r="C1291" s="280"/>
      <c r="D1291" s="264"/>
      <c r="E1291" s="264"/>
      <c r="F1291" s="264"/>
      <c r="G1291" s="264"/>
      <c r="H1291" s="264"/>
      <c r="I1291" s="281"/>
      <c r="J1291" s="281"/>
      <c r="K1291" s="264"/>
      <c r="L1291" s="264"/>
      <c r="M1291" s="264"/>
      <c r="N1291" s="264"/>
      <c r="O1291" s="264"/>
      <c r="P1291" s="264"/>
      <c r="Q1291" s="264"/>
      <c r="R1291" s="264"/>
      <c r="S1291" s="264"/>
      <c r="T1291" s="264"/>
      <c r="U1291" s="16"/>
      <c r="V1291" s="264"/>
      <c r="W1291" s="264"/>
      <c r="X1291" s="264"/>
      <c r="Y1291" s="264"/>
      <c r="Z1291" s="264"/>
      <c r="AA1291" s="264"/>
      <c r="AB1291" s="264"/>
      <c r="AC1291" s="264"/>
      <c r="AD1291" s="264"/>
      <c r="AE1291" s="264"/>
      <c r="AF1291" s="264"/>
      <c r="AG1291" s="264"/>
      <c r="AH1291" s="264"/>
      <c r="AI1291" s="264"/>
      <c r="AJ1291" s="264"/>
      <c r="AK1291" s="264"/>
      <c r="AL1291" s="264"/>
      <c r="AM1291" s="264"/>
      <c r="AN1291" s="264"/>
    </row>
    <row r="1292" ht="15.75" customHeight="1">
      <c r="A1292" s="264"/>
      <c r="B1292" s="42"/>
      <c r="C1292" s="280"/>
      <c r="D1292" s="264"/>
      <c r="E1292" s="264"/>
      <c r="F1292" s="264"/>
      <c r="G1292" s="264"/>
      <c r="H1292" s="264"/>
      <c r="I1292" s="281"/>
      <c r="J1292" s="281"/>
      <c r="K1292" s="264"/>
      <c r="L1292" s="264"/>
      <c r="M1292" s="264"/>
      <c r="N1292" s="264"/>
      <c r="O1292" s="264"/>
      <c r="P1292" s="264"/>
      <c r="Q1292" s="264"/>
      <c r="R1292" s="264"/>
      <c r="S1292" s="264"/>
      <c r="T1292" s="264"/>
      <c r="U1292" s="16"/>
      <c r="V1292" s="264"/>
      <c r="W1292" s="264"/>
      <c r="X1292" s="264"/>
      <c r="Y1292" s="264"/>
      <c r="Z1292" s="264"/>
      <c r="AA1292" s="264"/>
      <c r="AB1292" s="264"/>
      <c r="AC1292" s="264"/>
      <c r="AD1292" s="264"/>
      <c r="AE1292" s="264"/>
      <c r="AF1292" s="264"/>
      <c r="AG1292" s="264"/>
      <c r="AH1292" s="264"/>
      <c r="AI1292" s="264"/>
      <c r="AJ1292" s="264"/>
      <c r="AK1292" s="264"/>
      <c r="AL1292" s="264"/>
      <c r="AM1292" s="264"/>
      <c r="AN1292" s="264"/>
    </row>
    <row r="1293" ht="15.75" customHeight="1">
      <c r="A1293" s="264"/>
      <c r="B1293" s="42"/>
      <c r="C1293" s="280"/>
      <c r="D1293" s="264"/>
      <c r="E1293" s="264"/>
      <c r="F1293" s="264"/>
      <c r="G1293" s="264"/>
      <c r="H1293" s="264"/>
      <c r="I1293" s="281"/>
      <c r="J1293" s="281"/>
      <c r="K1293" s="264"/>
      <c r="L1293" s="264"/>
      <c r="M1293" s="264"/>
      <c r="N1293" s="264"/>
      <c r="O1293" s="264"/>
      <c r="P1293" s="264"/>
      <c r="Q1293" s="264"/>
      <c r="R1293" s="264"/>
      <c r="S1293" s="264"/>
      <c r="T1293" s="264"/>
      <c r="U1293" s="16"/>
      <c r="V1293" s="264"/>
      <c r="W1293" s="264"/>
      <c r="X1293" s="264"/>
      <c r="Y1293" s="264"/>
      <c r="Z1293" s="264"/>
      <c r="AA1293" s="264"/>
      <c r="AB1293" s="264"/>
      <c r="AC1293" s="264"/>
      <c r="AD1293" s="264"/>
      <c r="AE1293" s="264"/>
      <c r="AF1293" s="264"/>
      <c r="AG1293" s="264"/>
      <c r="AH1293" s="264"/>
      <c r="AI1293" s="264"/>
      <c r="AJ1293" s="264"/>
      <c r="AK1293" s="264"/>
      <c r="AL1293" s="264"/>
      <c r="AM1293" s="264"/>
      <c r="AN1293" s="264"/>
    </row>
    <row r="1294" ht="15.75" customHeight="1">
      <c r="A1294" s="264"/>
      <c r="B1294" s="42"/>
      <c r="C1294" s="280"/>
      <c r="D1294" s="264"/>
      <c r="E1294" s="264"/>
      <c r="F1294" s="264"/>
      <c r="G1294" s="264"/>
      <c r="H1294" s="264"/>
      <c r="I1294" s="281"/>
      <c r="J1294" s="281"/>
      <c r="K1294" s="264"/>
      <c r="L1294" s="264"/>
      <c r="M1294" s="264"/>
      <c r="N1294" s="264"/>
      <c r="O1294" s="264"/>
      <c r="P1294" s="264"/>
      <c r="Q1294" s="264"/>
      <c r="R1294" s="264"/>
      <c r="S1294" s="264"/>
      <c r="T1294" s="264"/>
      <c r="U1294" s="16"/>
      <c r="V1294" s="264"/>
      <c r="W1294" s="264"/>
      <c r="X1294" s="264"/>
      <c r="Y1294" s="264"/>
      <c r="Z1294" s="264"/>
      <c r="AA1294" s="264"/>
      <c r="AB1294" s="264"/>
      <c r="AC1294" s="264"/>
      <c r="AD1294" s="264"/>
      <c r="AE1294" s="264"/>
      <c r="AF1294" s="264"/>
      <c r="AG1294" s="264"/>
      <c r="AH1294" s="264"/>
      <c r="AI1294" s="264"/>
      <c r="AJ1294" s="264"/>
      <c r="AK1294" s="264"/>
      <c r="AL1294" s="264"/>
      <c r="AM1294" s="264"/>
      <c r="AN1294" s="264"/>
    </row>
    <row r="1295" ht="15.75" customHeight="1">
      <c r="A1295" s="264"/>
      <c r="B1295" s="42"/>
      <c r="C1295" s="280"/>
      <c r="D1295" s="264"/>
      <c r="E1295" s="264"/>
      <c r="F1295" s="264"/>
      <c r="G1295" s="264"/>
      <c r="H1295" s="264"/>
      <c r="I1295" s="281"/>
      <c r="J1295" s="281"/>
      <c r="K1295" s="264"/>
      <c r="L1295" s="264"/>
      <c r="M1295" s="264"/>
      <c r="N1295" s="264"/>
      <c r="O1295" s="264"/>
      <c r="P1295" s="264"/>
      <c r="Q1295" s="264"/>
      <c r="R1295" s="264"/>
      <c r="S1295" s="264"/>
      <c r="T1295" s="264"/>
      <c r="U1295" s="16"/>
      <c r="V1295" s="264"/>
      <c r="W1295" s="264"/>
      <c r="X1295" s="264"/>
      <c r="Y1295" s="264"/>
      <c r="Z1295" s="264"/>
      <c r="AA1295" s="264"/>
      <c r="AB1295" s="264"/>
      <c r="AC1295" s="264"/>
      <c r="AD1295" s="264"/>
      <c r="AE1295" s="264"/>
      <c r="AF1295" s="264"/>
      <c r="AG1295" s="264"/>
      <c r="AH1295" s="264"/>
      <c r="AI1295" s="264"/>
      <c r="AJ1295" s="264"/>
      <c r="AK1295" s="264"/>
      <c r="AL1295" s="264"/>
      <c r="AM1295" s="264"/>
      <c r="AN1295" s="264"/>
    </row>
    <row r="1296" ht="15.75" customHeight="1">
      <c r="A1296" s="264"/>
      <c r="B1296" s="42"/>
      <c r="C1296" s="280"/>
      <c r="D1296" s="264"/>
      <c r="E1296" s="264"/>
      <c r="F1296" s="264"/>
      <c r="G1296" s="264"/>
      <c r="H1296" s="264"/>
      <c r="I1296" s="281"/>
      <c r="J1296" s="281"/>
      <c r="K1296" s="264"/>
      <c r="L1296" s="264"/>
      <c r="M1296" s="264"/>
      <c r="N1296" s="264"/>
      <c r="O1296" s="264"/>
      <c r="P1296" s="264"/>
      <c r="Q1296" s="264"/>
      <c r="R1296" s="264"/>
      <c r="S1296" s="264"/>
      <c r="T1296" s="264"/>
      <c r="U1296" s="16"/>
      <c r="V1296" s="264"/>
      <c r="W1296" s="264"/>
      <c r="X1296" s="264"/>
      <c r="Y1296" s="264"/>
      <c r="Z1296" s="264"/>
      <c r="AA1296" s="264"/>
      <c r="AB1296" s="264"/>
      <c r="AC1296" s="264"/>
      <c r="AD1296" s="264"/>
      <c r="AE1296" s="264"/>
      <c r="AF1296" s="264"/>
      <c r="AG1296" s="264"/>
      <c r="AH1296" s="264"/>
      <c r="AI1296" s="264"/>
      <c r="AJ1296" s="264"/>
      <c r="AK1296" s="264"/>
      <c r="AL1296" s="264"/>
      <c r="AM1296" s="264"/>
      <c r="AN1296" s="264"/>
    </row>
    <row r="1297" ht="15.75" customHeight="1">
      <c r="A1297" s="264"/>
      <c r="B1297" s="42"/>
      <c r="C1297" s="280"/>
      <c r="D1297" s="264"/>
      <c r="E1297" s="264"/>
      <c r="F1297" s="264"/>
      <c r="G1297" s="264"/>
      <c r="H1297" s="264"/>
      <c r="I1297" s="281"/>
      <c r="J1297" s="281"/>
      <c r="K1297" s="264"/>
      <c r="L1297" s="264"/>
      <c r="M1297" s="264"/>
      <c r="N1297" s="264"/>
      <c r="O1297" s="264"/>
      <c r="P1297" s="264"/>
      <c r="Q1297" s="264"/>
      <c r="R1297" s="264"/>
      <c r="S1297" s="264"/>
      <c r="T1297" s="264"/>
      <c r="U1297" s="16"/>
      <c r="V1297" s="264"/>
      <c r="W1297" s="264"/>
      <c r="X1297" s="264"/>
      <c r="Y1297" s="264"/>
      <c r="Z1297" s="264"/>
      <c r="AA1297" s="264"/>
      <c r="AB1297" s="264"/>
      <c r="AC1297" s="264"/>
      <c r="AD1297" s="264"/>
      <c r="AE1297" s="264"/>
      <c r="AF1297" s="264"/>
      <c r="AG1297" s="264"/>
      <c r="AH1297" s="264"/>
      <c r="AI1297" s="264"/>
      <c r="AJ1297" s="264"/>
      <c r="AK1297" s="264"/>
      <c r="AL1297" s="264"/>
      <c r="AM1297" s="264"/>
      <c r="AN1297" s="264"/>
    </row>
    <row r="1298" ht="15.75" customHeight="1">
      <c r="A1298" s="264"/>
      <c r="B1298" s="42"/>
      <c r="C1298" s="280"/>
      <c r="D1298" s="264"/>
      <c r="E1298" s="264"/>
      <c r="F1298" s="264"/>
      <c r="G1298" s="264"/>
      <c r="H1298" s="264"/>
      <c r="I1298" s="281"/>
      <c r="J1298" s="281"/>
      <c r="K1298" s="264"/>
      <c r="L1298" s="264"/>
      <c r="M1298" s="264"/>
      <c r="N1298" s="264"/>
      <c r="O1298" s="264"/>
      <c r="P1298" s="264"/>
      <c r="Q1298" s="264"/>
      <c r="R1298" s="264"/>
      <c r="S1298" s="264"/>
      <c r="T1298" s="264"/>
      <c r="U1298" s="16"/>
      <c r="V1298" s="264"/>
      <c r="W1298" s="264"/>
      <c r="X1298" s="264"/>
      <c r="Y1298" s="264"/>
      <c r="Z1298" s="264"/>
      <c r="AA1298" s="264"/>
      <c r="AB1298" s="264"/>
      <c r="AC1298" s="264"/>
      <c r="AD1298" s="264"/>
      <c r="AE1298" s="264"/>
      <c r="AF1298" s="264"/>
      <c r="AG1298" s="264"/>
      <c r="AH1298" s="264"/>
      <c r="AI1298" s="264"/>
      <c r="AJ1298" s="264"/>
      <c r="AK1298" s="264"/>
      <c r="AL1298" s="264"/>
      <c r="AM1298" s="264"/>
      <c r="AN1298" s="264"/>
    </row>
    <row r="1299" ht="15.75" customHeight="1">
      <c r="A1299" s="264"/>
      <c r="B1299" s="42"/>
      <c r="C1299" s="280"/>
      <c r="D1299" s="264"/>
      <c r="E1299" s="264"/>
      <c r="F1299" s="264"/>
      <c r="G1299" s="264"/>
      <c r="H1299" s="264"/>
      <c r="I1299" s="281"/>
      <c r="J1299" s="281"/>
      <c r="K1299" s="264"/>
      <c r="L1299" s="264"/>
      <c r="M1299" s="264"/>
      <c r="N1299" s="264"/>
      <c r="O1299" s="264"/>
      <c r="P1299" s="264"/>
      <c r="Q1299" s="264"/>
      <c r="R1299" s="264"/>
      <c r="S1299" s="264"/>
      <c r="T1299" s="264"/>
      <c r="U1299" s="16"/>
      <c r="V1299" s="264"/>
      <c r="W1299" s="264"/>
      <c r="X1299" s="264"/>
      <c r="Y1299" s="264"/>
      <c r="Z1299" s="264"/>
      <c r="AA1299" s="264"/>
      <c r="AB1299" s="264"/>
      <c r="AC1299" s="264"/>
      <c r="AD1299" s="264"/>
      <c r="AE1299" s="264"/>
      <c r="AF1299" s="264"/>
      <c r="AG1299" s="264"/>
      <c r="AH1299" s="264"/>
      <c r="AI1299" s="264"/>
      <c r="AJ1299" s="264"/>
      <c r="AK1299" s="264"/>
      <c r="AL1299" s="264"/>
      <c r="AM1299" s="264"/>
      <c r="AN1299" s="264"/>
    </row>
    <row r="1300" ht="15.75" customHeight="1">
      <c r="A1300" s="264"/>
      <c r="B1300" s="42"/>
      <c r="C1300" s="280"/>
      <c r="D1300" s="264"/>
      <c r="E1300" s="264"/>
      <c r="F1300" s="264"/>
      <c r="G1300" s="264"/>
      <c r="H1300" s="264"/>
      <c r="I1300" s="281"/>
      <c r="J1300" s="281"/>
      <c r="K1300" s="264"/>
      <c r="L1300" s="264"/>
      <c r="M1300" s="264"/>
      <c r="N1300" s="264"/>
      <c r="O1300" s="264"/>
      <c r="P1300" s="264"/>
      <c r="Q1300" s="264"/>
      <c r="R1300" s="264"/>
      <c r="S1300" s="264"/>
      <c r="T1300" s="264"/>
      <c r="U1300" s="16"/>
      <c r="V1300" s="264"/>
      <c r="W1300" s="264"/>
      <c r="X1300" s="264"/>
      <c r="Y1300" s="264"/>
      <c r="Z1300" s="264"/>
      <c r="AA1300" s="264"/>
      <c r="AB1300" s="264"/>
      <c r="AC1300" s="264"/>
      <c r="AD1300" s="264"/>
      <c r="AE1300" s="264"/>
      <c r="AF1300" s="264"/>
      <c r="AG1300" s="264"/>
      <c r="AH1300" s="264"/>
      <c r="AI1300" s="264"/>
      <c r="AJ1300" s="264"/>
      <c r="AK1300" s="264"/>
      <c r="AL1300" s="264"/>
      <c r="AM1300" s="264"/>
      <c r="AN1300" s="264"/>
    </row>
    <row r="1301" ht="15.75" customHeight="1">
      <c r="A1301" s="264"/>
      <c r="B1301" s="42"/>
      <c r="C1301" s="280"/>
      <c r="D1301" s="264"/>
      <c r="E1301" s="264"/>
      <c r="F1301" s="264"/>
      <c r="G1301" s="264"/>
      <c r="H1301" s="264"/>
      <c r="I1301" s="281"/>
      <c r="J1301" s="281"/>
      <c r="K1301" s="264"/>
      <c r="L1301" s="264"/>
      <c r="M1301" s="264"/>
      <c r="N1301" s="264"/>
      <c r="O1301" s="264"/>
      <c r="P1301" s="264"/>
      <c r="Q1301" s="264"/>
      <c r="R1301" s="264"/>
      <c r="S1301" s="264"/>
      <c r="T1301" s="264"/>
      <c r="U1301" s="16"/>
      <c r="V1301" s="264"/>
      <c r="W1301" s="264"/>
      <c r="X1301" s="264"/>
      <c r="Y1301" s="264"/>
      <c r="Z1301" s="264"/>
      <c r="AA1301" s="264"/>
      <c r="AB1301" s="264"/>
      <c r="AC1301" s="264"/>
      <c r="AD1301" s="264"/>
      <c r="AE1301" s="264"/>
      <c r="AF1301" s="264"/>
      <c r="AG1301" s="264"/>
      <c r="AH1301" s="264"/>
      <c r="AI1301" s="264"/>
      <c r="AJ1301" s="264"/>
      <c r="AK1301" s="264"/>
      <c r="AL1301" s="264"/>
      <c r="AM1301" s="264"/>
      <c r="AN1301" s="264"/>
    </row>
    <row r="1302" ht="15.75" customHeight="1">
      <c r="A1302" s="264"/>
      <c r="B1302" s="42"/>
      <c r="C1302" s="280"/>
      <c r="D1302" s="264"/>
      <c r="E1302" s="264"/>
      <c r="F1302" s="264"/>
      <c r="G1302" s="264"/>
      <c r="H1302" s="264"/>
      <c r="I1302" s="281"/>
      <c r="J1302" s="281"/>
      <c r="K1302" s="264"/>
      <c r="L1302" s="264"/>
      <c r="M1302" s="264"/>
      <c r="N1302" s="264"/>
      <c r="O1302" s="264"/>
      <c r="P1302" s="264"/>
      <c r="Q1302" s="264"/>
      <c r="R1302" s="264"/>
      <c r="S1302" s="264"/>
      <c r="T1302" s="264"/>
      <c r="U1302" s="16"/>
      <c r="V1302" s="264"/>
      <c r="W1302" s="264"/>
      <c r="X1302" s="264"/>
      <c r="Y1302" s="264"/>
      <c r="Z1302" s="264"/>
      <c r="AA1302" s="264"/>
      <c r="AB1302" s="264"/>
      <c r="AC1302" s="264"/>
      <c r="AD1302" s="264"/>
      <c r="AE1302" s="264"/>
      <c r="AF1302" s="264"/>
      <c r="AG1302" s="264"/>
      <c r="AH1302" s="264"/>
      <c r="AI1302" s="264"/>
      <c r="AJ1302" s="264"/>
      <c r="AK1302" s="264"/>
      <c r="AL1302" s="264"/>
      <c r="AM1302" s="264"/>
      <c r="AN1302" s="264"/>
    </row>
    <row r="1303" ht="15.75" customHeight="1">
      <c r="A1303" s="264"/>
      <c r="B1303" s="42"/>
      <c r="C1303" s="280"/>
      <c r="D1303" s="264"/>
      <c r="E1303" s="264"/>
      <c r="F1303" s="264"/>
      <c r="G1303" s="264"/>
      <c r="H1303" s="264"/>
      <c r="I1303" s="281"/>
      <c r="J1303" s="281"/>
      <c r="K1303" s="264"/>
      <c r="L1303" s="264"/>
      <c r="M1303" s="264"/>
      <c r="N1303" s="264"/>
      <c r="O1303" s="264"/>
      <c r="P1303" s="264"/>
      <c r="Q1303" s="264"/>
      <c r="R1303" s="264"/>
      <c r="S1303" s="264"/>
      <c r="T1303" s="264"/>
      <c r="U1303" s="16"/>
      <c r="V1303" s="264"/>
      <c r="W1303" s="264"/>
      <c r="X1303" s="264"/>
      <c r="Y1303" s="264"/>
      <c r="Z1303" s="264"/>
      <c r="AA1303" s="264"/>
      <c r="AB1303" s="264"/>
      <c r="AC1303" s="264"/>
      <c r="AD1303" s="264"/>
      <c r="AE1303" s="264"/>
      <c r="AF1303" s="264"/>
      <c r="AG1303" s="264"/>
      <c r="AH1303" s="264"/>
      <c r="AI1303" s="264"/>
      <c r="AJ1303" s="264"/>
      <c r="AK1303" s="264"/>
      <c r="AL1303" s="264"/>
      <c r="AM1303" s="264"/>
      <c r="AN1303" s="264"/>
    </row>
    <row r="1304" ht="15.75" customHeight="1">
      <c r="A1304" s="264"/>
      <c r="B1304" s="42"/>
      <c r="C1304" s="280"/>
      <c r="D1304" s="264"/>
      <c r="E1304" s="264"/>
      <c r="F1304" s="264"/>
      <c r="G1304" s="264"/>
      <c r="H1304" s="264"/>
      <c r="I1304" s="281"/>
      <c r="J1304" s="281"/>
      <c r="K1304" s="264"/>
      <c r="L1304" s="264"/>
      <c r="M1304" s="264"/>
      <c r="N1304" s="264"/>
      <c r="O1304" s="264"/>
      <c r="P1304" s="264"/>
      <c r="Q1304" s="264"/>
      <c r="R1304" s="264"/>
      <c r="S1304" s="264"/>
      <c r="T1304" s="264"/>
      <c r="U1304" s="16"/>
      <c r="V1304" s="264"/>
      <c r="W1304" s="264"/>
      <c r="X1304" s="264"/>
      <c r="Y1304" s="264"/>
      <c r="Z1304" s="264"/>
      <c r="AA1304" s="264"/>
      <c r="AB1304" s="264"/>
      <c r="AC1304" s="264"/>
      <c r="AD1304" s="264"/>
      <c r="AE1304" s="264"/>
      <c r="AF1304" s="264"/>
      <c r="AG1304" s="264"/>
      <c r="AH1304" s="264"/>
      <c r="AI1304" s="264"/>
      <c r="AJ1304" s="264"/>
      <c r="AK1304" s="264"/>
      <c r="AL1304" s="264"/>
      <c r="AM1304" s="264"/>
      <c r="AN1304" s="264"/>
    </row>
    <row r="1305" ht="15.75" customHeight="1">
      <c r="A1305" s="264"/>
      <c r="B1305" s="42"/>
      <c r="C1305" s="280"/>
      <c r="D1305" s="264"/>
      <c r="E1305" s="264"/>
      <c r="F1305" s="264"/>
      <c r="G1305" s="264"/>
      <c r="H1305" s="264"/>
      <c r="I1305" s="281"/>
      <c r="J1305" s="281"/>
      <c r="K1305" s="264"/>
      <c r="L1305" s="264"/>
      <c r="M1305" s="264"/>
      <c r="N1305" s="264"/>
      <c r="O1305" s="264"/>
      <c r="P1305" s="264"/>
      <c r="Q1305" s="264"/>
      <c r="R1305" s="264"/>
      <c r="S1305" s="264"/>
      <c r="T1305" s="264"/>
      <c r="U1305" s="16"/>
      <c r="V1305" s="264"/>
      <c r="W1305" s="264"/>
      <c r="X1305" s="264"/>
      <c r="Y1305" s="264"/>
      <c r="Z1305" s="264"/>
      <c r="AA1305" s="264"/>
      <c r="AB1305" s="264"/>
      <c r="AC1305" s="264"/>
      <c r="AD1305" s="264"/>
      <c r="AE1305" s="264"/>
      <c r="AF1305" s="264"/>
      <c r="AG1305" s="264"/>
      <c r="AH1305" s="264"/>
      <c r="AI1305" s="264"/>
      <c r="AJ1305" s="264"/>
      <c r="AK1305" s="264"/>
      <c r="AL1305" s="264"/>
      <c r="AM1305" s="264"/>
      <c r="AN1305" s="264"/>
    </row>
    <row r="1306" ht="15.75" customHeight="1">
      <c r="A1306" s="264"/>
      <c r="B1306" s="42"/>
      <c r="C1306" s="280"/>
      <c r="D1306" s="264"/>
      <c r="E1306" s="264"/>
      <c r="F1306" s="264"/>
      <c r="G1306" s="264"/>
      <c r="H1306" s="264"/>
      <c r="I1306" s="281"/>
      <c r="J1306" s="281"/>
      <c r="K1306" s="264"/>
      <c r="L1306" s="264"/>
      <c r="M1306" s="264"/>
      <c r="N1306" s="264"/>
      <c r="O1306" s="264"/>
      <c r="P1306" s="264"/>
      <c r="Q1306" s="264"/>
      <c r="R1306" s="264"/>
      <c r="S1306" s="264"/>
      <c r="T1306" s="264"/>
      <c r="U1306" s="16"/>
      <c r="V1306" s="264"/>
      <c r="W1306" s="264"/>
      <c r="X1306" s="264"/>
      <c r="Y1306" s="264"/>
      <c r="Z1306" s="264"/>
      <c r="AA1306" s="264"/>
      <c r="AB1306" s="264"/>
      <c r="AC1306" s="264"/>
      <c r="AD1306" s="264"/>
      <c r="AE1306" s="264"/>
      <c r="AF1306" s="264"/>
      <c r="AG1306" s="264"/>
      <c r="AH1306" s="264"/>
      <c r="AI1306" s="264"/>
      <c r="AJ1306" s="264"/>
      <c r="AK1306" s="264"/>
      <c r="AL1306" s="264"/>
      <c r="AM1306" s="264"/>
      <c r="AN1306" s="264"/>
    </row>
    <row r="1307" ht="15.75" customHeight="1">
      <c r="A1307" s="264"/>
      <c r="B1307" s="42"/>
      <c r="C1307" s="280"/>
      <c r="D1307" s="264"/>
      <c r="E1307" s="264"/>
      <c r="F1307" s="264"/>
      <c r="G1307" s="264"/>
      <c r="H1307" s="264"/>
      <c r="I1307" s="281"/>
      <c r="J1307" s="281"/>
      <c r="K1307" s="264"/>
      <c r="L1307" s="264"/>
      <c r="M1307" s="264"/>
      <c r="N1307" s="264"/>
      <c r="O1307" s="264"/>
      <c r="P1307" s="264"/>
      <c r="Q1307" s="264"/>
      <c r="R1307" s="264"/>
      <c r="S1307" s="264"/>
      <c r="T1307" s="264"/>
      <c r="U1307" s="16"/>
      <c r="V1307" s="264"/>
      <c r="W1307" s="264"/>
      <c r="X1307" s="264"/>
      <c r="Y1307" s="264"/>
      <c r="Z1307" s="264"/>
      <c r="AA1307" s="264"/>
      <c r="AB1307" s="264"/>
      <c r="AC1307" s="264"/>
      <c r="AD1307" s="264"/>
      <c r="AE1307" s="264"/>
      <c r="AF1307" s="264"/>
      <c r="AG1307" s="264"/>
      <c r="AH1307" s="264"/>
      <c r="AI1307" s="264"/>
      <c r="AJ1307" s="264"/>
      <c r="AK1307" s="264"/>
      <c r="AL1307" s="264"/>
      <c r="AM1307" s="264"/>
      <c r="AN1307" s="264"/>
    </row>
    <row r="1308" ht="15.75" customHeight="1">
      <c r="A1308" s="264"/>
      <c r="B1308" s="42"/>
      <c r="C1308" s="280"/>
      <c r="D1308" s="264"/>
      <c r="E1308" s="264"/>
      <c r="F1308" s="264"/>
      <c r="G1308" s="264"/>
      <c r="H1308" s="264"/>
      <c r="I1308" s="281"/>
      <c r="J1308" s="281"/>
      <c r="K1308" s="264"/>
      <c r="L1308" s="264"/>
      <c r="M1308" s="264"/>
      <c r="N1308" s="264"/>
      <c r="O1308" s="264"/>
      <c r="P1308" s="264"/>
      <c r="Q1308" s="264"/>
      <c r="R1308" s="264"/>
      <c r="S1308" s="264"/>
      <c r="T1308" s="264"/>
      <c r="U1308" s="16"/>
      <c r="V1308" s="264"/>
      <c r="W1308" s="264"/>
      <c r="X1308" s="264"/>
      <c r="Y1308" s="264"/>
      <c r="Z1308" s="264"/>
      <c r="AA1308" s="264"/>
      <c r="AB1308" s="264"/>
      <c r="AC1308" s="264"/>
      <c r="AD1308" s="264"/>
      <c r="AE1308" s="264"/>
      <c r="AF1308" s="264"/>
      <c r="AG1308" s="264"/>
      <c r="AH1308" s="264"/>
      <c r="AI1308" s="264"/>
      <c r="AJ1308" s="264"/>
      <c r="AK1308" s="264"/>
      <c r="AL1308" s="264"/>
      <c r="AM1308" s="264"/>
      <c r="AN1308" s="264"/>
    </row>
    <row r="1309" ht="15.75" customHeight="1">
      <c r="A1309" s="264"/>
      <c r="B1309" s="42"/>
      <c r="C1309" s="280"/>
      <c r="D1309" s="264"/>
      <c r="E1309" s="264"/>
      <c r="F1309" s="264"/>
      <c r="G1309" s="264"/>
      <c r="H1309" s="264"/>
      <c r="I1309" s="281"/>
      <c r="J1309" s="281"/>
      <c r="K1309" s="264"/>
      <c r="L1309" s="264"/>
      <c r="M1309" s="264"/>
      <c r="N1309" s="264"/>
      <c r="O1309" s="264"/>
      <c r="P1309" s="264"/>
      <c r="Q1309" s="264"/>
      <c r="R1309" s="264"/>
      <c r="S1309" s="264"/>
      <c r="T1309" s="264"/>
      <c r="U1309" s="16"/>
      <c r="V1309" s="264"/>
      <c r="W1309" s="264"/>
      <c r="X1309" s="264"/>
      <c r="Y1309" s="264"/>
      <c r="Z1309" s="264"/>
      <c r="AA1309" s="264"/>
      <c r="AB1309" s="264"/>
      <c r="AC1309" s="264"/>
      <c r="AD1309" s="264"/>
      <c r="AE1309" s="264"/>
      <c r="AF1309" s="264"/>
      <c r="AG1309" s="264"/>
      <c r="AH1309" s="264"/>
      <c r="AI1309" s="264"/>
      <c r="AJ1309" s="264"/>
      <c r="AK1309" s="264"/>
      <c r="AL1309" s="264"/>
      <c r="AM1309" s="264"/>
      <c r="AN1309" s="264"/>
    </row>
    <row r="1310" ht="15.75" customHeight="1">
      <c r="A1310" s="264"/>
      <c r="B1310" s="42"/>
      <c r="C1310" s="280"/>
      <c r="D1310" s="264"/>
      <c r="E1310" s="264"/>
      <c r="F1310" s="264"/>
      <c r="G1310" s="264"/>
      <c r="H1310" s="264"/>
      <c r="I1310" s="281"/>
      <c r="J1310" s="281"/>
      <c r="K1310" s="264"/>
      <c r="L1310" s="264"/>
      <c r="M1310" s="264"/>
      <c r="N1310" s="264"/>
      <c r="O1310" s="264"/>
      <c r="P1310" s="264"/>
      <c r="Q1310" s="264"/>
      <c r="R1310" s="264"/>
      <c r="S1310" s="264"/>
      <c r="T1310" s="264"/>
      <c r="U1310" s="16"/>
      <c r="V1310" s="264"/>
      <c r="W1310" s="264"/>
      <c r="X1310" s="264"/>
      <c r="Y1310" s="264"/>
      <c r="Z1310" s="264"/>
      <c r="AA1310" s="264"/>
      <c r="AB1310" s="264"/>
      <c r="AC1310" s="264"/>
      <c r="AD1310" s="264"/>
      <c r="AE1310" s="264"/>
      <c r="AF1310" s="264"/>
      <c r="AG1310" s="264"/>
      <c r="AH1310" s="264"/>
      <c r="AI1310" s="264"/>
      <c r="AJ1310" s="264"/>
      <c r="AK1310" s="264"/>
      <c r="AL1310" s="264"/>
      <c r="AM1310" s="264"/>
      <c r="AN1310" s="264"/>
    </row>
    <row r="1311" ht="15.75" customHeight="1">
      <c r="A1311" s="264"/>
      <c r="B1311" s="42"/>
      <c r="C1311" s="280"/>
      <c r="D1311" s="264"/>
      <c r="E1311" s="264"/>
      <c r="F1311" s="264"/>
      <c r="G1311" s="264"/>
      <c r="H1311" s="264"/>
      <c r="I1311" s="281"/>
      <c r="J1311" s="281"/>
      <c r="K1311" s="264"/>
      <c r="L1311" s="264"/>
      <c r="M1311" s="264"/>
      <c r="N1311" s="264"/>
      <c r="O1311" s="264"/>
      <c r="P1311" s="264"/>
      <c r="Q1311" s="264"/>
      <c r="R1311" s="264"/>
      <c r="S1311" s="264"/>
      <c r="T1311" s="264"/>
      <c r="U1311" s="16"/>
      <c r="V1311" s="264"/>
      <c r="W1311" s="264"/>
      <c r="X1311" s="264"/>
      <c r="Y1311" s="264"/>
      <c r="Z1311" s="264"/>
      <c r="AA1311" s="264"/>
      <c r="AB1311" s="264"/>
      <c r="AC1311" s="264"/>
      <c r="AD1311" s="264"/>
      <c r="AE1311" s="264"/>
      <c r="AF1311" s="264"/>
      <c r="AG1311" s="264"/>
      <c r="AH1311" s="264"/>
      <c r="AI1311" s="264"/>
      <c r="AJ1311" s="264"/>
      <c r="AK1311" s="264"/>
      <c r="AL1311" s="264"/>
      <c r="AM1311" s="264"/>
      <c r="AN1311" s="264"/>
    </row>
    <row r="1312" ht="15.75" customHeight="1">
      <c r="A1312" s="264"/>
      <c r="B1312" s="42"/>
      <c r="C1312" s="280"/>
      <c r="D1312" s="264"/>
      <c r="E1312" s="264"/>
      <c r="F1312" s="264"/>
      <c r="G1312" s="264"/>
      <c r="H1312" s="264"/>
      <c r="I1312" s="281"/>
      <c r="J1312" s="281"/>
      <c r="K1312" s="264"/>
      <c r="L1312" s="264"/>
      <c r="M1312" s="264"/>
      <c r="N1312" s="264"/>
      <c r="O1312" s="264"/>
      <c r="P1312" s="264"/>
      <c r="Q1312" s="264"/>
      <c r="R1312" s="264"/>
      <c r="S1312" s="264"/>
      <c r="T1312" s="264"/>
      <c r="U1312" s="16"/>
      <c r="V1312" s="264"/>
      <c r="W1312" s="264"/>
      <c r="X1312" s="264"/>
      <c r="Y1312" s="264"/>
      <c r="Z1312" s="264"/>
      <c r="AA1312" s="264"/>
      <c r="AB1312" s="264"/>
      <c r="AC1312" s="264"/>
      <c r="AD1312" s="264"/>
      <c r="AE1312" s="264"/>
      <c r="AF1312" s="264"/>
      <c r="AG1312" s="264"/>
      <c r="AH1312" s="264"/>
      <c r="AI1312" s="264"/>
      <c r="AJ1312" s="264"/>
      <c r="AK1312" s="264"/>
      <c r="AL1312" s="264"/>
      <c r="AM1312" s="264"/>
      <c r="AN1312" s="264"/>
    </row>
    <row r="1313" ht="15.75" customHeight="1">
      <c r="A1313" s="264"/>
      <c r="B1313" s="42"/>
      <c r="C1313" s="280"/>
      <c r="D1313" s="264"/>
      <c r="E1313" s="264"/>
      <c r="F1313" s="264"/>
      <c r="G1313" s="264"/>
      <c r="H1313" s="264"/>
      <c r="I1313" s="281"/>
      <c r="J1313" s="281"/>
      <c r="K1313" s="264"/>
      <c r="L1313" s="264"/>
      <c r="M1313" s="264"/>
      <c r="N1313" s="264"/>
      <c r="O1313" s="264"/>
      <c r="P1313" s="264"/>
      <c r="Q1313" s="264"/>
      <c r="R1313" s="264"/>
      <c r="S1313" s="264"/>
      <c r="T1313" s="264"/>
      <c r="U1313" s="16"/>
      <c r="V1313" s="264"/>
      <c r="W1313" s="264"/>
      <c r="X1313" s="264"/>
      <c r="Y1313" s="264"/>
      <c r="Z1313" s="264"/>
      <c r="AA1313" s="264"/>
      <c r="AB1313" s="264"/>
      <c r="AC1313" s="264"/>
      <c r="AD1313" s="264"/>
      <c r="AE1313" s="264"/>
      <c r="AF1313" s="264"/>
      <c r="AG1313" s="264"/>
      <c r="AH1313" s="264"/>
      <c r="AI1313" s="264"/>
      <c r="AJ1313" s="264"/>
      <c r="AK1313" s="264"/>
      <c r="AL1313" s="264"/>
      <c r="AM1313" s="264"/>
      <c r="AN1313" s="264"/>
    </row>
    <row r="1314" ht="15.75" customHeight="1">
      <c r="A1314" s="264"/>
      <c r="B1314" s="42"/>
      <c r="C1314" s="280"/>
      <c r="D1314" s="264"/>
      <c r="E1314" s="264"/>
      <c r="F1314" s="264"/>
      <c r="G1314" s="264"/>
      <c r="H1314" s="264"/>
      <c r="I1314" s="281"/>
      <c r="J1314" s="281"/>
      <c r="K1314" s="264"/>
      <c r="L1314" s="264"/>
      <c r="M1314" s="264"/>
      <c r="N1314" s="264"/>
      <c r="O1314" s="264"/>
      <c r="P1314" s="264"/>
      <c r="Q1314" s="264"/>
      <c r="R1314" s="264"/>
      <c r="S1314" s="264"/>
      <c r="T1314" s="264"/>
      <c r="U1314" s="16"/>
      <c r="V1314" s="264"/>
      <c r="W1314" s="264"/>
      <c r="X1314" s="264"/>
      <c r="Y1314" s="264"/>
      <c r="Z1314" s="264"/>
      <c r="AA1314" s="264"/>
      <c r="AB1314" s="264"/>
      <c r="AC1314" s="264"/>
      <c r="AD1314" s="264"/>
      <c r="AE1314" s="264"/>
      <c r="AF1314" s="264"/>
      <c r="AG1314" s="264"/>
      <c r="AH1314" s="264"/>
      <c r="AI1314" s="264"/>
      <c r="AJ1314" s="264"/>
      <c r="AK1314" s="264"/>
      <c r="AL1314" s="264"/>
      <c r="AM1314" s="264"/>
      <c r="AN1314" s="264"/>
    </row>
    <row r="1315" ht="15.75" customHeight="1">
      <c r="A1315" s="264"/>
      <c r="B1315" s="42"/>
      <c r="C1315" s="280"/>
      <c r="D1315" s="264"/>
      <c r="E1315" s="264"/>
      <c r="F1315" s="264"/>
      <c r="G1315" s="264"/>
      <c r="H1315" s="264"/>
      <c r="I1315" s="281"/>
      <c r="J1315" s="281"/>
      <c r="K1315" s="264"/>
      <c r="L1315" s="264"/>
      <c r="M1315" s="264"/>
      <c r="N1315" s="264"/>
      <c r="O1315" s="264"/>
      <c r="P1315" s="264"/>
      <c r="Q1315" s="264"/>
      <c r="R1315" s="264"/>
      <c r="S1315" s="264"/>
      <c r="T1315" s="264"/>
      <c r="U1315" s="16"/>
      <c r="V1315" s="264"/>
      <c r="W1315" s="264"/>
      <c r="X1315" s="264"/>
      <c r="Y1315" s="264"/>
      <c r="Z1315" s="264"/>
      <c r="AA1315" s="264"/>
      <c r="AB1315" s="264"/>
      <c r="AC1315" s="264"/>
      <c r="AD1315" s="264"/>
      <c r="AE1315" s="264"/>
      <c r="AF1315" s="264"/>
      <c r="AG1315" s="264"/>
      <c r="AH1315" s="264"/>
      <c r="AI1315" s="264"/>
      <c r="AJ1315" s="264"/>
      <c r="AK1315" s="264"/>
      <c r="AL1315" s="264"/>
      <c r="AM1315" s="264"/>
      <c r="AN1315" s="264"/>
    </row>
    <row r="1316" ht="15.75" customHeight="1">
      <c r="A1316" s="264"/>
      <c r="B1316" s="42"/>
      <c r="C1316" s="280"/>
      <c r="D1316" s="264"/>
      <c r="E1316" s="264"/>
      <c r="F1316" s="264"/>
      <c r="G1316" s="264"/>
      <c r="H1316" s="264"/>
      <c r="I1316" s="281"/>
      <c r="J1316" s="281"/>
      <c r="K1316" s="264"/>
      <c r="L1316" s="264"/>
      <c r="M1316" s="264"/>
      <c r="N1316" s="264"/>
      <c r="O1316" s="264"/>
      <c r="P1316" s="264"/>
      <c r="Q1316" s="264"/>
      <c r="R1316" s="264"/>
      <c r="S1316" s="264"/>
      <c r="T1316" s="264"/>
      <c r="U1316" s="16"/>
      <c r="V1316" s="264"/>
      <c r="W1316" s="264"/>
      <c r="X1316" s="264"/>
      <c r="Y1316" s="264"/>
      <c r="Z1316" s="264"/>
      <c r="AA1316" s="264"/>
      <c r="AB1316" s="264"/>
      <c r="AC1316" s="264"/>
      <c r="AD1316" s="264"/>
      <c r="AE1316" s="264"/>
      <c r="AF1316" s="264"/>
      <c r="AG1316" s="264"/>
      <c r="AH1316" s="264"/>
      <c r="AI1316" s="264"/>
      <c r="AJ1316" s="264"/>
      <c r="AK1316" s="264"/>
      <c r="AL1316" s="264"/>
      <c r="AM1316" s="264"/>
      <c r="AN1316" s="264"/>
    </row>
    <row r="1317" ht="15.75" customHeight="1">
      <c r="A1317" s="264"/>
      <c r="B1317" s="42"/>
      <c r="C1317" s="280"/>
      <c r="D1317" s="264"/>
      <c r="E1317" s="264"/>
      <c r="F1317" s="264"/>
      <c r="G1317" s="264"/>
      <c r="H1317" s="264"/>
      <c r="I1317" s="281"/>
      <c r="J1317" s="281"/>
      <c r="K1317" s="264"/>
      <c r="L1317" s="264"/>
      <c r="M1317" s="264"/>
      <c r="N1317" s="264"/>
      <c r="O1317" s="264"/>
      <c r="P1317" s="264"/>
      <c r="Q1317" s="264"/>
      <c r="R1317" s="264"/>
      <c r="S1317" s="264"/>
      <c r="T1317" s="264"/>
      <c r="U1317" s="16"/>
      <c r="V1317" s="264"/>
      <c r="W1317" s="264"/>
      <c r="X1317" s="264"/>
      <c r="Y1317" s="264"/>
      <c r="Z1317" s="264"/>
      <c r="AA1317" s="264"/>
      <c r="AB1317" s="264"/>
      <c r="AC1317" s="264"/>
      <c r="AD1317" s="264"/>
      <c r="AE1317" s="264"/>
      <c r="AF1317" s="264"/>
      <c r="AG1317" s="264"/>
      <c r="AH1317" s="264"/>
      <c r="AI1317" s="264"/>
      <c r="AJ1317" s="264"/>
      <c r="AK1317" s="264"/>
      <c r="AL1317" s="264"/>
      <c r="AM1317" s="264"/>
      <c r="AN1317" s="264"/>
    </row>
    <row r="1318" ht="15.75" customHeight="1">
      <c r="A1318" s="264"/>
      <c r="B1318" s="42"/>
      <c r="C1318" s="280"/>
      <c r="D1318" s="264"/>
      <c r="E1318" s="264"/>
      <c r="F1318" s="264"/>
      <c r="G1318" s="264"/>
      <c r="H1318" s="264"/>
      <c r="I1318" s="281"/>
      <c r="J1318" s="281"/>
      <c r="K1318" s="264"/>
      <c r="L1318" s="264"/>
      <c r="M1318" s="264"/>
      <c r="N1318" s="264"/>
      <c r="O1318" s="264"/>
      <c r="P1318" s="264"/>
      <c r="Q1318" s="264"/>
      <c r="R1318" s="264"/>
      <c r="S1318" s="264"/>
      <c r="T1318" s="264"/>
      <c r="U1318" s="16"/>
      <c r="V1318" s="264"/>
      <c r="W1318" s="264"/>
      <c r="X1318" s="264"/>
      <c r="Y1318" s="264"/>
      <c r="Z1318" s="264"/>
      <c r="AA1318" s="264"/>
      <c r="AB1318" s="264"/>
      <c r="AC1318" s="264"/>
      <c r="AD1318" s="264"/>
      <c r="AE1318" s="264"/>
      <c r="AF1318" s="264"/>
      <c r="AG1318" s="264"/>
      <c r="AH1318" s="264"/>
      <c r="AI1318" s="264"/>
      <c r="AJ1318" s="264"/>
      <c r="AK1318" s="264"/>
      <c r="AL1318" s="264"/>
      <c r="AM1318" s="264"/>
      <c r="AN1318" s="264"/>
    </row>
    <row r="1319" ht="15.75" customHeight="1">
      <c r="A1319" s="264"/>
      <c r="B1319" s="42"/>
      <c r="C1319" s="280"/>
      <c r="D1319" s="264"/>
      <c r="E1319" s="264"/>
      <c r="F1319" s="264"/>
      <c r="G1319" s="264"/>
      <c r="H1319" s="264"/>
      <c r="I1319" s="281"/>
      <c r="J1319" s="281"/>
      <c r="K1319" s="264"/>
      <c r="L1319" s="264"/>
      <c r="M1319" s="264"/>
      <c r="N1319" s="264"/>
      <c r="O1319" s="264"/>
      <c r="P1319" s="264"/>
      <c r="Q1319" s="264"/>
      <c r="R1319" s="264"/>
      <c r="S1319" s="264"/>
      <c r="T1319" s="264"/>
      <c r="U1319" s="16"/>
      <c r="V1319" s="264"/>
      <c r="W1319" s="264"/>
      <c r="X1319" s="264"/>
      <c r="Y1319" s="264"/>
      <c r="Z1319" s="264"/>
      <c r="AA1319" s="264"/>
      <c r="AB1319" s="264"/>
      <c r="AC1319" s="264"/>
      <c r="AD1319" s="264"/>
      <c r="AE1319" s="264"/>
      <c r="AF1319" s="264"/>
      <c r="AG1319" s="264"/>
      <c r="AH1319" s="264"/>
      <c r="AI1319" s="264"/>
      <c r="AJ1319" s="264"/>
      <c r="AK1319" s="264"/>
      <c r="AL1319" s="264"/>
      <c r="AM1319" s="264"/>
      <c r="AN1319" s="264"/>
    </row>
    <row r="1320" ht="15.75" customHeight="1">
      <c r="A1320" s="264"/>
      <c r="B1320" s="42"/>
      <c r="C1320" s="280"/>
      <c r="D1320" s="264"/>
      <c r="E1320" s="264"/>
      <c r="F1320" s="264"/>
      <c r="G1320" s="264"/>
      <c r="H1320" s="264"/>
      <c r="I1320" s="281"/>
      <c r="J1320" s="281"/>
      <c r="K1320" s="264"/>
      <c r="L1320" s="264"/>
      <c r="M1320" s="264"/>
      <c r="N1320" s="264"/>
      <c r="O1320" s="264"/>
      <c r="P1320" s="264"/>
      <c r="Q1320" s="264"/>
      <c r="R1320" s="264"/>
      <c r="S1320" s="264"/>
      <c r="T1320" s="264"/>
      <c r="U1320" s="16"/>
      <c r="V1320" s="264"/>
      <c r="W1320" s="264"/>
      <c r="X1320" s="264"/>
      <c r="Y1320" s="264"/>
      <c r="Z1320" s="264"/>
      <c r="AA1320" s="264"/>
      <c r="AB1320" s="264"/>
      <c r="AC1320" s="264"/>
      <c r="AD1320" s="264"/>
      <c r="AE1320" s="264"/>
      <c r="AF1320" s="264"/>
      <c r="AG1320" s="264"/>
      <c r="AH1320" s="264"/>
      <c r="AI1320" s="264"/>
      <c r="AJ1320" s="264"/>
      <c r="AK1320" s="264"/>
      <c r="AL1320" s="264"/>
      <c r="AM1320" s="264"/>
      <c r="AN1320" s="264"/>
    </row>
    <row r="1321" ht="15.75" customHeight="1">
      <c r="A1321" s="264"/>
      <c r="B1321" s="42"/>
      <c r="C1321" s="280"/>
      <c r="D1321" s="264"/>
      <c r="E1321" s="264"/>
      <c r="F1321" s="264"/>
      <c r="G1321" s="264"/>
      <c r="H1321" s="264"/>
      <c r="I1321" s="281"/>
      <c r="J1321" s="281"/>
      <c r="K1321" s="264"/>
      <c r="L1321" s="264"/>
      <c r="M1321" s="264"/>
      <c r="N1321" s="264"/>
      <c r="O1321" s="264"/>
      <c r="P1321" s="264"/>
      <c r="Q1321" s="264"/>
      <c r="R1321" s="264"/>
      <c r="S1321" s="264"/>
      <c r="T1321" s="264"/>
      <c r="U1321" s="16"/>
      <c r="V1321" s="264"/>
      <c r="W1321" s="264"/>
      <c r="X1321" s="264"/>
      <c r="Y1321" s="264"/>
      <c r="Z1321" s="264"/>
      <c r="AA1321" s="264"/>
      <c r="AB1321" s="264"/>
      <c r="AC1321" s="264"/>
      <c r="AD1321" s="264"/>
      <c r="AE1321" s="264"/>
      <c r="AF1321" s="264"/>
      <c r="AG1321" s="264"/>
      <c r="AH1321" s="264"/>
      <c r="AI1321" s="264"/>
      <c r="AJ1321" s="264"/>
      <c r="AK1321" s="264"/>
      <c r="AL1321" s="264"/>
      <c r="AM1321" s="264"/>
      <c r="AN1321" s="264"/>
    </row>
    <row r="1322" ht="15.75" customHeight="1">
      <c r="A1322" s="264"/>
      <c r="B1322" s="42"/>
      <c r="C1322" s="280"/>
      <c r="D1322" s="264"/>
      <c r="E1322" s="264"/>
      <c r="F1322" s="264"/>
      <c r="G1322" s="264"/>
      <c r="H1322" s="264"/>
      <c r="I1322" s="281"/>
      <c r="J1322" s="281"/>
      <c r="K1322" s="264"/>
      <c r="L1322" s="264"/>
      <c r="M1322" s="264"/>
      <c r="N1322" s="264"/>
      <c r="O1322" s="264"/>
      <c r="P1322" s="264"/>
      <c r="Q1322" s="264"/>
      <c r="R1322" s="264"/>
      <c r="S1322" s="264"/>
      <c r="T1322" s="264"/>
      <c r="U1322" s="16"/>
      <c r="V1322" s="264"/>
      <c r="W1322" s="264"/>
      <c r="X1322" s="264"/>
      <c r="Y1322" s="264"/>
      <c r="Z1322" s="264"/>
      <c r="AA1322" s="264"/>
      <c r="AB1322" s="264"/>
      <c r="AC1322" s="264"/>
      <c r="AD1322" s="264"/>
      <c r="AE1322" s="264"/>
      <c r="AF1322" s="264"/>
      <c r="AG1322" s="264"/>
      <c r="AH1322" s="264"/>
      <c r="AI1322" s="264"/>
      <c r="AJ1322" s="264"/>
      <c r="AK1322" s="264"/>
      <c r="AL1322" s="264"/>
      <c r="AM1322" s="264"/>
      <c r="AN1322" s="264"/>
    </row>
    <row r="1323" ht="15.75" customHeight="1">
      <c r="A1323" s="264"/>
      <c r="B1323" s="42"/>
      <c r="C1323" s="280"/>
      <c r="D1323" s="264"/>
      <c r="E1323" s="264"/>
      <c r="F1323" s="264"/>
      <c r="G1323" s="264"/>
      <c r="H1323" s="264"/>
      <c r="I1323" s="281"/>
      <c r="J1323" s="281"/>
      <c r="K1323" s="264"/>
      <c r="L1323" s="264"/>
      <c r="M1323" s="264"/>
      <c r="N1323" s="264"/>
      <c r="O1323" s="264"/>
      <c r="P1323" s="264"/>
      <c r="Q1323" s="264"/>
      <c r="R1323" s="264"/>
      <c r="S1323" s="264"/>
      <c r="T1323" s="264"/>
      <c r="U1323" s="16"/>
      <c r="V1323" s="264"/>
      <c r="W1323" s="264"/>
      <c r="X1323" s="264"/>
      <c r="Y1323" s="264"/>
      <c r="Z1323" s="264"/>
      <c r="AA1323" s="264"/>
      <c r="AB1323" s="264"/>
      <c r="AC1323" s="264"/>
      <c r="AD1323" s="264"/>
      <c r="AE1323" s="264"/>
      <c r="AF1323" s="264"/>
      <c r="AG1323" s="264"/>
      <c r="AH1323" s="264"/>
      <c r="AI1323" s="264"/>
      <c r="AJ1323" s="264"/>
      <c r="AK1323" s="264"/>
      <c r="AL1323" s="264"/>
      <c r="AM1323" s="264"/>
      <c r="AN1323" s="264"/>
    </row>
    <row r="1324" ht="15.75" customHeight="1">
      <c r="A1324" s="264"/>
      <c r="B1324" s="42"/>
      <c r="C1324" s="280"/>
      <c r="D1324" s="264"/>
      <c r="E1324" s="264"/>
      <c r="F1324" s="264"/>
      <c r="G1324" s="264"/>
      <c r="H1324" s="264"/>
      <c r="I1324" s="281"/>
      <c r="J1324" s="281"/>
      <c r="K1324" s="264"/>
      <c r="L1324" s="264"/>
      <c r="M1324" s="264"/>
      <c r="N1324" s="264"/>
      <c r="O1324" s="264"/>
      <c r="P1324" s="264"/>
      <c r="Q1324" s="264"/>
      <c r="R1324" s="264"/>
      <c r="S1324" s="264"/>
      <c r="T1324" s="264"/>
      <c r="U1324" s="16"/>
      <c r="V1324" s="264"/>
      <c r="W1324" s="264"/>
      <c r="X1324" s="264"/>
      <c r="Y1324" s="264"/>
      <c r="Z1324" s="264"/>
      <c r="AA1324" s="264"/>
      <c r="AB1324" s="264"/>
      <c r="AC1324" s="264"/>
      <c r="AD1324" s="264"/>
      <c r="AE1324" s="264"/>
      <c r="AF1324" s="264"/>
      <c r="AG1324" s="264"/>
      <c r="AH1324" s="264"/>
      <c r="AI1324" s="264"/>
      <c r="AJ1324" s="264"/>
      <c r="AK1324" s="264"/>
      <c r="AL1324" s="264"/>
      <c r="AM1324" s="264"/>
      <c r="AN1324" s="264"/>
    </row>
    <row r="1325" ht="15.75" customHeight="1">
      <c r="A1325" s="264"/>
      <c r="B1325" s="42"/>
      <c r="C1325" s="280"/>
      <c r="D1325" s="264"/>
      <c r="E1325" s="264"/>
      <c r="F1325" s="264"/>
      <c r="G1325" s="264"/>
      <c r="H1325" s="264"/>
      <c r="I1325" s="281"/>
      <c r="J1325" s="281"/>
      <c r="K1325" s="264"/>
      <c r="L1325" s="264"/>
      <c r="M1325" s="264"/>
      <c r="N1325" s="264"/>
      <c r="O1325" s="264"/>
      <c r="P1325" s="264"/>
      <c r="Q1325" s="264"/>
      <c r="R1325" s="264"/>
      <c r="S1325" s="264"/>
      <c r="T1325" s="264"/>
      <c r="U1325" s="16"/>
      <c r="V1325" s="264"/>
      <c r="W1325" s="264"/>
      <c r="X1325" s="264"/>
      <c r="Y1325" s="264"/>
      <c r="Z1325" s="264"/>
      <c r="AA1325" s="264"/>
      <c r="AB1325" s="264"/>
      <c r="AC1325" s="264"/>
      <c r="AD1325" s="264"/>
      <c r="AE1325" s="264"/>
      <c r="AF1325" s="264"/>
      <c r="AG1325" s="264"/>
      <c r="AH1325" s="264"/>
      <c r="AI1325" s="264"/>
      <c r="AJ1325" s="264"/>
      <c r="AK1325" s="264"/>
      <c r="AL1325" s="264"/>
      <c r="AM1325" s="264"/>
      <c r="AN1325" s="264"/>
    </row>
    <row r="1326" ht="15.75" customHeight="1">
      <c r="A1326" s="264"/>
      <c r="B1326" s="42"/>
      <c r="C1326" s="280"/>
      <c r="D1326" s="264"/>
      <c r="E1326" s="264"/>
      <c r="F1326" s="264"/>
      <c r="G1326" s="264"/>
      <c r="H1326" s="264"/>
      <c r="I1326" s="281"/>
      <c r="J1326" s="281"/>
      <c r="K1326" s="264"/>
      <c r="L1326" s="264"/>
      <c r="M1326" s="264"/>
      <c r="N1326" s="264"/>
      <c r="O1326" s="264"/>
      <c r="P1326" s="264"/>
      <c r="Q1326" s="264"/>
      <c r="R1326" s="264"/>
      <c r="S1326" s="264"/>
      <c r="T1326" s="264"/>
      <c r="U1326" s="16"/>
      <c r="V1326" s="264"/>
      <c r="W1326" s="264"/>
      <c r="X1326" s="264"/>
      <c r="Y1326" s="264"/>
      <c r="Z1326" s="264"/>
      <c r="AA1326" s="264"/>
      <c r="AB1326" s="264"/>
      <c r="AC1326" s="264"/>
      <c r="AD1326" s="264"/>
      <c r="AE1326" s="264"/>
      <c r="AF1326" s="264"/>
      <c r="AG1326" s="264"/>
      <c r="AH1326" s="264"/>
      <c r="AI1326" s="264"/>
      <c r="AJ1326" s="264"/>
      <c r="AK1326" s="264"/>
      <c r="AL1326" s="264"/>
      <c r="AM1326" s="264"/>
      <c r="AN1326" s="264"/>
    </row>
    <row r="1327" ht="15.75" customHeight="1">
      <c r="A1327" s="264"/>
      <c r="B1327" s="42"/>
      <c r="C1327" s="280"/>
      <c r="D1327" s="264"/>
      <c r="E1327" s="264"/>
      <c r="F1327" s="264"/>
      <c r="G1327" s="264"/>
      <c r="H1327" s="264"/>
      <c r="I1327" s="281"/>
      <c r="J1327" s="281"/>
      <c r="K1327" s="264"/>
      <c r="L1327" s="264"/>
      <c r="M1327" s="264"/>
      <c r="N1327" s="264"/>
      <c r="O1327" s="264"/>
      <c r="P1327" s="264"/>
      <c r="Q1327" s="264"/>
      <c r="R1327" s="264"/>
      <c r="S1327" s="264"/>
      <c r="T1327" s="264"/>
      <c r="U1327" s="16"/>
      <c r="V1327" s="264"/>
      <c r="W1327" s="264"/>
      <c r="X1327" s="264"/>
      <c r="Y1327" s="264"/>
      <c r="Z1327" s="264"/>
      <c r="AA1327" s="264"/>
      <c r="AB1327" s="264"/>
      <c r="AC1327" s="264"/>
      <c r="AD1327" s="264"/>
      <c r="AE1327" s="264"/>
      <c r="AF1327" s="264"/>
      <c r="AG1327" s="264"/>
      <c r="AH1327" s="264"/>
      <c r="AI1327" s="264"/>
      <c r="AJ1327" s="264"/>
      <c r="AK1327" s="264"/>
      <c r="AL1327" s="264"/>
      <c r="AM1327" s="264"/>
      <c r="AN1327" s="264"/>
    </row>
    <row r="1328" ht="15.75" customHeight="1">
      <c r="A1328" s="264"/>
      <c r="B1328" s="42"/>
      <c r="C1328" s="280"/>
      <c r="D1328" s="264"/>
      <c r="E1328" s="264"/>
      <c r="F1328" s="264"/>
      <c r="G1328" s="264"/>
      <c r="H1328" s="264"/>
      <c r="I1328" s="281"/>
      <c r="J1328" s="281"/>
      <c r="K1328" s="264"/>
      <c r="L1328" s="264"/>
      <c r="M1328" s="264"/>
      <c r="N1328" s="264"/>
      <c r="O1328" s="264"/>
      <c r="P1328" s="264"/>
      <c r="Q1328" s="264"/>
      <c r="R1328" s="264"/>
      <c r="S1328" s="264"/>
      <c r="T1328" s="264"/>
      <c r="U1328" s="16"/>
      <c r="V1328" s="264"/>
      <c r="W1328" s="264"/>
      <c r="X1328" s="264"/>
      <c r="Y1328" s="264"/>
      <c r="Z1328" s="264"/>
      <c r="AA1328" s="264"/>
      <c r="AB1328" s="264"/>
      <c r="AC1328" s="264"/>
      <c r="AD1328" s="264"/>
      <c r="AE1328" s="264"/>
      <c r="AF1328" s="264"/>
      <c r="AG1328" s="264"/>
      <c r="AH1328" s="264"/>
      <c r="AI1328" s="264"/>
      <c r="AJ1328" s="264"/>
      <c r="AK1328" s="264"/>
      <c r="AL1328" s="264"/>
      <c r="AM1328" s="264"/>
      <c r="AN1328" s="264"/>
    </row>
    <row r="1329" ht="15.75" customHeight="1">
      <c r="A1329" s="264"/>
      <c r="B1329" s="42"/>
      <c r="C1329" s="280"/>
      <c r="D1329" s="264"/>
      <c r="E1329" s="264"/>
      <c r="F1329" s="264"/>
      <c r="G1329" s="264"/>
      <c r="H1329" s="264"/>
      <c r="I1329" s="281"/>
      <c r="J1329" s="281"/>
      <c r="K1329" s="264"/>
      <c r="L1329" s="264"/>
      <c r="M1329" s="264"/>
      <c r="N1329" s="264"/>
      <c r="O1329" s="264"/>
      <c r="P1329" s="264"/>
      <c r="Q1329" s="264"/>
      <c r="R1329" s="264"/>
      <c r="S1329" s="264"/>
      <c r="T1329" s="264"/>
      <c r="U1329" s="16"/>
      <c r="V1329" s="264"/>
      <c r="W1329" s="264"/>
      <c r="X1329" s="264"/>
      <c r="Y1329" s="264"/>
      <c r="Z1329" s="264"/>
      <c r="AA1329" s="264"/>
      <c r="AB1329" s="264"/>
      <c r="AC1329" s="264"/>
      <c r="AD1329" s="264"/>
      <c r="AE1329" s="264"/>
      <c r="AF1329" s="264"/>
      <c r="AG1329" s="264"/>
      <c r="AH1329" s="264"/>
      <c r="AI1329" s="264"/>
      <c r="AJ1329" s="264"/>
      <c r="AK1329" s="264"/>
      <c r="AL1329" s="264"/>
      <c r="AM1329" s="264"/>
      <c r="AN1329" s="264"/>
    </row>
    <row r="1330" ht="15.75" customHeight="1">
      <c r="A1330" s="264"/>
      <c r="B1330" s="42"/>
      <c r="C1330" s="280"/>
      <c r="D1330" s="264"/>
      <c r="E1330" s="264"/>
      <c r="F1330" s="264"/>
      <c r="G1330" s="264"/>
      <c r="H1330" s="264"/>
      <c r="I1330" s="281"/>
      <c r="J1330" s="281"/>
      <c r="K1330" s="264"/>
      <c r="L1330" s="264"/>
      <c r="M1330" s="264"/>
      <c r="N1330" s="264"/>
      <c r="O1330" s="264"/>
      <c r="P1330" s="264"/>
      <c r="Q1330" s="264"/>
      <c r="R1330" s="264"/>
      <c r="S1330" s="264"/>
      <c r="T1330" s="264"/>
      <c r="U1330" s="16"/>
      <c r="V1330" s="264"/>
      <c r="W1330" s="264"/>
      <c r="X1330" s="264"/>
      <c r="Y1330" s="264"/>
      <c r="Z1330" s="264"/>
      <c r="AA1330" s="264"/>
      <c r="AB1330" s="264"/>
      <c r="AC1330" s="264"/>
      <c r="AD1330" s="264"/>
      <c r="AE1330" s="264"/>
      <c r="AF1330" s="264"/>
      <c r="AG1330" s="264"/>
      <c r="AH1330" s="264"/>
      <c r="AI1330" s="264"/>
      <c r="AJ1330" s="264"/>
      <c r="AK1330" s="264"/>
      <c r="AL1330" s="264"/>
      <c r="AM1330" s="264"/>
      <c r="AN1330" s="264"/>
    </row>
    <row r="1331" ht="15.75" customHeight="1">
      <c r="A1331" s="264"/>
      <c r="B1331" s="42"/>
      <c r="C1331" s="280"/>
      <c r="D1331" s="264"/>
      <c r="E1331" s="264"/>
      <c r="F1331" s="264"/>
      <c r="G1331" s="264"/>
      <c r="H1331" s="264"/>
      <c r="I1331" s="281"/>
      <c r="J1331" s="281"/>
      <c r="K1331" s="264"/>
      <c r="L1331" s="264"/>
      <c r="M1331" s="264"/>
      <c r="N1331" s="264"/>
      <c r="O1331" s="264"/>
      <c r="P1331" s="264"/>
      <c r="Q1331" s="264"/>
      <c r="R1331" s="264"/>
      <c r="S1331" s="264"/>
      <c r="T1331" s="264"/>
      <c r="U1331" s="16"/>
      <c r="V1331" s="264"/>
      <c r="W1331" s="264"/>
      <c r="X1331" s="264"/>
      <c r="Y1331" s="264"/>
      <c r="Z1331" s="264"/>
      <c r="AA1331" s="264"/>
      <c r="AB1331" s="264"/>
      <c r="AC1331" s="264"/>
      <c r="AD1331" s="264"/>
      <c r="AE1331" s="264"/>
      <c r="AF1331" s="264"/>
      <c r="AG1331" s="264"/>
      <c r="AH1331" s="264"/>
      <c r="AI1331" s="264"/>
      <c r="AJ1331" s="264"/>
      <c r="AK1331" s="264"/>
      <c r="AL1331" s="264"/>
      <c r="AM1331" s="264"/>
      <c r="AN1331" s="264"/>
    </row>
    <row r="1332" ht="15.75" customHeight="1">
      <c r="A1332" s="264"/>
      <c r="B1332" s="42"/>
      <c r="C1332" s="280"/>
      <c r="D1332" s="264"/>
      <c r="E1332" s="264"/>
      <c r="F1332" s="264"/>
      <c r="G1332" s="264"/>
      <c r="H1332" s="264"/>
      <c r="I1332" s="281"/>
      <c r="J1332" s="281"/>
      <c r="K1332" s="264"/>
      <c r="L1332" s="264"/>
      <c r="M1332" s="264"/>
      <c r="N1332" s="264"/>
      <c r="O1332" s="264"/>
      <c r="P1332" s="264"/>
      <c r="Q1332" s="264"/>
      <c r="R1332" s="264"/>
      <c r="S1332" s="264"/>
      <c r="T1332" s="264"/>
      <c r="U1332" s="16"/>
      <c r="V1332" s="264"/>
      <c r="W1332" s="264"/>
      <c r="X1332" s="264"/>
      <c r="Y1332" s="264"/>
      <c r="Z1332" s="264"/>
      <c r="AA1332" s="264"/>
      <c r="AB1332" s="264"/>
      <c r="AC1332" s="264"/>
      <c r="AD1332" s="264"/>
      <c r="AE1332" s="264"/>
      <c r="AF1332" s="264"/>
      <c r="AG1332" s="264"/>
      <c r="AH1332" s="264"/>
      <c r="AI1332" s="264"/>
      <c r="AJ1332" s="264"/>
      <c r="AK1332" s="264"/>
      <c r="AL1332" s="264"/>
      <c r="AM1332" s="264"/>
      <c r="AN1332" s="264"/>
    </row>
    <row r="1333" ht="15.75" customHeight="1">
      <c r="A1333" s="264"/>
      <c r="B1333" s="42"/>
      <c r="C1333" s="280"/>
      <c r="D1333" s="264"/>
      <c r="E1333" s="264"/>
      <c r="F1333" s="264"/>
      <c r="G1333" s="264"/>
      <c r="H1333" s="264"/>
      <c r="I1333" s="281"/>
      <c r="J1333" s="281"/>
      <c r="K1333" s="264"/>
      <c r="L1333" s="264"/>
      <c r="M1333" s="264"/>
      <c r="N1333" s="264"/>
      <c r="O1333" s="264"/>
      <c r="P1333" s="264"/>
      <c r="Q1333" s="264"/>
      <c r="R1333" s="264"/>
      <c r="S1333" s="264"/>
      <c r="T1333" s="264"/>
      <c r="U1333" s="16"/>
      <c r="V1333" s="264"/>
      <c r="W1333" s="264"/>
      <c r="X1333" s="264"/>
      <c r="Y1333" s="264"/>
      <c r="Z1333" s="264"/>
      <c r="AA1333" s="264"/>
      <c r="AB1333" s="264"/>
      <c r="AC1333" s="264"/>
      <c r="AD1333" s="264"/>
      <c r="AE1333" s="264"/>
      <c r="AF1333" s="264"/>
      <c r="AG1333" s="264"/>
      <c r="AH1333" s="264"/>
      <c r="AI1333" s="264"/>
      <c r="AJ1333" s="264"/>
      <c r="AK1333" s="264"/>
      <c r="AL1333" s="264"/>
      <c r="AM1333" s="264"/>
      <c r="AN1333" s="264"/>
    </row>
    <row r="1334" ht="15.75" customHeight="1">
      <c r="A1334" s="264"/>
      <c r="B1334" s="42"/>
      <c r="C1334" s="280"/>
      <c r="D1334" s="264"/>
      <c r="E1334" s="264"/>
      <c r="F1334" s="264"/>
      <c r="G1334" s="264"/>
      <c r="H1334" s="264"/>
      <c r="I1334" s="281"/>
      <c r="J1334" s="281"/>
      <c r="K1334" s="264"/>
      <c r="L1334" s="264"/>
      <c r="M1334" s="264"/>
      <c r="N1334" s="264"/>
      <c r="O1334" s="264"/>
      <c r="P1334" s="264"/>
      <c r="Q1334" s="264"/>
      <c r="R1334" s="264"/>
      <c r="S1334" s="264"/>
      <c r="T1334" s="264"/>
      <c r="U1334" s="16"/>
      <c r="V1334" s="264"/>
      <c r="W1334" s="264"/>
      <c r="X1334" s="264"/>
      <c r="Y1334" s="264"/>
      <c r="Z1334" s="264"/>
      <c r="AA1334" s="264"/>
      <c r="AB1334" s="264"/>
      <c r="AC1334" s="264"/>
      <c r="AD1334" s="264"/>
      <c r="AE1334" s="264"/>
      <c r="AF1334" s="264"/>
      <c r="AG1334" s="264"/>
      <c r="AH1334" s="264"/>
      <c r="AI1334" s="264"/>
      <c r="AJ1334" s="264"/>
      <c r="AK1334" s="264"/>
      <c r="AL1334" s="264"/>
      <c r="AM1334" s="264"/>
      <c r="AN1334" s="264"/>
    </row>
    <row r="1335" ht="15.75" customHeight="1">
      <c r="A1335" s="264"/>
      <c r="B1335" s="42"/>
      <c r="C1335" s="280"/>
      <c r="D1335" s="264"/>
      <c r="E1335" s="264"/>
      <c r="F1335" s="264"/>
      <c r="G1335" s="264"/>
      <c r="H1335" s="264"/>
      <c r="I1335" s="281"/>
      <c r="J1335" s="281"/>
      <c r="K1335" s="264"/>
      <c r="L1335" s="264"/>
      <c r="M1335" s="264"/>
      <c r="N1335" s="264"/>
      <c r="O1335" s="264"/>
      <c r="P1335" s="264"/>
      <c r="Q1335" s="264"/>
      <c r="R1335" s="264"/>
      <c r="S1335" s="264"/>
      <c r="T1335" s="264"/>
      <c r="U1335" s="16"/>
      <c r="V1335" s="264"/>
      <c r="W1335" s="264"/>
      <c r="X1335" s="264"/>
      <c r="Y1335" s="264"/>
      <c r="Z1335" s="264"/>
      <c r="AA1335" s="264"/>
      <c r="AB1335" s="264"/>
      <c r="AC1335" s="264"/>
      <c r="AD1335" s="264"/>
      <c r="AE1335" s="264"/>
      <c r="AF1335" s="264"/>
      <c r="AG1335" s="264"/>
      <c r="AH1335" s="264"/>
      <c r="AI1335" s="264"/>
      <c r="AJ1335" s="264"/>
      <c r="AK1335" s="264"/>
      <c r="AL1335" s="264"/>
      <c r="AM1335" s="264"/>
      <c r="AN1335" s="264"/>
    </row>
    <row r="1336" ht="15.75" customHeight="1">
      <c r="A1336" s="264"/>
      <c r="B1336" s="42"/>
      <c r="C1336" s="280"/>
      <c r="D1336" s="264"/>
      <c r="E1336" s="264"/>
      <c r="F1336" s="264"/>
      <c r="G1336" s="264"/>
      <c r="H1336" s="264"/>
      <c r="I1336" s="281"/>
      <c r="J1336" s="281"/>
      <c r="K1336" s="264"/>
      <c r="L1336" s="264"/>
      <c r="M1336" s="264"/>
      <c r="N1336" s="264"/>
      <c r="O1336" s="264"/>
      <c r="P1336" s="264"/>
      <c r="Q1336" s="264"/>
      <c r="R1336" s="264"/>
      <c r="S1336" s="264"/>
      <c r="T1336" s="264"/>
      <c r="U1336" s="16"/>
      <c r="V1336" s="264"/>
      <c r="W1336" s="264"/>
      <c r="X1336" s="264"/>
      <c r="Y1336" s="264"/>
      <c r="Z1336" s="264"/>
      <c r="AA1336" s="264"/>
      <c r="AB1336" s="264"/>
      <c r="AC1336" s="264"/>
      <c r="AD1336" s="264"/>
      <c r="AE1336" s="264"/>
      <c r="AF1336" s="264"/>
      <c r="AG1336" s="264"/>
      <c r="AH1336" s="264"/>
      <c r="AI1336" s="264"/>
      <c r="AJ1336" s="264"/>
      <c r="AK1336" s="264"/>
      <c r="AL1336" s="264"/>
      <c r="AM1336" s="264"/>
      <c r="AN1336" s="264"/>
    </row>
    <row r="1337" ht="15.75" customHeight="1">
      <c r="A1337" s="264"/>
      <c r="B1337" s="42"/>
      <c r="C1337" s="280"/>
      <c r="D1337" s="264"/>
      <c r="E1337" s="264"/>
      <c r="F1337" s="264"/>
      <c r="G1337" s="264"/>
      <c r="H1337" s="264"/>
      <c r="I1337" s="281"/>
      <c r="J1337" s="281"/>
      <c r="K1337" s="264"/>
      <c r="L1337" s="264"/>
      <c r="M1337" s="264"/>
      <c r="N1337" s="264"/>
      <c r="O1337" s="264"/>
      <c r="P1337" s="264"/>
      <c r="Q1337" s="264"/>
      <c r="R1337" s="264"/>
      <c r="S1337" s="264"/>
      <c r="T1337" s="264"/>
      <c r="U1337" s="16"/>
      <c r="V1337" s="264"/>
      <c r="W1337" s="264"/>
      <c r="X1337" s="264"/>
      <c r="Y1337" s="264"/>
      <c r="Z1337" s="264"/>
      <c r="AA1337" s="264"/>
      <c r="AB1337" s="264"/>
      <c r="AC1337" s="264"/>
      <c r="AD1337" s="264"/>
      <c r="AE1337" s="264"/>
      <c r="AF1337" s="264"/>
      <c r="AG1337" s="264"/>
      <c r="AH1337" s="264"/>
      <c r="AI1337" s="264"/>
      <c r="AJ1337" s="264"/>
      <c r="AK1337" s="264"/>
      <c r="AL1337" s="264"/>
      <c r="AM1337" s="264"/>
      <c r="AN1337" s="264"/>
    </row>
    <row r="1338" ht="15.75" customHeight="1">
      <c r="A1338" s="264"/>
      <c r="B1338" s="42"/>
      <c r="C1338" s="280"/>
      <c r="D1338" s="264"/>
      <c r="E1338" s="264"/>
      <c r="F1338" s="264"/>
      <c r="G1338" s="264"/>
      <c r="H1338" s="264"/>
      <c r="I1338" s="281"/>
      <c r="J1338" s="281"/>
      <c r="K1338" s="264"/>
      <c r="L1338" s="264"/>
      <c r="M1338" s="264"/>
      <c r="N1338" s="264"/>
      <c r="O1338" s="264"/>
      <c r="P1338" s="264"/>
      <c r="Q1338" s="264"/>
      <c r="R1338" s="264"/>
      <c r="S1338" s="264"/>
      <c r="T1338" s="264"/>
      <c r="U1338" s="16"/>
      <c r="V1338" s="264"/>
      <c r="W1338" s="264"/>
      <c r="X1338" s="264"/>
      <c r="Y1338" s="264"/>
      <c r="Z1338" s="264"/>
      <c r="AA1338" s="264"/>
      <c r="AB1338" s="264"/>
      <c r="AC1338" s="264"/>
      <c r="AD1338" s="264"/>
      <c r="AE1338" s="264"/>
      <c r="AF1338" s="264"/>
      <c r="AG1338" s="264"/>
      <c r="AH1338" s="264"/>
      <c r="AI1338" s="264"/>
      <c r="AJ1338" s="264"/>
      <c r="AK1338" s="264"/>
      <c r="AL1338" s="264"/>
      <c r="AM1338" s="264"/>
      <c r="AN1338" s="264"/>
    </row>
    <row r="1339" ht="15.75" customHeight="1">
      <c r="A1339" s="264"/>
      <c r="B1339" s="42"/>
      <c r="C1339" s="280"/>
      <c r="D1339" s="264"/>
      <c r="E1339" s="264"/>
      <c r="F1339" s="264"/>
      <c r="G1339" s="264"/>
      <c r="H1339" s="264"/>
      <c r="I1339" s="281"/>
      <c r="J1339" s="281"/>
      <c r="K1339" s="264"/>
      <c r="L1339" s="264"/>
      <c r="M1339" s="264"/>
      <c r="N1339" s="264"/>
      <c r="O1339" s="264"/>
      <c r="P1339" s="264"/>
      <c r="Q1339" s="264"/>
      <c r="R1339" s="264"/>
      <c r="S1339" s="264"/>
      <c r="T1339" s="264"/>
      <c r="U1339" s="16"/>
      <c r="V1339" s="264"/>
      <c r="W1339" s="264"/>
      <c r="X1339" s="264"/>
      <c r="Y1339" s="264"/>
      <c r="Z1339" s="264"/>
      <c r="AA1339" s="264"/>
      <c r="AB1339" s="264"/>
      <c r="AC1339" s="264"/>
      <c r="AD1339" s="264"/>
      <c r="AE1339" s="264"/>
      <c r="AF1339" s="264"/>
      <c r="AG1339" s="264"/>
      <c r="AH1339" s="264"/>
      <c r="AI1339" s="264"/>
      <c r="AJ1339" s="264"/>
      <c r="AK1339" s="264"/>
      <c r="AL1339" s="264"/>
      <c r="AM1339" s="264"/>
      <c r="AN1339" s="264"/>
    </row>
    <row r="1340" ht="15.75" customHeight="1">
      <c r="A1340" s="264"/>
      <c r="B1340" s="42"/>
      <c r="C1340" s="280"/>
      <c r="D1340" s="264"/>
      <c r="E1340" s="264"/>
      <c r="F1340" s="264"/>
      <c r="G1340" s="264"/>
      <c r="H1340" s="264"/>
      <c r="I1340" s="281"/>
      <c r="J1340" s="281"/>
      <c r="K1340" s="264"/>
      <c r="L1340" s="264"/>
      <c r="M1340" s="264"/>
      <c r="N1340" s="264"/>
      <c r="O1340" s="264"/>
      <c r="P1340" s="264"/>
      <c r="Q1340" s="264"/>
      <c r="R1340" s="264"/>
      <c r="S1340" s="264"/>
      <c r="T1340" s="264"/>
      <c r="U1340" s="16"/>
      <c r="V1340" s="264"/>
      <c r="W1340" s="264"/>
      <c r="X1340" s="264"/>
      <c r="Y1340" s="264"/>
      <c r="Z1340" s="264"/>
      <c r="AA1340" s="264"/>
      <c r="AB1340" s="264"/>
      <c r="AC1340" s="264"/>
      <c r="AD1340" s="264"/>
      <c r="AE1340" s="264"/>
      <c r="AF1340" s="264"/>
      <c r="AG1340" s="264"/>
      <c r="AH1340" s="264"/>
      <c r="AI1340" s="264"/>
      <c r="AJ1340" s="264"/>
      <c r="AK1340" s="264"/>
      <c r="AL1340" s="264"/>
      <c r="AM1340" s="264"/>
      <c r="AN1340" s="264"/>
    </row>
    <row r="1341" ht="15.75" customHeight="1">
      <c r="A1341" s="264"/>
      <c r="B1341" s="42"/>
      <c r="C1341" s="280"/>
      <c r="D1341" s="264"/>
      <c r="E1341" s="264"/>
      <c r="F1341" s="264"/>
      <c r="G1341" s="264"/>
      <c r="H1341" s="264"/>
      <c r="I1341" s="281"/>
      <c r="J1341" s="281"/>
      <c r="K1341" s="264"/>
      <c r="L1341" s="264"/>
      <c r="M1341" s="264"/>
      <c r="N1341" s="264"/>
      <c r="O1341" s="264"/>
      <c r="P1341" s="264"/>
      <c r="Q1341" s="264"/>
      <c r="R1341" s="264"/>
      <c r="S1341" s="264"/>
      <c r="T1341" s="264"/>
      <c r="U1341" s="16"/>
      <c r="V1341" s="264"/>
      <c r="W1341" s="264"/>
      <c r="X1341" s="264"/>
      <c r="Y1341" s="264"/>
      <c r="Z1341" s="264"/>
      <c r="AA1341" s="264"/>
      <c r="AB1341" s="264"/>
      <c r="AC1341" s="264"/>
      <c r="AD1341" s="264"/>
      <c r="AE1341" s="264"/>
      <c r="AF1341" s="264"/>
      <c r="AG1341" s="264"/>
      <c r="AH1341" s="264"/>
      <c r="AI1341" s="264"/>
      <c r="AJ1341" s="264"/>
      <c r="AK1341" s="264"/>
      <c r="AL1341" s="264"/>
      <c r="AM1341" s="264"/>
      <c r="AN1341" s="264"/>
    </row>
    <row r="1342" ht="15.75" customHeight="1">
      <c r="A1342" s="264"/>
      <c r="B1342" s="42"/>
      <c r="C1342" s="280"/>
      <c r="D1342" s="264"/>
      <c r="E1342" s="264"/>
      <c r="F1342" s="264"/>
      <c r="G1342" s="264"/>
      <c r="H1342" s="264"/>
      <c r="I1342" s="281"/>
      <c r="J1342" s="281"/>
      <c r="K1342" s="264"/>
      <c r="L1342" s="264"/>
      <c r="M1342" s="264"/>
      <c r="N1342" s="264"/>
      <c r="O1342" s="264"/>
      <c r="P1342" s="264"/>
      <c r="Q1342" s="264"/>
      <c r="R1342" s="264"/>
      <c r="S1342" s="264"/>
      <c r="T1342" s="264"/>
      <c r="U1342" s="16"/>
      <c r="V1342" s="264"/>
      <c r="W1342" s="264"/>
      <c r="X1342" s="264"/>
      <c r="Y1342" s="264"/>
      <c r="Z1342" s="264"/>
      <c r="AA1342" s="264"/>
      <c r="AB1342" s="264"/>
      <c r="AC1342" s="264"/>
      <c r="AD1342" s="264"/>
      <c r="AE1342" s="264"/>
      <c r="AF1342" s="264"/>
      <c r="AG1342" s="264"/>
      <c r="AH1342" s="264"/>
      <c r="AI1342" s="264"/>
      <c r="AJ1342" s="264"/>
      <c r="AK1342" s="264"/>
      <c r="AL1342" s="264"/>
      <c r="AM1342" s="264"/>
      <c r="AN1342" s="264"/>
    </row>
    <row r="1343" ht="15.75" customHeight="1">
      <c r="A1343" s="264"/>
      <c r="B1343" s="42"/>
      <c r="C1343" s="280"/>
      <c r="D1343" s="264"/>
      <c r="E1343" s="264"/>
      <c r="F1343" s="264"/>
      <c r="G1343" s="264"/>
      <c r="H1343" s="264"/>
      <c r="I1343" s="281"/>
      <c r="J1343" s="281"/>
      <c r="K1343" s="264"/>
      <c r="L1343" s="264"/>
      <c r="M1343" s="264"/>
      <c r="N1343" s="264"/>
      <c r="O1343" s="264"/>
      <c r="P1343" s="264"/>
      <c r="Q1343" s="264"/>
      <c r="R1343" s="264"/>
      <c r="S1343" s="264"/>
      <c r="T1343" s="264"/>
      <c r="U1343" s="16"/>
      <c r="V1343" s="264"/>
      <c r="W1343" s="264"/>
      <c r="X1343" s="264"/>
      <c r="Y1343" s="264"/>
      <c r="Z1343" s="264"/>
      <c r="AA1343" s="264"/>
      <c r="AB1343" s="264"/>
      <c r="AC1343" s="264"/>
      <c r="AD1343" s="264"/>
      <c r="AE1343" s="264"/>
      <c r="AF1343" s="264"/>
      <c r="AG1343" s="264"/>
      <c r="AH1343" s="264"/>
      <c r="AI1343" s="264"/>
      <c r="AJ1343" s="264"/>
      <c r="AK1343" s="264"/>
      <c r="AL1343" s="264"/>
      <c r="AM1343" s="264"/>
      <c r="AN1343" s="264"/>
    </row>
    <row r="1344" ht="15.75" customHeight="1">
      <c r="A1344" s="264"/>
      <c r="B1344" s="42"/>
      <c r="C1344" s="280"/>
      <c r="D1344" s="264"/>
      <c r="E1344" s="264"/>
      <c r="F1344" s="264"/>
      <c r="G1344" s="264"/>
      <c r="H1344" s="264"/>
      <c r="I1344" s="281"/>
      <c r="J1344" s="281"/>
      <c r="K1344" s="264"/>
      <c r="L1344" s="264"/>
      <c r="M1344" s="264"/>
      <c r="N1344" s="264"/>
      <c r="O1344" s="264"/>
      <c r="P1344" s="264"/>
      <c r="Q1344" s="264"/>
      <c r="R1344" s="264"/>
      <c r="S1344" s="264"/>
      <c r="T1344" s="264"/>
      <c r="U1344" s="16"/>
      <c r="V1344" s="264"/>
      <c r="W1344" s="264"/>
      <c r="X1344" s="264"/>
      <c r="Y1344" s="264"/>
      <c r="Z1344" s="264"/>
      <c r="AA1344" s="264"/>
      <c r="AB1344" s="264"/>
      <c r="AC1344" s="264"/>
      <c r="AD1344" s="264"/>
      <c r="AE1344" s="264"/>
      <c r="AF1344" s="264"/>
      <c r="AG1344" s="264"/>
      <c r="AH1344" s="264"/>
      <c r="AI1344" s="264"/>
      <c r="AJ1344" s="264"/>
      <c r="AK1344" s="264"/>
      <c r="AL1344" s="264"/>
      <c r="AM1344" s="264"/>
      <c r="AN1344" s="264"/>
    </row>
    <row r="1345" ht="15.75" customHeight="1">
      <c r="A1345" s="264"/>
      <c r="B1345" s="42"/>
      <c r="C1345" s="280"/>
      <c r="D1345" s="264"/>
      <c r="E1345" s="264"/>
      <c r="F1345" s="264"/>
      <c r="G1345" s="264"/>
      <c r="H1345" s="264"/>
      <c r="I1345" s="281"/>
      <c r="J1345" s="281"/>
      <c r="K1345" s="264"/>
      <c r="L1345" s="264"/>
      <c r="M1345" s="264"/>
      <c r="N1345" s="264"/>
      <c r="O1345" s="264"/>
      <c r="P1345" s="264"/>
      <c r="Q1345" s="264"/>
      <c r="R1345" s="264"/>
      <c r="S1345" s="264"/>
      <c r="T1345" s="264"/>
      <c r="U1345" s="16"/>
      <c r="V1345" s="264"/>
      <c r="W1345" s="264"/>
      <c r="X1345" s="264"/>
      <c r="Y1345" s="264"/>
      <c r="Z1345" s="264"/>
      <c r="AA1345" s="264"/>
      <c r="AB1345" s="264"/>
      <c r="AC1345" s="264"/>
      <c r="AD1345" s="264"/>
      <c r="AE1345" s="264"/>
      <c r="AF1345" s="264"/>
      <c r="AG1345" s="264"/>
      <c r="AH1345" s="264"/>
      <c r="AI1345" s="264"/>
      <c r="AJ1345" s="264"/>
      <c r="AK1345" s="264"/>
      <c r="AL1345" s="264"/>
      <c r="AM1345" s="264"/>
      <c r="AN1345" s="264"/>
    </row>
    <row r="1346" ht="15.75" customHeight="1">
      <c r="A1346" s="264"/>
      <c r="B1346" s="42"/>
      <c r="C1346" s="280"/>
      <c r="D1346" s="264"/>
      <c r="E1346" s="264"/>
      <c r="F1346" s="264"/>
      <c r="G1346" s="264"/>
      <c r="H1346" s="264"/>
      <c r="I1346" s="281"/>
      <c r="J1346" s="281"/>
      <c r="K1346" s="264"/>
      <c r="L1346" s="264"/>
      <c r="M1346" s="264"/>
      <c r="N1346" s="264"/>
      <c r="O1346" s="264"/>
      <c r="P1346" s="264"/>
      <c r="Q1346" s="264"/>
      <c r="R1346" s="264"/>
      <c r="S1346" s="264"/>
      <c r="T1346" s="264"/>
      <c r="U1346" s="16"/>
      <c r="V1346" s="264"/>
      <c r="W1346" s="264"/>
      <c r="X1346" s="264"/>
      <c r="Y1346" s="264"/>
      <c r="Z1346" s="264"/>
      <c r="AA1346" s="264"/>
      <c r="AB1346" s="264"/>
      <c r="AC1346" s="264"/>
      <c r="AD1346" s="264"/>
      <c r="AE1346" s="264"/>
      <c r="AF1346" s="264"/>
      <c r="AG1346" s="264"/>
      <c r="AH1346" s="264"/>
      <c r="AI1346" s="264"/>
      <c r="AJ1346" s="264"/>
      <c r="AK1346" s="264"/>
      <c r="AL1346" s="264"/>
      <c r="AM1346" s="264"/>
      <c r="AN1346" s="264"/>
    </row>
    <row r="1347" ht="15.75" customHeight="1">
      <c r="A1347" s="264"/>
      <c r="B1347" s="42"/>
      <c r="C1347" s="280"/>
      <c r="D1347" s="264"/>
      <c r="E1347" s="264"/>
      <c r="F1347" s="264"/>
      <c r="G1347" s="264"/>
      <c r="H1347" s="264"/>
      <c r="I1347" s="281"/>
      <c r="J1347" s="281"/>
      <c r="K1347" s="264"/>
      <c r="L1347" s="264"/>
      <c r="M1347" s="264"/>
      <c r="N1347" s="264"/>
      <c r="O1347" s="264"/>
      <c r="P1347" s="264"/>
      <c r="Q1347" s="264"/>
      <c r="R1347" s="264"/>
      <c r="S1347" s="264"/>
      <c r="T1347" s="264"/>
      <c r="U1347" s="16"/>
      <c r="V1347" s="264"/>
      <c r="W1347" s="264"/>
      <c r="X1347" s="264"/>
      <c r="Y1347" s="264"/>
      <c r="Z1347" s="264"/>
      <c r="AA1347" s="264"/>
      <c r="AB1347" s="264"/>
      <c r="AC1347" s="264"/>
      <c r="AD1347" s="264"/>
      <c r="AE1347" s="264"/>
      <c r="AF1347" s="264"/>
      <c r="AG1347" s="264"/>
      <c r="AH1347" s="264"/>
      <c r="AI1347" s="264"/>
      <c r="AJ1347" s="264"/>
      <c r="AK1347" s="264"/>
      <c r="AL1347" s="264"/>
      <c r="AM1347" s="264"/>
      <c r="AN1347" s="264"/>
    </row>
    <row r="1348" ht="15.75" customHeight="1">
      <c r="A1348" s="264"/>
      <c r="B1348" s="42"/>
      <c r="C1348" s="280"/>
      <c r="D1348" s="264"/>
      <c r="E1348" s="264"/>
      <c r="F1348" s="264"/>
      <c r="G1348" s="264"/>
      <c r="H1348" s="264"/>
      <c r="I1348" s="281"/>
      <c r="J1348" s="281"/>
      <c r="K1348" s="264"/>
      <c r="L1348" s="264"/>
      <c r="M1348" s="264"/>
      <c r="N1348" s="264"/>
      <c r="O1348" s="264"/>
      <c r="P1348" s="264"/>
      <c r="Q1348" s="264"/>
      <c r="R1348" s="264"/>
      <c r="S1348" s="264"/>
      <c r="T1348" s="264"/>
      <c r="U1348" s="16"/>
      <c r="V1348" s="264"/>
      <c r="W1348" s="264"/>
      <c r="X1348" s="264"/>
      <c r="Y1348" s="264"/>
      <c r="Z1348" s="264"/>
      <c r="AA1348" s="264"/>
      <c r="AB1348" s="264"/>
      <c r="AC1348" s="264"/>
      <c r="AD1348" s="264"/>
      <c r="AE1348" s="264"/>
      <c r="AF1348" s="264"/>
      <c r="AG1348" s="264"/>
      <c r="AH1348" s="264"/>
      <c r="AI1348" s="264"/>
      <c r="AJ1348" s="264"/>
      <c r="AK1348" s="264"/>
      <c r="AL1348" s="264"/>
      <c r="AM1348" s="264"/>
      <c r="AN1348" s="264"/>
    </row>
    <row r="1349" ht="15.75" customHeight="1">
      <c r="A1349" s="264"/>
      <c r="B1349" s="42"/>
      <c r="C1349" s="280"/>
      <c r="D1349" s="264"/>
      <c r="E1349" s="264"/>
      <c r="F1349" s="264"/>
      <c r="G1349" s="264"/>
      <c r="H1349" s="264"/>
      <c r="I1349" s="281"/>
      <c r="J1349" s="281"/>
      <c r="K1349" s="264"/>
      <c r="L1349" s="264"/>
      <c r="M1349" s="264"/>
      <c r="N1349" s="264"/>
      <c r="O1349" s="264"/>
      <c r="P1349" s="264"/>
      <c r="Q1349" s="264"/>
      <c r="R1349" s="264"/>
      <c r="S1349" s="264"/>
      <c r="T1349" s="264"/>
      <c r="U1349" s="16"/>
      <c r="V1349" s="264"/>
      <c r="W1349" s="264"/>
      <c r="X1349" s="264"/>
      <c r="Y1349" s="264"/>
      <c r="Z1349" s="264"/>
      <c r="AA1349" s="264"/>
      <c r="AB1349" s="264"/>
      <c r="AC1349" s="264"/>
      <c r="AD1349" s="264"/>
      <c r="AE1349" s="264"/>
      <c r="AF1349" s="264"/>
      <c r="AG1349" s="264"/>
      <c r="AH1349" s="264"/>
      <c r="AI1349" s="264"/>
      <c r="AJ1349" s="264"/>
      <c r="AK1349" s="264"/>
      <c r="AL1349" s="264"/>
      <c r="AM1349" s="264"/>
      <c r="AN1349" s="264"/>
    </row>
    <row r="1350" ht="15.75" customHeight="1">
      <c r="A1350" s="264"/>
      <c r="B1350" s="42"/>
      <c r="C1350" s="280"/>
      <c r="D1350" s="264"/>
      <c r="E1350" s="264"/>
      <c r="F1350" s="264"/>
      <c r="G1350" s="264"/>
      <c r="H1350" s="264"/>
      <c r="I1350" s="281"/>
      <c r="J1350" s="281"/>
      <c r="K1350" s="264"/>
      <c r="L1350" s="264"/>
      <c r="M1350" s="264"/>
      <c r="N1350" s="264"/>
      <c r="O1350" s="264"/>
      <c r="P1350" s="264"/>
      <c r="Q1350" s="264"/>
      <c r="R1350" s="264"/>
      <c r="S1350" s="264"/>
      <c r="T1350" s="264"/>
      <c r="U1350" s="16"/>
      <c r="V1350" s="264"/>
      <c r="W1350" s="264"/>
      <c r="X1350" s="264"/>
      <c r="Y1350" s="264"/>
      <c r="Z1350" s="264"/>
      <c r="AA1350" s="264"/>
      <c r="AB1350" s="264"/>
      <c r="AC1350" s="264"/>
      <c r="AD1350" s="264"/>
      <c r="AE1350" s="264"/>
      <c r="AF1350" s="264"/>
      <c r="AG1350" s="264"/>
      <c r="AH1350" s="264"/>
      <c r="AI1350" s="264"/>
      <c r="AJ1350" s="264"/>
      <c r="AK1350" s="264"/>
      <c r="AL1350" s="264"/>
      <c r="AM1350" s="264"/>
      <c r="AN1350" s="264"/>
    </row>
    <row r="1351" ht="15.75" customHeight="1">
      <c r="A1351" s="264"/>
      <c r="B1351" s="42"/>
      <c r="C1351" s="280"/>
      <c r="D1351" s="264"/>
      <c r="E1351" s="264"/>
      <c r="F1351" s="264"/>
      <c r="G1351" s="264"/>
      <c r="H1351" s="264"/>
      <c r="I1351" s="281"/>
      <c r="J1351" s="281"/>
      <c r="K1351" s="264"/>
      <c r="L1351" s="264"/>
      <c r="M1351" s="264"/>
      <c r="N1351" s="264"/>
      <c r="O1351" s="264"/>
      <c r="P1351" s="264"/>
      <c r="Q1351" s="264"/>
      <c r="R1351" s="264"/>
      <c r="S1351" s="264"/>
      <c r="T1351" s="264"/>
      <c r="U1351" s="16"/>
      <c r="V1351" s="264"/>
      <c r="W1351" s="264"/>
      <c r="X1351" s="264"/>
      <c r="Y1351" s="264"/>
      <c r="Z1351" s="264"/>
      <c r="AA1351" s="264"/>
      <c r="AB1351" s="264"/>
      <c r="AC1351" s="264"/>
      <c r="AD1351" s="264"/>
      <c r="AE1351" s="264"/>
      <c r="AF1351" s="264"/>
      <c r="AG1351" s="264"/>
      <c r="AH1351" s="264"/>
      <c r="AI1351" s="264"/>
      <c r="AJ1351" s="264"/>
      <c r="AK1351" s="264"/>
      <c r="AL1351" s="264"/>
      <c r="AM1351" s="264"/>
      <c r="AN1351" s="264"/>
    </row>
    <row r="1352" ht="15.75" customHeight="1">
      <c r="A1352" s="264"/>
      <c r="B1352" s="42"/>
      <c r="C1352" s="280"/>
      <c r="D1352" s="264"/>
      <c r="E1352" s="264"/>
      <c r="F1352" s="264"/>
      <c r="G1352" s="264"/>
      <c r="H1352" s="264"/>
      <c r="I1352" s="281"/>
      <c r="J1352" s="281"/>
      <c r="K1352" s="264"/>
      <c r="L1352" s="264"/>
      <c r="M1352" s="264"/>
      <c r="N1352" s="264"/>
      <c r="O1352" s="264"/>
      <c r="P1352" s="264"/>
      <c r="Q1352" s="264"/>
      <c r="R1352" s="264"/>
      <c r="S1352" s="264"/>
      <c r="T1352" s="264"/>
      <c r="U1352" s="16"/>
      <c r="V1352" s="264"/>
      <c r="W1352" s="264"/>
      <c r="X1352" s="264"/>
      <c r="Y1352" s="264"/>
      <c r="Z1352" s="264"/>
      <c r="AA1352" s="264"/>
      <c r="AB1352" s="264"/>
      <c r="AC1352" s="264"/>
      <c r="AD1352" s="264"/>
      <c r="AE1352" s="264"/>
      <c r="AF1352" s="264"/>
      <c r="AG1352" s="264"/>
      <c r="AH1352" s="264"/>
      <c r="AI1352" s="264"/>
      <c r="AJ1352" s="264"/>
      <c r="AK1352" s="264"/>
      <c r="AL1352" s="264"/>
      <c r="AM1352" s="264"/>
      <c r="AN1352" s="264"/>
    </row>
    <row r="1353" ht="15.75" customHeight="1">
      <c r="A1353" s="264"/>
      <c r="B1353" s="42"/>
      <c r="C1353" s="280"/>
      <c r="D1353" s="264"/>
      <c r="E1353" s="264"/>
      <c r="F1353" s="264"/>
      <c r="G1353" s="264"/>
      <c r="H1353" s="264"/>
      <c r="I1353" s="281"/>
      <c r="J1353" s="281"/>
      <c r="K1353" s="264"/>
      <c r="L1353" s="264"/>
      <c r="M1353" s="264"/>
      <c r="N1353" s="264"/>
      <c r="O1353" s="264"/>
      <c r="P1353" s="264"/>
      <c r="Q1353" s="264"/>
      <c r="R1353" s="264"/>
      <c r="S1353" s="264"/>
      <c r="T1353" s="264"/>
      <c r="U1353" s="16"/>
      <c r="V1353" s="264"/>
      <c r="W1353" s="264"/>
      <c r="X1353" s="264"/>
      <c r="Y1353" s="264"/>
      <c r="Z1353" s="264"/>
      <c r="AA1353" s="264"/>
      <c r="AB1353" s="264"/>
      <c r="AC1353" s="264"/>
      <c r="AD1353" s="264"/>
      <c r="AE1353" s="264"/>
      <c r="AF1353" s="264"/>
      <c r="AG1353" s="264"/>
      <c r="AH1353" s="264"/>
      <c r="AI1353" s="264"/>
      <c r="AJ1353" s="264"/>
      <c r="AK1353" s="264"/>
      <c r="AL1353" s="264"/>
      <c r="AM1353" s="264"/>
      <c r="AN1353" s="264"/>
    </row>
    <row r="1354" ht="15.75" customHeight="1">
      <c r="A1354" s="264"/>
      <c r="B1354" s="42"/>
      <c r="C1354" s="280"/>
      <c r="D1354" s="264"/>
      <c r="E1354" s="264"/>
      <c r="F1354" s="264"/>
      <c r="G1354" s="264"/>
      <c r="H1354" s="264"/>
      <c r="I1354" s="281"/>
      <c r="J1354" s="281"/>
      <c r="K1354" s="264"/>
      <c r="L1354" s="264"/>
      <c r="M1354" s="264"/>
      <c r="N1354" s="264"/>
      <c r="O1354" s="264"/>
      <c r="P1354" s="264"/>
      <c r="Q1354" s="264"/>
      <c r="R1354" s="264"/>
      <c r="S1354" s="264"/>
      <c r="T1354" s="264"/>
      <c r="U1354" s="16"/>
      <c r="V1354" s="264"/>
      <c r="W1354" s="264"/>
      <c r="X1354" s="264"/>
      <c r="Y1354" s="264"/>
      <c r="Z1354" s="264"/>
      <c r="AA1354" s="264"/>
      <c r="AB1354" s="264"/>
      <c r="AC1354" s="264"/>
      <c r="AD1354" s="264"/>
      <c r="AE1354" s="264"/>
      <c r="AF1354" s="264"/>
      <c r="AG1354" s="264"/>
      <c r="AH1354" s="264"/>
      <c r="AI1354" s="264"/>
      <c r="AJ1354" s="264"/>
      <c r="AK1354" s="264"/>
      <c r="AL1354" s="264"/>
      <c r="AM1354" s="264"/>
      <c r="AN1354" s="264"/>
    </row>
    <row r="1355" ht="15.75" customHeight="1">
      <c r="A1355" s="264"/>
      <c r="B1355" s="42"/>
      <c r="C1355" s="280"/>
      <c r="D1355" s="264"/>
      <c r="E1355" s="264"/>
      <c r="F1355" s="264"/>
      <c r="G1355" s="264"/>
      <c r="H1355" s="264"/>
      <c r="I1355" s="281"/>
      <c r="J1355" s="281"/>
      <c r="K1355" s="264"/>
      <c r="L1355" s="264"/>
      <c r="M1355" s="264"/>
      <c r="N1355" s="264"/>
      <c r="O1355" s="264"/>
      <c r="P1355" s="264"/>
      <c r="Q1355" s="264"/>
      <c r="R1355" s="264"/>
      <c r="S1355" s="264"/>
      <c r="T1355" s="264"/>
      <c r="U1355" s="16"/>
      <c r="V1355" s="264"/>
      <c r="W1355" s="264"/>
      <c r="X1355" s="264"/>
      <c r="Y1355" s="264"/>
      <c r="Z1355" s="264"/>
      <c r="AA1355" s="264"/>
      <c r="AB1355" s="264"/>
      <c r="AC1355" s="264"/>
      <c r="AD1355" s="264"/>
      <c r="AE1355" s="264"/>
      <c r="AF1355" s="264"/>
      <c r="AG1355" s="264"/>
      <c r="AH1355" s="264"/>
      <c r="AI1355" s="264"/>
      <c r="AJ1355" s="264"/>
      <c r="AK1355" s="264"/>
      <c r="AL1355" s="264"/>
      <c r="AM1355" s="264"/>
      <c r="AN1355" s="264"/>
    </row>
    <row r="1356" ht="15.75" customHeight="1">
      <c r="A1356" s="264"/>
      <c r="B1356" s="42"/>
      <c r="C1356" s="280"/>
      <c r="D1356" s="264"/>
      <c r="E1356" s="264"/>
      <c r="F1356" s="264"/>
      <c r="G1356" s="264"/>
      <c r="H1356" s="264"/>
      <c r="I1356" s="281"/>
      <c r="J1356" s="281"/>
      <c r="K1356" s="264"/>
      <c r="L1356" s="264"/>
      <c r="M1356" s="264"/>
      <c r="N1356" s="264"/>
      <c r="O1356" s="264"/>
      <c r="P1356" s="264"/>
      <c r="Q1356" s="264"/>
      <c r="R1356" s="264"/>
      <c r="S1356" s="264"/>
      <c r="T1356" s="264"/>
      <c r="U1356" s="16"/>
      <c r="V1356" s="264"/>
      <c r="W1356" s="264"/>
      <c r="X1356" s="264"/>
      <c r="Y1356" s="264"/>
      <c r="Z1356" s="264"/>
      <c r="AA1356" s="264"/>
      <c r="AB1356" s="264"/>
      <c r="AC1356" s="264"/>
      <c r="AD1356" s="264"/>
      <c r="AE1356" s="264"/>
      <c r="AF1356" s="264"/>
      <c r="AG1356" s="264"/>
      <c r="AH1356" s="264"/>
      <c r="AI1356" s="264"/>
      <c r="AJ1356" s="264"/>
      <c r="AK1356" s="264"/>
      <c r="AL1356" s="264"/>
      <c r="AM1356" s="264"/>
      <c r="AN1356" s="264"/>
    </row>
    <row r="1357" ht="15.75" customHeight="1">
      <c r="A1357" s="264"/>
      <c r="B1357" s="42"/>
      <c r="C1357" s="280"/>
      <c r="D1357" s="264"/>
      <c r="E1357" s="264"/>
      <c r="F1357" s="264"/>
      <c r="G1357" s="264"/>
      <c r="H1357" s="264"/>
      <c r="I1357" s="281"/>
      <c r="J1357" s="281"/>
      <c r="K1357" s="264"/>
      <c r="L1357" s="264"/>
      <c r="M1357" s="264"/>
      <c r="N1357" s="264"/>
      <c r="O1357" s="264"/>
      <c r="P1357" s="264"/>
      <c r="Q1357" s="264"/>
      <c r="R1357" s="264"/>
      <c r="S1357" s="264"/>
      <c r="T1357" s="264"/>
      <c r="U1357" s="16"/>
      <c r="V1357" s="264"/>
      <c r="W1357" s="264"/>
      <c r="X1357" s="264"/>
      <c r="Y1357" s="264"/>
      <c r="Z1357" s="264"/>
      <c r="AA1357" s="264"/>
      <c r="AB1357" s="264"/>
      <c r="AC1357" s="264"/>
      <c r="AD1357" s="264"/>
      <c r="AE1357" s="264"/>
      <c r="AF1357" s="264"/>
      <c r="AG1357" s="264"/>
      <c r="AH1357" s="264"/>
      <c r="AI1357" s="264"/>
      <c r="AJ1357" s="264"/>
      <c r="AK1357" s="264"/>
      <c r="AL1357" s="264"/>
      <c r="AM1357" s="264"/>
      <c r="AN1357" s="264"/>
    </row>
    <row r="1358" ht="15.75" customHeight="1">
      <c r="A1358" s="264"/>
      <c r="B1358" s="42"/>
      <c r="C1358" s="280"/>
      <c r="D1358" s="264"/>
      <c r="E1358" s="264"/>
      <c r="F1358" s="264"/>
      <c r="G1358" s="264"/>
      <c r="H1358" s="264"/>
      <c r="I1358" s="281"/>
      <c r="J1358" s="281"/>
      <c r="K1358" s="264"/>
      <c r="L1358" s="264"/>
      <c r="M1358" s="264"/>
      <c r="N1358" s="264"/>
      <c r="O1358" s="264"/>
      <c r="P1358" s="264"/>
      <c r="Q1358" s="264"/>
      <c r="R1358" s="264"/>
      <c r="S1358" s="264"/>
      <c r="T1358" s="264"/>
      <c r="U1358" s="16"/>
      <c r="V1358" s="264"/>
      <c r="W1358" s="264"/>
      <c r="X1358" s="264"/>
      <c r="Y1358" s="264"/>
      <c r="Z1358" s="264"/>
      <c r="AA1358" s="264"/>
      <c r="AB1358" s="264"/>
      <c r="AC1358" s="264"/>
      <c r="AD1358" s="264"/>
      <c r="AE1358" s="264"/>
      <c r="AF1358" s="264"/>
      <c r="AG1358" s="264"/>
      <c r="AH1358" s="264"/>
      <c r="AI1358" s="264"/>
      <c r="AJ1358" s="264"/>
      <c r="AK1358" s="264"/>
      <c r="AL1358" s="264"/>
      <c r="AM1358" s="264"/>
      <c r="AN1358" s="264"/>
    </row>
    <row r="1359" ht="15.75" customHeight="1">
      <c r="A1359" s="264"/>
      <c r="B1359" s="42"/>
      <c r="C1359" s="280"/>
      <c r="D1359" s="264"/>
      <c r="E1359" s="264"/>
      <c r="F1359" s="264"/>
      <c r="G1359" s="264"/>
      <c r="H1359" s="264"/>
      <c r="I1359" s="281"/>
      <c r="J1359" s="281"/>
      <c r="K1359" s="264"/>
      <c r="L1359" s="264"/>
      <c r="M1359" s="264"/>
      <c r="N1359" s="264"/>
      <c r="O1359" s="264"/>
      <c r="P1359" s="264"/>
      <c r="Q1359" s="264"/>
      <c r="R1359" s="264"/>
      <c r="S1359" s="264"/>
      <c r="T1359" s="264"/>
      <c r="U1359" s="16"/>
      <c r="V1359" s="264"/>
      <c r="W1359" s="264"/>
      <c r="X1359" s="264"/>
      <c r="Y1359" s="264"/>
      <c r="Z1359" s="264"/>
      <c r="AA1359" s="264"/>
      <c r="AB1359" s="264"/>
      <c r="AC1359" s="264"/>
      <c r="AD1359" s="264"/>
      <c r="AE1359" s="264"/>
      <c r="AF1359" s="264"/>
      <c r="AG1359" s="264"/>
      <c r="AH1359" s="264"/>
      <c r="AI1359" s="264"/>
      <c r="AJ1359" s="264"/>
      <c r="AK1359" s="264"/>
      <c r="AL1359" s="264"/>
      <c r="AM1359" s="264"/>
      <c r="AN1359" s="264"/>
    </row>
    <row r="1360" ht="15.75" customHeight="1">
      <c r="A1360" s="264"/>
      <c r="B1360" s="42"/>
      <c r="C1360" s="280"/>
      <c r="D1360" s="264"/>
      <c r="E1360" s="264"/>
      <c r="F1360" s="264"/>
      <c r="G1360" s="264"/>
      <c r="H1360" s="264"/>
      <c r="I1360" s="281"/>
      <c r="J1360" s="281"/>
      <c r="K1360" s="264"/>
      <c r="L1360" s="264"/>
      <c r="M1360" s="264"/>
      <c r="N1360" s="264"/>
      <c r="O1360" s="264"/>
      <c r="P1360" s="264"/>
      <c r="Q1360" s="264"/>
      <c r="R1360" s="264"/>
      <c r="S1360" s="264"/>
      <c r="T1360" s="264"/>
      <c r="U1360" s="16"/>
      <c r="V1360" s="264"/>
      <c r="W1360" s="264"/>
      <c r="X1360" s="264"/>
      <c r="Y1360" s="264"/>
      <c r="Z1360" s="264"/>
      <c r="AA1360" s="264"/>
      <c r="AB1360" s="264"/>
      <c r="AC1360" s="264"/>
      <c r="AD1360" s="264"/>
      <c r="AE1360" s="264"/>
      <c r="AF1360" s="264"/>
      <c r="AG1360" s="264"/>
      <c r="AH1360" s="264"/>
      <c r="AI1360" s="264"/>
      <c r="AJ1360" s="264"/>
      <c r="AK1360" s="264"/>
      <c r="AL1360" s="264"/>
      <c r="AM1360" s="264"/>
      <c r="AN1360" s="264"/>
    </row>
    <row r="1361" ht="15.75" customHeight="1">
      <c r="A1361" s="264"/>
      <c r="B1361" s="42"/>
      <c r="C1361" s="280"/>
      <c r="D1361" s="264"/>
      <c r="E1361" s="264"/>
      <c r="F1361" s="264"/>
      <c r="G1361" s="264"/>
      <c r="H1361" s="264"/>
      <c r="I1361" s="281"/>
      <c r="J1361" s="281"/>
      <c r="K1361" s="264"/>
      <c r="L1361" s="264"/>
      <c r="M1361" s="264"/>
      <c r="N1361" s="264"/>
      <c r="O1361" s="264"/>
      <c r="P1361" s="264"/>
      <c r="Q1361" s="264"/>
      <c r="R1361" s="264"/>
      <c r="S1361" s="264"/>
      <c r="T1361" s="264"/>
      <c r="U1361" s="16"/>
      <c r="V1361" s="264"/>
      <c r="W1361" s="264"/>
      <c r="X1361" s="264"/>
      <c r="Y1361" s="264"/>
      <c r="Z1361" s="264"/>
      <c r="AA1361" s="264"/>
      <c r="AB1361" s="264"/>
      <c r="AC1361" s="264"/>
      <c r="AD1361" s="264"/>
      <c r="AE1361" s="264"/>
      <c r="AF1361" s="264"/>
      <c r="AG1361" s="264"/>
      <c r="AH1361" s="264"/>
      <c r="AI1361" s="264"/>
      <c r="AJ1361" s="264"/>
      <c r="AK1361" s="264"/>
      <c r="AL1361" s="264"/>
      <c r="AM1361" s="264"/>
      <c r="AN1361" s="264"/>
    </row>
    <row r="1362" ht="15.75" customHeight="1">
      <c r="A1362" s="264"/>
      <c r="B1362" s="42"/>
      <c r="C1362" s="280"/>
      <c r="D1362" s="264"/>
      <c r="E1362" s="264"/>
      <c r="F1362" s="264"/>
      <c r="G1362" s="264"/>
      <c r="H1362" s="264"/>
      <c r="I1362" s="281"/>
      <c r="J1362" s="281"/>
      <c r="K1362" s="264"/>
      <c r="L1362" s="264"/>
      <c r="M1362" s="264"/>
      <c r="N1362" s="264"/>
      <c r="O1362" s="264"/>
      <c r="P1362" s="264"/>
      <c r="Q1362" s="264"/>
      <c r="R1362" s="264"/>
      <c r="S1362" s="264"/>
      <c r="T1362" s="264"/>
      <c r="U1362" s="16"/>
      <c r="V1362" s="264"/>
      <c r="W1362" s="264"/>
      <c r="X1362" s="264"/>
      <c r="Y1362" s="264"/>
      <c r="Z1362" s="264"/>
      <c r="AA1362" s="264"/>
      <c r="AB1362" s="264"/>
      <c r="AC1362" s="264"/>
      <c r="AD1362" s="264"/>
      <c r="AE1362" s="264"/>
      <c r="AF1362" s="264"/>
      <c r="AG1362" s="264"/>
      <c r="AH1362" s="264"/>
      <c r="AI1362" s="264"/>
      <c r="AJ1362" s="264"/>
      <c r="AK1362" s="264"/>
      <c r="AL1362" s="264"/>
      <c r="AM1362" s="264"/>
      <c r="AN1362" s="264"/>
    </row>
    <row r="1363" ht="15.75" customHeight="1">
      <c r="A1363" s="264"/>
      <c r="B1363" s="42"/>
      <c r="C1363" s="280"/>
      <c r="D1363" s="264"/>
      <c r="E1363" s="264"/>
      <c r="F1363" s="264"/>
      <c r="G1363" s="264"/>
      <c r="H1363" s="264"/>
      <c r="I1363" s="281"/>
      <c r="J1363" s="281"/>
      <c r="K1363" s="264"/>
      <c r="L1363" s="264"/>
      <c r="M1363" s="264"/>
      <c r="N1363" s="264"/>
      <c r="O1363" s="264"/>
      <c r="P1363" s="264"/>
      <c r="Q1363" s="264"/>
      <c r="R1363" s="264"/>
      <c r="S1363" s="264"/>
      <c r="T1363" s="264"/>
      <c r="U1363" s="16"/>
      <c r="V1363" s="264"/>
      <c r="W1363" s="264"/>
      <c r="X1363" s="264"/>
      <c r="Y1363" s="264"/>
      <c r="Z1363" s="264"/>
      <c r="AA1363" s="264"/>
      <c r="AB1363" s="264"/>
      <c r="AC1363" s="264"/>
      <c r="AD1363" s="264"/>
      <c r="AE1363" s="264"/>
      <c r="AF1363" s="264"/>
      <c r="AG1363" s="264"/>
      <c r="AH1363" s="264"/>
      <c r="AI1363" s="264"/>
      <c r="AJ1363" s="264"/>
      <c r="AK1363" s="264"/>
      <c r="AL1363" s="264"/>
      <c r="AM1363" s="264"/>
      <c r="AN1363" s="264"/>
    </row>
    <row r="1364" ht="15.75" customHeight="1">
      <c r="A1364" s="264"/>
      <c r="B1364" s="42"/>
      <c r="C1364" s="280"/>
      <c r="D1364" s="264"/>
      <c r="E1364" s="264"/>
      <c r="F1364" s="264"/>
      <c r="G1364" s="264"/>
      <c r="H1364" s="264"/>
      <c r="I1364" s="281"/>
      <c r="J1364" s="281"/>
      <c r="K1364" s="264"/>
      <c r="L1364" s="264"/>
      <c r="M1364" s="264"/>
      <c r="N1364" s="264"/>
      <c r="O1364" s="264"/>
      <c r="P1364" s="264"/>
      <c r="Q1364" s="264"/>
      <c r="R1364" s="264"/>
      <c r="S1364" s="264"/>
      <c r="T1364" s="264"/>
      <c r="U1364" s="16"/>
      <c r="V1364" s="264"/>
      <c r="W1364" s="264"/>
      <c r="X1364" s="264"/>
      <c r="Y1364" s="264"/>
      <c r="Z1364" s="264"/>
      <c r="AA1364" s="264"/>
      <c r="AB1364" s="264"/>
      <c r="AC1364" s="264"/>
      <c r="AD1364" s="264"/>
      <c r="AE1364" s="264"/>
      <c r="AF1364" s="264"/>
      <c r="AG1364" s="264"/>
      <c r="AH1364" s="264"/>
      <c r="AI1364" s="264"/>
      <c r="AJ1364" s="264"/>
      <c r="AK1364" s="264"/>
      <c r="AL1364" s="264"/>
      <c r="AM1364" s="264"/>
      <c r="AN1364" s="264"/>
    </row>
    <row r="1365" ht="15.75" customHeight="1">
      <c r="A1365" s="264"/>
      <c r="B1365" s="42"/>
      <c r="C1365" s="280"/>
      <c r="D1365" s="264"/>
      <c r="E1365" s="264"/>
      <c r="F1365" s="264"/>
      <c r="G1365" s="264"/>
      <c r="H1365" s="264"/>
      <c r="I1365" s="281"/>
      <c r="J1365" s="281"/>
      <c r="K1365" s="264"/>
      <c r="L1365" s="264"/>
      <c r="M1365" s="264"/>
      <c r="N1365" s="264"/>
      <c r="O1365" s="264"/>
      <c r="P1365" s="264"/>
      <c r="Q1365" s="264"/>
      <c r="R1365" s="264"/>
      <c r="S1365" s="264"/>
      <c r="T1365" s="264"/>
      <c r="U1365" s="16"/>
      <c r="V1365" s="264"/>
      <c r="W1365" s="264"/>
      <c r="X1365" s="264"/>
      <c r="Y1365" s="264"/>
      <c r="Z1365" s="264"/>
      <c r="AA1365" s="264"/>
      <c r="AB1365" s="264"/>
      <c r="AC1365" s="264"/>
      <c r="AD1365" s="264"/>
      <c r="AE1365" s="264"/>
      <c r="AF1365" s="264"/>
      <c r="AG1365" s="264"/>
      <c r="AH1365" s="264"/>
      <c r="AI1365" s="264"/>
      <c r="AJ1365" s="264"/>
      <c r="AK1365" s="264"/>
      <c r="AL1365" s="264"/>
      <c r="AM1365" s="264"/>
      <c r="AN1365" s="264"/>
    </row>
    <row r="1366" ht="15.75" customHeight="1">
      <c r="A1366" s="264"/>
      <c r="B1366" s="42"/>
      <c r="C1366" s="280"/>
      <c r="D1366" s="264"/>
      <c r="E1366" s="264"/>
      <c r="F1366" s="264"/>
      <c r="G1366" s="264"/>
      <c r="H1366" s="264"/>
      <c r="I1366" s="281"/>
      <c r="J1366" s="281"/>
      <c r="K1366" s="264"/>
      <c r="L1366" s="264"/>
      <c r="M1366" s="264"/>
      <c r="N1366" s="264"/>
      <c r="O1366" s="264"/>
      <c r="P1366" s="264"/>
      <c r="Q1366" s="264"/>
      <c r="R1366" s="264"/>
      <c r="S1366" s="264"/>
      <c r="T1366" s="264"/>
      <c r="U1366" s="16"/>
      <c r="V1366" s="264"/>
      <c r="W1366" s="264"/>
      <c r="X1366" s="264"/>
      <c r="Y1366" s="264"/>
      <c r="Z1366" s="264"/>
      <c r="AA1366" s="264"/>
      <c r="AB1366" s="264"/>
      <c r="AC1366" s="264"/>
      <c r="AD1366" s="264"/>
      <c r="AE1366" s="264"/>
      <c r="AF1366" s="264"/>
      <c r="AG1366" s="264"/>
      <c r="AH1366" s="264"/>
      <c r="AI1366" s="264"/>
      <c r="AJ1366" s="264"/>
      <c r="AK1366" s="264"/>
      <c r="AL1366" s="264"/>
      <c r="AM1366" s="264"/>
      <c r="AN1366" s="264"/>
    </row>
    <row r="1367" ht="15.75" customHeight="1">
      <c r="A1367" s="264"/>
      <c r="B1367" s="42"/>
      <c r="C1367" s="280"/>
      <c r="D1367" s="264"/>
      <c r="E1367" s="264"/>
      <c r="F1367" s="264"/>
      <c r="G1367" s="264"/>
      <c r="H1367" s="264"/>
      <c r="I1367" s="281"/>
      <c r="J1367" s="281"/>
      <c r="K1367" s="264"/>
      <c r="L1367" s="264"/>
      <c r="M1367" s="264"/>
      <c r="N1367" s="264"/>
      <c r="O1367" s="264"/>
      <c r="P1367" s="264"/>
      <c r="Q1367" s="264"/>
      <c r="R1367" s="264"/>
      <c r="S1367" s="264"/>
      <c r="T1367" s="264"/>
      <c r="U1367" s="16"/>
      <c r="V1367" s="264"/>
      <c r="W1367" s="264"/>
      <c r="X1367" s="264"/>
      <c r="Y1367" s="264"/>
      <c r="Z1367" s="264"/>
      <c r="AA1367" s="264"/>
      <c r="AB1367" s="264"/>
      <c r="AC1367" s="264"/>
      <c r="AD1367" s="264"/>
      <c r="AE1367" s="264"/>
      <c r="AF1367" s="264"/>
      <c r="AG1367" s="264"/>
      <c r="AH1367" s="264"/>
      <c r="AI1367" s="264"/>
      <c r="AJ1367" s="264"/>
      <c r="AK1367" s="264"/>
      <c r="AL1367" s="264"/>
      <c r="AM1367" s="264"/>
      <c r="AN1367" s="264"/>
    </row>
    <row r="1368" ht="15.75" customHeight="1">
      <c r="A1368" s="264"/>
      <c r="B1368" s="42"/>
      <c r="C1368" s="280"/>
      <c r="D1368" s="264"/>
      <c r="E1368" s="264"/>
      <c r="F1368" s="264"/>
      <c r="G1368" s="264"/>
      <c r="H1368" s="264"/>
      <c r="I1368" s="281"/>
      <c r="J1368" s="281"/>
      <c r="K1368" s="264"/>
      <c r="L1368" s="264"/>
      <c r="M1368" s="264"/>
      <c r="N1368" s="264"/>
      <c r="O1368" s="264"/>
      <c r="P1368" s="264"/>
      <c r="Q1368" s="264"/>
      <c r="R1368" s="264"/>
      <c r="S1368" s="264"/>
      <c r="T1368" s="264"/>
      <c r="U1368" s="16"/>
      <c r="V1368" s="264"/>
      <c r="W1368" s="264"/>
      <c r="X1368" s="264"/>
      <c r="Y1368" s="264"/>
      <c r="Z1368" s="264"/>
      <c r="AA1368" s="264"/>
      <c r="AB1368" s="264"/>
      <c r="AC1368" s="264"/>
      <c r="AD1368" s="264"/>
      <c r="AE1368" s="264"/>
      <c r="AF1368" s="264"/>
      <c r="AG1368" s="264"/>
      <c r="AH1368" s="264"/>
      <c r="AI1368" s="264"/>
      <c r="AJ1368" s="264"/>
      <c r="AK1368" s="264"/>
      <c r="AL1368" s="264"/>
      <c r="AM1368" s="264"/>
      <c r="AN1368" s="264"/>
    </row>
    <row r="1369" ht="15.75" customHeight="1">
      <c r="A1369" s="264"/>
      <c r="B1369" s="42"/>
      <c r="C1369" s="280"/>
      <c r="D1369" s="264"/>
      <c r="E1369" s="264"/>
      <c r="F1369" s="264"/>
      <c r="G1369" s="264"/>
      <c r="H1369" s="264"/>
      <c r="I1369" s="281"/>
      <c r="J1369" s="281"/>
      <c r="K1369" s="264"/>
      <c r="L1369" s="264"/>
      <c r="M1369" s="264"/>
      <c r="N1369" s="264"/>
      <c r="O1369" s="264"/>
      <c r="P1369" s="264"/>
      <c r="Q1369" s="264"/>
      <c r="R1369" s="264"/>
      <c r="S1369" s="264"/>
      <c r="T1369" s="264"/>
      <c r="U1369" s="16"/>
      <c r="V1369" s="264"/>
      <c r="W1369" s="264"/>
      <c r="X1369" s="264"/>
      <c r="Y1369" s="264"/>
      <c r="Z1369" s="264"/>
      <c r="AA1369" s="264"/>
      <c r="AB1369" s="264"/>
      <c r="AC1369" s="264"/>
      <c r="AD1369" s="264"/>
      <c r="AE1369" s="264"/>
      <c r="AF1369" s="264"/>
      <c r="AG1369" s="264"/>
      <c r="AH1369" s="264"/>
      <c r="AI1369" s="264"/>
      <c r="AJ1369" s="264"/>
      <c r="AK1369" s="264"/>
      <c r="AL1369" s="264"/>
      <c r="AM1369" s="264"/>
      <c r="AN1369" s="264"/>
    </row>
    <row r="1370" ht="15.75" customHeight="1">
      <c r="A1370" s="264"/>
      <c r="B1370" s="42"/>
      <c r="C1370" s="280"/>
      <c r="D1370" s="264"/>
      <c r="E1370" s="264"/>
      <c r="F1370" s="264"/>
      <c r="G1370" s="264"/>
      <c r="H1370" s="264"/>
      <c r="I1370" s="281"/>
      <c r="J1370" s="281"/>
      <c r="K1370" s="264"/>
      <c r="L1370" s="264"/>
      <c r="M1370" s="264"/>
      <c r="N1370" s="264"/>
      <c r="O1370" s="264"/>
      <c r="P1370" s="264"/>
      <c r="Q1370" s="264"/>
      <c r="R1370" s="264"/>
      <c r="S1370" s="264"/>
      <c r="T1370" s="264"/>
      <c r="U1370" s="16"/>
      <c r="V1370" s="264"/>
      <c r="W1370" s="264"/>
      <c r="X1370" s="264"/>
      <c r="Y1370" s="264"/>
      <c r="Z1370" s="264"/>
      <c r="AA1370" s="264"/>
      <c r="AB1370" s="264"/>
      <c r="AC1370" s="264"/>
      <c r="AD1370" s="264"/>
      <c r="AE1370" s="264"/>
      <c r="AF1370" s="264"/>
      <c r="AG1370" s="264"/>
      <c r="AH1370" s="264"/>
      <c r="AI1370" s="264"/>
      <c r="AJ1370" s="264"/>
      <c r="AK1370" s="264"/>
      <c r="AL1370" s="264"/>
      <c r="AM1370" s="264"/>
      <c r="AN1370" s="264"/>
    </row>
    <row r="1371" ht="15.75" customHeight="1">
      <c r="A1371" s="264"/>
      <c r="B1371" s="42"/>
      <c r="C1371" s="280"/>
      <c r="D1371" s="264"/>
      <c r="E1371" s="264"/>
      <c r="F1371" s="264"/>
      <c r="G1371" s="264"/>
      <c r="H1371" s="264"/>
      <c r="I1371" s="281"/>
      <c r="J1371" s="281"/>
      <c r="K1371" s="264"/>
      <c r="L1371" s="264"/>
      <c r="M1371" s="264"/>
      <c r="N1371" s="264"/>
      <c r="O1371" s="264"/>
      <c r="P1371" s="264"/>
      <c r="Q1371" s="264"/>
      <c r="R1371" s="264"/>
      <c r="S1371" s="264"/>
      <c r="T1371" s="264"/>
      <c r="U1371" s="16"/>
      <c r="V1371" s="264"/>
      <c r="W1371" s="264"/>
      <c r="X1371" s="264"/>
      <c r="Y1371" s="264"/>
      <c r="Z1371" s="264"/>
      <c r="AA1371" s="264"/>
      <c r="AB1371" s="264"/>
      <c r="AC1371" s="264"/>
      <c r="AD1371" s="264"/>
      <c r="AE1371" s="264"/>
      <c r="AF1371" s="264"/>
      <c r="AG1371" s="264"/>
      <c r="AH1371" s="264"/>
      <c r="AI1371" s="264"/>
      <c r="AJ1371" s="264"/>
      <c r="AK1371" s="264"/>
      <c r="AL1371" s="264"/>
      <c r="AM1371" s="264"/>
      <c r="AN1371" s="264"/>
    </row>
    <row r="1372" ht="15.75" customHeight="1">
      <c r="A1372" s="264"/>
      <c r="B1372" s="42"/>
      <c r="C1372" s="280"/>
      <c r="D1372" s="264"/>
      <c r="E1372" s="264"/>
      <c r="F1372" s="264"/>
      <c r="G1372" s="264"/>
      <c r="H1372" s="264"/>
      <c r="I1372" s="281"/>
      <c r="J1372" s="281"/>
      <c r="K1372" s="264"/>
      <c r="L1372" s="264"/>
      <c r="M1372" s="264"/>
      <c r="N1372" s="264"/>
      <c r="O1372" s="264"/>
      <c r="P1372" s="264"/>
      <c r="Q1372" s="264"/>
      <c r="R1372" s="264"/>
      <c r="S1372" s="264"/>
      <c r="T1372" s="264"/>
      <c r="U1372" s="16"/>
      <c r="V1372" s="264"/>
      <c r="W1372" s="264"/>
      <c r="X1372" s="264"/>
      <c r="Y1372" s="264"/>
      <c r="Z1372" s="264"/>
      <c r="AA1372" s="264"/>
      <c r="AB1372" s="264"/>
      <c r="AC1372" s="264"/>
      <c r="AD1372" s="264"/>
      <c r="AE1372" s="264"/>
      <c r="AF1372" s="264"/>
      <c r="AG1372" s="264"/>
      <c r="AH1372" s="264"/>
      <c r="AI1372" s="264"/>
      <c r="AJ1372" s="264"/>
      <c r="AK1372" s="264"/>
      <c r="AL1372" s="264"/>
      <c r="AM1372" s="264"/>
      <c r="AN1372" s="264"/>
    </row>
    <row r="1373" ht="15.75" customHeight="1">
      <c r="A1373" s="264"/>
      <c r="B1373" s="42"/>
      <c r="C1373" s="280"/>
      <c r="D1373" s="264"/>
      <c r="E1373" s="264"/>
      <c r="F1373" s="264"/>
      <c r="G1373" s="264"/>
      <c r="H1373" s="264"/>
      <c r="I1373" s="281"/>
      <c r="J1373" s="281"/>
      <c r="K1373" s="264"/>
      <c r="L1373" s="264"/>
      <c r="M1373" s="264"/>
      <c r="N1373" s="264"/>
      <c r="O1373" s="264"/>
      <c r="P1373" s="264"/>
      <c r="Q1373" s="264"/>
      <c r="R1373" s="264"/>
      <c r="S1373" s="264"/>
      <c r="T1373" s="264"/>
      <c r="U1373" s="16"/>
      <c r="V1373" s="264"/>
      <c r="W1373" s="264"/>
      <c r="X1373" s="264"/>
      <c r="Y1373" s="264"/>
      <c r="Z1373" s="264"/>
      <c r="AA1373" s="264"/>
      <c r="AB1373" s="264"/>
      <c r="AC1373" s="264"/>
      <c r="AD1373" s="264"/>
      <c r="AE1373" s="264"/>
      <c r="AF1373" s="264"/>
      <c r="AG1373" s="264"/>
      <c r="AH1373" s="264"/>
      <c r="AI1373" s="264"/>
      <c r="AJ1373" s="264"/>
      <c r="AK1373" s="264"/>
      <c r="AL1373" s="264"/>
      <c r="AM1373" s="264"/>
      <c r="AN1373" s="264"/>
    </row>
    <row r="1374" ht="15.75" customHeight="1">
      <c r="A1374" s="264"/>
      <c r="B1374" s="42"/>
      <c r="C1374" s="280"/>
      <c r="D1374" s="264"/>
      <c r="E1374" s="264"/>
      <c r="F1374" s="264"/>
      <c r="G1374" s="264"/>
      <c r="H1374" s="264"/>
      <c r="I1374" s="281"/>
      <c r="J1374" s="281"/>
      <c r="K1374" s="264"/>
      <c r="L1374" s="264"/>
      <c r="M1374" s="264"/>
      <c r="N1374" s="264"/>
      <c r="O1374" s="264"/>
      <c r="P1374" s="264"/>
      <c r="Q1374" s="264"/>
      <c r="R1374" s="264"/>
      <c r="S1374" s="264"/>
      <c r="T1374" s="264"/>
      <c r="U1374" s="16"/>
      <c r="V1374" s="264"/>
      <c r="W1374" s="264"/>
      <c r="X1374" s="264"/>
      <c r="Y1374" s="264"/>
      <c r="Z1374" s="264"/>
      <c r="AA1374" s="264"/>
      <c r="AB1374" s="264"/>
      <c r="AC1374" s="264"/>
      <c r="AD1374" s="264"/>
      <c r="AE1374" s="264"/>
      <c r="AF1374" s="264"/>
      <c r="AG1374" s="264"/>
      <c r="AH1374" s="264"/>
      <c r="AI1374" s="264"/>
      <c r="AJ1374" s="264"/>
      <c r="AK1374" s="264"/>
      <c r="AL1374" s="264"/>
      <c r="AM1374" s="264"/>
      <c r="AN1374" s="264"/>
    </row>
    <row r="1375" ht="15.75" customHeight="1">
      <c r="A1375" s="264"/>
      <c r="B1375" s="42"/>
      <c r="C1375" s="280"/>
      <c r="D1375" s="264"/>
      <c r="E1375" s="264"/>
      <c r="F1375" s="264"/>
      <c r="G1375" s="264"/>
      <c r="H1375" s="264"/>
      <c r="I1375" s="281"/>
      <c r="J1375" s="281"/>
      <c r="K1375" s="264"/>
      <c r="L1375" s="264"/>
      <c r="M1375" s="264"/>
      <c r="N1375" s="264"/>
      <c r="O1375" s="264"/>
      <c r="P1375" s="264"/>
      <c r="Q1375" s="264"/>
      <c r="R1375" s="264"/>
      <c r="S1375" s="264"/>
      <c r="T1375" s="264"/>
      <c r="U1375" s="16"/>
      <c r="V1375" s="264"/>
      <c r="W1375" s="264"/>
      <c r="X1375" s="264"/>
      <c r="Y1375" s="264"/>
      <c r="Z1375" s="264"/>
      <c r="AA1375" s="264"/>
      <c r="AB1375" s="264"/>
      <c r="AC1375" s="264"/>
      <c r="AD1375" s="264"/>
      <c r="AE1375" s="264"/>
      <c r="AF1375" s="264"/>
      <c r="AG1375" s="264"/>
      <c r="AH1375" s="264"/>
      <c r="AI1375" s="264"/>
      <c r="AJ1375" s="264"/>
      <c r="AK1375" s="264"/>
      <c r="AL1375" s="264"/>
      <c r="AM1375" s="264"/>
      <c r="AN1375" s="264"/>
    </row>
    <row r="1376" ht="15.75" customHeight="1">
      <c r="A1376" s="264"/>
      <c r="B1376" s="42"/>
      <c r="C1376" s="280"/>
      <c r="D1376" s="264"/>
      <c r="E1376" s="264"/>
      <c r="F1376" s="264"/>
      <c r="G1376" s="264"/>
      <c r="H1376" s="264"/>
      <c r="I1376" s="281"/>
      <c r="J1376" s="281"/>
      <c r="K1376" s="264"/>
      <c r="L1376" s="264"/>
      <c r="M1376" s="264"/>
      <c r="N1376" s="264"/>
      <c r="O1376" s="264"/>
      <c r="P1376" s="264"/>
      <c r="Q1376" s="264"/>
      <c r="R1376" s="264"/>
      <c r="S1376" s="264"/>
      <c r="T1376" s="264"/>
      <c r="U1376" s="16"/>
      <c r="V1376" s="264"/>
      <c r="W1376" s="264"/>
      <c r="X1376" s="264"/>
      <c r="Y1376" s="264"/>
      <c r="Z1376" s="264"/>
      <c r="AA1376" s="264"/>
      <c r="AB1376" s="264"/>
      <c r="AC1376" s="264"/>
      <c r="AD1376" s="264"/>
      <c r="AE1376" s="264"/>
      <c r="AF1376" s="264"/>
      <c r="AG1376" s="264"/>
      <c r="AH1376" s="264"/>
      <c r="AI1376" s="264"/>
      <c r="AJ1376" s="264"/>
      <c r="AK1376" s="264"/>
      <c r="AL1376" s="264"/>
      <c r="AM1376" s="264"/>
      <c r="AN1376" s="264"/>
    </row>
    <row r="1377" ht="15.75" customHeight="1">
      <c r="A1377" s="264"/>
      <c r="B1377" s="42"/>
      <c r="C1377" s="280"/>
      <c r="D1377" s="264"/>
      <c r="E1377" s="264"/>
      <c r="F1377" s="264"/>
      <c r="G1377" s="264"/>
      <c r="H1377" s="264"/>
      <c r="I1377" s="281"/>
      <c r="J1377" s="281"/>
      <c r="K1377" s="264"/>
      <c r="L1377" s="264"/>
      <c r="M1377" s="264"/>
      <c r="N1377" s="264"/>
      <c r="O1377" s="264"/>
      <c r="P1377" s="264"/>
      <c r="Q1377" s="264"/>
      <c r="R1377" s="264"/>
      <c r="S1377" s="264"/>
      <c r="T1377" s="264"/>
      <c r="U1377" s="16"/>
      <c r="V1377" s="264"/>
      <c r="W1377" s="264"/>
      <c r="X1377" s="264"/>
      <c r="Y1377" s="264"/>
      <c r="Z1377" s="264"/>
      <c r="AA1377" s="264"/>
      <c r="AB1377" s="264"/>
      <c r="AC1377" s="264"/>
      <c r="AD1377" s="264"/>
      <c r="AE1377" s="264"/>
      <c r="AF1377" s="264"/>
      <c r="AG1377" s="264"/>
      <c r="AH1377" s="264"/>
      <c r="AI1377" s="264"/>
      <c r="AJ1377" s="264"/>
      <c r="AK1377" s="264"/>
      <c r="AL1377" s="264"/>
      <c r="AM1377" s="264"/>
      <c r="AN1377" s="264"/>
    </row>
    <row r="1378" ht="15.75" customHeight="1">
      <c r="A1378" s="264"/>
      <c r="B1378" s="42"/>
      <c r="C1378" s="280"/>
      <c r="D1378" s="264"/>
      <c r="E1378" s="264"/>
      <c r="F1378" s="264"/>
      <c r="G1378" s="264"/>
      <c r="H1378" s="264"/>
      <c r="I1378" s="281"/>
      <c r="J1378" s="281"/>
      <c r="K1378" s="264"/>
      <c r="L1378" s="264"/>
      <c r="M1378" s="264"/>
      <c r="N1378" s="264"/>
      <c r="O1378" s="264"/>
      <c r="P1378" s="264"/>
      <c r="Q1378" s="264"/>
      <c r="R1378" s="264"/>
      <c r="S1378" s="264"/>
      <c r="T1378" s="264"/>
      <c r="U1378" s="16"/>
      <c r="V1378" s="264"/>
      <c r="W1378" s="264"/>
      <c r="X1378" s="264"/>
      <c r="Y1378" s="264"/>
      <c r="Z1378" s="264"/>
      <c r="AA1378" s="264"/>
      <c r="AB1378" s="264"/>
      <c r="AC1378" s="264"/>
      <c r="AD1378" s="264"/>
      <c r="AE1378" s="264"/>
      <c r="AF1378" s="264"/>
      <c r="AG1378" s="264"/>
      <c r="AH1378" s="264"/>
      <c r="AI1378" s="264"/>
      <c r="AJ1378" s="264"/>
      <c r="AK1378" s="264"/>
      <c r="AL1378" s="264"/>
      <c r="AM1378" s="264"/>
      <c r="AN1378" s="264"/>
    </row>
    <row r="1379" ht="15.75" customHeight="1">
      <c r="A1379" s="264"/>
      <c r="B1379" s="42"/>
      <c r="C1379" s="280"/>
      <c r="D1379" s="264"/>
      <c r="E1379" s="264"/>
      <c r="F1379" s="264"/>
      <c r="G1379" s="264"/>
      <c r="H1379" s="264"/>
      <c r="I1379" s="281"/>
      <c r="J1379" s="281"/>
      <c r="K1379" s="264"/>
      <c r="L1379" s="264"/>
      <c r="M1379" s="264"/>
      <c r="N1379" s="264"/>
      <c r="O1379" s="264"/>
      <c r="P1379" s="264"/>
      <c r="Q1379" s="264"/>
      <c r="R1379" s="264"/>
      <c r="S1379" s="264"/>
      <c r="T1379" s="264"/>
      <c r="U1379" s="16"/>
      <c r="V1379" s="264"/>
      <c r="W1379" s="264"/>
      <c r="X1379" s="264"/>
      <c r="Y1379" s="264"/>
      <c r="Z1379" s="264"/>
      <c r="AA1379" s="264"/>
      <c r="AB1379" s="264"/>
      <c r="AC1379" s="264"/>
      <c r="AD1379" s="264"/>
      <c r="AE1379" s="264"/>
      <c r="AF1379" s="264"/>
      <c r="AG1379" s="264"/>
      <c r="AH1379" s="264"/>
      <c r="AI1379" s="264"/>
      <c r="AJ1379" s="264"/>
      <c r="AK1379" s="264"/>
      <c r="AL1379" s="264"/>
      <c r="AM1379" s="264"/>
      <c r="AN1379" s="264"/>
    </row>
    <row r="1380" ht="15.75" customHeight="1">
      <c r="A1380" s="264"/>
      <c r="B1380" s="42"/>
      <c r="C1380" s="280"/>
      <c r="D1380" s="264"/>
      <c r="E1380" s="264"/>
      <c r="F1380" s="264"/>
      <c r="G1380" s="264"/>
      <c r="H1380" s="264"/>
      <c r="I1380" s="281"/>
      <c r="J1380" s="281"/>
      <c r="K1380" s="264"/>
      <c r="L1380" s="264"/>
      <c r="M1380" s="264"/>
      <c r="N1380" s="264"/>
      <c r="O1380" s="264"/>
      <c r="P1380" s="264"/>
      <c r="Q1380" s="264"/>
      <c r="R1380" s="264"/>
      <c r="S1380" s="264"/>
      <c r="T1380" s="264"/>
      <c r="U1380" s="16"/>
      <c r="V1380" s="264"/>
      <c r="W1380" s="264"/>
      <c r="X1380" s="264"/>
      <c r="Y1380" s="264"/>
      <c r="Z1380" s="264"/>
      <c r="AA1380" s="264"/>
      <c r="AB1380" s="264"/>
      <c r="AC1380" s="264"/>
      <c r="AD1380" s="264"/>
      <c r="AE1380" s="264"/>
      <c r="AF1380" s="264"/>
      <c r="AG1380" s="264"/>
      <c r="AH1380" s="264"/>
      <c r="AI1380" s="264"/>
      <c r="AJ1380" s="264"/>
      <c r="AK1380" s="264"/>
      <c r="AL1380" s="264"/>
      <c r="AM1380" s="264"/>
      <c r="AN1380" s="264"/>
    </row>
    <row r="1381" ht="15.75" customHeight="1">
      <c r="A1381" s="264"/>
      <c r="B1381" s="42"/>
      <c r="C1381" s="280"/>
      <c r="D1381" s="264"/>
      <c r="E1381" s="264"/>
      <c r="F1381" s="264"/>
      <c r="G1381" s="264"/>
      <c r="H1381" s="264"/>
      <c r="I1381" s="281"/>
      <c r="J1381" s="281"/>
      <c r="K1381" s="264"/>
      <c r="L1381" s="264"/>
      <c r="M1381" s="264"/>
      <c r="N1381" s="264"/>
      <c r="O1381" s="264"/>
      <c r="P1381" s="264"/>
      <c r="Q1381" s="264"/>
      <c r="R1381" s="264"/>
      <c r="S1381" s="264"/>
      <c r="T1381" s="264"/>
      <c r="U1381" s="16"/>
      <c r="V1381" s="264"/>
      <c r="W1381" s="264"/>
      <c r="X1381" s="264"/>
      <c r="Y1381" s="264"/>
      <c r="Z1381" s="264"/>
      <c r="AA1381" s="264"/>
      <c r="AB1381" s="264"/>
      <c r="AC1381" s="264"/>
      <c r="AD1381" s="264"/>
      <c r="AE1381" s="264"/>
      <c r="AF1381" s="264"/>
      <c r="AG1381" s="264"/>
      <c r="AH1381" s="264"/>
      <c r="AI1381" s="264"/>
      <c r="AJ1381" s="264"/>
      <c r="AK1381" s="264"/>
      <c r="AL1381" s="264"/>
      <c r="AM1381" s="264"/>
      <c r="AN1381" s="264"/>
    </row>
    <row r="1382" ht="15.75" customHeight="1">
      <c r="A1382" s="264"/>
      <c r="B1382" s="42"/>
      <c r="C1382" s="280"/>
      <c r="D1382" s="264"/>
      <c r="E1382" s="264"/>
      <c r="F1382" s="264"/>
      <c r="G1382" s="264"/>
      <c r="H1382" s="264"/>
      <c r="I1382" s="281"/>
      <c r="J1382" s="281"/>
      <c r="K1382" s="264"/>
      <c r="L1382" s="264"/>
      <c r="M1382" s="264"/>
      <c r="N1382" s="264"/>
      <c r="O1382" s="264"/>
      <c r="P1382" s="264"/>
      <c r="Q1382" s="264"/>
      <c r="R1382" s="264"/>
      <c r="S1382" s="264"/>
      <c r="T1382" s="264"/>
      <c r="U1382" s="16"/>
      <c r="V1382" s="264"/>
      <c r="W1382" s="264"/>
      <c r="X1382" s="264"/>
      <c r="Y1382" s="264"/>
      <c r="Z1382" s="264"/>
      <c r="AA1382" s="264"/>
      <c r="AB1382" s="264"/>
      <c r="AC1382" s="264"/>
      <c r="AD1382" s="264"/>
      <c r="AE1382" s="264"/>
      <c r="AF1382" s="264"/>
      <c r="AG1382" s="264"/>
      <c r="AH1382" s="264"/>
      <c r="AI1382" s="264"/>
      <c r="AJ1382" s="264"/>
      <c r="AK1382" s="264"/>
      <c r="AL1382" s="264"/>
      <c r="AM1382" s="264"/>
      <c r="AN1382" s="264"/>
    </row>
    <row r="1383" ht="15.75" customHeight="1">
      <c r="A1383" s="264"/>
      <c r="B1383" s="42"/>
      <c r="C1383" s="280"/>
      <c r="D1383" s="264"/>
      <c r="E1383" s="264"/>
      <c r="F1383" s="264"/>
      <c r="G1383" s="264"/>
      <c r="H1383" s="264"/>
      <c r="I1383" s="281"/>
      <c r="J1383" s="281"/>
      <c r="K1383" s="264"/>
      <c r="L1383" s="264"/>
      <c r="M1383" s="264"/>
      <c r="N1383" s="264"/>
      <c r="O1383" s="264"/>
      <c r="P1383" s="264"/>
      <c r="Q1383" s="264"/>
      <c r="R1383" s="264"/>
      <c r="S1383" s="264"/>
      <c r="T1383" s="264"/>
      <c r="U1383" s="16"/>
      <c r="V1383" s="264"/>
      <c r="W1383" s="264"/>
      <c r="X1383" s="264"/>
      <c r="Y1383" s="264"/>
      <c r="Z1383" s="264"/>
      <c r="AA1383" s="264"/>
      <c r="AB1383" s="264"/>
      <c r="AC1383" s="264"/>
      <c r="AD1383" s="264"/>
      <c r="AE1383" s="264"/>
      <c r="AF1383" s="264"/>
      <c r="AG1383" s="264"/>
      <c r="AH1383" s="264"/>
      <c r="AI1383" s="264"/>
      <c r="AJ1383" s="264"/>
      <c r="AK1383" s="264"/>
      <c r="AL1383" s="264"/>
      <c r="AM1383" s="264"/>
      <c r="AN1383" s="264"/>
    </row>
    <row r="1384" ht="15.75" customHeight="1">
      <c r="A1384" s="264"/>
      <c r="B1384" s="42"/>
      <c r="C1384" s="280"/>
      <c r="D1384" s="264"/>
      <c r="E1384" s="264"/>
      <c r="F1384" s="264"/>
      <c r="G1384" s="264"/>
      <c r="H1384" s="264"/>
      <c r="I1384" s="281"/>
      <c r="J1384" s="281"/>
      <c r="K1384" s="264"/>
      <c r="L1384" s="264"/>
      <c r="M1384" s="264"/>
      <c r="N1384" s="264"/>
      <c r="O1384" s="264"/>
      <c r="P1384" s="264"/>
      <c r="Q1384" s="264"/>
      <c r="R1384" s="264"/>
      <c r="S1384" s="264"/>
      <c r="T1384" s="264"/>
      <c r="U1384" s="16"/>
      <c r="V1384" s="264"/>
      <c r="W1384" s="264"/>
      <c r="X1384" s="264"/>
      <c r="Y1384" s="264"/>
      <c r="Z1384" s="264"/>
      <c r="AA1384" s="264"/>
      <c r="AB1384" s="264"/>
      <c r="AC1384" s="264"/>
      <c r="AD1384" s="264"/>
      <c r="AE1384" s="264"/>
      <c r="AF1384" s="264"/>
      <c r="AG1384" s="264"/>
      <c r="AH1384" s="264"/>
      <c r="AI1384" s="264"/>
      <c r="AJ1384" s="264"/>
      <c r="AK1384" s="264"/>
      <c r="AL1384" s="264"/>
      <c r="AM1384" s="264"/>
      <c r="AN1384" s="264"/>
    </row>
    <row r="1385" ht="15.75" customHeight="1">
      <c r="A1385" s="264"/>
      <c r="B1385" s="42"/>
      <c r="C1385" s="280"/>
      <c r="D1385" s="264"/>
      <c r="E1385" s="264"/>
      <c r="F1385" s="264"/>
      <c r="G1385" s="264"/>
      <c r="H1385" s="264"/>
      <c r="I1385" s="281"/>
      <c r="J1385" s="281"/>
      <c r="K1385" s="264"/>
      <c r="L1385" s="264"/>
      <c r="M1385" s="264"/>
      <c r="N1385" s="264"/>
      <c r="O1385" s="264"/>
      <c r="P1385" s="264"/>
      <c r="Q1385" s="264"/>
      <c r="R1385" s="264"/>
      <c r="S1385" s="264"/>
      <c r="T1385" s="264"/>
      <c r="U1385" s="16"/>
      <c r="V1385" s="264"/>
      <c r="W1385" s="264"/>
      <c r="X1385" s="264"/>
      <c r="Y1385" s="264"/>
      <c r="Z1385" s="264"/>
      <c r="AA1385" s="264"/>
      <c r="AB1385" s="264"/>
      <c r="AC1385" s="264"/>
      <c r="AD1385" s="264"/>
      <c r="AE1385" s="264"/>
      <c r="AF1385" s="264"/>
      <c r="AG1385" s="264"/>
      <c r="AH1385" s="264"/>
      <c r="AI1385" s="264"/>
      <c r="AJ1385" s="264"/>
      <c r="AK1385" s="264"/>
      <c r="AL1385" s="264"/>
      <c r="AM1385" s="264"/>
      <c r="AN1385" s="264"/>
    </row>
    <row r="1386" ht="15.75" customHeight="1">
      <c r="A1386" s="264"/>
      <c r="B1386" s="42"/>
      <c r="C1386" s="280"/>
      <c r="D1386" s="264"/>
      <c r="E1386" s="264"/>
      <c r="F1386" s="264"/>
      <c r="G1386" s="264"/>
      <c r="H1386" s="264"/>
      <c r="I1386" s="281"/>
      <c r="J1386" s="281"/>
      <c r="K1386" s="264"/>
      <c r="L1386" s="264"/>
      <c r="M1386" s="264"/>
      <c r="N1386" s="264"/>
      <c r="O1386" s="264"/>
      <c r="P1386" s="264"/>
      <c r="Q1386" s="264"/>
      <c r="R1386" s="264"/>
      <c r="S1386" s="264"/>
      <c r="T1386" s="264"/>
      <c r="U1386" s="16"/>
      <c r="V1386" s="264"/>
      <c r="W1386" s="264"/>
      <c r="X1386" s="264"/>
      <c r="Y1386" s="264"/>
      <c r="Z1386" s="264"/>
      <c r="AA1386" s="264"/>
      <c r="AB1386" s="264"/>
      <c r="AC1386" s="264"/>
      <c r="AD1386" s="264"/>
      <c r="AE1386" s="264"/>
      <c r="AF1386" s="264"/>
      <c r="AG1386" s="264"/>
      <c r="AH1386" s="264"/>
      <c r="AI1386" s="264"/>
      <c r="AJ1386" s="264"/>
      <c r="AK1386" s="264"/>
      <c r="AL1386" s="264"/>
      <c r="AM1386" s="264"/>
      <c r="AN1386" s="264"/>
    </row>
    <row r="1387" ht="15.75" customHeight="1">
      <c r="A1387" s="264"/>
      <c r="B1387" s="42"/>
      <c r="C1387" s="280"/>
      <c r="D1387" s="264"/>
      <c r="E1387" s="264"/>
      <c r="F1387" s="264"/>
      <c r="G1387" s="264"/>
      <c r="H1387" s="264"/>
      <c r="I1387" s="281"/>
      <c r="J1387" s="281"/>
      <c r="K1387" s="264"/>
      <c r="L1387" s="264"/>
      <c r="M1387" s="264"/>
      <c r="N1387" s="264"/>
      <c r="O1387" s="264"/>
      <c r="P1387" s="264"/>
      <c r="Q1387" s="264"/>
      <c r="R1387" s="264"/>
      <c r="S1387" s="264"/>
      <c r="T1387" s="264"/>
      <c r="U1387" s="16"/>
      <c r="V1387" s="264"/>
      <c r="W1387" s="264"/>
      <c r="X1387" s="264"/>
      <c r="Y1387" s="264"/>
      <c r="Z1387" s="264"/>
      <c r="AA1387" s="264"/>
      <c r="AB1387" s="264"/>
      <c r="AC1387" s="264"/>
      <c r="AD1387" s="264"/>
      <c r="AE1387" s="264"/>
      <c r="AF1387" s="264"/>
      <c r="AG1387" s="264"/>
      <c r="AH1387" s="264"/>
      <c r="AI1387" s="264"/>
      <c r="AJ1387" s="264"/>
      <c r="AK1387" s="264"/>
      <c r="AL1387" s="264"/>
      <c r="AM1387" s="264"/>
      <c r="AN1387" s="264"/>
    </row>
    <row r="1388" ht="15.75" customHeight="1">
      <c r="A1388" s="264"/>
      <c r="B1388" s="42"/>
      <c r="C1388" s="280"/>
      <c r="D1388" s="264"/>
      <c r="E1388" s="264"/>
      <c r="F1388" s="264"/>
      <c r="G1388" s="264"/>
      <c r="H1388" s="264"/>
      <c r="I1388" s="281"/>
      <c r="J1388" s="281"/>
      <c r="K1388" s="264"/>
      <c r="L1388" s="264"/>
      <c r="M1388" s="264"/>
      <c r="N1388" s="264"/>
      <c r="O1388" s="264"/>
      <c r="P1388" s="264"/>
      <c r="Q1388" s="264"/>
      <c r="R1388" s="264"/>
      <c r="S1388" s="264"/>
      <c r="T1388" s="264"/>
      <c r="U1388" s="16"/>
      <c r="V1388" s="264"/>
      <c r="W1388" s="264"/>
      <c r="X1388" s="264"/>
      <c r="Y1388" s="264"/>
      <c r="Z1388" s="264"/>
      <c r="AA1388" s="264"/>
      <c r="AB1388" s="264"/>
      <c r="AC1388" s="264"/>
      <c r="AD1388" s="264"/>
      <c r="AE1388" s="264"/>
      <c r="AF1388" s="264"/>
      <c r="AG1388" s="264"/>
      <c r="AH1388" s="264"/>
      <c r="AI1388" s="264"/>
      <c r="AJ1388" s="264"/>
      <c r="AK1388" s="264"/>
      <c r="AL1388" s="264"/>
      <c r="AM1388" s="264"/>
      <c r="AN1388" s="264"/>
    </row>
    <row r="1389" ht="15.75" customHeight="1">
      <c r="A1389" s="264"/>
      <c r="B1389" s="42"/>
      <c r="C1389" s="280"/>
      <c r="D1389" s="264"/>
      <c r="E1389" s="264"/>
      <c r="F1389" s="264"/>
      <c r="G1389" s="264"/>
      <c r="H1389" s="264"/>
      <c r="I1389" s="281"/>
      <c r="J1389" s="281"/>
      <c r="K1389" s="264"/>
      <c r="L1389" s="264"/>
      <c r="M1389" s="264"/>
      <c r="N1389" s="264"/>
      <c r="O1389" s="264"/>
      <c r="P1389" s="264"/>
      <c r="Q1389" s="264"/>
      <c r="R1389" s="264"/>
      <c r="S1389" s="264"/>
      <c r="T1389" s="264"/>
      <c r="U1389" s="16"/>
      <c r="V1389" s="264"/>
      <c r="W1389" s="264"/>
      <c r="X1389" s="264"/>
      <c r="Y1389" s="264"/>
      <c r="Z1389" s="264"/>
      <c r="AA1389" s="264"/>
      <c r="AB1389" s="264"/>
      <c r="AC1389" s="264"/>
      <c r="AD1389" s="264"/>
      <c r="AE1389" s="264"/>
      <c r="AF1389" s="264"/>
      <c r="AG1389" s="264"/>
      <c r="AH1389" s="264"/>
      <c r="AI1389" s="264"/>
      <c r="AJ1389" s="264"/>
      <c r="AK1389" s="264"/>
      <c r="AL1389" s="264"/>
      <c r="AM1389" s="264"/>
      <c r="AN1389" s="264"/>
    </row>
    <row r="1390" ht="15.75" customHeight="1">
      <c r="A1390" s="264"/>
      <c r="B1390" s="42"/>
      <c r="C1390" s="280"/>
      <c r="D1390" s="264"/>
      <c r="E1390" s="264"/>
      <c r="F1390" s="264"/>
      <c r="G1390" s="264"/>
      <c r="H1390" s="264"/>
      <c r="I1390" s="281"/>
      <c r="J1390" s="281"/>
      <c r="K1390" s="264"/>
      <c r="L1390" s="264"/>
      <c r="M1390" s="264"/>
      <c r="N1390" s="264"/>
      <c r="O1390" s="264"/>
      <c r="P1390" s="264"/>
      <c r="Q1390" s="264"/>
      <c r="R1390" s="264"/>
      <c r="S1390" s="264"/>
      <c r="T1390" s="264"/>
      <c r="U1390" s="16"/>
      <c r="V1390" s="264"/>
      <c r="W1390" s="264"/>
      <c r="X1390" s="264"/>
      <c r="Y1390" s="264"/>
      <c r="Z1390" s="264"/>
      <c r="AA1390" s="264"/>
      <c r="AB1390" s="264"/>
      <c r="AC1390" s="264"/>
      <c r="AD1390" s="264"/>
      <c r="AE1390" s="264"/>
      <c r="AF1390" s="264"/>
      <c r="AG1390" s="264"/>
      <c r="AH1390" s="264"/>
      <c r="AI1390" s="264"/>
      <c r="AJ1390" s="264"/>
      <c r="AK1390" s="264"/>
      <c r="AL1390" s="264"/>
      <c r="AM1390" s="264"/>
      <c r="AN1390" s="264"/>
    </row>
    <row r="1391" ht="15.75" customHeight="1">
      <c r="A1391" s="264"/>
      <c r="B1391" s="42"/>
      <c r="C1391" s="280"/>
      <c r="D1391" s="264"/>
      <c r="E1391" s="264"/>
      <c r="F1391" s="264"/>
      <c r="G1391" s="264"/>
      <c r="H1391" s="264"/>
      <c r="I1391" s="281"/>
      <c r="J1391" s="281"/>
      <c r="K1391" s="264"/>
      <c r="L1391" s="264"/>
      <c r="M1391" s="264"/>
      <c r="N1391" s="264"/>
      <c r="O1391" s="264"/>
      <c r="P1391" s="264"/>
      <c r="Q1391" s="264"/>
      <c r="R1391" s="264"/>
      <c r="S1391" s="264"/>
      <c r="T1391" s="264"/>
      <c r="U1391" s="16"/>
      <c r="V1391" s="264"/>
      <c r="W1391" s="264"/>
      <c r="X1391" s="264"/>
      <c r="Y1391" s="264"/>
      <c r="Z1391" s="264"/>
      <c r="AA1391" s="264"/>
      <c r="AB1391" s="264"/>
      <c r="AC1391" s="264"/>
      <c r="AD1391" s="264"/>
      <c r="AE1391" s="264"/>
      <c r="AF1391" s="264"/>
      <c r="AG1391" s="264"/>
      <c r="AH1391" s="264"/>
      <c r="AI1391" s="264"/>
      <c r="AJ1391" s="264"/>
      <c r="AK1391" s="264"/>
      <c r="AL1391" s="264"/>
      <c r="AM1391" s="264"/>
      <c r="AN1391" s="264"/>
    </row>
    <row r="1392" ht="15.75" customHeight="1">
      <c r="A1392" s="264"/>
      <c r="B1392" s="42"/>
      <c r="C1392" s="280"/>
      <c r="D1392" s="264"/>
      <c r="E1392" s="264"/>
      <c r="F1392" s="264"/>
      <c r="G1392" s="264"/>
      <c r="H1392" s="264"/>
      <c r="I1392" s="281"/>
      <c r="J1392" s="281"/>
      <c r="K1392" s="264"/>
      <c r="L1392" s="264"/>
      <c r="M1392" s="264"/>
      <c r="N1392" s="264"/>
      <c r="O1392" s="264"/>
      <c r="P1392" s="264"/>
      <c r="Q1392" s="264"/>
      <c r="R1392" s="264"/>
      <c r="S1392" s="264"/>
      <c r="T1392" s="264"/>
      <c r="U1392" s="16"/>
      <c r="V1392" s="264"/>
      <c r="W1392" s="264"/>
      <c r="X1392" s="264"/>
      <c r="Y1392" s="264"/>
      <c r="Z1392" s="264"/>
      <c r="AA1392" s="264"/>
      <c r="AB1392" s="264"/>
      <c r="AC1392" s="264"/>
      <c r="AD1392" s="264"/>
      <c r="AE1392" s="264"/>
      <c r="AF1392" s="264"/>
      <c r="AG1392" s="264"/>
      <c r="AH1392" s="264"/>
      <c r="AI1392" s="264"/>
      <c r="AJ1392" s="264"/>
      <c r="AK1392" s="264"/>
      <c r="AL1392" s="264"/>
      <c r="AM1392" s="264"/>
      <c r="AN1392" s="264"/>
    </row>
    <row r="1393" ht="15.75" customHeight="1">
      <c r="A1393" s="264"/>
      <c r="B1393" s="42"/>
      <c r="C1393" s="280"/>
      <c r="D1393" s="264"/>
      <c r="E1393" s="264"/>
      <c r="F1393" s="264"/>
      <c r="G1393" s="264"/>
      <c r="H1393" s="264"/>
      <c r="I1393" s="281"/>
      <c r="J1393" s="281"/>
      <c r="K1393" s="264"/>
      <c r="L1393" s="264"/>
      <c r="M1393" s="264"/>
      <c r="N1393" s="264"/>
      <c r="O1393" s="264"/>
      <c r="P1393" s="264"/>
      <c r="Q1393" s="264"/>
      <c r="R1393" s="264"/>
      <c r="S1393" s="264"/>
      <c r="T1393" s="264"/>
      <c r="U1393" s="16"/>
      <c r="V1393" s="264"/>
      <c r="W1393" s="264"/>
      <c r="X1393" s="264"/>
      <c r="Y1393" s="264"/>
      <c r="Z1393" s="264"/>
      <c r="AA1393" s="264"/>
      <c r="AB1393" s="264"/>
      <c r="AC1393" s="264"/>
      <c r="AD1393" s="264"/>
      <c r="AE1393" s="264"/>
      <c r="AF1393" s="264"/>
      <c r="AG1393" s="264"/>
      <c r="AH1393" s="264"/>
      <c r="AI1393" s="264"/>
      <c r="AJ1393" s="264"/>
      <c r="AK1393" s="264"/>
      <c r="AL1393" s="264"/>
      <c r="AM1393" s="264"/>
      <c r="AN1393" s="264"/>
    </row>
    <row r="1394" ht="15.75" customHeight="1">
      <c r="A1394" s="264"/>
      <c r="B1394" s="42"/>
      <c r="C1394" s="280"/>
      <c r="D1394" s="264"/>
      <c r="E1394" s="264"/>
      <c r="F1394" s="264"/>
      <c r="G1394" s="264"/>
      <c r="H1394" s="264"/>
      <c r="I1394" s="281"/>
      <c r="J1394" s="281"/>
      <c r="K1394" s="264"/>
      <c r="L1394" s="264"/>
      <c r="M1394" s="264"/>
      <c r="N1394" s="264"/>
      <c r="O1394" s="264"/>
      <c r="P1394" s="264"/>
      <c r="Q1394" s="264"/>
      <c r="R1394" s="264"/>
      <c r="S1394" s="264"/>
      <c r="T1394" s="264"/>
      <c r="U1394" s="16"/>
      <c r="V1394" s="264"/>
      <c r="W1394" s="264"/>
      <c r="X1394" s="264"/>
      <c r="Y1394" s="264"/>
      <c r="Z1394" s="264"/>
      <c r="AA1394" s="264"/>
      <c r="AB1394" s="264"/>
      <c r="AC1394" s="264"/>
      <c r="AD1394" s="264"/>
      <c r="AE1394" s="264"/>
      <c r="AF1394" s="264"/>
      <c r="AG1394" s="264"/>
      <c r="AH1394" s="264"/>
      <c r="AI1394" s="264"/>
      <c r="AJ1394" s="264"/>
      <c r="AK1394" s="264"/>
      <c r="AL1394" s="264"/>
      <c r="AM1394" s="264"/>
      <c r="AN1394" s="264"/>
    </row>
    <row r="1395" ht="15.75" customHeight="1">
      <c r="A1395" s="264"/>
      <c r="B1395" s="42"/>
      <c r="C1395" s="280"/>
      <c r="D1395" s="264"/>
      <c r="E1395" s="264"/>
      <c r="F1395" s="264"/>
      <c r="G1395" s="264"/>
      <c r="H1395" s="264"/>
      <c r="I1395" s="281"/>
      <c r="J1395" s="281"/>
      <c r="K1395" s="264"/>
      <c r="L1395" s="264"/>
      <c r="M1395" s="264"/>
      <c r="N1395" s="264"/>
      <c r="O1395" s="264"/>
      <c r="P1395" s="264"/>
      <c r="Q1395" s="264"/>
      <c r="R1395" s="264"/>
      <c r="S1395" s="264"/>
      <c r="T1395" s="264"/>
      <c r="U1395" s="16"/>
      <c r="V1395" s="264"/>
      <c r="W1395" s="264"/>
      <c r="X1395" s="264"/>
      <c r="Y1395" s="264"/>
      <c r="Z1395" s="264"/>
      <c r="AA1395" s="264"/>
      <c r="AB1395" s="264"/>
      <c r="AC1395" s="264"/>
      <c r="AD1395" s="264"/>
      <c r="AE1395" s="264"/>
      <c r="AF1395" s="264"/>
      <c r="AG1395" s="264"/>
      <c r="AH1395" s="264"/>
      <c r="AI1395" s="264"/>
      <c r="AJ1395" s="264"/>
      <c r="AK1395" s="264"/>
      <c r="AL1395" s="264"/>
      <c r="AM1395" s="264"/>
      <c r="AN1395" s="264"/>
    </row>
    <row r="1396" ht="15.75" customHeight="1">
      <c r="A1396" s="264"/>
      <c r="B1396" s="42"/>
      <c r="C1396" s="280"/>
      <c r="D1396" s="264"/>
      <c r="E1396" s="264"/>
      <c r="F1396" s="264"/>
      <c r="G1396" s="264"/>
      <c r="H1396" s="264"/>
      <c r="I1396" s="281"/>
      <c r="J1396" s="281"/>
      <c r="K1396" s="264"/>
      <c r="L1396" s="264"/>
      <c r="M1396" s="264"/>
      <c r="N1396" s="264"/>
      <c r="O1396" s="264"/>
      <c r="P1396" s="264"/>
      <c r="Q1396" s="264"/>
      <c r="R1396" s="264"/>
      <c r="S1396" s="264"/>
      <c r="T1396" s="264"/>
      <c r="U1396" s="16"/>
      <c r="V1396" s="264"/>
      <c r="W1396" s="264"/>
      <c r="X1396" s="264"/>
      <c r="Y1396" s="264"/>
      <c r="Z1396" s="264"/>
      <c r="AA1396" s="264"/>
      <c r="AB1396" s="264"/>
      <c r="AC1396" s="264"/>
      <c r="AD1396" s="264"/>
      <c r="AE1396" s="264"/>
      <c r="AF1396" s="264"/>
      <c r="AG1396" s="264"/>
      <c r="AH1396" s="264"/>
      <c r="AI1396" s="264"/>
      <c r="AJ1396" s="264"/>
      <c r="AK1396" s="264"/>
      <c r="AL1396" s="264"/>
      <c r="AM1396" s="264"/>
      <c r="AN1396" s="264"/>
    </row>
    <row r="1397" ht="15.75" customHeight="1">
      <c r="A1397" s="264"/>
      <c r="B1397" s="42"/>
      <c r="C1397" s="280"/>
      <c r="D1397" s="264"/>
      <c r="E1397" s="264"/>
      <c r="F1397" s="264"/>
      <c r="G1397" s="264"/>
      <c r="H1397" s="264"/>
      <c r="I1397" s="281"/>
      <c r="J1397" s="281"/>
      <c r="K1397" s="264"/>
      <c r="L1397" s="264"/>
      <c r="M1397" s="264"/>
      <c r="N1397" s="264"/>
      <c r="O1397" s="264"/>
      <c r="P1397" s="264"/>
      <c r="Q1397" s="264"/>
      <c r="R1397" s="264"/>
      <c r="S1397" s="264"/>
      <c r="T1397" s="264"/>
      <c r="U1397" s="16"/>
      <c r="V1397" s="264"/>
      <c r="W1397" s="264"/>
      <c r="X1397" s="264"/>
      <c r="Y1397" s="264"/>
      <c r="Z1397" s="264"/>
      <c r="AA1397" s="264"/>
      <c r="AB1397" s="264"/>
      <c r="AC1397" s="264"/>
      <c r="AD1397" s="264"/>
      <c r="AE1397" s="264"/>
      <c r="AF1397" s="264"/>
      <c r="AG1397" s="264"/>
      <c r="AH1397" s="264"/>
      <c r="AI1397" s="264"/>
      <c r="AJ1397" s="264"/>
      <c r="AK1397" s="264"/>
      <c r="AL1397" s="264"/>
      <c r="AM1397" s="264"/>
      <c r="AN1397" s="264"/>
    </row>
    <row r="1398" ht="15.75" customHeight="1">
      <c r="A1398" s="264"/>
      <c r="B1398" s="42"/>
      <c r="C1398" s="280"/>
      <c r="D1398" s="264"/>
      <c r="E1398" s="264"/>
      <c r="F1398" s="264"/>
      <c r="G1398" s="264"/>
      <c r="H1398" s="264"/>
      <c r="I1398" s="281"/>
      <c r="J1398" s="281"/>
      <c r="K1398" s="264"/>
      <c r="L1398" s="264"/>
      <c r="M1398" s="264"/>
      <c r="N1398" s="264"/>
      <c r="O1398" s="264"/>
      <c r="P1398" s="264"/>
      <c r="Q1398" s="264"/>
      <c r="R1398" s="264"/>
      <c r="S1398" s="264"/>
      <c r="T1398" s="264"/>
      <c r="U1398" s="16"/>
      <c r="V1398" s="264"/>
      <c r="W1398" s="264"/>
      <c r="X1398" s="264"/>
      <c r="Y1398" s="264"/>
      <c r="Z1398" s="264"/>
      <c r="AA1398" s="264"/>
      <c r="AB1398" s="264"/>
      <c r="AC1398" s="264"/>
      <c r="AD1398" s="264"/>
      <c r="AE1398" s="264"/>
      <c r="AF1398" s="264"/>
      <c r="AG1398" s="264"/>
      <c r="AH1398" s="264"/>
      <c r="AI1398" s="264"/>
      <c r="AJ1398" s="264"/>
      <c r="AK1398" s="264"/>
      <c r="AL1398" s="264"/>
      <c r="AM1398" s="264"/>
      <c r="AN1398" s="264"/>
    </row>
    <row r="1399" ht="15.75" customHeight="1">
      <c r="A1399" s="264"/>
      <c r="B1399" s="42"/>
      <c r="C1399" s="280"/>
      <c r="D1399" s="264"/>
      <c r="E1399" s="264"/>
      <c r="F1399" s="264"/>
      <c r="G1399" s="264"/>
      <c r="H1399" s="264"/>
      <c r="I1399" s="281"/>
      <c r="J1399" s="281"/>
      <c r="K1399" s="264"/>
      <c r="L1399" s="264"/>
      <c r="M1399" s="264"/>
      <c r="N1399" s="264"/>
      <c r="O1399" s="264"/>
      <c r="P1399" s="264"/>
      <c r="Q1399" s="264"/>
      <c r="R1399" s="264"/>
      <c r="S1399" s="264"/>
      <c r="T1399" s="264"/>
      <c r="U1399" s="16"/>
      <c r="V1399" s="264"/>
      <c r="W1399" s="264"/>
      <c r="X1399" s="264"/>
      <c r="Y1399" s="264"/>
      <c r="Z1399" s="264"/>
      <c r="AA1399" s="264"/>
      <c r="AB1399" s="264"/>
      <c r="AC1399" s="264"/>
      <c r="AD1399" s="264"/>
      <c r="AE1399" s="264"/>
      <c r="AF1399" s="264"/>
      <c r="AG1399" s="264"/>
      <c r="AH1399" s="264"/>
      <c r="AI1399" s="264"/>
      <c r="AJ1399" s="264"/>
      <c r="AK1399" s="264"/>
      <c r="AL1399" s="264"/>
      <c r="AM1399" s="264"/>
      <c r="AN1399" s="264"/>
    </row>
    <row r="1400" ht="15.75" customHeight="1">
      <c r="A1400" s="264"/>
      <c r="B1400" s="42"/>
      <c r="C1400" s="280"/>
      <c r="D1400" s="264"/>
      <c r="E1400" s="264"/>
      <c r="F1400" s="264"/>
      <c r="G1400" s="264"/>
      <c r="H1400" s="264"/>
      <c r="I1400" s="281"/>
      <c r="J1400" s="281"/>
      <c r="K1400" s="264"/>
      <c r="L1400" s="264"/>
      <c r="M1400" s="264"/>
      <c r="N1400" s="264"/>
      <c r="O1400" s="264"/>
      <c r="P1400" s="264"/>
      <c r="Q1400" s="264"/>
      <c r="R1400" s="264"/>
      <c r="S1400" s="264"/>
      <c r="T1400" s="264"/>
      <c r="U1400" s="16"/>
      <c r="V1400" s="264"/>
      <c r="W1400" s="264"/>
      <c r="X1400" s="264"/>
      <c r="Y1400" s="264"/>
      <c r="Z1400" s="264"/>
      <c r="AA1400" s="264"/>
      <c r="AB1400" s="264"/>
      <c r="AC1400" s="264"/>
      <c r="AD1400" s="264"/>
      <c r="AE1400" s="264"/>
      <c r="AF1400" s="264"/>
      <c r="AG1400" s="264"/>
      <c r="AH1400" s="264"/>
      <c r="AI1400" s="264"/>
      <c r="AJ1400" s="264"/>
      <c r="AK1400" s="264"/>
      <c r="AL1400" s="264"/>
      <c r="AM1400" s="264"/>
      <c r="AN1400" s="264"/>
    </row>
    <row r="1401" ht="15.75" customHeight="1">
      <c r="A1401" s="264"/>
      <c r="B1401" s="42"/>
      <c r="C1401" s="280"/>
      <c r="D1401" s="264"/>
      <c r="E1401" s="264"/>
      <c r="F1401" s="264"/>
      <c r="G1401" s="264"/>
      <c r="H1401" s="264"/>
      <c r="I1401" s="281"/>
      <c r="J1401" s="281"/>
      <c r="K1401" s="264"/>
      <c r="L1401" s="264"/>
      <c r="M1401" s="264"/>
      <c r="N1401" s="264"/>
      <c r="O1401" s="264"/>
      <c r="P1401" s="264"/>
      <c r="Q1401" s="264"/>
      <c r="R1401" s="264"/>
      <c r="S1401" s="264"/>
      <c r="T1401" s="264"/>
      <c r="U1401" s="16"/>
      <c r="V1401" s="264"/>
      <c r="W1401" s="264"/>
      <c r="X1401" s="264"/>
      <c r="Y1401" s="264"/>
      <c r="Z1401" s="264"/>
      <c r="AA1401" s="264"/>
      <c r="AB1401" s="264"/>
      <c r="AC1401" s="264"/>
      <c r="AD1401" s="264"/>
      <c r="AE1401" s="264"/>
      <c r="AF1401" s="264"/>
      <c r="AG1401" s="264"/>
      <c r="AH1401" s="264"/>
      <c r="AI1401" s="264"/>
      <c r="AJ1401" s="264"/>
      <c r="AK1401" s="264"/>
      <c r="AL1401" s="264"/>
      <c r="AM1401" s="264"/>
      <c r="AN1401" s="264"/>
    </row>
    <row r="1402" ht="15.75" customHeight="1">
      <c r="A1402" s="264"/>
      <c r="B1402" s="42"/>
      <c r="C1402" s="280"/>
      <c r="D1402" s="264"/>
      <c r="E1402" s="264"/>
      <c r="F1402" s="264"/>
      <c r="G1402" s="264"/>
      <c r="H1402" s="264"/>
      <c r="I1402" s="281"/>
      <c r="J1402" s="281"/>
      <c r="K1402" s="264"/>
      <c r="L1402" s="264"/>
      <c r="M1402" s="264"/>
      <c r="N1402" s="264"/>
      <c r="O1402" s="264"/>
      <c r="P1402" s="264"/>
      <c r="Q1402" s="264"/>
      <c r="R1402" s="264"/>
      <c r="S1402" s="264"/>
      <c r="T1402" s="264"/>
      <c r="U1402" s="16"/>
      <c r="V1402" s="264"/>
      <c r="W1402" s="264"/>
      <c r="X1402" s="264"/>
      <c r="Y1402" s="264"/>
      <c r="Z1402" s="264"/>
      <c r="AA1402" s="264"/>
      <c r="AB1402" s="264"/>
      <c r="AC1402" s="264"/>
      <c r="AD1402" s="264"/>
      <c r="AE1402" s="264"/>
      <c r="AF1402" s="264"/>
      <c r="AG1402" s="264"/>
      <c r="AH1402" s="264"/>
      <c r="AI1402" s="264"/>
      <c r="AJ1402" s="264"/>
      <c r="AK1402" s="264"/>
      <c r="AL1402" s="264"/>
      <c r="AM1402" s="264"/>
      <c r="AN1402" s="264"/>
    </row>
    <row r="1403" ht="15.75" customHeight="1">
      <c r="A1403" s="264"/>
      <c r="B1403" s="42"/>
      <c r="C1403" s="280"/>
      <c r="D1403" s="264"/>
      <c r="E1403" s="264"/>
      <c r="F1403" s="264"/>
      <c r="G1403" s="264"/>
      <c r="H1403" s="264"/>
      <c r="I1403" s="281"/>
      <c r="J1403" s="281"/>
      <c r="K1403" s="264"/>
      <c r="L1403" s="264"/>
      <c r="M1403" s="264"/>
      <c r="N1403" s="264"/>
      <c r="O1403" s="264"/>
      <c r="P1403" s="264"/>
      <c r="Q1403" s="264"/>
      <c r="R1403" s="264"/>
      <c r="S1403" s="264"/>
      <c r="T1403" s="264"/>
      <c r="U1403" s="16"/>
      <c r="V1403" s="264"/>
      <c r="W1403" s="264"/>
      <c r="X1403" s="264"/>
      <c r="Y1403" s="264"/>
      <c r="Z1403" s="264"/>
      <c r="AA1403" s="264"/>
      <c r="AB1403" s="264"/>
      <c r="AC1403" s="264"/>
      <c r="AD1403" s="264"/>
      <c r="AE1403" s="264"/>
      <c r="AF1403" s="264"/>
      <c r="AG1403" s="264"/>
      <c r="AH1403" s="264"/>
      <c r="AI1403" s="264"/>
      <c r="AJ1403" s="264"/>
      <c r="AK1403" s="264"/>
      <c r="AL1403" s="264"/>
      <c r="AM1403" s="264"/>
      <c r="AN1403" s="264"/>
    </row>
    <row r="1404" ht="15.75" customHeight="1">
      <c r="A1404" s="264"/>
      <c r="B1404" s="42"/>
      <c r="C1404" s="280"/>
      <c r="D1404" s="264"/>
      <c r="E1404" s="264"/>
      <c r="F1404" s="264"/>
      <c r="G1404" s="264"/>
      <c r="H1404" s="264"/>
      <c r="I1404" s="281"/>
      <c r="J1404" s="281"/>
      <c r="K1404" s="264"/>
      <c r="L1404" s="264"/>
      <c r="M1404" s="264"/>
      <c r="N1404" s="264"/>
      <c r="O1404" s="264"/>
      <c r="P1404" s="264"/>
      <c r="Q1404" s="264"/>
      <c r="R1404" s="264"/>
      <c r="S1404" s="264"/>
      <c r="T1404" s="264"/>
      <c r="U1404" s="16"/>
      <c r="V1404" s="264"/>
      <c r="W1404" s="264"/>
      <c r="X1404" s="264"/>
      <c r="Y1404" s="264"/>
      <c r="Z1404" s="264"/>
      <c r="AA1404" s="264"/>
      <c r="AB1404" s="264"/>
      <c r="AC1404" s="264"/>
      <c r="AD1404" s="264"/>
      <c r="AE1404" s="264"/>
      <c r="AF1404" s="264"/>
      <c r="AG1404" s="264"/>
      <c r="AH1404" s="264"/>
      <c r="AI1404" s="264"/>
      <c r="AJ1404" s="264"/>
      <c r="AK1404" s="264"/>
      <c r="AL1404" s="264"/>
      <c r="AM1404" s="264"/>
      <c r="AN1404" s="264"/>
    </row>
    <row r="1405" ht="15.75" customHeight="1">
      <c r="A1405" s="264"/>
      <c r="B1405" s="42"/>
      <c r="C1405" s="280"/>
      <c r="D1405" s="264"/>
      <c r="E1405" s="264"/>
      <c r="F1405" s="264"/>
      <c r="G1405" s="264"/>
      <c r="H1405" s="264"/>
      <c r="I1405" s="281"/>
      <c r="J1405" s="281"/>
      <c r="K1405" s="264"/>
      <c r="L1405" s="264"/>
      <c r="M1405" s="264"/>
      <c r="N1405" s="264"/>
      <c r="O1405" s="264"/>
      <c r="P1405" s="264"/>
      <c r="Q1405" s="264"/>
      <c r="R1405" s="264"/>
      <c r="S1405" s="264"/>
      <c r="T1405" s="264"/>
      <c r="U1405" s="16"/>
      <c r="V1405" s="264"/>
      <c r="W1405" s="264"/>
      <c r="X1405" s="264"/>
      <c r="Y1405" s="264"/>
      <c r="Z1405" s="264"/>
      <c r="AA1405" s="264"/>
      <c r="AB1405" s="264"/>
      <c r="AC1405" s="264"/>
      <c r="AD1405" s="264"/>
      <c r="AE1405" s="264"/>
      <c r="AF1405" s="264"/>
      <c r="AG1405" s="264"/>
      <c r="AH1405" s="264"/>
      <c r="AI1405" s="264"/>
      <c r="AJ1405" s="264"/>
      <c r="AK1405" s="264"/>
      <c r="AL1405" s="264"/>
      <c r="AM1405" s="264"/>
      <c r="AN1405" s="264"/>
    </row>
    <row r="1406" ht="15.75" customHeight="1">
      <c r="A1406" s="264"/>
      <c r="B1406" s="42"/>
      <c r="C1406" s="280"/>
      <c r="D1406" s="264"/>
      <c r="E1406" s="264"/>
      <c r="F1406" s="264"/>
      <c r="G1406" s="264"/>
      <c r="H1406" s="264"/>
      <c r="I1406" s="281"/>
      <c r="J1406" s="281"/>
      <c r="K1406" s="264"/>
      <c r="L1406" s="264"/>
      <c r="M1406" s="264"/>
      <c r="N1406" s="264"/>
      <c r="O1406" s="264"/>
      <c r="P1406" s="264"/>
      <c r="Q1406" s="264"/>
      <c r="R1406" s="264"/>
      <c r="S1406" s="264"/>
      <c r="T1406" s="264"/>
      <c r="U1406" s="16"/>
      <c r="V1406" s="264"/>
      <c r="W1406" s="264"/>
      <c r="X1406" s="264"/>
      <c r="Y1406" s="264"/>
      <c r="Z1406" s="264"/>
      <c r="AA1406" s="264"/>
      <c r="AB1406" s="264"/>
      <c r="AC1406" s="264"/>
      <c r="AD1406" s="264"/>
      <c r="AE1406" s="264"/>
      <c r="AF1406" s="264"/>
      <c r="AG1406" s="264"/>
      <c r="AH1406" s="264"/>
      <c r="AI1406" s="264"/>
      <c r="AJ1406" s="264"/>
      <c r="AK1406" s="264"/>
      <c r="AL1406" s="264"/>
      <c r="AM1406" s="264"/>
      <c r="AN1406" s="264"/>
    </row>
    <row r="1407" ht="15.75" customHeight="1">
      <c r="A1407" s="264"/>
      <c r="B1407" s="42"/>
      <c r="C1407" s="280"/>
      <c r="D1407" s="264"/>
      <c r="E1407" s="264"/>
      <c r="F1407" s="264"/>
      <c r="G1407" s="264"/>
      <c r="H1407" s="264"/>
      <c r="I1407" s="281"/>
      <c r="J1407" s="281"/>
      <c r="K1407" s="264"/>
      <c r="L1407" s="264"/>
      <c r="M1407" s="264"/>
      <c r="N1407" s="264"/>
      <c r="O1407" s="264"/>
      <c r="P1407" s="264"/>
      <c r="Q1407" s="264"/>
      <c r="R1407" s="264"/>
      <c r="S1407" s="264"/>
      <c r="T1407" s="264"/>
      <c r="U1407" s="16"/>
      <c r="V1407" s="264"/>
      <c r="W1407" s="264"/>
      <c r="X1407" s="264"/>
      <c r="Y1407" s="264"/>
      <c r="Z1407" s="264"/>
      <c r="AA1407" s="264"/>
      <c r="AB1407" s="264"/>
      <c r="AC1407" s="264"/>
      <c r="AD1407" s="264"/>
      <c r="AE1407" s="264"/>
      <c r="AF1407" s="264"/>
      <c r="AG1407" s="264"/>
      <c r="AH1407" s="264"/>
      <c r="AI1407" s="264"/>
      <c r="AJ1407" s="264"/>
      <c r="AK1407" s="264"/>
      <c r="AL1407" s="264"/>
      <c r="AM1407" s="264"/>
      <c r="AN1407" s="264"/>
    </row>
    <row r="1408" ht="15.75" customHeight="1">
      <c r="A1408" s="264"/>
      <c r="B1408" s="42"/>
      <c r="C1408" s="280"/>
      <c r="D1408" s="264"/>
      <c r="E1408" s="264"/>
      <c r="F1408" s="264"/>
      <c r="G1408" s="264"/>
      <c r="H1408" s="264"/>
      <c r="I1408" s="281"/>
      <c r="J1408" s="281"/>
      <c r="K1408" s="264"/>
      <c r="L1408" s="264"/>
      <c r="M1408" s="264"/>
      <c r="N1408" s="264"/>
      <c r="O1408" s="264"/>
      <c r="P1408" s="264"/>
      <c r="Q1408" s="264"/>
      <c r="R1408" s="264"/>
      <c r="S1408" s="264"/>
      <c r="T1408" s="264"/>
      <c r="U1408" s="16"/>
      <c r="V1408" s="264"/>
      <c r="W1408" s="264"/>
      <c r="X1408" s="264"/>
      <c r="Y1408" s="264"/>
      <c r="Z1408" s="264"/>
      <c r="AA1408" s="264"/>
      <c r="AB1408" s="264"/>
      <c r="AC1408" s="264"/>
      <c r="AD1408" s="264"/>
      <c r="AE1408" s="264"/>
      <c r="AF1408" s="264"/>
      <c r="AG1408" s="264"/>
      <c r="AH1408" s="264"/>
      <c r="AI1408" s="264"/>
      <c r="AJ1408" s="264"/>
      <c r="AK1408" s="264"/>
      <c r="AL1408" s="264"/>
      <c r="AM1408" s="264"/>
      <c r="AN1408" s="264"/>
    </row>
    <row r="1409" ht="15.75" customHeight="1">
      <c r="A1409" s="264"/>
      <c r="B1409" s="42"/>
      <c r="C1409" s="280"/>
      <c r="D1409" s="264"/>
      <c r="E1409" s="264"/>
      <c r="F1409" s="264"/>
      <c r="G1409" s="264"/>
      <c r="H1409" s="264"/>
      <c r="I1409" s="281"/>
      <c r="J1409" s="281"/>
      <c r="K1409" s="264"/>
      <c r="L1409" s="264"/>
      <c r="M1409" s="264"/>
      <c r="N1409" s="264"/>
      <c r="O1409" s="264"/>
      <c r="P1409" s="264"/>
      <c r="Q1409" s="264"/>
      <c r="R1409" s="264"/>
      <c r="S1409" s="264"/>
      <c r="T1409" s="264"/>
      <c r="U1409" s="16"/>
      <c r="V1409" s="264"/>
      <c r="W1409" s="264"/>
      <c r="X1409" s="264"/>
      <c r="Y1409" s="264"/>
      <c r="Z1409" s="264"/>
      <c r="AA1409" s="264"/>
      <c r="AB1409" s="264"/>
      <c r="AC1409" s="264"/>
      <c r="AD1409" s="264"/>
      <c r="AE1409" s="264"/>
      <c r="AF1409" s="264"/>
      <c r="AG1409" s="264"/>
      <c r="AH1409" s="264"/>
      <c r="AI1409" s="264"/>
      <c r="AJ1409" s="264"/>
      <c r="AK1409" s="264"/>
      <c r="AL1409" s="264"/>
      <c r="AM1409" s="264"/>
      <c r="AN1409" s="264"/>
    </row>
    <row r="1410" ht="15.75" customHeight="1">
      <c r="A1410" s="264"/>
      <c r="B1410" s="42"/>
      <c r="C1410" s="280"/>
      <c r="D1410" s="264"/>
      <c r="E1410" s="264"/>
      <c r="F1410" s="264"/>
      <c r="G1410" s="264"/>
      <c r="H1410" s="264"/>
      <c r="I1410" s="281"/>
      <c r="J1410" s="281"/>
      <c r="K1410" s="264"/>
      <c r="L1410" s="264"/>
      <c r="M1410" s="264"/>
      <c r="N1410" s="264"/>
      <c r="O1410" s="264"/>
      <c r="P1410" s="264"/>
      <c r="Q1410" s="264"/>
      <c r="R1410" s="264"/>
      <c r="S1410" s="264"/>
      <c r="T1410" s="264"/>
      <c r="U1410" s="16"/>
      <c r="V1410" s="264"/>
      <c r="W1410" s="264"/>
      <c r="X1410" s="264"/>
      <c r="Y1410" s="264"/>
      <c r="Z1410" s="264"/>
      <c r="AA1410" s="264"/>
      <c r="AB1410" s="264"/>
      <c r="AC1410" s="264"/>
      <c r="AD1410" s="264"/>
      <c r="AE1410" s="264"/>
      <c r="AF1410" s="264"/>
      <c r="AG1410" s="264"/>
      <c r="AH1410" s="264"/>
      <c r="AI1410" s="264"/>
      <c r="AJ1410" s="264"/>
      <c r="AK1410" s="264"/>
      <c r="AL1410" s="264"/>
      <c r="AM1410" s="264"/>
      <c r="AN1410" s="264"/>
    </row>
    <row r="1411" ht="15.75" customHeight="1">
      <c r="A1411" s="264"/>
      <c r="B1411" s="42"/>
      <c r="C1411" s="280"/>
      <c r="D1411" s="264"/>
      <c r="E1411" s="264"/>
      <c r="F1411" s="264"/>
      <c r="G1411" s="264"/>
      <c r="H1411" s="264"/>
      <c r="I1411" s="281"/>
      <c r="J1411" s="281"/>
      <c r="K1411" s="264"/>
      <c r="L1411" s="264"/>
      <c r="M1411" s="264"/>
      <c r="N1411" s="264"/>
      <c r="O1411" s="264"/>
      <c r="P1411" s="264"/>
      <c r="Q1411" s="264"/>
      <c r="R1411" s="264"/>
      <c r="S1411" s="264"/>
      <c r="T1411" s="264"/>
      <c r="U1411" s="16"/>
      <c r="V1411" s="264"/>
      <c r="W1411" s="264"/>
      <c r="X1411" s="264"/>
      <c r="Y1411" s="264"/>
      <c r="Z1411" s="264"/>
      <c r="AA1411" s="264"/>
      <c r="AB1411" s="264"/>
      <c r="AC1411" s="264"/>
      <c r="AD1411" s="264"/>
      <c r="AE1411" s="264"/>
      <c r="AF1411" s="264"/>
      <c r="AG1411" s="264"/>
      <c r="AH1411" s="264"/>
      <c r="AI1411" s="264"/>
      <c r="AJ1411" s="264"/>
      <c r="AK1411" s="264"/>
      <c r="AL1411" s="264"/>
      <c r="AM1411" s="264"/>
      <c r="AN1411" s="264"/>
    </row>
    <row r="1412" ht="15.75" customHeight="1">
      <c r="A1412" s="264"/>
      <c r="B1412" s="42"/>
      <c r="C1412" s="280"/>
      <c r="D1412" s="264"/>
      <c r="E1412" s="264"/>
      <c r="F1412" s="264"/>
      <c r="G1412" s="264"/>
      <c r="H1412" s="264"/>
      <c r="I1412" s="281"/>
      <c r="J1412" s="281"/>
      <c r="K1412" s="264"/>
      <c r="L1412" s="264"/>
      <c r="M1412" s="264"/>
      <c r="N1412" s="264"/>
      <c r="O1412" s="264"/>
      <c r="P1412" s="264"/>
      <c r="Q1412" s="264"/>
      <c r="R1412" s="264"/>
      <c r="S1412" s="264"/>
      <c r="T1412" s="264"/>
      <c r="U1412" s="16"/>
      <c r="V1412" s="264"/>
      <c r="W1412" s="264"/>
      <c r="X1412" s="264"/>
      <c r="Y1412" s="264"/>
      <c r="Z1412" s="264"/>
      <c r="AA1412" s="264"/>
      <c r="AB1412" s="264"/>
      <c r="AC1412" s="264"/>
      <c r="AD1412" s="264"/>
      <c r="AE1412" s="264"/>
      <c r="AF1412" s="264"/>
      <c r="AG1412" s="264"/>
      <c r="AH1412" s="264"/>
      <c r="AI1412" s="264"/>
      <c r="AJ1412" s="264"/>
      <c r="AK1412" s="264"/>
      <c r="AL1412" s="264"/>
      <c r="AM1412" s="264"/>
      <c r="AN1412" s="264"/>
    </row>
    <row r="1413" ht="15.75" customHeight="1">
      <c r="A1413" s="264"/>
      <c r="B1413" s="42"/>
      <c r="C1413" s="280"/>
      <c r="D1413" s="264"/>
      <c r="E1413" s="264"/>
      <c r="F1413" s="264"/>
      <c r="G1413" s="264"/>
      <c r="H1413" s="264"/>
      <c r="I1413" s="281"/>
      <c r="J1413" s="281"/>
      <c r="K1413" s="264"/>
      <c r="L1413" s="264"/>
      <c r="M1413" s="264"/>
      <c r="N1413" s="264"/>
      <c r="O1413" s="264"/>
      <c r="P1413" s="264"/>
      <c r="Q1413" s="264"/>
      <c r="R1413" s="264"/>
      <c r="S1413" s="264"/>
      <c r="T1413" s="264"/>
      <c r="U1413" s="16"/>
      <c r="V1413" s="264"/>
      <c r="W1413" s="264"/>
      <c r="X1413" s="264"/>
      <c r="Y1413" s="264"/>
      <c r="Z1413" s="264"/>
      <c r="AA1413" s="264"/>
      <c r="AB1413" s="264"/>
      <c r="AC1413" s="264"/>
      <c r="AD1413" s="264"/>
      <c r="AE1413" s="264"/>
      <c r="AF1413" s="264"/>
      <c r="AG1413" s="264"/>
      <c r="AH1413" s="264"/>
      <c r="AI1413" s="264"/>
      <c r="AJ1413" s="264"/>
      <c r="AK1413" s="264"/>
      <c r="AL1413" s="264"/>
      <c r="AM1413" s="264"/>
      <c r="AN1413" s="264"/>
    </row>
    <row r="1414" ht="15.75" customHeight="1">
      <c r="A1414" s="264"/>
      <c r="B1414" s="42"/>
      <c r="C1414" s="280"/>
      <c r="D1414" s="264"/>
      <c r="E1414" s="264"/>
      <c r="F1414" s="264"/>
      <c r="G1414" s="264"/>
      <c r="H1414" s="264"/>
      <c r="I1414" s="281"/>
      <c r="J1414" s="281"/>
      <c r="K1414" s="264"/>
      <c r="L1414" s="264"/>
      <c r="M1414" s="264"/>
      <c r="N1414" s="264"/>
      <c r="O1414" s="264"/>
      <c r="P1414" s="264"/>
      <c r="Q1414" s="264"/>
      <c r="R1414" s="264"/>
      <c r="S1414" s="264"/>
      <c r="T1414" s="264"/>
      <c r="U1414" s="16"/>
      <c r="V1414" s="264"/>
      <c r="W1414" s="264"/>
      <c r="X1414" s="264"/>
      <c r="Y1414" s="264"/>
      <c r="Z1414" s="264"/>
      <c r="AA1414" s="264"/>
      <c r="AB1414" s="264"/>
      <c r="AC1414" s="264"/>
      <c r="AD1414" s="264"/>
      <c r="AE1414" s="264"/>
      <c r="AF1414" s="264"/>
      <c r="AG1414" s="264"/>
      <c r="AH1414" s="264"/>
      <c r="AI1414" s="264"/>
      <c r="AJ1414" s="264"/>
      <c r="AK1414" s="264"/>
      <c r="AL1414" s="264"/>
      <c r="AM1414" s="264"/>
      <c r="AN1414" s="264"/>
    </row>
    <row r="1415" ht="15.75" customHeight="1">
      <c r="A1415" s="264"/>
      <c r="B1415" s="42"/>
      <c r="C1415" s="280"/>
      <c r="D1415" s="264"/>
      <c r="E1415" s="264"/>
      <c r="F1415" s="264"/>
      <c r="G1415" s="264"/>
      <c r="H1415" s="264"/>
      <c r="I1415" s="281"/>
      <c r="J1415" s="281"/>
      <c r="K1415" s="264"/>
      <c r="L1415" s="264"/>
      <c r="M1415" s="264"/>
      <c r="N1415" s="264"/>
      <c r="O1415" s="264"/>
      <c r="P1415" s="264"/>
      <c r="Q1415" s="264"/>
      <c r="R1415" s="264"/>
      <c r="S1415" s="264"/>
      <c r="T1415" s="264"/>
      <c r="U1415" s="16"/>
      <c r="V1415" s="264"/>
      <c r="W1415" s="264"/>
      <c r="X1415" s="264"/>
      <c r="Y1415" s="264"/>
      <c r="Z1415" s="264"/>
      <c r="AA1415" s="264"/>
      <c r="AB1415" s="264"/>
      <c r="AC1415" s="264"/>
      <c r="AD1415" s="264"/>
      <c r="AE1415" s="264"/>
      <c r="AF1415" s="264"/>
      <c r="AG1415" s="264"/>
      <c r="AH1415" s="264"/>
      <c r="AI1415" s="264"/>
      <c r="AJ1415" s="264"/>
      <c r="AK1415" s="264"/>
      <c r="AL1415" s="264"/>
      <c r="AM1415" s="264"/>
      <c r="AN1415" s="264"/>
    </row>
    <row r="1416" ht="15.75" customHeight="1">
      <c r="A1416" s="264"/>
      <c r="B1416" s="42"/>
      <c r="C1416" s="280"/>
      <c r="D1416" s="264"/>
      <c r="E1416" s="264"/>
      <c r="F1416" s="264"/>
      <c r="G1416" s="264"/>
      <c r="H1416" s="264"/>
      <c r="I1416" s="281"/>
      <c r="J1416" s="281"/>
      <c r="K1416" s="264"/>
      <c r="L1416" s="264"/>
      <c r="M1416" s="264"/>
      <c r="N1416" s="264"/>
      <c r="O1416" s="264"/>
      <c r="P1416" s="264"/>
      <c r="Q1416" s="264"/>
      <c r="R1416" s="264"/>
      <c r="S1416" s="264"/>
      <c r="T1416" s="264"/>
      <c r="U1416" s="16"/>
      <c r="V1416" s="264"/>
      <c r="W1416" s="264"/>
      <c r="X1416" s="264"/>
      <c r="Y1416" s="264"/>
      <c r="Z1416" s="264"/>
      <c r="AA1416" s="264"/>
      <c r="AB1416" s="264"/>
      <c r="AC1416" s="264"/>
      <c r="AD1416" s="264"/>
      <c r="AE1416" s="264"/>
      <c r="AF1416" s="264"/>
      <c r="AG1416" s="264"/>
      <c r="AH1416" s="264"/>
      <c r="AI1416" s="264"/>
      <c r="AJ1416" s="264"/>
      <c r="AK1416" s="264"/>
      <c r="AL1416" s="264"/>
      <c r="AM1416" s="264"/>
      <c r="AN1416" s="264"/>
    </row>
    <row r="1417" ht="15.75" customHeight="1">
      <c r="A1417" s="264"/>
      <c r="B1417" s="42"/>
      <c r="C1417" s="280"/>
      <c r="D1417" s="264"/>
      <c r="E1417" s="264"/>
      <c r="F1417" s="264"/>
      <c r="G1417" s="264"/>
      <c r="H1417" s="264"/>
      <c r="I1417" s="281"/>
      <c r="J1417" s="281"/>
      <c r="K1417" s="264"/>
      <c r="L1417" s="264"/>
      <c r="M1417" s="264"/>
      <c r="N1417" s="264"/>
      <c r="O1417" s="264"/>
      <c r="P1417" s="264"/>
      <c r="Q1417" s="264"/>
      <c r="R1417" s="264"/>
      <c r="S1417" s="264"/>
      <c r="T1417" s="264"/>
      <c r="U1417" s="16"/>
      <c r="V1417" s="264"/>
      <c r="W1417" s="264"/>
      <c r="X1417" s="264"/>
      <c r="Y1417" s="264"/>
      <c r="Z1417" s="264"/>
      <c r="AA1417" s="264"/>
      <c r="AB1417" s="264"/>
      <c r="AC1417" s="264"/>
      <c r="AD1417" s="264"/>
      <c r="AE1417" s="264"/>
      <c r="AF1417" s="264"/>
      <c r="AG1417" s="264"/>
      <c r="AH1417" s="264"/>
      <c r="AI1417" s="264"/>
      <c r="AJ1417" s="264"/>
      <c r="AK1417" s="264"/>
      <c r="AL1417" s="264"/>
      <c r="AM1417" s="264"/>
      <c r="AN1417" s="264"/>
    </row>
    <row r="1418" ht="15.75" customHeight="1">
      <c r="A1418" s="264"/>
      <c r="B1418" s="42"/>
      <c r="C1418" s="280"/>
      <c r="D1418" s="264"/>
      <c r="E1418" s="264"/>
      <c r="F1418" s="264"/>
      <c r="G1418" s="264"/>
      <c r="H1418" s="264"/>
      <c r="I1418" s="281"/>
      <c r="J1418" s="281"/>
      <c r="K1418" s="264"/>
      <c r="L1418" s="264"/>
      <c r="M1418" s="264"/>
      <c r="N1418" s="264"/>
      <c r="O1418" s="264"/>
      <c r="P1418" s="264"/>
      <c r="Q1418" s="264"/>
      <c r="R1418" s="264"/>
      <c r="S1418" s="264"/>
      <c r="T1418" s="264"/>
      <c r="U1418" s="16"/>
      <c r="V1418" s="264"/>
      <c r="W1418" s="264"/>
      <c r="X1418" s="264"/>
      <c r="Y1418" s="264"/>
      <c r="Z1418" s="264"/>
      <c r="AA1418" s="264"/>
      <c r="AB1418" s="264"/>
      <c r="AC1418" s="264"/>
      <c r="AD1418" s="264"/>
      <c r="AE1418" s="264"/>
      <c r="AF1418" s="264"/>
      <c r="AG1418" s="264"/>
      <c r="AH1418" s="264"/>
      <c r="AI1418" s="264"/>
      <c r="AJ1418" s="264"/>
      <c r="AK1418" s="264"/>
      <c r="AL1418" s="264"/>
      <c r="AM1418" s="264"/>
      <c r="AN1418" s="264"/>
    </row>
    <row r="1419" ht="15.75" customHeight="1">
      <c r="A1419" s="264"/>
      <c r="B1419" s="42"/>
      <c r="C1419" s="280"/>
      <c r="D1419" s="264"/>
      <c r="E1419" s="264"/>
      <c r="F1419" s="264"/>
      <c r="G1419" s="264"/>
      <c r="H1419" s="264"/>
      <c r="I1419" s="281"/>
      <c r="J1419" s="281"/>
      <c r="K1419" s="264"/>
      <c r="L1419" s="264"/>
      <c r="M1419" s="264"/>
      <c r="N1419" s="264"/>
      <c r="O1419" s="264"/>
      <c r="P1419" s="264"/>
      <c r="Q1419" s="264"/>
      <c r="R1419" s="264"/>
      <c r="S1419" s="264"/>
      <c r="T1419" s="264"/>
      <c r="U1419" s="16"/>
      <c r="V1419" s="264"/>
      <c r="W1419" s="264"/>
      <c r="X1419" s="264"/>
      <c r="Y1419" s="264"/>
      <c r="Z1419" s="264"/>
      <c r="AA1419" s="264"/>
      <c r="AB1419" s="264"/>
      <c r="AC1419" s="264"/>
      <c r="AD1419" s="264"/>
      <c r="AE1419" s="264"/>
      <c r="AF1419" s="264"/>
      <c r="AG1419" s="264"/>
      <c r="AH1419" s="264"/>
      <c r="AI1419" s="264"/>
      <c r="AJ1419" s="264"/>
      <c r="AK1419" s="264"/>
      <c r="AL1419" s="264"/>
      <c r="AM1419" s="264"/>
      <c r="AN1419" s="264"/>
    </row>
    <row r="1420" ht="15.75" customHeight="1">
      <c r="A1420" s="264"/>
      <c r="B1420" s="42"/>
      <c r="C1420" s="280"/>
      <c r="D1420" s="264"/>
      <c r="E1420" s="264"/>
      <c r="F1420" s="264"/>
      <c r="G1420" s="264"/>
      <c r="H1420" s="264"/>
      <c r="I1420" s="281"/>
      <c r="J1420" s="281"/>
      <c r="K1420" s="264"/>
      <c r="L1420" s="264"/>
      <c r="M1420" s="264"/>
      <c r="N1420" s="264"/>
      <c r="O1420" s="264"/>
      <c r="P1420" s="264"/>
      <c r="Q1420" s="264"/>
      <c r="R1420" s="264"/>
      <c r="S1420" s="264"/>
      <c r="T1420" s="264"/>
      <c r="U1420" s="16"/>
      <c r="V1420" s="264"/>
      <c r="W1420" s="264"/>
      <c r="X1420" s="264"/>
      <c r="Y1420" s="264"/>
      <c r="Z1420" s="264"/>
      <c r="AA1420" s="264"/>
      <c r="AB1420" s="264"/>
      <c r="AC1420" s="264"/>
      <c r="AD1420" s="264"/>
      <c r="AE1420" s="264"/>
      <c r="AF1420" s="264"/>
      <c r="AG1420" s="264"/>
      <c r="AH1420" s="264"/>
      <c r="AI1420" s="264"/>
      <c r="AJ1420" s="264"/>
      <c r="AK1420" s="264"/>
      <c r="AL1420" s="264"/>
      <c r="AM1420" s="264"/>
      <c r="AN1420" s="264"/>
    </row>
    <row r="1421" ht="15.75" customHeight="1">
      <c r="A1421" s="264"/>
      <c r="B1421" s="42"/>
      <c r="C1421" s="280"/>
      <c r="D1421" s="264"/>
      <c r="E1421" s="264"/>
      <c r="F1421" s="264"/>
      <c r="G1421" s="264"/>
      <c r="H1421" s="264"/>
      <c r="I1421" s="281"/>
      <c r="J1421" s="281"/>
      <c r="K1421" s="264"/>
      <c r="L1421" s="264"/>
      <c r="M1421" s="264"/>
      <c r="N1421" s="264"/>
      <c r="O1421" s="264"/>
      <c r="P1421" s="264"/>
      <c r="Q1421" s="264"/>
      <c r="R1421" s="264"/>
      <c r="S1421" s="264"/>
      <c r="T1421" s="264"/>
      <c r="U1421" s="16"/>
      <c r="V1421" s="264"/>
      <c r="W1421" s="264"/>
      <c r="X1421" s="264"/>
      <c r="Y1421" s="264"/>
      <c r="Z1421" s="264"/>
      <c r="AA1421" s="264"/>
      <c r="AB1421" s="264"/>
      <c r="AC1421" s="264"/>
      <c r="AD1421" s="264"/>
      <c r="AE1421" s="264"/>
      <c r="AF1421" s="264"/>
      <c r="AG1421" s="264"/>
      <c r="AH1421" s="264"/>
      <c r="AI1421" s="264"/>
      <c r="AJ1421" s="264"/>
      <c r="AK1421" s="264"/>
      <c r="AL1421" s="264"/>
      <c r="AM1421" s="264"/>
      <c r="AN1421" s="264"/>
    </row>
    <row r="1422" ht="15.75" customHeight="1">
      <c r="A1422" s="264"/>
      <c r="B1422" s="42"/>
      <c r="C1422" s="280"/>
      <c r="D1422" s="264"/>
      <c r="E1422" s="264"/>
      <c r="F1422" s="264"/>
      <c r="G1422" s="264"/>
      <c r="H1422" s="264"/>
      <c r="I1422" s="281"/>
      <c r="J1422" s="281"/>
      <c r="K1422" s="264"/>
      <c r="L1422" s="264"/>
      <c r="M1422" s="264"/>
      <c r="N1422" s="264"/>
      <c r="O1422" s="264"/>
      <c r="P1422" s="264"/>
      <c r="Q1422" s="264"/>
      <c r="R1422" s="264"/>
      <c r="S1422" s="264"/>
      <c r="T1422" s="264"/>
      <c r="U1422" s="16"/>
      <c r="V1422" s="264"/>
      <c r="W1422" s="264"/>
      <c r="X1422" s="264"/>
      <c r="Y1422" s="264"/>
      <c r="Z1422" s="264"/>
      <c r="AA1422" s="264"/>
      <c r="AB1422" s="264"/>
      <c r="AC1422" s="264"/>
      <c r="AD1422" s="264"/>
      <c r="AE1422" s="264"/>
      <c r="AF1422" s="264"/>
      <c r="AG1422" s="264"/>
      <c r="AH1422" s="264"/>
      <c r="AI1422" s="264"/>
      <c r="AJ1422" s="264"/>
      <c r="AK1422" s="264"/>
      <c r="AL1422" s="264"/>
      <c r="AM1422" s="264"/>
      <c r="AN1422" s="264"/>
    </row>
    <row r="1423" ht="15.75" customHeight="1">
      <c r="A1423" s="264"/>
      <c r="B1423" s="42"/>
      <c r="C1423" s="280"/>
      <c r="D1423" s="264"/>
      <c r="E1423" s="264"/>
      <c r="F1423" s="264"/>
      <c r="G1423" s="264"/>
      <c r="H1423" s="264"/>
      <c r="I1423" s="281"/>
      <c r="J1423" s="281"/>
      <c r="K1423" s="264"/>
      <c r="L1423" s="264"/>
      <c r="M1423" s="264"/>
      <c r="N1423" s="264"/>
      <c r="O1423" s="264"/>
      <c r="P1423" s="264"/>
      <c r="Q1423" s="264"/>
      <c r="R1423" s="264"/>
      <c r="S1423" s="264"/>
      <c r="T1423" s="264"/>
      <c r="U1423" s="16"/>
      <c r="V1423" s="264"/>
      <c r="W1423" s="264"/>
      <c r="X1423" s="264"/>
      <c r="Y1423" s="264"/>
      <c r="Z1423" s="264"/>
      <c r="AA1423" s="264"/>
      <c r="AB1423" s="264"/>
      <c r="AC1423" s="264"/>
      <c r="AD1423" s="264"/>
      <c r="AE1423" s="264"/>
      <c r="AF1423" s="264"/>
      <c r="AG1423" s="264"/>
      <c r="AH1423" s="264"/>
      <c r="AI1423" s="264"/>
      <c r="AJ1423" s="264"/>
      <c r="AK1423" s="264"/>
      <c r="AL1423" s="264"/>
      <c r="AM1423" s="264"/>
      <c r="AN1423" s="264"/>
    </row>
    <row r="1424" ht="15.75" customHeight="1">
      <c r="A1424" s="264"/>
      <c r="B1424" s="42"/>
      <c r="C1424" s="280"/>
      <c r="D1424" s="264"/>
      <c r="E1424" s="264"/>
      <c r="F1424" s="264"/>
      <c r="G1424" s="264"/>
      <c r="H1424" s="264"/>
      <c r="I1424" s="281"/>
      <c r="J1424" s="281"/>
      <c r="K1424" s="264"/>
      <c r="L1424" s="264"/>
      <c r="M1424" s="264"/>
      <c r="N1424" s="264"/>
      <c r="O1424" s="264"/>
      <c r="P1424" s="264"/>
      <c r="Q1424" s="264"/>
      <c r="R1424" s="264"/>
      <c r="S1424" s="264"/>
      <c r="T1424" s="264"/>
      <c r="U1424" s="16"/>
      <c r="V1424" s="264"/>
      <c r="W1424" s="264"/>
      <c r="X1424" s="264"/>
      <c r="Y1424" s="264"/>
      <c r="Z1424" s="264"/>
      <c r="AA1424" s="264"/>
      <c r="AB1424" s="264"/>
      <c r="AC1424" s="264"/>
      <c r="AD1424" s="264"/>
      <c r="AE1424" s="264"/>
      <c r="AF1424" s="264"/>
      <c r="AG1424" s="264"/>
      <c r="AH1424" s="264"/>
      <c r="AI1424" s="264"/>
      <c r="AJ1424" s="264"/>
      <c r="AK1424" s="264"/>
      <c r="AL1424" s="264"/>
      <c r="AM1424" s="264"/>
      <c r="AN1424" s="264"/>
    </row>
    <row r="1425" ht="15.75" customHeight="1">
      <c r="A1425" s="264"/>
      <c r="B1425" s="42"/>
      <c r="C1425" s="280"/>
      <c r="D1425" s="264"/>
      <c r="E1425" s="264"/>
      <c r="F1425" s="264"/>
      <c r="G1425" s="264"/>
      <c r="H1425" s="264"/>
      <c r="I1425" s="281"/>
      <c r="J1425" s="281"/>
      <c r="K1425" s="264"/>
      <c r="L1425" s="264"/>
      <c r="M1425" s="264"/>
      <c r="N1425" s="264"/>
      <c r="O1425" s="264"/>
      <c r="P1425" s="264"/>
      <c r="Q1425" s="264"/>
      <c r="R1425" s="264"/>
      <c r="S1425" s="264"/>
      <c r="T1425" s="264"/>
      <c r="U1425" s="16"/>
      <c r="V1425" s="264"/>
      <c r="W1425" s="264"/>
      <c r="X1425" s="264"/>
      <c r="Y1425" s="264"/>
      <c r="Z1425" s="264"/>
      <c r="AA1425" s="264"/>
      <c r="AB1425" s="264"/>
      <c r="AC1425" s="264"/>
      <c r="AD1425" s="264"/>
      <c r="AE1425" s="264"/>
      <c r="AF1425" s="264"/>
      <c r="AG1425" s="264"/>
      <c r="AH1425" s="264"/>
      <c r="AI1425" s="264"/>
      <c r="AJ1425" s="264"/>
      <c r="AK1425" s="264"/>
      <c r="AL1425" s="264"/>
      <c r="AM1425" s="264"/>
      <c r="AN1425" s="264"/>
    </row>
    <row r="1426" ht="15.75" customHeight="1">
      <c r="A1426" s="264"/>
      <c r="B1426" s="42"/>
      <c r="C1426" s="280"/>
      <c r="D1426" s="264"/>
      <c r="E1426" s="264"/>
      <c r="F1426" s="264"/>
      <c r="G1426" s="264"/>
      <c r="H1426" s="264"/>
      <c r="I1426" s="281"/>
      <c r="J1426" s="281"/>
      <c r="K1426" s="264"/>
      <c r="L1426" s="264"/>
      <c r="M1426" s="264"/>
      <c r="N1426" s="264"/>
      <c r="O1426" s="264"/>
      <c r="P1426" s="264"/>
      <c r="Q1426" s="264"/>
      <c r="R1426" s="264"/>
      <c r="S1426" s="264"/>
      <c r="T1426" s="264"/>
      <c r="U1426" s="16"/>
      <c r="V1426" s="264"/>
      <c r="W1426" s="264"/>
      <c r="X1426" s="264"/>
      <c r="Y1426" s="264"/>
      <c r="Z1426" s="264"/>
      <c r="AA1426" s="264"/>
      <c r="AB1426" s="264"/>
      <c r="AC1426" s="264"/>
      <c r="AD1426" s="264"/>
      <c r="AE1426" s="264"/>
      <c r="AF1426" s="264"/>
      <c r="AG1426" s="264"/>
      <c r="AH1426" s="264"/>
      <c r="AI1426" s="264"/>
      <c r="AJ1426" s="264"/>
      <c r="AK1426" s="264"/>
      <c r="AL1426" s="264"/>
      <c r="AM1426" s="264"/>
      <c r="AN1426" s="264"/>
    </row>
    <row r="1427" ht="15.75" customHeight="1">
      <c r="A1427" s="264"/>
      <c r="B1427" s="42"/>
      <c r="C1427" s="280"/>
      <c r="D1427" s="264"/>
      <c r="E1427" s="264"/>
      <c r="F1427" s="264"/>
      <c r="G1427" s="264"/>
      <c r="H1427" s="264"/>
      <c r="I1427" s="281"/>
      <c r="J1427" s="281"/>
      <c r="K1427" s="264"/>
      <c r="L1427" s="264"/>
      <c r="M1427" s="264"/>
      <c r="N1427" s="264"/>
      <c r="O1427" s="264"/>
      <c r="P1427" s="264"/>
      <c r="Q1427" s="264"/>
      <c r="R1427" s="264"/>
      <c r="S1427" s="264"/>
      <c r="T1427" s="264"/>
      <c r="U1427" s="16"/>
      <c r="V1427" s="264"/>
      <c r="W1427" s="264"/>
      <c r="X1427" s="264"/>
      <c r="Y1427" s="264"/>
      <c r="Z1427" s="264"/>
      <c r="AA1427" s="264"/>
      <c r="AB1427" s="264"/>
      <c r="AC1427" s="264"/>
      <c r="AD1427" s="264"/>
      <c r="AE1427" s="264"/>
      <c r="AF1427" s="264"/>
      <c r="AG1427" s="264"/>
      <c r="AH1427" s="264"/>
      <c r="AI1427" s="264"/>
      <c r="AJ1427" s="264"/>
      <c r="AK1427" s="264"/>
      <c r="AL1427" s="264"/>
      <c r="AM1427" s="264"/>
      <c r="AN1427" s="264"/>
    </row>
    <row r="1428" ht="15.75" customHeight="1">
      <c r="A1428" s="264"/>
      <c r="B1428" s="42"/>
      <c r="C1428" s="280"/>
      <c r="D1428" s="264"/>
      <c r="E1428" s="264"/>
      <c r="F1428" s="264"/>
      <c r="G1428" s="264"/>
      <c r="H1428" s="264"/>
      <c r="I1428" s="281"/>
      <c r="J1428" s="281"/>
      <c r="K1428" s="264"/>
      <c r="L1428" s="264"/>
      <c r="M1428" s="264"/>
      <c r="N1428" s="264"/>
      <c r="O1428" s="264"/>
      <c r="P1428" s="264"/>
      <c r="Q1428" s="264"/>
      <c r="R1428" s="264"/>
      <c r="S1428" s="264"/>
      <c r="T1428" s="264"/>
      <c r="U1428" s="16"/>
      <c r="V1428" s="264"/>
      <c r="W1428" s="264"/>
      <c r="X1428" s="264"/>
      <c r="Y1428" s="264"/>
      <c r="Z1428" s="264"/>
      <c r="AA1428" s="264"/>
      <c r="AB1428" s="264"/>
      <c r="AC1428" s="264"/>
      <c r="AD1428" s="264"/>
      <c r="AE1428" s="264"/>
      <c r="AF1428" s="264"/>
      <c r="AG1428" s="264"/>
      <c r="AH1428" s="264"/>
      <c r="AI1428" s="264"/>
      <c r="AJ1428" s="264"/>
      <c r="AK1428" s="264"/>
      <c r="AL1428" s="264"/>
      <c r="AM1428" s="264"/>
      <c r="AN1428" s="264"/>
    </row>
    <row r="1429" ht="15.75" customHeight="1">
      <c r="A1429" s="264"/>
      <c r="B1429" s="42"/>
      <c r="C1429" s="280"/>
      <c r="D1429" s="264"/>
      <c r="E1429" s="264"/>
      <c r="F1429" s="264"/>
      <c r="G1429" s="264"/>
      <c r="H1429" s="264"/>
      <c r="I1429" s="281"/>
      <c r="J1429" s="281"/>
      <c r="K1429" s="264"/>
      <c r="L1429" s="264"/>
      <c r="M1429" s="264"/>
      <c r="N1429" s="264"/>
      <c r="O1429" s="264"/>
      <c r="P1429" s="264"/>
      <c r="Q1429" s="264"/>
      <c r="R1429" s="264"/>
      <c r="S1429" s="264"/>
      <c r="T1429" s="264"/>
      <c r="U1429" s="16"/>
      <c r="V1429" s="264"/>
      <c r="W1429" s="264"/>
      <c r="X1429" s="264"/>
      <c r="Y1429" s="264"/>
      <c r="Z1429" s="264"/>
      <c r="AA1429" s="264"/>
      <c r="AB1429" s="264"/>
      <c r="AC1429" s="264"/>
      <c r="AD1429" s="264"/>
      <c r="AE1429" s="264"/>
      <c r="AF1429" s="264"/>
      <c r="AG1429" s="264"/>
      <c r="AH1429" s="264"/>
      <c r="AI1429" s="264"/>
      <c r="AJ1429" s="264"/>
      <c r="AK1429" s="264"/>
      <c r="AL1429" s="264"/>
      <c r="AM1429" s="264"/>
      <c r="AN1429" s="264"/>
    </row>
    <row r="1430" ht="15.75" customHeight="1">
      <c r="A1430" s="264"/>
      <c r="B1430" s="42"/>
      <c r="C1430" s="280"/>
      <c r="D1430" s="264"/>
      <c r="E1430" s="264"/>
      <c r="F1430" s="264"/>
      <c r="G1430" s="264"/>
      <c r="H1430" s="264"/>
      <c r="I1430" s="281"/>
      <c r="J1430" s="281"/>
      <c r="K1430" s="264"/>
      <c r="L1430" s="264"/>
      <c r="M1430" s="264"/>
      <c r="N1430" s="264"/>
      <c r="O1430" s="264"/>
      <c r="P1430" s="264"/>
      <c r="Q1430" s="264"/>
      <c r="R1430" s="264"/>
      <c r="S1430" s="264"/>
      <c r="T1430" s="264"/>
      <c r="U1430" s="16"/>
      <c r="V1430" s="264"/>
      <c r="W1430" s="264"/>
      <c r="X1430" s="264"/>
      <c r="Y1430" s="264"/>
      <c r="Z1430" s="264"/>
      <c r="AA1430" s="264"/>
      <c r="AB1430" s="264"/>
      <c r="AC1430" s="264"/>
      <c r="AD1430" s="264"/>
      <c r="AE1430" s="264"/>
      <c r="AF1430" s="264"/>
      <c r="AG1430" s="264"/>
      <c r="AH1430" s="264"/>
      <c r="AI1430" s="264"/>
      <c r="AJ1430" s="264"/>
      <c r="AK1430" s="264"/>
      <c r="AL1430" s="264"/>
      <c r="AM1430" s="264"/>
      <c r="AN1430" s="264"/>
    </row>
    <row r="1431" ht="15.75" customHeight="1">
      <c r="A1431" s="264"/>
      <c r="B1431" s="42"/>
      <c r="C1431" s="280"/>
      <c r="D1431" s="264"/>
      <c r="E1431" s="264"/>
      <c r="F1431" s="264"/>
      <c r="G1431" s="264"/>
      <c r="H1431" s="264"/>
      <c r="I1431" s="281"/>
      <c r="J1431" s="281"/>
      <c r="K1431" s="264"/>
      <c r="L1431" s="264"/>
      <c r="M1431" s="264"/>
      <c r="N1431" s="264"/>
      <c r="O1431" s="264"/>
      <c r="P1431" s="264"/>
      <c r="Q1431" s="264"/>
      <c r="R1431" s="264"/>
      <c r="S1431" s="264"/>
      <c r="T1431" s="264"/>
      <c r="U1431" s="16"/>
      <c r="V1431" s="264"/>
      <c r="W1431" s="264"/>
      <c r="X1431" s="264"/>
      <c r="Y1431" s="264"/>
      <c r="Z1431" s="264"/>
      <c r="AA1431" s="264"/>
      <c r="AB1431" s="264"/>
      <c r="AC1431" s="264"/>
      <c r="AD1431" s="264"/>
      <c r="AE1431" s="264"/>
      <c r="AF1431" s="264"/>
      <c r="AG1431" s="264"/>
      <c r="AH1431" s="264"/>
      <c r="AI1431" s="264"/>
      <c r="AJ1431" s="264"/>
      <c r="AK1431" s="264"/>
      <c r="AL1431" s="264"/>
      <c r="AM1431" s="264"/>
      <c r="AN1431" s="264"/>
    </row>
    <row r="1432" ht="15.75" customHeight="1">
      <c r="A1432" s="264"/>
      <c r="B1432" s="42"/>
      <c r="C1432" s="280"/>
      <c r="D1432" s="264"/>
      <c r="E1432" s="264"/>
      <c r="F1432" s="264"/>
      <c r="G1432" s="264"/>
      <c r="H1432" s="264"/>
      <c r="I1432" s="281"/>
      <c r="J1432" s="281"/>
      <c r="K1432" s="264"/>
      <c r="L1432" s="264"/>
      <c r="M1432" s="264"/>
      <c r="N1432" s="264"/>
      <c r="O1432" s="264"/>
      <c r="P1432" s="264"/>
      <c r="Q1432" s="264"/>
      <c r="R1432" s="264"/>
      <c r="S1432" s="264"/>
      <c r="T1432" s="264"/>
      <c r="U1432" s="16"/>
      <c r="V1432" s="264"/>
      <c r="W1432" s="264"/>
      <c r="X1432" s="264"/>
      <c r="Y1432" s="264"/>
      <c r="Z1432" s="264"/>
      <c r="AA1432" s="264"/>
      <c r="AB1432" s="264"/>
      <c r="AC1432" s="264"/>
      <c r="AD1432" s="264"/>
      <c r="AE1432" s="264"/>
      <c r="AF1432" s="264"/>
      <c r="AG1432" s="264"/>
      <c r="AH1432" s="264"/>
      <c r="AI1432" s="264"/>
      <c r="AJ1432" s="264"/>
      <c r="AK1432" s="264"/>
      <c r="AL1432" s="264"/>
      <c r="AM1432" s="264"/>
      <c r="AN1432" s="264"/>
    </row>
    <row r="1433" ht="15.75" customHeight="1">
      <c r="A1433" s="264"/>
      <c r="B1433" s="42"/>
      <c r="C1433" s="280"/>
      <c r="D1433" s="264"/>
      <c r="E1433" s="264"/>
      <c r="F1433" s="264"/>
      <c r="G1433" s="264"/>
      <c r="H1433" s="264"/>
      <c r="I1433" s="281"/>
      <c r="J1433" s="281"/>
      <c r="K1433" s="264"/>
      <c r="L1433" s="264"/>
      <c r="M1433" s="264"/>
      <c r="N1433" s="264"/>
      <c r="O1433" s="264"/>
      <c r="P1433" s="264"/>
      <c r="Q1433" s="264"/>
      <c r="R1433" s="264"/>
      <c r="S1433" s="264"/>
      <c r="T1433" s="264"/>
      <c r="U1433" s="16"/>
      <c r="V1433" s="264"/>
      <c r="W1433" s="264"/>
      <c r="X1433" s="264"/>
      <c r="Y1433" s="264"/>
      <c r="Z1433" s="264"/>
      <c r="AA1433" s="264"/>
      <c r="AB1433" s="264"/>
      <c r="AC1433" s="264"/>
      <c r="AD1433" s="264"/>
      <c r="AE1433" s="264"/>
      <c r="AF1433" s="264"/>
      <c r="AG1433" s="264"/>
      <c r="AH1433" s="264"/>
      <c r="AI1433" s="264"/>
      <c r="AJ1433" s="264"/>
      <c r="AK1433" s="264"/>
      <c r="AL1433" s="264"/>
      <c r="AM1433" s="264"/>
      <c r="AN1433" s="264"/>
    </row>
    <row r="1434" ht="15.75" customHeight="1">
      <c r="A1434" s="264"/>
      <c r="B1434" s="42"/>
      <c r="C1434" s="280"/>
      <c r="D1434" s="264"/>
      <c r="E1434" s="264"/>
      <c r="F1434" s="264"/>
      <c r="G1434" s="264"/>
      <c r="H1434" s="264"/>
      <c r="I1434" s="281"/>
      <c r="J1434" s="281"/>
      <c r="K1434" s="264"/>
      <c r="L1434" s="264"/>
      <c r="M1434" s="264"/>
      <c r="N1434" s="264"/>
      <c r="O1434" s="264"/>
      <c r="P1434" s="264"/>
      <c r="Q1434" s="264"/>
      <c r="R1434" s="264"/>
      <c r="S1434" s="264"/>
      <c r="T1434" s="264"/>
      <c r="U1434" s="16"/>
      <c r="V1434" s="264"/>
      <c r="W1434" s="264"/>
      <c r="X1434" s="264"/>
      <c r="Y1434" s="264"/>
      <c r="Z1434" s="264"/>
      <c r="AA1434" s="264"/>
      <c r="AB1434" s="264"/>
      <c r="AC1434" s="264"/>
      <c r="AD1434" s="264"/>
      <c r="AE1434" s="264"/>
      <c r="AF1434" s="264"/>
      <c r="AG1434" s="264"/>
      <c r="AH1434" s="264"/>
      <c r="AI1434" s="264"/>
      <c r="AJ1434" s="264"/>
      <c r="AK1434" s="264"/>
      <c r="AL1434" s="264"/>
      <c r="AM1434" s="264"/>
      <c r="AN1434" s="264"/>
    </row>
    <row r="1435" ht="15.75" customHeight="1">
      <c r="A1435" s="264"/>
      <c r="B1435" s="42"/>
      <c r="C1435" s="280"/>
      <c r="D1435" s="264"/>
      <c r="E1435" s="264"/>
      <c r="F1435" s="264"/>
      <c r="G1435" s="264"/>
      <c r="H1435" s="264"/>
      <c r="I1435" s="281"/>
      <c r="J1435" s="281"/>
      <c r="K1435" s="264"/>
      <c r="L1435" s="264"/>
      <c r="M1435" s="264"/>
      <c r="N1435" s="264"/>
      <c r="O1435" s="264"/>
      <c r="P1435" s="264"/>
      <c r="Q1435" s="264"/>
      <c r="R1435" s="264"/>
      <c r="S1435" s="264"/>
      <c r="T1435" s="264"/>
      <c r="U1435" s="16"/>
      <c r="V1435" s="264"/>
      <c r="W1435" s="264"/>
      <c r="X1435" s="264"/>
      <c r="Y1435" s="264"/>
      <c r="Z1435" s="264"/>
      <c r="AA1435" s="264"/>
      <c r="AB1435" s="264"/>
      <c r="AC1435" s="264"/>
      <c r="AD1435" s="264"/>
      <c r="AE1435" s="264"/>
      <c r="AF1435" s="264"/>
      <c r="AG1435" s="264"/>
      <c r="AH1435" s="264"/>
      <c r="AI1435" s="264"/>
      <c r="AJ1435" s="264"/>
      <c r="AK1435" s="264"/>
      <c r="AL1435" s="264"/>
      <c r="AM1435" s="264"/>
      <c r="AN1435" s="264"/>
    </row>
    <row r="1436" ht="15.75" customHeight="1">
      <c r="A1436" s="264"/>
      <c r="B1436" s="42"/>
      <c r="C1436" s="280"/>
      <c r="D1436" s="264"/>
      <c r="E1436" s="264"/>
      <c r="F1436" s="264"/>
      <c r="G1436" s="264"/>
      <c r="H1436" s="264"/>
      <c r="I1436" s="281"/>
      <c r="J1436" s="281"/>
      <c r="K1436" s="264"/>
      <c r="L1436" s="264"/>
      <c r="M1436" s="264"/>
      <c r="N1436" s="264"/>
      <c r="O1436" s="264"/>
      <c r="P1436" s="264"/>
      <c r="Q1436" s="264"/>
      <c r="R1436" s="264"/>
      <c r="S1436" s="264"/>
      <c r="T1436" s="264"/>
      <c r="U1436" s="16"/>
      <c r="V1436" s="264"/>
      <c r="W1436" s="264"/>
      <c r="X1436" s="264"/>
      <c r="Y1436" s="264"/>
      <c r="Z1436" s="264"/>
      <c r="AA1436" s="264"/>
      <c r="AB1436" s="264"/>
      <c r="AC1436" s="264"/>
      <c r="AD1436" s="264"/>
      <c r="AE1436" s="264"/>
      <c r="AF1436" s="264"/>
      <c r="AG1436" s="264"/>
      <c r="AH1436" s="264"/>
      <c r="AI1436" s="264"/>
      <c r="AJ1436" s="264"/>
      <c r="AK1436" s="264"/>
      <c r="AL1436" s="264"/>
      <c r="AM1436" s="264"/>
      <c r="AN1436" s="264"/>
    </row>
    <row r="1437" ht="15.75" customHeight="1">
      <c r="A1437" s="264"/>
      <c r="B1437" s="42"/>
      <c r="C1437" s="280"/>
      <c r="D1437" s="264"/>
      <c r="E1437" s="264"/>
      <c r="F1437" s="264"/>
      <c r="G1437" s="264"/>
      <c r="H1437" s="264"/>
      <c r="I1437" s="281"/>
      <c r="J1437" s="281"/>
      <c r="K1437" s="264"/>
      <c r="L1437" s="264"/>
      <c r="M1437" s="264"/>
      <c r="N1437" s="264"/>
      <c r="O1437" s="264"/>
      <c r="P1437" s="264"/>
      <c r="Q1437" s="264"/>
      <c r="R1437" s="264"/>
      <c r="S1437" s="264"/>
      <c r="T1437" s="264"/>
      <c r="U1437" s="16"/>
      <c r="V1437" s="264"/>
      <c r="W1437" s="264"/>
      <c r="X1437" s="264"/>
      <c r="Y1437" s="264"/>
      <c r="Z1437" s="264"/>
      <c r="AA1437" s="264"/>
      <c r="AB1437" s="264"/>
      <c r="AC1437" s="264"/>
      <c r="AD1437" s="264"/>
      <c r="AE1437" s="264"/>
      <c r="AF1437" s="264"/>
      <c r="AG1437" s="264"/>
      <c r="AH1437" s="264"/>
      <c r="AI1437" s="264"/>
      <c r="AJ1437" s="264"/>
      <c r="AK1437" s="264"/>
      <c r="AL1437" s="264"/>
      <c r="AM1437" s="264"/>
      <c r="AN1437" s="264"/>
    </row>
    <row r="1438" ht="15.75" customHeight="1">
      <c r="A1438" s="264"/>
      <c r="B1438" s="42"/>
      <c r="C1438" s="280"/>
      <c r="D1438" s="264"/>
      <c r="E1438" s="264"/>
      <c r="F1438" s="264"/>
      <c r="G1438" s="264"/>
      <c r="H1438" s="264"/>
      <c r="I1438" s="281"/>
      <c r="J1438" s="281"/>
      <c r="K1438" s="264"/>
      <c r="L1438" s="264"/>
      <c r="M1438" s="264"/>
      <c r="N1438" s="264"/>
      <c r="O1438" s="264"/>
      <c r="P1438" s="264"/>
      <c r="Q1438" s="264"/>
      <c r="R1438" s="264"/>
      <c r="S1438" s="264"/>
      <c r="T1438" s="264"/>
      <c r="U1438" s="16"/>
      <c r="V1438" s="264"/>
      <c r="W1438" s="264"/>
      <c r="X1438" s="264"/>
      <c r="Y1438" s="264"/>
      <c r="Z1438" s="264"/>
      <c r="AA1438" s="264"/>
      <c r="AB1438" s="264"/>
      <c r="AC1438" s="264"/>
      <c r="AD1438" s="264"/>
      <c r="AE1438" s="264"/>
      <c r="AF1438" s="264"/>
      <c r="AG1438" s="264"/>
      <c r="AH1438" s="264"/>
      <c r="AI1438" s="264"/>
      <c r="AJ1438" s="264"/>
      <c r="AK1438" s="264"/>
      <c r="AL1438" s="264"/>
      <c r="AM1438" s="264"/>
      <c r="AN1438" s="264"/>
    </row>
    <row r="1439" ht="15.75" customHeight="1">
      <c r="A1439" s="264"/>
      <c r="B1439" s="42"/>
      <c r="C1439" s="280"/>
      <c r="D1439" s="264"/>
      <c r="E1439" s="264"/>
      <c r="F1439" s="264"/>
      <c r="G1439" s="264"/>
      <c r="H1439" s="264"/>
      <c r="I1439" s="281"/>
      <c r="J1439" s="281"/>
      <c r="K1439" s="264"/>
      <c r="L1439" s="264"/>
      <c r="M1439" s="264"/>
      <c r="N1439" s="264"/>
      <c r="O1439" s="264"/>
      <c r="P1439" s="264"/>
      <c r="Q1439" s="264"/>
      <c r="R1439" s="264"/>
      <c r="S1439" s="264"/>
      <c r="T1439" s="264"/>
      <c r="U1439" s="16"/>
      <c r="V1439" s="264"/>
      <c r="W1439" s="264"/>
      <c r="X1439" s="264"/>
      <c r="Y1439" s="264"/>
      <c r="Z1439" s="264"/>
      <c r="AA1439" s="264"/>
      <c r="AB1439" s="264"/>
      <c r="AC1439" s="264"/>
      <c r="AD1439" s="264"/>
      <c r="AE1439" s="264"/>
      <c r="AF1439" s="264"/>
      <c r="AG1439" s="264"/>
      <c r="AH1439" s="264"/>
      <c r="AI1439" s="264"/>
      <c r="AJ1439" s="264"/>
      <c r="AK1439" s="264"/>
      <c r="AL1439" s="264"/>
      <c r="AM1439" s="264"/>
      <c r="AN1439" s="264"/>
    </row>
    <row r="1440" ht="15.75" customHeight="1">
      <c r="A1440" s="264"/>
      <c r="B1440" s="42"/>
      <c r="C1440" s="280"/>
      <c r="D1440" s="264"/>
      <c r="E1440" s="264"/>
      <c r="F1440" s="264"/>
      <c r="G1440" s="264"/>
      <c r="H1440" s="264"/>
      <c r="I1440" s="281"/>
      <c r="J1440" s="281"/>
      <c r="K1440" s="264"/>
      <c r="L1440" s="264"/>
      <c r="M1440" s="264"/>
      <c r="N1440" s="264"/>
      <c r="O1440" s="264"/>
      <c r="P1440" s="264"/>
      <c r="Q1440" s="264"/>
      <c r="R1440" s="264"/>
      <c r="S1440" s="264"/>
      <c r="T1440" s="264"/>
      <c r="U1440" s="16"/>
      <c r="V1440" s="264"/>
      <c r="W1440" s="264"/>
      <c r="X1440" s="264"/>
      <c r="Y1440" s="264"/>
      <c r="Z1440" s="264"/>
      <c r="AA1440" s="264"/>
      <c r="AB1440" s="264"/>
      <c r="AC1440" s="264"/>
      <c r="AD1440" s="264"/>
      <c r="AE1440" s="264"/>
      <c r="AF1440" s="264"/>
      <c r="AG1440" s="264"/>
      <c r="AH1440" s="264"/>
      <c r="AI1440" s="264"/>
      <c r="AJ1440" s="264"/>
      <c r="AK1440" s="264"/>
      <c r="AL1440" s="264"/>
      <c r="AM1440" s="264"/>
      <c r="AN1440" s="264"/>
    </row>
    <row r="1441" ht="15.75" customHeight="1">
      <c r="A1441" s="264"/>
      <c r="B1441" s="42"/>
      <c r="C1441" s="280"/>
      <c r="D1441" s="264"/>
      <c r="E1441" s="264"/>
      <c r="F1441" s="264"/>
      <c r="G1441" s="264"/>
      <c r="H1441" s="264"/>
      <c r="I1441" s="281"/>
      <c r="J1441" s="281"/>
      <c r="K1441" s="264"/>
      <c r="L1441" s="264"/>
      <c r="M1441" s="264"/>
      <c r="N1441" s="264"/>
      <c r="O1441" s="264"/>
      <c r="P1441" s="264"/>
      <c r="Q1441" s="264"/>
      <c r="R1441" s="264"/>
      <c r="S1441" s="264"/>
      <c r="T1441" s="264"/>
      <c r="U1441" s="16"/>
      <c r="V1441" s="264"/>
      <c r="W1441" s="264"/>
      <c r="X1441" s="264"/>
      <c r="Y1441" s="264"/>
      <c r="Z1441" s="264"/>
      <c r="AA1441" s="264"/>
      <c r="AB1441" s="264"/>
      <c r="AC1441" s="264"/>
      <c r="AD1441" s="264"/>
      <c r="AE1441" s="264"/>
      <c r="AF1441" s="264"/>
      <c r="AG1441" s="264"/>
      <c r="AH1441" s="264"/>
      <c r="AI1441" s="264"/>
      <c r="AJ1441" s="264"/>
      <c r="AK1441" s="264"/>
      <c r="AL1441" s="264"/>
      <c r="AM1441" s="264"/>
      <c r="AN1441" s="264"/>
    </row>
    <row r="1442" ht="15.75" customHeight="1">
      <c r="A1442" s="264"/>
      <c r="B1442" s="42"/>
      <c r="C1442" s="280"/>
      <c r="D1442" s="264"/>
      <c r="E1442" s="264"/>
      <c r="F1442" s="264"/>
      <c r="G1442" s="264"/>
      <c r="H1442" s="264"/>
      <c r="I1442" s="281"/>
      <c r="J1442" s="281"/>
      <c r="K1442" s="264"/>
      <c r="L1442" s="264"/>
      <c r="M1442" s="264"/>
      <c r="N1442" s="264"/>
      <c r="O1442" s="264"/>
      <c r="P1442" s="264"/>
      <c r="Q1442" s="264"/>
      <c r="R1442" s="264"/>
      <c r="S1442" s="264"/>
      <c r="T1442" s="264"/>
      <c r="U1442" s="16"/>
      <c r="V1442" s="264"/>
      <c r="W1442" s="264"/>
      <c r="X1442" s="264"/>
      <c r="Y1442" s="264"/>
      <c r="Z1442" s="264"/>
      <c r="AA1442" s="264"/>
      <c r="AB1442" s="264"/>
      <c r="AC1442" s="264"/>
      <c r="AD1442" s="264"/>
      <c r="AE1442" s="264"/>
      <c r="AF1442" s="264"/>
      <c r="AG1442" s="264"/>
      <c r="AH1442" s="264"/>
      <c r="AI1442" s="264"/>
      <c r="AJ1442" s="264"/>
      <c r="AK1442" s="264"/>
      <c r="AL1442" s="264"/>
      <c r="AM1442" s="264"/>
      <c r="AN1442" s="264"/>
    </row>
    <row r="1443" ht="15.75" customHeight="1">
      <c r="A1443" s="264"/>
      <c r="B1443" s="42"/>
      <c r="C1443" s="280"/>
      <c r="D1443" s="264"/>
      <c r="E1443" s="264"/>
      <c r="F1443" s="264"/>
      <c r="G1443" s="264"/>
      <c r="H1443" s="264"/>
      <c r="I1443" s="281"/>
      <c r="J1443" s="281"/>
      <c r="K1443" s="264"/>
      <c r="L1443" s="264"/>
      <c r="M1443" s="264"/>
      <c r="N1443" s="264"/>
      <c r="O1443" s="264"/>
      <c r="P1443" s="264"/>
      <c r="Q1443" s="264"/>
      <c r="R1443" s="264"/>
      <c r="S1443" s="264"/>
      <c r="T1443" s="264"/>
      <c r="U1443" s="16"/>
      <c r="V1443" s="264"/>
      <c r="W1443" s="264"/>
      <c r="X1443" s="264"/>
      <c r="Y1443" s="264"/>
      <c r="Z1443" s="264"/>
      <c r="AA1443" s="264"/>
      <c r="AB1443" s="264"/>
      <c r="AC1443" s="264"/>
      <c r="AD1443" s="264"/>
      <c r="AE1443" s="264"/>
      <c r="AF1443" s="264"/>
      <c r="AG1443" s="264"/>
      <c r="AH1443" s="264"/>
      <c r="AI1443" s="264"/>
      <c r="AJ1443" s="264"/>
      <c r="AK1443" s="264"/>
      <c r="AL1443" s="264"/>
      <c r="AM1443" s="264"/>
      <c r="AN1443" s="264"/>
    </row>
    <row r="1444" ht="15.75" customHeight="1">
      <c r="A1444" s="264"/>
      <c r="B1444" s="42"/>
      <c r="C1444" s="280"/>
      <c r="D1444" s="264"/>
      <c r="E1444" s="264"/>
      <c r="F1444" s="264"/>
      <c r="G1444" s="264"/>
      <c r="H1444" s="264"/>
      <c r="I1444" s="281"/>
      <c r="J1444" s="281"/>
      <c r="K1444" s="264"/>
      <c r="L1444" s="264"/>
      <c r="M1444" s="264"/>
      <c r="N1444" s="264"/>
      <c r="O1444" s="264"/>
      <c r="P1444" s="264"/>
      <c r="Q1444" s="264"/>
      <c r="R1444" s="264"/>
      <c r="S1444" s="264"/>
      <c r="T1444" s="264"/>
      <c r="U1444" s="16"/>
      <c r="V1444" s="264"/>
      <c r="W1444" s="264"/>
      <c r="X1444" s="264"/>
      <c r="Y1444" s="264"/>
      <c r="Z1444" s="264"/>
      <c r="AA1444" s="264"/>
      <c r="AB1444" s="264"/>
      <c r="AC1444" s="264"/>
      <c r="AD1444" s="264"/>
      <c r="AE1444" s="264"/>
      <c r="AF1444" s="264"/>
      <c r="AG1444" s="264"/>
      <c r="AH1444" s="264"/>
      <c r="AI1444" s="264"/>
      <c r="AJ1444" s="264"/>
      <c r="AK1444" s="264"/>
      <c r="AL1444" s="264"/>
      <c r="AM1444" s="264"/>
      <c r="AN1444" s="264"/>
    </row>
    <row r="1445" ht="15.75" customHeight="1">
      <c r="A1445" s="264"/>
      <c r="B1445" s="42"/>
      <c r="C1445" s="280"/>
      <c r="D1445" s="264"/>
      <c r="E1445" s="264"/>
      <c r="F1445" s="264"/>
      <c r="G1445" s="264"/>
      <c r="H1445" s="264"/>
      <c r="I1445" s="281"/>
      <c r="J1445" s="281"/>
      <c r="K1445" s="264"/>
      <c r="L1445" s="264"/>
      <c r="M1445" s="264"/>
      <c r="N1445" s="264"/>
      <c r="O1445" s="264"/>
      <c r="P1445" s="264"/>
      <c r="Q1445" s="264"/>
      <c r="R1445" s="264"/>
      <c r="S1445" s="264"/>
      <c r="T1445" s="264"/>
      <c r="U1445" s="16"/>
      <c r="V1445" s="264"/>
      <c r="W1445" s="264"/>
      <c r="X1445" s="264"/>
      <c r="Y1445" s="264"/>
      <c r="Z1445" s="264"/>
      <c r="AA1445" s="264"/>
      <c r="AB1445" s="264"/>
      <c r="AC1445" s="264"/>
      <c r="AD1445" s="264"/>
      <c r="AE1445" s="264"/>
      <c r="AF1445" s="264"/>
      <c r="AG1445" s="264"/>
      <c r="AH1445" s="264"/>
      <c r="AI1445" s="264"/>
      <c r="AJ1445" s="264"/>
      <c r="AK1445" s="264"/>
      <c r="AL1445" s="264"/>
      <c r="AM1445" s="264"/>
      <c r="AN1445" s="264"/>
    </row>
    <row r="1446" ht="15.75" customHeight="1">
      <c r="A1446" s="264"/>
      <c r="B1446" s="42"/>
      <c r="C1446" s="280"/>
      <c r="D1446" s="264"/>
      <c r="E1446" s="264"/>
      <c r="F1446" s="264"/>
      <c r="G1446" s="264"/>
      <c r="H1446" s="264"/>
      <c r="I1446" s="281"/>
      <c r="J1446" s="281"/>
      <c r="K1446" s="264"/>
      <c r="L1446" s="264"/>
      <c r="M1446" s="264"/>
      <c r="N1446" s="264"/>
      <c r="O1446" s="264"/>
      <c r="P1446" s="264"/>
      <c r="Q1446" s="264"/>
      <c r="R1446" s="264"/>
      <c r="S1446" s="264"/>
      <c r="T1446" s="264"/>
      <c r="U1446" s="16"/>
      <c r="V1446" s="264"/>
      <c r="W1446" s="264"/>
      <c r="X1446" s="264"/>
      <c r="Y1446" s="264"/>
      <c r="Z1446" s="264"/>
      <c r="AA1446" s="264"/>
      <c r="AB1446" s="264"/>
      <c r="AC1446" s="264"/>
      <c r="AD1446" s="264"/>
      <c r="AE1446" s="264"/>
      <c r="AF1446" s="264"/>
      <c r="AG1446" s="264"/>
      <c r="AH1446" s="264"/>
      <c r="AI1446" s="264"/>
      <c r="AJ1446" s="264"/>
      <c r="AK1446" s="264"/>
      <c r="AL1446" s="264"/>
      <c r="AM1446" s="264"/>
      <c r="AN1446" s="264"/>
    </row>
    <row r="1447" ht="15.75" customHeight="1">
      <c r="A1447" s="264"/>
      <c r="B1447" s="42"/>
      <c r="C1447" s="280"/>
      <c r="D1447" s="264"/>
      <c r="E1447" s="264"/>
      <c r="F1447" s="264"/>
      <c r="G1447" s="264"/>
      <c r="H1447" s="264"/>
      <c r="I1447" s="281"/>
      <c r="J1447" s="281"/>
      <c r="K1447" s="264"/>
      <c r="L1447" s="264"/>
      <c r="M1447" s="264"/>
      <c r="N1447" s="264"/>
      <c r="O1447" s="264"/>
      <c r="P1447" s="264"/>
      <c r="Q1447" s="264"/>
      <c r="R1447" s="264"/>
      <c r="S1447" s="264"/>
      <c r="T1447" s="264"/>
      <c r="U1447" s="16"/>
      <c r="V1447" s="264"/>
      <c r="W1447" s="264"/>
      <c r="X1447" s="264"/>
      <c r="Y1447" s="264"/>
      <c r="Z1447" s="264"/>
      <c r="AA1447" s="264"/>
      <c r="AB1447" s="264"/>
      <c r="AC1447" s="264"/>
      <c r="AD1447" s="264"/>
      <c r="AE1447" s="264"/>
      <c r="AF1447" s="264"/>
      <c r="AG1447" s="264"/>
      <c r="AH1447" s="264"/>
      <c r="AI1447" s="264"/>
      <c r="AJ1447" s="264"/>
      <c r="AK1447" s="264"/>
      <c r="AL1447" s="264"/>
      <c r="AM1447" s="264"/>
      <c r="AN1447" s="264"/>
    </row>
    <row r="1448" ht="15.75" customHeight="1">
      <c r="A1448" s="264"/>
      <c r="B1448" s="42"/>
      <c r="C1448" s="280"/>
      <c r="D1448" s="264"/>
      <c r="E1448" s="264"/>
      <c r="F1448" s="264"/>
      <c r="G1448" s="264"/>
      <c r="H1448" s="264"/>
      <c r="I1448" s="281"/>
      <c r="J1448" s="281"/>
      <c r="K1448" s="264"/>
      <c r="L1448" s="264"/>
      <c r="M1448" s="264"/>
      <c r="N1448" s="264"/>
      <c r="O1448" s="264"/>
      <c r="P1448" s="264"/>
      <c r="Q1448" s="264"/>
      <c r="R1448" s="264"/>
      <c r="S1448" s="264"/>
      <c r="T1448" s="264"/>
      <c r="U1448" s="16"/>
      <c r="V1448" s="264"/>
      <c r="W1448" s="264"/>
      <c r="X1448" s="264"/>
      <c r="Y1448" s="264"/>
      <c r="Z1448" s="264"/>
      <c r="AA1448" s="264"/>
      <c r="AB1448" s="264"/>
      <c r="AC1448" s="264"/>
      <c r="AD1448" s="264"/>
      <c r="AE1448" s="264"/>
      <c r="AF1448" s="264"/>
      <c r="AG1448" s="264"/>
      <c r="AH1448" s="264"/>
      <c r="AI1448" s="264"/>
      <c r="AJ1448" s="264"/>
      <c r="AK1448" s="264"/>
      <c r="AL1448" s="264"/>
      <c r="AM1448" s="264"/>
      <c r="AN1448" s="264"/>
    </row>
    <row r="1449" ht="15.75" customHeight="1">
      <c r="A1449" s="264"/>
      <c r="B1449" s="42"/>
      <c r="C1449" s="280"/>
      <c r="D1449" s="264"/>
      <c r="E1449" s="264"/>
      <c r="F1449" s="264"/>
      <c r="G1449" s="264"/>
      <c r="H1449" s="264"/>
      <c r="I1449" s="281"/>
      <c r="J1449" s="281"/>
      <c r="K1449" s="264"/>
      <c r="L1449" s="264"/>
      <c r="M1449" s="264"/>
      <c r="N1449" s="264"/>
      <c r="O1449" s="264"/>
      <c r="P1449" s="264"/>
      <c r="Q1449" s="264"/>
      <c r="R1449" s="264"/>
      <c r="S1449" s="264"/>
      <c r="T1449" s="264"/>
      <c r="U1449" s="16"/>
      <c r="V1449" s="264"/>
      <c r="W1449" s="264"/>
      <c r="X1449" s="264"/>
      <c r="Y1449" s="264"/>
      <c r="Z1449" s="264"/>
      <c r="AA1449" s="264"/>
      <c r="AB1449" s="264"/>
      <c r="AC1449" s="264"/>
      <c r="AD1449" s="264"/>
      <c r="AE1449" s="264"/>
      <c r="AF1449" s="264"/>
      <c r="AG1449" s="264"/>
      <c r="AH1449" s="264"/>
      <c r="AI1449" s="264"/>
      <c r="AJ1449" s="264"/>
      <c r="AK1449" s="264"/>
      <c r="AL1449" s="264"/>
      <c r="AM1449" s="264"/>
      <c r="AN1449" s="264"/>
    </row>
    <row r="1450" ht="15.75" customHeight="1">
      <c r="A1450" s="264"/>
      <c r="B1450" s="42"/>
      <c r="C1450" s="280"/>
      <c r="D1450" s="264"/>
      <c r="E1450" s="264"/>
      <c r="F1450" s="264"/>
      <c r="G1450" s="264"/>
      <c r="H1450" s="264"/>
      <c r="I1450" s="281"/>
      <c r="J1450" s="281"/>
      <c r="K1450" s="264"/>
      <c r="L1450" s="264"/>
      <c r="M1450" s="264"/>
      <c r="N1450" s="264"/>
      <c r="O1450" s="264"/>
      <c r="P1450" s="264"/>
      <c r="Q1450" s="264"/>
      <c r="R1450" s="264"/>
      <c r="S1450" s="264"/>
      <c r="T1450" s="264"/>
      <c r="U1450" s="16"/>
      <c r="V1450" s="264"/>
      <c r="W1450" s="264"/>
      <c r="X1450" s="264"/>
      <c r="Y1450" s="264"/>
      <c r="Z1450" s="264"/>
      <c r="AA1450" s="264"/>
      <c r="AB1450" s="264"/>
      <c r="AC1450" s="264"/>
      <c r="AD1450" s="264"/>
      <c r="AE1450" s="264"/>
      <c r="AF1450" s="264"/>
      <c r="AG1450" s="264"/>
      <c r="AH1450" s="264"/>
      <c r="AI1450" s="264"/>
      <c r="AJ1450" s="264"/>
      <c r="AK1450" s="264"/>
      <c r="AL1450" s="264"/>
      <c r="AM1450" s="264"/>
      <c r="AN1450" s="264"/>
    </row>
    <row r="1451" ht="15.75" customHeight="1">
      <c r="A1451" s="264"/>
      <c r="B1451" s="42"/>
      <c r="C1451" s="280"/>
      <c r="D1451" s="264"/>
      <c r="E1451" s="264"/>
      <c r="F1451" s="264"/>
      <c r="G1451" s="264"/>
      <c r="H1451" s="264"/>
      <c r="I1451" s="281"/>
      <c r="J1451" s="281"/>
      <c r="K1451" s="264"/>
      <c r="L1451" s="264"/>
      <c r="M1451" s="264"/>
      <c r="N1451" s="264"/>
      <c r="O1451" s="264"/>
      <c r="P1451" s="264"/>
      <c r="Q1451" s="264"/>
      <c r="R1451" s="264"/>
      <c r="S1451" s="264"/>
      <c r="T1451" s="264"/>
      <c r="U1451" s="16"/>
      <c r="V1451" s="264"/>
      <c r="W1451" s="264"/>
      <c r="X1451" s="264"/>
      <c r="Y1451" s="264"/>
      <c r="Z1451" s="264"/>
      <c r="AA1451" s="264"/>
      <c r="AB1451" s="264"/>
      <c r="AC1451" s="264"/>
      <c r="AD1451" s="264"/>
      <c r="AE1451" s="264"/>
      <c r="AF1451" s="264"/>
      <c r="AG1451" s="264"/>
      <c r="AH1451" s="264"/>
      <c r="AI1451" s="264"/>
      <c r="AJ1451" s="264"/>
      <c r="AK1451" s="264"/>
      <c r="AL1451" s="264"/>
      <c r="AM1451" s="264"/>
      <c r="AN1451" s="264"/>
    </row>
    <row r="1452" ht="15.75" customHeight="1">
      <c r="A1452" s="264"/>
      <c r="B1452" s="42"/>
      <c r="C1452" s="280"/>
      <c r="D1452" s="264"/>
      <c r="E1452" s="264"/>
      <c r="F1452" s="264"/>
      <c r="G1452" s="264"/>
      <c r="H1452" s="264"/>
      <c r="I1452" s="281"/>
      <c r="J1452" s="281"/>
      <c r="K1452" s="264"/>
      <c r="L1452" s="264"/>
      <c r="M1452" s="264"/>
      <c r="N1452" s="264"/>
      <c r="O1452" s="264"/>
      <c r="P1452" s="264"/>
      <c r="Q1452" s="264"/>
      <c r="R1452" s="264"/>
      <c r="S1452" s="264"/>
      <c r="T1452" s="264"/>
      <c r="U1452" s="16"/>
      <c r="V1452" s="264"/>
      <c r="W1452" s="264"/>
      <c r="X1452" s="264"/>
      <c r="Y1452" s="264"/>
      <c r="Z1452" s="264"/>
      <c r="AA1452" s="264"/>
      <c r="AB1452" s="264"/>
      <c r="AC1452" s="264"/>
      <c r="AD1452" s="264"/>
      <c r="AE1452" s="264"/>
      <c r="AF1452" s="264"/>
      <c r="AG1452" s="264"/>
      <c r="AH1452" s="264"/>
      <c r="AI1452" s="264"/>
      <c r="AJ1452" s="264"/>
      <c r="AK1452" s="264"/>
      <c r="AL1452" s="264"/>
      <c r="AM1452" s="264"/>
      <c r="AN1452" s="264"/>
    </row>
    <row r="1453" ht="15.75" customHeight="1">
      <c r="A1453" s="264"/>
      <c r="B1453" s="42"/>
      <c r="C1453" s="280"/>
      <c r="D1453" s="264"/>
      <c r="E1453" s="264"/>
      <c r="F1453" s="264"/>
      <c r="G1453" s="264"/>
      <c r="H1453" s="264"/>
      <c r="I1453" s="281"/>
      <c r="J1453" s="281"/>
      <c r="K1453" s="264"/>
      <c r="L1453" s="264"/>
      <c r="M1453" s="264"/>
      <c r="N1453" s="264"/>
      <c r="O1453" s="264"/>
      <c r="P1453" s="264"/>
      <c r="Q1453" s="264"/>
      <c r="R1453" s="264"/>
      <c r="S1453" s="264"/>
      <c r="T1453" s="264"/>
      <c r="U1453" s="16"/>
      <c r="V1453" s="264"/>
      <c r="W1453" s="264"/>
      <c r="X1453" s="264"/>
      <c r="Y1453" s="264"/>
      <c r="Z1453" s="264"/>
      <c r="AA1453" s="264"/>
      <c r="AB1453" s="264"/>
      <c r="AC1453" s="264"/>
      <c r="AD1453" s="264"/>
      <c r="AE1453" s="264"/>
      <c r="AF1453" s="264"/>
      <c r="AG1453" s="264"/>
      <c r="AH1453" s="264"/>
      <c r="AI1453" s="264"/>
      <c r="AJ1453" s="264"/>
      <c r="AK1453" s="264"/>
      <c r="AL1453" s="264"/>
      <c r="AM1453" s="264"/>
      <c r="AN1453" s="264"/>
    </row>
    <row r="1454" ht="15.75" customHeight="1">
      <c r="A1454" s="264"/>
      <c r="B1454" s="42"/>
      <c r="C1454" s="280"/>
      <c r="D1454" s="264"/>
      <c r="E1454" s="264"/>
      <c r="F1454" s="264"/>
      <c r="G1454" s="264"/>
      <c r="H1454" s="264"/>
      <c r="I1454" s="281"/>
      <c r="J1454" s="281"/>
      <c r="K1454" s="264"/>
      <c r="L1454" s="264"/>
      <c r="M1454" s="264"/>
      <c r="N1454" s="264"/>
      <c r="O1454" s="264"/>
      <c r="P1454" s="264"/>
      <c r="Q1454" s="264"/>
      <c r="R1454" s="264"/>
      <c r="S1454" s="264"/>
      <c r="T1454" s="264"/>
      <c r="U1454" s="16"/>
      <c r="V1454" s="264"/>
      <c r="W1454" s="264"/>
      <c r="X1454" s="264"/>
      <c r="Y1454" s="264"/>
      <c r="Z1454" s="264"/>
      <c r="AA1454" s="264"/>
      <c r="AB1454" s="264"/>
      <c r="AC1454" s="264"/>
      <c r="AD1454" s="264"/>
      <c r="AE1454" s="264"/>
      <c r="AF1454" s="264"/>
      <c r="AG1454" s="264"/>
      <c r="AH1454" s="264"/>
      <c r="AI1454" s="264"/>
      <c r="AJ1454" s="264"/>
      <c r="AK1454" s="264"/>
      <c r="AL1454" s="264"/>
      <c r="AM1454" s="264"/>
      <c r="AN1454" s="264"/>
    </row>
    <row r="1455" ht="15.75" customHeight="1">
      <c r="A1455" s="264"/>
      <c r="B1455" s="42"/>
      <c r="C1455" s="280"/>
      <c r="D1455" s="264"/>
      <c r="E1455" s="264"/>
      <c r="F1455" s="264"/>
      <c r="G1455" s="264"/>
      <c r="H1455" s="264"/>
      <c r="I1455" s="281"/>
      <c r="J1455" s="281"/>
      <c r="K1455" s="264"/>
      <c r="L1455" s="264"/>
      <c r="M1455" s="264"/>
      <c r="N1455" s="264"/>
      <c r="O1455" s="264"/>
      <c r="P1455" s="264"/>
      <c r="Q1455" s="264"/>
      <c r="R1455" s="264"/>
      <c r="S1455" s="264"/>
      <c r="T1455" s="264"/>
      <c r="U1455" s="16"/>
      <c r="V1455" s="264"/>
      <c r="W1455" s="264"/>
      <c r="X1455" s="264"/>
      <c r="Y1455" s="264"/>
      <c r="Z1455" s="264"/>
      <c r="AA1455" s="264"/>
      <c r="AB1455" s="264"/>
      <c r="AC1455" s="264"/>
      <c r="AD1455" s="264"/>
      <c r="AE1455" s="264"/>
      <c r="AF1455" s="264"/>
      <c r="AG1455" s="264"/>
      <c r="AH1455" s="264"/>
      <c r="AI1455" s="264"/>
      <c r="AJ1455" s="264"/>
      <c r="AK1455" s="264"/>
      <c r="AL1455" s="264"/>
      <c r="AM1455" s="264"/>
      <c r="AN1455" s="264"/>
    </row>
    <row r="1456" ht="15.75" customHeight="1">
      <c r="A1456" s="264"/>
      <c r="B1456" s="42"/>
      <c r="C1456" s="280"/>
      <c r="D1456" s="264"/>
      <c r="E1456" s="264"/>
      <c r="F1456" s="264"/>
      <c r="G1456" s="264"/>
      <c r="H1456" s="264"/>
      <c r="I1456" s="281"/>
      <c r="J1456" s="281"/>
      <c r="K1456" s="264"/>
      <c r="L1456" s="264"/>
      <c r="M1456" s="264"/>
      <c r="N1456" s="264"/>
      <c r="O1456" s="264"/>
      <c r="P1456" s="264"/>
      <c r="Q1456" s="264"/>
      <c r="R1456" s="264"/>
      <c r="S1456" s="264"/>
      <c r="T1456" s="264"/>
      <c r="U1456" s="16"/>
      <c r="V1456" s="264"/>
      <c r="W1456" s="264"/>
      <c r="X1456" s="264"/>
      <c r="Y1456" s="264"/>
      <c r="Z1456" s="264"/>
      <c r="AA1456" s="264"/>
      <c r="AB1456" s="264"/>
      <c r="AC1456" s="264"/>
      <c r="AD1456" s="264"/>
      <c r="AE1456" s="264"/>
      <c r="AF1456" s="264"/>
      <c r="AG1456" s="264"/>
      <c r="AH1456" s="264"/>
      <c r="AI1456" s="264"/>
      <c r="AJ1456" s="264"/>
      <c r="AK1456" s="264"/>
      <c r="AL1456" s="264"/>
      <c r="AM1456" s="264"/>
      <c r="AN1456" s="264"/>
    </row>
    <row r="1457" ht="15.75" customHeight="1">
      <c r="A1457" s="264"/>
      <c r="B1457" s="42"/>
      <c r="C1457" s="280"/>
      <c r="D1457" s="264"/>
      <c r="E1457" s="264"/>
      <c r="F1457" s="264"/>
      <c r="G1457" s="264"/>
      <c r="H1457" s="264"/>
      <c r="I1457" s="281"/>
      <c r="J1457" s="281"/>
      <c r="K1457" s="264"/>
      <c r="L1457" s="264"/>
      <c r="M1457" s="264"/>
      <c r="N1457" s="264"/>
      <c r="O1457" s="264"/>
      <c r="P1457" s="264"/>
      <c r="Q1457" s="264"/>
      <c r="R1457" s="264"/>
      <c r="S1457" s="264"/>
      <c r="T1457" s="264"/>
      <c r="U1457" s="16"/>
      <c r="V1457" s="264"/>
      <c r="W1457" s="264"/>
      <c r="X1457" s="264"/>
      <c r="Y1457" s="264"/>
      <c r="Z1457" s="264"/>
      <c r="AA1457" s="264"/>
      <c r="AB1457" s="264"/>
      <c r="AC1457" s="264"/>
      <c r="AD1457" s="264"/>
      <c r="AE1457" s="264"/>
      <c r="AF1457" s="264"/>
      <c r="AG1457" s="264"/>
      <c r="AH1457" s="264"/>
      <c r="AI1457" s="264"/>
      <c r="AJ1457" s="264"/>
      <c r="AK1457" s="264"/>
      <c r="AL1457" s="264"/>
      <c r="AM1457" s="264"/>
      <c r="AN1457" s="264"/>
    </row>
    <row r="1458" ht="15.75" customHeight="1">
      <c r="A1458" s="264"/>
      <c r="B1458" s="42"/>
      <c r="C1458" s="280"/>
      <c r="D1458" s="264"/>
      <c r="E1458" s="264"/>
      <c r="F1458" s="264"/>
      <c r="G1458" s="264"/>
      <c r="H1458" s="264"/>
      <c r="I1458" s="281"/>
      <c r="J1458" s="281"/>
      <c r="K1458" s="264"/>
      <c r="L1458" s="264"/>
      <c r="M1458" s="264"/>
      <c r="N1458" s="264"/>
      <c r="O1458" s="264"/>
      <c r="P1458" s="264"/>
      <c r="Q1458" s="264"/>
      <c r="R1458" s="264"/>
      <c r="S1458" s="264"/>
      <c r="T1458" s="264"/>
      <c r="U1458" s="16"/>
      <c r="V1458" s="264"/>
      <c r="W1458" s="264"/>
      <c r="X1458" s="264"/>
      <c r="Y1458" s="264"/>
      <c r="Z1458" s="264"/>
      <c r="AA1458" s="264"/>
      <c r="AB1458" s="264"/>
      <c r="AC1458" s="264"/>
      <c r="AD1458" s="264"/>
      <c r="AE1458" s="264"/>
      <c r="AF1458" s="264"/>
      <c r="AG1458" s="264"/>
      <c r="AH1458" s="264"/>
      <c r="AI1458" s="264"/>
      <c r="AJ1458" s="264"/>
      <c r="AK1458" s="264"/>
      <c r="AL1458" s="264"/>
      <c r="AM1458" s="264"/>
      <c r="AN1458" s="264"/>
    </row>
    <row r="1459" ht="15.75" customHeight="1">
      <c r="A1459" s="264"/>
      <c r="B1459" s="42"/>
      <c r="C1459" s="280"/>
      <c r="D1459" s="264"/>
      <c r="E1459" s="264"/>
      <c r="F1459" s="264"/>
      <c r="G1459" s="264"/>
      <c r="H1459" s="264"/>
      <c r="I1459" s="281"/>
      <c r="J1459" s="281"/>
      <c r="K1459" s="264"/>
      <c r="L1459" s="264"/>
      <c r="M1459" s="264"/>
      <c r="N1459" s="264"/>
      <c r="O1459" s="264"/>
      <c r="P1459" s="264"/>
      <c r="Q1459" s="264"/>
      <c r="R1459" s="264"/>
      <c r="S1459" s="264"/>
      <c r="T1459" s="264"/>
      <c r="U1459" s="16"/>
      <c r="V1459" s="264"/>
      <c r="W1459" s="264"/>
      <c r="X1459" s="264"/>
      <c r="Y1459" s="264"/>
      <c r="Z1459" s="264"/>
      <c r="AA1459" s="264"/>
      <c r="AB1459" s="264"/>
      <c r="AC1459" s="264"/>
      <c r="AD1459" s="264"/>
      <c r="AE1459" s="264"/>
      <c r="AF1459" s="264"/>
      <c r="AG1459" s="264"/>
      <c r="AH1459" s="264"/>
      <c r="AI1459" s="264"/>
      <c r="AJ1459" s="264"/>
      <c r="AK1459" s="264"/>
      <c r="AL1459" s="264"/>
      <c r="AM1459" s="264"/>
      <c r="AN1459" s="264"/>
    </row>
    <row r="1460" ht="15.75" customHeight="1">
      <c r="A1460" s="264"/>
      <c r="B1460" s="42"/>
      <c r="C1460" s="280"/>
      <c r="D1460" s="264"/>
      <c r="E1460" s="264"/>
      <c r="F1460" s="264"/>
      <c r="G1460" s="264"/>
      <c r="H1460" s="264"/>
      <c r="I1460" s="281"/>
      <c r="J1460" s="281"/>
      <c r="K1460" s="264"/>
      <c r="L1460" s="264"/>
      <c r="M1460" s="264"/>
      <c r="N1460" s="264"/>
      <c r="O1460" s="264"/>
      <c r="P1460" s="264"/>
      <c r="Q1460" s="264"/>
      <c r="R1460" s="264"/>
      <c r="S1460" s="264"/>
      <c r="T1460" s="264"/>
      <c r="U1460" s="16"/>
      <c r="V1460" s="264"/>
      <c r="W1460" s="264"/>
      <c r="X1460" s="264"/>
      <c r="Y1460" s="264"/>
      <c r="Z1460" s="264"/>
      <c r="AA1460" s="264"/>
      <c r="AB1460" s="264"/>
      <c r="AC1460" s="264"/>
      <c r="AD1460" s="264"/>
      <c r="AE1460" s="264"/>
      <c r="AF1460" s="264"/>
      <c r="AG1460" s="264"/>
      <c r="AH1460" s="264"/>
      <c r="AI1460" s="264"/>
      <c r="AJ1460" s="264"/>
      <c r="AK1460" s="264"/>
      <c r="AL1460" s="264"/>
      <c r="AM1460" s="264"/>
      <c r="AN1460" s="264"/>
    </row>
    <row r="1461" ht="15.75" customHeight="1">
      <c r="A1461" s="264"/>
      <c r="B1461" s="42"/>
      <c r="C1461" s="280"/>
      <c r="D1461" s="264"/>
      <c r="E1461" s="264"/>
      <c r="F1461" s="264"/>
      <c r="G1461" s="264"/>
      <c r="H1461" s="264"/>
      <c r="I1461" s="281"/>
      <c r="J1461" s="281"/>
      <c r="K1461" s="264"/>
      <c r="L1461" s="264"/>
      <c r="M1461" s="264"/>
      <c r="N1461" s="264"/>
      <c r="O1461" s="264"/>
      <c r="P1461" s="264"/>
      <c r="Q1461" s="264"/>
      <c r="R1461" s="264"/>
      <c r="S1461" s="264"/>
      <c r="T1461" s="264"/>
      <c r="U1461" s="16"/>
      <c r="V1461" s="264"/>
      <c r="W1461" s="264"/>
      <c r="X1461" s="264"/>
      <c r="Y1461" s="264"/>
      <c r="Z1461" s="264"/>
      <c r="AA1461" s="264"/>
      <c r="AB1461" s="264"/>
      <c r="AC1461" s="264"/>
      <c r="AD1461" s="264"/>
      <c r="AE1461" s="264"/>
      <c r="AF1461" s="264"/>
      <c r="AG1461" s="264"/>
      <c r="AH1461" s="264"/>
      <c r="AI1461" s="264"/>
      <c r="AJ1461" s="264"/>
      <c r="AK1461" s="264"/>
      <c r="AL1461" s="264"/>
      <c r="AM1461" s="264"/>
      <c r="AN1461" s="264"/>
    </row>
    <row r="1462" ht="15.75" customHeight="1">
      <c r="A1462" s="264"/>
      <c r="B1462" s="42"/>
      <c r="C1462" s="280"/>
      <c r="D1462" s="264"/>
      <c r="E1462" s="264"/>
      <c r="F1462" s="264"/>
      <c r="G1462" s="264"/>
      <c r="H1462" s="264"/>
      <c r="I1462" s="281"/>
      <c r="J1462" s="281"/>
      <c r="K1462" s="264"/>
      <c r="L1462" s="264"/>
      <c r="M1462" s="264"/>
      <c r="N1462" s="264"/>
      <c r="O1462" s="264"/>
      <c r="P1462" s="264"/>
      <c r="Q1462" s="264"/>
      <c r="R1462" s="264"/>
      <c r="S1462" s="264"/>
      <c r="T1462" s="264"/>
      <c r="U1462" s="16"/>
      <c r="V1462" s="264"/>
      <c r="W1462" s="264"/>
      <c r="X1462" s="264"/>
      <c r="Y1462" s="264"/>
      <c r="Z1462" s="264"/>
      <c r="AA1462" s="264"/>
      <c r="AB1462" s="264"/>
      <c r="AC1462" s="264"/>
      <c r="AD1462" s="264"/>
      <c r="AE1462" s="264"/>
      <c r="AF1462" s="264"/>
      <c r="AG1462" s="264"/>
      <c r="AH1462" s="264"/>
      <c r="AI1462" s="264"/>
      <c r="AJ1462" s="264"/>
      <c r="AK1462" s="264"/>
      <c r="AL1462" s="264"/>
      <c r="AM1462" s="264"/>
      <c r="AN1462" s="264"/>
    </row>
    <row r="1463" ht="15.75" customHeight="1">
      <c r="A1463" s="264"/>
      <c r="B1463" s="42"/>
      <c r="C1463" s="280"/>
      <c r="D1463" s="264"/>
      <c r="E1463" s="264"/>
      <c r="F1463" s="264"/>
      <c r="G1463" s="264"/>
      <c r="H1463" s="264"/>
      <c r="I1463" s="281"/>
      <c r="J1463" s="281"/>
      <c r="K1463" s="264"/>
      <c r="L1463" s="264"/>
      <c r="M1463" s="264"/>
      <c r="N1463" s="264"/>
      <c r="O1463" s="264"/>
      <c r="P1463" s="264"/>
      <c r="Q1463" s="264"/>
      <c r="R1463" s="264"/>
      <c r="S1463" s="264"/>
      <c r="T1463" s="264"/>
      <c r="U1463" s="16"/>
      <c r="V1463" s="264"/>
      <c r="W1463" s="264"/>
      <c r="X1463" s="264"/>
      <c r="Y1463" s="264"/>
      <c r="Z1463" s="264"/>
      <c r="AA1463" s="264"/>
      <c r="AB1463" s="264"/>
      <c r="AC1463" s="264"/>
      <c r="AD1463" s="264"/>
      <c r="AE1463" s="264"/>
      <c r="AF1463" s="264"/>
      <c r="AG1463" s="264"/>
      <c r="AH1463" s="264"/>
      <c r="AI1463" s="264"/>
      <c r="AJ1463" s="264"/>
      <c r="AK1463" s="264"/>
      <c r="AL1463" s="264"/>
      <c r="AM1463" s="264"/>
      <c r="AN1463" s="264"/>
    </row>
    <row r="1464" ht="15.75" customHeight="1">
      <c r="A1464" s="264"/>
      <c r="B1464" s="42"/>
      <c r="C1464" s="280"/>
      <c r="D1464" s="264"/>
      <c r="E1464" s="264"/>
      <c r="F1464" s="264"/>
      <c r="G1464" s="264"/>
      <c r="H1464" s="264"/>
      <c r="I1464" s="281"/>
      <c r="J1464" s="281"/>
      <c r="K1464" s="264"/>
      <c r="L1464" s="264"/>
      <c r="M1464" s="264"/>
      <c r="N1464" s="264"/>
      <c r="O1464" s="264"/>
      <c r="P1464" s="264"/>
      <c r="Q1464" s="264"/>
      <c r="R1464" s="264"/>
      <c r="S1464" s="264"/>
      <c r="T1464" s="264"/>
      <c r="U1464" s="16"/>
      <c r="V1464" s="264"/>
      <c r="W1464" s="264"/>
      <c r="X1464" s="264"/>
      <c r="Y1464" s="264"/>
      <c r="Z1464" s="264"/>
      <c r="AA1464" s="264"/>
      <c r="AB1464" s="264"/>
      <c r="AC1464" s="264"/>
      <c r="AD1464" s="264"/>
      <c r="AE1464" s="264"/>
      <c r="AF1464" s="264"/>
      <c r="AG1464" s="264"/>
      <c r="AH1464" s="264"/>
      <c r="AI1464" s="264"/>
      <c r="AJ1464" s="264"/>
      <c r="AK1464" s="264"/>
      <c r="AL1464" s="264"/>
      <c r="AM1464" s="264"/>
      <c r="AN1464" s="264"/>
    </row>
    <row r="1465" ht="15.75" customHeight="1">
      <c r="A1465" s="264"/>
      <c r="B1465" s="42"/>
      <c r="C1465" s="280"/>
      <c r="D1465" s="264"/>
      <c r="E1465" s="264"/>
      <c r="F1465" s="264"/>
      <c r="G1465" s="264"/>
      <c r="H1465" s="264"/>
      <c r="I1465" s="281"/>
      <c r="J1465" s="281"/>
      <c r="K1465" s="264"/>
      <c r="L1465" s="264"/>
      <c r="M1465" s="264"/>
      <c r="N1465" s="264"/>
      <c r="O1465" s="264"/>
      <c r="P1465" s="264"/>
      <c r="Q1465" s="264"/>
      <c r="R1465" s="264"/>
      <c r="S1465" s="264"/>
      <c r="T1465" s="264"/>
      <c r="U1465" s="16"/>
      <c r="V1465" s="264"/>
      <c r="W1465" s="264"/>
      <c r="X1465" s="264"/>
      <c r="Y1465" s="264"/>
      <c r="Z1465" s="264"/>
      <c r="AA1465" s="264"/>
      <c r="AB1465" s="264"/>
      <c r="AC1465" s="264"/>
      <c r="AD1465" s="264"/>
      <c r="AE1465" s="264"/>
      <c r="AF1465" s="264"/>
      <c r="AG1465" s="264"/>
      <c r="AH1465" s="264"/>
      <c r="AI1465" s="264"/>
      <c r="AJ1465" s="264"/>
      <c r="AK1465" s="264"/>
      <c r="AL1465" s="264"/>
      <c r="AM1465" s="264"/>
      <c r="AN1465" s="264"/>
    </row>
    <row r="1466" ht="15.75" customHeight="1">
      <c r="A1466" s="264"/>
      <c r="B1466" s="42"/>
      <c r="C1466" s="280"/>
      <c r="D1466" s="264"/>
      <c r="E1466" s="264"/>
      <c r="F1466" s="264"/>
      <c r="G1466" s="264"/>
      <c r="H1466" s="264"/>
      <c r="I1466" s="281"/>
      <c r="J1466" s="281"/>
      <c r="K1466" s="264"/>
      <c r="L1466" s="264"/>
      <c r="M1466" s="264"/>
      <c r="N1466" s="264"/>
      <c r="O1466" s="264"/>
      <c r="P1466" s="264"/>
      <c r="Q1466" s="264"/>
      <c r="R1466" s="264"/>
      <c r="S1466" s="264"/>
      <c r="T1466" s="264"/>
      <c r="U1466" s="16"/>
      <c r="V1466" s="264"/>
      <c r="W1466" s="264"/>
      <c r="X1466" s="264"/>
      <c r="Y1466" s="264"/>
      <c r="Z1466" s="264"/>
      <c r="AA1466" s="264"/>
      <c r="AB1466" s="264"/>
      <c r="AC1466" s="264"/>
      <c r="AD1466" s="264"/>
      <c r="AE1466" s="264"/>
      <c r="AF1466" s="264"/>
      <c r="AG1466" s="264"/>
      <c r="AH1466" s="264"/>
      <c r="AI1466" s="264"/>
      <c r="AJ1466" s="264"/>
      <c r="AK1466" s="264"/>
      <c r="AL1466" s="264"/>
      <c r="AM1466" s="264"/>
      <c r="AN1466" s="264"/>
    </row>
    <row r="1467" ht="15.75" customHeight="1">
      <c r="A1467" s="264"/>
      <c r="B1467" s="42"/>
      <c r="C1467" s="280"/>
      <c r="D1467" s="264"/>
      <c r="E1467" s="264"/>
      <c r="F1467" s="264"/>
      <c r="G1467" s="264"/>
      <c r="H1467" s="264"/>
      <c r="I1467" s="281"/>
      <c r="J1467" s="281"/>
      <c r="K1467" s="264"/>
      <c r="L1467" s="264"/>
      <c r="M1467" s="264"/>
      <c r="N1467" s="264"/>
      <c r="O1467" s="264"/>
      <c r="P1467" s="264"/>
      <c r="Q1467" s="264"/>
      <c r="R1467" s="264"/>
      <c r="S1467" s="264"/>
      <c r="T1467" s="264"/>
      <c r="U1467" s="16"/>
      <c r="V1467" s="264"/>
      <c r="W1467" s="264"/>
      <c r="X1467" s="264"/>
      <c r="Y1467" s="264"/>
      <c r="Z1467" s="264"/>
      <c r="AA1467" s="264"/>
      <c r="AB1467" s="264"/>
      <c r="AC1467" s="264"/>
      <c r="AD1467" s="264"/>
      <c r="AE1467" s="264"/>
      <c r="AF1467" s="264"/>
      <c r="AG1467" s="264"/>
      <c r="AH1467" s="264"/>
      <c r="AI1467" s="264"/>
      <c r="AJ1467" s="264"/>
      <c r="AK1467" s="264"/>
      <c r="AL1467" s="264"/>
      <c r="AM1467" s="264"/>
      <c r="AN1467" s="264"/>
    </row>
    <row r="1468" ht="15.75" customHeight="1">
      <c r="A1468" s="264"/>
      <c r="B1468" s="42"/>
      <c r="C1468" s="280"/>
      <c r="D1468" s="264"/>
      <c r="E1468" s="264"/>
      <c r="F1468" s="264"/>
      <c r="G1468" s="264"/>
      <c r="H1468" s="264"/>
      <c r="I1468" s="281"/>
      <c r="J1468" s="281"/>
      <c r="K1468" s="264"/>
      <c r="L1468" s="264"/>
      <c r="M1468" s="264"/>
      <c r="N1468" s="264"/>
      <c r="O1468" s="264"/>
      <c r="P1468" s="264"/>
      <c r="Q1468" s="264"/>
      <c r="R1468" s="264"/>
      <c r="S1468" s="264"/>
      <c r="T1468" s="264"/>
      <c r="U1468" s="16"/>
      <c r="V1468" s="264"/>
      <c r="W1468" s="264"/>
      <c r="X1468" s="264"/>
      <c r="Y1468" s="264"/>
      <c r="Z1468" s="264"/>
      <c r="AA1468" s="264"/>
      <c r="AB1468" s="264"/>
      <c r="AC1468" s="264"/>
      <c r="AD1468" s="264"/>
      <c r="AE1468" s="264"/>
      <c r="AF1468" s="264"/>
      <c r="AG1468" s="264"/>
      <c r="AH1468" s="264"/>
      <c r="AI1468" s="264"/>
      <c r="AJ1468" s="264"/>
      <c r="AK1468" s="264"/>
      <c r="AL1468" s="264"/>
      <c r="AM1468" s="264"/>
      <c r="AN1468" s="264"/>
    </row>
    <row r="1469" ht="15.75" customHeight="1">
      <c r="A1469" s="264"/>
      <c r="B1469" s="42"/>
      <c r="C1469" s="280"/>
      <c r="D1469" s="264"/>
      <c r="E1469" s="264"/>
      <c r="F1469" s="264"/>
      <c r="G1469" s="264"/>
      <c r="H1469" s="264"/>
      <c r="I1469" s="281"/>
      <c r="J1469" s="281"/>
      <c r="K1469" s="264"/>
      <c r="L1469" s="264"/>
      <c r="M1469" s="264"/>
      <c r="N1469" s="264"/>
      <c r="O1469" s="264"/>
      <c r="P1469" s="264"/>
      <c r="Q1469" s="264"/>
      <c r="R1469" s="264"/>
      <c r="S1469" s="264"/>
      <c r="T1469" s="264"/>
      <c r="U1469" s="16"/>
      <c r="V1469" s="264"/>
      <c r="W1469" s="264"/>
      <c r="X1469" s="264"/>
      <c r="Y1469" s="264"/>
      <c r="Z1469" s="264"/>
      <c r="AA1469" s="264"/>
      <c r="AB1469" s="264"/>
      <c r="AC1469" s="264"/>
      <c r="AD1469" s="264"/>
      <c r="AE1469" s="264"/>
      <c r="AF1469" s="264"/>
      <c r="AG1469" s="264"/>
      <c r="AH1469" s="264"/>
      <c r="AI1469" s="264"/>
      <c r="AJ1469" s="264"/>
      <c r="AK1469" s="264"/>
      <c r="AL1469" s="264"/>
      <c r="AM1469" s="264"/>
      <c r="AN1469" s="264"/>
    </row>
    <row r="1470" ht="15.75" customHeight="1">
      <c r="A1470" s="264"/>
      <c r="B1470" s="42"/>
      <c r="C1470" s="280"/>
      <c r="D1470" s="264"/>
      <c r="E1470" s="264"/>
      <c r="F1470" s="264"/>
      <c r="G1470" s="264"/>
      <c r="H1470" s="264"/>
      <c r="I1470" s="281"/>
      <c r="J1470" s="281"/>
      <c r="K1470" s="264"/>
      <c r="L1470" s="264"/>
      <c r="M1470" s="264"/>
      <c r="N1470" s="264"/>
      <c r="O1470" s="264"/>
      <c r="P1470" s="264"/>
      <c r="Q1470" s="264"/>
      <c r="R1470" s="264"/>
      <c r="S1470" s="264"/>
      <c r="T1470" s="264"/>
      <c r="U1470" s="16"/>
      <c r="V1470" s="264"/>
      <c r="W1470" s="264"/>
      <c r="X1470" s="264"/>
      <c r="Y1470" s="264"/>
      <c r="Z1470" s="264"/>
      <c r="AA1470" s="264"/>
      <c r="AB1470" s="264"/>
      <c r="AC1470" s="264"/>
      <c r="AD1470" s="264"/>
      <c r="AE1470" s="264"/>
      <c r="AF1470" s="264"/>
      <c r="AG1470" s="264"/>
      <c r="AH1470" s="264"/>
      <c r="AI1470" s="264"/>
      <c r="AJ1470" s="264"/>
      <c r="AK1470" s="264"/>
      <c r="AL1470" s="264"/>
      <c r="AM1470" s="264"/>
      <c r="AN1470" s="264"/>
    </row>
    <row r="1471" ht="15.75" customHeight="1">
      <c r="A1471" s="264"/>
      <c r="B1471" s="42"/>
      <c r="C1471" s="280"/>
      <c r="D1471" s="264"/>
      <c r="E1471" s="264"/>
      <c r="F1471" s="264"/>
      <c r="G1471" s="264"/>
      <c r="H1471" s="264"/>
      <c r="I1471" s="281"/>
      <c r="J1471" s="281"/>
      <c r="K1471" s="264"/>
      <c r="L1471" s="264"/>
      <c r="M1471" s="264"/>
      <c r="N1471" s="264"/>
      <c r="O1471" s="264"/>
      <c r="P1471" s="264"/>
      <c r="Q1471" s="264"/>
      <c r="R1471" s="264"/>
      <c r="S1471" s="264"/>
      <c r="T1471" s="264"/>
      <c r="U1471" s="16"/>
      <c r="V1471" s="264"/>
      <c r="W1471" s="264"/>
      <c r="X1471" s="264"/>
      <c r="Y1471" s="264"/>
      <c r="Z1471" s="264"/>
      <c r="AA1471" s="264"/>
      <c r="AB1471" s="264"/>
      <c r="AC1471" s="264"/>
      <c r="AD1471" s="264"/>
      <c r="AE1471" s="264"/>
      <c r="AF1471" s="264"/>
      <c r="AG1471" s="264"/>
      <c r="AH1471" s="264"/>
      <c r="AI1471" s="264"/>
      <c r="AJ1471" s="264"/>
      <c r="AK1471" s="264"/>
      <c r="AL1471" s="264"/>
      <c r="AM1471" s="264"/>
      <c r="AN1471" s="264"/>
    </row>
    <row r="1472" ht="15.75" customHeight="1">
      <c r="A1472" s="264"/>
      <c r="B1472" s="42"/>
      <c r="C1472" s="280"/>
      <c r="D1472" s="264"/>
      <c r="E1472" s="264"/>
      <c r="F1472" s="264"/>
      <c r="G1472" s="264"/>
      <c r="H1472" s="264"/>
      <c r="I1472" s="281"/>
      <c r="J1472" s="281"/>
      <c r="K1472" s="264"/>
      <c r="L1472" s="264"/>
      <c r="M1472" s="264"/>
      <c r="N1472" s="264"/>
      <c r="O1472" s="264"/>
      <c r="P1472" s="264"/>
      <c r="Q1472" s="264"/>
      <c r="R1472" s="264"/>
      <c r="S1472" s="264"/>
      <c r="T1472" s="264"/>
      <c r="U1472" s="16"/>
      <c r="V1472" s="264"/>
      <c r="W1472" s="264"/>
      <c r="X1472" s="264"/>
      <c r="Y1472" s="264"/>
      <c r="Z1472" s="264"/>
      <c r="AA1472" s="264"/>
      <c r="AB1472" s="264"/>
      <c r="AC1472" s="264"/>
      <c r="AD1472" s="264"/>
      <c r="AE1472" s="264"/>
      <c r="AF1472" s="264"/>
      <c r="AG1472" s="264"/>
      <c r="AH1472" s="264"/>
      <c r="AI1472" s="264"/>
      <c r="AJ1472" s="264"/>
      <c r="AK1472" s="264"/>
      <c r="AL1472" s="264"/>
      <c r="AM1472" s="264"/>
      <c r="AN1472" s="264"/>
    </row>
    <row r="1473" ht="15.75" customHeight="1">
      <c r="A1473" s="264"/>
      <c r="B1473" s="42"/>
      <c r="C1473" s="280"/>
      <c r="D1473" s="264"/>
      <c r="E1473" s="264"/>
      <c r="F1473" s="264"/>
      <c r="G1473" s="264"/>
      <c r="H1473" s="264"/>
      <c r="I1473" s="281"/>
      <c r="J1473" s="281"/>
      <c r="K1473" s="264"/>
      <c r="L1473" s="264"/>
      <c r="M1473" s="264"/>
      <c r="N1473" s="264"/>
      <c r="O1473" s="264"/>
      <c r="P1473" s="264"/>
      <c r="Q1473" s="264"/>
      <c r="R1473" s="264"/>
      <c r="S1473" s="264"/>
      <c r="T1473" s="264"/>
      <c r="U1473" s="16"/>
      <c r="V1473" s="264"/>
      <c r="W1473" s="264"/>
      <c r="X1473" s="264"/>
      <c r="Y1473" s="264"/>
      <c r="Z1473" s="264"/>
      <c r="AA1473" s="264"/>
      <c r="AB1473" s="264"/>
      <c r="AC1473" s="264"/>
      <c r="AD1473" s="264"/>
      <c r="AE1473" s="264"/>
      <c r="AF1473" s="264"/>
      <c r="AG1473" s="264"/>
      <c r="AH1473" s="264"/>
      <c r="AI1473" s="264"/>
      <c r="AJ1473" s="264"/>
      <c r="AK1473" s="264"/>
      <c r="AL1473" s="264"/>
      <c r="AM1473" s="264"/>
      <c r="AN1473" s="264"/>
    </row>
    <row r="1474" ht="15.75" customHeight="1">
      <c r="A1474" s="264"/>
      <c r="B1474" s="42"/>
      <c r="C1474" s="280"/>
      <c r="D1474" s="264"/>
      <c r="E1474" s="264"/>
      <c r="F1474" s="264"/>
      <c r="G1474" s="264"/>
      <c r="H1474" s="264"/>
      <c r="I1474" s="281"/>
      <c r="J1474" s="281"/>
      <c r="K1474" s="264"/>
      <c r="L1474" s="264"/>
      <c r="M1474" s="264"/>
      <c r="N1474" s="264"/>
      <c r="O1474" s="264"/>
      <c r="P1474" s="264"/>
      <c r="Q1474" s="264"/>
      <c r="R1474" s="264"/>
      <c r="S1474" s="264"/>
      <c r="T1474" s="264"/>
      <c r="U1474" s="16"/>
      <c r="V1474" s="264"/>
      <c r="W1474" s="264"/>
      <c r="X1474" s="264"/>
      <c r="Y1474" s="264"/>
      <c r="Z1474" s="264"/>
      <c r="AA1474" s="264"/>
      <c r="AB1474" s="264"/>
      <c r="AC1474" s="264"/>
      <c r="AD1474" s="264"/>
      <c r="AE1474" s="264"/>
      <c r="AF1474" s="264"/>
      <c r="AG1474" s="264"/>
      <c r="AH1474" s="264"/>
      <c r="AI1474" s="264"/>
      <c r="AJ1474" s="264"/>
      <c r="AK1474" s="264"/>
      <c r="AL1474" s="264"/>
      <c r="AM1474" s="264"/>
      <c r="AN1474" s="264"/>
    </row>
    <row r="1475" ht="15.75" customHeight="1">
      <c r="A1475" s="264"/>
      <c r="B1475" s="42"/>
      <c r="C1475" s="280"/>
      <c r="D1475" s="264"/>
      <c r="E1475" s="264"/>
      <c r="F1475" s="264"/>
      <c r="G1475" s="264"/>
      <c r="H1475" s="264"/>
      <c r="I1475" s="281"/>
      <c r="J1475" s="281"/>
      <c r="K1475" s="264"/>
      <c r="L1475" s="264"/>
      <c r="M1475" s="264"/>
      <c r="N1475" s="264"/>
      <c r="O1475" s="264"/>
      <c r="P1475" s="264"/>
      <c r="Q1475" s="264"/>
      <c r="R1475" s="264"/>
      <c r="S1475" s="264"/>
      <c r="T1475" s="264"/>
      <c r="U1475" s="16"/>
      <c r="V1475" s="264"/>
      <c r="W1475" s="264"/>
      <c r="X1475" s="264"/>
      <c r="Y1475" s="264"/>
      <c r="Z1475" s="264"/>
      <c r="AA1475" s="264"/>
      <c r="AB1475" s="264"/>
      <c r="AC1475" s="264"/>
      <c r="AD1475" s="264"/>
      <c r="AE1475" s="264"/>
      <c r="AF1475" s="264"/>
      <c r="AG1475" s="264"/>
      <c r="AH1475" s="264"/>
      <c r="AI1475" s="264"/>
      <c r="AJ1475" s="264"/>
      <c r="AK1475" s="264"/>
      <c r="AL1475" s="264"/>
      <c r="AM1475" s="264"/>
      <c r="AN1475" s="264"/>
    </row>
    <row r="1476" ht="15.75" customHeight="1">
      <c r="A1476" s="264"/>
      <c r="B1476" s="42"/>
      <c r="C1476" s="280"/>
      <c r="D1476" s="264"/>
      <c r="E1476" s="264"/>
      <c r="F1476" s="264"/>
      <c r="G1476" s="264"/>
      <c r="H1476" s="264"/>
      <c r="I1476" s="281"/>
      <c r="J1476" s="281"/>
      <c r="K1476" s="264"/>
      <c r="L1476" s="264"/>
      <c r="M1476" s="264"/>
      <c r="N1476" s="264"/>
      <c r="O1476" s="264"/>
      <c r="P1476" s="264"/>
      <c r="Q1476" s="264"/>
      <c r="R1476" s="264"/>
      <c r="S1476" s="264"/>
      <c r="T1476" s="264"/>
      <c r="U1476" s="16"/>
      <c r="V1476" s="264"/>
      <c r="W1476" s="264"/>
      <c r="X1476" s="264"/>
      <c r="Y1476" s="264"/>
      <c r="Z1476" s="264"/>
      <c r="AA1476" s="264"/>
      <c r="AB1476" s="264"/>
      <c r="AC1476" s="264"/>
      <c r="AD1476" s="264"/>
      <c r="AE1476" s="264"/>
      <c r="AF1476" s="264"/>
      <c r="AG1476" s="264"/>
      <c r="AH1476" s="264"/>
      <c r="AI1476" s="264"/>
      <c r="AJ1476" s="264"/>
      <c r="AK1476" s="264"/>
      <c r="AL1476" s="264"/>
      <c r="AM1476" s="264"/>
      <c r="AN1476" s="264"/>
    </row>
    <row r="1477" ht="15.75" customHeight="1">
      <c r="A1477" s="264"/>
      <c r="B1477" s="42"/>
      <c r="C1477" s="280"/>
      <c r="D1477" s="264"/>
      <c r="E1477" s="264"/>
      <c r="F1477" s="264"/>
      <c r="G1477" s="264"/>
      <c r="H1477" s="264"/>
      <c r="I1477" s="281"/>
      <c r="J1477" s="281"/>
      <c r="K1477" s="264"/>
      <c r="L1477" s="264"/>
      <c r="M1477" s="264"/>
      <c r="N1477" s="264"/>
      <c r="O1477" s="264"/>
      <c r="P1477" s="264"/>
      <c r="Q1477" s="264"/>
      <c r="R1477" s="264"/>
      <c r="S1477" s="264"/>
      <c r="T1477" s="264"/>
      <c r="U1477" s="16"/>
      <c r="V1477" s="264"/>
      <c r="W1477" s="264"/>
      <c r="X1477" s="264"/>
      <c r="Y1477" s="264"/>
      <c r="Z1477" s="264"/>
      <c r="AA1477" s="264"/>
      <c r="AB1477" s="264"/>
      <c r="AC1477" s="264"/>
      <c r="AD1477" s="264"/>
      <c r="AE1477" s="264"/>
      <c r="AF1477" s="264"/>
      <c r="AG1477" s="264"/>
      <c r="AH1477" s="264"/>
      <c r="AI1477" s="264"/>
      <c r="AJ1477" s="264"/>
      <c r="AK1477" s="264"/>
      <c r="AL1477" s="264"/>
      <c r="AM1477" s="264"/>
      <c r="AN1477" s="264"/>
    </row>
    <row r="1478" ht="15.75" customHeight="1">
      <c r="A1478" s="264"/>
      <c r="B1478" s="42"/>
      <c r="C1478" s="280"/>
      <c r="D1478" s="264"/>
      <c r="E1478" s="264"/>
      <c r="F1478" s="264"/>
      <c r="G1478" s="264"/>
      <c r="H1478" s="264"/>
      <c r="I1478" s="281"/>
      <c r="J1478" s="281"/>
      <c r="K1478" s="264"/>
      <c r="L1478" s="264"/>
      <c r="M1478" s="264"/>
      <c r="N1478" s="264"/>
      <c r="O1478" s="264"/>
      <c r="P1478" s="264"/>
      <c r="Q1478" s="264"/>
      <c r="R1478" s="264"/>
      <c r="S1478" s="264"/>
      <c r="T1478" s="264"/>
      <c r="U1478" s="16"/>
      <c r="V1478" s="264"/>
      <c r="W1478" s="264"/>
      <c r="X1478" s="264"/>
      <c r="Y1478" s="264"/>
      <c r="Z1478" s="264"/>
      <c r="AA1478" s="264"/>
      <c r="AB1478" s="264"/>
      <c r="AC1478" s="264"/>
      <c r="AD1478" s="264"/>
      <c r="AE1478" s="264"/>
      <c r="AF1478" s="264"/>
      <c r="AG1478" s="264"/>
      <c r="AH1478" s="264"/>
      <c r="AI1478" s="264"/>
      <c r="AJ1478" s="264"/>
      <c r="AK1478" s="264"/>
      <c r="AL1478" s="264"/>
      <c r="AM1478" s="264"/>
      <c r="AN1478" s="264"/>
    </row>
    <row r="1479" ht="15.75" customHeight="1">
      <c r="A1479" s="264"/>
      <c r="B1479" s="42"/>
      <c r="C1479" s="280"/>
      <c r="D1479" s="264"/>
      <c r="E1479" s="264"/>
      <c r="F1479" s="264"/>
      <c r="G1479" s="264"/>
      <c r="H1479" s="264"/>
      <c r="I1479" s="281"/>
      <c r="J1479" s="281"/>
      <c r="K1479" s="264"/>
      <c r="L1479" s="264"/>
      <c r="M1479" s="264"/>
      <c r="N1479" s="264"/>
      <c r="O1479" s="264"/>
      <c r="P1479" s="264"/>
      <c r="Q1479" s="264"/>
      <c r="R1479" s="264"/>
      <c r="S1479" s="264"/>
      <c r="T1479" s="264"/>
      <c r="U1479" s="16"/>
      <c r="V1479" s="264"/>
      <c r="W1479" s="264"/>
      <c r="X1479" s="264"/>
      <c r="Y1479" s="264"/>
      <c r="Z1479" s="264"/>
      <c r="AA1479" s="264"/>
      <c r="AB1479" s="264"/>
      <c r="AC1479" s="264"/>
      <c r="AD1479" s="264"/>
      <c r="AE1479" s="264"/>
      <c r="AF1479" s="264"/>
      <c r="AG1479" s="264"/>
      <c r="AH1479" s="264"/>
      <c r="AI1479" s="264"/>
      <c r="AJ1479" s="264"/>
      <c r="AK1479" s="264"/>
      <c r="AL1479" s="264"/>
      <c r="AM1479" s="264"/>
      <c r="AN1479" s="264"/>
    </row>
    <row r="1480" ht="15.75" customHeight="1">
      <c r="A1480" s="264"/>
      <c r="B1480" s="42"/>
      <c r="C1480" s="280"/>
      <c r="D1480" s="264"/>
      <c r="E1480" s="264"/>
      <c r="F1480" s="264"/>
      <c r="G1480" s="264"/>
      <c r="H1480" s="264"/>
      <c r="I1480" s="281"/>
      <c r="J1480" s="281"/>
      <c r="K1480" s="264"/>
      <c r="L1480" s="264"/>
      <c r="M1480" s="264"/>
      <c r="N1480" s="264"/>
      <c r="O1480" s="264"/>
      <c r="P1480" s="264"/>
      <c r="Q1480" s="264"/>
      <c r="R1480" s="264"/>
      <c r="S1480" s="264"/>
      <c r="T1480" s="264"/>
      <c r="U1480" s="16"/>
      <c r="V1480" s="264"/>
      <c r="W1480" s="264"/>
      <c r="X1480" s="264"/>
      <c r="Y1480" s="264"/>
      <c r="Z1480" s="264"/>
      <c r="AA1480" s="264"/>
      <c r="AB1480" s="264"/>
      <c r="AC1480" s="264"/>
      <c r="AD1480" s="264"/>
      <c r="AE1480" s="264"/>
      <c r="AF1480" s="264"/>
      <c r="AG1480" s="264"/>
      <c r="AH1480" s="264"/>
      <c r="AI1480" s="264"/>
      <c r="AJ1480" s="264"/>
      <c r="AK1480" s="264"/>
      <c r="AL1480" s="264"/>
      <c r="AM1480" s="264"/>
      <c r="AN1480" s="264"/>
    </row>
    <row r="1481" ht="15.75" customHeight="1">
      <c r="A1481" s="264"/>
      <c r="B1481" s="42"/>
      <c r="C1481" s="280"/>
      <c r="D1481" s="264"/>
      <c r="E1481" s="264"/>
      <c r="F1481" s="264"/>
      <c r="G1481" s="264"/>
      <c r="H1481" s="264"/>
      <c r="I1481" s="281"/>
      <c r="J1481" s="281"/>
      <c r="K1481" s="264"/>
      <c r="L1481" s="264"/>
      <c r="M1481" s="264"/>
      <c r="N1481" s="264"/>
      <c r="O1481" s="264"/>
      <c r="P1481" s="264"/>
      <c r="Q1481" s="264"/>
      <c r="R1481" s="264"/>
      <c r="S1481" s="264"/>
      <c r="T1481" s="264"/>
      <c r="U1481" s="16"/>
      <c r="V1481" s="264"/>
      <c r="W1481" s="264"/>
      <c r="X1481" s="264"/>
      <c r="Y1481" s="264"/>
      <c r="Z1481" s="264"/>
      <c r="AA1481" s="264"/>
      <c r="AB1481" s="264"/>
      <c r="AC1481" s="264"/>
      <c r="AD1481" s="264"/>
      <c r="AE1481" s="264"/>
      <c r="AF1481" s="264"/>
      <c r="AG1481" s="264"/>
      <c r="AH1481" s="264"/>
      <c r="AI1481" s="264"/>
      <c r="AJ1481" s="264"/>
      <c r="AK1481" s="264"/>
      <c r="AL1481" s="264"/>
      <c r="AM1481" s="264"/>
      <c r="AN1481" s="264"/>
    </row>
    <row r="1482" ht="15.75" customHeight="1">
      <c r="A1482" s="264"/>
      <c r="B1482" s="42"/>
      <c r="C1482" s="280"/>
      <c r="D1482" s="264"/>
      <c r="E1482" s="264"/>
      <c r="F1482" s="264"/>
      <c r="G1482" s="264"/>
      <c r="H1482" s="264"/>
      <c r="I1482" s="281"/>
      <c r="J1482" s="281"/>
      <c r="K1482" s="264"/>
      <c r="L1482" s="264"/>
      <c r="M1482" s="264"/>
      <c r="N1482" s="264"/>
      <c r="O1482" s="264"/>
      <c r="P1482" s="264"/>
      <c r="Q1482" s="264"/>
      <c r="R1482" s="264"/>
      <c r="S1482" s="264"/>
      <c r="T1482" s="264"/>
      <c r="U1482" s="16"/>
      <c r="V1482" s="264"/>
      <c r="W1482" s="264"/>
      <c r="X1482" s="264"/>
      <c r="Y1482" s="264"/>
      <c r="Z1482" s="264"/>
      <c r="AA1482" s="264"/>
      <c r="AB1482" s="264"/>
      <c r="AC1482" s="264"/>
      <c r="AD1482" s="264"/>
      <c r="AE1482" s="264"/>
      <c r="AF1482" s="264"/>
      <c r="AG1482" s="264"/>
      <c r="AH1482" s="264"/>
      <c r="AI1482" s="264"/>
      <c r="AJ1482" s="264"/>
      <c r="AK1482" s="264"/>
      <c r="AL1482" s="264"/>
      <c r="AM1482" s="264"/>
      <c r="AN1482" s="264"/>
    </row>
    <row r="1483" ht="15.75" customHeight="1">
      <c r="A1483" s="264"/>
      <c r="B1483" s="42"/>
      <c r="C1483" s="280"/>
      <c r="D1483" s="264"/>
      <c r="E1483" s="264"/>
      <c r="F1483" s="264"/>
      <c r="G1483" s="264"/>
      <c r="H1483" s="264"/>
      <c r="I1483" s="281"/>
      <c r="J1483" s="281"/>
      <c r="K1483" s="264"/>
      <c r="L1483" s="264"/>
      <c r="M1483" s="264"/>
      <c r="N1483" s="264"/>
      <c r="O1483" s="264"/>
      <c r="P1483" s="264"/>
      <c r="Q1483" s="264"/>
      <c r="R1483" s="264"/>
      <c r="S1483" s="264"/>
      <c r="T1483" s="264"/>
      <c r="U1483" s="16"/>
      <c r="V1483" s="264"/>
      <c r="W1483" s="264"/>
      <c r="X1483" s="264"/>
      <c r="Y1483" s="264"/>
      <c r="Z1483" s="264"/>
      <c r="AA1483" s="264"/>
      <c r="AB1483" s="264"/>
      <c r="AC1483" s="264"/>
      <c r="AD1483" s="264"/>
      <c r="AE1483" s="264"/>
      <c r="AF1483" s="264"/>
      <c r="AG1483" s="264"/>
      <c r="AH1483" s="264"/>
      <c r="AI1483" s="264"/>
      <c r="AJ1483" s="264"/>
      <c r="AK1483" s="264"/>
      <c r="AL1483" s="264"/>
      <c r="AM1483" s="264"/>
      <c r="AN1483" s="264"/>
    </row>
    <row r="1484" ht="15.75" customHeight="1">
      <c r="A1484" s="264"/>
      <c r="B1484" s="42"/>
      <c r="C1484" s="280"/>
      <c r="D1484" s="264"/>
      <c r="E1484" s="264"/>
      <c r="F1484" s="264"/>
      <c r="G1484" s="264"/>
      <c r="H1484" s="264"/>
      <c r="I1484" s="281"/>
      <c r="J1484" s="281"/>
      <c r="K1484" s="264"/>
      <c r="L1484" s="264"/>
      <c r="M1484" s="264"/>
      <c r="N1484" s="264"/>
      <c r="O1484" s="264"/>
      <c r="P1484" s="264"/>
      <c r="Q1484" s="264"/>
      <c r="R1484" s="264"/>
      <c r="S1484" s="264"/>
      <c r="T1484" s="264"/>
      <c r="U1484" s="16"/>
      <c r="V1484" s="264"/>
      <c r="W1484" s="264"/>
      <c r="X1484" s="264"/>
      <c r="Y1484" s="264"/>
      <c r="Z1484" s="264"/>
      <c r="AA1484" s="264"/>
      <c r="AB1484" s="264"/>
      <c r="AC1484" s="264"/>
      <c r="AD1484" s="264"/>
      <c r="AE1484" s="264"/>
      <c r="AF1484" s="264"/>
      <c r="AG1484" s="264"/>
      <c r="AH1484" s="264"/>
      <c r="AI1484" s="264"/>
      <c r="AJ1484" s="264"/>
      <c r="AK1484" s="264"/>
      <c r="AL1484" s="264"/>
      <c r="AM1484" s="264"/>
      <c r="AN1484" s="264"/>
    </row>
    <row r="1485" ht="15.75" customHeight="1">
      <c r="A1485" s="264"/>
      <c r="B1485" s="42"/>
      <c r="C1485" s="280"/>
      <c r="D1485" s="264"/>
      <c r="E1485" s="264"/>
      <c r="F1485" s="264"/>
      <c r="G1485" s="264"/>
      <c r="H1485" s="264"/>
      <c r="I1485" s="281"/>
      <c r="J1485" s="281"/>
      <c r="K1485" s="264"/>
      <c r="L1485" s="264"/>
      <c r="M1485" s="264"/>
      <c r="N1485" s="264"/>
      <c r="O1485" s="264"/>
      <c r="P1485" s="264"/>
      <c r="Q1485" s="264"/>
      <c r="R1485" s="264"/>
      <c r="S1485" s="264"/>
      <c r="T1485" s="264"/>
      <c r="U1485" s="16"/>
      <c r="V1485" s="264"/>
      <c r="W1485" s="264"/>
      <c r="X1485" s="264"/>
      <c r="Y1485" s="264"/>
      <c r="Z1485" s="264"/>
      <c r="AA1485" s="264"/>
      <c r="AB1485" s="264"/>
      <c r="AC1485" s="264"/>
      <c r="AD1485" s="264"/>
      <c r="AE1485" s="264"/>
      <c r="AF1485" s="264"/>
      <c r="AG1485" s="264"/>
      <c r="AH1485" s="264"/>
      <c r="AI1485" s="264"/>
      <c r="AJ1485" s="264"/>
      <c r="AK1485" s="264"/>
      <c r="AL1485" s="264"/>
      <c r="AM1485" s="264"/>
      <c r="AN1485" s="264"/>
    </row>
    <row r="1486" ht="15.75" customHeight="1">
      <c r="A1486" s="264"/>
      <c r="B1486" s="42"/>
      <c r="C1486" s="280"/>
      <c r="D1486" s="264"/>
      <c r="E1486" s="264"/>
      <c r="F1486" s="264"/>
      <c r="G1486" s="264"/>
      <c r="H1486" s="264"/>
      <c r="I1486" s="281"/>
      <c r="J1486" s="281"/>
      <c r="K1486" s="264"/>
      <c r="L1486" s="264"/>
      <c r="M1486" s="264"/>
      <c r="N1486" s="264"/>
      <c r="O1486" s="264"/>
      <c r="P1486" s="264"/>
      <c r="Q1486" s="264"/>
      <c r="R1486" s="264"/>
      <c r="S1486" s="264"/>
      <c r="T1486" s="264"/>
      <c r="U1486" s="16"/>
      <c r="V1486" s="264"/>
      <c r="W1486" s="264"/>
      <c r="X1486" s="264"/>
      <c r="Y1486" s="264"/>
      <c r="Z1486" s="264"/>
      <c r="AA1486" s="264"/>
      <c r="AB1486" s="264"/>
      <c r="AC1486" s="264"/>
      <c r="AD1486" s="264"/>
      <c r="AE1486" s="264"/>
      <c r="AF1486" s="264"/>
      <c r="AG1486" s="264"/>
      <c r="AH1486" s="264"/>
      <c r="AI1486" s="264"/>
      <c r="AJ1486" s="264"/>
      <c r="AK1486" s="264"/>
      <c r="AL1486" s="264"/>
      <c r="AM1486" s="264"/>
      <c r="AN1486" s="264"/>
    </row>
    <row r="1487" ht="15.75" customHeight="1">
      <c r="A1487" s="264"/>
      <c r="B1487" s="42"/>
      <c r="C1487" s="280"/>
      <c r="D1487" s="264"/>
      <c r="E1487" s="264"/>
      <c r="F1487" s="264"/>
      <c r="G1487" s="264"/>
      <c r="H1487" s="264"/>
      <c r="I1487" s="281"/>
      <c r="J1487" s="281"/>
      <c r="K1487" s="264"/>
      <c r="L1487" s="264"/>
      <c r="M1487" s="264"/>
      <c r="N1487" s="264"/>
      <c r="O1487" s="264"/>
      <c r="P1487" s="264"/>
      <c r="Q1487" s="264"/>
      <c r="R1487" s="264"/>
      <c r="S1487" s="264"/>
      <c r="T1487" s="264"/>
      <c r="U1487" s="16"/>
      <c r="V1487" s="264"/>
      <c r="W1487" s="264"/>
      <c r="X1487" s="264"/>
      <c r="Y1487" s="264"/>
      <c r="Z1487" s="264"/>
      <c r="AA1487" s="264"/>
      <c r="AB1487" s="264"/>
      <c r="AC1487" s="264"/>
      <c r="AD1487" s="264"/>
      <c r="AE1487" s="264"/>
      <c r="AF1487" s="264"/>
      <c r="AG1487" s="264"/>
      <c r="AH1487" s="264"/>
      <c r="AI1487" s="264"/>
      <c r="AJ1487" s="264"/>
      <c r="AK1487" s="264"/>
      <c r="AL1487" s="264"/>
      <c r="AM1487" s="264"/>
      <c r="AN1487" s="264"/>
    </row>
    <row r="1488" ht="15.75" customHeight="1">
      <c r="A1488" s="264"/>
      <c r="B1488" s="42"/>
      <c r="C1488" s="280"/>
      <c r="D1488" s="264"/>
      <c r="E1488" s="264"/>
      <c r="F1488" s="264"/>
      <c r="G1488" s="264"/>
      <c r="H1488" s="264"/>
      <c r="I1488" s="281"/>
      <c r="J1488" s="281"/>
      <c r="K1488" s="264"/>
      <c r="L1488" s="264"/>
      <c r="M1488" s="264"/>
      <c r="N1488" s="264"/>
      <c r="O1488" s="264"/>
      <c r="P1488" s="264"/>
      <c r="Q1488" s="264"/>
      <c r="R1488" s="264"/>
      <c r="S1488" s="264"/>
      <c r="T1488" s="264"/>
      <c r="U1488" s="16"/>
      <c r="V1488" s="264"/>
      <c r="W1488" s="264"/>
      <c r="X1488" s="264"/>
      <c r="Y1488" s="264"/>
      <c r="Z1488" s="264"/>
      <c r="AA1488" s="264"/>
      <c r="AB1488" s="264"/>
      <c r="AC1488" s="264"/>
      <c r="AD1488" s="264"/>
      <c r="AE1488" s="264"/>
      <c r="AF1488" s="264"/>
      <c r="AG1488" s="264"/>
      <c r="AH1488" s="264"/>
      <c r="AI1488" s="264"/>
      <c r="AJ1488" s="264"/>
      <c r="AK1488" s="264"/>
      <c r="AL1488" s="264"/>
      <c r="AM1488" s="264"/>
      <c r="AN1488" s="264"/>
    </row>
    <row r="1489" ht="15.75" customHeight="1">
      <c r="A1489" s="264"/>
      <c r="B1489" s="42"/>
      <c r="C1489" s="280"/>
      <c r="D1489" s="264"/>
      <c r="E1489" s="264"/>
      <c r="F1489" s="264"/>
      <c r="G1489" s="264"/>
      <c r="H1489" s="264"/>
      <c r="I1489" s="281"/>
      <c r="J1489" s="281"/>
      <c r="K1489" s="264"/>
      <c r="L1489" s="264"/>
      <c r="M1489" s="264"/>
      <c r="N1489" s="264"/>
      <c r="O1489" s="264"/>
      <c r="P1489" s="264"/>
      <c r="Q1489" s="264"/>
      <c r="R1489" s="264"/>
      <c r="S1489" s="264"/>
      <c r="T1489" s="264"/>
      <c r="U1489" s="16"/>
      <c r="V1489" s="264"/>
      <c r="W1489" s="264"/>
      <c r="X1489" s="264"/>
      <c r="Y1489" s="264"/>
      <c r="Z1489" s="264"/>
      <c r="AA1489" s="264"/>
      <c r="AB1489" s="264"/>
      <c r="AC1489" s="264"/>
      <c r="AD1489" s="264"/>
      <c r="AE1489" s="264"/>
      <c r="AF1489" s="264"/>
      <c r="AG1489" s="264"/>
      <c r="AH1489" s="264"/>
      <c r="AI1489" s="264"/>
      <c r="AJ1489" s="264"/>
      <c r="AK1489" s="264"/>
      <c r="AL1489" s="264"/>
      <c r="AM1489" s="264"/>
      <c r="AN1489" s="264"/>
    </row>
    <row r="1490" ht="15.75" customHeight="1">
      <c r="A1490" s="264"/>
      <c r="B1490" s="42"/>
      <c r="C1490" s="280"/>
      <c r="D1490" s="264"/>
      <c r="E1490" s="264"/>
      <c r="F1490" s="264"/>
      <c r="G1490" s="264"/>
      <c r="H1490" s="264"/>
      <c r="I1490" s="281"/>
      <c r="J1490" s="281"/>
      <c r="K1490" s="264"/>
      <c r="L1490" s="264"/>
      <c r="M1490" s="264"/>
      <c r="N1490" s="264"/>
      <c r="O1490" s="264"/>
      <c r="P1490" s="264"/>
      <c r="Q1490" s="264"/>
      <c r="R1490" s="264"/>
      <c r="S1490" s="264"/>
      <c r="T1490" s="264"/>
      <c r="U1490" s="16"/>
      <c r="V1490" s="264"/>
      <c r="W1490" s="264"/>
      <c r="X1490" s="264"/>
      <c r="Y1490" s="264"/>
      <c r="Z1490" s="264"/>
      <c r="AA1490" s="264"/>
      <c r="AB1490" s="264"/>
      <c r="AC1490" s="264"/>
      <c r="AD1490" s="264"/>
      <c r="AE1490" s="264"/>
      <c r="AF1490" s="264"/>
      <c r="AG1490" s="264"/>
      <c r="AH1490" s="264"/>
      <c r="AI1490" s="264"/>
      <c r="AJ1490" s="264"/>
      <c r="AK1490" s="264"/>
      <c r="AL1490" s="264"/>
      <c r="AM1490" s="264"/>
      <c r="AN1490" s="264"/>
    </row>
    <row r="1491" ht="15.75" customHeight="1">
      <c r="A1491" s="264"/>
      <c r="B1491" s="42"/>
      <c r="C1491" s="280"/>
      <c r="D1491" s="264"/>
      <c r="E1491" s="264"/>
      <c r="F1491" s="264"/>
      <c r="G1491" s="264"/>
      <c r="H1491" s="264"/>
      <c r="I1491" s="281"/>
      <c r="J1491" s="281"/>
      <c r="K1491" s="264"/>
      <c r="L1491" s="264"/>
      <c r="M1491" s="264"/>
      <c r="N1491" s="264"/>
      <c r="O1491" s="264"/>
      <c r="P1491" s="264"/>
      <c r="Q1491" s="264"/>
      <c r="R1491" s="264"/>
      <c r="S1491" s="264"/>
      <c r="T1491" s="264"/>
      <c r="U1491" s="16"/>
      <c r="V1491" s="264"/>
      <c r="W1491" s="264"/>
      <c r="X1491" s="264"/>
      <c r="Y1491" s="264"/>
      <c r="Z1491" s="264"/>
      <c r="AA1491" s="264"/>
      <c r="AB1491" s="264"/>
      <c r="AC1491" s="264"/>
      <c r="AD1491" s="264"/>
      <c r="AE1491" s="264"/>
      <c r="AF1491" s="264"/>
      <c r="AG1491" s="264"/>
      <c r="AH1491" s="264"/>
      <c r="AI1491" s="264"/>
      <c r="AJ1491" s="264"/>
      <c r="AK1491" s="264"/>
      <c r="AL1491" s="264"/>
      <c r="AM1491" s="264"/>
      <c r="AN1491" s="264"/>
    </row>
    <row r="1492" ht="15.75" customHeight="1">
      <c r="A1492" s="264"/>
      <c r="B1492" s="42"/>
      <c r="C1492" s="280"/>
      <c r="D1492" s="264"/>
      <c r="E1492" s="264"/>
      <c r="F1492" s="264"/>
      <c r="G1492" s="264"/>
      <c r="H1492" s="264"/>
      <c r="I1492" s="281"/>
      <c r="J1492" s="281"/>
      <c r="K1492" s="264"/>
      <c r="L1492" s="264"/>
      <c r="M1492" s="264"/>
      <c r="N1492" s="264"/>
      <c r="O1492" s="264"/>
      <c r="P1492" s="264"/>
      <c r="Q1492" s="264"/>
      <c r="R1492" s="264"/>
      <c r="S1492" s="264"/>
      <c r="T1492" s="264"/>
      <c r="U1492" s="16"/>
      <c r="V1492" s="264"/>
      <c r="W1492" s="264"/>
      <c r="X1492" s="264"/>
      <c r="Y1492" s="264"/>
      <c r="Z1492" s="264"/>
      <c r="AA1492" s="264"/>
      <c r="AB1492" s="264"/>
      <c r="AC1492" s="264"/>
      <c r="AD1492" s="264"/>
      <c r="AE1492" s="264"/>
      <c r="AF1492" s="264"/>
      <c r="AG1492" s="264"/>
      <c r="AH1492" s="264"/>
      <c r="AI1492" s="264"/>
      <c r="AJ1492" s="264"/>
      <c r="AK1492" s="264"/>
      <c r="AL1492" s="264"/>
      <c r="AM1492" s="264"/>
      <c r="AN1492" s="264"/>
    </row>
    <row r="1493" ht="15.75" customHeight="1">
      <c r="A1493" s="264"/>
      <c r="B1493" s="42"/>
      <c r="C1493" s="280"/>
      <c r="D1493" s="264"/>
      <c r="E1493" s="264"/>
      <c r="F1493" s="264"/>
      <c r="G1493" s="264"/>
      <c r="H1493" s="264"/>
      <c r="I1493" s="281"/>
      <c r="J1493" s="281"/>
      <c r="K1493" s="264"/>
      <c r="L1493" s="264"/>
      <c r="M1493" s="264"/>
      <c r="N1493" s="264"/>
      <c r="O1493" s="264"/>
      <c r="P1493" s="264"/>
      <c r="Q1493" s="264"/>
      <c r="R1493" s="264"/>
      <c r="S1493" s="264"/>
      <c r="T1493" s="264"/>
      <c r="U1493" s="16"/>
      <c r="V1493" s="264"/>
      <c r="W1493" s="264"/>
      <c r="X1493" s="264"/>
      <c r="Y1493" s="264"/>
      <c r="Z1493" s="264"/>
      <c r="AA1493" s="264"/>
      <c r="AB1493" s="264"/>
      <c r="AC1493" s="264"/>
      <c r="AD1493" s="264"/>
      <c r="AE1493" s="264"/>
      <c r="AF1493" s="264"/>
      <c r="AG1493" s="264"/>
      <c r="AH1493" s="264"/>
      <c r="AI1493" s="264"/>
      <c r="AJ1493" s="264"/>
      <c r="AK1493" s="264"/>
      <c r="AL1493" s="264"/>
      <c r="AM1493" s="264"/>
      <c r="AN1493" s="264"/>
    </row>
    <row r="1494" ht="15.75" customHeight="1">
      <c r="A1494" s="264"/>
      <c r="B1494" s="42"/>
      <c r="C1494" s="280"/>
      <c r="D1494" s="264"/>
      <c r="E1494" s="264"/>
      <c r="F1494" s="264"/>
      <c r="G1494" s="264"/>
      <c r="H1494" s="264"/>
      <c r="I1494" s="281"/>
      <c r="J1494" s="281"/>
      <c r="K1494" s="264"/>
      <c r="L1494" s="264"/>
      <c r="M1494" s="264"/>
      <c r="N1494" s="264"/>
      <c r="O1494" s="264"/>
      <c r="P1494" s="264"/>
      <c r="Q1494" s="264"/>
      <c r="R1494" s="264"/>
      <c r="S1494" s="264"/>
      <c r="T1494" s="264"/>
      <c r="U1494" s="16"/>
      <c r="V1494" s="264"/>
      <c r="W1494" s="264"/>
      <c r="X1494" s="264"/>
      <c r="Y1494" s="264"/>
      <c r="Z1494" s="264"/>
      <c r="AA1494" s="264"/>
      <c r="AB1494" s="264"/>
      <c r="AC1494" s="264"/>
      <c r="AD1494" s="264"/>
      <c r="AE1494" s="264"/>
      <c r="AF1494" s="264"/>
      <c r="AG1494" s="264"/>
      <c r="AH1494" s="264"/>
      <c r="AI1494" s="264"/>
      <c r="AJ1494" s="264"/>
      <c r="AK1494" s="264"/>
      <c r="AL1494" s="264"/>
      <c r="AM1494" s="264"/>
      <c r="AN1494" s="264"/>
    </row>
    <row r="1495" ht="15.75" customHeight="1">
      <c r="A1495" s="264"/>
      <c r="B1495" s="42"/>
      <c r="C1495" s="280"/>
      <c r="D1495" s="264"/>
      <c r="E1495" s="264"/>
      <c r="F1495" s="264"/>
      <c r="G1495" s="264"/>
      <c r="H1495" s="264"/>
      <c r="I1495" s="281"/>
      <c r="J1495" s="281"/>
      <c r="K1495" s="264"/>
      <c r="L1495" s="264"/>
      <c r="M1495" s="264"/>
      <c r="N1495" s="264"/>
      <c r="O1495" s="264"/>
      <c r="P1495" s="264"/>
      <c r="Q1495" s="264"/>
      <c r="R1495" s="264"/>
      <c r="S1495" s="264"/>
      <c r="T1495" s="264"/>
      <c r="U1495" s="16"/>
      <c r="V1495" s="264"/>
      <c r="W1495" s="264"/>
      <c r="X1495" s="264"/>
      <c r="Y1495" s="264"/>
      <c r="Z1495" s="264"/>
      <c r="AA1495" s="264"/>
      <c r="AB1495" s="264"/>
      <c r="AC1495" s="264"/>
      <c r="AD1495" s="264"/>
      <c r="AE1495" s="264"/>
      <c r="AF1495" s="264"/>
      <c r="AG1495" s="264"/>
      <c r="AH1495" s="264"/>
      <c r="AI1495" s="264"/>
      <c r="AJ1495" s="264"/>
      <c r="AK1495" s="264"/>
      <c r="AL1495" s="264"/>
      <c r="AM1495" s="264"/>
      <c r="AN1495" s="264"/>
    </row>
    <row r="1496" ht="15.75" customHeight="1">
      <c r="A1496" s="264"/>
      <c r="B1496" s="42"/>
      <c r="C1496" s="280"/>
      <c r="D1496" s="264"/>
      <c r="E1496" s="264"/>
      <c r="F1496" s="264"/>
      <c r="G1496" s="264"/>
      <c r="H1496" s="264"/>
      <c r="I1496" s="281"/>
      <c r="J1496" s="281"/>
      <c r="K1496" s="264"/>
      <c r="L1496" s="264"/>
      <c r="M1496" s="264"/>
      <c r="N1496" s="264"/>
      <c r="O1496" s="264"/>
      <c r="P1496" s="264"/>
      <c r="Q1496" s="264"/>
      <c r="R1496" s="264"/>
      <c r="S1496" s="264"/>
      <c r="T1496" s="264"/>
      <c r="U1496" s="16"/>
      <c r="V1496" s="264"/>
      <c r="W1496" s="264"/>
      <c r="X1496" s="264"/>
      <c r="Y1496" s="264"/>
      <c r="Z1496" s="264"/>
      <c r="AA1496" s="264"/>
      <c r="AB1496" s="264"/>
      <c r="AC1496" s="264"/>
      <c r="AD1496" s="264"/>
      <c r="AE1496" s="264"/>
      <c r="AF1496" s="264"/>
      <c r="AG1496" s="264"/>
      <c r="AH1496" s="264"/>
      <c r="AI1496" s="264"/>
      <c r="AJ1496" s="264"/>
      <c r="AK1496" s="264"/>
      <c r="AL1496" s="264"/>
      <c r="AM1496" s="264"/>
      <c r="AN1496" s="264"/>
    </row>
    <row r="1497" ht="15.75" customHeight="1">
      <c r="A1497" s="264"/>
      <c r="B1497" s="42"/>
      <c r="C1497" s="280"/>
      <c r="D1497" s="264"/>
      <c r="E1497" s="264"/>
      <c r="F1497" s="264"/>
      <c r="G1497" s="264"/>
      <c r="H1497" s="264"/>
      <c r="I1497" s="281"/>
      <c r="J1497" s="281"/>
      <c r="K1497" s="264"/>
      <c r="L1497" s="264"/>
      <c r="M1497" s="264"/>
      <c r="N1497" s="264"/>
      <c r="O1497" s="264"/>
      <c r="P1497" s="264"/>
      <c r="Q1497" s="264"/>
      <c r="R1497" s="264"/>
      <c r="S1497" s="264"/>
      <c r="T1497" s="264"/>
      <c r="U1497" s="16"/>
      <c r="V1497" s="264"/>
      <c r="W1497" s="264"/>
      <c r="X1497" s="264"/>
      <c r="Y1497" s="264"/>
      <c r="Z1497" s="264"/>
      <c r="AA1497" s="264"/>
      <c r="AB1497" s="264"/>
      <c r="AC1497" s="264"/>
      <c r="AD1497" s="264"/>
      <c r="AE1497" s="264"/>
      <c r="AF1497" s="264"/>
      <c r="AG1497" s="264"/>
      <c r="AH1497" s="264"/>
      <c r="AI1497" s="264"/>
      <c r="AJ1497" s="264"/>
      <c r="AK1497" s="264"/>
      <c r="AL1497" s="264"/>
      <c r="AM1497" s="264"/>
      <c r="AN1497" s="264"/>
    </row>
    <row r="1498" ht="15.75" customHeight="1">
      <c r="A1498" s="264"/>
      <c r="B1498" s="42"/>
      <c r="C1498" s="280"/>
      <c r="D1498" s="264"/>
      <c r="E1498" s="264"/>
      <c r="F1498" s="264"/>
      <c r="G1498" s="264"/>
      <c r="H1498" s="264"/>
      <c r="I1498" s="281"/>
      <c r="J1498" s="281"/>
      <c r="K1498" s="264"/>
      <c r="L1498" s="264"/>
      <c r="M1498" s="264"/>
      <c r="N1498" s="264"/>
      <c r="O1498" s="264"/>
      <c r="P1498" s="264"/>
      <c r="Q1498" s="264"/>
      <c r="R1498" s="264"/>
      <c r="S1498" s="264"/>
      <c r="T1498" s="264"/>
      <c r="U1498" s="16"/>
      <c r="V1498" s="264"/>
      <c r="W1498" s="264"/>
      <c r="X1498" s="264"/>
      <c r="Y1498" s="264"/>
      <c r="Z1498" s="264"/>
      <c r="AA1498" s="264"/>
      <c r="AB1498" s="264"/>
      <c r="AC1498" s="264"/>
      <c r="AD1498" s="264"/>
      <c r="AE1498" s="264"/>
      <c r="AF1498" s="264"/>
      <c r="AG1498" s="264"/>
      <c r="AH1498" s="264"/>
      <c r="AI1498" s="264"/>
      <c r="AJ1498" s="264"/>
      <c r="AK1498" s="264"/>
      <c r="AL1498" s="264"/>
      <c r="AM1498" s="264"/>
      <c r="AN1498" s="264"/>
    </row>
    <row r="1499" ht="15.75" customHeight="1">
      <c r="A1499" s="264"/>
      <c r="B1499" s="42"/>
      <c r="C1499" s="280"/>
      <c r="D1499" s="264"/>
      <c r="E1499" s="264"/>
      <c r="F1499" s="264"/>
      <c r="G1499" s="264"/>
      <c r="H1499" s="264"/>
      <c r="I1499" s="281"/>
      <c r="J1499" s="281"/>
      <c r="K1499" s="264"/>
      <c r="L1499" s="264"/>
      <c r="M1499" s="264"/>
      <c r="N1499" s="264"/>
      <c r="O1499" s="264"/>
      <c r="P1499" s="264"/>
      <c r="Q1499" s="264"/>
      <c r="R1499" s="264"/>
      <c r="S1499" s="264"/>
      <c r="T1499" s="264"/>
      <c r="U1499" s="16"/>
      <c r="V1499" s="264"/>
      <c r="W1499" s="264"/>
      <c r="X1499" s="264"/>
      <c r="Y1499" s="264"/>
      <c r="Z1499" s="264"/>
      <c r="AA1499" s="264"/>
      <c r="AB1499" s="264"/>
      <c r="AC1499" s="264"/>
      <c r="AD1499" s="264"/>
      <c r="AE1499" s="264"/>
      <c r="AF1499" s="264"/>
      <c r="AG1499" s="264"/>
      <c r="AH1499" s="264"/>
      <c r="AI1499" s="264"/>
      <c r="AJ1499" s="264"/>
      <c r="AK1499" s="264"/>
      <c r="AL1499" s="264"/>
      <c r="AM1499" s="264"/>
      <c r="AN1499" s="264"/>
    </row>
    <row r="1500" ht="15.75" customHeight="1">
      <c r="A1500" s="264"/>
      <c r="B1500" s="42"/>
      <c r="C1500" s="280"/>
      <c r="D1500" s="264"/>
      <c r="E1500" s="264"/>
      <c r="F1500" s="264"/>
      <c r="G1500" s="264"/>
      <c r="H1500" s="264"/>
      <c r="I1500" s="281"/>
      <c r="J1500" s="281"/>
      <c r="K1500" s="264"/>
      <c r="L1500" s="264"/>
      <c r="M1500" s="264"/>
      <c r="N1500" s="264"/>
      <c r="O1500" s="264"/>
      <c r="P1500" s="264"/>
      <c r="Q1500" s="264"/>
      <c r="R1500" s="264"/>
      <c r="S1500" s="264"/>
      <c r="T1500" s="264"/>
      <c r="U1500" s="16"/>
      <c r="V1500" s="264"/>
      <c r="W1500" s="264"/>
      <c r="X1500" s="264"/>
      <c r="Y1500" s="264"/>
      <c r="Z1500" s="264"/>
      <c r="AA1500" s="264"/>
      <c r="AB1500" s="264"/>
      <c r="AC1500" s="264"/>
      <c r="AD1500" s="264"/>
      <c r="AE1500" s="264"/>
      <c r="AF1500" s="264"/>
      <c r="AG1500" s="264"/>
      <c r="AH1500" s="264"/>
      <c r="AI1500" s="264"/>
      <c r="AJ1500" s="264"/>
      <c r="AK1500" s="264"/>
      <c r="AL1500" s="264"/>
      <c r="AM1500" s="264"/>
      <c r="AN1500" s="264"/>
    </row>
    <row r="1501" ht="15.75" customHeight="1">
      <c r="A1501" s="264"/>
      <c r="B1501" s="42"/>
      <c r="C1501" s="280"/>
      <c r="D1501" s="264"/>
      <c r="E1501" s="264"/>
      <c r="F1501" s="264"/>
      <c r="G1501" s="264"/>
      <c r="H1501" s="264"/>
      <c r="I1501" s="281"/>
      <c r="J1501" s="281"/>
      <c r="K1501" s="264"/>
      <c r="L1501" s="264"/>
      <c r="M1501" s="264"/>
      <c r="N1501" s="264"/>
      <c r="O1501" s="264"/>
      <c r="P1501" s="264"/>
      <c r="Q1501" s="264"/>
      <c r="R1501" s="264"/>
      <c r="S1501" s="264"/>
      <c r="T1501" s="264"/>
      <c r="U1501" s="16"/>
      <c r="V1501" s="264"/>
      <c r="W1501" s="264"/>
      <c r="X1501" s="264"/>
      <c r="Y1501" s="264"/>
      <c r="Z1501" s="264"/>
      <c r="AA1501" s="264"/>
      <c r="AB1501" s="264"/>
      <c r="AC1501" s="264"/>
      <c r="AD1501" s="264"/>
      <c r="AE1501" s="264"/>
      <c r="AF1501" s="264"/>
      <c r="AG1501" s="264"/>
      <c r="AH1501" s="264"/>
      <c r="AI1501" s="264"/>
      <c r="AJ1501" s="264"/>
      <c r="AK1501" s="264"/>
      <c r="AL1501" s="264"/>
      <c r="AM1501" s="264"/>
      <c r="AN1501" s="264"/>
    </row>
    <row r="1502" ht="15.75" customHeight="1">
      <c r="A1502" s="264"/>
      <c r="B1502" s="42"/>
      <c r="C1502" s="280"/>
      <c r="D1502" s="264"/>
      <c r="E1502" s="264"/>
      <c r="F1502" s="264"/>
      <c r="G1502" s="264"/>
      <c r="H1502" s="264"/>
      <c r="I1502" s="281"/>
      <c r="J1502" s="281"/>
      <c r="K1502" s="264"/>
      <c r="L1502" s="264"/>
      <c r="M1502" s="264"/>
      <c r="N1502" s="264"/>
      <c r="O1502" s="264"/>
      <c r="P1502" s="264"/>
      <c r="Q1502" s="264"/>
      <c r="R1502" s="264"/>
      <c r="S1502" s="264"/>
      <c r="T1502" s="264"/>
      <c r="U1502" s="16"/>
      <c r="V1502" s="264"/>
      <c r="W1502" s="264"/>
      <c r="X1502" s="264"/>
      <c r="Y1502" s="264"/>
      <c r="Z1502" s="264"/>
      <c r="AA1502" s="264"/>
      <c r="AB1502" s="264"/>
      <c r="AC1502" s="264"/>
      <c r="AD1502" s="264"/>
      <c r="AE1502" s="264"/>
      <c r="AF1502" s="264"/>
      <c r="AG1502" s="264"/>
      <c r="AH1502" s="264"/>
      <c r="AI1502" s="264"/>
      <c r="AJ1502" s="264"/>
      <c r="AK1502" s="264"/>
      <c r="AL1502" s="264"/>
      <c r="AM1502" s="264"/>
      <c r="AN1502" s="264"/>
    </row>
    <row r="1503" ht="15.75" customHeight="1">
      <c r="A1503" s="264"/>
      <c r="B1503" s="42"/>
      <c r="C1503" s="280"/>
      <c r="D1503" s="264"/>
      <c r="E1503" s="264"/>
      <c r="F1503" s="264"/>
      <c r="G1503" s="264"/>
      <c r="H1503" s="264"/>
      <c r="I1503" s="281"/>
      <c r="J1503" s="281"/>
      <c r="K1503" s="264"/>
      <c r="L1503" s="264"/>
      <c r="M1503" s="264"/>
      <c r="N1503" s="264"/>
      <c r="O1503" s="264"/>
      <c r="P1503" s="264"/>
      <c r="Q1503" s="264"/>
      <c r="R1503" s="264"/>
      <c r="S1503" s="264"/>
      <c r="T1503" s="264"/>
      <c r="U1503" s="16"/>
      <c r="V1503" s="264"/>
      <c r="W1503" s="264"/>
      <c r="X1503" s="264"/>
      <c r="Y1503" s="264"/>
      <c r="Z1503" s="264"/>
      <c r="AA1503" s="264"/>
      <c r="AB1503" s="264"/>
      <c r="AC1503" s="264"/>
      <c r="AD1503" s="264"/>
      <c r="AE1503" s="264"/>
      <c r="AF1503" s="264"/>
      <c r="AG1503" s="264"/>
      <c r="AH1503" s="264"/>
      <c r="AI1503" s="264"/>
      <c r="AJ1503" s="264"/>
      <c r="AK1503" s="264"/>
      <c r="AL1503" s="264"/>
      <c r="AM1503" s="264"/>
      <c r="AN1503" s="264"/>
    </row>
    <row r="1504" ht="15.75" customHeight="1">
      <c r="A1504" s="264"/>
      <c r="B1504" s="42"/>
      <c r="C1504" s="280"/>
      <c r="D1504" s="264"/>
      <c r="E1504" s="264"/>
      <c r="F1504" s="264"/>
      <c r="G1504" s="264"/>
      <c r="H1504" s="264"/>
      <c r="I1504" s="281"/>
      <c r="J1504" s="281"/>
      <c r="K1504" s="264"/>
      <c r="L1504" s="264"/>
      <c r="M1504" s="264"/>
      <c r="N1504" s="264"/>
      <c r="O1504" s="264"/>
      <c r="P1504" s="264"/>
      <c r="Q1504" s="264"/>
      <c r="R1504" s="264"/>
      <c r="S1504" s="264"/>
      <c r="T1504" s="264"/>
      <c r="U1504" s="16"/>
      <c r="V1504" s="264"/>
      <c r="W1504" s="264"/>
      <c r="X1504" s="264"/>
      <c r="Y1504" s="264"/>
      <c r="Z1504" s="264"/>
      <c r="AA1504" s="264"/>
      <c r="AB1504" s="264"/>
      <c r="AC1504" s="264"/>
      <c r="AD1504" s="264"/>
      <c r="AE1504" s="264"/>
      <c r="AF1504" s="264"/>
      <c r="AG1504" s="264"/>
      <c r="AH1504" s="264"/>
      <c r="AI1504" s="264"/>
      <c r="AJ1504" s="264"/>
      <c r="AK1504" s="264"/>
      <c r="AL1504" s="264"/>
      <c r="AM1504" s="264"/>
      <c r="AN1504" s="264"/>
    </row>
    <row r="1505" ht="15.75" customHeight="1">
      <c r="A1505" s="264"/>
      <c r="B1505" s="42"/>
      <c r="C1505" s="280"/>
      <c r="D1505" s="264"/>
      <c r="E1505" s="264"/>
      <c r="F1505" s="264"/>
      <c r="G1505" s="264"/>
      <c r="H1505" s="264"/>
      <c r="I1505" s="281"/>
      <c r="J1505" s="281"/>
      <c r="K1505" s="264"/>
      <c r="L1505" s="264"/>
      <c r="M1505" s="264"/>
      <c r="N1505" s="264"/>
      <c r="O1505" s="264"/>
      <c r="P1505" s="264"/>
      <c r="Q1505" s="264"/>
      <c r="R1505" s="264"/>
      <c r="S1505" s="264"/>
      <c r="T1505" s="264"/>
      <c r="U1505" s="16"/>
      <c r="V1505" s="264"/>
      <c r="W1505" s="264"/>
      <c r="X1505" s="264"/>
      <c r="Y1505" s="264"/>
      <c r="Z1505" s="264"/>
      <c r="AA1505" s="264"/>
      <c r="AB1505" s="264"/>
      <c r="AC1505" s="264"/>
      <c r="AD1505" s="264"/>
      <c r="AE1505" s="264"/>
      <c r="AF1505" s="264"/>
      <c r="AG1505" s="264"/>
      <c r="AH1505" s="264"/>
      <c r="AI1505" s="264"/>
      <c r="AJ1505" s="264"/>
      <c r="AK1505" s="264"/>
      <c r="AL1505" s="264"/>
      <c r="AM1505" s="264"/>
      <c r="AN1505" s="264"/>
    </row>
    <row r="1506" ht="15.75" customHeight="1">
      <c r="A1506" s="264"/>
      <c r="B1506" s="42"/>
      <c r="C1506" s="280"/>
      <c r="D1506" s="264"/>
      <c r="E1506" s="264"/>
      <c r="F1506" s="264"/>
      <c r="G1506" s="264"/>
      <c r="H1506" s="264"/>
      <c r="I1506" s="281"/>
      <c r="J1506" s="281"/>
      <c r="K1506" s="264"/>
      <c r="L1506" s="264"/>
      <c r="M1506" s="264"/>
      <c r="N1506" s="264"/>
      <c r="O1506" s="264"/>
      <c r="P1506" s="264"/>
      <c r="Q1506" s="264"/>
      <c r="R1506" s="264"/>
      <c r="S1506" s="264"/>
      <c r="T1506" s="264"/>
      <c r="U1506" s="16"/>
      <c r="V1506" s="264"/>
      <c r="W1506" s="264"/>
      <c r="X1506" s="264"/>
      <c r="Y1506" s="264"/>
      <c r="Z1506" s="264"/>
      <c r="AA1506" s="264"/>
      <c r="AB1506" s="264"/>
      <c r="AC1506" s="264"/>
      <c r="AD1506" s="264"/>
      <c r="AE1506" s="264"/>
      <c r="AF1506" s="264"/>
      <c r="AG1506" s="264"/>
      <c r="AH1506" s="264"/>
      <c r="AI1506" s="264"/>
      <c r="AJ1506" s="264"/>
      <c r="AK1506" s="264"/>
      <c r="AL1506" s="264"/>
      <c r="AM1506" s="264"/>
      <c r="AN1506" s="264"/>
    </row>
    <row r="1507" ht="15.75" customHeight="1">
      <c r="A1507" s="264"/>
      <c r="B1507" s="42"/>
      <c r="C1507" s="280"/>
      <c r="D1507" s="264"/>
      <c r="E1507" s="264"/>
      <c r="F1507" s="264"/>
      <c r="G1507" s="264"/>
      <c r="H1507" s="264"/>
      <c r="I1507" s="281"/>
      <c r="J1507" s="281"/>
      <c r="K1507" s="264"/>
      <c r="L1507" s="264"/>
      <c r="M1507" s="264"/>
      <c r="N1507" s="264"/>
      <c r="O1507" s="264"/>
      <c r="P1507" s="264"/>
      <c r="Q1507" s="264"/>
      <c r="R1507" s="264"/>
      <c r="S1507" s="264"/>
      <c r="T1507" s="264"/>
      <c r="U1507" s="16"/>
      <c r="V1507" s="264"/>
      <c r="W1507" s="264"/>
      <c r="X1507" s="264"/>
      <c r="Y1507" s="264"/>
      <c r="Z1507" s="264"/>
      <c r="AA1507" s="264"/>
      <c r="AB1507" s="264"/>
      <c r="AC1507" s="264"/>
      <c r="AD1507" s="264"/>
      <c r="AE1507" s="264"/>
      <c r="AF1507" s="264"/>
      <c r="AG1507" s="264"/>
      <c r="AH1507" s="264"/>
      <c r="AI1507" s="264"/>
      <c r="AJ1507" s="264"/>
      <c r="AK1507" s="264"/>
      <c r="AL1507" s="264"/>
      <c r="AM1507" s="264"/>
      <c r="AN1507" s="264"/>
    </row>
    <row r="1508" ht="15.75" customHeight="1">
      <c r="A1508" s="264"/>
      <c r="B1508" s="42"/>
      <c r="C1508" s="280"/>
      <c r="D1508" s="264"/>
      <c r="E1508" s="264"/>
      <c r="F1508" s="264"/>
      <c r="G1508" s="264"/>
      <c r="H1508" s="264"/>
      <c r="I1508" s="281"/>
      <c r="J1508" s="281"/>
      <c r="K1508" s="264"/>
      <c r="L1508" s="264"/>
      <c r="M1508" s="264"/>
      <c r="N1508" s="264"/>
      <c r="O1508" s="264"/>
      <c r="P1508" s="264"/>
      <c r="Q1508" s="264"/>
      <c r="R1508" s="264"/>
      <c r="S1508" s="264"/>
      <c r="T1508" s="264"/>
      <c r="U1508" s="16"/>
      <c r="V1508" s="264"/>
      <c r="W1508" s="264"/>
      <c r="X1508" s="264"/>
      <c r="Y1508" s="264"/>
      <c r="Z1508" s="264"/>
      <c r="AA1508" s="264"/>
      <c r="AB1508" s="264"/>
      <c r="AC1508" s="264"/>
      <c r="AD1508" s="264"/>
      <c r="AE1508" s="264"/>
      <c r="AF1508" s="264"/>
      <c r="AG1508" s="264"/>
      <c r="AH1508" s="264"/>
      <c r="AI1508" s="264"/>
      <c r="AJ1508" s="264"/>
      <c r="AK1508" s="264"/>
      <c r="AL1508" s="264"/>
      <c r="AM1508" s="264"/>
      <c r="AN1508" s="264"/>
    </row>
    <row r="1509" ht="15.75" customHeight="1">
      <c r="A1509" s="264"/>
      <c r="B1509" s="42"/>
      <c r="C1509" s="280"/>
      <c r="D1509" s="264"/>
      <c r="E1509" s="264"/>
      <c r="F1509" s="264"/>
      <c r="G1509" s="264"/>
      <c r="H1509" s="264"/>
      <c r="I1509" s="281"/>
      <c r="J1509" s="281"/>
      <c r="K1509" s="264"/>
      <c r="L1509" s="264"/>
      <c r="M1509" s="264"/>
      <c r="N1509" s="264"/>
      <c r="O1509" s="264"/>
      <c r="P1509" s="264"/>
      <c r="Q1509" s="264"/>
      <c r="R1509" s="264"/>
      <c r="S1509" s="264"/>
      <c r="T1509" s="264"/>
      <c r="U1509" s="16"/>
      <c r="V1509" s="264"/>
      <c r="W1509" s="264"/>
      <c r="X1509" s="264"/>
      <c r="Y1509" s="264"/>
      <c r="Z1509" s="264"/>
      <c r="AA1509" s="264"/>
      <c r="AB1509" s="264"/>
      <c r="AC1509" s="264"/>
      <c r="AD1509" s="264"/>
      <c r="AE1509" s="264"/>
      <c r="AF1509" s="264"/>
      <c r="AG1509" s="264"/>
      <c r="AH1509" s="264"/>
      <c r="AI1509" s="264"/>
      <c r="AJ1509" s="264"/>
      <c r="AK1509" s="264"/>
      <c r="AL1509" s="264"/>
      <c r="AM1509" s="264"/>
      <c r="AN1509" s="264"/>
    </row>
    <row r="1510" ht="15.75" customHeight="1">
      <c r="A1510" s="264"/>
      <c r="B1510" s="42"/>
      <c r="C1510" s="280"/>
      <c r="D1510" s="264"/>
      <c r="E1510" s="264"/>
      <c r="F1510" s="264"/>
      <c r="G1510" s="264"/>
      <c r="H1510" s="264"/>
      <c r="I1510" s="281"/>
      <c r="J1510" s="281"/>
      <c r="K1510" s="264"/>
      <c r="L1510" s="264"/>
      <c r="M1510" s="264"/>
      <c r="N1510" s="264"/>
      <c r="O1510" s="264"/>
      <c r="P1510" s="264"/>
      <c r="Q1510" s="264"/>
      <c r="R1510" s="264"/>
      <c r="S1510" s="264"/>
      <c r="T1510" s="264"/>
      <c r="U1510" s="16"/>
      <c r="V1510" s="264"/>
      <c r="W1510" s="264"/>
      <c r="X1510" s="264"/>
      <c r="Y1510" s="264"/>
      <c r="Z1510" s="264"/>
      <c r="AA1510" s="264"/>
      <c r="AB1510" s="264"/>
      <c r="AC1510" s="264"/>
      <c r="AD1510" s="264"/>
      <c r="AE1510" s="264"/>
      <c r="AF1510" s="264"/>
      <c r="AG1510" s="264"/>
      <c r="AH1510" s="264"/>
      <c r="AI1510" s="264"/>
      <c r="AJ1510" s="264"/>
      <c r="AK1510" s="264"/>
      <c r="AL1510" s="264"/>
      <c r="AM1510" s="264"/>
      <c r="AN1510" s="264"/>
    </row>
    <row r="1511" ht="15.75" customHeight="1">
      <c r="A1511" s="264"/>
      <c r="B1511" s="42"/>
      <c r="C1511" s="280"/>
      <c r="D1511" s="264"/>
      <c r="E1511" s="264"/>
      <c r="F1511" s="264"/>
      <c r="G1511" s="264"/>
      <c r="H1511" s="264"/>
      <c r="I1511" s="281"/>
      <c r="J1511" s="281"/>
      <c r="K1511" s="264"/>
      <c r="L1511" s="264"/>
      <c r="M1511" s="264"/>
      <c r="N1511" s="264"/>
      <c r="O1511" s="264"/>
      <c r="P1511" s="264"/>
      <c r="Q1511" s="264"/>
      <c r="R1511" s="264"/>
      <c r="S1511" s="264"/>
      <c r="T1511" s="264"/>
      <c r="U1511" s="16"/>
      <c r="V1511" s="264"/>
      <c r="W1511" s="264"/>
      <c r="X1511" s="264"/>
      <c r="Y1511" s="264"/>
      <c r="Z1511" s="264"/>
      <c r="AA1511" s="264"/>
      <c r="AB1511" s="264"/>
      <c r="AC1511" s="264"/>
      <c r="AD1511" s="264"/>
      <c r="AE1511" s="264"/>
      <c r="AF1511" s="264"/>
      <c r="AG1511" s="264"/>
      <c r="AH1511" s="264"/>
      <c r="AI1511" s="264"/>
      <c r="AJ1511" s="264"/>
      <c r="AK1511" s="264"/>
      <c r="AL1511" s="264"/>
      <c r="AM1511" s="264"/>
      <c r="AN1511" s="264"/>
    </row>
    <row r="1512" ht="15.75" customHeight="1">
      <c r="A1512" s="264"/>
      <c r="B1512" s="42"/>
      <c r="C1512" s="280"/>
      <c r="D1512" s="264"/>
      <c r="E1512" s="264"/>
      <c r="F1512" s="264"/>
      <c r="G1512" s="264"/>
      <c r="H1512" s="264"/>
      <c r="I1512" s="281"/>
      <c r="J1512" s="281"/>
      <c r="K1512" s="264"/>
      <c r="L1512" s="264"/>
      <c r="M1512" s="264"/>
      <c r="N1512" s="264"/>
      <c r="O1512" s="264"/>
      <c r="P1512" s="264"/>
      <c r="Q1512" s="264"/>
      <c r="R1512" s="264"/>
      <c r="S1512" s="264"/>
      <c r="T1512" s="264"/>
      <c r="U1512" s="16"/>
      <c r="V1512" s="264"/>
      <c r="W1512" s="264"/>
      <c r="X1512" s="264"/>
      <c r="Y1512" s="264"/>
      <c r="Z1512" s="264"/>
      <c r="AA1512" s="264"/>
      <c r="AB1512" s="264"/>
      <c r="AC1512" s="264"/>
      <c r="AD1512" s="264"/>
      <c r="AE1512" s="264"/>
      <c r="AF1512" s="264"/>
      <c r="AG1512" s="264"/>
      <c r="AH1512" s="264"/>
      <c r="AI1512" s="264"/>
      <c r="AJ1512" s="264"/>
      <c r="AK1512" s="264"/>
      <c r="AL1512" s="264"/>
      <c r="AM1512" s="264"/>
      <c r="AN1512" s="264"/>
    </row>
  </sheetData>
  <mergeCells count="6">
    <mergeCell ref="R1:S2"/>
    <mergeCell ref="J5:K5"/>
    <mergeCell ref="L5:M5"/>
    <mergeCell ref="N5:O5"/>
    <mergeCell ref="P5:Q5"/>
    <mergeCell ref="J515:K5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9.88"/>
    <col customWidth="1" min="3" max="3" width="18.63"/>
    <col customWidth="1" min="4" max="5" width="12.13"/>
    <col customWidth="1" min="6" max="6" width="12.5"/>
    <col customWidth="1" min="7" max="7" width="28.25"/>
    <col customWidth="1" min="8" max="8" width="9.63"/>
    <col customWidth="1" min="9" max="9" width="13.63"/>
    <col customWidth="1" min="10" max="10" width="11.88"/>
    <col customWidth="1" min="11" max="11" width="15.13"/>
    <col customWidth="1" min="12" max="12" width="13.75"/>
    <col customWidth="1" min="13" max="13" width="15.5"/>
    <col customWidth="1" min="14" max="16" width="14.0"/>
    <col customWidth="1" min="17" max="17" width="15.38"/>
    <col customWidth="1" min="18" max="18" width="14.0"/>
    <col customWidth="1" min="19" max="19" width="20.63"/>
    <col customWidth="1" min="20" max="20" width="2.25"/>
    <col customWidth="1" min="21" max="21" width="10.75"/>
    <col customWidth="1" min="22" max="22" width="4.38"/>
    <col customWidth="1" min="23" max="32" width="8.0"/>
  </cols>
  <sheetData>
    <row r="1" ht="18.0" customHeight="1">
      <c r="B1" s="372" t="s">
        <v>3</v>
      </c>
      <c r="D1" s="373"/>
      <c r="G1" s="374"/>
      <c r="L1" s="375"/>
      <c r="M1" s="376"/>
      <c r="N1" s="377"/>
      <c r="O1" s="377"/>
      <c r="P1" s="376"/>
      <c r="Q1" s="378" t="s">
        <v>4</v>
      </c>
      <c r="T1" s="379"/>
      <c r="U1" s="380"/>
      <c r="V1" s="379"/>
    </row>
    <row r="2" ht="27.75" customHeight="1">
      <c r="B2" s="290"/>
      <c r="D2" s="373"/>
      <c r="G2" s="242"/>
      <c r="N2" s="373"/>
      <c r="O2" s="373"/>
      <c r="Q2" s="122"/>
      <c r="R2" s="122"/>
      <c r="S2" s="122"/>
      <c r="U2" s="290"/>
    </row>
    <row r="3" ht="23.25" customHeight="1">
      <c r="A3" s="381"/>
      <c r="B3" s="382"/>
      <c r="C3" s="383"/>
      <c r="D3" s="384"/>
      <c r="E3" s="385"/>
      <c r="F3" s="386"/>
      <c r="G3" s="387" t="s">
        <v>5</v>
      </c>
      <c r="H3" s="388" t="s">
        <v>6</v>
      </c>
      <c r="I3" s="389"/>
      <c r="J3" s="390"/>
      <c r="K3" s="389"/>
      <c r="L3" s="391">
        <f>SUM(L9:L500)</f>
        <v>30242000</v>
      </c>
      <c r="M3" s="392"/>
      <c r="N3" s="392"/>
      <c r="O3" s="392"/>
      <c r="P3" s="392"/>
      <c r="Q3" s="391">
        <f>SUM(Q9:Q500)</f>
        <v>4198000</v>
      </c>
      <c r="R3" s="393"/>
      <c r="S3" s="394"/>
      <c r="T3" s="381"/>
      <c r="U3" s="395" t="s">
        <v>0</v>
      </c>
      <c r="V3" s="381"/>
      <c r="W3" s="381"/>
      <c r="X3" s="381"/>
      <c r="Y3" s="381"/>
      <c r="Z3" s="381"/>
      <c r="AA3" s="381"/>
      <c r="AB3" s="381"/>
      <c r="AC3" s="381"/>
      <c r="AD3" s="381"/>
      <c r="AE3" s="381"/>
      <c r="AF3" s="381"/>
    </row>
    <row r="4" ht="9.0" customHeight="1">
      <c r="B4" s="290"/>
      <c r="D4" s="119"/>
      <c r="G4" s="242"/>
      <c r="N4" s="373"/>
      <c r="O4" s="373"/>
      <c r="U4" s="396" t="s">
        <v>7</v>
      </c>
    </row>
    <row r="5" ht="17.25" customHeight="1">
      <c r="A5" s="397"/>
      <c r="B5" s="398" t="s">
        <v>8</v>
      </c>
      <c r="C5" s="399" t="s">
        <v>8</v>
      </c>
      <c r="D5" s="400" t="s">
        <v>9</v>
      </c>
      <c r="E5" s="401" t="s">
        <v>9</v>
      </c>
      <c r="F5" s="402" t="s">
        <v>10</v>
      </c>
      <c r="G5" s="403" t="s">
        <v>11</v>
      </c>
      <c r="H5" s="402" t="s">
        <v>12</v>
      </c>
      <c r="I5" s="402" t="s">
        <v>13</v>
      </c>
      <c r="J5" s="214" t="s">
        <v>14</v>
      </c>
      <c r="K5" s="215"/>
      <c r="L5" s="216" t="s">
        <v>15</v>
      </c>
      <c r="M5" s="215"/>
      <c r="N5" s="216" t="s">
        <v>16</v>
      </c>
      <c r="O5" s="215"/>
      <c r="P5" s="404" t="s">
        <v>17</v>
      </c>
      <c r="Q5" s="215"/>
      <c r="R5" s="405" t="s">
        <v>18</v>
      </c>
      <c r="S5" s="406" t="s">
        <v>19</v>
      </c>
      <c r="T5" s="119"/>
      <c r="V5" s="397"/>
      <c r="W5" s="397"/>
      <c r="X5" s="397"/>
      <c r="Y5" s="397"/>
      <c r="Z5" s="397"/>
      <c r="AA5" s="397"/>
      <c r="AB5" s="397"/>
      <c r="AC5" s="397"/>
      <c r="AD5" s="397"/>
      <c r="AE5" s="397"/>
      <c r="AF5" s="397"/>
    </row>
    <row r="6" ht="17.25" customHeight="1">
      <c r="A6" s="397"/>
      <c r="B6" s="407" t="s">
        <v>20</v>
      </c>
      <c r="C6" s="408" t="s">
        <v>21</v>
      </c>
      <c r="D6" s="409" t="s">
        <v>22</v>
      </c>
      <c r="E6" s="410" t="s">
        <v>23</v>
      </c>
      <c r="F6" s="411"/>
      <c r="G6" s="412"/>
      <c r="H6" s="411"/>
      <c r="I6" s="411" t="s">
        <v>21</v>
      </c>
      <c r="J6" s="226" t="s">
        <v>24</v>
      </c>
      <c r="K6" s="227" t="s">
        <v>25</v>
      </c>
      <c r="L6" s="413" t="s">
        <v>24</v>
      </c>
      <c r="M6" s="414" t="s">
        <v>25</v>
      </c>
      <c r="N6" s="228" t="s">
        <v>26</v>
      </c>
      <c r="O6" s="415" t="s">
        <v>27</v>
      </c>
      <c r="P6" s="416" t="s">
        <v>26</v>
      </c>
      <c r="Q6" s="417" t="s">
        <v>27</v>
      </c>
      <c r="R6" s="418"/>
      <c r="S6" s="419"/>
      <c r="T6" s="119"/>
      <c r="U6" s="397"/>
      <c r="V6" s="397"/>
      <c r="W6" s="397"/>
      <c r="X6" s="397"/>
      <c r="Y6" s="397"/>
      <c r="Z6" s="397"/>
      <c r="AA6" s="397"/>
      <c r="AB6" s="397"/>
      <c r="AC6" s="397"/>
      <c r="AD6" s="397"/>
      <c r="AE6" s="397"/>
      <c r="AF6" s="397"/>
    </row>
    <row r="7" ht="17.25" customHeight="1">
      <c r="A7" s="397"/>
      <c r="B7" s="420" t="s">
        <v>28</v>
      </c>
      <c r="C7" s="421" t="s">
        <v>29</v>
      </c>
      <c r="D7" s="422" t="s">
        <v>30</v>
      </c>
      <c r="E7" s="423" t="s">
        <v>30</v>
      </c>
      <c r="F7" s="423" t="s">
        <v>31</v>
      </c>
      <c r="G7" s="424" t="s">
        <v>32</v>
      </c>
      <c r="H7" s="423" t="s">
        <v>33</v>
      </c>
      <c r="I7" s="423" t="s">
        <v>34</v>
      </c>
      <c r="J7" s="423" t="s">
        <v>35</v>
      </c>
      <c r="K7" s="423" t="s">
        <v>36</v>
      </c>
      <c r="L7" s="425" t="s">
        <v>37</v>
      </c>
      <c r="M7" s="426" t="s">
        <v>38</v>
      </c>
      <c r="N7" s="427" t="s">
        <v>39</v>
      </c>
      <c r="O7" s="427" t="s">
        <v>40</v>
      </c>
      <c r="P7" s="425" t="s">
        <v>41</v>
      </c>
      <c r="Q7" s="425" t="s">
        <v>42</v>
      </c>
      <c r="R7" s="428" t="s">
        <v>43</v>
      </c>
      <c r="S7" s="429" t="s">
        <v>44</v>
      </c>
      <c r="T7" s="119"/>
      <c r="U7" s="430"/>
      <c r="V7" s="397"/>
      <c r="W7" s="397"/>
      <c r="X7" s="397"/>
      <c r="Y7" s="397"/>
      <c r="Z7" s="397"/>
      <c r="AA7" s="397"/>
      <c r="AB7" s="397"/>
      <c r="AC7" s="397"/>
      <c r="AD7" s="397"/>
      <c r="AE7" s="397"/>
      <c r="AF7" s="397"/>
    </row>
    <row r="8" ht="13.5" customHeight="1">
      <c r="B8" s="431"/>
      <c r="C8" s="432"/>
      <c r="D8" s="433"/>
      <c r="E8" s="434"/>
      <c r="F8" s="434"/>
      <c r="G8" s="435"/>
      <c r="H8" s="434"/>
      <c r="I8" s="434"/>
      <c r="J8" s="434"/>
      <c r="K8" s="434"/>
      <c r="L8" s="434"/>
      <c r="M8" s="434"/>
      <c r="N8" s="436"/>
      <c r="O8" s="436"/>
      <c r="P8" s="434"/>
      <c r="Q8" s="434"/>
      <c r="R8" s="434"/>
      <c r="S8" s="437"/>
      <c r="U8" s="438" t="s">
        <v>45</v>
      </c>
    </row>
    <row r="9" ht="16.5" customHeight="1">
      <c r="A9" s="439"/>
      <c r="B9" s="440">
        <v>1000.0</v>
      </c>
      <c r="C9" s="441" t="s">
        <v>46</v>
      </c>
      <c r="D9" s="442">
        <f>IF(G9="","",(VLOOKUP(G9,'2. SMDA BHN'!$B$12:$J512,2,0)))</f>
        <v>6</v>
      </c>
      <c r="E9" s="443" t="str">
        <f>IF(G9=0,0,(VLOOKUP(G9,'2. SMDA BHN'!$B$12:$J512,3,0)))</f>
        <v>M006</v>
      </c>
      <c r="F9" s="444">
        <v>46160.0</v>
      </c>
      <c r="G9" s="445" t="s">
        <v>47</v>
      </c>
      <c r="H9" s="446" t="str">
        <f>IF(G9=0,0,(VLOOKUP(G9,'2. SMDA BHN'!$B$12:$H512,4,0)))</f>
        <v>M3</v>
      </c>
      <c r="I9" s="447">
        <v>2200000.0</v>
      </c>
      <c r="J9" s="447">
        <v>1.0</v>
      </c>
      <c r="K9" s="448">
        <f>SUMIF('PO MTRL'!$G$9:$G512,G9,'PO MTRL'!$J$9:$J512)</f>
        <v>1</v>
      </c>
      <c r="L9" s="448">
        <f t="shared" ref="L9:L500" si="1">+I9*J9</f>
        <v>2200000</v>
      </c>
      <c r="M9" s="449">
        <f>SUMIF('PO MTRL'!$G$9:$G512,G9,'PO MTRL'!$L$9:$L512)</f>
        <v>2200000</v>
      </c>
      <c r="N9" s="450">
        <f>IF(G9=0,0,(VLOOKUP(G9,'2. SMDA BHN'!$B$12:$H512,5,0)))</f>
        <v>3</v>
      </c>
      <c r="O9" s="450">
        <f>IF(G9=0,0,(VLOOKUP(G9,'2. SMDA BHN'!$B$12:$H512,7,0)))</f>
        <v>6000000</v>
      </c>
      <c r="P9" s="449">
        <f t="shared" ref="P9:P500" si="2">N9-K9</f>
        <v>2</v>
      </c>
      <c r="Q9" s="449">
        <f t="shared" ref="Q9:Q500" si="3">O9-M9</f>
        <v>3800000</v>
      </c>
      <c r="R9" s="451" t="s">
        <v>45</v>
      </c>
      <c r="S9" s="452" t="s">
        <v>48</v>
      </c>
      <c r="T9" s="439"/>
      <c r="U9" s="453" t="s">
        <v>49</v>
      </c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</row>
    <row r="10" ht="16.5" customHeight="1">
      <c r="A10" s="439"/>
      <c r="B10" s="454">
        <f t="shared" ref="B10:B500" si="4">B9+1</f>
        <v>1001</v>
      </c>
      <c r="C10" s="441" t="s">
        <v>46</v>
      </c>
      <c r="D10" s="442">
        <f>IF(G10="","",(VLOOKUP(G10,'2. SMDA BHN'!$B$12:$J512,2,0)))</f>
        <v>8</v>
      </c>
      <c r="E10" s="443" t="str">
        <f>IF(G10=0,0,(VLOOKUP(G10,'2. SMDA BHN'!$B$12:$J512,3,0)))</f>
        <v>M008</v>
      </c>
      <c r="F10" s="444">
        <v>46160.0</v>
      </c>
      <c r="G10" s="445" t="s">
        <v>50</v>
      </c>
      <c r="H10" s="446" t="str">
        <f>IF(G10=0,0,(VLOOKUP(G10,'2. SMDA BHN'!$B$12:$H512,4,0)))</f>
        <v>KG</v>
      </c>
      <c r="I10" s="447">
        <v>21000.0</v>
      </c>
      <c r="J10" s="447">
        <v>2.0</v>
      </c>
      <c r="K10" s="448">
        <f>SUMIF('PO MTRL'!$G$9:$G512,G10,'PO MTRL'!$J$9:$J512)</f>
        <v>10</v>
      </c>
      <c r="L10" s="448">
        <f t="shared" si="1"/>
        <v>42000</v>
      </c>
      <c r="M10" s="449">
        <f>SUMIF('PO MTRL'!$G$9:$G512,G10,'PO MTRL'!$L$9:$L512)</f>
        <v>202000</v>
      </c>
      <c r="N10" s="450">
        <f>IF(G10=0,0,(VLOOKUP(G10,'2. SMDA BHN'!$B$12:$H512,5,0)))</f>
        <v>30</v>
      </c>
      <c r="O10" s="450">
        <f>IF(G10=0,0,(VLOOKUP(G10,'2. SMDA BHN'!$B$12:$H512,7,0)))</f>
        <v>600000</v>
      </c>
      <c r="P10" s="449">
        <f t="shared" si="2"/>
        <v>20</v>
      </c>
      <c r="Q10" s="449">
        <f t="shared" si="3"/>
        <v>398000</v>
      </c>
      <c r="R10" s="451" t="s">
        <v>45</v>
      </c>
      <c r="S10" s="452" t="s">
        <v>48</v>
      </c>
      <c r="T10" s="439"/>
      <c r="U10" s="16"/>
      <c r="V10" s="439"/>
      <c r="W10" s="439"/>
      <c r="X10" s="439"/>
      <c r="Y10" s="439"/>
      <c r="Z10" s="439"/>
      <c r="AA10" s="439"/>
      <c r="AB10" s="439"/>
      <c r="AC10" s="439"/>
      <c r="AD10" s="439"/>
      <c r="AE10" s="439"/>
      <c r="AF10" s="439"/>
    </row>
    <row r="11" ht="16.5" customHeight="1">
      <c r="A11" s="439"/>
      <c r="B11" s="454">
        <f t="shared" si="4"/>
        <v>1002</v>
      </c>
      <c r="C11" s="455" t="s">
        <v>51</v>
      </c>
      <c r="D11" s="442">
        <f>IF(G11="","",(VLOOKUP(G11,'2. SMDA BHN'!$B$12:$J512,2,0)))</f>
        <v>9</v>
      </c>
      <c r="E11" s="443" t="str">
        <f>IF(G11=0,0,(VLOOKUP(G11,'2. SMDA BHN'!$B$12:$J512,3,0)))</f>
        <v>M010</v>
      </c>
      <c r="F11" s="456">
        <v>46162.0</v>
      </c>
      <c r="G11" s="457" t="s">
        <v>52</v>
      </c>
      <c r="H11" s="446" t="str">
        <f>IF(G11=0,0,(VLOOKUP(G11,'2. SMDA BHN'!$B$12:$H512,4,0)))</f>
        <v>UNIT</v>
      </c>
      <c r="I11" s="458">
        <v>2.5E7</v>
      </c>
      <c r="J11" s="459">
        <v>1.0</v>
      </c>
      <c r="K11" s="448">
        <f>SUMIF('PO MTRL'!$G$9:$G512,G11,'PO MTRL'!$J$9:$J512)</f>
        <v>1</v>
      </c>
      <c r="L11" s="448">
        <f t="shared" si="1"/>
        <v>25000000</v>
      </c>
      <c r="M11" s="449">
        <f>SUMIF('PO MTRL'!$G$9:$G512,G11,'PO MTRL'!$L$9:$L512)</f>
        <v>25000000</v>
      </c>
      <c r="N11" s="450">
        <f>IF(G11=0,0,(VLOOKUP(G11,'2. SMDA BHN'!$B$12:$H512,5,0)))</f>
        <v>1</v>
      </c>
      <c r="O11" s="450">
        <f>IF(G11=0,0,(VLOOKUP(G11,'2. SMDA BHN'!$B$12:$H512,7,0)))</f>
        <v>25000000</v>
      </c>
      <c r="P11" s="449">
        <f t="shared" si="2"/>
        <v>0</v>
      </c>
      <c r="Q11" s="449">
        <f t="shared" si="3"/>
        <v>0</v>
      </c>
      <c r="R11" s="451" t="s">
        <v>45</v>
      </c>
      <c r="S11" s="452"/>
      <c r="T11" s="439"/>
      <c r="U11" s="16"/>
      <c r="V11" s="439"/>
      <c r="W11" s="439"/>
      <c r="X11" s="439"/>
      <c r="Y11" s="439"/>
      <c r="Z11" s="439"/>
      <c r="AA11" s="439"/>
      <c r="AB11" s="439"/>
      <c r="AC11" s="439"/>
      <c r="AD11" s="439"/>
      <c r="AE11" s="439"/>
      <c r="AF11" s="439"/>
    </row>
    <row r="12" ht="16.5" customHeight="1">
      <c r="A12" s="439"/>
      <c r="B12" s="454">
        <f t="shared" si="4"/>
        <v>1003</v>
      </c>
      <c r="C12" s="455" t="s">
        <v>51</v>
      </c>
      <c r="D12" s="442">
        <f>IF(G12="","",(VLOOKUP(G12,'2. SMDA BHN'!$B$12:$J512,2,0)))</f>
        <v>10</v>
      </c>
      <c r="E12" s="443" t="str">
        <f>IF(G12=0,0,(VLOOKUP(G12,'2. SMDA BHN'!$B$12:$J512,3,0)))</f>
        <v>M011</v>
      </c>
      <c r="F12" s="456">
        <v>46162.0</v>
      </c>
      <c r="G12" s="457" t="s">
        <v>53</v>
      </c>
      <c r="H12" s="446" t="str">
        <f>IF(G12=0,0,(VLOOKUP(G12,'2. SMDA BHN'!$B$12:$H512,4,0)))</f>
        <v>UNIT</v>
      </c>
      <c r="I12" s="458">
        <v>500000.0</v>
      </c>
      <c r="J12" s="459">
        <v>2.0</v>
      </c>
      <c r="K12" s="448">
        <f>SUMIF('PO MTRL'!$G$9:$G512,G12,'PO MTRL'!$J$9:$J512)</f>
        <v>2</v>
      </c>
      <c r="L12" s="448">
        <f t="shared" si="1"/>
        <v>1000000</v>
      </c>
      <c r="M12" s="449">
        <f>SUMIF('PO MTRL'!$G$9:$G512,G12,'PO MTRL'!$L$9:$L512)</f>
        <v>1000000</v>
      </c>
      <c r="N12" s="450">
        <f>IF(G12=0,0,(VLOOKUP(G12,'2. SMDA BHN'!$B$12:$H512,5,0)))</f>
        <v>2</v>
      </c>
      <c r="O12" s="450">
        <f>IF(G12=0,0,(VLOOKUP(G12,'2. SMDA BHN'!$B$12:$H512,7,0)))</f>
        <v>1000000</v>
      </c>
      <c r="P12" s="449">
        <f t="shared" si="2"/>
        <v>0</v>
      </c>
      <c r="Q12" s="449">
        <f t="shared" si="3"/>
        <v>0</v>
      </c>
      <c r="R12" s="451" t="s">
        <v>45</v>
      </c>
      <c r="S12" s="452"/>
      <c r="T12" s="439"/>
      <c r="U12" s="16"/>
      <c r="V12" s="439"/>
      <c r="W12" s="439"/>
      <c r="X12" s="439"/>
      <c r="Y12" s="439"/>
      <c r="Z12" s="439"/>
      <c r="AA12" s="439"/>
      <c r="AB12" s="439"/>
      <c r="AC12" s="439"/>
      <c r="AD12" s="439"/>
      <c r="AE12" s="439"/>
      <c r="AF12" s="439"/>
    </row>
    <row r="13" ht="16.5" customHeight="1">
      <c r="A13" s="439"/>
      <c r="B13" s="454">
        <f t="shared" si="4"/>
        <v>1004</v>
      </c>
      <c r="C13" s="455" t="s">
        <v>51</v>
      </c>
      <c r="D13" s="442">
        <f>IF(G13="","",(VLOOKUP(G13,'2. SMDA BHN'!$B$12:$J512,2,0)))</f>
        <v>11</v>
      </c>
      <c r="E13" s="443" t="str">
        <f>IF(G13=0,0,(VLOOKUP(G13,'2. SMDA BHN'!$B$12:$J512,3,0)))</f>
        <v>M012</v>
      </c>
      <c r="F13" s="456">
        <v>46162.0</v>
      </c>
      <c r="G13" s="457" t="s">
        <v>54</v>
      </c>
      <c r="H13" s="446" t="str">
        <f>IF(G13=0,0,(VLOOKUP(G13,'2. SMDA BHN'!$B$12:$H512,4,0)))</f>
        <v>BUAH</v>
      </c>
      <c r="I13" s="458">
        <v>100000.0</v>
      </c>
      <c r="J13" s="459">
        <v>20.0</v>
      </c>
      <c r="K13" s="448">
        <f>SUMIF('PO MTRL'!$G$9:$G512,G13,'PO MTRL'!$J$9:$J512)</f>
        <v>20</v>
      </c>
      <c r="L13" s="448">
        <f t="shared" si="1"/>
        <v>2000000</v>
      </c>
      <c r="M13" s="449">
        <f>SUMIF('PO MTRL'!$G$9:$G512,G13,'PO MTRL'!$L$9:$L512)</f>
        <v>2000000</v>
      </c>
      <c r="N13" s="450">
        <f>IF(G13=0,0,(VLOOKUP(G13,'2. SMDA BHN'!$B$12:$H512,5,0)))</f>
        <v>20</v>
      </c>
      <c r="O13" s="450">
        <f>IF(G13=0,0,(VLOOKUP(G13,'2. SMDA BHN'!$B$12:$H512,7,0)))</f>
        <v>2000000</v>
      </c>
      <c r="P13" s="449">
        <f t="shared" si="2"/>
        <v>0</v>
      </c>
      <c r="Q13" s="449">
        <f t="shared" si="3"/>
        <v>0</v>
      </c>
      <c r="R13" s="451" t="s">
        <v>45</v>
      </c>
      <c r="S13" s="452"/>
      <c r="T13" s="439"/>
      <c r="U13" s="16"/>
      <c r="V13" s="439"/>
      <c r="W13" s="439"/>
      <c r="X13" s="439"/>
      <c r="Y13" s="439"/>
      <c r="Z13" s="439"/>
      <c r="AA13" s="439"/>
      <c r="AB13" s="439"/>
      <c r="AC13" s="439"/>
      <c r="AD13" s="439"/>
      <c r="AE13" s="439"/>
      <c r="AF13" s="439"/>
    </row>
    <row r="14" ht="16.5" customHeight="1">
      <c r="A14" s="439"/>
      <c r="B14" s="454">
        <f t="shared" si="4"/>
        <v>1005</v>
      </c>
      <c r="C14" s="441"/>
      <c r="D14" s="442" t="str">
        <f>IF(G14="","",(VLOOKUP(G14,'2. SMDA BHN'!$B$12:$J512,2,0)))</f>
        <v/>
      </c>
      <c r="E14" s="443">
        <f>IF(G14=0,0,(VLOOKUP(G14,'2. SMDA BHN'!$B$12:$J512,3,0)))</f>
        <v>0</v>
      </c>
      <c r="F14" s="444"/>
      <c r="G14" s="445"/>
      <c r="H14" s="446">
        <f>IF(G14=0,0,(VLOOKUP(G14,'2. SMDA BHN'!$B$12:$H512,4,0)))</f>
        <v>0</v>
      </c>
      <c r="I14" s="460"/>
      <c r="J14" s="461"/>
      <c r="K14" s="448">
        <f>SUMIF('PO MTRL'!$G$9:$G512,G14,'PO MTRL'!$J$9:$J512)</f>
        <v>0</v>
      </c>
      <c r="L14" s="448">
        <f t="shared" si="1"/>
        <v>0</v>
      </c>
      <c r="M14" s="449">
        <f>SUMIF('PO MTRL'!$G$9:$G512,G14,'PO MTRL'!$L$9:$L512)</f>
        <v>0</v>
      </c>
      <c r="N14" s="450">
        <f>IF(G14=0,0,(VLOOKUP(G14,'2. SMDA BHN'!$B$12:$H512,5,0)))</f>
        <v>0</v>
      </c>
      <c r="O14" s="450">
        <f>IF(G14=0,0,(VLOOKUP(G14,'2. SMDA BHN'!$B$12:$H512,7,0)))</f>
        <v>0</v>
      </c>
      <c r="P14" s="449">
        <f t="shared" si="2"/>
        <v>0</v>
      </c>
      <c r="Q14" s="449">
        <f t="shared" si="3"/>
        <v>0</v>
      </c>
      <c r="R14" s="451" t="s">
        <v>45</v>
      </c>
      <c r="S14" s="452"/>
      <c r="T14" s="439"/>
      <c r="U14" s="16"/>
      <c r="V14" s="439"/>
      <c r="W14" s="439"/>
      <c r="X14" s="439"/>
      <c r="Y14" s="439"/>
      <c r="Z14" s="439"/>
      <c r="AA14" s="439"/>
      <c r="AB14" s="439"/>
      <c r="AC14" s="439"/>
      <c r="AD14" s="439"/>
      <c r="AE14" s="439"/>
      <c r="AF14" s="439"/>
    </row>
    <row r="15" ht="16.5" customHeight="1">
      <c r="A15" s="462"/>
      <c r="B15" s="454">
        <f t="shared" si="4"/>
        <v>1006</v>
      </c>
      <c r="C15" s="441"/>
      <c r="D15" s="442" t="str">
        <f>IF(G15="","",(VLOOKUP(G15,'2. SMDA BHN'!$B$12:$J512,2,0)))</f>
        <v/>
      </c>
      <c r="E15" s="443">
        <f>IF(G15=0,0,(VLOOKUP(G15,'2. SMDA BHN'!$B$12:$J512,3,0)))</f>
        <v>0</v>
      </c>
      <c r="F15" s="444"/>
      <c r="G15" s="445"/>
      <c r="H15" s="446">
        <f>IF(G15=0,0,(VLOOKUP(G15,'2. SMDA BHN'!$B$12:$H512,4,0)))</f>
        <v>0</v>
      </c>
      <c r="I15" s="460"/>
      <c r="J15" s="461"/>
      <c r="K15" s="448">
        <f>SUMIF('PO MTRL'!$G$9:$G512,G15,'PO MTRL'!$J$9:$J512)</f>
        <v>0</v>
      </c>
      <c r="L15" s="448">
        <f t="shared" si="1"/>
        <v>0</v>
      </c>
      <c r="M15" s="449">
        <f>SUMIF('PO MTRL'!$G$9:$G512,G15,'PO MTRL'!$L$9:$L512)</f>
        <v>0</v>
      </c>
      <c r="N15" s="450">
        <f>IF(G15=0,0,(VLOOKUP(G15,'2. SMDA BHN'!$B$12:$H512,5,0)))</f>
        <v>0</v>
      </c>
      <c r="O15" s="450">
        <f>IF(G15=0,0,(VLOOKUP(G15,'2. SMDA BHN'!$B$12:$H512,7,0)))</f>
        <v>0</v>
      </c>
      <c r="P15" s="449">
        <f t="shared" si="2"/>
        <v>0</v>
      </c>
      <c r="Q15" s="449">
        <f t="shared" si="3"/>
        <v>0</v>
      </c>
      <c r="R15" s="451" t="s">
        <v>45</v>
      </c>
      <c r="S15" s="452"/>
      <c r="T15" s="462"/>
      <c r="U15" s="16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</row>
    <row r="16" ht="16.5" customHeight="1">
      <c r="A16" s="439"/>
      <c r="B16" s="454">
        <f t="shared" si="4"/>
        <v>1007</v>
      </c>
      <c r="C16" s="463"/>
      <c r="D16" s="442" t="str">
        <f>IF(G16="","",(VLOOKUP(G16,'2. SMDA BHN'!$B$12:$J512,2,0)))</f>
        <v/>
      </c>
      <c r="E16" s="443">
        <f>IF(G16=0,0,(VLOOKUP(G16,'2. SMDA BHN'!$B$12:$J512,3,0)))</f>
        <v>0</v>
      </c>
      <c r="F16" s="444"/>
      <c r="G16" s="445"/>
      <c r="H16" s="446">
        <f>IF(G16=0,0,(VLOOKUP(G16,'2. SMDA BHN'!$B$12:$H512,4,0)))</f>
        <v>0</v>
      </c>
      <c r="I16" s="460"/>
      <c r="J16" s="461"/>
      <c r="K16" s="448">
        <f>SUMIF('PO MTRL'!$G$9:$G512,G16,'PO MTRL'!$J$9:$J512)</f>
        <v>0</v>
      </c>
      <c r="L16" s="448">
        <f t="shared" si="1"/>
        <v>0</v>
      </c>
      <c r="M16" s="449">
        <f>SUMIF('PO MTRL'!$G$9:$G512,G16,'PO MTRL'!$L$9:$L512)</f>
        <v>0</v>
      </c>
      <c r="N16" s="450">
        <f>IF(G16=0,0,(VLOOKUP(G16,'2. SMDA BHN'!$B$12:$H512,5,0)))</f>
        <v>0</v>
      </c>
      <c r="O16" s="450">
        <f>IF(G16=0,0,(VLOOKUP(G16,'2. SMDA BHN'!$B$12:$H512,7,0)))</f>
        <v>0</v>
      </c>
      <c r="P16" s="449">
        <f t="shared" si="2"/>
        <v>0</v>
      </c>
      <c r="Q16" s="449">
        <f t="shared" si="3"/>
        <v>0</v>
      </c>
      <c r="R16" s="451" t="s">
        <v>45</v>
      </c>
      <c r="S16" s="464"/>
      <c r="T16" s="439"/>
      <c r="U16" s="16"/>
      <c r="V16" s="439"/>
      <c r="W16" s="439"/>
      <c r="X16" s="439"/>
      <c r="Y16" s="439"/>
      <c r="Z16" s="439"/>
      <c r="AA16" s="439"/>
      <c r="AB16" s="439"/>
      <c r="AC16" s="439"/>
      <c r="AD16" s="439"/>
      <c r="AE16" s="439"/>
      <c r="AF16" s="439"/>
    </row>
    <row r="17" ht="16.5" customHeight="1">
      <c r="A17" s="439"/>
      <c r="B17" s="454">
        <f t="shared" si="4"/>
        <v>1008</v>
      </c>
      <c r="C17" s="463"/>
      <c r="D17" s="442" t="str">
        <f>IF(G17="","",(VLOOKUP(G17,'2. SMDA BHN'!$B$12:$J512,2,0)))</f>
        <v/>
      </c>
      <c r="E17" s="443">
        <f>IF(G17=0,0,(VLOOKUP(G17,'2. SMDA BHN'!$B$12:$J512,3,0)))</f>
        <v>0</v>
      </c>
      <c r="F17" s="444"/>
      <c r="G17" s="445"/>
      <c r="H17" s="446">
        <f>IF(G17=0,0,(VLOOKUP(G17,'2. SMDA BHN'!$B$12:$H512,4,0)))</f>
        <v>0</v>
      </c>
      <c r="I17" s="460"/>
      <c r="J17" s="461"/>
      <c r="K17" s="448">
        <f>SUMIF('PO MTRL'!$G$9:$G512,G17,'PO MTRL'!$J$9:$J512)</f>
        <v>0</v>
      </c>
      <c r="L17" s="448">
        <f t="shared" si="1"/>
        <v>0</v>
      </c>
      <c r="M17" s="449">
        <f>SUMIF('PO MTRL'!$G$9:$G512,G17,'PO MTRL'!$L$9:$L512)</f>
        <v>0</v>
      </c>
      <c r="N17" s="450">
        <f>IF(G17=0,0,(VLOOKUP(G17,'2. SMDA BHN'!$B$12:$H512,5,0)))</f>
        <v>0</v>
      </c>
      <c r="O17" s="450">
        <f>IF(G17=0,0,(VLOOKUP(G17,'2. SMDA BHN'!$B$12:$H512,7,0)))</f>
        <v>0</v>
      </c>
      <c r="P17" s="449">
        <f t="shared" si="2"/>
        <v>0</v>
      </c>
      <c r="Q17" s="449">
        <f t="shared" si="3"/>
        <v>0</v>
      </c>
      <c r="R17" s="451" t="s">
        <v>45</v>
      </c>
      <c r="S17" s="464"/>
      <c r="T17" s="439"/>
      <c r="U17" s="16"/>
      <c r="V17" s="439"/>
      <c r="W17" s="439"/>
      <c r="X17" s="439"/>
      <c r="Y17" s="439"/>
      <c r="Z17" s="439"/>
      <c r="AA17" s="439"/>
      <c r="AB17" s="439"/>
      <c r="AC17" s="439"/>
      <c r="AD17" s="439"/>
      <c r="AE17" s="439"/>
      <c r="AF17" s="439"/>
    </row>
    <row r="18" ht="16.5" customHeight="1">
      <c r="A18" s="439"/>
      <c r="B18" s="454">
        <f t="shared" si="4"/>
        <v>1009</v>
      </c>
      <c r="C18" s="463"/>
      <c r="D18" s="442" t="str">
        <f>IF(G18="","",(VLOOKUP(G18,'2. SMDA BHN'!$B$12:$J512,2,0)))</f>
        <v/>
      </c>
      <c r="E18" s="443">
        <f>IF(G18=0,0,(VLOOKUP(G18,'2. SMDA BHN'!$B$12:$J512,3,0)))</f>
        <v>0</v>
      </c>
      <c r="F18" s="444"/>
      <c r="G18" s="445"/>
      <c r="H18" s="446">
        <f>IF(G18=0,0,(VLOOKUP(G18,'2. SMDA BHN'!$B$12:$H512,4,0)))</f>
        <v>0</v>
      </c>
      <c r="I18" s="460"/>
      <c r="J18" s="461"/>
      <c r="K18" s="448">
        <f>SUMIF('PO MTRL'!$G$9:$G512,G18,'PO MTRL'!$J$9:$J512)</f>
        <v>0</v>
      </c>
      <c r="L18" s="448">
        <f t="shared" si="1"/>
        <v>0</v>
      </c>
      <c r="M18" s="449">
        <f>SUMIF('PO MTRL'!$G$9:$G512,G18,'PO MTRL'!$L$9:$L512)</f>
        <v>0</v>
      </c>
      <c r="N18" s="450">
        <f>IF(G18=0,0,(VLOOKUP(G18,'2. SMDA BHN'!$B$12:$H512,5,0)))</f>
        <v>0</v>
      </c>
      <c r="O18" s="450">
        <f>IF(G18=0,0,(VLOOKUP(G18,'2. SMDA BHN'!$B$12:$H512,7,0)))</f>
        <v>0</v>
      </c>
      <c r="P18" s="449">
        <f t="shared" si="2"/>
        <v>0</v>
      </c>
      <c r="Q18" s="449">
        <f t="shared" si="3"/>
        <v>0</v>
      </c>
      <c r="R18" s="451" t="s">
        <v>45</v>
      </c>
      <c r="S18" s="464"/>
      <c r="T18" s="439"/>
      <c r="U18" s="16"/>
      <c r="V18" s="439"/>
      <c r="W18" s="439"/>
      <c r="X18" s="439"/>
      <c r="Y18" s="439"/>
      <c r="Z18" s="439"/>
      <c r="AA18" s="439"/>
      <c r="AB18" s="439"/>
      <c r="AC18" s="439"/>
      <c r="AD18" s="439"/>
      <c r="AE18" s="439"/>
      <c r="AF18" s="439"/>
    </row>
    <row r="19" ht="16.5" customHeight="1">
      <c r="A19" s="439"/>
      <c r="B19" s="454">
        <f t="shared" si="4"/>
        <v>1010</v>
      </c>
      <c r="C19" s="463"/>
      <c r="D19" s="442" t="str">
        <f>IF(G19="","",(VLOOKUP(G19,'2. SMDA BHN'!$B$12:$J512,2,0)))</f>
        <v/>
      </c>
      <c r="E19" s="443">
        <f>IF(G19=0,0,(VLOOKUP(G19,'2. SMDA BHN'!$B$12:$J512,3,0)))</f>
        <v>0</v>
      </c>
      <c r="F19" s="444"/>
      <c r="G19" s="445"/>
      <c r="H19" s="446">
        <f>IF(G19=0,0,(VLOOKUP(G19,'2. SMDA BHN'!$B$12:$H512,4,0)))</f>
        <v>0</v>
      </c>
      <c r="I19" s="460"/>
      <c r="J19" s="461"/>
      <c r="K19" s="448">
        <f>SUMIF('PO MTRL'!$G$9:$G512,G19,'PO MTRL'!$J$9:$J512)</f>
        <v>0</v>
      </c>
      <c r="L19" s="448">
        <f t="shared" si="1"/>
        <v>0</v>
      </c>
      <c r="M19" s="449">
        <f>SUMIF('PO MTRL'!$G$9:$G512,G19,'PO MTRL'!$L$9:$L512)</f>
        <v>0</v>
      </c>
      <c r="N19" s="450">
        <f>IF(G19=0,0,(VLOOKUP(G19,'2. SMDA BHN'!$B$12:$H512,5,0)))</f>
        <v>0</v>
      </c>
      <c r="O19" s="450">
        <f>IF(G19=0,0,(VLOOKUP(G19,'2. SMDA BHN'!$B$12:$H512,7,0)))</f>
        <v>0</v>
      </c>
      <c r="P19" s="449">
        <f t="shared" si="2"/>
        <v>0</v>
      </c>
      <c r="Q19" s="449">
        <f t="shared" si="3"/>
        <v>0</v>
      </c>
      <c r="R19" s="451" t="s">
        <v>45</v>
      </c>
      <c r="S19" s="464"/>
      <c r="T19" s="439"/>
      <c r="U19" s="16"/>
      <c r="V19" s="439"/>
      <c r="W19" s="439"/>
      <c r="X19" s="439"/>
      <c r="Y19" s="439"/>
      <c r="Z19" s="439"/>
      <c r="AA19" s="439"/>
      <c r="AB19" s="439"/>
      <c r="AC19" s="439"/>
      <c r="AD19" s="439"/>
      <c r="AE19" s="439"/>
      <c r="AF19" s="439"/>
    </row>
    <row r="20" ht="16.5" customHeight="1">
      <c r="A20" s="439"/>
      <c r="B20" s="454">
        <f t="shared" si="4"/>
        <v>1011</v>
      </c>
      <c r="C20" s="463"/>
      <c r="D20" s="442" t="str">
        <f>IF(G20="","",(VLOOKUP(G20,'2. SMDA BHN'!$B$12:$J512,2,0)))</f>
        <v/>
      </c>
      <c r="E20" s="443">
        <f>IF(G20=0,0,(VLOOKUP(G20,'2. SMDA BHN'!$B$12:$J512,3,0)))</f>
        <v>0</v>
      </c>
      <c r="F20" s="444"/>
      <c r="G20" s="445"/>
      <c r="H20" s="446">
        <f>IF(G20=0,0,(VLOOKUP(G20,'2. SMDA BHN'!$B$12:$H512,4,0)))</f>
        <v>0</v>
      </c>
      <c r="I20" s="460"/>
      <c r="J20" s="461"/>
      <c r="K20" s="448">
        <f>SUMIF('PO MTRL'!$G$9:$G512,G20,'PO MTRL'!$J$9:$J512)</f>
        <v>0</v>
      </c>
      <c r="L20" s="448">
        <f t="shared" si="1"/>
        <v>0</v>
      </c>
      <c r="M20" s="449">
        <f>SUMIF('PO MTRL'!$G$9:$G512,G20,'PO MTRL'!$L$9:$L512)</f>
        <v>0</v>
      </c>
      <c r="N20" s="450">
        <f>IF(G20=0,0,(VLOOKUP(G20,'2. SMDA BHN'!$B$12:$H512,5,0)))</f>
        <v>0</v>
      </c>
      <c r="O20" s="450">
        <f>IF(G20=0,0,(VLOOKUP(G20,'2. SMDA BHN'!$B$12:$H512,7,0)))</f>
        <v>0</v>
      </c>
      <c r="P20" s="449">
        <f t="shared" si="2"/>
        <v>0</v>
      </c>
      <c r="Q20" s="449">
        <f t="shared" si="3"/>
        <v>0</v>
      </c>
      <c r="R20" s="451" t="s">
        <v>45</v>
      </c>
      <c r="S20" s="464"/>
      <c r="T20" s="439"/>
      <c r="U20" s="16"/>
      <c r="V20" s="439"/>
      <c r="W20" s="439"/>
      <c r="X20" s="439"/>
      <c r="Y20" s="439"/>
      <c r="Z20" s="439"/>
      <c r="AA20" s="439"/>
      <c r="AB20" s="439"/>
      <c r="AC20" s="439"/>
      <c r="AD20" s="439"/>
      <c r="AE20" s="439"/>
      <c r="AF20" s="439"/>
    </row>
    <row r="21" ht="16.5" customHeight="1">
      <c r="A21" s="439"/>
      <c r="B21" s="454">
        <f t="shared" si="4"/>
        <v>1012</v>
      </c>
      <c r="C21" s="463"/>
      <c r="D21" s="442" t="str">
        <f>IF(G21="","",(VLOOKUP(G21,'2. SMDA BHN'!$B$12:$J512,2,0)))</f>
        <v/>
      </c>
      <c r="E21" s="443">
        <f>IF(G21=0,0,(VLOOKUP(G21,'2. SMDA BHN'!$B$12:$J512,3,0)))</f>
        <v>0</v>
      </c>
      <c r="F21" s="444"/>
      <c r="G21" s="445"/>
      <c r="H21" s="446">
        <f>IF(G21=0,0,(VLOOKUP(G21,'2. SMDA BHN'!$B$12:$H512,4,0)))</f>
        <v>0</v>
      </c>
      <c r="I21" s="460"/>
      <c r="J21" s="461"/>
      <c r="K21" s="448">
        <f>SUMIF('PO MTRL'!$G$9:$G512,G21,'PO MTRL'!$J$9:$J512)</f>
        <v>0</v>
      </c>
      <c r="L21" s="448">
        <f t="shared" si="1"/>
        <v>0</v>
      </c>
      <c r="M21" s="449">
        <f>SUMIF('PO MTRL'!$G$9:$G512,G21,'PO MTRL'!$L$9:$L512)</f>
        <v>0</v>
      </c>
      <c r="N21" s="450">
        <f>IF(G21=0,0,(VLOOKUP(G21,'2. SMDA BHN'!$B$12:$H512,5,0)))</f>
        <v>0</v>
      </c>
      <c r="O21" s="450">
        <f>IF(G21=0,0,(VLOOKUP(G21,'2. SMDA BHN'!$B$12:$H512,7,0)))</f>
        <v>0</v>
      </c>
      <c r="P21" s="449">
        <f t="shared" si="2"/>
        <v>0</v>
      </c>
      <c r="Q21" s="449">
        <f t="shared" si="3"/>
        <v>0</v>
      </c>
      <c r="R21" s="451" t="s">
        <v>45</v>
      </c>
      <c r="S21" s="464"/>
      <c r="T21" s="439"/>
      <c r="U21" s="16"/>
      <c r="V21" s="439"/>
      <c r="W21" s="439"/>
      <c r="X21" s="439"/>
      <c r="Y21" s="439"/>
      <c r="Z21" s="439"/>
      <c r="AA21" s="439"/>
      <c r="AB21" s="439"/>
      <c r="AC21" s="439"/>
      <c r="AD21" s="439"/>
      <c r="AE21" s="439"/>
      <c r="AF21" s="439"/>
    </row>
    <row r="22" ht="16.5" customHeight="1">
      <c r="A22" s="439"/>
      <c r="B22" s="454">
        <f t="shared" si="4"/>
        <v>1013</v>
      </c>
      <c r="C22" s="463"/>
      <c r="D22" s="442" t="str">
        <f>IF(G22="","",(VLOOKUP(G22,'2. SMDA BHN'!$B$12:$J512,2,0)))</f>
        <v/>
      </c>
      <c r="E22" s="443">
        <f>IF(G22=0,0,(VLOOKUP(G22,'2. SMDA BHN'!$B$12:$J512,3,0)))</f>
        <v>0</v>
      </c>
      <c r="F22" s="444"/>
      <c r="G22" s="445"/>
      <c r="H22" s="446">
        <f>IF(G22=0,0,(VLOOKUP(G22,'2. SMDA BHN'!$B$12:$H512,4,0)))</f>
        <v>0</v>
      </c>
      <c r="I22" s="460"/>
      <c r="J22" s="461"/>
      <c r="K22" s="448">
        <f>SUMIF('PO MTRL'!$G$9:$G512,G22,'PO MTRL'!$J$9:$J512)</f>
        <v>0</v>
      </c>
      <c r="L22" s="448">
        <f t="shared" si="1"/>
        <v>0</v>
      </c>
      <c r="M22" s="449">
        <f>SUMIF('PO MTRL'!$G$9:$G512,G22,'PO MTRL'!$L$9:$L512)</f>
        <v>0</v>
      </c>
      <c r="N22" s="450">
        <f>IF(G22=0,0,(VLOOKUP(G22,'2. SMDA BHN'!$B$12:$H512,5,0)))</f>
        <v>0</v>
      </c>
      <c r="O22" s="450">
        <f>IF(G22=0,0,(VLOOKUP(G22,'2. SMDA BHN'!$B$12:$H512,7,0)))</f>
        <v>0</v>
      </c>
      <c r="P22" s="449">
        <f t="shared" si="2"/>
        <v>0</v>
      </c>
      <c r="Q22" s="449">
        <f t="shared" si="3"/>
        <v>0</v>
      </c>
      <c r="R22" s="451" t="s">
        <v>45</v>
      </c>
      <c r="S22" s="464"/>
      <c r="T22" s="439"/>
      <c r="U22" s="16"/>
      <c r="V22" s="439"/>
      <c r="W22" s="439"/>
      <c r="X22" s="439"/>
      <c r="Y22" s="439"/>
      <c r="Z22" s="439"/>
      <c r="AA22" s="439"/>
      <c r="AB22" s="439"/>
      <c r="AC22" s="439"/>
      <c r="AD22" s="439"/>
      <c r="AE22" s="439"/>
      <c r="AF22" s="439"/>
    </row>
    <row r="23" ht="16.5" customHeight="1">
      <c r="A23" s="439"/>
      <c r="B23" s="454">
        <f t="shared" si="4"/>
        <v>1014</v>
      </c>
      <c r="C23" s="463"/>
      <c r="D23" s="442" t="str">
        <f>IF(G23="","",(VLOOKUP(G23,'2. SMDA BHN'!$B$12:$J512,2,0)))</f>
        <v/>
      </c>
      <c r="E23" s="443">
        <f>IF(G23=0,0,(VLOOKUP(G23,'2. SMDA BHN'!$B$12:$J512,3,0)))</f>
        <v>0</v>
      </c>
      <c r="F23" s="444"/>
      <c r="G23" s="445"/>
      <c r="H23" s="446">
        <f>IF(G23=0,0,(VLOOKUP(G23,'2. SMDA BHN'!$B$12:$H512,4,0)))</f>
        <v>0</v>
      </c>
      <c r="I23" s="465"/>
      <c r="J23" s="466"/>
      <c r="K23" s="448">
        <f>SUMIF('PO MTRL'!$G$9:$G512,G23,'PO MTRL'!$J$9:$J512)</f>
        <v>0</v>
      </c>
      <c r="L23" s="448">
        <f t="shared" si="1"/>
        <v>0</v>
      </c>
      <c r="M23" s="449">
        <f>SUMIF('PO MTRL'!$G$9:$G512,G23,'PO MTRL'!$L$9:$L512)</f>
        <v>0</v>
      </c>
      <c r="N23" s="450">
        <f>IF(G23=0,0,(VLOOKUP(G23,'2. SMDA BHN'!$B$12:$H512,5,0)))</f>
        <v>0</v>
      </c>
      <c r="O23" s="450">
        <f>IF(G23=0,0,(VLOOKUP(G23,'2. SMDA BHN'!$B$12:$H512,7,0)))</f>
        <v>0</v>
      </c>
      <c r="P23" s="449">
        <f t="shared" si="2"/>
        <v>0</v>
      </c>
      <c r="Q23" s="449">
        <f t="shared" si="3"/>
        <v>0</v>
      </c>
      <c r="R23" s="451" t="s">
        <v>45</v>
      </c>
      <c r="S23" s="464"/>
      <c r="T23" s="439"/>
      <c r="U23" s="16"/>
      <c r="V23" s="439"/>
      <c r="W23" s="439"/>
      <c r="X23" s="439"/>
      <c r="Y23" s="439"/>
      <c r="Z23" s="439"/>
      <c r="AA23" s="439"/>
      <c r="AB23" s="439"/>
      <c r="AC23" s="439"/>
      <c r="AD23" s="439"/>
      <c r="AE23" s="439"/>
      <c r="AF23" s="439"/>
    </row>
    <row r="24" ht="16.5" customHeight="1">
      <c r="A24" s="439"/>
      <c r="B24" s="454">
        <f t="shared" si="4"/>
        <v>1015</v>
      </c>
      <c r="C24" s="463"/>
      <c r="D24" s="442" t="str">
        <f>IF(G24="","",(VLOOKUP(G24,'2. SMDA BHN'!$B$12:$J512,2,0)))</f>
        <v/>
      </c>
      <c r="E24" s="443">
        <f>IF(G24=0,0,(VLOOKUP(G24,'2. SMDA BHN'!$B$12:$J512,3,0)))</f>
        <v>0</v>
      </c>
      <c r="F24" s="444"/>
      <c r="G24" s="467"/>
      <c r="H24" s="446">
        <f>IF(G24=0,0,(VLOOKUP(G24,'2. SMDA BHN'!$B$12:$H512,4,0)))</f>
        <v>0</v>
      </c>
      <c r="I24" s="465"/>
      <c r="J24" s="466"/>
      <c r="K24" s="448">
        <f>SUMIF('PO MTRL'!$G$9:$G512,G24,'PO MTRL'!$J$9:$J512)</f>
        <v>0</v>
      </c>
      <c r="L24" s="448">
        <f t="shared" si="1"/>
        <v>0</v>
      </c>
      <c r="M24" s="449">
        <f>SUMIF('PO MTRL'!$G$9:$G512,G24,'PO MTRL'!$L$9:$L512)</f>
        <v>0</v>
      </c>
      <c r="N24" s="450">
        <f>IF(G24=0,0,(VLOOKUP(G24,'2. SMDA BHN'!$B$12:$H512,5,0)))</f>
        <v>0</v>
      </c>
      <c r="O24" s="450">
        <f>IF(G24=0,0,(VLOOKUP(G24,'2. SMDA BHN'!$B$12:$H512,7,0)))</f>
        <v>0</v>
      </c>
      <c r="P24" s="449">
        <f t="shared" si="2"/>
        <v>0</v>
      </c>
      <c r="Q24" s="449">
        <f t="shared" si="3"/>
        <v>0</v>
      </c>
      <c r="R24" s="451" t="s">
        <v>45</v>
      </c>
      <c r="S24" s="464"/>
      <c r="T24" s="439"/>
      <c r="U24" s="16"/>
      <c r="V24" s="439"/>
      <c r="W24" s="439"/>
      <c r="X24" s="439"/>
      <c r="Y24" s="439"/>
      <c r="Z24" s="439"/>
      <c r="AA24" s="439"/>
      <c r="AB24" s="439"/>
      <c r="AC24" s="439"/>
      <c r="AD24" s="439"/>
      <c r="AE24" s="439"/>
      <c r="AF24" s="439"/>
    </row>
    <row r="25" ht="16.5" customHeight="1">
      <c r="A25" s="439"/>
      <c r="B25" s="454">
        <f t="shared" si="4"/>
        <v>1016</v>
      </c>
      <c r="C25" s="468"/>
      <c r="D25" s="442" t="str">
        <f>IF(G25="","",(VLOOKUP(G25,'2. SMDA BHN'!$B$12:$J512,2,0)))</f>
        <v/>
      </c>
      <c r="E25" s="443">
        <f>IF(G25=0,0,(VLOOKUP(G25,'2. SMDA BHN'!$B$12:$J512,3,0)))</f>
        <v>0</v>
      </c>
      <c r="F25" s="444"/>
      <c r="G25" s="467"/>
      <c r="H25" s="446">
        <f>IF(G25=0,0,(VLOOKUP(G25,'2. SMDA BHN'!$B$12:$H512,4,0)))</f>
        <v>0</v>
      </c>
      <c r="I25" s="466"/>
      <c r="J25" s="469"/>
      <c r="K25" s="448">
        <f>SUMIF('PO MTRL'!$G$9:$G512,G25,'PO MTRL'!$J$9:$J512)</f>
        <v>0</v>
      </c>
      <c r="L25" s="448">
        <f t="shared" si="1"/>
        <v>0</v>
      </c>
      <c r="M25" s="449">
        <f>SUMIF('PO MTRL'!$G$9:$G512,G25,'PO MTRL'!$L$9:$L512)</f>
        <v>0</v>
      </c>
      <c r="N25" s="450">
        <f>IF(G25=0,0,(VLOOKUP(G25,'2. SMDA BHN'!$B$12:$H512,5,0)))</f>
        <v>0</v>
      </c>
      <c r="O25" s="450">
        <f>IF(G25=0,0,(VLOOKUP(G25,'2. SMDA BHN'!$B$12:$H512,7,0)))</f>
        <v>0</v>
      </c>
      <c r="P25" s="449">
        <f t="shared" si="2"/>
        <v>0</v>
      </c>
      <c r="Q25" s="449">
        <f t="shared" si="3"/>
        <v>0</v>
      </c>
      <c r="R25" s="451" t="s">
        <v>45</v>
      </c>
      <c r="S25" s="464"/>
      <c r="T25" s="439"/>
      <c r="U25" s="16"/>
      <c r="V25" s="439"/>
      <c r="W25" s="439"/>
      <c r="X25" s="439"/>
      <c r="Y25" s="439"/>
      <c r="Z25" s="439"/>
      <c r="AA25" s="439"/>
      <c r="AB25" s="439"/>
      <c r="AC25" s="439"/>
      <c r="AD25" s="439"/>
      <c r="AE25" s="439"/>
      <c r="AF25" s="439"/>
    </row>
    <row r="26" ht="16.5" customHeight="1">
      <c r="A26" s="439"/>
      <c r="B26" s="454">
        <f t="shared" si="4"/>
        <v>1017</v>
      </c>
      <c r="C26" s="468"/>
      <c r="D26" s="442" t="str">
        <f>IF(G26="","",(VLOOKUP(G26,'2. SMDA BHN'!$B$12:$J512,2,0)))</f>
        <v/>
      </c>
      <c r="E26" s="443">
        <f>IF(G26=0,0,(VLOOKUP(G26,'2. SMDA BHN'!$B$12:$J512,3,0)))</f>
        <v>0</v>
      </c>
      <c r="F26" s="444"/>
      <c r="G26" s="467"/>
      <c r="H26" s="446">
        <f>IF(G26=0,0,(VLOOKUP(G26,'2. SMDA BHN'!$B$12:$H512,4,0)))</f>
        <v>0</v>
      </c>
      <c r="I26" s="466"/>
      <c r="J26" s="469"/>
      <c r="K26" s="448">
        <f>SUMIF('PO MTRL'!$G$9:$G512,G26,'PO MTRL'!$J$9:$J512)</f>
        <v>0</v>
      </c>
      <c r="L26" s="448">
        <f t="shared" si="1"/>
        <v>0</v>
      </c>
      <c r="M26" s="449">
        <f>SUMIF('PO MTRL'!$G$9:$G512,G26,'PO MTRL'!$L$9:$L512)</f>
        <v>0</v>
      </c>
      <c r="N26" s="450">
        <f>IF(G26=0,0,(VLOOKUP(G26,'2. SMDA BHN'!$B$12:$H512,5,0)))</f>
        <v>0</v>
      </c>
      <c r="O26" s="450">
        <f>IF(G26=0,0,(VLOOKUP(G26,'2. SMDA BHN'!$B$12:$H512,7,0)))</f>
        <v>0</v>
      </c>
      <c r="P26" s="449">
        <f t="shared" si="2"/>
        <v>0</v>
      </c>
      <c r="Q26" s="449">
        <f t="shared" si="3"/>
        <v>0</v>
      </c>
      <c r="R26" s="451" t="s">
        <v>45</v>
      </c>
      <c r="S26" s="464"/>
      <c r="T26" s="439"/>
      <c r="U26" s="16"/>
      <c r="V26" s="439"/>
      <c r="W26" s="439"/>
      <c r="X26" s="439"/>
      <c r="Y26" s="439"/>
      <c r="Z26" s="439"/>
      <c r="AA26" s="439"/>
      <c r="AB26" s="439"/>
      <c r="AC26" s="439"/>
      <c r="AD26" s="439"/>
      <c r="AE26" s="439"/>
      <c r="AF26" s="439"/>
    </row>
    <row r="27" ht="16.5" customHeight="1">
      <c r="A27" s="439"/>
      <c r="B27" s="454">
        <f t="shared" si="4"/>
        <v>1018</v>
      </c>
      <c r="C27" s="468"/>
      <c r="D27" s="442" t="str">
        <f>IF(G27="","",(VLOOKUP(G27,'2. SMDA BHN'!$B$12:$J512,2,0)))</f>
        <v/>
      </c>
      <c r="E27" s="443">
        <f>IF(G27=0,0,(VLOOKUP(G27,'2. SMDA BHN'!$B$12:$J512,3,0)))</f>
        <v>0</v>
      </c>
      <c r="F27" s="444"/>
      <c r="G27" s="467"/>
      <c r="H27" s="446">
        <f>IF(G27=0,0,(VLOOKUP(G27,'2. SMDA BHN'!$B$12:$H512,4,0)))</f>
        <v>0</v>
      </c>
      <c r="I27" s="466"/>
      <c r="J27" s="469"/>
      <c r="K27" s="448">
        <f>SUMIF('PO MTRL'!$G$9:$G512,G27,'PO MTRL'!$J$9:$J512)</f>
        <v>0</v>
      </c>
      <c r="L27" s="448">
        <f t="shared" si="1"/>
        <v>0</v>
      </c>
      <c r="M27" s="449">
        <f>SUMIF('PO MTRL'!$G$9:$G512,G27,'PO MTRL'!$L$9:$L512)</f>
        <v>0</v>
      </c>
      <c r="N27" s="450">
        <f>IF(G27=0,0,(VLOOKUP(G27,'2. SMDA BHN'!$B$12:$H512,5,0)))</f>
        <v>0</v>
      </c>
      <c r="O27" s="450">
        <f>IF(G27=0,0,(VLOOKUP(G27,'2. SMDA BHN'!$B$12:$H512,7,0)))</f>
        <v>0</v>
      </c>
      <c r="P27" s="449">
        <f t="shared" si="2"/>
        <v>0</v>
      </c>
      <c r="Q27" s="449">
        <f t="shared" si="3"/>
        <v>0</v>
      </c>
      <c r="R27" s="451" t="s">
        <v>45</v>
      </c>
      <c r="S27" s="464"/>
      <c r="T27" s="439"/>
      <c r="U27" s="16"/>
      <c r="V27" s="439"/>
      <c r="W27" s="439"/>
      <c r="X27" s="439"/>
      <c r="Y27" s="439"/>
      <c r="Z27" s="439"/>
      <c r="AA27" s="439"/>
      <c r="AB27" s="439"/>
      <c r="AC27" s="439"/>
      <c r="AD27" s="439"/>
      <c r="AE27" s="439"/>
      <c r="AF27" s="439"/>
    </row>
    <row r="28" ht="16.5" customHeight="1">
      <c r="A28" s="439"/>
      <c r="B28" s="454">
        <f t="shared" si="4"/>
        <v>1019</v>
      </c>
      <c r="C28" s="468"/>
      <c r="D28" s="442" t="str">
        <f>IF(G28="","",(VLOOKUP(G28,'2. SMDA BHN'!$B$12:$J512,2,0)))</f>
        <v/>
      </c>
      <c r="E28" s="443">
        <f>IF(G28=0,0,(VLOOKUP(G28,'2. SMDA BHN'!$B$12:$J512,3,0)))</f>
        <v>0</v>
      </c>
      <c r="F28" s="444"/>
      <c r="G28" s="467"/>
      <c r="H28" s="446">
        <f>IF(G28=0,0,(VLOOKUP(G28,'2. SMDA BHN'!$B$12:$H512,4,0)))</f>
        <v>0</v>
      </c>
      <c r="I28" s="466"/>
      <c r="J28" s="469"/>
      <c r="K28" s="448">
        <f>SUMIF('PO MTRL'!$G$9:$G512,G28,'PO MTRL'!$J$9:$J512)</f>
        <v>0</v>
      </c>
      <c r="L28" s="448">
        <f t="shared" si="1"/>
        <v>0</v>
      </c>
      <c r="M28" s="449">
        <f>SUMIF('PO MTRL'!$G$9:$G512,G28,'PO MTRL'!$L$9:$L512)</f>
        <v>0</v>
      </c>
      <c r="N28" s="450">
        <f>IF(G28=0,0,(VLOOKUP(G28,'2. SMDA BHN'!$B$12:$H512,5,0)))</f>
        <v>0</v>
      </c>
      <c r="O28" s="450">
        <f>IF(G28=0,0,(VLOOKUP(G28,'2. SMDA BHN'!$B$12:$H512,7,0)))</f>
        <v>0</v>
      </c>
      <c r="P28" s="449">
        <f t="shared" si="2"/>
        <v>0</v>
      </c>
      <c r="Q28" s="449">
        <f t="shared" si="3"/>
        <v>0</v>
      </c>
      <c r="R28" s="451" t="s">
        <v>45</v>
      </c>
      <c r="S28" s="464"/>
      <c r="T28" s="439"/>
      <c r="U28" s="16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</row>
    <row r="29" ht="16.5" customHeight="1">
      <c r="A29" s="439"/>
      <c r="B29" s="454">
        <f t="shared" si="4"/>
        <v>1020</v>
      </c>
      <c r="C29" s="468"/>
      <c r="D29" s="442" t="str">
        <f>IF(G29="","",(VLOOKUP(G29,'2. SMDA BHN'!$B$12:$J512,2,0)))</f>
        <v/>
      </c>
      <c r="E29" s="443">
        <f>IF(G29=0,0,(VLOOKUP(G29,'2. SMDA BHN'!$B$12:$J512,3,0)))</f>
        <v>0</v>
      </c>
      <c r="F29" s="444"/>
      <c r="G29" s="467"/>
      <c r="H29" s="446">
        <f>IF(G29=0,0,(VLOOKUP(G29,'2. SMDA BHN'!$B$12:$H512,4,0)))</f>
        <v>0</v>
      </c>
      <c r="I29" s="466"/>
      <c r="J29" s="469"/>
      <c r="K29" s="448">
        <f>SUMIF('PO MTRL'!$G$9:$G512,G29,'PO MTRL'!$J$9:$J512)</f>
        <v>0</v>
      </c>
      <c r="L29" s="448">
        <f t="shared" si="1"/>
        <v>0</v>
      </c>
      <c r="M29" s="449">
        <f>SUMIF('PO MTRL'!$G$9:$G512,G29,'PO MTRL'!$L$9:$L512)</f>
        <v>0</v>
      </c>
      <c r="N29" s="450">
        <f>IF(G29=0,0,(VLOOKUP(G29,'2. SMDA BHN'!$B$12:$H512,5,0)))</f>
        <v>0</v>
      </c>
      <c r="O29" s="450">
        <f>IF(G29=0,0,(VLOOKUP(G29,'2. SMDA BHN'!$B$12:$H512,7,0)))</f>
        <v>0</v>
      </c>
      <c r="P29" s="449">
        <f t="shared" si="2"/>
        <v>0</v>
      </c>
      <c r="Q29" s="449">
        <f t="shared" si="3"/>
        <v>0</v>
      </c>
      <c r="R29" s="451" t="s">
        <v>45</v>
      </c>
      <c r="S29" s="464"/>
      <c r="T29" s="439"/>
      <c r="U29" s="16"/>
      <c r="V29" s="439"/>
      <c r="W29" s="439"/>
      <c r="X29" s="439"/>
      <c r="Y29" s="439"/>
      <c r="Z29" s="439"/>
      <c r="AA29" s="439"/>
      <c r="AB29" s="439"/>
      <c r="AC29" s="439"/>
      <c r="AD29" s="439"/>
      <c r="AE29" s="439"/>
      <c r="AF29" s="439"/>
    </row>
    <row r="30" ht="16.5" customHeight="1">
      <c r="A30" s="439"/>
      <c r="B30" s="454">
        <f t="shared" si="4"/>
        <v>1021</v>
      </c>
      <c r="C30" s="468"/>
      <c r="D30" s="442" t="str">
        <f>IF(G30="","",(VLOOKUP(G30,'2. SMDA BHN'!$B$12:$J512,2,0)))</f>
        <v/>
      </c>
      <c r="E30" s="443">
        <f>IF(G30=0,0,(VLOOKUP(G30,'2. SMDA BHN'!$B$12:$J512,3,0)))</f>
        <v>0</v>
      </c>
      <c r="F30" s="444"/>
      <c r="G30" s="467"/>
      <c r="H30" s="446">
        <f>IF(G30=0,0,(VLOOKUP(G30,'2. SMDA BHN'!$B$12:$H512,4,0)))</f>
        <v>0</v>
      </c>
      <c r="I30" s="466"/>
      <c r="J30" s="469"/>
      <c r="K30" s="448">
        <f>SUMIF('PO MTRL'!$G$9:$G512,G30,'PO MTRL'!$J$9:$J512)</f>
        <v>0</v>
      </c>
      <c r="L30" s="448">
        <f t="shared" si="1"/>
        <v>0</v>
      </c>
      <c r="M30" s="449">
        <f>SUMIF('PO MTRL'!$G$9:$G512,G30,'PO MTRL'!$L$9:$L512)</f>
        <v>0</v>
      </c>
      <c r="N30" s="450">
        <f>IF(G30=0,0,(VLOOKUP(G30,'2. SMDA BHN'!$B$12:$H512,5,0)))</f>
        <v>0</v>
      </c>
      <c r="O30" s="450">
        <f>IF(G30=0,0,(VLOOKUP(G30,'2. SMDA BHN'!$B$12:$H512,7,0)))</f>
        <v>0</v>
      </c>
      <c r="P30" s="449">
        <f t="shared" si="2"/>
        <v>0</v>
      </c>
      <c r="Q30" s="449">
        <f t="shared" si="3"/>
        <v>0</v>
      </c>
      <c r="R30" s="451" t="s">
        <v>45</v>
      </c>
      <c r="S30" s="464"/>
      <c r="T30" s="439"/>
      <c r="U30" s="16"/>
      <c r="V30" s="439"/>
      <c r="W30" s="439"/>
      <c r="X30" s="439"/>
      <c r="Y30" s="439"/>
      <c r="Z30" s="439"/>
      <c r="AA30" s="439"/>
      <c r="AB30" s="439"/>
      <c r="AC30" s="439"/>
      <c r="AD30" s="439"/>
      <c r="AE30" s="439"/>
      <c r="AF30" s="439"/>
    </row>
    <row r="31" ht="16.5" customHeight="1">
      <c r="A31" s="439"/>
      <c r="B31" s="454">
        <f t="shared" si="4"/>
        <v>1022</v>
      </c>
      <c r="C31" s="470"/>
      <c r="D31" s="442" t="str">
        <f>IF(G31="","",(VLOOKUP(G31,'2. SMDA BHN'!$B$12:$J512,2,0)))</f>
        <v/>
      </c>
      <c r="E31" s="443">
        <f>IF(G31=0,0,(VLOOKUP(G31,'2. SMDA BHN'!$B$12:$J512,3,0)))</f>
        <v>0</v>
      </c>
      <c r="F31" s="444"/>
      <c r="G31" s="467"/>
      <c r="H31" s="446">
        <f>IF(G31=0,0,(VLOOKUP(G31,'2. SMDA BHN'!$B$12:$H512,4,0)))</f>
        <v>0</v>
      </c>
      <c r="I31" s="466"/>
      <c r="J31" s="469"/>
      <c r="K31" s="448">
        <f>SUMIF('PO MTRL'!$G$9:$G512,G31,'PO MTRL'!$J$9:$J512)</f>
        <v>0</v>
      </c>
      <c r="L31" s="448">
        <f t="shared" si="1"/>
        <v>0</v>
      </c>
      <c r="M31" s="449">
        <f>SUMIF('PO MTRL'!$G$9:$G512,G31,'PO MTRL'!$L$9:$L512)</f>
        <v>0</v>
      </c>
      <c r="N31" s="450">
        <f>IF(G31=0,0,(VLOOKUP(G31,'2. SMDA BHN'!$B$12:$H512,5,0)))</f>
        <v>0</v>
      </c>
      <c r="O31" s="450">
        <f>IF(G31=0,0,(VLOOKUP(G31,'2. SMDA BHN'!$B$12:$H512,7,0)))</f>
        <v>0</v>
      </c>
      <c r="P31" s="449">
        <f t="shared" si="2"/>
        <v>0</v>
      </c>
      <c r="Q31" s="449">
        <f t="shared" si="3"/>
        <v>0</v>
      </c>
      <c r="R31" s="451" t="s">
        <v>45</v>
      </c>
      <c r="S31" s="464"/>
      <c r="T31" s="439"/>
      <c r="U31" s="16"/>
      <c r="V31" s="439"/>
      <c r="W31" s="439"/>
      <c r="X31" s="439"/>
      <c r="Y31" s="439"/>
      <c r="Z31" s="439"/>
      <c r="AA31" s="439"/>
      <c r="AB31" s="439"/>
      <c r="AC31" s="439"/>
      <c r="AD31" s="439"/>
      <c r="AE31" s="439"/>
      <c r="AF31" s="439"/>
    </row>
    <row r="32" ht="16.5" customHeight="1">
      <c r="A32" s="439"/>
      <c r="B32" s="454">
        <f t="shared" si="4"/>
        <v>1023</v>
      </c>
      <c r="C32" s="468"/>
      <c r="D32" s="442" t="str">
        <f>IF(G32="","",(VLOOKUP(G32,'2. SMDA BHN'!$B$12:$J512,2,0)))</f>
        <v/>
      </c>
      <c r="E32" s="443">
        <f>IF(G32=0,0,(VLOOKUP(G32,'2. SMDA BHN'!$B$12:$J512,3,0)))</f>
        <v>0</v>
      </c>
      <c r="F32" s="444"/>
      <c r="G32" s="467"/>
      <c r="H32" s="446">
        <f>IF(G32=0,0,(VLOOKUP(G32,'2. SMDA BHN'!$B$12:$H512,4,0)))</f>
        <v>0</v>
      </c>
      <c r="I32" s="466"/>
      <c r="J32" s="469"/>
      <c r="K32" s="448">
        <f>SUMIF('PO MTRL'!$G$9:$G512,G32,'PO MTRL'!$J$9:$J512)</f>
        <v>0</v>
      </c>
      <c r="L32" s="448">
        <f t="shared" si="1"/>
        <v>0</v>
      </c>
      <c r="M32" s="449">
        <f>SUMIF('PO MTRL'!$G$9:$G512,G32,'PO MTRL'!$L$9:$L512)</f>
        <v>0</v>
      </c>
      <c r="N32" s="450">
        <f>IF(G32=0,0,(VLOOKUP(G32,'2. SMDA BHN'!$B$12:$H512,5,0)))</f>
        <v>0</v>
      </c>
      <c r="O32" s="450">
        <f>IF(G32=0,0,(VLOOKUP(G32,'2. SMDA BHN'!$B$12:$H512,7,0)))</f>
        <v>0</v>
      </c>
      <c r="P32" s="449">
        <f t="shared" si="2"/>
        <v>0</v>
      </c>
      <c r="Q32" s="449">
        <f t="shared" si="3"/>
        <v>0</v>
      </c>
      <c r="R32" s="451" t="s">
        <v>45</v>
      </c>
      <c r="S32" s="464"/>
      <c r="T32" s="439"/>
      <c r="U32" s="16"/>
      <c r="V32" s="439"/>
      <c r="W32" s="439"/>
      <c r="X32" s="439"/>
      <c r="Y32" s="439"/>
      <c r="Z32" s="439"/>
      <c r="AA32" s="439"/>
      <c r="AB32" s="439"/>
      <c r="AC32" s="439"/>
      <c r="AD32" s="439"/>
      <c r="AE32" s="439"/>
      <c r="AF32" s="439"/>
    </row>
    <row r="33" ht="16.5" customHeight="1">
      <c r="A33" s="439"/>
      <c r="B33" s="454">
        <f t="shared" si="4"/>
        <v>1024</v>
      </c>
      <c r="C33" s="468"/>
      <c r="D33" s="442" t="str">
        <f>IF(G33="","",(VLOOKUP(G33,'2. SMDA BHN'!$B$12:$J512,2,0)))</f>
        <v/>
      </c>
      <c r="E33" s="443">
        <f>IF(G33=0,0,(VLOOKUP(G33,'2. SMDA BHN'!$B$12:$J512,3,0)))</f>
        <v>0</v>
      </c>
      <c r="F33" s="444"/>
      <c r="G33" s="467"/>
      <c r="H33" s="446">
        <f>IF(G33=0,0,(VLOOKUP(G33,'2. SMDA BHN'!$B$12:$H512,4,0)))</f>
        <v>0</v>
      </c>
      <c r="I33" s="466"/>
      <c r="J33" s="469"/>
      <c r="K33" s="448">
        <f>SUMIF('PO MTRL'!$G$9:$G512,G33,'PO MTRL'!$J$9:$J512)</f>
        <v>0</v>
      </c>
      <c r="L33" s="448">
        <f t="shared" si="1"/>
        <v>0</v>
      </c>
      <c r="M33" s="449">
        <f>SUMIF('PO MTRL'!$G$9:$G512,G33,'PO MTRL'!$L$9:$L512)</f>
        <v>0</v>
      </c>
      <c r="N33" s="450">
        <f>IF(G33=0,0,(VLOOKUP(G33,'2. SMDA BHN'!$B$12:$H512,5,0)))</f>
        <v>0</v>
      </c>
      <c r="O33" s="450">
        <f>IF(G33=0,0,(VLOOKUP(G33,'2. SMDA BHN'!$B$12:$H512,7,0)))</f>
        <v>0</v>
      </c>
      <c r="P33" s="449">
        <f t="shared" si="2"/>
        <v>0</v>
      </c>
      <c r="Q33" s="449">
        <f t="shared" si="3"/>
        <v>0</v>
      </c>
      <c r="R33" s="451" t="s">
        <v>45</v>
      </c>
      <c r="S33" s="464"/>
      <c r="T33" s="439"/>
      <c r="U33" s="16"/>
      <c r="V33" s="439"/>
      <c r="W33" s="439"/>
      <c r="X33" s="439"/>
      <c r="Y33" s="439"/>
      <c r="Z33" s="439"/>
      <c r="AA33" s="439"/>
      <c r="AB33" s="439"/>
      <c r="AC33" s="439"/>
      <c r="AD33" s="439"/>
      <c r="AE33" s="439"/>
      <c r="AF33" s="439"/>
    </row>
    <row r="34" ht="16.5" customHeight="1">
      <c r="A34" s="439"/>
      <c r="B34" s="454">
        <f t="shared" si="4"/>
        <v>1025</v>
      </c>
      <c r="C34" s="468"/>
      <c r="D34" s="442" t="str">
        <f>IF(G34="","",(VLOOKUP(G34,'2. SMDA BHN'!$B$12:$J512,2,0)))</f>
        <v/>
      </c>
      <c r="E34" s="443">
        <f>IF(G34=0,0,(VLOOKUP(G34,'2. SMDA BHN'!$B$12:$J512,3,0)))</f>
        <v>0</v>
      </c>
      <c r="F34" s="444"/>
      <c r="G34" s="467"/>
      <c r="H34" s="446">
        <f>IF(G34=0,0,(VLOOKUP(G34,'2. SMDA BHN'!$B$12:$H512,4,0)))</f>
        <v>0</v>
      </c>
      <c r="I34" s="466"/>
      <c r="J34" s="469"/>
      <c r="K34" s="448">
        <f>SUMIF('PO MTRL'!$G$9:$G512,G34,'PO MTRL'!$J$9:$J512)</f>
        <v>0</v>
      </c>
      <c r="L34" s="448">
        <f t="shared" si="1"/>
        <v>0</v>
      </c>
      <c r="M34" s="449">
        <f>SUMIF('PO MTRL'!$G$9:$G512,G34,'PO MTRL'!$L$9:$L512)</f>
        <v>0</v>
      </c>
      <c r="N34" s="450">
        <f>IF(G34=0,0,(VLOOKUP(G34,'2. SMDA BHN'!$B$12:$H512,5,0)))</f>
        <v>0</v>
      </c>
      <c r="O34" s="450">
        <f>IF(G34=0,0,(VLOOKUP(G34,'2. SMDA BHN'!$B$12:$H512,7,0)))</f>
        <v>0</v>
      </c>
      <c r="P34" s="449">
        <f t="shared" si="2"/>
        <v>0</v>
      </c>
      <c r="Q34" s="449">
        <f t="shared" si="3"/>
        <v>0</v>
      </c>
      <c r="R34" s="451" t="s">
        <v>45</v>
      </c>
      <c r="S34" s="464"/>
      <c r="T34" s="439"/>
      <c r="U34" s="16"/>
      <c r="V34" s="439"/>
      <c r="W34" s="439"/>
      <c r="X34" s="439"/>
      <c r="Y34" s="439"/>
      <c r="Z34" s="439"/>
      <c r="AA34" s="439"/>
      <c r="AB34" s="439"/>
      <c r="AC34" s="439"/>
      <c r="AD34" s="439"/>
      <c r="AE34" s="439"/>
      <c r="AF34" s="439"/>
    </row>
    <row r="35" ht="16.5" customHeight="1">
      <c r="A35" s="439"/>
      <c r="B35" s="454">
        <f t="shared" si="4"/>
        <v>1026</v>
      </c>
      <c r="C35" s="468"/>
      <c r="D35" s="442" t="str">
        <f>IF(G35="","",(VLOOKUP(G35,'2. SMDA BHN'!$B$12:$J512,2,0)))</f>
        <v/>
      </c>
      <c r="E35" s="443">
        <f>IF(G35=0,0,(VLOOKUP(G35,'2. SMDA BHN'!$B$12:$J512,3,0)))</f>
        <v>0</v>
      </c>
      <c r="F35" s="444"/>
      <c r="G35" s="467"/>
      <c r="H35" s="446">
        <f>IF(G35=0,0,(VLOOKUP(G35,'2. SMDA BHN'!$B$12:$H512,4,0)))</f>
        <v>0</v>
      </c>
      <c r="I35" s="466"/>
      <c r="J35" s="469"/>
      <c r="K35" s="448">
        <f>SUMIF('PO MTRL'!$G$9:$G512,G35,'PO MTRL'!$J$9:$J512)</f>
        <v>0</v>
      </c>
      <c r="L35" s="448">
        <f t="shared" si="1"/>
        <v>0</v>
      </c>
      <c r="M35" s="449">
        <f>SUMIF('PO MTRL'!$G$9:$G512,G35,'PO MTRL'!$L$9:$L512)</f>
        <v>0</v>
      </c>
      <c r="N35" s="450">
        <f>IF(G35=0,0,(VLOOKUP(G35,'2. SMDA BHN'!$B$12:$H512,5,0)))</f>
        <v>0</v>
      </c>
      <c r="O35" s="450">
        <f>IF(G35=0,0,(VLOOKUP(G35,'2. SMDA BHN'!$B$12:$H512,7,0)))</f>
        <v>0</v>
      </c>
      <c r="P35" s="449">
        <f t="shared" si="2"/>
        <v>0</v>
      </c>
      <c r="Q35" s="449">
        <f t="shared" si="3"/>
        <v>0</v>
      </c>
      <c r="R35" s="451" t="s">
        <v>45</v>
      </c>
      <c r="S35" s="464"/>
      <c r="T35" s="439"/>
      <c r="U35" s="16"/>
      <c r="V35" s="439"/>
      <c r="W35" s="439"/>
      <c r="X35" s="439"/>
      <c r="Y35" s="439"/>
      <c r="Z35" s="439"/>
      <c r="AA35" s="439"/>
      <c r="AB35" s="439"/>
      <c r="AC35" s="439"/>
      <c r="AD35" s="439"/>
      <c r="AE35" s="439"/>
      <c r="AF35" s="439"/>
    </row>
    <row r="36" ht="16.5" customHeight="1">
      <c r="A36" s="439"/>
      <c r="B36" s="454">
        <f t="shared" si="4"/>
        <v>1027</v>
      </c>
      <c r="C36" s="468"/>
      <c r="D36" s="442" t="str">
        <f>IF(G36="","",(VLOOKUP(G36,'2. SMDA BHN'!$B$12:$J512,2,0)))</f>
        <v/>
      </c>
      <c r="E36" s="443">
        <f>IF(G36=0,0,(VLOOKUP(G36,'2. SMDA BHN'!$B$12:$J512,3,0)))</f>
        <v>0</v>
      </c>
      <c r="F36" s="444"/>
      <c r="G36" s="467"/>
      <c r="H36" s="446">
        <f>IF(G36=0,0,(VLOOKUP(G36,'2. SMDA BHN'!$B$12:$H512,4,0)))</f>
        <v>0</v>
      </c>
      <c r="I36" s="466"/>
      <c r="J36" s="469"/>
      <c r="K36" s="448">
        <f>SUMIF('PO MTRL'!$G$9:$G512,G36,'PO MTRL'!$J$9:$J512)</f>
        <v>0</v>
      </c>
      <c r="L36" s="448">
        <f t="shared" si="1"/>
        <v>0</v>
      </c>
      <c r="M36" s="449">
        <f>SUMIF('PO MTRL'!$G$9:$G512,G36,'PO MTRL'!$L$9:$L512)</f>
        <v>0</v>
      </c>
      <c r="N36" s="450">
        <f>IF(G36=0,0,(VLOOKUP(G36,'2. SMDA BHN'!$B$12:$H512,5,0)))</f>
        <v>0</v>
      </c>
      <c r="O36" s="450">
        <f>IF(G36=0,0,(VLOOKUP(G36,'2. SMDA BHN'!$B$12:$H512,7,0)))</f>
        <v>0</v>
      </c>
      <c r="P36" s="449">
        <f t="shared" si="2"/>
        <v>0</v>
      </c>
      <c r="Q36" s="449">
        <f t="shared" si="3"/>
        <v>0</v>
      </c>
      <c r="R36" s="451" t="s">
        <v>45</v>
      </c>
      <c r="S36" s="464"/>
      <c r="T36" s="439"/>
      <c r="U36" s="471"/>
      <c r="V36" s="439"/>
      <c r="W36" s="439"/>
      <c r="X36" s="439"/>
      <c r="Y36" s="439"/>
      <c r="Z36" s="439"/>
      <c r="AA36" s="439"/>
      <c r="AB36" s="439"/>
      <c r="AC36" s="439"/>
      <c r="AD36" s="439"/>
      <c r="AE36" s="439"/>
      <c r="AF36" s="439"/>
    </row>
    <row r="37" ht="16.5" customHeight="1">
      <c r="A37" s="439"/>
      <c r="B37" s="454">
        <f t="shared" si="4"/>
        <v>1028</v>
      </c>
      <c r="C37" s="468"/>
      <c r="D37" s="442" t="str">
        <f>IF(G37="","",(VLOOKUP(G37,'2. SMDA BHN'!$B$12:$J512,2,0)))</f>
        <v/>
      </c>
      <c r="E37" s="443">
        <f>IF(G37=0,0,(VLOOKUP(G37,'2. SMDA BHN'!$B$12:$J512,3,0)))</f>
        <v>0</v>
      </c>
      <c r="F37" s="444"/>
      <c r="G37" s="467"/>
      <c r="H37" s="446">
        <f>IF(G37=0,0,(VLOOKUP(G37,'2. SMDA BHN'!$B$12:$H512,4,0)))</f>
        <v>0</v>
      </c>
      <c r="I37" s="469"/>
      <c r="J37" s="469"/>
      <c r="K37" s="448">
        <f>SUMIF('PO MTRL'!$G$9:$G512,G37,'PO MTRL'!$J$9:$J512)</f>
        <v>0</v>
      </c>
      <c r="L37" s="448">
        <f t="shared" si="1"/>
        <v>0</v>
      </c>
      <c r="M37" s="449">
        <f>SUMIF('PO MTRL'!$G$9:$G512,G37,'PO MTRL'!$L$9:$L512)</f>
        <v>0</v>
      </c>
      <c r="N37" s="450">
        <f>IF(G37=0,0,(VLOOKUP(G37,'2. SMDA BHN'!$B$12:$H512,5,0)))</f>
        <v>0</v>
      </c>
      <c r="O37" s="450">
        <f>IF(G37=0,0,(VLOOKUP(G37,'2. SMDA BHN'!$B$12:$H512,7,0)))</f>
        <v>0</v>
      </c>
      <c r="P37" s="449">
        <f t="shared" si="2"/>
        <v>0</v>
      </c>
      <c r="Q37" s="449">
        <f t="shared" si="3"/>
        <v>0</v>
      </c>
      <c r="R37" s="451" t="s">
        <v>45</v>
      </c>
      <c r="S37" s="464"/>
      <c r="T37" s="439"/>
      <c r="U37" s="16"/>
      <c r="V37" s="439"/>
      <c r="W37" s="439"/>
      <c r="X37" s="439"/>
      <c r="Y37" s="439"/>
      <c r="Z37" s="439"/>
      <c r="AA37" s="439"/>
      <c r="AB37" s="439"/>
      <c r="AC37" s="439"/>
      <c r="AD37" s="439"/>
      <c r="AE37" s="439"/>
      <c r="AF37" s="439"/>
    </row>
    <row r="38" ht="16.5" customHeight="1">
      <c r="A38" s="439"/>
      <c r="B38" s="454">
        <f t="shared" si="4"/>
        <v>1029</v>
      </c>
      <c r="C38" s="468"/>
      <c r="D38" s="442" t="str">
        <f>IF(G38="","",(VLOOKUP(G38,'2. SMDA BHN'!$B$12:$J512,2,0)))</f>
        <v/>
      </c>
      <c r="E38" s="443">
        <f>IF(G38=0,0,(VLOOKUP(G38,'2. SMDA BHN'!$B$12:$J512,3,0)))</f>
        <v>0</v>
      </c>
      <c r="F38" s="444"/>
      <c r="G38" s="467"/>
      <c r="H38" s="446">
        <f>IF(G38=0,0,(VLOOKUP(G38,'2. SMDA BHN'!$B$12:$H512,4,0)))</f>
        <v>0</v>
      </c>
      <c r="I38" s="466"/>
      <c r="J38" s="469"/>
      <c r="K38" s="448">
        <f>SUMIF('PO MTRL'!$G$9:$G512,G38,'PO MTRL'!$J$9:$J512)</f>
        <v>0</v>
      </c>
      <c r="L38" s="448">
        <f t="shared" si="1"/>
        <v>0</v>
      </c>
      <c r="M38" s="449">
        <f>SUMIF('PO MTRL'!$G$9:$G512,G38,'PO MTRL'!$L$9:$L512)</f>
        <v>0</v>
      </c>
      <c r="N38" s="450">
        <f>IF(G38=0,0,(VLOOKUP(G38,'2. SMDA BHN'!$B$12:$H512,5,0)))</f>
        <v>0</v>
      </c>
      <c r="O38" s="450">
        <f>IF(G38=0,0,(VLOOKUP(G38,'2. SMDA BHN'!$B$12:$H512,7,0)))</f>
        <v>0</v>
      </c>
      <c r="P38" s="449">
        <f t="shared" si="2"/>
        <v>0</v>
      </c>
      <c r="Q38" s="449">
        <f t="shared" si="3"/>
        <v>0</v>
      </c>
      <c r="R38" s="451" t="s">
        <v>45</v>
      </c>
      <c r="S38" s="464"/>
      <c r="T38" s="439"/>
      <c r="U38" s="16"/>
      <c r="V38" s="439"/>
      <c r="W38" s="439"/>
      <c r="X38" s="439"/>
      <c r="Y38" s="439"/>
      <c r="Z38" s="439"/>
      <c r="AA38" s="439"/>
      <c r="AB38" s="439"/>
      <c r="AC38" s="439"/>
      <c r="AD38" s="439"/>
      <c r="AE38" s="439"/>
      <c r="AF38" s="439"/>
    </row>
    <row r="39" ht="16.5" customHeight="1">
      <c r="A39" s="439"/>
      <c r="B39" s="454">
        <f t="shared" si="4"/>
        <v>1030</v>
      </c>
      <c r="C39" s="468"/>
      <c r="D39" s="442" t="str">
        <f>IF(G39="","",(VLOOKUP(G39,'2. SMDA BHN'!$B$12:$J512,2,0)))</f>
        <v/>
      </c>
      <c r="E39" s="443">
        <f>IF(G39=0,0,(VLOOKUP(G39,'2. SMDA BHN'!$B$12:$J512,3,0)))</f>
        <v>0</v>
      </c>
      <c r="F39" s="444"/>
      <c r="G39" s="467"/>
      <c r="H39" s="446">
        <f>IF(G39=0,0,(VLOOKUP(G39,'2. SMDA BHN'!$B$12:$H512,4,0)))</f>
        <v>0</v>
      </c>
      <c r="I39" s="466"/>
      <c r="J39" s="469"/>
      <c r="K39" s="448">
        <f>SUMIF('PO MTRL'!$G$9:$G512,G39,'PO MTRL'!$J$9:$J512)</f>
        <v>0</v>
      </c>
      <c r="L39" s="448">
        <f t="shared" si="1"/>
        <v>0</v>
      </c>
      <c r="M39" s="449">
        <f>SUMIF('PO MTRL'!$G$9:$G512,G39,'PO MTRL'!$L$9:$L512)</f>
        <v>0</v>
      </c>
      <c r="N39" s="450">
        <f>IF(G39=0,0,(VLOOKUP(G39,'2. SMDA BHN'!$B$12:$H512,5,0)))</f>
        <v>0</v>
      </c>
      <c r="O39" s="450">
        <f>IF(G39=0,0,(VLOOKUP(G39,'2. SMDA BHN'!$B$12:$H512,7,0)))</f>
        <v>0</v>
      </c>
      <c r="P39" s="449">
        <f t="shared" si="2"/>
        <v>0</v>
      </c>
      <c r="Q39" s="449">
        <f t="shared" si="3"/>
        <v>0</v>
      </c>
      <c r="R39" s="451" t="s">
        <v>45</v>
      </c>
      <c r="S39" s="464"/>
      <c r="T39" s="439"/>
      <c r="U39" s="16"/>
      <c r="V39" s="439"/>
      <c r="W39" s="439"/>
      <c r="X39" s="439"/>
      <c r="Y39" s="439"/>
      <c r="Z39" s="439"/>
      <c r="AA39" s="439"/>
      <c r="AB39" s="439"/>
      <c r="AC39" s="439"/>
      <c r="AD39" s="439"/>
      <c r="AE39" s="439"/>
      <c r="AF39" s="439"/>
    </row>
    <row r="40" ht="16.5" customHeight="1">
      <c r="A40" s="439"/>
      <c r="B40" s="454">
        <f t="shared" si="4"/>
        <v>1031</v>
      </c>
      <c r="C40" s="468"/>
      <c r="D40" s="442" t="str">
        <f>IF(G40="","",(VLOOKUP(G40,'2. SMDA BHN'!$B$12:$J512,2,0)))</f>
        <v/>
      </c>
      <c r="E40" s="443">
        <f>IF(G40=0,0,(VLOOKUP(G40,'2. SMDA BHN'!$B$12:$J512,3,0)))</f>
        <v>0</v>
      </c>
      <c r="F40" s="444"/>
      <c r="G40" s="467"/>
      <c r="H40" s="446">
        <f>IF(G40=0,0,(VLOOKUP(G40,'2. SMDA BHN'!$B$12:$H512,4,0)))</f>
        <v>0</v>
      </c>
      <c r="I40" s="466"/>
      <c r="J40" s="469"/>
      <c r="K40" s="448">
        <f>SUMIF('PO MTRL'!$G$9:$G512,G40,'PO MTRL'!$J$9:$J512)</f>
        <v>0</v>
      </c>
      <c r="L40" s="448">
        <f t="shared" si="1"/>
        <v>0</v>
      </c>
      <c r="M40" s="449">
        <f>SUMIF('PO MTRL'!$G$9:$G512,G40,'PO MTRL'!$L$9:$L512)</f>
        <v>0</v>
      </c>
      <c r="N40" s="450">
        <f>IF(G40=0,0,(VLOOKUP(G40,'2. SMDA BHN'!$B$12:$H512,5,0)))</f>
        <v>0</v>
      </c>
      <c r="O40" s="450">
        <f>IF(G40=0,0,(VLOOKUP(G40,'2. SMDA BHN'!$B$12:$H512,7,0)))</f>
        <v>0</v>
      </c>
      <c r="P40" s="449">
        <f t="shared" si="2"/>
        <v>0</v>
      </c>
      <c r="Q40" s="449">
        <f t="shared" si="3"/>
        <v>0</v>
      </c>
      <c r="R40" s="451" t="s">
        <v>45</v>
      </c>
      <c r="S40" s="464"/>
      <c r="T40" s="439"/>
      <c r="U40" s="16"/>
      <c r="V40" s="439"/>
      <c r="W40" s="439"/>
      <c r="X40" s="439"/>
      <c r="Y40" s="439"/>
      <c r="Z40" s="439"/>
      <c r="AA40" s="439"/>
      <c r="AB40" s="439"/>
      <c r="AC40" s="439"/>
      <c r="AD40" s="439"/>
      <c r="AE40" s="439"/>
      <c r="AF40" s="439"/>
    </row>
    <row r="41" ht="16.5" customHeight="1">
      <c r="A41" s="439"/>
      <c r="B41" s="454">
        <f t="shared" si="4"/>
        <v>1032</v>
      </c>
      <c r="C41" s="468"/>
      <c r="D41" s="442" t="str">
        <f>IF(G41="","",(VLOOKUP(G41,'2. SMDA BHN'!$B$12:$J512,2,0)))</f>
        <v/>
      </c>
      <c r="E41" s="443">
        <f>IF(G41=0,0,(VLOOKUP(G41,'2. SMDA BHN'!$B$12:$J512,3,0)))</f>
        <v>0</v>
      </c>
      <c r="F41" s="444"/>
      <c r="G41" s="467"/>
      <c r="H41" s="446">
        <f>IF(G41=0,0,(VLOOKUP(G41,'2. SMDA BHN'!$B$12:$H512,4,0)))</f>
        <v>0</v>
      </c>
      <c r="I41" s="466"/>
      <c r="J41" s="469"/>
      <c r="K41" s="448">
        <f>SUMIF('PO MTRL'!$G$9:$G512,G41,'PO MTRL'!$J$9:$J512)</f>
        <v>0</v>
      </c>
      <c r="L41" s="448">
        <f t="shared" si="1"/>
        <v>0</v>
      </c>
      <c r="M41" s="449">
        <f>SUMIF('PO MTRL'!$G$9:$G512,G41,'PO MTRL'!$L$9:$L512)</f>
        <v>0</v>
      </c>
      <c r="N41" s="450">
        <f>IF(G41=0,0,(VLOOKUP(G41,'2. SMDA BHN'!$B$12:$H512,5,0)))</f>
        <v>0</v>
      </c>
      <c r="O41" s="450">
        <f>IF(G41=0,0,(VLOOKUP(G41,'2. SMDA BHN'!$B$12:$H512,7,0)))</f>
        <v>0</v>
      </c>
      <c r="P41" s="449">
        <f t="shared" si="2"/>
        <v>0</v>
      </c>
      <c r="Q41" s="449">
        <f t="shared" si="3"/>
        <v>0</v>
      </c>
      <c r="R41" s="451" t="s">
        <v>45</v>
      </c>
      <c r="S41" s="464"/>
      <c r="T41" s="439"/>
      <c r="U41" s="16"/>
      <c r="V41" s="439"/>
      <c r="W41" s="439"/>
      <c r="X41" s="439"/>
      <c r="Y41" s="439"/>
      <c r="Z41" s="439"/>
      <c r="AA41" s="439"/>
      <c r="AB41" s="439"/>
      <c r="AC41" s="439"/>
      <c r="AD41" s="439"/>
      <c r="AE41" s="439"/>
      <c r="AF41" s="439"/>
    </row>
    <row r="42" ht="16.5" customHeight="1">
      <c r="A42" s="439"/>
      <c r="B42" s="454">
        <f t="shared" si="4"/>
        <v>1033</v>
      </c>
      <c r="C42" s="468"/>
      <c r="D42" s="442" t="str">
        <f>IF(G42="","",(VLOOKUP(G42,'2. SMDA BHN'!$B$12:$J512,2,0)))</f>
        <v/>
      </c>
      <c r="E42" s="443">
        <f>IF(G42=0,0,(VLOOKUP(G42,'2. SMDA BHN'!$B$12:$J512,3,0)))</f>
        <v>0</v>
      </c>
      <c r="F42" s="444"/>
      <c r="G42" s="467"/>
      <c r="H42" s="446">
        <f>IF(G42=0,0,(VLOOKUP(G42,'2. SMDA BHN'!$B$12:$H512,4,0)))</f>
        <v>0</v>
      </c>
      <c r="I42" s="460"/>
      <c r="J42" s="461"/>
      <c r="K42" s="448">
        <f>SUMIF('PO MTRL'!$G$9:$G512,G42,'PO MTRL'!$J$9:$J512)</f>
        <v>0</v>
      </c>
      <c r="L42" s="448">
        <f t="shared" si="1"/>
        <v>0</v>
      </c>
      <c r="M42" s="449">
        <f>SUMIF('PO MTRL'!$G$9:$G512,G42,'PO MTRL'!$L$9:$L512)</f>
        <v>0</v>
      </c>
      <c r="N42" s="450">
        <f>IF(G42=0,0,(VLOOKUP(G42,'2. SMDA BHN'!$B$12:$H512,5,0)))</f>
        <v>0</v>
      </c>
      <c r="O42" s="450">
        <f>IF(G42=0,0,(VLOOKUP(G42,'2. SMDA BHN'!$B$12:$H512,7,0)))</f>
        <v>0</v>
      </c>
      <c r="P42" s="449">
        <f t="shared" si="2"/>
        <v>0</v>
      </c>
      <c r="Q42" s="449">
        <f t="shared" si="3"/>
        <v>0</v>
      </c>
      <c r="R42" s="451" t="s">
        <v>45</v>
      </c>
      <c r="S42" s="464"/>
      <c r="T42" s="439"/>
      <c r="U42" s="16"/>
      <c r="V42" s="439"/>
      <c r="W42" s="439"/>
      <c r="X42" s="439"/>
      <c r="Y42" s="439"/>
      <c r="Z42" s="439"/>
      <c r="AA42" s="439"/>
      <c r="AB42" s="439"/>
      <c r="AC42" s="439"/>
      <c r="AD42" s="439"/>
      <c r="AE42" s="439"/>
      <c r="AF42" s="439"/>
    </row>
    <row r="43" ht="16.5" customHeight="1">
      <c r="A43" s="439"/>
      <c r="B43" s="454">
        <f t="shared" si="4"/>
        <v>1034</v>
      </c>
      <c r="C43" s="468"/>
      <c r="D43" s="442" t="str">
        <f>IF(G43="","",(VLOOKUP(G43,'2. SMDA BHN'!$B$12:$J512,2,0)))</f>
        <v/>
      </c>
      <c r="E43" s="443">
        <f>IF(G43=0,0,(VLOOKUP(G43,'2. SMDA BHN'!$B$12:$J512,3,0)))</f>
        <v>0</v>
      </c>
      <c r="F43" s="444"/>
      <c r="G43" s="467"/>
      <c r="H43" s="446">
        <f>IF(G43=0,0,(VLOOKUP(G43,'2. SMDA BHN'!$B$12:$H512,4,0)))</f>
        <v>0</v>
      </c>
      <c r="I43" s="460"/>
      <c r="J43" s="461"/>
      <c r="K43" s="448">
        <f>SUMIF('PO MTRL'!$G$9:$G512,G43,'PO MTRL'!$J$9:$J512)</f>
        <v>0</v>
      </c>
      <c r="L43" s="448">
        <f t="shared" si="1"/>
        <v>0</v>
      </c>
      <c r="M43" s="449">
        <f>SUMIF('PO MTRL'!$G$9:$G512,G43,'PO MTRL'!$L$9:$L512)</f>
        <v>0</v>
      </c>
      <c r="N43" s="450">
        <f>IF(G43=0,0,(VLOOKUP(G43,'2. SMDA BHN'!$B$12:$H512,5,0)))</f>
        <v>0</v>
      </c>
      <c r="O43" s="450">
        <f>IF(G43=0,0,(VLOOKUP(G43,'2. SMDA BHN'!$B$12:$H512,7,0)))</f>
        <v>0</v>
      </c>
      <c r="P43" s="449">
        <f t="shared" si="2"/>
        <v>0</v>
      </c>
      <c r="Q43" s="449">
        <f t="shared" si="3"/>
        <v>0</v>
      </c>
      <c r="R43" s="451" t="s">
        <v>45</v>
      </c>
      <c r="S43" s="464"/>
      <c r="T43" s="439"/>
      <c r="U43" s="16"/>
      <c r="V43" s="439"/>
      <c r="W43" s="439"/>
      <c r="X43" s="439"/>
      <c r="Y43" s="439"/>
      <c r="Z43" s="439"/>
      <c r="AA43" s="439"/>
      <c r="AB43" s="439"/>
      <c r="AC43" s="439"/>
      <c r="AD43" s="439"/>
      <c r="AE43" s="439"/>
      <c r="AF43" s="439"/>
    </row>
    <row r="44" ht="16.5" customHeight="1">
      <c r="A44" s="439"/>
      <c r="B44" s="454">
        <f t="shared" si="4"/>
        <v>1035</v>
      </c>
      <c r="C44" s="468"/>
      <c r="D44" s="442" t="str">
        <f>IF(G44="","",(VLOOKUP(G44,'2. SMDA BHN'!$B$12:$J512,2,0)))</f>
        <v/>
      </c>
      <c r="E44" s="443">
        <f>IF(G44=0,0,(VLOOKUP(G44,'2. SMDA BHN'!$B$12:$J512,3,0)))</f>
        <v>0</v>
      </c>
      <c r="F44" s="444"/>
      <c r="G44" s="467"/>
      <c r="H44" s="446">
        <f>IF(G44=0,0,(VLOOKUP(G44,'2. SMDA BHN'!$B$12:$H512,4,0)))</f>
        <v>0</v>
      </c>
      <c r="I44" s="460"/>
      <c r="J44" s="461"/>
      <c r="K44" s="448">
        <f>SUMIF('PO MTRL'!$G$9:$G512,G44,'PO MTRL'!$J$9:$J512)</f>
        <v>0</v>
      </c>
      <c r="L44" s="448">
        <f t="shared" si="1"/>
        <v>0</v>
      </c>
      <c r="M44" s="449">
        <f>SUMIF('PO MTRL'!$G$9:$G512,G44,'PO MTRL'!$L$9:$L512)</f>
        <v>0</v>
      </c>
      <c r="N44" s="450">
        <f>IF(G44=0,0,(VLOOKUP(G44,'2. SMDA BHN'!$B$12:$H512,5,0)))</f>
        <v>0</v>
      </c>
      <c r="O44" s="450">
        <f>IF(G44=0,0,(VLOOKUP(G44,'2. SMDA BHN'!$B$12:$H512,7,0)))</f>
        <v>0</v>
      </c>
      <c r="P44" s="449">
        <f t="shared" si="2"/>
        <v>0</v>
      </c>
      <c r="Q44" s="449">
        <f t="shared" si="3"/>
        <v>0</v>
      </c>
      <c r="R44" s="451" t="s">
        <v>45</v>
      </c>
      <c r="S44" s="464"/>
      <c r="T44" s="439"/>
      <c r="U44" s="16"/>
      <c r="V44" s="439"/>
      <c r="W44" s="439"/>
      <c r="X44" s="439"/>
      <c r="Y44" s="439"/>
      <c r="Z44" s="439"/>
      <c r="AA44" s="439"/>
      <c r="AB44" s="439"/>
      <c r="AC44" s="439"/>
      <c r="AD44" s="439"/>
      <c r="AE44" s="439"/>
      <c r="AF44" s="439"/>
    </row>
    <row r="45" ht="16.5" customHeight="1">
      <c r="A45" s="439"/>
      <c r="B45" s="454">
        <f t="shared" si="4"/>
        <v>1036</v>
      </c>
      <c r="C45" s="468"/>
      <c r="D45" s="442" t="str">
        <f>IF(G45="","",(VLOOKUP(G45,'2. SMDA BHN'!$B$12:$J512,2,0)))</f>
        <v/>
      </c>
      <c r="E45" s="443">
        <f>IF(G45=0,0,(VLOOKUP(G45,'2. SMDA BHN'!$B$12:$J512,3,0)))</f>
        <v>0</v>
      </c>
      <c r="F45" s="444"/>
      <c r="G45" s="467"/>
      <c r="H45" s="446">
        <f>IF(G45=0,0,(VLOOKUP(G45,'2. SMDA BHN'!$B$12:$H512,4,0)))</f>
        <v>0</v>
      </c>
      <c r="I45" s="460"/>
      <c r="J45" s="461"/>
      <c r="K45" s="448">
        <f>SUMIF('PO MTRL'!$G$9:$G512,G45,'PO MTRL'!$J$9:$J512)</f>
        <v>0</v>
      </c>
      <c r="L45" s="448">
        <f t="shared" si="1"/>
        <v>0</v>
      </c>
      <c r="M45" s="449">
        <f>SUMIF('PO MTRL'!$G$9:$G512,G45,'PO MTRL'!$L$9:$L512)</f>
        <v>0</v>
      </c>
      <c r="N45" s="450">
        <f>IF(G45=0,0,(VLOOKUP(G45,'2. SMDA BHN'!$B$12:$H512,5,0)))</f>
        <v>0</v>
      </c>
      <c r="O45" s="450">
        <f>IF(G45=0,0,(VLOOKUP(G45,'2. SMDA BHN'!$B$12:$H512,7,0)))</f>
        <v>0</v>
      </c>
      <c r="P45" s="449">
        <f t="shared" si="2"/>
        <v>0</v>
      </c>
      <c r="Q45" s="449">
        <f t="shared" si="3"/>
        <v>0</v>
      </c>
      <c r="R45" s="451" t="s">
        <v>45</v>
      </c>
      <c r="S45" s="464"/>
      <c r="T45" s="439"/>
      <c r="U45" s="16"/>
      <c r="V45" s="439"/>
      <c r="W45" s="439"/>
      <c r="X45" s="439"/>
      <c r="Y45" s="439"/>
      <c r="Z45" s="439"/>
      <c r="AA45" s="439"/>
      <c r="AB45" s="439"/>
      <c r="AC45" s="439"/>
      <c r="AD45" s="439"/>
      <c r="AE45" s="439"/>
      <c r="AF45" s="439"/>
    </row>
    <row r="46" ht="16.5" customHeight="1">
      <c r="A46" s="439"/>
      <c r="B46" s="454">
        <f t="shared" si="4"/>
        <v>1037</v>
      </c>
      <c r="C46" s="468"/>
      <c r="D46" s="442" t="str">
        <f>IF(G46="","",(VLOOKUP(G46,'2. SMDA BHN'!$B$12:$J512,2,0)))</f>
        <v/>
      </c>
      <c r="E46" s="443">
        <f>IF(G46=0,0,(VLOOKUP(G46,'2. SMDA BHN'!$B$12:$J512,3,0)))</f>
        <v>0</v>
      </c>
      <c r="F46" s="444"/>
      <c r="G46" s="467"/>
      <c r="H46" s="446">
        <f>IF(G46=0,0,(VLOOKUP(G46,'2. SMDA BHN'!$B$12:$H512,4,0)))</f>
        <v>0</v>
      </c>
      <c r="I46" s="460"/>
      <c r="J46" s="461"/>
      <c r="K46" s="448">
        <f>SUMIF('PO MTRL'!$G$9:$G512,G46,'PO MTRL'!$J$9:$J512)</f>
        <v>0</v>
      </c>
      <c r="L46" s="448">
        <f t="shared" si="1"/>
        <v>0</v>
      </c>
      <c r="M46" s="449">
        <f>SUMIF('PO MTRL'!$G$9:$G512,G46,'PO MTRL'!$L$9:$L512)</f>
        <v>0</v>
      </c>
      <c r="N46" s="450">
        <f>IF(G46=0,0,(VLOOKUP(G46,'2. SMDA BHN'!$B$12:$H512,5,0)))</f>
        <v>0</v>
      </c>
      <c r="O46" s="450">
        <f>IF(G46=0,0,(VLOOKUP(G46,'2. SMDA BHN'!$B$12:$H512,7,0)))</f>
        <v>0</v>
      </c>
      <c r="P46" s="449">
        <f t="shared" si="2"/>
        <v>0</v>
      </c>
      <c r="Q46" s="449">
        <f t="shared" si="3"/>
        <v>0</v>
      </c>
      <c r="R46" s="451" t="s">
        <v>45</v>
      </c>
      <c r="S46" s="464"/>
      <c r="T46" s="439"/>
      <c r="U46" s="16"/>
      <c r="V46" s="439"/>
      <c r="W46" s="439"/>
      <c r="X46" s="439"/>
      <c r="Y46" s="439"/>
      <c r="Z46" s="439"/>
      <c r="AA46" s="439"/>
      <c r="AB46" s="439"/>
      <c r="AC46" s="439"/>
      <c r="AD46" s="439"/>
      <c r="AE46" s="439"/>
      <c r="AF46" s="439"/>
    </row>
    <row r="47" ht="16.5" customHeight="1">
      <c r="A47" s="439"/>
      <c r="B47" s="454">
        <f t="shared" si="4"/>
        <v>1038</v>
      </c>
      <c r="C47" s="468"/>
      <c r="D47" s="442" t="str">
        <f>IF(G47="","",(VLOOKUP(G47,'2. SMDA BHN'!$B$12:$J512,2,0)))</f>
        <v/>
      </c>
      <c r="E47" s="443">
        <f>IF(G47=0,0,(VLOOKUP(G47,'2. SMDA BHN'!$B$12:$J512,3,0)))</f>
        <v>0</v>
      </c>
      <c r="F47" s="444"/>
      <c r="G47" s="467"/>
      <c r="H47" s="446">
        <f>IF(G47=0,0,(VLOOKUP(G47,'2. SMDA BHN'!$B$12:$H512,4,0)))</f>
        <v>0</v>
      </c>
      <c r="I47" s="460"/>
      <c r="J47" s="461"/>
      <c r="K47" s="448">
        <f>SUMIF('PO MTRL'!$G$9:$G512,G47,'PO MTRL'!$J$9:$J512)</f>
        <v>0</v>
      </c>
      <c r="L47" s="448">
        <f t="shared" si="1"/>
        <v>0</v>
      </c>
      <c r="M47" s="449">
        <f>SUMIF('PO MTRL'!$G$9:$G512,G47,'PO MTRL'!$L$9:$L512)</f>
        <v>0</v>
      </c>
      <c r="N47" s="450">
        <f>IF(G47=0,0,(VLOOKUP(G47,'2. SMDA BHN'!$B$12:$H512,5,0)))</f>
        <v>0</v>
      </c>
      <c r="O47" s="450">
        <f>IF(G47=0,0,(VLOOKUP(G47,'2. SMDA BHN'!$B$12:$H512,7,0)))</f>
        <v>0</v>
      </c>
      <c r="P47" s="449">
        <f t="shared" si="2"/>
        <v>0</v>
      </c>
      <c r="Q47" s="449">
        <f t="shared" si="3"/>
        <v>0</v>
      </c>
      <c r="R47" s="451" t="s">
        <v>45</v>
      </c>
      <c r="S47" s="464"/>
      <c r="T47" s="439"/>
      <c r="U47" s="16"/>
      <c r="V47" s="439"/>
      <c r="W47" s="439"/>
      <c r="X47" s="439"/>
      <c r="Y47" s="439"/>
      <c r="Z47" s="439"/>
      <c r="AA47" s="439"/>
      <c r="AB47" s="439"/>
      <c r="AC47" s="439"/>
      <c r="AD47" s="439"/>
      <c r="AE47" s="439"/>
      <c r="AF47" s="439"/>
    </row>
    <row r="48" ht="16.5" customHeight="1">
      <c r="A48" s="439"/>
      <c r="B48" s="454">
        <f t="shared" si="4"/>
        <v>1039</v>
      </c>
      <c r="C48" s="468"/>
      <c r="D48" s="442" t="str">
        <f>IF(G48="","",(VLOOKUP(G48,'2. SMDA BHN'!$B$12:$J512,2,0)))</f>
        <v/>
      </c>
      <c r="E48" s="443">
        <f>IF(G48=0,0,(VLOOKUP(G48,'2. SMDA BHN'!$B$12:$J512,3,0)))</f>
        <v>0</v>
      </c>
      <c r="F48" s="444"/>
      <c r="G48" s="467"/>
      <c r="H48" s="446">
        <f>IF(G48=0,0,(VLOOKUP(G48,'2. SMDA BHN'!$B$12:$H512,4,0)))</f>
        <v>0</v>
      </c>
      <c r="I48" s="460"/>
      <c r="J48" s="461"/>
      <c r="K48" s="448">
        <f>SUMIF('PO MTRL'!$G$9:$G512,G48,'PO MTRL'!$J$9:$J512)</f>
        <v>0</v>
      </c>
      <c r="L48" s="448">
        <f t="shared" si="1"/>
        <v>0</v>
      </c>
      <c r="M48" s="449">
        <f>SUMIF('PO MTRL'!$G$9:$G512,G48,'PO MTRL'!$L$9:$L512)</f>
        <v>0</v>
      </c>
      <c r="N48" s="450">
        <f>IF(G48=0,0,(VLOOKUP(G48,'2. SMDA BHN'!$B$12:$H512,5,0)))</f>
        <v>0</v>
      </c>
      <c r="O48" s="450">
        <f>IF(G48=0,0,(VLOOKUP(G48,'2. SMDA BHN'!$B$12:$H512,7,0)))</f>
        <v>0</v>
      </c>
      <c r="P48" s="449">
        <f t="shared" si="2"/>
        <v>0</v>
      </c>
      <c r="Q48" s="449">
        <f t="shared" si="3"/>
        <v>0</v>
      </c>
      <c r="R48" s="451" t="s">
        <v>45</v>
      </c>
      <c r="S48" s="464"/>
      <c r="T48" s="439"/>
      <c r="U48" s="16"/>
      <c r="V48" s="439"/>
      <c r="W48" s="439"/>
      <c r="X48" s="439"/>
      <c r="Y48" s="439"/>
      <c r="Z48" s="439"/>
      <c r="AA48" s="439"/>
      <c r="AB48" s="439"/>
      <c r="AC48" s="439"/>
      <c r="AD48" s="439"/>
      <c r="AE48" s="439"/>
      <c r="AF48" s="439"/>
    </row>
    <row r="49" ht="16.5" customHeight="1">
      <c r="A49" s="439"/>
      <c r="B49" s="454">
        <f t="shared" si="4"/>
        <v>1040</v>
      </c>
      <c r="C49" s="468"/>
      <c r="D49" s="442" t="str">
        <f>IF(G49="","",(VLOOKUP(G49,'2. SMDA BHN'!$B$12:$J512,2,0)))</f>
        <v/>
      </c>
      <c r="E49" s="443">
        <f>IF(G49=0,0,(VLOOKUP(G49,'2. SMDA BHN'!$B$12:$J512,3,0)))</f>
        <v>0</v>
      </c>
      <c r="F49" s="444"/>
      <c r="G49" s="467"/>
      <c r="H49" s="446">
        <f>IF(G49=0,0,(VLOOKUP(G49,'2. SMDA BHN'!$B$12:$H512,4,0)))</f>
        <v>0</v>
      </c>
      <c r="I49" s="460"/>
      <c r="J49" s="461"/>
      <c r="K49" s="448">
        <f>SUMIF('PO MTRL'!$G$9:$G512,G49,'PO MTRL'!$J$9:$J512)</f>
        <v>0</v>
      </c>
      <c r="L49" s="448">
        <f t="shared" si="1"/>
        <v>0</v>
      </c>
      <c r="M49" s="449">
        <f>SUMIF('PO MTRL'!$G$9:$G512,G49,'PO MTRL'!$L$9:$L512)</f>
        <v>0</v>
      </c>
      <c r="N49" s="450">
        <f>IF(G49=0,0,(VLOOKUP(G49,'2. SMDA BHN'!$B$12:$H512,5,0)))</f>
        <v>0</v>
      </c>
      <c r="O49" s="450">
        <f>IF(G49=0,0,(VLOOKUP(G49,'2. SMDA BHN'!$B$12:$H512,7,0)))</f>
        <v>0</v>
      </c>
      <c r="P49" s="449">
        <f t="shared" si="2"/>
        <v>0</v>
      </c>
      <c r="Q49" s="449">
        <f t="shared" si="3"/>
        <v>0</v>
      </c>
      <c r="R49" s="451" t="s">
        <v>45</v>
      </c>
      <c r="S49" s="464"/>
      <c r="T49" s="439"/>
      <c r="U49" s="16"/>
      <c r="V49" s="439"/>
      <c r="W49" s="439"/>
      <c r="X49" s="439"/>
      <c r="Y49" s="439"/>
      <c r="Z49" s="439"/>
      <c r="AA49" s="439"/>
      <c r="AB49" s="439"/>
      <c r="AC49" s="439"/>
      <c r="AD49" s="439"/>
      <c r="AE49" s="439"/>
      <c r="AF49" s="439"/>
    </row>
    <row r="50" ht="16.5" customHeight="1">
      <c r="A50" s="439"/>
      <c r="B50" s="454">
        <f t="shared" si="4"/>
        <v>1041</v>
      </c>
      <c r="C50" s="468"/>
      <c r="D50" s="442" t="str">
        <f>IF(G50="","",(VLOOKUP(G50,'2. SMDA BHN'!$B$12:$J512,2,0)))</f>
        <v/>
      </c>
      <c r="E50" s="443">
        <f>IF(G50=0,0,(VLOOKUP(G50,'2. SMDA BHN'!$B$12:$J512,3,0)))</f>
        <v>0</v>
      </c>
      <c r="F50" s="444"/>
      <c r="G50" s="467"/>
      <c r="H50" s="446">
        <f>IF(G50=0,0,(VLOOKUP(G50,'2. SMDA BHN'!$B$12:$H512,4,0)))</f>
        <v>0</v>
      </c>
      <c r="I50" s="460"/>
      <c r="J50" s="461"/>
      <c r="K50" s="448">
        <f>SUMIF('PO MTRL'!$G$9:$G512,G50,'PO MTRL'!$J$9:$J512)</f>
        <v>0</v>
      </c>
      <c r="L50" s="448">
        <f t="shared" si="1"/>
        <v>0</v>
      </c>
      <c r="M50" s="449">
        <f>SUMIF('PO MTRL'!$G$9:$G512,G50,'PO MTRL'!$L$9:$L512)</f>
        <v>0</v>
      </c>
      <c r="N50" s="450">
        <f>IF(G50=0,0,(VLOOKUP(G50,'2. SMDA BHN'!$B$12:$H512,5,0)))</f>
        <v>0</v>
      </c>
      <c r="O50" s="450">
        <f>IF(G50=0,0,(VLOOKUP(G50,'2. SMDA BHN'!$B$12:$H512,7,0)))</f>
        <v>0</v>
      </c>
      <c r="P50" s="449">
        <f t="shared" si="2"/>
        <v>0</v>
      </c>
      <c r="Q50" s="449">
        <f t="shared" si="3"/>
        <v>0</v>
      </c>
      <c r="R50" s="451" t="s">
        <v>45</v>
      </c>
      <c r="S50" s="464"/>
      <c r="T50" s="439"/>
      <c r="U50" s="16"/>
      <c r="V50" s="439"/>
      <c r="W50" s="439"/>
      <c r="X50" s="439"/>
      <c r="Y50" s="439"/>
      <c r="Z50" s="439"/>
      <c r="AA50" s="439"/>
      <c r="AB50" s="439"/>
      <c r="AC50" s="439"/>
      <c r="AD50" s="439"/>
      <c r="AE50" s="439"/>
      <c r="AF50" s="439"/>
    </row>
    <row r="51" ht="16.5" customHeight="1">
      <c r="A51" s="439"/>
      <c r="B51" s="454">
        <f t="shared" si="4"/>
        <v>1042</v>
      </c>
      <c r="C51" s="468"/>
      <c r="D51" s="442" t="str">
        <f>IF(G51="","",(VLOOKUP(G51,'2. SMDA BHN'!$B$12:$J512,2,0)))</f>
        <v/>
      </c>
      <c r="E51" s="443">
        <f>IF(G51=0,0,(VLOOKUP(G51,'2. SMDA BHN'!$B$12:$J512,3,0)))</f>
        <v>0</v>
      </c>
      <c r="F51" s="444"/>
      <c r="G51" s="467"/>
      <c r="H51" s="446">
        <f>IF(G51=0,0,(VLOOKUP(G51,'2. SMDA BHN'!$B$12:$H512,4,0)))</f>
        <v>0</v>
      </c>
      <c r="I51" s="460"/>
      <c r="J51" s="461"/>
      <c r="K51" s="448">
        <f>SUMIF('PO MTRL'!$G$9:$G512,G51,'PO MTRL'!$J$9:$J512)</f>
        <v>0</v>
      </c>
      <c r="L51" s="448">
        <f t="shared" si="1"/>
        <v>0</v>
      </c>
      <c r="M51" s="449">
        <f>SUMIF('PO MTRL'!$G$9:$G512,G51,'PO MTRL'!$L$9:$L512)</f>
        <v>0</v>
      </c>
      <c r="N51" s="450">
        <f>IF(G51=0,0,(VLOOKUP(G51,'2. SMDA BHN'!$B$12:$H512,5,0)))</f>
        <v>0</v>
      </c>
      <c r="O51" s="450">
        <f>IF(G51=0,0,(VLOOKUP(G51,'2. SMDA BHN'!$B$12:$H512,7,0)))</f>
        <v>0</v>
      </c>
      <c r="P51" s="449">
        <f t="shared" si="2"/>
        <v>0</v>
      </c>
      <c r="Q51" s="449">
        <f t="shared" si="3"/>
        <v>0</v>
      </c>
      <c r="R51" s="451" t="s">
        <v>45</v>
      </c>
      <c r="S51" s="464"/>
      <c r="T51" s="439"/>
      <c r="U51" s="16"/>
      <c r="V51" s="439"/>
      <c r="W51" s="439"/>
      <c r="X51" s="439"/>
      <c r="Y51" s="439"/>
      <c r="Z51" s="439"/>
      <c r="AA51" s="439"/>
      <c r="AB51" s="439"/>
      <c r="AC51" s="439"/>
      <c r="AD51" s="439"/>
      <c r="AE51" s="439"/>
      <c r="AF51" s="439"/>
    </row>
    <row r="52" ht="16.5" customHeight="1">
      <c r="A52" s="439"/>
      <c r="B52" s="454">
        <f t="shared" si="4"/>
        <v>1043</v>
      </c>
      <c r="C52" s="468"/>
      <c r="D52" s="442" t="str">
        <f>IF(G52="","",(VLOOKUP(G52,'2. SMDA BHN'!$B$12:$J512,2,0)))</f>
        <v/>
      </c>
      <c r="E52" s="443">
        <f>IF(G52=0,0,(VLOOKUP(G52,'2. SMDA BHN'!$B$12:$J512,3,0)))</f>
        <v>0</v>
      </c>
      <c r="F52" s="444"/>
      <c r="G52" s="467"/>
      <c r="H52" s="446">
        <f>IF(G52=0,0,(VLOOKUP(G52,'2. SMDA BHN'!$B$12:$H512,4,0)))</f>
        <v>0</v>
      </c>
      <c r="I52" s="460"/>
      <c r="J52" s="461"/>
      <c r="K52" s="448">
        <f>SUMIF('PO MTRL'!$G$9:$G512,G52,'PO MTRL'!$J$9:$J512)</f>
        <v>0</v>
      </c>
      <c r="L52" s="448">
        <f t="shared" si="1"/>
        <v>0</v>
      </c>
      <c r="M52" s="449">
        <f>SUMIF('PO MTRL'!$G$9:$G512,G52,'PO MTRL'!$L$9:$L512)</f>
        <v>0</v>
      </c>
      <c r="N52" s="450">
        <f>IF(G52=0,0,(VLOOKUP(G52,'2. SMDA BHN'!$B$12:$H512,5,0)))</f>
        <v>0</v>
      </c>
      <c r="O52" s="450">
        <f>IF(G52=0,0,(VLOOKUP(G52,'2. SMDA BHN'!$B$12:$H512,7,0)))</f>
        <v>0</v>
      </c>
      <c r="P52" s="449">
        <f t="shared" si="2"/>
        <v>0</v>
      </c>
      <c r="Q52" s="449">
        <f t="shared" si="3"/>
        <v>0</v>
      </c>
      <c r="R52" s="451" t="s">
        <v>45</v>
      </c>
      <c r="S52" s="464"/>
      <c r="T52" s="439"/>
      <c r="U52" s="16"/>
      <c r="V52" s="439"/>
      <c r="W52" s="439"/>
      <c r="X52" s="439"/>
      <c r="Y52" s="439"/>
      <c r="Z52" s="439"/>
      <c r="AA52" s="439"/>
      <c r="AB52" s="439"/>
      <c r="AC52" s="439"/>
      <c r="AD52" s="439"/>
      <c r="AE52" s="439"/>
      <c r="AF52" s="439"/>
    </row>
    <row r="53" ht="16.5" customHeight="1">
      <c r="A53" s="439"/>
      <c r="B53" s="454">
        <f t="shared" si="4"/>
        <v>1044</v>
      </c>
      <c r="C53" s="468"/>
      <c r="D53" s="442" t="str">
        <f>IF(G53="","",(VLOOKUP(G53,'2. SMDA BHN'!$B$12:$J512,2,0)))</f>
        <v/>
      </c>
      <c r="E53" s="443">
        <f>IF(G53=0,0,(VLOOKUP(G53,'2. SMDA BHN'!$B$12:$J512,3,0)))</f>
        <v>0</v>
      </c>
      <c r="F53" s="444"/>
      <c r="G53" s="467"/>
      <c r="H53" s="446">
        <f>IF(G53=0,0,(VLOOKUP(G53,'2. SMDA BHN'!$B$12:$H512,4,0)))</f>
        <v>0</v>
      </c>
      <c r="I53" s="460"/>
      <c r="J53" s="461"/>
      <c r="K53" s="448">
        <f>SUMIF('PO MTRL'!$G$9:$G512,G53,'PO MTRL'!$J$9:$J512)</f>
        <v>0</v>
      </c>
      <c r="L53" s="448">
        <f t="shared" si="1"/>
        <v>0</v>
      </c>
      <c r="M53" s="449">
        <f>SUMIF('PO MTRL'!$G$9:$G512,G53,'PO MTRL'!$L$9:$L512)</f>
        <v>0</v>
      </c>
      <c r="N53" s="450">
        <f>IF(G53=0,0,(VLOOKUP(G53,'2. SMDA BHN'!$B$12:$H512,5,0)))</f>
        <v>0</v>
      </c>
      <c r="O53" s="450">
        <f>IF(G53=0,0,(VLOOKUP(G53,'2. SMDA BHN'!$B$12:$H512,7,0)))</f>
        <v>0</v>
      </c>
      <c r="P53" s="449">
        <f t="shared" si="2"/>
        <v>0</v>
      </c>
      <c r="Q53" s="449">
        <f t="shared" si="3"/>
        <v>0</v>
      </c>
      <c r="R53" s="451" t="s">
        <v>45</v>
      </c>
      <c r="S53" s="464"/>
      <c r="T53" s="439"/>
      <c r="U53" s="16"/>
      <c r="V53" s="439"/>
      <c r="W53" s="439"/>
      <c r="X53" s="439"/>
      <c r="Y53" s="439"/>
      <c r="Z53" s="439"/>
      <c r="AA53" s="439"/>
      <c r="AB53" s="439"/>
      <c r="AC53" s="439"/>
      <c r="AD53" s="439"/>
      <c r="AE53" s="439"/>
      <c r="AF53" s="439"/>
    </row>
    <row r="54" ht="16.5" customHeight="1">
      <c r="A54" s="439"/>
      <c r="B54" s="454">
        <f t="shared" si="4"/>
        <v>1045</v>
      </c>
      <c r="C54" s="468"/>
      <c r="D54" s="442" t="str">
        <f>IF(G54="","",(VLOOKUP(G54,'2. SMDA BHN'!$B$12:$J512,2,0)))</f>
        <v/>
      </c>
      <c r="E54" s="443">
        <f>IF(G54=0,0,(VLOOKUP(G54,'2. SMDA BHN'!$B$12:$J512,3,0)))</f>
        <v>0</v>
      </c>
      <c r="F54" s="444"/>
      <c r="G54" s="467"/>
      <c r="H54" s="446">
        <f>IF(G54=0,0,(VLOOKUP(G54,'2. SMDA BHN'!$B$12:$H512,4,0)))</f>
        <v>0</v>
      </c>
      <c r="I54" s="460"/>
      <c r="J54" s="461"/>
      <c r="K54" s="448">
        <f>SUMIF('PO MTRL'!$G$9:$G512,G54,'PO MTRL'!$J$9:$J512)</f>
        <v>0</v>
      </c>
      <c r="L54" s="448">
        <f t="shared" si="1"/>
        <v>0</v>
      </c>
      <c r="M54" s="449">
        <f>SUMIF('PO MTRL'!$G$9:$G512,G54,'PO MTRL'!$L$9:$L512)</f>
        <v>0</v>
      </c>
      <c r="N54" s="450">
        <f>IF(G54=0,0,(VLOOKUP(G54,'2. SMDA BHN'!$B$12:$H512,5,0)))</f>
        <v>0</v>
      </c>
      <c r="O54" s="450">
        <f>IF(G54=0,0,(VLOOKUP(G54,'2. SMDA BHN'!$B$12:$H512,7,0)))</f>
        <v>0</v>
      </c>
      <c r="P54" s="449">
        <f t="shared" si="2"/>
        <v>0</v>
      </c>
      <c r="Q54" s="449">
        <f t="shared" si="3"/>
        <v>0</v>
      </c>
      <c r="R54" s="451" t="s">
        <v>45</v>
      </c>
      <c r="S54" s="464"/>
      <c r="T54" s="439"/>
      <c r="U54" s="16"/>
      <c r="V54" s="439"/>
      <c r="W54" s="439"/>
      <c r="X54" s="439"/>
      <c r="Y54" s="439"/>
      <c r="Z54" s="439"/>
      <c r="AA54" s="439"/>
      <c r="AB54" s="439"/>
      <c r="AC54" s="439"/>
      <c r="AD54" s="439"/>
      <c r="AE54" s="439"/>
      <c r="AF54" s="439"/>
    </row>
    <row r="55" ht="16.5" customHeight="1">
      <c r="A55" s="439"/>
      <c r="B55" s="454">
        <f t="shared" si="4"/>
        <v>1046</v>
      </c>
      <c r="C55" s="468"/>
      <c r="D55" s="442" t="str">
        <f>IF(G55="","",(VLOOKUP(G55,'2. SMDA BHN'!$B$12:$J512,2,0)))</f>
        <v/>
      </c>
      <c r="E55" s="443">
        <f>IF(G55=0,0,(VLOOKUP(G55,'2. SMDA BHN'!$B$12:$J512,3,0)))</f>
        <v>0</v>
      </c>
      <c r="F55" s="444"/>
      <c r="G55" s="467"/>
      <c r="H55" s="446">
        <f>IF(G55=0,0,(VLOOKUP(G55,'2. SMDA BHN'!$B$12:$H512,4,0)))</f>
        <v>0</v>
      </c>
      <c r="I55" s="460"/>
      <c r="J55" s="461"/>
      <c r="K55" s="448">
        <f>SUMIF('PO MTRL'!$G$9:$G512,G55,'PO MTRL'!$J$9:$J512)</f>
        <v>0</v>
      </c>
      <c r="L55" s="448">
        <f t="shared" si="1"/>
        <v>0</v>
      </c>
      <c r="M55" s="449">
        <f>SUMIF('PO MTRL'!$G$9:$G512,G55,'PO MTRL'!$L$9:$L512)</f>
        <v>0</v>
      </c>
      <c r="N55" s="450">
        <f>IF(G55=0,0,(VLOOKUP(G55,'2. SMDA BHN'!$B$12:$H512,5,0)))</f>
        <v>0</v>
      </c>
      <c r="O55" s="450">
        <f>IF(G55=0,0,(VLOOKUP(G55,'2. SMDA BHN'!$B$12:$H512,7,0)))</f>
        <v>0</v>
      </c>
      <c r="P55" s="449">
        <f t="shared" si="2"/>
        <v>0</v>
      </c>
      <c r="Q55" s="449">
        <f t="shared" si="3"/>
        <v>0</v>
      </c>
      <c r="R55" s="451" t="s">
        <v>45</v>
      </c>
      <c r="S55" s="464"/>
      <c r="T55" s="439"/>
      <c r="U55" s="16"/>
      <c r="V55" s="439"/>
      <c r="W55" s="439"/>
      <c r="X55" s="439"/>
      <c r="Y55" s="439"/>
      <c r="Z55" s="439"/>
      <c r="AA55" s="439"/>
      <c r="AB55" s="439"/>
      <c r="AC55" s="439"/>
      <c r="AD55" s="439"/>
      <c r="AE55" s="439"/>
      <c r="AF55" s="439"/>
    </row>
    <row r="56" ht="16.5" customHeight="1">
      <c r="A56" s="439"/>
      <c r="B56" s="454">
        <f t="shared" si="4"/>
        <v>1047</v>
      </c>
      <c r="C56" s="468"/>
      <c r="D56" s="442" t="str">
        <f>IF(G56="","",(VLOOKUP(G56,'2. SMDA BHN'!$B$12:$J512,2,0)))</f>
        <v/>
      </c>
      <c r="E56" s="443">
        <f>IF(G56=0,0,(VLOOKUP(G56,'2. SMDA BHN'!$B$12:$J512,3,0)))</f>
        <v>0</v>
      </c>
      <c r="F56" s="444"/>
      <c r="G56" s="467"/>
      <c r="H56" s="446">
        <f>IF(G56=0,0,(VLOOKUP(G56,'2. SMDA BHN'!$B$12:$H512,4,0)))</f>
        <v>0</v>
      </c>
      <c r="I56" s="460"/>
      <c r="J56" s="461"/>
      <c r="K56" s="448">
        <f>SUMIF('PO MTRL'!$G$9:$G512,G56,'PO MTRL'!$J$9:$J512)</f>
        <v>0</v>
      </c>
      <c r="L56" s="448">
        <f t="shared" si="1"/>
        <v>0</v>
      </c>
      <c r="M56" s="449">
        <f>SUMIF('PO MTRL'!$G$9:$G512,G56,'PO MTRL'!$L$9:$L512)</f>
        <v>0</v>
      </c>
      <c r="N56" s="450">
        <f>IF(G56=0,0,(VLOOKUP(G56,'2. SMDA BHN'!$B$12:$H512,5,0)))</f>
        <v>0</v>
      </c>
      <c r="O56" s="450">
        <f>IF(G56=0,0,(VLOOKUP(G56,'2. SMDA BHN'!$B$12:$H512,7,0)))</f>
        <v>0</v>
      </c>
      <c r="P56" s="449">
        <f t="shared" si="2"/>
        <v>0</v>
      </c>
      <c r="Q56" s="449">
        <f t="shared" si="3"/>
        <v>0</v>
      </c>
      <c r="R56" s="451" t="s">
        <v>45</v>
      </c>
      <c r="S56" s="464"/>
      <c r="T56" s="439"/>
      <c r="U56" s="16"/>
      <c r="V56" s="439"/>
      <c r="W56" s="439"/>
      <c r="X56" s="439"/>
      <c r="Y56" s="439"/>
      <c r="Z56" s="439"/>
      <c r="AA56" s="439"/>
      <c r="AB56" s="439"/>
      <c r="AC56" s="439"/>
      <c r="AD56" s="439"/>
      <c r="AE56" s="439"/>
      <c r="AF56" s="439"/>
    </row>
    <row r="57" ht="16.5" customHeight="1">
      <c r="A57" s="439"/>
      <c r="B57" s="454">
        <f t="shared" si="4"/>
        <v>1048</v>
      </c>
      <c r="C57" s="468"/>
      <c r="D57" s="442" t="str">
        <f>IF(G57="","",(VLOOKUP(G57,'2. SMDA BHN'!$B$12:$J512,2,0)))</f>
        <v/>
      </c>
      <c r="E57" s="443">
        <f>IF(G57=0,0,(VLOOKUP(G57,'2. SMDA BHN'!$B$12:$J512,3,0)))</f>
        <v>0</v>
      </c>
      <c r="F57" s="444"/>
      <c r="G57" s="467"/>
      <c r="H57" s="446">
        <f>IF(G57=0,0,(VLOOKUP(G57,'2. SMDA BHN'!$B$12:$H512,4,0)))</f>
        <v>0</v>
      </c>
      <c r="I57" s="460"/>
      <c r="J57" s="461"/>
      <c r="K57" s="448">
        <f>SUMIF('PO MTRL'!$G$9:$G512,G57,'PO MTRL'!$J$9:$J512)</f>
        <v>0</v>
      </c>
      <c r="L57" s="448">
        <f t="shared" si="1"/>
        <v>0</v>
      </c>
      <c r="M57" s="449">
        <f>SUMIF('PO MTRL'!$G$9:$G512,G57,'PO MTRL'!$L$9:$L512)</f>
        <v>0</v>
      </c>
      <c r="N57" s="450">
        <f>IF(G57=0,0,(VLOOKUP(G57,'2. SMDA BHN'!$B$12:$H512,5,0)))</f>
        <v>0</v>
      </c>
      <c r="O57" s="450">
        <f>IF(G57=0,0,(VLOOKUP(G57,'2. SMDA BHN'!$B$12:$H512,7,0)))</f>
        <v>0</v>
      </c>
      <c r="P57" s="449">
        <f t="shared" si="2"/>
        <v>0</v>
      </c>
      <c r="Q57" s="449">
        <f t="shared" si="3"/>
        <v>0</v>
      </c>
      <c r="R57" s="451" t="s">
        <v>45</v>
      </c>
      <c r="S57" s="464"/>
      <c r="T57" s="439"/>
      <c r="U57" s="16"/>
      <c r="V57" s="439"/>
      <c r="W57" s="439"/>
      <c r="X57" s="439"/>
      <c r="Y57" s="439"/>
      <c r="Z57" s="439"/>
      <c r="AA57" s="439"/>
      <c r="AB57" s="439"/>
      <c r="AC57" s="439"/>
      <c r="AD57" s="439"/>
      <c r="AE57" s="439"/>
      <c r="AF57" s="439"/>
    </row>
    <row r="58" ht="16.5" customHeight="1">
      <c r="A58" s="439"/>
      <c r="B58" s="454">
        <f t="shared" si="4"/>
        <v>1049</v>
      </c>
      <c r="C58" s="468"/>
      <c r="D58" s="442" t="str">
        <f>IF(G58="","",(VLOOKUP(G58,'2. SMDA BHN'!$B$12:$J512,2,0)))</f>
        <v/>
      </c>
      <c r="E58" s="443">
        <f>IF(G58=0,0,(VLOOKUP(G58,'2. SMDA BHN'!$B$12:$J512,3,0)))</f>
        <v>0</v>
      </c>
      <c r="F58" s="444"/>
      <c r="G58" s="467"/>
      <c r="H58" s="446">
        <f>IF(G58=0,0,(VLOOKUP(G58,'2. SMDA BHN'!$B$12:$H512,4,0)))</f>
        <v>0</v>
      </c>
      <c r="I58" s="460"/>
      <c r="J58" s="461"/>
      <c r="K58" s="448">
        <f>SUMIF('PO MTRL'!$G$9:$G512,G58,'PO MTRL'!$J$9:$J512)</f>
        <v>0</v>
      </c>
      <c r="L58" s="448">
        <f t="shared" si="1"/>
        <v>0</v>
      </c>
      <c r="M58" s="449">
        <f>SUMIF('PO MTRL'!$G$9:$G512,G58,'PO MTRL'!$L$9:$L512)</f>
        <v>0</v>
      </c>
      <c r="N58" s="450">
        <f>IF(G58=0,0,(VLOOKUP(G58,'2. SMDA BHN'!$B$12:$H512,5,0)))</f>
        <v>0</v>
      </c>
      <c r="O58" s="450">
        <f>IF(G58=0,0,(VLOOKUP(G58,'2. SMDA BHN'!$B$12:$H512,7,0)))</f>
        <v>0</v>
      </c>
      <c r="P58" s="449">
        <f t="shared" si="2"/>
        <v>0</v>
      </c>
      <c r="Q58" s="449">
        <f t="shared" si="3"/>
        <v>0</v>
      </c>
      <c r="R58" s="451" t="s">
        <v>45</v>
      </c>
      <c r="S58" s="464"/>
      <c r="T58" s="439"/>
      <c r="U58" s="16"/>
      <c r="V58" s="439"/>
      <c r="W58" s="439"/>
      <c r="X58" s="439"/>
      <c r="Y58" s="439"/>
      <c r="Z58" s="439"/>
      <c r="AA58" s="439"/>
      <c r="AB58" s="439"/>
      <c r="AC58" s="439"/>
      <c r="AD58" s="439"/>
      <c r="AE58" s="439"/>
      <c r="AF58" s="439"/>
    </row>
    <row r="59" ht="16.5" customHeight="1">
      <c r="A59" s="439"/>
      <c r="B59" s="454">
        <f t="shared" si="4"/>
        <v>1050</v>
      </c>
      <c r="C59" s="468"/>
      <c r="D59" s="442" t="str">
        <f>IF(G59="","",(VLOOKUP(G59,'2. SMDA BHN'!$B$12:$J512,2,0)))</f>
        <v/>
      </c>
      <c r="E59" s="443">
        <f>IF(G59=0,0,(VLOOKUP(G59,'2. SMDA BHN'!$B$12:$J512,3,0)))</f>
        <v>0</v>
      </c>
      <c r="F59" s="444"/>
      <c r="G59" s="467"/>
      <c r="H59" s="446">
        <f>IF(G59=0,0,(VLOOKUP(G59,'2. SMDA BHN'!$B$12:$H512,4,0)))</f>
        <v>0</v>
      </c>
      <c r="I59" s="460"/>
      <c r="J59" s="461"/>
      <c r="K59" s="448">
        <f>SUMIF('PO MTRL'!$G$9:$G512,G59,'PO MTRL'!$J$9:$J512)</f>
        <v>0</v>
      </c>
      <c r="L59" s="448">
        <f t="shared" si="1"/>
        <v>0</v>
      </c>
      <c r="M59" s="449">
        <f>SUMIF('PO MTRL'!$G$9:$G512,G59,'PO MTRL'!$L$9:$L512)</f>
        <v>0</v>
      </c>
      <c r="N59" s="450">
        <f>IF(G59=0,0,(VLOOKUP(G59,'2. SMDA BHN'!$B$12:$H512,5,0)))</f>
        <v>0</v>
      </c>
      <c r="O59" s="450">
        <f>IF(G59=0,0,(VLOOKUP(G59,'2. SMDA BHN'!$B$12:$H512,7,0)))</f>
        <v>0</v>
      </c>
      <c r="P59" s="449">
        <f t="shared" si="2"/>
        <v>0</v>
      </c>
      <c r="Q59" s="449">
        <f t="shared" si="3"/>
        <v>0</v>
      </c>
      <c r="R59" s="451" t="s">
        <v>45</v>
      </c>
      <c r="S59" s="464"/>
      <c r="T59" s="439"/>
      <c r="U59" s="16"/>
      <c r="V59" s="439"/>
      <c r="W59" s="439"/>
      <c r="X59" s="439"/>
      <c r="Y59" s="439"/>
      <c r="Z59" s="439"/>
      <c r="AA59" s="439"/>
      <c r="AB59" s="439"/>
      <c r="AC59" s="439"/>
      <c r="AD59" s="439"/>
      <c r="AE59" s="439"/>
      <c r="AF59" s="439"/>
    </row>
    <row r="60" ht="16.5" customHeight="1">
      <c r="A60" s="439"/>
      <c r="B60" s="454">
        <f t="shared" si="4"/>
        <v>1051</v>
      </c>
      <c r="C60" s="468"/>
      <c r="D60" s="442" t="str">
        <f>IF(G60="","",(VLOOKUP(G60,'2. SMDA BHN'!$B$12:$J512,2,0)))</f>
        <v/>
      </c>
      <c r="E60" s="443">
        <f>IF(G60=0,0,(VLOOKUP(G60,'2. SMDA BHN'!$B$12:$J512,3,0)))</f>
        <v>0</v>
      </c>
      <c r="F60" s="444"/>
      <c r="G60" s="467"/>
      <c r="H60" s="446">
        <f>IF(G60=0,0,(VLOOKUP(G60,'2. SMDA BHN'!$B$12:$H512,4,0)))</f>
        <v>0</v>
      </c>
      <c r="I60" s="460"/>
      <c r="J60" s="461"/>
      <c r="K60" s="448">
        <f>SUMIF('PO MTRL'!$G$9:$G512,G60,'PO MTRL'!$J$9:$J512)</f>
        <v>0</v>
      </c>
      <c r="L60" s="448">
        <f t="shared" si="1"/>
        <v>0</v>
      </c>
      <c r="M60" s="449">
        <f>SUMIF('PO MTRL'!$G$9:$G512,G60,'PO MTRL'!$L$9:$L512)</f>
        <v>0</v>
      </c>
      <c r="N60" s="450">
        <f>IF(G60=0,0,(VLOOKUP(G60,'2. SMDA BHN'!$B$12:$H512,5,0)))</f>
        <v>0</v>
      </c>
      <c r="O60" s="450">
        <f>IF(G60=0,0,(VLOOKUP(G60,'2. SMDA BHN'!$B$12:$H512,7,0)))</f>
        <v>0</v>
      </c>
      <c r="P60" s="449">
        <f t="shared" si="2"/>
        <v>0</v>
      </c>
      <c r="Q60" s="449">
        <f t="shared" si="3"/>
        <v>0</v>
      </c>
      <c r="R60" s="451" t="s">
        <v>45</v>
      </c>
      <c r="S60" s="464"/>
      <c r="T60" s="439"/>
      <c r="U60" s="16"/>
      <c r="V60" s="439"/>
      <c r="W60" s="439"/>
      <c r="X60" s="439"/>
      <c r="Y60" s="439"/>
      <c r="Z60" s="439"/>
      <c r="AA60" s="439"/>
      <c r="AB60" s="439"/>
      <c r="AC60" s="439"/>
      <c r="AD60" s="439"/>
      <c r="AE60" s="439"/>
      <c r="AF60" s="439"/>
    </row>
    <row r="61" ht="16.5" customHeight="1">
      <c r="A61" s="439"/>
      <c r="B61" s="454">
        <f t="shared" si="4"/>
        <v>1052</v>
      </c>
      <c r="C61" s="468"/>
      <c r="D61" s="442" t="str">
        <f>IF(G61="","",(VLOOKUP(G61,'2. SMDA BHN'!$B$12:$J512,2,0)))</f>
        <v/>
      </c>
      <c r="E61" s="443">
        <f>IF(G61=0,0,(VLOOKUP(G61,'2. SMDA BHN'!$B$12:$J512,3,0)))</f>
        <v>0</v>
      </c>
      <c r="F61" s="444"/>
      <c r="G61" s="467"/>
      <c r="H61" s="446">
        <f>IF(G61=0,0,(VLOOKUP(G61,'2. SMDA BHN'!$B$12:$H512,4,0)))</f>
        <v>0</v>
      </c>
      <c r="I61" s="460"/>
      <c r="J61" s="461"/>
      <c r="K61" s="448">
        <f>SUMIF('PO MTRL'!$G$9:$G512,G61,'PO MTRL'!$J$9:$J512)</f>
        <v>0</v>
      </c>
      <c r="L61" s="448">
        <f t="shared" si="1"/>
        <v>0</v>
      </c>
      <c r="M61" s="449">
        <f>SUMIF('PO MTRL'!$G$9:$G512,G61,'PO MTRL'!$L$9:$L512)</f>
        <v>0</v>
      </c>
      <c r="N61" s="450">
        <f>IF(G61=0,0,(VLOOKUP(G61,'2. SMDA BHN'!$B$12:$H512,5,0)))</f>
        <v>0</v>
      </c>
      <c r="O61" s="450">
        <f>IF(G61=0,0,(VLOOKUP(G61,'2. SMDA BHN'!$B$12:$H512,7,0)))</f>
        <v>0</v>
      </c>
      <c r="P61" s="449">
        <f t="shared" si="2"/>
        <v>0</v>
      </c>
      <c r="Q61" s="449">
        <f t="shared" si="3"/>
        <v>0</v>
      </c>
      <c r="R61" s="451" t="s">
        <v>45</v>
      </c>
      <c r="S61" s="464"/>
      <c r="T61" s="439"/>
      <c r="U61" s="16"/>
      <c r="V61" s="439"/>
      <c r="W61" s="439"/>
      <c r="X61" s="439"/>
      <c r="Y61" s="439"/>
      <c r="Z61" s="439"/>
      <c r="AA61" s="439"/>
      <c r="AB61" s="439"/>
      <c r="AC61" s="439"/>
      <c r="AD61" s="439"/>
      <c r="AE61" s="439"/>
      <c r="AF61" s="439"/>
    </row>
    <row r="62" ht="16.5" customHeight="1">
      <c r="A62" s="439"/>
      <c r="B62" s="454">
        <f t="shared" si="4"/>
        <v>1053</v>
      </c>
      <c r="C62" s="468"/>
      <c r="D62" s="442" t="str">
        <f>IF(G62="","",(VLOOKUP(G62,'2. SMDA BHN'!$B$12:$J512,2,0)))</f>
        <v/>
      </c>
      <c r="E62" s="443">
        <f>IF(G62=0,0,(VLOOKUP(G62,'2. SMDA BHN'!$B$12:$J512,3,0)))</f>
        <v>0</v>
      </c>
      <c r="F62" s="444"/>
      <c r="G62" s="467"/>
      <c r="H62" s="446">
        <f>IF(G62=0,0,(VLOOKUP(G62,'2. SMDA BHN'!$B$12:$H512,4,0)))</f>
        <v>0</v>
      </c>
      <c r="I62" s="460"/>
      <c r="J62" s="461"/>
      <c r="K62" s="448">
        <f>SUMIF('PO MTRL'!$G$9:$G512,G62,'PO MTRL'!$J$9:$J512)</f>
        <v>0</v>
      </c>
      <c r="L62" s="448">
        <f t="shared" si="1"/>
        <v>0</v>
      </c>
      <c r="M62" s="449">
        <f>SUMIF('PO MTRL'!$G$9:$G512,G62,'PO MTRL'!$L$9:$L512)</f>
        <v>0</v>
      </c>
      <c r="N62" s="450">
        <f>IF(G62=0,0,(VLOOKUP(G62,'2. SMDA BHN'!$B$12:$H512,5,0)))</f>
        <v>0</v>
      </c>
      <c r="O62" s="450">
        <f>IF(G62=0,0,(VLOOKUP(G62,'2. SMDA BHN'!$B$12:$H512,7,0)))</f>
        <v>0</v>
      </c>
      <c r="P62" s="449">
        <f t="shared" si="2"/>
        <v>0</v>
      </c>
      <c r="Q62" s="449">
        <f t="shared" si="3"/>
        <v>0</v>
      </c>
      <c r="R62" s="451" t="s">
        <v>45</v>
      </c>
      <c r="S62" s="464"/>
      <c r="T62" s="439"/>
      <c r="U62" s="16"/>
      <c r="V62" s="439"/>
      <c r="W62" s="439"/>
      <c r="X62" s="439"/>
      <c r="Y62" s="439"/>
      <c r="Z62" s="439"/>
      <c r="AA62" s="439"/>
      <c r="AB62" s="439"/>
      <c r="AC62" s="439"/>
      <c r="AD62" s="439"/>
      <c r="AE62" s="439"/>
      <c r="AF62" s="439"/>
    </row>
    <row r="63" ht="16.5" customHeight="1">
      <c r="A63" s="439"/>
      <c r="B63" s="454">
        <f t="shared" si="4"/>
        <v>1054</v>
      </c>
      <c r="C63" s="468"/>
      <c r="D63" s="442" t="str">
        <f>IF(G63="","",(VLOOKUP(G63,'2. SMDA BHN'!$B$12:$J512,2,0)))</f>
        <v/>
      </c>
      <c r="E63" s="443">
        <f>IF(G63=0,0,(VLOOKUP(G63,'2. SMDA BHN'!$B$12:$J512,3,0)))</f>
        <v>0</v>
      </c>
      <c r="F63" s="444"/>
      <c r="G63" s="467"/>
      <c r="H63" s="446">
        <f>IF(G63=0,0,(VLOOKUP(G63,'2. SMDA BHN'!$B$12:$H512,4,0)))</f>
        <v>0</v>
      </c>
      <c r="I63" s="460"/>
      <c r="J63" s="461"/>
      <c r="K63" s="448">
        <f>SUMIF('PO MTRL'!$G$9:$G512,G63,'PO MTRL'!$J$9:$J512)</f>
        <v>0</v>
      </c>
      <c r="L63" s="448">
        <f t="shared" si="1"/>
        <v>0</v>
      </c>
      <c r="M63" s="449">
        <f>SUMIF('PO MTRL'!$G$9:$G512,G63,'PO MTRL'!$L$9:$L512)</f>
        <v>0</v>
      </c>
      <c r="N63" s="450">
        <f>IF(G63=0,0,(VLOOKUP(G63,'2. SMDA BHN'!$B$12:$H512,5,0)))</f>
        <v>0</v>
      </c>
      <c r="O63" s="450">
        <f>IF(G63=0,0,(VLOOKUP(G63,'2. SMDA BHN'!$B$12:$H512,7,0)))</f>
        <v>0</v>
      </c>
      <c r="P63" s="449">
        <f t="shared" si="2"/>
        <v>0</v>
      </c>
      <c r="Q63" s="449">
        <f t="shared" si="3"/>
        <v>0</v>
      </c>
      <c r="R63" s="451" t="s">
        <v>45</v>
      </c>
      <c r="S63" s="464"/>
      <c r="T63" s="439"/>
      <c r="U63" s="16"/>
      <c r="V63" s="439"/>
      <c r="W63" s="439"/>
      <c r="X63" s="439"/>
      <c r="Y63" s="439"/>
      <c r="Z63" s="439"/>
      <c r="AA63" s="439"/>
      <c r="AB63" s="439"/>
      <c r="AC63" s="439"/>
      <c r="AD63" s="439"/>
      <c r="AE63" s="439"/>
      <c r="AF63" s="439"/>
    </row>
    <row r="64" ht="16.5" customHeight="1">
      <c r="A64" s="439"/>
      <c r="B64" s="454">
        <f t="shared" si="4"/>
        <v>1055</v>
      </c>
      <c r="C64" s="468"/>
      <c r="D64" s="442" t="str">
        <f>IF(G64="","",(VLOOKUP(G64,'2. SMDA BHN'!$B$12:$J512,2,0)))</f>
        <v/>
      </c>
      <c r="E64" s="443">
        <f>IF(G64=0,0,(VLOOKUP(G64,'2. SMDA BHN'!$B$12:$J512,3,0)))</f>
        <v>0</v>
      </c>
      <c r="F64" s="444"/>
      <c r="G64" s="467"/>
      <c r="H64" s="446">
        <f>IF(G64=0,0,(VLOOKUP(G64,'2. SMDA BHN'!$B$12:$H512,4,0)))</f>
        <v>0</v>
      </c>
      <c r="I64" s="460"/>
      <c r="J64" s="461"/>
      <c r="K64" s="448">
        <f>SUMIF('PO MTRL'!$G$9:$G512,G64,'PO MTRL'!$J$9:$J512)</f>
        <v>0</v>
      </c>
      <c r="L64" s="448">
        <f t="shared" si="1"/>
        <v>0</v>
      </c>
      <c r="M64" s="449">
        <f>SUMIF('PO MTRL'!$G$9:$G512,G64,'PO MTRL'!$L$9:$L512)</f>
        <v>0</v>
      </c>
      <c r="N64" s="450">
        <f>IF(G64=0,0,(VLOOKUP(G64,'2. SMDA BHN'!$B$12:$H512,5,0)))</f>
        <v>0</v>
      </c>
      <c r="O64" s="450">
        <f>IF(G64=0,0,(VLOOKUP(G64,'2. SMDA BHN'!$B$12:$H512,7,0)))</f>
        <v>0</v>
      </c>
      <c r="P64" s="449">
        <f t="shared" si="2"/>
        <v>0</v>
      </c>
      <c r="Q64" s="449">
        <f t="shared" si="3"/>
        <v>0</v>
      </c>
      <c r="R64" s="451" t="s">
        <v>45</v>
      </c>
      <c r="S64" s="464"/>
      <c r="T64" s="439"/>
      <c r="U64" s="16"/>
      <c r="V64" s="439"/>
      <c r="W64" s="439"/>
      <c r="X64" s="439"/>
      <c r="Y64" s="439"/>
      <c r="Z64" s="439"/>
      <c r="AA64" s="439"/>
      <c r="AB64" s="439"/>
      <c r="AC64" s="439"/>
      <c r="AD64" s="439"/>
      <c r="AE64" s="439"/>
      <c r="AF64" s="439"/>
    </row>
    <row r="65" ht="16.5" customHeight="1">
      <c r="A65" s="439"/>
      <c r="B65" s="454">
        <f t="shared" si="4"/>
        <v>1056</v>
      </c>
      <c r="C65" s="468"/>
      <c r="D65" s="442" t="str">
        <f>IF(G65="","",(VLOOKUP(G65,'2. SMDA BHN'!$B$12:$J512,2,0)))</f>
        <v/>
      </c>
      <c r="E65" s="443">
        <f>IF(G65=0,0,(VLOOKUP(G65,'2. SMDA BHN'!$B$12:$J512,3,0)))</f>
        <v>0</v>
      </c>
      <c r="F65" s="444"/>
      <c r="G65" s="467"/>
      <c r="H65" s="446">
        <f>IF(G65=0,0,(VLOOKUP(G65,'2. SMDA BHN'!$B$12:$H512,4,0)))</f>
        <v>0</v>
      </c>
      <c r="I65" s="460"/>
      <c r="J65" s="461"/>
      <c r="K65" s="448">
        <f>SUMIF('PO MTRL'!$G$9:$G512,G65,'PO MTRL'!$J$9:$J512)</f>
        <v>0</v>
      </c>
      <c r="L65" s="448">
        <f t="shared" si="1"/>
        <v>0</v>
      </c>
      <c r="M65" s="449">
        <f>SUMIF('PO MTRL'!$G$9:$G512,G65,'PO MTRL'!$L$9:$L512)</f>
        <v>0</v>
      </c>
      <c r="N65" s="450">
        <f>IF(G65=0,0,(VLOOKUP(G65,'2. SMDA BHN'!$B$12:$H512,5,0)))</f>
        <v>0</v>
      </c>
      <c r="O65" s="450">
        <f>IF(G65=0,0,(VLOOKUP(G65,'2. SMDA BHN'!$B$12:$H512,7,0)))</f>
        <v>0</v>
      </c>
      <c r="P65" s="449">
        <f t="shared" si="2"/>
        <v>0</v>
      </c>
      <c r="Q65" s="449">
        <f t="shared" si="3"/>
        <v>0</v>
      </c>
      <c r="R65" s="451" t="s">
        <v>45</v>
      </c>
      <c r="S65" s="464"/>
      <c r="T65" s="439"/>
      <c r="U65" s="16"/>
      <c r="V65" s="439"/>
      <c r="W65" s="439"/>
      <c r="X65" s="439"/>
      <c r="Y65" s="439"/>
      <c r="Z65" s="439"/>
      <c r="AA65" s="439"/>
      <c r="AB65" s="439"/>
      <c r="AC65" s="439"/>
      <c r="AD65" s="439"/>
      <c r="AE65" s="439"/>
      <c r="AF65" s="439"/>
    </row>
    <row r="66" ht="16.5" customHeight="1">
      <c r="A66" s="439"/>
      <c r="B66" s="454">
        <f t="shared" si="4"/>
        <v>1057</v>
      </c>
      <c r="C66" s="468"/>
      <c r="D66" s="442" t="str">
        <f>IF(G66="","",(VLOOKUP(G66,'2. SMDA BHN'!$B$12:$J512,2,0)))</f>
        <v/>
      </c>
      <c r="E66" s="443">
        <f>IF(G66=0,0,(VLOOKUP(G66,'2. SMDA BHN'!$B$12:$J512,3,0)))</f>
        <v>0</v>
      </c>
      <c r="F66" s="444"/>
      <c r="G66" s="467"/>
      <c r="H66" s="446">
        <f>IF(G66=0,0,(VLOOKUP(G66,'2. SMDA BHN'!$B$12:$H512,4,0)))</f>
        <v>0</v>
      </c>
      <c r="I66" s="460"/>
      <c r="J66" s="461"/>
      <c r="K66" s="448">
        <f>SUMIF('PO MTRL'!$G$9:$G512,G66,'PO MTRL'!$J$9:$J512)</f>
        <v>0</v>
      </c>
      <c r="L66" s="448">
        <f t="shared" si="1"/>
        <v>0</v>
      </c>
      <c r="M66" s="449">
        <f>SUMIF('PO MTRL'!$G$9:$G512,G66,'PO MTRL'!$L$9:$L512)</f>
        <v>0</v>
      </c>
      <c r="N66" s="450">
        <f>IF(G66=0,0,(VLOOKUP(G66,'2. SMDA BHN'!$B$12:$H512,5,0)))</f>
        <v>0</v>
      </c>
      <c r="O66" s="450">
        <f>IF(G66=0,0,(VLOOKUP(G66,'2. SMDA BHN'!$B$12:$H512,7,0)))</f>
        <v>0</v>
      </c>
      <c r="P66" s="449">
        <f t="shared" si="2"/>
        <v>0</v>
      </c>
      <c r="Q66" s="449">
        <f t="shared" si="3"/>
        <v>0</v>
      </c>
      <c r="R66" s="451" t="s">
        <v>45</v>
      </c>
      <c r="S66" s="464"/>
      <c r="T66" s="439"/>
      <c r="U66" s="16"/>
      <c r="V66" s="439"/>
      <c r="W66" s="439"/>
      <c r="X66" s="439"/>
      <c r="Y66" s="439"/>
      <c r="Z66" s="439"/>
      <c r="AA66" s="439"/>
      <c r="AB66" s="439"/>
      <c r="AC66" s="439"/>
      <c r="AD66" s="439"/>
      <c r="AE66" s="439"/>
      <c r="AF66" s="439"/>
    </row>
    <row r="67" ht="16.5" customHeight="1">
      <c r="A67" s="439"/>
      <c r="B67" s="454">
        <f t="shared" si="4"/>
        <v>1058</v>
      </c>
      <c r="C67" s="468"/>
      <c r="D67" s="442" t="str">
        <f>IF(G67="","",(VLOOKUP(G67,'2. SMDA BHN'!$B$12:$J512,2,0)))</f>
        <v/>
      </c>
      <c r="E67" s="443">
        <f>IF(G67=0,0,(VLOOKUP(G67,'2. SMDA BHN'!$B$12:$J512,3,0)))</f>
        <v>0</v>
      </c>
      <c r="F67" s="444"/>
      <c r="G67" s="467"/>
      <c r="H67" s="446">
        <f>IF(G67=0,0,(VLOOKUP(G67,'2. SMDA BHN'!$B$12:$H512,4,0)))</f>
        <v>0</v>
      </c>
      <c r="I67" s="460"/>
      <c r="J67" s="461"/>
      <c r="K67" s="448">
        <f>SUMIF('PO MTRL'!$G$9:$G512,G67,'PO MTRL'!$J$9:$J512)</f>
        <v>0</v>
      </c>
      <c r="L67" s="448">
        <f t="shared" si="1"/>
        <v>0</v>
      </c>
      <c r="M67" s="449">
        <f>SUMIF('PO MTRL'!$G$9:$G512,G67,'PO MTRL'!$L$9:$L512)</f>
        <v>0</v>
      </c>
      <c r="N67" s="450">
        <f>IF(G67=0,0,(VLOOKUP(G67,'2. SMDA BHN'!$B$12:$H512,5,0)))</f>
        <v>0</v>
      </c>
      <c r="O67" s="450">
        <f>IF(G67=0,0,(VLOOKUP(G67,'2. SMDA BHN'!$B$12:$H512,7,0)))</f>
        <v>0</v>
      </c>
      <c r="P67" s="449">
        <f t="shared" si="2"/>
        <v>0</v>
      </c>
      <c r="Q67" s="449">
        <f t="shared" si="3"/>
        <v>0</v>
      </c>
      <c r="R67" s="451" t="s">
        <v>45</v>
      </c>
      <c r="S67" s="464"/>
      <c r="T67" s="439"/>
      <c r="U67" s="16"/>
      <c r="V67" s="439"/>
      <c r="W67" s="439"/>
      <c r="X67" s="439"/>
      <c r="Y67" s="439"/>
      <c r="Z67" s="439"/>
      <c r="AA67" s="439"/>
      <c r="AB67" s="439"/>
      <c r="AC67" s="439"/>
      <c r="AD67" s="439"/>
      <c r="AE67" s="439"/>
      <c r="AF67" s="439"/>
    </row>
    <row r="68" ht="16.5" customHeight="1">
      <c r="A68" s="439"/>
      <c r="B68" s="454">
        <f t="shared" si="4"/>
        <v>1059</v>
      </c>
      <c r="C68" s="468"/>
      <c r="D68" s="442" t="str">
        <f>IF(G68="","",(VLOOKUP(G68,'2. SMDA BHN'!$B$12:$J512,2,0)))</f>
        <v/>
      </c>
      <c r="E68" s="443">
        <f>IF(G68=0,0,(VLOOKUP(G68,'2. SMDA BHN'!$B$12:$J512,3,0)))</f>
        <v>0</v>
      </c>
      <c r="F68" s="444"/>
      <c r="G68" s="467"/>
      <c r="H68" s="446">
        <f>IF(G68=0,0,(VLOOKUP(G68,'2. SMDA BHN'!$B$12:$H512,4,0)))</f>
        <v>0</v>
      </c>
      <c r="I68" s="460"/>
      <c r="J68" s="461"/>
      <c r="K68" s="448">
        <f>SUMIF('PO MTRL'!$G$9:$G512,G68,'PO MTRL'!$J$9:$J512)</f>
        <v>0</v>
      </c>
      <c r="L68" s="448">
        <f t="shared" si="1"/>
        <v>0</v>
      </c>
      <c r="M68" s="449">
        <f>SUMIF('PO MTRL'!$G$9:$G512,G68,'PO MTRL'!$L$9:$L512)</f>
        <v>0</v>
      </c>
      <c r="N68" s="450">
        <f>IF(G68=0,0,(VLOOKUP(G68,'2. SMDA BHN'!$B$12:$H512,5,0)))</f>
        <v>0</v>
      </c>
      <c r="O68" s="450">
        <f>IF(G68=0,0,(VLOOKUP(G68,'2. SMDA BHN'!$B$12:$H512,7,0)))</f>
        <v>0</v>
      </c>
      <c r="P68" s="449">
        <f t="shared" si="2"/>
        <v>0</v>
      </c>
      <c r="Q68" s="449">
        <f t="shared" si="3"/>
        <v>0</v>
      </c>
      <c r="R68" s="451" t="s">
        <v>45</v>
      </c>
      <c r="S68" s="464"/>
      <c r="T68" s="439"/>
      <c r="U68" s="16"/>
      <c r="V68" s="439"/>
      <c r="W68" s="439"/>
      <c r="X68" s="439"/>
      <c r="Y68" s="439"/>
      <c r="Z68" s="439"/>
      <c r="AA68" s="439"/>
      <c r="AB68" s="439"/>
      <c r="AC68" s="439"/>
      <c r="AD68" s="439"/>
      <c r="AE68" s="439"/>
      <c r="AF68" s="439"/>
    </row>
    <row r="69" ht="16.5" customHeight="1">
      <c r="A69" s="439"/>
      <c r="B69" s="454">
        <f t="shared" si="4"/>
        <v>1060</v>
      </c>
      <c r="C69" s="468"/>
      <c r="D69" s="442" t="str">
        <f>IF(G69="","",(VLOOKUP(G69,'2. SMDA BHN'!$B$12:$J512,2,0)))</f>
        <v/>
      </c>
      <c r="E69" s="443">
        <f>IF(G69=0,0,(VLOOKUP(G69,'2. SMDA BHN'!$B$12:$J512,3,0)))</f>
        <v>0</v>
      </c>
      <c r="F69" s="444"/>
      <c r="G69" s="467"/>
      <c r="H69" s="446">
        <f>IF(G69=0,0,(VLOOKUP(G69,'2. SMDA BHN'!$B$12:$H512,4,0)))</f>
        <v>0</v>
      </c>
      <c r="I69" s="460"/>
      <c r="J69" s="461"/>
      <c r="K69" s="448">
        <f>SUMIF('PO MTRL'!$G$9:$G512,G69,'PO MTRL'!$J$9:$J512)</f>
        <v>0</v>
      </c>
      <c r="L69" s="448">
        <f t="shared" si="1"/>
        <v>0</v>
      </c>
      <c r="M69" s="449">
        <f>SUMIF('PO MTRL'!$G$9:$G512,G69,'PO MTRL'!$L$9:$L512)</f>
        <v>0</v>
      </c>
      <c r="N69" s="450">
        <f>IF(G69=0,0,(VLOOKUP(G69,'2. SMDA BHN'!$B$12:$H512,5,0)))</f>
        <v>0</v>
      </c>
      <c r="O69" s="450">
        <f>IF(G69=0,0,(VLOOKUP(G69,'2. SMDA BHN'!$B$12:$H512,7,0)))</f>
        <v>0</v>
      </c>
      <c r="P69" s="449">
        <f t="shared" si="2"/>
        <v>0</v>
      </c>
      <c r="Q69" s="449">
        <f t="shared" si="3"/>
        <v>0</v>
      </c>
      <c r="R69" s="451" t="s">
        <v>45</v>
      </c>
      <c r="S69" s="464"/>
      <c r="T69" s="439"/>
      <c r="U69" s="16"/>
      <c r="V69" s="439"/>
      <c r="W69" s="439"/>
      <c r="X69" s="439"/>
      <c r="Y69" s="439"/>
      <c r="Z69" s="439"/>
      <c r="AA69" s="439"/>
      <c r="AB69" s="439"/>
      <c r="AC69" s="439"/>
      <c r="AD69" s="439"/>
      <c r="AE69" s="439"/>
      <c r="AF69" s="439"/>
    </row>
    <row r="70" ht="16.5" customHeight="1">
      <c r="A70" s="439"/>
      <c r="B70" s="454">
        <f t="shared" si="4"/>
        <v>1061</v>
      </c>
      <c r="C70" s="468"/>
      <c r="D70" s="442" t="str">
        <f>IF(G70="","",(VLOOKUP(G70,'2. SMDA BHN'!$B$12:$J512,2,0)))</f>
        <v/>
      </c>
      <c r="E70" s="443">
        <f>IF(G70=0,0,(VLOOKUP(G70,'2. SMDA BHN'!$B$12:$J512,3,0)))</f>
        <v>0</v>
      </c>
      <c r="F70" s="444"/>
      <c r="G70" s="467"/>
      <c r="H70" s="446">
        <f>IF(G70=0,0,(VLOOKUP(G70,'2. SMDA BHN'!$B$12:$H512,4,0)))</f>
        <v>0</v>
      </c>
      <c r="I70" s="460"/>
      <c r="J70" s="461"/>
      <c r="K70" s="448">
        <f>SUMIF('PO MTRL'!$G$9:$G512,G70,'PO MTRL'!$J$9:$J512)</f>
        <v>0</v>
      </c>
      <c r="L70" s="448">
        <f t="shared" si="1"/>
        <v>0</v>
      </c>
      <c r="M70" s="449">
        <f>SUMIF('PO MTRL'!$G$9:$G512,G70,'PO MTRL'!$L$9:$L512)</f>
        <v>0</v>
      </c>
      <c r="N70" s="450">
        <f>IF(G70=0,0,(VLOOKUP(G70,'2. SMDA BHN'!$B$12:$H512,5,0)))</f>
        <v>0</v>
      </c>
      <c r="O70" s="450">
        <f>IF(G70=0,0,(VLOOKUP(G70,'2. SMDA BHN'!$B$12:$H512,7,0)))</f>
        <v>0</v>
      </c>
      <c r="P70" s="449">
        <f t="shared" si="2"/>
        <v>0</v>
      </c>
      <c r="Q70" s="449">
        <f t="shared" si="3"/>
        <v>0</v>
      </c>
      <c r="R70" s="451" t="s">
        <v>45</v>
      </c>
      <c r="S70" s="464"/>
      <c r="T70" s="439"/>
      <c r="U70" s="16"/>
      <c r="V70" s="439"/>
      <c r="W70" s="439"/>
      <c r="X70" s="439"/>
      <c r="Y70" s="439"/>
      <c r="Z70" s="439"/>
      <c r="AA70" s="439"/>
      <c r="AB70" s="439"/>
      <c r="AC70" s="439"/>
      <c r="AD70" s="439"/>
      <c r="AE70" s="439"/>
      <c r="AF70" s="439"/>
    </row>
    <row r="71" ht="16.5" customHeight="1">
      <c r="A71" s="439"/>
      <c r="B71" s="454">
        <f t="shared" si="4"/>
        <v>1062</v>
      </c>
      <c r="C71" s="468"/>
      <c r="D71" s="442" t="str">
        <f>IF(G71="","",(VLOOKUP(G71,'2. SMDA BHN'!$B$12:$J512,2,0)))</f>
        <v/>
      </c>
      <c r="E71" s="443">
        <f>IF(G71=0,0,(VLOOKUP(G71,'2. SMDA BHN'!$B$12:$J512,3,0)))</f>
        <v>0</v>
      </c>
      <c r="F71" s="444"/>
      <c r="G71" s="467"/>
      <c r="H71" s="446">
        <f>IF(G71=0,0,(VLOOKUP(G71,'2. SMDA BHN'!$B$12:$H512,4,0)))</f>
        <v>0</v>
      </c>
      <c r="I71" s="460"/>
      <c r="J71" s="461"/>
      <c r="K71" s="448">
        <f>SUMIF('PO MTRL'!$G$9:$G512,G71,'PO MTRL'!$J$9:$J512)</f>
        <v>0</v>
      </c>
      <c r="L71" s="448">
        <f t="shared" si="1"/>
        <v>0</v>
      </c>
      <c r="M71" s="449">
        <f>SUMIF('PO MTRL'!$G$9:$G512,G71,'PO MTRL'!$L$9:$L512)</f>
        <v>0</v>
      </c>
      <c r="N71" s="450">
        <f>IF(G71=0,0,(VLOOKUP(G71,'2. SMDA BHN'!$B$12:$H512,5,0)))</f>
        <v>0</v>
      </c>
      <c r="O71" s="450">
        <f>IF(G71=0,0,(VLOOKUP(G71,'2. SMDA BHN'!$B$12:$H512,7,0)))</f>
        <v>0</v>
      </c>
      <c r="P71" s="449">
        <f t="shared" si="2"/>
        <v>0</v>
      </c>
      <c r="Q71" s="449">
        <f t="shared" si="3"/>
        <v>0</v>
      </c>
      <c r="R71" s="451" t="s">
        <v>45</v>
      </c>
      <c r="S71" s="464"/>
      <c r="T71" s="439"/>
      <c r="U71" s="16"/>
      <c r="V71" s="439"/>
      <c r="W71" s="439"/>
      <c r="X71" s="439"/>
      <c r="Y71" s="439"/>
      <c r="Z71" s="439"/>
      <c r="AA71" s="439"/>
      <c r="AB71" s="439"/>
      <c r="AC71" s="439"/>
      <c r="AD71" s="439"/>
      <c r="AE71" s="439"/>
      <c r="AF71" s="439"/>
    </row>
    <row r="72" ht="16.5" customHeight="1">
      <c r="A72" s="439"/>
      <c r="B72" s="454">
        <f t="shared" si="4"/>
        <v>1063</v>
      </c>
      <c r="C72" s="468"/>
      <c r="D72" s="442" t="str">
        <f>IF(G72="","",(VLOOKUP(G72,'2. SMDA BHN'!$B$12:$J512,2,0)))</f>
        <v/>
      </c>
      <c r="E72" s="443">
        <f>IF(G72=0,0,(VLOOKUP(G72,'2. SMDA BHN'!$B$12:$J512,3,0)))</f>
        <v>0</v>
      </c>
      <c r="F72" s="444"/>
      <c r="G72" s="467"/>
      <c r="H72" s="446">
        <f>IF(G72=0,0,(VLOOKUP(G72,'2. SMDA BHN'!$B$12:$H512,4,0)))</f>
        <v>0</v>
      </c>
      <c r="I72" s="460"/>
      <c r="J72" s="461"/>
      <c r="K72" s="448">
        <f>SUMIF('PO MTRL'!$G$9:$G512,G72,'PO MTRL'!$J$9:$J512)</f>
        <v>0</v>
      </c>
      <c r="L72" s="448">
        <f t="shared" si="1"/>
        <v>0</v>
      </c>
      <c r="M72" s="449">
        <f>SUMIF('PO MTRL'!$G$9:$G512,G72,'PO MTRL'!$L$9:$L512)</f>
        <v>0</v>
      </c>
      <c r="N72" s="450">
        <f>IF(G72=0,0,(VLOOKUP(G72,'2. SMDA BHN'!$B$12:$H512,5,0)))</f>
        <v>0</v>
      </c>
      <c r="O72" s="450">
        <f>IF(G72=0,0,(VLOOKUP(G72,'2. SMDA BHN'!$B$12:$H512,7,0)))</f>
        <v>0</v>
      </c>
      <c r="P72" s="449">
        <f t="shared" si="2"/>
        <v>0</v>
      </c>
      <c r="Q72" s="449">
        <f t="shared" si="3"/>
        <v>0</v>
      </c>
      <c r="R72" s="451" t="s">
        <v>45</v>
      </c>
      <c r="S72" s="464"/>
      <c r="T72" s="439"/>
      <c r="U72" s="16"/>
      <c r="V72" s="439"/>
      <c r="W72" s="439"/>
      <c r="X72" s="439"/>
      <c r="Y72" s="439"/>
      <c r="Z72" s="439"/>
      <c r="AA72" s="439"/>
      <c r="AB72" s="439"/>
      <c r="AC72" s="439"/>
      <c r="AD72" s="439"/>
      <c r="AE72" s="439"/>
      <c r="AF72" s="439"/>
    </row>
    <row r="73" ht="16.5" customHeight="1">
      <c r="A73" s="439"/>
      <c r="B73" s="454">
        <f t="shared" si="4"/>
        <v>1064</v>
      </c>
      <c r="C73" s="468"/>
      <c r="D73" s="442" t="str">
        <f>IF(G73="","",(VLOOKUP(G73,'2. SMDA BHN'!$B$12:$J512,2,0)))</f>
        <v/>
      </c>
      <c r="E73" s="443">
        <f>IF(G73=0,0,(VLOOKUP(G73,'2. SMDA BHN'!$B$12:$J512,3,0)))</f>
        <v>0</v>
      </c>
      <c r="F73" s="444"/>
      <c r="G73" s="467"/>
      <c r="H73" s="446">
        <f>IF(G73=0,0,(VLOOKUP(G73,'2. SMDA BHN'!$B$12:$H512,4,0)))</f>
        <v>0</v>
      </c>
      <c r="I73" s="460"/>
      <c r="J73" s="461"/>
      <c r="K73" s="448">
        <f>SUMIF('PO MTRL'!$G$9:$G512,G73,'PO MTRL'!$J$9:$J512)</f>
        <v>0</v>
      </c>
      <c r="L73" s="448">
        <f t="shared" si="1"/>
        <v>0</v>
      </c>
      <c r="M73" s="449">
        <f>SUMIF('PO MTRL'!$G$9:$G512,G73,'PO MTRL'!$L$9:$L512)</f>
        <v>0</v>
      </c>
      <c r="N73" s="450">
        <f>IF(G73=0,0,(VLOOKUP(G73,'2. SMDA BHN'!$B$12:$H512,5,0)))</f>
        <v>0</v>
      </c>
      <c r="O73" s="450">
        <f>IF(G73=0,0,(VLOOKUP(G73,'2. SMDA BHN'!$B$12:$H512,7,0)))</f>
        <v>0</v>
      </c>
      <c r="P73" s="449">
        <f t="shared" si="2"/>
        <v>0</v>
      </c>
      <c r="Q73" s="449">
        <f t="shared" si="3"/>
        <v>0</v>
      </c>
      <c r="R73" s="451" t="s">
        <v>45</v>
      </c>
      <c r="S73" s="464"/>
      <c r="T73" s="439"/>
      <c r="U73" s="16"/>
      <c r="V73" s="439"/>
      <c r="W73" s="439"/>
      <c r="X73" s="439"/>
      <c r="Y73" s="439"/>
      <c r="Z73" s="439"/>
      <c r="AA73" s="439"/>
      <c r="AB73" s="439"/>
      <c r="AC73" s="439"/>
      <c r="AD73" s="439"/>
      <c r="AE73" s="439"/>
      <c r="AF73" s="439"/>
    </row>
    <row r="74" ht="16.5" customHeight="1">
      <c r="A74" s="439"/>
      <c r="B74" s="454">
        <f t="shared" si="4"/>
        <v>1065</v>
      </c>
      <c r="C74" s="468"/>
      <c r="D74" s="442" t="str">
        <f>IF(G74="","",(VLOOKUP(G74,'2. SMDA BHN'!$B$12:$J512,2,0)))</f>
        <v/>
      </c>
      <c r="E74" s="443">
        <f>IF(G74=0,0,(VLOOKUP(G74,'2. SMDA BHN'!$B$12:$J512,3,0)))</f>
        <v>0</v>
      </c>
      <c r="F74" s="444"/>
      <c r="G74" s="467"/>
      <c r="H74" s="446">
        <f>IF(G74=0,0,(VLOOKUP(G74,'2. SMDA BHN'!$B$12:$H512,4,0)))</f>
        <v>0</v>
      </c>
      <c r="I74" s="460"/>
      <c r="J74" s="461"/>
      <c r="K74" s="448">
        <f>SUMIF('PO MTRL'!$G$9:$G512,G74,'PO MTRL'!$J$9:$J512)</f>
        <v>0</v>
      </c>
      <c r="L74" s="448">
        <f t="shared" si="1"/>
        <v>0</v>
      </c>
      <c r="M74" s="449">
        <f>SUMIF('PO MTRL'!$G$9:$G512,G74,'PO MTRL'!$L$9:$L512)</f>
        <v>0</v>
      </c>
      <c r="N74" s="450">
        <f>IF(G74=0,0,(VLOOKUP(G74,'2. SMDA BHN'!$B$12:$H512,5,0)))</f>
        <v>0</v>
      </c>
      <c r="O74" s="450">
        <f>IF(G74=0,0,(VLOOKUP(G74,'2. SMDA BHN'!$B$12:$H512,7,0)))</f>
        <v>0</v>
      </c>
      <c r="P74" s="449">
        <f t="shared" si="2"/>
        <v>0</v>
      </c>
      <c r="Q74" s="449">
        <f t="shared" si="3"/>
        <v>0</v>
      </c>
      <c r="R74" s="451" t="s">
        <v>45</v>
      </c>
      <c r="S74" s="464"/>
      <c r="T74" s="439"/>
      <c r="U74" s="16"/>
      <c r="V74" s="439"/>
      <c r="W74" s="439"/>
      <c r="X74" s="439"/>
      <c r="Y74" s="439"/>
      <c r="Z74" s="439"/>
      <c r="AA74" s="439"/>
      <c r="AB74" s="439"/>
      <c r="AC74" s="439"/>
      <c r="AD74" s="439"/>
      <c r="AE74" s="439"/>
      <c r="AF74" s="439"/>
    </row>
    <row r="75" ht="16.5" customHeight="1">
      <c r="A75" s="439"/>
      <c r="B75" s="454">
        <f t="shared" si="4"/>
        <v>1066</v>
      </c>
      <c r="C75" s="468"/>
      <c r="D75" s="442" t="str">
        <f>IF(G75="","",(VLOOKUP(G75,'2. SMDA BHN'!$B$12:$J512,2,0)))</f>
        <v/>
      </c>
      <c r="E75" s="443">
        <f>IF(G75=0,0,(VLOOKUP(G75,'2. SMDA BHN'!$B$12:$J512,3,0)))</f>
        <v>0</v>
      </c>
      <c r="F75" s="444"/>
      <c r="G75" s="467"/>
      <c r="H75" s="446">
        <f>IF(G75=0,0,(VLOOKUP(G75,'2. SMDA BHN'!$B$12:$H512,4,0)))</f>
        <v>0</v>
      </c>
      <c r="I75" s="460"/>
      <c r="J75" s="461"/>
      <c r="K75" s="448">
        <f>SUMIF('PO MTRL'!$G$9:$G512,G75,'PO MTRL'!$J$9:$J512)</f>
        <v>0</v>
      </c>
      <c r="L75" s="448">
        <f t="shared" si="1"/>
        <v>0</v>
      </c>
      <c r="M75" s="449">
        <f>SUMIF('PO MTRL'!$G$9:$G512,G75,'PO MTRL'!$L$9:$L512)</f>
        <v>0</v>
      </c>
      <c r="N75" s="450">
        <f>IF(G75=0,0,(VLOOKUP(G75,'2. SMDA BHN'!$B$12:$H512,5,0)))</f>
        <v>0</v>
      </c>
      <c r="O75" s="450">
        <f>IF(G75=0,0,(VLOOKUP(G75,'2. SMDA BHN'!$B$12:$H512,7,0)))</f>
        <v>0</v>
      </c>
      <c r="P75" s="449">
        <f t="shared" si="2"/>
        <v>0</v>
      </c>
      <c r="Q75" s="449">
        <f t="shared" si="3"/>
        <v>0</v>
      </c>
      <c r="R75" s="451" t="s">
        <v>45</v>
      </c>
      <c r="S75" s="464"/>
      <c r="T75" s="439"/>
      <c r="U75" s="16"/>
      <c r="V75" s="439"/>
      <c r="W75" s="439"/>
      <c r="X75" s="439"/>
      <c r="Y75" s="439"/>
      <c r="Z75" s="439"/>
      <c r="AA75" s="439"/>
      <c r="AB75" s="439"/>
      <c r="AC75" s="439"/>
      <c r="AD75" s="439"/>
      <c r="AE75" s="439"/>
      <c r="AF75" s="439"/>
    </row>
    <row r="76" ht="16.5" customHeight="1">
      <c r="A76" s="439"/>
      <c r="B76" s="454">
        <f t="shared" si="4"/>
        <v>1067</v>
      </c>
      <c r="C76" s="468"/>
      <c r="D76" s="442" t="str">
        <f>IF(G76="","",(VLOOKUP(G76,'2. SMDA BHN'!$B$12:$J512,2,0)))</f>
        <v/>
      </c>
      <c r="E76" s="443">
        <f>IF(G76=0,0,(VLOOKUP(G76,'2. SMDA BHN'!$B$12:$J512,3,0)))</f>
        <v>0</v>
      </c>
      <c r="F76" s="444"/>
      <c r="G76" s="467"/>
      <c r="H76" s="446">
        <f>IF(G76=0,0,(VLOOKUP(G76,'2. SMDA BHN'!$B$12:$H512,4,0)))</f>
        <v>0</v>
      </c>
      <c r="I76" s="460"/>
      <c r="J76" s="461"/>
      <c r="K76" s="448">
        <f>SUMIF('PO MTRL'!$G$9:$G512,G76,'PO MTRL'!$J$9:$J512)</f>
        <v>0</v>
      </c>
      <c r="L76" s="448">
        <f t="shared" si="1"/>
        <v>0</v>
      </c>
      <c r="M76" s="449">
        <f>SUMIF('PO MTRL'!$G$9:$G512,G76,'PO MTRL'!$L$9:$L512)</f>
        <v>0</v>
      </c>
      <c r="N76" s="450">
        <f>IF(G76=0,0,(VLOOKUP(G76,'2. SMDA BHN'!$B$12:$H512,5,0)))</f>
        <v>0</v>
      </c>
      <c r="O76" s="450">
        <f>IF(G76=0,0,(VLOOKUP(G76,'2. SMDA BHN'!$B$12:$H512,7,0)))</f>
        <v>0</v>
      </c>
      <c r="P76" s="449">
        <f t="shared" si="2"/>
        <v>0</v>
      </c>
      <c r="Q76" s="449">
        <f t="shared" si="3"/>
        <v>0</v>
      </c>
      <c r="R76" s="451" t="s">
        <v>45</v>
      </c>
      <c r="S76" s="464"/>
      <c r="T76" s="439"/>
      <c r="U76" s="16"/>
      <c r="V76" s="439"/>
      <c r="W76" s="439"/>
      <c r="X76" s="439"/>
      <c r="Y76" s="439"/>
      <c r="Z76" s="439"/>
      <c r="AA76" s="439"/>
      <c r="AB76" s="439"/>
      <c r="AC76" s="439"/>
      <c r="AD76" s="439"/>
      <c r="AE76" s="439"/>
      <c r="AF76" s="439"/>
    </row>
    <row r="77" ht="16.5" customHeight="1">
      <c r="A77" s="439"/>
      <c r="B77" s="454">
        <f t="shared" si="4"/>
        <v>1068</v>
      </c>
      <c r="C77" s="468"/>
      <c r="D77" s="442" t="str">
        <f>IF(G77="","",(VLOOKUP(G77,'2. SMDA BHN'!$B$12:$J512,2,0)))</f>
        <v/>
      </c>
      <c r="E77" s="443">
        <f>IF(G77=0,0,(VLOOKUP(G77,'2. SMDA BHN'!$B$12:$J512,3,0)))</f>
        <v>0</v>
      </c>
      <c r="F77" s="444"/>
      <c r="G77" s="467"/>
      <c r="H77" s="446">
        <f>IF(G77=0,0,(VLOOKUP(G77,'2. SMDA BHN'!$B$12:$H512,4,0)))</f>
        <v>0</v>
      </c>
      <c r="I77" s="460"/>
      <c r="J77" s="461"/>
      <c r="K77" s="448">
        <f>SUMIF('PO MTRL'!$G$9:$G512,G77,'PO MTRL'!$J$9:$J512)</f>
        <v>0</v>
      </c>
      <c r="L77" s="448">
        <f t="shared" si="1"/>
        <v>0</v>
      </c>
      <c r="M77" s="449">
        <f>SUMIF('PO MTRL'!$G$9:$G512,G77,'PO MTRL'!$L$9:$L512)</f>
        <v>0</v>
      </c>
      <c r="N77" s="450">
        <f>IF(G77=0,0,(VLOOKUP(G77,'2. SMDA BHN'!$B$12:$H512,5,0)))</f>
        <v>0</v>
      </c>
      <c r="O77" s="450">
        <f>IF(G77=0,0,(VLOOKUP(G77,'2. SMDA BHN'!$B$12:$H512,7,0)))</f>
        <v>0</v>
      </c>
      <c r="P77" s="449">
        <f t="shared" si="2"/>
        <v>0</v>
      </c>
      <c r="Q77" s="449">
        <f t="shared" si="3"/>
        <v>0</v>
      </c>
      <c r="R77" s="451" t="s">
        <v>45</v>
      </c>
      <c r="S77" s="464"/>
      <c r="T77" s="439"/>
      <c r="U77" s="16"/>
      <c r="V77" s="439"/>
      <c r="W77" s="439"/>
      <c r="X77" s="439"/>
      <c r="Y77" s="439"/>
      <c r="Z77" s="439"/>
      <c r="AA77" s="439"/>
      <c r="AB77" s="439"/>
      <c r="AC77" s="439"/>
      <c r="AD77" s="439"/>
      <c r="AE77" s="439"/>
      <c r="AF77" s="439"/>
    </row>
    <row r="78" ht="16.5" customHeight="1">
      <c r="A78" s="439"/>
      <c r="B78" s="454">
        <f t="shared" si="4"/>
        <v>1069</v>
      </c>
      <c r="C78" s="468"/>
      <c r="D78" s="442" t="str">
        <f>IF(G78="","",(VLOOKUP(G78,'2. SMDA BHN'!$B$12:$J512,2,0)))</f>
        <v/>
      </c>
      <c r="E78" s="443">
        <f>IF(G78=0,0,(VLOOKUP(G78,'2. SMDA BHN'!$B$12:$J512,3,0)))</f>
        <v>0</v>
      </c>
      <c r="F78" s="444"/>
      <c r="G78" s="467"/>
      <c r="H78" s="446">
        <f>IF(G78=0,0,(VLOOKUP(G78,'2. SMDA BHN'!$B$12:$H512,4,0)))</f>
        <v>0</v>
      </c>
      <c r="I78" s="460"/>
      <c r="J78" s="461"/>
      <c r="K78" s="448">
        <f>SUMIF('PO MTRL'!$G$9:$G512,G78,'PO MTRL'!$J$9:$J512)</f>
        <v>0</v>
      </c>
      <c r="L78" s="448">
        <f t="shared" si="1"/>
        <v>0</v>
      </c>
      <c r="M78" s="449">
        <f>SUMIF('PO MTRL'!$G$9:$G512,G78,'PO MTRL'!$L$9:$L512)</f>
        <v>0</v>
      </c>
      <c r="N78" s="450">
        <f>IF(G78=0,0,(VLOOKUP(G78,'2. SMDA BHN'!$B$12:$H512,5,0)))</f>
        <v>0</v>
      </c>
      <c r="O78" s="450">
        <f>IF(G78=0,0,(VLOOKUP(G78,'2. SMDA BHN'!$B$12:$H512,7,0)))</f>
        <v>0</v>
      </c>
      <c r="P78" s="449">
        <f t="shared" si="2"/>
        <v>0</v>
      </c>
      <c r="Q78" s="449">
        <f t="shared" si="3"/>
        <v>0</v>
      </c>
      <c r="R78" s="451" t="s">
        <v>45</v>
      </c>
      <c r="S78" s="464"/>
      <c r="T78" s="439"/>
      <c r="U78" s="16"/>
      <c r="V78" s="439"/>
      <c r="W78" s="439"/>
      <c r="X78" s="439"/>
      <c r="Y78" s="439"/>
      <c r="Z78" s="439"/>
      <c r="AA78" s="439"/>
      <c r="AB78" s="439"/>
      <c r="AC78" s="439"/>
      <c r="AD78" s="439"/>
      <c r="AE78" s="439"/>
      <c r="AF78" s="439"/>
    </row>
    <row r="79" ht="16.5" customHeight="1">
      <c r="A79" s="439"/>
      <c r="B79" s="454">
        <f t="shared" si="4"/>
        <v>1070</v>
      </c>
      <c r="C79" s="468"/>
      <c r="D79" s="442" t="str">
        <f>IF(G79="","",(VLOOKUP(G79,'2. SMDA BHN'!$B$12:$J512,2,0)))</f>
        <v/>
      </c>
      <c r="E79" s="443">
        <f>IF(G79=0,0,(VLOOKUP(G79,'2. SMDA BHN'!$B$12:$J512,3,0)))</f>
        <v>0</v>
      </c>
      <c r="F79" s="444"/>
      <c r="G79" s="467"/>
      <c r="H79" s="446">
        <f>IF(G79=0,0,(VLOOKUP(G79,'2. SMDA BHN'!$B$12:$H512,4,0)))</f>
        <v>0</v>
      </c>
      <c r="I79" s="460"/>
      <c r="J79" s="461"/>
      <c r="K79" s="448">
        <f>SUMIF('PO MTRL'!$G$9:$G512,G79,'PO MTRL'!$J$9:$J512)</f>
        <v>0</v>
      </c>
      <c r="L79" s="448">
        <f t="shared" si="1"/>
        <v>0</v>
      </c>
      <c r="M79" s="449">
        <f>SUMIF('PO MTRL'!$G$9:$G512,G79,'PO MTRL'!$L$9:$L512)</f>
        <v>0</v>
      </c>
      <c r="N79" s="450">
        <f>IF(G79=0,0,(VLOOKUP(G79,'2. SMDA BHN'!$B$12:$H512,5,0)))</f>
        <v>0</v>
      </c>
      <c r="O79" s="450">
        <f>IF(G79=0,0,(VLOOKUP(G79,'2. SMDA BHN'!$B$12:$H512,7,0)))</f>
        <v>0</v>
      </c>
      <c r="P79" s="449">
        <f t="shared" si="2"/>
        <v>0</v>
      </c>
      <c r="Q79" s="449">
        <f t="shared" si="3"/>
        <v>0</v>
      </c>
      <c r="R79" s="451" t="s">
        <v>45</v>
      </c>
      <c r="S79" s="464"/>
      <c r="T79" s="439"/>
      <c r="U79" s="16"/>
      <c r="V79" s="439"/>
      <c r="W79" s="439"/>
      <c r="X79" s="439"/>
      <c r="Y79" s="439"/>
      <c r="Z79" s="439"/>
      <c r="AA79" s="439"/>
      <c r="AB79" s="439"/>
      <c r="AC79" s="439"/>
      <c r="AD79" s="439"/>
      <c r="AE79" s="439"/>
      <c r="AF79" s="439"/>
    </row>
    <row r="80" ht="16.5" customHeight="1">
      <c r="A80" s="439"/>
      <c r="B80" s="454">
        <f t="shared" si="4"/>
        <v>1071</v>
      </c>
      <c r="C80" s="468"/>
      <c r="D80" s="442" t="str">
        <f>IF(G80="","",(VLOOKUP(G80,'2. SMDA BHN'!$B$12:$J512,2,0)))</f>
        <v/>
      </c>
      <c r="E80" s="443">
        <f>IF(G80=0,0,(VLOOKUP(G80,'2. SMDA BHN'!$B$12:$J512,3,0)))</f>
        <v>0</v>
      </c>
      <c r="F80" s="444"/>
      <c r="G80" s="467"/>
      <c r="H80" s="446">
        <f>IF(G80=0,0,(VLOOKUP(G80,'2. SMDA BHN'!$B$12:$H512,4,0)))</f>
        <v>0</v>
      </c>
      <c r="I80" s="460"/>
      <c r="J80" s="461"/>
      <c r="K80" s="448">
        <f>SUMIF('PO MTRL'!$G$9:$G512,G80,'PO MTRL'!$J$9:$J512)</f>
        <v>0</v>
      </c>
      <c r="L80" s="448">
        <f t="shared" si="1"/>
        <v>0</v>
      </c>
      <c r="M80" s="449">
        <f>SUMIF('PO MTRL'!$G$9:$G512,G80,'PO MTRL'!$L$9:$L512)</f>
        <v>0</v>
      </c>
      <c r="N80" s="450">
        <f>IF(G80=0,0,(VLOOKUP(G80,'2. SMDA BHN'!$B$12:$H512,5,0)))</f>
        <v>0</v>
      </c>
      <c r="O80" s="450">
        <f>IF(G80=0,0,(VLOOKUP(G80,'2. SMDA BHN'!$B$12:$H512,7,0)))</f>
        <v>0</v>
      </c>
      <c r="P80" s="449">
        <f t="shared" si="2"/>
        <v>0</v>
      </c>
      <c r="Q80" s="449">
        <f t="shared" si="3"/>
        <v>0</v>
      </c>
      <c r="R80" s="451" t="s">
        <v>45</v>
      </c>
      <c r="S80" s="464"/>
      <c r="T80" s="439"/>
      <c r="U80" s="16"/>
      <c r="V80" s="439"/>
      <c r="W80" s="439"/>
      <c r="X80" s="439"/>
      <c r="Y80" s="439"/>
      <c r="Z80" s="439"/>
      <c r="AA80" s="439"/>
      <c r="AB80" s="439"/>
      <c r="AC80" s="439"/>
      <c r="AD80" s="439"/>
      <c r="AE80" s="439"/>
      <c r="AF80" s="439"/>
    </row>
    <row r="81" ht="16.5" customHeight="1">
      <c r="A81" s="439"/>
      <c r="B81" s="454">
        <f t="shared" si="4"/>
        <v>1072</v>
      </c>
      <c r="C81" s="468"/>
      <c r="D81" s="442" t="str">
        <f>IF(G81="","",(VLOOKUP(G81,'2. SMDA BHN'!$B$12:$J512,2,0)))</f>
        <v/>
      </c>
      <c r="E81" s="443">
        <f>IF(G81=0,0,(VLOOKUP(G81,'2. SMDA BHN'!$B$12:$J512,3,0)))</f>
        <v>0</v>
      </c>
      <c r="F81" s="444"/>
      <c r="G81" s="467"/>
      <c r="H81" s="446">
        <f>IF(G81=0,0,(VLOOKUP(G81,'2. SMDA BHN'!$B$12:$H512,4,0)))</f>
        <v>0</v>
      </c>
      <c r="I81" s="460"/>
      <c r="J81" s="461"/>
      <c r="K81" s="448">
        <f>SUMIF('PO MTRL'!$G$9:$G512,G81,'PO MTRL'!$J$9:$J512)</f>
        <v>0</v>
      </c>
      <c r="L81" s="448">
        <f t="shared" si="1"/>
        <v>0</v>
      </c>
      <c r="M81" s="449">
        <f>SUMIF('PO MTRL'!$G$9:$G512,G81,'PO MTRL'!$L$9:$L512)</f>
        <v>0</v>
      </c>
      <c r="N81" s="450">
        <f>IF(G81=0,0,(VLOOKUP(G81,'2. SMDA BHN'!$B$12:$H512,5,0)))</f>
        <v>0</v>
      </c>
      <c r="O81" s="450">
        <f>IF(G81=0,0,(VLOOKUP(G81,'2. SMDA BHN'!$B$12:$H512,7,0)))</f>
        <v>0</v>
      </c>
      <c r="P81" s="449">
        <f t="shared" si="2"/>
        <v>0</v>
      </c>
      <c r="Q81" s="449">
        <f t="shared" si="3"/>
        <v>0</v>
      </c>
      <c r="R81" s="451" t="s">
        <v>45</v>
      </c>
      <c r="S81" s="464"/>
      <c r="T81" s="439"/>
      <c r="U81" s="16"/>
      <c r="V81" s="439"/>
      <c r="W81" s="439"/>
      <c r="X81" s="439"/>
      <c r="Y81" s="439"/>
      <c r="Z81" s="439"/>
      <c r="AA81" s="439"/>
      <c r="AB81" s="439"/>
      <c r="AC81" s="439"/>
      <c r="AD81" s="439"/>
      <c r="AE81" s="439"/>
      <c r="AF81" s="439"/>
    </row>
    <row r="82" ht="16.5" customHeight="1">
      <c r="A82" s="439"/>
      <c r="B82" s="454">
        <f t="shared" si="4"/>
        <v>1073</v>
      </c>
      <c r="C82" s="468"/>
      <c r="D82" s="442" t="str">
        <f>IF(G82="","",(VLOOKUP(G82,'2. SMDA BHN'!$B$12:$J512,2,0)))</f>
        <v/>
      </c>
      <c r="E82" s="443">
        <f>IF(G82=0,0,(VLOOKUP(G82,'2. SMDA BHN'!$B$12:$J512,3,0)))</f>
        <v>0</v>
      </c>
      <c r="F82" s="444"/>
      <c r="G82" s="467"/>
      <c r="H82" s="446">
        <f>IF(G82=0,0,(VLOOKUP(G82,'2. SMDA BHN'!$B$12:$H512,4,0)))</f>
        <v>0</v>
      </c>
      <c r="I82" s="460"/>
      <c r="J82" s="461"/>
      <c r="K82" s="448">
        <f>SUMIF('PO MTRL'!$G$9:$G512,G82,'PO MTRL'!$J$9:$J512)</f>
        <v>0</v>
      </c>
      <c r="L82" s="448">
        <f t="shared" si="1"/>
        <v>0</v>
      </c>
      <c r="M82" s="449">
        <f>SUMIF('PO MTRL'!$G$9:$G512,G82,'PO MTRL'!$L$9:$L512)</f>
        <v>0</v>
      </c>
      <c r="N82" s="450">
        <f>IF(G82=0,0,(VLOOKUP(G82,'2. SMDA BHN'!$B$12:$H512,5,0)))</f>
        <v>0</v>
      </c>
      <c r="O82" s="450">
        <f>IF(G82=0,0,(VLOOKUP(G82,'2. SMDA BHN'!$B$12:$H512,7,0)))</f>
        <v>0</v>
      </c>
      <c r="P82" s="449">
        <f t="shared" si="2"/>
        <v>0</v>
      </c>
      <c r="Q82" s="449">
        <f t="shared" si="3"/>
        <v>0</v>
      </c>
      <c r="R82" s="451" t="s">
        <v>45</v>
      </c>
      <c r="S82" s="464"/>
      <c r="T82" s="439"/>
      <c r="U82" s="16"/>
      <c r="V82" s="439"/>
      <c r="W82" s="439"/>
      <c r="X82" s="439"/>
      <c r="Y82" s="439"/>
      <c r="Z82" s="439"/>
      <c r="AA82" s="439"/>
      <c r="AB82" s="439"/>
      <c r="AC82" s="439"/>
      <c r="AD82" s="439"/>
      <c r="AE82" s="439"/>
      <c r="AF82" s="439"/>
    </row>
    <row r="83" ht="16.5" customHeight="1">
      <c r="A83" s="439"/>
      <c r="B83" s="454">
        <f t="shared" si="4"/>
        <v>1074</v>
      </c>
      <c r="C83" s="468"/>
      <c r="D83" s="442" t="str">
        <f>IF(G83="","",(VLOOKUP(G83,'2. SMDA BHN'!$B$12:$J512,2,0)))</f>
        <v/>
      </c>
      <c r="E83" s="443">
        <f>IF(G83=0,0,(VLOOKUP(G83,'2. SMDA BHN'!$B$12:$J512,3,0)))</f>
        <v>0</v>
      </c>
      <c r="F83" s="444"/>
      <c r="G83" s="467"/>
      <c r="H83" s="446">
        <f>IF(G83=0,0,(VLOOKUP(G83,'2. SMDA BHN'!$B$12:$H512,4,0)))</f>
        <v>0</v>
      </c>
      <c r="I83" s="460"/>
      <c r="J83" s="461"/>
      <c r="K83" s="448">
        <f>SUMIF('PO MTRL'!$G$9:$G512,G83,'PO MTRL'!$J$9:$J512)</f>
        <v>0</v>
      </c>
      <c r="L83" s="448">
        <f t="shared" si="1"/>
        <v>0</v>
      </c>
      <c r="M83" s="449">
        <f>SUMIF('PO MTRL'!$G$9:$G512,G83,'PO MTRL'!$L$9:$L512)</f>
        <v>0</v>
      </c>
      <c r="N83" s="450">
        <f>IF(G83=0,0,(VLOOKUP(G83,'2. SMDA BHN'!$B$12:$H512,5,0)))</f>
        <v>0</v>
      </c>
      <c r="O83" s="450">
        <f>IF(G83=0,0,(VLOOKUP(G83,'2. SMDA BHN'!$B$12:$H512,7,0)))</f>
        <v>0</v>
      </c>
      <c r="P83" s="449">
        <f t="shared" si="2"/>
        <v>0</v>
      </c>
      <c r="Q83" s="449">
        <f t="shared" si="3"/>
        <v>0</v>
      </c>
      <c r="R83" s="451" t="s">
        <v>45</v>
      </c>
      <c r="S83" s="464"/>
      <c r="T83" s="439"/>
      <c r="U83" s="16"/>
      <c r="V83" s="439"/>
      <c r="W83" s="439"/>
      <c r="X83" s="439"/>
      <c r="Y83" s="439"/>
      <c r="Z83" s="439"/>
      <c r="AA83" s="439"/>
      <c r="AB83" s="439"/>
      <c r="AC83" s="439"/>
      <c r="AD83" s="439"/>
      <c r="AE83" s="439"/>
      <c r="AF83" s="439"/>
    </row>
    <row r="84" ht="16.5" customHeight="1">
      <c r="A84" s="439"/>
      <c r="B84" s="454">
        <f t="shared" si="4"/>
        <v>1075</v>
      </c>
      <c r="C84" s="468"/>
      <c r="D84" s="442" t="str">
        <f>IF(G84="","",(VLOOKUP(G84,'2. SMDA BHN'!$B$12:$J512,2,0)))</f>
        <v/>
      </c>
      <c r="E84" s="443">
        <f>IF(G84=0,0,(VLOOKUP(G84,'2. SMDA BHN'!$B$12:$J512,3,0)))</f>
        <v>0</v>
      </c>
      <c r="F84" s="444"/>
      <c r="G84" s="467"/>
      <c r="H84" s="446">
        <f>IF(G84=0,0,(VLOOKUP(G84,'2. SMDA BHN'!$B$12:$H512,4,0)))</f>
        <v>0</v>
      </c>
      <c r="I84" s="460"/>
      <c r="J84" s="461"/>
      <c r="K84" s="448">
        <f>SUMIF('PO MTRL'!$G$9:$G512,G84,'PO MTRL'!$J$9:$J512)</f>
        <v>0</v>
      </c>
      <c r="L84" s="448">
        <f t="shared" si="1"/>
        <v>0</v>
      </c>
      <c r="M84" s="449">
        <f>SUMIF('PO MTRL'!$G$9:$G512,G84,'PO MTRL'!$L$9:$L512)</f>
        <v>0</v>
      </c>
      <c r="N84" s="450">
        <f>IF(G84=0,0,(VLOOKUP(G84,'2. SMDA BHN'!$B$12:$H512,5,0)))</f>
        <v>0</v>
      </c>
      <c r="O84" s="450">
        <f>IF(G84=0,0,(VLOOKUP(G84,'2. SMDA BHN'!$B$12:$H512,7,0)))</f>
        <v>0</v>
      </c>
      <c r="P84" s="449">
        <f t="shared" si="2"/>
        <v>0</v>
      </c>
      <c r="Q84" s="449">
        <f t="shared" si="3"/>
        <v>0</v>
      </c>
      <c r="R84" s="451" t="s">
        <v>45</v>
      </c>
      <c r="S84" s="464"/>
      <c r="T84" s="439"/>
      <c r="U84" s="16"/>
      <c r="V84" s="439"/>
      <c r="W84" s="439"/>
      <c r="X84" s="439"/>
      <c r="Y84" s="439"/>
      <c r="Z84" s="439"/>
      <c r="AA84" s="439"/>
      <c r="AB84" s="439"/>
      <c r="AC84" s="439"/>
      <c r="AD84" s="439"/>
      <c r="AE84" s="439"/>
      <c r="AF84" s="439"/>
    </row>
    <row r="85" ht="16.5" customHeight="1">
      <c r="A85" s="439"/>
      <c r="B85" s="454">
        <f t="shared" si="4"/>
        <v>1076</v>
      </c>
      <c r="C85" s="468"/>
      <c r="D85" s="442" t="str">
        <f>IF(G85="","",(VLOOKUP(G85,'2. SMDA BHN'!$B$12:$J512,2,0)))</f>
        <v/>
      </c>
      <c r="E85" s="443">
        <f>IF(G85=0,0,(VLOOKUP(G85,'2. SMDA BHN'!$B$12:$J512,3,0)))</f>
        <v>0</v>
      </c>
      <c r="F85" s="444"/>
      <c r="G85" s="467"/>
      <c r="H85" s="446">
        <f>IF(G85=0,0,(VLOOKUP(G85,'2. SMDA BHN'!$B$12:$H512,4,0)))</f>
        <v>0</v>
      </c>
      <c r="I85" s="460"/>
      <c r="J85" s="461"/>
      <c r="K85" s="448">
        <f>SUMIF('PO MTRL'!$G$9:$G512,G85,'PO MTRL'!$J$9:$J512)</f>
        <v>0</v>
      </c>
      <c r="L85" s="448">
        <f t="shared" si="1"/>
        <v>0</v>
      </c>
      <c r="M85" s="449">
        <f>SUMIF('PO MTRL'!$G$9:$G512,G85,'PO MTRL'!$L$9:$L512)</f>
        <v>0</v>
      </c>
      <c r="N85" s="450">
        <f>IF(G85=0,0,(VLOOKUP(G85,'2. SMDA BHN'!$B$12:$H512,5,0)))</f>
        <v>0</v>
      </c>
      <c r="O85" s="450">
        <f>IF(G85=0,0,(VLOOKUP(G85,'2. SMDA BHN'!$B$12:$H512,7,0)))</f>
        <v>0</v>
      </c>
      <c r="P85" s="449">
        <f t="shared" si="2"/>
        <v>0</v>
      </c>
      <c r="Q85" s="449">
        <f t="shared" si="3"/>
        <v>0</v>
      </c>
      <c r="R85" s="451" t="s">
        <v>45</v>
      </c>
      <c r="S85" s="464"/>
      <c r="T85" s="439"/>
      <c r="U85" s="16"/>
      <c r="V85" s="439"/>
      <c r="W85" s="439"/>
      <c r="X85" s="439"/>
      <c r="Y85" s="439"/>
      <c r="Z85" s="439"/>
      <c r="AA85" s="439"/>
      <c r="AB85" s="439"/>
      <c r="AC85" s="439"/>
      <c r="AD85" s="439"/>
      <c r="AE85" s="439"/>
      <c r="AF85" s="439"/>
    </row>
    <row r="86" ht="16.5" customHeight="1">
      <c r="A86" s="439"/>
      <c r="B86" s="454">
        <f t="shared" si="4"/>
        <v>1077</v>
      </c>
      <c r="C86" s="468"/>
      <c r="D86" s="442" t="str">
        <f>IF(G86="","",(VLOOKUP(G86,'2. SMDA BHN'!$B$12:$J512,2,0)))</f>
        <v/>
      </c>
      <c r="E86" s="443">
        <f>IF(G86=0,0,(VLOOKUP(G86,'2. SMDA BHN'!$B$12:$J512,3,0)))</f>
        <v>0</v>
      </c>
      <c r="F86" s="444"/>
      <c r="G86" s="467"/>
      <c r="H86" s="446">
        <f>IF(G86=0,0,(VLOOKUP(G86,'2. SMDA BHN'!$B$12:$H512,4,0)))</f>
        <v>0</v>
      </c>
      <c r="I86" s="460"/>
      <c r="J86" s="461"/>
      <c r="K86" s="448">
        <f>SUMIF('PO MTRL'!$G$9:$G512,G86,'PO MTRL'!$J$9:$J512)</f>
        <v>0</v>
      </c>
      <c r="L86" s="448">
        <f t="shared" si="1"/>
        <v>0</v>
      </c>
      <c r="M86" s="449">
        <f>SUMIF('PO MTRL'!$G$9:$G512,G86,'PO MTRL'!$L$9:$L512)</f>
        <v>0</v>
      </c>
      <c r="N86" s="450">
        <f>IF(G86=0,0,(VLOOKUP(G86,'2. SMDA BHN'!$B$12:$H512,5,0)))</f>
        <v>0</v>
      </c>
      <c r="O86" s="450">
        <f>IF(G86=0,0,(VLOOKUP(G86,'2. SMDA BHN'!$B$12:$H512,7,0)))</f>
        <v>0</v>
      </c>
      <c r="P86" s="449">
        <f t="shared" si="2"/>
        <v>0</v>
      </c>
      <c r="Q86" s="449">
        <f t="shared" si="3"/>
        <v>0</v>
      </c>
      <c r="R86" s="451" t="s">
        <v>45</v>
      </c>
      <c r="S86" s="464"/>
      <c r="T86" s="439"/>
      <c r="U86" s="16"/>
      <c r="V86" s="439"/>
      <c r="W86" s="439"/>
      <c r="X86" s="439"/>
      <c r="Y86" s="439"/>
      <c r="Z86" s="439"/>
      <c r="AA86" s="439"/>
      <c r="AB86" s="439"/>
      <c r="AC86" s="439"/>
      <c r="AD86" s="439"/>
      <c r="AE86" s="439"/>
      <c r="AF86" s="439"/>
    </row>
    <row r="87" ht="16.5" customHeight="1">
      <c r="A87" s="439"/>
      <c r="B87" s="454">
        <f t="shared" si="4"/>
        <v>1078</v>
      </c>
      <c r="C87" s="468"/>
      <c r="D87" s="442" t="str">
        <f>IF(G87="","",(VLOOKUP(G87,'2. SMDA BHN'!$B$12:$J512,2,0)))</f>
        <v/>
      </c>
      <c r="E87" s="443">
        <f>IF(G87=0,0,(VLOOKUP(G87,'2. SMDA BHN'!$B$12:$J512,3,0)))</f>
        <v>0</v>
      </c>
      <c r="F87" s="444"/>
      <c r="G87" s="467"/>
      <c r="H87" s="446">
        <f>IF(G87=0,0,(VLOOKUP(G87,'2. SMDA BHN'!$B$12:$H512,4,0)))</f>
        <v>0</v>
      </c>
      <c r="I87" s="460"/>
      <c r="J87" s="461"/>
      <c r="K87" s="448">
        <f>SUMIF('PO MTRL'!$G$9:$G512,G87,'PO MTRL'!$J$9:$J512)</f>
        <v>0</v>
      </c>
      <c r="L87" s="448">
        <f t="shared" si="1"/>
        <v>0</v>
      </c>
      <c r="M87" s="449">
        <f>SUMIF('PO MTRL'!$G$9:$G512,G87,'PO MTRL'!$L$9:$L512)</f>
        <v>0</v>
      </c>
      <c r="N87" s="450">
        <f>IF(G87=0,0,(VLOOKUP(G87,'2. SMDA BHN'!$B$12:$H512,5,0)))</f>
        <v>0</v>
      </c>
      <c r="O87" s="450">
        <f>IF(G87=0,0,(VLOOKUP(G87,'2. SMDA BHN'!$B$12:$H512,7,0)))</f>
        <v>0</v>
      </c>
      <c r="P87" s="449">
        <f t="shared" si="2"/>
        <v>0</v>
      </c>
      <c r="Q87" s="449">
        <f t="shared" si="3"/>
        <v>0</v>
      </c>
      <c r="R87" s="451" t="s">
        <v>45</v>
      </c>
      <c r="S87" s="464"/>
      <c r="T87" s="439"/>
      <c r="U87" s="16"/>
      <c r="V87" s="439"/>
      <c r="W87" s="439"/>
      <c r="X87" s="439"/>
      <c r="Y87" s="439"/>
      <c r="Z87" s="439"/>
      <c r="AA87" s="439"/>
      <c r="AB87" s="439"/>
      <c r="AC87" s="439"/>
      <c r="AD87" s="439"/>
      <c r="AE87" s="439"/>
      <c r="AF87" s="439"/>
    </row>
    <row r="88" ht="16.5" customHeight="1">
      <c r="A88" s="439"/>
      <c r="B88" s="454">
        <f t="shared" si="4"/>
        <v>1079</v>
      </c>
      <c r="C88" s="468"/>
      <c r="D88" s="442" t="str">
        <f>IF(G88="","",(VLOOKUP(G88,'2. SMDA BHN'!$B$12:$J512,2,0)))</f>
        <v/>
      </c>
      <c r="E88" s="443">
        <f>IF(G88=0,0,(VLOOKUP(G88,'2. SMDA BHN'!$B$12:$J512,3,0)))</f>
        <v>0</v>
      </c>
      <c r="F88" s="444"/>
      <c r="G88" s="467"/>
      <c r="H88" s="446">
        <f>IF(G88=0,0,(VLOOKUP(G88,'2. SMDA BHN'!$B$12:$H512,4,0)))</f>
        <v>0</v>
      </c>
      <c r="I88" s="460"/>
      <c r="J88" s="461"/>
      <c r="K88" s="448">
        <f>SUMIF('PO MTRL'!$G$9:$G512,G88,'PO MTRL'!$J$9:$J512)</f>
        <v>0</v>
      </c>
      <c r="L88" s="448">
        <f t="shared" si="1"/>
        <v>0</v>
      </c>
      <c r="M88" s="449">
        <f>SUMIF('PO MTRL'!$G$9:$G512,G88,'PO MTRL'!$L$9:$L512)</f>
        <v>0</v>
      </c>
      <c r="N88" s="450">
        <f>IF(G88=0,0,(VLOOKUP(G88,'2. SMDA BHN'!$B$12:$H512,5,0)))</f>
        <v>0</v>
      </c>
      <c r="O88" s="450">
        <f>IF(G88=0,0,(VLOOKUP(G88,'2. SMDA BHN'!$B$12:$H512,7,0)))</f>
        <v>0</v>
      </c>
      <c r="P88" s="449">
        <f t="shared" si="2"/>
        <v>0</v>
      </c>
      <c r="Q88" s="449">
        <f t="shared" si="3"/>
        <v>0</v>
      </c>
      <c r="R88" s="451" t="s">
        <v>45</v>
      </c>
      <c r="S88" s="464"/>
      <c r="T88" s="439"/>
      <c r="U88" s="16"/>
      <c r="V88" s="439"/>
      <c r="W88" s="439"/>
      <c r="X88" s="439"/>
      <c r="Y88" s="439"/>
      <c r="Z88" s="439"/>
      <c r="AA88" s="439"/>
      <c r="AB88" s="439"/>
      <c r="AC88" s="439"/>
      <c r="AD88" s="439"/>
      <c r="AE88" s="439"/>
      <c r="AF88" s="439"/>
    </row>
    <row r="89" ht="16.5" customHeight="1">
      <c r="A89" s="439"/>
      <c r="B89" s="454">
        <f t="shared" si="4"/>
        <v>1080</v>
      </c>
      <c r="C89" s="468"/>
      <c r="D89" s="442" t="str">
        <f>IF(G89="","",(VLOOKUP(G89,'2. SMDA BHN'!$B$12:$J512,2,0)))</f>
        <v/>
      </c>
      <c r="E89" s="443">
        <f>IF(G89=0,0,(VLOOKUP(G89,'2. SMDA BHN'!$B$12:$J512,3,0)))</f>
        <v>0</v>
      </c>
      <c r="F89" s="444"/>
      <c r="G89" s="467"/>
      <c r="H89" s="446">
        <f>IF(G89=0,0,(VLOOKUP(G89,'2. SMDA BHN'!$B$12:$H512,4,0)))</f>
        <v>0</v>
      </c>
      <c r="I89" s="460"/>
      <c r="J89" s="461"/>
      <c r="K89" s="448">
        <f>SUMIF('PO MTRL'!$G$9:$G512,G89,'PO MTRL'!$J$9:$J512)</f>
        <v>0</v>
      </c>
      <c r="L89" s="448">
        <f t="shared" si="1"/>
        <v>0</v>
      </c>
      <c r="M89" s="449">
        <f>SUMIF('PO MTRL'!$G$9:$G512,G89,'PO MTRL'!$L$9:$L512)</f>
        <v>0</v>
      </c>
      <c r="N89" s="450">
        <f>IF(G89=0,0,(VLOOKUP(G89,'2. SMDA BHN'!$B$12:$H512,5,0)))</f>
        <v>0</v>
      </c>
      <c r="O89" s="450">
        <f>IF(G89=0,0,(VLOOKUP(G89,'2. SMDA BHN'!$B$12:$H512,7,0)))</f>
        <v>0</v>
      </c>
      <c r="P89" s="449">
        <f t="shared" si="2"/>
        <v>0</v>
      </c>
      <c r="Q89" s="449">
        <f t="shared" si="3"/>
        <v>0</v>
      </c>
      <c r="R89" s="451" t="s">
        <v>45</v>
      </c>
      <c r="S89" s="464"/>
      <c r="T89" s="439"/>
      <c r="U89" s="16"/>
      <c r="V89" s="439"/>
      <c r="W89" s="439"/>
      <c r="X89" s="439"/>
      <c r="Y89" s="439"/>
      <c r="Z89" s="439"/>
      <c r="AA89" s="439"/>
      <c r="AB89" s="439"/>
      <c r="AC89" s="439"/>
      <c r="AD89" s="439"/>
      <c r="AE89" s="439"/>
      <c r="AF89" s="439"/>
    </row>
    <row r="90" ht="16.5" customHeight="1">
      <c r="A90" s="439"/>
      <c r="B90" s="454">
        <f t="shared" si="4"/>
        <v>1081</v>
      </c>
      <c r="C90" s="468"/>
      <c r="D90" s="442" t="str">
        <f>IF(G90="","",(VLOOKUP(G90,'2. SMDA BHN'!$B$12:$J512,2,0)))</f>
        <v/>
      </c>
      <c r="E90" s="443">
        <f>IF(G90=0,0,(VLOOKUP(G90,'2. SMDA BHN'!$B$12:$J512,3,0)))</f>
        <v>0</v>
      </c>
      <c r="F90" s="444"/>
      <c r="G90" s="467"/>
      <c r="H90" s="446">
        <f>IF(G90=0,0,(VLOOKUP(G90,'2. SMDA BHN'!$B$12:$H512,4,0)))</f>
        <v>0</v>
      </c>
      <c r="I90" s="460"/>
      <c r="J90" s="461"/>
      <c r="K90" s="448">
        <f>SUMIF('PO MTRL'!$G$9:$G512,G90,'PO MTRL'!$J$9:$J512)</f>
        <v>0</v>
      </c>
      <c r="L90" s="448">
        <f t="shared" si="1"/>
        <v>0</v>
      </c>
      <c r="M90" s="449">
        <f>SUMIF('PO MTRL'!$G$9:$G512,G90,'PO MTRL'!$L$9:$L512)</f>
        <v>0</v>
      </c>
      <c r="N90" s="450">
        <f>IF(G90=0,0,(VLOOKUP(G90,'2. SMDA BHN'!$B$12:$H512,5,0)))</f>
        <v>0</v>
      </c>
      <c r="O90" s="450">
        <f>IF(G90=0,0,(VLOOKUP(G90,'2. SMDA BHN'!$B$12:$H512,7,0)))</f>
        <v>0</v>
      </c>
      <c r="P90" s="449">
        <f t="shared" si="2"/>
        <v>0</v>
      </c>
      <c r="Q90" s="449">
        <f t="shared" si="3"/>
        <v>0</v>
      </c>
      <c r="R90" s="451" t="s">
        <v>45</v>
      </c>
      <c r="S90" s="464"/>
      <c r="T90" s="439"/>
      <c r="U90" s="16"/>
      <c r="V90" s="439"/>
      <c r="W90" s="439"/>
      <c r="X90" s="439"/>
      <c r="Y90" s="439"/>
      <c r="Z90" s="439"/>
      <c r="AA90" s="439"/>
      <c r="AB90" s="439"/>
      <c r="AC90" s="439"/>
      <c r="AD90" s="439"/>
      <c r="AE90" s="439"/>
      <c r="AF90" s="439"/>
    </row>
    <row r="91" ht="16.5" customHeight="1">
      <c r="A91" s="439"/>
      <c r="B91" s="454">
        <f t="shared" si="4"/>
        <v>1082</v>
      </c>
      <c r="C91" s="468"/>
      <c r="D91" s="442" t="str">
        <f>IF(G91="","",(VLOOKUP(G91,'2. SMDA BHN'!$B$12:$J512,2,0)))</f>
        <v/>
      </c>
      <c r="E91" s="443">
        <f>IF(G91=0,0,(VLOOKUP(G91,'2. SMDA BHN'!$B$12:$J512,3,0)))</f>
        <v>0</v>
      </c>
      <c r="F91" s="444"/>
      <c r="G91" s="467"/>
      <c r="H91" s="446">
        <f>IF(G91=0,0,(VLOOKUP(G91,'2. SMDA BHN'!$B$12:$H512,4,0)))</f>
        <v>0</v>
      </c>
      <c r="I91" s="460"/>
      <c r="J91" s="461"/>
      <c r="K91" s="448">
        <f>SUMIF('PO MTRL'!$G$9:$G512,G91,'PO MTRL'!$J$9:$J512)</f>
        <v>0</v>
      </c>
      <c r="L91" s="448">
        <f t="shared" si="1"/>
        <v>0</v>
      </c>
      <c r="M91" s="449">
        <f>SUMIF('PO MTRL'!$G$9:$G512,G91,'PO MTRL'!$L$9:$L512)</f>
        <v>0</v>
      </c>
      <c r="N91" s="450">
        <f>IF(G91=0,0,(VLOOKUP(G91,'2. SMDA BHN'!$B$12:$H512,5,0)))</f>
        <v>0</v>
      </c>
      <c r="O91" s="450">
        <f>IF(G91=0,0,(VLOOKUP(G91,'2. SMDA BHN'!$B$12:$H512,7,0)))</f>
        <v>0</v>
      </c>
      <c r="P91" s="449">
        <f t="shared" si="2"/>
        <v>0</v>
      </c>
      <c r="Q91" s="449">
        <f t="shared" si="3"/>
        <v>0</v>
      </c>
      <c r="R91" s="451" t="s">
        <v>45</v>
      </c>
      <c r="S91" s="464"/>
      <c r="T91" s="439"/>
      <c r="U91" s="16"/>
      <c r="V91" s="439"/>
      <c r="W91" s="439"/>
      <c r="X91" s="439"/>
      <c r="Y91" s="439"/>
      <c r="Z91" s="439"/>
      <c r="AA91" s="439"/>
      <c r="AB91" s="439"/>
      <c r="AC91" s="439"/>
      <c r="AD91" s="439"/>
      <c r="AE91" s="439"/>
      <c r="AF91" s="439"/>
    </row>
    <row r="92" ht="16.5" customHeight="1">
      <c r="A92" s="439"/>
      <c r="B92" s="454">
        <f t="shared" si="4"/>
        <v>1083</v>
      </c>
      <c r="C92" s="468"/>
      <c r="D92" s="442" t="str">
        <f>IF(G92="","",(VLOOKUP(G92,'2. SMDA BHN'!$B$12:$J512,2,0)))</f>
        <v/>
      </c>
      <c r="E92" s="443">
        <f>IF(G92=0,0,(VLOOKUP(G92,'2. SMDA BHN'!$B$12:$J512,3,0)))</f>
        <v>0</v>
      </c>
      <c r="F92" s="444"/>
      <c r="G92" s="467"/>
      <c r="H92" s="446">
        <f>IF(G92=0,0,(VLOOKUP(G92,'2. SMDA BHN'!$B$12:$H512,4,0)))</f>
        <v>0</v>
      </c>
      <c r="I92" s="460"/>
      <c r="J92" s="461"/>
      <c r="K92" s="448">
        <f>SUMIF('PO MTRL'!$G$9:$G512,G92,'PO MTRL'!$J$9:$J512)</f>
        <v>0</v>
      </c>
      <c r="L92" s="448">
        <f t="shared" si="1"/>
        <v>0</v>
      </c>
      <c r="M92" s="449">
        <f>SUMIF('PO MTRL'!$G$9:$G512,G92,'PO MTRL'!$L$9:$L512)</f>
        <v>0</v>
      </c>
      <c r="N92" s="450">
        <f>IF(G92=0,0,(VLOOKUP(G92,'2. SMDA BHN'!$B$12:$H512,5,0)))</f>
        <v>0</v>
      </c>
      <c r="O92" s="450">
        <f>IF(G92=0,0,(VLOOKUP(G92,'2. SMDA BHN'!$B$12:$H512,7,0)))</f>
        <v>0</v>
      </c>
      <c r="P92" s="449">
        <f t="shared" si="2"/>
        <v>0</v>
      </c>
      <c r="Q92" s="449">
        <f t="shared" si="3"/>
        <v>0</v>
      </c>
      <c r="R92" s="451" t="s">
        <v>45</v>
      </c>
      <c r="S92" s="464"/>
      <c r="T92" s="439"/>
      <c r="U92" s="16"/>
      <c r="V92" s="439"/>
      <c r="W92" s="439"/>
      <c r="X92" s="439"/>
      <c r="Y92" s="439"/>
      <c r="Z92" s="439"/>
      <c r="AA92" s="439"/>
      <c r="AB92" s="439"/>
      <c r="AC92" s="439"/>
      <c r="AD92" s="439"/>
      <c r="AE92" s="439"/>
      <c r="AF92" s="439"/>
    </row>
    <row r="93" ht="16.5" customHeight="1">
      <c r="A93" s="439"/>
      <c r="B93" s="454">
        <f t="shared" si="4"/>
        <v>1084</v>
      </c>
      <c r="C93" s="468"/>
      <c r="D93" s="442" t="str">
        <f>IF(G93="","",(VLOOKUP(G93,'2. SMDA BHN'!$B$12:$J512,2,0)))</f>
        <v/>
      </c>
      <c r="E93" s="443">
        <f>IF(G93=0,0,(VLOOKUP(G93,'2. SMDA BHN'!$B$12:$J512,3,0)))</f>
        <v>0</v>
      </c>
      <c r="F93" s="444"/>
      <c r="G93" s="467"/>
      <c r="H93" s="446">
        <f>IF(G93=0,0,(VLOOKUP(G93,'2. SMDA BHN'!$B$12:$H512,4,0)))</f>
        <v>0</v>
      </c>
      <c r="I93" s="460"/>
      <c r="J93" s="461"/>
      <c r="K93" s="448">
        <f>SUMIF('PO MTRL'!$G$9:$G512,G93,'PO MTRL'!$J$9:$J512)</f>
        <v>0</v>
      </c>
      <c r="L93" s="448">
        <f t="shared" si="1"/>
        <v>0</v>
      </c>
      <c r="M93" s="449">
        <f>SUMIF('PO MTRL'!$G$9:$G512,G93,'PO MTRL'!$L$9:$L512)</f>
        <v>0</v>
      </c>
      <c r="N93" s="450">
        <f>IF(G93=0,0,(VLOOKUP(G93,'2. SMDA BHN'!$B$12:$H512,5,0)))</f>
        <v>0</v>
      </c>
      <c r="O93" s="450">
        <f>IF(G93=0,0,(VLOOKUP(G93,'2. SMDA BHN'!$B$12:$H512,7,0)))</f>
        <v>0</v>
      </c>
      <c r="P93" s="449">
        <f t="shared" si="2"/>
        <v>0</v>
      </c>
      <c r="Q93" s="449">
        <f t="shared" si="3"/>
        <v>0</v>
      </c>
      <c r="R93" s="451" t="s">
        <v>45</v>
      </c>
      <c r="S93" s="464"/>
      <c r="T93" s="439"/>
      <c r="U93" s="16"/>
      <c r="V93" s="439"/>
      <c r="W93" s="439"/>
      <c r="X93" s="439"/>
      <c r="Y93" s="439"/>
      <c r="Z93" s="439"/>
      <c r="AA93" s="439"/>
      <c r="AB93" s="439"/>
      <c r="AC93" s="439"/>
      <c r="AD93" s="439"/>
      <c r="AE93" s="439"/>
      <c r="AF93" s="439"/>
    </row>
    <row r="94" ht="16.5" customHeight="1">
      <c r="A94" s="439"/>
      <c r="B94" s="454">
        <f t="shared" si="4"/>
        <v>1085</v>
      </c>
      <c r="C94" s="468"/>
      <c r="D94" s="442" t="str">
        <f>IF(G94="","",(VLOOKUP(G94,'2. SMDA BHN'!$B$12:$J512,2,0)))</f>
        <v/>
      </c>
      <c r="E94" s="443">
        <f>IF(G94=0,0,(VLOOKUP(G94,'2. SMDA BHN'!$B$12:$J512,3,0)))</f>
        <v>0</v>
      </c>
      <c r="F94" s="444"/>
      <c r="G94" s="467"/>
      <c r="H94" s="446">
        <f>IF(G94=0,0,(VLOOKUP(G94,'2. SMDA BHN'!$B$12:$H512,4,0)))</f>
        <v>0</v>
      </c>
      <c r="I94" s="460"/>
      <c r="J94" s="461"/>
      <c r="K94" s="448">
        <f>SUMIF('PO MTRL'!$G$9:$G512,G94,'PO MTRL'!$J$9:$J512)</f>
        <v>0</v>
      </c>
      <c r="L94" s="448">
        <f t="shared" si="1"/>
        <v>0</v>
      </c>
      <c r="M94" s="449">
        <f>SUMIF('PO MTRL'!$G$9:$G512,G94,'PO MTRL'!$L$9:$L512)</f>
        <v>0</v>
      </c>
      <c r="N94" s="450">
        <f>IF(G94=0,0,(VLOOKUP(G94,'2. SMDA BHN'!$B$12:$H512,5,0)))</f>
        <v>0</v>
      </c>
      <c r="O94" s="450">
        <f>IF(G94=0,0,(VLOOKUP(G94,'2. SMDA BHN'!$B$12:$H512,7,0)))</f>
        <v>0</v>
      </c>
      <c r="P94" s="449">
        <f t="shared" si="2"/>
        <v>0</v>
      </c>
      <c r="Q94" s="449">
        <f t="shared" si="3"/>
        <v>0</v>
      </c>
      <c r="R94" s="451" t="s">
        <v>45</v>
      </c>
      <c r="S94" s="464"/>
      <c r="T94" s="439"/>
      <c r="U94" s="16"/>
      <c r="V94" s="439"/>
      <c r="W94" s="439"/>
      <c r="X94" s="439"/>
      <c r="Y94" s="439"/>
      <c r="Z94" s="439"/>
      <c r="AA94" s="439"/>
      <c r="AB94" s="439"/>
      <c r="AC94" s="439"/>
      <c r="AD94" s="439"/>
      <c r="AE94" s="439"/>
      <c r="AF94" s="439"/>
    </row>
    <row r="95" ht="16.5" customHeight="1">
      <c r="A95" s="439"/>
      <c r="B95" s="454">
        <f t="shared" si="4"/>
        <v>1086</v>
      </c>
      <c r="C95" s="468"/>
      <c r="D95" s="442" t="str">
        <f>IF(G95="","",(VLOOKUP(G95,'2. SMDA BHN'!$B$12:$J512,2,0)))</f>
        <v/>
      </c>
      <c r="E95" s="443">
        <f>IF(G95=0,0,(VLOOKUP(G95,'2. SMDA BHN'!$B$12:$J512,3,0)))</f>
        <v>0</v>
      </c>
      <c r="F95" s="444"/>
      <c r="G95" s="467"/>
      <c r="H95" s="446">
        <f>IF(G95=0,0,(VLOOKUP(G95,'2. SMDA BHN'!$B$12:$H512,4,0)))</f>
        <v>0</v>
      </c>
      <c r="I95" s="460"/>
      <c r="J95" s="461"/>
      <c r="K95" s="448">
        <f>SUMIF('PO MTRL'!$G$9:$G512,G95,'PO MTRL'!$J$9:$J512)</f>
        <v>0</v>
      </c>
      <c r="L95" s="448">
        <f t="shared" si="1"/>
        <v>0</v>
      </c>
      <c r="M95" s="449">
        <f>SUMIF('PO MTRL'!$G$9:$G512,G95,'PO MTRL'!$L$9:$L512)</f>
        <v>0</v>
      </c>
      <c r="N95" s="450">
        <f>IF(G95=0,0,(VLOOKUP(G95,'2. SMDA BHN'!$B$12:$H512,5,0)))</f>
        <v>0</v>
      </c>
      <c r="O95" s="450">
        <f>IF(G95=0,0,(VLOOKUP(G95,'2. SMDA BHN'!$B$12:$H512,7,0)))</f>
        <v>0</v>
      </c>
      <c r="P95" s="449">
        <f t="shared" si="2"/>
        <v>0</v>
      </c>
      <c r="Q95" s="449">
        <f t="shared" si="3"/>
        <v>0</v>
      </c>
      <c r="R95" s="451" t="s">
        <v>45</v>
      </c>
      <c r="S95" s="464"/>
      <c r="T95" s="439"/>
      <c r="U95" s="16"/>
      <c r="V95" s="439"/>
      <c r="W95" s="439"/>
      <c r="X95" s="439"/>
      <c r="Y95" s="439"/>
      <c r="Z95" s="439"/>
      <c r="AA95" s="439"/>
      <c r="AB95" s="439"/>
      <c r="AC95" s="439"/>
      <c r="AD95" s="439"/>
      <c r="AE95" s="439"/>
      <c r="AF95" s="439"/>
    </row>
    <row r="96" ht="16.5" customHeight="1">
      <c r="A96" s="439"/>
      <c r="B96" s="454">
        <f t="shared" si="4"/>
        <v>1087</v>
      </c>
      <c r="C96" s="468"/>
      <c r="D96" s="442" t="str">
        <f>IF(G96="","",(VLOOKUP(G96,'2. SMDA BHN'!$B$12:$J512,2,0)))</f>
        <v/>
      </c>
      <c r="E96" s="443">
        <f>IF(G96=0,0,(VLOOKUP(G96,'2. SMDA BHN'!$B$12:$J512,3,0)))</f>
        <v>0</v>
      </c>
      <c r="F96" s="444"/>
      <c r="G96" s="467"/>
      <c r="H96" s="446">
        <f>IF(G96=0,0,(VLOOKUP(G96,'2. SMDA BHN'!$B$12:$H512,4,0)))</f>
        <v>0</v>
      </c>
      <c r="I96" s="460"/>
      <c r="J96" s="461"/>
      <c r="K96" s="448">
        <f>SUMIF('PO MTRL'!$G$9:$G512,G96,'PO MTRL'!$J$9:$J512)</f>
        <v>0</v>
      </c>
      <c r="L96" s="448">
        <f t="shared" si="1"/>
        <v>0</v>
      </c>
      <c r="M96" s="449">
        <f>SUMIF('PO MTRL'!$G$9:$G512,G96,'PO MTRL'!$L$9:$L512)</f>
        <v>0</v>
      </c>
      <c r="N96" s="450">
        <f>IF(G96=0,0,(VLOOKUP(G96,'2. SMDA BHN'!$B$12:$H512,5,0)))</f>
        <v>0</v>
      </c>
      <c r="O96" s="450">
        <f>IF(G96=0,0,(VLOOKUP(G96,'2. SMDA BHN'!$B$12:$H512,7,0)))</f>
        <v>0</v>
      </c>
      <c r="P96" s="449">
        <f t="shared" si="2"/>
        <v>0</v>
      </c>
      <c r="Q96" s="449">
        <f t="shared" si="3"/>
        <v>0</v>
      </c>
      <c r="R96" s="451" t="s">
        <v>45</v>
      </c>
      <c r="S96" s="464"/>
      <c r="T96" s="439"/>
      <c r="U96" s="16"/>
      <c r="V96" s="439"/>
      <c r="W96" s="439"/>
      <c r="X96" s="439"/>
      <c r="Y96" s="439"/>
      <c r="Z96" s="439"/>
      <c r="AA96" s="439"/>
      <c r="AB96" s="439"/>
      <c r="AC96" s="439"/>
      <c r="AD96" s="439"/>
      <c r="AE96" s="439"/>
      <c r="AF96" s="439"/>
    </row>
    <row r="97" ht="16.5" customHeight="1">
      <c r="A97" s="439"/>
      <c r="B97" s="454">
        <f t="shared" si="4"/>
        <v>1088</v>
      </c>
      <c r="C97" s="468"/>
      <c r="D97" s="442" t="str">
        <f>IF(G97="","",(VLOOKUP(G97,'2. SMDA BHN'!$B$12:$J512,2,0)))</f>
        <v/>
      </c>
      <c r="E97" s="443">
        <f>IF(G97=0,0,(VLOOKUP(G97,'2. SMDA BHN'!$B$12:$J512,3,0)))</f>
        <v>0</v>
      </c>
      <c r="F97" s="444"/>
      <c r="G97" s="467"/>
      <c r="H97" s="446">
        <f>IF(G97=0,0,(VLOOKUP(G97,'2. SMDA BHN'!$B$12:$H512,4,0)))</f>
        <v>0</v>
      </c>
      <c r="I97" s="460"/>
      <c r="J97" s="461"/>
      <c r="K97" s="448">
        <f>SUMIF('PO MTRL'!$G$9:$G512,G97,'PO MTRL'!$J$9:$J512)</f>
        <v>0</v>
      </c>
      <c r="L97" s="448">
        <f t="shared" si="1"/>
        <v>0</v>
      </c>
      <c r="M97" s="449">
        <f>SUMIF('PO MTRL'!$G$9:$G512,G97,'PO MTRL'!$L$9:$L512)</f>
        <v>0</v>
      </c>
      <c r="N97" s="450">
        <f>IF(G97=0,0,(VLOOKUP(G97,'2. SMDA BHN'!$B$12:$H512,5,0)))</f>
        <v>0</v>
      </c>
      <c r="O97" s="450">
        <f>IF(G97=0,0,(VLOOKUP(G97,'2. SMDA BHN'!$B$12:$H512,7,0)))</f>
        <v>0</v>
      </c>
      <c r="P97" s="449">
        <f t="shared" si="2"/>
        <v>0</v>
      </c>
      <c r="Q97" s="449">
        <f t="shared" si="3"/>
        <v>0</v>
      </c>
      <c r="R97" s="451" t="s">
        <v>45</v>
      </c>
      <c r="S97" s="464"/>
      <c r="T97" s="439"/>
      <c r="U97" s="16"/>
      <c r="V97" s="439"/>
      <c r="W97" s="439"/>
      <c r="X97" s="439"/>
      <c r="Y97" s="439"/>
      <c r="Z97" s="439"/>
      <c r="AA97" s="439"/>
      <c r="AB97" s="439"/>
      <c r="AC97" s="439"/>
      <c r="AD97" s="439"/>
      <c r="AE97" s="439"/>
      <c r="AF97" s="439"/>
    </row>
    <row r="98" ht="16.5" customHeight="1">
      <c r="A98" s="439"/>
      <c r="B98" s="454">
        <f t="shared" si="4"/>
        <v>1089</v>
      </c>
      <c r="C98" s="468"/>
      <c r="D98" s="442" t="str">
        <f>IF(G98="","",(VLOOKUP(G98,'2. SMDA BHN'!$B$12:$J512,2,0)))</f>
        <v/>
      </c>
      <c r="E98" s="443">
        <f>IF(G98=0,0,(VLOOKUP(G98,'2. SMDA BHN'!$B$12:$J512,3,0)))</f>
        <v>0</v>
      </c>
      <c r="F98" s="444"/>
      <c r="G98" s="467"/>
      <c r="H98" s="446">
        <f>IF(G98=0,0,(VLOOKUP(G98,'2. SMDA BHN'!$B$12:$H512,4,0)))</f>
        <v>0</v>
      </c>
      <c r="I98" s="460"/>
      <c r="J98" s="461"/>
      <c r="K98" s="448">
        <f>SUMIF('PO MTRL'!$G$9:$G512,G98,'PO MTRL'!$J$9:$J512)</f>
        <v>0</v>
      </c>
      <c r="L98" s="448">
        <f t="shared" si="1"/>
        <v>0</v>
      </c>
      <c r="M98" s="449">
        <f>SUMIF('PO MTRL'!$G$9:$G512,G98,'PO MTRL'!$L$9:$L512)</f>
        <v>0</v>
      </c>
      <c r="N98" s="450">
        <f>IF(G98=0,0,(VLOOKUP(G98,'2. SMDA BHN'!$B$12:$H512,5,0)))</f>
        <v>0</v>
      </c>
      <c r="O98" s="450">
        <f>IF(G98=0,0,(VLOOKUP(G98,'2. SMDA BHN'!$B$12:$H512,7,0)))</f>
        <v>0</v>
      </c>
      <c r="P98" s="449">
        <f t="shared" si="2"/>
        <v>0</v>
      </c>
      <c r="Q98" s="449">
        <f t="shared" si="3"/>
        <v>0</v>
      </c>
      <c r="R98" s="451" t="s">
        <v>45</v>
      </c>
      <c r="S98" s="464"/>
      <c r="T98" s="439"/>
      <c r="U98" s="16"/>
      <c r="V98" s="439"/>
      <c r="W98" s="439"/>
      <c r="X98" s="439"/>
      <c r="Y98" s="439"/>
      <c r="Z98" s="439"/>
      <c r="AA98" s="439"/>
      <c r="AB98" s="439"/>
      <c r="AC98" s="439"/>
      <c r="AD98" s="439"/>
      <c r="AE98" s="439"/>
      <c r="AF98" s="439"/>
    </row>
    <row r="99" ht="16.5" customHeight="1">
      <c r="A99" s="439"/>
      <c r="B99" s="454">
        <f t="shared" si="4"/>
        <v>1090</v>
      </c>
      <c r="C99" s="468"/>
      <c r="D99" s="442" t="str">
        <f>IF(G99="","",(VLOOKUP(G99,'2. SMDA BHN'!$B$12:$J512,2,0)))</f>
        <v/>
      </c>
      <c r="E99" s="443">
        <f>IF(G99=0,0,(VLOOKUP(G99,'2. SMDA BHN'!$B$12:$J512,3,0)))</f>
        <v>0</v>
      </c>
      <c r="F99" s="444"/>
      <c r="G99" s="467"/>
      <c r="H99" s="446">
        <f>IF(G99=0,0,(VLOOKUP(G99,'2. SMDA BHN'!$B$12:$H512,4,0)))</f>
        <v>0</v>
      </c>
      <c r="I99" s="460"/>
      <c r="J99" s="461"/>
      <c r="K99" s="448">
        <f>SUMIF('PO MTRL'!$G$9:$G512,G99,'PO MTRL'!$J$9:$J512)</f>
        <v>0</v>
      </c>
      <c r="L99" s="448">
        <f t="shared" si="1"/>
        <v>0</v>
      </c>
      <c r="M99" s="449">
        <f>SUMIF('PO MTRL'!$G$9:$G512,G99,'PO MTRL'!$L$9:$L512)</f>
        <v>0</v>
      </c>
      <c r="N99" s="450">
        <f>IF(G99=0,0,(VLOOKUP(G99,'2. SMDA BHN'!$B$12:$H512,5,0)))</f>
        <v>0</v>
      </c>
      <c r="O99" s="450">
        <f>IF(G99=0,0,(VLOOKUP(G99,'2. SMDA BHN'!$B$12:$H512,7,0)))</f>
        <v>0</v>
      </c>
      <c r="P99" s="449">
        <f t="shared" si="2"/>
        <v>0</v>
      </c>
      <c r="Q99" s="449">
        <f t="shared" si="3"/>
        <v>0</v>
      </c>
      <c r="R99" s="451" t="s">
        <v>45</v>
      </c>
      <c r="S99" s="464"/>
      <c r="T99" s="439"/>
      <c r="U99" s="16"/>
      <c r="V99" s="439"/>
      <c r="W99" s="439"/>
      <c r="X99" s="439"/>
      <c r="Y99" s="439"/>
      <c r="Z99" s="439"/>
      <c r="AA99" s="439"/>
      <c r="AB99" s="439"/>
      <c r="AC99" s="439"/>
      <c r="AD99" s="439"/>
      <c r="AE99" s="439"/>
      <c r="AF99" s="439"/>
    </row>
    <row r="100" ht="16.5" customHeight="1">
      <c r="A100" s="439"/>
      <c r="B100" s="454">
        <f t="shared" si="4"/>
        <v>1091</v>
      </c>
      <c r="C100" s="468"/>
      <c r="D100" s="442" t="str">
        <f>IF(G100="","",(VLOOKUP(G100,'2. SMDA BHN'!$B$12:$J512,2,0)))</f>
        <v/>
      </c>
      <c r="E100" s="443">
        <f>IF(G100=0,0,(VLOOKUP(G100,'2. SMDA BHN'!$B$12:$J512,3,0)))</f>
        <v>0</v>
      </c>
      <c r="F100" s="444"/>
      <c r="G100" s="467"/>
      <c r="H100" s="446">
        <f>IF(G100=0,0,(VLOOKUP(G100,'2. SMDA BHN'!$B$12:$H512,4,0)))</f>
        <v>0</v>
      </c>
      <c r="I100" s="460"/>
      <c r="J100" s="461"/>
      <c r="K100" s="448">
        <f>SUMIF('PO MTRL'!$G$9:$G512,G100,'PO MTRL'!$J$9:$J512)</f>
        <v>0</v>
      </c>
      <c r="L100" s="448">
        <f t="shared" si="1"/>
        <v>0</v>
      </c>
      <c r="M100" s="449">
        <f>SUMIF('PO MTRL'!$G$9:$G512,G100,'PO MTRL'!$L$9:$L512)</f>
        <v>0</v>
      </c>
      <c r="N100" s="450">
        <f>IF(G100=0,0,(VLOOKUP(G100,'2. SMDA BHN'!$B$12:$H512,5,0)))</f>
        <v>0</v>
      </c>
      <c r="O100" s="450">
        <f>IF(G100=0,0,(VLOOKUP(G100,'2. SMDA BHN'!$B$12:$H512,7,0)))</f>
        <v>0</v>
      </c>
      <c r="P100" s="449">
        <f t="shared" si="2"/>
        <v>0</v>
      </c>
      <c r="Q100" s="449">
        <f t="shared" si="3"/>
        <v>0</v>
      </c>
      <c r="R100" s="451" t="s">
        <v>45</v>
      </c>
      <c r="S100" s="464"/>
      <c r="T100" s="439"/>
      <c r="U100" s="16"/>
      <c r="V100" s="439"/>
      <c r="W100" s="439"/>
      <c r="X100" s="439"/>
      <c r="Y100" s="439"/>
      <c r="Z100" s="439"/>
      <c r="AA100" s="439"/>
      <c r="AB100" s="439"/>
      <c r="AC100" s="439"/>
      <c r="AD100" s="439"/>
      <c r="AE100" s="439"/>
      <c r="AF100" s="439"/>
    </row>
    <row r="101" ht="16.5" customHeight="1">
      <c r="A101" s="439"/>
      <c r="B101" s="454">
        <f t="shared" si="4"/>
        <v>1092</v>
      </c>
      <c r="C101" s="468"/>
      <c r="D101" s="442" t="str">
        <f>IF(G101="","",(VLOOKUP(G101,'2. SMDA BHN'!$B$12:$J512,2,0)))</f>
        <v/>
      </c>
      <c r="E101" s="443">
        <f>IF(G101=0,0,(VLOOKUP(G101,'2. SMDA BHN'!$B$12:$J512,3,0)))</f>
        <v>0</v>
      </c>
      <c r="F101" s="444"/>
      <c r="G101" s="467"/>
      <c r="H101" s="446">
        <f>IF(G101=0,0,(VLOOKUP(G101,'2. SMDA BHN'!$B$12:$H512,4,0)))</f>
        <v>0</v>
      </c>
      <c r="I101" s="460"/>
      <c r="J101" s="461"/>
      <c r="K101" s="448">
        <f>SUMIF('PO MTRL'!$G$9:$G512,G101,'PO MTRL'!$J$9:$J512)</f>
        <v>0</v>
      </c>
      <c r="L101" s="448">
        <f t="shared" si="1"/>
        <v>0</v>
      </c>
      <c r="M101" s="449">
        <f>SUMIF('PO MTRL'!$G$9:$G512,G101,'PO MTRL'!$L$9:$L512)</f>
        <v>0</v>
      </c>
      <c r="N101" s="450">
        <f>IF(G101=0,0,(VLOOKUP(G101,'2. SMDA BHN'!$B$12:$H512,5,0)))</f>
        <v>0</v>
      </c>
      <c r="O101" s="450">
        <f>IF(G101=0,0,(VLOOKUP(G101,'2. SMDA BHN'!$B$12:$H512,7,0)))</f>
        <v>0</v>
      </c>
      <c r="P101" s="449">
        <f t="shared" si="2"/>
        <v>0</v>
      </c>
      <c r="Q101" s="449">
        <f t="shared" si="3"/>
        <v>0</v>
      </c>
      <c r="R101" s="451" t="s">
        <v>45</v>
      </c>
      <c r="S101" s="464"/>
      <c r="T101" s="439"/>
      <c r="U101" s="16"/>
      <c r="V101" s="439"/>
      <c r="W101" s="439"/>
      <c r="X101" s="439"/>
      <c r="Y101" s="439"/>
      <c r="Z101" s="439"/>
      <c r="AA101" s="439"/>
      <c r="AB101" s="439"/>
      <c r="AC101" s="439"/>
      <c r="AD101" s="439"/>
      <c r="AE101" s="439"/>
      <c r="AF101" s="439"/>
    </row>
    <row r="102" ht="16.5" customHeight="1">
      <c r="A102" s="439"/>
      <c r="B102" s="454">
        <f t="shared" si="4"/>
        <v>1093</v>
      </c>
      <c r="C102" s="468"/>
      <c r="D102" s="442" t="str">
        <f>IF(G102="","",(VLOOKUP(G102,'2. SMDA BHN'!$B$12:$J512,2,0)))</f>
        <v/>
      </c>
      <c r="E102" s="443">
        <f>IF(G102=0,0,(VLOOKUP(G102,'2. SMDA BHN'!$B$12:$J512,3,0)))</f>
        <v>0</v>
      </c>
      <c r="F102" s="444"/>
      <c r="G102" s="467"/>
      <c r="H102" s="446">
        <f>IF(G102=0,0,(VLOOKUP(G102,'2. SMDA BHN'!$B$12:$H512,4,0)))</f>
        <v>0</v>
      </c>
      <c r="I102" s="460"/>
      <c r="J102" s="461"/>
      <c r="K102" s="448">
        <f>SUMIF('PO MTRL'!$G$9:$G512,G102,'PO MTRL'!$J$9:$J512)</f>
        <v>0</v>
      </c>
      <c r="L102" s="448">
        <f t="shared" si="1"/>
        <v>0</v>
      </c>
      <c r="M102" s="449">
        <f>SUMIF('PO MTRL'!$G$9:$G512,G102,'PO MTRL'!$L$9:$L512)</f>
        <v>0</v>
      </c>
      <c r="N102" s="450">
        <f>IF(G102=0,0,(VLOOKUP(G102,'2. SMDA BHN'!$B$12:$H512,5,0)))</f>
        <v>0</v>
      </c>
      <c r="O102" s="450">
        <f>IF(G102=0,0,(VLOOKUP(G102,'2. SMDA BHN'!$B$12:$H512,7,0)))</f>
        <v>0</v>
      </c>
      <c r="P102" s="449">
        <f t="shared" si="2"/>
        <v>0</v>
      </c>
      <c r="Q102" s="449">
        <f t="shared" si="3"/>
        <v>0</v>
      </c>
      <c r="R102" s="451" t="s">
        <v>45</v>
      </c>
      <c r="S102" s="464"/>
      <c r="T102" s="439"/>
      <c r="U102" s="16"/>
      <c r="V102" s="439"/>
      <c r="W102" s="439"/>
      <c r="X102" s="439"/>
      <c r="Y102" s="439"/>
      <c r="Z102" s="439"/>
      <c r="AA102" s="439"/>
      <c r="AB102" s="439"/>
      <c r="AC102" s="439"/>
      <c r="AD102" s="439"/>
      <c r="AE102" s="439"/>
      <c r="AF102" s="439"/>
    </row>
    <row r="103" ht="16.5" customHeight="1">
      <c r="A103" s="439"/>
      <c r="B103" s="454">
        <f t="shared" si="4"/>
        <v>1094</v>
      </c>
      <c r="C103" s="468"/>
      <c r="D103" s="442" t="str">
        <f>IF(G103="","",(VLOOKUP(G103,'2. SMDA BHN'!$B$12:$J512,2,0)))</f>
        <v/>
      </c>
      <c r="E103" s="443">
        <f>IF(G103=0,0,(VLOOKUP(G103,'2. SMDA BHN'!$B$12:$J512,3,0)))</f>
        <v>0</v>
      </c>
      <c r="F103" s="444"/>
      <c r="G103" s="467"/>
      <c r="H103" s="446">
        <f>IF(G103=0,0,(VLOOKUP(G103,'2. SMDA BHN'!$B$12:$H512,4,0)))</f>
        <v>0</v>
      </c>
      <c r="I103" s="460"/>
      <c r="J103" s="461"/>
      <c r="K103" s="448">
        <f>SUMIF('PO MTRL'!$G$9:$G512,G103,'PO MTRL'!$J$9:$J512)</f>
        <v>0</v>
      </c>
      <c r="L103" s="448">
        <f t="shared" si="1"/>
        <v>0</v>
      </c>
      <c r="M103" s="449">
        <f>SUMIF('PO MTRL'!$G$9:$G512,G103,'PO MTRL'!$L$9:$L512)</f>
        <v>0</v>
      </c>
      <c r="N103" s="450">
        <f>IF(G103=0,0,(VLOOKUP(G103,'2. SMDA BHN'!$B$12:$H512,5,0)))</f>
        <v>0</v>
      </c>
      <c r="O103" s="450">
        <f>IF(G103=0,0,(VLOOKUP(G103,'2. SMDA BHN'!$B$12:$H512,7,0)))</f>
        <v>0</v>
      </c>
      <c r="P103" s="449">
        <f t="shared" si="2"/>
        <v>0</v>
      </c>
      <c r="Q103" s="449">
        <f t="shared" si="3"/>
        <v>0</v>
      </c>
      <c r="R103" s="451" t="s">
        <v>45</v>
      </c>
      <c r="S103" s="464"/>
      <c r="T103" s="439"/>
      <c r="U103" s="16"/>
      <c r="V103" s="439"/>
      <c r="W103" s="439"/>
      <c r="X103" s="439"/>
      <c r="Y103" s="439"/>
      <c r="Z103" s="439"/>
      <c r="AA103" s="439"/>
      <c r="AB103" s="439"/>
      <c r="AC103" s="439"/>
      <c r="AD103" s="439"/>
      <c r="AE103" s="439"/>
      <c r="AF103" s="439"/>
    </row>
    <row r="104" ht="16.5" customHeight="1">
      <c r="A104" s="439"/>
      <c r="B104" s="454">
        <f t="shared" si="4"/>
        <v>1095</v>
      </c>
      <c r="C104" s="468"/>
      <c r="D104" s="442" t="str">
        <f>IF(G104="","",(VLOOKUP(G104,'2. SMDA BHN'!$B$12:$J512,2,0)))</f>
        <v/>
      </c>
      <c r="E104" s="443">
        <f>IF(G104=0,0,(VLOOKUP(G104,'2. SMDA BHN'!$B$12:$J512,3,0)))</f>
        <v>0</v>
      </c>
      <c r="F104" s="444"/>
      <c r="G104" s="467"/>
      <c r="H104" s="446">
        <f>IF(G104=0,0,(VLOOKUP(G104,'2. SMDA BHN'!$B$12:$H512,4,0)))</f>
        <v>0</v>
      </c>
      <c r="I104" s="460"/>
      <c r="J104" s="461"/>
      <c r="K104" s="448">
        <f>SUMIF('PO MTRL'!$G$9:$G512,G104,'PO MTRL'!$J$9:$J512)</f>
        <v>0</v>
      </c>
      <c r="L104" s="448">
        <f t="shared" si="1"/>
        <v>0</v>
      </c>
      <c r="M104" s="449">
        <f>SUMIF('PO MTRL'!$G$9:$G512,G104,'PO MTRL'!$L$9:$L512)</f>
        <v>0</v>
      </c>
      <c r="N104" s="450">
        <f>IF(G104=0,0,(VLOOKUP(G104,'2. SMDA BHN'!$B$12:$H512,5,0)))</f>
        <v>0</v>
      </c>
      <c r="O104" s="450">
        <f>IF(G104=0,0,(VLOOKUP(G104,'2. SMDA BHN'!$B$12:$H512,7,0)))</f>
        <v>0</v>
      </c>
      <c r="P104" s="449">
        <f t="shared" si="2"/>
        <v>0</v>
      </c>
      <c r="Q104" s="449">
        <f t="shared" si="3"/>
        <v>0</v>
      </c>
      <c r="R104" s="451" t="s">
        <v>45</v>
      </c>
      <c r="S104" s="464"/>
      <c r="T104" s="439"/>
      <c r="U104" s="16"/>
      <c r="V104" s="439"/>
      <c r="W104" s="439"/>
      <c r="X104" s="439"/>
      <c r="Y104" s="439"/>
      <c r="Z104" s="439"/>
      <c r="AA104" s="439"/>
      <c r="AB104" s="439"/>
      <c r="AC104" s="439"/>
      <c r="AD104" s="439"/>
      <c r="AE104" s="439"/>
      <c r="AF104" s="439"/>
    </row>
    <row r="105" ht="16.5" customHeight="1">
      <c r="A105" s="439"/>
      <c r="B105" s="454">
        <f t="shared" si="4"/>
        <v>1096</v>
      </c>
      <c r="C105" s="468"/>
      <c r="D105" s="442" t="str">
        <f>IF(G105="","",(VLOOKUP(G105,'2. SMDA BHN'!$B$12:$J512,2,0)))</f>
        <v/>
      </c>
      <c r="E105" s="443">
        <f>IF(G105=0,0,(VLOOKUP(G105,'2. SMDA BHN'!$B$12:$J512,3,0)))</f>
        <v>0</v>
      </c>
      <c r="F105" s="444"/>
      <c r="G105" s="467"/>
      <c r="H105" s="446">
        <f>IF(G105=0,0,(VLOOKUP(G105,'2. SMDA BHN'!$B$12:$H512,4,0)))</f>
        <v>0</v>
      </c>
      <c r="I105" s="460"/>
      <c r="J105" s="461"/>
      <c r="K105" s="448">
        <f>SUMIF('PO MTRL'!$G$9:$G512,G105,'PO MTRL'!$J$9:$J512)</f>
        <v>0</v>
      </c>
      <c r="L105" s="448">
        <f t="shared" si="1"/>
        <v>0</v>
      </c>
      <c r="M105" s="449">
        <f>SUMIF('PO MTRL'!$G$9:$G512,G105,'PO MTRL'!$L$9:$L512)</f>
        <v>0</v>
      </c>
      <c r="N105" s="450">
        <f>IF(G105=0,0,(VLOOKUP(G105,'2. SMDA BHN'!$B$12:$H512,5,0)))</f>
        <v>0</v>
      </c>
      <c r="O105" s="450">
        <f>IF(G105=0,0,(VLOOKUP(G105,'2. SMDA BHN'!$B$12:$H512,7,0)))</f>
        <v>0</v>
      </c>
      <c r="P105" s="449">
        <f t="shared" si="2"/>
        <v>0</v>
      </c>
      <c r="Q105" s="449">
        <f t="shared" si="3"/>
        <v>0</v>
      </c>
      <c r="R105" s="451" t="s">
        <v>45</v>
      </c>
      <c r="S105" s="464"/>
      <c r="T105" s="439"/>
      <c r="U105" s="16"/>
      <c r="V105" s="439"/>
      <c r="W105" s="439"/>
      <c r="X105" s="439"/>
      <c r="Y105" s="439"/>
      <c r="Z105" s="439"/>
      <c r="AA105" s="439"/>
      <c r="AB105" s="439"/>
      <c r="AC105" s="439"/>
      <c r="AD105" s="439"/>
      <c r="AE105" s="439"/>
      <c r="AF105" s="439"/>
    </row>
    <row r="106" ht="16.5" customHeight="1">
      <c r="A106" s="439"/>
      <c r="B106" s="454">
        <f t="shared" si="4"/>
        <v>1097</v>
      </c>
      <c r="C106" s="468"/>
      <c r="D106" s="442" t="str">
        <f>IF(G106="","",(VLOOKUP(G106,'2. SMDA BHN'!$B$12:$J512,2,0)))</f>
        <v/>
      </c>
      <c r="E106" s="443">
        <f>IF(G106=0,0,(VLOOKUP(G106,'2. SMDA BHN'!$B$12:$J512,3,0)))</f>
        <v>0</v>
      </c>
      <c r="F106" s="444"/>
      <c r="G106" s="467"/>
      <c r="H106" s="446">
        <f>IF(G106=0,0,(VLOOKUP(G106,'2. SMDA BHN'!$B$12:$H512,4,0)))</f>
        <v>0</v>
      </c>
      <c r="I106" s="460"/>
      <c r="J106" s="461"/>
      <c r="K106" s="448">
        <f>SUMIF('PO MTRL'!$G$9:$G512,G106,'PO MTRL'!$J$9:$J512)</f>
        <v>0</v>
      </c>
      <c r="L106" s="448">
        <f t="shared" si="1"/>
        <v>0</v>
      </c>
      <c r="M106" s="449">
        <f>SUMIF('PO MTRL'!$G$9:$G512,G106,'PO MTRL'!$L$9:$L512)</f>
        <v>0</v>
      </c>
      <c r="N106" s="450">
        <f>IF(G106=0,0,(VLOOKUP(G106,'2. SMDA BHN'!$B$12:$H512,5,0)))</f>
        <v>0</v>
      </c>
      <c r="O106" s="450">
        <f>IF(G106=0,0,(VLOOKUP(G106,'2. SMDA BHN'!$B$12:$H512,7,0)))</f>
        <v>0</v>
      </c>
      <c r="P106" s="449">
        <f t="shared" si="2"/>
        <v>0</v>
      </c>
      <c r="Q106" s="449">
        <f t="shared" si="3"/>
        <v>0</v>
      </c>
      <c r="R106" s="451" t="s">
        <v>45</v>
      </c>
      <c r="S106" s="464"/>
      <c r="T106" s="439"/>
      <c r="U106" s="16"/>
      <c r="V106" s="439"/>
      <c r="W106" s="439"/>
      <c r="X106" s="439"/>
      <c r="Y106" s="439"/>
      <c r="Z106" s="439"/>
      <c r="AA106" s="439"/>
      <c r="AB106" s="439"/>
      <c r="AC106" s="439"/>
      <c r="AD106" s="439"/>
      <c r="AE106" s="439"/>
      <c r="AF106" s="439"/>
    </row>
    <row r="107" ht="16.5" customHeight="1">
      <c r="A107" s="439"/>
      <c r="B107" s="454">
        <f t="shared" si="4"/>
        <v>1098</v>
      </c>
      <c r="C107" s="468"/>
      <c r="D107" s="442" t="str">
        <f>IF(G107="","",(VLOOKUP(G107,'2. SMDA BHN'!$B$12:$J512,2,0)))</f>
        <v/>
      </c>
      <c r="E107" s="443">
        <f>IF(G107=0,0,(VLOOKUP(G107,'2. SMDA BHN'!$B$12:$J512,3,0)))</f>
        <v>0</v>
      </c>
      <c r="F107" s="444"/>
      <c r="G107" s="467"/>
      <c r="H107" s="446">
        <f>IF(G107=0,0,(VLOOKUP(G107,'2. SMDA BHN'!$B$12:$H512,4,0)))</f>
        <v>0</v>
      </c>
      <c r="I107" s="460"/>
      <c r="J107" s="461"/>
      <c r="K107" s="448">
        <f>SUMIF('PO MTRL'!$G$9:$G512,G107,'PO MTRL'!$J$9:$J512)</f>
        <v>0</v>
      </c>
      <c r="L107" s="448">
        <f t="shared" si="1"/>
        <v>0</v>
      </c>
      <c r="M107" s="449">
        <f>SUMIF('PO MTRL'!$G$9:$G512,G107,'PO MTRL'!$L$9:$L512)</f>
        <v>0</v>
      </c>
      <c r="N107" s="450">
        <f>IF(G107=0,0,(VLOOKUP(G107,'2. SMDA BHN'!$B$12:$H512,5,0)))</f>
        <v>0</v>
      </c>
      <c r="O107" s="450">
        <f>IF(G107=0,0,(VLOOKUP(G107,'2. SMDA BHN'!$B$12:$H512,7,0)))</f>
        <v>0</v>
      </c>
      <c r="P107" s="449">
        <f t="shared" si="2"/>
        <v>0</v>
      </c>
      <c r="Q107" s="449">
        <f t="shared" si="3"/>
        <v>0</v>
      </c>
      <c r="R107" s="451" t="s">
        <v>45</v>
      </c>
      <c r="S107" s="464"/>
      <c r="T107" s="439"/>
      <c r="U107" s="16"/>
      <c r="V107" s="439"/>
      <c r="W107" s="439"/>
      <c r="X107" s="439"/>
      <c r="Y107" s="439"/>
      <c r="Z107" s="439"/>
      <c r="AA107" s="439"/>
      <c r="AB107" s="439"/>
      <c r="AC107" s="439"/>
      <c r="AD107" s="439"/>
      <c r="AE107" s="439"/>
      <c r="AF107" s="439"/>
    </row>
    <row r="108" ht="16.5" customHeight="1">
      <c r="A108" s="439"/>
      <c r="B108" s="454">
        <f t="shared" si="4"/>
        <v>1099</v>
      </c>
      <c r="C108" s="468"/>
      <c r="D108" s="442" t="str">
        <f>IF(G108="","",(VLOOKUP(G108,'2. SMDA BHN'!$B$12:$J512,2,0)))</f>
        <v/>
      </c>
      <c r="E108" s="443">
        <f>IF(G108=0,0,(VLOOKUP(G108,'2. SMDA BHN'!$B$12:$J512,3,0)))</f>
        <v>0</v>
      </c>
      <c r="F108" s="444"/>
      <c r="G108" s="467"/>
      <c r="H108" s="446">
        <f>IF(G108=0,0,(VLOOKUP(G108,'2. SMDA BHN'!$B$12:$H512,4,0)))</f>
        <v>0</v>
      </c>
      <c r="I108" s="460"/>
      <c r="J108" s="461"/>
      <c r="K108" s="448">
        <f>SUMIF('PO MTRL'!$G$9:$G512,G108,'PO MTRL'!$J$9:$J512)</f>
        <v>0</v>
      </c>
      <c r="L108" s="448">
        <f t="shared" si="1"/>
        <v>0</v>
      </c>
      <c r="M108" s="449">
        <f>SUMIF('PO MTRL'!$G$9:$G512,G108,'PO MTRL'!$L$9:$L512)</f>
        <v>0</v>
      </c>
      <c r="N108" s="450">
        <f>IF(G108=0,0,(VLOOKUP(G108,'2. SMDA BHN'!$B$12:$H512,5,0)))</f>
        <v>0</v>
      </c>
      <c r="O108" s="450">
        <f>IF(G108=0,0,(VLOOKUP(G108,'2. SMDA BHN'!$B$12:$H512,7,0)))</f>
        <v>0</v>
      </c>
      <c r="P108" s="449">
        <f t="shared" si="2"/>
        <v>0</v>
      </c>
      <c r="Q108" s="449">
        <f t="shared" si="3"/>
        <v>0</v>
      </c>
      <c r="R108" s="451" t="s">
        <v>45</v>
      </c>
      <c r="S108" s="464"/>
      <c r="T108" s="439"/>
      <c r="U108" s="16"/>
      <c r="V108" s="439"/>
      <c r="W108" s="439"/>
      <c r="X108" s="439"/>
      <c r="Y108" s="439"/>
      <c r="Z108" s="439"/>
      <c r="AA108" s="439"/>
      <c r="AB108" s="439"/>
      <c r="AC108" s="439"/>
      <c r="AD108" s="439"/>
      <c r="AE108" s="439"/>
      <c r="AF108" s="439"/>
    </row>
    <row r="109" ht="16.5" customHeight="1">
      <c r="A109" s="439"/>
      <c r="B109" s="454">
        <f t="shared" si="4"/>
        <v>1100</v>
      </c>
      <c r="C109" s="468"/>
      <c r="D109" s="442" t="str">
        <f>IF(G109="","",(VLOOKUP(G109,'2. SMDA BHN'!$B$12:$J512,2,0)))</f>
        <v/>
      </c>
      <c r="E109" s="443">
        <f>IF(G109=0,0,(VLOOKUP(G109,'2. SMDA BHN'!$B$12:$J512,3,0)))</f>
        <v>0</v>
      </c>
      <c r="F109" s="444"/>
      <c r="G109" s="467"/>
      <c r="H109" s="446">
        <f>IF(G109=0,0,(VLOOKUP(G109,'2. SMDA BHN'!$B$12:$H512,4,0)))</f>
        <v>0</v>
      </c>
      <c r="I109" s="460"/>
      <c r="J109" s="461"/>
      <c r="K109" s="448">
        <f>SUMIF('PO MTRL'!$G$9:$G512,G109,'PO MTRL'!$J$9:$J512)</f>
        <v>0</v>
      </c>
      <c r="L109" s="448">
        <f t="shared" si="1"/>
        <v>0</v>
      </c>
      <c r="M109" s="449">
        <f>SUMIF('PO MTRL'!$G$9:$G512,G109,'PO MTRL'!$L$9:$L512)</f>
        <v>0</v>
      </c>
      <c r="N109" s="450">
        <f>IF(G109=0,0,(VLOOKUP(G109,'2. SMDA BHN'!$B$12:$H512,5,0)))</f>
        <v>0</v>
      </c>
      <c r="O109" s="450">
        <f>IF(G109=0,0,(VLOOKUP(G109,'2. SMDA BHN'!$B$12:$H512,7,0)))</f>
        <v>0</v>
      </c>
      <c r="P109" s="449">
        <f t="shared" si="2"/>
        <v>0</v>
      </c>
      <c r="Q109" s="449">
        <f t="shared" si="3"/>
        <v>0</v>
      </c>
      <c r="R109" s="451" t="s">
        <v>45</v>
      </c>
      <c r="S109" s="464"/>
      <c r="T109" s="439"/>
      <c r="U109" s="16"/>
      <c r="V109" s="439"/>
      <c r="W109" s="439"/>
      <c r="X109" s="439"/>
      <c r="Y109" s="439"/>
      <c r="Z109" s="439"/>
      <c r="AA109" s="439"/>
      <c r="AB109" s="439"/>
      <c r="AC109" s="439"/>
      <c r="AD109" s="439"/>
      <c r="AE109" s="439"/>
      <c r="AF109" s="439"/>
    </row>
    <row r="110" ht="16.5" customHeight="1">
      <c r="A110" s="439"/>
      <c r="B110" s="454">
        <f t="shared" si="4"/>
        <v>1101</v>
      </c>
      <c r="C110" s="468"/>
      <c r="D110" s="442" t="str">
        <f>IF(G110="","",(VLOOKUP(G110,'2. SMDA BHN'!$B$12:$J512,2,0)))</f>
        <v/>
      </c>
      <c r="E110" s="443">
        <f>IF(G110=0,0,(VLOOKUP(G110,'2. SMDA BHN'!$B$12:$J512,3,0)))</f>
        <v>0</v>
      </c>
      <c r="F110" s="444"/>
      <c r="G110" s="467"/>
      <c r="H110" s="446">
        <f>IF(G110=0,0,(VLOOKUP(G110,'2. SMDA BHN'!$B$12:$H512,4,0)))</f>
        <v>0</v>
      </c>
      <c r="I110" s="460"/>
      <c r="J110" s="461"/>
      <c r="K110" s="448">
        <f>SUMIF('PO MTRL'!$G$9:$G512,G110,'PO MTRL'!$J$9:$J512)</f>
        <v>0</v>
      </c>
      <c r="L110" s="448">
        <f t="shared" si="1"/>
        <v>0</v>
      </c>
      <c r="M110" s="449">
        <f>SUMIF('PO MTRL'!$G$9:$G512,G110,'PO MTRL'!$L$9:$L512)</f>
        <v>0</v>
      </c>
      <c r="N110" s="450">
        <f>IF(G110=0,0,(VLOOKUP(G110,'2. SMDA BHN'!$B$12:$H512,5,0)))</f>
        <v>0</v>
      </c>
      <c r="O110" s="450">
        <f>IF(G110=0,0,(VLOOKUP(G110,'2. SMDA BHN'!$B$12:$H512,7,0)))</f>
        <v>0</v>
      </c>
      <c r="P110" s="449">
        <f t="shared" si="2"/>
        <v>0</v>
      </c>
      <c r="Q110" s="449">
        <f t="shared" si="3"/>
        <v>0</v>
      </c>
      <c r="R110" s="451" t="s">
        <v>45</v>
      </c>
      <c r="S110" s="464"/>
      <c r="T110" s="439"/>
      <c r="U110" s="16"/>
      <c r="V110" s="439"/>
      <c r="W110" s="439"/>
      <c r="X110" s="439"/>
      <c r="Y110" s="439"/>
      <c r="Z110" s="439"/>
      <c r="AA110" s="439"/>
      <c r="AB110" s="439"/>
      <c r="AC110" s="439"/>
      <c r="AD110" s="439"/>
      <c r="AE110" s="439"/>
      <c r="AF110" s="439"/>
    </row>
    <row r="111" ht="16.5" customHeight="1">
      <c r="A111" s="439"/>
      <c r="B111" s="454">
        <f t="shared" si="4"/>
        <v>1102</v>
      </c>
      <c r="C111" s="468"/>
      <c r="D111" s="442" t="str">
        <f>IF(G111="","",(VLOOKUP(G111,'2. SMDA BHN'!$B$12:$J512,2,0)))</f>
        <v/>
      </c>
      <c r="E111" s="443">
        <f>IF(G111=0,0,(VLOOKUP(G111,'2. SMDA BHN'!$B$12:$J512,3,0)))</f>
        <v>0</v>
      </c>
      <c r="F111" s="444"/>
      <c r="G111" s="467"/>
      <c r="H111" s="446">
        <f>IF(G111=0,0,(VLOOKUP(G111,'2. SMDA BHN'!$B$12:$H512,4,0)))</f>
        <v>0</v>
      </c>
      <c r="I111" s="460"/>
      <c r="J111" s="461"/>
      <c r="K111" s="448">
        <f>SUMIF('PO MTRL'!$G$9:$G512,G111,'PO MTRL'!$J$9:$J512)</f>
        <v>0</v>
      </c>
      <c r="L111" s="448">
        <f t="shared" si="1"/>
        <v>0</v>
      </c>
      <c r="M111" s="449">
        <f>SUMIF('PO MTRL'!$G$9:$G512,G111,'PO MTRL'!$L$9:$L512)</f>
        <v>0</v>
      </c>
      <c r="N111" s="450">
        <f>IF(G111=0,0,(VLOOKUP(G111,'2. SMDA BHN'!$B$12:$H512,5,0)))</f>
        <v>0</v>
      </c>
      <c r="O111" s="450">
        <f>IF(G111=0,0,(VLOOKUP(G111,'2. SMDA BHN'!$B$12:$H512,7,0)))</f>
        <v>0</v>
      </c>
      <c r="P111" s="449">
        <f t="shared" si="2"/>
        <v>0</v>
      </c>
      <c r="Q111" s="449">
        <f t="shared" si="3"/>
        <v>0</v>
      </c>
      <c r="R111" s="451" t="s">
        <v>45</v>
      </c>
      <c r="S111" s="464"/>
      <c r="T111" s="439"/>
      <c r="U111" s="16"/>
      <c r="V111" s="439"/>
      <c r="W111" s="439"/>
      <c r="X111" s="439"/>
      <c r="Y111" s="439"/>
      <c r="Z111" s="439"/>
      <c r="AA111" s="439"/>
      <c r="AB111" s="439"/>
      <c r="AC111" s="439"/>
      <c r="AD111" s="439"/>
      <c r="AE111" s="439"/>
      <c r="AF111" s="439"/>
    </row>
    <row r="112" ht="16.5" customHeight="1">
      <c r="A112" s="439"/>
      <c r="B112" s="454">
        <f t="shared" si="4"/>
        <v>1103</v>
      </c>
      <c r="C112" s="468"/>
      <c r="D112" s="442" t="str">
        <f>IF(G112="","",(VLOOKUP(G112,'2. SMDA BHN'!$B$12:$J512,2,0)))</f>
        <v/>
      </c>
      <c r="E112" s="443">
        <f>IF(G112=0,0,(VLOOKUP(G112,'2. SMDA BHN'!$B$12:$J512,3,0)))</f>
        <v>0</v>
      </c>
      <c r="F112" s="444"/>
      <c r="G112" s="467"/>
      <c r="H112" s="446">
        <f>IF(G112=0,0,(VLOOKUP(G112,'2. SMDA BHN'!$B$12:$H512,4,0)))</f>
        <v>0</v>
      </c>
      <c r="I112" s="460"/>
      <c r="J112" s="461"/>
      <c r="K112" s="448">
        <f>SUMIF('PO MTRL'!$G$9:$G512,G112,'PO MTRL'!$J$9:$J512)</f>
        <v>0</v>
      </c>
      <c r="L112" s="448">
        <f t="shared" si="1"/>
        <v>0</v>
      </c>
      <c r="M112" s="449">
        <f>SUMIF('PO MTRL'!$G$9:$G512,G112,'PO MTRL'!$L$9:$L512)</f>
        <v>0</v>
      </c>
      <c r="N112" s="450">
        <f>IF(G112=0,0,(VLOOKUP(G112,'2. SMDA BHN'!$B$12:$H512,5,0)))</f>
        <v>0</v>
      </c>
      <c r="O112" s="450">
        <f>IF(G112=0,0,(VLOOKUP(G112,'2. SMDA BHN'!$B$12:$H512,7,0)))</f>
        <v>0</v>
      </c>
      <c r="P112" s="449">
        <f t="shared" si="2"/>
        <v>0</v>
      </c>
      <c r="Q112" s="449">
        <f t="shared" si="3"/>
        <v>0</v>
      </c>
      <c r="R112" s="451" t="s">
        <v>45</v>
      </c>
      <c r="S112" s="464"/>
      <c r="T112" s="439"/>
      <c r="U112" s="16"/>
      <c r="V112" s="439"/>
      <c r="W112" s="439"/>
      <c r="X112" s="439"/>
      <c r="Y112" s="439"/>
      <c r="Z112" s="439"/>
      <c r="AA112" s="439"/>
      <c r="AB112" s="439"/>
      <c r="AC112" s="439"/>
      <c r="AD112" s="439"/>
      <c r="AE112" s="439"/>
      <c r="AF112" s="439"/>
    </row>
    <row r="113" ht="16.5" customHeight="1">
      <c r="A113" s="439"/>
      <c r="B113" s="454">
        <f t="shared" si="4"/>
        <v>1104</v>
      </c>
      <c r="C113" s="468"/>
      <c r="D113" s="442" t="str">
        <f>IF(G113="","",(VLOOKUP(G113,'2. SMDA BHN'!$B$12:$J512,2,0)))</f>
        <v/>
      </c>
      <c r="E113" s="443">
        <f>IF(G113=0,0,(VLOOKUP(G113,'2. SMDA BHN'!$B$12:$J512,3,0)))</f>
        <v>0</v>
      </c>
      <c r="F113" s="444"/>
      <c r="G113" s="467"/>
      <c r="H113" s="446">
        <f>IF(G113=0,0,(VLOOKUP(G113,'2. SMDA BHN'!$B$12:$H512,4,0)))</f>
        <v>0</v>
      </c>
      <c r="I113" s="460"/>
      <c r="J113" s="461"/>
      <c r="K113" s="448">
        <f>SUMIF('PO MTRL'!$G$9:$G512,G113,'PO MTRL'!$J$9:$J512)</f>
        <v>0</v>
      </c>
      <c r="L113" s="448">
        <f t="shared" si="1"/>
        <v>0</v>
      </c>
      <c r="M113" s="449">
        <f>SUMIF('PO MTRL'!$G$9:$G512,G113,'PO MTRL'!$L$9:$L512)</f>
        <v>0</v>
      </c>
      <c r="N113" s="450">
        <f>IF(G113=0,0,(VLOOKUP(G113,'2. SMDA BHN'!$B$12:$H512,5,0)))</f>
        <v>0</v>
      </c>
      <c r="O113" s="450">
        <f>IF(G113=0,0,(VLOOKUP(G113,'2. SMDA BHN'!$B$12:$H512,7,0)))</f>
        <v>0</v>
      </c>
      <c r="P113" s="449">
        <f t="shared" si="2"/>
        <v>0</v>
      </c>
      <c r="Q113" s="449">
        <f t="shared" si="3"/>
        <v>0</v>
      </c>
      <c r="R113" s="451" t="s">
        <v>45</v>
      </c>
      <c r="S113" s="464"/>
      <c r="T113" s="439"/>
      <c r="U113" s="16"/>
      <c r="V113" s="439"/>
      <c r="W113" s="439"/>
      <c r="X113" s="439"/>
      <c r="Y113" s="439"/>
      <c r="Z113" s="439"/>
      <c r="AA113" s="439"/>
      <c r="AB113" s="439"/>
      <c r="AC113" s="439"/>
      <c r="AD113" s="439"/>
      <c r="AE113" s="439"/>
      <c r="AF113" s="439"/>
    </row>
    <row r="114" ht="16.5" customHeight="1">
      <c r="A114" s="439"/>
      <c r="B114" s="454">
        <f t="shared" si="4"/>
        <v>1105</v>
      </c>
      <c r="C114" s="468"/>
      <c r="D114" s="442" t="str">
        <f>IF(G114="","",(VLOOKUP(G114,'2. SMDA BHN'!$B$12:$J512,2,0)))</f>
        <v/>
      </c>
      <c r="E114" s="443">
        <f>IF(G114=0,0,(VLOOKUP(G114,'2. SMDA BHN'!$B$12:$J512,3,0)))</f>
        <v>0</v>
      </c>
      <c r="F114" s="444"/>
      <c r="G114" s="467"/>
      <c r="H114" s="446">
        <f>IF(G114=0,0,(VLOOKUP(G114,'2. SMDA BHN'!$B$12:$H512,4,0)))</f>
        <v>0</v>
      </c>
      <c r="I114" s="460"/>
      <c r="J114" s="461"/>
      <c r="K114" s="448">
        <f>SUMIF('PO MTRL'!$G$9:$G512,G114,'PO MTRL'!$J$9:$J512)</f>
        <v>0</v>
      </c>
      <c r="L114" s="448">
        <f t="shared" si="1"/>
        <v>0</v>
      </c>
      <c r="M114" s="449">
        <f>SUMIF('PO MTRL'!$G$9:$G512,G114,'PO MTRL'!$L$9:$L512)</f>
        <v>0</v>
      </c>
      <c r="N114" s="450">
        <f>IF(G114=0,0,(VLOOKUP(G114,'2. SMDA BHN'!$B$12:$H512,5,0)))</f>
        <v>0</v>
      </c>
      <c r="O114" s="450">
        <f>IF(G114=0,0,(VLOOKUP(G114,'2. SMDA BHN'!$B$12:$H512,7,0)))</f>
        <v>0</v>
      </c>
      <c r="P114" s="449">
        <f t="shared" si="2"/>
        <v>0</v>
      </c>
      <c r="Q114" s="449">
        <f t="shared" si="3"/>
        <v>0</v>
      </c>
      <c r="R114" s="451" t="s">
        <v>45</v>
      </c>
      <c r="S114" s="464"/>
      <c r="T114" s="439"/>
      <c r="U114" s="16"/>
      <c r="V114" s="439"/>
      <c r="W114" s="439"/>
      <c r="X114" s="439"/>
      <c r="Y114" s="439"/>
      <c r="Z114" s="439"/>
      <c r="AA114" s="439"/>
      <c r="AB114" s="439"/>
      <c r="AC114" s="439"/>
      <c r="AD114" s="439"/>
      <c r="AE114" s="439"/>
      <c r="AF114" s="439"/>
    </row>
    <row r="115" ht="16.5" customHeight="1">
      <c r="A115" s="439"/>
      <c r="B115" s="454">
        <f t="shared" si="4"/>
        <v>1106</v>
      </c>
      <c r="C115" s="468"/>
      <c r="D115" s="442" t="str">
        <f>IF(G115="","",(VLOOKUP(G115,'2. SMDA BHN'!$B$12:$J512,2,0)))</f>
        <v/>
      </c>
      <c r="E115" s="443">
        <f>IF(G115=0,0,(VLOOKUP(G115,'2. SMDA BHN'!$B$12:$J512,3,0)))</f>
        <v>0</v>
      </c>
      <c r="F115" s="444"/>
      <c r="G115" s="467"/>
      <c r="H115" s="446">
        <f>IF(G115=0,0,(VLOOKUP(G115,'2. SMDA BHN'!$B$12:$H512,4,0)))</f>
        <v>0</v>
      </c>
      <c r="I115" s="460"/>
      <c r="J115" s="461"/>
      <c r="K115" s="448">
        <f>SUMIF('PO MTRL'!$G$9:$G512,G115,'PO MTRL'!$J$9:$J512)</f>
        <v>0</v>
      </c>
      <c r="L115" s="448">
        <f t="shared" si="1"/>
        <v>0</v>
      </c>
      <c r="M115" s="449">
        <f>SUMIF('PO MTRL'!$G$9:$G512,G115,'PO MTRL'!$L$9:$L512)</f>
        <v>0</v>
      </c>
      <c r="N115" s="450">
        <f>IF(G115=0,0,(VLOOKUP(G115,'2. SMDA BHN'!$B$12:$H512,5,0)))</f>
        <v>0</v>
      </c>
      <c r="O115" s="450">
        <f>IF(G115=0,0,(VLOOKUP(G115,'2. SMDA BHN'!$B$12:$H512,7,0)))</f>
        <v>0</v>
      </c>
      <c r="P115" s="449">
        <f t="shared" si="2"/>
        <v>0</v>
      </c>
      <c r="Q115" s="449">
        <f t="shared" si="3"/>
        <v>0</v>
      </c>
      <c r="R115" s="451" t="s">
        <v>45</v>
      </c>
      <c r="S115" s="464"/>
      <c r="T115" s="439"/>
      <c r="U115" s="16"/>
      <c r="V115" s="439"/>
      <c r="W115" s="439"/>
      <c r="X115" s="439"/>
      <c r="Y115" s="439"/>
      <c r="Z115" s="439"/>
      <c r="AA115" s="439"/>
      <c r="AB115" s="439"/>
      <c r="AC115" s="439"/>
      <c r="AD115" s="439"/>
      <c r="AE115" s="439"/>
      <c r="AF115" s="439"/>
    </row>
    <row r="116" ht="16.5" customHeight="1">
      <c r="A116" s="439"/>
      <c r="B116" s="454">
        <f t="shared" si="4"/>
        <v>1107</v>
      </c>
      <c r="C116" s="468"/>
      <c r="D116" s="442" t="str">
        <f>IF(G116="","",(VLOOKUP(G116,'2. SMDA BHN'!$B$12:$J512,2,0)))</f>
        <v/>
      </c>
      <c r="E116" s="443">
        <f>IF(G116=0,0,(VLOOKUP(G116,'2. SMDA BHN'!$B$12:$J512,3,0)))</f>
        <v>0</v>
      </c>
      <c r="F116" s="444"/>
      <c r="G116" s="467"/>
      <c r="H116" s="446">
        <f>IF(G116=0,0,(VLOOKUP(G116,'2. SMDA BHN'!$B$12:$H512,4,0)))</f>
        <v>0</v>
      </c>
      <c r="I116" s="460"/>
      <c r="J116" s="461"/>
      <c r="K116" s="448">
        <f>SUMIF('PO MTRL'!$G$9:$G512,G116,'PO MTRL'!$J$9:$J512)</f>
        <v>0</v>
      </c>
      <c r="L116" s="448">
        <f t="shared" si="1"/>
        <v>0</v>
      </c>
      <c r="M116" s="449">
        <f>SUMIF('PO MTRL'!$G$9:$G512,G116,'PO MTRL'!$L$9:$L512)</f>
        <v>0</v>
      </c>
      <c r="N116" s="450">
        <f>IF(G116=0,0,(VLOOKUP(G116,'2. SMDA BHN'!$B$12:$H512,5,0)))</f>
        <v>0</v>
      </c>
      <c r="O116" s="450">
        <f>IF(G116=0,0,(VLOOKUP(G116,'2. SMDA BHN'!$B$12:$H512,7,0)))</f>
        <v>0</v>
      </c>
      <c r="P116" s="449">
        <f t="shared" si="2"/>
        <v>0</v>
      </c>
      <c r="Q116" s="449">
        <f t="shared" si="3"/>
        <v>0</v>
      </c>
      <c r="R116" s="451" t="s">
        <v>45</v>
      </c>
      <c r="S116" s="464"/>
      <c r="T116" s="439"/>
      <c r="U116" s="16"/>
      <c r="V116" s="439"/>
      <c r="W116" s="439"/>
      <c r="X116" s="439"/>
      <c r="Y116" s="439"/>
      <c r="Z116" s="439"/>
      <c r="AA116" s="439"/>
      <c r="AB116" s="439"/>
      <c r="AC116" s="439"/>
      <c r="AD116" s="439"/>
      <c r="AE116" s="439"/>
      <c r="AF116" s="439"/>
    </row>
    <row r="117" ht="16.5" customHeight="1">
      <c r="A117" s="439"/>
      <c r="B117" s="454">
        <f t="shared" si="4"/>
        <v>1108</v>
      </c>
      <c r="C117" s="468"/>
      <c r="D117" s="442" t="str">
        <f>IF(G117="","",(VLOOKUP(G117,'2. SMDA BHN'!$B$12:$J512,2,0)))</f>
        <v/>
      </c>
      <c r="E117" s="443">
        <f>IF(G117=0,0,(VLOOKUP(G117,'2. SMDA BHN'!$B$12:$J512,3,0)))</f>
        <v>0</v>
      </c>
      <c r="F117" s="444"/>
      <c r="G117" s="467"/>
      <c r="H117" s="446">
        <f>IF(G117=0,0,(VLOOKUP(G117,'2. SMDA BHN'!$B$12:$H512,4,0)))</f>
        <v>0</v>
      </c>
      <c r="I117" s="460"/>
      <c r="J117" s="461"/>
      <c r="K117" s="448">
        <f>SUMIF('PO MTRL'!$G$9:$G512,G117,'PO MTRL'!$J$9:$J512)</f>
        <v>0</v>
      </c>
      <c r="L117" s="448">
        <f t="shared" si="1"/>
        <v>0</v>
      </c>
      <c r="M117" s="449">
        <f>SUMIF('PO MTRL'!$G$9:$G512,G117,'PO MTRL'!$L$9:$L512)</f>
        <v>0</v>
      </c>
      <c r="N117" s="450">
        <f>IF(G117=0,0,(VLOOKUP(G117,'2. SMDA BHN'!$B$12:$H512,5,0)))</f>
        <v>0</v>
      </c>
      <c r="O117" s="450">
        <f>IF(G117=0,0,(VLOOKUP(G117,'2. SMDA BHN'!$B$12:$H512,7,0)))</f>
        <v>0</v>
      </c>
      <c r="P117" s="449">
        <f t="shared" si="2"/>
        <v>0</v>
      </c>
      <c r="Q117" s="449">
        <f t="shared" si="3"/>
        <v>0</v>
      </c>
      <c r="R117" s="451" t="s">
        <v>45</v>
      </c>
      <c r="S117" s="464"/>
      <c r="T117" s="439"/>
      <c r="U117" s="16"/>
      <c r="V117" s="439"/>
      <c r="W117" s="439"/>
      <c r="X117" s="439"/>
      <c r="Y117" s="439"/>
      <c r="Z117" s="439"/>
      <c r="AA117" s="439"/>
      <c r="AB117" s="439"/>
      <c r="AC117" s="439"/>
      <c r="AD117" s="439"/>
      <c r="AE117" s="439"/>
      <c r="AF117" s="439"/>
    </row>
    <row r="118" ht="16.5" customHeight="1">
      <c r="A118" s="439"/>
      <c r="B118" s="454">
        <f t="shared" si="4"/>
        <v>1109</v>
      </c>
      <c r="C118" s="468"/>
      <c r="D118" s="442" t="str">
        <f>IF(G118="","",(VLOOKUP(G118,'2. SMDA BHN'!$B$12:$J512,2,0)))</f>
        <v/>
      </c>
      <c r="E118" s="443">
        <f>IF(G118=0,0,(VLOOKUP(G118,'2. SMDA BHN'!$B$12:$J512,3,0)))</f>
        <v>0</v>
      </c>
      <c r="F118" s="444"/>
      <c r="G118" s="467"/>
      <c r="H118" s="446">
        <f>IF(G118=0,0,(VLOOKUP(G118,'2. SMDA BHN'!$B$12:$H512,4,0)))</f>
        <v>0</v>
      </c>
      <c r="I118" s="460"/>
      <c r="J118" s="461"/>
      <c r="K118" s="448">
        <f>SUMIF('PO MTRL'!$G$9:$G512,G118,'PO MTRL'!$J$9:$J512)</f>
        <v>0</v>
      </c>
      <c r="L118" s="448">
        <f t="shared" si="1"/>
        <v>0</v>
      </c>
      <c r="M118" s="449">
        <f>SUMIF('PO MTRL'!$G$9:$G512,G118,'PO MTRL'!$L$9:$L512)</f>
        <v>0</v>
      </c>
      <c r="N118" s="450">
        <f>IF(G118=0,0,(VLOOKUP(G118,'2. SMDA BHN'!$B$12:$H512,5,0)))</f>
        <v>0</v>
      </c>
      <c r="O118" s="450">
        <f>IF(G118=0,0,(VLOOKUP(G118,'2. SMDA BHN'!$B$12:$H512,7,0)))</f>
        <v>0</v>
      </c>
      <c r="P118" s="449">
        <f t="shared" si="2"/>
        <v>0</v>
      </c>
      <c r="Q118" s="449">
        <f t="shared" si="3"/>
        <v>0</v>
      </c>
      <c r="R118" s="451" t="s">
        <v>45</v>
      </c>
      <c r="S118" s="464"/>
      <c r="T118" s="439"/>
      <c r="U118" s="16"/>
      <c r="V118" s="439"/>
      <c r="W118" s="439"/>
      <c r="X118" s="439"/>
      <c r="Y118" s="439"/>
      <c r="Z118" s="439"/>
      <c r="AA118" s="439"/>
      <c r="AB118" s="439"/>
      <c r="AC118" s="439"/>
      <c r="AD118" s="439"/>
      <c r="AE118" s="439"/>
      <c r="AF118" s="439"/>
    </row>
    <row r="119" ht="16.5" customHeight="1">
      <c r="A119" s="439"/>
      <c r="B119" s="454">
        <f t="shared" si="4"/>
        <v>1110</v>
      </c>
      <c r="C119" s="468"/>
      <c r="D119" s="442" t="str">
        <f>IF(G119="","",(VLOOKUP(G119,'2. SMDA BHN'!$B$12:$J512,2,0)))</f>
        <v/>
      </c>
      <c r="E119" s="443">
        <f>IF(G119=0,0,(VLOOKUP(G119,'2. SMDA BHN'!$B$12:$J512,3,0)))</f>
        <v>0</v>
      </c>
      <c r="F119" s="444"/>
      <c r="G119" s="467"/>
      <c r="H119" s="446">
        <f>IF(G119=0,0,(VLOOKUP(G119,'2. SMDA BHN'!$B$12:$H512,4,0)))</f>
        <v>0</v>
      </c>
      <c r="I119" s="460"/>
      <c r="J119" s="461"/>
      <c r="K119" s="448">
        <f>SUMIF('PO MTRL'!$G$9:$G512,G119,'PO MTRL'!$J$9:$J512)</f>
        <v>0</v>
      </c>
      <c r="L119" s="448">
        <f t="shared" si="1"/>
        <v>0</v>
      </c>
      <c r="M119" s="449">
        <f>SUMIF('PO MTRL'!$G$9:$G512,G119,'PO MTRL'!$L$9:$L512)</f>
        <v>0</v>
      </c>
      <c r="N119" s="450">
        <f>IF(G119=0,0,(VLOOKUP(G119,'2. SMDA BHN'!$B$12:$H512,5,0)))</f>
        <v>0</v>
      </c>
      <c r="O119" s="450">
        <f>IF(G119=0,0,(VLOOKUP(G119,'2. SMDA BHN'!$B$12:$H512,7,0)))</f>
        <v>0</v>
      </c>
      <c r="P119" s="449">
        <f t="shared" si="2"/>
        <v>0</v>
      </c>
      <c r="Q119" s="449">
        <f t="shared" si="3"/>
        <v>0</v>
      </c>
      <c r="R119" s="451" t="s">
        <v>45</v>
      </c>
      <c r="S119" s="464"/>
      <c r="T119" s="439"/>
      <c r="U119" s="16"/>
      <c r="V119" s="439"/>
      <c r="W119" s="439"/>
      <c r="X119" s="439"/>
      <c r="Y119" s="439"/>
      <c r="Z119" s="439"/>
      <c r="AA119" s="439"/>
      <c r="AB119" s="439"/>
      <c r="AC119" s="439"/>
      <c r="AD119" s="439"/>
      <c r="AE119" s="439"/>
      <c r="AF119" s="439"/>
    </row>
    <row r="120" ht="16.5" customHeight="1">
      <c r="A120" s="439"/>
      <c r="B120" s="454">
        <f t="shared" si="4"/>
        <v>1111</v>
      </c>
      <c r="C120" s="468"/>
      <c r="D120" s="442" t="str">
        <f>IF(G120="","",(VLOOKUP(G120,'2. SMDA BHN'!$B$12:$J512,2,0)))</f>
        <v/>
      </c>
      <c r="E120" s="443">
        <f>IF(G120=0,0,(VLOOKUP(G120,'2. SMDA BHN'!$B$12:$J512,3,0)))</f>
        <v>0</v>
      </c>
      <c r="F120" s="444"/>
      <c r="G120" s="467"/>
      <c r="H120" s="446">
        <f>IF(G120=0,0,(VLOOKUP(G120,'2. SMDA BHN'!$B$12:$H512,4,0)))</f>
        <v>0</v>
      </c>
      <c r="I120" s="460"/>
      <c r="J120" s="461"/>
      <c r="K120" s="448">
        <f>SUMIF('PO MTRL'!$G$9:$G512,G120,'PO MTRL'!$J$9:$J512)</f>
        <v>0</v>
      </c>
      <c r="L120" s="448">
        <f t="shared" si="1"/>
        <v>0</v>
      </c>
      <c r="M120" s="449">
        <f>SUMIF('PO MTRL'!$G$9:$G512,G120,'PO MTRL'!$L$9:$L512)</f>
        <v>0</v>
      </c>
      <c r="N120" s="450">
        <f>IF(G120=0,0,(VLOOKUP(G120,'2. SMDA BHN'!$B$12:$H512,5,0)))</f>
        <v>0</v>
      </c>
      <c r="O120" s="450">
        <f>IF(G120=0,0,(VLOOKUP(G120,'2. SMDA BHN'!$B$12:$H512,7,0)))</f>
        <v>0</v>
      </c>
      <c r="P120" s="449">
        <f t="shared" si="2"/>
        <v>0</v>
      </c>
      <c r="Q120" s="449">
        <f t="shared" si="3"/>
        <v>0</v>
      </c>
      <c r="R120" s="451" t="s">
        <v>45</v>
      </c>
      <c r="S120" s="464"/>
      <c r="T120" s="439"/>
      <c r="U120" s="16"/>
      <c r="V120" s="439"/>
      <c r="W120" s="439"/>
      <c r="X120" s="439"/>
      <c r="Y120" s="439"/>
      <c r="Z120" s="439"/>
      <c r="AA120" s="439"/>
      <c r="AB120" s="439"/>
      <c r="AC120" s="439"/>
      <c r="AD120" s="439"/>
      <c r="AE120" s="439"/>
      <c r="AF120" s="439"/>
    </row>
    <row r="121" ht="16.5" customHeight="1">
      <c r="A121" s="439"/>
      <c r="B121" s="454">
        <f t="shared" si="4"/>
        <v>1112</v>
      </c>
      <c r="C121" s="468"/>
      <c r="D121" s="442" t="str">
        <f>IF(G121="","",(VLOOKUP(G121,'2. SMDA BHN'!$B$12:$J512,2,0)))</f>
        <v/>
      </c>
      <c r="E121" s="443">
        <f>IF(G121=0,0,(VLOOKUP(G121,'2. SMDA BHN'!$B$12:$J512,3,0)))</f>
        <v>0</v>
      </c>
      <c r="F121" s="444"/>
      <c r="G121" s="467"/>
      <c r="H121" s="446">
        <f>IF(G121=0,0,(VLOOKUP(G121,'2. SMDA BHN'!$B$12:$H512,4,0)))</f>
        <v>0</v>
      </c>
      <c r="I121" s="460"/>
      <c r="J121" s="461"/>
      <c r="K121" s="448">
        <f>SUMIF('PO MTRL'!$G$9:$G512,G121,'PO MTRL'!$J$9:$J512)</f>
        <v>0</v>
      </c>
      <c r="L121" s="448">
        <f t="shared" si="1"/>
        <v>0</v>
      </c>
      <c r="M121" s="449">
        <f>SUMIF('PO MTRL'!$G$9:$G512,G121,'PO MTRL'!$L$9:$L512)</f>
        <v>0</v>
      </c>
      <c r="N121" s="450">
        <f>IF(G121=0,0,(VLOOKUP(G121,'2. SMDA BHN'!$B$12:$H512,5,0)))</f>
        <v>0</v>
      </c>
      <c r="O121" s="450">
        <f>IF(G121=0,0,(VLOOKUP(G121,'2. SMDA BHN'!$B$12:$H512,7,0)))</f>
        <v>0</v>
      </c>
      <c r="P121" s="449">
        <f t="shared" si="2"/>
        <v>0</v>
      </c>
      <c r="Q121" s="449">
        <f t="shared" si="3"/>
        <v>0</v>
      </c>
      <c r="R121" s="451" t="s">
        <v>45</v>
      </c>
      <c r="S121" s="464"/>
      <c r="T121" s="439"/>
      <c r="U121" s="16"/>
      <c r="V121" s="439"/>
      <c r="W121" s="439"/>
      <c r="X121" s="439"/>
      <c r="Y121" s="439"/>
      <c r="Z121" s="439"/>
      <c r="AA121" s="439"/>
      <c r="AB121" s="439"/>
      <c r="AC121" s="439"/>
      <c r="AD121" s="439"/>
      <c r="AE121" s="439"/>
      <c r="AF121" s="439"/>
    </row>
    <row r="122" ht="16.5" customHeight="1">
      <c r="A122" s="439"/>
      <c r="B122" s="454">
        <f t="shared" si="4"/>
        <v>1113</v>
      </c>
      <c r="C122" s="468"/>
      <c r="D122" s="442" t="str">
        <f>IF(G122="","",(VLOOKUP(G122,'2. SMDA BHN'!$B$12:$J512,2,0)))</f>
        <v/>
      </c>
      <c r="E122" s="443">
        <f>IF(G122=0,0,(VLOOKUP(G122,'2. SMDA BHN'!$B$12:$J512,3,0)))</f>
        <v>0</v>
      </c>
      <c r="F122" s="444"/>
      <c r="G122" s="467"/>
      <c r="H122" s="446">
        <f>IF(G122=0,0,(VLOOKUP(G122,'2. SMDA BHN'!$B$12:$H512,4,0)))</f>
        <v>0</v>
      </c>
      <c r="I122" s="460"/>
      <c r="J122" s="461"/>
      <c r="K122" s="448">
        <f>SUMIF('PO MTRL'!$G$9:$G512,G122,'PO MTRL'!$J$9:$J512)</f>
        <v>0</v>
      </c>
      <c r="L122" s="448">
        <f t="shared" si="1"/>
        <v>0</v>
      </c>
      <c r="M122" s="449">
        <f>SUMIF('PO MTRL'!$G$9:$G512,G122,'PO MTRL'!$L$9:$L512)</f>
        <v>0</v>
      </c>
      <c r="N122" s="450">
        <f>IF(G122=0,0,(VLOOKUP(G122,'2. SMDA BHN'!$B$12:$H512,5,0)))</f>
        <v>0</v>
      </c>
      <c r="O122" s="450">
        <f>IF(G122=0,0,(VLOOKUP(G122,'2. SMDA BHN'!$B$12:$H512,7,0)))</f>
        <v>0</v>
      </c>
      <c r="P122" s="449">
        <f t="shared" si="2"/>
        <v>0</v>
      </c>
      <c r="Q122" s="449">
        <f t="shared" si="3"/>
        <v>0</v>
      </c>
      <c r="R122" s="451" t="s">
        <v>45</v>
      </c>
      <c r="S122" s="464"/>
      <c r="T122" s="439"/>
      <c r="U122" s="16"/>
      <c r="V122" s="439"/>
      <c r="W122" s="439"/>
      <c r="X122" s="439"/>
      <c r="Y122" s="439"/>
      <c r="Z122" s="439"/>
      <c r="AA122" s="439"/>
      <c r="AB122" s="439"/>
      <c r="AC122" s="439"/>
      <c r="AD122" s="439"/>
      <c r="AE122" s="439"/>
      <c r="AF122" s="439"/>
    </row>
    <row r="123" ht="16.5" customHeight="1">
      <c r="A123" s="439"/>
      <c r="B123" s="454">
        <f t="shared" si="4"/>
        <v>1114</v>
      </c>
      <c r="C123" s="468"/>
      <c r="D123" s="442" t="str">
        <f>IF(G123="","",(VLOOKUP(G123,'2. SMDA BHN'!$B$12:$J512,2,0)))</f>
        <v/>
      </c>
      <c r="E123" s="443">
        <f>IF(G123=0,0,(VLOOKUP(G123,'2. SMDA BHN'!$B$12:$J512,3,0)))</f>
        <v>0</v>
      </c>
      <c r="F123" s="444"/>
      <c r="G123" s="467"/>
      <c r="H123" s="446">
        <f>IF(G123=0,0,(VLOOKUP(G123,'2. SMDA BHN'!$B$12:$H512,4,0)))</f>
        <v>0</v>
      </c>
      <c r="I123" s="460"/>
      <c r="J123" s="461"/>
      <c r="K123" s="448">
        <f>SUMIF('PO MTRL'!$G$9:$G512,G123,'PO MTRL'!$J$9:$J512)</f>
        <v>0</v>
      </c>
      <c r="L123" s="448">
        <f t="shared" si="1"/>
        <v>0</v>
      </c>
      <c r="M123" s="449">
        <f>SUMIF('PO MTRL'!$G$9:$G512,G123,'PO MTRL'!$L$9:$L512)</f>
        <v>0</v>
      </c>
      <c r="N123" s="450">
        <f>IF(G123=0,0,(VLOOKUP(G123,'2. SMDA BHN'!$B$12:$H512,5,0)))</f>
        <v>0</v>
      </c>
      <c r="O123" s="450">
        <f>IF(G123=0,0,(VLOOKUP(G123,'2. SMDA BHN'!$B$12:$H512,7,0)))</f>
        <v>0</v>
      </c>
      <c r="P123" s="449">
        <f t="shared" si="2"/>
        <v>0</v>
      </c>
      <c r="Q123" s="449">
        <f t="shared" si="3"/>
        <v>0</v>
      </c>
      <c r="R123" s="451" t="s">
        <v>45</v>
      </c>
      <c r="S123" s="464"/>
      <c r="T123" s="439"/>
      <c r="U123" s="16"/>
      <c r="V123" s="439"/>
      <c r="W123" s="439"/>
      <c r="X123" s="439"/>
      <c r="Y123" s="439"/>
      <c r="Z123" s="439"/>
      <c r="AA123" s="439"/>
      <c r="AB123" s="439"/>
      <c r="AC123" s="439"/>
      <c r="AD123" s="439"/>
      <c r="AE123" s="439"/>
      <c r="AF123" s="439"/>
    </row>
    <row r="124" ht="16.5" customHeight="1">
      <c r="A124" s="439"/>
      <c r="B124" s="454">
        <f t="shared" si="4"/>
        <v>1115</v>
      </c>
      <c r="C124" s="468"/>
      <c r="D124" s="442" t="str">
        <f>IF(G124="","",(VLOOKUP(G124,'2. SMDA BHN'!$B$12:$J512,2,0)))</f>
        <v/>
      </c>
      <c r="E124" s="443">
        <f>IF(G124=0,0,(VLOOKUP(G124,'2. SMDA BHN'!$B$12:$J512,3,0)))</f>
        <v>0</v>
      </c>
      <c r="F124" s="444"/>
      <c r="G124" s="467"/>
      <c r="H124" s="446">
        <f>IF(G124=0,0,(VLOOKUP(G124,'2. SMDA BHN'!$B$12:$H512,4,0)))</f>
        <v>0</v>
      </c>
      <c r="I124" s="460"/>
      <c r="J124" s="461"/>
      <c r="K124" s="448">
        <f>SUMIF('PO MTRL'!$G$9:$G512,G124,'PO MTRL'!$J$9:$J512)</f>
        <v>0</v>
      </c>
      <c r="L124" s="448">
        <f t="shared" si="1"/>
        <v>0</v>
      </c>
      <c r="M124" s="449">
        <f>SUMIF('PO MTRL'!$G$9:$G512,G124,'PO MTRL'!$L$9:$L512)</f>
        <v>0</v>
      </c>
      <c r="N124" s="450">
        <f>IF(G124=0,0,(VLOOKUP(G124,'2. SMDA BHN'!$B$12:$H512,5,0)))</f>
        <v>0</v>
      </c>
      <c r="O124" s="450">
        <f>IF(G124=0,0,(VLOOKUP(G124,'2. SMDA BHN'!$B$12:$H512,7,0)))</f>
        <v>0</v>
      </c>
      <c r="P124" s="449">
        <f t="shared" si="2"/>
        <v>0</v>
      </c>
      <c r="Q124" s="449">
        <f t="shared" si="3"/>
        <v>0</v>
      </c>
      <c r="R124" s="451" t="s">
        <v>45</v>
      </c>
      <c r="S124" s="464"/>
      <c r="T124" s="439"/>
      <c r="U124" s="16"/>
      <c r="V124" s="439"/>
      <c r="W124" s="439"/>
      <c r="X124" s="439"/>
      <c r="Y124" s="439"/>
      <c r="Z124" s="439"/>
      <c r="AA124" s="439"/>
      <c r="AB124" s="439"/>
      <c r="AC124" s="439"/>
      <c r="AD124" s="439"/>
      <c r="AE124" s="439"/>
      <c r="AF124" s="439"/>
    </row>
    <row r="125" ht="16.5" customHeight="1">
      <c r="A125" s="439"/>
      <c r="B125" s="454">
        <f t="shared" si="4"/>
        <v>1116</v>
      </c>
      <c r="C125" s="468"/>
      <c r="D125" s="442" t="str">
        <f>IF(G125="","",(VLOOKUP(G125,'2. SMDA BHN'!$B$12:$J512,2,0)))</f>
        <v/>
      </c>
      <c r="E125" s="443">
        <f>IF(G125=0,0,(VLOOKUP(G125,'2. SMDA BHN'!$B$12:$J512,3,0)))</f>
        <v>0</v>
      </c>
      <c r="F125" s="444"/>
      <c r="G125" s="467"/>
      <c r="H125" s="446">
        <f>IF(G125=0,0,(VLOOKUP(G125,'2. SMDA BHN'!$B$12:$H512,4,0)))</f>
        <v>0</v>
      </c>
      <c r="I125" s="460"/>
      <c r="J125" s="461"/>
      <c r="K125" s="448">
        <f>SUMIF('PO MTRL'!$G$9:$G512,G125,'PO MTRL'!$J$9:$J512)</f>
        <v>0</v>
      </c>
      <c r="L125" s="448">
        <f t="shared" si="1"/>
        <v>0</v>
      </c>
      <c r="M125" s="449">
        <f>SUMIF('PO MTRL'!$G$9:$G512,G125,'PO MTRL'!$L$9:$L512)</f>
        <v>0</v>
      </c>
      <c r="N125" s="450">
        <f>IF(G125=0,0,(VLOOKUP(G125,'2. SMDA BHN'!$B$12:$H512,5,0)))</f>
        <v>0</v>
      </c>
      <c r="O125" s="450">
        <f>IF(G125=0,0,(VLOOKUP(G125,'2. SMDA BHN'!$B$12:$H512,7,0)))</f>
        <v>0</v>
      </c>
      <c r="P125" s="449">
        <f t="shared" si="2"/>
        <v>0</v>
      </c>
      <c r="Q125" s="449">
        <f t="shared" si="3"/>
        <v>0</v>
      </c>
      <c r="R125" s="451" t="s">
        <v>45</v>
      </c>
      <c r="S125" s="464"/>
      <c r="T125" s="439"/>
      <c r="U125" s="16"/>
      <c r="V125" s="439"/>
      <c r="W125" s="439"/>
      <c r="X125" s="439"/>
      <c r="Y125" s="439"/>
      <c r="Z125" s="439"/>
      <c r="AA125" s="439"/>
      <c r="AB125" s="439"/>
      <c r="AC125" s="439"/>
      <c r="AD125" s="439"/>
      <c r="AE125" s="439"/>
      <c r="AF125" s="439"/>
    </row>
    <row r="126" ht="16.5" customHeight="1">
      <c r="A126" s="439"/>
      <c r="B126" s="454">
        <f t="shared" si="4"/>
        <v>1117</v>
      </c>
      <c r="C126" s="468"/>
      <c r="D126" s="442" t="str">
        <f>IF(G126="","",(VLOOKUP(G126,'2. SMDA BHN'!$B$12:$J512,2,0)))</f>
        <v/>
      </c>
      <c r="E126" s="443">
        <f>IF(G126=0,0,(VLOOKUP(G126,'2. SMDA BHN'!$B$12:$J512,3,0)))</f>
        <v>0</v>
      </c>
      <c r="F126" s="444"/>
      <c r="G126" s="467"/>
      <c r="H126" s="446">
        <f>IF(G126=0,0,(VLOOKUP(G126,'2. SMDA BHN'!$B$12:$H512,4,0)))</f>
        <v>0</v>
      </c>
      <c r="I126" s="460"/>
      <c r="J126" s="461"/>
      <c r="K126" s="448">
        <f>SUMIF('PO MTRL'!$G$9:$G512,G126,'PO MTRL'!$J$9:$J512)</f>
        <v>0</v>
      </c>
      <c r="L126" s="448">
        <f t="shared" si="1"/>
        <v>0</v>
      </c>
      <c r="M126" s="449">
        <f>SUMIF('PO MTRL'!$G$9:$G512,G126,'PO MTRL'!$L$9:$L512)</f>
        <v>0</v>
      </c>
      <c r="N126" s="450">
        <f>IF(G126=0,0,(VLOOKUP(G126,'2. SMDA BHN'!$B$12:$H512,5,0)))</f>
        <v>0</v>
      </c>
      <c r="O126" s="450">
        <f>IF(G126=0,0,(VLOOKUP(G126,'2. SMDA BHN'!$B$12:$H512,7,0)))</f>
        <v>0</v>
      </c>
      <c r="P126" s="449">
        <f t="shared" si="2"/>
        <v>0</v>
      </c>
      <c r="Q126" s="449">
        <f t="shared" si="3"/>
        <v>0</v>
      </c>
      <c r="R126" s="451" t="s">
        <v>45</v>
      </c>
      <c r="S126" s="464"/>
      <c r="T126" s="439"/>
      <c r="U126" s="16"/>
      <c r="V126" s="439"/>
      <c r="W126" s="439"/>
      <c r="X126" s="439"/>
      <c r="Y126" s="439"/>
      <c r="Z126" s="439"/>
      <c r="AA126" s="439"/>
      <c r="AB126" s="439"/>
      <c r="AC126" s="439"/>
      <c r="AD126" s="439"/>
      <c r="AE126" s="439"/>
      <c r="AF126" s="439"/>
    </row>
    <row r="127" ht="16.5" customHeight="1">
      <c r="A127" s="439"/>
      <c r="B127" s="454">
        <f t="shared" si="4"/>
        <v>1118</v>
      </c>
      <c r="C127" s="468"/>
      <c r="D127" s="442" t="str">
        <f>IF(G127="","",(VLOOKUP(G127,'2. SMDA BHN'!$B$12:$J512,2,0)))</f>
        <v/>
      </c>
      <c r="E127" s="443">
        <f>IF(G127=0,0,(VLOOKUP(G127,'2. SMDA BHN'!$B$12:$J512,3,0)))</f>
        <v>0</v>
      </c>
      <c r="F127" s="444"/>
      <c r="G127" s="467"/>
      <c r="H127" s="446">
        <f>IF(G127=0,0,(VLOOKUP(G127,'2. SMDA BHN'!$B$12:$H512,4,0)))</f>
        <v>0</v>
      </c>
      <c r="I127" s="460"/>
      <c r="J127" s="461"/>
      <c r="K127" s="448">
        <f>SUMIF('PO MTRL'!$G$9:$G512,G127,'PO MTRL'!$J$9:$J512)</f>
        <v>0</v>
      </c>
      <c r="L127" s="448">
        <f t="shared" si="1"/>
        <v>0</v>
      </c>
      <c r="M127" s="449">
        <f>SUMIF('PO MTRL'!$G$9:$G512,G127,'PO MTRL'!$L$9:$L512)</f>
        <v>0</v>
      </c>
      <c r="N127" s="450">
        <f>IF(G127=0,0,(VLOOKUP(G127,'2. SMDA BHN'!$B$12:$H512,5,0)))</f>
        <v>0</v>
      </c>
      <c r="O127" s="450">
        <f>IF(G127=0,0,(VLOOKUP(G127,'2. SMDA BHN'!$B$12:$H512,7,0)))</f>
        <v>0</v>
      </c>
      <c r="P127" s="449">
        <f t="shared" si="2"/>
        <v>0</v>
      </c>
      <c r="Q127" s="449">
        <f t="shared" si="3"/>
        <v>0</v>
      </c>
      <c r="R127" s="451" t="s">
        <v>45</v>
      </c>
      <c r="S127" s="464"/>
      <c r="T127" s="439"/>
      <c r="U127" s="16"/>
      <c r="V127" s="439"/>
      <c r="W127" s="439"/>
      <c r="X127" s="439"/>
      <c r="Y127" s="439"/>
      <c r="Z127" s="439"/>
      <c r="AA127" s="439"/>
      <c r="AB127" s="439"/>
      <c r="AC127" s="439"/>
      <c r="AD127" s="439"/>
      <c r="AE127" s="439"/>
      <c r="AF127" s="439"/>
    </row>
    <row r="128" ht="16.5" customHeight="1">
      <c r="A128" s="439"/>
      <c r="B128" s="454">
        <f t="shared" si="4"/>
        <v>1119</v>
      </c>
      <c r="C128" s="468"/>
      <c r="D128" s="442" t="str">
        <f>IF(G128="","",(VLOOKUP(G128,'2. SMDA BHN'!$B$12:$J512,2,0)))</f>
        <v/>
      </c>
      <c r="E128" s="443">
        <f>IF(G128=0,0,(VLOOKUP(G128,'2. SMDA BHN'!$B$12:$J512,3,0)))</f>
        <v>0</v>
      </c>
      <c r="F128" s="444"/>
      <c r="G128" s="467"/>
      <c r="H128" s="446">
        <f>IF(G128=0,0,(VLOOKUP(G128,'2. SMDA BHN'!$B$12:$H512,4,0)))</f>
        <v>0</v>
      </c>
      <c r="I128" s="460"/>
      <c r="J128" s="461"/>
      <c r="K128" s="448">
        <f>SUMIF('PO MTRL'!$G$9:$G512,G128,'PO MTRL'!$J$9:$J512)</f>
        <v>0</v>
      </c>
      <c r="L128" s="448">
        <f t="shared" si="1"/>
        <v>0</v>
      </c>
      <c r="M128" s="449">
        <f>SUMIF('PO MTRL'!$G$9:$G512,G128,'PO MTRL'!$L$9:$L512)</f>
        <v>0</v>
      </c>
      <c r="N128" s="450">
        <f>IF(G128=0,0,(VLOOKUP(G128,'2. SMDA BHN'!$B$12:$H512,5,0)))</f>
        <v>0</v>
      </c>
      <c r="O128" s="450">
        <f>IF(G128=0,0,(VLOOKUP(G128,'2. SMDA BHN'!$B$12:$H512,7,0)))</f>
        <v>0</v>
      </c>
      <c r="P128" s="449">
        <f t="shared" si="2"/>
        <v>0</v>
      </c>
      <c r="Q128" s="449">
        <f t="shared" si="3"/>
        <v>0</v>
      </c>
      <c r="R128" s="451" t="s">
        <v>45</v>
      </c>
      <c r="S128" s="464"/>
      <c r="T128" s="439"/>
      <c r="U128" s="16"/>
      <c r="V128" s="439"/>
      <c r="W128" s="439"/>
      <c r="X128" s="439"/>
      <c r="Y128" s="439"/>
      <c r="Z128" s="439"/>
      <c r="AA128" s="439"/>
      <c r="AB128" s="439"/>
      <c r="AC128" s="439"/>
      <c r="AD128" s="439"/>
      <c r="AE128" s="439"/>
      <c r="AF128" s="439"/>
    </row>
    <row r="129" ht="16.5" customHeight="1">
      <c r="A129" s="439"/>
      <c r="B129" s="454">
        <f t="shared" si="4"/>
        <v>1120</v>
      </c>
      <c r="C129" s="468"/>
      <c r="D129" s="442" t="str">
        <f>IF(G129="","",(VLOOKUP(G129,'2. SMDA BHN'!$B$12:$J512,2,0)))</f>
        <v/>
      </c>
      <c r="E129" s="443">
        <f>IF(G129=0,0,(VLOOKUP(G129,'2. SMDA BHN'!$B$12:$J512,3,0)))</f>
        <v>0</v>
      </c>
      <c r="F129" s="444"/>
      <c r="G129" s="467"/>
      <c r="H129" s="446">
        <f>IF(G129=0,0,(VLOOKUP(G129,'2. SMDA BHN'!$B$12:$H512,4,0)))</f>
        <v>0</v>
      </c>
      <c r="I129" s="460"/>
      <c r="J129" s="461"/>
      <c r="K129" s="448">
        <f>SUMIF('PO MTRL'!$G$9:$G512,G129,'PO MTRL'!$J$9:$J512)</f>
        <v>0</v>
      </c>
      <c r="L129" s="448">
        <f t="shared" si="1"/>
        <v>0</v>
      </c>
      <c r="M129" s="449">
        <f>SUMIF('PO MTRL'!$G$9:$G512,G129,'PO MTRL'!$L$9:$L512)</f>
        <v>0</v>
      </c>
      <c r="N129" s="450">
        <f>IF(G129=0,0,(VLOOKUP(G129,'2. SMDA BHN'!$B$12:$H512,5,0)))</f>
        <v>0</v>
      </c>
      <c r="O129" s="450">
        <f>IF(G129=0,0,(VLOOKUP(G129,'2. SMDA BHN'!$B$12:$H512,7,0)))</f>
        <v>0</v>
      </c>
      <c r="P129" s="449">
        <f t="shared" si="2"/>
        <v>0</v>
      </c>
      <c r="Q129" s="449">
        <f t="shared" si="3"/>
        <v>0</v>
      </c>
      <c r="R129" s="451" t="s">
        <v>45</v>
      </c>
      <c r="S129" s="464"/>
      <c r="T129" s="439"/>
      <c r="U129" s="16"/>
      <c r="V129" s="439"/>
      <c r="W129" s="439"/>
      <c r="X129" s="439"/>
      <c r="Y129" s="439"/>
      <c r="Z129" s="439"/>
      <c r="AA129" s="439"/>
      <c r="AB129" s="439"/>
      <c r="AC129" s="439"/>
      <c r="AD129" s="439"/>
      <c r="AE129" s="439"/>
      <c r="AF129" s="439"/>
    </row>
    <row r="130" ht="16.5" customHeight="1">
      <c r="A130" s="439"/>
      <c r="B130" s="454">
        <f t="shared" si="4"/>
        <v>1121</v>
      </c>
      <c r="C130" s="468"/>
      <c r="D130" s="442" t="str">
        <f>IF(G130="","",(VLOOKUP(G130,'2. SMDA BHN'!$B$12:$J512,2,0)))</f>
        <v/>
      </c>
      <c r="E130" s="443">
        <f>IF(G130=0,0,(VLOOKUP(G130,'2. SMDA BHN'!$B$12:$J512,3,0)))</f>
        <v>0</v>
      </c>
      <c r="F130" s="444"/>
      <c r="G130" s="467"/>
      <c r="H130" s="446">
        <f>IF(G130=0,0,(VLOOKUP(G130,'2. SMDA BHN'!$B$12:$H512,4,0)))</f>
        <v>0</v>
      </c>
      <c r="I130" s="460"/>
      <c r="J130" s="461"/>
      <c r="K130" s="448">
        <f>SUMIF('PO MTRL'!$G$9:$G512,G130,'PO MTRL'!$J$9:$J512)</f>
        <v>0</v>
      </c>
      <c r="L130" s="448">
        <f t="shared" si="1"/>
        <v>0</v>
      </c>
      <c r="M130" s="449">
        <f>SUMIF('PO MTRL'!$G$9:$G512,G130,'PO MTRL'!$L$9:$L512)</f>
        <v>0</v>
      </c>
      <c r="N130" s="450">
        <f>IF(G130=0,0,(VLOOKUP(G130,'2. SMDA BHN'!$B$12:$H512,5,0)))</f>
        <v>0</v>
      </c>
      <c r="O130" s="450">
        <f>IF(G130=0,0,(VLOOKUP(G130,'2. SMDA BHN'!$B$12:$H512,7,0)))</f>
        <v>0</v>
      </c>
      <c r="P130" s="449">
        <f t="shared" si="2"/>
        <v>0</v>
      </c>
      <c r="Q130" s="449">
        <f t="shared" si="3"/>
        <v>0</v>
      </c>
      <c r="R130" s="451" t="s">
        <v>45</v>
      </c>
      <c r="S130" s="464"/>
      <c r="T130" s="439"/>
      <c r="U130" s="16"/>
      <c r="V130" s="439"/>
      <c r="W130" s="439"/>
      <c r="X130" s="439"/>
      <c r="Y130" s="439"/>
      <c r="Z130" s="439"/>
      <c r="AA130" s="439"/>
      <c r="AB130" s="439"/>
      <c r="AC130" s="439"/>
      <c r="AD130" s="439"/>
      <c r="AE130" s="439"/>
      <c r="AF130" s="439"/>
    </row>
    <row r="131" ht="16.5" customHeight="1">
      <c r="A131" s="439"/>
      <c r="B131" s="454">
        <f t="shared" si="4"/>
        <v>1122</v>
      </c>
      <c r="C131" s="468"/>
      <c r="D131" s="442" t="str">
        <f>IF(G131="","",(VLOOKUP(G131,'2. SMDA BHN'!$B$12:$J512,2,0)))</f>
        <v/>
      </c>
      <c r="E131" s="443">
        <f>IF(G131=0,0,(VLOOKUP(G131,'2. SMDA BHN'!$B$12:$J512,3,0)))</f>
        <v>0</v>
      </c>
      <c r="F131" s="444"/>
      <c r="G131" s="467"/>
      <c r="H131" s="446">
        <f>IF(G131=0,0,(VLOOKUP(G131,'2. SMDA BHN'!$B$12:$H512,4,0)))</f>
        <v>0</v>
      </c>
      <c r="I131" s="460"/>
      <c r="J131" s="461"/>
      <c r="K131" s="448">
        <f>SUMIF('PO MTRL'!$G$9:$G512,G131,'PO MTRL'!$J$9:$J512)</f>
        <v>0</v>
      </c>
      <c r="L131" s="448">
        <f t="shared" si="1"/>
        <v>0</v>
      </c>
      <c r="M131" s="449">
        <f>SUMIF('PO MTRL'!$G$9:$G512,G131,'PO MTRL'!$L$9:$L512)</f>
        <v>0</v>
      </c>
      <c r="N131" s="450">
        <f>IF(G131=0,0,(VLOOKUP(G131,'2. SMDA BHN'!$B$12:$H512,5,0)))</f>
        <v>0</v>
      </c>
      <c r="O131" s="450">
        <f>IF(G131=0,0,(VLOOKUP(G131,'2. SMDA BHN'!$B$12:$H512,7,0)))</f>
        <v>0</v>
      </c>
      <c r="P131" s="449">
        <f t="shared" si="2"/>
        <v>0</v>
      </c>
      <c r="Q131" s="449">
        <f t="shared" si="3"/>
        <v>0</v>
      </c>
      <c r="R131" s="451" t="s">
        <v>45</v>
      </c>
      <c r="S131" s="464"/>
      <c r="T131" s="439"/>
      <c r="U131" s="16"/>
      <c r="V131" s="439"/>
      <c r="W131" s="439"/>
      <c r="X131" s="439"/>
      <c r="Y131" s="439"/>
      <c r="Z131" s="439"/>
      <c r="AA131" s="439"/>
      <c r="AB131" s="439"/>
      <c r="AC131" s="439"/>
      <c r="AD131" s="439"/>
      <c r="AE131" s="439"/>
      <c r="AF131" s="439"/>
    </row>
    <row r="132" ht="16.5" customHeight="1">
      <c r="A132" s="439"/>
      <c r="B132" s="454">
        <f t="shared" si="4"/>
        <v>1123</v>
      </c>
      <c r="C132" s="468"/>
      <c r="D132" s="442" t="str">
        <f>IF(G132="","",(VLOOKUP(G132,'2. SMDA BHN'!$B$12:$J512,2,0)))</f>
        <v/>
      </c>
      <c r="E132" s="443">
        <f>IF(G132=0,0,(VLOOKUP(G132,'2. SMDA BHN'!$B$12:$J512,3,0)))</f>
        <v>0</v>
      </c>
      <c r="F132" s="444"/>
      <c r="G132" s="467"/>
      <c r="H132" s="446">
        <f>IF(G132=0,0,(VLOOKUP(G132,'2. SMDA BHN'!$B$12:$H512,4,0)))</f>
        <v>0</v>
      </c>
      <c r="I132" s="460"/>
      <c r="J132" s="461"/>
      <c r="K132" s="448">
        <f>SUMIF('PO MTRL'!$G$9:$G512,G132,'PO MTRL'!$J$9:$J512)</f>
        <v>0</v>
      </c>
      <c r="L132" s="448">
        <f t="shared" si="1"/>
        <v>0</v>
      </c>
      <c r="M132" s="449">
        <f>SUMIF('PO MTRL'!$G$9:$G512,G132,'PO MTRL'!$L$9:$L512)</f>
        <v>0</v>
      </c>
      <c r="N132" s="450">
        <f>IF(G132=0,0,(VLOOKUP(G132,'2. SMDA BHN'!$B$12:$H512,5,0)))</f>
        <v>0</v>
      </c>
      <c r="O132" s="450">
        <f>IF(G132=0,0,(VLOOKUP(G132,'2. SMDA BHN'!$B$12:$H512,7,0)))</f>
        <v>0</v>
      </c>
      <c r="P132" s="449">
        <f t="shared" si="2"/>
        <v>0</v>
      </c>
      <c r="Q132" s="449">
        <f t="shared" si="3"/>
        <v>0</v>
      </c>
      <c r="R132" s="451" t="s">
        <v>45</v>
      </c>
      <c r="S132" s="464"/>
      <c r="T132" s="439"/>
      <c r="U132" s="16"/>
      <c r="V132" s="439"/>
      <c r="W132" s="439"/>
      <c r="X132" s="439"/>
      <c r="Y132" s="439"/>
      <c r="Z132" s="439"/>
      <c r="AA132" s="439"/>
      <c r="AB132" s="439"/>
      <c r="AC132" s="439"/>
      <c r="AD132" s="439"/>
      <c r="AE132" s="439"/>
      <c r="AF132" s="439"/>
    </row>
    <row r="133" ht="16.5" customHeight="1">
      <c r="A133" s="439"/>
      <c r="B133" s="454">
        <f t="shared" si="4"/>
        <v>1124</v>
      </c>
      <c r="C133" s="468"/>
      <c r="D133" s="442" t="str">
        <f>IF(G133="","",(VLOOKUP(G133,'2. SMDA BHN'!$B$12:$J512,2,0)))</f>
        <v/>
      </c>
      <c r="E133" s="443">
        <f>IF(G133=0,0,(VLOOKUP(G133,'2. SMDA BHN'!$B$12:$J512,3,0)))</f>
        <v>0</v>
      </c>
      <c r="F133" s="444"/>
      <c r="G133" s="467"/>
      <c r="H133" s="446">
        <f>IF(G133=0,0,(VLOOKUP(G133,'2. SMDA BHN'!$B$12:$H512,4,0)))</f>
        <v>0</v>
      </c>
      <c r="I133" s="460"/>
      <c r="J133" s="461"/>
      <c r="K133" s="448">
        <f>SUMIF('PO MTRL'!$G$9:$G512,G133,'PO MTRL'!$J$9:$J512)</f>
        <v>0</v>
      </c>
      <c r="L133" s="448">
        <f t="shared" si="1"/>
        <v>0</v>
      </c>
      <c r="M133" s="449">
        <f>SUMIF('PO MTRL'!$G$9:$G512,G133,'PO MTRL'!$L$9:$L512)</f>
        <v>0</v>
      </c>
      <c r="N133" s="450">
        <f>IF(G133=0,0,(VLOOKUP(G133,'2. SMDA BHN'!$B$12:$H512,5,0)))</f>
        <v>0</v>
      </c>
      <c r="O133" s="450">
        <f>IF(G133=0,0,(VLOOKUP(G133,'2. SMDA BHN'!$B$12:$H512,7,0)))</f>
        <v>0</v>
      </c>
      <c r="P133" s="449">
        <f t="shared" si="2"/>
        <v>0</v>
      </c>
      <c r="Q133" s="449">
        <f t="shared" si="3"/>
        <v>0</v>
      </c>
      <c r="R133" s="451" t="s">
        <v>45</v>
      </c>
      <c r="S133" s="464"/>
      <c r="T133" s="439"/>
      <c r="U133" s="16"/>
      <c r="V133" s="439"/>
      <c r="W133" s="439"/>
      <c r="X133" s="439"/>
      <c r="Y133" s="439"/>
      <c r="Z133" s="439"/>
      <c r="AA133" s="439"/>
      <c r="AB133" s="439"/>
      <c r="AC133" s="439"/>
      <c r="AD133" s="439"/>
      <c r="AE133" s="439"/>
      <c r="AF133" s="439"/>
    </row>
    <row r="134" ht="16.5" customHeight="1">
      <c r="A134" s="439"/>
      <c r="B134" s="454">
        <f t="shared" si="4"/>
        <v>1125</v>
      </c>
      <c r="C134" s="468"/>
      <c r="D134" s="442" t="str">
        <f>IF(G134="","",(VLOOKUP(G134,'2. SMDA BHN'!$B$12:$J512,2,0)))</f>
        <v/>
      </c>
      <c r="E134" s="443">
        <f>IF(G134=0,0,(VLOOKUP(G134,'2. SMDA BHN'!$B$12:$J512,3,0)))</f>
        <v>0</v>
      </c>
      <c r="F134" s="444"/>
      <c r="G134" s="467"/>
      <c r="H134" s="446">
        <f>IF(G134=0,0,(VLOOKUP(G134,'2. SMDA BHN'!$B$12:$H512,4,0)))</f>
        <v>0</v>
      </c>
      <c r="I134" s="460"/>
      <c r="J134" s="461"/>
      <c r="K134" s="448">
        <f>SUMIF('PO MTRL'!$G$9:$G512,G134,'PO MTRL'!$J$9:$J512)</f>
        <v>0</v>
      </c>
      <c r="L134" s="448">
        <f t="shared" si="1"/>
        <v>0</v>
      </c>
      <c r="M134" s="449">
        <f>SUMIF('PO MTRL'!$G$9:$G512,G134,'PO MTRL'!$L$9:$L512)</f>
        <v>0</v>
      </c>
      <c r="N134" s="450">
        <f>IF(G134=0,0,(VLOOKUP(G134,'2. SMDA BHN'!$B$12:$H512,5,0)))</f>
        <v>0</v>
      </c>
      <c r="O134" s="450">
        <f>IF(G134=0,0,(VLOOKUP(G134,'2. SMDA BHN'!$B$12:$H512,7,0)))</f>
        <v>0</v>
      </c>
      <c r="P134" s="449">
        <f t="shared" si="2"/>
        <v>0</v>
      </c>
      <c r="Q134" s="449">
        <f t="shared" si="3"/>
        <v>0</v>
      </c>
      <c r="R134" s="451" t="s">
        <v>45</v>
      </c>
      <c r="S134" s="464"/>
      <c r="T134" s="439"/>
      <c r="U134" s="16"/>
      <c r="V134" s="439"/>
      <c r="W134" s="439"/>
      <c r="X134" s="439"/>
      <c r="Y134" s="439"/>
      <c r="Z134" s="439"/>
      <c r="AA134" s="439"/>
      <c r="AB134" s="439"/>
      <c r="AC134" s="439"/>
      <c r="AD134" s="439"/>
      <c r="AE134" s="439"/>
      <c r="AF134" s="439"/>
    </row>
    <row r="135" ht="16.5" customHeight="1">
      <c r="A135" s="439"/>
      <c r="B135" s="454">
        <f t="shared" si="4"/>
        <v>1126</v>
      </c>
      <c r="C135" s="468"/>
      <c r="D135" s="442" t="str">
        <f>IF(G135="","",(VLOOKUP(G135,'2. SMDA BHN'!$B$12:$J512,2,0)))</f>
        <v/>
      </c>
      <c r="E135" s="443">
        <f>IF(G135=0,0,(VLOOKUP(G135,'2. SMDA BHN'!$B$12:$J512,3,0)))</f>
        <v>0</v>
      </c>
      <c r="F135" s="444"/>
      <c r="G135" s="467"/>
      <c r="H135" s="446">
        <f>IF(G135=0,0,(VLOOKUP(G135,'2. SMDA BHN'!$B$12:$H512,4,0)))</f>
        <v>0</v>
      </c>
      <c r="I135" s="460"/>
      <c r="J135" s="461"/>
      <c r="K135" s="448">
        <f>SUMIF('PO MTRL'!$G$9:$G512,G135,'PO MTRL'!$J$9:$J512)</f>
        <v>0</v>
      </c>
      <c r="L135" s="448">
        <f t="shared" si="1"/>
        <v>0</v>
      </c>
      <c r="M135" s="449">
        <f>SUMIF('PO MTRL'!$G$9:$G512,G135,'PO MTRL'!$L$9:$L512)</f>
        <v>0</v>
      </c>
      <c r="N135" s="450">
        <f>IF(G135=0,0,(VLOOKUP(G135,'2. SMDA BHN'!$B$12:$H512,5,0)))</f>
        <v>0</v>
      </c>
      <c r="O135" s="450">
        <f>IF(G135=0,0,(VLOOKUP(G135,'2. SMDA BHN'!$B$12:$H512,7,0)))</f>
        <v>0</v>
      </c>
      <c r="P135" s="449">
        <f t="shared" si="2"/>
        <v>0</v>
      </c>
      <c r="Q135" s="449">
        <f t="shared" si="3"/>
        <v>0</v>
      </c>
      <c r="R135" s="451" t="s">
        <v>45</v>
      </c>
      <c r="S135" s="464"/>
      <c r="T135" s="439"/>
      <c r="U135" s="16"/>
      <c r="V135" s="439"/>
      <c r="W135" s="439"/>
      <c r="X135" s="439"/>
      <c r="Y135" s="439"/>
      <c r="Z135" s="439"/>
      <c r="AA135" s="439"/>
      <c r="AB135" s="439"/>
      <c r="AC135" s="439"/>
      <c r="AD135" s="439"/>
      <c r="AE135" s="439"/>
      <c r="AF135" s="439"/>
    </row>
    <row r="136" ht="16.5" customHeight="1">
      <c r="A136" s="439"/>
      <c r="B136" s="454">
        <f t="shared" si="4"/>
        <v>1127</v>
      </c>
      <c r="C136" s="468"/>
      <c r="D136" s="442" t="str">
        <f>IF(G136="","",(VLOOKUP(G136,'2. SMDA BHN'!$B$12:$J512,2,0)))</f>
        <v/>
      </c>
      <c r="E136" s="443">
        <f>IF(G136=0,0,(VLOOKUP(G136,'2. SMDA BHN'!$B$12:$J512,3,0)))</f>
        <v>0</v>
      </c>
      <c r="F136" s="444"/>
      <c r="G136" s="467"/>
      <c r="H136" s="446">
        <f>IF(G136=0,0,(VLOOKUP(G136,'2. SMDA BHN'!$B$12:$H512,4,0)))</f>
        <v>0</v>
      </c>
      <c r="I136" s="460"/>
      <c r="J136" s="461"/>
      <c r="K136" s="448">
        <f>SUMIF('PO MTRL'!$G$9:$G512,G136,'PO MTRL'!$J$9:$J512)</f>
        <v>0</v>
      </c>
      <c r="L136" s="448">
        <f t="shared" si="1"/>
        <v>0</v>
      </c>
      <c r="M136" s="449">
        <f>SUMIF('PO MTRL'!$G$9:$G512,G136,'PO MTRL'!$L$9:$L512)</f>
        <v>0</v>
      </c>
      <c r="N136" s="450">
        <f>IF(G136=0,0,(VLOOKUP(G136,'2. SMDA BHN'!$B$12:$H512,5,0)))</f>
        <v>0</v>
      </c>
      <c r="O136" s="450">
        <f>IF(G136=0,0,(VLOOKUP(G136,'2. SMDA BHN'!$B$12:$H512,7,0)))</f>
        <v>0</v>
      </c>
      <c r="P136" s="449">
        <f t="shared" si="2"/>
        <v>0</v>
      </c>
      <c r="Q136" s="449">
        <f t="shared" si="3"/>
        <v>0</v>
      </c>
      <c r="R136" s="451" t="s">
        <v>45</v>
      </c>
      <c r="S136" s="464"/>
      <c r="T136" s="439"/>
      <c r="U136" s="16"/>
      <c r="V136" s="439"/>
      <c r="W136" s="439"/>
      <c r="X136" s="439"/>
      <c r="Y136" s="439"/>
      <c r="Z136" s="439"/>
      <c r="AA136" s="439"/>
      <c r="AB136" s="439"/>
      <c r="AC136" s="439"/>
      <c r="AD136" s="439"/>
      <c r="AE136" s="439"/>
      <c r="AF136" s="439"/>
    </row>
    <row r="137" ht="16.5" customHeight="1">
      <c r="A137" s="439"/>
      <c r="B137" s="454">
        <f t="shared" si="4"/>
        <v>1128</v>
      </c>
      <c r="C137" s="468"/>
      <c r="D137" s="442" t="str">
        <f>IF(G137="","",(VLOOKUP(G137,'2. SMDA BHN'!$B$12:$J512,2,0)))</f>
        <v/>
      </c>
      <c r="E137" s="443">
        <f>IF(G137=0,0,(VLOOKUP(G137,'2. SMDA BHN'!$B$12:$J512,3,0)))</f>
        <v>0</v>
      </c>
      <c r="F137" s="444"/>
      <c r="G137" s="467"/>
      <c r="H137" s="446">
        <f>IF(G137=0,0,(VLOOKUP(G137,'2. SMDA BHN'!$B$12:$H512,4,0)))</f>
        <v>0</v>
      </c>
      <c r="I137" s="460"/>
      <c r="J137" s="461"/>
      <c r="K137" s="448">
        <f>SUMIF('PO MTRL'!$G$9:$G512,G137,'PO MTRL'!$J$9:$J512)</f>
        <v>0</v>
      </c>
      <c r="L137" s="448">
        <f t="shared" si="1"/>
        <v>0</v>
      </c>
      <c r="M137" s="449">
        <f>SUMIF('PO MTRL'!$G$9:$G512,G137,'PO MTRL'!$L$9:$L512)</f>
        <v>0</v>
      </c>
      <c r="N137" s="450">
        <f>IF(G137=0,0,(VLOOKUP(G137,'2. SMDA BHN'!$B$12:$H512,5,0)))</f>
        <v>0</v>
      </c>
      <c r="O137" s="450">
        <f>IF(G137=0,0,(VLOOKUP(G137,'2. SMDA BHN'!$B$12:$H512,7,0)))</f>
        <v>0</v>
      </c>
      <c r="P137" s="449">
        <f t="shared" si="2"/>
        <v>0</v>
      </c>
      <c r="Q137" s="449">
        <f t="shared" si="3"/>
        <v>0</v>
      </c>
      <c r="R137" s="451" t="s">
        <v>45</v>
      </c>
      <c r="S137" s="464"/>
      <c r="T137" s="439"/>
      <c r="U137" s="16"/>
      <c r="V137" s="439"/>
      <c r="W137" s="439"/>
      <c r="X137" s="439"/>
      <c r="Y137" s="439"/>
      <c r="Z137" s="439"/>
      <c r="AA137" s="439"/>
      <c r="AB137" s="439"/>
      <c r="AC137" s="439"/>
      <c r="AD137" s="439"/>
      <c r="AE137" s="439"/>
      <c r="AF137" s="439"/>
    </row>
    <row r="138" ht="16.5" customHeight="1">
      <c r="A138" s="439"/>
      <c r="B138" s="454">
        <f t="shared" si="4"/>
        <v>1129</v>
      </c>
      <c r="C138" s="468"/>
      <c r="D138" s="442" t="str">
        <f>IF(G138="","",(VLOOKUP(G138,'2. SMDA BHN'!$B$12:$J512,2,0)))</f>
        <v/>
      </c>
      <c r="E138" s="443">
        <f>IF(G138=0,0,(VLOOKUP(G138,'2. SMDA BHN'!$B$12:$J512,3,0)))</f>
        <v>0</v>
      </c>
      <c r="F138" s="444"/>
      <c r="G138" s="467"/>
      <c r="H138" s="446">
        <f>IF(G138=0,0,(VLOOKUP(G138,'2. SMDA BHN'!$B$12:$H512,4,0)))</f>
        <v>0</v>
      </c>
      <c r="I138" s="460"/>
      <c r="J138" s="461"/>
      <c r="K138" s="448">
        <f>SUMIF('PO MTRL'!$G$9:$G512,G138,'PO MTRL'!$J$9:$J512)</f>
        <v>0</v>
      </c>
      <c r="L138" s="448">
        <f t="shared" si="1"/>
        <v>0</v>
      </c>
      <c r="M138" s="449">
        <f>SUMIF('PO MTRL'!$G$9:$G512,G138,'PO MTRL'!$L$9:$L512)</f>
        <v>0</v>
      </c>
      <c r="N138" s="450">
        <f>IF(G138=0,0,(VLOOKUP(G138,'2. SMDA BHN'!$B$12:$H512,5,0)))</f>
        <v>0</v>
      </c>
      <c r="O138" s="450">
        <f>IF(G138=0,0,(VLOOKUP(G138,'2. SMDA BHN'!$B$12:$H512,7,0)))</f>
        <v>0</v>
      </c>
      <c r="P138" s="449">
        <f t="shared" si="2"/>
        <v>0</v>
      </c>
      <c r="Q138" s="449">
        <f t="shared" si="3"/>
        <v>0</v>
      </c>
      <c r="R138" s="451" t="s">
        <v>45</v>
      </c>
      <c r="S138" s="464"/>
      <c r="T138" s="439"/>
      <c r="U138" s="16"/>
      <c r="V138" s="439"/>
      <c r="W138" s="439"/>
      <c r="X138" s="439"/>
      <c r="Y138" s="439"/>
      <c r="Z138" s="439"/>
      <c r="AA138" s="439"/>
      <c r="AB138" s="439"/>
      <c r="AC138" s="439"/>
      <c r="AD138" s="439"/>
      <c r="AE138" s="439"/>
      <c r="AF138" s="439"/>
    </row>
    <row r="139" ht="16.5" customHeight="1">
      <c r="A139" s="439"/>
      <c r="B139" s="454">
        <f t="shared" si="4"/>
        <v>1130</v>
      </c>
      <c r="C139" s="468"/>
      <c r="D139" s="442" t="str">
        <f>IF(G139="","",(VLOOKUP(G139,'2. SMDA BHN'!$B$12:$J512,2,0)))</f>
        <v/>
      </c>
      <c r="E139" s="443">
        <f>IF(G139=0,0,(VLOOKUP(G139,'2. SMDA BHN'!$B$12:$J512,3,0)))</f>
        <v>0</v>
      </c>
      <c r="F139" s="444"/>
      <c r="G139" s="467"/>
      <c r="H139" s="446">
        <f>IF(G139=0,0,(VLOOKUP(G139,'2. SMDA BHN'!$B$12:$H512,4,0)))</f>
        <v>0</v>
      </c>
      <c r="I139" s="460"/>
      <c r="J139" s="461"/>
      <c r="K139" s="448">
        <f>SUMIF('PO MTRL'!$G$9:$G512,G139,'PO MTRL'!$J$9:$J512)</f>
        <v>0</v>
      </c>
      <c r="L139" s="448">
        <f t="shared" si="1"/>
        <v>0</v>
      </c>
      <c r="M139" s="449">
        <f>SUMIF('PO MTRL'!$G$9:$G512,G139,'PO MTRL'!$L$9:$L512)</f>
        <v>0</v>
      </c>
      <c r="N139" s="450">
        <f>IF(G139=0,0,(VLOOKUP(G139,'2. SMDA BHN'!$B$12:$H512,5,0)))</f>
        <v>0</v>
      </c>
      <c r="O139" s="450">
        <f>IF(G139=0,0,(VLOOKUP(G139,'2. SMDA BHN'!$B$12:$H512,7,0)))</f>
        <v>0</v>
      </c>
      <c r="P139" s="449">
        <f t="shared" si="2"/>
        <v>0</v>
      </c>
      <c r="Q139" s="449">
        <f t="shared" si="3"/>
        <v>0</v>
      </c>
      <c r="R139" s="451" t="s">
        <v>45</v>
      </c>
      <c r="S139" s="464"/>
      <c r="T139" s="439"/>
      <c r="U139" s="16"/>
      <c r="V139" s="439"/>
      <c r="W139" s="439"/>
      <c r="X139" s="439"/>
      <c r="Y139" s="439"/>
      <c r="Z139" s="439"/>
      <c r="AA139" s="439"/>
      <c r="AB139" s="439"/>
      <c r="AC139" s="439"/>
      <c r="AD139" s="439"/>
      <c r="AE139" s="439"/>
      <c r="AF139" s="439"/>
    </row>
    <row r="140" ht="16.5" customHeight="1">
      <c r="A140" s="439"/>
      <c r="B140" s="454">
        <f t="shared" si="4"/>
        <v>1131</v>
      </c>
      <c r="C140" s="468"/>
      <c r="D140" s="442" t="str">
        <f>IF(G140="","",(VLOOKUP(G140,'2. SMDA BHN'!$B$12:$J512,2,0)))</f>
        <v/>
      </c>
      <c r="E140" s="443">
        <f>IF(G140=0,0,(VLOOKUP(G140,'2. SMDA BHN'!$B$12:$J512,3,0)))</f>
        <v>0</v>
      </c>
      <c r="F140" s="444"/>
      <c r="G140" s="467"/>
      <c r="H140" s="446">
        <f>IF(G140=0,0,(VLOOKUP(G140,'2. SMDA BHN'!$B$12:$H512,4,0)))</f>
        <v>0</v>
      </c>
      <c r="I140" s="460"/>
      <c r="J140" s="461"/>
      <c r="K140" s="448">
        <f>SUMIF('PO MTRL'!$G$9:$G512,G140,'PO MTRL'!$J$9:$J512)</f>
        <v>0</v>
      </c>
      <c r="L140" s="448">
        <f t="shared" si="1"/>
        <v>0</v>
      </c>
      <c r="M140" s="449">
        <f>SUMIF('PO MTRL'!$G$9:$G512,G140,'PO MTRL'!$L$9:$L512)</f>
        <v>0</v>
      </c>
      <c r="N140" s="450">
        <f>IF(G140=0,0,(VLOOKUP(G140,'2. SMDA BHN'!$B$12:$H512,5,0)))</f>
        <v>0</v>
      </c>
      <c r="O140" s="450">
        <f>IF(G140=0,0,(VLOOKUP(G140,'2. SMDA BHN'!$B$12:$H512,7,0)))</f>
        <v>0</v>
      </c>
      <c r="P140" s="449">
        <f t="shared" si="2"/>
        <v>0</v>
      </c>
      <c r="Q140" s="449">
        <f t="shared" si="3"/>
        <v>0</v>
      </c>
      <c r="R140" s="451" t="s">
        <v>45</v>
      </c>
      <c r="S140" s="464"/>
      <c r="T140" s="439"/>
      <c r="U140" s="16"/>
      <c r="V140" s="439"/>
      <c r="W140" s="439"/>
      <c r="X140" s="439"/>
      <c r="Y140" s="439"/>
      <c r="Z140" s="439"/>
      <c r="AA140" s="439"/>
      <c r="AB140" s="439"/>
      <c r="AC140" s="439"/>
      <c r="AD140" s="439"/>
      <c r="AE140" s="439"/>
      <c r="AF140" s="439"/>
    </row>
    <row r="141" ht="16.5" customHeight="1">
      <c r="A141" s="439"/>
      <c r="B141" s="454">
        <f t="shared" si="4"/>
        <v>1132</v>
      </c>
      <c r="C141" s="468"/>
      <c r="D141" s="442" t="str">
        <f>IF(G141="","",(VLOOKUP(G141,'2. SMDA BHN'!$B$12:$J512,2,0)))</f>
        <v/>
      </c>
      <c r="E141" s="443">
        <f>IF(G141=0,0,(VLOOKUP(G141,'2. SMDA BHN'!$B$12:$J512,3,0)))</f>
        <v>0</v>
      </c>
      <c r="F141" s="444"/>
      <c r="G141" s="467"/>
      <c r="H141" s="446">
        <f>IF(G141=0,0,(VLOOKUP(G141,'2. SMDA BHN'!$B$12:$H512,4,0)))</f>
        <v>0</v>
      </c>
      <c r="I141" s="460"/>
      <c r="J141" s="461"/>
      <c r="K141" s="448">
        <f>SUMIF('PO MTRL'!$G$9:$G512,G141,'PO MTRL'!$J$9:$J512)</f>
        <v>0</v>
      </c>
      <c r="L141" s="448">
        <f t="shared" si="1"/>
        <v>0</v>
      </c>
      <c r="M141" s="449">
        <f>SUMIF('PO MTRL'!$G$9:$G512,G141,'PO MTRL'!$L$9:$L512)</f>
        <v>0</v>
      </c>
      <c r="N141" s="450">
        <f>IF(G141=0,0,(VLOOKUP(G141,'2. SMDA BHN'!$B$12:$H512,5,0)))</f>
        <v>0</v>
      </c>
      <c r="O141" s="450">
        <f>IF(G141=0,0,(VLOOKUP(G141,'2. SMDA BHN'!$B$12:$H512,7,0)))</f>
        <v>0</v>
      </c>
      <c r="P141" s="449">
        <f t="shared" si="2"/>
        <v>0</v>
      </c>
      <c r="Q141" s="449">
        <f t="shared" si="3"/>
        <v>0</v>
      </c>
      <c r="R141" s="451" t="s">
        <v>45</v>
      </c>
      <c r="S141" s="464"/>
      <c r="T141" s="439"/>
      <c r="U141" s="16"/>
      <c r="V141" s="439"/>
      <c r="W141" s="439"/>
      <c r="X141" s="439"/>
      <c r="Y141" s="439"/>
      <c r="Z141" s="439"/>
      <c r="AA141" s="439"/>
      <c r="AB141" s="439"/>
      <c r="AC141" s="439"/>
      <c r="AD141" s="439"/>
      <c r="AE141" s="439"/>
      <c r="AF141" s="439"/>
    </row>
    <row r="142" ht="16.5" customHeight="1">
      <c r="A142" s="439"/>
      <c r="B142" s="454">
        <f t="shared" si="4"/>
        <v>1133</v>
      </c>
      <c r="C142" s="468"/>
      <c r="D142" s="442" t="str">
        <f>IF(G142="","",(VLOOKUP(G142,'2. SMDA BHN'!$B$12:$J512,2,0)))</f>
        <v/>
      </c>
      <c r="E142" s="443">
        <f>IF(G142=0,0,(VLOOKUP(G142,'2. SMDA BHN'!$B$12:$J512,3,0)))</f>
        <v>0</v>
      </c>
      <c r="F142" s="444"/>
      <c r="G142" s="467"/>
      <c r="H142" s="446">
        <f>IF(G142=0,0,(VLOOKUP(G142,'2. SMDA BHN'!$B$12:$H512,4,0)))</f>
        <v>0</v>
      </c>
      <c r="I142" s="460"/>
      <c r="J142" s="461"/>
      <c r="K142" s="448">
        <f>SUMIF('PO MTRL'!$G$9:$G512,G142,'PO MTRL'!$J$9:$J512)</f>
        <v>0</v>
      </c>
      <c r="L142" s="448">
        <f t="shared" si="1"/>
        <v>0</v>
      </c>
      <c r="M142" s="449">
        <f>SUMIF('PO MTRL'!$G$9:$G512,G142,'PO MTRL'!$L$9:$L512)</f>
        <v>0</v>
      </c>
      <c r="N142" s="450">
        <f>IF(G142=0,0,(VLOOKUP(G142,'2. SMDA BHN'!$B$12:$H512,5,0)))</f>
        <v>0</v>
      </c>
      <c r="O142" s="450">
        <f>IF(G142=0,0,(VLOOKUP(G142,'2. SMDA BHN'!$B$12:$H512,7,0)))</f>
        <v>0</v>
      </c>
      <c r="P142" s="449">
        <f t="shared" si="2"/>
        <v>0</v>
      </c>
      <c r="Q142" s="449">
        <f t="shared" si="3"/>
        <v>0</v>
      </c>
      <c r="R142" s="451" t="s">
        <v>45</v>
      </c>
      <c r="S142" s="464"/>
      <c r="T142" s="439"/>
      <c r="U142" s="16"/>
      <c r="V142" s="439"/>
      <c r="W142" s="439"/>
      <c r="X142" s="439"/>
      <c r="Y142" s="439"/>
      <c r="Z142" s="439"/>
      <c r="AA142" s="439"/>
      <c r="AB142" s="439"/>
      <c r="AC142" s="439"/>
      <c r="AD142" s="439"/>
      <c r="AE142" s="439"/>
      <c r="AF142" s="439"/>
    </row>
    <row r="143" ht="16.5" customHeight="1">
      <c r="A143" s="439"/>
      <c r="B143" s="454">
        <f t="shared" si="4"/>
        <v>1134</v>
      </c>
      <c r="C143" s="468"/>
      <c r="D143" s="442" t="str">
        <f>IF(G143="","",(VLOOKUP(G143,'2. SMDA BHN'!$B$12:$J512,2,0)))</f>
        <v/>
      </c>
      <c r="E143" s="443">
        <f>IF(G143=0,0,(VLOOKUP(G143,'2. SMDA BHN'!$B$12:$J512,3,0)))</f>
        <v>0</v>
      </c>
      <c r="F143" s="444"/>
      <c r="G143" s="467"/>
      <c r="H143" s="446">
        <f>IF(G143=0,0,(VLOOKUP(G143,'2. SMDA BHN'!$B$12:$H512,4,0)))</f>
        <v>0</v>
      </c>
      <c r="I143" s="460"/>
      <c r="J143" s="461"/>
      <c r="K143" s="448">
        <f>SUMIF('PO MTRL'!$G$9:$G512,G143,'PO MTRL'!$J$9:$J512)</f>
        <v>0</v>
      </c>
      <c r="L143" s="448">
        <f t="shared" si="1"/>
        <v>0</v>
      </c>
      <c r="M143" s="449">
        <f>SUMIF('PO MTRL'!$G$9:$G512,G143,'PO MTRL'!$L$9:$L512)</f>
        <v>0</v>
      </c>
      <c r="N143" s="450">
        <f>IF(G143=0,0,(VLOOKUP(G143,'2. SMDA BHN'!$B$12:$H512,5,0)))</f>
        <v>0</v>
      </c>
      <c r="O143" s="450">
        <f>IF(G143=0,0,(VLOOKUP(G143,'2. SMDA BHN'!$B$12:$H512,7,0)))</f>
        <v>0</v>
      </c>
      <c r="P143" s="449">
        <f t="shared" si="2"/>
        <v>0</v>
      </c>
      <c r="Q143" s="449">
        <f t="shared" si="3"/>
        <v>0</v>
      </c>
      <c r="R143" s="451" t="s">
        <v>45</v>
      </c>
      <c r="S143" s="464"/>
      <c r="T143" s="439"/>
      <c r="U143" s="16"/>
      <c r="V143" s="439"/>
      <c r="W143" s="439"/>
      <c r="X143" s="439"/>
      <c r="Y143" s="439"/>
      <c r="Z143" s="439"/>
      <c r="AA143" s="439"/>
      <c r="AB143" s="439"/>
      <c r="AC143" s="439"/>
      <c r="AD143" s="439"/>
      <c r="AE143" s="439"/>
      <c r="AF143" s="439"/>
    </row>
    <row r="144" ht="16.5" customHeight="1">
      <c r="A144" s="439"/>
      <c r="B144" s="454">
        <f t="shared" si="4"/>
        <v>1135</v>
      </c>
      <c r="C144" s="468"/>
      <c r="D144" s="442" t="str">
        <f>IF(G144="","",(VLOOKUP(G144,'2. SMDA BHN'!$B$12:$J512,2,0)))</f>
        <v/>
      </c>
      <c r="E144" s="443">
        <f>IF(G144=0,0,(VLOOKUP(G144,'2. SMDA BHN'!$B$12:$J512,3,0)))</f>
        <v>0</v>
      </c>
      <c r="F144" s="444"/>
      <c r="G144" s="467"/>
      <c r="H144" s="446">
        <f>IF(G144=0,0,(VLOOKUP(G144,'2. SMDA BHN'!$B$12:$H512,4,0)))</f>
        <v>0</v>
      </c>
      <c r="I144" s="460"/>
      <c r="J144" s="461"/>
      <c r="K144" s="448">
        <f>SUMIF('PO MTRL'!$G$9:$G512,G144,'PO MTRL'!$J$9:$J512)</f>
        <v>0</v>
      </c>
      <c r="L144" s="448">
        <f t="shared" si="1"/>
        <v>0</v>
      </c>
      <c r="M144" s="449">
        <f>SUMIF('PO MTRL'!$G$9:$G512,G144,'PO MTRL'!$L$9:$L512)</f>
        <v>0</v>
      </c>
      <c r="N144" s="450">
        <f>IF(G144=0,0,(VLOOKUP(G144,'2. SMDA BHN'!$B$12:$H512,5,0)))</f>
        <v>0</v>
      </c>
      <c r="O144" s="450">
        <f>IF(G144=0,0,(VLOOKUP(G144,'2. SMDA BHN'!$B$12:$H512,7,0)))</f>
        <v>0</v>
      </c>
      <c r="P144" s="449">
        <f t="shared" si="2"/>
        <v>0</v>
      </c>
      <c r="Q144" s="449">
        <f t="shared" si="3"/>
        <v>0</v>
      </c>
      <c r="R144" s="451" t="s">
        <v>45</v>
      </c>
      <c r="S144" s="464"/>
      <c r="T144" s="439"/>
      <c r="U144" s="16"/>
      <c r="V144" s="439"/>
      <c r="W144" s="439"/>
      <c r="X144" s="439"/>
      <c r="Y144" s="439"/>
      <c r="Z144" s="439"/>
      <c r="AA144" s="439"/>
      <c r="AB144" s="439"/>
      <c r="AC144" s="439"/>
      <c r="AD144" s="439"/>
      <c r="AE144" s="439"/>
      <c r="AF144" s="439"/>
    </row>
    <row r="145" ht="16.5" customHeight="1">
      <c r="A145" s="439"/>
      <c r="B145" s="454">
        <f t="shared" si="4"/>
        <v>1136</v>
      </c>
      <c r="C145" s="468"/>
      <c r="D145" s="442" t="str">
        <f>IF(G145="","",(VLOOKUP(G145,'2. SMDA BHN'!$B$12:$J512,2,0)))</f>
        <v/>
      </c>
      <c r="E145" s="443">
        <f>IF(G145=0,0,(VLOOKUP(G145,'2. SMDA BHN'!$B$12:$J512,3,0)))</f>
        <v>0</v>
      </c>
      <c r="F145" s="444"/>
      <c r="G145" s="467"/>
      <c r="H145" s="446">
        <f>IF(G145=0,0,(VLOOKUP(G145,'2. SMDA BHN'!$B$12:$H512,4,0)))</f>
        <v>0</v>
      </c>
      <c r="I145" s="460"/>
      <c r="J145" s="461"/>
      <c r="K145" s="448">
        <f>SUMIF('PO MTRL'!$G$9:$G512,G145,'PO MTRL'!$J$9:$J512)</f>
        <v>0</v>
      </c>
      <c r="L145" s="448">
        <f t="shared" si="1"/>
        <v>0</v>
      </c>
      <c r="M145" s="449">
        <f>SUMIF('PO MTRL'!$G$9:$G512,G145,'PO MTRL'!$L$9:$L512)</f>
        <v>0</v>
      </c>
      <c r="N145" s="450">
        <f>IF(G145=0,0,(VLOOKUP(G145,'2. SMDA BHN'!$B$12:$H512,5,0)))</f>
        <v>0</v>
      </c>
      <c r="O145" s="450">
        <f>IF(G145=0,0,(VLOOKUP(G145,'2. SMDA BHN'!$B$12:$H512,7,0)))</f>
        <v>0</v>
      </c>
      <c r="P145" s="449">
        <f t="shared" si="2"/>
        <v>0</v>
      </c>
      <c r="Q145" s="449">
        <f t="shared" si="3"/>
        <v>0</v>
      </c>
      <c r="R145" s="451" t="s">
        <v>45</v>
      </c>
      <c r="S145" s="464"/>
      <c r="T145" s="439"/>
      <c r="U145" s="16"/>
      <c r="V145" s="439"/>
      <c r="W145" s="439"/>
      <c r="X145" s="439"/>
      <c r="Y145" s="439"/>
      <c r="Z145" s="439"/>
      <c r="AA145" s="439"/>
      <c r="AB145" s="439"/>
      <c r="AC145" s="439"/>
      <c r="AD145" s="439"/>
      <c r="AE145" s="439"/>
      <c r="AF145" s="439"/>
    </row>
    <row r="146" ht="16.5" customHeight="1">
      <c r="A146" s="439"/>
      <c r="B146" s="454">
        <f t="shared" si="4"/>
        <v>1137</v>
      </c>
      <c r="C146" s="468"/>
      <c r="D146" s="442" t="str">
        <f>IF(G146="","",(VLOOKUP(G146,'2. SMDA BHN'!$B$12:$J512,2,0)))</f>
        <v/>
      </c>
      <c r="E146" s="443">
        <f>IF(G146=0,0,(VLOOKUP(G146,'2. SMDA BHN'!$B$12:$J512,3,0)))</f>
        <v>0</v>
      </c>
      <c r="F146" s="444"/>
      <c r="G146" s="467"/>
      <c r="H146" s="446">
        <f>IF(G146=0,0,(VLOOKUP(G146,'2. SMDA BHN'!$B$12:$H512,4,0)))</f>
        <v>0</v>
      </c>
      <c r="I146" s="460"/>
      <c r="J146" s="461"/>
      <c r="K146" s="448">
        <f>SUMIF('PO MTRL'!$G$9:$G512,G146,'PO MTRL'!$J$9:$J512)</f>
        <v>0</v>
      </c>
      <c r="L146" s="448">
        <f t="shared" si="1"/>
        <v>0</v>
      </c>
      <c r="M146" s="449">
        <f>SUMIF('PO MTRL'!$G$9:$G512,G146,'PO MTRL'!$L$9:$L512)</f>
        <v>0</v>
      </c>
      <c r="N146" s="450">
        <f>IF(G146=0,0,(VLOOKUP(G146,'2. SMDA BHN'!$B$12:$H512,5,0)))</f>
        <v>0</v>
      </c>
      <c r="O146" s="450">
        <f>IF(G146=0,0,(VLOOKUP(G146,'2. SMDA BHN'!$B$12:$H512,7,0)))</f>
        <v>0</v>
      </c>
      <c r="P146" s="449">
        <f t="shared" si="2"/>
        <v>0</v>
      </c>
      <c r="Q146" s="449">
        <f t="shared" si="3"/>
        <v>0</v>
      </c>
      <c r="R146" s="451" t="s">
        <v>45</v>
      </c>
      <c r="S146" s="464"/>
      <c r="T146" s="439"/>
      <c r="U146" s="16"/>
      <c r="V146" s="439"/>
      <c r="W146" s="439"/>
      <c r="X146" s="439"/>
      <c r="Y146" s="439"/>
      <c r="Z146" s="439"/>
      <c r="AA146" s="439"/>
      <c r="AB146" s="439"/>
      <c r="AC146" s="439"/>
      <c r="AD146" s="439"/>
      <c r="AE146" s="439"/>
      <c r="AF146" s="439"/>
    </row>
    <row r="147" ht="16.5" customHeight="1">
      <c r="A147" s="439"/>
      <c r="B147" s="454">
        <f t="shared" si="4"/>
        <v>1138</v>
      </c>
      <c r="C147" s="468"/>
      <c r="D147" s="442" t="str">
        <f>IF(G147="","",(VLOOKUP(G147,'2. SMDA BHN'!$B$12:$J512,2,0)))</f>
        <v/>
      </c>
      <c r="E147" s="443">
        <f>IF(G147=0,0,(VLOOKUP(G147,'2. SMDA BHN'!$B$12:$J512,3,0)))</f>
        <v>0</v>
      </c>
      <c r="F147" s="444"/>
      <c r="G147" s="467"/>
      <c r="H147" s="446">
        <f>IF(G147=0,0,(VLOOKUP(G147,'2. SMDA BHN'!$B$12:$H512,4,0)))</f>
        <v>0</v>
      </c>
      <c r="I147" s="460"/>
      <c r="J147" s="461"/>
      <c r="K147" s="448">
        <f>SUMIF('PO MTRL'!$G$9:$G512,G147,'PO MTRL'!$J$9:$J512)</f>
        <v>0</v>
      </c>
      <c r="L147" s="448">
        <f t="shared" si="1"/>
        <v>0</v>
      </c>
      <c r="M147" s="449">
        <f>SUMIF('PO MTRL'!$G$9:$G512,G147,'PO MTRL'!$L$9:$L512)</f>
        <v>0</v>
      </c>
      <c r="N147" s="450">
        <f>IF(G147=0,0,(VLOOKUP(G147,'2. SMDA BHN'!$B$12:$H512,5,0)))</f>
        <v>0</v>
      </c>
      <c r="O147" s="450">
        <f>IF(G147=0,0,(VLOOKUP(G147,'2. SMDA BHN'!$B$12:$H512,7,0)))</f>
        <v>0</v>
      </c>
      <c r="P147" s="449">
        <f t="shared" si="2"/>
        <v>0</v>
      </c>
      <c r="Q147" s="449">
        <f t="shared" si="3"/>
        <v>0</v>
      </c>
      <c r="R147" s="451" t="s">
        <v>45</v>
      </c>
      <c r="S147" s="464"/>
      <c r="T147" s="439"/>
      <c r="U147" s="16"/>
      <c r="V147" s="439"/>
      <c r="W147" s="439"/>
      <c r="X147" s="439"/>
      <c r="Y147" s="439"/>
      <c r="Z147" s="439"/>
      <c r="AA147" s="439"/>
      <c r="AB147" s="439"/>
      <c r="AC147" s="439"/>
      <c r="AD147" s="439"/>
      <c r="AE147" s="439"/>
      <c r="AF147" s="439"/>
    </row>
    <row r="148" ht="16.5" customHeight="1">
      <c r="A148" s="439"/>
      <c r="B148" s="454">
        <f t="shared" si="4"/>
        <v>1139</v>
      </c>
      <c r="C148" s="468"/>
      <c r="D148" s="442" t="str">
        <f>IF(G148="","",(VLOOKUP(G148,'2. SMDA BHN'!$B$12:$J512,2,0)))</f>
        <v/>
      </c>
      <c r="E148" s="443">
        <f>IF(G148=0,0,(VLOOKUP(G148,'2. SMDA BHN'!$B$12:$J512,3,0)))</f>
        <v>0</v>
      </c>
      <c r="F148" s="444"/>
      <c r="G148" s="467"/>
      <c r="H148" s="446">
        <f>IF(G148=0,0,(VLOOKUP(G148,'2. SMDA BHN'!$B$12:$H512,4,0)))</f>
        <v>0</v>
      </c>
      <c r="I148" s="460"/>
      <c r="J148" s="461"/>
      <c r="K148" s="448">
        <f>SUMIF('PO MTRL'!$G$9:$G512,G148,'PO MTRL'!$J$9:$J512)</f>
        <v>0</v>
      </c>
      <c r="L148" s="448">
        <f t="shared" si="1"/>
        <v>0</v>
      </c>
      <c r="M148" s="449">
        <f>SUMIF('PO MTRL'!$G$9:$G512,G148,'PO MTRL'!$L$9:$L512)</f>
        <v>0</v>
      </c>
      <c r="N148" s="450">
        <f>IF(G148=0,0,(VLOOKUP(G148,'2. SMDA BHN'!$B$12:$H512,5,0)))</f>
        <v>0</v>
      </c>
      <c r="O148" s="450">
        <f>IF(G148=0,0,(VLOOKUP(G148,'2. SMDA BHN'!$B$12:$H512,7,0)))</f>
        <v>0</v>
      </c>
      <c r="P148" s="449">
        <f t="shared" si="2"/>
        <v>0</v>
      </c>
      <c r="Q148" s="449">
        <f t="shared" si="3"/>
        <v>0</v>
      </c>
      <c r="R148" s="451" t="s">
        <v>45</v>
      </c>
      <c r="S148" s="464"/>
      <c r="T148" s="439"/>
      <c r="U148" s="16"/>
      <c r="V148" s="439"/>
      <c r="W148" s="439"/>
      <c r="X148" s="439"/>
      <c r="Y148" s="439"/>
      <c r="Z148" s="439"/>
      <c r="AA148" s="439"/>
      <c r="AB148" s="439"/>
      <c r="AC148" s="439"/>
      <c r="AD148" s="439"/>
      <c r="AE148" s="439"/>
      <c r="AF148" s="439"/>
    </row>
    <row r="149" ht="16.5" customHeight="1">
      <c r="A149" s="439"/>
      <c r="B149" s="454">
        <f t="shared" si="4"/>
        <v>1140</v>
      </c>
      <c r="C149" s="468"/>
      <c r="D149" s="442" t="str">
        <f>IF(G149="","",(VLOOKUP(G149,'2. SMDA BHN'!$B$12:$J512,2,0)))</f>
        <v/>
      </c>
      <c r="E149" s="443">
        <f>IF(G149=0,0,(VLOOKUP(G149,'2. SMDA BHN'!$B$12:$J512,3,0)))</f>
        <v>0</v>
      </c>
      <c r="F149" s="444"/>
      <c r="G149" s="467"/>
      <c r="H149" s="446">
        <f>IF(G149=0,0,(VLOOKUP(G149,'2. SMDA BHN'!$B$12:$H512,4,0)))</f>
        <v>0</v>
      </c>
      <c r="I149" s="460"/>
      <c r="J149" s="461"/>
      <c r="K149" s="448">
        <f>SUMIF('PO MTRL'!$G$9:$G512,G149,'PO MTRL'!$J$9:$J512)</f>
        <v>0</v>
      </c>
      <c r="L149" s="448">
        <f t="shared" si="1"/>
        <v>0</v>
      </c>
      <c r="M149" s="449">
        <f>SUMIF('PO MTRL'!$G$9:$G512,G149,'PO MTRL'!$L$9:$L512)</f>
        <v>0</v>
      </c>
      <c r="N149" s="450">
        <f>IF(G149=0,0,(VLOOKUP(G149,'2. SMDA BHN'!$B$12:$H512,5,0)))</f>
        <v>0</v>
      </c>
      <c r="O149" s="450">
        <f>IF(G149=0,0,(VLOOKUP(G149,'2. SMDA BHN'!$B$12:$H512,7,0)))</f>
        <v>0</v>
      </c>
      <c r="P149" s="449">
        <f t="shared" si="2"/>
        <v>0</v>
      </c>
      <c r="Q149" s="449">
        <f t="shared" si="3"/>
        <v>0</v>
      </c>
      <c r="R149" s="451" t="s">
        <v>45</v>
      </c>
      <c r="S149" s="464"/>
      <c r="T149" s="439"/>
      <c r="U149" s="16"/>
      <c r="V149" s="439"/>
      <c r="W149" s="439"/>
      <c r="X149" s="439"/>
      <c r="Y149" s="439"/>
      <c r="Z149" s="439"/>
      <c r="AA149" s="439"/>
      <c r="AB149" s="439"/>
      <c r="AC149" s="439"/>
      <c r="AD149" s="439"/>
      <c r="AE149" s="439"/>
      <c r="AF149" s="439"/>
    </row>
    <row r="150" ht="16.5" customHeight="1">
      <c r="A150" s="439"/>
      <c r="B150" s="454">
        <f t="shared" si="4"/>
        <v>1141</v>
      </c>
      <c r="C150" s="468"/>
      <c r="D150" s="442" t="str">
        <f>IF(G150="","",(VLOOKUP(G150,'2. SMDA BHN'!$B$12:$J512,2,0)))</f>
        <v/>
      </c>
      <c r="E150" s="443">
        <f>IF(G150=0,0,(VLOOKUP(G150,'2. SMDA BHN'!$B$12:$J512,3,0)))</f>
        <v>0</v>
      </c>
      <c r="F150" s="444"/>
      <c r="G150" s="467"/>
      <c r="H150" s="446">
        <f>IF(G150=0,0,(VLOOKUP(G150,'2. SMDA BHN'!$B$12:$H512,4,0)))</f>
        <v>0</v>
      </c>
      <c r="I150" s="460"/>
      <c r="J150" s="461"/>
      <c r="K150" s="448">
        <f>SUMIF('PO MTRL'!$G$9:$G512,G150,'PO MTRL'!$J$9:$J512)</f>
        <v>0</v>
      </c>
      <c r="L150" s="448">
        <f t="shared" si="1"/>
        <v>0</v>
      </c>
      <c r="M150" s="449">
        <f>SUMIF('PO MTRL'!$G$9:$G512,G150,'PO MTRL'!$L$9:$L512)</f>
        <v>0</v>
      </c>
      <c r="N150" s="450">
        <f>IF(G150=0,0,(VLOOKUP(G150,'2. SMDA BHN'!$B$12:$H512,5,0)))</f>
        <v>0</v>
      </c>
      <c r="O150" s="450">
        <f>IF(G150=0,0,(VLOOKUP(G150,'2. SMDA BHN'!$B$12:$H512,7,0)))</f>
        <v>0</v>
      </c>
      <c r="P150" s="449">
        <f t="shared" si="2"/>
        <v>0</v>
      </c>
      <c r="Q150" s="449">
        <f t="shared" si="3"/>
        <v>0</v>
      </c>
      <c r="R150" s="451" t="s">
        <v>45</v>
      </c>
      <c r="S150" s="464"/>
      <c r="T150" s="439"/>
      <c r="U150" s="16"/>
      <c r="V150" s="439"/>
      <c r="W150" s="439"/>
      <c r="X150" s="439"/>
      <c r="Y150" s="439"/>
      <c r="Z150" s="439"/>
      <c r="AA150" s="439"/>
      <c r="AB150" s="439"/>
      <c r="AC150" s="439"/>
      <c r="AD150" s="439"/>
      <c r="AE150" s="439"/>
      <c r="AF150" s="439"/>
    </row>
    <row r="151" ht="16.5" customHeight="1">
      <c r="A151" s="439"/>
      <c r="B151" s="454">
        <f t="shared" si="4"/>
        <v>1142</v>
      </c>
      <c r="C151" s="468"/>
      <c r="D151" s="442" t="str">
        <f>IF(G151="","",(VLOOKUP(G151,'2. SMDA BHN'!$B$12:$J512,2,0)))</f>
        <v/>
      </c>
      <c r="E151" s="443">
        <f>IF(G151=0,0,(VLOOKUP(G151,'2. SMDA BHN'!$B$12:$J512,3,0)))</f>
        <v>0</v>
      </c>
      <c r="F151" s="444"/>
      <c r="G151" s="467"/>
      <c r="H151" s="446">
        <f>IF(G151=0,0,(VLOOKUP(G151,'2. SMDA BHN'!$B$12:$H512,4,0)))</f>
        <v>0</v>
      </c>
      <c r="I151" s="460"/>
      <c r="J151" s="461"/>
      <c r="K151" s="448">
        <f>SUMIF('PO MTRL'!$G$9:$G512,G151,'PO MTRL'!$J$9:$J512)</f>
        <v>0</v>
      </c>
      <c r="L151" s="448">
        <f t="shared" si="1"/>
        <v>0</v>
      </c>
      <c r="M151" s="449">
        <f>SUMIF('PO MTRL'!$G$9:$G512,G151,'PO MTRL'!$L$9:$L512)</f>
        <v>0</v>
      </c>
      <c r="N151" s="450">
        <f>IF(G151=0,0,(VLOOKUP(G151,'2. SMDA BHN'!$B$12:$H512,5,0)))</f>
        <v>0</v>
      </c>
      <c r="O151" s="450">
        <f>IF(G151=0,0,(VLOOKUP(G151,'2. SMDA BHN'!$B$12:$H512,7,0)))</f>
        <v>0</v>
      </c>
      <c r="P151" s="449">
        <f t="shared" si="2"/>
        <v>0</v>
      </c>
      <c r="Q151" s="449">
        <f t="shared" si="3"/>
        <v>0</v>
      </c>
      <c r="R151" s="451" t="s">
        <v>45</v>
      </c>
      <c r="S151" s="464"/>
      <c r="T151" s="439"/>
      <c r="U151" s="16"/>
      <c r="V151" s="439"/>
      <c r="W151" s="439"/>
      <c r="X151" s="439"/>
      <c r="Y151" s="439"/>
      <c r="Z151" s="439"/>
      <c r="AA151" s="439"/>
      <c r="AB151" s="439"/>
      <c r="AC151" s="439"/>
      <c r="AD151" s="439"/>
      <c r="AE151" s="439"/>
      <c r="AF151" s="439"/>
    </row>
    <row r="152" ht="16.5" customHeight="1">
      <c r="A152" s="439"/>
      <c r="B152" s="454">
        <f t="shared" si="4"/>
        <v>1143</v>
      </c>
      <c r="C152" s="468"/>
      <c r="D152" s="442" t="str">
        <f>IF(G152="","",(VLOOKUP(G152,'2. SMDA BHN'!$B$12:$J512,2,0)))</f>
        <v/>
      </c>
      <c r="E152" s="443">
        <f>IF(G152=0,0,(VLOOKUP(G152,'2. SMDA BHN'!$B$12:$J512,3,0)))</f>
        <v>0</v>
      </c>
      <c r="F152" s="444"/>
      <c r="G152" s="467"/>
      <c r="H152" s="446">
        <f>IF(G152=0,0,(VLOOKUP(G152,'2. SMDA BHN'!$B$12:$H512,4,0)))</f>
        <v>0</v>
      </c>
      <c r="I152" s="460"/>
      <c r="J152" s="461"/>
      <c r="K152" s="448">
        <f>SUMIF('PO MTRL'!$G$9:$G512,G152,'PO MTRL'!$J$9:$J512)</f>
        <v>0</v>
      </c>
      <c r="L152" s="448">
        <f t="shared" si="1"/>
        <v>0</v>
      </c>
      <c r="M152" s="449">
        <f>SUMIF('PO MTRL'!$G$9:$G512,G152,'PO MTRL'!$L$9:$L512)</f>
        <v>0</v>
      </c>
      <c r="N152" s="450">
        <f>IF(G152=0,0,(VLOOKUP(G152,'2. SMDA BHN'!$B$12:$H512,5,0)))</f>
        <v>0</v>
      </c>
      <c r="O152" s="450">
        <f>IF(G152=0,0,(VLOOKUP(G152,'2. SMDA BHN'!$B$12:$H512,7,0)))</f>
        <v>0</v>
      </c>
      <c r="P152" s="449">
        <f t="shared" si="2"/>
        <v>0</v>
      </c>
      <c r="Q152" s="449">
        <f t="shared" si="3"/>
        <v>0</v>
      </c>
      <c r="R152" s="451" t="s">
        <v>45</v>
      </c>
      <c r="S152" s="464"/>
      <c r="T152" s="439"/>
      <c r="U152" s="16"/>
      <c r="V152" s="439"/>
      <c r="W152" s="439"/>
      <c r="X152" s="439"/>
      <c r="Y152" s="439"/>
      <c r="Z152" s="439"/>
      <c r="AA152" s="439"/>
      <c r="AB152" s="439"/>
      <c r="AC152" s="439"/>
      <c r="AD152" s="439"/>
      <c r="AE152" s="439"/>
      <c r="AF152" s="439"/>
    </row>
    <row r="153" ht="16.5" customHeight="1">
      <c r="A153" s="439"/>
      <c r="B153" s="454">
        <f t="shared" si="4"/>
        <v>1144</v>
      </c>
      <c r="C153" s="468"/>
      <c r="D153" s="442" t="str">
        <f>IF(G153="","",(VLOOKUP(G153,'2. SMDA BHN'!$B$12:$J512,2,0)))</f>
        <v/>
      </c>
      <c r="E153" s="443">
        <f>IF(G153=0,0,(VLOOKUP(G153,'2. SMDA BHN'!$B$12:$J512,3,0)))</f>
        <v>0</v>
      </c>
      <c r="F153" s="444"/>
      <c r="G153" s="467"/>
      <c r="H153" s="446">
        <f>IF(G153=0,0,(VLOOKUP(G153,'2. SMDA BHN'!$B$12:$H512,4,0)))</f>
        <v>0</v>
      </c>
      <c r="I153" s="460"/>
      <c r="J153" s="461"/>
      <c r="K153" s="448">
        <f>SUMIF('PO MTRL'!$G$9:$G512,G153,'PO MTRL'!$J$9:$J512)</f>
        <v>0</v>
      </c>
      <c r="L153" s="448">
        <f t="shared" si="1"/>
        <v>0</v>
      </c>
      <c r="M153" s="449">
        <f>SUMIF('PO MTRL'!$G$9:$G512,G153,'PO MTRL'!$L$9:$L512)</f>
        <v>0</v>
      </c>
      <c r="N153" s="450">
        <f>IF(G153=0,0,(VLOOKUP(G153,'2. SMDA BHN'!$B$12:$H512,5,0)))</f>
        <v>0</v>
      </c>
      <c r="O153" s="450">
        <f>IF(G153=0,0,(VLOOKUP(G153,'2. SMDA BHN'!$B$12:$H512,7,0)))</f>
        <v>0</v>
      </c>
      <c r="P153" s="449">
        <f t="shared" si="2"/>
        <v>0</v>
      </c>
      <c r="Q153" s="449">
        <f t="shared" si="3"/>
        <v>0</v>
      </c>
      <c r="R153" s="451" t="s">
        <v>45</v>
      </c>
      <c r="S153" s="464"/>
      <c r="T153" s="439"/>
      <c r="U153" s="16"/>
      <c r="V153" s="439"/>
      <c r="W153" s="439"/>
      <c r="X153" s="439"/>
      <c r="Y153" s="439"/>
      <c r="Z153" s="439"/>
      <c r="AA153" s="439"/>
      <c r="AB153" s="439"/>
      <c r="AC153" s="439"/>
      <c r="AD153" s="439"/>
      <c r="AE153" s="439"/>
      <c r="AF153" s="439"/>
    </row>
    <row r="154" ht="16.5" customHeight="1">
      <c r="A154" s="439"/>
      <c r="B154" s="454">
        <f t="shared" si="4"/>
        <v>1145</v>
      </c>
      <c r="C154" s="468"/>
      <c r="D154" s="442" t="str">
        <f>IF(G154="","",(VLOOKUP(G154,'2. SMDA BHN'!$B$12:$J512,2,0)))</f>
        <v/>
      </c>
      <c r="E154" s="443">
        <f>IF(G154=0,0,(VLOOKUP(G154,'2. SMDA BHN'!$B$12:$J512,3,0)))</f>
        <v>0</v>
      </c>
      <c r="F154" s="444"/>
      <c r="G154" s="467"/>
      <c r="H154" s="446">
        <f>IF(G154=0,0,(VLOOKUP(G154,'2. SMDA BHN'!$B$12:$H512,4,0)))</f>
        <v>0</v>
      </c>
      <c r="I154" s="460"/>
      <c r="J154" s="461"/>
      <c r="K154" s="448">
        <f>SUMIF('PO MTRL'!$G$9:$G512,G154,'PO MTRL'!$J$9:$J512)</f>
        <v>0</v>
      </c>
      <c r="L154" s="448">
        <f t="shared" si="1"/>
        <v>0</v>
      </c>
      <c r="M154" s="449">
        <f>SUMIF('PO MTRL'!$G$9:$G512,G154,'PO MTRL'!$L$9:$L512)</f>
        <v>0</v>
      </c>
      <c r="N154" s="450">
        <f>IF(G154=0,0,(VLOOKUP(G154,'2. SMDA BHN'!$B$12:$H512,5,0)))</f>
        <v>0</v>
      </c>
      <c r="O154" s="450">
        <f>IF(G154=0,0,(VLOOKUP(G154,'2. SMDA BHN'!$B$12:$H512,7,0)))</f>
        <v>0</v>
      </c>
      <c r="P154" s="449">
        <f t="shared" si="2"/>
        <v>0</v>
      </c>
      <c r="Q154" s="449">
        <f t="shared" si="3"/>
        <v>0</v>
      </c>
      <c r="R154" s="451" t="s">
        <v>45</v>
      </c>
      <c r="S154" s="464"/>
      <c r="T154" s="439"/>
      <c r="U154" s="16"/>
      <c r="V154" s="439"/>
      <c r="W154" s="439"/>
      <c r="X154" s="439"/>
      <c r="Y154" s="439"/>
      <c r="Z154" s="439"/>
      <c r="AA154" s="439"/>
      <c r="AB154" s="439"/>
      <c r="AC154" s="439"/>
      <c r="AD154" s="439"/>
      <c r="AE154" s="439"/>
      <c r="AF154" s="439"/>
    </row>
    <row r="155" ht="16.5" customHeight="1">
      <c r="A155" s="439"/>
      <c r="B155" s="454">
        <f t="shared" si="4"/>
        <v>1146</v>
      </c>
      <c r="C155" s="468"/>
      <c r="D155" s="442" t="str">
        <f>IF(G155="","",(VLOOKUP(G155,'2. SMDA BHN'!$B$12:$J512,2,0)))</f>
        <v/>
      </c>
      <c r="E155" s="443">
        <f>IF(G155=0,0,(VLOOKUP(G155,'2. SMDA BHN'!$B$12:$J512,3,0)))</f>
        <v>0</v>
      </c>
      <c r="F155" s="444"/>
      <c r="G155" s="467"/>
      <c r="H155" s="446">
        <f>IF(G155=0,0,(VLOOKUP(G155,'2. SMDA BHN'!$B$12:$H512,4,0)))</f>
        <v>0</v>
      </c>
      <c r="I155" s="460"/>
      <c r="J155" s="461"/>
      <c r="K155" s="448">
        <f>SUMIF('PO MTRL'!$G$9:$G512,G155,'PO MTRL'!$J$9:$J512)</f>
        <v>0</v>
      </c>
      <c r="L155" s="448">
        <f t="shared" si="1"/>
        <v>0</v>
      </c>
      <c r="M155" s="449">
        <f>SUMIF('PO MTRL'!$G$9:$G512,G155,'PO MTRL'!$L$9:$L512)</f>
        <v>0</v>
      </c>
      <c r="N155" s="450">
        <f>IF(G155=0,0,(VLOOKUP(G155,'2. SMDA BHN'!$B$12:$H512,5,0)))</f>
        <v>0</v>
      </c>
      <c r="O155" s="450">
        <f>IF(G155=0,0,(VLOOKUP(G155,'2. SMDA BHN'!$B$12:$H512,7,0)))</f>
        <v>0</v>
      </c>
      <c r="P155" s="449">
        <f t="shared" si="2"/>
        <v>0</v>
      </c>
      <c r="Q155" s="449">
        <f t="shared" si="3"/>
        <v>0</v>
      </c>
      <c r="R155" s="451" t="s">
        <v>45</v>
      </c>
      <c r="S155" s="464"/>
      <c r="T155" s="439"/>
      <c r="U155" s="16"/>
      <c r="V155" s="439"/>
      <c r="W155" s="439"/>
      <c r="X155" s="439"/>
      <c r="Y155" s="439"/>
      <c r="Z155" s="439"/>
      <c r="AA155" s="439"/>
      <c r="AB155" s="439"/>
      <c r="AC155" s="439"/>
      <c r="AD155" s="439"/>
      <c r="AE155" s="439"/>
      <c r="AF155" s="439"/>
    </row>
    <row r="156" ht="16.5" customHeight="1">
      <c r="A156" s="439"/>
      <c r="B156" s="454">
        <f t="shared" si="4"/>
        <v>1147</v>
      </c>
      <c r="C156" s="468"/>
      <c r="D156" s="442" t="str">
        <f>IF(G156="","",(VLOOKUP(G156,'2. SMDA BHN'!$B$12:$J512,2,0)))</f>
        <v/>
      </c>
      <c r="E156" s="443">
        <f>IF(G156=0,0,(VLOOKUP(G156,'2. SMDA BHN'!$B$12:$J512,3,0)))</f>
        <v>0</v>
      </c>
      <c r="F156" s="444"/>
      <c r="G156" s="467"/>
      <c r="H156" s="446">
        <f>IF(G156=0,0,(VLOOKUP(G156,'2. SMDA BHN'!$B$12:$H512,4,0)))</f>
        <v>0</v>
      </c>
      <c r="I156" s="460"/>
      <c r="J156" s="461"/>
      <c r="K156" s="448">
        <f>SUMIF('PO MTRL'!$G$9:$G512,G156,'PO MTRL'!$J$9:$J512)</f>
        <v>0</v>
      </c>
      <c r="L156" s="448">
        <f t="shared" si="1"/>
        <v>0</v>
      </c>
      <c r="M156" s="449">
        <f>SUMIF('PO MTRL'!$G$9:$G512,G156,'PO MTRL'!$L$9:$L512)</f>
        <v>0</v>
      </c>
      <c r="N156" s="450">
        <f>IF(G156=0,0,(VLOOKUP(G156,'2. SMDA BHN'!$B$12:$H512,5,0)))</f>
        <v>0</v>
      </c>
      <c r="O156" s="450">
        <f>IF(G156=0,0,(VLOOKUP(G156,'2. SMDA BHN'!$B$12:$H512,7,0)))</f>
        <v>0</v>
      </c>
      <c r="P156" s="449">
        <f t="shared" si="2"/>
        <v>0</v>
      </c>
      <c r="Q156" s="449">
        <f t="shared" si="3"/>
        <v>0</v>
      </c>
      <c r="R156" s="451" t="s">
        <v>45</v>
      </c>
      <c r="S156" s="464"/>
      <c r="T156" s="439"/>
      <c r="U156" s="16"/>
      <c r="V156" s="439"/>
      <c r="W156" s="439"/>
      <c r="X156" s="439"/>
      <c r="Y156" s="439"/>
      <c r="Z156" s="439"/>
      <c r="AA156" s="439"/>
      <c r="AB156" s="439"/>
      <c r="AC156" s="439"/>
      <c r="AD156" s="439"/>
      <c r="AE156" s="439"/>
      <c r="AF156" s="439"/>
    </row>
    <row r="157" ht="16.5" customHeight="1">
      <c r="A157" s="439"/>
      <c r="B157" s="454">
        <f t="shared" si="4"/>
        <v>1148</v>
      </c>
      <c r="C157" s="468"/>
      <c r="D157" s="442" t="str">
        <f>IF(G157="","",(VLOOKUP(G157,'2. SMDA BHN'!$B$12:$J512,2,0)))</f>
        <v/>
      </c>
      <c r="E157" s="443">
        <f>IF(G157=0,0,(VLOOKUP(G157,'2. SMDA BHN'!$B$12:$J512,3,0)))</f>
        <v>0</v>
      </c>
      <c r="F157" s="444"/>
      <c r="G157" s="467"/>
      <c r="H157" s="446">
        <f>IF(G157=0,0,(VLOOKUP(G157,'2. SMDA BHN'!$B$12:$H512,4,0)))</f>
        <v>0</v>
      </c>
      <c r="I157" s="460"/>
      <c r="J157" s="461"/>
      <c r="K157" s="448">
        <f>SUMIF('PO MTRL'!$G$9:$G512,G157,'PO MTRL'!$J$9:$J512)</f>
        <v>0</v>
      </c>
      <c r="L157" s="448">
        <f t="shared" si="1"/>
        <v>0</v>
      </c>
      <c r="M157" s="449">
        <f>SUMIF('PO MTRL'!$G$9:$G512,G157,'PO MTRL'!$L$9:$L512)</f>
        <v>0</v>
      </c>
      <c r="N157" s="450">
        <f>IF(G157=0,0,(VLOOKUP(G157,'2. SMDA BHN'!$B$12:$H512,5,0)))</f>
        <v>0</v>
      </c>
      <c r="O157" s="450">
        <f>IF(G157=0,0,(VLOOKUP(G157,'2. SMDA BHN'!$B$12:$H512,7,0)))</f>
        <v>0</v>
      </c>
      <c r="P157" s="449">
        <f t="shared" si="2"/>
        <v>0</v>
      </c>
      <c r="Q157" s="449">
        <f t="shared" si="3"/>
        <v>0</v>
      </c>
      <c r="R157" s="451" t="s">
        <v>45</v>
      </c>
      <c r="S157" s="464"/>
      <c r="T157" s="439"/>
      <c r="U157" s="16"/>
      <c r="V157" s="439"/>
      <c r="W157" s="439"/>
      <c r="X157" s="439"/>
      <c r="Y157" s="439"/>
      <c r="Z157" s="439"/>
      <c r="AA157" s="439"/>
      <c r="AB157" s="439"/>
      <c r="AC157" s="439"/>
      <c r="AD157" s="439"/>
      <c r="AE157" s="439"/>
      <c r="AF157" s="439"/>
    </row>
    <row r="158" ht="16.5" customHeight="1">
      <c r="A158" s="439"/>
      <c r="B158" s="454">
        <f t="shared" si="4"/>
        <v>1149</v>
      </c>
      <c r="C158" s="468"/>
      <c r="D158" s="442" t="str">
        <f>IF(G158="","",(VLOOKUP(G158,'2. SMDA BHN'!$B$12:$J512,2,0)))</f>
        <v/>
      </c>
      <c r="E158" s="443">
        <f>IF(G158=0,0,(VLOOKUP(G158,'2. SMDA BHN'!$B$12:$J512,3,0)))</f>
        <v>0</v>
      </c>
      <c r="F158" s="444"/>
      <c r="G158" s="467"/>
      <c r="H158" s="446">
        <f>IF(G158=0,0,(VLOOKUP(G158,'2. SMDA BHN'!$B$12:$H512,4,0)))</f>
        <v>0</v>
      </c>
      <c r="I158" s="460"/>
      <c r="J158" s="461"/>
      <c r="K158" s="448">
        <f>SUMIF('PO MTRL'!$G$9:$G512,G158,'PO MTRL'!$J$9:$J512)</f>
        <v>0</v>
      </c>
      <c r="L158" s="448">
        <f t="shared" si="1"/>
        <v>0</v>
      </c>
      <c r="M158" s="449">
        <f>SUMIF('PO MTRL'!$G$9:$G512,G158,'PO MTRL'!$L$9:$L512)</f>
        <v>0</v>
      </c>
      <c r="N158" s="450">
        <f>IF(G158=0,0,(VLOOKUP(G158,'2. SMDA BHN'!$B$12:$H512,5,0)))</f>
        <v>0</v>
      </c>
      <c r="O158" s="450">
        <f>IF(G158=0,0,(VLOOKUP(G158,'2. SMDA BHN'!$B$12:$H512,7,0)))</f>
        <v>0</v>
      </c>
      <c r="P158" s="449">
        <f t="shared" si="2"/>
        <v>0</v>
      </c>
      <c r="Q158" s="449">
        <f t="shared" si="3"/>
        <v>0</v>
      </c>
      <c r="R158" s="451" t="s">
        <v>45</v>
      </c>
      <c r="S158" s="464"/>
      <c r="T158" s="439"/>
      <c r="U158" s="16"/>
      <c r="V158" s="439"/>
      <c r="W158" s="439"/>
      <c r="X158" s="439"/>
      <c r="Y158" s="439"/>
      <c r="Z158" s="439"/>
      <c r="AA158" s="439"/>
      <c r="AB158" s="439"/>
      <c r="AC158" s="439"/>
      <c r="AD158" s="439"/>
      <c r="AE158" s="439"/>
      <c r="AF158" s="439"/>
    </row>
    <row r="159" ht="16.5" customHeight="1">
      <c r="A159" s="439"/>
      <c r="B159" s="454">
        <f t="shared" si="4"/>
        <v>1150</v>
      </c>
      <c r="C159" s="468"/>
      <c r="D159" s="442" t="str">
        <f>IF(G159="","",(VLOOKUP(G159,'2. SMDA BHN'!$B$12:$J512,2,0)))</f>
        <v/>
      </c>
      <c r="E159" s="443">
        <f>IF(G159=0,0,(VLOOKUP(G159,'2. SMDA BHN'!$B$12:$J512,3,0)))</f>
        <v>0</v>
      </c>
      <c r="F159" s="444"/>
      <c r="G159" s="467"/>
      <c r="H159" s="446">
        <f>IF(G159=0,0,(VLOOKUP(G159,'2. SMDA BHN'!$B$12:$H512,4,0)))</f>
        <v>0</v>
      </c>
      <c r="I159" s="460"/>
      <c r="J159" s="461"/>
      <c r="K159" s="448">
        <f>SUMIF('PO MTRL'!$G$9:$G512,G159,'PO MTRL'!$J$9:$J512)</f>
        <v>0</v>
      </c>
      <c r="L159" s="448">
        <f t="shared" si="1"/>
        <v>0</v>
      </c>
      <c r="M159" s="449">
        <f>SUMIF('PO MTRL'!$G$9:$G512,G159,'PO MTRL'!$L$9:$L512)</f>
        <v>0</v>
      </c>
      <c r="N159" s="450">
        <f>IF(G159=0,0,(VLOOKUP(G159,'2. SMDA BHN'!$B$12:$H512,5,0)))</f>
        <v>0</v>
      </c>
      <c r="O159" s="450">
        <f>IF(G159=0,0,(VLOOKUP(G159,'2. SMDA BHN'!$B$12:$H512,7,0)))</f>
        <v>0</v>
      </c>
      <c r="P159" s="449">
        <f t="shared" si="2"/>
        <v>0</v>
      </c>
      <c r="Q159" s="449">
        <f t="shared" si="3"/>
        <v>0</v>
      </c>
      <c r="R159" s="451" t="s">
        <v>45</v>
      </c>
      <c r="S159" s="464"/>
      <c r="T159" s="439"/>
      <c r="U159" s="16"/>
      <c r="V159" s="439"/>
      <c r="W159" s="439"/>
      <c r="X159" s="439"/>
      <c r="Y159" s="439"/>
      <c r="Z159" s="439"/>
      <c r="AA159" s="439"/>
      <c r="AB159" s="439"/>
      <c r="AC159" s="439"/>
      <c r="AD159" s="439"/>
      <c r="AE159" s="439"/>
      <c r="AF159" s="439"/>
    </row>
    <row r="160" ht="16.5" customHeight="1">
      <c r="A160" s="439"/>
      <c r="B160" s="454">
        <f t="shared" si="4"/>
        <v>1151</v>
      </c>
      <c r="C160" s="468"/>
      <c r="D160" s="442" t="str">
        <f>IF(G160="","",(VLOOKUP(G160,'2. SMDA BHN'!$B$12:$J512,2,0)))</f>
        <v/>
      </c>
      <c r="E160" s="443">
        <f>IF(G160=0,0,(VLOOKUP(G160,'2. SMDA BHN'!$B$12:$J512,3,0)))</f>
        <v>0</v>
      </c>
      <c r="F160" s="444"/>
      <c r="G160" s="467"/>
      <c r="H160" s="446">
        <f>IF(G160=0,0,(VLOOKUP(G160,'2. SMDA BHN'!$B$12:$H512,4,0)))</f>
        <v>0</v>
      </c>
      <c r="I160" s="460"/>
      <c r="J160" s="461"/>
      <c r="K160" s="448">
        <f>SUMIF('PO MTRL'!$G$9:$G512,G160,'PO MTRL'!$J$9:$J512)</f>
        <v>0</v>
      </c>
      <c r="L160" s="448">
        <f t="shared" si="1"/>
        <v>0</v>
      </c>
      <c r="M160" s="449">
        <f>SUMIF('PO MTRL'!$G$9:$G512,G160,'PO MTRL'!$L$9:$L512)</f>
        <v>0</v>
      </c>
      <c r="N160" s="450">
        <f>IF(G160=0,0,(VLOOKUP(G160,'2. SMDA BHN'!$B$12:$H512,5,0)))</f>
        <v>0</v>
      </c>
      <c r="O160" s="450">
        <f>IF(G160=0,0,(VLOOKUP(G160,'2. SMDA BHN'!$B$12:$H512,7,0)))</f>
        <v>0</v>
      </c>
      <c r="P160" s="449">
        <f t="shared" si="2"/>
        <v>0</v>
      </c>
      <c r="Q160" s="449">
        <f t="shared" si="3"/>
        <v>0</v>
      </c>
      <c r="R160" s="451" t="s">
        <v>45</v>
      </c>
      <c r="S160" s="464"/>
      <c r="T160" s="439"/>
      <c r="U160" s="16"/>
      <c r="V160" s="439"/>
      <c r="W160" s="439"/>
      <c r="X160" s="439"/>
      <c r="Y160" s="439"/>
      <c r="Z160" s="439"/>
      <c r="AA160" s="439"/>
      <c r="AB160" s="439"/>
      <c r="AC160" s="439"/>
      <c r="AD160" s="439"/>
      <c r="AE160" s="439"/>
      <c r="AF160" s="439"/>
    </row>
    <row r="161" ht="16.5" customHeight="1">
      <c r="A161" s="439"/>
      <c r="B161" s="454">
        <f t="shared" si="4"/>
        <v>1152</v>
      </c>
      <c r="C161" s="468"/>
      <c r="D161" s="442" t="str">
        <f>IF(G161="","",(VLOOKUP(G161,'2. SMDA BHN'!$B$12:$J512,2,0)))</f>
        <v/>
      </c>
      <c r="E161" s="443">
        <f>IF(G161=0,0,(VLOOKUP(G161,'2. SMDA BHN'!$B$12:$J512,3,0)))</f>
        <v>0</v>
      </c>
      <c r="F161" s="444"/>
      <c r="G161" s="467"/>
      <c r="H161" s="446">
        <f>IF(G161=0,0,(VLOOKUP(G161,'2. SMDA BHN'!$B$12:$H512,4,0)))</f>
        <v>0</v>
      </c>
      <c r="I161" s="460"/>
      <c r="J161" s="461"/>
      <c r="K161" s="448">
        <f>SUMIF('PO MTRL'!$G$9:$G512,G161,'PO MTRL'!$J$9:$J512)</f>
        <v>0</v>
      </c>
      <c r="L161" s="448">
        <f t="shared" si="1"/>
        <v>0</v>
      </c>
      <c r="M161" s="449">
        <f>SUMIF('PO MTRL'!$G$9:$G512,G161,'PO MTRL'!$L$9:$L512)</f>
        <v>0</v>
      </c>
      <c r="N161" s="450">
        <f>IF(G161=0,0,(VLOOKUP(G161,'2. SMDA BHN'!$B$12:$H512,5,0)))</f>
        <v>0</v>
      </c>
      <c r="O161" s="450">
        <f>IF(G161=0,0,(VLOOKUP(G161,'2. SMDA BHN'!$B$12:$H512,7,0)))</f>
        <v>0</v>
      </c>
      <c r="P161" s="449">
        <f t="shared" si="2"/>
        <v>0</v>
      </c>
      <c r="Q161" s="449">
        <f t="shared" si="3"/>
        <v>0</v>
      </c>
      <c r="R161" s="451" t="s">
        <v>45</v>
      </c>
      <c r="S161" s="464"/>
      <c r="T161" s="439"/>
      <c r="U161" s="16"/>
      <c r="V161" s="439"/>
      <c r="W161" s="439"/>
      <c r="X161" s="439"/>
      <c r="Y161" s="439"/>
      <c r="Z161" s="439"/>
      <c r="AA161" s="439"/>
      <c r="AB161" s="439"/>
      <c r="AC161" s="439"/>
      <c r="AD161" s="439"/>
      <c r="AE161" s="439"/>
      <c r="AF161" s="439"/>
    </row>
    <row r="162" ht="16.5" customHeight="1">
      <c r="A162" s="439"/>
      <c r="B162" s="454">
        <f t="shared" si="4"/>
        <v>1153</v>
      </c>
      <c r="C162" s="468"/>
      <c r="D162" s="442" t="str">
        <f>IF(G162="","",(VLOOKUP(G162,'2. SMDA BHN'!$B$12:$J512,2,0)))</f>
        <v/>
      </c>
      <c r="E162" s="443">
        <f>IF(G162=0,0,(VLOOKUP(G162,'2. SMDA BHN'!$B$12:$J512,3,0)))</f>
        <v>0</v>
      </c>
      <c r="F162" s="444"/>
      <c r="G162" s="467"/>
      <c r="H162" s="446">
        <f>IF(G162=0,0,(VLOOKUP(G162,'2. SMDA BHN'!$B$12:$H512,4,0)))</f>
        <v>0</v>
      </c>
      <c r="I162" s="460"/>
      <c r="J162" s="461"/>
      <c r="K162" s="448">
        <f>SUMIF('PO MTRL'!$G$9:$G512,G162,'PO MTRL'!$J$9:$J512)</f>
        <v>0</v>
      </c>
      <c r="L162" s="448">
        <f t="shared" si="1"/>
        <v>0</v>
      </c>
      <c r="M162" s="449">
        <f>SUMIF('PO MTRL'!$G$9:$G512,G162,'PO MTRL'!$L$9:$L512)</f>
        <v>0</v>
      </c>
      <c r="N162" s="450">
        <f>IF(G162=0,0,(VLOOKUP(G162,'2. SMDA BHN'!$B$12:$H512,5,0)))</f>
        <v>0</v>
      </c>
      <c r="O162" s="450">
        <f>IF(G162=0,0,(VLOOKUP(G162,'2. SMDA BHN'!$B$12:$H512,7,0)))</f>
        <v>0</v>
      </c>
      <c r="P162" s="449">
        <f t="shared" si="2"/>
        <v>0</v>
      </c>
      <c r="Q162" s="449">
        <f t="shared" si="3"/>
        <v>0</v>
      </c>
      <c r="R162" s="451" t="s">
        <v>45</v>
      </c>
      <c r="S162" s="464"/>
      <c r="T162" s="439"/>
      <c r="U162" s="16"/>
      <c r="V162" s="439"/>
      <c r="W162" s="439"/>
      <c r="X162" s="439"/>
      <c r="Y162" s="439"/>
      <c r="Z162" s="439"/>
      <c r="AA162" s="439"/>
      <c r="AB162" s="439"/>
      <c r="AC162" s="439"/>
      <c r="AD162" s="439"/>
      <c r="AE162" s="439"/>
      <c r="AF162" s="439"/>
    </row>
    <row r="163" ht="16.5" customHeight="1">
      <c r="A163" s="439"/>
      <c r="B163" s="454">
        <f t="shared" si="4"/>
        <v>1154</v>
      </c>
      <c r="C163" s="468"/>
      <c r="D163" s="442" t="str">
        <f>IF(G163="","",(VLOOKUP(G163,'2. SMDA BHN'!$B$12:$J512,2,0)))</f>
        <v/>
      </c>
      <c r="E163" s="443">
        <f>IF(G163=0,0,(VLOOKUP(G163,'2. SMDA BHN'!$B$12:$J512,3,0)))</f>
        <v>0</v>
      </c>
      <c r="F163" s="444"/>
      <c r="G163" s="467"/>
      <c r="H163" s="446">
        <f>IF(G163=0,0,(VLOOKUP(G163,'2. SMDA BHN'!$B$12:$H512,4,0)))</f>
        <v>0</v>
      </c>
      <c r="I163" s="460"/>
      <c r="J163" s="461"/>
      <c r="K163" s="448">
        <f>SUMIF('PO MTRL'!$G$9:$G512,G163,'PO MTRL'!$J$9:$J512)</f>
        <v>0</v>
      </c>
      <c r="L163" s="448">
        <f t="shared" si="1"/>
        <v>0</v>
      </c>
      <c r="M163" s="449">
        <f>SUMIF('PO MTRL'!$G$9:$G512,G163,'PO MTRL'!$L$9:$L512)</f>
        <v>0</v>
      </c>
      <c r="N163" s="450">
        <f>IF(G163=0,0,(VLOOKUP(G163,'2. SMDA BHN'!$B$12:$H512,5,0)))</f>
        <v>0</v>
      </c>
      <c r="O163" s="450">
        <f>IF(G163=0,0,(VLOOKUP(G163,'2. SMDA BHN'!$B$12:$H512,7,0)))</f>
        <v>0</v>
      </c>
      <c r="P163" s="449">
        <f t="shared" si="2"/>
        <v>0</v>
      </c>
      <c r="Q163" s="449">
        <f t="shared" si="3"/>
        <v>0</v>
      </c>
      <c r="R163" s="451" t="s">
        <v>45</v>
      </c>
      <c r="S163" s="464"/>
      <c r="T163" s="439"/>
      <c r="U163" s="16"/>
      <c r="V163" s="439"/>
      <c r="W163" s="439"/>
      <c r="X163" s="439"/>
      <c r="Y163" s="439"/>
      <c r="Z163" s="439"/>
      <c r="AA163" s="439"/>
      <c r="AB163" s="439"/>
      <c r="AC163" s="439"/>
      <c r="AD163" s="439"/>
      <c r="AE163" s="439"/>
      <c r="AF163" s="439"/>
    </row>
    <row r="164" ht="16.5" customHeight="1">
      <c r="A164" s="439"/>
      <c r="B164" s="454">
        <f t="shared" si="4"/>
        <v>1155</v>
      </c>
      <c r="C164" s="468"/>
      <c r="D164" s="442" t="str">
        <f>IF(G164="","",(VLOOKUP(G164,'2. SMDA BHN'!$B$12:$J512,2,0)))</f>
        <v/>
      </c>
      <c r="E164" s="443">
        <f>IF(G164=0,0,(VLOOKUP(G164,'2. SMDA BHN'!$B$12:$J512,3,0)))</f>
        <v>0</v>
      </c>
      <c r="F164" s="444"/>
      <c r="G164" s="467"/>
      <c r="H164" s="446">
        <f>IF(G164=0,0,(VLOOKUP(G164,'2. SMDA BHN'!$B$12:$H512,4,0)))</f>
        <v>0</v>
      </c>
      <c r="I164" s="460"/>
      <c r="J164" s="461"/>
      <c r="K164" s="448">
        <f>SUMIF('PO MTRL'!$G$9:$G512,G164,'PO MTRL'!$J$9:$J512)</f>
        <v>0</v>
      </c>
      <c r="L164" s="448">
        <f t="shared" si="1"/>
        <v>0</v>
      </c>
      <c r="M164" s="449">
        <f>SUMIF('PO MTRL'!$G$9:$G512,G164,'PO MTRL'!$L$9:$L512)</f>
        <v>0</v>
      </c>
      <c r="N164" s="450">
        <f>IF(G164=0,0,(VLOOKUP(G164,'2. SMDA BHN'!$B$12:$H512,5,0)))</f>
        <v>0</v>
      </c>
      <c r="O164" s="450">
        <f>IF(G164=0,0,(VLOOKUP(G164,'2. SMDA BHN'!$B$12:$H512,7,0)))</f>
        <v>0</v>
      </c>
      <c r="P164" s="449">
        <f t="shared" si="2"/>
        <v>0</v>
      </c>
      <c r="Q164" s="449">
        <f t="shared" si="3"/>
        <v>0</v>
      </c>
      <c r="R164" s="451" t="s">
        <v>45</v>
      </c>
      <c r="S164" s="464"/>
      <c r="T164" s="439"/>
      <c r="U164" s="16"/>
      <c r="V164" s="439"/>
      <c r="W164" s="439"/>
      <c r="X164" s="439"/>
      <c r="Y164" s="439"/>
      <c r="Z164" s="439"/>
      <c r="AA164" s="439"/>
      <c r="AB164" s="439"/>
      <c r="AC164" s="439"/>
      <c r="AD164" s="439"/>
      <c r="AE164" s="439"/>
      <c r="AF164" s="439"/>
    </row>
    <row r="165" ht="16.5" customHeight="1">
      <c r="A165" s="439"/>
      <c r="B165" s="454">
        <f t="shared" si="4"/>
        <v>1156</v>
      </c>
      <c r="C165" s="468"/>
      <c r="D165" s="442" t="str">
        <f>IF(G165="","",(VLOOKUP(G165,'2. SMDA BHN'!$B$12:$J512,2,0)))</f>
        <v/>
      </c>
      <c r="E165" s="443">
        <f>IF(G165=0,0,(VLOOKUP(G165,'2. SMDA BHN'!$B$12:$J512,3,0)))</f>
        <v>0</v>
      </c>
      <c r="F165" s="444"/>
      <c r="G165" s="467"/>
      <c r="H165" s="446">
        <f>IF(G165=0,0,(VLOOKUP(G165,'2. SMDA BHN'!$B$12:$H512,4,0)))</f>
        <v>0</v>
      </c>
      <c r="I165" s="460"/>
      <c r="J165" s="461"/>
      <c r="K165" s="448">
        <f>SUMIF('PO MTRL'!$G$9:$G512,G165,'PO MTRL'!$J$9:$J512)</f>
        <v>0</v>
      </c>
      <c r="L165" s="448">
        <f t="shared" si="1"/>
        <v>0</v>
      </c>
      <c r="M165" s="449">
        <f>SUMIF('PO MTRL'!$G$9:$G512,G165,'PO MTRL'!$L$9:$L512)</f>
        <v>0</v>
      </c>
      <c r="N165" s="450">
        <f>IF(G165=0,0,(VLOOKUP(G165,'2. SMDA BHN'!$B$12:$H512,5,0)))</f>
        <v>0</v>
      </c>
      <c r="O165" s="450">
        <f>IF(G165=0,0,(VLOOKUP(G165,'2. SMDA BHN'!$B$12:$H512,7,0)))</f>
        <v>0</v>
      </c>
      <c r="P165" s="449">
        <f t="shared" si="2"/>
        <v>0</v>
      </c>
      <c r="Q165" s="449">
        <f t="shared" si="3"/>
        <v>0</v>
      </c>
      <c r="R165" s="451" t="s">
        <v>45</v>
      </c>
      <c r="S165" s="464"/>
      <c r="T165" s="439"/>
      <c r="U165" s="16"/>
      <c r="V165" s="439"/>
      <c r="W165" s="439"/>
      <c r="X165" s="439"/>
      <c r="Y165" s="439"/>
      <c r="Z165" s="439"/>
      <c r="AA165" s="439"/>
      <c r="AB165" s="439"/>
      <c r="AC165" s="439"/>
      <c r="AD165" s="439"/>
      <c r="AE165" s="439"/>
      <c r="AF165" s="439"/>
    </row>
    <row r="166" ht="16.5" customHeight="1">
      <c r="A166" s="439"/>
      <c r="B166" s="454">
        <f t="shared" si="4"/>
        <v>1157</v>
      </c>
      <c r="C166" s="468"/>
      <c r="D166" s="442" t="str">
        <f>IF(G166="","",(VLOOKUP(G166,'2. SMDA BHN'!$B$12:$J512,2,0)))</f>
        <v/>
      </c>
      <c r="E166" s="443">
        <f>IF(G166=0,0,(VLOOKUP(G166,'2. SMDA BHN'!$B$12:$J512,3,0)))</f>
        <v>0</v>
      </c>
      <c r="F166" s="444"/>
      <c r="G166" s="467"/>
      <c r="H166" s="446">
        <f>IF(G166=0,0,(VLOOKUP(G166,'2. SMDA BHN'!$B$12:$H512,4,0)))</f>
        <v>0</v>
      </c>
      <c r="I166" s="460"/>
      <c r="J166" s="461"/>
      <c r="K166" s="448">
        <f>SUMIF('PO MTRL'!$G$9:$G512,G166,'PO MTRL'!$J$9:$J512)</f>
        <v>0</v>
      </c>
      <c r="L166" s="448">
        <f t="shared" si="1"/>
        <v>0</v>
      </c>
      <c r="M166" s="449">
        <f>SUMIF('PO MTRL'!$G$9:$G512,G166,'PO MTRL'!$L$9:$L512)</f>
        <v>0</v>
      </c>
      <c r="N166" s="450">
        <f>IF(G166=0,0,(VLOOKUP(G166,'2. SMDA BHN'!$B$12:$H512,5,0)))</f>
        <v>0</v>
      </c>
      <c r="O166" s="450">
        <f>IF(G166=0,0,(VLOOKUP(G166,'2. SMDA BHN'!$B$12:$H512,7,0)))</f>
        <v>0</v>
      </c>
      <c r="P166" s="449">
        <f t="shared" si="2"/>
        <v>0</v>
      </c>
      <c r="Q166" s="449">
        <f t="shared" si="3"/>
        <v>0</v>
      </c>
      <c r="R166" s="451" t="s">
        <v>45</v>
      </c>
      <c r="S166" s="464"/>
      <c r="T166" s="439"/>
      <c r="U166" s="16"/>
      <c r="V166" s="439"/>
      <c r="W166" s="439"/>
      <c r="X166" s="439"/>
      <c r="Y166" s="439"/>
      <c r="Z166" s="439"/>
      <c r="AA166" s="439"/>
      <c r="AB166" s="439"/>
      <c r="AC166" s="439"/>
      <c r="AD166" s="439"/>
      <c r="AE166" s="439"/>
      <c r="AF166" s="439"/>
    </row>
    <row r="167" ht="16.5" customHeight="1">
      <c r="A167" s="439"/>
      <c r="B167" s="454">
        <f t="shared" si="4"/>
        <v>1158</v>
      </c>
      <c r="C167" s="468"/>
      <c r="D167" s="442" t="str">
        <f>IF(G167="","",(VLOOKUP(G167,'2. SMDA BHN'!$B$12:$J512,2,0)))</f>
        <v/>
      </c>
      <c r="E167" s="443">
        <f>IF(G167=0,0,(VLOOKUP(G167,'2. SMDA BHN'!$B$12:$J512,3,0)))</f>
        <v>0</v>
      </c>
      <c r="F167" s="444"/>
      <c r="G167" s="467"/>
      <c r="H167" s="446">
        <f>IF(G167=0,0,(VLOOKUP(G167,'2. SMDA BHN'!$B$12:$H512,4,0)))</f>
        <v>0</v>
      </c>
      <c r="I167" s="460"/>
      <c r="J167" s="461"/>
      <c r="K167" s="448">
        <f>SUMIF('PO MTRL'!$G$9:$G512,G167,'PO MTRL'!$J$9:$J512)</f>
        <v>0</v>
      </c>
      <c r="L167" s="448">
        <f t="shared" si="1"/>
        <v>0</v>
      </c>
      <c r="M167" s="449">
        <f>SUMIF('PO MTRL'!$G$9:$G512,G167,'PO MTRL'!$L$9:$L512)</f>
        <v>0</v>
      </c>
      <c r="N167" s="450">
        <f>IF(G167=0,0,(VLOOKUP(G167,'2. SMDA BHN'!$B$12:$H512,5,0)))</f>
        <v>0</v>
      </c>
      <c r="O167" s="450">
        <f>IF(G167=0,0,(VLOOKUP(G167,'2. SMDA BHN'!$B$12:$H512,7,0)))</f>
        <v>0</v>
      </c>
      <c r="P167" s="449">
        <f t="shared" si="2"/>
        <v>0</v>
      </c>
      <c r="Q167" s="449">
        <f t="shared" si="3"/>
        <v>0</v>
      </c>
      <c r="R167" s="451" t="s">
        <v>45</v>
      </c>
      <c r="S167" s="464"/>
      <c r="T167" s="439"/>
      <c r="U167" s="16"/>
      <c r="V167" s="439"/>
      <c r="W167" s="439"/>
      <c r="X167" s="439"/>
      <c r="Y167" s="439"/>
      <c r="Z167" s="439"/>
      <c r="AA167" s="439"/>
      <c r="AB167" s="439"/>
      <c r="AC167" s="439"/>
      <c r="AD167" s="439"/>
      <c r="AE167" s="439"/>
      <c r="AF167" s="439"/>
    </row>
    <row r="168" ht="16.5" customHeight="1">
      <c r="A168" s="439"/>
      <c r="B168" s="454">
        <f t="shared" si="4"/>
        <v>1159</v>
      </c>
      <c r="C168" s="468"/>
      <c r="D168" s="442" t="str">
        <f>IF(G168="","",(VLOOKUP(G168,'2. SMDA BHN'!$B$12:$J512,2,0)))</f>
        <v/>
      </c>
      <c r="E168" s="443">
        <f>IF(G168=0,0,(VLOOKUP(G168,'2. SMDA BHN'!$B$12:$J512,3,0)))</f>
        <v>0</v>
      </c>
      <c r="F168" s="444"/>
      <c r="G168" s="467"/>
      <c r="H168" s="446">
        <f>IF(G168=0,0,(VLOOKUP(G168,'2. SMDA BHN'!$B$12:$H512,4,0)))</f>
        <v>0</v>
      </c>
      <c r="I168" s="460"/>
      <c r="J168" s="461"/>
      <c r="K168" s="448">
        <f>SUMIF('PO MTRL'!$G$9:$G512,G168,'PO MTRL'!$J$9:$J512)</f>
        <v>0</v>
      </c>
      <c r="L168" s="448">
        <f t="shared" si="1"/>
        <v>0</v>
      </c>
      <c r="M168" s="449">
        <f>SUMIF('PO MTRL'!$G$9:$G512,G168,'PO MTRL'!$L$9:$L512)</f>
        <v>0</v>
      </c>
      <c r="N168" s="450">
        <f>IF(G168=0,0,(VLOOKUP(G168,'2. SMDA BHN'!$B$12:$H512,5,0)))</f>
        <v>0</v>
      </c>
      <c r="O168" s="450">
        <f>IF(G168=0,0,(VLOOKUP(G168,'2. SMDA BHN'!$B$12:$H512,7,0)))</f>
        <v>0</v>
      </c>
      <c r="P168" s="449">
        <f t="shared" si="2"/>
        <v>0</v>
      </c>
      <c r="Q168" s="449">
        <f t="shared" si="3"/>
        <v>0</v>
      </c>
      <c r="R168" s="451" t="s">
        <v>45</v>
      </c>
      <c r="S168" s="464"/>
      <c r="T168" s="439"/>
      <c r="U168" s="16"/>
      <c r="V168" s="439"/>
      <c r="W168" s="439"/>
      <c r="X168" s="439"/>
      <c r="Y168" s="439"/>
      <c r="Z168" s="439"/>
      <c r="AA168" s="439"/>
      <c r="AB168" s="439"/>
      <c r="AC168" s="439"/>
      <c r="AD168" s="439"/>
      <c r="AE168" s="439"/>
      <c r="AF168" s="439"/>
    </row>
    <row r="169" ht="16.5" customHeight="1">
      <c r="A169" s="439"/>
      <c r="B169" s="454">
        <f t="shared" si="4"/>
        <v>1160</v>
      </c>
      <c r="C169" s="468"/>
      <c r="D169" s="442" t="str">
        <f>IF(G169="","",(VLOOKUP(G169,'2. SMDA BHN'!$B$12:$J512,2,0)))</f>
        <v/>
      </c>
      <c r="E169" s="443">
        <f>IF(G169=0,0,(VLOOKUP(G169,'2. SMDA BHN'!$B$12:$J512,3,0)))</f>
        <v>0</v>
      </c>
      <c r="F169" s="444"/>
      <c r="G169" s="467"/>
      <c r="H169" s="446">
        <f>IF(G169=0,0,(VLOOKUP(G169,'2. SMDA BHN'!$B$12:$H512,4,0)))</f>
        <v>0</v>
      </c>
      <c r="I169" s="460"/>
      <c r="J169" s="461"/>
      <c r="K169" s="448">
        <f>SUMIF('PO MTRL'!$G$9:$G512,G169,'PO MTRL'!$J$9:$J512)</f>
        <v>0</v>
      </c>
      <c r="L169" s="448">
        <f t="shared" si="1"/>
        <v>0</v>
      </c>
      <c r="M169" s="449">
        <f>SUMIF('PO MTRL'!$G$9:$G512,G169,'PO MTRL'!$L$9:$L512)</f>
        <v>0</v>
      </c>
      <c r="N169" s="450">
        <f>IF(G169=0,0,(VLOOKUP(G169,'2. SMDA BHN'!$B$12:$H512,5,0)))</f>
        <v>0</v>
      </c>
      <c r="O169" s="450">
        <f>IF(G169=0,0,(VLOOKUP(G169,'2. SMDA BHN'!$B$12:$H512,7,0)))</f>
        <v>0</v>
      </c>
      <c r="P169" s="449">
        <f t="shared" si="2"/>
        <v>0</v>
      </c>
      <c r="Q169" s="449">
        <f t="shared" si="3"/>
        <v>0</v>
      </c>
      <c r="R169" s="451" t="s">
        <v>45</v>
      </c>
      <c r="S169" s="464"/>
      <c r="T169" s="439"/>
      <c r="U169" s="16"/>
      <c r="V169" s="439"/>
      <c r="W169" s="439"/>
      <c r="X169" s="439"/>
      <c r="Y169" s="439"/>
      <c r="Z169" s="439"/>
      <c r="AA169" s="439"/>
      <c r="AB169" s="439"/>
      <c r="AC169" s="439"/>
      <c r="AD169" s="439"/>
      <c r="AE169" s="439"/>
      <c r="AF169" s="439"/>
    </row>
    <row r="170" ht="16.5" customHeight="1">
      <c r="A170" s="439"/>
      <c r="B170" s="454">
        <f t="shared" si="4"/>
        <v>1161</v>
      </c>
      <c r="C170" s="468"/>
      <c r="D170" s="442" t="str">
        <f>IF(G170="","",(VLOOKUP(G170,'2. SMDA BHN'!$B$12:$J512,2,0)))</f>
        <v/>
      </c>
      <c r="E170" s="443">
        <f>IF(G170=0,0,(VLOOKUP(G170,'2. SMDA BHN'!$B$12:$J512,3,0)))</f>
        <v>0</v>
      </c>
      <c r="F170" s="444"/>
      <c r="G170" s="467"/>
      <c r="H170" s="446">
        <f>IF(G170=0,0,(VLOOKUP(G170,'2. SMDA BHN'!$B$12:$H512,4,0)))</f>
        <v>0</v>
      </c>
      <c r="I170" s="460"/>
      <c r="J170" s="461"/>
      <c r="K170" s="448">
        <f>SUMIF('PO MTRL'!$G$9:$G512,G170,'PO MTRL'!$J$9:$J512)</f>
        <v>0</v>
      </c>
      <c r="L170" s="448">
        <f t="shared" si="1"/>
        <v>0</v>
      </c>
      <c r="M170" s="449">
        <f>SUMIF('PO MTRL'!$G$9:$G512,G170,'PO MTRL'!$L$9:$L512)</f>
        <v>0</v>
      </c>
      <c r="N170" s="450">
        <f>IF(G170=0,0,(VLOOKUP(G170,'2. SMDA BHN'!$B$12:$H512,5,0)))</f>
        <v>0</v>
      </c>
      <c r="O170" s="450">
        <f>IF(G170=0,0,(VLOOKUP(G170,'2. SMDA BHN'!$B$12:$H512,7,0)))</f>
        <v>0</v>
      </c>
      <c r="P170" s="449">
        <f t="shared" si="2"/>
        <v>0</v>
      </c>
      <c r="Q170" s="449">
        <f t="shared" si="3"/>
        <v>0</v>
      </c>
      <c r="R170" s="451" t="s">
        <v>45</v>
      </c>
      <c r="S170" s="464"/>
      <c r="T170" s="439"/>
      <c r="U170" s="16"/>
      <c r="V170" s="439"/>
      <c r="W170" s="439"/>
      <c r="X170" s="439"/>
      <c r="Y170" s="439"/>
      <c r="Z170" s="439"/>
      <c r="AA170" s="439"/>
      <c r="AB170" s="439"/>
      <c r="AC170" s="439"/>
      <c r="AD170" s="439"/>
      <c r="AE170" s="439"/>
      <c r="AF170" s="439"/>
    </row>
    <row r="171" ht="16.5" customHeight="1">
      <c r="A171" s="439"/>
      <c r="B171" s="454">
        <f t="shared" si="4"/>
        <v>1162</v>
      </c>
      <c r="C171" s="468"/>
      <c r="D171" s="442" t="str">
        <f>IF(G171="","",(VLOOKUP(G171,'2. SMDA BHN'!$B$12:$J512,2,0)))</f>
        <v/>
      </c>
      <c r="E171" s="443">
        <f>IF(G171=0,0,(VLOOKUP(G171,'2. SMDA BHN'!$B$12:$J512,3,0)))</f>
        <v>0</v>
      </c>
      <c r="F171" s="444"/>
      <c r="G171" s="467"/>
      <c r="H171" s="446">
        <f>IF(G171=0,0,(VLOOKUP(G171,'2. SMDA BHN'!$B$12:$H512,4,0)))</f>
        <v>0</v>
      </c>
      <c r="I171" s="460"/>
      <c r="J171" s="461"/>
      <c r="K171" s="448">
        <f>SUMIF('PO MTRL'!$G$9:$G512,G171,'PO MTRL'!$J$9:$J512)</f>
        <v>0</v>
      </c>
      <c r="L171" s="448">
        <f t="shared" si="1"/>
        <v>0</v>
      </c>
      <c r="M171" s="449">
        <f>SUMIF('PO MTRL'!$G$9:$G512,G171,'PO MTRL'!$L$9:$L512)</f>
        <v>0</v>
      </c>
      <c r="N171" s="450">
        <f>IF(G171=0,0,(VLOOKUP(G171,'2. SMDA BHN'!$B$12:$H512,5,0)))</f>
        <v>0</v>
      </c>
      <c r="O171" s="450">
        <f>IF(G171=0,0,(VLOOKUP(G171,'2. SMDA BHN'!$B$12:$H512,7,0)))</f>
        <v>0</v>
      </c>
      <c r="P171" s="449">
        <f t="shared" si="2"/>
        <v>0</v>
      </c>
      <c r="Q171" s="449">
        <f t="shared" si="3"/>
        <v>0</v>
      </c>
      <c r="R171" s="451" t="s">
        <v>45</v>
      </c>
      <c r="S171" s="464"/>
      <c r="T171" s="439"/>
      <c r="U171" s="16"/>
      <c r="V171" s="439"/>
      <c r="W171" s="439"/>
      <c r="X171" s="439"/>
      <c r="Y171" s="439"/>
      <c r="Z171" s="439"/>
      <c r="AA171" s="439"/>
      <c r="AB171" s="439"/>
      <c r="AC171" s="439"/>
      <c r="AD171" s="439"/>
      <c r="AE171" s="439"/>
      <c r="AF171" s="439"/>
    </row>
    <row r="172" ht="16.5" customHeight="1">
      <c r="A172" s="439"/>
      <c r="B172" s="454">
        <f t="shared" si="4"/>
        <v>1163</v>
      </c>
      <c r="C172" s="468"/>
      <c r="D172" s="442" t="str">
        <f>IF(G172="","",(VLOOKUP(G172,'2. SMDA BHN'!$B$12:$J512,2,0)))</f>
        <v/>
      </c>
      <c r="E172" s="443">
        <f>IF(G172=0,0,(VLOOKUP(G172,'2. SMDA BHN'!$B$12:$J512,3,0)))</f>
        <v>0</v>
      </c>
      <c r="F172" s="444"/>
      <c r="G172" s="467"/>
      <c r="H172" s="446">
        <f>IF(G172=0,0,(VLOOKUP(G172,'2. SMDA BHN'!$B$12:$H512,4,0)))</f>
        <v>0</v>
      </c>
      <c r="I172" s="460"/>
      <c r="J172" s="461"/>
      <c r="K172" s="448">
        <f>SUMIF('PO MTRL'!$G$9:$G512,G172,'PO MTRL'!$J$9:$J512)</f>
        <v>0</v>
      </c>
      <c r="L172" s="448">
        <f t="shared" si="1"/>
        <v>0</v>
      </c>
      <c r="M172" s="449">
        <f>SUMIF('PO MTRL'!$G$9:$G512,G172,'PO MTRL'!$L$9:$L512)</f>
        <v>0</v>
      </c>
      <c r="N172" s="450">
        <f>IF(G172=0,0,(VLOOKUP(G172,'2. SMDA BHN'!$B$12:$H512,5,0)))</f>
        <v>0</v>
      </c>
      <c r="O172" s="450">
        <f>IF(G172=0,0,(VLOOKUP(G172,'2. SMDA BHN'!$B$12:$H512,7,0)))</f>
        <v>0</v>
      </c>
      <c r="P172" s="449">
        <f t="shared" si="2"/>
        <v>0</v>
      </c>
      <c r="Q172" s="449">
        <f t="shared" si="3"/>
        <v>0</v>
      </c>
      <c r="R172" s="451" t="s">
        <v>45</v>
      </c>
      <c r="S172" s="464"/>
      <c r="T172" s="439"/>
      <c r="U172" s="16"/>
      <c r="V172" s="439"/>
      <c r="W172" s="439"/>
      <c r="X172" s="439"/>
      <c r="Y172" s="439"/>
      <c r="Z172" s="439"/>
      <c r="AA172" s="439"/>
      <c r="AB172" s="439"/>
      <c r="AC172" s="439"/>
      <c r="AD172" s="439"/>
      <c r="AE172" s="439"/>
      <c r="AF172" s="439"/>
    </row>
    <row r="173" ht="16.5" customHeight="1">
      <c r="A173" s="439"/>
      <c r="B173" s="454">
        <f t="shared" si="4"/>
        <v>1164</v>
      </c>
      <c r="C173" s="468"/>
      <c r="D173" s="442" t="str">
        <f>IF(G173="","",(VLOOKUP(G173,'2. SMDA BHN'!$B$12:$J512,2,0)))</f>
        <v/>
      </c>
      <c r="E173" s="443">
        <f>IF(G173=0,0,(VLOOKUP(G173,'2. SMDA BHN'!$B$12:$J512,3,0)))</f>
        <v>0</v>
      </c>
      <c r="F173" s="444"/>
      <c r="G173" s="467"/>
      <c r="H173" s="446">
        <f>IF(G173=0,0,(VLOOKUP(G173,'2. SMDA BHN'!$B$12:$H512,4,0)))</f>
        <v>0</v>
      </c>
      <c r="I173" s="460"/>
      <c r="J173" s="461"/>
      <c r="K173" s="448">
        <f>SUMIF('PO MTRL'!$G$9:$G512,G173,'PO MTRL'!$J$9:$J512)</f>
        <v>0</v>
      </c>
      <c r="L173" s="448">
        <f t="shared" si="1"/>
        <v>0</v>
      </c>
      <c r="M173" s="449">
        <f>SUMIF('PO MTRL'!$G$9:$G512,G173,'PO MTRL'!$L$9:$L512)</f>
        <v>0</v>
      </c>
      <c r="N173" s="450">
        <f>IF(G173=0,0,(VLOOKUP(G173,'2. SMDA BHN'!$B$12:$H512,5,0)))</f>
        <v>0</v>
      </c>
      <c r="O173" s="450">
        <f>IF(G173=0,0,(VLOOKUP(G173,'2. SMDA BHN'!$B$12:$H512,7,0)))</f>
        <v>0</v>
      </c>
      <c r="P173" s="449">
        <f t="shared" si="2"/>
        <v>0</v>
      </c>
      <c r="Q173" s="449">
        <f t="shared" si="3"/>
        <v>0</v>
      </c>
      <c r="R173" s="451" t="s">
        <v>45</v>
      </c>
      <c r="S173" s="464"/>
      <c r="T173" s="439"/>
      <c r="U173" s="16"/>
      <c r="V173" s="439"/>
      <c r="W173" s="439"/>
      <c r="X173" s="439"/>
      <c r="Y173" s="439"/>
      <c r="Z173" s="439"/>
      <c r="AA173" s="439"/>
      <c r="AB173" s="439"/>
      <c r="AC173" s="439"/>
      <c r="AD173" s="439"/>
      <c r="AE173" s="439"/>
      <c r="AF173" s="439"/>
    </row>
    <row r="174" ht="16.5" customHeight="1">
      <c r="A174" s="439"/>
      <c r="B174" s="454">
        <f t="shared" si="4"/>
        <v>1165</v>
      </c>
      <c r="C174" s="468"/>
      <c r="D174" s="442" t="str">
        <f>IF(G174="","",(VLOOKUP(G174,'2. SMDA BHN'!$B$12:$J512,2,0)))</f>
        <v/>
      </c>
      <c r="E174" s="443">
        <f>IF(G174=0,0,(VLOOKUP(G174,'2. SMDA BHN'!$B$12:$J512,3,0)))</f>
        <v>0</v>
      </c>
      <c r="F174" s="444"/>
      <c r="G174" s="467"/>
      <c r="H174" s="446">
        <f>IF(G174=0,0,(VLOOKUP(G174,'2. SMDA BHN'!$B$12:$H512,4,0)))</f>
        <v>0</v>
      </c>
      <c r="I174" s="460"/>
      <c r="J174" s="461"/>
      <c r="K174" s="448">
        <f>SUMIF('PO MTRL'!$G$9:$G512,G174,'PO MTRL'!$J$9:$J512)</f>
        <v>0</v>
      </c>
      <c r="L174" s="448">
        <f t="shared" si="1"/>
        <v>0</v>
      </c>
      <c r="M174" s="449">
        <f>SUMIF('PO MTRL'!$G$9:$G512,G174,'PO MTRL'!$L$9:$L512)</f>
        <v>0</v>
      </c>
      <c r="N174" s="450">
        <f>IF(G174=0,0,(VLOOKUP(G174,'2. SMDA BHN'!$B$12:$H512,5,0)))</f>
        <v>0</v>
      </c>
      <c r="O174" s="450">
        <f>IF(G174=0,0,(VLOOKUP(G174,'2. SMDA BHN'!$B$12:$H512,7,0)))</f>
        <v>0</v>
      </c>
      <c r="P174" s="449">
        <f t="shared" si="2"/>
        <v>0</v>
      </c>
      <c r="Q174" s="449">
        <f t="shared" si="3"/>
        <v>0</v>
      </c>
      <c r="R174" s="451" t="s">
        <v>45</v>
      </c>
      <c r="S174" s="464"/>
      <c r="T174" s="439"/>
      <c r="U174" s="16"/>
      <c r="V174" s="439"/>
      <c r="W174" s="439"/>
      <c r="X174" s="439"/>
      <c r="Y174" s="439"/>
      <c r="Z174" s="439"/>
      <c r="AA174" s="439"/>
      <c r="AB174" s="439"/>
      <c r="AC174" s="439"/>
      <c r="AD174" s="439"/>
      <c r="AE174" s="439"/>
      <c r="AF174" s="439"/>
    </row>
    <row r="175" ht="16.5" customHeight="1">
      <c r="A175" s="439"/>
      <c r="B175" s="454">
        <f t="shared" si="4"/>
        <v>1166</v>
      </c>
      <c r="C175" s="468"/>
      <c r="D175" s="442" t="str">
        <f>IF(G175="","",(VLOOKUP(G175,'2. SMDA BHN'!$B$12:$J512,2,0)))</f>
        <v/>
      </c>
      <c r="E175" s="443">
        <f>IF(G175=0,0,(VLOOKUP(G175,'2. SMDA BHN'!$B$12:$J512,3,0)))</f>
        <v>0</v>
      </c>
      <c r="F175" s="444"/>
      <c r="G175" s="467"/>
      <c r="H175" s="446">
        <f>IF(G175=0,0,(VLOOKUP(G175,'2. SMDA BHN'!$B$12:$H512,4,0)))</f>
        <v>0</v>
      </c>
      <c r="I175" s="460"/>
      <c r="J175" s="461"/>
      <c r="K175" s="448">
        <f>SUMIF('PO MTRL'!$G$9:$G512,G175,'PO MTRL'!$J$9:$J512)</f>
        <v>0</v>
      </c>
      <c r="L175" s="448">
        <f t="shared" si="1"/>
        <v>0</v>
      </c>
      <c r="M175" s="449">
        <f>SUMIF('PO MTRL'!$G$9:$G512,G175,'PO MTRL'!$L$9:$L512)</f>
        <v>0</v>
      </c>
      <c r="N175" s="450">
        <f>IF(G175=0,0,(VLOOKUP(G175,'2. SMDA BHN'!$B$12:$H512,5,0)))</f>
        <v>0</v>
      </c>
      <c r="O175" s="450">
        <f>IF(G175=0,0,(VLOOKUP(G175,'2. SMDA BHN'!$B$12:$H512,7,0)))</f>
        <v>0</v>
      </c>
      <c r="P175" s="449">
        <f t="shared" si="2"/>
        <v>0</v>
      </c>
      <c r="Q175" s="449">
        <f t="shared" si="3"/>
        <v>0</v>
      </c>
      <c r="R175" s="451" t="s">
        <v>45</v>
      </c>
      <c r="S175" s="464"/>
      <c r="T175" s="439"/>
      <c r="U175" s="16"/>
      <c r="V175" s="439"/>
      <c r="W175" s="439"/>
      <c r="X175" s="439"/>
      <c r="Y175" s="439"/>
      <c r="Z175" s="439"/>
      <c r="AA175" s="439"/>
      <c r="AB175" s="439"/>
      <c r="AC175" s="439"/>
      <c r="AD175" s="439"/>
      <c r="AE175" s="439"/>
      <c r="AF175" s="439"/>
    </row>
    <row r="176" ht="16.5" customHeight="1">
      <c r="A176" s="439"/>
      <c r="B176" s="454">
        <f t="shared" si="4"/>
        <v>1167</v>
      </c>
      <c r="C176" s="468"/>
      <c r="D176" s="442" t="str">
        <f>IF(G176="","",(VLOOKUP(G176,'2. SMDA BHN'!$B$12:$J512,2,0)))</f>
        <v/>
      </c>
      <c r="E176" s="443">
        <f>IF(G176=0,0,(VLOOKUP(G176,'2. SMDA BHN'!$B$12:$J512,3,0)))</f>
        <v>0</v>
      </c>
      <c r="F176" s="444"/>
      <c r="G176" s="467"/>
      <c r="H176" s="446">
        <f>IF(G176=0,0,(VLOOKUP(G176,'2. SMDA BHN'!$B$12:$H512,4,0)))</f>
        <v>0</v>
      </c>
      <c r="I176" s="460"/>
      <c r="J176" s="461"/>
      <c r="K176" s="448">
        <f>SUMIF('PO MTRL'!$G$9:$G512,G176,'PO MTRL'!$J$9:$J512)</f>
        <v>0</v>
      </c>
      <c r="L176" s="448">
        <f t="shared" si="1"/>
        <v>0</v>
      </c>
      <c r="M176" s="449">
        <f>SUMIF('PO MTRL'!$G$9:$G512,G176,'PO MTRL'!$L$9:$L512)</f>
        <v>0</v>
      </c>
      <c r="N176" s="450">
        <f>IF(G176=0,0,(VLOOKUP(G176,'2. SMDA BHN'!$B$12:$H512,5,0)))</f>
        <v>0</v>
      </c>
      <c r="O176" s="450">
        <f>IF(G176=0,0,(VLOOKUP(G176,'2. SMDA BHN'!$B$12:$H512,7,0)))</f>
        <v>0</v>
      </c>
      <c r="P176" s="449">
        <f t="shared" si="2"/>
        <v>0</v>
      </c>
      <c r="Q176" s="449">
        <f t="shared" si="3"/>
        <v>0</v>
      </c>
      <c r="R176" s="451" t="s">
        <v>45</v>
      </c>
      <c r="S176" s="464"/>
      <c r="T176" s="439"/>
      <c r="U176" s="16"/>
      <c r="V176" s="439"/>
      <c r="W176" s="439"/>
      <c r="X176" s="439"/>
      <c r="Y176" s="439"/>
      <c r="Z176" s="439"/>
      <c r="AA176" s="439"/>
      <c r="AB176" s="439"/>
      <c r="AC176" s="439"/>
      <c r="AD176" s="439"/>
      <c r="AE176" s="439"/>
      <c r="AF176" s="439"/>
    </row>
    <row r="177" ht="16.5" customHeight="1">
      <c r="A177" s="439"/>
      <c r="B177" s="454">
        <f t="shared" si="4"/>
        <v>1168</v>
      </c>
      <c r="C177" s="468"/>
      <c r="D177" s="442" t="str">
        <f>IF(G177="","",(VLOOKUP(G177,'2. SMDA BHN'!$B$12:$J512,2,0)))</f>
        <v/>
      </c>
      <c r="E177" s="443">
        <f>IF(G177=0,0,(VLOOKUP(G177,'2. SMDA BHN'!$B$12:$J512,3,0)))</f>
        <v>0</v>
      </c>
      <c r="F177" s="444"/>
      <c r="G177" s="467"/>
      <c r="H177" s="446">
        <f>IF(G177=0,0,(VLOOKUP(G177,'2. SMDA BHN'!$B$12:$H512,4,0)))</f>
        <v>0</v>
      </c>
      <c r="I177" s="460"/>
      <c r="J177" s="461"/>
      <c r="K177" s="448">
        <f>SUMIF('PO MTRL'!$G$9:$G512,G177,'PO MTRL'!$J$9:$J512)</f>
        <v>0</v>
      </c>
      <c r="L177" s="448">
        <f t="shared" si="1"/>
        <v>0</v>
      </c>
      <c r="M177" s="449">
        <f>SUMIF('PO MTRL'!$G$9:$G512,G177,'PO MTRL'!$L$9:$L512)</f>
        <v>0</v>
      </c>
      <c r="N177" s="450">
        <f>IF(G177=0,0,(VLOOKUP(G177,'2. SMDA BHN'!$B$12:$H512,5,0)))</f>
        <v>0</v>
      </c>
      <c r="O177" s="450">
        <f>IF(G177=0,0,(VLOOKUP(G177,'2. SMDA BHN'!$B$12:$H512,7,0)))</f>
        <v>0</v>
      </c>
      <c r="P177" s="449">
        <f t="shared" si="2"/>
        <v>0</v>
      </c>
      <c r="Q177" s="449">
        <f t="shared" si="3"/>
        <v>0</v>
      </c>
      <c r="R177" s="451" t="s">
        <v>45</v>
      </c>
      <c r="S177" s="464"/>
      <c r="T177" s="439"/>
      <c r="U177" s="16"/>
      <c r="V177" s="439"/>
      <c r="W177" s="439"/>
      <c r="X177" s="439"/>
      <c r="Y177" s="439"/>
      <c r="Z177" s="439"/>
      <c r="AA177" s="439"/>
      <c r="AB177" s="439"/>
      <c r="AC177" s="439"/>
      <c r="AD177" s="439"/>
      <c r="AE177" s="439"/>
      <c r="AF177" s="439"/>
    </row>
    <row r="178" ht="16.5" customHeight="1">
      <c r="A178" s="439"/>
      <c r="B178" s="454">
        <f t="shared" si="4"/>
        <v>1169</v>
      </c>
      <c r="C178" s="468"/>
      <c r="D178" s="442" t="str">
        <f>IF(G178="","",(VLOOKUP(G178,'2. SMDA BHN'!$B$12:$J512,2,0)))</f>
        <v/>
      </c>
      <c r="E178" s="443">
        <f>IF(G178=0,0,(VLOOKUP(G178,'2. SMDA BHN'!$B$12:$J512,3,0)))</f>
        <v>0</v>
      </c>
      <c r="F178" s="444"/>
      <c r="G178" s="467"/>
      <c r="H178" s="446">
        <f>IF(G178=0,0,(VLOOKUP(G178,'2. SMDA BHN'!$B$12:$H512,4,0)))</f>
        <v>0</v>
      </c>
      <c r="I178" s="460"/>
      <c r="J178" s="461"/>
      <c r="K178" s="448">
        <f>SUMIF('PO MTRL'!$G$9:$G512,G178,'PO MTRL'!$J$9:$J512)</f>
        <v>0</v>
      </c>
      <c r="L178" s="448">
        <f t="shared" si="1"/>
        <v>0</v>
      </c>
      <c r="M178" s="449">
        <f>SUMIF('PO MTRL'!$G$9:$G512,G178,'PO MTRL'!$L$9:$L512)</f>
        <v>0</v>
      </c>
      <c r="N178" s="450">
        <f>IF(G178=0,0,(VLOOKUP(G178,'2. SMDA BHN'!$B$12:$H512,5,0)))</f>
        <v>0</v>
      </c>
      <c r="O178" s="450">
        <f>IF(G178=0,0,(VLOOKUP(G178,'2. SMDA BHN'!$B$12:$H512,7,0)))</f>
        <v>0</v>
      </c>
      <c r="P178" s="449">
        <f t="shared" si="2"/>
        <v>0</v>
      </c>
      <c r="Q178" s="449">
        <f t="shared" si="3"/>
        <v>0</v>
      </c>
      <c r="R178" s="451" t="s">
        <v>45</v>
      </c>
      <c r="S178" s="464"/>
      <c r="T178" s="439"/>
      <c r="U178" s="16"/>
      <c r="V178" s="439"/>
      <c r="W178" s="439"/>
      <c r="X178" s="439"/>
      <c r="Y178" s="439"/>
      <c r="Z178" s="439"/>
      <c r="AA178" s="439"/>
      <c r="AB178" s="439"/>
      <c r="AC178" s="439"/>
      <c r="AD178" s="439"/>
      <c r="AE178" s="439"/>
      <c r="AF178" s="439"/>
    </row>
    <row r="179" ht="16.5" customHeight="1">
      <c r="A179" s="439"/>
      <c r="B179" s="454">
        <f t="shared" si="4"/>
        <v>1170</v>
      </c>
      <c r="C179" s="468"/>
      <c r="D179" s="442" t="str">
        <f>IF(G179="","",(VLOOKUP(G179,'2. SMDA BHN'!$B$12:$J512,2,0)))</f>
        <v/>
      </c>
      <c r="E179" s="443">
        <f>IF(G179=0,0,(VLOOKUP(G179,'2. SMDA BHN'!$B$12:$J512,3,0)))</f>
        <v>0</v>
      </c>
      <c r="F179" s="444"/>
      <c r="G179" s="467"/>
      <c r="H179" s="446">
        <f>IF(G179=0,0,(VLOOKUP(G179,'2. SMDA BHN'!$B$12:$H512,4,0)))</f>
        <v>0</v>
      </c>
      <c r="I179" s="460"/>
      <c r="J179" s="461"/>
      <c r="K179" s="448">
        <f>SUMIF('PO MTRL'!$G$9:$G512,G179,'PO MTRL'!$J$9:$J512)</f>
        <v>0</v>
      </c>
      <c r="L179" s="448">
        <f t="shared" si="1"/>
        <v>0</v>
      </c>
      <c r="M179" s="449">
        <f>SUMIF('PO MTRL'!$G$9:$G512,G179,'PO MTRL'!$L$9:$L512)</f>
        <v>0</v>
      </c>
      <c r="N179" s="450">
        <f>IF(G179=0,0,(VLOOKUP(G179,'2. SMDA BHN'!$B$12:$H512,5,0)))</f>
        <v>0</v>
      </c>
      <c r="O179" s="450">
        <f>IF(G179=0,0,(VLOOKUP(G179,'2. SMDA BHN'!$B$12:$H512,7,0)))</f>
        <v>0</v>
      </c>
      <c r="P179" s="449">
        <f t="shared" si="2"/>
        <v>0</v>
      </c>
      <c r="Q179" s="449">
        <f t="shared" si="3"/>
        <v>0</v>
      </c>
      <c r="R179" s="451" t="s">
        <v>45</v>
      </c>
      <c r="S179" s="464"/>
      <c r="T179" s="439"/>
      <c r="U179" s="16"/>
      <c r="V179" s="439"/>
      <c r="W179" s="439"/>
      <c r="X179" s="439"/>
      <c r="Y179" s="439"/>
      <c r="Z179" s="439"/>
      <c r="AA179" s="439"/>
      <c r="AB179" s="439"/>
      <c r="AC179" s="439"/>
      <c r="AD179" s="439"/>
      <c r="AE179" s="439"/>
      <c r="AF179" s="439"/>
    </row>
    <row r="180" ht="16.5" customHeight="1">
      <c r="A180" s="439"/>
      <c r="B180" s="454">
        <f t="shared" si="4"/>
        <v>1171</v>
      </c>
      <c r="C180" s="468"/>
      <c r="D180" s="442" t="str">
        <f>IF(G180="","",(VLOOKUP(G180,'2. SMDA BHN'!$B$12:$J512,2,0)))</f>
        <v/>
      </c>
      <c r="E180" s="443">
        <f>IF(G180=0,0,(VLOOKUP(G180,'2. SMDA BHN'!$B$12:$J512,3,0)))</f>
        <v>0</v>
      </c>
      <c r="F180" s="444"/>
      <c r="G180" s="467"/>
      <c r="H180" s="446">
        <f>IF(G180=0,0,(VLOOKUP(G180,'2. SMDA BHN'!$B$12:$H512,4,0)))</f>
        <v>0</v>
      </c>
      <c r="I180" s="460"/>
      <c r="J180" s="461"/>
      <c r="K180" s="448">
        <f>SUMIF('PO MTRL'!$G$9:$G512,G180,'PO MTRL'!$J$9:$J512)</f>
        <v>0</v>
      </c>
      <c r="L180" s="448">
        <f t="shared" si="1"/>
        <v>0</v>
      </c>
      <c r="M180" s="449">
        <f>SUMIF('PO MTRL'!$G$9:$G512,G180,'PO MTRL'!$L$9:$L512)</f>
        <v>0</v>
      </c>
      <c r="N180" s="450">
        <f>IF(G180=0,0,(VLOOKUP(G180,'2. SMDA BHN'!$B$12:$H512,5,0)))</f>
        <v>0</v>
      </c>
      <c r="O180" s="450">
        <f>IF(G180=0,0,(VLOOKUP(G180,'2. SMDA BHN'!$B$12:$H512,7,0)))</f>
        <v>0</v>
      </c>
      <c r="P180" s="449">
        <f t="shared" si="2"/>
        <v>0</v>
      </c>
      <c r="Q180" s="449">
        <f t="shared" si="3"/>
        <v>0</v>
      </c>
      <c r="R180" s="451" t="s">
        <v>45</v>
      </c>
      <c r="S180" s="464"/>
      <c r="T180" s="439"/>
      <c r="U180" s="16"/>
      <c r="V180" s="439"/>
      <c r="W180" s="439"/>
      <c r="X180" s="439"/>
      <c r="Y180" s="439"/>
      <c r="Z180" s="439"/>
      <c r="AA180" s="439"/>
      <c r="AB180" s="439"/>
      <c r="AC180" s="439"/>
      <c r="AD180" s="439"/>
      <c r="AE180" s="439"/>
      <c r="AF180" s="439"/>
    </row>
    <row r="181" ht="16.5" customHeight="1">
      <c r="A181" s="439"/>
      <c r="B181" s="454">
        <f t="shared" si="4"/>
        <v>1172</v>
      </c>
      <c r="C181" s="468"/>
      <c r="D181" s="442" t="str">
        <f>IF(G181="","",(VLOOKUP(G181,'2. SMDA BHN'!$B$12:$J512,2,0)))</f>
        <v/>
      </c>
      <c r="E181" s="443">
        <f>IF(G181=0,0,(VLOOKUP(G181,'2. SMDA BHN'!$B$12:$J512,3,0)))</f>
        <v>0</v>
      </c>
      <c r="F181" s="444"/>
      <c r="G181" s="467"/>
      <c r="H181" s="446">
        <f>IF(G181=0,0,(VLOOKUP(G181,'2. SMDA BHN'!$B$12:$H512,4,0)))</f>
        <v>0</v>
      </c>
      <c r="I181" s="460"/>
      <c r="J181" s="461"/>
      <c r="K181" s="448">
        <f>SUMIF('PO MTRL'!$G$9:$G512,G181,'PO MTRL'!$J$9:$J512)</f>
        <v>0</v>
      </c>
      <c r="L181" s="448">
        <f t="shared" si="1"/>
        <v>0</v>
      </c>
      <c r="M181" s="449">
        <f>SUMIF('PO MTRL'!$G$9:$G512,G181,'PO MTRL'!$L$9:$L512)</f>
        <v>0</v>
      </c>
      <c r="N181" s="450">
        <f>IF(G181=0,0,(VLOOKUP(G181,'2. SMDA BHN'!$B$12:$H512,5,0)))</f>
        <v>0</v>
      </c>
      <c r="O181" s="450">
        <f>IF(G181=0,0,(VLOOKUP(G181,'2. SMDA BHN'!$B$12:$H512,7,0)))</f>
        <v>0</v>
      </c>
      <c r="P181" s="449">
        <f t="shared" si="2"/>
        <v>0</v>
      </c>
      <c r="Q181" s="449">
        <f t="shared" si="3"/>
        <v>0</v>
      </c>
      <c r="R181" s="451" t="s">
        <v>45</v>
      </c>
      <c r="S181" s="464"/>
      <c r="T181" s="439"/>
      <c r="U181" s="16"/>
      <c r="V181" s="439"/>
      <c r="W181" s="439"/>
      <c r="X181" s="439"/>
      <c r="Y181" s="439"/>
      <c r="Z181" s="439"/>
      <c r="AA181" s="439"/>
      <c r="AB181" s="439"/>
      <c r="AC181" s="439"/>
      <c r="AD181" s="439"/>
      <c r="AE181" s="439"/>
      <c r="AF181" s="439"/>
    </row>
    <row r="182" ht="16.5" customHeight="1">
      <c r="A182" s="439"/>
      <c r="B182" s="454">
        <f t="shared" si="4"/>
        <v>1173</v>
      </c>
      <c r="C182" s="468"/>
      <c r="D182" s="442" t="str">
        <f>IF(G182="","",(VLOOKUP(G182,'2. SMDA BHN'!$B$12:$J512,2,0)))</f>
        <v/>
      </c>
      <c r="E182" s="443">
        <f>IF(G182=0,0,(VLOOKUP(G182,'2. SMDA BHN'!$B$12:$J512,3,0)))</f>
        <v>0</v>
      </c>
      <c r="F182" s="444"/>
      <c r="G182" s="467"/>
      <c r="H182" s="446">
        <f>IF(G182=0,0,(VLOOKUP(G182,'2. SMDA BHN'!$B$12:$H512,4,0)))</f>
        <v>0</v>
      </c>
      <c r="I182" s="460"/>
      <c r="J182" s="461"/>
      <c r="K182" s="448">
        <f>SUMIF('PO MTRL'!$G$9:$G512,G182,'PO MTRL'!$J$9:$J512)</f>
        <v>0</v>
      </c>
      <c r="L182" s="448">
        <f t="shared" si="1"/>
        <v>0</v>
      </c>
      <c r="M182" s="449">
        <f>SUMIF('PO MTRL'!$G$9:$G512,G182,'PO MTRL'!$L$9:$L512)</f>
        <v>0</v>
      </c>
      <c r="N182" s="450">
        <f>IF(G182=0,0,(VLOOKUP(G182,'2. SMDA BHN'!$B$12:$H512,5,0)))</f>
        <v>0</v>
      </c>
      <c r="O182" s="450">
        <f>IF(G182=0,0,(VLOOKUP(G182,'2. SMDA BHN'!$B$12:$H512,7,0)))</f>
        <v>0</v>
      </c>
      <c r="P182" s="449">
        <f t="shared" si="2"/>
        <v>0</v>
      </c>
      <c r="Q182" s="449">
        <f t="shared" si="3"/>
        <v>0</v>
      </c>
      <c r="R182" s="451" t="s">
        <v>45</v>
      </c>
      <c r="S182" s="464"/>
      <c r="T182" s="439"/>
      <c r="U182" s="16"/>
      <c r="V182" s="439"/>
      <c r="W182" s="439"/>
      <c r="X182" s="439"/>
      <c r="Y182" s="439"/>
      <c r="Z182" s="439"/>
      <c r="AA182" s="439"/>
      <c r="AB182" s="439"/>
      <c r="AC182" s="439"/>
      <c r="AD182" s="439"/>
      <c r="AE182" s="439"/>
      <c r="AF182" s="439"/>
    </row>
    <row r="183" ht="16.5" customHeight="1">
      <c r="A183" s="439"/>
      <c r="B183" s="454">
        <f t="shared" si="4"/>
        <v>1174</v>
      </c>
      <c r="C183" s="468"/>
      <c r="D183" s="442" t="str">
        <f>IF(G183="","",(VLOOKUP(G183,'2. SMDA BHN'!$B$12:$J512,2,0)))</f>
        <v/>
      </c>
      <c r="E183" s="443">
        <f>IF(G183=0,0,(VLOOKUP(G183,'2. SMDA BHN'!$B$12:$J512,3,0)))</f>
        <v>0</v>
      </c>
      <c r="F183" s="444"/>
      <c r="G183" s="467"/>
      <c r="H183" s="446">
        <f>IF(G183=0,0,(VLOOKUP(G183,'2. SMDA BHN'!$B$12:$H512,4,0)))</f>
        <v>0</v>
      </c>
      <c r="I183" s="460"/>
      <c r="J183" s="461"/>
      <c r="K183" s="448">
        <f>SUMIF('PO MTRL'!$G$9:$G512,G183,'PO MTRL'!$J$9:$J512)</f>
        <v>0</v>
      </c>
      <c r="L183" s="448">
        <f t="shared" si="1"/>
        <v>0</v>
      </c>
      <c r="M183" s="449">
        <f>SUMIF('PO MTRL'!$G$9:$G512,G183,'PO MTRL'!$L$9:$L512)</f>
        <v>0</v>
      </c>
      <c r="N183" s="450">
        <f>IF(G183=0,0,(VLOOKUP(G183,'2. SMDA BHN'!$B$12:$H512,5,0)))</f>
        <v>0</v>
      </c>
      <c r="O183" s="450">
        <f>IF(G183=0,0,(VLOOKUP(G183,'2. SMDA BHN'!$B$12:$H512,7,0)))</f>
        <v>0</v>
      </c>
      <c r="P183" s="449">
        <f t="shared" si="2"/>
        <v>0</v>
      </c>
      <c r="Q183" s="449">
        <f t="shared" si="3"/>
        <v>0</v>
      </c>
      <c r="R183" s="451" t="s">
        <v>45</v>
      </c>
      <c r="S183" s="464"/>
      <c r="T183" s="439"/>
      <c r="U183" s="16"/>
      <c r="V183" s="439"/>
      <c r="W183" s="439"/>
      <c r="X183" s="439"/>
      <c r="Y183" s="439"/>
      <c r="Z183" s="439"/>
      <c r="AA183" s="439"/>
      <c r="AB183" s="439"/>
      <c r="AC183" s="439"/>
      <c r="AD183" s="439"/>
      <c r="AE183" s="439"/>
      <c r="AF183" s="439"/>
    </row>
    <row r="184" ht="16.5" customHeight="1">
      <c r="A184" s="439"/>
      <c r="B184" s="454">
        <f t="shared" si="4"/>
        <v>1175</v>
      </c>
      <c r="C184" s="468"/>
      <c r="D184" s="442" t="str">
        <f>IF(G184="","",(VLOOKUP(G184,'2. SMDA BHN'!$B$12:$J512,2,0)))</f>
        <v/>
      </c>
      <c r="E184" s="443">
        <f>IF(G184=0,0,(VLOOKUP(G184,'2. SMDA BHN'!$B$12:$J512,3,0)))</f>
        <v>0</v>
      </c>
      <c r="F184" s="444"/>
      <c r="G184" s="467"/>
      <c r="H184" s="446">
        <f>IF(G184=0,0,(VLOOKUP(G184,'2. SMDA BHN'!$B$12:$H512,4,0)))</f>
        <v>0</v>
      </c>
      <c r="I184" s="460"/>
      <c r="J184" s="461"/>
      <c r="K184" s="448">
        <f>SUMIF('PO MTRL'!$G$9:$G512,G184,'PO MTRL'!$J$9:$J512)</f>
        <v>0</v>
      </c>
      <c r="L184" s="448">
        <f t="shared" si="1"/>
        <v>0</v>
      </c>
      <c r="M184" s="449">
        <f>SUMIF('PO MTRL'!$G$9:$G512,G184,'PO MTRL'!$L$9:$L512)</f>
        <v>0</v>
      </c>
      <c r="N184" s="450">
        <f>IF(G184=0,0,(VLOOKUP(G184,'2. SMDA BHN'!$B$12:$H512,5,0)))</f>
        <v>0</v>
      </c>
      <c r="O184" s="450">
        <f>IF(G184=0,0,(VLOOKUP(G184,'2. SMDA BHN'!$B$12:$H512,7,0)))</f>
        <v>0</v>
      </c>
      <c r="P184" s="449">
        <f t="shared" si="2"/>
        <v>0</v>
      </c>
      <c r="Q184" s="449">
        <f t="shared" si="3"/>
        <v>0</v>
      </c>
      <c r="R184" s="451" t="s">
        <v>45</v>
      </c>
      <c r="S184" s="464"/>
      <c r="T184" s="439"/>
      <c r="U184" s="16"/>
      <c r="V184" s="439"/>
      <c r="W184" s="439"/>
      <c r="X184" s="439"/>
      <c r="Y184" s="439"/>
      <c r="Z184" s="439"/>
      <c r="AA184" s="439"/>
      <c r="AB184" s="439"/>
      <c r="AC184" s="439"/>
      <c r="AD184" s="439"/>
      <c r="AE184" s="439"/>
      <c r="AF184" s="439"/>
    </row>
    <row r="185" ht="16.5" customHeight="1">
      <c r="A185" s="439"/>
      <c r="B185" s="454">
        <f t="shared" si="4"/>
        <v>1176</v>
      </c>
      <c r="C185" s="468"/>
      <c r="D185" s="442" t="str">
        <f>IF(G185="","",(VLOOKUP(G185,'2. SMDA BHN'!$B$12:$J512,2,0)))</f>
        <v/>
      </c>
      <c r="E185" s="443">
        <f>IF(G185=0,0,(VLOOKUP(G185,'2. SMDA BHN'!$B$12:$J512,3,0)))</f>
        <v>0</v>
      </c>
      <c r="F185" s="444"/>
      <c r="G185" s="467"/>
      <c r="H185" s="446">
        <f>IF(G185=0,0,(VLOOKUP(G185,'2. SMDA BHN'!$B$12:$H512,4,0)))</f>
        <v>0</v>
      </c>
      <c r="I185" s="460"/>
      <c r="J185" s="461"/>
      <c r="K185" s="448">
        <f>SUMIF('PO MTRL'!$G$9:$G512,G185,'PO MTRL'!$J$9:$J512)</f>
        <v>0</v>
      </c>
      <c r="L185" s="448">
        <f t="shared" si="1"/>
        <v>0</v>
      </c>
      <c r="M185" s="449">
        <f>SUMIF('PO MTRL'!$G$9:$G512,G185,'PO MTRL'!$L$9:$L512)</f>
        <v>0</v>
      </c>
      <c r="N185" s="450">
        <f>IF(G185=0,0,(VLOOKUP(G185,'2. SMDA BHN'!$B$12:$H512,5,0)))</f>
        <v>0</v>
      </c>
      <c r="O185" s="450">
        <f>IF(G185=0,0,(VLOOKUP(G185,'2. SMDA BHN'!$B$12:$H512,7,0)))</f>
        <v>0</v>
      </c>
      <c r="P185" s="449">
        <f t="shared" si="2"/>
        <v>0</v>
      </c>
      <c r="Q185" s="449">
        <f t="shared" si="3"/>
        <v>0</v>
      </c>
      <c r="R185" s="451" t="s">
        <v>45</v>
      </c>
      <c r="S185" s="464"/>
      <c r="T185" s="439"/>
      <c r="U185" s="16"/>
      <c r="V185" s="439"/>
      <c r="W185" s="439"/>
      <c r="X185" s="439"/>
      <c r="Y185" s="439"/>
      <c r="Z185" s="439"/>
      <c r="AA185" s="439"/>
      <c r="AB185" s="439"/>
      <c r="AC185" s="439"/>
      <c r="AD185" s="439"/>
      <c r="AE185" s="439"/>
      <c r="AF185" s="439"/>
    </row>
    <row r="186" ht="16.5" customHeight="1">
      <c r="A186" s="439"/>
      <c r="B186" s="454">
        <f t="shared" si="4"/>
        <v>1177</v>
      </c>
      <c r="C186" s="468"/>
      <c r="D186" s="442" t="str">
        <f>IF(G186="","",(VLOOKUP(G186,'2. SMDA BHN'!$B$12:$J512,2,0)))</f>
        <v/>
      </c>
      <c r="E186" s="443">
        <f>IF(G186=0,0,(VLOOKUP(G186,'2. SMDA BHN'!$B$12:$J512,3,0)))</f>
        <v>0</v>
      </c>
      <c r="F186" s="444"/>
      <c r="G186" s="467"/>
      <c r="H186" s="446">
        <f>IF(G186=0,0,(VLOOKUP(G186,'2. SMDA BHN'!$B$12:$H512,4,0)))</f>
        <v>0</v>
      </c>
      <c r="I186" s="460"/>
      <c r="J186" s="461"/>
      <c r="K186" s="448">
        <f>SUMIF('PO MTRL'!$G$9:$G512,G186,'PO MTRL'!$J$9:$J512)</f>
        <v>0</v>
      </c>
      <c r="L186" s="448">
        <f t="shared" si="1"/>
        <v>0</v>
      </c>
      <c r="M186" s="449">
        <f>SUMIF('PO MTRL'!$G$9:$G512,G186,'PO MTRL'!$L$9:$L512)</f>
        <v>0</v>
      </c>
      <c r="N186" s="450">
        <f>IF(G186=0,0,(VLOOKUP(G186,'2. SMDA BHN'!$B$12:$H512,5,0)))</f>
        <v>0</v>
      </c>
      <c r="O186" s="450">
        <f>IF(G186=0,0,(VLOOKUP(G186,'2. SMDA BHN'!$B$12:$H512,7,0)))</f>
        <v>0</v>
      </c>
      <c r="P186" s="449">
        <f t="shared" si="2"/>
        <v>0</v>
      </c>
      <c r="Q186" s="449">
        <f t="shared" si="3"/>
        <v>0</v>
      </c>
      <c r="R186" s="451" t="s">
        <v>45</v>
      </c>
      <c r="S186" s="464"/>
      <c r="T186" s="439"/>
      <c r="U186" s="16"/>
      <c r="V186" s="439"/>
      <c r="W186" s="439"/>
      <c r="X186" s="439"/>
      <c r="Y186" s="439"/>
      <c r="Z186" s="439"/>
      <c r="AA186" s="439"/>
      <c r="AB186" s="439"/>
      <c r="AC186" s="439"/>
      <c r="AD186" s="439"/>
      <c r="AE186" s="439"/>
      <c r="AF186" s="439"/>
    </row>
    <row r="187" ht="16.5" customHeight="1">
      <c r="A187" s="439"/>
      <c r="B187" s="454">
        <f t="shared" si="4"/>
        <v>1178</v>
      </c>
      <c r="C187" s="468"/>
      <c r="D187" s="442" t="str">
        <f>IF(G187="","",(VLOOKUP(G187,'2. SMDA BHN'!$B$12:$J512,2,0)))</f>
        <v/>
      </c>
      <c r="E187" s="443">
        <f>IF(G187=0,0,(VLOOKUP(G187,'2. SMDA BHN'!$B$12:$J512,3,0)))</f>
        <v>0</v>
      </c>
      <c r="F187" s="444"/>
      <c r="G187" s="467"/>
      <c r="H187" s="446">
        <f>IF(G187=0,0,(VLOOKUP(G187,'2. SMDA BHN'!$B$12:$H512,4,0)))</f>
        <v>0</v>
      </c>
      <c r="I187" s="460"/>
      <c r="J187" s="461"/>
      <c r="K187" s="448">
        <f>SUMIF('PO MTRL'!$G$9:$G512,G187,'PO MTRL'!$J$9:$J512)</f>
        <v>0</v>
      </c>
      <c r="L187" s="448">
        <f t="shared" si="1"/>
        <v>0</v>
      </c>
      <c r="M187" s="449">
        <f>SUMIF('PO MTRL'!$G$9:$G512,G187,'PO MTRL'!$L$9:$L512)</f>
        <v>0</v>
      </c>
      <c r="N187" s="450">
        <f>IF(G187=0,0,(VLOOKUP(G187,'2. SMDA BHN'!$B$12:$H512,5,0)))</f>
        <v>0</v>
      </c>
      <c r="O187" s="450">
        <f>IF(G187=0,0,(VLOOKUP(G187,'2. SMDA BHN'!$B$12:$H512,7,0)))</f>
        <v>0</v>
      </c>
      <c r="P187" s="449">
        <f t="shared" si="2"/>
        <v>0</v>
      </c>
      <c r="Q187" s="449">
        <f t="shared" si="3"/>
        <v>0</v>
      </c>
      <c r="R187" s="451" t="s">
        <v>45</v>
      </c>
      <c r="S187" s="464"/>
      <c r="T187" s="439"/>
      <c r="U187" s="16"/>
      <c r="V187" s="439"/>
      <c r="W187" s="439"/>
      <c r="X187" s="439"/>
      <c r="Y187" s="439"/>
      <c r="Z187" s="439"/>
      <c r="AA187" s="439"/>
      <c r="AB187" s="439"/>
      <c r="AC187" s="439"/>
      <c r="AD187" s="439"/>
      <c r="AE187" s="439"/>
      <c r="AF187" s="439"/>
    </row>
    <row r="188" ht="16.5" customHeight="1">
      <c r="A188" s="439"/>
      <c r="B188" s="454">
        <f t="shared" si="4"/>
        <v>1179</v>
      </c>
      <c r="C188" s="468"/>
      <c r="D188" s="442" t="str">
        <f>IF(G188="","",(VLOOKUP(G188,'2. SMDA BHN'!$B$12:$J512,2,0)))</f>
        <v/>
      </c>
      <c r="E188" s="443">
        <f>IF(G188=0,0,(VLOOKUP(G188,'2. SMDA BHN'!$B$12:$J512,3,0)))</f>
        <v>0</v>
      </c>
      <c r="F188" s="444"/>
      <c r="G188" s="467"/>
      <c r="H188" s="446">
        <f>IF(G188=0,0,(VLOOKUP(G188,'2. SMDA BHN'!$B$12:$H512,4,0)))</f>
        <v>0</v>
      </c>
      <c r="I188" s="460"/>
      <c r="J188" s="461"/>
      <c r="K188" s="448">
        <f>SUMIF('PO MTRL'!$G$9:$G512,G188,'PO MTRL'!$J$9:$J512)</f>
        <v>0</v>
      </c>
      <c r="L188" s="448">
        <f t="shared" si="1"/>
        <v>0</v>
      </c>
      <c r="M188" s="449">
        <f>SUMIF('PO MTRL'!$G$9:$G512,G188,'PO MTRL'!$L$9:$L512)</f>
        <v>0</v>
      </c>
      <c r="N188" s="450">
        <f>IF(G188=0,0,(VLOOKUP(G188,'2. SMDA BHN'!$B$12:$H512,5,0)))</f>
        <v>0</v>
      </c>
      <c r="O188" s="450">
        <f>IF(G188=0,0,(VLOOKUP(G188,'2. SMDA BHN'!$B$12:$H512,7,0)))</f>
        <v>0</v>
      </c>
      <c r="P188" s="449">
        <f t="shared" si="2"/>
        <v>0</v>
      </c>
      <c r="Q188" s="449">
        <f t="shared" si="3"/>
        <v>0</v>
      </c>
      <c r="R188" s="451" t="s">
        <v>45</v>
      </c>
      <c r="S188" s="464"/>
      <c r="T188" s="439"/>
      <c r="U188" s="16"/>
      <c r="V188" s="439"/>
      <c r="W188" s="439"/>
      <c r="X188" s="439"/>
      <c r="Y188" s="439"/>
      <c r="Z188" s="439"/>
      <c r="AA188" s="439"/>
      <c r="AB188" s="439"/>
      <c r="AC188" s="439"/>
      <c r="AD188" s="439"/>
      <c r="AE188" s="439"/>
      <c r="AF188" s="439"/>
    </row>
    <row r="189" ht="16.5" customHeight="1">
      <c r="A189" s="439"/>
      <c r="B189" s="454">
        <f t="shared" si="4"/>
        <v>1180</v>
      </c>
      <c r="C189" s="468"/>
      <c r="D189" s="442" t="str">
        <f>IF(G189="","",(VLOOKUP(G189,'2. SMDA BHN'!$B$12:$J512,2,0)))</f>
        <v/>
      </c>
      <c r="E189" s="443">
        <f>IF(G189=0,0,(VLOOKUP(G189,'2. SMDA BHN'!$B$12:$J512,3,0)))</f>
        <v>0</v>
      </c>
      <c r="F189" s="444"/>
      <c r="G189" s="467"/>
      <c r="H189" s="446">
        <f>IF(G189=0,0,(VLOOKUP(G189,'2. SMDA BHN'!$B$12:$H512,4,0)))</f>
        <v>0</v>
      </c>
      <c r="I189" s="460"/>
      <c r="J189" s="461"/>
      <c r="K189" s="448">
        <f>SUMIF('PO MTRL'!$G$9:$G512,G189,'PO MTRL'!$J$9:$J512)</f>
        <v>0</v>
      </c>
      <c r="L189" s="448">
        <f t="shared" si="1"/>
        <v>0</v>
      </c>
      <c r="M189" s="449">
        <f>SUMIF('PO MTRL'!$G$9:$G512,G189,'PO MTRL'!$L$9:$L512)</f>
        <v>0</v>
      </c>
      <c r="N189" s="450">
        <f>IF(G189=0,0,(VLOOKUP(G189,'2. SMDA BHN'!$B$12:$H512,5,0)))</f>
        <v>0</v>
      </c>
      <c r="O189" s="450">
        <f>IF(G189=0,0,(VLOOKUP(G189,'2. SMDA BHN'!$B$12:$H512,7,0)))</f>
        <v>0</v>
      </c>
      <c r="P189" s="449">
        <f t="shared" si="2"/>
        <v>0</v>
      </c>
      <c r="Q189" s="449">
        <f t="shared" si="3"/>
        <v>0</v>
      </c>
      <c r="R189" s="451" t="s">
        <v>45</v>
      </c>
      <c r="S189" s="464"/>
      <c r="T189" s="439"/>
      <c r="U189" s="16"/>
      <c r="V189" s="439"/>
      <c r="W189" s="439"/>
      <c r="X189" s="439"/>
      <c r="Y189" s="439"/>
      <c r="Z189" s="439"/>
      <c r="AA189" s="439"/>
      <c r="AB189" s="439"/>
      <c r="AC189" s="439"/>
      <c r="AD189" s="439"/>
      <c r="AE189" s="439"/>
      <c r="AF189" s="439"/>
    </row>
    <row r="190" ht="16.5" customHeight="1">
      <c r="A190" s="439"/>
      <c r="B190" s="454">
        <f t="shared" si="4"/>
        <v>1181</v>
      </c>
      <c r="C190" s="468"/>
      <c r="D190" s="442" t="str">
        <f>IF(G190="","",(VLOOKUP(G190,'2. SMDA BHN'!$B$12:$J512,2,0)))</f>
        <v/>
      </c>
      <c r="E190" s="443">
        <f>IF(G190=0,0,(VLOOKUP(G190,'2. SMDA BHN'!$B$12:$J512,3,0)))</f>
        <v>0</v>
      </c>
      <c r="F190" s="444"/>
      <c r="G190" s="467"/>
      <c r="H190" s="446">
        <f>IF(G190=0,0,(VLOOKUP(G190,'2. SMDA BHN'!$B$12:$H512,4,0)))</f>
        <v>0</v>
      </c>
      <c r="I190" s="460"/>
      <c r="J190" s="461"/>
      <c r="K190" s="448">
        <f>SUMIF('PO MTRL'!$G$9:$G512,G190,'PO MTRL'!$J$9:$J512)</f>
        <v>0</v>
      </c>
      <c r="L190" s="448">
        <f t="shared" si="1"/>
        <v>0</v>
      </c>
      <c r="M190" s="449">
        <f>SUMIF('PO MTRL'!$G$9:$G512,G190,'PO MTRL'!$L$9:$L512)</f>
        <v>0</v>
      </c>
      <c r="N190" s="450">
        <f>IF(G190=0,0,(VLOOKUP(G190,'2. SMDA BHN'!$B$12:$H512,5,0)))</f>
        <v>0</v>
      </c>
      <c r="O190" s="450">
        <f>IF(G190=0,0,(VLOOKUP(G190,'2. SMDA BHN'!$B$12:$H512,7,0)))</f>
        <v>0</v>
      </c>
      <c r="P190" s="449">
        <f t="shared" si="2"/>
        <v>0</v>
      </c>
      <c r="Q190" s="449">
        <f t="shared" si="3"/>
        <v>0</v>
      </c>
      <c r="R190" s="451" t="s">
        <v>45</v>
      </c>
      <c r="S190" s="464"/>
      <c r="T190" s="439"/>
      <c r="U190" s="16"/>
      <c r="V190" s="439"/>
      <c r="W190" s="439"/>
      <c r="X190" s="439"/>
      <c r="Y190" s="439"/>
      <c r="Z190" s="439"/>
      <c r="AA190" s="439"/>
      <c r="AB190" s="439"/>
      <c r="AC190" s="439"/>
      <c r="AD190" s="439"/>
      <c r="AE190" s="439"/>
      <c r="AF190" s="439"/>
    </row>
    <row r="191" ht="16.5" customHeight="1">
      <c r="A191" s="439"/>
      <c r="B191" s="454">
        <f t="shared" si="4"/>
        <v>1182</v>
      </c>
      <c r="C191" s="468"/>
      <c r="D191" s="442" t="str">
        <f>IF(G191="","",(VLOOKUP(G191,'2. SMDA BHN'!$B$12:$J512,2,0)))</f>
        <v/>
      </c>
      <c r="E191" s="443">
        <f>IF(G191=0,0,(VLOOKUP(G191,'2. SMDA BHN'!$B$12:$J512,3,0)))</f>
        <v>0</v>
      </c>
      <c r="F191" s="444"/>
      <c r="G191" s="467"/>
      <c r="H191" s="446">
        <f>IF(G191=0,0,(VLOOKUP(G191,'2. SMDA BHN'!$B$12:$H512,4,0)))</f>
        <v>0</v>
      </c>
      <c r="I191" s="460"/>
      <c r="J191" s="461"/>
      <c r="K191" s="448">
        <f>SUMIF('PO MTRL'!$G$9:$G512,G191,'PO MTRL'!$J$9:$J512)</f>
        <v>0</v>
      </c>
      <c r="L191" s="448">
        <f t="shared" si="1"/>
        <v>0</v>
      </c>
      <c r="M191" s="449">
        <f>SUMIF('PO MTRL'!$G$9:$G512,G191,'PO MTRL'!$L$9:$L512)</f>
        <v>0</v>
      </c>
      <c r="N191" s="450">
        <f>IF(G191=0,0,(VLOOKUP(G191,'2. SMDA BHN'!$B$12:$H512,5,0)))</f>
        <v>0</v>
      </c>
      <c r="O191" s="450">
        <f>IF(G191=0,0,(VLOOKUP(G191,'2. SMDA BHN'!$B$12:$H512,7,0)))</f>
        <v>0</v>
      </c>
      <c r="P191" s="449">
        <f t="shared" si="2"/>
        <v>0</v>
      </c>
      <c r="Q191" s="449">
        <f t="shared" si="3"/>
        <v>0</v>
      </c>
      <c r="R191" s="451" t="s">
        <v>45</v>
      </c>
      <c r="S191" s="464"/>
      <c r="T191" s="439"/>
      <c r="U191" s="16"/>
      <c r="V191" s="439"/>
      <c r="W191" s="439"/>
      <c r="X191" s="439"/>
      <c r="Y191" s="439"/>
      <c r="Z191" s="439"/>
      <c r="AA191" s="439"/>
      <c r="AB191" s="439"/>
      <c r="AC191" s="439"/>
      <c r="AD191" s="439"/>
      <c r="AE191" s="439"/>
      <c r="AF191" s="439"/>
    </row>
    <row r="192" ht="16.5" customHeight="1">
      <c r="A192" s="439"/>
      <c r="B192" s="454">
        <f t="shared" si="4"/>
        <v>1183</v>
      </c>
      <c r="C192" s="468"/>
      <c r="D192" s="442" t="str">
        <f>IF(G192="","",(VLOOKUP(G192,'2. SMDA BHN'!$B$12:$J512,2,0)))</f>
        <v/>
      </c>
      <c r="E192" s="443">
        <f>IF(G192=0,0,(VLOOKUP(G192,'2. SMDA BHN'!$B$12:$J512,3,0)))</f>
        <v>0</v>
      </c>
      <c r="F192" s="444"/>
      <c r="G192" s="467"/>
      <c r="H192" s="446">
        <f>IF(G192=0,0,(VLOOKUP(G192,'2. SMDA BHN'!$B$12:$H512,4,0)))</f>
        <v>0</v>
      </c>
      <c r="I192" s="460"/>
      <c r="J192" s="461"/>
      <c r="K192" s="448">
        <f>SUMIF('PO MTRL'!$G$9:$G512,G192,'PO MTRL'!$J$9:$J512)</f>
        <v>0</v>
      </c>
      <c r="L192" s="448">
        <f t="shared" si="1"/>
        <v>0</v>
      </c>
      <c r="M192" s="449">
        <f>SUMIF('PO MTRL'!$G$9:$G512,G192,'PO MTRL'!$L$9:$L512)</f>
        <v>0</v>
      </c>
      <c r="N192" s="450">
        <f>IF(G192=0,0,(VLOOKUP(G192,'2. SMDA BHN'!$B$12:$H512,5,0)))</f>
        <v>0</v>
      </c>
      <c r="O192" s="450">
        <f>IF(G192=0,0,(VLOOKUP(G192,'2. SMDA BHN'!$B$12:$H512,7,0)))</f>
        <v>0</v>
      </c>
      <c r="P192" s="449">
        <f t="shared" si="2"/>
        <v>0</v>
      </c>
      <c r="Q192" s="449">
        <f t="shared" si="3"/>
        <v>0</v>
      </c>
      <c r="R192" s="451" t="s">
        <v>45</v>
      </c>
      <c r="S192" s="464"/>
      <c r="T192" s="439"/>
      <c r="U192" s="16"/>
      <c r="V192" s="439"/>
      <c r="W192" s="439"/>
      <c r="X192" s="439"/>
      <c r="Y192" s="439"/>
      <c r="Z192" s="439"/>
      <c r="AA192" s="439"/>
      <c r="AB192" s="439"/>
      <c r="AC192" s="439"/>
      <c r="AD192" s="439"/>
      <c r="AE192" s="439"/>
      <c r="AF192" s="439"/>
    </row>
    <row r="193" ht="16.5" customHeight="1">
      <c r="A193" s="439"/>
      <c r="B193" s="454">
        <f t="shared" si="4"/>
        <v>1184</v>
      </c>
      <c r="C193" s="468"/>
      <c r="D193" s="442" t="str">
        <f>IF(G193="","",(VLOOKUP(G193,'2. SMDA BHN'!$B$12:$J512,2,0)))</f>
        <v/>
      </c>
      <c r="E193" s="443">
        <f>IF(G193=0,0,(VLOOKUP(G193,'2. SMDA BHN'!$B$12:$J512,3,0)))</f>
        <v>0</v>
      </c>
      <c r="F193" s="444"/>
      <c r="G193" s="467"/>
      <c r="H193" s="446">
        <f>IF(G193=0,0,(VLOOKUP(G193,'2. SMDA BHN'!$B$12:$H512,4,0)))</f>
        <v>0</v>
      </c>
      <c r="I193" s="460"/>
      <c r="J193" s="461"/>
      <c r="K193" s="448">
        <f>SUMIF('PO MTRL'!$G$9:$G512,G193,'PO MTRL'!$J$9:$J512)</f>
        <v>0</v>
      </c>
      <c r="L193" s="448">
        <f t="shared" si="1"/>
        <v>0</v>
      </c>
      <c r="M193" s="449">
        <f>SUMIF('PO MTRL'!$G$9:$G512,G193,'PO MTRL'!$L$9:$L512)</f>
        <v>0</v>
      </c>
      <c r="N193" s="450">
        <f>IF(G193=0,0,(VLOOKUP(G193,'2. SMDA BHN'!$B$12:$H512,5,0)))</f>
        <v>0</v>
      </c>
      <c r="O193" s="450">
        <f>IF(G193=0,0,(VLOOKUP(G193,'2. SMDA BHN'!$B$12:$H512,7,0)))</f>
        <v>0</v>
      </c>
      <c r="P193" s="449">
        <f t="shared" si="2"/>
        <v>0</v>
      </c>
      <c r="Q193" s="449">
        <f t="shared" si="3"/>
        <v>0</v>
      </c>
      <c r="R193" s="451" t="s">
        <v>45</v>
      </c>
      <c r="S193" s="464"/>
      <c r="T193" s="439"/>
      <c r="U193" s="16"/>
      <c r="V193" s="439"/>
      <c r="W193" s="439"/>
      <c r="X193" s="439"/>
      <c r="Y193" s="439"/>
      <c r="Z193" s="439"/>
      <c r="AA193" s="439"/>
      <c r="AB193" s="439"/>
      <c r="AC193" s="439"/>
      <c r="AD193" s="439"/>
      <c r="AE193" s="439"/>
      <c r="AF193" s="439"/>
    </row>
    <row r="194" ht="16.5" customHeight="1">
      <c r="A194" s="439"/>
      <c r="B194" s="454">
        <f t="shared" si="4"/>
        <v>1185</v>
      </c>
      <c r="C194" s="468"/>
      <c r="D194" s="442" t="str">
        <f>IF(G194="","",(VLOOKUP(G194,'2. SMDA BHN'!$B$12:$J512,2,0)))</f>
        <v/>
      </c>
      <c r="E194" s="443">
        <f>IF(G194=0,0,(VLOOKUP(G194,'2. SMDA BHN'!$B$12:$J512,3,0)))</f>
        <v>0</v>
      </c>
      <c r="F194" s="444"/>
      <c r="G194" s="467"/>
      <c r="H194" s="446">
        <f>IF(G194=0,0,(VLOOKUP(G194,'2. SMDA BHN'!$B$12:$H512,4,0)))</f>
        <v>0</v>
      </c>
      <c r="I194" s="460"/>
      <c r="J194" s="461"/>
      <c r="K194" s="448">
        <f>SUMIF('PO MTRL'!$G$9:$G512,G194,'PO MTRL'!$J$9:$J512)</f>
        <v>0</v>
      </c>
      <c r="L194" s="448">
        <f t="shared" si="1"/>
        <v>0</v>
      </c>
      <c r="M194" s="449">
        <f>SUMIF('PO MTRL'!$G$9:$G512,G194,'PO MTRL'!$L$9:$L512)</f>
        <v>0</v>
      </c>
      <c r="N194" s="450">
        <f>IF(G194=0,0,(VLOOKUP(G194,'2. SMDA BHN'!$B$12:$H512,5,0)))</f>
        <v>0</v>
      </c>
      <c r="O194" s="450">
        <f>IF(G194=0,0,(VLOOKUP(G194,'2. SMDA BHN'!$B$12:$H512,7,0)))</f>
        <v>0</v>
      </c>
      <c r="P194" s="449">
        <f t="shared" si="2"/>
        <v>0</v>
      </c>
      <c r="Q194" s="449">
        <f t="shared" si="3"/>
        <v>0</v>
      </c>
      <c r="R194" s="451" t="s">
        <v>45</v>
      </c>
      <c r="S194" s="464"/>
      <c r="T194" s="439"/>
      <c r="U194" s="16"/>
      <c r="V194" s="439"/>
      <c r="W194" s="439"/>
      <c r="X194" s="439"/>
      <c r="Y194" s="439"/>
      <c r="Z194" s="439"/>
      <c r="AA194" s="439"/>
      <c r="AB194" s="439"/>
      <c r="AC194" s="439"/>
      <c r="AD194" s="439"/>
      <c r="AE194" s="439"/>
      <c r="AF194" s="439"/>
    </row>
    <row r="195" ht="16.5" customHeight="1">
      <c r="A195" s="439"/>
      <c r="B195" s="454">
        <f t="shared" si="4"/>
        <v>1186</v>
      </c>
      <c r="C195" s="468"/>
      <c r="D195" s="442" t="str">
        <f>IF(G195="","",(VLOOKUP(G195,'2. SMDA BHN'!$B$12:$J512,2,0)))</f>
        <v/>
      </c>
      <c r="E195" s="443">
        <f>IF(G195=0,0,(VLOOKUP(G195,'2. SMDA BHN'!$B$12:$J512,3,0)))</f>
        <v>0</v>
      </c>
      <c r="F195" s="444"/>
      <c r="G195" s="467"/>
      <c r="H195" s="446">
        <f>IF(G195=0,0,(VLOOKUP(G195,'2. SMDA BHN'!$B$12:$H512,4,0)))</f>
        <v>0</v>
      </c>
      <c r="I195" s="460"/>
      <c r="J195" s="461"/>
      <c r="K195" s="448">
        <f>SUMIF('PO MTRL'!$G$9:$G512,G195,'PO MTRL'!$J$9:$J512)</f>
        <v>0</v>
      </c>
      <c r="L195" s="448">
        <f t="shared" si="1"/>
        <v>0</v>
      </c>
      <c r="M195" s="449">
        <f>SUMIF('PO MTRL'!$G$9:$G512,G195,'PO MTRL'!$L$9:$L512)</f>
        <v>0</v>
      </c>
      <c r="N195" s="450">
        <f>IF(G195=0,0,(VLOOKUP(G195,'2. SMDA BHN'!$B$12:$H512,5,0)))</f>
        <v>0</v>
      </c>
      <c r="O195" s="450">
        <f>IF(G195=0,0,(VLOOKUP(G195,'2. SMDA BHN'!$B$12:$H512,7,0)))</f>
        <v>0</v>
      </c>
      <c r="P195" s="449">
        <f t="shared" si="2"/>
        <v>0</v>
      </c>
      <c r="Q195" s="449">
        <f t="shared" si="3"/>
        <v>0</v>
      </c>
      <c r="R195" s="451" t="s">
        <v>45</v>
      </c>
      <c r="S195" s="464"/>
      <c r="T195" s="439"/>
      <c r="U195" s="16"/>
      <c r="V195" s="439"/>
      <c r="W195" s="439"/>
      <c r="X195" s="439"/>
      <c r="Y195" s="439"/>
      <c r="Z195" s="439"/>
      <c r="AA195" s="439"/>
      <c r="AB195" s="439"/>
      <c r="AC195" s="439"/>
      <c r="AD195" s="439"/>
      <c r="AE195" s="439"/>
      <c r="AF195" s="439"/>
    </row>
    <row r="196" ht="16.5" customHeight="1">
      <c r="A196" s="439"/>
      <c r="B196" s="454">
        <f t="shared" si="4"/>
        <v>1187</v>
      </c>
      <c r="C196" s="468"/>
      <c r="D196" s="442" t="str">
        <f>IF(G196="","",(VLOOKUP(G196,'2. SMDA BHN'!$B$12:$J512,2,0)))</f>
        <v/>
      </c>
      <c r="E196" s="443">
        <f>IF(G196=0,0,(VLOOKUP(G196,'2. SMDA BHN'!$B$12:$J512,3,0)))</f>
        <v>0</v>
      </c>
      <c r="F196" s="444"/>
      <c r="G196" s="467"/>
      <c r="H196" s="446">
        <f>IF(G196=0,0,(VLOOKUP(G196,'2. SMDA BHN'!$B$12:$H512,4,0)))</f>
        <v>0</v>
      </c>
      <c r="I196" s="460"/>
      <c r="J196" s="461"/>
      <c r="K196" s="448">
        <f>SUMIF('PO MTRL'!$G$9:$G512,G196,'PO MTRL'!$J$9:$J512)</f>
        <v>0</v>
      </c>
      <c r="L196" s="448">
        <f t="shared" si="1"/>
        <v>0</v>
      </c>
      <c r="M196" s="449">
        <f>SUMIF('PO MTRL'!$G$9:$G512,G196,'PO MTRL'!$L$9:$L512)</f>
        <v>0</v>
      </c>
      <c r="N196" s="450">
        <f>IF(G196=0,0,(VLOOKUP(G196,'2. SMDA BHN'!$B$12:$H512,5,0)))</f>
        <v>0</v>
      </c>
      <c r="O196" s="450">
        <f>IF(G196=0,0,(VLOOKUP(G196,'2. SMDA BHN'!$B$12:$H512,7,0)))</f>
        <v>0</v>
      </c>
      <c r="P196" s="449">
        <f t="shared" si="2"/>
        <v>0</v>
      </c>
      <c r="Q196" s="449">
        <f t="shared" si="3"/>
        <v>0</v>
      </c>
      <c r="R196" s="451" t="s">
        <v>45</v>
      </c>
      <c r="S196" s="464"/>
      <c r="T196" s="439"/>
      <c r="U196" s="16"/>
      <c r="V196" s="439"/>
      <c r="W196" s="439"/>
      <c r="X196" s="439"/>
      <c r="Y196" s="439"/>
      <c r="Z196" s="439"/>
      <c r="AA196" s="439"/>
      <c r="AB196" s="439"/>
      <c r="AC196" s="439"/>
      <c r="AD196" s="439"/>
      <c r="AE196" s="439"/>
      <c r="AF196" s="439"/>
    </row>
    <row r="197" ht="16.5" customHeight="1">
      <c r="A197" s="439"/>
      <c r="B197" s="454">
        <f t="shared" si="4"/>
        <v>1188</v>
      </c>
      <c r="C197" s="468"/>
      <c r="D197" s="442" t="str">
        <f>IF(G197="","",(VLOOKUP(G197,'2. SMDA BHN'!$B$12:$J512,2,0)))</f>
        <v/>
      </c>
      <c r="E197" s="443">
        <f>IF(G197=0,0,(VLOOKUP(G197,'2. SMDA BHN'!$B$12:$J512,3,0)))</f>
        <v>0</v>
      </c>
      <c r="F197" s="444"/>
      <c r="G197" s="467"/>
      <c r="H197" s="446">
        <f>IF(G197=0,0,(VLOOKUP(G197,'2. SMDA BHN'!$B$12:$H512,4,0)))</f>
        <v>0</v>
      </c>
      <c r="I197" s="460"/>
      <c r="J197" s="461"/>
      <c r="K197" s="448">
        <f>SUMIF('PO MTRL'!$G$9:$G512,G197,'PO MTRL'!$J$9:$J512)</f>
        <v>0</v>
      </c>
      <c r="L197" s="448">
        <f t="shared" si="1"/>
        <v>0</v>
      </c>
      <c r="M197" s="449">
        <f>SUMIF('PO MTRL'!$G$9:$G512,G197,'PO MTRL'!$L$9:$L512)</f>
        <v>0</v>
      </c>
      <c r="N197" s="450">
        <f>IF(G197=0,0,(VLOOKUP(G197,'2. SMDA BHN'!$B$12:$H512,5,0)))</f>
        <v>0</v>
      </c>
      <c r="O197" s="450">
        <f>IF(G197=0,0,(VLOOKUP(G197,'2. SMDA BHN'!$B$12:$H512,7,0)))</f>
        <v>0</v>
      </c>
      <c r="P197" s="449">
        <f t="shared" si="2"/>
        <v>0</v>
      </c>
      <c r="Q197" s="449">
        <f t="shared" si="3"/>
        <v>0</v>
      </c>
      <c r="R197" s="451" t="s">
        <v>45</v>
      </c>
      <c r="S197" s="464"/>
      <c r="T197" s="439"/>
      <c r="U197" s="16"/>
      <c r="V197" s="439"/>
      <c r="W197" s="439"/>
      <c r="X197" s="439"/>
      <c r="Y197" s="439"/>
      <c r="Z197" s="439"/>
      <c r="AA197" s="439"/>
      <c r="AB197" s="439"/>
      <c r="AC197" s="439"/>
      <c r="AD197" s="439"/>
      <c r="AE197" s="439"/>
      <c r="AF197" s="439"/>
    </row>
    <row r="198" ht="16.5" customHeight="1">
      <c r="A198" s="439"/>
      <c r="B198" s="454">
        <f t="shared" si="4"/>
        <v>1189</v>
      </c>
      <c r="C198" s="468"/>
      <c r="D198" s="442" t="str">
        <f>IF(G198="","",(VLOOKUP(G198,'2. SMDA BHN'!$B$12:$J512,2,0)))</f>
        <v/>
      </c>
      <c r="E198" s="443">
        <f>IF(G198=0,0,(VLOOKUP(G198,'2. SMDA BHN'!$B$12:$J512,3,0)))</f>
        <v>0</v>
      </c>
      <c r="F198" s="444"/>
      <c r="G198" s="467"/>
      <c r="H198" s="446">
        <f>IF(G198=0,0,(VLOOKUP(G198,'2. SMDA BHN'!$B$12:$H512,4,0)))</f>
        <v>0</v>
      </c>
      <c r="I198" s="460"/>
      <c r="J198" s="461"/>
      <c r="K198" s="448">
        <f>SUMIF('PO MTRL'!$G$9:$G512,G198,'PO MTRL'!$J$9:$J512)</f>
        <v>0</v>
      </c>
      <c r="L198" s="448">
        <f t="shared" si="1"/>
        <v>0</v>
      </c>
      <c r="M198" s="449">
        <f>SUMIF('PO MTRL'!$G$9:$G512,G198,'PO MTRL'!$L$9:$L512)</f>
        <v>0</v>
      </c>
      <c r="N198" s="450">
        <f>IF(G198=0,0,(VLOOKUP(G198,'2. SMDA BHN'!$B$12:$H512,5,0)))</f>
        <v>0</v>
      </c>
      <c r="O198" s="450">
        <f>IF(G198=0,0,(VLOOKUP(G198,'2. SMDA BHN'!$B$12:$H512,7,0)))</f>
        <v>0</v>
      </c>
      <c r="P198" s="449">
        <f t="shared" si="2"/>
        <v>0</v>
      </c>
      <c r="Q198" s="449">
        <f t="shared" si="3"/>
        <v>0</v>
      </c>
      <c r="R198" s="451" t="s">
        <v>45</v>
      </c>
      <c r="S198" s="464"/>
      <c r="T198" s="439"/>
      <c r="U198" s="16"/>
      <c r="V198" s="439"/>
      <c r="W198" s="439"/>
      <c r="X198" s="439"/>
      <c r="Y198" s="439"/>
      <c r="Z198" s="439"/>
      <c r="AA198" s="439"/>
      <c r="AB198" s="439"/>
      <c r="AC198" s="439"/>
      <c r="AD198" s="439"/>
      <c r="AE198" s="439"/>
      <c r="AF198" s="439"/>
    </row>
    <row r="199" ht="16.5" customHeight="1">
      <c r="A199" s="439"/>
      <c r="B199" s="454">
        <f t="shared" si="4"/>
        <v>1190</v>
      </c>
      <c r="C199" s="468"/>
      <c r="D199" s="442" t="str">
        <f>IF(G199="","",(VLOOKUP(G199,'2. SMDA BHN'!$B$12:$J512,2,0)))</f>
        <v/>
      </c>
      <c r="E199" s="443">
        <f>IF(G199=0,0,(VLOOKUP(G199,'2. SMDA BHN'!$B$12:$J512,3,0)))</f>
        <v>0</v>
      </c>
      <c r="F199" s="444"/>
      <c r="G199" s="467"/>
      <c r="H199" s="446">
        <f>IF(G199=0,0,(VLOOKUP(G199,'2. SMDA BHN'!$B$12:$H512,4,0)))</f>
        <v>0</v>
      </c>
      <c r="I199" s="460"/>
      <c r="J199" s="461"/>
      <c r="K199" s="448">
        <f>SUMIF('PO MTRL'!$G$9:$G512,G199,'PO MTRL'!$J$9:$J512)</f>
        <v>0</v>
      </c>
      <c r="L199" s="448">
        <f t="shared" si="1"/>
        <v>0</v>
      </c>
      <c r="M199" s="449">
        <f>SUMIF('PO MTRL'!$G$9:$G512,G199,'PO MTRL'!$L$9:$L512)</f>
        <v>0</v>
      </c>
      <c r="N199" s="450">
        <f>IF(G199=0,0,(VLOOKUP(G199,'2. SMDA BHN'!$B$12:$H512,5,0)))</f>
        <v>0</v>
      </c>
      <c r="O199" s="450">
        <f>IF(G199=0,0,(VLOOKUP(G199,'2. SMDA BHN'!$B$12:$H512,7,0)))</f>
        <v>0</v>
      </c>
      <c r="P199" s="449">
        <f t="shared" si="2"/>
        <v>0</v>
      </c>
      <c r="Q199" s="449">
        <f t="shared" si="3"/>
        <v>0</v>
      </c>
      <c r="R199" s="451" t="s">
        <v>45</v>
      </c>
      <c r="S199" s="464"/>
      <c r="T199" s="439"/>
      <c r="U199" s="16"/>
      <c r="V199" s="439"/>
      <c r="W199" s="439"/>
      <c r="X199" s="439"/>
      <c r="Y199" s="439"/>
      <c r="Z199" s="439"/>
      <c r="AA199" s="439"/>
      <c r="AB199" s="439"/>
      <c r="AC199" s="439"/>
      <c r="AD199" s="439"/>
      <c r="AE199" s="439"/>
      <c r="AF199" s="439"/>
    </row>
    <row r="200" ht="16.5" customHeight="1">
      <c r="A200" s="439"/>
      <c r="B200" s="454">
        <f t="shared" si="4"/>
        <v>1191</v>
      </c>
      <c r="C200" s="468"/>
      <c r="D200" s="442" t="str">
        <f>IF(G200="","",(VLOOKUP(G200,'2. SMDA BHN'!$B$12:$J512,2,0)))</f>
        <v/>
      </c>
      <c r="E200" s="443">
        <f>IF(G200=0,0,(VLOOKUP(G200,'2. SMDA BHN'!$B$12:$J512,3,0)))</f>
        <v>0</v>
      </c>
      <c r="F200" s="444"/>
      <c r="G200" s="467"/>
      <c r="H200" s="446">
        <f>IF(G200=0,0,(VLOOKUP(G200,'2. SMDA BHN'!$B$12:$H512,4,0)))</f>
        <v>0</v>
      </c>
      <c r="I200" s="460"/>
      <c r="J200" s="461"/>
      <c r="K200" s="448">
        <f>SUMIF('PO MTRL'!$G$9:$G512,G200,'PO MTRL'!$J$9:$J512)</f>
        <v>0</v>
      </c>
      <c r="L200" s="448">
        <f t="shared" si="1"/>
        <v>0</v>
      </c>
      <c r="M200" s="449">
        <f>SUMIF('PO MTRL'!$G$9:$G512,G200,'PO MTRL'!$L$9:$L512)</f>
        <v>0</v>
      </c>
      <c r="N200" s="450">
        <f>IF(G200=0,0,(VLOOKUP(G200,'2. SMDA BHN'!$B$12:$H512,5,0)))</f>
        <v>0</v>
      </c>
      <c r="O200" s="450">
        <f>IF(G200=0,0,(VLOOKUP(G200,'2. SMDA BHN'!$B$12:$H512,7,0)))</f>
        <v>0</v>
      </c>
      <c r="P200" s="449">
        <f t="shared" si="2"/>
        <v>0</v>
      </c>
      <c r="Q200" s="449">
        <f t="shared" si="3"/>
        <v>0</v>
      </c>
      <c r="R200" s="451" t="s">
        <v>45</v>
      </c>
      <c r="S200" s="464"/>
      <c r="T200" s="439"/>
      <c r="U200" s="16"/>
      <c r="V200" s="439"/>
      <c r="W200" s="439"/>
      <c r="X200" s="439"/>
      <c r="Y200" s="439"/>
      <c r="Z200" s="439"/>
      <c r="AA200" s="439"/>
      <c r="AB200" s="439"/>
      <c r="AC200" s="439"/>
      <c r="AD200" s="439"/>
      <c r="AE200" s="439"/>
      <c r="AF200" s="439"/>
    </row>
    <row r="201" ht="16.5" customHeight="1">
      <c r="A201" s="439"/>
      <c r="B201" s="454">
        <f t="shared" si="4"/>
        <v>1192</v>
      </c>
      <c r="C201" s="468"/>
      <c r="D201" s="442" t="str">
        <f>IF(G201="","",(VLOOKUP(G201,'2. SMDA BHN'!$B$12:$J512,2,0)))</f>
        <v/>
      </c>
      <c r="E201" s="443">
        <f>IF(G201=0,0,(VLOOKUP(G201,'2. SMDA BHN'!$B$12:$J512,3,0)))</f>
        <v>0</v>
      </c>
      <c r="F201" s="444"/>
      <c r="G201" s="467"/>
      <c r="H201" s="446">
        <f>IF(G201=0,0,(VLOOKUP(G201,'2. SMDA BHN'!$B$12:$H512,4,0)))</f>
        <v>0</v>
      </c>
      <c r="I201" s="460"/>
      <c r="J201" s="461"/>
      <c r="K201" s="448">
        <f>SUMIF('PO MTRL'!$G$9:$G512,G201,'PO MTRL'!$J$9:$J512)</f>
        <v>0</v>
      </c>
      <c r="L201" s="448">
        <f t="shared" si="1"/>
        <v>0</v>
      </c>
      <c r="M201" s="449">
        <f>SUMIF('PO MTRL'!$G$9:$G512,G201,'PO MTRL'!$L$9:$L512)</f>
        <v>0</v>
      </c>
      <c r="N201" s="450">
        <f>IF(G201=0,0,(VLOOKUP(G201,'2. SMDA BHN'!$B$12:$H512,5,0)))</f>
        <v>0</v>
      </c>
      <c r="O201" s="450">
        <f>IF(G201=0,0,(VLOOKUP(G201,'2. SMDA BHN'!$B$12:$H512,7,0)))</f>
        <v>0</v>
      </c>
      <c r="P201" s="449">
        <f t="shared" si="2"/>
        <v>0</v>
      </c>
      <c r="Q201" s="449">
        <f t="shared" si="3"/>
        <v>0</v>
      </c>
      <c r="R201" s="451" t="s">
        <v>45</v>
      </c>
      <c r="S201" s="464"/>
      <c r="T201" s="439"/>
      <c r="U201" s="16"/>
      <c r="V201" s="439"/>
      <c r="W201" s="439"/>
      <c r="X201" s="439"/>
      <c r="Y201" s="439"/>
      <c r="Z201" s="439"/>
      <c r="AA201" s="439"/>
      <c r="AB201" s="439"/>
      <c r="AC201" s="439"/>
      <c r="AD201" s="439"/>
      <c r="AE201" s="439"/>
      <c r="AF201" s="439"/>
    </row>
    <row r="202" ht="16.5" customHeight="1">
      <c r="A202" s="439"/>
      <c r="B202" s="454">
        <f t="shared" si="4"/>
        <v>1193</v>
      </c>
      <c r="C202" s="468"/>
      <c r="D202" s="442" t="str">
        <f>IF(G202="","",(VLOOKUP(G202,'2. SMDA BHN'!$B$12:$J512,2,0)))</f>
        <v/>
      </c>
      <c r="E202" s="443">
        <f>IF(G202=0,0,(VLOOKUP(G202,'2. SMDA BHN'!$B$12:$J512,3,0)))</f>
        <v>0</v>
      </c>
      <c r="F202" s="444"/>
      <c r="G202" s="467"/>
      <c r="H202" s="446">
        <f>IF(G202=0,0,(VLOOKUP(G202,'2. SMDA BHN'!$B$12:$H512,4,0)))</f>
        <v>0</v>
      </c>
      <c r="I202" s="460"/>
      <c r="J202" s="461"/>
      <c r="K202" s="448">
        <f>SUMIF('PO MTRL'!$G$9:$G512,G202,'PO MTRL'!$J$9:$J512)</f>
        <v>0</v>
      </c>
      <c r="L202" s="448">
        <f t="shared" si="1"/>
        <v>0</v>
      </c>
      <c r="M202" s="449">
        <f>SUMIF('PO MTRL'!$G$9:$G512,G202,'PO MTRL'!$L$9:$L512)</f>
        <v>0</v>
      </c>
      <c r="N202" s="450">
        <f>IF(G202=0,0,(VLOOKUP(G202,'2. SMDA BHN'!$B$12:$H512,5,0)))</f>
        <v>0</v>
      </c>
      <c r="O202" s="450">
        <f>IF(G202=0,0,(VLOOKUP(G202,'2. SMDA BHN'!$B$12:$H512,7,0)))</f>
        <v>0</v>
      </c>
      <c r="P202" s="449">
        <f t="shared" si="2"/>
        <v>0</v>
      </c>
      <c r="Q202" s="449">
        <f t="shared" si="3"/>
        <v>0</v>
      </c>
      <c r="R202" s="451" t="s">
        <v>45</v>
      </c>
      <c r="S202" s="464"/>
      <c r="T202" s="439"/>
      <c r="U202" s="16"/>
      <c r="V202" s="439"/>
      <c r="W202" s="439"/>
      <c r="X202" s="439"/>
      <c r="Y202" s="439"/>
      <c r="Z202" s="439"/>
      <c r="AA202" s="439"/>
      <c r="AB202" s="439"/>
      <c r="AC202" s="439"/>
      <c r="AD202" s="439"/>
      <c r="AE202" s="439"/>
      <c r="AF202" s="439"/>
    </row>
    <row r="203" ht="16.5" customHeight="1">
      <c r="A203" s="439"/>
      <c r="B203" s="454">
        <f t="shared" si="4"/>
        <v>1194</v>
      </c>
      <c r="C203" s="468"/>
      <c r="D203" s="442" t="str">
        <f>IF(G203="","",(VLOOKUP(G203,'2. SMDA BHN'!$B$12:$J512,2,0)))</f>
        <v/>
      </c>
      <c r="E203" s="443">
        <f>IF(G203=0,0,(VLOOKUP(G203,'2. SMDA BHN'!$B$12:$J512,3,0)))</f>
        <v>0</v>
      </c>
      <c r="F203" s="444"/>
      <c r="G203" s="467"/>
      <c r="H203" s="446">
        <f>IF(G203=0,0,(VLOOKUP(G203,'2. SMDA BHN'!$B$12:$H512,4,0)))</f>
        <v>0</v>
      </c>
      <c r="I203" s="460"/>
      <c r="J203" s="461"/>
      <c r="K203" s="448">
        <f>SUMIF('PO MTRL'!$G$9:$G512,G203,'PO MTRL'!$J$9:$J512)</f>
        <v>0</v>
      </c>
      <c r="L203" s="448">
        <f t="shared" si="1"/>
        <v>0</v>
      </c>
      <c r="M203" s="449">
        <f>SUMIF('PO MTRL'!$G$9:$G512,G203,'PO MTRL'!$L$9:$L512)</f>
        <v>0</v>
      </c>
      <c r="N203" s="450">
        <f>IF(G203=0,0,(VLOOKUP(G203,'2. SMDA BHN'!$B$12:$H512,5,0)))</f>
        <v>0</v>
      </c>
      <c r="O203" s="450">
        <f>IF(G203=0,0,(VLOOKUP(G203,'2. SMDA BHN'!$B$12:$H512,7,0)))</f>
        <v>0</v>
      </c>
      <c r="P203" s="449">
        <f t="shared" si="2"/>
        <v>0</v>
      </c>
      <c r="Q203" s="449">
        <f t="shared" si="3"/>
        <v>0</v>
      </c>
      <c r="R203" s="451" t="s">
        <v>45</v>
      </c>
      <c r="S203" s="464"/>
      <c r="T203" s="439"/>
      <c r="U203" s="16"/>
      <c r="V203" s="439"/>
      <c r="W203" s="439"/>
      <c r="X203" s="439"/>
      <c r="Y203" s="439"/>
      <c r="Z203" s="439"/>
      <c r="AA203" s="439"/>
      <c r="AB203" s="439"/>
      <c r="AC203" s="439"/>
      <c r="AD203" s="439"/>
      <c r="AE203" s="439"/>
      <c r="AF203" s="439"/>
    </row>
    <row r="204" ht="16.5" customHeight="1">
      <c r="A204" s="439"/>
      <c r="B204" s="454">
        <f t="shared" si="4"/>
        <v>1195</v>
      </c>
      <c r="C204" s="468"/>
      <c r="D204" s="442" t="str">
        <f>IF(G204="","",(VLOOKUP(G204,'2. SMDA BHN'!$B$12:$J512,2,0)))</f>
        <v/>
      </c>
      <c r="E204" s="443">
        <f>IF(G204=0,0,(VLOOKUP(G204,'2. SMDA BHN'!$B$12:$J512,3,0)))</f>
        <v>0</v>
      </c>
      <c r="F204" s="444"/>
      <c r="G204" s="467"/>
      <c r="H204" s="446">
        <f>IF(G204=0,0,(VLOOKUP(G204,'2. SMDA BHN'!$B$12:$H512,4,0)))</f>
        <v>0</v>
      </c>
      <c r="I204" s="460"/>
      <c r="J204" s="461"/>
      <c r="K204" s="448">
        <f>SUMIF('PO MTRL'!$G$9:$G512,G204,'PO MTRL'!$J$9:$J512)</f>
        <v>0</v>
      </c>
      <c r="L204" s="448">
        <f t="shared" si="1"/>
        <v>0</v>
      </c>
      <c r="M204" s="449">
        <f>SUMIF('PO MTRL'!$G$9:$G512,G204,'PO MTRL'!$L$9:$L512)</f>
        <v>0</v>
      </c>
      <c r="N204" s="450">
        <f>IF(G204=0,0,(VLOOKUP(G204,'2. SMDA BHN'!$B$12:$H512,5,0)))</f>
        <v>0</v>
      </c>
      <c r="O204" s="450">
        <f>IF(G204=0,0,(VLOOKUP(G204,'2. SMDA BHN'!$B$12:$H512,7,0)))</f>
        <v>0</v>
      </c>
      <c r="P204" s="449">
        <f t="shared" si="2"/>
        <v>0</v>
      </c>
      <c r="Q204" s="449">
        <f t="shared" si="3"/>
        <v>0</v>
      </c>
      <c r="R204" s="451" t="s">
        <v>45</v>
      </c>
      <c r="S204" s="464"/>
      <c r="T204" s="439"/>
      <c r="U204" s="16"/>
      <c r="V204" s="439"/>
      <c r="W204" s="439"/>
      <c r="X204" s="439"/>
      <c r="Y204" s="439"/>
      <c r="Z204" s="439"/>
      <c r="AA204" s="439"/>
      <c r="AB204" s="439"/>
      <c r="AC204" s="439"/>
      <c r="AD204" s="439"/>
      <c r="AE204" s="439"/>
      <c r="AF204" s="439"/>
    </row>
    <row r="205" ht="16.5" customHeight="1">
      <c r="A205" s="439"/>
      <c r="B205" s="454">
        <f t="shared" si="4"/>
        <v>1196</v>
      </c>
      <c r="C205" s="468"/>
      <c r="D205" s="442" t="str">
        <f>IF(G205="","",(VLOOKUP(G205,'2. SMDA BHN'!$B$12:$J512,2,0)))</f>
        <v/>
      </c>
      <c r="E205" s="443">
        <f>IF(G205=0,0,(VLOOKUP(G205,'2. SMDA BHN'!$B$12:$J512,3,0)))</f>
        <v>0</v>
      </c>
      <c r="F205" s="444"/>
      <c r="G205" s="467"/>
      <c r="H205" s="446">
        <f>IF(G205=0,0,(VLOOKUP(G205,'2. SMDA BHN'!$B$12:$H512,4,0)))</f>
        <v>0</v>
      </c>
      <c r="I205" s="460"/>
      <c r="J205" s="461"/>
      <c r="K205" s="448">
        <f>SUMIF('PO MTRL'!$G$9:$G512,G205,'PO MTRL'!$J$9:$J512)</f>
        <v>0</v>
      </c>
      <c r="L205" s="448">
        <f t="shared" si="1"/>
        <v>0</v>
      </c>
      <c r="M205" s="449">
        <f>SUMIF('PO MTRL'!$G$9:$G512,G205,'PO MTRL'!$L$9:$L512)</f>
        <v>0</v>
      </c>
      <c r="N205" s="450">
        <f>IF(G205=0,0,(VLOOKUP(G205,'2. SMDA BHN'!$B$12:$H512,5,0)))</f>
        <v>0</v>
      </c>
      <c r="O205" s="450">
        <f>IF(G205=0,0,(VLOOKUP(G205,'2. SMDA BHN'!$B$12:$H512,7,0)))</f>
        <v>0</v>
      </c>
      <c r="P205" s="449">
        <f t="shared" si="2"/>
        <v>0</v>
      </c>
      <c r="Q205" s="449">
        <f t="shared" si="3"/>
        <v>0</v>
      </c>
      <c r="R205" s="451" t="s">
        <v>45</v>
      </c>
      <c r="S205" s="464"/>
      <c r="T205" s="439"/>
      <c r="U205" s="16"/>
      <c r="V205" s="439"/>
      <c r="W205" s="439"/>
      <c r="X205" s="439"/>
      <c r="Y205" s="439"/>
      <c r="Z205" s="439"/>
      <c r="AA205" s="439"/>
      <c r="AB205" s="439"/>
      <c r="AC205" s="439"/>
      <c r="AD205" s="439"/>
      <c r="AE205" s="439"/>
      <c r="AF205" s="439"/>
    </row>
    <row r="206" ht="16.5" customHeight="1">
      <c r="A206" s="439"/>
      <c r="B206" s="454">
        <f t="shared" si="4"/>
        <v>1197</v>
      </c>
      <c r="C206" s="468"/>
      <c r="D206" s="442" t="str">
        <f>IF(G206="","",(VLOOKUP(G206,'2. SMDA BHN'!$B$12:$J512,2,0)))</f>
        <v/>
      </c>
      <c r="E206" s="443">
        <f>IF(G206=0,0,(VLOOKUP(G206,'2. SMDA BHN'!$B$12:$J512,3,0)))</f>
        <v>0</v>
      </c>
      <c r="F206" s="444"/>
      <c r="G206" s="467"/>
      <c r="H206" s="446">
        <f>IF(G206=0,0,(VLOOKUP(G206,'2. SMDA BHN'!$B$12:$H512,4,0)))</f>
        <v>0</v>
      </c>
      <c r="I206" s="460"/>
      <c r="J206" s="461"/>
      <c r="K206" s="448">
        <f>SUMIF('PO MTRL'!$G$9:$G512,G206,'PO MTRL'!$J$9:$J512)</f>
        <v>0</v>
      </c>
      <c r="L206" s="448">
        <f t="shared" si="1"/>
        <v>0</v>
      </c>
      <c r="M206" s="449">
        <f>SUMIF('PO MTRL'!$G$9:$G512,G206,'PO MTRL'!$L$9:$L512)</f>
        <v>0</v>
      </c>
      <c r="N206" s="450">
        <f>IF(G206=0,0,(VLOOKUP(G206,'2. SMDA BHN'!$B$12:$H512,5,0)))</f>
        <v>0</v>
      </c>
      <c r="O206" s="450">
        <f>IF(G206=0,0,(VLOOKUP(G206,'2. SMDA BHN'!$B$12:$H512,7,0)))</f>
        <v>0</v>
      </c>
      <c r="P206" s="449">
        <f t="shared" si="2"/>
        <v>0</v>
      </c>
      <c r="Q206" s="449">
        <f t="shared" si="3"/>
        <v>0</v>
      </c>
      <c r="R206" s="451" t="s">
        <v>45</v>
      </c>
      <c r="S206" s="464"/>
      <c r="T206" s="439"/>
      <c r="U206" s="16"/>
      <c r="V206" s="439"/>
      <c r="W206" s="439"/>
      <c r="X206" s="439"/>
      <c r="Y206" s="439"/>
      <c r="Z206" s="439"/>
      <c r="AA206" s="439"/>
      <c r="AB206" s="439"/>
      <c r="AC206" s="439"/>
      <c r="AD206" s="439"/>
      <c r="AE206" s="439"/>
      <c r="AF206" s="439"/>
    </row>
    <row r="207" ht="16.5" customHeight="1">
      <c r="A207" s="439"/>
      <c r="B207" s="454">
        <f t="shared" si="4"/>
        <v>1198</v>
      </c>
      <c r="C207" s="468"/>
      <c r="D207" s="442" t="str">
        <f>IF(G207="","",(VLOOKUP(G207,'2. SMDA BHN'!$B$12:$J512,2,0)))</f>
        <v/>
      </c>
      <c r="E207" s="443">
        <f>IF(G207=0,0,(VLOOKUP(G207,'2. SMDA BHN'!$B$12:$J512,3,0)))</f>
        <v>0</v>
      </c>
      <c r="F207" s="444"/>
      <c r="G207" s="467"/>
      <c r="H207" s="446">
        <f>IF(G207=0,0,(VLOOKUP(G207,'2. SMDA BHN'!$B$12:$H512,4,0)))</f>
        <v>0</v>
      </c>
      <c r="I207" s="460"/>
      <c r="J207" s="461"/>
      <c r="K207" s="448">
        <f>SUMIF('PO MTRL'!$G$9:$G512,G207,'PO MTRL'!$J$9:$J512)</f>
        <v>0</v>
      </c>
      <c r="L207" s="448">
        <f t="shared" si="1"/>
        <v>0</v>
      </c>
      <c r="M207" s="449">
        <f>SUMIF('PO MTRL'!$G$9:$G512,G207,'PO MTRL'!$L$9:$L512)</f>
        <v>0</v>
      </c>
      <c r="N207" s="450">
        <f>IF(G207=0,0,(VLOOKUP(G207,'2. SMDA BHN'!$B$12:$H512,5,0)))</f>
        <v>0</v>
      </c>
      <c r="O207" s="450">
        <f>IF(G207=0,0,(VLOOKUP(G207,'2. SMDA BHN'!$B$12:$H512,7,0)))</f>
        <v>0</v>
      </c>
      <c r="P207" s="449">
        <f t="shared" si="2"/>
        <v>0</v>
      </c>
      <c r="Q207" s="449">
        <f t="shared" si="3"/>
        <v>0</v>
      </c>
      <c r="R207" s="451" t="s">
        <v>45</v>
      </c>
      <c r="S207" s="464"/>
      <c r="T207" s="439"/>
      <c r="U207" s="16"/>
      <c r="V207" s="439"/>
      <c r="W207" s="439"/>
      <c r="X207" s="439"/>
      <c r="Y207" s="439"/>
      <c r="Z207" s="439"/>
      <c r="AA207" s="439"/>
      <c r="AB207" s="439"/>
      <c r="AC207" s="439"/>
      <c r="AD207" s="439"/>
      <c r="AE207" s="439"/>
      <c r="AF207" s="439"/>
    </row>
    <row r="208" ht="16.5" customHeight="1">
      <c r="A208" s="439"/>
      <c r="B208" s="454">
        <f t="shared" si="4"/>
        <v>1199</v>
      </c>
      <c r="C208" s="468"/>
      <c r="D208" s="442" t="str">
        <f>IF(G208="","",(VLOOKUP(G208,'2. SMDA BHN'!$B$12:$J512,2,0)))</f>
        <v/>
      </c>
      <c r="E208" s="443">
        <f>IF(G208=0,0,(VLOOKUP(G208,'2. SMDA BHN'!$B$12:$J512,3,0)))</f>
        <v>0</v>
      </c>
      <c r="F208" s="444"/>
      <c r="G208" s="467"/>
      <c r="H208" s="446">
        <f>IF(G208=0,0,(VLOOKUP(G208,'2. SMDA BHN'!$B$12:$H512,4,0)))</f>
        <v>0</v>
      </c>
      <c r="I208" s="460"/>
      <c r="J208" s="461"/>
      <c r="K208" s="448">
        <f>SUMIF('PO MTRL'!$G$9:$G512,G208,'PO MTRL'!$J$9:$J512)</f>
        <v>0</v>
      </c>
      <c r="L208" s="448">
        <f t="shared" si="1"/>
        <v>0</v>
      </c>
      <c r="M208" s="449">
        <f>SUMIF('PO MTRL'!$G$9:$G512,G208,'PO MTRL'!$L$9:$L512)</f>
        <v>0</v>
      </c>
      <c r="N208" s="450">
        <f>IF(G208=0,0,(VLOOKUP(G208,'2. SMDA BHN'!$B$12:$H512,5,0)))</f>
        <v>0</v>
      </c>
      <c r="O208" s="450">
        <f>IF(G208=0,0,(VLOOKUP(G208,'2. SMDA BHN'!$B$12:$H512,7,0)))</f>
        <v>0</v>
      </c>
      <c r="P208" s="449">
        <f t="shared" si="2"/>
        <v>0</v>
      </c>
      <c r="Q208" s="449">
        <f t="shared" si="3"/>
        <v>0</v>
      </c>
      <c r="R208" s="451" t="s">
        <v>45</v>
      </c>
      <c r="S208" s="464"/>
      <c r="T208" s="439"/>
      <c r="U208" s="16"/>
      <c r="V208" s="439"/>
      <c r="W208" s="439"/>
      <c r="X208" s="439"/>
      <c r="Y208" s="439"/>
      <c r="Z208" s="439"/>
      <c r="AA208" s="439"/>
      <c r="AB208" s="439"/>
      <c r="AC208" s="439"/>
      <c r="AD208" s="439"/>
      <c r="AE208" s="439"/>
      <c r="AF208" s="439"/>
    </row>
    <row r="209" ht="16.5" customHeight="1">
      <c r="A209" s="439"/>
      <c r="B209" s="454">
        <f t="shared" si="4"/>
        <v>1200</v>
      </c>
      <c r="C209" s="468"/>
      <c r="D209" s="442" t="str">
        <f>IF(G209="","",(VLOOKUP(G209,'2. SMDA BHN'!$B$12:$J512,2,0)))</f>
        <v/>
      </c>
      <c r="E209" s="443">
        <f>IF(G209=0,0,(VLOOKUP(G209,'2. SMDA BHN'!$B$12:$J512,3,0)))</f>
        <v>0</v>
      </c>
      <c r="F209" s="444"/>
      <c r="G209" s="467"/>
      <c r="H209" s="446">
        <f>IF(G209=0,0,(VLOOKUP(G209,'2. SMDA BHN'!$B$12:$H512,4,0)))</f>
        <v>0</v>
      </c>
      <c r="I209" s="460"/>
      <c r="J209" s="461"/>
      <c r="K209" s="448">
        <f>SUMIF('PO MTRL'!$G$9:$G512,G209,'PO MTRL'!$J$9:$J512)</f>
        <v>0</v>
      </c>
      <c r="L209" s="448">
        <f t="shared" si="1"/>
        <v>0</v>
      </c>
      <c r="M209" s="449">
        <f>SUMIF('PO MTRL'!$G$9:$G512,G209,'PO MTRL'!$L$9:$L512)</f>
        <v>0</v>
      </c>
      <c r="N209" s="450">
        <f>IF(G209=0,0,(VLOOKUP(G209,'2. SMDA BHN'!$B$12:$H512,5,0)))</f>
        <v>0</v>
      </c>
      <c r="O209" s="450">
        <f>IF(G209=0,0,(VLOOKUP(G209,'2. SMDA BHN'!$B$12:$H512,7,0)))</f>
        <v>0</v>
      </c>
      <c r="P209" s="449">
        <f t="shared" si="2"/>
        <v>0</v>
      </c>
      <c r="Q209" s="449">
        <f t="shared" si="3"/>
        <v>0</v>
      </c>
      <c r="R209" s="451" t="s">
        <v>45</v>
      </c>
      <c r="S209" s="464"/>
      <c r="T209" s="439"/>
      <c r="U209" s="16"/>
      <c r="V209" s="439"/>
      <c r="W209" s="439"/>
      <c r="X209" s="439"/>
      <c r="Y209" s="439"/>
      <c r="Z209" s="439"/>
      <c r="AA209" s="439"/>
      <c r="AB209" s="439"/>
      <c r="AC209" s="439"/>
      <c r="AD209" s="439"/>
      <c r="AE209" s="439"/>
      <c r="AF209" s="439"/>
    </row>
    <row r="210" ht="16.5" customHeight="1">
      <c r="A210" s="439"/>
      <c r="B210" s="454">
        <f t="shared" si="4"/>
        <v>1201</v>
      </c>
      <c r="C210" s="468"/>
      <c r="D210" s="442" t="str">
        <f>IF(G210="","",(VLOOKUP(G210,'2. SMDA BHN'!$B$12:$J512,2,0)))</f>
        <v/>
      </c>
      <c r="E210" s="443">
        <f>IF(G210=0,0,(VLOOKUP(G210,'2. SMDA BHN'!$B$12:$J512,3,0)))</f>
        <v>0</v>
      </c>
      <c r="F210" s="444"/>
      <c r="G210" s="467"/>
      <c r="H210" s="446">
        <f>IF(G210=0,0,(VLOOKUP(G210,'2. SMDA BHN'!$B$12:$H512,4,0)))</f>
        <v>0</v>
      </c>
      <c r="I210" s="460"/>
      <c r="J210" s="461"/>
      <c r="K210" s="448">
        <f>SUMIF('PO MTRL'!$G$9:$G512,G210,'PO MTRL'!$J$9:$J512)</f>
        <v>0</v>
      </c>
      <c r="L210" s="448">
        <f t="shared" si="1"/>
        <v>0</v>
      </c>
      <c r="M210" s="449">
        <f>SUMIF('PO MTRL'!$G$9:$G512,G210,'PO MTRL'!$L$9:$L512)</f>
        <v>0</v>
      </c>
      <c r="N210" s="450">
        <f>IF(G210=0,0,(VLOOKUP(G210,'2. SMDA BHN'!$B$12:$H512,5,0)))</f>
        <v>0</v>
      </c>
      <c r="O210" s="450">
        <f>IF(G210=0,0,(VLOOKUP(G210,'2. SMDA BHN'!$B$12:$H512,7,0)))</f>
        <v>0</v>
      </c>
      <c r="P210" s="449">
        <f t="shared" si="2"/>
        <v>0</v>
      </c>
      <c r="Q210" s="449">
        <f t="shared" si="3"/>
        <v>0</v>
      </c>
      <c r="R210" s="451" t="s">
        <v>45</v>
      </c>
      <c r="S210" s="464"/>
      <c r="T210" s="439"/>
      <c r="U210" s="16"/>
      <c r="V210" s="439"/>
      <c r="W210" s="439"/>
      <c r="X210" s="439"/>
      <c r="Y210" s="439"/>
      <c r="Z210" s="439"/>
      <c r="AA210" s="439"/>
      <c r="AB210" s="439"/>
      <c r="AC210" s="439"/>
      <c r="AD210" s="439"/>
      <c r="AE210" s="439"/>
      <c r="AF210" s="439"/>
    </row>
    <row r="211" ht="16.5" customHeight="1">
      <c r="A211" s="439"/>
      <c r="B211" s="454">
        <f t="shared" si="4"/>
        <v>1202</v>
      </c>
      <c r="C211" s="468"/>
      <c r="D211" s="442" t="str">
        <f>IF(G211="","",(VLOOKUP(G211,'2. SMDA BHN'!$B$12:$J512,2,0)))</f>
        <v/>
      </c>
      <c r="E211" s="443">
        <f>IF(G211=0,0,(VLOOKUP(G211,'2. SMDA BHN'!$B$12:$J512,3,0)))</f>
        <v>0</v>
      </c>
      <c r="F211" s="444"/>
      <c r="G211" s="467"/>
      <c r="H211" s="446">
        <f>IF(G211=0,0,(VLOOKUP(G211,'2. SMDA BHN'!$B$12:$H512,4,0)))</f>
        <v>0</v>
      </c>
      <c r="I211" s="460"/>
      <c r="J211" s="461"/>
      <c r="K211" s="448">
        <f>SUMIF('PO MTRL'!$G$9:$G512,G211,'PO MTRL'!$J$9:$J512)</f>
        <v>0</v>
      </c>
      <c r="L211" s="448">
        <f t="shared" si="1"/>
        <v>0</v>
      </c>
      <c r="M211" s="449">
        <f>SUMIF('PO MTRL'!$G$9:$G512,G211,'PO MTRL'!$L$9:$L512)</f>
        <v>0</v>
      </c>
      <c r="N211" s="450">
        <f>IF(G211=0,0,(VLOOKUP(G211,'2. SMDA BHN'!$B$12:$H512,5,0)))</f>
        <v>0</v>
      </c>
      <c r="O211" s="450">
        <f>IF(G211=0,0,(VLOOKUP(G211,'2. SMDA BHN'!$B$12:$H512,7,0)))</f>
        <v>0</v>
      </c>
      <c r="P211" s="449">
        <f t="shared" si="2"/>
        <v>0</v>
      </c>
      <c r="Q211" s="449">
        <f t="shared" si="3"/>
        <v>0</v>
      </c>
      <c r="R211" s="451" t="s">
        <v>45</v>
      </c>
      <c r="S211" s="464"/>
      <c r="T211" s="439"/>
      <c r="U211" s="16"/>
      <c r="V211" s="439"/>
      <c r="W211" s="439"/>
      <c r="X211" s="439"/>
      <c r="Y211" s="439"/>
      <c r="Z211" s="439"/>
      <c r="AA211" s="439"/>
      <c r="AB211" s="439"/>
      <c r="AC211" s="439"/>
      <c r="AD211" s="439"/>
      <c r="AE211" s="439"/>
      <c r="AF211" s="439"/>
    </row>
    <row r="212" ht="16.5" customHeight="1">
      <c r="A212" s="439"/>
      <c r="B212" s="454">
        <f t="shared" si="4"/>
        <v>1203</v>
      </c>
      <c r="C212" s="468"/>
      <c r="D212" s="442" t="str">
        <f>IF(G212="","",(VLOOKUP(G212,'2. SMDA BHN'!$B$12:$J512,2,0)))</f>
        <v/>
      </c>
      <c r="E212" s="443">
        <f>IF(G212=0,0,(VLOOKUP(G212,'2. SMDA BHN'!$B$12:$J512,3,0)))</f>
        <v>0</v>
      </c>
      <c r="F212" s="444"/>
      <c r="G212" s="467"/>
      <c r="H212" s="446">
        <f>IF(G212=0,0,(VLOOKUP(G212,'2. SMDA BHN'!$B$12:$H512,4,0)))</f>
        <v>0</v>
      </c>
      <c r="I212" s="460"/>
      <c r="J212" s="461"/>
      <c r="K212" s="448">
        <f>SUMIF('PO MTRL'!$G$9:$G512,G212,'PO MTRL'!$J$9:$J512)</f>
        <v>0</v>
      </c>
      <c r="L212" s="448">
        <f t="shared" si="1"/>
        <v>0</v>
      </c>
      <c r="M212" s="449">
        <f>SUMIF('PO MTRL'!$G$9:$G512,G212,'PO MTRL'!$L$9:$L512)</f>
        <v>0</v>
      </c>
      <c r="N212" s="450">
        <f>IF(G212=0,0,(VLOOKUP(G212,'2. SMDA BHN'!$B$12:$H512,5,0)))</f>
        <v>0</v>
      </c>
      <c r="O212" s="450">
        <f>IF(G212=0,0,(VLOOKUP(G212,'2. SMDA BHN'!$B$12:$H512,7,0)))</f>
        <v>0</v>
      </c>
      <c r="P212" s="449">
        <f t="shared" si="2"/>
        <v>0</v>
      </c>
      <c r="Q212" s="449">
        <f t="shared" si="3"/>
        <v>0</v>
      </c>
      <c r="R212" s="451" t="s">
        <v>45</v>
      </c>
      <c r="S212" s="464"/>
      <c r="T212" s="439"/>
      <c r="U212" s="16"/>
      <c r="V212" s="439"/>
      <c r="W212" s="439"/>
      <c r="X212" s="439"/>
      <c r="Y212" s="439"/>
      <c r="Z212" s="439"/>
      <c r="AA212" s="439"/>
      <c r="AB212" s="439"/>
      <c r="AC212" s="439"/>
      <c r="AD212" s="439"/>
      <c r="AE212" s="439"/>
      <c r="AF212" s="439"/>
    </row>
    <row r="213" ht="16.5" customHeight="1">
      <c r="A213" s="439"/>
      <c r="B213" s="454">
        <f t="shared" si="4"/>
        <v>1204</v>
      </c>
      <c r="C213" s="468"/>
      <c r="D213" s="442" t="str">
        <f>IF(G213="","",(VLOOKUP(G213,'2. SMDA BHN'!$B$12:$J512,2,0)))</f>
        <v/>
      </c>
      <c r="E213" s="443">
        <f>IF(G213=0,0,(VLOOKUP(G213,'2. SMDA BHN'!$B$12:$J512,3,0)))</f>
        <v>0</v>
      </c>
      <c r="F213" s="444"/>
      <c r="G213" s="467"/>
      <c r="H213" s="446">
        <f>IF(G213=0,0,(VLOOKUP(G213,'2. SMDA BHN'!$B$12:$H512,4,0)))</f>
        <v>0</v>
      </c>
      <c r="I213" s="460"/>
      <c r="J213" s="461"/>
      <c r="K213" s="448">
        <f>SUMIF('PO MTRL'!$G$9:$G512,G213,'PO MTRL'!$J$9:$J512)</f>
        <v>0</v>
      </c>
      <c r="L213" s="448">
        <f t="shared" si="1"/>
        <v>0</v>
      </c>
      <c r="M213" s="449">
        <f>SUMIF('PO MTRL'!$G$9:$G512,G213,'PO MTRL'!$L$9:$L512)</f>
        <v>0</v>
      </c>
      <c r="N213" s="450">
        <f>IF(G213=0,0,(VLOOKUP(G213,'2. SMDA BHN'!$B$12:$H512,5,0)))</f>
        <v>0</v>
      </c>
      <c r="O213" s="450">
        <f>IF(G213=0,0,(VLOOKUP(G213,'2. SMDA BHN'!$B$12:$H512,7,0)))</f>
        <v>0</v>
      </c>
      <c r="P213" s="449">
        <f t="shared" si="2"/>
        <v>0</v>
      </c>
      <c r="Q213" s="449">
        <f t="shared" si="3"/>
        <v>0</v>
      </c>
      <c r="R213" s="451" t="s">
        <v>45</v>
      </c>
      <c r="S213" s="464"/>
      <c r="T213" s="439"/>
      <c r="U213" s="16"/>
      <c r="V213" s="439"/>
      <c r="W213" s="439"/>
      <c r="X213" s="439"/>
      <c r="Y213" s="439"/>
      <c r="Z213" s="439"/>
      <c r="AA213" s="439"/>
      <c r="AB213" s="439"/>
      <c r="AC213" s="439"/>
      <c r="AD213" s="439"/>
      <c r="AE213" s="439"/>
      <c r="AF213" s="439"/>
    </row>
    <row r="214" ht="16.5" customHeight="1">
      <c r="A214" s="439"/>
      <c r="B214" s="454">
        <f t="shared" si="4"/>
        <v>1205</v>
      </c>
      <c r="C214" s="468"/>
      <c r="D214" s="442" t="str">
        <f>IF(G214="","",(VLOOKUP(G214,'2. SMDA BHN'!$B$12:$J512,2,0)))</f>
        <v/>
      </c>
      <c r="E214" s="443">
        <f>IF(G214=0,0,(VLOOKUP(G214,'2. SMDA BHN'!$B$12:$J512,3,0)))</f>
        <v>0</v>
      </c>
      <c r="F214" s="444"/>
      <c r="G214" s="467"/>
      <c r="H214" s="446">
        <f>IF(G214=0,0,(VLOOKUP(G214,'2. SMDA BHN'!$B$12:$H512,4,0)))</f>
        <v>0</v>
      </c>
      <c r="I214" s="460"/>
      <c r="J214" s="461"/>
      <c r="K214" s="448">
        <f>SUMIF('PO MTRL'!$G$9:$G512,G214,'PO MTRL'!$J$9:$J512)</f>
        <v>0</v>
      </c>
      <c r="L214" s="448">
        <f t="shared" si="1"/>
        <v>0</v>
      </c>
      <c r="M214" s="449">
        <f>SUMIF('PO MTRL'!$G$9:$G512,G214,'PO MTRL'!$L$9:$L512)</f>
        <v>0</v>
      </c>
      <c r="N214" s="450">
        <f>IF(G214=0,0,(VLOOKUP(G214,'2. SMDA BHN'!$B$12:$H512,5,0)))</f>
        <v>0</v>
      </c>
      <c r="O214" s="450">
        <f>IF(G214=0,0,(VLOOKUP(G214,'2. SMDA BHN'!$B$12:$H512,7,0)))</f>
        <v>0</v>
      </c>
      <c r="P214" s="449">
        <f t="shared" si="2"/>
        <v>0</v>
      </c>
      <c r="Q214" s="449">
        <f t="shared" si="3"/>
        <v>0</v>
      </c>
      <c r="R214" s="451" t="s">
        <v>45</v>
      </c>
      <c r="S214" s="464"/>
      <c r="T214" s="439"/>
      <c r="U214" s="16"/>
      <c r="V214" s="439"/>
      <c r="W214" s="439"/>
      <c r="X214" s="439"/>
      <c r="Y214" s="439"/>
      <c r="Z214" s="439"/>
      <c r="AA214" s="439"/>
      <c r="AB214" s="439"/>
      <c r="AC214" s="439"/>
      <c r="AD214" s="439"/>
      <c r="AE214" s="439"/>
      <c r="AF214" s="439"/>
    </row>
    <row r="215" ht="16.5" customHeight="1">
      <c r="A215" s="439"/>
      <c r="B215" s="454">
        <f t="shared" si="4"/>
        <v>1206</v>
      </c>
      <c r="C215" s="468"/>
      <c r="D215" s="442" t="str">
        <f>IF(G215="","",(VLOOKUP(G215,'2. SMDA BHN'!$B$12:$J512,2,0)))</f>
        <v/>
      </c>
      <c r="E215" s="443">
        <f>IF(G215=0,0,(VLOOKUP(G215,'2. SMDA BHN'!$B$12:$J512,3,0)))</f>
        <v>0</v>
      </c>
      <c r="F215" s="444"/>
      <c r="G215" s="467"/>
      <c r="H215" s="446">
        <f>IF(G215=0,0,(VLOOKUP(G215,'2. SMDA BHN'!$B$12:$H512,4,0)))</f>
        <v>0</v>
      </c>
      <c r="I215" s="460"/>
      <c r="J215" s="461"/>
      <c r="K215" s="448">
        <f>SUMIF('PO MTRL'!$G$9:$G512,G215,'PO MTRL'!$J$9:$J512)</f>
        <v>0</v>
      </c>
      <c r="L215" s="448">
        <f t="shared" si="1"/>
        <v>0</v>
      </c>
      <c r="M215" s="449">
        <f>SUMIF('PO MTRL'!$G$9:$G512,G215,'PO MTRL'!$L$9:$L512)</f>
        <v>0</v>
      </c>
      <c r="N215" s="450">
        <f>IF(G215=0,0,(VLOOKUP(G215,'2. SMDA BHN'!$B$12:$H512,5,0)))</f>
        <v>0</v>
      </c>
      <c r="O215" s="450">
        <f>IF(G215=0,0,(VLOOKUP(G215,'2. SMDA BHN'!$B$12:$H512,7,0)))</f>
        <v>0</v>
      </c>
      <c r="P215" s="449">
        <f t="shared" si="2"/>
        <v>0</v>
      </c>
      <c r="Q215" s="449">
        <f t="shared" si="3"/>
        <v>0</v>
      </c>
      <c r="R215" s="451" t="s">
        <v>45</v>
      </c>
      <c r="S215" s="464"/>
      <c r="T215" s="439"/>
      <c r="U215" s="16"/>
      <c r="V215" s="439"/>
      <c r="W215" s="439"/>
      <c r="X215" s="439"/>
      <c r="Y215" s="439"/>
      <c r="Z215" s="439"/>
      <c r="AA215" s="439"/>
      <c r="AB215" s="439"/>
      <c r="AC215" s="439"/>
      <c r="AD215" s="439"/>
      <c r="AE215" s="439"/>
      <c r="AF215" s="439"/>
    </row>
    <row r="216" ht="16.5" customHeight="1">
      <c r="A216" s="439"/>
      <c r="B216" s="454">
        <f t="shared" si="4"/>
        <v>1207</v>
      </c>
      <c r="C216" s="468"/>
      <c r="D216" s="442" t="str">
        <f>IF(G216="","",(VLOOKUP(G216,'2. SMDA BHN'!$B$12:$J512,2,0)))</f>
        <v/>
      </c>
      <c r="E216" s="443">
        <f>IF(G216=0,0,(VLOOKUP(G216,'2. SMDA BHN'!$B$12:$J512,3,0)))</f>
        <v>0</v>
      </c>
      <c r="F216" s="444"/>
      <c r="G216" s="467"/>
      <c r="H216" s="446">
        <f>IF(G216=0,0,(VLOOKUP(G216,'2. SMDA BHN'!$B$12:$H512,4,0)))</f>
        <v>0</v>
      </c>
      <c r="I216" s="460"/>
      <c r="J216" s="461"/>
      <c r="K216" s="448">
        <f>SUMIF('PO MTRL'!$G$9:$G512,G216,'PO MTRL'!$J$9:$J512)</f>
        <v>0</v>
      </c>
      <c r="L216" s="448">
        <f t="shared" si="1"/>
        <v>0</v>
      </c>
      <c r="M216" s="449">
        <f>SUMIF('PO MTRL'!$G$9:$G512,G216,'PO MTRL'!$L$9:$L512)</f>
        <v>0</v>
      </c>
      <c r="N216" s="450">
        <f>IF(G216=0,0,(VLOOKUP(G216,'2. SMDA BHN'!$B$12:$H512,5,0)))</f>
        <v>0</v>
      </c>
      <c r="O216" s="450">
        <f>IF(G216=0,0,(VLOOKUP(G216,'2. SMDA BHN'!$B$12:$H512,7,0)))</f>
        <v>0</v>
      </c>
      <c r="P216" s="449">
        <f t="shared" si="2"/>
        <v>0</v>
      </c>
      <c r="Q216" s="449">
        <f t="shared" si="3"/>
        <v>0</v>
      </c>
      <c r="R216" s="451" t="s">
        <v>45</v>
      </c>
      <c r="S216" s="464"/>
      <c r="T216" s="439"/>
      <c r="U216" s="16"/>
      <c r="V216" s="439"/>
      <c r="W216" s="439"/>
      <c r="X216" s="439"/>
      <c r="Y216" s="439"/>
      <c r="Z216" s="439"/>
      <c r="AA216" s="439"/>
      <c r="AB216" s="439"/>
      <c r="AC216" s="439"/>
      <c r="AD216" s="439"/>
      <c r="AE216" s="439"/>
      <c r="AF216" s="439"/>
    </row>
    <row r="217" ht="16.5" customHeight="1">
      <c r="A217" s="439"/>
      <c r="B217" s="454">
        <f t="shared" si="4"/>
        <v>1208</v>
      </c>
      <c r="C217" s="468"/>
      <c r="D217" s="442" t="str">
        <f>IF(G217="","",(VLOOKUP(G217,'2. SMDA BHN'!$B$12:$J512,2,0)))</f>
        <v/>
      </c>
      <c r="E217" s="443">
        <f>IF(G217=0,0,(VLOOKUP(G217,'2. SMDA BHN'!$B$12:$J512,3,0)))</f>
        <v>0</v>
      </c>
      <c r="F217" s="444"/>
      <c r="G217" s="467"/>
      <c r="H217" s="446">
        <f>IF(G217=0,0,(VLOOKUP(G217,'2. SMDA BHN'!$B$12:$H512,4,0)))</f>
        <v>0</v>
      </c>
      <c r="I217" s="460"/>
      <c r="J217" s="461"/>
      <c r="K217" s="448">
        <f>SUMIF('PO MTRL'!$G$9:$G512,G217,'PO MTRL'!$J$9:$J512)</f>
        <v>0</v>
      </c>
      <c r="L217" s="448">
        <f t="shared" si="1"/>
        <v>0</v>
      </c>
      <c r="M217" s="449">
        <f>SUMIF('PO MTRL'!$G$9:$G512,G217,'PO MTRL'!$L$9:$L512)</f>
        <v>0</v>
      </c>
      <c r="N217" s="450">
        <f>IF(G217=0,0,(VLOOKUP(G217,'2. SMDA BHN'!$B$12:$H512,5,0)))</f>
        <v>0</v>
      </c>
      <c r="O217" s="450">
        <f>IF(G217=0,0,(VLOOKUP(G217,'2. SMDA BHN'!$B$12:$H512,7,0)))</f>
        <v>0</v>
      </c>
      <c r="P217" s="449">
        <f t="shared" si="2"/>
        <v>0</v>
      </c>
      <c r="Q217" s="449">
        <f t="shared" si="3"/>
        <v>0</v>
      </c>
      <c r="R217" s="451" t="s">
        <v>45</v>
      </c>
      <c r="S217" s="464"/>
      <c r="T217" s="439"/>
      <c r="U217" s="16"/>
      <c r="V217" s="439"/>
      <c r="W217" s="439"/>
      <c r="X217" s="439"/>
      <c r="Y217" s="439"/>
      <c r="Z217" s="439"/>
      <c r="AA217" s="439"/>
      <c r="AB217" s="439"/>
      <c r="AC217" s="439"/>
      <c r="AD217" s="439"/>
      <c r="AE217" s="439"/>
      <c r="AF217" s="439"/>
    </row>
    <row r="218" ht="16.5" customHeight="1">
      <c r="A218" s="439"/>
      <c r="B218" s="454">
        <f t="shared" si="4"/>
        <v>1209</v>
      </c>
      <c r="C218" s="468"/>
      <c r="D218" s="442" t="str">
        <f>IF(G218="","",(VLOOKUP(G218,'2. SMDA BHN'!$B$12:$J512,2,0)))</f>
        <v/>
      </c>
      <c r="E218" s="443">
        <f>IF(G218=0,0,(VLOOKUP(G218,'2. SMDA BHN'!$B$12:$J512,3,0)))</f>
        <v>0</v>
      </c>
      <c r="F218" s="444"/>
      <c r="G218" s="467"/>
      <c r="H218" s="446">
        <f>IF(G218=0,0,(VLOOKUP(G218,'2. SMDA BHN'!$B$12:$H512,4,0)))</f>
        <v>0</v>
      </c>
      <c r="I218" s="460"/>
      <c r="J218" s="461"/>
      <c r="K218" s="448">
        <f>SUMIF('PO MTRL'!$G$9:$G512,G218,'PO MTRL'!$J$9:$J512)</f>
        <v>0</v>
      </c>
      <c r="L218" s="448">
        <f t="shared" si="1"/>
        <v>0</v>
      </c>
      <c r="M218" s="449">
        <f>SUMIF('PO MTRL'!$G$9:$G512,G218,'PO MTRL'!$L$9:$L512)</f>
        <v>0</v>
      </c>
      <c r="N218" s="450">
        <f>IF(G218=0,0,(VLOOKUP(G218,'2. SMDA BHN'!$B$12:$H512,5,0)))</f>
        <v>0</v>
      </c>
      <c r="O218" s="450">
        <f>IF(G218=0,0,(VLOOKUP(G218,'2. SMDA BHN'!$B$12:$H512,7,0)))</f>
        <v>0</v>
      </c>
      <c r="P218" s="449">
        <f t="shared" si="2"/>
        <v>0</v>
      </c>
      <c r="Q218" s="449">
        <f t="shared" si="3"/>
        <v>0</v>
      </c>
      <c r="R218" s="451" t="s">
        <v>45</v>
      </c>
      <c r="S218" s="464"/>
      <c r="T218" s="439"/>
      <c r="U218" s="16"/>
      <c r="V218" s="439"/>
      <c r="W218" s="439"/>
      <c r="X218" s="439"/>
      <c r="Y218" s="439"/>
      <c r="Z218" s="439"/>
      <c r="AA218" s="439"/>
      <c r="AB218" s="439"/>
      <c r="AC218" s="439"/>
      <c r="AD218" s="439"/>
      <c r="AE218" s="439"/>
      <c r="AF218" s="439"/>
    </row>
    <row r="219" ht="16.5" customHeight="1">
      <c r="A219" s="439"/>
      <c r="B219" s="454">
        <f t="shared" si="4"/>
        <v>1210</v>
      </c>
      <c r="C219" s="468"/>
      <c r="D219" s="442" t="str">
        <f>IF(G219="","",(VLOOKUP(G219,'2. SMDA BHN'!$B$12:$J512,2,0)))</f>
        <v/>
      </c>
      <c r="E219" s="443">
        <f>IF(G219=0,0,(VLOOKUP(G219,'2. SMDA BHN'!$B$12:$J512,3,0)))</f>
        <v>0</v>
      </c>
      <c r="F219" s="444"/>
      <c r="G219" s="467"/>
      <c r="H219" s="446">
        <f>IF(G219=0,0,(VLOOKUP(G219,'2. SMDA BHN'!$B$12:$H512,4,0)))</f>
        <v>0</v>
      </c>
      <c r="I219" s="460"/>
      <c r="J219" s="461"/>
      <c r="K219" s="448">
        <f>SUMIF('PO MTRL'!$G$9:$G512,G219,'PO MTRL'!$J$9:$J512)</f>
        <v>0</v>
      </c>
      <c r="L219" s="448">
        <f t="shared" si="1"/>
        <v>0</v>
      </c>
      <c r="M219" s="449">
        <f>SUMIF('PO MTRL'!$G$9:$G512,G219,'PO MTRL'!$L$9:$L512)</f>
        <v>0</v>
      </c>
      <c r="N219" s="450">
        <f>IF(G219=0,0,(VLOOKUP(G219,'2. SMDA BHN'!$B$12:$H512,5,0)))</f>
        <v>0</v>
      </c>
      <c r="O219" s="450">
        <f>IF(G219=0,0,(VLOOKUP(G219,'2. SMDA BHN'!$B$12:$H512,7,0)))</f>
        <v>0</v>
      </c>
      <c r="P219" s="449">
        <f t="shared" si="2"/>
        <v>0</v>
      </c>
      <c r="Q219" s="449">
        <f t="shared" si="3"/>
        <v>0</v>
      </c>
      <c r="R219" s="451" t="s">
        <v>45</v>
      </c>
      <c r="S219" s="464"/>
      <c r="T219" s="439"/>
      <c r="U219" s="16"/>
      <c r="V219" s="439"/>
      <c r="W219" s="439"/>
      <c r="X219" s="439"/>
      <c r="Y219" s="439"/>
      <c r="Z219" s="439"/>
      <c r="AA219" s="439"/>
      <c r="AB219" s="439"/>
      <c r="AC219" s="439"/>
      <c r="AD219" s="439"/>
      <c r="AE219" s="439"/>
      <c r="AF219" s="439"/>
    </row>
    <row r="220" ht="16.5" customHeight="1">
      <c r="A220" s="439"/>
      <c r="B220" s="454">
        <f t="shared" si="4"/>
        <v>1211</v>
      </c>
      <c r="C220" s="468"/>
      <c r="D220" s="442" t="str">
        <f>IF(G220="","",(VLOOKUP(G220,'2. SMDA BHN'!$B$12:$J512,2,0)))</f>
        <v/>
      </c>
      <c r="E220" s="443">
        <f>IF(G220=0,0,(VLOOKUP(G220,'2. SMDA BHN'!$B$12:$J512,3,0)))</f>
        <v>0</v>
      </c>
      <c r="F220" s="444"/>
      <c r="G220" s="467"/>
      <c r="H220" s="446">
        <f>IF(G220=0,0,(VLOOKUP(G220,'2. SMDA BHN'!$B$12:$H512,4,0)))</f>
        <v>0</v>
      </c>
      <c r="I220" s="460"/>
      <c r="J220" s="461"/>
      <c r="K220" s="448">
        <f>SUMIF('PO MTRL'!$G$9:$G512,G220,'PO MTRL'!$J$9:$J512)</f>
        <v>0</v>
      </c>
      <c r="L220" s="448">
        <f t="shared" si="1"/>
        <v>0</v>
      </c>
      <c r="M220" s="449">
        <f>SUMIF('PO MTRL'!$G$9:$G512,G220,'PO MTRL'!$L$9:$L512)</f>
        <v>0</v>
      </c>
      <c r="N220" s="450">
        <f>IF(G220=0,0,(VLOOKUP(G220,'2. SMDA BHN'!$B$12:$H512,5,0)))</f>
        <v>0</v>
      </c>
      <c r="O220" s="450">
        <f>IF(G220=0,0,(VLOOKUP(G220,'2. SMDA BHN'!$B$12:$H512,7,0)))</f>
        <v>0</v>
      </c>
      <c r="P220" s="449">
        <f t="shared" si="2"/>
        <v>0</v>
      </c>
      <c r="Q220" s="449">
        <f t="shared" si="3"/>
        <v>0</v>
      </c>
      <c r="R220" s="451" t="s">
        <v>45</v>
      </c>
      <c r="S220" s="464"/>
      <c r="T220" s="439"/>
      <c r="U220" s="16"/>
      <c r="V220" s="439"/>
      <c r="W220" s="439"/>
      <c r="X220" s="439"/>
      <c r="Y220" s="439"/>
      <c r="Z220" s="439"/>
      <c r="AA220" s="439"/>
      <c r="AB220" s="439"/>
      <c r="AC220" s="439"/>
      <c r="AD220" s="439"/>
      <c r="AE220" s="439"/>
      <c r="AF220" s="439"/>
    </row>
    <row r="221" ht="16.5" customHeight="1">
      <c r="A221" s="439"/>
      <c r="B221" s="454">
        <f t="shared" si="4"/>
        <v>1212</v>
      </c>
      <c r="C221" s="468"/>
      <c r="D221" s="442" t="str">
        <f>IF(G221="","",(VLOOKUP(G221,'2. SMDA BHN'!$B$12:$J512,2,0)))</f>
        <v/>
      </c>
      <c r="E221" s="443">
        <f>IF(G221=0,0,(VLOOKUP(G221,'2. SMDA BHN'!$B$12:$J512,3,0)))</f>
        <v>0</v>
      </c>
      <c r="F221" s="444"/>
      <c r="G221" s="467"/>
      <c r="H221" s="446">
        <f>IF(G221=0,0,(VLOOKUP(G221,'2. SMDA BHN'!$B$12:$H512,4,0)))</f>
        <v>0</v>
      </c>
      <c r="I221" s="460"/>
      <c r="J221" s="461"/>
      <c r="K221" s="448">
        <f>SUMIF('PO MTRL'!$G$9:$G512,G221,'PO MTRL'!$J$9:$J512)</f>
        <v>0</v>
      </c>
      <c r="L221" s="448">
        <f t="shared" si="1"/>
        <v>0</v>
      </c>
      <c r="M221" s="449">
        <f>SUMIF('PO MTRL'!$G$9:$G512,G221,'PO MTRL'!$L$9:$L512)</f>
        <v>0</v>
      </c>
      <c r="N221" s="450">
        <f>IF(G221=0,0,(VLOOKUP(G221,'2. SMDA BHN'!$B$12:$H512,5,0)))</f>
        <v>0</v>
      </c>
      <c r="O221" s="450">
        <f>IF(G221=0,0,(VLOOKUP(G221,'2. SMDA BHN'!$B$12:$H512,7,0)))</f>
        <v>0</v>
      </c>
      <c r="P221" s="449">
        <f t="shared" si="2"/>
        <v>0</v>
      </c>
      <c r="Q221" s="449">
        <f t="shared" si="3"/>
        <v>0</v>
      </c>
      <c r="R221" s="451" t="s">
        <v>45</v>
      </c>
      <c r="S221" s="464"/>
      <c r="T221" s="439"/>
      <c r="U221" s="16"/>
      <c r="V221" s="439"/>
      <c r="W221" s="439"/>
      <c r="X221" s="439"/>
      <c r="Y221" s="439"/>
      <c r="Z221" s="439"/>
      <c r="AA221" s="439"/>
      <c r="AB221" s="439"/>
      <c r="AC221" s="439"/>
      <c r="AD221" s="439"/>
      <c r="AE221" s="439"/>
      <c r="AF221" s="439"/>
    </row>
    <row r="222" ht="16.5" customHeight="1">
      <c r="A222" s="439"/>
      <c r="B222" s="454">
        <f t="shared" si="4"/>
        <v>1213</v>
      </c>
      <c r="C222" s="468"/>
      <c r="D222" s="442" t="str">
        <f>IF(G222="","",(VLOOKUP(G222,'2. SMDA BHN'!$B$12:$J512,2,0)))</f>
        <v/>
      </c>
      <c r="E222" s="443">
        <f>IF(G222=0,0,(VLOOKUP(G222,'2. SMDA BHN'!$B$12:$J512,3,0)))</f>
        <v>0</v>
      </c>
      <c r="F222" s="444"/>
      <c r="G222" s="467"/>
      <c r="H222" s="446">
        <f>IF(G222=0,0,(VLOOKUP(G222,'2. SMDA BHN'!$B$12:$H512,4,0)))</f>
        <v>0</v>
      </c>
      <c r="I222" s="460"/>
      <c r="J222" s="461"/>
      <c r="K222" s="448">
        <f>SUMIF('PO MTRL'!$G$9:$G512,G222,'PO MTRL'!$J$9:$J512)</f>
        <v>0</v>
      </c>
      <c r="L222" s="448">
        <f t="shared" si="1"/>
        <v>0</v>
      </c>
      <c r="M222" s="449">
        <f>SUMIF('PO MTRL'!$G$9:$G512,G222,'PO MTRL'!$L$9:$L512)</f>
        <v>0</v>
      </c>
      <c r="N222" s="450">
        <f>IF(G222=0,0,(VLOOKUP(G222,'2. SMDA BHN'!$B$12:$H512,5,0)))</f>
        <v>0</v>
      </c>
      <c r="O222" s="450">
        <f>IF(G222=0,0,(VLOOKUP(G222,'2. SMDA BHN'!$B$12:$H512,7,0)))</f>
        <v>0</v>
      </c>
      <c r="P222" s="449">
        <f t="shared" si="2"/>
        <v>0</v>
      </c>
      <c r="Q222" s="449">
        <f t="shared" si="3"/>
        <v>0</v>
      </c>
      <c r="R222" s="451" t="s">
        <v>45</v>
      </c>
      <c r="S222" s="464"/>
      <c r="T222" s="439"/>
      <c r="U222" s="16"/>
      <c r="V222" s="439"/>
      <c r="W222" s="439"/>
      <c r="X222" s="439"/>
      <c r="Y222" s="439"/>
      <c r="Z222" s="439"/>
      <c r="AA222" s="439"/>
      <c r="AB222" s="439"/>
      <c r="AC222" s="439"/>
      <c r="AD222" s="439"/>
      <c r="AE222" s="439"/>
      <c r="AF222" s="439"/>
    </row>
    <row r="223" ht="16.5" customHeight="1">
      <c r="A223" s="439"/>
      <c r="B223" s="454">
        <f t="shared" si="4"/>
        <v>1214</v>
      </c>
      <c r="C223" s="468"/>
      <c r="D223" s="442" t="str">
        <f>IF(G223="","",(VLOOKUP(G223,'2. SMDA BHN'!$B$12:$J512,2,0)))</f>
        <v/>
      </c>
      <c r="E223" s="443">
        <f>IF(G223=0,0,(VLOOKUP(G223,'2. SMDA BHN'!$B$12:$J512,3,0)))</f>
        <v>0</v>
      </c>
      <c r="F223" s="444"/>
      <c r="G223" s="467"/>
      <c r="H223" s="446">
        <f>IF(G223=0,0,(VLOOKUP(G223,'2. SMDA BHN'!$B$12:$H512,4,0)))</f>
        <v>0</v>
      </c>
      <c r="I223" s="460"/>
      <c r="J223" s="461"/>
      <c r="K223" s="448">
        <f>SUMIF('PO MTRL'!$G$9:$G512,G223,'PO MTRL'!$J$9:$J512)</f>
        <v>0</v>
      </c>
      <c r="L223" s="448">
        <f t="shared" si="1"/>
        <v>0</v>
      </c>
      <c r="M223" s="449">
        <f>SUMIF('PO MTRL'!$G$9:$G512,G223,'PO MTRL'!$L$9:$L512)</f>
        <v>0</v>
      </c>
      <c r="N223" s="450">
        <f>IF(G223=0,0,(VLOOKUP(G223,'2. SMDA BHN'!$B$12:$H512,5,0)))</f>
        <v>0</v>
      </c>
      <c r="O223" s="450">
        <f>IF(G223=0,0,(VLOOKUP(G223,'2. SMDA BHN'!$B$12:$H512,7,0)))</f>
        <v>0</v>
      </c>
      <c r="P223" s="449">
        <f t="shared" si="2"/>
        <v>0</v>
      </c>
      <c r="Q223" s="449">
        <f t="shared" si="3"/>
        <v>0</v>
      </c>
      <c r="R223" s="451" t="s">
        <v>45</v>
      </c>
      <c r="S223" s="464"/>
      <c r="T223" s="439"/>
      <c r="U223" s="16"/>
      <c r="V223" s="439"/>
      <c r="W223" s="439"/>
      <c r="X223" s="439"/>
      <c r="Y223" s="439"/>
      <c r="Z223" s="439"/>
      <c r="AA223" s="439"/>
      <c r="AB223" s="439"/>
      <c r="AC223" s="439"/>
      <c r="AD223" s="439"/>
      <c r="AE223" s="439"/>
      <c r="AF223" s="439"/>
    </row>
    <row r="224" ht="16.5" customHeight="1">
      <c r="A224" s="439"/>
      <c r="B224" s="454">
        <f t="shared" si="4"/>
        <v>1215</v>
      </c>
      <c r="C224" s="468"/>
      <c r="D224" s="442" t="str">
        <f>IF(G224="","",(VLOOKUP(G224,'2. SMDA BHN'!$B$12:$J512,2,0)))</f>
        <v/>
      </c>
      <c r="E224" s="443">
        <f>IF(G224=0,0,(VLOOKUP(G224,'2. SMDA BHN'!$B$12:$J512,3,0)))</f>
        <v>0</v>
      </c>
      <c r="F224" s="444"/>
      <c r="G224" s="467"/>
      <c r="H224" s="446">
        <f>IF(G224=0,0,(VLOOKUP(G224,'2. SMDA BHN'!$B$12:$H512,4,0)))</f>
        <v>0</v>
      </c>
      <c r="I224" s="460"/>
      <c r="J224" s="461"/>
      <c r="K224" s="448">
        <f>SUMIF('PO MTRL'!$G$9:$G512,G224,'PO MTRL'!$J$9:$J512)</f>
        <v>0</v>
      </c>
      <c r="L224" s="448">
        <f t="shared" si="1"/>
        <v>0</v>
      </c>
      <c r="M224" s="449">
        <f>SUMIF('PO MTRL'!$G$9:$G512,G224,'PO MTRL'!$L$9:$L512)</f>
        <v>0</v>
      </c>
      <c r="N224" s="450">
        <f>IF(G224=0,0,(VLOOKUP(G224,'2. SMDA BHN'!$B$12:$H512,5,0)))</f>
        <v>0</v>
      </c>
      <c r="O224" s="450">
        <f>IF(G224=0,0,(VLOOKUP(G224,'2. SMDA BHN'!$B$12:$H512,7,0)))</f>
        <v>0</v>
      </c>
      <c r="P224" s="449">
        <f t="shared" si="2"/>
        <v>0</v>
      </c>
      <c r="Q224" s="449">
        <f t="shared" si="3"/>
        <v>0</v>
      </c>
      <c r="R224" s="451" t="s">
        <v>45</v>
      </c>
      <c r="S224" s="464"/>
      <c r="T224" s="439"/>
      <c r="U224" s="16"/>
      <c r="V224" s="439"/>
      <c r="W224" s="439"/>
      <c r="X224" s="439"/>
      <c r="Y224" s="439"/>
      <c r="Z224" s="439"/>
      <c r="AA224" s="439"/>
      <c r="AB224" s="439"/>
      <c r="AC224" s="439"/>
      <c r="AD224" s="439"/>
      <c r="AE224" s="439"/>
      <c r="AF224" s="439"/>
    </row>
    <row r="225" ht="16.5" customHeight="1">
      <c r="A225" s="439"/>
      <c r="B225" s="454">
        <f t="shared" si="4"/>
        <v>1216</v>
      </c>
      <c r="C225" s="468"/>
      <c r="D225" s="442" t="str">
        <f>IF(G225="","",(VLOOKUP(G225,'2. SMDA BHN'!$B$12:$J512,2,0)))</f>
        <v/>
      </c>
      <c r="E225" s="443">
        <f>IF(G225=0,0,(VLOOKUP(G225,'2. SMDA BHN'!$B$12:$J512,3,0)))</f>
        <v>0</v>
      </c>
      <c r="F225" s="444"/>
      <c r="G225" s="467"/>
      <c r="H225" s="446">
        <f>IF(G225=0,0,(VLOOKUP(G225,'2. SMDA BHN'!$B$12:$H512,4,0)))</f>
        <v>0</v>
      </c>
      <c r="I225" s="460"/>
      <c r="J225" s="461"/>
      <c r="K225" s="448">
        <f>SUMIF('PO MTRL'!$G$9:$G512,G225,'PO MTRL'!$J$9:$J512)</f>
        <v>0</v>
      </c>
      <c r="L225" s="448">
        <f t="shared" si="1"/>
        <v>0</v>
      </c>
      <c r="M225" s="449">
        <f>SUMIF('PO MTRL'!$G$9:$G512,G225,'PO MTRL'!$L$9:$L512)</f>
        <v>0</v>
      </c>
      <c r="N225" s="450">
        <f>IF(G225=0,0,(VLOOKUP(G225,'2. SMDA BHN'!$B$12:$H512,5,0)))</f>
        <v>0</v>
      </c>
      <c r="O225" s="450">
        <f>IF(G225=0,0,(VLOOKUP(G225,'2. SMDA BHN'!$B$12:$H512,7,0)))</f>
        <v>0</v>
      </c>
      <c r="P225" s="449">
        <f t="shared" si="2"/>
        <v>0</v>
      </c>
      <c r="Q225" s="449">
        <f t="shared" si="3"/>
        <v>0</v>
      </c>
      <c r="R225" s="451" t="s">
        <v>45</v>
      </c>
      <c r="S225" s="464"/>
      <c r="T225" s="439"/>
      <c r="U225" s="16"/>
      <c r="V225" s="439"/>
      <c r="W225" s="439"/>
      <c r="X225" s="439"/>
      <c r="Y225" s="439"/>
      <c r="Z225" s="439"/>
      <c r="AA225" s="439"/>
      <c r="AB225" s="439"/>
      <c r="AC225" s="439"/>
      <c r="AD225" s="439"/>
      <c r="AE225" s="439"/>
      <c r="AF225" s="439"/>
    </row>
    <row r="226" ht="16.5" customHeight="1">
      <c r="A226" s="439"/>
      <c r="B226" s="454">
        <f t="shared" si="4"/>
        <v>1217</v>
      </c>
      <c r="C226" s="468"/>
      <c r="D226" s="442" t="str">
        <f>IF(G226="","",(VLOOKUP(G226,'2. SMDA BHN'!$B$12:$J512,2,0)))</f>
        <v/>
      </c>
      <c r="E226" s="443">
        <f>IF(G226=0,0,(VLOOKUP(G226,'2. SMDA BHN'!$B$12:$J512,3,0)))</f>
        <v>0</v>
      </c>
      <c r="F226" s="444"/>
      <c r="G226" s="467"/>
      <c r="H226" s="446">
        <f>IF(G226=0,0,(VLOOKUP(G226,'2. SMDA BHN'!$B$12:$H512,4,0)))</f>
        <v>0</v>
      </c>
      <c r="I226" s="460"/>
      <c r="J226" s="461"/>
      <c r="K226" s="448">
        <f>SUMIF('PO MTRL'!$G$9:$G512,G226,'PO MTRL'!$J$9:$J512)</f>
        <v>0</v>
      </c>
      <c r="L226" s="448">
        <f t="shared" si="1"/>
        <v>0</v>
      </c>
      <c r="M226" s="449">
        <f>SUMIF('PO MTRL'!$G$9:$G512,G226,'PO MTRL'!$L$9:$L512)</f>
        <v>0</v>
      </c>
      <c r="N226" s="450">
        <f>IF(G226=0,0,(VLOOKUP(G226,'2. SMDA BHN'!$B$12:$H512,5,0)))</f>
        <v>0</v>
      </c>
      <c r="O226" s="450">
        <f>IF(G226=0,0,(VLOOKUP(G226,'2. SMDA BHN'!$B$12:$H512,7,0)))</f>
        <v>0</v>
      </c>
      <c r="P226" s="449">
        <f t="shared" si="2"/>
        <v>0</v>
      </c>
      <c r="Q226" s="449">
        <f t="shared" si="3"/>
        <v>0</v>
      </c>
      <c r="R226" s="451" t="s">
        <v>45</v>
      </c>
      <c r="S226" s="464"/>
      <c r="T226" s="439"/>
      <c r="U226" s="16"/>
      <c r="V226" s="439"/>
      <c r="W226" s="439"/>
      <c r="X226" s="439"/>
      <c r="Y226" s="439"/>
      <c r="Z226" s="439"/>
      <c r="AA226" s="439"/>
      <c r="AB226" s="439"/>
      <c r="AC226" s="439"/>
      <c r="AD226" s="439"/>
      <c r="AE226" s="439"/>
      <c r="AF226" s="439"/>
    </row>
    <row r="227" ht="16.5" customHeight="1">
      <c r="A227" s="439"/>
      <c r="B227" s="454">
        <f t="shared" si="4"/>
        <v>1218</v>
      </c>
      <c r="C227" s="468"/>
      <c r="D227" s="442" t="str">
        <f>IF(G227="","",(VLOOKUP(G227,'2. SMDA BHN'!$B$12:$J512,2,0)))</f>
        <v/>
      </c>
      <c r="E227" s="443">
        <f>IF(G227=0,0,(VLOOKUP(G227,'2. SMDA BHN'!$B$12:$J512,3,0)))</f>
        <v>0</v>
      </c>
      <c r="F227" s="444"/>
      <c r="G227" s="467"/>
      <c r="H227" s="446">
        <f>IF(G227=0,0,(VLOOKUP(G227,'2. SMDA BHN'!$B$12:$H512,4,0)))</f>
        <v>0</v>
      </c>
      <c r="I227" s="460"/>
      <c r="J227" s="461"/>
      <c r="K227" s="448">
        <f>SUMIF('PO MTRL'!$G$9:$G512,G227,'PO MTRL'!$J$9:$J512)</f>
        <v>0</v>
      </c>
      <c r="L227" s="448">
        <f t="shared" si="1"/>
        <v>0</v>
      </c>
      <c r="M227" s="449">
        <f>SUMIF('PO MTRL'!$G$9:$G512,G227,'PO MTRL'!$L$9:$L512)</f>
        <v>0</v>
      </c>
      <c r="N227" s="450">
        <f>IF(G227=0,0,(VLOOKUP(G227,'2. SMDA BHN'!$B$12:$H512,5,0)))</f>
        <v>0</v>
      </c>
      <c r="O227" s="450">
        <f>IF(G227=0,0,(VLOOKUP(G227,'2. SMDA BHN'!$B$12:$H512,7,0)))</f>
        <v>0</v>
      </c>
      <c r="P227" s="449">
        <f t="shared" si="2"/>
        <v>0</v>
      </c>
      <c r="Q227" s="449">
        <f t="shared" si="3"/>
        <v>0</v>
      </c>
      <c r="R227" s="451" t="s">
        <v>45</v>
      </c>
      <c r="S227" s="464"/>
      <c r="T227" s="439"/>
      <c r="U227" s="16"/>
      <c r="V227" s="439"/>
      <c r="W227" s="439"/>
      <c r="X227" s="439"/>
      <c r="Y227" s="439"/>
      <c r="Z227" s="439"/>
      <c r="AA227" s="439"/>
      <c r="AB227" s="439"/>
      <c r="AC227" s="439"/>
      <c r="AD227" s="439"/>
      <c r="AE227" s="439"/>
      <c r="AF227" s="439"/>
    </row>
    <row r="228" ht="16.5" customHeight="1">
      <c r="A228" s="439"/>
      <c r="B228" s="454">
        <f t="shared" si="4"/>
        <v>1219</v>
      </c>
      <c r="C228" s="468"/>
      <c r="D228" s="442" t="str">
        <f>IF(G228="","",(VLOOKUP(G228,'2. SMDA BHN'!$B$12:$J512,2,0)))</f>
        <v/>
      </c>
      <c r="E228" s="443">
        <f>IF(G228=0,0,(VLOOKUP(G228,'2. SMDA BHN'!$B$12:$J512,3,0)))</f>
        <v>0</v>
      </c>
      <c r="F228" s="444"/>
      <c r="G228" s="467"/>
      <c r="H228" s="446">
        <f>IF(G228=0,0,(VLOOKUP(G228,'2. SMDA BHN'!$B$12:$H512,4,0)))</f>
        <v>0</v>
      </c>
      <c r="I228" s="460"/>
      <c r="J228" s="461"/>
      <c r="K228" s="448">
        <f>SUMIF('PO MTRL'!$G$9:$G512,G228,'PO MTRL'!$J$9:$J512)</f>
        <v>0</v>
      </c>
      <c r="L228" s="448">
        <f t="shared" si="1"/>
        <v>0</v>
      </c>
      <c r="M228" s="449">
        <f>SUMIF('PO MTRL'!$G$9:$G512,G228,'PO MTRL'!$L$9:$L512)</f>
        <v>0</v>
      </c>
      <c r="N228" s="450">
        <f>IF(G228=0,0,(VLOOKUP(G228,'2. SMDA BHN'!$B$12:$H512,5,0)))</f>
        <v>0</v>
      </c>
      <c r="O228" s="450">
        <f>IF(G228=0,0,(VLOOKUP(G228,'2. SMDA BHN'!$B$12:$H512,7,0)))</f>
        <v>0</v>
      </c>
      <c r="P228" s="449">
        <f t="shared" si="2"/>
        <v>0</v>
      </c>
      <c r="Q228" s="449">
        <f t="shared" si="3"/>
        <v>0</v>
      </c>
      <c r="R228" s="451" t="s">
        <v>45</v>
      </c>
      <c r="S228" s="464"/>
      <c r="T228" s="439"/>
      <c r="U228" s="16"/>
      <c r="V228" s="439"/>
      <c r="W228" s="439"/>
      <c r="X228" s="439"/>
      <c r="Y228" s="439"/>
      <c r="Z228" s="439"/>
      <c r="AA228" s="439"/>
      <c r="AB228" s="439"/>
      <c r="AC228" s="439"/>
      <c r="AD228" s="439"/>
      <c r="AE228" s="439"/>
      <c r="AF228" s="439"/>
    </row>
    <row r="229" ht="16.5" customHeight="1">
      <c r="A229" s="439"/>
      <c r="B229" s="454">
        <f t="shared" si="4"/>
        <v>1220</v>
      </c>
      <c r="C229" s="468"/>
      <c r="D229" s="442" t="str">
        <f>IF(G229="","",(VLOOKUP(G229,'2. SMDA BHN'!$B$12:$J512,2,0)))</f>
        <v/>
      </c>
      <c r="E229" s="443">
        <f>IF(G229=0,0,(VLOOKUP(G229,'2. SMDA BHN'!$B$12:$J512,3,0)))</f>
        <v>0</v>
      </c>
      <c r="F229" s="444"/>
      <c r="G229" s="467"/>
      <c r="H229" s="446">
        <f>IF(G229=0,0,(VLOOKUP(G229,'2. SMDA BHN'!$B$12:$H512,4,0)))</f>
        <v>0</v>
      </c>
      <c r="I229" s="460"/>
      <c r="J229" s="461"/>
      <c r="K229" s="448">
        <f>SUMIF('PO MTRL'!$G$9:$G512,G229,'PO MTRL'!$J$9:$J512)</f>
        <v>0</v>
      </c>
      <c r="L229" s="448">
        <f t="shared" si="1"/>
        <v>0</v>
      </c>
      <c r="M229" s="449">
        <f>SUMIF('PO MTRL'!$G$9:$G512,G229,'PO MTRL'!$L$9:$L512)</f>
        <v>0</v>
      </c>
      <c r="N229" s="450">
        <f>IF(G229=0,0,(VLOOKUP(G229,'2. SMDA BHN'!$B$12:$H512,5,0)))</f>
        <v>0</v>
      </c>
      <c r="O229" s="450">
        <f>IF(G229=0,0,(VLOOKUP(G229,'2. SMDA BHN'!$B$12:$H512,7,0)))</f>
        <v>0</v>
      </c>
      <c r="P229" s="449">
        <f t="shared" si="2"/>
        <v>0</v>
      </c>
      <c r="Q229" s="449">
        <f t="shared" si="3"/>
        <v>0</v>
      </c>
      <c r="R229" s="451" t="s">
        <v>45</v>
      </c>
      <c r="S229" s="464"/>
      <c r="T229" s="439"/>
      <c r="U229" s="16"/>
      <c r="V229" s="439"/>
      <c r="W229" s="439"/>
      <c r="X229" s="439"/>
      <c r="Y229" s="439"/>
      <c r="Z229" s="439"/>
      <c r="AA229" s="439"/>
      <c r="AB229" s="439"/>
      <c r="AC229" s="439"/>
      <c r="AD229" s="439"/>
      <c r="AE229" s="439"/>
      <c r="AF229" s="439"/>
    </row>
    <row r="230" ht="16.5" customHeight="1">
      <c r="A230" s="439"/>
      <c r="B230" s="454">
        <f t="shared" si="4"/>
        <v>1221</v>
      </c>
      <c r="C230" s="468"/>
      <c r="D230" s="442" t="str">
        <f>IF(G230="","",(VLOOKUP(G230,'2. SMDA BHN'!$B$12:$J512,2,0)))</f>
        <v/>
      </c>
      <c r="E230" s="443">
        <f>IF(G230=0,0,(VLOOKUP(G230,'2. SMDA BHN'!$B$12:$J512,3,0)))</f>
        <v>0</v>
      </c>
      <c r="F230" s="444"/>
      <c r="G230" s="467"/>
      <c r="H230" s="446">
        <f>IF(G230=0,0,(VLOOKUP(G230,'2. SMDA BHN'!$B$12:$H512,4,0)))</f>
        <v>0</v>
      </c>
      <c r="I230" s="460"/>
      <c r="J230" s="461"/>
      <c r="K230" s="448">
        <f>SUMIF('PO MTRL'!$G$9:$G512,G230,'PO MTRL'!$J$9:$J512)</f>
        <v>0</v>
      </c>
      <c r="L230" s="448">
        <f t="shared" si="1"/>
        <v>0</v>
      </c>
      <c r="M230" s="449">
        <f>SUMIF('PO MTRL'!$G$9:$G512,G230,'PO MTRL'!$L$9:$L512)</f>
        <v>0</v>
      </c>
      <c r="N230" s="450">
        <f>IF(G230=0,0,(VLOOKUP(G230,'2. SMDA BHN'!$B$12:$H512,5,0)))</f>
        <v>0</v>
      </c>
      <c r="O230" s="450">
        <f>IF(G230=0,0,(VLOOKUP(G230,'2. SMDA BHN'!$B$12:$H512,7,0)))</f>
        <v>0</v>
      </c>
      <c r="P230" s="449">
        <f t="shared" si="2"/>
        <v>0</v>
      </c>
      <c r="Q230" s="449">
        <f t="shared" si="3"/>
        <v>0</v>
      </c>
      <c r="R230" s="451" t="s">
        <v>45</v>
      </c>
      <c r="S230" s="464"/>
      <c r="T230" s="439"/>
      <c r="U230" s="16"/>
      <c r="V230" s="439"/>
      <c r="W230" s="439"/>
      <c r="X230" s="439"/>
      <c r="Y230" s="439"/>
      <c r="Z230" s="439"/>
      <c r="AA230" s="439"/>
      <c r="AB230" s="439"/>
      <c r="AC230" s="439"/>
      <c r="AD230" s="439"/>
      <c r="AE230" s="439"/>
      <c r="AF230" s="439"/>
    </row>
    <row r="231" ht="16.5" customHeight="1">
      <c r="A231" s="439"/>
      <c r="B231" s="454">
        <f t="shared" si="4"/>
        <v>1222</v>
      </c>
      <c r="C231" s="468"/>
      <c r="D231" s="442" t="str">
        <f>IF(G231="","",(VLOOKUP(G231,'2. SMDA BHN'!$B$12:$J512,2,0)))</f>
        <v/>
      </c>
      <c r="E231" s="443">
        <f>IF(G231=0,0,(VLOOKUP(G231,'2. SMDA BHN'!$B$12:$J512,3,0)))</f>
        <v>0</v>
      </c>
      <c r="F231" s="444"/>
      <c r="G231" s="467"/>
      <c r="H231" s="446">
        <f>IF(G231=0,0,(VLOOKUP(G231,'2. SMDA BHN'!$B$12:$H512,4,0)))</f>
        <v>0</v>
      </c>
      <c r="I231" s="460"/>
      <c r="J231" s="461"/>
      <c r="K231" s="448">
        <f>SUMIF('PO MTRL'!$G$9:$G512,G231,'PO MTRL'!$J$9:$J512)</f>
        <v>0</v>
      </c>
      <c r="L231" s="448">
        <f t="shared" si="1"/>
        <v>0</v>
      </c>
      <c r="M231" s="449">
        <f>SUMIF('PO MTRL'!$G$9:$G512,G231,'PO MTRL'!$L$9:$L512)</f>
        <v>0</v>
      </c>
      <c r="N231" s="450">
        <f>IF(G231=0,0,(VLOOKUP(G231,'2. SMDA BHN'!$B$12:$H512,5,0)))</f>
        <v>0</v>
      </c>
      <c r="O231" s="450">
        <f>IF(G231=0,0,(VLOOKUP(G231,'2. SMDA BHN'!$B$12:$H512,7,0)))</f>
        <v>0</v>
      </c>
      <c r="P231" s="449">
        <f t="shared" si="2"/>
        <v>0</v>
      </c>
      <c r="Q231" s="449">
        <f t="shared" si="3"/>
        <v>0</v>
      </c>
      <c r="R231" s="451" t="s">
        <v>45</v>
      </c>
      <c r="S231" s="464"/>
      <c r="T231" s="439"/>
      <c r="U231" s="16"/>
      <c r="V231" s="439"/>
      <c r="W231" s="439"/>
      <c r="X231" s="439"/>
      <c r="Y231" s="439"/>
      <c r="Z231" s="439"/>
      <c r="AA231" s="439"/>
      <c r="AB231" s="439"/>
      <c r="AC231" s="439"/>
      <c r="AD231" s="439"/>
      <c r="AE231" s="439"/>
      <c r="AF231" s="439"/>
    </row>
    <row r="232" ht="16.5" customHeight="1">
      <c r="A232" s="439"/>
      <c r="B232" s="454">
        <f t="shared" si="4"/>
        <v>1223</v>
      </c>
      <c r="C232" s="468"/>
      <c r="D232" s="442" t="str">
        <f>IF(G232="","",(VLOOKUP(G232,'2. SMDA BHN'!$B$12:$J512,2,0)))</f>
        <v/>
      </c>
      <c r="E232" s="443">
        <f>IF(G232=0,0,(VLOOKUP(G232,'2. SMDA BHN'!$B$12:$J512,3,0)))</f>
        <v>0</v>
      </c>
      <c r="F232" s="444"/>
      <c r="G232" s="467"/>
      <c r="H232" s="446">
        <f>IF(G232=0,0,(VLOOKUP(G232,'2. SMDA BHN'!$B$12:$H512,4,0)))</f>
        <v>0</v>
      </c>
      <c r="I232" s="460"/>
      <c r="J232" s="461"/>
      <c r="K232" s="448">
        <f>SUMIF('PO MTRL'!$G$9:$G512,G232,'PO MTRL'!$J$9:$J512)</f>
        <v>0</v>
      </c>
      <c r="L232" s="448">
        <f t="shared" si="1"/>
        <v>0</v>
      </c>
      <c r="M232" s="449">
        <f>SUMIF('PO MTRL'!$G$9:$G512,G232,'PO MTRL'!$L$9:$L512)</f>
        <v>0</v>
      </c>
      <c r="N232" s="450">
        <f>IF(G232=0,0,(VLOOKUP(G232,'2. SMDA BHN'!$B$12:$H512,5,0)))</f>
        <v>0</v>
      </c>
      <c r="O232" s="450">
        <f>IF(G232=0,0,(VLOOKUP(G232,'2. SMDA BHN'!$B$12:$H512,7,0)))</f>
        <v>0</v>
      </c>
      <c r="P232" s="449">
        <f t="shared" si="2"/>
        <v>0</v>
      </c>
      <c r="Q232" s="449">
        <f t="shared" si="3"/>
        <v>0</v>
      </c>
      <c r="R232" s="451" t="s">
        <v>45</v>
      </c>
      <c r="S232" s="464"/>
      <c r="T232" s="439"/>
      <c r="U232" s="16"/>
      <c r="V232" s="439"/>
      <c r="W232" s="439"/>
      <c r="X232" s="439"/>
      <c r="Y232" s="439"/>
      <c r="Z232" s="439"/>
      <c r="AA232" s="439"/>
      <c r="AB232" s="439"/>
      <c r="AC232" s="439"/>
      <c r="AD232" s="439"/>
      <c r="AE232" s="439"/>
      <c r="AF232" s="439"/>
    </row>
    <row r="233" ht="16.5" customHeight="1">
      <c r="A233" s="439"/>
      <c r="B233" s="454">
        <f t="shared" si="4"/>
        <v>1224</v>
      </c>
      <c r="C233" s="468"/>
      <c r="D233" s="442" t="str">
        <f>IF(G233="","",(VLOOKUP(G233,'2. SMDA BHN'!$B$12:$J512,2,0)))</f>
        <v/>
      </c>
      <c r="E233" s="443">
        <f>IF(G233=0,0,(VLOOKUP(G233,'2. SMDA BHN'!$B$12:$J512,3,0)))</f>
        <v>0</v>
      </c>
      <c r="F233" s="444"/>
      <c r="G233" s="467"/>
      <c r="H233" s="446">
        <f>IF(G233=0,0,(VLOOKUP(G233,'2. SMDA BHN'!$B$12:$H512,4,0)))</f>
        <v>0</v>
      </c>
      <c r="I233" s="460"/>
      <c r="J233" s="461"/>
      <c r="K233" s="448">
        <f>SUMIF('PO MTRL'!$G$9:$G512,G233,'PO MTRL'!$J$9:$J512)</f>
        <v>0</v>
      </c>
      <c r="L233" s="448">
        <f t="shared" si="1"/>
        <v>0</v>
      </c>
      <c r="M233" s="449">
        <f>SUMIF('PO MTRL'!$G$9:$G512,G233,'PO MTRL'!$L$9:$L512)</f>
        <v>0</v>
      </c>
      <c r="N233" s="450">
        <f>IF(G233=0,0,(VLOOKUP(G233,'2. SMDA BHN'!$B$12:$H512,5,0)))</f>
        <v>0</v>
      </c>
      <c r="O233" s="450">
        <f>IF(G233=0,0,(VLOOKUP(G233,'2. SMDA BHN'!$B$12:$H512,7,0)))</f>
        <v>0</v>
      </c>
      <c r="P233" s="449">
        <f t="shared" si="2"/>
        <v>0</v>
      </c>
      <c r="Q233" s="449">
        <f t="shared" si="3"/>
        <v>0</v>
      </c>
      <c r="R233" s="451" t="s">
        <v>45</v>
      </c>
      <c r="S233" s="464"/>
      <c r="T233" s="439"/>
      <c r="U233" s="16"/>
      <c r="V233" s="439"/>
      <c r="W233" s="439"/>
      <c r="X233" s="439"/>
      <c r="Y233" s="439"/>
      <c r="Z233" s="439"/>
      <c r="AA233" s="439"/>
      <c r="AB233" s="439"/>
      <c r="AC233" s="439"/>
      <c r="AD233" s="439"/>
      <c r="AE233" s="439"/>
      <c r="AF233" s="439"/>
    </row>
    <row r="234" ht="16.5" customHeight="1">
      <c r="A234" s="439"/>
      <c r="B234" s="454">
        <f t="shared" si="4"/>
        <v>1225</v>
      </c>
      <c r="C234" s="468"/>
      <c r="D234" s="442" t="str">
        <f>IF(G234="","",(VLOOKUP(G234,'2. SMDA BHN'!$B$12:$J512,2,0)))</f>
        <v/>
      </c>
      <c r="E234" s="443">
        <f>IF(G234=0,0,(VLOOKUP(G234,'2. SMDA BHN'!$B$12:$J512,3,0)))</f>
        <v>0</v>
      </c>
      <c r="F234" s="444"/>
      <c r="G234" s="467"/>
      <c r="H234" s="446">
        <f>IF(G234=0,0,(VLOOKUP(G234,'2. SMDA BHN'!$B$12:$H512,4,0)))</f>
        <v>0</v>
      </c>
      <c r="I234" s="460"/>
      <c r="J234" s="461"/>
      <c r="K234" s="448">
        <f>SUMIF('PO MTRL'!$G$9:$G512,G234,'PO MTRL'!$J$9:$J512)</f>
        <v>0</v>
      </c>
      <c r="L234" s="448">
        <f t="shared" si="1"/>
        <v>0</v>
      </c>
      <c r="M234" s="449">
        <f>SUMIF('PO MTRL'!$G$9:$G512,G234,'PO MTRL'!$L$9:$L512)</f>
        <v>0</v>
      </c>
      <c r="N234" s="450">
        <f>IF(G234=0,0,(VLOOKUP(G234,'2. SMDA BHN'!$B$12:$H512,5,0)))</f>
        <v>0</v>
      </c>
      <c r="O234" s="450">
        <f>IF(G234=0,0,(VLOOKUP(G234,'2. SMDA BHN'!$B$12:$H512,7,0)))</f>
        <v>0</v>
      </c>
      <c r="P234" s="449">
        <f t="shared" si="2"/>
        <v>0</v>
      </c>
      <c r="Q234" s="449">
        <f t="shared" si="3"/>
        <v>0</v>
      </c>
      <c r="R234" s="451" t="s">
        <v>45</v>
      </c>
      <c r="S234" s="464"/>
      <c r="T234" s="439"/>
      <c r="U234" s="16"/>
      <c r="V234" s="439"/>
      <c r="W234" s="439"/>
      <c r="X234" s="439"/>
      <c r="Y234" s="439"/>
      <c r="Z234" s="439"/>
      <c r="AA234" s="439"/>
      <c r="AB234" s="439"/>
      <c r="AC234" s="439"/>
      <c r="AD234" s="439"/>
      <c r="AE234" s="439"/>
      <c r="AF234" s="439"/>
    </row>
    <row r="235" ht="16.5" customHeight="1">
      <c r="A235" s="439"/>
      <c r="B235" s="454">
        <f t="shared" si="4"/>
        <v>1226</v>
      </c>
      <c r="C235" s="468"/>
      <c r="D235" s="442" t="str">
        <f>IF(G235="","",(VLOOKUP(G235,'2. SMDA BHN'!$B$12:$J512,2,0)))</f>
        <v/>
      </c>
      <c r="E235" s="443">
        <f>IF(G235=0,0,(VLOOKUP(G235,'2. SMDA BHN'!$B$12:$J512,3,0)))</f>
        <v>0</v>
      </c>
      <c r="F235" s="444"/>
      <c r="G235" s="467"/>
      <c r="H235" s="446">
        <f>IF(G235=0,0,(VLOOKUP(G235,'2. SMDA BHN'!$B$12:$H512,4,0)))</f>
        <v>0</v>
      </c>
      <c r="I235" s="460"/>
      <c r="J235" s="461"/>
      <c r="K235" s="448">
        <f>SUMIF('PO MTRL'!$G$9:$G512,G235,'PO MTRL'!$J$9:$J512)</f>
        <v>0</v>
      </c>
      <c r="L235" s="448">
        <f t="shared" si="1"/>
        <v>0</v>
      </c>
      <c r="M235" s="449">
        <f>SUMIF('PO MTRL'!$G$9:$G512,G235,'PO MTRL'!$L$9:$L512)</f>
        <v>0</v>
      </c>
      <c r="N235" s="450">
        <f>IF(G235=0,0,(VLOOKUP(G235,'2. SMDA BHN'!$B$12:$H512,5,0)))</f>
        <v>0</v>
      </c>
      <c r="O235" s="450">
        <f>IF(G235=0,0,(VLOOKUP(G235,'2. SMDA BHN'!$B$12:$H512,7,0)))</f>
        <v>0</v>
      </c>
      <c r="P235" s="449">
        <f t="shared" si="2"/>
        <v>0</v>
      </c>
      <c r="Q235" s="449">
        <f t="shared" si="3"/>
        <v>0</v>
      </c>
      <c r="R235" s="451" t="s">
        <v>45</v>
      </c>
      <c r="S235" s="464"/>
      <c r="T235" s="439"/>
      <c r="U235" s="16"/>
      <c r="V235" s="439"/>
      <c r="W235" s="439"/>
      <c r="X235" s="439"/>
      <c r="Y235" s="439"/>
      <c r="Z235" s="439"/>
      <c r="AA235" s="439"/>
      <c r="AB235" s="439"/>
      <c r="AC235" s="439"/>
      <c r="AD235" s="439"/>
      <c r="AE235" s="439"/>
      <c r="AF235" s="439"/>
    </row>
    <row r="236" ht="16.5" customHeight="1">
      <c r="A236" s="439"/>
      <c r="B236" s="454">
        <f t="shared" si="4"/>
        <v>1227</v>
      </c>
      <c r="C236" s="468"/>
      <c r="D236" s="442" t="str">
        <f>IF(G236="","",(VLOOKUP(G236,'2. SMDA BHN'!$B$12:$J512,2,0)))</f>
        <v/>
      </c>
      <c r="E236" s="443">
        <f>IF(G236=0,0,(VLOOKUP(G236,'2. SMDA BHN'!$B$12:$J512,3,0)))</f>
        <v>0</v>
      </c>
      <c r="F236" s="444"/>
      <c r="G236" s="467"/>
      <c r="H236" s="446">
        <f>IF(G236=0,0,(VLOOKUP(G236,'2. SMDA BHN'!$B$12:$H512,4,0)))</f>
        <v>0</v>
      </c>
      <c r="I236" s="460"/>
      <c r="J236" s="461"/>
      <c r="K236" s="448">
        <f>SUMIF('PO MTRL'!$G$9:$G512,G236,'PO MTRL'!$J$9:$J512)</f>
        <v>0</v>
      </c>
      <c r="L236" s="448">
        <f t="shared" si="1"/>
        <v>0</v>
      </c>
      <c r="M236" s="449">
        <f>SUMIF('PO MTRL'!$G$9:$G512,G236,'PO MTRL'!$L$9:$L512)</f>
        <v>0</v>
      </c>
      <c r="N236" s="450">
        <f>IF(G236=0,0,(VLOOKUP(G236,'2. SMDA BHN'!$B$12:$H512,5,0)))</f>
        <v>0</v>
      </c>
      <c r="O236" s="450">
        <f>IF(G236=0,0,(VLOOKUP(G236,'2. SMDA BHN'!$B$12:$H512,7,0)))</f>
        <v>0</v>
      </c>
      <c r="P236" s="449">
        <f t="shared" si="2"/>
        <v>0</v>
      </c>
      <c r="Q236" s="449">
        <f t="shared" si="3"/>
        <v>0</v>
      </c>
      <c r="R236" s="451" t="s">
        <v>45</v>
      </c>
      <c r="S236" s="464"/>
      <c r="T236" s="439"/>
      <c r="U236" s="16"/>
      <c r="V236" s="439"/>
      <c r="W236" s="439"/>
      <c r="X236" s="439"/>
      <c r="Y236" s="439"/>
      <c r="Z236" s="439"/>
      <c r="AA236" s="439"/>
      <c r="AB236" s="439"/>
      <c r="AC236" s="439"/>
      <c r="AD236" s="439"/>
      <c r="AE236" s="439"/>
      <c r="AF236" s="439"/>
    </row>
    <row r="237" ht="16.5" customHeight="1">
      <c r="A237" s="439"/>
      <c r="B237" s="454">
        <f t="shared" si="4"/>
        <v>1228</v>
      </c>
      <c r="C237" s="468"/>
      <c r="D237" s="442" t="str">
        <f>IF(G237="","",(VLOOKUP(G237,'2. SMDA BHN'!$B$12:$J512,2,0)))</f>
        <v/>
      </c>
      <c r="E237" s="443">
        <f>IF(G237=0,0,(VLOOKUP(G237,'2. SMDA BHN'!$B$12:$J512,3,0)))</f>
        <v>0</v>
      </c>
      <c r="F237" s="444"/>
      <c r="G237" s="467"/>
      <c r="H237" s="446">
        <f>IF(G237=0,0,(VLOOKUP(G237,'2. SMDA BHN'!$B$12:$H512,4,0)))</f>
        <v>0</v>
      </c>
      <c r="I237" s="460"/>
      <c r="J237" s="461"/>
      <c r="K237" s="448">
        <f>SUMIF('PO MTRL'!$G$9:$G512,G237,'PO MTRL'!$J$9:$J512)</f>
        <v>0</v>
      </c>
      <c r="L237" s="448">
        <f t="shared" si="1"/>
        <v>0</v>
      </c>
      <c r="M237" s="449">
        <f>SUMIF('PO MTRL'!$G$9:$G512,G237,'PO MTRL'!$L$9:$L512)</f>
        <v>0</v>
      </c>
      <c r="N237" s="450">
        <f>IF(G237=0,0,(VLOOKUP(G237,'2. SMDA BHN'!$B$12:$H512,5,0)))</f>
        <v>0</v>
      </c>
      <c r="O237" s="450">
        <f>IF(G237=0,0,(VLOOKUP(G237,'2. SMDA BHN'!$B$12:$H512,7,0)))</f>
        <v>0</v>
      </c>
      <c r="P237" s="449">
        <f t="shared" si="2"/>
        <v>0</v>
      </c>
      <c r="Q237" s="449">
        <f t="shared" si="3"/>
        <v>0</v>
      </c>
      <c r="R237" s="451" t="s">
        <v>45</v>
      </c>
      <c r="S237" s="464"/>
      <c r="T237" s="439"/>
      <c r="U237" s="16"/>
      <c r="V237" s="439"/>
      <c r="W237" s="439"/>
      <c r="X237" s="439"/>
      <c r="Y237" s="439"/>
      <c r="Z237" s="439"/>
      <c r="AA237" s="439"/>
      <c r="AB237" s="439"/>
      <c r="AC237" s="439"/>
      <c r="AD237" s="439"/>
      <c r="AE237" s="439"/>
      <c r="AF237" s="439"/>
    </row>
    <row r="238" ht="16.5" customHeight="1">
      <c r="A238" s="439"/>
      <c r="B238" s="454">
        <f t="shared" si="4"/>
        <v>1229</v>
      </c>
      <c r="C238" s="468"/>
      <c r="D238" s="442" t="str">
        <f>IF(G238="","",(VLOOKUP(G238,'2. SMDA BHN'!$B$12:$J512,2,0)))</f>
        <v/>
      </c>
      <c r="E238" s="443">
        <f>IF(G238=0,0,(VLOOKUP(G238,'2. SMDA BHN'!$B$12:$J512,3,0)))</f>
        <v>0</v>
      </c>
      <c r="F238" s="444"/>
      <c r="G238" s="467"/>
      <c r="H238" s="446">
        <f>IF(G238=0,0,(VLOOKUP(G238,'2. SMDA BHN'!$B$12:$H512,4,0)))</f>
        <v>0</v>
      </c>
      <c r="I238" s="460"/>
      <c r="J238" s="461"/>
      <c r="K238" s="448">
        <f>SUMIF('PO MTRL'!$G$9:$G512,G238,'PO MTRL'!$J$9:$J512)</f>
        <v>0</v>
      </c>
      <c r="L238" s="448">
        <f t="shared" si="1"/>
        <v>0</v>
      </c>
      <c r="M238" s="449">
        <f>SUMIF('PO MTRL'!$G$9:$G512,G238,'PO MTRL'!$L$9:$L512)</f>
        <v>0</v>
      </c>
      <c r="N238" s="450">
        <f>IF(G238=0,0,(VLOOKUP(G238,'2. SMDA BHN'!$B$12:$H512,5,0)))</f>
        <v>0</v>
      </c>
      <c r="O238" s="450">
        <f>IF(G238=0,0,(VLOOKUP(G238,'2. SMDA BHN'!$B$12:$H512,7,0)))</f>
        <v>0</v>
      </c>
      <c r="P238" s="449">
        <f t="shared" si="2"/>
        <v>0</v>
      </c>
      <c r="Q238" s="449">
        <f t="shared" si="3"/>
        <v>0</v>
      </c>
      <c r="R238" s="451" t="s">
        <v>45</v>
      </c>
      <c r="S238" s="464"/>
      <c r="T238" s="439"/>
      <c r="U238" s="16"/>
      <c r="V238" s="439"/>
      <c r="W238" s="439"/>
      <c r="X238" s="439"/>
      <c r="Y238" s="439"/>
      <c r="Z238" s="439"/>
      <c r="AA238" s="439"/>
      <c r="AB238" s="439"/>
      <c r="AC238" s="439"/>
      <c r="AD238" s="439"/>
      <c r="AE238" s="439"/>
      <c r="AF238" s="439"/>
    </row>
    <row r="239" ht="16.5" customHeight="1">
      <c r="A239" s="439"/>
      <c r="B239" s="454">
        <f t="shared" si="4"/>
        <v>1230</v>
      </c>
      <c r="C239" s="468"/>
      <c r="D239" s="442" t="str">
        <f>IF(G239="","",(VLOOKUP(G239,'2. SMDA BHN'!$B$12:$J512,2,0)))</f>
        <v/>
      </c>
      <c r="E239" s="443">
        <f>IF(G239=0,0,(VLOOKUP(G239,'2. SMDA BHN'!$B$12:$J512,3,0)))</f>
        <v>0</v>
      </c>
      <c r="F239" s="444"/>
      <c r="G239" s="467"/>
      <c r="H239" s="446">
        <f>IF(G239=0,0,(VLOOKUP(G239,'2. SMDA BHN'!$B$12:$H512,4,0)))</f>
        <v>0</v>
      </c>
      <c r="I239" s="460"/>
      <c r="J239" s="461"/>
      <c r="K239" s="448">
        <f>SUMIF('PO MTRL'!$G$9:$G512,G239,'PO MTRL'!$J$9:$J512)</f>
        <v>0</v>
      </c>
      <c r="L239" s="448">
        <f t="shared" si="1"/>
        <v>0</v>
      </c>
      <c r="M239" s="449">
        <f>SUMIF('PO MTRL'!$G$9:$G512,G239,'PO MTRL'!$L$9:$L512)</f>
        <v>0</v>
      </c>
      <c r="N239" s="450">
        <f>IF(G239=0,0,(VLOOKUP(G239,'2. SMDA BHN'!$B$12:$H512,5,0)))</f>
        <v>0</v>
      </c>
      <c r="O239" s="450">
        <f>IF(G239=0,0,(VLOOKUP(G239,'2. SMDA BHN'!$B$12:$H512,7,0)))</f>
        <v>0</v>
      </c>
      <c r="P239" s="449">
        <f t="shared" si="2"/>
        <v>0</v>
      </c>
      <c r="Q239" s="449">
        <f t="shared" si="3"/>
        <v>0</v>
      </c>
      <c r="R239" s="451" t="s">
        <v>45</v>
      </c>
      <c r="S239" s="464"/>
      <c r="T239" s="439"/>
      <c r="U239" s="16"/>
      <c r="V239" s="439"/>
      <c r="W239" s="439"/>
      <c r="X239" s="439"/>
      <c r="Y239" s="439"/>
      <c r="Z239" s="439"/>
      <c r="AA239" s="439"/>
      <c r="AB239" s="439"/>
      <c r="AC239" s="439"/>
      <c r="AD239" s="439"/>
      <c r="AE239" s="439"/>
      <c r="AF239" s="439"/>
    </row>
    <row r="240" ht="16.5" customHeight="1">
      <c r="A240" s="439"/>
      <c r="B240" s="454">
        <f t="shared" si="4"/>
        <v>1231</v>
      </c>
      <c r="C240" s="468"/>
      <c r="D240" s="442" t="str">
        <f>IF(G240="","",(VLOOKUP(G240,'2. SMDA BHN'!$B$12:$J512,2,0)))</f>
        <v/>
      </c>
      <c r="E240" s="443">
        <f>IF(G240=0,0,(VLOOKUP(G240,'2. SMDA BHN'!$B$12:$J512,3,0)))</f>
        <v>0</v>
      </c>
      <c r="F240" s="444"/>
      <c r="G240" s="467"/>
      <c r="H240" s="446">
        <f>IF(G240=0,0,(VLOOKUP(G240,'2. SMDA BHN'!$B$12:$H512,4,0)))</f>
        <v>0</v>
      </c>
      <c r="I240" s="460"/>
      <c r="J240" s="461"/>
      <c r="K240" s="448">
        <f>SUMIF('PO MTRL'!$G$9:$G512,G240,'PO MTRL'!$J$9:$J512)</f>
        <v>0</v>
      </c>
      <c r="L240" s="448">
        <f t="shared" si="1"/>
        <v>0</v>
      </c>
      <c r="M240" s="449">
        <f>SUMIF('PO MTRL'!$G$9:$G512,G240,'PO MTRL'!$L$9:$L512)</f>
        <v>0</v>
      </c>
      <c r="N240" s="450">
        <f>IF(G240=0,0,(VLOOKUP(G240,'2. SMDA BHN'!$B$12:$H512,5,0)))</f>
        <v>0</v>
      </c>
      <c r="O240" s="450">
        <f>IF(G240=0,0,(VLOOKUP(G240,'2. SMDA BHN'!$B$12:$H512,7,0)))</f>
        <v>0</v>
      </c>
      <c r="P240" s="449">
        <f t="shared" si="2"/>
        <v>0</v>
      </c>
      <c r="Q240" s="449">
        <f t="shared" si="3"/>
        <v>0</v>
      </c>
      <c r="R240" s="451" t="s">
        <v>45</v>
      </c>
      <c r="S240" s="464"/>
      <c r="T240" s="439"/>
      <c r="U240" s="16"/>
      <c r="V240" s="439"/>
      <c r="W240" s="439"/>
      <c r="X240" s="439"/>
      <c r="Y240" s="439"/>
      <c r="Z240" s="439"/>
      <c r="AA240" s="439"/>
      <c r="AB240" s="439"/>
      <c r="AC240" s="439"/>
      <c r="AD240" s="439"/>
      <c r="AE240" s="439"/>
      <c r="AF240" s="439"/>
    </row>
    <row r="241" ht="16.5" customHeight="1">
      <c r="A241" s="439"/>
      <c r="B241" s="454">
        <f t="shared" si="4"/>
        <v>1232</v>
      </c>
      <c r="C241" s="468"/>
      <c r="D241" s="442" t="str">
        <f>IF(G241="","",(VLOOKUP(G241,'2. SMDA BHN'!$B$12:$J512,2,0)))</f>
        <v/>
      </c>
      <c r="E241" s="443">
        <f>IF(G241=0,0,(VLOOKUP(G241,'2. SMDA BHN'!$B$12:$J512,3,0)))</f>
        <v>0</v>
      </c>
      <c r="F241" s="444"/>
      <c r="G241" s="467"/>
      <c r="H241" s="446">
        <f>IF(G241=0,0,(VLOOKUP(G241,'2. SMDA BHN'!$B$12:$H512,4,0)))</f>
        <v>0</v>
      </c>
      <c r="I241" s="460"/>
      <c r="J241" s="461"/>
      <c r="K241" s="448">
        <f>SUMIF('PO MTRL'!$G$9:$G512,G241,'PO MTRL'!$J$9:$J512)</f>
        <v>0</v>
      </c>
      <c r="L241" s="448">
        <f t="shared" si="1"/>
        <v>0</v>
      </c>
      <c r="M241" s="449">
        <f>SUMIF('PO MTRL'!$G$9:$G512,G241,'PO MTRL'!$L$9:$L512)</f>
        <v>0</v>
      </c>
      <c r="N241" s="450">
        <f>IF(G241=0,0,(VLOOKUP(G241,'2. SMDA BHN'!$B$12:$H512,5,0)))</f>
        <v>0</v>
      </c>
      <c r="O241" s="450">
        <f>IF(G241=0,0,(VLOOKUP(G241,'2. SMDA BHN'!$B$12:$H512,7,0)))</f>
        <v>0</v>
      </c>
      <c r="P241" s="449">
        <f t="shared" si="2"/>
        <v>0</v>
      </c>
      <c r="Q241" s="449">
        <f t="shared" si="3"/>
        <v>0</v>
      </c>
      <c r="R241" s="451" t="s">
        <v>45</v>
      </c>
      <c r="S241" s="464"/>
      <c r="T241" s="439"/>
      <c r="U241" s="16"/>
      <c r="V241" s="439"/>
      <c r="W241" s="439"/>
      <c r="X241" s="439"/>
      <c r="Y241" s="439"/>
      <c r="Z241" s="439"/>
      <c r="AA241" s="439"/>
      <c r="AB241" s="439"/>
      <c r="AC241" s="439"/>
      <c r="AD241" s="439"/>
      <c r="AE241" s="439"/>
      <c r="AF241" s="439"/>
    </row>
    <row r="242" ht="16.5" customHeight="1">
      <c r="A242" s="439"/>
      <c r="B242" s="454">
        <f t="shared" si="4"/>
        <v>1233</v>
      </c>
      <c r="C242" s="468"/>
      <c r="D242" s="442" t="str">
        <f>IF(G242="","",(VLOOKUP(G242,'2. SMDA BHN'!$B$12:$J512,2,0)))</f>
        <v/>
      </c>
      <c r="E242" s="443">
        <f>IF(G242=0,0,(VLOOKUP(G242,'2. SMDA BHN'!$B$12:$J512,3,0)))</f>
        <v>0</v>
      </c>
      <c r="F242" s="444"/>
      <c r="G242" s="467"/>
      <c r="H242" s="446">
        <f>IF(G242=0,0,(VLOOKUP(G242,'2. SMDA BHN'!$B$12:$H512,4,0)))</f>
        <v>0</v>
      </c>
      <c r="I242" s="460"/>
      <c r="J242" s="461"/>
      <c r="K242" s="448">
        <f>SUMIF('PO MTRL'!$G$9:$G512,G242,'PO MTRL'!$J$9:$J512)</f>
        <v>0</v>
      </c>
      <c r="L242" s="448">
        <f t="shared" si="1"/>
        <v>0</v>
      </c>
      <c r="M242" s="449">
        <f>SUMIF('PO MTRL'!$G$9:$G512,G242,'PO MTRL'!$L$9:$L512)</f>
        <v>0</v>
      </c>
      <c r="N242" s="450">
        <f>IF(G242=0,0,(VLOOKUP(G242,'2. SMDA BHN'!$B$12:$H512,5,0)))</f>
        <v>0</v>
      </c>
      <c r="O242" s="450">
        <f>IF(G242=0,0,(VLOOKUP(G242,'2. SMDA BHN'!$B$12:$H512,7,0)))</f>
        <v>0</v>
      </c>
      <c r="P242" s="449">
        <f t="shared" si="2"/>
        <v>0</v>
      </c>
      <c r="Q242" s="449">
        <f t="shared" si="3"/>
        <v>0</v>
      </c>
      <c r="R242" s="451" t="s">
        <v>45</v>
      </c>
      <c r="S242" s="464"/>
      <c r="T242" s="439"/>
      <c r="U242" s="16"/>
      <c r="V242" s="439"/>
      <c r="W242" s="439"/>
      <c r="X242" s="439"/>
      <c r="Y242" s="439"/>
      <c r="Z242" s="439"/>
      <c r="AA242" s="439"/>
      <c r="AB242" s="439"/>
      <c r="AC242" s="439"/>
      <c r="AD242" s="439"/>
      <c r="AE242" s="439"/>
      <c r="AF242" s="439"/>
    </row>
    <row r="243" ht="16.5" customHeight="1">
      <c r="A243" s="439"/>
      <c r="B243" s="454">
        <f t="shared" si="4"/>
        <v>1234</v>
      </c>
      <c r="C243" s="468"/>
      <c r="D243" s="442" t="str">
        <f>IF(G243="","",(VLOOKUP(G243,'2. SMDA BHN'!$B$12:$J512,2,0)))</f>
        <v/>
      </c>
      <c r="E243" s="443">
        <f>IF(G243=0,0,(VLOOKUP(G243,'2. SMDA BHN'!$B$12:$J512,3,0)))</f>
        <v>0</v>
      </c>
      <c r="F243" s="444"/>
      <c r="G243" s="467"/>
      <c r="H243" s="446">
        <f>IF(G243=0,0,(VLOOKUP(G243,'2. SMDA BHN'!$B$12:$H512,4,0)))</f>
        <v>0</v>
      </c>
      <c r="I243" s="460"/>
      <c r="J243" s="461"/>
      <c r="K243" s="448">
        <f>SUMIF('PO MTRL'!$G$9:$G512,G243,'PO MTRL'!$J$9:$J512)</f>
        <v>0</v>
      </c>
      <c r="L243" s="448">
        <f t="shared" si="1"/>
        <v>0</v>
      </c>
      <c r="M243" s="449">
        <f>SUMIF('PO MTRL'!$G$9:$G512,G243,'PO MTRL'!$L$9:$L512)</f>
        <v>0</v>
      </c>
      <c r="N243" s="450">
        <f>IF(G243=0,0,(VLOOKUP(G243,'2. SMDA BHN'!$B$12:$H512,5,0)))</f>
        <v>0</v>
      </c>
      <c r="O243" s="450">
        <f>IF(G243=0,0,(VLOOKUP(G243,'2. SMDA BHN'!$B$12:$H512,7,0)))</f>
        <v>0</v>
      </c>
      <c r="P243" s="449">
        <f t="shared" si="2"/>
        <v>0</v>
      </c>
      <c r="Q243" s="449">
        <f t="shared" si="3"/>
        <v>0</v>
      </c>
      <c r="R243" s="451" t="s">
        <v>45</v>
      </c>
      <c r="S243" s="464"/>
      <c r="T243" s="439"/>
      <c r="U243" s="16"/>
      <c r="V243" s="439"/>
      <c r="W243" s="439"/>
      <c r="X243" s="439"/>
      <c r="Y243" s="439"/>
      <c r="Z243" s="439"/>
      <c r="AA243" s="439"/>
      <c r="AB243" s="439"/>
      <c r="AC243" s="439"/>
      <c r="AD243" s="439"/>
      <c r="AE243" s="439"/>
      <c r="AF243" s="439"/>
    </row>
    <row r="244" ht="16.5" customHeight="1">
      <c r="A244" s="439"/>
      <c r="B244" s="454">
        <f t="shared" si="4"/>
        <v>1235</v>
      </c>
      <c r="C244" s="468"/>
      <c r="D244" s="442" t="str">
        <f>IF(G244="","",(VLOOKUP(G244,'2. SMDA BHN'!$B$12:$J512,2,0)))</f>
        <v/>
      </c>
      <c r="E244" s="443">
        <f>IF(G244=0,0,(VLOOKUP(G244,'2. SMDA BHN'!$B$12:$J512,3,0)))</f>
        <v>0</v>
      </c>
      <c r="F244" s="444"/>
      <c r="G244" s="467"/>
      <c r="H244" s="446">
        <f>IF(G244=0,0,(VLOOKUP(G244,'2. SMDA BHN'!$B$12:$H512,4,0)))</f>
        <v>0</v>
      </c>
      <c r="I244" s="460"/>
      <c r="J244" s="461"/>
      <c r="K244" s="448">
        <f>SUMIF('PO MTRL'!$G$9:$G512,G244,'PO MTRL'!$J$9:$J512)</f>
        <v>0</v>
      </c>
      <c r="L244" s="448">
        <f t="shared" si="1"/>
        <v>0</v>
      </c>
      <c r="M244" s="449">
        <f>SUMIF('PO MTRL'!$G$9:$G512,G244,'PO MTRL'!$L$9:$L512)</f>
        <v>0</v>
      </c>
      <c r="N244" s="450">
        <f>IF(G244=0,0,(VLOOKUP(G244,'2. SMDA BHN'!$B$12:$H512,5,0)))</f>
        <v>0</v>
      </c>
      <c r="O244" s="450">
        <f>IF(G244=0,0,(VLOOKUP(G244,'2. SMDA BHN'!$B$12:$H512,7,0)))</f>
        <v>0</v>
      </c>
      <c r="P244" s="449">
        <f t="shared" si="2"/>
        <v>0</v>
      </c>
      <c r="Q244" s="449">
        <f t="shared" si="3"/>
        <v>0</v>
      </c>
      <c r="R244" s="451" t="s">
        <v>45</v>
      </c>
      <c r="S244" s="464"/>
      <c r="T244" s="439"/>
      <c r="U244" s="16"/>
      <c r="V244" s="439"/>
      <c r="W244" s="439"/>
      <c r="X244" s="439"/>
      <c r="Y244" s="439"/>
      <c r="Z244" s="439"/>
      <c r="AA244" s="439"/>
      <c r="AB244" s="439"/>
      <c r="AC244" s="439"/>
      <c r="AD244" s="439"/>
      <c r="AE244" s="439"/>
      <c r="AF244" s="439"/>
    </row>
    <row r="245" ht="16.5" customHeight="1">
      <c r="A245" s="439"/>
      <c r="B245" s="454">
        <f t="shared" si="4"/>
        <v>1236</v>
      </c>
      <c r="C245" s="468"/>
      <c r="D245" s="442" t="str">
        <f>IF(G245="","",(VLOOKUP(G245,'2. SMDA BHN'!$B$12:$J512,2,0)))</f>
        <v/>
      </c>
      <c r="E245" s="443">
        <f>IF(G245=0,0,(VLOOKUP(G245,'2. SMDA BHN'!$B$12:$J512,3,0)))</f>
        <v>0</v>
      </c>
      <c r="F245" s="444"/>
      <c r="G245" s="467"/>
      <c r="H245" s="446">
        <f>IF(G245=0,0,(VLOOKUP(G245,'2. SMDA BHN'!$B$12:$H512,4,0)))</f>
        <v>0</v>
      </c>
      <c r="I245" s="460"/>
      <c r="J245" s="461"/>
      <c r="K245" s="448">
        <f>SUMIF('PO MTRL'!$G$9:$G512,G245,'PO MTRL'!$J$9:$J512)</f>
        <v>0</v>
      </c>
      <c r="L245" s="448">
        <f t="shared" si="1"/>
        <v>0</v>
      </c>
      <c r="M245" s="449">
        <f>SUMIF('PO MTRL'!$G$9:$G512,G245,'PO MTRL'!$L$9:$L512)</f>
        <v>0</v>
      </c>
      <c r="N245" s="450">
        <f>IF(G245=0,0,(VLOOKUP(G245,'2. SMDA BHN'!$B$12:$H512,5,0)))</f>
        <v>0</v>
      </c>
      <c r="O245" s="450">
        <f>IF(G245=0,0,(VLOOKUP(G245,'2. SMDA BHN'!$B$12:$H512,7,0)))</f>
        <v>0</v>
      </c>
      <c r="P245" s="449">
        <f t="shared" si="2"/>
        <v>0</v>
      </c>
      <c r="Q245" s="449">
        <f t="shared" si="3"/>
        <v>0</v>
      </c>
      <c r="R245" s="451" t="s">
        <v>45</v>
      </c>
      <c r="S245" s="464"/>
      <c r="T245" s="439"/>
      <c r="U245" s="16"/>
      <c r="V245" s="439"/>
      <c r="W245" s="439"/>
      <c r="X245" s="439"/>
      <c r="Y245" s="439"/>
      <c r="Z245" s="439"/>
      <c r="AA245" s="439"/>
      <c r="AB245" s="439"/>
      <c r="AC245" s="439"/>
      <c r="AD245" s="439"/>
      <c r="AE245" s="439"/>
      <c r="AF245" s="439"/>
    </row>
    <row r="246" ht="16.5" customHeight="1">
      <c r="A246" s="439"/>
      <c r="B246" s="454">
        <f t="shared" si="4"/>
        <v>1237</v>
      </c>
      <c r="C246" s="468"/>
      <c r="D246" s="442" t="str">
        <f>IF(G246="","",(VLOOKUP(G246,'2. SMDA BHN'!$B$12:$J512,2,0)))</f>
        <v/>
      </c>
      <c r="E246" s="443">
        <f>IF(G246=0,0,(VLOOKUP(G246,'2. SMDA BHN'!$B$12:$J512,3,0)))</f>
        <v>0</v>
      </c>
      <c r="F246" s="444"/>
      <c r="G246" s="467"/>
      <c r="H246" s="446">
        <f>IF(G246=0,0,(VLOOKUP(G246,'2. SMDA BHN'!$B$12:$H512,4,0)))</f>
        <v>0</v>
      </c>
      <c r="I246" s="460"/>
      <c r="J246" s="461"/>
      <c r="K246" s="448">
        <f>SUMIF('PO MTRL'!$G$9:$G512,G246,'PO MTRL'!$J$9:$J512)</f>
        <v>0</v>
      </c>
      <c r="L246" s="448">
        <f t="shared" si="1"/>
        <v>0</v>
      </c>
      <c r="M246" s="449">
        <f>SUMIF('PO MTRL'!$G$9:$G512,G246,'PO MTRL'!$L$9:$L512)</f>
        <v>0</v>
      </c>
      <c r="N246" s="450">
        <f>IF(G246=0,0,(VLOOKUP(G246,'2. SMDA BHN'!$B$12:$H512,5,0)))</f>
        <v>0</v>
      </c>
      <c r="O246" s="450">
        <f>IF(G246=0,0,(VLOOKUP(G246,'2. SMDA BHN'!$B$12:$H512,7,0)))</f>
        <v>0</v>
      </c>
      <c r="P246" s="449">
        <f t="shared" si="2"/>
        <v>0</v>
      </c>
      <c r="Q246" s="449">
        <f t="shared" si="3"/>
        <v>0</v>
      </c>
      <c r="R246" s="451" t="s">
        <v>45</v>
      </c>
      <c r="S246" s="464"/>
      <c r="T246" s="439"/>
      <c r="U246" s="16"/>
      <c r="V246" s="439"/>
      <c r="W246" s="439"/>
      <c r="X246" s="439"/>
      <c r="Y246" s="439"/>
      <c r="Z246" s="439"/>
      <c r="AA246" s="439"/>
      <c r="AB246" s="439"/>
      <c r="AC246" s="439"/>
      <c r="AD246" s="439"/>
      <c r="AE246" s="439"/>
      <c r="AF246" s="439"/>
    </row>
    <row r="247" ht="16.5" customHeight="1">
      <c r="A247" s="439"/>
      <c r="B247" s="454">
        <f t="shared" si="4"/>
        <v>1238</v>
      </c>
      <c r="C247" s="468"/>
      <c r="D247" s="442" t="str">
        <f>IF(G247="","",(VLOOKUP(G247,'2. SMDA BHN'!$B$12:$J512,2,0)))</f>
        <v/>
      </c>
      <c r="E247" s="443">
        <f>IF(G247=0,0,(VLOOKUP(G247,'2. SMDA BHN'!$B$12:$J512,3,0)))</f>
        <v>0</v>
      </c>
      <c r="F247" s="444"/>
      <c r="G247" s="467"/>
      <c r="H247" s="446">
        <f>IF(G247=0,0,(VLOOKUP(G247,'2. SMDA BHN'!$B$12:$H512,4,0)))</f>
        <v>0</v>
      </c>
      <c r="I247" s="460"/>
      <c r="J247" s="461"/>
      <c r="K247" s="448">
        <f>SUMIF('PO MTRL'!$G$9:$G512,G247,'PO MTRL'!$J$9:$J512)</f>
        <v>0</v>
      </c>
      <c r="L247" s="448">
        <f t="shared" si="1"/>
        <v>0</v>
      </c>
      <c r="M247" s="449">
        <f>SUMIF('PO MTRL'!$G$9:$G512,G247,'PO MTRL'!$L$9:$L512)</f>
        <v>0</v>
      </c>
      <c r="N247" s="450">
        <f>IF(G247=0,0,(VLOOKUP(G247,'2. SMDA BHN'!$B$12:$H512,5,0)))</f>
        <v>0</v>
      </c>
      <c r="O247" s="450">
        <f>IF(G247=0,0,(VLOOKUP(G247,'2. SMDA BHN'!$B$12:$H512,7,0)))</f>
        <v>0</v>
      </c>
      <c r="P247" s="449">
        <f t="shared" si="2"/>
        <v>0</v>
      </c>
      <c r="Q247" s="449">
        <f t="shared" si="3"/>
        <v>0</v>
      </c>
      <c r="R247" s="451" t="s">
        <v>45</v>
      </c>
      <c r="S247" s="464"/>
      <c r="T247" s="439"/>
      <c r="U247" s="16"/>
      <c r="V247" s="439"/>
      <c r="W247" s="439"/>
      <c r="X247" s="439"/>
      <c r="Y247" s="439"/>
      <c r="Z247" s="439"/>
      <c r="AA247" s="439"/>
      <c r="AB247" s="439"/>
      <c r="AC247" s="439"/>
      <c r="AD247" s="439"/>
      <c r="AE247" s="439"/>
      <c r="AF247" s="439"/>
    </row>
    <row r="248" ht="16.5" customHeight="1">
      <c r="A248" s="439"/>
      <c r="B248" s="454">
        <f t="shared" si="4"/>
        <v>1239</v>
      </c>
      <c r="C248" s="468"/>
      <c r="D248" s="442" t="str">
        <f>IF(G248="","",(VLOOKUP(G248,'2. SMDA BHN'!$B$12:$J512,2,0)))</f>
        <v/>
      </c>
      <c r="E248" s="443">
        <f>IF(G248=0,0,(VLOOKUP(G248,'2. SMDA BHN'!$B$12:$J512,3,0)))</f>
        <v>0</v>
      </c>
      <c r="F248" s="444"/>
      <c r="G248" s="467"/>
      <c r="H248" s="446">
        <f>IF(G248=0,0,(VLOOKUP(G248,'2. SMDA BHN'!$B$12:$H512,4,0)))</f>
        <v>0</v>
      </c>
      <c r="I248" s="460"/>
      <c r="J248" s="461"/>
      <c r="K248" s="448">
        <f>SUMIF('PO MTRL'!$G$9:$G512,G248,'PO MTRL'!$J$9:$J512)</f>
        <v>0</v>
      </c>
      <c r="L248" s="448">
        <f t="shared" si="1"/>
        <v>0</v>
      </c>
      <c r="M248" s="449">
        <f>SUMIF('PO MTRL'!$G$9:$G512,G248,'PO MTRL'!$L$9:$L512)</f>
        <v>0</v>
      </c>
      <c r="N248" s="450">
        <f>IF(G248=0,0,(VLOOKUP(G248,'2. SMDA BHN'!$B$12:$H512,5,0)))</f>
        <v>0</v>
      </c>
      <c r="O248" s="450">
        <f>IF(G248=0,0,(VLOOKUP(G248,'2. SMDA BHN'!$B$12:$H512,7,0)))</f>
        <v>0</v>
      </c>
      <c r="P248" s="449">
        <f t="shared" si="2"/>
        <v>0</v>
      </c>
      <c r="Q248" s="449">
        <f t="shared" si="3"/>
        <v>0</v>
      </c>
      <c r="R248" s="451" t="s">
        <v>45</v>
      </c>
      <c r="S248" s="464"/>
      <c r="T248" s="439"/>
      <c r="U248" s="16"/>
      <c r="V248" s="439"/>
      <c r="W248" s="439"/>
      <c r="X248" s="439"/>
      <c r="Y248" s="439"/>
      <c r="Z248" s="439"/>
      <c r="AA248" s="439"/>
      <c r="AB248" s="439"/>
      <c r="AC248" s="439"/>
      <c r="AD248" s="439"/>
      <c r="AE248" s="439"/>
      <c r="AF248" s="439"/>
    </row>
    <row r="249" ht="16.5" customHeight="1">
      <c r="A249" s="439"/>
      <c r="B249" s="454">
        <f t="shared" si="4"/>
        <v>1240</v>
      </c>
      <c r="C249" s="468"/>
      <c r="D249" s="442" t="str">
        <f>IF(G249="","",(VLOOKUP(G249,'2. SMDA BHN'!$B$12:$J512,2,0)))</f>
        <v/>
      </c>
      <c r="E249" s="443">
        <f>IF(G249=0,0,(VLOOKUP(G249,'2. SMDA BHN'!$B$12:$J512,3,0)))</f>
        <v>0</v>
      </c>
      <c r="F249" s="444"/>
      <c r="G249" s="467"/>
      <c r="H249" s="446">
        <f>IF(G249=0,0,(VLOOKUP(G249,'2. SMDA BHN'!$B$12:$H512,4,0)))</f>
        <v>0</v>
      </c>
      <c r="I249" s="460"/>
      <c r="J249" s="461"/>
      <c r="K249" s="448">
        <f>SUMIF('PO MTRL'!$G$9:$G512,G249,'PO MTRL'!$J$9:$J512)</f>
        <v>0</v>
      </c>
      <c r="L249" s="448">
        <f t="shared" si="1"/>
        <v>0</v>
      </c>
      <c r="M249" s="449">
        <f>SUMIF('PO MTRL'!$G$9:$G512,G249,'PO MTRL'!$L$9:$L512)</f>
        <v>0</v>
      </c>
      <c r="N249" s="450">
        <f>IF(G249=0,0,(VLOOKUP(G249,'2. SMDA BHN'!$B$12:$H512,5,0)))</f>
        <v>0</v>
      </c>
      <c r="O249" s="450">
        <f>IF(G249=0,0,(VLOOKUP(G249,'2. SMDA BHN'!$B$12:$H512,7,0)))</f>
        <v>0</v>
      </c>
      <c r="P249" s="449">
        <f t="shared" si="2"/>
        <v>0</v>
      </c>
      <c r="Q249" s="449">
        <f t="shared" si="3"/>
        <v>0</v>
      </c>
      <c r="R249" s="451" t="s">
        <v>45</v>
      </c>
      <c r="S249" s="464"/>
      <c r="T249" s="439"/>
      <c r="U249" s="16"/>
      <c r="V249" s="439"/>
      <c r="W249" s="439"/>
      <c r="X249" s="439"/>
      <c r="Y249" s="439"/>
      <c r="Z249" s="439"/>
      <c r="AA249" s="439"/>
      <c r="AB249" s="439"/>
      <c r="AC249" s="439"/>
      <c r="AD249" s="439"/>
      <c r="AE249" s="439"/>
      <c r="AF249" s="439"/>
    </row>
    <row r="250" ht="16.5" customHeight="1">
      <c r="A250" s="439"/>
      <c r="B250" s="454">
        <f t="shared" si="4"/>
        <v>1241</v>
      </c>
      <c r="C250" s="468"/>
      <c r="D250" s="442" t="str">
        <f>IF(G250="","",(VLOOKUP(G250,'2. SMDA BHN'!$B$12:$J512,2,0)))</f>
        <v/>
      </c>
      <c r="E250" s="443">
        <f>IF(G250=0,0,(VLOOKUP(G250,'2. SMDA BHN'!$B$12:$J512,3,0)))</f>
        <v>0</v>
      </c>
      <c r="F250" s="444"/>
      <c r="G250" s="467"/>
      <c r="H250" s="446">
        <f>IF(G250=0,0,(VLOOKUP(G250,'2. SMDA BHN'!$B$12:$H512,4,0)))</f>
        <v>0</v>
      </c>
      <c r="I250" s="460"/>
      <c r="J250" s="461"/>
      <c r="K250" s="448">
        <f>SUMIF('PO MTRL'!$G$9:$G512,G250,'PO MTRL'!$J$9:$J512)</f>
        <v>0</v>
      </c>
      <c r="L250" s="448">
        <f t="shared" si="1"/>
        <v>0</v>
      </c>
      <c r="M250" s="449">
        <f>SUMIF('PO MTRL'!$G$9:$G512,G250,'PO MTRL'!$L$9:$L512)</f>
        <v>0</v>
      </c>
      <c r="N250" s="450">
        <f>IF(G250=0,0,(VLOOKUP(G250,'2. SMDA BHN'!$B$12:$H512,5,0)))</f>
        <v>0</v>
      </c>
      <c r="O250" s="450">
        <f>IF(G250=0,0,(VLOOKUP(G250,'2. SMDA BHN'!$B$12:$H512,7,0)))</f>
        <v>0</v>
      </c>
      <c r="P250" s="449">
        <f t="shared" si="2"/>
        <v>0</v>
      </c>
      <c r="Q250" s="449">
        <f t="shared" si="3"/>
        <v>0</v>
      </c>
      <c r="R250" s="451" t="s">
        <v>45</v>
      </c>
      <c r="S250" s="464"/>
      <c r="T250" s="439"/>
      <c r="U250" s="16"/>
      <c r="V250" s="439"/>
      <c r="W250" s="439"/>
      <c r="X250" s="439"/>
      <c r="Y250" s="439"/>
      <c r="Z250" s="439"/>
      <c r="AA250" s="439"/>
      <c r="AB250" s="439"/>
      <c r="AC250" s="439"/>
      <c r="AD250" s="439"/>
      <c r="AE250" s="439"/>
      <c r="AF250" s="439"/>
    </row>
    <row r="251" ht="16.5" customHeight="1">
      <c r="A251" s="439"/>
      <c r="B251" s="454">
        <f t="shared" si="4"/>
        <v>1242</v>
      </c>
      <c r="C251" s="468"/>
      <c r="D251" s="442" t="str">
        <f>IF(G251="","",(VLOOKUP(G251,'2. SMDA BHN'!$B$12:$J512,2,0)))</f>
        <v/>
      </c>
      <c r="E251" s="443">
        <f>IF(G251=0,0,(VLOOKUP(G251,'2. SMDA BHN'!$B$12:$J512,3,0)))</f>
        <v>0</v>
      </c>
      <c r="F251" s="444"/>
      <c r="G251" s="467"/>
      <c r="H251" s="446">
        <f>IF(G251=0,0,(VLOOKUP(G251,'2. SMDA BHN'!$B$12:$H512,4,0)))</f>
        <v>0</v>
      </c>
      <c r="I251" s="460"/>
      <c r="J251" s="461"/>
      <c r="K251" s="448">
        <f>SUMIF('PO MTRL'!$G$9:$G512,G251,'PO MTRL'!$J$9:$J512)</f>
        <v>0</v>
      </c>
      <c r="L251" s="448">
        <f t="shared" si="1"/>
        <v>0</v>
      </c>
      <c r="M251" s="449">
        <f>SUMIF('PO MTRL'!$G$9:$G512,G251,'PO MTRL'!$L$9:$L512)</f>
        <v>0</v>
      </c>
      <c r="N251" s="450">
        <f>IF(G251=0,0,(VLOOKUP(G251,'2. SMDA BHN'!$B$12:$H512,5,0)))</f>
        <v>0</v>
      </c>
      <c r="O251" s="450">
        <f>IF(G251=0,0,(VLOOKUP(G251,'2. SMDA BHN'!$B$12:$H512,7,0)))</f>
        <v>0</v>
      </c>
      <c r="P251" s="449">
        <f t="shared" si="2"/>
        <v>0</v>
      </c>
      <c r="Q251" s="449">
        <f t="shared" si="3"/>
        <v>0</v>
      </c>
      <c r="R251" s="451" t="s">
        <v>45</v>
      </c>
      <c r="S251" s="464"/>
      <c r="T251" s="439"/>
      <c r="U251" s="16"/>
      <c r="V251" s="439"/>
      <c r="W251" s="439"/>
      <c r="X251" s="439"/>
      <c r="Y251" s="439"/>
      <c r="Z251" s="439"/>
      <c r="AA251" s="439"/>
      <c r="AB251" s="439"/>
      <c r="AC251" s="439"/>
      <c r="AD251" s="439"/>
      <c r="AE251" s="439"/>
      <c r="AF251" s="439"/>
    </row>
    <row r="252" ht="16.5" customHeight="1">
      <c r="A252" s="439"/>
      <c r="B252" s="454">
        <f t="shared" si="4"/>
        <v>1243</v>
      </c>
      <c r="C252" s="468"/>
      <c r="D252" s="442" t="str">
        <f>IF(G252="","",(VLOOKUP(G252,'2. SMDA BHN'!$B$12:$J512,2,0)))</f>
        <v/>
      </c>
      <c r="E252" s="443">
        <f>IF(G252=0,0,(VLOOKUP(G252,'2. SMDA BHN'!$B$12:$J512,3,0)))</f>
        <v>0</v>
      </c>
      <c r="F252" s="444"/>
      <c r="G252" s="467"/>
      <c r="H252" s="446">
        <f>IF(G252=0,0,(VLOOKUP(G252,'2. SMDA BHN'!$B$12:$H512,4,0)))</f>
        <v>0</v>
      </c>
      <c r="I252" s="460"/>
      <c r="J252" s="461"/>
      <c r="K252" s="448">
        <f>SUMIF('PO MTRL'!$G$9:$G512,G252,'PO MTRL'!$J$9:$J512)</f>
        <v>0</v>
      </c>
      <c r="L252" s="448">
        <f t="shared" si="1"/>
        <v>0</v>
      </c>
      <c r="M252" s="449">
        <f>SUMIF('PO MTRL'!$G$9:$G512,G252,'PO MTRL'!$L$9:$L512)</f>
        <v>0</v>
      </c>
      <c r="N252" s="450">
        <f>IF(G252=0,0,(VLOOKUP(G252,'2. SMDA BHN'!$B$12:$H512,5,0)))</f>
        <v>0</v>
      </c>
      <c r="O252" s="450">
        <f>IF(G252=0,0,(VLOOKUP(G252,'2. SMDA BHN'!$B$12:$H512,7,0)))</f>
        <v>0</v>
      </c>
      <c r="P252" s="449">
        <f t="shared" si="2"/>
        <v>0</v>
      </c>
      <c r="Q252" s="449">
        <f t="shared" si="3"/>
        <v>0</v>
      </c>
      <c r="R252" s="451" t="s">
        <v>45</v>
      </c>
      <c r="S252" s="464"/>
      <c r="T252" s="439"/>
      <c r="U252" s="16"/>
      <c r="V252" s="439"/>
      <c r="W252" s="439"/>
      <c r="X252" s="439"/>
      <c r="Y252" s="439"/>
      <c r="Z252" s="439"/>
      <c r="AA252" s="439"/>
      <c r="AB252" s="439"/>
      <c r="AC252" s="439"/>
      <c r="AD252" s="439"/>
      <c r="AE252" s="439"/>
      <c r="AF252" s="439"/>
    </row>
    <row r="253" ht="16.5" customHeight="1">
      <c r="A253" s="439"/>
      <c r="B253" s="454">
        <f t="shared" si="4"/>
        <v>1244</v>
      </c>
      <c r="C253" s="468"/>
      <c r="D253" s="442" t="str">
        <f>IF(G253="","",(VLOOKUP(G253,'2. SMDA BHN'!$B$12:$J512,2,0)))</f>
        <v/>
      </c>
      <c r="E253" s="443">
        <f>IF(G253=0,0,(VLOOKUP(G253,'2. SMDA BHN'!$B$12:$J512,3,0)))</f>
        <v>0</v>
      </c>
      <c r="F253" s="444"/>
      <c r="G253" s="467"/>
      <c r="H253" s="446">
        <f>IF(G253=0,0,(VLOOKUP(G253,'2. SMDA BHN'!$B$12:$H512,4,0)))</f>
        <v>0</v>
      </c>
      <c r="I253" s="460"/>
      <c r="J253" s="461"/>
      <c r="K253" s="448">
        <f>SUMIF('PO MTRL'!$G$9:$G512,G253,'PO MTRL'!$J$9:$J512)</f>
        <v>0</v>
      </c>
      <c r="L253" s="448">
        <f t="shared" si="1"/>
        <v>0</v>
      </c>
      <c r="M253" s="449">
        <f>SUMIF('PO MTRL'!$G$9:$G512,G253,'PO MTRL'!$L$9:$L512)</f>
        <v>0</v>
      </c>
      <c r="N253" s="450">
        <f>IF(G253=0,0,(VLOOKUP(G253,'2. SMDA BHN'!$B$12:$H512,5,0)))</f>
        <v>0</v>
      </c>
      <c r="O253" s="450">
        <f>IF(G253=0,0,(VLOOKUP(G253,'2. SMDA BHN'!$B$12:$H512,7,0)))</f>
        <v>0</v>
      </c>
      <c r="P253" s="449">
        <f t="shared" si="2"/>
        <v>0</v>
      </c>
      <c r="Q253" s="449">
        <f t="shared" si="3"/>
        <v>0</v>
      </c>
      <c r="R253" s="451" t="s">
        <v>45</v>
      </c>
      <c r="S253" s="464"/>
      <c r="T253" s="439"/>
      <c r="U253" s="16"/>
      <c r="V253" s="439"/>
      <c r="W253" s="439"/>
      <c r="X253" s="439"/>
      <c r="Y253" s="439"/>
      <c r="Z253" s="439"/>
      <c r="AA253" s="439"/>
      <c r="AB253" s="439"/>
      <c r="AC253" s="439"/>
      <c r="AD253" s="439"/>
      <c r="AE253" s="439"/>
      <c r="AF253" s="439"/>
    </row>
    <row r="254" ht="16.5" customHeight="1">
      <c r="A254" s="439"/>
      <c r="B254" s="454">
        <f t="shared" si="4"/>
        <v>1245</v>
      </c>
      <c r="C254" s="468"/>
      <c r="D254" s="442" t="str">
        <f>IF(G254="","",(VLOOKUP(G254,'2. SMDA BHN'!$B$12:$J512,2,0)))</f>
        <v/>
      </c>
      <c r="E254" s="443">
        <f>IF(G254=0,0,(VLOOKUP(G254,'2. SMDA BHN'!$B$12:$J512,3,0)))</f>
        <v>0</v>
      </c>
      <c r="F254" s="444"/>
      <c r="G254" s="467"/>
      <c r="H254" s="446">
        <f>IF(G254=0,0,(VLOOKUP(G254,'2. SMDA BHN'!$B$12:$H512,4,0)))</f>
        <v>0</v>
      </c>
      <c r="I254" s="460"/>
      <c r="J254" s="461"/>
      <c r="K254" s="448">
        <f>SUMIF('PO MTRL'!$G$9:$G512,G254,'PO MTRL'!$J$9:$J512)</f>
        <v>0</v>
      </c>
      <c r="L254" s="448">
        <f t="shared" si="1"/>
        <v>0</v>
      </c>
      <c r="M254" s="449">
        <f>SUMIF('PO MTRL'!$G$9:$G512,G254,'PO MTRL'!$L$9:$L512)</f>
        <v>0</v>
      </c>
      <c r="N254" s="450">
        <f>IF(G254=0,0,(VLOOKUP(G254,'2. SMDA BHN'!$B$12:$H512,5,0)))</f>
        <v>0</v>
      </c>
      <c r="O254" s="450">
        <f>IF(G254=0,0,(VLOOKUP(G254,'2. SMDA BHN'!$B$12:$H512,7,0)))</f>
        <v>0</v>
      </c>
      <c r="P254" s="449">
        <f t="shared" si="2"/>
        <v>0</v>
      </c>
      <c r="Q254" s="449">
        <f t="shared" si="3"/>
        <v>0</v>
      </c>
      <c r="R254" s="451" t="s">
        <v>45</v>
      </c>
      <c r="S254" s="464"/>
      <c r="T254" s="439"/>
      <c r="U254" s="16"/>
      <c r="V254" s="439"/>
      <c r="W254" s="439"/>
      <c r="X254" s="439"/>
      <c r="Y254" s="439"/>
      <c r="Z254" s="439"/>
      <c r="AA254" s="439"/>
      <c r="AB254" s="439"/>
      <c r="AC254" s="439"/>
      <c r="AD254" s="439"/>
      <c r="AE254" s="439"/>
      <c r="AF254" s="439"/>
    </row>
    <row r="255" ht="16.5" customHeight="1">
      <c r="A255" s="439"/>
      <c r="B255" s="454">
        <f t="shared" si="4"/>
        <v>1246</v>
      </c>
      <c r="C255" s="468"/>
      <c r="D255" s="442" t="str">
        <f>IF(G255="","",(VLOOKUP(G255,'2. SMDA BHN'!$B$12:$J512,2,0)))</f>
        <v/>
      </c>
      <c r="E255" s="443">
        <f>IF(G255=0,0,(VLOOKUP(G255,'2. SMDA BHN'!$B$12:$J512,3,0)))</f>
        <v>0</v>
      </c>
      <c r="F255" s="444"/>
      <c r="G255" s="467"/>
      <c r="H255" s="446">
        <f>IF(G255=0,0,(VLOOKUP(G255,'2. SMDA BHN'!$B$12:$H512,4,0)))</f>
        <v>0</v>
      </c>
      <c r="I255" s="460"/>
      <c r="J255" s="461"/>
      <c r="K255" s="448">
        <f>SUMIF('PO MTRL'!$G$9:$G512,G255,'PO MTRL'!$J$9:$J512)</f>
        <v>0</v>
      </c>
      <c r="L255" s="448">
        <f t="shared" si="1"/>
        <v>0</v>
      </c>
      <c r="M255" s="449">
        <f>SUMIF('PO MTRL'!$G$9:$G512,G255,'PO MTRL'!$L$9:$L512)</f>
        <v>0</v>
      </c>
      <c r="N255" s="450">
        <f>IF(G255=0,0,(VLOOKUP(G255,'2. SMDA BHN'!$B$12:$H512,5,0)))</f>
        <v>0</v>
      </c>
      <c r="O255" s="450">
        <f>IF(G255=0,0,(VLOOKUP(G255,'2. SMDA BHN'!$B$12:$H512,7,0)))</f>
        <v>0</v>
      </c>
      <c r="P255" s="449">
        <f t="shared" si="2"/>
        <v>0</v>
      </c>
      <c r="Q255" s="449">
        <f t="shared" si="3"/>
        <v>0</v>
      </c>
      <c r="R255" s="451" t="s">
        <v>45</v>
      </c>
      <c r="S255" s="464"/>
      <c r="T255" s="439"/>
      <c r="U255" s="16"/>
      <c r="V255" s="439"/>
      <c r="W255" s="439"/>
      <c r="X255" s="439"/>
      <c r="Y255" s="439"/>
      <c r="Z255" s="439"/>
      <c r="AA255" s="439"/>
      <c r="AB255" s="439"/>
      <c r="AC255" s="439"/>
      <c r="AD255" s="439"/>
      <c r="AE255" s="439"/>
      <c r="AF255" s="439"/>
    </row>
    <row r="256" ht="16.5" customHeight="1">
      <c r="A256" s="439"/>
      <c r="B256" s="454">
        <f t="shared" si="4"/>
        <v>1247</v>
      </c>
      <c r="C256" s="468"/>
      <c r="D256" s="442" t="str">
        <f>IF(G256="","",(VLOOKUP(G256,'2. SMDA BHN'!$B$12:$J512,2,0)))</f>
        <v/>
      </c>
      <c r="E256" s="443">
        <f>IF(G256=0,0,(VLOOKUP(G256,'2. SMDA BHN'!$B$12:$J512,3,0)))</f>
        <v>0</v>
      </c>
      <c r="F256" s="444"/>
      <c r="G256" s="467"/>
      <c r="H256" s="446">
        <f>IF(G256=0,0,(VLOOKUP(G256,'2. SMDA BHN'!$B$12:$H512,4,0)))</f>
        <v>0</v>
      </c>
      <c r="I256" s="460"/>
      <c r="J256" s="461"/>
      <c r="K256" s="448">
        <f>SUMIF('PO MTRL'!$G$9:$G512,G256,'PO MTRL'!$J$9:$J512)</f>
        <v>0</v>
      </c>
      <c r="L256" s="448">
        <f t="shared" si="1"/>
        <v>0</v>
      </c>
      <c r="M256" s="449">
        <f>SUMIF('PO MTRL'!$G$9:$G512,G256,'PO MTRL'!$L$9:$L512)</f>
        <v>0</v>
      </c>
      <c r="N256" s="450">
        <f>IF(G256=0,0,(VLOOKUP(G256,'2. SMDA BHN'!$B$12:$H512,5,0)))</f>
        <v>0</v>
      </c>
      <c r="O256" s="450">
        <f>IF(G256=0,0,(VLOOKUP(G256,'2. SMDA BHN'!$B$12:$H512,7,0)))</f>
        <v>0</v>
      </c>
      <c r="P256" s="449">
        <f t="shared" si="2"/>
        <v>0</v>
      </c>
      <c r="Q256" s="449">
        <f t="shared" si="3"/>
        <v>0</v>
      </c>
      <c r="R256" s="451" t="s">
        <v>45</v>
      </c>
      <c r="S256" s="464"/>
      <c r="T256" s="439"/>
      <c r="U256" s="16"/>
      <c r="V256" s="439"/>
      <c r="W256" s="439"/>
      <c r="X256" s="439"/>
      <c r="Y256" s="439"/>
      <c r="Z256" s="439"/>
      <c r="AA256" s="439"/>
      <c r="AB256" s="439"/>
      <c r="AC256" s="439"/>
      <c r="AD256" s="439"/>
      <c r="AE256" s="439"/>
      <c r="AF256" s="439"/>
    </row>
    <row r="257" ht="16.5" customHeight="1">
      <c r="A257" s="439"/>
      <c r="B257" s="454">
        <f t="shared" si="4"/>
        <v>1248</v>
      </c>
      <c r="C257" s="468"/>
      <c r="D257" s="442" t="str">
        <f>IF(G257="","",(VLOOKUP(G257,'2. SMDA BHN'!$B$12:$J512,2,0)))</f>
        <v/>
      </c>
      <c r="E257" s="443">
        <f>IF(G257=0,0,(VLOOKUP(G257,'2. SMDA BHN'!$B$12:$J512,3,0)))</f>
        <v>0</v>
      </c>
      <c r="F257" s="444"/>
      <c r="G257" s="467"/>
      <c r="H257" s="446">
        <f>IF(G257=0,0,(VLOOKUP(G257,'2. SMDA BHN'!$B$12:$H512,4,0)))</f>
        <v>0</v>
      </c>
      <c r="I257" s="460"/>
      <c r="J257" s="461"/>
      <c r="K257" s="448">
        <f>SUMIF('PO MTRL'!$G$9:$G512,G257,'PO MTRL'!$J$9:$J512)</f>
        <v>0</v>
      </c>
      <c r="L257" s="448">
        <f t="shared" si="1"/>
        <v>0</v>
      </c>
      <c r="M257" s="449">
        <f>SUMIF('PO MTRL'!$G$9:$G512,G257,'PO MTRL'!$L$9:$L512)</f>
        <v>0</v>
      </c>
      <c r="N257" s="450">
        <f>IF(G257=0,0,(VLOOKUP(G257,'2. SMDA BHN'!$B$12:$H512,5,0)))</f>
        <v>0</v>
      </c>
      <c r="O257" s="450">
        <f>IF(G257=0,0,(VLOOKUP(G257,'2. SMDA BHN'!$B$12:$H512,7,0)))</f>
        <v>0</v>
      </c>
      <c r="P257" s="449">
        <f t="shared" si="2"/>
        <v>0</v>
      </c>
      <c r="Q257" s="449">
        <f t="shared" si="3"/>
        <v>0</v>
      </c>
      <c r="R257" s="451" t="s">
        <v>45</v>
      </c>
      <c r="S257" s="464"/>
      <c r="T257" s="439"/>
      <c r="U257" s="16"/>
      <c r="V257" s="439"/>
      <c r="W257" s="439"/>
      <c r="X257" s="439"/>
      <c r="Y257" s="439"/>
      <c r="Z257" s="439"/>
      <c r="AA257" s="439"/>
      <c r="AB257" s="439"/>
      <c r="AC257" s="439"/>
      <c r="AD257" s="439"/>
      <c r="AE257" s="439"/>
      <c r="AF257" s="439"/>
    </row>
    <row r="258" ht="16.5" customHeight="1">
      <c r="A258" s="439"/>
      <c r="B258" s="454">
        <f t="shared" si="4"/>
        <v>1249</v>
      </c>
      <c r="C258" s="468"/>
      <c r="D258" s="442" t="str">
        <f>IF(G258="","",(VLOOKUP(G258,'2. SMDA BHN'!$B$12:$J512,2,0)))</f>
        <v/>
      </c>
      <c r="E258" s="443">
        <f>IF(G258=0,0,(VLOOKUP(G258,'2. SMDA BHN'!$B$12:$J512,3,0)))</f>
        <v>0</v>
      </c>
      <c r="F258" s="444"/>
      <c r="G258" s="467"/>
      <c r="H258" s="446">
        <f>IF(G258=0,0,(VLOOKUP(G258,'2. SMDA BHN'!$B$12:$H512,4,0)))</f>
        <v>0</v>
      </c>
      <c r="I258" s="460"/>
      <c r="J258" s="461"/>
      <c r="K258" s="448">
        <f>SUMIF('PO MTRL'!$G$9:$G512,G258,'PO MTRL'!$J$9:$J512)</f>
        <v>0</v>
      </c>
      <c r="L258" s="448">
        <f t="shared" si="1"/>
        <v>0</v>
      </c>
      <c r="M258" s="449">
        <f>SUMIF('PO MTRL'!$G$9:$G512,G258,'PO MTRL'!$L$9:$L512)</f>
        <v>0</v>
      </c>
      <c r="N258" s="450">
        <f>IF(G258=0,0,(VLOOKUP(G258,'2. SMDA BHN'!$B$12:$H512,5,0)))</f>
        <v>0</v>
      </c>
      <c r="O258" s="450">
        <f>IF(G258=0,0,(VLOOKUP(G258,'2. SMDA BHN'!$B$12:$H512,7,0)))</f>
        <v>0</v>
      </c>
      <c r="P258" s="449">
        <f t="shared" si="2"/>
        <v>0</v>
      </c>
      <c r="Q258" s="449">
        <f t="shared" si="3"/>
        <v>0</v>
      </c>
      <c r="R258" s="451" t="s">
        <v>45</v>
      </c>
      <c r="S258" s="464"/>
      <c r="T258" s="439"/>
      <c r="U258" s="16"/>
      <c r="V258" s="439"/>
      <c r="W258" s="439"/>
      <c r="X258" s="439"/>
      <c r="Y258" s="439"/>
      <c r="Z258" s="439"/>
      <c r="AA258" s="439"/>
      <c r="AB258" s="439"/>
      <c r="AC258" s="439"/>
      <c r="AD258" s="439"/>
      <c r="AE258" s="439"/>
      <c r="AF258" s="439"/>
    </row>
    <row r="259" ht="16.5" customHeight="1">
      <c r="A259" s="439"/>
      <c r="B259" s="454">
        <f t="shared" si="4"/>
        <v>1250</v>
      </c>
      <c r="C259" s="468"/>
      <c r="D259" s="442" t="str">
        <f>IF(G259="","",(VLOOKUP(G259,'2. SMDA BHN'!$B$12:$J512,2,0)))</f>
        <v/>
      </c>
      <c r="E259" s="443">
        <f>IF(G259=0,0,(VLOOKUP(G259,'2. SMDA BHN'!$B$12:$J512,3,0)))</f>
        <v>0</v>
      </c>
      <c r="F259" s="444"/>
      <c r="G259" s="467"/>
      <c r="H259" s="446">
        <f>IF(G259=0,0,(VLOOKUP(G259,'2. SMDA BHN'!$B$12:$H512,4,0)))</f>
        <v>0</v>
      </c>
      <c r="I259" s="460"/>
      <c r="J259" s="461"/>
      <c r="K259" s="448">
        <f>SUMIF('PO MTRL'!$G$9:$G512,G259,'PO MTRL'!$J$9:$J512)</f>
        <v>0</v>
      </c>
      <c r="L259" s="448">
        <f t="shared" si="1"/>
        <v>0</v>
      </c>
      <c r="M259" s="449">
        <f>SUMIF('PO MTRL'!$G$9:$G512,G259,'PO MTRL'!$L$9:$L512)</f>
        <v>0</v>
      </c>
      <c r="N259" s="450">
        <f>IF(G259=0,0,(VLOOKUP(G259,'2. SMDA BHN'!$B$12:$H512,5,0)))</f>
        <v>0</v>
      </c>
      <c r="O259" s="450">
        <f>IF(G259=0,0,(VLOOKUP(G259,'2. SMDA BHN'!$B$12:$H512,7,0)))</f>
        <v>0</v>
      </c>
      <c r="P259" s="449">
        <f t="shared" si="2"/>
        <v>0</v>
      </c>
      <c r="Q259" s="449">
        <f t="shared" si="3"/>
        <v>0</v>
      </c>
      <c r="R259" s="451" t="s">
        <v>45</v>
      </c>
      <c r="S259" s="464"/>
      <c r="T259" s="439"/>
      <c r="U259" s="16"/>
      <c r="V259" s="439"/>
      <c r="W259" s="439"/>
      <c r="X259" s="439"/>
      <c r="Y259" s="439"/>
      <c r="Z259" s="439"/>
      <c r="AA259" s="439"/>
      <c r="AB259" s="439"/>
      <c r="AC259" s="439"/>
      <c r="AD259" s="439"/>
      <c r="AE259" s="439"/>
      <c r="AF259" s="439"/>
    </row>
    <row r="260" ht="16.5" customHeight="1">
      <c r="A260" s="439"/>
      <c r="B260" s="454">
        <f t="shared" si="4"/>
        <v>1251</v>
      </c>
      <c r="C260" s="468"/>
      <c r="D260" s="442" t="str">
        <f>IF(G260="","",(VLOOKUP(G260,'2. SMDA BHN'!$B$12:$J512,2,0)))</f>
        <v/>
      </c>
      <c r="E260" s="443">
        <f>IF(G260=0,0,(VLOOKUP(G260,'2. SMDA BHN'!$B$12:$J512,3,0)))</f>
        <v>0</v>
      </c>
      <c r="F260" s="444"/>
      <c r="G260" s="467"/>
      <c r="H260" s="446">
        <f>IF(G260=0,0,(VLOOKUP(G260,'2. SMDA BHN'!$B$12:$H512,4,0)))</f>
        <v>0</v>
      </c>
      <c r="I260" s="460"/>
      <c r="J260" s="461"/>
      <c r="K260" s="448">
        <f>SUMIF('PO MTRL'!$G$9:$G512,G260,'PO MTRL'!$J$9:$J512)</f>
        <v>0</v>
      </c>
      <c r="L260" s="448">
        <f t="shared" si="1"/>
        <v>0</v>
      </c>
      <c r="M260" s="449">
        <f>SUMIF('PO MTRL'!$G$9:$G512,G260,'PO MTRL'!$L$9:$L512)</f>
        <v>0</v>
      </c>
      <c r="N260" s="450">
        <f>IF(G260=0,0,(VLOOKUP(G260,'2. SMDA BHN'!$B$12:$H512,5,0)))</f>
        <v>0</v>
      </c>
      <c r="O260" s="450">
        <f>IF(G260=0,0,(VLOOKUP(G260,'2. SMDA BHN'!$B$12:$H512,7,0)))</f>
        <v>0</v>
      </c>
      <c r="P260" s="449">
        <f t="shared" si="2"/>
        <v>0</v>
      </c>
      <c r="Q260" s="449">
        <f t="shared" si="3"/>
        <v>0</v>
      </c>
      <c r="R260" s="451" t="s">
        <v>45</v>
      </c>
      <c r="S260" s="464"/>
      <c r="T260" s="439"/>
      <c r="U260" s="16"/>
      <c r="V260" s="439"/>
      <c r="W260" s="439"/>
      <c r="X260" s="439"/>
      <c r="Y260" s="439"/>
      <c r="Z260" s="439"/>
      <c r="AA260" s="439"/>
      <c r="AB260" s="439"/>
      <c r="AC260" s="439"/>
      <c r="AD260" s="439"/>
      <c r="AE260" s="439"/>
      <c r="AF260" s="439"/>
    </row>
    <row r="261" ht="16.5" customHeight="1">
      <c r="A261" s="439"/>
      <c r="B261" s="454">
        <f t="shared" si="4"/>
        <v>1252</v>
      </c>
      <c r="C261" s="468"/>
      <c r="D261" s="442" t="str">
        <f>IF(G261="","",(VLOOKUP(G261,'2. SMDA BHN'!$B$12:$J512,2,0)))</f>
        <v/>
      </c>
      <c r="E261" s="443">
        <f>IF(G261=0,0,(VLOOKUP(G261,'2. SMDA BHN'!$B$12:$J512,3,0)))</f>
        <v>0</v>
      </c>
      <c r="F261" s="444"/>
      <c r="G261" s="467"/>
      <c r="H261" s="446">
        <f>IF(G261=0,0,(VLOOKUP(G261,'2. SMDA BHN'!$B$12:$H512,4,0)))</f>
        <v>0</v>
      </c>
      <c r="I261" s="460"/>
      <c r="J261" s="461"/>
      <c r="K261" s="448">
        <f>SUMIF('PO MTRL'!$G$9:$G512,G261,'PO MTRL'!$J$9:$J512)</f>
        <v>0</v>
      </c>
      <c r="L261" s="448">
        <f t="shared" si="1"/>
        <v>0</v>
      </c>
      <c r="M261" s="449">
        <f>SUMIF('PO MTRL'!$G$9:$G512,G261,'PO MTRL'!$L$9:$L512)</f>
        <v>0</v>
      </c>
      <c r="N261" s="450">
        <f>IF(G261=0,0,(VLOOKUP(G261,'2. SMDA BHN'!$B$12:$H512,5,0)))</f>
        <v>0</v>
      </c>
      <c r="O261" s="450">
        <f>IF(G261=0,0,(VLOOKUP(G261,'2. SMDA BHN'!$B$12:$H512,7,0)))</f>
        <v>0</v>
      </c>
      <c r="P261" s="449">
        <f t="shared" si="2"/>
        <v>0</v>
      </c>
      <c r="Q261" s="449">
        <f t="shared" si="3"/>
        <v>0</v>
      </c>
      <c r="R261" s="451" t="s">
        <v>45</v>
      </c>
      <c r="S261" s="464"/>
      <c r="T261" s="439"/>
      <c r="U261" s="16"/>
      <c r="V261" s="439"/>
      <c r="W261" s="439"/>
      <c r="X261" s="439"/>
      <c r="Y261" s="439"/>
      <c r="Z261" s="439"/>
      <c r="AA261" s="439"/>
      <c r="AB261" s="439"/>
      <c r="AC261" s="439"/>
      <c r="AD261" s="439"/>
      <c r="AE261" s="439"/>
      <c r="AF261" s="439"/>
    </row>
    <row r="262" ht="16.5" customHeight="1">
      <c r="A262" s="439"/>
      <c r="B262" s="454">
        <f t="shared" si="4"/>
        <v>1253</v>
      </c>
      <c r="C262" s="468"/>
      <c r="D262" s="442" t="str">
        <f>IF(G262="","",(VLOOKUP(G262,'2. SMDA BHN'!$B$12:$J512,2,0)))</f>
        <v/>
      </c>
      <c r="E262" s="443">
        <f>IF(G262=0,0,(VLOOKUP(G262,'2. SMDA BHN'!$B$12:$J512,3,0)))</f>
        <v>0</v>
      </c>
      <c r="F262" s="444"/>
      <c r="G262" s="467"/>
      <c r="H262" s="446">
        <f>IF(G262=0,0,(VLOOKUP(G262,'2. SMDA BHN'!$B$12:$H512,4,0)))</f>
        <v>0</v>
      </c>
      <c r="I262" s="460"/>
      <c r="J262" s="461"/>
      <c r="K262" s="448">
        <f>SUMIF('PO MTRL'!$G$9:$G512,G262,'PO MTRL'!$J$9:$J512)</f>
        <v>0</v>
      </c>
      <c r="L262" s="448">
        <f t="shared" si="1"/>
        <v>0</v>
      </c>
      <c r="M262" s="449">
        <f>SUMIF('PO MTRL'!$G$9:$G512,G262,'PO MTRL'!$L$9:$L512)</f>
        <v>0</v>
      </c>
      <c r="N262" s="450">
        <f>IF(G262=0,0,(VLOOKUP(G262,'2. SMDA BHN'!$B$12:$H512,5,0)))</f>
        <v>0</v>
      </c>
      <c r="O262" s="450">
        <f>IF(G262=0,0,(VLOOKUP(G262,'2. SMDA BHN'!$B$12:$H512,7,0)))</f>
        <v>0</v>
      </c>
      <c r="P262" s="449">
        <f t="shared" si="2"/>
        <v>0</v>
      </c>
      <c r="Q262" s="449">
        <f t="shared" si="3"/>
        <v>0</v>
      </c>
      <c r="R262" s="451" t="s">
        <v>45</v>
      </c>
      <c r="S262" s="464"/>
      <c r="T262" s="439"/>
      <c r="U262" s="16"/>
      <c r="V262" s="439"/>
      <c r="W262" s="439"/>
      <c r="X262" s="439"/>
      <c r="Y262" s="439"/>
      <c r="Z262" s="439"/>
      <c r="AA262" s="439"/>
      <c r="AB262" s="439"/>
      <c r="AC262" s="439"/>
      <c r="AD262" s="439"/>
      <c r="AE262" s="439"/>
      <c r="AF262" s="439"/>
    </row>
    <row r="263" ht="16.5" customHeight="1">
      <c r="A263" s="439"/>
      <c r="B263" s="454">
        <f t="shared" si="4"/>
        <v>1254</v>
      </c>
      <c r="C263" s="468"/>
      <c r="D263" s="442" t="str">
        <f>IF(G263="","",(VLOOKUP(G263,'2. SMDA BHN'!$B$12:$J512,2,0)))</f>
        <v/>
      </c>
      <c r="E263" s="443">
        <f>IF(G263=0,0,(VLOOKUP(G263,'2. SMDA BHN'!$B$12:$J512,3,0)))</f>
        <v>0</v>
      </c>
      <c r="F263" s="444"/>
      <c r="G263" s="467"/>
      <c r="H263" s="446">
        <f>IF(G263=0,0,(VLOOKUP(G263,'2. SMDA BHN'!$B$12:$H512,4,0)))</f>
        <v>0</v>
      </c>
      <c r="I263" s="460"/>
      <c r="J263" s="461"/>
      <c r="K263" s="448">
        <f>SUMIF('PO MTRL'!$G$9:$G512,G263,'PO MTRL'!$J$9:$J512)</f>
        <v>0</v>
      </c>
      <c r="L263" s="448">
        <f t="shared" si="1"/>
        <v>0</v>
      </c>
      <c r="M263" s="449">
        <f>SUMIF('PO MTRL'!$G$9:$G512,G263,'PO MTRL'!$L$9:$L512)</f>
        <v>0</v>
      </c>
      <c r="N263" s="450">
        <f>IF(G263=0,0,(VLOOKUP(G263,'2. SMDA BHN'!$B$12:$H512,5,0)))</f>
        <v>0</v>
      </c>
      <c r="O263" s="450">
        <f>IF(G263=0,0,(VLOOKUP(G263,'2. SMDA BHN'!$B$12:$H512,7,0)))</f>
        <v>0</v>
      </c>
      <c r="P263" s="449">
        <f t="shared" si="2"/>
        <v>0</v>
      </c>
      <c r="Q263" s="449">
        <f t="shared" si="3"/>
        <v>0</v>
      </c>
      <c r="R263" s="451" t="s">
        <v>45</v>
      </c>
      <c r="S263" s="464"/>
      <c r="T263" s="439"/>
      <c r="U263" s="16"/>
      <c r="V263" s="439"/>
      <c r="W263" s="439"/>
      <c r="X263" s="439"/>
      <c r="Y263" s="439"/>
      <c r="Z263" s="439"/>
      <c r="AA263" s="439"/>
      <c r="AB263" s="439"/>
      <c r="AC263" s="439"/>
      <c r="AD263" s="439"/>
      <c r="AE263" s="439"/>
      <c r="AF263" s="439"/>
    </row>
    <row r="264" ht="16.5" customHeight="1">
      <c r="A264" s="439"/>
      <c r="B264" s="454">
        <f t="shared" si="4"/>
        <v>1255</v>
      </c>
      <c r="C264" s="468"/>
      <c r="D264" s="442" t="str">
        <f>IF(G264="","",(VLOOKUP(G264,'2. SMDA BHN'!$B$12:$J512,2,0)))</f>
        <v/>
      </c>
      <c r="E264" s="443">
        <f>IF(G264=0,0,(VLOOKUP(G264,'2. SMDA BHN'!$B$12:$J512,3,0)))</f>
        <v>0</v>
      </c>
      <c r="F264" s="444"/>
      <c r="G264" s="467"/>
      <c r="H264" s="446">
        <f>IF(G264=0,0,(VLOOKUP(G264,'2. SMDA BHN'!$B$12:$H512,4,0)))</f>
        <v>0</v>
      </c>
      <c r="I264" s="460"/>
      <c r="J264" s="461"/>
      <c r="K264" s="448">
        <f>SUMIF('PO MTRL'!$G$9:$G512,G264,'PO MTRL'!$J$9:$J512)</f>
        <v>0</v>
      </c>
      <c r="L264" s="448">
        <f t="shared" si="1"/>
        <v>0</v>
      </c>
      <c r="M264" s="449">
        <f>SUMIF('PO MTRL'!$G$9:$G512,G264,'PO MTRL'!$L$9:$L512)</f>
        <v>0</v>
      </c>
      <c r="N264" s="450">
        <f>IF(G264=0,0,(VLOOKUP(G264,'2. SMDA BHN'!$B$12:$H512,5,0)))</f>
        <v>0</v>
      </c>
      <c r="O264" s="450">
        <f>IF(G264=0,0,(VLOOKUP(G264,'2. SMDA BHN'!$B$12:$H512,7,0)))</f>
        <v>0</v>
      </c>
      <c r="P264" s="449">
        <f t="shared" si="2"/>
        <v>0</v>
      </c>
      <c r="Q264" s="449">
        <f t="shared" si="3"/>
        <v>0</v>
      </c>
      <c r="R264" s="451" t="s">
        <v>45</v>
      </c>
      <c r="S264" s="464"/>
      <c r="T264" s="439"/>
      <c r="U264" s="16"/>
      <c r="V264" s="439"/>
      <c r="W264" s="439"/>
      <c r="X264" s="439"/>
      <c r="Y264" s="439"/>
      <c r="Z264" s="439"/>
      <c r="AA264" s="439"/>
      <c r="AB264" s="439"/>
      <c r="AC264" s="439"/>
      <c r="AD264" s="439"/>
      <c r="AE264" s="439"/>
      <c r="AF264" s="439"/>
    </row>
    <row r="265" ht="16.5" customHeight="1">
      <c r="A265" s="439"/>
      <c r="B265" s="454">
        <f t="shared" si="4"/>
        <v>1256</v>
      </c>
      <c r="C265" s="468"/>
      <c r="D265" s="442" t="str">
        <f>IF(G265="","",(VLOOKUP(G265,'2. SMDA BHN'!$B$12:$J512,2,0)))</f>
        <v/>
      </c>
      <c r="E265" s="443">
        <f>IF(G265=0,0,(VLOOKUP(G265,'2. SMDA BHN'!$B$12:$J512,3,0)))</f>
        <v>0</v>
      </c>
      <c r="F265" s="444"/>
      <c r="G265" s="467"/>
      <c r="H265" s="446">
        <f>IF(G265=0,0,(VLOOKUP(G265,'2. SMDA BHN'!$B$12:$H512,4,0)))</f>
        <v>0</v>
      </c>
      <c r="I265" s="460"/>
      <c r="J265" s="461"/>
      <c r="K265" s="448">
        <f>SUMIF('PO MTRL'!$G$9:$G512,G265,'PO MTRL'!$J$9:$J512)</f>
        <v>0</v>
      </c>
      <c r="L265" s="448">
        <f t="shared" si="1"/>
        <v>0</v>
      </c>
      <c r="M265" s="449">
        <f>SUMIF('PO MTRL'!$G$9:$G512,G265,'PO MTRL'!$L$9:$L512)</f>
        <v>0</v>
      </c>
      <c r="N265" s="450">
        <f>IF(G265=0,0,(VLOOKUP(G265,'2. SMDA BHN'!$B$12:$H512,5,0)))</f>
        <v>0</v>
      </c>
      <c r="O265" s="450">
        <f>IF(G265=0,0,(VLOOKUP(G265,'2. SMDA BHN'!$B$12:$H512,7,0)))</f>
        <v>0</v>
      </c>
      <c r="P265" s="449">
        <f t="shared" si="2"/>
        <v>0</v>
      </c>
      <c r="Q265" s="449">
        <f t="shared" si="3"/>
        <v>0</v>
      </c>
      <c r="R265" s="451" t="s">
        <v>45</v>
      </c>
      <c r="S265" s="464"/>
      <c r="T265" s="439"/>
      <c r="U265" s="16"/>
      <c r="V265" s="439"/>
      <c r="W265" s="439"/>
      <c r="X265" s="439"/>
      <c r="Y265" s="439"/>
      <c r="Z265" s="439"/>
      <c r="AA265" s="439"/>
      <c r="AB265" s="439"/>
      <c r="AC265" s="439"/>
      <c r="AD265" s="439"/>
      <c r="AE265" s="439"/>
      <c r="AF265" s="439"/>
    </row>
    <row r="266" ht="16.5" customHeight="1">
      <c r="A266" s="439"/>
      <c r="B266" s="454">
        <f t="shared" si="4"/>
        <v>1257</v>
      </c>
      <c r="C266" s="468"/>
      <c r="D266" s="442" t="str">
        <f>IF(G266="","",(VLOOKUP(G266,'2. SMDA BHN'!$B$12:$J512,2,0)))</f>
        <v/>
      </c>
      <c r="E266" s="443">
        <f>IF(G266=0,0,(VLOOKUP(G266,'2. SMDA BHN'!$B$12:$J512,3,0)))</f>
        <v>0</v>
      </c>
      <c r="F266" s="444"/>
      <c r="G266" s="467"/>
      <c r="H266" s="446">
        <f>IF(G266=0,0,(VLOOKUP(G266,'2. SMDA BHN'!$B$12:$H512,4,0)))</f>
        <v>0</v>
      </c>
      <c r="I266" s="460"/>
      <c r="J266" s="461"/>
      <c r="K266" s="448">
        <f>SUMIF('PO MTRL'!$G$9:$G512,G266,'PO MTRL'!$J$9:$J512)</f>
        <v>0</v>
      </c>
      <c r="L266" s="448">
        <f t="shared" si="1"/>
        <v>0</v>
      </c>
      <c r="M266" s="449">
        <f>SUMIF('PO MTRL'!$G$9:$G512,G266,'PO MTRL'!$L$9:$L512)</f>
        <v>0</v>
      </c>
      <c r="N266" s="450">
        <f>IF(G266=0,0,(VLOOKUP(G266,'2. SMDA BHN'!$B$12:$H512,5,0)))</f>
        <v>0</v>
      </c>
      <c r="O266" s="450">
        <f>IF(G266=0,0,(VLOOKUP(G266,'2. SMDA BHN'!$B$12:$H512,7,0)))</f>
        <v>0</v>
      </c>
      <c r="P266" s="449">
        <f t="shared" si="2"/>
        <v>0</v>
      </c>
      <c r="Q266" s="449">
        <f t="shared" si="3"/>
        <v>0</v>
      </c>
      <c r="R266" s="451" t="s">
        <v>45</v>
      </c>
      <c r="S266" s="464"/>
      <c r="T266" s="439"/>
      <c r="U266" s="16"/>
      <c r="V266" s="439"/>
      <c r="W266" s="439"/>
      <c r="X266" s="439"/>
      <c r="Y266" s="439"/>
      <c r="Z266" s="439"/>
      <c r="AA266" s="439"/>
      <c r="AB266" s="439"/>
      <c r="AC266" s="439"/>
      <c r="AD266" s="439"/>
      <c r="AE266" s="439"/>
      <c r="AF266" s="439"/>
    </row>
    <row r="267" ht="16.5" customHeight="1">
      <c r="A267" s="439"/>
      <c r="B267" s="454">
        <f t="shared" si="4"/>
        <v>1258</v>
      </c>
      <c r="C267" s="468"/>
      <c r="D267" s="442" t="str">
        <f>IF(G267="","",(VLOOKUP(G267,'2. SMDA BHN'!$B$12:$J512,2,0)))</f>
        <v/>
      </c>
      <c r="E267" s="443">
        <f>IF(G267=0,0,(VLOOKUP(G267,'2. SMDA BHN'!$B$12:$J512,3,0)))</f>
        <v>0</v>
      </c>
      <c r="F267" s="444"/>
      <c r="G267" s="467"/>
      <c r="H267" s="446">
        <f>IF(G267=0,0,(VLOOKUP(G267,'2. SMDA BHN'!$B$12:$H512,4,0)))</f>
        <v>0</v>
      </c>
      <c r="I267" s="460"/>
      <c r="J267" s="461"/>
      <c r="K267" s="448">
        <f>SUMIF('PO MTRL'!$G$9:$G512,G267,'PO MTRL'!$J$9:$J512)</f>
        <v>0</v>
      </c>
      <c r="L267" s="448">
        <f t="shared" si="1"/>
        <v>0</v>
      </c>
      <c r="M267" s="449">
        <f>SUMIF('PO MTRL'!$G$9:$G512,G267,'PO MTRL'!$L$9:$L512)</f>
        <v>0</v>
      </c>
      <c r="N267" s="450">
        <f>IF(G267=0,0,(VLOOKUP(G267,'2. SMDA BHN'!$B$12:$H512,5,0)))</f>
        <v>0</v>
      </c>
      <c r="O267" s="450">
        <f>IF(G267=0,0,(VLOOKUP(G267,'2. SMDA BHN'!$B$12:$H512,7,0)))</f>
        <v>0</v>
      </c>
      <c r="P267" s="449">
        <f t="shared" si="2"/>
        <v>0</v>
      </c>
      <c r="Q267" s="449">
        <f t="shared" si="3"/>
        <v>0</v>
      </c>
      <c r="R267" s="451" t="s">
        <v>45</v>
      </c>
      <c r="S267" s="464"/>
      <c r="T267" s="439"/>
      <c r="U267" s="16"/>
      <c r="V267" s="439"/>
      <c r="W267" s="439"/>
      <c r="X267" s="439"/>
      <c r="Y267" s="439"/>
      <c r="Z267" s="439"/>
      <c r="AA267" s="439"/>
      <c r="AB267" s="439"/>
      <c r="AC267" s="439"/>
      <c r="AD267" s="439"/>
      <c r="AE267" s="439"/>
      <c r="AF267" s="439"/>
    </row>
    <row r="268" ht="16.5" customHeight="1">
      <c r="A268" s="439"/>
      <c r="B268" s="454">
        <f t="shared" si="4"/>
        <v>1259</v>
      </c>
      <c r="C268" s="468"/>
      <c r="D268" s="442" t="str">
        <f>IF(G268="","",(VLOOKUP(G268,'2. SMDA BHN'!$B$12:$J512,2,0)))</f>
        <v/>
      </c>
      <c r="E268" s="443">
        <f>IF(G268=0,0,(VLOOKUP(G268,'2. SMDA BHN'!$B$12:$J512,3,0)))</f>
        <v>0</v>
      </c>
      <c r="F268" s="444"/>
      <c r="G268" s="467"/>
      <c r="H268" s="446">
        <f>IF(G268=0,0,(VLOOKUP(G268,'2. SMDA BHN'!$B$12:$H512,4,0)))</f>
        <v>0</v>
      </c>
      <c r="I268" s="460"/>
      <c r="J268" s="461"/>
      <c r="K268" s="448">
        <f>SUMIF('PO MTRL'!$G$9:$G512,G268,'PO MTRL'!$J$9:$J512)</f>
        <v>0</v>
      </c>
      <c r="L268" s="448">
        <f t="shared" si="1"/>
        <v>0</v>
      </c>
      <c r="M268" s="449">
        <f>SUMIF('PO MTRL'!$G$9:$G512,G268,'PO MTRL'!$L$9:$L512)</f>
        <v>0</v>
      </c>
      <c r="N268" s="450">
        <f>IF(G268=0,0,(VLOOKUP(G268,'2. SMDA BHN'!$B$12:$H512,5,0)))</f>
        <v>0</v>
      </c>
      <c r="O268" s="450">
        <f>IF(G268=0,0,(VLOOKUP(G268,'2. SMDA BHN'!$B$12:$H512,7,0)))</f>
        <v>0</v>
      </c>
      <c r="P268" s="449">
        <f t="shared" si="2"/>
        <v>0</v>
      </c>
      <c r="Q268" s="449">
        <f t="shared" si="3"/>
        <v>0</v>
      </c>
      <c r="R268" s="451" t="s">
        <v>45</v>
      </c>
      <c r="S268" s="464"/>
      <c r="T268" s="439"/>
      <c r="U268" s="16"/>
      <c r="V268" s="439"/>
      <c r="W268" s="439"/>
      <c r="X268" s="439"/>
      <c r="Y268" s="439"/>
      <c r="Z268" s="439"/>
      <c r="AA268" s="439"/>
      <c r="AB268" s="439"/>
      <c r="AC268" s="439"/>
      <c r="AD268" s="439"/>
      <c r="AE268" s="439"/>
      <c r="AF268" s="439"/>
    </row>
    <row r="269" ht="16.5" customHeight="1">
      <c r="A269" s="439"/>
      <c r="B269" s="454">
        <f t="shared" si="4"/>
        <v>1260</v>
      </c>
      <c r="C269" s="468"/>
      <c r="D269" s="442" t="str">
        <f>IF(G269="","",(VLOOKUP(G269,'2. SMDA BHN'!$B$12:$J512,2,0)))</f>
        <v/>
      </c>
      <c r="E269" s="443">
        <f>IF(G269=0,0,(VLOOKUP(G269,'2. SMDA BHN'!$B$12:$J512,3,0)))</f>
        <v>0</v>
      </c>
      <c r="F269" s="444"/>
      <c r="G269" s="467"/>
      <c r="H269" s="446">
        <f>IF(G269=0,0,(VLOOKUP(G269,'2. SMDA BHN'!$B$12:$H512,4,0)))</f>
        <v>0</v>
      </c>
      <c r="I269" s="460"/>
      <c r="J269" s="461"/>
      <c r="K269" s="448">
        <f>SUMIF('PO MTRL'!$G$9:$G512,G269,'PO MTRL'!$J$9:$J512)</f>
        <v>0</v>
      </c>
      <c r="L269" s="448">
        <f t="shared" si="1"/>
        <v>0</v>
      </c>
      <c r="M269" s="449">
        <f>SUMIF('PO MTRL'!$G$9:$G512,G269,'PO MTRL'!$L$9:$L512)</f>
        <v>0</v>
      </c>
      <c r="N269" s="450">
        <f>IF(G269=0,0,(VLOOKUP(G269,'2. SMDA BHN'!$B$12:$H512,5,0)))</f>
        <v>0</v>
      </c>
      <c r="O269" s="450">
        <f>IF(G269=0,0,(VLOOKUP(G269,'2. SMDA BHN'!$B$12:$H512,7,0)))</f>
        <v>0</v>
      </c>
      <c r="P269" s="449">
        <f t="shared" si="2"/>
        <v>0</v>
      </c>
      <c r="Q269" s="449">
        <f t="shared" si="3"/>
        <v>0</v>
      </c>
      <c r="R269" s="451" t="s">
        <v>45</v>
      </c>
      <c r="S269" s="464"/>
      <c r="T269" s="439"/>
      <c r="U269" s="16"/>
      <c r="V269" s="439"/>
      <c r="W269" s="439"/>
      <c r="X269" s="439"/>
      <c r="Y269" s="439"/>
      <c r="Z269" s="439"/>
      <c r="AA269" s="439"/>
      <c r="AB269" s="439"/>
      <c r="AC269" s="439"/>
      <c r="AD269" s="439"/>
      <c r="AE269" s="439"/>
      <c r="AF269" s="439"/>
    </row>
    <row r="270" ht="16.5" customHeight="1">
      <c r="A270" s="439"/>
      <c r="B270" s="454">
        <f t="shared" si="4"/>
        <v>1261</v>
      </c>
      <c r="C270" s="468"/>
      <c r="D270" s="442" t="str">
        <f>IF(G270="","",(VLOOKUP(G270,'2. SMDA BHN'!$B$12:$J512,2,0)))</f>
        <v/>
      </c>
      <c r="E270" s="443">
        <f>IF(G270=0,0,(VLOOKUP(G270,'2. SMDA BHN'!$B$12:$J512,3,0)))</f>
        <v>0</v>
      </c>
      <c r="F270" s="444"/>
      <c r="G270" s="467"/>
      <c r="H270" s="446">
        <f>IF(G270=0,0,(VLOOKUP(G270,'2. SMDA BHN'!$B$12:$H512,4,0)))</f>
        <v>0</v>
      </c>
      <c r="I270" s="460"/>
      <c r="J270" s="461"/>
      <c r="K270" s="448">
        <f>SUMIF('PO MTRL'!$G$9:$G512,G270,'PO MTRL'!$J$9:$J512)</f>
        <v>0</v>
      </c>
      <c r="L270" s="448">
        <f t="shared" si="1"/>
        <v>0</v>
      </c>
      <c r="M270" s="449">
        <f>SUMIF('PO MTRL'!$G$9:$G512,G270,'PO MTRL'!$L$9:$L512)</f>
        <v>0</v>
      </c>
      <c r="N270" s="450">
        <f>IF(G270=0,0,(VLOOKUP(G270,'2. SMDA BHN'!$B$12:$H512,5,0)))</f>
        <v>0</v>
      </c>
      <c r="O270" s="450">
        <f>IF(G270=0,0,(VLOOKUP(G270,'2. SMDA BHN'!$B$12:$H512,7,0)))</f>
        <v>0</v>
      </c>
      <c r="P270" s="449">
        <f t="shared" si="2"/>
        <v>0</v>
      </c>
      <c r="Q270" s="449">
        <f t="shared" si="3"/>
        <v>0</v>
      </c>
      <c r="R270" s="451" t="s">
        <v>45</v>
      </c>
      <c r="S270" s="464"/>
      <c r="T270" s="439"/>
      <c r="U270" s="16"/>
      <c r="V270" s="439"/>
      <c r="W270" s="439"/>
      <c r="X270" s="439"/>
      <c r="Y270" s="439"/>
      <c r="Z270" s="439"/>
      <c r="AA270" s="439"/>
      <c r="AB270" s="439"/>
      <c r="AC270" s="439"/>
      <c r="AD270" s="439"/>
      <c r="AE270" s="439"/>
      <c r="AF270" s="439"/>
    </row>
    <row r="271" ht="16.5" customHeight="1">
      <c r="A271" s="439"/>
      <c r="B271" s="454">
        <f t="shared" si="4"/>
        <v>1262</v>
      </c>
      <c r="C271" s="468"/>
      <c r="D271" s="442" t="str">
        <f>IF(G271="","",(VLOOKUP(G271,'2. SMDA BHN'!$B$12:$J512,2,0)))</f>
        <v/>
      </c>
      <c r="E271" s="443">
        <f>IF(G271=0,0,(VLOOKUP(G271,'2. SMDA BHN'!$B$12:$J512,3,0)))</f>
        <v>0</v>
      </c>
      <c r="F271" s="444"/>
      <c r="G271" s="467"/>
      <c r="H271" s="446">
        <f>IF(G271=0,0,(VLOOKUP(G271,'2. SMDA BHN'!$B$12:$H512,4,0)))</f>
        <v>0</v>
      </c>
      <c r="I271" s="460"/>
      <c r="J271" s="461"/>
      <c r="K271" s="448">
        <f>SUMIF('PO MTRL'!$G$9:$G512,G271,'PO MTRL'!$J$9:$J512)</f>
        <v>0</v>
      </c>
      <c r="L271" s="448">
        <f t="shared" si="1"/>
        <v>0</v>
      </c>
      <c r="M271" s="449">
        <f>SUMIF('PO MTRL'!$G$9:$G512,G271,'PO MTRL'!$L$9:$L512)</f>
        <v>0</v>
      </c>
      <c r="N271" s="450">
        <f>IF(G271=0,0,(VLOOKUP(G271,'2. SMDA BHN'!$B$12:$H512,5,0)))</f>
        <v>0</v>
      </c>
      <c r="O271" s="450">
        <f>IF(G271=0,0,(VLOOKUP(G271,'2. SMDA BHN'!$B$12:$H512,7,0)))</f>
        <v>0</v>
      </c>
      <c r="P271" s="449">
        <f t="shared" si="2"/>
        <v>0</v>
      </c>
      <c r="Q271" s="449">
        <f t="shared" si="3"/>
        <v>0</v>
      </c>
      <c r="R271" s="451" t="s">
        <v>45</v>
      </c>
      <c r="S271" s="464"/>
      <c r="T271" s="439"/>
      <c r="U271" s="16"/>
      <c r="V271" s="439"/>
      <c r="W271" s="439"/>
      <c r="X271" s="439"/>
      <c r="Y271" s="439"/>
      <c r="Z271" s="439"/>
      <c r="AA271" s="439"/>
      <c r="AB271" s="439"/>
      <c r="AC271" s="439"/>
      <c r="AD271" s="439"/>
      <c r="AE271" s="439"/>
      <c r="AF271" s="439"/>
    </row>
    <row r="272" ht="16.5" customHeight="1">
      <c r="A272" s="439"/>
      <c r="B272" s="454">
        <f t="shared" si="4"/>
        <v>1263</v>
      </c>
      <c r="C272" s="468"/>
      <c r="D272" s="442" t="str">
        <f>IF(G272="","",(VLOOKUP(G272,'2. SMDA BHN'!$B$12:$J512,2,0)))</f>
        <v/>
      </c>
      <c r="E272" s="443">
        <f>IF(G272=0,0,(VLOOKUP(G272,'2. SMDA BHN'!$B$12:$J512,3,0)))</f>
        <v>0</v>
      </c>
      <c r="F272" s="444"/>
      <c r="G272" s="467"/>
      <c r="H272" s="446">
        <f>IF(G272=0,0,(VLOOKUP(G272,'2. SMDA BHN'!$B$12:$H512,4,0)))</f>
        <v>0</v>
      </c>
      <c r="I272" s="460"/>
      <c r="J272" s="461"/>
      <c r="K272" s="448">
        <f>SUMIF('PO MTRL'!$G$9:$G512,G272,'PO MTRL'!$J$9:$J512)</f>
        <v>0</v>
      </c>
      <c r="L272" s="448">
        <f t="shared" si="1"/>
        <v>0</v>
      </c>
      <c r="M272" s="449">
        <f>SUMIF('PO MTRL'!$G$9:$G512,G272,'PO MTRL'!$L$9:$L512)</f>
        <v>0</v>
      </c>
      <c r="N272" s="450">
        <f>IF(G272=0,0,(VLOOKUP(G272,'2. SMDA BHN'!$B$12:$H512,5,0)))</f>
        <v>0</v>
      </c>
      <c r="O272" s="450">
        <f>IF(G272=0,0,(VLOOKUP(G272,'2. SMDA BHN'!$B$12:$H512,7,0)))</f>
        <v>0</v>
      </c>
      <c r="P272" s="449">
        <f t="shared" si="2"/>
        <v>0</v>
      </c>
      <c r="Q272" s="449">
        <f t="shared" si="3"/>
        <v>0</v>
      </c>
      <c r="R272" s="451" t="s">
        <v>45</v>
      </c>
      <c r="S272" s="464"/>
      <c r="T272" s="439"/>
      <c r="U272" s="16"/>
      <c r="V272" s="439"/>
      <c r="W272" s="439"/>
      <c r="X272" s="439"/>
      <c r="Y272" s="439"/>
      <c r="Z272" s="439"/>
      <c r="AA272" s="439"/>
      <c r="AB272" s="439"/>
      <c r="AC272" s="439"/>
      <c r="AD272" s="439"/>
      <c r="AE272" s="439"/>
      <c r="AF272" s="439"/>
    </row>
    <row r="273" ht="16.5" customHeight="1">
      <c r="A273" s="439"/>
      <c r="B273" s="454">
        <f t="shared" si="4"/>
        <v>1264</v>
      </c>
      <c r="C273" s="468"/>
      <c r="D273" s="442" t="str">
        <f>IF(G273="","",(VLOOKUP(G273,'2. SMDA BHN'!$B$12:$J512,2,0)))</f>
        <v/>
      </c>
      <c r="E273" s="443">
        <f>IF(G273=0,0,(VLOOKUP(G273,'2. SMDA BHN'!$B$12:$J512,3,0)))</f>
        <v>0</v>
      </c>
      <c r="F273" s="444"/>
      <c r="G273" s="467"/>
      <c r="H273" s="446">
        <f>IF(G273=0,0,(VLOOKUP(G273,'2. SMDA BHN'!$B$12:$H512,4,0)))</f>
        <v>0</v>
      </c>
      <c r="I273" s="460"/>
      <c r="J273" s="461"/>
      <c r="K273" s="448">
        <f>SUMIF('PO MTRL'!$G$9:$G512,G273,'PO MTRL'!$J$9:$J512)</f>
        <v>0</v>
      </c>
      <c r="L273" s="448">
        <f t="shared" si="1"/>
        <v>0</v>
      </c>
      <c r="M273" s="449">
        <f>SUMIF('PO MTRL'!$G$9:$G512,G273,'PO MTRL'!$L$9:$L512)</f>
        <v>0</v>
      </c>
      <c r="N273" s="450">
        <f>IF(G273=0,0,(VLOOKUP(G273,'2. SMDA BHN'!$B$12:$H512,5,0)))</f>
        <v>0</v>
      </c>
      <c r="O273" s="450">
        <f>IF(G273=0,0,(VLOOKUP(G273,'2. SMDA BHN'!$B$12:$H512,7,0)))</f>
        <v>0</v>
      </c>
      <c r="P273" s="449">
        <f t="shared" si="2"/>
        <v>0</v>
      </c>
      <c r="Q273" s="449">
        <f t="shared" si="3"/>
        <v>0</v>
      </c>
      <c r="R273" s="451" t="s">
        <v>45</v>
      </c>
      <c r="S273" s="464"/>
      <c r="T273" s="439"/>
      <c r="U273" s="16"/>
      <c r="V273" s="439"/>
      <c r="W273" s="439"/>
      <c r="X273" s="439"/>
      <c r="Y273" s="439"/>
      <c r="Z273" s="439"/>
      <c r="AA273" s="439"/>
      <c r="AB273" s="439"/>
      <c r="AC273" s="439"/>
      <c r="AD273" s="439"/>
      <c r="AE273" s="439"/>
      <c r="AF273" s="439"/>
    </row>
    <row r="274" ht="16.5" customHeight="1">
      <c r="A274" s="439"/>
      <c r="B274" s="454">
        <f t="shared" si="4"/>
        <v>1265</v>
      </c>
      <c r="C274" s="468"/>
      <c r="D274" s="442" t="str">
        <f>IF(G274="","",(VLOOKUP(G274,'2. SMDA BHN'!$B$12:$J512,2,0)))</f>
        <v/>
      </c>
      <c r="E274" s="443">
        <f>IF(G274=0,0,(VLOOKUP(G274,'2. SMDA BHN'!$B$12:$J512,3,0)))</f>
        <v>0</v>
      </c>
      <c r="F274" s="444"/>
      <c r="G274" s="467"/>
      <c r="H274" s="446">
        <f>IF(G274=0,0,(VLOOKUP(G274,'2. SMDA BHN'!$B$12:$H512,4,0)))</f>
        <v>0</v>
      </c>
      <c r="I274" s="460"/>
      <c r="J274" s="461"/>
      <c r="K274" s="448">
        <f>SUMIF('PO MTRL'!$G$9:$G512,G274,'PO MTRL'!$J$9:$J512)</f>
        <v>0</v>
      </c>
      <c r="L274" s="448">
        <f t="shared" si="1"/>
        <v>0</v>
      </c>
      <c r="M274" s="449">
        <f>SUMIF('PO MTRL'!$G$9:$G512,G274,'PO MTRL'!$L$9:$L512)</f>
        <v>0</v>
      </c>
      <c r="N274" s="450">
        <f>IF(G274=0,0,(VLOOKUP(G274,'2. SMDA BHN'!$B$12:$H512,5,0)))</f>
        <v>0</v>
      </c>
      <c r="O274" s="450">
        <f>IF(G274=0,0,(VLOOKUP(G274,'2. SMDA BHN'!$B$12:$H512,7,0)))</f>
        <v>0</v>
      </c>
      <c r="P274" s="449">
        <f t="shared" si="2"/>
        <v>0</v>
      </c>
      <c r="Q274" s="449">
        <f t="shared" si="3"/>
        <v>0</v>
      </c>
      <c r="R274" s="451" t="s">
        <v>45</v>
      </c>
      <c r="S274" s="464"/>
      <c r="T274" s="439"/>
      <c r="U274" s="16"/>
      <c r="V274" s="439"/>
      <c r="W274" s="439"/>
      <c r="X274" s="439"/>
      <c r="Y274" s="439"/>
      <c r="Z274" s="439"/>
      <c r="AA274" s="439"/>
      <c r="AB274" s="439"/>
      <c r="AC274" s="439"/>
      <c r="AD274" s="439"/>
      <c r="AE274" s="439"/>
      <c r="AF274" s="439"/>
    </row>
    <row r="275" ht="16.5" customHeight="1">
      <c r="A275" s="439"/>
      <c r="B275" s="454">
        <f t="shared" si="4"/>
        <v>1266</v>
      </c>
      <c r="C275" s="468"/>
      <c r="D275" s="442" t="str">
        <f>IF(G275="","",(VLOOKUP(G275,'2. SMDA BHN'!$B$12:$J512,2,0)))</f>
        <v/>
      </c>
      <c r="E275" s="443">
        <f>IF(G275=0,0,(VLOOKUP(G275,'2. SMDA BHN'!$B$12:$J512,3,0)))</f>
        <v>0</v>
      </c>
      <c r="F275" s="444"/>
      <c r="G275" s="467"/>
      <c r="H275" s="446">
        <f>IF(G275=0,0,(VLOOKUP(G275,'2. SMDA BHN'!$B$12:$H512,4,0)))</f>
        <v>0</v>
      </c>
      <c r="I275" s="460"/>
      <c r="J275" s="461"/>
      <c r="K275" s="448">
        <f>SUMIF('PO MTRL'!$G$9:$G512,G275,'PO MTRL'!$J$9:$J512)</f>
        <v>0</v>
      </c>
      <c r="L275" s="448">
        <f t="shared" si="1"/>
        <v>0</v>
      </c>
      <c r="M275" s="449">
        <f>SUMIF('PO MTRL'!$G$9:$G512,G275,'PO MTRL'!$L$9:$L512)</f>
        <v>0</v>
      </c>
      <c r="N275" s="450">
        <f>IF(G275=0,0,(VLOOKUP(G275,'2. SMDA BHN'!$B$12:$H512,5,0)))</f>
        <v>0</v>
      </c>
      <c r="O275" s="450">
        <f>IF(G275=0,0,(VLOOKUP(G275,'2. SMDA BHN'!$B$12:$H512,7,0)))</f>
        <v>0</v>
      </c>
      <c r="P275" s="449">
        <f t="shared" si="2"/>
        <v>0</v>
      </c>
      <c r="Q275" s="449">
        <f t="shared" si="3"/>
        <v>0</v>
      </c>
      <c r="R275" s="451" t="s">
        <v>45</v>
      </c>
      <c r="S275" s="464"/>
      <c r="T275" s="439"/>
      <c r="U275" s="16"/>
      <c r="V275" s="439"/>
      <c r="W275" s="439"/>
      <c r="X275" s="439"/>
      <c r="Y275" s="439"/>
      <c r="Z275" s="439"/>
      <c r="AA275" s="439"/>
      <c r="AB275" s="439"/>
      <c r="AC275" s="439"/>
      <c r="AD275" s="439"/>
      <c r="AE275" s="439"/>
      <c r="AF275" s="439"/>
    </row>
    <row r="276" ht="16.5" customHeight="1">
      <c r="A276" s="439"/>
      <c r="B276" s="454">
        <f t="shared" si="4"/>
        <v>1267</v>
      </c>
      <c r="C276" s="468"/>
      <c r="D276" s="442" t="str">
        <f>IF(G276="","",(VLOOKUP(G276,'2. SMDA BHN'!$B$12:$J512,2,0)))</f>
        <v/>
      </c>
      <c r="E276" s="443">
        <f>IF(G276=0,0,(VLOOKUP(G276,'2. SMDA BHN'!$B$12:$J512,3,0)))</f>
        <v>0</v>
      </c>
      <c r="F276" s="444"/>
      <c r="G276" s="467"/>
      <c r="H276" s="446">
        <f>IF(G276=0,0,(VLOOKUP(G276,'2. SMDA BHN'!$B$12:$H512,4,0)))</f>
        <v>0</v>
      </c>
      <c r="I276" s="460"/>
      <c r="J276" s="461"/>
      <c r="K276" s="448">
        <f>SUMIF('PO MTRL'!$G$9:$G512,G276,'PO MTRL'!$J$9:$J512)</f>
        <v>0</v>
      </c>
      <c r="L276" s="448">
        <f t="shared" si="1"/>
        <v>0</v>
      </c>
      <c r="M276" s="449">
        <f>SUMIF('PO MTRL'!$G$9:$G512,G276,'PO MTRL'!$L$9:$L512)</f>
        <v>0</v>
      </c>
      <c r="N276" s="450">
        <f>IF(G276=0,0,(VLOOKUP(G276,'2. SMDA BHN'!$B$12:$H512,5,0)))</f>
        <v>0</v>
      </c>
      <c r="O276" s="450">
        <f>IF(G276=0,0,(VLOOKUP(G276,'2. SMDA BHN'!$B$12:$H512,7,0)))</f>
        <v>0</v>
      </c>
      <c r="P276" s="449">
        <f t="shared" si="2"/>
        <v>0</v>
      </c>
      <c r="Q276" s="449">
        <f t="shared" si="3"/>
        <v>0</v>
      </c>
      <c r="R276" s="451" t="s">
        <v>45</v>
      </c>
      <c r="S276" s="464"/>
      <c r="T276" s="439"/>
      <c r="U276" s="16"/>
      <c r="V276" s="439"/>
      <c r="W276" s="439"/>
      <c r="X276" s="439"/>
      <c r="Y276" s="439"/>
      <c r="Z276" s="439"/>
      <c r="AA276" s="439"/>
      <c r="AB276" s="439"/>
      <c r="AC276" s="439"/>
      <c r="AD276" s="439"/>
      <c r="AE276" s="439"/>
      <c r="AF276" s="439"/>
    </row>
    <row r="277" ht="16.5" customHeight="1">
      <c r="A277" s="439"/>
      <c r="B277" s="454">
        <f t="shared" si="4"/>
        <v>1268</v>
      </c>
      <c r="C277" s="468"/>
      <c r="D277" s="442" t="str">
        <f>IF(G277="","",(VLOOKUP(G277,'2. SMDA BHN'!$B$12:$J512,2,0)))</f>
        <v/>
      </c>
      <c r="E277" s="443">
        <f>IF(G277=0,0,(VLOOKUP(G277,'2. SMDA BHN'!$B$12:$J512,3,0)))</f>
        <v>0</v>
      </c>
      <c r="F277" s="444"/>
      <c r="G277" s="467"/>
      <c r="H277" s="446">
        <f>IF(G277=0,0,(VLOOKUP(G277,'2. SMDA BHN'!$B$12:$H512,4,0)))</f>
        <v>0</v>
      </c>
      <c r="I277" s="460"/>
      <c r="J277" s="461"/>
      <c r="K277" s="448">
        <f>SUMIF('PO MTRL'!$G$9:$G512,G277,'PO MTRL'!$J$9:$J512)</f>
        <v>0</v>
      </c>
      <c r="L277" s="448">
        <f t="shared" si="1"/>
        <v>0</v>
      </c>
      <c r="M277" s="449">
        <f>SUMIF('PO MTRL'!$G$9:$G512,G277,'PO MTRL'!$L$9:$L512)</f>
        <v>0</v>
      </c>
      <c r="N277" s="450">
        <f>IF(G277=0,0,(VLOOKUP(G277,'2. SMDA BHN'!$B$12:$H512,5,0)))</f>
        <v>0</v>
      </c>
      <c r="O277" s="450">
        <f>IF(G277=0,0,(VLOOKUP(G277,'2. SMDA BHN'!$B$12:$H512,7,0)))</f>
        <v>0</v>
      </c>
      <c r="P277" s="449">
        <f t="shared" si="2"/>
        <v>0</v>
      </c>
      <c r="Q277" s="449">
        <f t="shared" si="3"/>
        <v>0</v>
      </c>
      <c r="R277" s="451" t="s">
        <v>45</v>
      </c>
      <c r="S277" s="464"/>
      <c r="T277" s="439"/>
      <c r="U277" s="16"/>
      <c r="V277" s="439"/>
      <c r="W277" s="439"/>
      <c r="X277" s="439"/>
      <c r="Y277" s="439"/>
      <c r="Z277" s="439"/>
      <c r="AA277" s="439"/>
      <c r="AB277" s="439"/>
      <c r="AC277" s="439"/>
      <c r="AD277" s="439"/>
      <c r="AE277" s="439"/>
      <c r="AF277" s="439"/>
    </row>
    <row r="278" ht="16.5" customHeight="1">
      <c r="A278" s="439"/>
      <c r="B278" s="454">
        <f t="shared" si="4"/>
        <v>1269</v>
      </c>
      <c r="C278" s="468"/>
      <c r="D278" s="442" t="str">
        <f>IF(G278="","",(VLOOKUP(G278,'2. SMDA BHN'!$B$12:$J512,2,0)))</f>
        <v/>
      </c>
      <c r="E278" s="443">
        <f>IF(G278=0,0,(VLOOKUP(G278,'2. SMDA BHN'!$B$12:$J512,3,0)))</f>
        <v>0</v>
      </c>
      <c r="F278" s="444"/>
      <c r="G278" s="467"/>
      <c r="H278" s="446">
        <f>IF(G278=0,0,(VLOOKUP(G278,'2. SMDA BHN'!$B$12:$H512,4,0)))</f>
        <v>0</v>
      </c>
      <c r="I278" s="460"/>
      <c r="J278" s="461"/>
      <c r="K278" s="448">
        <f>SUMIF('PO MTRL'!$G$9:$G512,G278,'PO MTRL'!$J$9:$J512)</f>
        <v>0</v>
      </c>
      <c r="L278" s="448">
        <f t="shared" si="1"/>
        <v>0</v>
      </c>
      <c r="M278" s="449">
        <f>SUMIF('PO MTRL'!$G$9:$G512,G278,'PO MTRL'!$L$9:$L512)</f>
        <v>0</v>
      </c>
      <c r="N278" s="450">
        <f>IF(G278=0,0,(VLOOKUP(G278,'2. SMDA BHN'!$B$12:$H512,5,0)))</f>
        <v>0</v>
      </c>
      <c r="O278" s="450">
        <f>IF(G278=0,0,(VLOOKUP(G278,'2. SMDA BHN'!$B$12:$H512,7,0)))</f>
        <v>0</v>
      </c>
      <c r="P278" s="449">
        <f t="shared" si="2"/>
        <v>0</v>
      </c>
      <c r="Q278" s="449">
        <f t="shared" si="3"/>
        <v>0</v>
      </c>
      <c r="R278" s="451" t="s">
        <v>45</v>
      </c>
      <c r="S278" s="464"/>
      <c r="T278" s="439"/>
      <c r="U278" s="16"/>
      <c r="V278" s="439"/>
      <c r="W278" s="439"/>
      <c r="X278" s="439"/>
      <c r="Y278" s="439"/>
      <c r="Z278" s="439"/>
      <c r="AA278" s="439"/>
      <c r="AB278" s="439"/>
      <c r="AC278" s="439"/>
      <c r="AD278" s="439"/>
      <c r="AE278" s="439"/>
      <c r="AF278" s="439"/>
    </row>
    <row r="279" ht="16.5" customHeight="1">
      <c r="A279" s="439"/>
      <c r="B279" s="454">
        <f t="shared" si="4"/>
        <v>1270</v>
      </c>
      <c r="C279" s="468"/>
      <c r="D279" s="442" t="str">
        <f>IF(G279="","",(VLOOKUP(G279,'2. SMDA BHN'!$B$12:$J512,2,0)))</f>
        <v/>
      </c>
      <c r="E279" s="443">
        <f>IF(G279=0,0,(VLOOKUP(G279,'2. SMDA BHN'!$B$12:$J512,3,0)))</f>
        <v>0</v>
      </c>
      <c r="F279" s="444"/>
      <c r="G279" s="467"/>
      <c r="H279" s="446">
        <f>IF(G279=0,0,(VLOOKUP(G279,'2. SMDA BHN'!$B$12:$H512,4,0)))</f>
        <v>0</v>
      </c>
      <c r="I279" s="460"/>
      <c r="J279" s="461"/>
      <c r="K279" s="448">
        <f>SUMIF('PO MTRL'!$G$9:$G512,G279,'PO MTRL'!$J$9:$J512)</f>
        <v>0</v>
      </c>
      <c r="L279" s="448">
        <f t="shared" si="1"/>
        <v>0</v>
      </c>
      <c r="M279" s="449">
        <f>SUMIF('PO MTRL'!$G$9:$G512,G279,'PO MTRL'!$L$9:$L512)</f>
        <v>0</v>
      </c>
      <c r="N279" s="450">
        <f>IF(G279=0,0,(VLOOKUP(G279,'2. SMDA BHN'!$B$12:$H512,5,0)))</f>
        <v>0</v>
      </c>
      <c r="O279" s="450">
        <f>IF(G279=0,0,(VLOOKUP(G279,'2. SMDA BHN'!$B$12:$H512,7,0)))</f>
        <v>0</v>
      </c>
      <c r="P279" s="449">
        <f t="shared" si="2"/>
        <v>0</v>
      </c>
      <c r="Q279" s="449">
        <f t="shared" si="3"/>
        <v>0</v>
      </c>
      <c r="R279" s="451" t="s">
        <v>45</v>
      </c>
      <c r="S279" s="464"/>
      <c r="T279" s="439"/>
      <c r="U279" s="16"/>
      <c r="V279" s="439"/>
      <c r="W279" s="439"/>
      <c r="X279" s="439"/>
      <c r="Y279" s="439"/>
      <c r="Z279" s="439"/>
      <c r="AA279" s="439"/>
      <c r="AB279" s="439"/>
      <c r="AC279" s="439"/>
      <c r="AD279" s="439"/>
      <c r="AE279" s="439"/>
      <c r="AF279" s="439"/>
    </row>
    <row r="280" ht="16.5" customHeight="1">
      <c r="A280" s="439"/>
      <c r="B280" s="454">
        <f t="shared" si="4"/>
        <v>1271</v>
      </c>
      <c r="C280" s="468"/>
      <c r="D280" s="442" t="str">
        <f>IF(G280="","",(VLOOKUP(G280,'2. SMDA BHN'!$B$12:$J512,2,0)))</f>
        <v/>
      </c>
      <c r="E280" s="443">
        <f>IF(G280=0,0,(VLOOKUP(G280,'2. SMDA BHN'!$B$12:$J512,3,0)))</f>
        <v>0</v>
      </c>
      <c r="F280" s="444"/>
      <c r="G280" s="467"/>
      <c r="H280" s="446">
        <f>IF(G280=0,0,(VLOOKUP(G280,'2. SMDA BHN'!$B$12:$H512,4,0)))</f>
        <v>0</v>
      </c>
      <c r="I280" s="460"/>
      <c r="J280" s="461"/>
      <c r="K280" s="448">
        <f>SUMIF('PO MTRL'!$G$9:$G512,G280,'PO MTRL'!$J$9:$J512)</f>
        <v>0</v>
      </c>
      <c r="L280" s="448">
        <f t="shared" si="1"/>
        <v>0</v>
      </c>
      <c r="M280" s="449">
        <f>SUMIF('PO MTRL'!$G$9:$G512,G280,'PO MTRL'!$L$9:$L512)</f>
        <v>0</v>
      </c>
      <c r="N280" s="450">
        <f>IF(G280=0,0,(VLOOKUP(G280,'2. SMDA BHN'!$B$12:$H512,5,0)))</f>
        <v>0</v>
      </c>
      <c r="O280" s="450">
        <f>IF(G280=0,0,(VLOOKUP(G280,'2. SMDA BHN'!$B$12:$H512,7,0)))</f>
        <v>0</v>
      </c>
      <c r="P280" s="449">
        <f t="shared" si="2"/>
        <v>0</v>
      </c>
      <c r="Q280" s="449">
        <f t="shared" si="3"/>
        <v>0</v>
      </c>
      <c r="R280" s="451" t="s">
        <v>45</v>
      </c>
      <c r="S280" s="464"/>
      <c r="T280" s="439"/>
      <c r="U280" s="16"/>
      <c r="V280" s="439"/>
      <c r="W280" s="439"/>
      <c r="X280" s="439"/>
      <c r="Y280" s="439"/>
      <c r="Z280" s="439"/>
      <c r="AA280" s="439"/>
      <c r="AB280" s="439"/>
      <c r="AC280" s="439"/>
      <c r="AD280" s="439"/>
      <c r="AE280" s="439"/>
      <c r="AF280" s="439"/>
    </row>
    <row r="281" ht="16.5" customHeight="1">
      <c r="A281" s="439"/>
      <c r="B281" s="454">
        <f t="shared" si="4"/>
        <v>1272</v>
      </c>
      <c r="C281" s="468"/>
      <c r="D281" s="442" t="str">
        <f>IF(G281="","",(VLOOKUP(G281,'2. SMDA BHN'!$B$12:$J512,2,0)))</f>
        <v/>
      </c>
      <c r="E281" s="443">
        <f>IF(G281=0,0,(VLOOKUP(G281,'2. SMDA BHN'!$B$12:$J512,3,0)))</f>
        <v>0</v>
      </c>
      <c r="F281" s="444"/>
      <c r="G281" s="467"/>
      <c r="H281" s="446">
        <f>IF(G281=0,0,(VLOOKUP(G281,'2. SMDA BHN'!$B$12:$H512,4,0)))</f>
        <v>0</v>
      </c>
      <c r="I281" s="460"/>
      <c r="J281" s="461"/>
      <c r="K281" s="448">
        <f>SUMIF('PO MTRL'!$G$9:$G512,G281,'PO MTRL'!$J$9:$J512)</f>
        <v>0</v>
      </c>
      <c r="L281" s="448">
        <f t="shared" si="1"/>
        <v>0</v>
      </c>
      <c r="M281" s="449">
        <f>SUMIF('PO MTRL'!$G$9:$G512,G281,'PO MTRL'!$L$9:$L512)</f>
        <v>0</v>
      </c>
      <c r="N281" s="450">
        <f>IF(G281=0,0,(VLOOKUP(G281,'2. SMDA BHN'!$B$12:$H512,5,0)))</f>
        <v>0</v>
      </c>
      <c r="O281" s="450">
        <f>IF(G281=0,0,(VLOOKUP(G281,'2. SMDA BHN'!$B$12:$H512,7,0)))</f>
        <v>0</v>
      </c>
      <c r="P281" s="449">
        <f t="shared" si="2"/>
        <v>0</v>
      </c>
      <c r="Q281" s="449">
        <f t="shared" si="3"/>
        <v>0</v>
      </c>
      <c r="R281" s="451" t="s">
        <v>45</v>
      </c>
      <c r="S281" s="464"/>
      <c r="T281" s="439"/>
      <c r="U281" s="16"/>
      <c r="V281" s="439"/>
      <c r="W281" s="439"/>
      <c r="X281" s="439"/>
      <c r="Y281" s="439"/>
      <c r="Z281" s="439"/>
      <c r="AA281" s="439"/>
      <c r="AB281" s="439"/>
      <c r="AC281" s="439"/>
      <c r="AD281" s="439"/>
      <c r="AE281" s="439"/>
      <c r="AF281" s="439"/>
    </row>
    <row r="282" ht="16.5" customHeight="1">
      <c r="A282" s="439"/>
      <c r="B282" s="454">
        <f t="shared" si="4"/>
        <v>1273</v>
      </c>
      <c r="C282" s="468"/>
      <c r="D282" s="442" t="str">
        <f>IF(G282="","",(VLOOKUP(G282,'2. SMDA BHN'!$B$12:$J512,2,0)))</f>
        <v/>
      </c>
      <c r="E282" s="443">
        <f>IF(G282=0,0,(VLOOKUP(G282,'2. SMDA BHN'!$B$12:$J512,3,0)))</f>
        <v>0</v>
      </c>
      <c r="F282" s="444"/>
      <c r="G282" s="467"/>
      <c r="H282" s="446">
        <f>IF(G282=0,0,(VLOOKUP(G282,'2. SMDA BHN'!$B$12:$H512,4,0)))</f>
        <v>0</v>
      </c>
      <c r="I282" s="460"/>
      <c r="J282" s="461"/>
      <c r="K282" s="448">
        <f>SUMIF('PO MTRL'!$G$9:$G512,G282,'PO MTRL'!$J$9:$J512)</f>
        <v>0</v>
      </c>
      <c r="L282" s="448">
        <f t="shared" si="1"/>
        <v>0</v>
      </c>
      <c r="M282" s="449">
        <f>SUMIF('PO MTRL'!$G$9:$G512,G282,'PO MTRL'!$L$9:$L512)</f>
        <v>0</v>
      </c>
      <c r="N282" s="450">
        <f>IF(G282=0,0,(VLOOKUP(G282,'2. SMDA BHN'!$B$12:$H512,5,0)))</f>
        <v>0</v>
      </c>
      <c r="O282" s="450">
        <f>IF(G282=0,0,(VLOOKUP(G282,'2. SMDA BHN'!$B$12:$H512,7,0)))</f>
        <v>0</v>
      </c>
      <c r="P282" s="449">
        <f t="shared" si="2"/>
        <v>0</v>
      </c>
      <c r="Q282" s="449">
        <f t="shared" si="3"/>
        <v>0</v>
      </c>
      <c r="R282" s="451" t="s">
        <v>45</v>
      </c>
      <c r="S282" s="464"/>
      <c r="T282" s="439"/>
      <c r="U282" s="16"/>
      <c r="V282" s="439"/>
      <c r="W282" s="439"/>
      <c r="X282" s="439"/>
      <c r="Y282" s="439"/>
      <c r="Z282" s="439"/>
      <c r="AA282" s="439"/>
      <c r="AB282" s="439"/>
      <c r="AC282" s="439"/>
      <c r="AD282" s="439"/>
      <c r="AE282" s="439"/>
      <c r="AF282" s="439"/>
    </row>
    <row r="283" ht="16.5" customHeight="1">
      <c r="A283" s="439"/>
      <c r="B283" s="454">
        <f t="shared" si="4"/>
        <v>1274</v>
      </c>
      <c r="C283" s="468"/>
      <c r="D283" s="442" t="str">
        <f>IF(G283="","",(VLOOKUP(G283,'2. SMDA BHN'!$B$12:$J512,2,0)))</f>
        <v/>
      </c>
      <c r="E283" s="443">
        <f>IF(G283=0,0,(VLOOKUP(G283,'2. SMDA BHN'!$B$12:$J512,3,0)))</f>
        <v>0</v>
      </c>
      <c r="F283" s="444"/>
      <c r="G283" s="467"/>
      <c r="H283" s="446">
        <f>IF(G283=0,0,(VLOOKUP(G283,'2. SMDA BHN'!$B$12:$H512,4,0)))</f>
        <v>0</v>
      </c>
      <c r="I283" s="460"/>
      <c r="J283" s="461"/>
      <c r="K283" s="448">
        <f>SUMIF('PO MTRL'!$G$9:$G512,G283,'PO MTRL'!$J$9:$J512)</f>
        <v>0</v>
      </c>
      <c r="L283" s="448">
        <f t="shared" si="1"/>
        <v>0</v>
      </c>
      <c r="M283" s="449">
        <f>SUMIF('PO MTRL'!$G$9:$G512,G283,'PO MTRL'!$L$9:$L512)</f>
        <v>0</v>
      </c>
      <c r="N283" s="450">
        <f>IF(G283=0,0,(VLOOKUP(G283,'2. SMDA BHN'!$B$12:$H512,5,0)))</f>
        <v>0</v>
      </c>
      <c r="O283" s="450">
        <f>IF(G283=0,0,(VLOOKUP(G283,'2. SMDA BHN'!$B$12:$H512,7,0)))</f>
        <v>0</v>
      </c>
      <c r="P283" s="449">
        <f t="shared" si="2"/>
        <v>0</v>
      </c>
      <c r="Q283" s="449">
        <f t="shared" si="3"/>
        <v>0</v>
      </c>
      <c r="R283" s="451" t="s">
        <v>45</v>
      </c>
      <c r="S283" s="464"/>
      <c r="T283" s="439"/>
      <c r="U283" s="16"/>
      <c r="V283" s="439"/>
      <c r="W283" s="439"/>
      <c r="X283" s="439"/>
      <c r="Y283" s="439"/>
      <c r="Z283" s="439"/>
      <c r="AA283" s="439"/>
      <c r="AB283" s="439"/>
      <c r="AC283" s="439"/>
      <c r="AD283" s="439"/>
      <c r="AE283" s="439"/>
      <c r="AF283" s="439"/>
    </row>
    <row r="284" ht="16.5" customHeight="1">
      <c r="A284" s="439"/>
      <c r="B284" s="454">
        <f t="shared" si="4"/>
        <v>1275</v>
      </c>
      <c r="C284" s="468"/>
      <c r="D284" s="442" t="str">
        <f>IF(G284="","",(VLOOKUP(G284,'2. SMDA BHN'!$B$12:$J512,2,0)))</f>
        <v/>
      </c>
      <c r="E284" s="443">
        <f>IF(G284=0,0,(VLOOKUP(G284,'2. SMDA BHN'!$B$12:$J512,3,0)))</f>
        <v>0</v>
      </c>
      <c r="F284" s="444"/>
      <c r="G284" s="467"/>
      <c r="H284" s="446">
        <f>IF(G284=0,0,(VLOOKUP(G284,'2. SMDA BHN'!$B$12:$H512,4,0)))</f>
        <v>0</v>
      </c>
      <c r="I284" s="460"/>
      <c r="J284" s="461"/>
      <c r="K284" s="448">
        <f>SUMIF('PO MTRL'!$G$9:$G512,G284,'PO MTRL'!$J$9:$J512)</f>
        <v>0</v>
      </c>
      <c r="L284" s="448">
        <f t="shared" si="1"/>
        <v>0</v>
      </c>
      <c r="M284" s="449">
        <f>SUMIF('PO MTRL'!$G$9:$G512,G284,'PO MTRL'!$L$9:$L512)</f>
        <v>0</v>
      </c>
      <c r="N284" s="450">
        <f>IF(G284=0,0,(VLOOKUP(G284,'2. SMDA BHN'!$B$12:$H512,5,0)))</f>
        <v>0</v>
      </c>
      <c r="O284" s="450">
        <f>IF(G284=0,0,(VLOOKUP(G284,'2. SMDA BHN'!$B$12:$H512,7,0)))</f>
        <v>0</v>
      </c>
      <c r="P284" s="449">
        <f t="shared" si="2"/>
        <v>0</v>
      </c>
      <c r="Q284" s="449">
        <f t="shared" si="3"/>
        <v>0</v>
      </c>
      <c r="R284" s="451" t="s">
        <v>45</v>
      </c>
      <c r="S284" s="464"/>
      <c r="T284" s="439"/>
      <c r="U284" s="16"/>
      <c r="V284" s="439"/>
      <c r="W284" s="439"/>
      <c r="X284" s="439"/>
      <c r="Y284" s="439"/>
      <c r="Z284" s="439"/>
      <c r="AA284" s="439"/>
      <c r="AB284" s="439"/>
      <c r="AC284" s="439"/>
      <c r="AD284" s="439"/>
      <c r="AE284" s="439"/>
      <c r="AF284" s="439"/>
    </row>
    <row r="285" ht="16.5" customHeight="1">
      <c r="A285" s="439"/>
      <c r="B285" s="454">
        <f t="shared" si="4"/>
        <v>1276</v>
      </c>
      <c r="C285" s="468"/>
      <c r="D285" s="442" t="str">
        <f>IF(G285="","",(VLOOKUP(G285,'2. SMDA BHN'!$B$12:$J512,2,0)))</f>
        <v/>
      </c>
      <c r="E285" s="443">
        <f>IF(G285=0,0,(VLOOKUP(G285,'2. SMDA BHN'!$B$12:$J512,3,0)))</f>
        <v>0</v>
      </c>
      <c r="F285" s="444"/>
      <c r="G285" s="467"/>
      <c r="H285" s="446">
        <f>IF(G285=0,0,(VLOOKUP(G285,'2. SMDA BHN'!$B$12:$H512,4,0)))</f>
        <v>0</v>
      </c>
      <c r="I285" s="460"/>
      <c r="J285" s="461"/>
      <c r="K285" s="448">
        <f>SUMIF('PO MTRL'!$G$9:$G512,G285,'PO MTRL'!$J$9:$J512)</f>
        <v>0</v>
      </c>
      <c r="L285" s="448">
        <f t="shared" si="1"/>
        <v>0</v>
      </c>
      <c r="M285" s="449">
        <f>SUMIF('PO MTRL'!$G$9:$G512,G285,'PO MTRL'!$L$9:$L512)</f>
        <v>0</v>
      </c>
      <c r="N285" s="450">
        <f>IF(G285=0,0,(VLOOKUP(G285,'2. SMDA BHN'!$B$12:$H512,5,0)))</f>
        <v>0</v>
      </c>
      <c r="O285" s="450">
        <f>IF(G285=0,0,(VLOOKUP(G285,'2. SMDA BHN'!$B$12:$H512,7,0)))</f>
        <v>0</v>
      </c>
      <c r="P285" s="449">
        <f t="shared" si="2"/>
        <v>0</v>
      </c>
      <c r="Q285" s="449">
        <f t="shared" si="3"/>
        <v>0</v>
      </c>
      <c r="R285" s="451" t="s">
        <v>45</v>
      </c>
      <c r="S285" s="464"/>
      <c r="T285" s="439"/>
      <c r="U285" s="16"/>
      <c r="V285" s="439"/>
      <c r="W285" s="439"/>
      <c r="X285" s="439"/>
      <c r="Y285" s="439"/>
      <c r="Z285" s="439"/>
      <c r="AA285" s="439"/>
      <c r="AB285" s="439"/>
      <c r="AC285" s="439"/>
      <c r="AD285" s="439"/>
      <c r="AE285" s="439"/>
      <c r="AF285" s="439"/>
    </row>
    <row r="286" ht="16.5" customHeight="1">
      <c r="A286" s="439"/>
      <c r="B286" s="454">
        <f t="shared" si="4"/>
        <v>1277</v>
      </c>
      <c r="C286" s="468"/>
      <c r="D286" s="442" t="str">
        <f>IF(G286="","",(VLOOKUP(G286,'2. SMDA BHN'!$B$12:$J512,2,0)))</f>
        <v/>
      </c>
      <c r="E286" s="443">
        <f>IF(G286=0,0,(VLOOKUP(G286,'2. SMDA BHN'!$B$12:$J512,3,0)))</f>
        <v>0</v>
      </c>
      <c r="F286" s="444"/>
      <c r="G286" s="467"/>
      <c r="H286" s="446">
        <f>IF(G286=0,0,(VLOOKUP(G286,'2. SMDA BHN'!$B$12:$H512,4,0)))</f>
        <v>0</v>
      </c>
      <c r="I286" s="460"/>
      <c r="J286" s="461"/>
      <c r="K286" s="448">
        <f>SUMIF('PO MTRL'!$G$9:$G512,G286,'PO MTRL'!$J$9:$J512)</f>
        <v>0</v>
      </c>
      <c r="L286" s="448">
        <f t="shared" si="1"/>
        <v>0</v>
      </c>
      <c r="M286" s="449">
        <f>SUMIF('PO MTRL'!$G$9:$G512,G286,'PO MTRL'!$L$9:$L512)</f>
        <v>0</v>
      </c>
      <c r="N286" s="450">
        <f>IF(G286=0,0,(VLOOKUP(G286,'2. SMDA BHN'!$B$12:$H512,5,0)))</f>
        <v>0</v>
      </c>
      <c r="O286" s="450">
        <f>IF(G286=0,0,(VLOOKUP(G286,'2. SMDA BHN'!$B$12:$H512,7,0)))</f>
        <v>0</v>
      </c>
      <c r="P286" s="449">
        <f t="shared" si="2"/>
        <v>0</v>
      </c>
      <c r="Q286" s="449">
        <f t="shared" si="3"/>
        <v>0</v>
      </c>
      <c r="R286" s="451" t="s">
        <v>45</v>
      </c>
      <c r="S286" s="464"/>
      <c r="T286" s="439"/>
      <c r="U286" s="16"/>
      <c r="V286" s="439"/>
      <c r="W286" s="439"/>
      <c r="X286" s="439"/>
      <c r="Y286" s="439"/>
      <c r="Z286" s="439"/>
      <c r="AA286" s="439"/>
      <c r="AB286" s="439"/>
      <c r="AC286" s="439"/>
      <c r="AD286" s="439"/>
      <c r="AE286" s="439"/>
      <c r="AF286" s="439"/>
    </row>
    <row r="287" ht="16.5" customHeight="1">
      <c r="A287" s="439"/>
      <c r="B287" s="454">
        <f t="shared" si="4"/>
        <v>1278</v>
      </c>
      <c r="C287" s="468"/>
      <c r="D287" s="442" t="str">
        <f>IF(G287="","",(VLOOKUP(G287,'2. SMDA BHN'!$B$12:$J512,2,0)))</f>
        <v/>
      </c>
      <c r="E287" s="443">
        <f>IF(G287=0,0,(VLOOKUP(G287,'2. SMDA BHN'!$B$12:$J512,3,0)))</f>
        <v>0</v>
      </c>
      <c r="F287" s="444"/>
      <c r="G287" s="467"/>
      <c r="H287" s="446">
        <f>IF(G287=0,0,(VLOOKUP(G287,'2. SMDA BHN'!$B$12:$H512,4,0)))</f>
        <v>0</v>
      </c>
      <c r="I287" s="460"/>
      <c r="J287" s="461"/>
      <c r="K287" s="448">
        <f>SUMIF('PO MTRL'!$G$9:$G512,G287,'PO MTRL'!$J$9:$J512)</f>
        <v>0</v>
      </c>
      <c r="L287" s="448">
        <f t="shared" si="1"/>
        <v>0</v>
      </c>
      <c r="M287" s="449">
        <f>SUMIF('PO MTRL'!$G$9:$G512,G287,'PO MTRL'!$L$9:$L512)</f>
        <v>0</v>
      </c>
      <c r="N287" s="450">
        <f>IF(G287=0,0,(VLOOKUP(G287,'2. SMDA BHN'!$B$12:$H512,5,0)))</f>
        <v>0</v>
      </c>
      <c r="O287" s="450">
        <f>IF(G287=0,0,(VLOOKUP(G287,'2. SMDA BHN'!$B$12:$H512,7,0)))</f>
        <v>0</v>
      </c>
      <c r="P287" s="449">
        <f t="shared" si="2"/>
        <v>0</v>
      </c>
      <c r="Q287" s="449">
        <f t="shared" si="3"/>
        <v>0</v>
      </c>
      <c r="R287" s="451" t="s">
        <v>45</v>
      </c>
      <c r="S287" s="464"/>
      <c r="T287" s="439"/>
      <c r="U287" s="16"/>
      <c r="V287" s="439"/>
      <c r="W287" s="439"/>
      <c r="X287" s="439"/>
      <c r="Y287" s="439"/>
      <c r="Z287" s="439"/>
      <c r="AA287" s="439"/>
      <c r="AB287" s="439"/>
      <c r="AC287" s="439"/>
      <c r="AD287" s="439"/>
      <c r="AE287" s="439"/>
      <c r="AF287" s="439"/>
    </row>
    <row r="288" ht="16.5" customHeight="1">
      <c r="A288" s="439"/>
      <c r="B288" s="454">
        <f t="shared" si="4"/>
        <v>1279</v>
      </c>
      <c r="C288" s="468"/>
      <c r="D288" s="442" t="str">
        <f>IF(G288="","",(VLOOKUP(G288,'2. SMDA BHN'!$B$12:$J512,2,0)))</f>
        <v/>
      </c>
      <c r="E288" s="443">
        <f>IF(G288=0,0,(VLOOKUP(G288,'2. SMDA BHN'!$B$12:$J512,3,0)))</f>
        <v>0</v>
      </c>
      <c r="F288" s="444"/>
      <c r="G288" s="467"/>
      <c r="H288" s="446">
        <f>IF(G288=0,0,(VLOOKUP(G288,'2. SMDA BHN'!$B$12:$H512,4,0)))</f>
        <v>0</v>
      </c>
      <c r="I288" s="460"/>
      <c r="J288" s="461"/>
      <c r="K288" s="448">
        <f>SUMIF('PO MTRL'!$G$9:$G512,G288,'PO MTRL'!$J$9:$J512)</f>
        <v>0</v>
      </c>
      <c r="L288" s="448">
        <f t="shared" si="1"/>
        <v>0</v>
      </c>
      <c r="M288" s="449">
        <f>SUMIF('PO MTRL'!$G$9:$G512,G288,'PO MTRL'!$L$9:$L512)</f>
        <v>0</v>
      </c>
      <c r="N288" s="450">
        <f>IF(G288=0,0,(VLOOKUP(G288,'2. SMDA BHN'!$B$12:$H512,5,0)))</f>
        <v>0</v>
      </c>
      <c r="O288" s="450">
        <f>IF(G288=0,0,(VLOOKUP(G288,'2. SMDA BHN'!$B$12:$H512,7,0)))</f>
        <v>0</v>
      </c>
      <c r="P288" s="449">
        <f t="shared" si="2"/>
        <v>0</v>
      </c>
      <c r="Q288" s="449">
        <f t="shared" si="3"/>
        <v>0</v>
      </c>
      <c r="R288" s="451" t="s">
        <v>45</v>
      </c>
      <c r="S288" s="464"/>
      <c r="T288" s="439"/>
      <c r="U288" s="16"/>
      <c r="V288" s="439"/>
      <c r="W288" s="439"/>
      <c r="X288" s="439"/>
      <c r="Y288" s="439"/>
      <c r="Z288" s="439"/>
      <c r="AA288" s="439"/>
      <c r="AB288" s="439"/>
      <c r="AC288" s="439"/>
      <c r="AD288" s="439"/>
      <c r="AE288" s="439"/>
      <c r="AF288" s="439"/>
    </row>
    <row r="289" ht="16.5" customHeight="1">
      <c r="A289" s="439"/>
      <c r="B289" s="454">
        <f t="shared" si="4"/>
        <v>1280</v>
      </c>
      <c r="C289" s="468"/>
      <c r="D289" s="442" t="str">
        <f>IF(G289="","",(VLOOKUP(G289,'2. SMDA BHN'!$B$12:$J512,2,0)))</f>
        <v/>
      </c>
      <c r="E289" s="443">
        <f>IF(G289=0,0,(VLOOKUP(G289,'2. SMDA BHN'!$B$12:$J512,3,0)))</f>
        <v>0</v>
      </c>
      <c r="F289" s="444"/>
      <c r="G289" s="467"/>
      <c r="H289" s="446">
        <f>IF(G289=0,0,(VLOOKUP(G289,'2. SMDA BHN'!$B$12:$H512,4,0)))</f>
        <v>0</v>
      </c>
      <c r="I289" s="460"/>
      <c r="J289" s="461"/>
      <c r="K289" s="448">
        <f>SUMIF('PO MTRL'!$G$9:$G512,G289,'PO MTRL'!$J$9:$J512)</f>
        <v>0</v>
      </c>
      <c r="L289" s="448">
        <f t="shared" si="1"/>
        <v>0</v>
      </c>
      <c r="M289" s="449">
        <f>SUMIF('PO MTRL'!$G$9:$G512,G289,'PO MTRL'!$L$9:$L512)</f>
        <v>0</v>
      </c>
      <c r="N289" s="450">
        <f>IF(G289=0,0,(VLOOKUP(G289,'2. SMDA BHN'!$B$12:$H512,5,0)))</f>
        <v>0</v>
      </c>
      <c r="O289" s="450">
        <f>IF(G289=0,0,(VLOOKUP(G289,'2. SMDA BHN'!$B$12:$H512,7,0)))</f>
        <v>0</v>
      </c>
      <c r="P289" s="449">
        <f t="shared" si="2"/>
        <v>0</v>
      </c>
      <c r="Q289" s="449">
        <f t="shared" si="3"/>
        <v>0</v>
      </c>
      <c r="R289" s="451" t="s">
        <v>45</v>
      </c>
      <c r="S289" s="464"/>
      <c r="T289" s="439"/>
      <c r="U289" s="16"/>
      <c r="V289" s="439"/>
      <c r="W289" s="439"/>
      <c r="X289" s="439"/>
      <c r="Y289" s="439"/>
      <c r="Z289" s="439"/>
      <c r="AA289" s="439"/>
      <c r="AB289" s="439"/>
      <c r="AC289" s="439"/>
      <c r="AD289" s="439"/>
      <c r="AE289" s="439"/>
      <c r="AF289" s="439"/>
    </row>
    <row r="290" ht="16.5" customHeight="1">
      <c r="A290" s="439"/>
      <c r="B290" s="454">
        <f t="shared" si="4"/>
        <v>1281</v>
      </c>
      <c r="C290" s="468"/>
      <c r="D290" s="442" t="str">
        <f>IF(G290="","",(VLOOKUP(G290,'2. SMDA BHN'!$B$12:$J512,2,0)))</f>
        <v/>
      </c>
      <c r="E290" s="443">
        <f>IF(G290=0,0,(VLOOKUP(G290,'2. SMDA BHN'!$B$12:$J512,3,0)))</f>
        <v>0</v>
      </c>
      <c r="F290" s="444"/>
      <c r="G290" s="467"/>
      <c r="H290" s="446">
        <f>IF(G290=0,0,(VLOOKUP(G290,'2. SMDA BHN'!$B$12:$H512,4,0)))</f>
        <v>0</v>
      </c>
      <c r="I290" s="460"/>
      <c r="J290" s="461"/>
      <c r="K290" s="448">
        <f>SUMIF('PO MTRL'!$G$9:$G512,G290,'PO MTRL'!$J$9:$J512)</f>
        <v>0</v>
      </c>
      <c r="L290" s="448">
        <f t="shared" si="1"/>
        <v>0</v>
      </c>
      <c r="M290" s="449">
        <f>SUMIF('PO MTRL'!$G$9:$G512,G290,'PO MTRL'!$L$9:$L512)</f>
        <v>0</v>
      </c>
      <c r="N290" s="450">
        <f>IF(G290=0,0,(VLOOKUP(G290,'2. SMDA BHN'!$B$12:$H512,5,0)))</f>
        <v>0</v>
      </c>
      <c r="O290" s="450">
        <f>IF(G290=0,0,(VLOOKUP(G290,'2. SMDA BHN'!$B$12:$H512,7,0)))</f>
        <v>0</v>
      </c>
      <c r="P290" s="449">
        <f t="shared" si="2"/>
        <v>0</v>
      </c>
      <c r="Q290" s="449">
        <f t="shared" si="3"/>
        <v>0</v>
      </c>
      <c r="R290" s="451" t="s">
        <v>45</v>
      </c>
      <c r="S290" s="464"/>
      <c r="T290" s="439"/>
      <c r="U290" s="16"/>
      <c r="V290" s="439"/>
      <c r="W290" s="439"/>
      <c r="X290" s="439"/>
      <c r="Y290" s="439"/>
      <c r="Z290" s="439"/>
      <c r="AA290" s="439"/>
      <c r="AB290" s="439"/>
      <c r="AC290" s="439"/>
      <c r="AD290" s="439"/>
      <c r="AE290" s="439"/>
      <c r="AF290" s="439"/>
    </row>
    <row r="291" ht="16.5" customHeight="1">
      <c r="A291" s="439"/>
      <c r="B291" s="454">
        <f t="shared" si="4"/>
        <v>1282</v>
      </c>
      <c r="C291" s="468"/>
      <c r="D291" s="442" t="str">
        <f>IF(G291="","",(VLOOKUP(G291,'2. SMDA BHN'!$B$12:$J512,2,0)))</f>
        <v/>
      </c>
      <c r="E291" s="443">
        <f>IF(G291=0,0,(VLOOKUP(G291,'2. SMDA BHN'!$B$12:$J512,3,0)))</f>
        <v>0</v>
      </c>
      <c r="F291" s="444"/>
      <c r="G291" s="467"/>
      <c r="H291" s="446">
        <f>IF(G291=0,0,(VLOOKUP(G291,'2. SMDA BHN'!$B$12:$H512,4,0)))</f>
        <v>0</v>
      </c>
      <c r="I291" s="460"/>
      <c r="J291" s="461"/>
      <c r="K291" s="448">
        <f>SUMIF('PO MTRL'!$G$9:$G512,G291,'PO MTRL'!$J$9:$J512)</f>
        <v>0</v>
      </c>
      <c r="L291" s="448">
        <f t="shared" si="1"/>
        <v>0</v>
      </c>
      <c r="M291" s="449">
        <f>SUMIF('PO MTRL'!$G$9:$G512,G291,'PO MTRL'!$L$9:$L512)</f>
        <v>0</v>
      </c>
      <c r="N291" s="450">
        <f>IF(G291=0,0,(VLOOKUP(G291,'2. SMDA BHN'!$B$12:$H512,5,0)))</f>
        <v>0</v>
      </c>
      <c r="O291" s="450">
        <f>IF(G291=0,0,(VLOOKUP(G291,'2. SMDA BHN'!$B$12:$H512,7,0)))</f>
        <v>0</v>
      </c>
      <c r="P291" s="449">
        <f t="shared" si="2"/>
        <v>0</v>
      </c>
      <c r="Q291" s="449">
        <f t="shared" si="3"/>
        <v>0</v>
      </c>
      <c r="R291" s="451" t="s">
        <v>45</v>
      </c>
      <c r="S291" s="464"/>
      <c r="T291" s="439"/>
      <c r="U291" s="16"/>
      <c r="V291" s="439"/>
      <c r="W291" s="439"/>
      <c r="X291" s="439"/>
      <c r="Y291" s="439"/>
      <c r="Z291" s="439"/>
      <c r="AA291" s="439"/>
      <c r="AB291" s="439"/>
      <c r="AC291" s="439"/>
      <c r="AD291" s="439"/>
      <c r="AE291" s="439"/>
      <c r="AF291" s="439"/>
    </row>
    <row r="292" ht="16.5" customHeight="1">
      <c r="A292" s="439"/>
      <c r="B292" s="454">
        <f t="shared" si="4"/>
        <v>1283</v>
      </c>
      <c r="C292" s="468"/>
      <c r="D292" s="442" t="str">
        <f>IF(G292="","",(VLOOKUP(G292,'2. SMDA BHN'!$B$12:$J512,2,0)))</f>
        <v/>
      </c>
      <c r="E292" s="443">
        <f>IF(G292=0,0,(VLOOKUP(G292,'2. SMDA BHN'!$B$12:$J512,3,0)))</f>
        <v>0</v>
      </c>
      <c r="F292" s="444"/>
      <c r="G292" s="467"/>
      <c r="H292" s="446">
        <f>IF(G292=0,0,(VLOOKUP(G292,'2. SMDA BHN'!$B$12:$H512,4,0)))</f>
        <v>0</v>
      </c>
      <c r="I292" s="460"/>
      <c r="J292" s="461"/>
      <c r="K292" s="448">
        <f>SUMIF('PO MTRL'!$G$9:$G512,G292,'PO MTRL'!$J$9:$J512)</f>
        <v>0</v>
      </c>
      <c r="L292" s="448">
        <f t="shared" si="1"/>
        <v>0</v>
      </c>
      <c r="M292" s="449">
        <f>SUMIF('PO MTRL'!$G$9:$G512,G292,'PO MTRL'!$L$9:$L512)</f>
        <v>0</v>
      </c>
      <c r="N292" s="450">
        <f>IF(G292=0,0,(VLOOKUP(G292,'2. SMDA BHN'!$B$12:$H512,5,0)))</f>
        <v>0</v>
      </c>
      <c r="O292" s="450">
        <f>IF(G292=0,0,(VLOOKUP(G292,'2. SMDA BHN'!$B$12:$H512,7,0)))</f>
        <v>0</v>
      </c>
      <c r="P292" s="449">
        <f t="shared" si="2"/>
        <v>0</v>
      </c>
      <c r="Q292" s="449">
        <f t="shared" si="3"/>
        <v>0</v>
      </c>
      <c r="R292" s="451" t="s">
        <v>45</v>
      </c>
      <c r="S292" s="464"/>
      <c r="T292" s="439"/>
      <c r="U292" s="16"/>
      <c r="V292" s="439"/>
      <c r="W292" s="439"/>
      <c r="X292" s="439"/>
      <c r="Y292" s="439"/>
      <c r="Z292" s="439"/>
      <c r="AA292" s="439"/>
      <c r="AB292" s="439"/>
      <c r="AC292" s="439"/>
      <c r="AD292" s="439"/>
      <c r="AE292" s="439"/>
      <c r="AF292" s="439"/>
    </row>
    <row r="293" ht="16.5" customHeight="1">
      <c r="A293" s="439"/>
      <c r="B293" s="454">
        <f t="shared" si="4"/>
        <v>1284</v>
      </c>
      <c r="C293" s="468"/>
      <c r="D293" s="442" t="str">
        <f>IF(G293="","",(VLOOKUP(G293,'2. SMDA BHN'!$B$12:$J512,2,0)))</f>
        <v/>
      </c>
      <c r="E293" s="443">
        <f>IF(G293=0,0,(VLOOKUP(G293,'2. SMDA BHN'!$B$12:$J512,3,0)))</f>
        <v>0</v>
      </c>
      <c r="F293" s="444"/>
      <c r="G293" s="467"/>
      <c r="H293" s="446">
        <f>IF(G293=0,0,(VLOOKUP(G293,'2. SMDA BHN'!$B$12:$H512,4,0)))</f>
        <v>0</v>
      </c>
      <c r="I293" s="460"/>
      <c r="J293" s="461"/>
      <c r="K293" s="448">
        <f>SUMIF('PO MTRL'!$G$9:$G512,G293,'PO MTRL'!$J$9:$J512)</f>
        <v>0</v>
      </c>
      <c r="L293" s="448">
        <f t="shared" si="1"/>
        <v>0</v>
      </c>
      <c r="M293" s="449">
        <f>SUMIF('PO MTRL'!$G$9:$G512,G293,'PO MTRL'!$L$9:$L512)</f>
        <v>0</v>
      </c>
      <c r="N293" s="450">
        <f>IF(G293=0,0,(VLOOKUP(G293,'2. SMDA BHN'!$B$12:$H512,5,0)))</f>
        <v>0</v>
      </c>
      <c r="O293" s="450">
        <f>IF(G293=0,0,(VLOOKUP(G293,'2. SMDA BHN'!$B$12:$H512,7,0)))</f>
        <v>0</v>
      </c>
      <c r="P293" s="449">
        <f t="shared" si="2"/>
        <v>0</v>
      </c>
      <c r="Q293" s="449">
        <f t="shared" si="3"/>
        <v>0</v>
      </c>
      <c r="R293" s="451" t="s">
        <v>45</v>
      </c>
      <c r="S293" s="464"/>
      <c r="T293" s="439"/>
      <c r="U293" s="16"/>
      <c r="V293" s="439"/>
      <c r="W293" s="439"/>
      <c r="X293" s="439"/>
      <c r="Y293" s="439"/>
      <c r="Z293" s="439"/>
      <c r="AA293" s="439"/>
      <c r="AB293" s="439"/>
      <c r="AC293" s="439"/>
      <c r="AD293" s="439"/>
      <c r="AE293" s="439"/>
      <c r="AF293" s="439"/>
    </row>
    <row r="294" ht="16.5" customHeight="1">
      <c r="A294" s="439"/>
      <c r="B294" s="454">
        <f t="shared" si="4"/>
        <v>1285</v>
      </c>
      <c r="C294" s="468"/>
      <c r="D294" s="442" t="str">
        <f>IF(G294="","",(VLOOKUP(G294,'2. SMDA BHN'!$B$12:$J512,2,0)))</f>
        <v/>
      </c>
      <c r="E294" s="443">
        <f>IF(G294=0,0,(VLOOKUP(G294,'2. SMDA BHN'!$B$12:$J512,3,0)))</f>
        <v>0</v>
      </c>
      <c r="F294" s="444"/>
      <c r="G294" s="467"/>
      <c r="H294" s="446">
        <f>IF(G294=0,0,(VLOOKUP(G294,'2. SMDA BHN'!$B$12:$H512,4,0)))</f>
        <v>0</v>
      </c>
      <c r="I294" s="460"/>
      <c r="J294" s="461"/>
      <c r="K294" s="448">
        <f>SUMIF('PO MTRL'!$G$9:$G512,G294,'PO MTRL'!$J$9:$J512)</f>
        <v>0</v>
      </c>
      <c r="L294" s="448">
        <f t="shared" si="1"/>
        <v>0</v>
      </c>
      <c r="M294" s="449">
        <f>SUMIF('PO MTRL'!$G$9:$G512,G294,'PO MTRL'!$L$9:$L512)</f>
        <v>0</v>
      </c>
      <c r="N294" s="450">
        <f>IF(G294=0,0,(VLOOKUP(G294,'2. SMDA BHN'!$B$12:$H512,5,0)))</f>
        <v>0</v>
      </c>
      <c r="O294" s="450">
        <f>IF(G294=0,0,(VLOOKUP(G294,'2. SMDA BHN'!$B$12:$H512,7,0)))</f>
        <v>0</v>
      </c>
      <c r="P294" s="449">
        <f t="shared" si="2"/>
        <v>0</v>
      </c>
      <c r="Q294" s="449">
        <f t="shared" si="3"/>
        <v>0</v>
      </c>
      <c r="R294" s="451" t="s">
        <v>45</v>
      </c>
      <c r="S294" s="464"/>
      <c r="T294" s="439"/>
      <c r="U294" s="16"/>
      <c r="V294" s="439"/>
      <c r="W294" s="439"/>
      <c r="X294" s="439"/>
      <c r="Y294" s="439"/>
      <c r="Z294" s="439"/>
      <c r="AA294" s="439"/>
      <c r="AB294" s="439"/>
      <c r="AC294" s="439"/>
      <c r="AD294" s="439"/>
      <c r="AE294" s="439"/>
      <c r="AF294" s="439"/>
    </row>
    <row r="295" ht="16.5" customHeight="1">
      <c r="A295" s="439"/>
      <c r="B295" s="454">
        <f t="shared" si="4"/>
        <v>1286</v>
      </c>
      <c r="C295" s="468"/>
      <c r="D295" s="442" t="str">
        <f>IF(G295="","",(VLOOKUP(G295,'2. SMDA BHN'!$B$12:$J512,2,0)))</f>
        <v/>
      </c>
      <c r="E295" s="443">
        <f>IF(G295=0,0,(VLOOKUP(G295,'2. SMDA BHN'!$B$12:$J512,3,0)))</f>
        <v>0</v>
      </c>
      <c r="F295" s="444"/>
      <c r="G295" s="467"/>
      <c r="H295" s="446">
        <f>IF(G295=0,0,(VLOOKUP(G295,'2. SMDA BHN'!$B$12:$H512,4,0)))</f>
        <v>0</v>
      </c>
      <c r="I295" s="460"/>
      <c r="J295" s="461"/>
      <c r="K295" s="448">
        <f>SUMIF('PO MTRL'!$G$9:$G512,G295,'PO MTRL'!$J$9:$J512)</f>
        <v>0</v>
      </c>
      <c r="L295" s="448">
        <f t="shared" si="1"/>
        <v>0</v>
      </c>
      <c r="M295" s="449">
        <f>SUMIF('PO MTRL'!$G$9:$G512,G295,'PO MTRL'!$L$9:$L512)</f>
        <v>0</v>
      </c>
      <c r="N295" s="450">
        <f>IF(G295=0,0,(VLOOKUP(G295,'2. SMDA BHN'!$B$12:$H512,5,0)))</f>
        <v>0</v>
      </c>
      <c r="O295" s="450">
        <f>IF(G295=0,0,(VLOOKUP(G295,'2. SMDA BHN'!$B$12:$H512,7,0)))</f>
        <v>0</v>
      </c>
      <c r="P295" s="449">
        <f t="shared" si="2"/>
        <v>0</v>
      </c>
      <c r="Q295" s="449">
        <f t="shared" si="3"/>
        <v>0</v>
      </c>
      <c r="R295" s="451" t="s">
        <v>45</v>
      </c>
      <c r="S295" s="464"/>
      <c r="T295" s="439"/>
      <c r="U295" s="16"/>
      <c r="V295" s="439"/>
      <c r="W295" s="439"/>
      <c r="X295" s="439"/>
      <c r="Y295" s="439"/>
      <c r="Z295" s="439"/>
      <c r="AA295" s="439"/>
      <c r="AB295" s="439"/>
      <c r="AC295" s="439"/>
      <c r="AD295" s="439"/>
      <c r="AE295" s="439"/>
      <c r="AF295" s="439"/>
    </row>
    <row r="296" ht="16.5" customHeight="1">
      <c r="A296" s="439"/>
      <c r="B296" s="454">
        <f t="shared" si="4"/>
        <v>1287</v>
      </c>
      <c r="C296" s="468"/>
      <c r="D296" s="442" t="str">
        <f>IF(G296="","",(VLOOKUP(G296,'2. SMDA BHN'!$B$12:$J512,2,0)))</f>
        <v/>
      </c>
      <c r="E296" s="443">
        <f>IF(G296=0,0,(VLOOKUP(G296,'2. SMDA BHN'!$B$12:$J512,3,0)))</f>
        <v>0</v>
      </c>
      <c r="F296" s="444"/>
      <c r="G296" s="467"/>
      <c r="H296" s="446">
        <f>IF(G296=0,0,(VLOOKUP(G296,'2. SMDA BHN'!$B$12:$H512,4,0)))</f>
        <v>0</v>
      </c>
      <c r="I296" s="460"/>
      <c r="J296" s="461"/>
      <c r="K296" s="448">
        <f>SUMIF('PO MTRL'!$G$9:$G512,G296,'PO MTRL'!$J$9:$J512)</f>
        <v>0</v>
      </c>
      <c r="L296" s="448">
        <f t="shared" si="1"/>
        <v>0</v>
      </c>
      <c r="M296" s="449">
        <f>SUMIF('PO MTRL'!$G$9:$G512,G296,'PO MTRL'!$L$9:$L512)</f>
        <v>0</v>
      </c>
      <c r="N296" s="450">
        <f>IF(G296=0,0,(VLOOKUP(G296,'2. SMDA BHN'!$B$12:$H512,5,0)))</f>
        <v>0</v>
      </c>
      <c r="O296" s="450">
        <f>IF(G296=0,0,(VLOOKUP(G296,'2. SMDA BHN'!$B$12:$H512,7,0)))</f>
        <v>0</v>
      </c>
      <c r="P296" s="449">
        <f t="shared" si="2"/>
        <v>0</v>
      </c>
      <c r="Q296" s="449">
        <f t="shared" si="3"/>
        <v>0</v>
      </c>
      <c r="R296" s="451" t="s">
        <v>45</v>
      </c>
      <c r="S296" s="464"/>
      <c r="T296" s="439"/>
      <c r="U296" s="16"/>
      <c r="V296" s="439"/>
      <c r="W296" s="439"/>
      <c r="X296" s="439"/>
      <c r="Y296" s="439"/>
      <c r="Z296" s="439"/>
      <c r="AA296" s="439"/>
      <c r="AB296" s="439"/>
      <c r="AC296" s="439"/>
      <c r="AD296" s="439"/>
      <c r="AE296" s="439"/>
      <c r="AF296" s="439"/>
    </row>
    <row r="297" ht="16.5" customHeight="1">
      <c r="A297" s="439"/>
      <c r="B297" s="454">
        <f t="shared" si="4"/>
        <v>1288</v>
      </c>
      <c r="C297" s="468"/>
      <c r="D297" s="442" t="str">
        <f>IF(G297="","",(VLOOKUP(G297,'2. SMDA BHN'!$B$12:$J512,2,0)))</f>
        <v/>
      </c>
      <c r="E297" s="443">
        <f>IF(G297=0,0,(VLOOKUP(G297,'2. SMDA BHN'!$B$12:$J512,3,0)))</f>
        <v>0</v>
      </c>
      <c r="F297" s="444"/>
      <c r="G297" s="467"/>
      <c r="H297" s="446">
        <f>IF(G297=0,0,(VLOOKUP(G297,'2. SMDA BHN'!$B$12:$H512,4,0)))</f>
        <v>0</v>
      </c>
      <c r="I297" s="460"/>
      <c r="J297" s="461"/>
      <c r="K297" s="448">
        <f>SUMIF('PO MTRL'!$G$9:$G512,G297,'PO MTRL'!$J$9:$J512)</f>
        <v>0</v>
      </c>
      <c r="L297" s="448">
        <f t="shared" si="1"/>
        <v>0</v>
      </c>
      <c r="M297" s="449">
        <f>SUMIF('PO MTRL'!$G$9:$G512,G297,'PO MTRL'!$L$9:$L512)</f>
        <v>0</v>
      </c>
      <c r="N297" s="450">
        <f>IF(G297=0,0,(VLOOKUP(G297,'2. SMDA BHN'!$B$12:$H512,5,0)))</f>
        <v>0</v>
      </c>
      <c r="O297" s="450">
        <f>IF(G297=0,0,(VLOOKUP(G297,'2. SMDA BHN'!$B$12:$H512,7,0)))</f>
        <v>0</v>
      </c>
      <c r="P297" s="449">
        <f t="shared" si="2"/>
        <v>0</v>
      </c>
      <c r="Q297" s="449">
        <f t="shared" si="3"/>
        <v>0</v>
      </c>
      <c r="R297" s="451" t="s">
        <v>45</v>
      </c>
      <c r="S297" s="464"/>
      <c r="T297" s="439"/>
      <c r="U297" s="16"/>
      <c r="V297" s="439"/>
      <c r="W297" s="439"/>
      <c r="X297" s="439"/>
      <c r="Y297" s="439"/>
      <c r="Z297" s="439"/>
      <c r="AA297" s="439"/>
      <c r="AB297" s="439"/>
      <c r="AC297" s="439"/>
      <c r="AD297" s="439"/>
      <c r="AE297" s="439"/>
      <c r="AF297" s="439"/>
    </row>
    <row r="298" ht="16.5" customHeight="1">
      <c r="A298" s="439"/>
      <c r="B298" s="454">
        <f t="shared" si="4"/>
        <v>1289</v>
      </c>
      <c r="C298" s="468"/>
      <c r="D298" s="442" t="str">
        <f>IF(G298="","",(VLOOKUP(G298,'2. SMDA BHN'!$B$12:$J512,2,0)))</f>
        <v/>
      </c>
      <c r="E298" s="443">
        <f>IF(G298=0,0,(VLOOKUP(G298,'2. SMDA BHN'!$B$12:$J512,3,0)))</f>
        <v>0</v>
      </c>
      <c r="F298" s="444"/>
      <c r="G298" s="467"/>
      <c r="H298" s="446">
        <f>IF(G298=0,0,(VLOOKUP(G298,'2. SMDA BHN'!$B$12:$H512,4,0)))</f>
        <v>0</v>
      </c>
      <c r="I298" s="460"/>
      <c r="J298" s="461"/>
      <c r="K298" s="448">
        <f>SUMIF('PO MTRL'!$G$9:$G512,G298,'PO MTRL'!$J$9:$J512)</f>
        <v>0</v>
      </c>
      <c r="L298" s="448">
        <f t="shared" si="1"/>
        <v>0</v>
      </c>
      <c r="M298" s="449">
        <f>SUMIF('PO MTRL'!$G$9:$G512,G298,'PO MTRL'!$L$9:$L512)</f>
        <v>0</v>
      </c>
      <c r="N298" s="450">
        <f>IF(G298=0,0,(VLOOKUP(G298,'2. SMDA BHN'!$B$12:$H512,5,0)))</f>
        <v>0</v>
      </c>
      <c r="O298" s="450">
        <f>IF(G298=0,0,(VLOOKUP(G298,'2. SMDA BHN'!$B$12:$H512,7,0)))</f>
        <v>0</v>
      </c>
      <c r="P298" s="449">
        <f t="shared" si="2"/>
        <v>0</v>
      </c>
      <c r="Q298" s="449">
        <f t="shared" si="3"/>
        <v>0</v>
      </c>
      <c r="R298" s="451" t="s">
        <v>45</v>
      </c>
      <c r="S298" s="464"/>
      <c r="T298" s="439"/>
      <c r="U298" s="16"/>
      <c r="V298" s="439"/>
      <c r="W298" s="439"/>
      <c r="X298" s="439"/>
      <c r="Y298" s="439"/>
      <c r="Z298" s="439"/>
      <c r="AA298" s="439"/>
      <c r="AB298" s="439"/>
      <c r="AC298" s="439"/>
      <c r="AD298" s="439"/>
      <c r="AE298" s="439"/>
      <c r="AF298" s="439"/>
    </row>
    <row r="299" ht="16.5" customHeight="1">
      <c r="A299" s="439"/>
      <c r="B299" s="454">
        <f t="shared" si="4"/>
        <v>1290</v>
      </c>
      <c r="C299" s="468"/>
      <c r="D299" s="442" t="str">
        <f>IF(G299="","",(VLOOKUP(G299,'2. SMDA BHN'!$B$12:$J512,2,0)))</f>
        <v/>
      </c>
      <c r="E299" s="443">
        <f>IF(G299=0,0,(VLOOKUP(G299,'2. SMDA BHN'!$B$12:$J512,3,0)))</f>
        <v>0</v>
      </c>
      <c r="F299" s="444"/>
      <c r="G299" s="467"/>
      <c r="H299" s="446">
        <f>IF(G299=0,0,(VLOOKUP(G299,'2. SMDA BHN'!$B$12:$H512,4,0)))</f>
        <v>0</v>
      </c>
      <c r="I299" s="460"/>
      <c r="J299" s="461"/>
      <c r="K299" s="448">
        <f>SUMIF('PO MTRL'!$G$9:$G512,G299,'PO MTRL'!$J$9:$J512)</f>
        <v>0</v>
      </c>
      <c r="L299" s="448">
        <f t="shared" si="1"/>
        <v>0</v>
      </c>
      <c r="M299" s="449">
        <f>SUMIF('PO MTRL'!$G$9:$G512,G299,'PO MTRL'!$L$9:$L512)</f>
        <v>0</v>
      </c>
      <c r="N299" s="450">
        <f>IF(G299=0,0,(VLOOKUP(G299,'2. SMDA BHN'!$B$12:$H512,5,0)))</f>
        <v>0</v>
      </c>
      <c r="O299" s="450">
        <f>IF(G299=0,0,(VLOOKUP(G299,'2. SMDA BHN'!$B$12:$H512,7,0)))</f>
        <v>0</v>
      </c>
      <c r="P299" s="449">
        <f t="shared" si="2"/>
        <v>0</v>
      </c>
      <c r="Q299" s="449">
        <f t="shared" si="3"/>
        <v>0</v>
      </c>
      <c r="R299" s="451" t="s">
        <v>45</v>
      </c>
      <c r="S299" s="464"/>
      <c r="T299" s="439"/>
      <c r="U299" s="16"/>
      <c r="V299" s="439"/>
      <c r="W299" s="439"/>
      <c r="X299" s="439"/>
      <c r="Y299" s="439"/>
      <c r="Z299" s="439"/>
      <c r="AA299" s="439"/>
      <c r="AB299" s="439"/>
      <c r="AC299" s="439"/>
      <c r="AD299" s="439"/>
      <c r="AE299" s="439"/>
      <c r="AF299" s="439"/>
    </row>
    <row r="300" ht="16.5" customHeight="1">
      <c r="A300" s="439"/>
      <c r="B300" s="454">
        <f t="shared" si="4"/>
        <v>1291</v>
      </c>
      <c r="C300" s="468"/>
      <c r="D300" s="442" t="str">
        <f>IF(G300="","",(VLOOKUP(G300,'2. SMDA BHN'!$B$12:$J512,2,0)))</f>
        <v/>
      </c>
      <c r="E300" s="443">
        <f>IF(G300=0,0,(VLOOKUP(G300,'2. SMDA BHN'!$B$12:$J512,3,0)))</f>
        <v>0</v>
      </c>
      <c r="F300" s="444"/>
      <c r="G300" s="467"/>
      <c r="H300" s="446">
        <f>IF(G300=0,0,(VLOOKUP(G300,'2. SMDA BHN'!$B$12:$H512,4,0)))</f>
        <v>0</v>
      </c>
      <c r="I300" s="460"/>
      <c r="J300" s="461"/>
      <c r="K300" s="448">
        <f>SUMIF('PO MTRL'!$G$9:$G512,G300,'PO MTRL'!$J$9:$J512)</f>
        <v>0</v>
      </c>
      <c r="L300" s="448">
        <f t="shared" si="1"/>
        <v>0</v>
      </c>
      <c r="M300" s="449">
        <f>SUMIF('PO MTRL'!$G$9:$G512,G300,'PO MTRL'!$L$9:$L512)</f>
        <v>0</v>
      </c>
      <c r="N300" s="450">
        <f>IF(G300=0,0,(VLOOKUP(G300,'2. SMDA BHN'!$B$12:$H512,5,0)))</f>
        <v>0</v>
      </c>
      <c r="O300" s="450">
        <f>IF(G300=0,0,(VLOOKUP(G300,'2. SMDA BHN'!$B$12:$H512,7,0)))</f>
        <v>0</v>
      </c>
      <c r="P300" s="449">
        <f t="shared" si="2"/>
        <v>0</v>
      </c>
      <c r="Q300" s="449">
        <f t="shared" si="3"/>
        <v>0</v>
      </c>
      <c r="R300" s="451" t="s">
        <v>45</v>
      </c>
      <c r="S300" s="464"/>
      <c r="T300" s="439"/>
      <c r="U300" s="16"/>
      <c r="V300" s="439"/>
      <c r="W300" s="439"/>
      <c r="X300" s="439"/>
      <c r="Y300" s="439"/>
      <c r="Z300" s="439"/>
      <c r="AA300" s="439"/>
      <c r="AB300" s="439"/>
      <c r="AC300" s="439"/>
      <c r="AD300" s="439"/>
      <c r="AE300" s="439"/>
      <c r="AF300" s="439"/>
    </row>
    <row r="301" ht="16.5" customHeight="1">
      <c r="A301" s="439"/>
      <c r="B301" s="454">
        <f t="shared" si="4"/>
        <v>1292</v>
      </c>
      <c r="C301" s="468"/>
      <c r="D301" s="442" t="str">
        <f>IF(G301="","",(VLOOKUP(G301,'2. SMDA BHN'!$B$12:$J512,2,0)))</f>
        <v/>
      </c>
      <c r="E301" s="443">
        <f>IF(G301=0,0,(VLOOKUP(G301,'2. SMDA BHN'!$B$12:$J512,3,0)))</f>
        <v>0</v>
      </c>
      <c r="F301" s="444"/>
      <c r="G301" s="467"/>
      <c r="H301" s="446">
        <f>IF(G301=0,0,(VLOOKUP(G301,'2. SMDA BHN'!$B$12:$H512,4,0)))</f>
        <v>0</v>
      </c>
      <c r="I301" s="460"/>
      <c r="J301" s="461"/>
      <c r="K301" s="448">
        <f>SUMIF('PO MTRL'!$G$9:$G512,G301,'PO MTRL'!$J$9:$J512)</f>
        <v>0</v>
      </c>
      <c r="L301" s="448">
        <f t="shared" si="1"/>
        <v>0</v>
      </c>
      <c r="M301" s="449">
        <f>SUMIF('PO MTRL'!$G$9:$G512,G301,'PO MTRL'!$L$9:$L512)</f>
        <v>0</v>
      </c>
      <c r="N301" s="450">
        <f>IF(G301=0,0,(VLOOKUP(G301,'2. SMDA BHN'!$B$12:$H512,5,0)))</f>
        <v>0</v>
      </c>
      <c r="O301" s="450">
        <f>IF(G301=0,0,(VLOOKUP(G301,'2. SMDA BHN'!$B$12:$H512,7,0)))</f>
        <v>0</v>
      </c>
      <c r="P301" s="449">
        <f t="shared" si="2"/>
        <v>0</v>
      </c>
      <c r="Q301" s="449">
        <f t="shared" si="3"/>
        <v>0</v>
      </c>
      <c r="R301" s="451" t="s">
        <v>45</v>
      </c>
      <c r="S301" s="464"/>
      <c r="T301" s="439"/>
      <c r="U301" s="16"/>
      <c r="V301" s="439"/>
      <c r="W301" s="439"/>
      <c r="X301" s="439"/>
      <c r="Y301" s="439"/>
      <c r="Z301" s="439"/>
      <c r="AA301" s="439"/>
      <c r="AB301" s="439"/>
      <c r="AC301" s="439"/>
      <c r="AD301" s="439"/>
      <c r="AE301" s="439"/>
      <c r="AF301" s="439"/>
    </row>
    <row r="302" ht="16.5" customHeight="1">
      <c r="A302" s="439"/>
      <c r="B302" s="454">
        <f t="shared" si="4"/>
        <v>1293</v>
      </c>
      <c r="C302" s="468"/>
      <c r="D302" s="442" t="str">
        <f>IF(G302="","",(VLOOKUP(G302,'2. SMDA BHN'!$B$12:$J512,2,0)))</f>
        <v/>
      </c>
      <c r="E302" s="443">
        <f>IF(G302=0,0,(VLOOKUP(G302,'2. SMDA BHN'!$B$12:$J512,3,0)))</f>
        <v>0</v>
      </c>
      <c r="F302" s="444"/>
      <c r="G302" s="467"/>
      <c r="H302" s="446">
        <f>IF(G302=0,0,(VLOOKUP(G302,'2. SMDA BHN'!$B$12:$H512,4,0)))</f>
        <v>0</v>
      </c>
      <c r="I302" s="460"/>
      <c r="J302" s="461"/>
      <c r="K302" s="448">
        <f>SUMIF('PO MTRL'!$G$9:$G512,G302,'PO MTRL'!$J$9:$J512)</f>
        <v>0</v>
      </c>
      <c r="L302" s="448">
        <f t="shared" si="1"/>
        <v>0</v>
      </c>
      <c r="M302" s="449">
        <f>SUMIF('PO MTRL'!$G$9:$G512,G302,'PO MTRL'!$L$9:$L512)</f>
        <v>0</v>
      </c>
      <c r="N302" s="450">
        <f>IF(G302=0,0,(VLOOKUP(G302,'2. SMDA BHN'!$B$12:$H512,5,0)))</f>
        <v>0</v>
      </c>
      <c r="O302" s="450">
        <f>IF(G302=0,0,(VLOOKUP(G302,'2. SMDA BHN'!$B$12:$H512,7,0)))</f>
        <v>0</v>
      </c>
      <c r="P302" s="449">
        <f t="shared" si="2"/>
        <v>0</v>
      </c>
      <c r="Q302" s="449">
        <f t="shared" si="3"/>
        <v>0</v>
      </c>
      <c r="R302" s="451" t="s">
        <v>45</v>
      </c>
      <c r="S302" s="464"/>
      <c r="T302" s="439"/>
      <c r="U302" s="16"/>
      <c r="V302" s="439"/>
      <c r="W302" s="439"/>
      <c r="X302" s="439"/>
      <c r="Y302" s="439"/>
      <c r="Z302" s="439"/>
      <c r="AA302" s="439"/>
      <c r="AB302" s="439"/>
      <c r="AC302" s="439"/>
      <c r="AD302" s="439"/>
      <c r="AE302" s="439"/>
      <c r="AF302" s="439"/>
    </row>
    <row r="303" ht="16.5" customHeight="1">
      <c r="A303" s="439"/>
      <c r="B303" s="454">
        <f t="shared" si="4"/>
        <v>1294</v>
      </c>
      <c r="C303" s="468"/>
      <c r="D303" s="442" t="str">
        <f>IF(G303="","",(VLOOKUP(G303,'2. SMDA BHN'!$B$12:$J512,2,0)))</f>
        <v/>
      </c>
      <c r="E303" s="443">
        <f>IF(G303=0,0,(VLOOKUP(G303,'2. SMDA BHN'!$B$12:$J512,3,0)))</f>
        <v>0</v>
      </c>
      <c r="F303" s="444"/>
      <c r="G303" s="467"/>
      <c r="H303" s="446">
        <f>IF(G303=0,0,(VLOOKUP(G303,'2. SMDA BHN'!$B$12:$H512,4,0)))</f>
        <v>0</v>
      </c>
      <c r="I303" s="460"/>
      <c r="J303" s="461"/>
      <c r="K303" s="448">
        <f>SUMIF('PO MTRL'!$G$9:$G512,G303,'PO MTRL'!$J$9:$J512)</f>
        <v>0</v>
      </c>
      <c r="L303" s="448">
        <f t="shared" si="1"/>
        <v>0</v>
      </c>
      <c r="M303" s="449">
        <f>SUMIF('PO MTRL'!$G$9:$G512,G303,'PO MTRL'!$L$9:$L512)</f>
        <v>0</v>
      </c>
      <c r="N303" s="450">
        <f>IF(G303=0,0,(VLOOKUP(G303,'2. SMDA BHN'!$B$12:$H512,5,0)))</f>
        <v>0</v>
      </c>
      <c r="O303" s="450">
        <f>IF(G303=0,0,(VLOOKUP(G303,'2. SMDA BHN'!$B$12:$H512,7,0)))</f>
        <v>0</v>
      </c>
      <c r="P303" s="449">
        <f t="shared" si="2"/>
        <v>0</v>
      </c>
      <c r="Q303" s="449">
        <f t="shared" si="3"/>
        <v>0</v>
      </c>
      <c r="R303" s="451" t="s">
        <v>45</v>
      </c>
      <c r="S303" s="464"/>
      <c r="T303" s="439"/>
      <c r="U303" s="16"/>
      <c r="V303" s="439"/>
      <c r="W303" s="439"/>
      <c r="X303" s="439"/>
      <c r="Y303" s="439"/>
      <c r="Z303" s="439"/>
      <c r="AA303" s="439"/>
      <c r="AB303" s="439"/>
      <c r="AC303" s="439"/>
      <c r="AD303" s="439"/>
      <c r="AE303" s="439"/>
      <c r="AF303" s="439"/>
    </row>
    <row r="304" ht="16.5" customHeight="1">
      <c r="A304" s="439"/>
      <c r="B304" s="454">
        <f t="shared" si="4"/>
        <v>1295</v>
      </c>
      <c r="C304" s="468"/>
      <c r="D304" s="442" t="str">
        <f>IF(G304="","",(VLOOKUP(G304,'2. SMDA BHN'!$B$12:$J512,2,0)))</f>
        <v/>
      </c>
      <c r="E304" s="443">
        <f>IF(G304=0,0,(VLOOKUP(G304,'2. SMDA BHN'!$B$12:$J512,3,0)))</f>
        <v>0</v>
      </c>
      <c r="F304" s="444"/>
      <c r="G304" s="467"/>
      <c r="H304" s="446">
        <f>IF(G304=0,0,(VLOOKUP(G304,'2. SMDA BHN'!$B$12:$H512,4,0)))</f>
        <v>0</v>
      </c>
      <c r="I304" s="460"/>
      <c r="J304" s="461"/>
      <c r="K304" s="448">
        <f>SUMIF('PO MTRL'!$G$9:$G512,G304,'PO MTRL'!$J$9:$J512)</f>
        <v>0</v>
      </c>
      <c r="L304" s="448">
        <f t="shared" si="1"/>
        <v>0</v>
      </c>
      <c r="M304" s="449">
        <f>SUMIF('PO MTRL'!$G$9:$G512,G304,'PO MTRL'!$L$9:$L512)</f>
        <v>0</v>
      </c>
      <c r="N304" s="450">
        <f>IF(G304=0,0,(VLOOKUP(G304,'2. SMDA BHN'!$B$12:$H512,5,0)))</f>
        <v>0</v>
      </c>
      <c r="O304" s="450">
        <f>IF(G304=0,0,(VLOOKUP(G304,'2. SMDA BHN'!$B$12:$H512,7,0)))</f>
        <v>0</v>
      </c>
      <c r="P304" s="449">
        <f t="shared" si="2"/>
        <v>0</v>
      </c>
      <c r="Q304" s="449">
        <f t="shared" si="3"/>
        <v>0</v>
      </c>
      <c r="R304" s="451" t="s">
        <v>45</v>
      </c>
      <c r="S304" s="464"/>
      <c r="T304" s="439"/>
      <c r="U304" s="16"/>
      <c r="V304" s="439"/>
      <c r="W304" s="439"/>
      <c r="X304" s="439"/>
      <c r="Y304" s="439"/>
      <c r="Z304" s="439"/>
      <c r="AA304" s="439"/>
      <c r="AB304" s="439"/>
      <c r="AC304" s="439"/>
      <c r="AD304" s="439"/>
      <c r="AE304" s="439"/>
      <c r="AF304" s="439"/>
    </row>
    <row r="305" ht="16.5" customHeight="1">
      <c r="A305" s="439"/>
      <c r="B305" s="454">
        <f t="shared" si="4"/>
        <v>1296</v>
      </c>
      <c r="C305" s="468"/>
      <c r="D305" s="442" t="str">
        <f>IF(G305="","",(VLOOKUP(G305,'2. SMDA BHN'!$B$12:$J512,2,0)))</f>
        <v/>
      </c>
      <c r="E305" s="443">
        <f>IF(G305=0,0,(VLOOKUP(G305,'2. SMDA BHN'!$B$12:$J512,3,0)))</f>
        <v>0</v>
      </c>
      <c r="F305" s="444"/>
      <c r="G305" s="467"/>
      <c r="H305" s="446">
        <f>IF(G305=0,0,(VLOOKUP(G305,'2. SMDA BHN'!$B$12:$H512,4,0)))</f>
        <v>0</v>
      </c>
      <c r="I305" s="460"/>
      <c r="J305" s="461"/>
      <c r="K305" s="448">
        <f>SUMIF('PO MTRL'!$G$9:$G512,G305,'PO MTRL'!$J$9:$J512)</f>
        <v>0</v>
      </c>
      <c r="L305" s="448">
        <f t="shared" si="1"/>
        <v>0</v>
      </c>
      <c r="M305" s="449">
        <f>SUMIF('PO MTRL'!$G$9:$G512,G305,'PO MTRL'!$L$9:$L512)</f>
        <v>0</v>
      </c>
      <c r="N305" s="450">
        <f>IF(G305=0,0,(VLOOKUP(G305,'2. SMDA BHN'!$B$12:$H512,5,0)))</f>
        <v>0</v>
      </c>
      <c r="O305" s="450">
        <f>IF(G305=0,0,(VLOOKUP(G305,'2. SMDA BHN'!$B$12:$H512,7,0)))</f>
        <v>0</v>
      </c>
      <c r="P305" s="449">
        <f t="shared" si="2"/>
        <v>0</v>
      </c>
      <c r="Q305" s="449">
        <f t="shared" si="3"/>
        <v>0</v>
      </c>
      <c r="R305" s="451" t="s">
        <v>45</v>
      </c>
      <c r="S305" s="464"/>
      <c r="T305" s="439"/>
      <c r="U305" s="16"/>
      <c r="V305" s="439"/>
      <c r="W305" s="439"/>
      <c r="X305" s="439"/>
      <c r="Y305" s="439"/>
      <c r="Z305" s="439"/>
      <c r="AA305" s="439"/>
      <c r="AB305" s="439"/>
      <c r="AC305" s="439"/>
      <c r="AD305" s="439"/>
      <c r="AE305" s="439"/>
      <c r="AF305" s="439"/>
    </row>
    <row r="306" ht="16.5" customHeight="1">
      <c r="A306" s="439"/>
      <c r="B306" s="454">
        <f t="shared" si="4"/>
        <v>1297</v>
      </c>
      <c r="C306" s="468"/>
      <c r="D306" s="442" t="str">
        <f>IF(G306="","",(VLOOKUP(G306,'2. SMDA BHN'!$B$12:$J512,2,0)))</f>
        <v/>
      </c>
      <c r="E306" s="443">
        <f>IF(G306=0,0,(VLOOKUP(G306,'2. SMDA BHN'!$B$12:$J512,3,0)))</f>
        <v>0</v>
      </c>
      <c r="F306" s="444"/>
      <c r="G306" s="467"/>
      <c r="H306" s="446">
        <f>IF(G306=0,0,(VLOOKUP(G306,'2. SMDA BHN'!$B$12:$H512,4,0)))</f>
        <v>0</v>
      </c>
      <c r="I306" s="460"/>
      <c r="J306" s="461"/>
      <c r="K306" s="448">
        <f>SUMIF('PO MTRL'!$G$9:$G512,G306,'PO MTRL'!$J$9:$J512)</f>
        <v>0</v>
      </c>
      <c r="L306" s="448">
        <f t="shared" si="1"/>
        <v>0</v>
      </c>
      <c r="M306" s="449">
        <f>SUMIF('PO MTRL'!$G$9:$G512,G306,'PO MTRL'!$L$9:$L512)</f>
        <v>0</v>
      </c>
      <c r="N306" s="450">
        <f>IF(G306=0,0,(VLOOKUP(G306,'2. SMDA BHN'!$B$12:$H512,5,0)))</f>
        <v>0</v>
      </c>
      <c r="O306" s="450">
        <f>IF(G306=0,0,(VLOOKUP(G306,'2. SMDA BHN'!$B$12:$H512,7,0)))</f>
        <v>0</v>
      </c>
      <c r="P306" s="449">
        <f t="shared" si="2"/>
        <v>0</v>
      </c>
      <c r="Q306" s="449">
        <f t="shared" si="3"/>
        <v>0</v>
      </c>
      <c r="R306" s="451" t="s">
        <v>45</v>
      </c>
      <c r="S306" s="464"/>
      <c r="T306" s="439"/>
      <c r="U306" s="16"/>
      <c r="V306" s="439"/>
      <c r="W306" s="439"/>
      <c r="X306" s="439"/>
      <c r="Y306" s="439"/>
      <c r="Z306" s="439"/>
      <c r="AA306" s="439"/>
      <c r="AB306" s="439"/>
      <c r="AC306" s="439"/>
      <c r="AD306" s="439"/>
      <c r="AE306" s="439"/>
      <c r="AF306" s="439"/>
    </row>
    <row r="307" ht="16.5" customHeight="1">
      <c r="A307" s="439"/>
      <c r="B307" s="454">
        <f t="shared" si="4"/>
        <v>1298</v>
      </c>
      <c r="C307" s="468"/>
      <c r="D307" s="442" t="str">
        <f>IF(G307="","",(VLOOKUP(G307,'2. SMDA BHN'!$B$12:$J512,2,0)))</f>
        <v/>
      </c>
      <c r="E307" s="443">
        <f>IF(G307=0,0,(VLOOKUP(G307,'2. SMDA BHN'!$B$12:$J512,3,0)))</f>
        <v>0</v>
      </c>
      <c r="F307" s="444"/>
      <c r="G307" s="467"/>
      <c r="H307" s="446">
        <f>IF(G307=0,0,(VLOOKUP(G307,'2. SMDA BHN'!$B$12:$H512,4,0)))</f>
        <v>0</v>
      </c>
      <c r="I307" s="460"/>
      <c r="J307" s="461"/>
      <c r="K307" s="448">
        <f>SUMIF('PO MTRL'!$G$9:$G512,G307,'PO MTRL'!$J$9:$J512)</f>
        <v>0</v>
      </c>
      <c r="L307" s="448">
        <f t="shared" si="1"/>
        <v>0</v>
      </c>
      <c r="M307" s="449">
        <f>SUMIF('PO MTRL'!$G$9:$G512,G307,'PO MTRL'!$L$9:$L512)</f>
        <v>0</v>
      </c>
      <c r="N307" s="450">
        <f>IF(G307=0,0,(VLOOKUP(G307,'2. SMDA BHN'!$B$12:$H512,5,0)))</f>
        <v>0</v>
      </c>
      <c r="O307" s="450">
        <f>IF(G307=0,0,(VLOOKUP(G307,'2. SMDA BHN'!$B$12:$H512,7,0)))</f>
        <v>0</v>
      </c>
      <c r="P307" s="449">
        <f t="shared" si="2"/>
        <v>0</v>
      </c>
      <c r="Q307" s="449">
        <f t="shared" si="3"/>
        <v>0</v>
      </c>
      <c r="R307" s="451" t="s">
        <v>45</v>
      </c>
      <c r="S307" s="464"/>
      <c r="T307" s="439"/>
      <c r="U307" s="16"/>
      <c r="V307" s="439"/>
      <c r="W307" s="439"/>
      <c r="X307" s="439"/>
      <c r="Y307" s="439"/>
      <c r="Z307" s="439"/>
      <c r="AA307" s="439"/>
      <c r="AB307" s="439"/>
      <c r="AC307" s="439"/>
      <c r="AD307" s="439"/>
      <c r="AE307" s="439"/>
      <c r="AF307" s="439"/>
    </row>
    <row r="308" ht="16.5" customHeight="1">
      <c r="A308" s="439"/>
      <c r="B308" s="454">
        <f t="shared" si="4"/>
        <v>1299</v>
      </c>
      <c r="C308" s="468"/>
      <c r="D308" s="442" t="str">
        <f>IF(G308="","",(VLOOKUP(G308,'2. SMDA BHN'!$B$12:$J512,2,0)))</f>
        <v/>
      </c>
      <c r="E308" s="443">
        <f>IF(G308=0,0,(VLOOKUP(G308,'2. SMDA BHN'!$B$12:$J512,3,0)))</f>
        <v>0</v>
      </c>
      <c r="F308" s="444"/>
      <c r="G308" s="467"/>
      <c r="H308" s="446">
        <f>IF(G308=0,0,(VLOOKUP(G308,'2. SMDA BHN'!$B$12:$H512,4,0)))</f>
        <v>0</v>
      </c>
      <c r="I308" s="460"/>
      <c r="J308" s="461"/>
      <c r="K308" s="448">
        <f>SUMIF('PO MTRL'!$G$9:$G512,G308,'PO MTRL'!$J$9:$J512)</f>
        <v>0</v>
      </c>
      <c r="L308" s="448">
        <f t="shared" si="1"/>
        <v>0</v>
      </c>
      <c r="M308" s="449">
        <f>SUMIF('PO MTRL'!$G$9:$G512,G308,'PO MTRL'!$L$9:$L512)</f>
        <v>0</v>
      </c>
      <c r="N308" s="450">
        <f>IF(G308=0,0,(VLOOKUP(G308,'2. SMDA BHN'!$B$12:$H512,5,0)))</f>
        <v>0</v>
      </c>
      <c r="O308" s="450">
        <f>IF(G308=0,0,(VLOOKUP(G308,'2. SMDA BHN'!$B$12:$H512,7,0)))</f>
        <v>0</v>
      </c>
      <c r="P308" s="449">
        <f t="shared" si="2"/>
        <v>0</v>
      </c>
      <c r="Q308" s="449">
        <f t="shared" si="3"/>
        <v>0</v>
      </c>
      <c r="R308" s="451" t="s">
        <v>45</v>
      </c>
      <c r="S308" s="464"/>
      <c r="T308" s="439"/>
      <c r="U308" s="16"/>
      <c r="V308" s="439"/>
      <c r="W308" s="439"/>
      <c r="X308" s="439"/>
      <c r="Y308" s="439"/>
      <c r="Z308" s="439"/>
      <c r="AA308" s="439"/>
      <c r="AB308" s="439"/>
      <c r="AC308" s="439"/>
      <c r="AD308" s="439"/>
      <c r="AE308" s="439"/>
      <c r="AF308" s="439"/>
    </row>
    <row r="309" ht="16.5" customHeight="1">
      <c r="A309" s="439"/>
      <c r="B309" s="454">
        <f t="shared" si="4"/>
        <v>1300</v>
      </c>
      <c r="C309" s="468"/>
      <c r="D309" s="442" t="str">
        <f>IF(G309="","",(VLOOKUP(G309,'2. SMDA BHN'!$B$12:$J512,2,0)))</f>
        <v/>
      </c>
      <c r="E309" s="443">
        <f>IF(G309=0,0,(VLOOKUP(G309,'2. SMDA BHN'!$B$12:$J512,3,0)))</f>
        <v>0</v>
      </c>
      <c r="F309" s="444"/>
      <c r="G309" s="467"/>
      <c r="H309" s="446">
        <f>IF(G309=0,0,(VLOOKUP(G309,'2. SMDA BHN'!$B$12:$H512,4,0)))</f>
        <v>0</v>
      </c>
      <c r="I309" s="460"/>
      <c r="J309" s="461"/>
      <c r="K309" s="448">
        <f>SUMIF('PO MTRL'!$G$9:$G512,G309,'PO MTRL'!$J$9:$J512)</f>
        <v>0</v>
      </c>
      <c r="L309" s="448">
        <f t="shared" si="1"/>
        <v>0</v>
      </c>
      <c r="M309" s="449">
        <f>SUMIF('PO MTRL'!$G$9:$G512,G309,'PO MTRL'!$L$9:$L512)</f>
        <v>0</v>
      </c>
      <c r="N309" s="450">
        <f>IF(G309=0,0,(VLOOKUP(G309,'2. SMDA BHN'!$B$12:$H512,5,0)))</f>
        <v>0</v>
      </c>
      <c r="O309" s="450">
        <f>IF(G309=0,0,(VLOOKUP(G309,'2. SMDA BHN'!$B$12:$H512,7,0)))</f>
        <v>0</v>
      </c>
      <c r="P309" s="449">
        <f t="shared" si="2"/>
        <v>0</v>
      </c>
      <c r="Q309" s="449">
        <f t="shared" si="3"/>
        <v>0</v>
      </c>
      <c r="R309" s="451" t="s">
        <v>45</v>
      </c>
      <c r="S309" s="464"/>
      <c r="T309" s="439"/>
      <c r="U309" s="16"/>
      <c r="V309" s="439"/>
      <c r="W309" s="439"/>
      <c r="X309" s="439"/>
      <c r="Y309" s="439"/>
      <c r="Z309" s="439"/>
      <c r="AA309" s="439"/>
      <c r="AB309" s="439"/>
      <c r="AC309" s="439"/>
      <c r="AD309" s="439"/>
      <c r="AE309" s="439"/>
      <c r="AF309" s="439"/>
    </row>
    <row r="310" ht="16.5" customHeight="1">
      <c r="A310" s="439"/>
      <c r="B310" s="454">
        <f t="shared" si="4"/>
        <v>1301</v>
      </c>
      <c r="C310" s="468"/>
      <c r="D310" s="442" t="str">
        <f>IF(G310="","",(VLOOKUP(G310,'2. SMDA BHN'!$B$12:$J512,2,0)))</f>
        <v/>
      </c>
      <c r="E310" s="443">
        <f>IF(G310=0,0,(VLOOKUP(G310,'2. SMDA BHN'!$B$12:$J512,3,0)))</f>
        <v>0</v>
      </c>
      <c r="F310" s="444"/>
      <c r="G310" s="467"/>
      <c r="H310" s="446">
        <f>IF(G310=0,0,(VLOOKUP(G310,'2. SMDA BHN'!$B$12:$H512,4,0)))</f>
        <v>0</v>
      </c>
      <c r="I310" s="460"/>
      <c r="J310" s="461"/>
      <c r="K310" s="448">
        <f>SUMIF('PO MTRL'!$G$9:$G512,G310,'PO MTRL'!$J$9:$J512)</f>
        <v>0</v>
      </c>
      <c r="L310" s="448">
        <f t="shared" si="1"/>
        <v>0</v>
      </c>
      <c r="M310" s="449">
        <f>SUMIF('PO MTRL'!$G$9:$G512,G310,'PO MTRL'!$L$9:$L512)</f>
        <v>0</v>
      </c>
      <c r="N310" s="450">
        <f>IF(G310=0,0,(VLOOKUP(G310,'2. SMDA BHN'!$B$12:$H512,5,0)))</f>
        <v>0</v>
      </c>
      <c r="O310" s="450">
        <f>IF(G310=0,0,(VLOOKUP(G310,'2. SMDA BHN'!$B$12:$H512,7,0)))</f>
        <v>0</v>
      </c>
      <c r="P310" s="449">
        <f t="shared" si="2"/>
        <v>0</v>
      </c>
      <c r="Q310" s="449">
        <f t="shared" si="3"/>
        <v>0</v>
      </c>
      <c r="R310" s="451" t="s">
        <v>45</v>
      </c>
      <c r="S310" s="464"/>
      <c r="T310" s="439"/>
      <c r="U310" s="16"/>
      <c r="V310" s="439"/>
      <c r="W310" s="439"/>
      <c r="X310" s="439"/>
      <c r="Y310" s="439"/>
      <c r="Z310" s="439"/>
      <c r="AA310" s="439"/>
      <c r="AB310" s="439"/>
      <c r="AC310" s="439"/>
      <c r="AD310" s="439"/>
      <c r="AE310" s="439"/>
      <c r="AF310" s="439"/>
    </row>
    <row r="311" ht="16.5" customHeight="1">
      <c r="A311" s="439"/>
      <c r="B311" s="454">
        <f t="shared" si="4"/>
        <v>1302</v>
      </c>
      <c r="C311" s="468"/>
      <c r="D311" s="442" t="str">
        <f>IF(G311="","",(VLOOKUP(G311,'2. SMDA BHN'!$B$12:$J512,2,0)))</f>
        <v/>
      </c>
      <c r="E311" s="443">
        <f>IF(G311=0,0,(VLOOKUP(G311,'2. SMDA BHN'!$B$12:$J512,3,0)))</f>
        <v>0</v>
      </c>
      <c r="F311" s="444"/>
      <c r="G311" s="467"/>
      <c r="H311" s="446">
        <f>IF(G311=0,0,(VLOOKUP(G311,'2. SMDA BHN'!$B$12:$H512,4,0)))</f>
        <v>0</v>
      </c>
      <c r="I311" s="460"/>
      <c r="J311" s="461"/>
      <c r="K311" s="448">
        <f>SUMIF('PO MTRL'!$G$9:$G512,G311,'PO MTRL'!$J$9:$J512)</f>
        <v>0</v>
      </c>
      <c r="L311" s="448">
        <f t="shared" si="1"/>
        <v>0</v>
      </c>
      <c r="M311" s="449">
        <f>SUMIF('PO MTRL'!$G$9:$G512,G311,'PO MTRL'!$L$9:$L512)</f>
        <v>0</v>
      </c>
      <c r="N311" s="450">
        <f>IF(G311=0,0,(VLOOKUP(G311,'2. SMDA BHN'!$B$12:$H512,5,0)))</f>
        <v>0</v>
      </c>
      <c r="O311" s="450">
        <f>IF(G311=0,0,(VLOOKUP(G311,'2. SMDA BHN'!$B$12:$H512,7,0)))</f>
        <v>0</v>
      </c>
      <c r="P311" s="449">
        <f t="shared" si="2"/>
        <v>0</v>
      </c>
      <c r="Q311" s="449">
        <f t="shared" si="3"/>
        <v>0</v>
      </c>
      <c r="R311" s="451" t="s">
        <v>45</v>
      </c>
      <c r="S311" s="464"/>
      <c r="T311" s="439"/>
      <c r="U311" s="16"/>
      <c r="V311" s="439"/>
      <c r="W311" s="439"/>
      <c r="X311" s="439"/>
      <c r="Y311" s="439"/>
      <c r="Z311" s="439"/>
      <c r="AA311" s="439"/>
      <c r="AB311" s="439"/>
      <c r="AC311" s="439"/>
      <c r="AD311" s="439"/>
      <c r="AE311" s="439"/>
      <c r="AF311" s="439"/>
    </row>
    <row r="312" ht="16.5" customHeight="1">
      <c r="A312" s="439"/>
      <c r="B312" s="454">
        <f t="shared" si="4"/>
        <v>1303</v>
      </c>
      <c r="C312" s="468"/>
      <c r="D312" s="442" t="str">
        <f>IF(G312="","",(VLOOKUP(G312,'2. SMDA BHN'!$B$12:$J512,2,0)))</f>
        <v/>
      </c>
      <c r="E312" s="443">
        <f>IF(G312=0,0,(VLOOKUP(G312,'2. SMDA BHN'!$B$12:$J512,3,0)))</f>
        <v>0</v>
      </c>
      <c r="F312" s="444"/>
      <c r="G312" s="467"/>
      <c r="H312" s="446">
        <f>IF(G312=0,0,(VLOOKUP(G312,'2. SMDA BHN'!$B$12:$H512,4,0)))</f>
        <v>0</v>
      </c>
      <c r="I312" s="460"/>
      <c r="J312" s="461"/>
      <c r="K312" s="448">
        <f>SUMIF('PO MTRL'!$G$9:$G512,G312,'PO MTRL'!$J$9:$J512)</f>
        <v>0</v>
      </c>
      <c r="L312" s="448">
        <f t="shared" si="1"/>
        <v>0</v>
      </c>
      <c r="M312" s="449">
        <f>SUMIF('PO MTRL'!$G$9:$G512,G312,'PO MTRL'!$L$9:$L512)</f>
        <v>0</v>
      </c>
      <c r="N312" s="450">
        <f>IF(G312=0,0,(VLOOKUP(G312,'2. SMDA BHN'!$B$12:$H512,5,0)))</f>
        <v>0</v>
      </c>
      <c r="O312" s="450">
        <f>IF(G312=0,0,(VLOOKUP(G312,'2. SMDA BHN'!$B$12:$H512,7,0)))</f>
        <v>0</v>
      </c>
      <c r="P312" s="449">
        <f t="shared" si="2"/>
        <v>0</v>
      </c>
      <c r="Q312" s="449">
        <f t="shared" si="3"/>
        <v>0</v>
      </c>
      <c r="R312" s="451" t="s">
        <v>45</v>
      </c>
      <c r="S312" s="464"/>
      <c r="T312" s="439"/>
      <c r="U312" s="16"/>
      <c r="V312" s="439"/>
      <c r="W312" s="439"/>
      <c r="X312" s="439"/>
      <c r="Y312" s="439"/>
      <c r="Z312" s="439"/>
      <c r="AA312" s="439"/>
      <c r="AB312" s="439"/>
      <c r="AC312" s="439"/>
      <c r="AD312" s="439"/>
      <c r="AE312" s="439"/>
      <c r="AF312" s="439"/>
    </row>
    <row r="313" ht="16.5" customHeight="1">
      <c r="A313" s="439"/>
      <c r="B313" s="454">
        <f t="shared" si="4"/>
        <v>1304</v>
      </c>
      <c r="C313" s="468"/>
      <c r="D313" s="442" t="str">
        <f>IF(G313="","",(VLOOKUP(G313,'2. SMDA BHN'!$B$12:$J512,2,0)))</f>
        <v/>
      </c>
      <c r="E313" s="443">
        <f>IF(G313=0,0,(VLOOKUP(G313,'2. SMDA BHN'!$B$12:$J512,3,0)))</f>
        <v>0</v>
      </c>
      <c r="F313" s="444"/>
      <c r="G313" s="467"/>
      <c r="H313" s="446">
        <f>IF(G313=0,0,(VLOOKUP(G313,'2. SMDA BHN'!$B$12:$H512,4,0)))</f>
        <v>0</v>
      </c>
      <c r="I313" s="460"/>
      <c r="J313" s="461"/>
      <c r="K313" s="448">
        <f>SUMIF('PO MTRL'!$G$9:$G512,G313,'PO MTRL'!$J$9:$J512)</f>
        <v>0</v>
      </c>
      <c r="L313" s="448">
        <f t="shared" si="1"/>
        <v>0</v>
      </c>
      <c r="M313" s="449">
        <f>SUMIF('PO MTRL'!$G$9:$G512,G313,'PO MTRL'!$L$9:$L512)</f>
        <v>0</v>
      </c>
      <c r="N313" s="450">
        <f>IF(G313=0,0,(VLOOKUP(G313,'2. SMDA BHN'!$B$12:$H512,5,0)))</f>
        <v>0</v>
      </c>
      <c r="O313" s="450">
        <f>IF(G313=0,0,(VLOOKUP(G313,'2. SMDA BHN'!$B$12:$H512,7,0)))</f>
        <v>0</v>
      </c>
      <c r="P313" s="449">
        <f t="shared" si="2"/>
        <v>0</v>
      </c>
      <c r="Q313" s="449">
        <f t="shared" si="3"/>
        <v>0</v>
      </c>
      <c r="R313" s="451" t="s">
        <v>45</v>
      </c>
      <c r="S313" s="464"/>
      <c r="T313" s="439"/>
      <c r="U313" s="16"/>
      <c r="V313" s="439"/>
      <c r="W313" s="439"/>
      <c r="X313" s="439"/>
      <c r="Y313" s="439"/>
      <c r="Z313" s="439"/>
      <c r="AA313" s="439"/>
      <c r="AB313" s="439"/>
      <c r="AC313" s="439"/>
      <c r="AD313" s="439"/>
      <c r="AE313" s="439"/>
      <c r="AF313" s="439"/>
    </row>
    <row r="314" ht="16.5" customHeight="1">
      <c r="A314" s="439"/>
      <c r="B314" s="454">
        <f t="shared" si="4"/>
        <v>1305</v>
      </c>
      <c r="C314" s="468"/>
      <c r="D314" s="442" t="str">
        <f>IF(G314="","",(VLOOKUP(G314,'2. SMDA BHN'!$B$12:$J512,2,0)))</f>
        <v/>
      </c>
      <c r="E314" s="443">
        <f>IF(G314=0,0,(VLOOKUP(G314,'2. SMDA BHN'!$B$12:$J512,3,0)))</f>
        <v>0</v>
      </c>
      <c r="F314" s="444"/>
      <c r="G314" s="467"/>
      <c r="H314" s="446">
        <f>IF(G314=0,0,(VLOOKUP(G314,'2. SMDA BHN'!$B$12:$H512,4,0)))</f>
        <v>0</v>
      </c>
      <c r="I314" s="460"/>
      <c r="J314" s="461"/>
      <c r="K314" s="448">
        <f>SUMIF('PO MTRL'!$G$9:$G512,G314,'PO MTRL'!$J$9:$J512)</f>
        <v>0</v>
      </c>
      <c r="L314" s="448">
        <f t="shared" si="1"/>
        <v>0</v>
      </c>
      <c r="M314" s="449">
        <f>SUMIF('PO MTRL'!$G$9:$G512,G314,'PO MTRL'!$L$9:$L512)</f>
        <v>0</v>
      </c>
      <c r="N314" s="450">
        <f>IF(G314=0,0,(VLOOKUP(G314,'2. SMDA BHN'!$B$12:$H512,5,0)))</f>
        <v>0</v>
      </c>
      <c r="O314" s="450">
        <f>IF(G314=0,0,(VLOOKUP(G314,'2. SMDA BHN'!$B$12:$H512,7,0)))</f>
        <v>0</v>
      </c>
      <c r="P314" s="449">
        <f t="shared" si="2"/>
        <v>0</v>
      </c>
      <c r="Q314" s="449">
        <f t="shared" si="3"/>
        <v>0</v>
      </c>
      <c r="R314" s="451" t="s">
        <v>45</v>
      </c>
      <c r="S314" s="464"/>
      <c r="T314" s="439"/>
      <c r="U314" s="16"/>
      <c r="V314" s="439"/>
      <c r="W314" s="439"/>
      <c r="X314" s="439"/>
      <c r="Y314" s="439"/>
      <c r="Z314" s="439"/>
      <c r="AA314" s="439"/>
      <c r="AB314" s="439"/>
      <c r="AC314" s="439"/>
      <c r="AD314" s="439"/>
      <c r="AE314" s="439"/>
      <c r="AF314" s="439"/>
    </row>
    <row r="315" ht="16.5" customHeight="1">
      <c r="A315" s="439"/>
      <c r="B315" s="454">
        <f t="shared" si="4"/>
        <v>1306</v>
      </c>
      <c r="C315" s="468"/>
      <c r="D315" s="442" t="str">
        <f>IF(G315="","",(VLOOKUP(G315,'2. SMDA BHN'!$B$12:$J512,2,0)))</f>
        <v/>
      </c>
      <c r="E315" s="443">
        <f>IF(G315=0,0,(VLOOKUP(G315,'2. SMDA BHN'!$B$12:$J512,3,0)))</f>
        <v>0</v>
      </c>
      <c r="F315" s="444"/>
      <c r="G315" s="467"/>
      <c r="H315" s="446">
        <f>IF(G315=0,0,(VLOOKUP(G315,'2. SMDA BHN'!$B$12:$H512,4,0)))</f>
        <v>0</v>
      </c>
      <c r="I315" s="460"/>
      <c r="J315" s="461"/>
      <c r="K315" s="448">
        <f>SUMIF('PO MTRL'!$G$9:$G512,G315,'PO MTRL'!$J$9:$J512)</f>
        <v>0</v>
      </c>
      <c r="L315" s="448">
        <f t="shared" si="1"/>
        <v>0</v>
      </c>
      <c r="M315" s="449">
        <f>SUMIF('PO MTRL'!$G$9:$G512,G315,'PO MTRL'!$L$9:$L512)</f>
        <v>0</v>
      </c>
      <c r="N315" s="450">
        <f>IF(G315=0,0,(VLOOKUP(G315,'2. SMDA BHN'!$B$12:$H512,5,0)))</f>
        <v>0</v>
      </c>
      <c r="O315" s="450">
        <f>IF(G315=0,0,(VLOOKUP(G315,'2. SMDA BHN'!$B$12:$H512,7,0)))</f>
        <v>0</v>
      </c>
      <c r="P315" s="449">
        <f t="shared" si="2"/>
        <v>0</v>
      </c>
      <c r="Q315" s="449">
        <f t="shared" si="3"/>
        <v>0</v>
      </c>
      <c r="R315" s="451" t="s">
        <v>45</v>
      </c>
      <c r="S315" s="464"/>
      <c r="T315" s="439"/>
      <c r="U315" s="16"/>
      <c r="V315" s="439"/>
      <c r="W315" s="439"/>
      <c r="X315" s="439"/>
      <c r="Y315" s="439"/>
      <c r="Z315" s="439"/>
      <c r="AA315" s="439"/>
      <c r="AB315" s="439"/>
      <c r="AC315" s="439"/>
      <c r="AD315" s="439"/>
      <c r="AE315" s="439"/>
      <c r="AF315" s="439"/>
    </row>
    <row r="316" ht="16.5" customHeight="1">
      <c r="A316" s="439"/>
      <c r="B316" s="454">
        <f t="shared" si="4"/>
        <v>1307</v>
      </c>
      <c r="C316" s="468"/>
      <c r="D316" s="442" t="str">
        <f>IF(G316="","",(VLOOKUP(G316,'2. SMDA BHN'!$B$12:$J512,2,0)))</f>
        <v/>
      </c>
      <c r="E316" s="443">
        <f>IF(G316=0,0,(VLOOKUP(G316,'2. SMDA BHN'!$B$12:$J512,3,0)))</f>
        <v>0</v>
      </c>
      <c r="F316" s="444"/>
      <c r="G316" s="467"/>
      <c r="H316" s="446">
        <f>IF(G316=0,0,(VLOOKUP(G316,'2. SMDA BHN'!$B$12:$H512,4,0)))</f>
        <v>0</v>
      </c>
      <c r="I316" s="460"/>
      <c r="J316" s="461"/>
      <c r="K316" s="448">
        <f>SUMIF('PO MTRL'!$G$9:$G512,G316,'PO MTRL'!$J$9:$J512)</f>
        <v>0</v>
      </c>
      <c r="L316" s="448">
        <f t="shared" si="1"/>
        <v>0</v>
      </c>
      <c r="M316" s="449">
        <f>SUMIF('PO MTRL'!$G$9:$G512,G316,'PO MTRL'!$L$9:$L512)</f>
        <v>0</v>
      </c>
      <c r="N316" s="450">
        <f>IF(G316=0,0,(VLOOKUP(G316,'2. SMDA BHN'!$B$12:$H512,5,0)))</f>
        <v>0</v>
      </c>
      <c r="O316" s="450">
        <f>IF(G316=0,0,(VLOOKUP(G316,'2. SMDA BHN'!$B$12:$H512,7,0)))</f>
        <v>0</v>
      </c>
      <c r="P316" s="449">
        <f t="shared" si="2"/>
        <v>0</v>
      </c>
      <c r="Q316" s="449">
        <f t="shared" si="3"/>
        <v>0</v>
      </c>
      <c r="R316" s="451" t="s">
        <v>45</v>
      </c>
      <c r="S316" s="464"/>
      <c r="T316" s="439"/>
      <c r="U316" s="16"/>
      <c r="V316" s="439"/>
      <c r="W316" s="439"/>
      <c r="X316" s="439"/>
      <c r="Y316" s="439"/>
      <c r="Z316" s="439"/>
      <c r="AA316" s="439"/>
      <c r="AB316" s="439"/>
      <c r="AC316" s="439"/>
      <c r="AD316" s="439"/>
      <c r="AE316" s="439"/>
      <c r="AF316" s="439"/>
    </row>
    <row r="317" ht="16.5" customHeight="1">
      <c r="A317" s="439"/>
      <c r="B317" s="454">
        <f t="shared" si="4"/>
        <v>1308</v>
      </c>
      <c r="C317" s="468"/>
      <c r="D317" s="442" t="str">
        <f>IF(G317="","",(VLOOKUP(G317,'2. SMDA BHN'!$B$12:$J512,2,0)))</f>
        <v/>
      </c>
      <c r="E317" s="443">
        <f>IF(G317=0,0,(VLOOKUP(G317,'2. SMDA BHN'!$B$12:$J512,3,0)))</f>
        <v>0</v>
      </c>
      <c r="F317" s="444"/>
      <c r="G317" s="467"/>
      <c r="H317" s="446">
        <f>IF(G317=0,0,(VLOOKUP(G317,'2. SMDA BHN'!$B$12:$H512,4,0)))</f>
        <v>0</v>
      </c>
      <c r="I317" s="460"/>
      <c r="J317" s="461"/>
      <c r="K317" s="448">
        <f>SUMIF('PO MTRL'!$G$9:$G512,G317,'PO MTRL'!$J$9:$J512)</f>
        <v>0</v>
      </c>
      <c r="L317" s="448">
        <f t="shared" si="1"/>
        <v>0</v>
      </c>
      <c r="M317" s="449">
        <f>SUMIF('PO MTRL'!$G$9:$G512,G317,'PO MTRL'!$L$9:$L512)</f>
        <v>0</v>
      </c>
      <c r="N317" s="450">
        <f>IF(G317=0,0,(VLOOKUP(G317,'2. SMDA BHN'!$B$12:$H512,5,0)))</f>
        <v>0</v>
      </c>
      <c r="O317" s="450">
        <f>IF(G317=0,0,(VLOOKUP(G317,'2. SMDA BHN'!$B$12:$H512,7,0)))</f>
        <v>0</v>
      </c>
      <c r="P317" s="449">
        <f t="shared" si="2"/>
        <v>0</v>
      </c>
      <c r="Q317" s="449">
        <f t="shared" si="3"/>
        <v>0</v>
      </c>
      <c r="R317" s="451" t="s">
        <v>45</v>
      </c>
      <c r="S317" s="464"/>
      <c r="T317" s="439"/>
      <c r="U317" s="16"/>
      <c r="V317" s="439"/>
      <c r="W317" s="439"/>
      <c r="X317" s="439"/>
      <c r="Y317" s="439"/>
      <c r="Z317" s="439"/>
      <c r="AA317" s="439"/>
      <c r="AB317" s="439"/>
      <c r="AC317" s="439"/>
      <c r="AD317" s="439"/>
      <c r="AE317" s="439"/>
      <c r="AF317" s="439"/>
    </row>
    <row r="318" ht="16.5" customHeight="1">
      <c r="A318" s="439"/>
      <c r="B318" s="454">
        <f t="shared" si="4"/>
        <v>1309</v>
      </c>
      <c r="C318" s="468"/>
      <c r="D318" s="442" t="str">
        <f>IF(G318="","",(VLOOKUP(G318,'2. SMDA BHN'!$B$12:$J512,2,0)))</f>
        <v/>
      </c>
      <c r="E318" s="443">
        <f>IF(G318=0,0,(VLOOKUP(G318,'2. SMDA BHN'!$B$12:$J512,3,0)))</f>
        <v>0</v>
      </c>
      <c r="F318" s="444"/>
      <c r="G318" s="467"/>
      <c r="H318" s="446">
        <f>IF(G318=0,0,(VLOOKUP(G318,'2. SMDA BHN'!$B$12:$H512,4,0)))</f>
        <v>0</v>
      </c>
      <c r="I318" s="460"/>
      <c r="J318" s="461"/>
      <c r="K318" s="448">
        <f>SUMIF('PO MTRL'!$G$9:$G512,G318,'PO MTRL'!$J$9:$J512)</f>
        <v>0</v>
      </c>
      <c r="L318" s="448">
        <f t="shared" si="1"/>
        <v>0</v>
      </c>
      <c r="M318" s="449">
        <f>SUMIF('PO MTRL'!$G$9:$G512,G318,'PO MTRL'!$L$9:$L512)</f>
        <v>0</v>
      </c>
      <c r="N318" s="450">
        <f>IF(G318=0,0,(VLOOKUP(G318,'2. SMDA BHN'!$B$12:$H512,5,0)))</f>
        <v>0</v>
      </c>
      <c r="O318" s="450">
        <f>IF(G318=0,0,(VLOOKUP(G318,'2. SMDA BHN'!$B$12:$H512,7,0)))</f>
        <v>0</v>
      </c>
      <c r="P318" s="449">
        <f t="shared" si="2"/>
        <v>0</v>
      </c>
      <c r="Q318" s="449">
        <f t="shared" si="3"/>
        <v>0</v>
      </c>
      <c r="R318" s="451" t="s">
        <v>45</v>
      </c>
      <c r="S318" s="464"/>
      <c r="T318" s="439"/>
      <c r="U318" s="16"/>
      <c r="V318" s="439"/>
      <c r="W318" s="439"/>
      <c r="X318" s="439"/>
      <c r="Y318" s="439"/>
      <c r="Z318" s="439"/>
      <c r="AA318" s="439"/>
      <c r="AB318" s="439"/>
      <c r="AC318" s="439"/>
      <c r="AD318" s="439"/>
      <c r="AE318" s="439"/>
      <c r="AF318" s="439"/>
    </row>
    <row r="319" ht="16.5" customHeight="1">
      <c r="A319" s="439"/>
      <c r="B319" s="454">
        <f t="shared" si="4"/>
        <v>1310</v>
      </c>
      <c r="C319" s="468"/>
      <c r="D319" s="442" t="str">
        <f>IF(G319="","",(VLOOKUP(G319,'2. SMDA BHN'!$B$12:$J512,2,0)))</f>
        <v/>
      </c>
      <c r="E319" s="443">
        <f>IF(G319=0,0,(VLOOKUP(G319,'2. SMDA BHN'!$B$12:$J512,3,0)))</f>
        <v>0</v>
      </c>
      <c r="F319" s="444"/>
      <c r="G319" s="467"/>
      <c r="H319" s="446">
        <f>IF(G319=0,0,(VLOOKUP(G319,'2. SMDA BHN'!$B$12:$H512,4,0)))</f>
        <v>0</v>
      </c>
      <c r="I319" s="460"/>
      <c r="J319" s="461"/>
      <c r="K319" s="448">
        <f>SUMIF('PO MTRL'!$G$9:$G512,G319,'PO MTRL'!$J$9:$J512)</f>
        <v>0</v>
      </c>
      <c r="L319" s="448">
        <f t="shared" si="1"/>
        <v>0</v>
      </c>
      <c r="M319" s="449">
        <f>SUMIF('PO MTRL'!$G$9:$G512,G319,'PO MTRL'!$L$9:$L512)</f>
        <v>0</v>
      </c>
      <c r="N319" s="450">
        <f>IF(G319=0,0,(VLOOKUP(G319,'2. SMDA BHN'!$B$12:$H512,5,0)))</f>
        <v>0</v>
      </c>
      <c r="O319" s="450">
        <f>IF(G319=0,0,(VLOOKUP(G319,'2. SMDA BHN'!$B$12:$H512,7,0)))</f>
        <v>0</v>
      </c>
      <c r="P319" s="449">
        <f t="shared" si="2"/>
        <v>0</v>
      </c>
      <c r="Q319" s="449">
        <f t="shared" si="3"/>
        <v>0</v>
      </c>
      <c r="R319" s="451" t="s">
        <v>45</v>
      </c>
      <c r="S319" s="464"/>
      <c r="T319" s="439"/>
      <c r="U319" s="16"/>
      <c r="V319" s="439"/>
      <c r="W319" s="439"/>
      <c r="X319" s="439"/>
      <c r="Y319" s="439"/>
      <c r="Z319" s="439"/>
      <c r="AA319" s="439"/>
      <c r="AB319" s="439"/>
      <c r="AC319" s="439"/>
      <c r="AD319" s="439"/>
      <c r="AE319" s="439"/>
      <c r="AF319" s="439"/>
    </row>
    <row r="320" ht="16.5" customHeight="1">
      <c r="A320" s="439"/>
      <c r="B320" s="454">
        <f t="shared" si="4"/>
        <v>1311</v>
      </c>
      <c r="C320" s="468"/>
      <c r="D320" s="442" t="str">
        <f>IF(G320="","",(VLOOKUP(G320,'2. SMDA BHN'!$B$12:$J512,2,0)))</f>
        <v/>
      </c>
      <c r="E320" s="443">
        <f>IF(G320=0,0,(VLOOKUP(G320,'2. SMDA BHN'!$B$12:$J512,3,0)))</f>
        <v>0</v>
      </c>
      <c r="F320" s="444"/>
      <c r="G320" s="467"/>
      <c r="H320" s="446">
        <f>IF(G320=0,0,(VLOOKUP(G320,'2. SMDA BHN'!$B$12:$H512,4,0)))</f>
        <v>0</v>
      </c>
      <c r="I320" s="460"/>
      <c r="J320" s="461"/>
      <c r="K320" s="448">
        <f>SUMIF('PO MTRL'!$G$9:$G512,G320,'PO MTRL'!$J$9:$J512)</f>
        <v>0</v>
      </c>
      <c r="L320" s="448">
        <f t="shared" si="1"/>
        <v>0</v>
      </c>
      <c r="M320" s="449">
        <f>SUMIF('PO MTRL'!$G$9:$G512,G320,'PO MTRL'!$L$9:$L512)</f>
        <v>0</v>
      </c>
      <c r="N320" s="450">
        <f>IF(G320=0,0,(VLOOKUP(G320,'2. SMDA BHN'!$B$12:$H512,5,0)))</f>
        <v>0</v>
      </c>
      <c r="O320" s="450">
        <f>IF(G320=0,0,(VLOOKUP(G320,'2. SMDA BHN'!$B$12:$H512,7,0)))</f>
        <v>0</v>
      </c>
      <c r="P320" s="449">
        <f t="shared" si="2"/>
        <v>0</v>
      </c>
      <c r="Q320" s="449">
        <f t="shared" si="3"/>
        <v>0</v>
      </c>
      <c r="R320" s="451" t="s">
        <v>45</v>
      </c>
      <c r="S320" s="464"/>
      <c r="T320" s="439"/>
      <c r="U320" s="16"/>
      <c r="V320" s="439"/>
      <c r="W320" s="439"/>
      <c r="X320" s="439"/>
      <c r="Y320" s="439"/>
      <c r="Z320" s="439"/>
      <c r="AA320" s="439"/>
      <c r="AB320" s="439"/>
      <c r="AC320" s="439"/>
      <c r="AD320" s="439"/>
      <c r="AE320" s="439"/>
      <c r="AF320" s="439"/>
    </row>
    <row r="321" ht="16.5" customHeight="1">
      <c r="A321" s="439"/>
      <c r="B321" s="454">
        <f t="shared" si="4"/>
        <v>1312</v>
      </c>
      <c r="C321" s="468"/>
      <c r="D321" s="442" t="str">
        <f>IF(G321="","",(VLOOKUP(G321,'2. SMDA BHN'!$B$12:$J512,2,0)))</f>
        <v/>
      </c>
      <c r="E321" s="443">
        <f>IF(G321=0,0,(VLOOKUP(G321,'2. SMDA BHN'!$B$12:$J512,3,0)))</f>
        <v>0</v>
      </c>
      <c r="F321" s="444"/>
      <c r="G321" s="467"/>
      <c r="H321" s="446">
        <f>IF(G321=0,0,(VLOOKUP(G321,'2. SMDA BHN'!$B$12:$H512,4,0)))</f>
        <v>0</v>
      </c>
      <c r="I321" s="460"/>
      <c r="J321" s="461"/>
      <c r="K321" s="448">
        <f>SUMIF('PO MTRL'!$G$9:$G512,G321,'PO MTRL'!$J$9:$J512)</f>
        <v>0</v>
      </c>
      <c r="L321" s="448">
        <f t="shared" si="1"/>
        <v>0</v>
      </c>
      <c r="M321" s="449">
        <f>SUMIF('PO MTRL'!$G$9:$G512,G321,'PO MTRL'!$L$9:$L512)</f>
        <v>0</v>
      </c>
      <c r="N321" s="450">
        <f>IF(G321=0,0,(VLOOKUP(G321,'2. SMDA BHN'!$B$12:$H512,5,0)))</f>
        <v>0</v>
      </c>
      <c r="O321" s="450">
        <f>IF(G321=0,0,(VLOOKUP(G321,'2. SMDA BHN'!$B$12:$H512,7,0)))</f>
        <v>0</v>
      </c>
      <c r="P321" s="449">
        <f t="shared" si="2"/>
        <v>0</v>
      </c>
      <c r="Q321" s="449">
        <f t="shared" si="3"/>
        <v>0</v>
      </c>
      <c r="R321" s="451" t="s">
        <v>45</v>
      </c>
      <c r="S321" s="464"/>
      <c r="T321" s="439"/>
      <c r="U321" s="16"/>
      <c r="V321" s="439"/>
      <c r="W321" s="439"/>
      <c r="X321" s="439"/>
      <c r="Y321" s="439"/>
      <c r="Z321" s="439"/>
      <c r="AA321" s="439"/>
      <c r="AB321" s="439"/>
      <c r="AC321" s="439"/>
      <c r="AD321" s="439"/>
      <c r="AE321" s="439"/>
      <c r="AF321" s="439"/>
    </row>
    <row r="322" ht="16.5" customHeight="1">
      <c r="A322" s="439"/>
      <c r="B322" s="454">
        <f t="shared" si="4"/>
        <v>1313</v>
      </c>
      <c r="C322" s="468"/>
      <c r="D322" s="442" t="str">
        <f>IF(G322="","",(VLOOKUP(G322,'2. SMDA BHN'!$B$12:$J512,2,0)))</f>
        <v/>
      </c>
      <c r="E322" s="443">
        <f>IF(G322=0,0,(VLOOKUP(G322,'2. SMDA BHN'!$B$12:$J512,3,0)))</f>
        <v>0</v>
      </c>
      <c r="F322" s="444"/>
      <c r="G322" s="467"/>
      <c r="H322" s="446">
        <f>IF(G322=0,0,(VLOOKUP(G322,'2. SMDA BHN'!$B$12:$H512,4,0)))</f>
        <v>0</v>
      </c>
      <c r="I322" s="460"/>
      <c r="J322" s="461"/>
      <c r="K322" s="448">
        <f>SUMIF('PO MTRL'!$G$9:$G512,G322,'PO MTRL'!$J$9:$J512)</f>
        <v>0</v>
      </c>
      <c r="L322" s="448">
        <f t="shared" si="1"/>
        <v>0</v>
      </c>
      <c r="M322" s="449">
        <f>SUMIF('PO MTRL'!$G$9:$G512,G322,'PO MTRL'!$L$9:$L512)</f>
        <v>0</v>
      </c>
      <c r="N322" s="450">
        <f>IF(G322=0,0,(VLOOKUP(G322,'2. SMDA BHN'!$B$12:$H512,5,0)))</f>
        <v>0</v>
      </c>
      <c r="O322" s="450">
        <f>IF(G322=0,0,(VLOOKUP(G322,'2. SMDA BHN'!$B$12:$H512,7,0)))</f>
        <v>0</v>
      </c>
      <c r="P322" s="449">
        <f t="shared" si="2"/>
        <v>0</v>
      </c>
      <c r="Q322" s="449">
        <f t="shared" si="3"/>
        <v>0</v>
      </c>
      <c r="R322" s="451" t="s">
        <v>45</v>
      </c>
      <c r="S322" s="464"/>
      <c r="T322" s="439"/>
      <c r="U322" s="16"/>
      <c r="V322" s="439"/>
      <c r="W322" s="439"/>
      <c r="X322" s="439"/>
      <c r="Y322" s="439"/>
      <c r="Z322" s="439"/>
      <c r="AA322" s="439"/>
      <c r="AB322" s="439"/>
      <c r="AC322" s="439"/>
      <c r="AD322" s="439"/>
      <c r="AE322" s="439"/>
      <c r="AF322" s="439"/>
    </row>
    <row r="323" ht="16.5" customHeight="1">
      <c r="A323" s="439"/>
      <c r="B323" s="454">
        <f t="shared" si="4"/>
        <v>1314</v>
      </c>
      <c r="C323" s="468"/>
      <c r="D323" s="442" t="str">
        <f>IF(G323="","",(VLOOKUP(G323,'2. SMDA BHN'!$B$12:$J512,2,0)))</f>
        <v/>
      </c>
      <c r="E323" s="443">
        <f>IF(G323=0,0,(VLOOKUP(G323,'2. SMDA BHN'!$B$12:$J512,3,0)))</f>
        <v>0</v>
      </c>
      <c r="F323" s="444"/>
      <c r="G323" s="467"/>
      <c r="H323" s="446">
        <f>IF(G323=0,0,(VLOOKUP(G323,'2. SMDA BHN'!$B$12:$H512,4,0)))</f>
        <v>0</v>
      </c>
      <c r="I323" s="460"/>
      <c r="J323" s="461"/>
      <c r="K323" s="448">
        <f>SUMIF('PO MTRL'!$G$9:$G512,G323,'PO MTRL'!$J$9:$J512)</f>
        <v>0</v>
      </c>
      <c r="L323" s="448">
        <f t="shared" si="1"/>
        <v>0</v>
      </c>
      <c r="M323" s="449">
        <f>SUMIF('PO MTRL'!$G$9:$G512,G323,'PO MTRL'!$L$9:$L512)</f>
        <v>0</v>
      </c>
      <c r="N323" s="450">
        <f>IF(G323=0,0,(VLOOKUP(G323,'2. SMDA BHN'!$B$12:$H512,5,0)))</f>
        <v>0</v>
      </c>
      <c r="O323" s="450">
        <f>IF(G323=0,0,(VLOOKUP(G323,'2. SMDA BHN'!$B$12:$H512,7,0)))</f>
        <v>0</v>
      </c>
      <c r="P323" s="449">
        <f t="shared" si="2"/>
        <v>0</v>
      </c>
      <c r="Q323" s="449">
        <f t="shared" si="3"/>
        <v>0</v>
      </c>
      <c r="R323" s="451" t="s">
        <v>45</v>
      </c>
      <c r="S323" s="464"/>
      <c r="T323" s="439"/>
      <c r="U323" s="16"/>
      <c r="V323" s="439"/>
      <c r="W323" s="439"/>
      <c r="X323" s="439"/>
      <c r="Y323" s="439"/>
      <c r="Z323" s="439"/>
      <c r="AA323" s="439"/>
      <c r="AB323" s="439"/>
      <c r="AC323" s="439"/>
      <c r="AD323" s="439"/>
      <c r="AE323" s="439"/>
      <c r="AF323" s="439"/>
    </row>
    <row r="324" ht="17.25" customHeight="1">
      <c r="A324" s="439"/>
      <c r="B324" s="454">
        <f t="shared" si="4"/>
        <v>1315</v>
      </c>
      <c r="C324" s="468"/>
      <c r="D324" s="442" t="str">
        <f>IF(G324="","",(VLOOKUP(G324,'2. SMDA BHN'!$B$12:$J512,2,0)))</f>
        <v/>
      </c>
      <c r="E324" s="443">
        <f>IF(G324=0,0,(VLOOKUP(G324,'2. SMDA BHN'!$B$12:$J512,3,0)))</f>
        <v>0</v>
      </c>
      <c r="F324" s="444"/>
      <c r="G324" s="467"/>
      <c r="H324" s="446">
        <f>IF(G324=0,0,(VLOOKUP(G324,'2. SMDA BHN'!$B$12:$H512,4,0)))</f>
        <v>0</v>
      </c>
      <c r="I324" s="460"/>
      <c r="J324" s="461"/>
      <c r="K324" s="448">
        <f>SUMIF('PO MTRL'!$G$9:$G512,G324,'PO MTRL'!$J$9:$J512)</f>
        <v>0</v>
      </c>
      <c r="L324" s="448">
        <f t="shared" si="1"/>
        <v>0</v>
      </c>
      <c r="M324" s="449">
        <f>SUMIF('PO MTRL'!$G$9:$G512,G324,'PO MTRL'!$L$9:$L512)</f>
        <v>0</v>
      </c>
      <c r="N324" s="450">
        <f>IF(G324=0,0,(VLOOKUP(G324,'2. SMDA BHN'!$B$12:$H512,5,0)))</f>
        <v>0</v>
      </c>
      <c r="O324" s="450">
        <f>IF(G324=0,0,(VLOOKUP(G324,'2. SMDA BHN'!$B$12:$H512,7,0)))</f>
        <v>0</v>
      </c>
      <c r="P324" s="449">
        <f t="shared" si="2"/>
        <v>0</v>
      </c>
      <c r="Q324" s="449">
        <f t="shared" si="3"/>
        <v>0</v>
      </c>
      <c r="R324" s="451" t="s">
        <v>45</v>
      </c>
      <c r="S324" s="464"/>
      <c r="T324" s="439"/>
      <c r="U324" s="16"/>
      <c r="V324" s="439"/>
      <c r="W324" s="439"/>
      <c r="X324" s="439"/>
      <c r="Y324" s="439"/>
      <c r="Z324" s="439"/>
      <c r="AA324" s="439"/>
      <c r="AB324" s="439"/>
      <c r="AC324" s="439"/>
      <c r="AD324" s="439"/>
      <c r="AE324" s="439"/>
      <c r="AF324" s="439"/>
    </row>
    <row r="325" ht="17.25" customHeight="1">
      <c r="A325" s="439"/>
      <c r="B325" s="454">
        <f t="shared" si="4"/>
        <v>1316</v>
      </c>
      <c r="C325" s="468"/>
      <c r="D325" s="442" t="str">
        <f>IF(G325="","",(VLOOKUP(G325,'2. SMDA BHN'!$B$12:$J512,2,0)))</f>
        <v/>
      </c>
      <c r="E325" s="443">
        <f>IF(G325=0,0,(VLOOKUP(G325,'2. SMDA BHN'!$B$12:$J512,3,0)))</f>
        <v>0</v>
      </c>
      <c r="F325" s="444"/>
      <c r="G325" s="467"/>
      <c r="H325" s="446">
        <f>IF(G325=0,0,(VLOOKUP(G325,'2. SMDA BHN'!$B$12:$H512,4,0)))</f>
        <v>0</v>
      </c>
      <c r="I325" s="460"/>
      <c r="J325" s="461"/>
      <c r="K325" s="448">
        <f>SUMIF('PO MTRL'!$G$9:$G512,G325,'PO MTRL'!$J$9:$J512)</f>
        <v>0</v>
      </c>
      <c r="L325" s="448">
        <f t="shared" si="1"/>
        <v>0</v>
      </c>
      <c r="M325" s="449">
        <f>SUMIF('PO MTRL'!$G$9:$G512,G325,'PO MTRL'!$L$9:$L512)</f>
        <v>0</v>
      </c>
      <c r="N325" s="450">
        <f>IF(G325=0,0,(VLOOKUP(G325,'2. SMDA BHN'!$B$12:$H512,5,0)))</f>
        <v>0</v>
      </c>
      <c r="O325" s="450">
        <f>IF(G325=0,0,(VLOOKUP(G325,'2. SMDA BHN'!$B$12:$H512,7,0)))</f>
        <v>0</v>
      </c>
      <c r="P325" s="449">
        <f t="shared" si="2"/>
        <v>0</v>
      </c>
      <c r="Q325" s="449">
        <f t="shared" si="3"/>
        <v>0</v>
      </c>
      <c r="R325" s="451" t="s">
        <v>45</v>
      </c>
      <c r="S325" s="464"/>
      <c r="T325" s="439"/>
      <c r="U325" s="16"/>
      <c r="V325" s="439"/>
      <c r="W325" s="439"/>
      <c r="X325" s="439"/>
      <c r="Y325" s="439"/>
      <c r="Z325" s="439"/>
      <c r="AA325" s="439"/>
      <c r="AB325" s="439"/>
      <c r="AC325" s="439"/>
      <c r="AD325" s="439"/>
      <c r="AE325" s="439"/>
      <c r="AF325" s="439"/>
    </row>
    <row r="326" ht="17.25" customHeight="1">
      <c r="A326" s="439"/>
      <c r="B326" s="454">
        <f t="shared" si="4"/>
        <v>1317</v>
      </c>
      <c r="C326" s="468"/>
      <c r="D326" s="442" t="str">
        <f>IF(G326="","",(VLOOKUP(G326,'2. SMDA BHN'!$B$12:$J512,2,0)))</f>
        <v/>
      </c>
      <c r="E326" s="443">
        <f>IF(G326=0,0,(VLOOKUP(G326,'2. SMDA BHN'!$B$12:$J512,3,0)))</f>
        <v>0</v>
      </c>
      <c r="F326" s="444"/>
      <c r="G326" s="467"/>
      <c r="H326" s="446">
        <f>IF(G326=0,0,(VLOOKUP(G326,'2. SMDA BHN'!$B$12:$H512,4,0)))</f>
        <v>0</v>
      </c>
      <c r="I326" s="460"/>
      <c r="J326" s="461"/>
      <c r="K326" s="448">
        <f>SUMIF('PO MTRL'!$G$9:$G512,G326,'PO MTRL'!$J$9:$J512)</f>
        <v>0</v>
      </c>
      <c r="L326" s="448">
        <f t="shared" si="1"/>
        <v>0</v>
      </c>
      <c r="M326" s="449">
        <f>SUMIF('PO MTRL'!$G$9:$G512,G326,'PO MTRL'!$L$9:$L512)</f>
        <v>0</v>
      </c>
      <c r="N326" s="450">
        <f>IF(G326=0,0,(VLOOKUP(G326,'2. SMDA BHN'!$B$12:$H512,5,0)))</f>
        <v>0</v>
      </c>
      <c r="O326" s="450">
        <f>IF(G326=0,0,(VLOOKUP(G326,'2. SMDA BHN'!$B$12:$H512,7,0)))</f>
        <v>0</v>
      </c>
      <c r="P326" s="449">
        <f t="shared" si="2"/>
        <v>0</v>
      </c>
      <c r="Q326" s="449">
        <f t="shared" si="3"/>
        <v>0</v>
      </c>
      <c r="R326" s="451" t="s">
        <v>45</v>
      </c>
      <c r="S326" s="464"/>
      <c r="T326" s="439"/>
      <c r="U326" s="16"/>
      <c r="V326" s="439"/>
      <c r="W326" s="439"/>
      <c r="X326" s="439"/>
      <c r="Y326" s="439"/>
      <c r="Z326" s="439"/>
      <c r="AA326" s="439"/>
      <c r="AB326" s="439"/>
      <c r="AC326" s="439"/>
      <c r="AD326" s="439"/>
      <c r="AE326" s="439"/>
      <c r="AF326" s="439"/>
    </row>
    <row r="327" ht="17.25" customHeight="1">
      <c r="A327" s="439"/>
      <c r="B327" s="454">
        <f t="shared" si="4"/>
        <v>1318</v>
      </c>
      <c r="C327" s="468"/>
      <c r="D327" s="442" t="str">
        <f>IF(G327="","",(VLOOKUP(G327,'2. SMDA BHN'!$B$12:$J512,2,0)))</f>
        <v/>
      </c>
      <c r="E327" s="443">
        <f>IF(G327=0,0,(VLOOKUP(G327,'2. SMDA BHN'!$B$12:$J512,3,0)))</f>
        <v>0</v>
      </c>
      <c r="F327" s="444"/>
      <c r="G327" s="467"/>
      <c r="H327" s="446">
        <f>IF(G327=0,0,(VLOOKUP(G327,'2. SMDA BHN'!$B$12:$H512,4,0)))</f>
        <v>0</v>
      </c>
      <c r="I327" s="460"/>
      <c r="J327" s="461"/>
      <c r="K327" s="448">
        <f>SUMIF('PO MTRL'!$G$9:$G512,G327,'PO MTRL'!$J$9:$J512)</f>
        <v>0</v>
      </c>
      <c r="L327" s="448">
        <f t="shared" si="1"/>
        <v>0</v>
      </c>
      <c r="M327" s="449">
        <f>SUMIF('PO MTRL'!$G$9:$G512,G327,'PO MTRL'!$L$9:$L512)</f>
        <v>0</v>
      </c>
      <c r="N327" s="450">
        <f>IF(G327=0,0,(VLOOKUP(G327,'2. SMDA BHN'!$B$12:$H512,5,0)))</f>
        <v>0</v>
      </c>
      <c r="O327" s="450">
        <f>IF(G327=0,0,(VLOOKUP(G327,'2. SMDA BHN'!$B$12:$H512,7,0)))</f>
        <v>0</v>
      </c>
      <c r="P327" s="449">
        <f t="shared" si="2"/>
        <v>0</v>
      </c>
      <c r="Q327" s="449">
        <f t="shared" si="3"/>
        <v>0</v>
      </c>
      <c r="R327" s="451" t="s">
        <v>45</v>
      </c>
      <c r="S327" s="464"/>
      <c r="T327" s="439"/>
      <c r="U327" s="16"/>
      <c r="V327" s="439"/>
      <c r="W327" s="439"/>
      <c r="X327" s="439"/>
      <c r="Y327" s="439"/>
      <c r="Z327" s="439"/>
      <c r="AA327" s="439"/>
      <c r="AB327" s="439"/>
      <c r="AC327" s="439"/>
      <c r="AD327" s="439"/>
      <c r="AE327" s="439"/>
      <c r="AF327" s="439"/>
    </row>
    <row r="328" ht="16.5" customHeight="1">
      <c r="A328" s="439"/>
      <c r="B328" s="454">
        <f t="shared" si="4"/>
        <v>1319</v>
      </c>
      <c r="C328" s="468"/>
      <c r="D328" s="442" t="str">
        <f>IF(G328="","",(VLOOKUP(G328,'2. SMDA BHN'!$B$12:$J512,2,0)))</f>
        <v/>
      </c>
      <c r="E328" s="443">
        <f>IF(G328=0,0,(VLOOKUP(G328,'2. SMDA BHN'!$B$12:$J512,3,0)))</f>
        <v>0</v>
      </c>
      <c r="F328" s="444"/>
      <c r="G328" s="467"/>
      <c r="H328" s="446">
        <f>IF(G328=0,0,(VLOOKUP(G328,'2. SMDA BHN'!$B$12:$H512,4,0)))</f>
        <v>0</v>
      </c>
      <c r="I328" s="460"/>
      <c r="J328" s="461"/>
      <c r="K328" s="448">
        <f>SUMIF('PO MTRL'!$G$9:$G512,G328,'PO MTRL'!$J$9:$J512)</f>
        <v>0</v>
      </c>
      <c r="L328" s="448">
        <f t="shared" si="1"/>
        <v>0</v>
      </c>
      <c r="M328" s="449">
        <f>SUMIF('PO MTRL'!$G$9:$G512,G328,'PO MTRL'!$L$9:$L512)</f>
        <v>0</v>
      </c>
      <c r="N328" s="450">
        <f>IF(G328=0,0,(VLOOKUP(G328,'2. SMDA BHN'!$B$12:$H512,5,0)))</f>
        <v>0</v>
      </c>
      <c r="O328" s="450">
        <f>IF(G328=0,0,(VLOOKUP(G328,'2. SMDA BHN'!$B$12:$H512,7,0)))</f>
        <v>0</v>
      </c>
      <c r="P328" s="449">
        <f t="shared" si="2"/>
        <v>0</v>
      </c>
      <c r="Q328" s="449">
        <f t="shared" si="3"/>
        <v>0</v>
      </c>
      <c r="R328" s="451" t="s">
        <v>45</v>
      </c>
      <c r="S328" s="464"/>
      <c r="T328" s="439"/>
      <c r="U328" s="16"/>
      <c r="V328" s="439"/>
      <c r="W328" s="439"/>
      <c r="X328" s="439"/>
      <c r="Y328" s="439"/>
      <c r="Z328" s="439"/>
      <c r="AA328" s="439"/>
      <c r="AB328" s="439"/>
      <c r="AC328" s="439"/>
      <c r="AD328" s="439"/>
      <c r="AE328" s="439"/>
      <c r="AF328" s="439"/>
    </row>
    <row r="329" ht="16.5" customHeight="1">
      <c r="A329" s="439"/>
      <c r="B329" s="454">
        <f t="shared" si="4"/>
        <v>1320</v>
      </c>
      <c r="C329" s="468"/>
      <c r="D329" s="442" t="str">
        <f>IF(G329="","",(VLOOKUP(G329,'2. SMDA BHN'!$B$12:$J512,2,0)))</f>
        <v/>
      </c>
      <c r="E329" s="443">
        <f>IF(G329=0,0,(VLOOKUP(G329,'2. SMDA BHN'!$B$12:$J512,3,0)))</f>
        <v>0</v>
      </c>
      <c r="F329" s="444"/>
      <c r="G329" s="467"/>
      <c r="H329" s="446">
        <f>IF(G329=0,0,(VLOOKUP(G329,'2. SMDA BHN'!$B$12:$H512,4,0)))</f>
        <v>0</v>
      </c>
      <c r="I329" s="460"/>
      <c r="J329" s="461"/>
      <c r="K329" s="448">
        <f>SUMIF('PO MTRL'!$G$9:$G512,G329,'PO MTRL'!$J$9:$J512)</f>
        <v>0</v>
      </c>
      <c r="L329" s="448">
        <f t="shared" si="1"/>
        <v>0</v>
      </c>
      <c r="M329" s="449">
        <f>SUMIF('PO MTRL'!$G$9:$G512,G329,'PO MTRL'!$L$9:$L512)</f>
        <v>0</v>
      </c>
      <c r="N329" s="450">
        <f>IF(G329=0,0,(VLOOKUP(G329,'2. SMDA BHN'!$B$12:$H512,5,0)))</f>
        <v>0</v>
      </c>
      <c r="O329" s="450">
        <f>IF(G329=0,0,(VLOOKUP(G329,'2. SMDA BHN'!$B$12:$H512,7,0)))</f>
        <v>0</v>
      </c>
      <c r="P329" s="449">
        <f t="shared" si="2"/>
        <v>0</v>
      </c>
      <c r="Q329" s="449">
        <f t="shared" si="3"/>
        <v>0</v>
      </c>
      <c r="R329" s="451" t="s">
        <v>45</v>
      </c>
      <c r="S329" s="464"/>
      <c r="T329" s="439"/>
      <c r="U329" s="16"/>
      <c r="V329" s="439"/>
      <c r="W329" s="439"/>
      <c r="X329" s="439"/>
      <c r="Y329" s="439"/>
      <c r="Z329" s="439"/>
      <c r="AA329" s="439"/>
      <c r="AB329" s="439"/>
      <c r="AC329" s="439"/>
      <c r="AD329" s="439"/>
      <c r="AE329" s="439"/>
      <c r="AF329" s="439"/>
    </row>
    <row r="330" ht="16.5" customHeight="1">
      <c r="A330" s="439"/>
      <c r="B330" s="454">
        <f t="shared" si="4"/>
        <v>1321</v>
      </c>
      <c r="C330" s="468"/>
      <c r="D330" s="442" t="str">
        <f>IF(G330="","",(VLOOKUP(G330,'2. SMDA BHN'!$B$12:$J512,2,0)))</f>
        <v/>
      </c>
      <c r="E330" s="443">
        <f>IF(G330=0,0,(VLOOKUP(G330,'2. SMDA BHN'!$B$12:$J512,3,0)))</f>
        <v>0</v>
      </c>
      <c r="F330" s="444"/>
      <c r="G330" s="467"/>
      <c r="H330" s="446">
        <f>IF(G330=0,0,(VLOOKUP(G330,'2. SMDA BHN'!$B$12:$H512,4,0)))</f>
        <v>0</v>
      </c>
      <c r="I330" s="460"/>
      <c r="J330" s="461"/>
      <c r="K330" s="448">
        <f>SUMIF('PO MTRL'!$G$9:$G512,G330,'PO MTRL'!$J$9:$J512)</f>
        <v>0</v>
      </c>
      <c r="L330" s="448">
        <f t="shared" si="1"/>
        <v>0</v>
      </c>
      <c r="M330" s="449">
        <f>SUMIF('PO MTRL'!$G$9:$G512,G330,'PO MTRL'!$L$9:$L512)</f>
        <v>0</v>
      </c>
      <c r="N330" s="450">
        <f>IF(G330=0,0,(VLOOKUP(G330,'2. SMDA BHN'!$B$12:$H512,5,0)))</f>
        <v>0</v>
      </c>
      <c r="O330" s="450">
        <f>IF(G330=0,0,(VLOOKUP(G330,'2. SMDA BHN'!$B$12:$H512,7,0)))</f>
        <v>0</v>
      </c>
      <c r="P330" s="449">
        <f t="shared" si="2"/>
        <v>0</v>
      </c>
      <c r="Q330" s="449">
        <f t="shared" si="3"/>
        <v>0</v>
      </c>
      <c r="R330" s="451" t="s">
        <v>45</v>
      </c>
      <c r="S330" s="464"/>
      <c r="T330" s="439"/>
      <c r="U330" s="16"/>
      <c r="V330" s="439"/>
      <c r="W330" s="439"/>
      <c r="X330" s="439"/>
      <c r="Y330" s="439"/>
      <c r="Z330" s="439"/>
      <c r="AA330" s="439"/>
      <c r="AB330" s="439"/>
      <c r="AC330" s="439"/>
      <c r="AD330" s="439"/>
      <c r="AE330" s="439"/>
      <c r="AF330" s="439"/>
    </row>
    <row r="331" ht="16.5" customHeight="1">
      <c r="A331" s="439"/>
      <c r="B331" s="454">
        <f t="shared" si="4"/>
        <v>1322</v>
      </c>
      <c r="C331" s="468"/>
      <c r="D331" s="442" t="str">
        <f>IF(G331="","",(VLOOKUP(G331,'2. SMDA BHN'!$B$12:$J512,2,0)))</f>
        <v/>
      </c>
      <c r="E331" s="443">
        <f>IF(G331=0,0,(VLOOKUP(G331,'2. SMDA BHN'!$B$12:$J512,3,0)))</f>
        <v>0</v>
      </c>
      <c r="F331" s="444"/>
      <c r="G331" s="467"/>
      <c r="H331" s="446">
        <f>IF(G331=0,0,(VLOOKUP(G331,'2. SMDA BHN'!$B$12:$H512,4,0)))</f>
        <v>0</v>
      </c>
      <c r="I331" s="460"/>
      <c r="J331" s="461"/>
      <c r="K331" s="448">
        <f>SUMIF('PO MTRL'!$G$9:$G512,G331,'PO MTRL'!$J$9:$J512)</f>
        <v>0</v>
      </c>
      <c r="L331" s="448">
        <f t="shared" si="1"/>
        <v>0</v>
      </c>
      <c r="M331" s="449">
        <f>SUMIF('PO MTRL'!$G$9:$G512,G331,'PO MTRL'!$L$9:$L512)</f>
        <v>0</v>
      </c>
      <c r="N331" s="450">
        <f>IF(G331=0,0,(VLOOKUP(G331,'2. SMDA BHN'!$B$12:$H512,5,0)))</f>
        <v>0</v>
      </c>
      <c r="O331" s="450">
        <f>IF(G331=0,0,(VLOOKUP(G331,'2. SMDA BHN'!$B$12:$H512,7,0)))</f>
        <v>0</v>
      </c>
      <c r="P331" s="449">
        <f t="shared" si="2"/>
        <v>0</v>
      </c>
      <c r="Q331" s="449">
        <f t="shared" si="3"/>
        <v>0</v>
      </c>
      <c r="R331" s="451" t="s">
        <v>45</v>
      </c>
      <c r="S331" s="464"/>
      <c r="T331" s="439"/>
      <c r="U331" s="16"/>
      <c r="V331" s="439"/>
      <c r="W331" s="439"/>
      <c r="X331" s="439"/>
      <c r="Y331" s="439"/>
      <c r="Z331" s="439"/>
      <c r="AA331" s="439"/>
      <c r="AB331" s="439"/>
      <c r="AC331" s="439"/>
      <c r="AD331" s="439"/>
      <c r="AE331" s="439"/>
      <c r="AF331" s="439"/>
    </row>
    <row r="332" ht="16.5" customHeight="1">
      <c r="A332" s="439"/>
      <c r="B332" s="454">
        <f t="shared" si="4"/>
        <v>1323</v>
      </c>
      <c r="C332" s="468"/>
      <c r="D332" s="442" t="str">
        <f>IF(G332="","",(VLOOKUP(G332,'2. SMDA BHN'!$B$12:$J512,2,0)))</f>
        <v/>
      </c>
      <c r="E332" s="443">
        <f>IF(G332=0,0,(VLOOKUP(G332,'2. SMDA BHN'!$B$12:$J512,3,0)))</f>
        <v>0</v>
      </c>
      <c r="F332" s="444"/>
      <c r="G332" s="467"/>
      <c r="H332" s="446">
        <f>IF(G332=0,0,(VLOOKUP(G332,'2. SMDA BHN'!$B$12:$H512,4,0)))</f>
        <v>0</v>
      </c>
      <c r="I332" s="460"/>
      <c r="J332" s="461"/>
      <c r="K332" s="448">
        <f>SUMIF('PO MTRL'!$G$9:$G512,G332,'PO MTRL'!$J$9:$J512)</f>
        <v>0</v>
      </c>
      <c r="L332" s="448">
        <f t="shared" si="1"/>
        <v>0</v>
      </c>
      <c r="M332" s="449">
        <f>SUMIF('PO MTRL'!$G$9:$G512,G332,'PO MTRL'!$L$9:$L512)</f>
        <v>0</v>
      </c>
      <c r="N332" s="450">
        <f>IF(G332=0,0,(VLOOKUP(G332,'2. SMDA BHN'!$B$12:$H512,5,0)))</f>
        <v>0</v>
      </c>
      <c r="O332" s="450">
        <f>IF(G332=0,0,(VLOOKUP(G332,'2. SMDA BHN'!$B$12:$H512,7,0)))</f>
        <v>0</v>
      </c>
      <c r="P332" s="449">
        <f t="shared" si="2"/>
        <v>0</v>
      </c>
      <c r="Q332" s="449">
        <f t="shared" si="3"/>
        <v>0</v>
      </c>
      <c r="R332" s="451" t="s">
        <v>45</v>
      </c>
      <c r="S332" s="464"/>
      <c r="T332" s="439"/>
      <c r="U332" s="16"/>
      <c r="V332" s="439"/>
      <c r="W332" s="439"/>
      <c r="X332" s="439"/>
      <c r="Y332" s="439"/>
      <c r="Z332" s="439"/>
      <c r="AA332" s="439"/>
      <c r="AB332" s="439"/>
      <c r="AC332" s="439"/>
      <c r="AD332" s="439"/>
      <c r="AE332" s="439"/>
      <c r="AF332" s="439"/>
    </row>
    <row r="333" ht="16.5" customHeight="1">
      <c r="A333" s="439"/>
      <c r="B333" s="454">
        <f t="shared" si="4"/>
        <v>1324</v>
      </c>
      <c r="C333" s="468"/>
      <c r="D333" s="442" t="str">
        <f>IF(G333="","",(VLOOKUP(G333,'2. SMDA BHN'!$B$12:$J512,2,0)))</f>
        <v/>
      </c>
      <c r="E333" s="443">
        <f>IF(G333=0,0,(VLOOKUP(G333,'2. SMDA BHN'!$B$12:$J512,3,0)))</f>
        <v>0</v>
      </c>
      <c r="F333" s="444"/>
      <c r="G333" s="467"/>
      <c r="H333" s="446">
        <f>IF(G333=0,0,(VLOOKUP(G333,'2. SMDA BHN'!$B$12:$H512,4,0)))</f>
        <v>0</v>
      </c>
      <c r="I333" s="460"/>
      <c r="J333" s="461"/>
      <c r="K333" s="448">
        <f>SUMIF('PO MTRL'!$G$9:$G512,G333,'PO MTRL'!$J$9:$J512)</f>
        <v>0</v>
      </c>
      <c r="L333" s="448">
        <f t="shared" si="1"/>
        <v>0</v>
      </c>
      <c r="M333" s="449">
        <f>SUMIF('PO MTRL'!$G$9:$G512,G333,'PO MTRL'!$L$9:$L512)</f>
        <v>0</v>
      </c>
      <c r="N333" s="450">
        <f>IF(G333=0,0,(VLOOKUP(G333,'2. SMDA BHN'!$B$12:$H512,5,0)))</f>
        <v>0</v>
      </c>
      <c r="O333" s="450">
        <f>IF(G333=0,0,(VLOOKUP(G333,'2. SMDA BHN'!$B$12:$H512,7,0)))</f>
        <v>0</v>
      </c>
      <c r="P333" s="449">
        <f t="shared" si="2"/>
        <v>0</v>
      </c>
      <c r="Q333" s="449">
        <f t="shared" si="3"/>
        <v>0</v>
      </c>
      <c r="R333" s="451" t="s">
        <v>45</v>
      </c>
      <c r="S333" s="464"/>
      <c r="T333" s="439"/>
      <c r="U333" s="16"/>
      <c r="V333" s="439"/>
      <c r="W333" s="439"/>
      <c r="X333" s="439"/>
      <c r="Y333" s="439"/>
      <c r="Z333" s="439"/>
      <c r="AA333" s="439"/>
      <c r="AB333" s="439"/>
      <c r="AC333" s="439"/>
      <c r="AD333" s="439"/>
      <c r="AE333" s="439"/>
      <c r="AF333" s="439"/>
    </row>
    <row r="334" ht="16.5" customHeight="1">
      <c r="A334" s="439"/>
      <c r="B334" s="454">
        <f t="shared" si="4"/>
        <v>1325</v>
      </c>
      <c r="C334" s="468"/>
      <c r="D334" s="442" t="str">
        <f>IF(G334="","",(VLOOKUP(G334,'2. SMDA BHN'!$B$12:$J512,2,0)))</f>
        <v/>
      </c>
      <c r="E334" s="443">
        <f>IF(G334=0,0,(VLOOKUP(G334,'2. SMDA BHN'!$B$12:$J512,3,0)))</f>
        <v>0</v>
      </c>
      <c r="F334" s="444"/>
      <c r="G334" s="467"/>
      <c r="H334" s="446">
        <f>IF(G334=0,0,(VLOOKUP(G334,'2. SMDA BHN'!$B$12:$H512,4,0)))</f>
        <v>0</v>
      </c>
      <c r="I334" s="460"/>
      <c r="J334" s="461"/>
      <c r="K334" s="448">
        <f>SUMIF('PO MTRL'!$G$9:$G512,G334,'PO MTRL'!$J$9:$J512)</f>
        <v>0</v>
      </c>
      <c r="L334" s="448">
        <f t="shared" si="1"/>
        <v>0</v>
      </c>
      <c r="M334" s="449">
        <f>SUMIF('PO MTRL'!$G$9:$G512,G334,'PO MTRL'!$L$9:$L512)</f>
        <v>0</v>
      </c>
      <c r="N334" s="450">
        <f>IF(G334=0,0,(VLOOKUP(G334,'2. SMDA BHN'!$B$12:$H512,5,0)))</f>
        <v>0</v>
      </c>
      <c r="O334" s="450">
        <f>IF(G334=0,0,(VLOOKUP(G334,'2. SMDA BHN'!$B$12:$H512,7,0)))</f>
        <v>0</v>
      </c>
      <c r="P334" s="449">
        <f t="shared" si="2"/>
        <v>0</v>
      </c>
      <c r="Q334" s="449">
        <f t="shared" si="3"/>
        <v>0</v>
      </c>
      <c r="R334" s="451" t="s">
        <v>45</v>
      </c>
      <c r="S334" s="464"/>
      <c r="T334" s="439"/>
      <c r="U334" s="16"/>
      <c r="V334" s="439"/>
      <c r="W334" s="439"/>
      <c r="X334" s="439"/>
      <c r="Y334" s="439"/>
      <c r="Z334" s="439"/>
      <c r="AA334" s="439"/>
      <c r="AB334" s="439"/>
      <c r="AC334" s="439"/>
      <c r="AD334" s="439"/>
      <c r="AE334" s="439"/>
      <c r="AF334" s="439"/>
    </row>
    <row r="335" ht="16.5" customHeight="1">
      <c r="A335" s="439"/>
      <c r="B335" s="454">
        <f t="shared" si="4"/>
        <v>1326</v>
      </c>
      <c r="C335" s="468"/>
      <c r="D335" s="442" t="str">
        <f>IF(G335="","",(VLOOKUP(G335,'2. SMDA BHN'!$B$12:$J512,2,0)))</f>
        <v/>
      </c>
      <c r="E335" s="443">
        <f>IF(G335=0,0,(VLOOKUP(G335,'2. SMDA BHN'!$B$12:$J512,3,0)))</f>
        <v>0</v>
      </c>
      <c r="F335" s="444"/>
      <c r="G335" s="467"/>
      <c r="H335" s="446">
        <f>IF(G335=0,0,(VLOOKUP(G335,'2. SMDA BHN'!$B$12:$H512,4,0)))</f>
        <v>0</v>
      </c>
      <c r="I335" s="460"/>
      <c r="J335" s="461"/>
      <c r="K335" s="448">
        <f>SUMIF('PO MTRL'!$G$9:$G512,G335,'PO MTRL'!$J$9:$J512)</f>
        <v>0</v>
      </c>
      <c r="L335" s="448">
        <f t="shared" si="1"/>
        <v>0</v>
      </c>
      <c r="M335" s="449">
        <f>SUMIF('PO MTRL'!$G$9:$G512,G335,'PO MTRL'!$L$9:$L512)</f>
        <v>0</v>
      </c>
      <c r="N335" s="450">
        <f>IF(G335=0,0,(VLOOKUP(G335,'2. SMDA BHN'!$B$12:$H512,5,0)))</f>
        <v>0</v>
      </c>
      <c r="O335" s="450">
        <f>IF(G335=0,0,(VLOOKUP(G335,'2. SMDA BHN'!$B$12:$H512,7,0)))</f>
        <v>0</v>
      </c>
      <c r="P335" s="449">
        <f t="shared" si="2"/>
        <v>0</v>
      </c>
      <c r="Q335" s="449">
        <f t="shared" si="3"/>
        <v>0</v>
      </c>
      <c r="R335" s="451" t="s">
        <v>45</v>
      </c>
      <c r="S335" s="464"/>
      <c r="T335" s="439"/>
      <c r="U335" s="16"/>
      <c r="V335" s="439"/>
      <c r="W335" s="439"/>
      <c r="X335" s="439"/>
      <c r="Y335" s="439"/>
      <c r="Z335" s="439"/>
      <c r="AA335" s="439"/>
      <c r="AB335" s="439"/>
      <c r="AC335" s="439"/>
      <c r="AD335" s="439"/>
      <c r="AE335" s="439"/>
      <c r="AF335" s="439"/>
    </row>
    <row r="336" ht="16.5" customHeight="1">
      <c r="A336" s="439"/>
      <c r="B336" s="454">
        <f t="shared" si="4"/>
        <v>1327</v>
      </c>
      <c r="C336" s="468"/>
      <c r="D336" s="442" t="str">
        <f>IF(G336="","",(VLOOKUP(G336,'2. SMDA BHN'!$B$12:$J512,2,0)))</f>
        <v/>
      </c>
      <c r="E336" s="443">
        <f>IF(G336=0,0,(VLOOKUP(G336,'2. SMDA BHN'!$B$12:$J512,3,0)))</f>
        <v>0</v>
      </c>
      <c r="F336" s="444"/>
      <c r="G336" s="467"/>
      <c r="H336" s="446">
        <f>IF(G336=0,0,(VLOOKUP(G336,'2. SMDA BHN'!$B$12:$H512,4,0)))</f>
        <v>0</v>
      </c>
      <c r="I336" s="460"/>
      <c r="J336" s="461"/>
      <c r="K336" s="448">
        <f>SUMIF('PO MTRL'!$G$9:$G512,G336,'PO MTRL'!$J$9:$J512)</f>
        <v>0</v>
      </c>
      <c r="L336" s="448">
        <f t="shared" si="1"/>
        <v>0</v>
      </c>
      <c r="M336" s="449">
        <f>SUMIF('PO MTRL'!$G$9:$G512,G336,'PO MTRL'!$L$9:$L512)</f>
        <v>0</v>
      </c>
      <c r="N336" s="450">
        <f>IF(G336=0,0,(VLOOKUP(G336,'2. SMDA BHN'!$B$12:$H512,5,0)))</f>
        <v>0</v>
      </c>
      <c r="O336" s="450">
        <f>IF(G336=0,0,(VLOOKUP(G336,'2. SMDA BHN'!$B$12:$H512,7,0)))</f>
        <v>0</v>
      </c>
      <c r="P336" s="449">
        <f t="shared" si="2"/>
        <v>0</v>
      </c>
      <c r="Q336" s="449">
        <f t="shared" si="3"/>
        <v>0</v>
      </c>
      <c r="R336" s="451" t="s">
        <v>45</v>
      </c>
      <c r="S336" s="464"/>
      <c r="T336" s="439"/>
      <c r="U336" s="16"/>
      <c r="V336" s="439"/>
      <c r="W336" s="439"/>
      <c r="X336" s="439"/>
      <c r="Y336" s="439"/>
      <c r="Z336" s="439"/>
      <c r="AA336" s="439"/>
      <c r="AB336" s="439"/>
      <c r="AC336" s="439"/>
      <c r="AD336" s="439"/>
      <c r="AE336" s="439"/>
      <c r="AF336" s="439"/>
    </row>
    <row r="337" ht="16.5" customHeight="1">
      <c r="A337" s="439"/>
      <c r="B337" s="454">
        <f t="shared" si="4"/>
        <v>1328</v>
      </c>
      <c r="C337" s="468"/>
      <c r="D337" s="442" t="str">
        <f>IF(G337="","",(VLOOKUP(G337,'2. SMDA BHN'!$B$12:$J512,2,0)))</f>
        <v/>
      </c>
      <c r="E337" s="443">
        <f>IF(G337=0,0,(VLOOKUP(G337,'2. SMDA BHN'!$B$12:$J512,3,0)))</f>
        <v>0</v>
      </c>
      <c r="F337" s="444"/>
      <c r="G337" s="467"/>
      <c r="H337" s="446">
        <f>IF(G337=0,0,(VLOOKUP(G337,'2. SMDA BHN'!$B$12:$H512,4,0)))</f>
        <v>0</v>
      </c>
      <c r="I337" s="460"/>
      <c r="J337" s="461"/>
      <c r="K337" s="448">
        <f>SUMIF('PO MTRL'!$G$9:$G512,G337,'PO MTRL'!$J$9:$J512)</f>
        <v>0</v>
      </c>
      <c r="L337" s="448">
        <f t="shared" si="1"/>
        <v>0</v>
      </c>
      <c r="M337" s="449">
        <f>SUMIF('PO MTRL'!$G$9:$G512,G337,'PO MTRL'!$L$9:$L512)</f>
        <v>0</v>
      </c>
      <c r="N337" s="450">
        <f>IF(G337=0,0,(VLOOKUP(G337,'2. SMDA BHN'!$B$12:$H512,5,0)))</f>
        <v>0</v>
      </c>
      <c r="O337" s="450">
        <f>IF(G337=0,0,(VLOOKUP(G337,'2. SMDA BHN'!$B$12:$H512,7,0)))</f>
        <v>0</v>
      </c>
      <c r="P337" s="449">
        <f t="shared" si="2"/>
        <v>0</v>
      </c>
      <c r="Q337" s="449">
        <f t="shared" si="3"/>
        <v>0</v>
      </c>
      <c r="R337" s="451" t="s">
        <v>45</v>
      </c>
      <c r="S337" s="464"/>
      <c r="T337" s="439"/>
      <c r="U337" s="16"/>
      <c r="V337" s="439"/>
      <c r="W337" s="439"/>
      <c r="X337" s="439"/>
      <c r="Y337" s="439"/>
      <c r="Z337" s="439"/>
      <c r="AA337" s="439"/>
      <c r="AB337" s="439"/>
      <c r="AC337" s="439"/>
      <c r="AD337" s="439"/>
      <c r="AE337" s="439"/>
      <c r="AF337" s="439"/>
    </row>
    <row r="338" ht="16.5" customHeight="1">
      <c r="A338" s="439"/>
      <c r="B338" s="454">
        <f t="shared" si="4"/>
        <v>1329</v>
      </c>
      <c r="C338" s="468"/>
      <c r="D338" s="442" t="str">
        <f>IF(G338="","",(VLOOKUP(G338,'2. SMDA BHN'!$B$12:$J512,2,0)))</f>
        <v/>
      </c>
      <c r="E338" s="443">
        <f>IF(G338=0,0,(VLOOKUP(G338,'2. SMDA BHN'!$B$12:$J512,3,0)))</f>
        <v>0</v>
      </c>
      <c r="F338" s="444"/>
      <c r="G338" s="467"/>
      <c r="H338" s="446">
        <f>IF(G338=0,0,(VLOOKUP(G338,'2. SMDA BHN'!$B$12:$H512,4,0)))</f>
        <v>0</v>
      </c>
      <c r="I338" s="460"/>
      <c r="J338" s="461"/>
      <c r="K338" s="448">
        <f>SUMIF('PO MTRL'!$G$9:$G512,G338,'PO MTRL'!$J$9:$J512)</f>
        <v>0</v>
      </c>
      <c r="L338" s="448">
        <f t="shared" si="1"/>
        <v>0</v>
      </c>
      <c r="M338" s="449">
        <f>SUMIF('PO MTRL'!$G$9:$G512,G338,'PO MTRL'!$L$9:$L512)</f>
        <v>0</v>
      </c>
      <c r="N338" s="450">
        <f>IF(G338=0,0,(VLOOKUP(G338,'2. SMDA BHN'!$B$12:$H512,5,0)))</f>
        <v>0</v>
      </c>
      <c r="O338" s="450">
        <f>IF(G338=0,0,(VLOOKUP(G338,'2. SMDA BHN'!$B$12:$H512,7,0)))</f>
        <v>0</v>
      </c>
      <c r="P338" s="449">
        <f t="shared" si="2"/>
        <v>0</v>
      </c>
      <c r="Q338" s="449">
        <f t="shared" si="3"/>
        <v>0</v>
      </c>
      <c r="R338" s="451" t="s">
        <v>45</v>
      </c>
      <c r="S338" s="464"/>
      <c r="T338" s="439"/>
      <c r="U338" s="16"/>
      <c r="V338" s="439"/>
      <c r="W338" s="439"/>
      <c r="X338" s="439"/>
      <c r="Y338" s="439"/>
      <c r="Z338" s="439"/>
      <c r="AA338" s="439"/>
      <c r="AB338" s="439"/>
      <c r="AC338" s="439"/>
      <c r="AD338" s="439"/>
      <c r="AE338" s="439"/>
      <c r="AF338" s="439"/>
    </row>
    <row r="339" ht="16.5" customHeight="1">
      <c r="A339" s="439"/>
      <c r="B339" s="454">
        <f t="shared" si="4"/>
        <v>1330</v>
      </c>
      <c r="C339" s="468"/>
      <c r="D339" s="442" t="str">
        <f>IF(G339="","",(VLOOKUP(G339,'2. SMDA BHN'!$B$12:$J512,2,0)))</f>
        <v/>
      </c>
      <c r="E339" s="443">
        <f>IF(G339=0,0,(VLOOKUP(G339,'2. SMDA BHN'!$B$12:$J512,3,0)))</f>
        <v>0</v>
      </c>
      <c r="F339" s="444"/>
      <c r="G339" s="467"/>
      <c r="H339" s="446">
        <f>IF(G339=0,0,(VLOOKUP(G339,'2. SMDA BHN'!$B$12:$H512,4,0)))</f>
        <v>0</v>
      </c>
      <c r="I339" s="460"/>
      <c r="J339" s="461"/>
      <c r="K339" s="448">
        <f>SUMIF('PO MTRL'!$G$9:$G512,G339,'PO MTRL'!$J$9:$J512)</f>
        <v>0</v>
      </c>
      <c r="L339" s="448">
        <f t="shared" si="1"/>
        <v>0</v>
      </c>
      <c r="M339" s="449">
        <f>SUMIF('PO MTRL'!$G$9:$G512,G339,'PO MTRL'!$L$9:$L512)</f>
        <v>0</v>
      </c>
      <c r="N339" s="450">
        <f>IF(G339=0,0,(VLOOKUP(G339,'2. SMDA BHN'!$B$12:$H512,5,0)))</f>
        <v>0</v>
      </c>
      <c r="O339" s="450">
        <f>IF(G339=0,0,(VLOOKUP(G339,'2. SMDA BHN'!$B$12:$H512,7,0)))</f>
        <v>0</v>
      </c>
      <c r="P339" s="449">
        <f t="shared" si="2"/>
        <v>0</v>
      </c>
      <c r="Q339" s="449">
        <f t="shared" si="3"/>
        <v>0</v>
      </c>
      <c r="R339" s="451" t="s">
        <v>45</v>
      </c>
      <c r="S339" s="464"/>
      <c r="T339" s="439"/>
      <c r="U339" s="16"/>
      <c r="V339" s="439"/>
      <c r="W339" s="439"/>
      <c r="X339" s="439"/>
      <c r="Y339" s="439"/>
      <c r="Z339" s="439"/>
      <c r="AA339" s="439"/>
      <c r="AB339" s="439"/>
      <c r="AC339" s="439"/>
      <c r="AD339" s="439"/>
      <c r="AE339" s="439"/>
      <c r="AF339" s="439"/>
    </row>
    <row r="340" ht="16.5" customHeight="1">
      <c r="A340" s="439"/>
      <c r="B340" s="454">
        <f t="shared" si="4"/>
        <v>1331</v>
      </c>
      <c r="C340" s="468"/>
      <c r="D340" s="442" t="str">
        <f>IF(G340="","",(VLOOKUP(G340,'2. SMDA BHN'!$B$12:$J512,2,0)))</f>
        <v/>
      </c>
      <c r="E340" s="443">
        <f>IF(G340=0,0,(VLOOKUP(G340,'2. SMDA BHN'!$B$12:$J512,3,0)))</f>
        <v>0</v>
      </c>
      <c r="F340" s="444"/>
      <c r="G340" s="467"/>
      <c r="H340" s="446">
        <f>IF(G340=0,0,(VLOOKUP(G340,'2. SMDA BHN'!$B$12:$H512,4,0)))</f>
        <v>0</v>
      </c>
      <c r="I340" s="460"/>
      <c r="J340" s="461"/>
      <c r="K340" s="448">
        <f>SUMIF('PO MTRL'!$G$9:$G512,G340,'PO MTRL'!$J$9:$J512)</f>
        <v>0</v>
      </c>
      <c r="L340" s="448">
        <f t="shared" si="1"/>
        <v>0</v>
      </c>
      <c r="M340" s="449">
        <f>SUMIF('PO MTRL'!$G$9:$G512,G340,'PO MTRL'!$L$9:$L512)</f>
        <v>0</v>
      </c>
      <c r="N340" s="450">
        <f>IF(G340=0,0,(VLOOKUP(G340,'2. SMDA BHN'!$B$12:$H512,5,0)))</f>
        <v>0</v>
      </c>
      <c r="O340" s="450">
        <f>IF(G340=0,0,(VLOOKUP(G340,'2. SMDA BHN'!$B$12:$H512,7,0)))</f>
        <v>0</v>
      </c>
      <c r="P340" s="449">
        <f t="shared" si="2"/>
        <v>0</v>
      </c>
      <c r="Q340" s="449">
        <f t="shared" si="3"/>
        <v>0</v>
      </c>
      <c r="R340" s="451" t="s">
        <v>45</v>
      </c>
      <c r="S340" s="464"/>
      <c r="T340" s="439"/>
      <c r="U340" s="16"/>
      <c r="V340" s="439"/>
      <c r="W340" s="439"/>
      <c r="X340" s="439"/>
      <c r="Y340" s="439"/>
      <c r="Z340" s="439"/>
      <c r="AA340" s="439"/>
      <c r="AB340" s="439"/>
      <c r="AC340" s="439"/>
      <c r="AD340" s="439"/>
      <c r="AE340" s="439"/>
      <c r="AF340" s="439"/>
    </row>
    <row r="341" ht="16.5" customHeight="1">
      <c r="A341" s="439"/>
      <c r="B341" s="454">
        <f t="shared" si="4"/>
        <v>1332</v>
      </c>
      <c r="C341" s="468"/>
      <c r="D341" s="442" t="str">
        <f>IF(G341="","",(VLOOKUP(G341,'2. SMDA BHN'!$B$12:$J512,2,0)))</f>
        <v/>
      </c>
      <c r="E341" s="443">
        <f>IF(G341=0,0,(VLOOKUP(G341,'2. SMDA BHN'!$B$12:$J512,3,0)))</f>
        <v>0</v>
      </c>
      <c r="F341" s="444"/>
      <c r="G341" s="467"/>
      <c r="H341" s="446">
        <f>IF(G341=0,0,(VLOOKUP(G341,'2. SMDA BHN'!$B$12:$H512,4,0)))</f>
        <v>0</v>
      </c>
      <c r="I341" s="460"/>
      <c r="J341" s="461"/>
      <c r="K341" s="448">
        <f>SUMIF('PO MTRL'!$G$9:$G512,G341,'PO MTRL'!$J$9:$J512)</f>
        <v>0</v>
      </c>
      <c r="L341" s="448">
        <f t="shared" si="1"/>
        <v>0</v>
      </c>
      <c r="M341" s="449">
        <f>SUMIF('PO MTRL'!$G$9:$G512,G341,'PO MTRL'!$L$9:$L512)</f>
        <v>0</v>
      </c>
      <c r="N341" s="450">
        <f>IF(G341=0,0,(VLOOKUP(G341,'2. SMDA BHN'!$B$12:$H512,5,0)))</f>
        <v>0</v>
      </c>
      <c r="O341" s="450">
        <f>IF(G341=0,0,(VLOOKUP(G341,'2. SMDA BHN'!$B$12:$H512,7,0)))</f>
        <v>0</v>
      </c>
      <c r="P341" s="449">
        <f t="shared" si="2"/>
        <v>0</v>
      </c>
      <c r="Q341" s="449">
        <f t="shared" si="3"/>
        <v>0</v>
      </c>
      <c r="R341" s="451" t="s">
        <v>45</v>
      </c>
      <c r="S341" s="464"/>
      <c r="T341" s="439"/>
      <c r="U341" s="16"/>
      <c r="V341" s="439"/>
      <c r="W341" s="439"/>
      <c r="X341" s="439"/>
      <c r="Y341" s="439"/>
      <c r="Z341" s="439"/>
      <c r="AA341" s="439"/>
      <c r="AB341" s="439"/>
      <c r="AC341" s="439"/>
      <c r="AD341" s="439"/>
      <c r="AE341" s="439"/>
      <c r="AF341" s="439"/>
    </row>
    <row r="342" ht="16.5" customHeight="1">
      <c r="A342" s="439"/>
      <c r="B342" s="454">
        <f t="shared" si="4"/>
        <v>1333</v>
      </c>
      <c r="C342" s="468"/>
      <c r="D342" s="442" t="str">
        <f>IF(G342="","",(VLOOKUP(G342,'2. SMDA BHN'!$B$12:$J512,2,0)))</f>
        <v/>
      </c>
      <c r="E342" s="443">
        <f>IF(G342=0,0,(VLOOKUP(G342,'2. SMDA BHN'!$B$12:$J512,3,0)))</f>
        <v>0</v>
      </c>
      <c r="F342" s="444"/>
      <c r="G342" s="467"/>
      <c r="H342" s="446">
        <f>IF(G342=0,0,(VLOOKUP(G342,'2. SMDA BHN'!$B$12:$H512,4,0)))</f>
        <v>0</v>
      </c>
      <c r="I342" s="460"/>
      <c r="J342" s="461"/>
      <c r="K342" s="448">
        <f>SUMIF('PO MTRL'!$G$9:$G512,G342,'PO MTRL'!$J$9:$J512)</f>
        <v>0</v>
      </c>
      <c r="L342" s="448">
        <f t="shared" si="1"/>
        <v>0</v>
      </c>
      <c r="M342" s="449">
        <f>SUMIF('PO MTRL'!$G$9:$G512,G342,'PO MTRL'!$L$9:$L512)</f>
        <v>0</v>
      </c>
      <c r="N342" s="450">
        <f>IF(G342=0,0,(VLOOKUP(G342,'2. SMDA BHN'!$B$12:$H512,5,0)))</f>
        <v>0</v>
      </c>
      <c r="O342" s="450">
        <f>IF(G342=0,0,(VLOOKUP(G342,'2. SMDA BHN'!$B$12:$H512,7,0)))</f>
        <v>0</v>
      </c>
      <c r="P342" s="449">
        <f t="shared" si="2"/>
        <v>0</v>
      </c>
      <c r="Q342" s="449">
        <f t="shared" si="3"/>
        <v>0</v>
      </c>
      <c r="R342" s="451" t="s">
        <v>45</v>
      </c>
      <c r="S342" s="464"/>
      <c r="T342" s="439"/>
      <c r="U342" s="16"/>
      <c r="V342" s="439"/>
      <c r="W342" s="439"/>
      <c r="X342" s="439"/>
      <c r="Y342" s="439"/>
      <c r="Z342" s="439"/>
      <c r="AA342" s="439"/>
      <c r="AB342" s="439"/>
      <c r="AC342" s="439"/>
      <c r="AD342" s="439"/>
      <c r="AE342" s="439"/>
      <c r="AF342" s="439"/>
    </row>
    <row r="343" ht="16.5" customHeight="1">
      <c r="A343" s="439"/>
      <c r="B343" s="454">
        <f t="shared" si="4"/>
        <v>1334</v>
      </c>
      <c r="C343" s="468"/>
      <c r="D343" s="442" t="str">
        <f>IF(G343="","",(VLOOKUP(G343,'2. SMDA BHN'!$B$12:$J512,2,0)))</f>
        <v/>
      </c>
      <c r="E343" s="443">
        <f>IF(G343=0,0,(VLOOKUP(G343,'2. SMDA BHN'!$B$12:$J512,3,0)))</f>
        <v>0</v>
      </c>
      <c r="F343" s="444"/>
      <c r="G343" s="467"/>
      <c r="H343" s="446">
        <f>IF(G343=0,0,(VLOOKUP(G343,'2. SMDA BHN'!$B$12:$H512,4,0)))</f>
        <v>0</v>
      </c>
      <c r="I343" s="460"/>
      <c r="J343" s="461"/>
      <c r="K343" s="448">
        <f>SUMIF('PO MTRL'!$G$9:$G512,G343,'PO MTRL'!$J$9:$J512)</f>
        <v>0</v>
      </c>
      <c r="L343" s="448">
        <f t="shared" si="1"/>
        <v>0</v>
      </c>
      <c r="M343" s="449">
        <f>SUMIF('PO MTRL'!$G$9:$G512,G343,'PO MTRL'!$L$9:$L512)</f>
        <v>0</v>
      </c>
      <c r="N343" s="450">
        <f>IF(G343=0,0,(VLOOKUP(G343,'2. SMDA BHN'!$B$12:$H512,5,0)))</f>
        <v>0</v>
      </c>
      <c r="O343" s="450">
        <f>IF(G343=0,0,(VLOOKUP(G343,'2. SMDA BHN'!$B$12:$H512,7,0)))</f>
        <v>0</v>
      </c>
      <c r="P343" s="449">
        <f t="shared" si="2"/>
        <v>0</v>
      </c>
      <c r="Q343" s="449">
        <f t="shared" si="3"/>
        <v>0</v>
      </c>
      <c r="R343" s="451" t="s">
        <v>45</v>
      </c>
      <c r="S343" s="464"/>
      <c r="T343" s="439"/>
      <c r="U343" s="16"/>
      <c r="V343" s="439"/>
      <c r="W343" s="439"/>
      <c r="X343" s="439"/>
      <c r="Y343" s="439"/>
      <c r="Z343" s="439"/>
      <c r="AA343" s="439"/>
      <c r="AB343" s="439"/>
      <c r="AC343" s="439"/>
      <c r="AD343" s="439"/>
      <c r="AE343" s="439"/>
      <c r="AF343" s="439"/>
    </row>
    <row r="344" ht="16.5" customHeight="1">
      <c r="A344" s="439"/>
      <c r="B344" s="454">
        <f t="shared" si="4"/>
        <v>1335</v>
      </c>
      <c r="C344" s="468"/>
      <c r="D344" s="442" t="str">
        <f>IF(G344="","",(VLOOKUP(G344,'2. SMDA BHN'!$B$12:$J512,2,0)))</f>
        <v/>
      </c>
      <c r="E344" s="443">
        <f>IF(G344=0,0,(VLOOKUP(G344,'2. SMDA BHN'!$B$12:$J512,3,0)))</f>
        <v>0</v>
      </c>
      <c r="F344" s="444"/>
      <c r="G344" s="467"/>
      <c r="H344" s="446">
        <f>IF(G344=0,0,(VLOOKUP(G344,'2. SMDA BHN'!$B$12:$H512,4,0)))</f>
        <v>0</v>
      </c>
      <c r="I344" s="460"/>
      <c r="J344" s="461"/>
      <c r="K344" s="448">
        <f>SUMIF('PO MTRL'!$G$9:$G512,G344,'PO MTRL'!$J$9:$J512)</f>
        <v>0</v>
      </c>
      <c r="L344" s="448">
        <f t="shared" si="1"/>
        <v>0</v>
      </c>
      <c r="M344" s="449">
        <f>SUMIF('PO MTRL'!$G$9:$G512,G344,'PO MTRL'!$L$9:$L512)</f>
        <v>0</v>
      </c>
      <c r="N344" s="450">
        <f>IF(G344=0,0,(VLOOKUP(G344,'2. SMDA BHN'!$B$12:$H512,5,0)))</f>
        <v>0</v>
      </c>
      <c r="O344" s="450">
        <f>IF(G344=0,0,(VLOOKUP(G344,'2. SMDA BHN'!$B$12:$H512,7,0)))</f>
        <v>0</v>
      </c>
      <c r="P344" s="449">
        <f t="shared" si="2"/>
        <v>0</v>
      </c>
      <c r="Q344" s="449">
        <f t="shared" si="3"/>
        <v>0</v>
      </c>
      <c r="R344" s="451" t="s">
        <v>45</v>
      </c>
      <c r="S344" s="464"/>
      <c r="T344" s="439"/>
      <c r="U344" s="16"/>
      <c r="V344" s="439"/>
      <c r="W344" s="439"/>
      <c r="X344" s="439"/>
      <c r="Y344" s="439"/>
      <c r="Z344" s="439"/>
      <c r="AA344" s="439"/>
      <c r="AB344" s="439"/>
      <c r="AC344" s="439"/>
      <c r="AD344" s="439"/>
      <c r="AE344" s="439"/>
      <c r="AF344" s="439"/>
    </row>
    <row r="345" ht="16.5" customHeight="1">
      <c r="A345" s="439"/>
      <c r="B345" s="454">
        <f t="shared" si="4"/>
        <v>1336</v>
      </c>
      <c r="C345" s="468"/>
      <c r="D345" s="442" t="str">
        <f>IF(G345="","",(VLOOKUP(G345,'2. SMDA BHN'!$B$12:$J512,2,0)))</f>
        <v/>
      </c>
      <c r="E345" s="443">
        <f>IF(G345=0,0,(VLOOKUP(G345,'2. SMDA BHN'!$B$12:$J512,3,0)))</f>
        <v>0</v>
      </c>
      <c r="F345" s="444"/>
      <c r="G345" s="467"/>
      <c r="H345" s="446">
        <f>IF(G345=0,0,(VLOOKUP(G345,'2. SMDA BHN'!$B$12:$H512,4,0)))</f>
        <v>0</v>
      </c>
      <c r="I345" s="460"/>
      <c r="J345" s="461"/>
      <c r="K345" s="448">
        <f>SUMIF('PO MTRL'!$G$9:$G512,G345,'PO MTRL'!$J$9:$J512)</f>
        <v>0</v>
      </c>
      <c r="L345" s="448">
        <f t="shared" si="1"/>
        <v>0</v>
      </c>
      <c r="M345" s="449">
        <f>SUMIF('PO MTRL'!$G$9:$G512,G345,'PO MTRL'!$L$9:$L512)</f>
        <v>0</v>
      </c>
      <c r="N345" s="450">
        <f>IF(G345=0,0,(VLOOKUP(G345,'2. SMDA BHN'!$B$12:$H512,5,0)))</f>
        <v>0</v>
      </c>
      <c r="O345" s="450">
        <f>IF(G345=0,0,(VLOOKUP(G345,'2. SMDA BHN'!$B$12:$H512,7,0)))</f>
        <v>0</v>
      </c>
      <c r="P345" s="449">
        <f t="shared" si="2"/>
        <v>0</v>
      </c>
      <c r="Q345" s="449">
        <f t="shared" si="3"/>
        <v>0</v>
      </c>
      <c r="R345" s="451" t="s">
        <v>45</v>
      </c>
      <c r="S345" s="464"/>
      <c r="T345" s="439"/>
      <c r="U345" s="16"/>
      <c r="V345" s="439"/>
      <c r="W345" s="439"/>
      <c r="X345" s="439"/>
      <c r="Y345" s="439"/>
      <c r="Z345" s="439"/>
      <c r="AA345" s="439"/>
      <c r="AB345" s="439"/>
      <c r="AC345" s="439"/>
      <c r="AD345" s="439"/>
      <c r="AE345" s="439"/>
      <c r="AF345" s="439"/>
    </row>
    <row r="346" ht="16.5" customHeight="1">
      <c r="A346" s="439"/>
      <c r="B346" s="454">
        <f t="shared" si="4"/>
        <v>1337</v>
      </c>
      <c r="C346" s="468"/>
      <c r="D346" s="442" t="str">
        <f>IF(G346="","",(VLOOKUP(G346,'2. SMDA BHN'!$B$12:$J512,2,0)))</f>
        <v/>
      </c>
      <c r="E346" s="443">
        <f>IF(G346=0,0,(VLOOKUP(G346,'2. SMDA BHN'!$B$12:$J512,3,0)))</f>
        <v>0</v>
      </c>
      <c r="F346" s="444"/>
      <c r="G346" s="467"/>
      <c r="H346" s="446">
        <f>IF(G346=0,0,(VLOOKUP(G346,'2. SMDA BHN'!$B$12:$H512,4,0)))</f>
        <v>0</v>
      </c>
      <c r="I346" s="460"/>
      <c r="J346" s="461"/>
      <c r="K346" s="448">
        <f>SUMIF('PO MTRL'!$G$9:$G512,G346,'PO MTRL'!$J$9:$J512)</f>
        <v>0</v>
      </c>
      <c r="L346" s="448">
        <f t="shared" si="1"/>
        <v>0</v>
      </c>
      <c r="M346" s="449">
        <f>SUMIF('PO MTRL'!$G$9:$G512,G346,'PO MTRL'!$L$9:$L512)</f>
        <v>0</v>
      </c>
      <c r="N346" s="450">
        <f>IF(G346=0,0,(VLOOKUP(G346,'2. SMDA BHN'!$B$12:$H512,5,0)))</f>
        <v>0</v>
      </c>
      <c r="O346" s="450">
        <f>IF(G346=0,0,(VLOOKUP(G346,'2. SMDA BHN'!$B$12:$H512,7,0)))</f>
        <v>0</v>
      </c>
      <c r="P346" s="449">
        <f t="shared" si="2"/>
        <v>0</v>
      </c>
      <c r="Q346" s="449">
        <f t="shared" si="3"/>
        <v>0</v>
      </c>
      <c r="R346" s="451" t="s">
        <v>45</v>
      </c>
      <c r="S346" s="464"/>
      <c r="T346" s="439"/>
      <c r="U346" s="16"/>
      <c r="V346" s="439"/>
      <c r="W346" s="439"/>
      <c r="X346" s="439"/>
      <c r="Y346" s="439"/>
      <c r="Z346" s="439"/>
      <c r="AA346" s="439"/>
      <c r="AB346" s="439"/>
      <c r="AC346" s="439"/>
      <c r="AD346" s="439"/>
      <c r="AE346" s="439"/>
      <c r="AF346" s="439"/>
    </row>
    <row r="347" ht="16.5" customHeight="1">
      <c r="A347" s="439"/>
      <c r="B347" s="454">
        <f t="shared" si="4"/>
        <v>1338</v>
      </c>
      <c r="C347" s="468"/>
      <c r="D347" s="442" t="str">
        <f>IF(G347="","",(VLOOKUP(G347,'2. SMDA BHN'!$B$12:$J512,2,0)))</f>
        <v/>
      </c>
      <c r="E347" s="443">
        <f>IF(G347=0,0,(VLOOKUP(G347,'2. SMDA BHN'!$B$12:$J512,3,0)))</f>
        <v>0</v>
      </c>
      <c r="F347" s="444"/>
      <c r="G347" s="467"/>
      <c r="H347" s="446">
        <f>IF(G347=0,0,(VLOOKUP(G347,'2. SMDA BHN'!$B$12:$H512,4,0)))</f>
        <v>0</v>
      </c>
      <c r="I347" s="460"/>
      <c r="J347" s="461"/>
      <c r="K347" s="448">
        <f>SUMIF('PO MTRL'!$G$9:$G512,G347,'PO MTRL'!$J$9:$J512)</f>
        <v>0</v>
      </c>
      <c r="L347" s="448">
        <f t="shared" si="1"/>
        <v>0</v>
      </c>
      <c r="M347" s="449">
        <f>SUMIF('PO MTRL'!$G$9:$G512,G347,'PO MTRL'!$L$9:$L512)</f>
        <v>0</v>
      </c>
      <c r="N347" s="450">
        <f>IF(G347=0,0,(VLOOKUP(G347,'2. SMDA BHN'!$B$12:$H512,5,0)))</f>
        <v>0</v>
      </c>
      <c r="O347" s="450">
        <f>IF(G347=0,0,(VLOOKUP(G347,'2. SMDA BHN'!$B$12:$H512,7,0)))</f>
        <v>0</v>
      </c>
      <c r="P347" s="449">
        <f t="shared" si="2"/>
        <v>0</v>
      </c>
      <c r="Q347" s="449">
        <f t="shared" si="3"/>
        <v>0</v>
      </c>
      <c r="R347" s="451" t="s">
        <v>45</v>
      </c>
      <c r="S347" s="464"/>
      <c r="T347" s="439"/>
      <c r="U347" s="16"/>
      <c r="V347" s="439"/>
      <c r="W347" s="439"/>
      <c r="X347" s="439"/>
      <c r="Y347" s="439"/>
      <c r="Z347" s="439"/>
      <c r="AA347" s="439"/>
      <c r="AB347" s="439"/>
      <c r="AC347" s="439"/>
      <c r="AD347" s="439"/>
      <c r="AE347" s="439"/>
      <c r="AF347" s="439"/>
    </row>
    <row r="348" ht="16.5" customHeight="1">
      <c r="A348" s="439"/>
      <c r="B348" s="454">
        <f t="shared" si="4"/>
        <v>1339</v>
      </c>
      <c r="C348" s="468"/>
      <c r="D348" s="442" t="str">
        <f>IF(G348="","",(VLOOKUP(G348,'2. SMDA BHN'!$B$12:$J512,2,0)))</f>
        <v/>
      </c>
      <c r="E348" s="443">
        <f>IF(G348=0,0,(VLOOKUP(G348,'2. SMDA BHN'!$B$12:$J512,3,0)))</f>
        <v>0</v>
      </c>
      <c r="F348" s="444"/>
      <c r="G348" s="467"/>
      <c r="H348" s="446">
        <f>IF(G348=0,0,(VLOOKUP(G348,'2. SMDA BHN'!$B$12:$H512,4,0)))</f>
        <v>0</v>
      </c>
      <c r="I348" s="460"/>
      <c r="J348" s="461"/>
      <c r="K348" s="448">
        <f>SUMIF('PO MTRL'!$G$9:$G512,G348,'PO MTRL'!$J$9:$J512)</f>
        <v>0</v>
      </c>
      <c r="L348" s="448">
        <f t="shared" si="1"/>
        <v>0</v>
      </c>
      <c r="M348" s="449">
        <f>SUMIF('PO MTRL'!$G$9:$G512,G348,'PO MTRL'!$L$9:$L512)</f>
        <v>0</v>
      </c>
      <c r="N348" s="450">
        <f>IF(G348=0,0,(VLOOKUP(G348,'2. SMDA BHN'!$B$12:$H512,5,0)))</f>
        <v>0</v>
      </c>
      <c r="O348" s="450">
        <f>IF(G348=0,0,(VLOOKUP(G348,'2. SMDA BHN'!$B$12:$H512,7,0)))</f>
        <v>0</v>
      </c>
      <c r="P348" s="449">
        <f t="shared" si="2"/>
        <v>0</v>
      </c>
      <c r="Q348" s="449">
        <f t="shared" si="3"/>
        <v>0</v>
      </c>
      <c r="R348" s="451" t="s">
        <v>45</v>
      </c>
      <c r="S348" s="464"/>
      <c r="T348" s="439"/>
      <c r="U348" s="16"/>
      <c r="V348" s="439"/>
      <c r="W348" s="439"/>
      <c r="X348" s="439"/>
      <c r="Y348" s="439"/>
      <c r="Z348" s="439"/>
      <c r="AA348" s="439"/>
      <c r="AB348" s="439"/>
      <c r="AC348" s="439"/>
      <c r="AD348" s="439"/>
      <c r="AE348" s="439"/>
      <c r="AF348" s="439"/>
    </row>
    <row r="349" ht="16.5" customHeight="1">
      <c r="A349" s="439"/>
      <c r="B349" s="454">
        <f t="shared" si="4"/>
        <v>1340</v>
      </c>
      <c r="C349" s="468"/>
      <c r="D349" s="442" t="str">
        <f>IF(G349="","",(VLOOKUP(G349,'2. SMDA BHN'!$B$12:$J512,2,0)))</f>
        <v/>
      </c>
      <c r="E349" s="443">
        <f>IF(G349=0,0,(VLOOKUP(G349,'2. SMDA BHN'!$B$12:$J512,3,0)))</f>
        <v>0</v>
      </c>
      <c r="F349" s="444"/>
      <c r="G349" s="467"/>
      <c r="H349" s="446">
        <f>IF(G349=0,0,(VLOOKUP(G349,'2. SMDA BHN'!$B$12:$H512,4,0)))</f>
        <v>0</v>
      </c>
      <c r="I349" s="460"/>
      <c r="J349" s="461"/>
      <c r="K349" s="448">
        <f>SUMIF('PO MTRL'!$G$9:$G512,G349,'PO MTRL'!$J$9:$J512)</f>
        <v>0</v>
      </c>
      <c r="L349" s="448">
        <f t="shared" si="1"/>
        <v>0</v>
      </c>
      <c r="M349" s="449">
        <f>SUMIF('PO MTRL'!$G$9:$G512,G349,'PO MTRL'!$L$9:$L512)</f>
        <v>0</v>
      </c>
      <c r="N349" s="450">
        <f>IF(G349=0,0,(VLOOKUP(G349,'2. SMDA BHN'!$B$12:$H512,5,0)))</f>
        <v>0</v>
      </c>
      <c r="O349" s="450">
        <f>IF(G349=0,0,(VLOOKUP(G349,'2. SMDA BHN'!$B$12:$H512,7,0)))</f>
        <v>0</v>
      </c>
      <c r="P349" s="449">
        <f t="shared" si="2"/>
        <v>0</v>
      </c>
      <c r="Q349" s="449">
        <f t="shared" si="3"/>
        <v>0</v>
      </c>
      <c r="R349" s="451" t="s">
        <v>45</v>
      </c>
      <c r="S349" s="464"/>
      <c r="T349" s="439"/>
      <c r="U349" s="16"/>
      <c r="V349" s="439"/>
      <c r="W349" s="439"/>
      <c r="X349" s="439"/>
      <c r="Y349" s="439"/>
      <c r="Z349" s="439"/>
      <c r="AA349" s="439"/>
      <c r="AB349" s="439"/>
      <c r="AC349" s="439"/>
      <c r="AD349" s="439"/>
      <c r="AE349" s="439"/>
      <c r="AF349" s="439"/>
    </row>
    <row r="350" ht="16.5" customHeight="1">
      <c r="A350" s="439"/>
      <c r="B350" s="454">
        <f t="shared" si="4"/>
        <v>1341</v>
      </c>
      <c r="C350" s="468"/>
      <c r="D350" s="442" t="str">
        <f>IF(G350="","",(VLOOKUP(G350,'2. SMDA BHN'!$B$12:$J512,2,0)))</f>
        <v/>
      </c>
      <c r="E350" s="443">
        <f>IF(G350=0,0,(VLOOKUP(G350,'2. SMDA BHN'!$B$12:$J512,3,0)))</f>
        <v>0</v>
      </c>
      <c r="F350" s="444"/>
      <c r="G350" s="467"/>
      <c r="H350" s="446">
        <f>IF(G350=0,0,(VLOOKUP(G350,'2. SMDA BHN'!$B$12:$H512,4,0)))</f>
        <v>0</v>
      </c>
      <c r="I350" s="460"/>
      <c r="J350" s="461"/>
      <c r="K350" s="448">
        <f>SUMIF('PO MTRL'!$G$9:$G512,G350,'PO MTRL'!$J$9:$J512)</f>
        <v>0</v>
      </c>
      <c r="L350" s="448">
        <f t="shared" si="1"/>
        <v>0</v>
      </c>
      <c r="M350" s="449">
        <f>SUMIF('PO MTRL'!$G$9:$G512,G350,'PO MTRL'!$L$9:$L512)</f>
        <v>0</v>
      </c>
      <c r="N350" s="450">
        <f>IF(G350=0,0,(VLOOKUP(G350,'2. SMDA BHN'!$B$12:$H512,5,0)))</f>
        <v>0</v>
      </c>
      <c r="O350" s="450">
        <f>IF(G350=0,0,(VLOOKUP(G350,'2. SMDA BHN'!$B$12:$H512,7,0)))</f>
        <v>0</v>
      </c>
      <c r="P350" s="449">
        <f t="shared" si="2"/>
        <v>0</v>
      </c>
      <c r="Q350" s="449">
        <f t="shared" si="3"/>
        <v>0</v>
      </c>
      <c r="R350" s="451" t="s">
        <v>45</v>
      </c>
      <c r="S350" s="464"/>
      <c r="T350" s="439"/>
      <c r="U350" s="16"/>
      <c r="V350" s="439"/>
      <c r="W350" s="439"/>
      <c r="X350" s="439"/>
      <c r="Y350" s="439"/>
      <c r="Z350" s="439"/>
      <c r="AA350" s="439"/>
      <c r="AB350" s="439"/>
      <c r="AC350" s="439"/>
      <c r="AD350" s="439"/>
      <c r="AE350" s="439"/>
      <c r="AF350" s="439"/>
    </row>
    <row r="351" ht="16.5" customHeight="1">
      <c r="A351" s="439"/>
      <c r="B351" s="454">
        <f t="shared" si="4"/>
        <v>1342</v>
      </c>
      <c r="C351" s="468"/>
      <c r="D351" s="442" t="str">
        <f>IF(G351="","",(VLOOKUP(G351,'2. SMDA BHN'!$B$12:$J512,2,0)))</f>
        <v/>
      </c>
      <c r="E351" s="443">
        <f>IF(G351=0,0,(VLOOKUP(G351,'2. SMDA BHN'!$B$12:$J512,3,0)))</f>
        <v>0</v>
      </c>
      <c r="F351" s="444"/>
      <c r="G351" s="467"/>
      <c r="H351" s="446">
        <f>IF(G351=0,0,(VLOOKUP(G351,'2. SMDA BHN'!$B$12:$H512,4,0)))</f>
        <v>0</v>
      </c>
      <c r="I351" s="460"/>
      <c r="J351" s="461"/>
      <c r="K351" s="448">
        <f>SUMIF('PO MTRL'!$G$9:$G512,G351,'PO MTRL'!$J$9:$J512)</f>
        <v>0</v>
      </c>
      <c r="L351" s="448">
        <f t="shared" si="1"/>
        <v>0</v>
      </c>
      <c r="M351" s="449">
        <f>SUMIF('PO MTRL'!$G$9:$G512,G351,'PO MTRL'!$L$9:$L512)</f>
        <v>0</v>
      </c>
      <c r="N351" s="450">
        <f>IF(G351=0,0,(VLOOKUP(G351,'2. SMDA BHN'!$B$12:$H512,5,0)))</f>
        <v>0</v>
      </c>
      <c r="O351" s="450">
        <f>IF(G351=0,0,(VLOOKUP(G351,'2. SMDA BHN'!$B$12:$H512,7,0)))</f>
        <v>0</v>
      </c>
      <c r="P351" s="449">
        <f t="shared" si="2"/>
        <v>0</v>
      </c>
      <c r="Q351" s="449">
        <f t="shared" si="3"/>
        <v>0</v>
      </c>
      <c r="R351" s="451" t="s">
        <v>45</v>
      </c>
      <c r="S351" s="464"/>
      <c r="T351" s="439"/>
      <c r="U351" s="16"/>
      <c r="V351" s="439"/>
      <c r="W351" s="439"/>
      <c r="X351" s="439"/>
      <c r="Y351" s="439"/>
      <c r="Z351" s="439"/>
      <c r="AA351" s="439"/>
      <c r="AB351" s="439"/>
      <c r="AC351" s="439"/>
      <c r="AD351" s="439"/>
      <c r="AE351" s="439"/>
      <c r="AF351" s="439"/>
    </row>
    <row r="352" ht="16.5" customHeight="1">
      <c r="A352" s="439"/>
      <c r="B352" s="454">
        <f t="shared" si="4"/>
        <v>1343</v>
      </c>
      <c r="C352" s="468"/>
      <c r="D352" s="442" t="str">
        <f>IF(G352="","",(VLOOKUP(G352,'2. SMDA BHN'!$B$12:$J512,2,0)))</f>
        <v/>
      </c>
      <c r="E352" s="443">
        <f>IF(G352=0,0,(VLOOKUP(G352,'2. SMDA BHN'!$B$12:$J512,3,0)))</f>
        <v>0</v>
      </c>
      <c r="F352" s="444"/>
      <c r="G352" s="467"/>
      <c r="H352" s="446">
        <f>IF(G352=0,0,(VLOOKUP(G352,'2. SMDA BHN'!$B$12:$H512,4,0)))</f>
        <v>0</v>
      </c>
      <c r="I352" s="460"/>
      <c r="J352" s="461"/>
      <c r="K352" s="448">
        <f>SUMIF('PO MTRL'!$G$9:$G512,G352,'PO MTRL'!$J$9:$J512)</f>
        <v>0</v>
      </c>
      <c r="L352" s="448">
        <f t="shared" si="1"/>
        <v>0</v>
      </c>
      <c r="M352" s="449">
        <f>SUMIF('PO MTRL'!$G$9:$G512,G352,'PO MTRL'!$L$9:$L512)</f>
        <v>0</v>
      </c>
      <c r="N352" s="450">
        <f>IF(G352=0,0,(VLOOKUP(G352,'2. SMDA BHN'!$B$12:$H512,5,0)))</f>
        <v>0</v>
      </c>
      <c r="O352" s="450">
        <f>IF(G352=0,0,(VLOOKUP(G352,'2. SMDA BHN'!$B$12:$H512,7,0)))</f>
        <v>0</v>
      </c>
      <c r="P352" s="449">
        <f t="shared" si="2"/>
        <v>0</v>
      </c>
      <c r="Q352" s="449">
        <f t="shared" si="3"/>
        <v>0</v>
      </c>
      <c r="R352" s="451" t="s">
        <v>45</v>
      </c>
      <c r="S352" s="464"/>
      <c r="T352" s="439"/>
      <c r="U352" s="16"/>
      <c r="V352" s="439"/>
      <c r="W352" s="439"/>
      <c r="X352" s="439"/>
      <c r="Y352" s="439"/>
      <c r="Z352" s="439"/>
      <c r="AA352" s="439"/>
      <c r="AB352" s="439"/>
      <c r="AC352" s="439"/>
      <c r="AD352" s="439"/>
      <c r="AE352" s="439"/>
      <c r="AF352" s="439"/>
    </row>
    <row r="353" ht="16.5" customHeight="1">
      <c r="A353" s="439"/>
      <c r="B353" s="454">
        <f t="shared" si="4"/>
        <v>1344</v>
      </c>
      <c r="C353" s="468"/>
      <c r="D353" s="442" t="str">
        <f>IF(G353="","",(VLOOKUP(G353,'2. SMDA BHN'!$B$12:$J512,2,0)))</f>
        <v/>
      </c>
      <c r="E353" s="443">
        <f>IF(G353=0,0,(VLOOKUP(G353,'2. SMDA BHN'!$B$12:$J512,3,0)))</f>
        <v>0</v>
      </c>
      <c r="F353" s="444"/>
      <c r="G353" s="467"/>
      <c r="H353" s="446">
        <f>IF(G353=0,0,(VLOOKUP(G353,'2. SMDA BHN'!$B$12:$H512,4,0)))</f>
        <v>0</v>
      </c>
      <c r="I353" s="460"/>
      <c r="J353" s="461"/>
      <c r="K353" s="448">
        <f>SUMIF('PO MTRL'!$G$9:$G512,G353,'PO MTRL'!$J$9:$J512)</f>
        <v>0</v>
      </c>
      <c r="L353" s="448">
        <f t="shared" si="1"/>
        <v>0</v>
      </c>
      <c r="M353" s="449">
        <f>SUMIF('PO MTRL'!$G$9:$G512,G353,'PO MTRL'!$L$9:$L512)</f>
        <v>0</v>
      </c>
      <c r="N353" s="450">
        <f>IF(G353=0,0,(VLOOKUP(G353,'2. SMDA BHN'!$B$12:$H512,5,0)))</f>
        <v>0</v>
      </c>
      <c r="O353" s="450">
        <f>IF(G353=0,0,(VLOOKUP(G353,'2. SMDA BHN'!$B$12:$H512,7,0)))</f>
        <v>0</v>
      </c>
      <c r="P353" s="449">
        <f t="shared" si="2"/>
        <v>0</v>
      </c>
      <c r="Q353" s="449">
        <f t="shared" si="3"/>
        <v>0</v>
      </c>
      <c r="R353" s="451" t="s">
        <v>45</v>
      </c>
      <c r="S353" s="464"/>
      <c r="T353" s="439"/>
      <c r="U353" s="16"/>
      <c r="V353" s="439"/>
      <c r="W353" s="439"/>
      <c r="X353" s="439"/>
      <c r="Y353" s="439"/>
      <c r="Z353" s="439"/>
      <c r="AA353" s="439"/>
      <c r="AB353" s="439"/>
      <c r="AC353" s="439"/>
      <c r="AD353" s="439"/>
      <c r="AE353" s="439"/>
      <c r="AF353" s="439"/>
    </row>
    <row r="354" ht="16.5" customHeight="1">
      <c r="A354" s="439"/>
      <c r="B354" s="454">
        <f t="shared" si="4"/>
        <v>1345</v>
      </c>
      <c r="C354" s="468"/>
      <c r="D354" s="442" t="str">
        <f>IF(G354="","",(VLOOKUP(G354,'2. SMDA BHN'!$B$12:$J512,2,0)))</f>
        <v/>
      </c>
      <c r="E354" s="443">
        <f>IF(G354=0,0,(VLOOKUP(G354,'2. SMDA BHN'!$B$12:$J512,3,0)))</f>
        <v>0</v>
      </c>
      <c r="F354" s="444"/>
      <c r="G354" s="467"/>
      <c r="H354" s="446">
        <f>IF(G354=0,0,(VLOOKUP(G354,'2. SMDA BHN'!$B$12:$H512,4,0)))</f>
        <v>0</v>
      </c>
      <c r="I354" s="460"/>
      <c r="J354" s="461"/>
      <c r="K354" s="448">
        <f>SUMIF('PO MTRL'!$G$9:$G512,G354,'PO MTRL'!$J$9:$J512)</f>
        <v>0</v>
      </c>
      <c r="L354" s="448">
        <f t="shared" si="1"/>
        <v>0</v>
      </c>
      <c r="M354" s="449">
        <f>SUMIF('PO MTRL'!$G$9:$G512,G354,'PO MTRL'!$L$9:$L512)</f>
        <v>0</v>
      </c>
      <c r="N354" s="450">
        <f>IF(G354=0,0,(VLOOKUP(G354,'2. SMDA BHN'!$B$12:$H512,5,0)))</f>
        <v>0</v>
      </c>
      <c r="O354" s="450">
        <f>IF(G354=0,0,(VLOOKUP(G354,'2. SMDA BHN'!$B$12:$H512,7,0)))</f>
        <v>0</v>
      </c>
      <c r="P354" s="449">
        <f t="shared" si="2"/>
        <v>0</v>
      </c>
      <c r="Q354" s="449">
        <f t="shared" si="3"/>
        <v>0</v>
      </c>
      <c r="R354" s="451" t="s">
        <v>45</v>
      </c>
      <c r="S354" s="464"/>
      <c r="T354" s="439"/>
      <c r="U354" s="16"/>
      <c r="V354" s="439"/>
      <c r="W354" s="439"/>
      <c r="X354" s="439"/>
      <c r="Y354" s="439"/>
      <c r="Z354" s="439"/>
      <c r="AA354" s="439"/>
      <c r="AB354" s="439"/>
      <c r="AC354" s="439"/>
      <c r="AD354" s="439"/>
      <c r="AE354" s="439"/>
      <c r="AF354" s="439"/>
    </row>
    <row r="355" ht="16.5" customHeight="1">
      <c r="A355" s="439"/>
      <c r="B355" s="454">
        <f t="shared" si="4"/>
        <v>1346</v>
      </c>
      <c r="C355" s="472"/>
      <c r="D355" s="442" t="str">
        <f>IF(G355="","",(VLOOKUP(G355,'2. SMDA BHN'!$B$12:$J512,2,0)))</f>
        <v/>
      </c>
      <c r="E355" s="443">
        <f>IF(G355=0,0,(VLOOKUP(G355,'2. SMDA BHN'!$B$12:$J512,3,0)))</f>
        <v>0</v>
      </c>
      <c r="F355" s="444"/>
      <c r="G355" s="467"/>
      <c r="H355" s="446">
        <f>IF(G355=0,0,(VLOOKUP(G355,'2. SMDA BHN'!$B$12:$H512,4,0)))</f>
        <v>0</v>
      </c>
      <c r="I355" s="473"/>
      <c r="J355" s="447"/>
      <c r="K355" s="448">
        <f>SUMIF('PO MTRL'!$G$9:$G512,G355,'PO MTRL'!$J$9:$J512)</f>
        <v>0</v>
      </c>
      <c r="L355" s="448">
        <f t="shared" si="1"/>
        <v>0</v>
      </c>
      <c r="M355" s="449">
        <f>SUMIF('PO MTRL'!$G$9:$G512,G355,'PO MTRL'!$L$9:$L512)</f>
        <v>0</v>
      </c>
      <c r="N355" s="450">
        <f>IF(G355=0,0,(VLOOKUP(G355,'2. SMDA BHN'!$B$12:$H512,5,0)))</f>
        <v>0</v>
      </c>
      <c r="O355" s="450">
        <f>IF(G355=0,0,(VLOOKUP(G355,'2. SMDA BHN'!$B$12:$H512,7,0)))</f>
        <v>0</v>
      </c>
      <c r="P355" s="449">
        <f t="shared" si="2"/>
        <v>0</v>
      </c>
      <c r="Q355" s="449">
        <f t="shared" si="3"/>
        <v>0</v>
      </c>
      <c r="R355" s="451" t="s">
        <v>45</v>
      </c>
      <c r="S355" s="474"/>
      <c r="T355" s="439"/>
      <c r="U355" s="16"/>
      <c r="V355" s="439"/>
      <c r="W355" s="439"/>
      <c r="X355" s="439"/>
      <c r="Y355" s="439"/>
      <c r="Z355" s="439"/>
      <c r="AA355" s="439"/>
      <c r="AB355" s="439"/>
      <c r="AC355" s="439"/>
      <c r="AD355" s="439"/>
      <c r="AE355" s="439"/>
      <c r="AF355" s="439"/>
    </row>
    <row r="356" ht="16.5" customHeight="1">
      <c r="A356" s="439"/>
      <c r="B356" s="454">
        <f t="shared" si="4"/>
        <v>1347</v>
      </c>
      <c r="C356" s="472"/>
      <c r="D356" s="442" t="str">
        <f>IF(G356="","",(VLOOKUP(G356,'2. SMDA BHN'!$B$12:$J512,2,0)))</f>
        <v/>
      </c>
      <c r="E356" s="443">
        <f>IF(G356=0,0,(VLOOKUP(G356,'2. SMDA BHN'!$B$12:$J512,3,0)))</f>
        <v>0</v>
      </c>
      <c r="F356" s="444"/>
      <c r="G356" s="467"/>
      <c r="H356" s="446">
        <f>IF(G356=0,0,(VLOOKUP(G356,'2. SMDA BHN'!$B$12:$H512,4,0)))</f>
        <v>0</v>
      </c>
      <c r="I356" s="473"/>
      <c r="J356" s="447"/>
      <c r="K356" s="448">
        <f>SUMIF('PO MTRL'!$G$9:$G512,G356,'PO MTRL'!$J$9:$J512)</f>
        <v>0</v>
      </c>
      <c r="L356" s="448">
        <f t="shared" si="1"/>
        <v>0</v>
      </c>
      <c r="M356" s="449">
        <f>SUMIF('PO MTRL'!$G$9:$G512,G356,'PO MTRL'!$L$9:$L512)</f>
        <v>0</v>
      </c>
      <c r="N356" s="450">
        <f>IF(G356=0,0,(VLOOKUP(G356,'2. SMDA BHN'!$B$12:$H512,5,0)))</f>
        <v>0</v>
      </c>
      <c r="O356" s="450">
        <f>IF(G356=0,0,(VLOOKUP(G356,'2. SMDA BHN'!$B$12:$H512,7,0)))</f>
        <v>0</v>
      </c>
      <c r="P356" s="449">
        <f t="shared" si="2"/>
        <v>0</v>
      </c>
      <c r="Q356" s="449">
        <f t="shared" si="3"/>
        <v>0</v>
      </c>
      <c r="R356" s="451" t="s">
        <v>45</v>
      </c>
      <c r="S356" s="474"/>
      <c r="T356" s="439"/>
      <c r="U356" s="16"/>
      <c r="V356" s="439"/>
      <c r="W356" s="439"/>
      <c r="X356" s="439"/>
      <c r="Y356" s="439"/>
      <c r="Z356" s="439"/>
      <c r="AA356" s="439"/>
      <c r="AB356" s="439"/>
      <c r="AC356" s="439"/>
      <c r="AD356" s="439"/>
      <c r="AE356" s="439"/>
      <c r="AF356" s="439"/>
    </row>
    <row r="357" ht="16.5" customHeight="1">
      <c r="A357" s="439"/>
      <c r="B357" s="454">
        <f t="shared" si="4"/>
        <v>1348</v>
      </c>
      <c r="C357" s="472"/>
      <c r="D357" s="442" t="str">
        <f>IF(G357="","",(VLOOKUP(G357,'2. SMDA BHN'!$B$12:$J512,2,0)))</f>
        <v/>
      </c>
      <c r="E357" s="443">
        <f>IF(G357=0,0,(VLOOKUP(G357,'2. SMDA BHN'!$B$12:$J512,3,0)))</f>
        <v>0</v>
      </c>
      <c r="F357" s="444"/>
      <c r="G357" s="467"/>
      <c r="H357" s="446">
        <f>IF(G357=0,0,(VLOOKUP(G357,'2. SMDA BHN'!$B$12:$H512,4,0)))</f>
        <v>0</v>
      </c>
      <c r="I357" s="473"/>
      <c r="J357" s="447"/>
      <c r="K357" s="448">
        <f>SUMIF('PO MTRL'!$G$9:$G512,G357,'PO MTRL'!$J$9:$J512)</f>
        <v>0</v>
      </c>
      <c r="L357" s="448">
        <f t="shared" si="1"/>
        <v>0</v>
      </c>
      <c r="M357" s="449">
        <f>SUMIF('PO MTRL'!$G$9:$G512,G357,'PO MTRL'!$L$9:$L512)</f>
        <v>0</v>
      </c>
      <c r="N357" s="450">
        <f>IF(G357=0,0,(VLOOKUP(G357,'2. SMDA BHN'!$B$12:$H512,5,0)))</f>
        <v>0</v>
      </c>
      <c r="O357" s="450">
        <f>IF(G357=0,0,(VLOOKUP(G357,'2. SMDA BHN'!$B$12:$H512,7,0)))</f>
        <v>0</v>
      </c>
      <c r="P357" s="449">
        <f t="shared" si="2"/>
        <v>0</v>
      </c>
      <c r="Q357" s="449">
        <f t="shared" si="3"/>
        <v>0</v>
      </c>
      <c r="R357" s="451" t="s">
        <v>45</v>
      </c>
      <c r="S357" s="474"/>
      <c r="T357" s="439"/>
      <c r="U357" s="16"/>
      <c r="V357" s="439"/>
      <c r="W357" s="439"/>
      <c r="X357" s="439"/>
      <c r="Y357" s="439"/>
      <c r="Z357" s="439"/>
      <c r="AA357" s="439"/>
      <c r="AB357" s="439"/>
      <c r="AC357" s="439"/>
      <c r="AD357" s="439"/>
      <c r="AE357" s="439"/>
      <c r="AF357" s="439"/>
    </row>
    <row r="358" ht="16.5" customHeight="1">
      <c r="A358" s="439"/>
      <c r="B358" s="454">
        <f t="shared" si="4"/>
        <v>1349</v>
      </c>
      <c r="C358" s="472"/>
      <c r="D358" s="442" t="str">
        <f>IF(G358="","",(VLOOKUP(G358,'2. SMDA BHN'!$B$12:$J512,2,0)))</f>
        <v/>
      </c>
      <c r="E358" s="443">
        <f>IF(G358=0,0,(VLOOKUP(G358,'2. SMDA BHN'!$B$12:$J512,3,0)))</f>
        <v>0</v>
      </c>
      <c r="F358" s="444"/>
      <c r="G358" s="467"/>
      <c r="H358" s="446">
        <f>IF(G358=0,0,(VLOOKUP(G358,'2. SMDA BHN'!$B$12:$H512,4,0)))</f>
        <v>0</v>
      </c>
      <c r="I358" s="473"/>
      <c r="J358" s="447"/>
      <c r="K358" s="448">
        <f>SUMIF('PO MTRL'!$G$9:$G512,G358,'PO MTRL'!$J$9:$J512)</f>
        <v>0</v>
      </c>
      <c r="L358" s="448">
        <f t="shared" si="1"/>
        <v>0</v>
      </c>
      <c r="M358" s="449">
        <f>SUMIF('PO MTRL'!$G$9:$G512,G358,'PO MTRL'!$L$9:$L512)</f>
        <v>0</v>
      </c>
      <c r="N358" s="450">
        <f>IF(G358=0,0,(VLOOKUP(G358,'2. SMDA BHN'!$B$12:$H512,5,0)))</f>
        <v>0</v>
      </c>
      <c r="O358" s="450">
        <f>IF(G358=0,0,(VLOOKUP(G358,'2. SMDA BHN'!$B$12:$H512,7,0)))</f>
        <v>0</v>
      </c>
      <c r="P358" s="449">
        <f t="shared" si="2"/>
        <v>0</v>
      </c>
      <c r="Q358" s="449">
        <f t="shared" si="3"/>
        <v>0</v>
      </c>
      <c r="R358" s="451" t="s">
        <v>45</v>
      </c>
      <c r="S358" s="474"/>
      <c r="T358" s="439"/>
      <c r="U358" s="16"/>
      <c r="V358" s="439"/>
      <c r="W358" s="439"/>
      <c r="X358" s="439"/>
      <c r="Y358" s="439"/>
      <c r="Z358" s="439"/>
      <c r="AA358" s="439"/>
      <c r="AB358" s="439"/>
      <c r="AC358" s="439"/>
      <c r="AD358" s="439"/>
      <c r="AE358" s="439"/>
      <c r="AF358" s="439"/>
    </row>
    <row r="359" ht="16.5" customHeight="1">
      <c r="A359" s="439"/>
      <c r="B359" s="454">
        <f t="shared" si="4"/>
        <v>1350</v>
      </c>
      <c r="C359" s="472"/>
      <c r="D359" s="442" t="str">
        <f>IF(G359="","",(VLOOKUP(G359,'2. SMDA BHN'!$B$12:$J512,2,0)))</f>
        <v/>
      </c>
      <c r="E359" s="443">
        <f>IF(G359=0,0,(VLOOKUP(G359,'2. SMDA BHN'!$B$12:$J512,3,0)))</f>
        <v>0</v>
      </c>
      <c r="F359" s="444"/>
      <c r="G359" s="467"/>
      <c r="H359" s="446">
        <f>IF(G359=0,0,(VLOOKUP(G359,'2. SMDA BHN'!$B$12:$H512,4,0)))</f>
        <v>0</v>
      </c>
      <c r="I359" s="473"/>
      <c r="J359" s="447"/>
      <c r="K359" s="448">
        <f>SUMIF('PO MTRL'!$G$9:$G512,G359,'PO MTRL'!$J$9:$J512)</f>
        <v>0</v>
      </c>
      <c r="L359" s="448">
        <f t="shared" si="1"/>
        <v>0</v>
      </c>
      <c r="M359" s="449">
        <f>SUMIF('PO MTRL'!$G$9:$G512,G359,'PO MTRL'!$L$9:$L512)</f>
        <v>0</v>
      </c>
      <c r="N359" s="450">
        <f>IF(G359=0,0,(VLOOKUP(G359,'2. SMDA BHN'!$B$12:$H512,5,0)))</f>
        <v>0</v>
      </c>
      <c r="O359" s="450">
        <f>IF(G359=0,0,(VLOOKUP(G359,'2. SMDA BHN'!$B$12:$H512,7,0)))</f>
        <v>0</v>
      </c>
      <c r="P359" s="449">
        <f t="shared" si="2"/>
        <v>0</v>
      </c>
      <c r="Q359" s="449">
        <f t="shared" si="3"/>
        <v>0</v>
      </c>
      <c r="R359" s="451" t="s">
        <v>45</v>
      </c>
      <c r="S359" s="474"/>
      <c r="T359" s="439"/>
      <c r="U359" s="16"/>
      <c r="V359" s="439"/>
      <c r="W359" s="439"/>
      <c r="X359" s="439"/>
      <c r="Y359" s="439"/>
      <c r="Z359" s="439"/>
      <c r="AA359" s="439"/>
      <c r="AB359" s="439"/>
      <c r="AC359" s="439"/>
      <c r="AD359" s="439"/>
      <c r="AE359" s="439"/>
      <c r="AF359" s="439"/>
    </row>
    <row r="360" ht="16.5" customHeight="1">
      <c r="A360" s="439"/>
      <c r="B360" s="454">
        <f t="shared" si="4"/>
        <v>1351</v>
      </c>
      <c r="C360" s="472"/>
      <c r="D360" s="442" t="str">
        <f>IF(G360="","",(VLOOKUP(G360,'2. SMDA BHN'!$B$12:$J512,2,0)))</f>
        <v/>
      </c>
      <c r="E360" s="443">
        <f>IF(G360=0,0,(VLOOKUP(G360,'2. SMDA BHN'!$B$12:$J512,3,0)))</f>
        <v>0</v>
      </c>
      <c r="F360" s="444"/>
      <c r="G360" s="467"/>
      <c r="H360" s="446">
        <f>IF(G360=0,0,(VLOOKUP(G360,'2. SMDA BHN'!$B$12:$H512,4,0)))</f>
        <v>0</v>
      </c>
      <c r="I360" s="473"/>
      <c r="J360" s="447"/>
      <c r="K360" s="448">
        <f>SUMIF('PO MTRL'!$G$9:$G512,G360,'PO MTRL'!$J$9:$J512)</f>
        <v>0</v>
      </c>
      <c r="L360" s="448">
        <f t="shared" si="1"/>
        <v>0</v>
      </c>
      <c r="M360" s="449">
        <f>SUMIF('PO MTRL'!$G$9:$G512,G360,'PO MTRL'!$L$9:$L512)</f>
        <v>0</v>
      </c>
      <c r="N360" s="450">
        <f>IF(G360=0,0,(VLOOKUP(G360,'2. SMDA BHN'!$B$12:$H512,5,0)))</f>
        <v>0</v>
      </c>
      <c r="O360" s="450">
        <f>IF(G360=0,0,(VLOOKUP(G360,'2. SMDA BHN'!$B$12:$H512,7,0)))</f>
        <v>0</v>
      </c>
      <c r="P360" s="449">
        <f t="shared" si="2"/>
        <v>0</v>
      </c>
      <c r="Q360" s="449">
        <f t="shared" si="3"/>
        <v>0</v>
      </c>
      <c r="R360" s="451" t="s">
        <v>45</v>
      </c>
      <c r="S360" s="474"/>
      <c r="T360" s="439"/>
      <c r="U360" s="16"/>
      <c r="V360" s="439"/>
      <c r="W360" s="439"/>
      <c r="X360" s="439"/>
      <c r="Y360" s="439"/>
      <c r="Z360" s="439"/>
      <c r="AA360" s="439"/>
      <c r="AB360" s="439"/>
      <c r="AC360" s="439"/>
      <c r="AD360" s="439"/>
      <c r="AE360" s="439"/>
      <c r="AF360" s="439"/>
    </row>
    <row r="361" ht="16.5" customHeight="1">
      <c r="A361" s="439"/>
      <c r="B361" s="454">
        <f t="shared" si="4"/>
        <v>1352</v>
      </c>
      <c r="C361" s="472"/>
      <c r="D361" s="442" t="str">
        <f>IF(G361="","",(VLOOKUP(G361,'2. SMDA BHN'!$B$12:$J512,2,0)))</f>
        <v/>
      </c>
      <c r="E361" s="443">
        <f>IF(G361=0,0,(VLOOKUP(G361,'2. SMDA BHN'!$B$12:$J512,3,0)))</f>
        <v>0</v>
      </c>
      <c r="F361" s="444"/>
      <c r="G361" s="467"/>
      <c r="H361" s="446">
        <f>IF(G361=0,0,(VLOOKUP(G361,'2. SMDA BHN'!$B$12:$H512,4,0)))</f>
        <v>0</v>
      </c>
      <c r="I361" s="473"/>
      <c r="J361" s="447"/>
      <c r="K361" s="448">
        <f>SUMIF('PO MTRL'!$G$9:$G512,G361,'PO MTRL'!$J$9:$J512)</f>
        <v>0</v>
      </c>
      <c r="L361" s="448">
        <f t="shared" si="1"/>
        <v>0</v>
      </c>
      <c r="M361" s="449">
        <f>SUMIF('PO MTRL'!$G$9:$G512,G361,'PO MTRL'!$L$9:$L512)</f>
        <v>0</v>
      </c>
      <c r="N361" s="450">
        <f>IF(G361=0,0,(VLOOKUP(G361,'2. SMDA BHN'!$B$12:$H512,5,0)))</f>
        <v>0</v>
      </c>
      <c r="O361" s="450">
        <f>IF(G361=0,0,(VLOOKUP(G361,'2. SMDA BHN'!$B$12:$H512,7,0)))</f>
        <v>0</v>
      </c>
      <c r="P361" s="449">
        <f t="shared" si="2"/>
        <v>0</v>
      </c>
      <c r="Q361" s="449">
        <f t="shared" si="3"/>
        <v>0</v>
      </c>
      <c r="R361" s="451" t="s">
        <v>45</v>
      </c>
      <c r="S361" s="474"/>
      <c r="T361" s="439"/>
      <c r="U361" s="16"/>
      <c r="V361" s="439"/>
      <c r="W361" s="439"/>
      <c r="X361" s="439"/>
      <c r="Y361" s="439"/>
      <c r="Z361" s="439"/>
      <c r="AA361" s="439"/>
      <c r="AB361" s="439"/>
      <c r="AC361" s="439"/>
      <c r="AD361" s="439"/>
      <c r="AE361" s="439"/>
      <c r="AF361" s="439"/>
    </row>
    <row r="362" ht="16.5" customHeight="1">
      <c r="A362" s="439"/>
      <c r="B362" s="454">
        <f t="shared" si="4"/>
        <v>1353</v>
      </c>
      <c r="C362" s="472"/>
      <c r="D362" s="442" t="str">
        <f>IF(G362="","",(VLOOKUP(G362,'2. SMDA BHN'!$B$12:$J512,2,0)))</f>
        <v/>
      </c>
      <c r="E362" s="443">
        <f>IF(G362=0,0,(VLOOKUP(G362,'2. SMDA BHN'!$B$12:$J512,3,0)))</f>
        <v>0</v>
      </c>
      <c r="F362" s="444"/>
      <c r="G362" s="467"/>
      <c r="H362" s="446">
        <f>IF(G362=0,0,(VLOOKUP(G362,'2. SMDA BHN'!$B$12:$H512,4,0)))</f>
        <v>0</v>
      </c>
      <c r="I362" s="473"/>
      <c r="J362" s="447"/>
      <c r="K362" s="448">
        <f>SUMIF('PO MTRL'!$G$9:$G512,G362,'PO MTRL'!$J$9:$J512)</f>
        <v>0</v>
      </c>
      <c r="L362" s="448">
        <f t="shared" si="1"/>
        <v>0</v>
      </c>
      <c r="M362" s="449">
        <f>SUMIF('PO MTRL'!$G$9:$G512,G362,'PO MTRL'!$L$9:$L512)</f>
        <v>0</v>
      </c>
      <c r="N362" s="450">
        <f>IF(G362=0,0,(VLOOKUP(G362,'2. SMDA BHN'!$B$12:$H512,5,0)))</f>
        <v>0</v>
      </c>
      <c r="O362" s="450">
        <f>IF(G362=0,0,(VLOOKUP(G362,'2. SMDA BHN'!$B$12:$H512,7,0)))</f>
        <v>0</v>
      </c>
      <c r="P362" s="449">
        <f t="shared" si="2"/>
        <v>0</v>
      </c>
      <c r="Q362" s="449">
        <f t="shared" si="3"/>
        <v>0</v>
      </c>
      <c r="R362" s="451" t="s">
        <v>45</v>
      </c>
      <c r="S362" s="474"/>
      <c r="T362" s="439"/>
      <c r="U362" s="16"/>
      <c r="V362" s="439"/>
      <c r="W362" s="439"/>
      <c r="X362" s="439"/>
      <c r="Y362" s="439"/>
      <c r="Z362" s="439"/>
      <c r="AA362" s="439"/>
      <c r="AB362" s="439"/>
      <c r="AC362" s="439"/>
      <c r="AD362" s="439"/>
      <c r="AE362" s="439"/>
      <c r="AF362" s="439"/>
    </row>
    <row r="363" ht="16.5" customHeight="1">
      <c r="A363" s="439"/>
      <c r="B363" s="454">
        <f t="shared" si="4"/>
        <v>1354</v>
      </c>
      <c r="C363" s="472"/>
      <c r="D363" s="442" t="str">
        <f>IF(G363="","",(VLOOKUP(G363,'2. SMDA BHN'!$B$12:$J512,2,0)))</f>
        <v/>
      </c>
      <c r="E363" s="443">
        <f>IF(G363=0,0,(VLOOKUP(G363,'2. SMDA BHN'!$B$12:$J512,3,0)))</f>
        <v>0</v>
      </c>
      <c r="F363" s="444"/>
      <c r="G363" s="467"/>
      <c r="H363" s="446">
        <f>IF(G363=0,0,(VLOOKUP(G363,'2. SMDA BHN'!$B$12:$H512,4,0)))</f>
        <v>0</v>
      </c>
      <c r="I363" s="473"/>
      <c r="J363" s="447"/>
      <c r="K363" s="448">
        <f>SUMIF('PO MTRL'!$G$9:$G512,G363,'PO MTRL'!$J$9:$J512)</f>
        <v>0</v>
      </c>
      <c r="L363" s="448">
        <f t="shared" si="1"/>
        <v>0</v>
      </c>
      <c r="M363" s="449">
        <f>SUMIF('PO MTRL'!$G$9:$G512,G363,'PO MTRL'!$L$9:$L512)</f>
        <v>0</v>
      </c>
      <c r="N363" s="450">
        <f>IF(G363=0,0,(VLOOKUP(G363,'2. SMDA BHN'!$B$12:$H512,5,0)))</f>
        <v>0</v>
      </c>
      <c r="O363" s="450">
        <f>IF(G363=0,0,(VLOOKUP(G363,'2. SMDA BHN'!$B$12:$H512,7,0)))</f>
        <v>0</v>
      </c>
      <c r="P363" s="449">
        <f t="shared" si="2"/>
        <v>0</v>
      </c>
      <c r="Q363" s="449">
        <f t="shared" si="3"/>
        <v>0</v>
      </c>
      <c r="R363" s="451" t="s">
        <v>45</v>
      </c>
      <c r="S363" s="474"/>
      <c r="T363" s="439"/>
      <c r="U363" s="16"/>
      <c r="V363" s="439"/>
      <c r="W363" s="439"/>
      <c r="X363" s="439"/>
      <c r="Y363" s="439"/>
      <c r="Z363" s="439"/>
      <c r="AA363" s="439"/>
      <c r="AB363" s="439"/>
      <c r="AC363" s="439"/>
      <c r="AD363" s="439"/>
      <c r="AE363" s="439"/>
      <c r="AF363" s="439"/>
    </row>
    <row r="364" ht="16.5" customHeight="1">
      <c r="A364" s="439"/>
      <c r="B364" s="454">
        <f t="shared" si="4"/>
        <v>1355</v>
      </c>
      <c r="C364" s="472"/>
      <c r="D364" s="442" t="str">
        <f>IF(G364="","",(VLOOKUP(G364,'2. SMDA BHN'!$B$12:$J512,2,0)))</f>
        <v/>
      </c>
      <c r="E364" s="443">
        <f>IF(G364=0,0,(VLOOKUP(G364,'2. SMDA BHN'!$B$12:$J512,3,0)))</f>
        <v>0</v>
      </c>
      <c r="F364" s="444"/>
      <c r="G364" s="467"/>
      <c r="H364" s="446">
        <f>IF(G364=0,0,(VLOOKUP(G364,'2. SMDA BHN'!$B$12:$H512,4,0)))</f>
        <v>0</v>
      </c>
      <c r="I364" s="473"/>
      <c r="J364" s="447"/>
      <c r="K364" s="448">
        <f>SUMIF('PO MTRL'!$G$9:$G512,G364,'PO MTRL'!$J$9:$J512)</f>
        <v>0</v>
      </c>
      <c r="L364" s="448">
        <f t="shared" si="1"/>
        <v>0</v>
      </c>
      <c r="M364" s="449">
        <f>SUMIF('PO MTRL'!$G$9:$G512,G364,'PO MTRL'!$L$9:$L512)</f>
        <v>0</v>
      </c>
      <c r="N364" s="450">
        <f>IF(G364=0,0,(VLOOKUP(G364,'2. SMDA BHN'!$B$12:$H512,5,0)))</f>
        <v>0</v>
      </c>
      <c r="O364" s="450">
        <f>IF(G364=0,0,(VLOOKUP(G364,'2. SMDA BHN'!$B$12:$H512,7,0)))</f>
        <v>0</v>
      </c>
      <c r="P364" s="449">
        <f t="shared" si="2"/>
        <v>0</v>
      </c>
      <c r="Q364" s="449">
        <f t="shared" si="3"/>
        <v>0</v>
      </c>
      <c r="R364" s="451" t="s">
        <v>45</v>
      </c>
      <c r="S364" s="474"/>
      <c r="T364" s="439"/>
      <c r="U364" s="16"/>
      <c r="V364" s="439"/>
      <c r="W364" s="439"/>
      <c r="X364" s="439"/>
      <c r="Y364" s="439"/>
      <c r="Z364" s="439"/>
      <c r="AA364" s="439"/>
      <c r="AB364" s="439"/>
      <c r="AC364" s="439"/>
      <c r="AD364" s="439"/>
      <c r="AE364" s="439"/>
      <c r="AF364" s="439"/>
    </row>
    <row r="365" ht="16.5" customHeight="1">
      <c r="A365" s="439"/>
      <c r="B365" s="454">
        <f t="shared" si="4"/>
        <v>1356</v>
      </c>
      <c r="C365" s="472"/>
      <c r="D365" s="442" t="str">
        <f>IF(G365="","",(VLOOKUP(G365,'2. SMDA BHN'!$B$12:$J512,2,0)))</f>
        <v/>
      </c>
      <c r="E365" s="443">
        <f>IF(G365=0,0,(VLOOKUP(G365,'2. SMDA BHN'!$B$12:$J512,3,0)))</f>
        <v>0</v>
      </c>
      <c r="F365" s="444"/>
      <c r="G365" s="467"/>
      <c r="H365" s="446">
        <f>IF(G365=0,0,(VLOOKUP(G365,'2. SMDA BHN'!$B$12:$H512,4,0)))</f>
        <v>0</v>
      </c>
      <c r="I365" s="473"/>
      <c r="J365" s="447"/>
      <c r="K365" s="448">
        <f>SUMIF('PO MTRL'!$G$9:$G512,G365,'PO MTRL'!$J$9:$J512)</f>
        <v>0</v>
      </c>
      <c r="L365" s="448">
        <f t="shared" si="1"/>
        <v>0</v>
      </c>
      <c r="M365" s="449">
        <f>SUMIF('PO MTRL'!$G$9:$G512,G365,'PO MTRL'!$L$9:$L512)</f>
        <v>0</v>
      </c>
      <c r="N365" s="450">
        <f>IF(G365=0,0,(VLOOKUP(G365,'2. SMDA BHN'!$B$12:$H512,5,0)))</f>
        <v>0</v>
      </c>
      <c r="O365" s="450">
        <f>IF(G365=0,0,(VLOOKUP(G365,'2. SMDA BHN'!$B$12:$H512,7,0)))</f>
        <v>0</v>
      </c>
      <c r="P365" s="449">
        <f t="shared" si="2"/>
        <v>0</v>
      </c>
      <c r="Q365" s="449">
        <f t="shared" si="3"/>
        <v>0</v>
      </c>
      <c r="R365" s="451" t="s">
        <v>45</v>
      </c>
      <c r="S365" s="474"/>
      <c r="T365" s="439"/>
      <c r="U365" s="16"/>
      <c r="V365" s="439"/>
      <c r="W365" s="439"/>
      <c r="X365" s="439"/>
      <c r="Y365" s="439"/>
      <c r="Z365" s="439"/>
      <c r="AA365" s="439"/>
      <c r="AB365" s="439"/>
      <c r="AC365" s="439"/>
      <c r="AD365" s="439"/>
      <c r="AE365" s="439"/>
      <c r="AF365" s="439"/>
    </row>
    <row r="366" ht="16.5" customHeight="1">
      <c r="A366" s="439"/>
      <c r="B366" s="454">
        <f t="shared" si="4"/>
        <v>1357</v>
      </c>
      <c r="C366" s="472"/>
      <c r="D366" s="442" t="str">
        <f>IF(G366="","",(VLOOKUP(G366,'2. SMDA BHN'!$B$12:$J512,2,0)))</f>
        <v/>
      </c>
      <c r="E366" s="443">
        <f>IF(G366=0,0,(VLOOKUP(G366,'2. SMDA BHN'!$B$12:$J512,3,0)))</f>
        <v>0</v>
      </c>
      <c r="F366" s="444"/>
      <c r="G366" s="467"/>
      <c r="H366" s="446">
        <f>IF(G366=0,0,(VLOOKUP(G366,'2. SMDA BHN'!$B$12:$H512,4,0)))</f>
        <v>0</v>
      </c>
      <c r="I366" s="473"/>
      <c r="J366" s="447"/>
      <c r="K366" s="448">
        <f>SUMIF('PO MTRL'!$G$9:$G512,G366,'PO MTRL'!$J$9:$J512)</f>
        <v>0</v>
      </c>
      <c r="L366" s="448">
        <f t="shared" si="1"/>
        <v>0</v>
      </c>
      <c r="M366" s="449">
        <f>SUMIF('PO MTRL'!$G$9:$G512,G366,'PO MTRL'!$L$9:$L512)</f>
        <v>0</v>
      </c>
      <c r="N366" s="450">
        <f>IF(G366=0,0,(VLOOKUP(G366,'2. SMDA BHN'!$B$12:$H512,5,0)))</f>
        <v>0</v>
      </c>
      <c r="O366" s="450">
        <f>IF(G366=0,0,(VLOOKUP(G366,'2. SMDA BHN'!$B$12:$H512,7,0)))</f>
        <v>0</v>
      </c>
      <c r="P366" s="449">
        <f t="shared" si="2"/>
        <v>0</v>
      </c>
      <c r="Q366" s="449">
        <f t="shared" si="3"/>
        <v>0</v>
      </c>
      <c r="R366" s="451" t="s">
        <v>45</v>
      </c>
      <c r="S366" s="474"/>
      <c r="T366" s="439"/>
      <c r="U366" s="16"/>
      <c r="V366" s="439"/>
      <c r="W366" s="439"/>
      <c r="X366" s="439"/>
      <c r="Y366" s="439"/>
      <c r="Z366" s="439"/>
      <c r="AA366" s="439"/>
      <c r="AB366" s="439"/>
      <c r="AC366" s="439"/>
      <c r="AD366" s="439"/>
      <c r="AE366" s="439"/>
      <c r="AF366" s="439"/>
    </row>
    <row r="367" ht="16.5" customHeight="1">
      <c r="A367" s="439"/>
      <c r="B367" s="454">
        <f t="shared" si="4"/>
        <v>1358</v>
      </c>
      <c r="C367" s="472"/>
      <c r="D367" s="442" t="str">
        <f>IF(G367="","",(VLOOKUP(G367,'2. SMDA BHN'!$B$12:$J512,2,0)))</f>
        <v/>
      </c>
      <c r="E367" s="443">
        <f>IF(G367=0,0,(VLOOKUP(G367,'2. SMDA BHN'!$B$12:$J512,3,0)))</f>
        <v>0</v>
      </c>
      <c r="F367" s="444"/>
      <c r="G367" s="467"/>
      <c r="H367" s="446">
        <f>IF(G367=0,0,(VLOOKUP(G367,'2. SMDA BHN'!$B$12:$H512,4,0)))</f>
        <v>0</v>
      </c>
      <c r="I367" s="473"/>
      <c r="J367" s="447"/>
      <c r="K367" s="448">
        <f>SUMIF('PO MTRL'!$G$9:$G512,G367,'PO MTRL'!$J$9:$J512)</f>
        <v>0</v>
      </c>
      <c r="L367" s="448">
        <f t="shared" si="1"/>
        <v>0</v>
      </c>
      <c r="M367" s="449">
        <f>SUMIF('PO MTRL'!$G$9:$G512,G367,'PO MTRL'!$L$9:$L512)</f>
        <v>0</v>
      </c>
      <c r="N367" s="450">
        <f>IF(G367=0,0,(VLOOKUP(G367,'2. SMDA BHN'!$B$12:$H512,5,0)))</f>
        <v>0</v>
      </c>
      <c r="O367" s="450">
        <f>IF(G367=0,0,(VLOOKUP(G367,'2. SMDA BHN'!$B$12:$H512,7,0)))</f>
        <v>0</v>
      </c>
      <c r="P367" s="449">
        <f t="shared" si="2"/>
        <v>0</v>
      </c>
      <c r="Q367" s="449">
        <f t="shared" si="3"/>
        <v>0</v>
      </c>
      <c r="R367" s="451" t="s">
        <v>45</v>
      </c>
      <c r="S367" s="474"/>
      <c r="T367" s="439"/>
      <c r="U367" s="16"/>
      <c r="V367" s="439"/>
      <c r="W367" s="439"/>
      <c r="X367" s="439"/>
      <c r="Y367" s="439"/>
      <c r="Z367" s="439"/>
      <c r="AA367" s="439"/>
      <c r="AB367" s="439"/>
      <c r="AC367" s="439"/>
      <c r="AD367" s="439"/>
      <c r="AE367" s="439"/>
      <c r="AF367" s="439"/>
    </row>
    <row r="368" ht="16.5" customHeight="1">
      <c r="A368" s="439"/>
      <c r="B368" s="454">
        <f t="shared" si="4"/>
        <v>1359</v>
      </c>
      <c r="C368" s="472"/>
      <c r="D368" s="442" t="str">
        <f>IF(G368="","",(VLOOKUP(G368,'2. SMDA BHN'!$B$12:$J512,2,0)))</f>
        <v/>
      </c>
      <c r="E368" s="443">
        <f>IF(G368=0,0,(VLOOKUP(G368,'2. SMDA BHN'!$B$12:$J512,3,0)))</f>
        <v>0</v>
      </c>
      <c r="F368" s="444"/>
      <c r="G368" s="467"/>
      <c r="H368" s="446">
        <f>IF(G368=0,0,(VLOOKUP(G368,'2. SMDA BHN'!$B$12:$H512,4,0)))</f>
        <v>0</v>
      </c>
      <c r="I368" s="473"/>
      <c r="J368" s="447"/>
      <c r="K368" s="448">
        <f>SUMIF('PO MTRL'!$G$9:$G512,G368,'PO MTRL'!$J$9:$J512)</f>
        <v>0</v>
      </c>
      <c r="L368" s="448">
        <f t="shared" si="1"/>
        <v>0</v>
      </c>
      <c r="M368" s="449">
        <f>SUMIF('PO MTRL'!$G$9:$G512,G368,'PO MTRL'!$L$9:$L512)</f>
        <v>0</v>
      </c>
      <c r="N368" s="450">
        <f>IF(G368=0,0,(VLOOKUP(G368,'2. SMDA BHN'!$B$12:$H512,5,0)))</f>
        <v>0</v>
      </c>
      <c r="O368" s="450">
        <f>IF(G368=0,0,(VLOOKUP(G368,'2. SMDA BHN'!$B$12:$H512,7,0)))</f>
        <v>0</v>
      </c>
      <c r="P368" s="449">
        <f t="shared" si="2"/>
        <v>0</v>
      </c>
      <c r="Q368" s="449">
        <f t="shared" si="3"/>
        <v>0</v>
      </c>
      <c r="R368" s="451" t="s">
        <v>45</v>
      </c>
      <c r="S368" s="474"/>
      <c r="T368" s="439"/>
      <c r="U368" s="16"/>
      <c r="V368" s="439"/>
      <c r="W368" s="439"/>
      <c r="X368" s="439"/>
      <c r="Y368" s="439"/>
      <c r="Z368" s="439"/>
      <c r="AA368" s="439"/>
      <c r="AB368" s="439"/>
      <c r="AC368" s="439"/>
      <c r="AD368" s="439"/>
      <c r="AE368" s="439"/>
      <c r="AF368" s="439"/>
    </row>
    <row r="369" ht="16.5" customHeight="1">
      <c r="A369" s="439"/>
      <c r="B369" s="454">
        <f t="shared" si="4"/>
        <v>1360</v>
      </c>
      <c r="C369" s="472"/>
      <c r="D369" s="442" t="str">
        <f>IF(G369="","",(VLOOKUP(G369,'2. SMDA BHN'!$B$12:$J512,2,0)))</f>
        <v/>
      </c>
      <c r="E369" s="443">
        <f>IF(G369=0,0,(VLOOKUP(G369,'2. SMDA BHN'!$B$12:$J512,3,0)))</f>
        <v>0</v>
      </c>
      <c r="F369" s="444"/>
      <c r="G369" s="467"/>
      <c r="H369" s="446">
        <f>IF(G369=0,0,(VLOOKUP(G369,'2. SMDA BHN'!$B$12:$H512,4,0)))</f>
        <v>0</v>
      </c>
      <c r="I369" s="473"/>
      <c r="J369" s="447"/>
      <c r="K369" s="448">
        <f>SUMIF('PO MTRL'!$G$9:$G512,G369,'PO MTRL'!$J$9:$J512)</f>
        <v>0</v>
      </c>
      <c r="L369" s="448">
        <f t="shared" si="1"/>
        <v>0</v>
      </c>
      <c r="M369" s="449">
        <f>SUMIF('PO MTRL'!$G$9:$G512,G369,'PO MTRL'!$L$9:$L512)</f>
        <v>0</v>
      </c>
      <c r="N369" s="450">
        <f>IF(G369=0,0,(VLOOKUP(G369,'2. SMDA BHN'!$B$12:$H512,5,0)))</f>
        <v>0</v>
      </c>
      <c r="O369" s="450">
        <f>IF(G369=0,0,(VLOOKUP(G369,'2. SMDA BHN'!$B$12:$H512,7,0)))</f>
        <v>0</v>
      </c>
      <c r="P369" s="449">
        <f t="shared" si="2"/>
        <v>0</v>
      </c>
      <c r="Q369" s="449">
        <f t="shared" si="3"/>
        <v>0</v>
      </c>
      <c r="R369" s="451" t="s">
        <v>45</v>
      </c>
      <c r="S369" s="474"/>
      <c r="T369" s="439"/>
      <c r="U369" s="16"/>
      <c r="V369" s="439"/>
      <c r="W369" s="439"/>
      <c r="X369" s="439"/>
      <c r="Y369" s="439"/>
      <c r="Z369" s="439"/>
      <c r="AA369" s="439"/>
      <c r="AB369" s="439"/>
      <c r="AC369" s="439"/>
      <c r="AD369" s="439"/>
      <c r="AE369" s="439"/>
      <c r="AF369" s="439"/>
    </row>
    <row r="370" ht="16.5" customHeight="1">
      <c r="A370" s="439"/>
      <c r="B370" s="454">
        <f t="shared" si="4"/>
        <v>1361</v>
      </c>
      <c r="C370" s="472"/>
      <c r="D370" s="442" t="str">
        <f>IF(G370="","",(VLOOKUP(G370,'2. SMDA BHN'!$B$12:$J512,2,0)))</f>
        <v/>
      </c>
      <c r="E370" s="443">
        <f>IF(G370=0,0,(VLOOKUP(G370,'2. SMDA BHN'!$B$12:$J512,3,0)))</f>
        <v>0</v>
      </c>
      <c r="F370" s="444"/>
      <c r="G370" s="467"/>
      <c r="H370" s="446">
        <f>IF(G370=0,0,(VLOOKUP(G370,'2. SMDA BHN'!$B$12:$H512,4,0)))</f>
        <v>0</v>
      </c>
      <c r="I370" s="473"/>
      <c r="J370" s="447"/>
      <c r="K370" s="448">
        <f>SUMIF('PO MTRL'!$G$9:$G512,G370,'PO MTRL'!$J$9:$J512)</f>
        <v>0</v>
      </c>
      <c r="L370" s="448">
        <f t="shared" si="1"/>
        <v>0</v>
      </c>
      <c r="M370" s="449">
        <f>SUMIF('PO MTRL'!$G$9:$G512,G370,'PO MTRL'!$L$9:$L512)</f>
        <v>0</v>
      </c>
      <c r="N370" s="450">
        <f>IF(G370=0,0,(VLOOKUP(G370,'2. SMDA BHN'!$B$12:$H512,5,0)))</f>
        <v>0</v>
      </c>
      <c r="O370" s="450">
        <f>IF(G370=0,0,(VLOOKUP(G370,'2. SMDA BHN'!$B$12:$H512,7,0)))</f>
        <v>0</v>
      </c>
      <c r="P370" s="449">
        <f t="shared" si="2"/>
        <v>0</v>
      </c>
      <c r="Q370" s="449">
        <f t="shared" si="3"/>
        <v>0</v>
      </c>
      <c r="R370" s="451" t="s">
        <v>45</v>
      </c>
      <c r="S370" s="474"/>
      <c r="T370" s="439"/>
      <c r="U370" s="16"/>
      <c r="V370" s="439"/>
      <c r="W370" s="439"/>
      <c r="X370" s="439"/>
      <c r="Y370" s="439"/>
      <c r="Z370" s="439"/>
      <c r="AA370" s="439"/>
      <c r="AB370" s="439"/>
      <c r="AC370" s="439"/>
      <c r="AD370" s="439"/>
      <c r="AE370" s="439"/>
      <c r="AF370" s="439"/>
    </row>
    <row r="371" ht="16.5" customHeight="1">
      <c r="A371" s="439"/>
      <c r="B371" s="454">
        <f t="shared" si="4"/>
        <v>1362</v>
      </c>
      <c r="C371" s="472"/>
      <c r="D371" s="442" t="str">
        <f>IF(G371="","",(VLOOKUP(G371,'2. SMDA BHN'!$B$12:$J512,2,0)))</f>
        <v/>
      </c>
      <c r="E371" s="443">
        <f>IF(G371=0,0,(VLOOKUP(G371,'2. SMDA BHN'!$B$12:$J512,3,0)))</f>
        <v>0</v>
      </c>
      <c r="F371" s="444"/>
      <c r="G371" s="467"/>
      <c r="H371" s="446">
        <f>IF(G371=0,0,(VLOOKUP(G371,'2. SMDA BHN'!$B$12:$H512,4,0)))</f>
        <v>0</v>
      </c>
      <c r="I371" s="473"/>
      <c r="J371" s="447"/>
      <c r="K371" s="448">
        <f>SUMIF('PO MTRL'!$G$9:$G512,G371,'PO MTRL'!$J$9:$J512)</f>
        <v>0</v>
      </c>
      <c r="L371" s="448">
        <f t="shared" si="1"/>
        <v>0</v>
      </c>
      <c r="M371" s="449">
        <f>SUMIF('PO MTRL'!$G$9:$G512,G371,'PO MTRL'!$L$9:$L512)</f>
        <v>0</v>
      </c>
      <c r="N371" s="450">
        <f>IF(G371=0,0,(VLOOKUP(G371,'2. SMDA BHN'!$B$12:$H512,5,0)))</f>
        <v>0</v>
      </c>
      <c r="O371" s="450">
        <f>IF(G371=0,0,(VLOOKUP(G371,'2. SMDA BHN'!$B$12:$H512,7,0)))</f>
        <v>0</v>
      </c>
      <c r="P371" s="449">
        <f t="shared" si="2"/>
        <v>0</v>
      </c>
      <c r="Q371" s="449">
        <f t="shared" si="3"/>
        <v>0</v>
      </c>
      <c r="R371" s="451" t="s">
        <v>45</v>
      </c>
      <c r="S371" s="474"/>
      <c r="T371" s="439"/>
      <c r="U371" s="16"/>
      <c r="V371" s="439"/>
      <c r="W371" s="439"/>
      <c r="X371" s="439"/>
      <c r="Y371" s="439"/>
      <c r="Z371" s="439"/>
      <c r="AA371" s="439"/>
      <c r="AB371" s="439"/>
      <c r="AC371" s="439"/>
      <c r="AD371" s="439"/>
      <c r="AE371" s="439"/>
      <c r="AF371" s="439"/>
    </row>
    <row r="372" ht="16.5" customHeight="1">
      <c r="A372" s="439"/>
      <c r="B372" s="454">
        <f t="shared" si="4"/>
        <v>1363</v>
      </c>
      <c r="C372" s="472"/>
      <c r="D372" s="442" t="str">
        <f>IF(G372="","",(VLOOKUP(G372,'2. SMDA BHN'!$B$12:$J512,2,0)))</f>
        <v/>
      </c>
      <c r="E372" s="443">
        <f>IF(G372=0,0,(VLOOKUP(G372,'2. SMDA BHN'!$B$12:$J512,3,0)))</f>
        <v>0</v>
      </c>
      <c r="F372" s="444"/>
      <c r="G372" s="467"/>
      <c r="H372" s="446">
        <f>IF(G372=0,0,(VLOOKUP(G372,'2. SMDA BHN'!$B$12:$H512,4,0)))</f>
        <v>0</v>
      </c>
      <c r="I372" s="473"/>
      <c r="J372" s="447"/>
      <c r="K372" s="448">
        <f>SUMIF('PO MTRL'!$G$9:$G512,G372,'PO MTRL'!$J$9:$J512)</f>
        <v>0</v>
      </c>
      <c r="L372" s="448">
        <f t="shared" si="1"/>
        <v>0</v>
      </c>
      <c r="M372" s="449">
        <f>SUMIF('PO MTRL'!$G$9:$G512,G372,'PO MTRL'!$L$9:$L512)</f>
        <v>0</v>
      </c>
      <c r="N372" s="450">
        <f>IF(G372=0,0,(VLOOKUP(G372,'2. SMDA BHN'!$B$12:$H512,5,0)))</f>
        <v>0</v>
      </c>
      <c r="O372" s="450">
        <f>IF(G372=0,0,(VLOOKUP(G372,'2. SMDA BHN'!$B$12:$H512,7,0)))</f>
        <v>0</v>
      </c>
      <c r="P372" s="449">
        <f t="shared" si="2"/>
        <v>0</v>
      </c>
      <c r="Q372" s="449">
        <f t="shared" si="3"/>
        <v>0</v>
      </c>
      <c r="R372" s="451" t="s">
        <v>45</v>
      </c>
      <c r="S372" s="474"/>
      <c r="T372" s="439"/>
      <c r="U372" s="16"/>
      <c r="V372" s="439"/>
      <c r="W372" s="439"/>
      <c r="X372" s="439"/>
      <c r="Y372" s="439"/>
      <c r="Z372" s="439"/>
      <c r="AA372" s="439"/>
      <c r="AB372" s="439"/>
      <c r="AC372" s="439"/>
      <c r="AD372" s="439"/>
      <c r="AE372" s="439"/>
      <c r="AF372" s="439"/>
    </row>
    <row r="373" ht="16.5" customHeight="1">
      <c r="A373" s="439"/>
      <c r="B373" s="454">
        <f t="shared" si="4"/>
        <v>1364</v>
      </c>
      <c r="C373" s="472"/>
      <c r="D373" s="442" t="str">
        <f>IF(G373="","",(VLOOKUP(G373,'2. SMDA BHN'!$B$12:$J512,2,0)))</f>
        <v/>
      </c>
      <c r="E373" s="443">
        <f>IF(G373=0,0,(VLOOKUP(G373,'2. SMDA BHN'!$B$12:$J512,3,0)))</f>
        <v>0</v>
      </c>
      <c r="F373" s="444"/>
      <c r="G373" s="467"/>
      <c r="H373" s="446">
        <f>IF(G373=0,0,(VLOOKUP(G373,'2. SMDA BHN'!$B$12:$H512,4,0)))</f>
        <v>0</v>
      </c>
      <c r="I373" s="473"/>
      <c r="J373" s="447"/>
      <c r="K373" s="448">
        <f>SUMIF('PO MTRL'!$G$9:$G512,G373,'PO MTRL'!$J$9:$J512)</f>
        <v>0</v>
      </c>
      <c r="L373" s="448">
        <f t="shared" si="1"/>
        <v>0</v>
      </c>
      <c r="M373" s="449">
        <f>SUMIF('PO MTRL'!$G$9:$G512,G373,'PO MTRL'!$L$9:$L512)</f>
        <v>0</v>
      </c>
      <c r="N373" s="450">
        <f>IF(G373=0,0,(VLOOKUP(G373,'2. SMDA BHN'!$B$12:$H512,5,0)))</f>
        <v>0</v>
      </c>
      <c r="O373" s="450">
        <f>IF(G373=0,0,(VLOOKUP(G373,'2. SMDA BHN'!$B$12:$H512,7,0)))</f>
        <v>0</v>
      </c>
      <c r="P373" s="449">
        <f t="shared" si="2"/>
        <v>0</v>
      </c>
      <c r="Q373" s="449">
        <f t="shared" si="3"/>
        <v>0</v>
      </c>
      <c r="R373" s="451" t="s">
        <v>45</v>
      </c>
      <c r="S373" s="474"/>
      <c r="T373" s="439"/>
      <c r="U373" s="16"/>
      <c r="V373" s="439"/>
      <c r="W373" s="439"/>
      <c r="X373" s="439"/>
      <c r="Y373" s="439"/>
      <c r="Z373" s="439"/>
      <c r="AA373" s="439"/>
      <c r="AB373" s="439"/>
      <c r="AC373" s="439"/>
      <c r="AD373" s="439"/>
      <c r="AE373" s="439"/>
      <c r="AF373" s="439"/>
    </row>
    <row r="374" ht="16.5" customHeight="1">
      <c r="A374" s="439"/>
      <c r="B374" s="454">
        <f t="shared" si="4"/>
        <v>1365</v>
      </c>
      <c r="C374" s="472"/>
      <c r="D374" s="442" t="str">
        <f>IF(G374="","",(VLOOKUP(G374,'2. SMDA BHN'!$B$12:$J512,2,0)))</f>
        <v/>
      </c>
      <c r="E374" s="443">
        <f>IF(G374=0,0,(VLOOKUP(G374,'2. SMDA BHN'!$B$12:$J512,3,0)))</f>
        <v>0</v>
      </c>
      <c r="F374" s="444"/>
      <c r="G374" s="467"/>
      <c r="H374" s="446">
        <f>IF(G374=0,0,(VLOOKUP(G374,'2. SMDA BHN'!$B$12:$H512,4,0)))</f>
        <v>0</v>
      </c>
      <c r="I374" s="473"/>
      <c r="J374" s="447"/>
      <c r="K374" s="448">
        <f>SUMIF('PO MTRL'!$G$9:$G512,G374,'PO MTRL'!$J$9:$J512)</f>
        <v>0</v>
      </c>
      <c r="L374" s="448">
        <f t="shared" si="1"/>
        <v>0</v>
      </c>
      <c r="M374" s="449">
        <f>SUMIF('PO MTRL'!$G$9:$G512,G374,'PO MTRL'!$L$9:$L512)</f>
        <v>0</v>
      </c>
      <c r="N374" s="450">
        <f>IF(G374=0,0,(VLOOKUP(G374,'2. SMDA BHN'!$B$12:$H512,5,0)))</f>
        <v>0</v>
      </c>
      <c r="O374" s="450">
        <f>IF(G374=0,0,(VLOOKUP(G374,'2. SMDA BHN'!$B$12:$H512,7,0)))</f>
        <v>0</v>
      </c>
      <c r="P374" s="449">
        <f t="shared" si="2"/>
        <v>0</v>
      </c>
      <c r="Q374" s="449">
        <f t="shared" si="3"/>
        <v>0</v>
      </c>
      <c r="R374" s="451" t="s">
        <v>45</v>
      </c>
      <c r="S374" s="474"/>
      <c r="T374" s="439"/>
      <c r="U374" s="16"/>
      <c r="V374" s="439"/>
      <c r="W374" s="439"/>
      <c r="X374" s="439"/>
      <c r="Y374" s="439"/>
      <c r="Z374" s="439"/>
      <c r="AA374" s="439"/>
      <c r="AB374" s="439"/>
      <c r="AC374" s="439"/>
      <c r="AD374" s="439"/>
      <c r="AE374" s="439"/>
      <c r="AF374" s="439"/>
    </row>
    <row r="375" ht="16.5" customHeight="1">
      <c r="A375" s="439"/>
      <c r="B375" s="454">
        <f t="shared" si="4"/>
        <v>1366</v>
      </c>
      <c r="C375" s="472"/>
      <c r="D375" s="442" t="str">
        <f>IF(G375="","",(VLOOKUP(G375,'2. SMDA BHN'!$B$12:$J512,2,0)))</f>
        <v/>
      </c>
      <c r="E375" s="443">
        <f>IF(G375=0,0,(VLOOKUP(G375,'2. SMDA BHN'!$B$12:$J512,3,0)))</f>
        <v>0</v>
      </c>
      <c r="F375" s="444"/>
      <c r="G375" s="467"/>
      <c r="H375" s="446">
        <f>IF(G375=0,0,(VLOOKUP(G375,'2. SMDA BHN'!$B$12:$H512,4,0)))</f>
        <v>0</v>
      </c>
      <c r="I375" s="473"/>
      <c r="J375" s="447"/>
      <c r="K375" s="448">
        <f>SUMIF('PO MTRL'!$G$9:$G512,G375,'PO MTRL'!$J$9:$J512)</f>
        <v>0</v>
      </c>
      <c r="L375" s="448">
        <f t="shared" si="1"/>
        <v>0</v>
      </c>
      <c r="M375" s="449">
        <f>SUMIF('PO MTRL'!$G$9:$G512,G375,'PO MTRL'!$L$9:$L512)</f>
        <v>0</v>
      </c>
      <c r="N375" s="450">
        <f>IF(G375=0,0,(VLOOKUP(G375,'2. SMDA BHN'!$B$12:$H512,5,0)))</f>
        <v>0</v>
      </c>
      <c r="O375" s="450">
        <f>IF(G375=0,0,(VLOOKUP(G375,'2. SMDA BHN'!$B$12:$H512,7,0)))</f>
        <v>0</v>
      </c>
      <c r="P375" s="449">
        <f t="shared" si="2"/>
        <v>0</v>
      </c>
      <c r="Q375" s="449">
        <f t="shared" si="3"/>
        <v>0</v>
      </c>
      <c r="R375" s="451" t="s">
        <v>45</v>
      </c>
      <c r="S375" s="474"/>
      <c r="T375" s="439"/>
      <c r="U375" s="16"/>
      <c r="V375" s="439"/>
      <c r="W375" s="439"/>
      <c r="X375" s="439"/>
      <c r="Y375" s="439"/>
      <c r="Z375" s="439"/>
      <c r="AA375" s="439"/>
      <c r="AB375" s="439"/>
      <c r="AC375" s="439"/>
      <c r="AD375" s="439"/>
      <c r="AE375" s="439"/>
      <c r="AF375" s="439"/>
    </row>
    <row r="376" ht="16.5" customHeight="1">
      <c r="A376" s="439"/>
      <c r="B376" s="454">
        <f t="shared" si="4"/>
        <v>1367</v>
      </c>
      <c r="C376" s="472"/>
      <c r="D376" s="442" t="str">
        <f>IF(G376="","",(VLOOKUP(G376,'2. SMDA BHN'!$B$12:$J512,2,0)))</f>
        <v/>
      </c>
      <c r="E376" s="443">
        <f>IF(G376=0,0,(VLOOKUP(G376,'2. SMDA BHN'!$B$12:$J512,3,0)))</f>
        <v>0</v>
      </c>
      <c r="F376" s="444"/>
      <c r="G376" s="467"/>
      <c r="H376" s="446">
        <f>IF(G376=0,0,(VLOOKUP(G376,'2. SMDA BHN'!$B$12:$H512,4,0)))</f>
        <v>0</v>
      </c>
      <c r="I376" s="473"/>
      <c r="J376" s="447"/>
      <c r="K376" s="448">
        <f>SUMIF('PO MTRL'!$G$9:$G512,G376,'PO MTRL'!$J$9:$J512)</f>
        <v>0</v>
      </c>
      <c r="L376" s="448">
        <f t="shared" si="1"/>
        <v>0</v>
      </c>
      <c r="M376" s="449">
        <f>SUMIF('PO MTRL'!$G$9:$G512,G376,'PO MTRL'!$L$9:$L512)</f>
        <v>0</v>
      </c>
      <c r="N376" s="450">
        <f>IF(G376=0,0,(VLOOKUP(G376,'2. SMDA BHN'!$B$12:$H512,5,0)))</f>
        <v>0</v>
      </c>
      <c r="O376" s="450">
        <f>IF(G376=0,0,(VLOOKUP(G376,'2. SMDA BHN'!$B$12:$H512,7,0)))</f>
        <v>0</v>
      </c>
      <c r="P376" s="449">
        <f t="shared" si="2"/>
        <v>0</v>
      </c>
      <c r="Q376" s="449">
        <f t="shared" si="3"/>
        <v>0</v>
      </c>
      <c r="R376" s="451" t="s">
        <v>45</v>
      </c>
      <c r="S376" s="474"/>
      <c r="T376" s="439"/>
      <c r="U376" s="16"/>
      <c r="V376" s="439"/>
      <c r="W376" s="439"/>
      <c r="X376" s="439"/>
      <c r="Y376" s="439"/>
      <c r="Z376" s="439"/>
      <c r="AA376" s="439"/>
      <c r="AB376" s="439"/>
      <c r="AC376" s="439"/>
      <c r="AD376" s="439"/>
      <c r="AE376" s="439"/>
      <c r="AF376" s="439"/>
    </row>
    <row r="377" ht="16.5" customHeight="1">
      <c r="A377" s="439"/>
      <c r="B377" s="454">
        <f t="shared" si="4"/>
        <v>1368</v>
      </c>
      <c r="C377" s="472"/>
      <c r="D377" s="442" t="str">
        <f>IF(G377="","",(VLOOKUP(G377,'2. SMDA BHN'!$B$12:$J512,2,0)))</f>
        <v/>
      </c>
      <c r="E377" s="443">
        <f>IF(G377=0,0,(VLOOKUP(G377,'2. SMDA BHN'!$B$12:$J512,3,0)))</f>
        <v>0</v>
      </c>
      <c r="F377" s="444"/>
      <c r="G377" s="467"/>
      <c r="H377" s="446">
        <f>IF(G377=0,0,(VLOOKUP(G377,'2. SMDA BHN'!$B$12:$H512,4,0)))</f>
        <v>0</v>
      </c>
      <c r="I377" s="473"/>
      <c r="J377" s="447"/>
      <c r="K377" s="448">
        <f>SUMIF('PO MTRL'!$G$9:$G512,G377,'PO MTRL'!$J$9:$J512)</f>
        <v>0</v>
      </c>
      <c r="L377" s="448">
        <f t="shared" si="1"/>
        <v>0</v>
      </c>
      <c r="M377" s="449">
        <f>SUMIF('PO MTRL'!$G$9:$G512,G377,'PO MTRL'!$L$9:$L512)</f>
        <v>0</v>
      </c>
      <c r="N377" s="450">
        <f>IF(G377=0,0,(VLOOKUP(G377,'2. SMDA BHN'!$B$12:$H512,5,0)))</f>
        <v>0</v>
      </c>
      <c r="O377" s="450">
        <f>IF(G377=0,0,(VLOOKUP(G377,'2. SMDA BHN'!$B$12:$H512,7,0)))</f>
        <v>0</v>
      </c>
      <c r="P377" s="449">
        <f t="shared" si="2"/>
        <v>0</v>
      </c>
      <c r="Q377" s="449">
        <f t="shared" si="3"/>
        <v>0</v>
      </c>
      <c r="R377" s="451" t="s">
        <v>45</v>
      </c>
      <c r="S377" s="474"/>
      <c r="T377" s="439"/>
      <c r="U377" s="16"/>
      <c r="V377" s="439"/>
      <c r="W377" s="439"/>
      <c r="X377" s="439"/>
      <c r="Y377" s="439"/>
      <c r="Z377" s="439"/>
      <c r="AA377" s="439"/>
      <c r="AB377" s="439"/>
      <c r="AC377" s="439"/>
      <c r="AD377" s="439"/>
      <c r="AE377" s="439"/>
      <c r="AF377" s="439"/>
    </row>
    <row r="378" ht="16.5" customHeight="1">
      <c r="A378" s="439"/>
      <c r="B378" s="454">
        <f t="shared" si="4"/>
        <v>1369</v>
      </c>
      <c r="C378" s="472"/>
      <c r="D378" s="442" t="str">
        <f>IF(G378="","",(VLOOKUP(G378,'2. SMDA BHN'!$B$12:$J512,2,0)))</f>
        <v/>
      </c>
      <c r="E378" s="443">
        <f>IF(G378=0,0,(VLOOKUP(G378,'2. SMDA BHN'!$B$12:$J512,3,0)))</f>
        <v>0</v>
      </c>
      <c r="F378" s="444"/>
      <c r="G378" s="467"/>
      <c r="H378" s="446">
        <f>IF(G378=0,0,(VLOOKUP(G378,'2. SMDA BHN'!$B$12:$H512,4,0)))</f>
        <v>0</v>
      </c>
      <c r="I378" s="473"/>
      <c r="J378" s="447"/>
      <c r="K378" s="448">
        <f>SUMIF('PO MTRL'!$G$9:$G512,G378,'PO MTRL'!$J$9:$J512)</f>
        <v>0</v>
      </c>
      <c r="L378" s="448">
        <f t="shared" si="1"/>
        <v>0</v>
      </c>
      <c r="M378" s="449">
        <f>SUMIF('PO MTRL'!$G$9:$G512,G378,'PO MTRL'!$L$9:$L512)</f>
        <v>0</v>
      </c>
      <c r="N378" s="450">
        <f>IF(G378=0,0,(VLOOKUP(G378,'2. SMDA BHN'!$B$12:$H512,5,0)))</f>
        <v>0</v>
      </c>
      <c r="O378" s="450">
        <f>IF(G378=0,0,(VLOOKUP(G378,'2. SMDA BHN'!$B$12:$H512,7,0)))</f>
        <v>0</v>
      </c>
      <c r="P378" s="449">
        <f t="shared" si="2"/>
        <v>0</v>
      </c>
      <c r="Q378" s="449">
        <f t="shared" si="3"/>
        <v>0</v>
      </c>
      <c r="R378" s="451" t="s">
        <v>45</v>
      </c>
      <c r="S378" s="474"/>
      <c r="T378" s="439"/>
      <c r="U378" s="16"/>
      <c r="V378" s="439"/>
      <c r="W378" s="439"/>
      <c r="X378" s="439"/>
      <c r="Y378" s="439"/>
      <c r="Z378" s="439"/>
      <c r="AA378" s="439"/>
      <c r="AB378" s="439"/>
      <c r="AC378" s="439"/>
      <c r="AD378" s="439"/>
      <c r="AE378" s="439"/>
      <c r="AF378" s="439"/>
    </row>
    <row r="379" ht="16.5" customHeight="1">
      <c r="A379" s="439"/>
      <c r="B379" s="454">
        <f t="shared" si="4"/>
        <v>1370</v>
      </c>
      <c r="C379" s="472"/>
      <c r="D379" s="442" t="str">
        <f>IF(G379="","",(VLOOKUP(G379,'2. SMDA BHN'!$B$12:$J512,2,0)))</f>
        <v/>
      </c>
      <c r="E379" s="443">
        <f>IF(G379=0,0,(VLOOKUP(G379,'2. SMDA BHN'!$B$12:$J512,3,0)))</f>
        <v>0</v>
      </c>
      <c r="F379" s="444"/>
      <c r="G379" s="467"/>
      <c r="H379" s="446">
        <f>IF(G379=0,0,(VLOOKUP(G379,'2. SMDA BHN'!$B$12:$H512,4,0)))</f>
        <v>0</v>
      </c>
      <c r="I379" s="473"/>
      <c r="J379" s="447"/>
      <c r="K379" s="448">
        <f>SUMIF('PO MTRL'!$G$9:$G512,G379,'PO MTRL'!$J$9:$J512)</f>
        <v>0</v>
      </c>
      <c r="L379" s="448">
        <f t="shared" si="1"/>
        <v>0</v>
      </c>
      <c r="M379" s="449">
        <f>SUMIF('PO MTRL'!$G$9:$G512,G379,'PO MTRL'!$L$9:$L512)</f>
        <v>0</v>
      </c>
      <c r="N379" s="450">
        <f>IF(G379=0,0,(VLOOKUP(G379,'2. SMDA BHN'!$B$12:$H512,5,0)))</f>
        <v>0</v>
      </c>
      <c r="O379" s="450">
        <f>IF(G379=0,0,(VLOOKUP(G379,'2. SMDA BHN'!$B$12:$H512,7,0)))</f>
        <v>0</v>
      </c>
      <c r="P379" s="449">
        <f t="shared" si="2"/>
        <v>0</v>
      </c>
      <c r="Q379" s="449">
        <f t="shared" si="3"/>
        <v>0</v>
      </c>
      <c r="R379" s="451" t="s">
        <v>45</v>
      </c>
      <c r="S379" s="474"/>
      <c r="T379" s="439"/>
      <c r="U379" s="16"/>
      <c r="V379" s="439"/>
      <c r="W379" s="439"/>
      <c r="X379" s="439"/>
      <c r="Y379" s="439"/>
      <c r="Z379" s="439"/>
      <c r="AA379" s="439"/>
      <c r="AB379" s="439"/>
      <c r="AC379" s="439"/>
      <c r="AD379" s="439"/>
      <c r="AE379" s="439"/>
      <c r="AF379" s="439"/>
    </row>
    <row r="380" ht="16.5" customHeight="1">
      <c r="A380" s="439"/>
      <c r="B380" s="454">
        <f t="shared" si="4"/>
        <v>1371</v>
      </c>
      <c r="C380" s="472"/>
      <c r="D380" s="442" t="str">
        <f>IF(G380="","",(VLOOKUP(G380,'2. SMDA BHN'!$B$12:$J512,2,0)))</f>
        <v/>
      </c>
      <c r="E380" s="443">
        <f>IF(G380=0,0,(VLOOKUP(G380,'2. SMDA BHN'!$B$12:$J512,3,0)))</f>
        <v>0</v>
      </c>
      <c r="F380" s="444"/>
      <c r="G380" s="467"/>
      <c r="H380" s="446">
        <f>IF(G380=0,0,(VLOOKUP(G380,'2. SMDA BHN'!$B$12:$H512,4,0)))</f>
        <v>0</v>
      </c>
      <c r="I380" s="473"/>
      <c r="J380" s="447"/>
      <c r="K380" s="448">
        <f>SUMIF('PO MTRL'!$G$9:$G512,G380,'PO MTRL'!$J$9:$J512)</f>
        <v>0</v>
      </c>
      <c r="L380" s="448">
        <f t="shared" si="1"/>
        <v>0</v>
      </c>
      <c r="M380" s="449">
        <f>SUMIF('PO MTRL'!$G$9:$G512,G380,'PO MTRL'!$L$9:$L512)</f>
        <v>0</v>
      </c>
      <c r="N380" s="450">
        <f>IF(G380=0,0,(VLOOKUP(G380,'2. SMDA BHN'!$B$12:$H512,5,0)))</f>
        <v>0</v>
      </c>
      <c r="O380" s="450">
        <f>IF(G380=0,0,(VLOOKUP(G380,'2. SMDA BHN'!$B$12:$H512,7,0)))</f>
        <v>0</v>
      </c>
      <c r="P380" s="449">
        <f t="shared" si="2"/>
        <v>0</v>
      </c>
      <c r="Q380" s="449">
        <f t="shared" si="3"/>
        <v>0</v>
      </c>
      <c r="R380" s="451" t="s">
        <v>45</v>
      </c>
      <c r="S380" s="474"/>
      <c r="T380" s="439"/>
      <c r="U380" s="16"/>
      <c r="V380" s="439"/>
      <c r="W380" s="439"/>
      <c r="X380" s="439"/>
      <c r="Y380" s="439"/>
      <c r="Z380" s="439"/>
      <c r="AA380" s="439"/>
      <c r="AB380" s="439"/>
      <c r="AC380" s="439"/>
      <c r="AD380" s="439"/>
      <c r="AE380" s="439"/>
      <c r="AF380" s="439"/>
    </row>
    <row r="381" ht="16.5" customHeight="1">
      <c r="A381" s="439"/>
      <c r="B381" s="454">
        <f t="shared" si="4"/>
        <v>1372</v>
      </c>
      <c r="C381" s="472"/>
      <c r="D381" s="442" t="str">
        <f>IF(G381="","",(VLOOKUP(G381,'2. SMDA BHN'!$B$12:$J512,2,0)))</f>
        <v/>
      </c>
      <c r="E381" s="443">
        <f>IF(G381=0,0,(VLOOKUP(G381,'2. SMDA BHN'!$B$12:$J512,3,0)))</f>
        <v>0</v>
      </c>
      <c r="F381" s="444"/>
      <c r="G381" s="467"/>
      <c r="H381" s="446">
        <f>IF(G381=0,0,(VLOOKUP(G381,'2. SMDA BHN'!$B$12:$H512,4,0)))</f>
        <v>0</v>
      </c>
      <c r="I381" s="473"/>
      <c r="J381" s="447"/>
      <c r="K381" s="448">
        <f>SUMIF('PO MTRL'!$G$9:$G512,G381,'PO MTRL'!$J$9:$J512)</f>
        <v>0</v>
      </c>
      <c r="L381" s="448">
        <f t="shared" si="1"/>
        <v>0</v>
      </c>
      <c r="M381" s="449">
        <f>SUMIF('PO MTRL'!$G$9:$G512,G381,'PO MTRL'!$L$9:$L512)</f>
        <v>0</v>
      </c>
      <c r="N381" s="450">
        <f>IF(G381=0,0,(VLOOKUP(G381,'2. SMDA BHN'!$B$12:$H512,5,0)))</f>
        <v>0</v>
      </c>
      <c r="O381" s="450">
        <f>IF(G381=0,0,(VLOOKUP(G381,'2. SMDA BHN'!$B$12:$H512,7,0)))</f>
        <v>0</v>
      </c>
      <c r="P381" s="449">
        <f t="shared" si="2"/>
        <v>0</v>
      </c>
      <c r="Q381" s="449">
        <f t="shared" si="3"/>
        <v>0</v>
      </c>
      <c r="R381" s="451" t="s">
        <v>45</v>
      </c>
      <c r="S381" s="474"/>
      <c r="T381" s="439"/>
      <c r="U381" s="16"/>
      <c r="V381" s="439"/>
      <c r="W381" s="439"/>
      <c r="X381" s="439"/>
      <c r="Y381" s="439"/>
      <c r="Z381" s="439"/>
      <c r="AA381" s="439"/>
      <c r="AB381" s="439"/>
      <c r="AC381" s="439"/>
      <c r="AD381" s="439"/>
      <c r="AE381" s="439"/>
      <c r="AF381" s="439"/>
    </row>
    <row r="382" ht="16.5" customHeight="1">
      <c r="A382" s="439"/>
      <c r="B382" s="454">
        <f t="shared" si="4"/>
        <v>1373</v>
      </c>
      <c r="C382" s="472"/>
      <c r="D382" s="442" t="str">
        <f>IF(G382="","",(VLOOKUP(G382,'2. SMDA BHN'!$B$12:$J512,2,0)))</f>
        <v/>
      </c>
      <c r="E382" s="443">
        <f>IF(G382=0,0,(VLOOKUP(G382,'2. SMDA BHN'!$B$12:$J512,3,0)))</f>
        <v>0</v>
      </c>
      <c r="F382" s="444"/>
      <c r="G382" s="467"/>
      <c r="H382" s="446">
        <f>IF(G382=0,0,(VLOOKUP(G382,'2. SMDA BHN'!$B$12:$H512,4,0)))</f>
        <v>0</v>
      </c>
      <c r="I382" s="473"/>
      <c r="J382" s="447"/>
      <c r="K382" s="448">
        <f>SUMIF('PO MTRL'!$G$9:$G512,G382,'PO MTRL'!$J$9:$J512)</f>
        <v>0</v>
      </c>
      <c r="L382" s="448">
        <f t="shared" si="1"/>
        <v>0</v>
      </c>
      <c r="M382" s="449">
        <f>SUMIF('PO MTRL'!$G$9:$G512,G382,'PO MTRL'!$L$9:$L512)</f>
        <v>0</v>
      </c>
      <c r="N382" s="450">
        <f>IF(G382=0,0,(VLOOKUP(G382,'2. SMDA BHN'!$B$12:$H512,5,0)))</f>
        <v>0</v>
      </c>
      <c r="O382" s="450">
        <f>IF(G382=0,0,(VLOOKUP(G382,'2. SMDA BHN'!$B$12:$H512,7,0)))</f>
        <v>0</v>
      </c>
      <c r="P382" s="449">
        <f t="shared" si="2"/>
        <v>0</v>
      </c>
      <c r="Q382" s="449">
        <f t="shared" si="3"/>
        <v>0</v>
      </c>
      <c r="R382" s="451" t="s">
        <v>45</v>
      </c>
      <c r="S382" s="474"/>
      <c r="T382" s="439"/>
      <c r="U382" s="16"/>
      <c r="V382" s="439"/>
      <c r="W382" s="439"/>
      <c r="X382" s="439"/>
      <c r="Y382" s="439"/>
      <c r="Z382" s="439"/>
      <c r="AA382" s="439"/>
      <c r="AB382" s="439"/>
      <c r="AC382" s="439"/>
      <c r="AD382" s="439"/>
      <c r="AE382" s="439"/>
      <c r="AF382" s="439"/>
    </row>
    <row r="383" ht="16.5" customHeight="1">
      <c r="A383" s="439"/>
      <c r="B383" s="454">
        <f t="shared" si="4"/>
        <v>1374</v>
      </c>
      <c r="C383" s="472"/>
      <c r="D383" s="442" t="str">
        <f>IF(G383="","",(VLOOKUP(G383,'2. SMDA BHN'!$B$12:$J512,2,0)))</f>
        <v/>
      </c>
      <c r="E383" s="443">
        <f>IF(G383=0,0,(VLOOKUP(G383,'2. SMDA BHN'!$B$12:$J512,3,0)))</f>
        <v>0</v>
      </c>
      <c r="F383" s="444"/>
      <c r="G383" s="467"/>
      <c r="H383" s="446">
        <f>IF(G383=0,0,(VLOOKUP(G383,'2. SMDA BHN'!$B$12:$H512,4,0)))</f>
        <v>0</v>
      </c>
      <c r="I383" s="473"/>
      <c r="J383" s="447"/>
      <c r="K383" s="448">
        <f>SUMIF('PO MTRL'!$G$9:$G512,G383,'PO MTRL'!$J$9:$J512)</f>
        <v>0</v>
      </c>
      <c r="L383" s="448">
        <f t="shared" si="1"/>
        <v>0</v>
      </c>
      <c r="M383" s="449">
        <f>SUMIF('PO MTRL'!$G$9:$G512,G383,'PO MTRL'!$L$9:$L512)</f>
        <v>0</v>
      </c>
      <c r="N383" s="450">
        <f>IF(G383=0,0,(VLOOKUP(G383,'2. SMDA BHN'!$B$12:$H512,5,0)))</f>
        <v>0</v>
      </c>
      <c r="O383" s="450">
        <f>IF(G383=0,0,(VLOOKUP(G383,'2. SMDA BHN'!$B$12:$H512,7,0)))</f>
        <v>0</v>
      </c>
      <c r="P383" s="449">
        <f t="shared" si="2"/>
        <v>0</v>
      </c>
      <c r="Q383" s="449">
        <f t="shared" si="3"/>
        <v>0</v>
      </c>
      <c r="R383" s="451" t="s">
        <v>45</v>
      </c>
      <c r="S383" s="474"/>
      <c r="T383" s="439"/>
      <c r="U383" s="16"/>
      <c r="V383" s="439"/>
      <c r="W383" s="439"/>
      <c r="X383" s="439"/>
      <c r="Y383" s="439"/>
      <c r="Z383" s="439"/>
      <c r="AA383" s="439"/>
      <c r="AB383" s="439"/>
      <c r="AC383" s="439"/>
      <c r="AD383" s="439"/>
      <c r="AE383" s="439"/>
      <c r="AF383" s="439"/>
    </row>
    <row r="384" ht="16.5" customHeight="1">
      <c r="A384" s="439"/>
      <c r="B384" s="454">
        <f t="shared" si="4"/>
        <v>1375</v>
      </c>
      <c r="C384" s="472"/>
      <c r="D384" s="442" t="str">
        <f>IF(G384="","",(VLOOKUP(G384,'2. SMDA BHN'!$B$12:$J512,2,0)))</f>
        <v/>
      </c>
      <c r="E384" s="443">
        <f>IF(G384=0,0,(VLOOKUP(G384,'2. SMDA BHN'!$B$12:$J512,3,0)))</f>
        <v>0</v>
      </c>
      <c r="F384" s="444"/>
      <c r="G384" s="467"/>
      <c r="H384" s="446">
        <f>IF(G384=0,0,(VLOOKUP(G384,'2. SMDA BHN'!$B$12:$H512,4,0)))</f>
        <v>0</v>
      </c>
      <c r="I384" s="473"/>
      <c r="J384" s="447"/>
      <c r="K384" s="448">
        <f>SUMIF('PO MTRL'!$G$9:$G512,G384,'PO MTRL'!$J$9:$J512)</f>
        <v>0</v>
      </c>
      <c r="L384" s="448">
        <f t="shared" si="1"/>
        <v>0</v>
      </c>
      <c r="M384" s="449">
        <f>SUMIF('PO MTRL'!$G$9:$G512,G384,'PO MTRL'!$L$9:$L512)</f>
        <v>0</v>
      </c>
      <c r="N384" s="450">
        <f>IF(G384=0,0,(VLOOKUP(G384,'2. SMDA BHN'!$B$12:$H512,5,0)))</f>
        <v>0</v>
      </c>
      <c r="O384" s="450">
        <f>IF(G384=0,0,(VLOOKUP(G384,'2. SMDA BHN'!$B$12:$H512,7,0)))</f>
        <v>0</v>
      </c>
      <c r="P384" s="449">
        <f t="shared" si="2"/>
        <v>0</v>
      </c>
      <c r="Q384" s="449">
        <f t="shared" si="3"/>
        <v>0</v>
      </c>
      <c r="R384" s="451" t="s">
        <v>45</v>
      </c>
      <c r="S384" s="474"/>
      <c r="T384" s="439"/>
      <c r="U384" s="16"/>
      <c r="V384" s="439"/>
      <c r="W384" s="439"/>
      <c r="X384" s="439"/>
      <c r="Y384" s="439"/>
      <c r="Z384" s="439"/>
      <c r="AA384" s="439"/>
      <c r="AB384" s="439"/>
      <c r="AC384" s="439"/>
      <c r="AD384" s="439"/>
      <c r="AE384" s="439"/>
      <c r="AF384" s="439"/>
    </row>
    <row r="385" ht="16.5" customHeight="1">
      <c r="A385" s="439"/>
      <c r="B385" s="454">
        <f t="shared" si="4"/>
        <v>1376</v>
      </c>
      <c r="C385" s="472"/>
      <c r="D385" s="442" t="str">
        <f>IF(G385="","",(VLOOKUP(G385,'2. SMDA BHN'!$B$12:$J512,2,0)))</f>
        <v/>
      </c>
      <c r="E385" s="443">
        <f>IF(G385=0,0,(VLOOKUP(G385,'2. SMDA BHN'!$B$12:$J512,3,0)))</f>
        <v>0</v>
      </c>
      <c r="F385" s="444"/>
      <c r="G385" s="467"/>
      <c r="H385" s="446">
        <f>IF(G385=0,0,(VLOOKUP(G385,'2. SMDA BHN'!$B$12:$H512,4,0)))</f>
        <v>0</v>
      </c>
      <c r="I385" s="473"/>
      <c r="J385" s="447"/>
      <c r="K385" s="448">
        <f>SUMIF('PO MTRL'!$G$9:$G512,G385,'PO MTRL'!$J$9:$J512)</f>
        <v>0</v>
      </c>
      <c r="L385" s="448">
        <f t="shared" si="1"/>
        <v>0</v>
      </c>
      <c r="M385" s="449">
        <f>SUMIF('PO MTRL'!$G$9:$G512,G385,'PO MTRL'!$L$9:$L512)</f>
        <v>0</v>
      </c>
      <c r="N385" s="450">
        <f>IF(G385=0,0,(VLOOKUP(G385,'2. SMDA BHN'!$B$12:$H512,5,0)))</f>
        <v>0</v>
      </c>
      <c r="O385" s="450">
        <f>IF(G385=0,0,(VLOOKUP(G385,'2. SMDA BHN'!$B$12:$H512,7,0)))</f>
        <v>0</v>
      </c>
      <c r="P385" s="449">
        <f t="shared" si="2"/>
        <v>0</v>
      </c>
      <c r="Q385" s="449">
        <f t="shared" si="3"/>
        <v>0</v>
      </c>
      <c r="R385" s="451" t="s">
        <v>45</v>
      </c>
      <c r="S385" s="474"/>
      <c r="T385" s="439"/>
      <c r="U385" s="16"/>
      <c r="V385" s="439"/>
      <c r="W385" s="439"/>
      <c r="X385" s="439"/>
      <c r="Y385" s="439"/>
      <c r="Z385" s="439"/>
      <c r="AA385" s="439"/>
      <c r="AB385" s="439"/>
      <c r="AC385" s="439"/>
      <c r="AD385" s="439"/>
      <c r="AE385" s="439"/>
      <c r="AF385" s="439"/>
    </row>
    <row r="386" ht="16.5" customHeight="1">
      <c r="A386" s="439"/>
      <c r="B386" s="454">
        <f t="shared" si="4"/>
        <v>1377</v>
      </c>
      <c r="C386" s="472"/>
      <c r="D386" s="442" t="str">
        <f>IF(G386="","",(VLOOKUP(G386,'2. SMDA BHN'!$B$12:$J512,2,0)))</f>
        <v/>
      </c>
      <c r="E386" s="443">
        <f>IF(G386=0,0,(VLOOKUP(G386,'2. SMDA BHN'!$B$12:$J512,3,0)))</f>
        <v>0</v>
      </c>
      <c r="F386" s="444"/>
      <c r="G386" s="467"/>
      <c r="H386" s="446">
        <f>IF(G386=0,0,(VLOOKUP(G386,'2. SMDA BHN'!$B$12:$H512,4,0)))</f>
        <v>0</v>
      </c>
      <c r="I386" s="473"/>
      <c r="J386" s="447"/>
      <c r="K386" s="448">
        <f>SUMIF('PO MTRL'!$G$9:$G512,G386,'PO MTRL'!$J$9:$J512)</f>
        <v>0</v>
      </c>
      <c r="L386" s="448">
        <f t="shared" si="1"/>
        <v>0</v>
      </c>
      <c r="M386" s="449">
        <f>SUMIF('PO MTRL'!$G$9:$G512,G386,'PO MTRL'!$L$9:$L512)</f>
        <v>0</v>
      </c>
      <c r="N386" s="450">
        <f>IF(G386=0,0,(VLOOKUP(G386,'2. SMDA BHN'!$B$12:$H512,5,0)))</f>
        <v>0</v>
      </c>
      <c r="O386" s="450">
        <f>IF(G386=0,0,(VLOOKUP(G386,'2. SMDA BHN'!$B$12:$H512,7,0)))</f>
        <v>0</v>
      </c>
      <c r="P386" s="449">
        <f t="shared" si="2"/>
        <v>0</v>
      </c>
      <c r="Q386" s="449">
        <f t="shared" si="3"/>
        <v>0</v>
      </c>
      <c r="R386" s="451" t="s">
        <v>45</v>
      </c>
      <c r="S386" s="474"/>
      <c r="T386" s="439"/>
      <c r="U386" s="16"/>
      <c r="V386" s="439"/>
      <c r="W386" s="439"/>
      <c r="X386" s="439"/>
      <c r="Y386" s="439"/>
      <c r="Z386" s="439"/>
      <c r="AA386" s="439"/>
      <c r="AB386" s="439"/>
      <c r="AC386" s="439"/>
      <c r="AD386" s="439"/>
      <c r="AE386" s="439"/>
      <c r="AF386" s="439"/>
    </row>
    <row r="387" ht="16.5" customHeight="1">
      <c r="A387" s="439"/>
      <c r="B387" s="454">
        <f t="shared" si="4"/>
        <v>1378</v>
      </c>
      <c r="C387" s="472"/>
      <c r="D387" s="442" t="str">
        <f>IF(G387="","",(VLOOKUP(G387,'2. SMDA BHN'!$B$12:$J512,2,0)))</f>
        <v/>
      </c>
      <c r="E387" s="443">
        <f>IF(G387=0,0,(VLOOKUP(G387,'2. SMDA BHN'!$B$12:$J512,3,0)))</f>
        <v>0</v>
      </c>
      <c r="F387" s="444"/>
      <c r="G387" s="467"/>
      <c r="H387" s="446">
        <f>IF(G387=0,0,(VLOOKUP(G387,'2. SMDA BHN'!$B$12:$H512,4,0)))</f>
        <v>0</v>
      </c>
      <c r="I387" s="473"/>
      <c r="J387" s="447"/>
      <c r="K387" s="448">
        <f>SUMIF('PO MTRL'!$G$9:$G512,G387,'PO MTRL'!$J$9:$J512)</f>
        <v>0</v>
      </c>
      <c r="L387" s="448">
        <f t="shared" si="1"/>
        <v>0</v>
      </c>
      <c r="M387" s="449">
        <f>SUMIF('PO MTRL'!$G$9:$G512,G387,'PO MTRL'!$L$9:$L512)</f>
        <v>0</v>
      </c>
      <c r="N387" s="450">
        <f>IF(G387=0,0,(VLOOKUP(G387,'2. SMDA BHN'!$B$12:$H512,5,0)))</f>
        <v>0</v>
      </c>
      <c r="O387" s="450">
        <f>IF(G387=0,0,(VLOOKUP(G387,'2. SMDA BHN'!$B$12:$H512,7,0)))</f>
        <v>0</v>
      </c>
      <c r="P387" s="449">
        <f t="shared" si="2"/>
        <v>0</v>
      </c>
      <c r="Q387" s="449">
        <f t="shared" si="3"/>
        <v>0</v>
      </c>
      <c r="R387" s="451" t="s">
        <v>45</v>
      </c>
      <c r="S387" s="474"/>
      <c r="T387" s="439"/>
      <c r="U387" s="16"/>
      <c r="V387" s="439"/>
      <c r="W387" s="439"/>
      <c r="X387" s="439"/>
      <c r="Y387" s="439"/>
      <c r="Z387" s="439"/>
      <c r="AA387" s="439"/>
      <c r="AB387" s="439"/>
      <c r="AC387" s="439"/>
      <c r="AD387" s="439"/>
      <c r="AE387" s="439"/>
      <c r="AF387" s="439"/>
    </row>
    <row r="388" ht="16.5" customHeight="1">
      <c r="A388" s="439"/>
      <c r="B388" s="454">
        <f t="shared" si="4"/>
        <v>1379</v>
      </c>
      <c r="C388" s="472"/>
      <c r="D388" s="442" t="str">
        <f>IF(G388="","",(VLOOKUP(G388,'2. SMDA BHN'!$B$12:$J512,2,0)))</f>
        <v/>
      </c>
      <c r="E388" s="443">
        <f>IF(G388=0,0,(VLOOKUP(G388,'2. SMDA BHN'!$B$12:$J512,3,0)))</f>
        <v>0</v>
      </c>
      <c r="F388" s="444"/>
      <c r="G388" s="467"/>
      <c r="H388" s="446">
        <f>IF(G388=0,0,(VLOOKUP(G388,'2. SMDA BHN'!$B$12:$H512,4,0)))</f>
        <v>0</v>
      </c>
      <c r="I388" s="473"/>
      <c r="J388" s="447"/>
      <c r="K388" s="448">
        <f>SUMIF('PO MTRL'!$G$9:$G512,G388,'PO MTRL'!$J$9:$J512)</f>
        <v>0</v>
      </c>
      <c r="L388" s="448">
        <f t="shared" si="1"/>
        <v>0</v>
      </c>
      <c r="M388" s="449">
        <f>SUMIF('PO MTRL'!$G$9:$G512,G388,'PO MTRL'!$L$9:$L512)</f>
        <v>0</v>
      </c>
      <c r="N388" s="450">
        <f>IF(G388=0,0,(VLOOKUP(G388,'2. SMDA BHN'!$B$12:$H512,5,0)))</f>
        <v>0</v>
      </c>
      <c r="O388" s="450">
        <f>IF(G388=0,0,(VLOOKUP(G388,'2. SMDA BHN'!$B$12:$H512,7,0)))</f>
        <v>0</v>
      </c>
      <c r="P388" s="449">
        <f t="shared" si="2"/>
        <v>0</v>
      </c>
      <c r="Q388" s="449">
        <f t="shared" si="3"/>
        <v>0</v>
      </c>
      <c r="R388" s="451" t="s">
        <v>45</v>
      </c>
      <c r="S388" s="474"/>
      <c r="T388" s="439"/>
      <c r="U388" s="16"/>
      <c r="V388" s="439"/>
      <c r="W388" s="439"/>
      <c r="X388" s="439"/>
      <c r="Y388" s="439"/>
      <c r="Z388" s="439"/>
      <c r="AA388" s="439"/>
      <c r="AB388" s="439"/>
      <c r="AC388" s="439"/>
      <c r="AD388" s="439"/>
      <c r="AE388" s="439"/>
      <c r="AF388" s="439"/>
    </row>
    <row r="389" ht="16.5" customHeight="1">
      <c r="A389" s="439"/>
      <c r="B389" s="454">
        <f t="shared" si="4"/>
        <v>1380</v>
      </c>
      <c r="C389" s="472"/>
      <c r="D389" s="442" t="str">
        <f>IF(G389="","",(VLOOKUP(G389,'2. SMDA BHN'!$B$12:$J512,2,0)))</f>
        <v/>
      </c>
      <c r="E389" s="443">
        <f>IF(G389=0,0,(VLOOKUP(G389,'2. SMDA BHN'!$B$12:$J512,3,0)))</f>
        <v>0</v>
      </c>
      <c r="F389" s="444"/>
      <c r="G389" s="467"/>
      <c r="H389" s="446">
        <f>IF(G389=0,0,(VLOOKUP(G389,'2. SMDA BHN'!$B$12:$H512,4,0)))</f>
        <v>0</v>
      </c>
      <c r="I389" s="473"/>
      <c r="J389" s="447"/>
      <c r="K389" s="448">
        <f>SUMIF('PO MTRL'!$G$9:$G512,G389,'PO MTRL'!$J$9:$J512)</f>
        <v>0</v>
      </c>
      <c r="L389" s="448">
        <f t="shared" si="1"/>
        <v>0</v>
      </c>
      <c r="M389" s="449">
        <f>SUMIF('PO MTRL'!$G$9:$G512,G389,'PO MTRL'!$L$9:$L512)</f>
        <v>0</v>
      </c>
      <c r="N389" s="450">
        <f>IF(G389=0,0,(VLOOKUP(G389,'2. SMDA BHN'!$B$12:$H512,5,0)))</f>
        <v>0</v>
      </c>
      <c r="O389" s="450">
        <f>IF(G389=0,0,(VLOOKUP(G389,'2. SMDA BHN'!$B$12:$H512,7,0)))</f>
        <v>0</v>
      </c>
      <c r="P389" s="449">
        <f t="shared" si="2"/>
        <v>0</v>
      </c>
      <c r="Q389" s="449">
        <f t="shared" si="3"/>
        <v>0</v>
      </c>
      <c r="R389" s="451" t="s">
        <v>45</v>
      </c>
      <c r="S389" s="474"/>
      <c r="T389" s="439"/>
      <c r="U389" s="16"/>
      <c r="V389" s="439"/>
      <c r="W389" s="439"/>
      <c r="X389" s="439"/>
      <c r="Y389" s="439"/>
      <c r="Z389" s="439"/>
      <c r="AA389" s="439"/>
      <c r="AB389" s="439"/>
      <c r="AC389" s="439"/>
      <c r="AD389" s="439"/>
      <c r="AE389" s="439"/>
      <c r="AF389" s="439"/>
    </row>
    <row r="390" ht="16.5" customHeight="1">
      <c r="A390" s="439"/>
      <c r="B390" s="454">
        <f t="shared" si="4"/>
        <v>1381</v>
      </c>
      <c r="C390" s="472"/>
      <c r="D390" s="442" t="str">
        <f>IF(G390="","",(VLOOKUP(G390,'2. SMDA BHN'!$B$12:$J512,2,0)))</f>
        <v/>
      </c>
      <c r="E390" s="443">
        <f>IF(G390=0,0,(VLOOKUP(G390,'2. SMDA BHN'!$B$12:$J512,3,0)))</f>
        <v>0</v>
      </c>
      <c r="F390" s="444"/>
      <c r="G390" s="467"/>
      <c r="H390" s="446">
        <f>IF(G390=0,0,(VLOOKUP(G390,'2. SMDA BHN'!$B$12:$H512,4,0)))</f>
        <v>0</v>
      </c>
      <c r="I390" s="473"/>
      <c r="J390" s="447"/>
      <c r="K390" s="448">
        <f>SUMIF('PO MTRL'!$G$9:$G512,G390,'PO MTRL'!$J$9:$J512)</f>
        <v>0</v>
      </c>
      <c r="L390" s="448">
        <f t="shared" si="1"/>
        <v>0</v>
      </c>
      <c r="M390" s="449">
        <f>SUMIF('PO MTRL'!$G$9:$G512,G390,'PO MTRL'!$L$9:$L512)</f>
        <v>0</v>
      </c>
      <c r="N390" s="450">
        <f>IF(G390=0,0,(VLOOKUP(G390,'2. SMDA BHN'!$B$12:$H512,5,0)))</f>
        <v>0</v>
      </c>
      <c r="O390" s="450">
        <f>IF(G390=0,0,(VLOOKUP(G390,'2. SMDA BHN'!$B$12:$H512,7,0)))</f>
        <v>0</v>
      </c>
      <c r="P390" s="449">
        <f t="shared" si="2"/>
        <v>0</v>
      </c>
      <c r="Q390" s="449">
        <f t="shared" si="3"/>
        <v>0</v>
      </c>
      <c r="R390" s="451" t="s">
        <v>45</v>
      </c>
      <c r="S390" s="474"/>
      <c r="T390" s="439"/>
      <c r="U390" s="16"/>
      <c r="V390" s="439"/>
      <c r="W390" s="439"/>
      <c r="X390" s="439"/>
      <c r="Y390" s="439"/>
      <c r="Z390" s="439"/>
      <c r="AA390" s="439"/>
      <c r="AB390" s="439"/>
      <c r="AC390" s="439"/>
      <c r="AD390" s="439"/>
      <c r="AE390" s="439"/>
      <c r="AF390" s="439"/>
    </row>
    <row r="391" ht="16.5" customHeight="1">
      <c r="A391" s="439"/>
      <c r="B391" s="454">
        <f t="shared" si="4"/>
        <v>1382</v>
      </c>
      <c r="C391" s="472"/>
      <c r="D391" s="442" t="str">
        <f>IF(G391="","",(VLOOKUP(G391,'2. SMDA BHN'!$B$12:$J512,2,0)))</f>
        <v/>
      </c>
      <c r="E391" s="443">
        <f>IF(G391=0,0,(VLOOKUP(G391,'2. SMDA BHN'!$B$12:$J512,3,0)))</f>
        <v>0</v>
      </c>
      <c r="F391" s="444"/>
      <c r="G391" s="467"/>
      <c r="H391" s="446">
        <f>IF(G391=0,0,(VLOOKUP(G391,'2. SMDA BHN'!$B$12:$H512,4,0)))</f>
        <v>0</v>
      </c>
      <c r="I391" s="473"/>
      <c r="J391" s="447"/>
      <c r="K391" s="448">
        <f>SUMIF('PO MTRL'!$G$9:$G512,G391,'PO MTRL'!$J$9:$J512)</f>
        <v>0</v>
      </c>
      <c r="L391" s="448">
        <f t="shared" si="1"/>
        <v>0</v>
      </c>
      <c r="M391" s="449">
        <f>SUMIF('PO MTRL'!$G$9:$G512,G391,'PO MTRL'!$L$9:$L512)</f>
        <v>0</v>
      </c>
      <c r="N391" s="450">
        <f>IF(G391=0,0,(VLOOKUP(G391,'2. SMDA BHN'!$B$12:$H512,5,0)))</f>
        <v>0</v>
      </c>
      <c r="O391" s="450">
        <f>IF(G391=0,0,(VLOOKUP(G391,'2. SMDA BHN'!$B$12:$H512,7,0)))</f>
        <v>0</v>
      </c>
      <c r="P391" s="449">
        <f t="shared" si="2"/>
        <v>0</v>
      </c>
      <c r="Q391" s="449">
        <f t="shared" si="3"/>
        <v>0</v>
      </c>
      <c r="R391" s="451" t="s">
        <v>45</v>
      </c>
      <c r="S391" s="474"/>
      <c r="T391" s="439"/>
      <c r="U391" s="16"/>
      <c r="V391" s="439"/>
      <c r="W391" s="439"/>
      <c r="X391" s="439"/>
      <c r="Y391" s="439"/>
      <c r="Z391" s="439"/>
      <c r="AA391" s="439"/>
      <c r="AB391" s="439"/>
      <c r="AC391" s="439"/>
      <c r="AD391" s="439"/>
      <c r="AE391" s="439"/>
      <c r="AF391" s="439"/>
    </row>
    <row r="392" ht="16.5" customHeight="1">
      <c r="A392" s="439"/>
      <c r="B392" s="454">
        <f t="shared" si="4"/>
        <v>1383</v>
      </c>
      <c r="C392" s="472"/>
      <c r="D392" s="442" t="str">
        <f>IF(G392="","",(VLOOKUP(G392,'2. SMDA BHN'!$B$12:$J512,2,0)))</f>
        <v/>
      </c>
      <c r="E392" s="443">
        <f>IF(G392=0,0,(VLOOKUP(G392,'2. SMDA BHN'!$B$12:$J512,3,0)))</f>
        <v>0</v>
      </c>
      <c r="F392" s="444"/>
      <c r="G392" s="467"/>
      <c r="H392" s="446">
        <f>IF(G392=0,0,(VLOOKUP(G392,'2. SMDA BHN'!$B$12:$H512,4,0)))</f>
        <v>0</v>
      </c>
      <c r="I392" s="473"/>
      <c r="J392" s="447"/>
      <c r="K392" s="448">
        <f>SUMIF('PO MTRL'!$G$9:$G512,G392,'PO MTRL'!$J$9:$J512)</f>
        <v>0</v>
      </c>
      <c r="L392" s="448">
        <f t="shared" si="1"/>
        <v>0</v>
      </c>
      <c r="M392" s="449">
        <f>SUMIF('PO MTRL'!$G$9:$G512,G392,'PO MTRL'!$L$9:$L512)</f>
        <v>0</v>
      </c>
      <c r="N392" s="450">
        <f>IF(G392=0,0,(VLOOKUP(G392,'2. SMDA BHN'!$B$12:$H512,5,0)))</f>
        <v>0</v>
      </c>
      <c r="O392" s="450">
        <f>IF(G392=0,0,(VLOOKUP(G392,'2. SMDA BHN'!$B$12:$H512,7,0)))</f>
        <v>0</v>
      </c>
      <c r="P392" s="449">
        <f t="shared" si="2"/>
        <v>0</v>
      </c>
      <c r="Q392" s="449">
        <f t="shared" si="3"/>
        <v>0</v>
      </c>
      <c r="R392" s="451" t="s">
        <v>45</v>
      </c>
      <c r="S392" s="474"/>
      <c r="T392" s="439"/>
      <c r="U392" s="16"/>
      <c r="V392" s="439"/>
      <c r="W392" s="439"/>
      <c r="X392" s="439"/>
      <c r="Y392" s="439"/>
      <c r="Z392" s="439"/>
      <c r="AA392" s="439"/>
      <c r="AB392" s="439"/>
      <c r="AC392" s="439"/>
      <c r="AD392" s="439"/>
      <c r="AE392" s="439"/>
      <c r="AF392" s="439"/>
    </row>
    <row r="393" ht="16.5" customHeight="1">
      <c r="A393" s="439"/>
      <c r="B393" s="454">
        <f t="shared" si="4"/>
        <v>1384</v>
      </c>
      <c r="C393" s="472"/>
      <c r="D393" s="442" t="str">
        <f>IF(G393="","",(VLOOKUP(G393,'2. SMDA BHN'!$B$12:$J512,2,0)))</f>
        <v/>
      </c>
      <c r="E393" s="443">
        <f>IF(G393=0,0,(VLOOKUP(G393,'2. SMDA BHN'!$B$12:$J512,3,0)))</f>
        <v>0</v>
      </c>
      <c r="F393" s="444"/>
      <c r="G393" s="467"/>
      <c r="H393" s="446">
        <f>IF(G393=0,0,(VLOOKUP(G393,'2. SMDA BHN'!$B$12:$H512,4,0)))</f>
        <v>0</v>
      </c>
      <c r="I393" s="473"/>
      <c r="J393" s="447"/>
      <c r="K393" s="448">
        <f>SUMIF('PO MTRL'!$G$9:$G512,G393,'PO MTRL'!$J$9:$J512)</f>
        <v>0</v>
      </c>
      <c r="L393" s="448">
        <f t="shared" si="1"/>
        <v>0</v>
      </c>
      <c r="M393" s="449">
        <f>SUMIF('PO MTRL'!$G$9:$G512,G393,'PO MTRL'!$L$9:$L512)</f>
        <v>0</v>
      </c>
      <c r="N393" s="450">
        <f>IF(G393=0,0,(VLOOKUP(G393,'2. SMDA BHN'!$B$12:$H512,5,0)))</f>
        <v>0</v>
      </c>
      <c r="O393" s="450">
        <f>IF(G393=0,0,(VLOOKUP(G393,'2. SMDA BHN'!$B$12:$H512,7,0)))</f>
        <v>0</v>
      </c>
      <c r="P393" s="449">
        <f t="shared" si="2"/>
        <v>0</v>
      </c>
      <c r="Q393" s="449">
        <f t="shared" si="3"/>
        <v>0</v>
      </c>
      <c r="R393" s="451" t="s">
        <v>45</v>
      </c>
      <c r="S393" s="474"/>
      <c r="T393" s="439"/>
      <c r="U393" s="16"/>
      <c r="V393" s="439"/>
      <c r="W393" s="439"/>
      <c r="X393" s="439"/>
      <c r="Y393" s="439"/>
      <c r="Z393" s="439"/>
      <c r="AA393" s="439"/>
      <c r="AB393" s="439"/>
      <c r="AC393" s="439"/>
      <c r="AD393" s="439"/>
      <c r="AE393" s="439"/>
      <c r="AF393" s="439"/>
    </row>
    <row r="394" ht="16.5" customHeight="1">
      <c r="A394" s="439"/>
      <c r="B394" s="454">
        <f t="shared" si="4"/>
        <v>1385</v>
      </c>
      <c r="C394" s="472"/>
      <c r="D394" s="442" t="str">
        <f>IF(G394="","",(VLOOKUP(G394,'2. SMDA BHN'!$B$12:$J512,2,0)))</f>
        <v/>
      </c>
      <c r="E394" s="443">
        <f>IF(G394=0,0,(VLOOKUP(G394,'2. SMDA BHN'!$B$12:$J512,3,0)))</f>
        <v>0</v>
      </c>
      <c r="F394" s="444"/>
      <c r="G394" s="467"/>
      <c r="H394" s="446">
        <f>IF(G394=0,0,(VLOOKUP(G394,'2. SMDA BHN'!$B$12:$H512,4,0)))</f>
        <v>0</v>
      </c>
      <c r="I394" s="473"/>
      <c r="J394" s="447"/>
      <c r="K394" s="448">
        <f>SUMIF('PO MTRL'!$G$9:$G512,G394,'PO MTRL'!$J$9:$J512)</f>
        <v>0</v>
      </c>
      <c r="L394" s="448">
        <f t="shared" si="1"/>
        <v>0</v>
      </c>
      <c r="M394" s="449">
        <f>SUMIF('PO MTRL'!$G$9:$G512,G394,'PO MTRL'!$L$9:$L512)</f>
        <v>0</v>
      </c>
      <c r="N394" s="450">
        <f>IF(G394=0,0,(VLOOKUP(G394,'2. SMDA BHN'!$B$12:$H512,5,0)))</f>
        <v>0</v>
      </c>
      <c r="O394" s="450">
        <f>IF(G394=0,0,(VLOOKUP(G394,'2. SMDA BHN'!$B$12:$H512,7,0)))</f>
        <v>0</v>
      </c>
      <c r="P394" s="449">
        <f t="shared" si="2"/>
        <v>0</v>
      </c>
      <c r="Q394" s="449">
        <f t="shared" si="3"/>
        <v>0</v>
      </c>
      <c r="R394" s="451" t="s">
        <v>45</v>
      </c>
      <c r="S394" s="474"/>
      <c r="T394" s="439"/>
      <c r="U394" s="16"/>
      <c r="V394" s="439"/>
      <c r="W394" s="439"/>
      <c r="X394" s="439"/>
      <c r="Y394" s="439"/>
      <c r="Z394" s="439"/>
      <c r="AA394" s="439"/>
      <c r="AB394" s="439"/>
      <c r="AC394" s="439"/>
      <c r="AD394" s="439"/>
      <c r="AE394" s="439"/>
      <c r="AF394" s="439"/>
    </row>
    <row r="395" ht="16.5" customHeight="1">
      <c r="A395" s="439"/>
      <c r="B395" s="454">
        <f t="shared" si="4"/>
        <v>1386</v>
      </c>
      <c r="C395" s="472"/>
      <c r="D395" s="442" t="str">
        <f>IF(G395="","",(VLOOKUP(G395,'2. SMDA BHN'!$B$12:$J512,2,0)))</f>
        <v/>
      </c>
      <c r="E395" s="443">
        <f>IF(G395=0,0,(VLOOKUP(G395,'2. SMDA BHN'!$B$12:$J512,3,0)))</f>
        <v>0</v>
      </c>
      <c r="F395" s="444"/>
      <c r="G395" s="467"/>
      <c r="H395" s="446">
        <f>IF(G395=0,0,(VLOOKUP(G395,'2. SMDA BHN'!$B$12:$H512,4,0)))</f>
        <v>0</v>
      </c>
      <c r="I395" s="473"/>
      <c r="J395" s="447"/>
      <c r="K395" s="448">
        <f>SUMIF('PO MTRL'!$G$9:$G512,G395,'PO MTRL'!$J$9:$J512)</f>
        <v>0</v>
      </c>
      <c r="L395" s="448">
        <f t="shared" si="1"/>
        <v>0</v>
      </c>
      <c r="M395" s="449">
        <f>SUMIF('PO MTRL'!$G$9:$G512,G395,'PO MTRL'!$L$9:$L512)</f>
        <v>0</v>
      </c>
      <c r="N395" s="450">
        <f>IF(G395=0,0,(VLOOKUP(G395,'2. SMDA BHN'!$B$12:$H512,5,0)))</f>
        <v>0</v>
      </c>
      <c r="O395" s="450">
        <f>IF(G395=0,0,(VLOOKUP(G395,'2. SMDA BHN'!$B$12:$H512,7,0)))</f>
        <v>0</v>
      </c>
      <c r="P395" s="449">
        <f t="shared" si="2"/>
        <v>0</v>
      </c>
      <c r="Q395" s="449">
        <f t="shared" si="3"/>
        <v>0</v>
      </c>
      <c r="R395" s="451" t="s">
        <v>45</v>
      </c>
      <c r="S395" s="474"/>
      <c r="T395" s="439"/>
      <c r="U395" s="16"/>
      <c r="V395" s="439"/>
      <c r="W395" s="439"/>
      <c r="X395" s="439"/>
      <c r="Y395" s="439"/>
      <c r="Z395" s="439"/>
      <c r="AA395" s="439"/>
      <c r="AB395" s="439"/>
      <c r="AC395" s="439"/>
      <c r="AD395" s="439"/>
      <c r="AE395" s="439"/>
      <c r="AF395" s="439"/>
    </row>
    <row r="396" ht="16.5" customHeight="1">
      <c r="A396" s="439"/>
      <c r="B396" s="454">
        <f t="shared" si="4"/>
        <v>1387</v>
      </c>
      <c r="C396" s="472"/>
      <c r="D396" s="442" t="str">
        <f>IF(G396="","",(VLOOKUP(G396,'2. SMDA BHN'!$B$12:$J512,2,0)))</f>
        <v/>
      </c>
      <c r="E396" s="443">
        <f>IF(G396=0,0,(VLOOKUP(G396,'2. SMDA BHN'!$B$12:$J512,3,0)))</f>
        <v>0</v>
      </c>
      <c r="F396" s="444"/>
      <c r="G396" s="467"/>
      <c r="H396" s="446">
        <f>IF(G396=0,0,(VLOOKUP(G396,'2. SMDA BHN'!$B$12:$H512,4,0)))</f>
        <v>0</v>
      </c>
      <c r="I396" s="473"/>
      <c r="J396" s="447"/>
      <c r="K396" s="448">
        <f>SUMIF('PO MTRL'!$G$9:$G512,G396,'PO MTRL'!$J$9:$J512)</f>
        <v>0</v>
      </c>
      <c r="L396" s="448">
        <f t="shared" si="1"/>
        <v>0</v>
      </c>
      <c r="M396" s="449">
        <f>SUMIF('PO MTRL'!$G$9:$G512,G396,'PO MTRL'!$L$9:$L512)</f>
        <v>0</v>
      </c>
      <c r="N396" s="450">
        <f>IF(G396=0,0,(VLOOKUP(G396,'2. SMDA BHN'!$B$12:$H512,5,0)))</f>
        <v>0</v>
      </c>
      <c r="O396" s="450">
        <f>IF(G396=0,0,(VLOOKUP(G396,'2. SMDA BHN'!$B$12:$H512,7,0)))</f>
        <v>0</v>
      </c>
      <c r="P396" s="449">
        <f t="shared" si="2"/>
        <v>0</v>
      </c>
      <c r="Q396" s="449">
        <f t="shared" si="3"/>
        <v>0</v>
      </c>
      <c r="R396" s="451" t="s">
        <v>45</v>
      </c>
      <c r="S396" s="474"/>
      <c r="T396" s="439"/>
      <c r="U396" s="16"/>
      <c r="V396" s="439"/>
      <c r="W396" s="439"/>
      <c r="X396" s="439"/>
      <c r="Y396" s="439"/>
      <c r="Z396" s="439"/>
      <c r="AA396" s="439"/>
      <c r="AB396" s="439"/>
      <c r="AC396" s="439"/>
      <c r="AD396" s="439"/>
      <c r="AE396" s="439"/>
      <c r="AF396" s="439"/>
    </row>
    <row r="397" ht="16.5" customHeight="1">
      <c r="A397" s="439"/>
      <c r="B397" s="454">
        <f t="shared" si="4"/>
        <v>1388</v>
      </c>
      <c r="C397" s="472"/>
      <c r="D397" s="442" t="str">
        <f>IF(G397="","",(VLOOKUP(G397,'2. SMDA BHN'!$B$12:$J512,2,0)))</f>
        <v/>
      </c>
      <c r="E397" s="443">
        <f>IF(G397=0,0,(VLOOKUP(G397,'2. SMDA BHN'!$B$12:$J512,3,0)))</f>
        <v>0</v>
      </c>
      <c r="F397" s="444"/>
      <c r="G397" s="467"/>
      <c r="H397" s="446">
        <f>IF(G397=0,0,(VLOOKUP(G397,'2. SMDA BHN'!$B$12:$H512,4,0)))</f>
        <v>0</v>
      </c>
      <c r="I397" s="473"/>
      <c r="J397" s="447"/>
      <c r="K397" s="448">
        <f>SUMIF('PO MTRL'!$G$9:$G512,G397,'PO MTRL'!$J$9:$J512)</f>
        <v>0</v>
      </c>
      <c r="L397" s="448">
        <f t="shared" si="1"/>
        <v>0</v>
      </c>
      <c r="M397" s="449">
        <f>SUMIF('PO MTRL'!$G$9:$G512,G397,'PO MTRL'!$L$9:$L512)</f>
        <v>0</v>
      </c>
      <c r="N397" s="450">
        <f>IF(G397=0,0,(VLOOKUP(G397,'2. SMDA BHN'!$B$12:$H512,5,0)))</f>
        <v>0</v>
      </c>
      <c r="O397" s="450">
        <f>IF(G397=0,0,(VLOOKUP(G397,'2. SMDA BHN'!$B$12:$H512,7,0)))</f>
        <v>0</v>
      </c>
      <c r="P397" s="449">
        <f t="shared" si="2"/>
        <v>0</v>
      </c>
      <c r="Q397" s="449">
        <f t="shared" si="3"/>
        <v>0</v>
      </c>
      <c r="R397" s="451" t="s">
        <v>45</v>
      </c>
      <c r="S397" s="474"/>
      <c r="T397" s="439"/>
      <c r="U397" s="16"/>
      <c r="V397" s="439"/>
      <c r="W397" s="439"/>
      <c r="X397" s="439"/>
      <c r="Y397" s="439"/>
      <c r="Z397" s="439"/>
      <c r="AA397" s="439"/>
      <c r="AB397" s="439"/>
      <c r="AC397" s="439"/>
      <c r="AD397" s="439"/>
      <c r="AE397" s="439"/>
      <c r="AF397" s="439"/>
    </row>
    <row r="398" ht="16.5" customHeight="1">
      <c r="A398" s="439"/>
      <c r="B398" s="454">
        <f t="shared" si="4"/>
        <v>1389</v>
      </c>
      <c r="C398" s="472"/>
      <c r="D398" s="442" t="str">
        <f>IF(G398="","",(VLOOKUP(G398,'2. SMDA BHN'!$B$12:$J512,2,0)))</f>
        <v/>
      </c>
      <c r="E398" s="443">
        <f>IF(G398=0,0,(VLOOKUP(G398,'2. SMDA BHN'!$B$12:$J512,3,0)))</f>
        <v>0</v>
      </c>
      <c r="F398" s="444"/>
      <c r="G398" s="467"/>
      <c r="H398" s="446">
        <f>IF(G398=0,0,(VLOOKUP(G398,'2. SMDA BHN'!$B$12:$H512,4,0)))</f>
        <v>0</v>
      </c>
      <c r="I398" s="473"/>
      <c r="J398" s="447"/>
      <c r="K398" s="448">
        <f>SUMIF('PO MTRL'!$G$9:$G512,G398,'PO MTRL'!$J$9:$J512)</f>
        <v>0</v>
      </c>
      <c r="L398" s="448">
        <f t="shared" si="1"/>
        <v>0</v>
      </c>
      <c r="M398" s="449">
        <f>SUMIF('PO MTRL'!$G$9:$G512,G398,'PO MTRL'!$L$9:$L512)</f>
        <v>0</v>
      </c>
      <c r="N398" s="450">
        <f>IF(G398=0,0,(VLOOKUP(G398,'2. SMDA BHN'!$B$12:$H512,5,0)))</f>
        <v>0</v>
      </c>
      <c r="O398" s="450">
        <f>IF(G398=0,0,(VLOOKUP(G398,'2. SMDA BHN'!$B$12:$H512,7,0)))</f>
        <v>0</v>
      </c>
      <c r="P398" s="449">
        <f t="shared" si="2"/>
        <v>0</v>
      </c>
      <c r="Q398" s="449">
        <f t="shared" si="3"/>
        <v>0</v>
      </c>
      <c r="R398" s="451" t="s">
        <v>45</v>
      </c>
      <c r="S398" s="474"/>
      <c r="T398" s="439"/>
      <c r="U398" s="16"/>
      <c r="V398" s="439"/>
      <c r="W398" s="439"/>
      <c r="X398" s="439"/>
      <c r="Y398" s="439"/>
      <c r="Z398" s="439"/>
      <c r="AA398" s="439"/>
      <c r="AB398" s="439"/>
      <c r="AC398" s="439"/>
      <c r="AD398" s="439"/>
      <c r="AE398" s="439"/>
      <c r="AF398" s="439"/>
    </row>
    <row r="399" ht="16.5" customHeight="1">
      <c r="A399" s="439"/>
      <c r="B399" s="454">
        <f t="shared" si="4"/>
        <v>1390</v>
      </c>
      <c r="C399" s="472"/>
      <c r="D399" s="442" t="str">
        <f>IF(G399="","",(VLOOKUP(G399,'2. SMDA BHN'!$B$12:$J512,2,0)))</f>
        <v/>
      </c>
      <c r="E399" s="443">
        <f>IF(G399=0,0,(VLOOKUP(G399,'2. SMDA BHN'!$B$12:$J512,3,0)))</f>
        <v>0</v>
      </c>
      <c r="F399" s="444"/>
      <c r="G399" s="467"/>
      <c r="H399" s="446">
        <f>IF(G399=0,0,(VLOOKUP(G399,'2. SMDA BHN'!$B$12:$H512,4,0)))</f>
        <v>0</v>
      </c>
      <c r="I399" s="473"/>
      <c r="J399" s="447"/>
      <c r="K399" s="448">
        <f>SUMIF('PO MTRL'!$G$9:$G512,G399,'PO MTRL'!$J$9:$J512)</f>
        <v>0</v>
      </c>
      <c r="L399" s="448">
        <f t="shared" si="1"/>
        <v>0</v>
      </c>
      <c r="M399" s="449">
        <f>SUMIF('PO MTRL'!$G$9:$G512,G399,'PO MTRL'!$L$9:$L512)</f>
        <v>0</v>
      </c>
      <c r="N399" s="450">
        <f>IF(G399=0,0,(VLOOKUP(G399,'2. SMDA BHN'!$B$12:$H512,5,0)))</f>
        <v>0</v>
      </c>
      <c r="O399" s="450">
        <f>IF(G399=0,0,(VLOOKUP(G399,'2. SMDA BHN'!$B$12:$H512,7,0)))</f>
        <v>0</v>
      </c>
      <c r="P399" s="449">
        <f t="shared" si="2"/>
        <v>0</v>
      </c>
      <c r="Q399" s="449">
        <f t="shared" si="3"/>
        <v>0</v>
      </c>
      <c r="R399" s="451" t="s">
        <v>45</v>
      </c>
      <c r="S399" s="474"/>
      <c r="T399" s="439"/>
      <c r="U399" s="16"/>
      <c r="V399" s="439"/>
      <c r="W399" s="439"/>
      <c r="X399" s="439"/>
      <c r="Y399" s="439"/>
      <c r="Z399" s="439"/>
      <c r="AA399" s="439"/>
      <c r="AB399" s="439"/>
      <c r="AC399" s="439"/>
      <c r="AD399" s="439"/>
      <c r="AE399" s="439"/>
      <c r="AF399" s="439"/>
    </row>
    <row r="400" ht="16.5" customHeight="1">
      <c r="A400" s="439"/>
      <c r="B400" s="454">
        <f t="shared" si="4"/>
        <v>1391</v>
      </c>
      <c r="C400" s="472"/>
      <c r="D400" s="442" t="str">
        <f>IF(G400="","",(VLOOKUP(G400,'2. SMDA BHN'!$B$12:$J512,2,0)))</f>
        <v/>
      </c>
      <c r="E400" s="443">
        <f>IF(G400=0,0,(VLOOKUP(G400,'2. SMDA BHN'!$B$12:$J512,3,0)))</f>
        <v>0</v>
      </c>
      <c r="F400" s="444"/>
      <c r="G400" s="467"/>
      <c r="H400" s="446">
        <f>IF(G400=0,0,(VLOOKUP(G400,'2. SMDA BHN'!$B$12:$H512,4,0)))</f>
        <v>0</v>
      </c>
      <c r="I400" s="473"/>
      <c r="J400" s="447"/>
      <c r="K400" s="448">
        <f>SUMIF('PO MTRL'!$G$9:$G512,G400,'PO MTRL'!$J$9:$J512)</f>
        <v>0</v>
      </c>
      <c r="L400" s="448">
        <f t="shared" si="1"/>
        <v>0</v>
      </c>
      <c r="M400" s="449">
        <f>SUMIF('PO MTRL'!$G$9:$G512,G400,'PO MTRL'!$L$9:$L512)</f>
        <v>0</v>
      </c>
      <c r="N400" s="450">
        <f>IF(G400=0,0,(VLOOKUP(G400,'2. SMDA BHN'!$B$12:$H512,5,0)))</f>
        <v>0</v>
      </c>
      <c r="O400" s="450">
        <f>IF(G400=0,0,(VLOOKUP(G400,'2. SMDA BHN'!$B$12:$H512,7,0)))</f>
        <v>0</v>
      </c>
      <c r="P400" s="449">
        <f t="shared" si="2"/>
        <v>0</v>
      </c>
      <c r="Q400" s="449">
        <f t="shared" si="3"/>
        <v>0</v>
      </c>
      <c r="R400" s="451" t="s">
        <v>45</v>
      </c>
      <c r="S400" s="474"/>
      <c r="T400" s="439"/>
      <c r="U400" s="16"/>
      <c r="V400" s="439"/>
      <c r="W400" s="439"/>
      <c r="X400" s="439"/>
      <c r="Y400" s="439"/>
      <c r="Z400" s="439"/>
      <c r="AA400" s="439"/>
      <c r="AB400" s="439"/>
      <c r="AC400" s="439"/>
      <c r="AD400" s="439"/>
      <c r="AE400" s="439"/>
      <c r="AF400" s="439"/>
    </row>
    <row r="401" ht="16.5" customHeight="1">
      <c r="A401" s="439"/>
      <c r="B401" s="454">
        <f t="shared" si="4"/>
        <v>1392</v>
      </c>
      <c r="C401" s="472"/>
      <c r="D401" s="442" t="str">
        <f>IF(G401="","",(VLOOKUP(G401,'2. SMDA BHN'!$B$12:$J512,2,0)))</f>
        <v/>
      </c>
      <c r="E401" s="443">
        <f>IF(G401=0,0,(VLOOKUP(G401,'2. SMDA BHN'!$B$12:$J512,3,0)))</f>
        <v>0</v>
      </c>
      <c r="F401" s="444"/>
      <c r="G401" s="467"/>
      <c r="H401" s="446">
        <f>IF(G401=0,0,(VLOOKUP(G401,'2. SMDA BHN'!$B$12:$H512,4,0)))</f>
        <v>0</v>
      </c>
      <c r="I401" s="473"/>
      <c r="J401" s="447"/>
      <c r="K401" s="448">
        <f>SUMIF('PO MTRL'!$G$9:$G512,G401,'PO MTRL'!$J$9:$J512)</f>
        <v>0</v>
      </c>
      <c r="L401" s="448">
        <f t="shared" si="1"/>
        <v>0</v>
      </c>
      <c r="M401" s="449">
        <f>SUMIF('PO MTRL'!$G$9:$G512,G401,'PO MTRL'!$L$9:$L512)</f>
        <v>0</v>
      </c>
      <c r="N401" s="450">
        <f>IF(G401=0,0,(VLOOKUP(G401,'2. SMDA BHN'!$B$12:$H512,5,0)))</f>
        <v>0</v>
      </c>
      <c r="O401" s="450">
        <f>IF(G401=0,0,(VLOOKUP(G401,'2. SMDA BHN'!$B$12:$H512,7,0)))</f>
        <v>0</v>
      </c>
      <c r="P401" s="449">
        <f t="shared" si="2"/>
        <v>0</v>
      </c>
      <c r="Q401" s="449">
        <f t="shared" si="3"/>
        <v>0</v>
      </c>
      <c r="R401" s="451" t="s">
        <v>45</v>
      </c>
      <c r="S401" s="474"/>
      <c r="T401" s="439"/>
      <c r="U401" s="16"/>
      <c r="V401" s="439"/>
      <c r="W401" s="439"/>
      <c r="X401" s="439"/>
      <c r="Y401" s="439"/>
      <c r="Z401" s="439"/>
      <c r="AA401" s="439"/>
      <c r="AB401" s="439"/>
      <c r="AC401" s="439"/>
      <c r="AD401" s="439"/>
      <c r="AE401" s="439"/>
      <c r="AF401" s="439"/>
    </row>
    <row r="402" ht="16.5" customHeight="1">
      <c r="A402" s="439"/>
      <c r="B402" s="454">
        <f t="shared" si="4"/>
        <v>1393</v>
      </c>
      <c r="C402" s="472"/>
      <c r="D402" s="442" t="str">
        <f>IF(G402="","",(VLOOKUP(G402,'2. SMDA BHN'!$B$12:$J512,2,0)))</f>
        <v/>
      </c>
      <c r="E402" s="443">
        <f>IF(G402=0,0,(VLOOKUP(G402,'2. SMDA BHN'!$B$12:$J512,3,0)))</f>
        <v>0</v>
      </c>
      <c r="F402" s="444"/>
      <c r="G402" s="467"/>
      <c r="H402" s="446">
        <f>IF(G402=0,0,(VLOOKUP(G402,'2. SMDA BHN'!$B$12:$H512,4,0)))</f>
        <v>0</v>
      </c>
      <c r="I402" s="473"/>
      <c r="J402" s="447"/>
      <c r="K402" s="448">
        <f>SUMIF('PO MTRL'!$G$9:$G512,G402,'PO MTRL'!$J$9:$J512)</f>
        <v>0</v>
      </c>
      <c r="L402" s="448">
        <f t="shared" si="1"/>
        <v>0</v>
      </c>
      <c r="M402" s="449">
        <f>SUMIF('PO MTRL'!$G$9:$G512,G402,'PO MTRL'!$L$9:$L512)</f>
        <v>0</v>
      </c>
      <c r="N402" s="450">
        <f>IF(G402=0,0,(VLOOKUP(G402,'2. SMDA BHN'!$B$12:$H512,5,0)))</f>
        <v>0</v>
      </c>
      <c r="O402" s="450">
        <f>IF(G402=0,0,(VLOOKUP(G402,'2. SMDA BHN'!$B$12:$H512,7,0)))</f>
        <v>0</v>
      </c>
      <c r="P402" s="449">
        <f t="shared" si="2"/>
        <v>0</v>
      </c>
      <c r="Q402" s="449">
        <f t="shared" si="3"/>
        <v>0</v>
      </c>
      <c r="R402" s="451" t="s">
        <v>45</v>
      </c>
      <c r="S402" s="474"/>
      <c r="T402" s="439"/>
      <c r="U402" s="16"/>
      <c r="V402" s="439"/>
      <c r="W402" s="439"/>
      <c r="X402" s="439"/>
      <c r="Y402" s="439"/>
      <c r="Z402" s="439"/>
      <c r="AA402" s="439"/>
      <c r="AB402" s="439"/>
      <c r="AC402" s="439"/>
      <c r="AD402" s="439"/>
      <c r="AE402" s="439"/>
      <c r="AF402" s="439"/>
    </row>
    <row r="403" ht="16.5" customHeight="1">
      <c r="A403" s="439"/>
      <c r="B403" s="454">
        <f t="shared" si="4"/>
        <v>1394</v>
      </c>
      <c r="C403" s="472"/>
      <c r="D403" s="442" t="str">
        <f>IF(G403="","",(VLOOKUP(G403,'2. SMDA BHN'!$B$12:$J512,2,0)))</f>
        <v/>
      </c>
      <c r="E403" s="443">
        <f>IF(G403=0,0,(VLOOKUP(G403,'2. SMDA BHN'!$B$12:$J512,3,0)))</f>
        <v>0</v>
      </c>
      <c r="F403" s="444"/>
      <c r="G403" s="467"/>
      <c r="H403" s="446">
        <f>IF(G403=0,0,(VLOOKUP(G403,'2. SMDA BHN'!$B$12:$H512,4,0)))</f>
        <v>0</v>
      </c>
      <c r="I403" s="473"/>
      <c r="J403" s="447"/>
      <c r="K403" s="448">
        <f>SUMIF('PO MTRL'!$G$9:$G512,G403,'PO MTRL'!$J$9:$J512)</f>
        <v>0</v>
      </c>
      <c r="L403" s="448">
        <f t="shared" si="1"/>
        <v>0</v>
      </c>
      <c r="M403" s="449">
        <f>SUMIF('PO MTRL'!$G$9:$G512,G403,'PO MTRL'!$L$9:$L512)</f>
        <v>0</v>
      </c>
      <c r="N403" s="450">
        <f>IF(G403=0,0,(VLOOKUP(G403,'2. SMDA BHN'!$B$12:$H512,5,0)))</f>
        <v>0</v>
      </c>
      <c r="O403" s="450">
        <f>IF(G403=0,0,(VLOOKUP(G403,'2. SMDA BHN'!$B$12:$H512,7,0)))</f>
        <v>0</v>
      </c>
      <c r="P403" s="449">
        <f t="shared" si="2"/>
        <v>0</v>
      </c>
      <c r="Q403" s="449">
        <f t="shared" si="3"/>
        <v>0</v>
      </c>
      <c r="R403" s="451" t="s">
        <v>45</v>
      </c>
      <c r="S403" s="474"/>
      <c r="T403" s="439"/>
      <c r="U403" s="16"/>
      <c r="V403" s="439"/>
      <c r="W403" s="439"/>
      <c r="X403" s="439"/>
      <c r="Y403" s="439"/>
      <c r="Z403" s="439"/>
      <c r="AA403" s="439"/>
      <c r="AB403" s="439"/>
      <c r="AC403" s="439"/>
      <c r="AD403" s="439"/>
      <c r="AE403" s="439"/>
      <c r="AF403" s="439"/>
    </row>
    <row r="404" ht="16.5" customHeight="1">
      <c r="A404" s="439"/>
      <c r="B404" s="454">
        <f t="shared" si="4"/>
        <v>1395</v>
      </c>
      <c r="C404" s="472"/>
      <c r="D404" s="442" t="str">
        <f>IF(G404="","",(VLOOKUP(G404,'2. SMDA BHN'!$B$12:$J512,2,0)))</f>
        <v/>
      </c>
      <c r="E404" s="443">
        <f>IF(G404=0,0,(VLOOKUP(G404,'2. SMDA BHN'!$B$12:$J512,3,0)))</f>
        <v>0</v>
      </c>
      <c r="F404" s="444"/>
      <c r="G404" s="467"/>
      <c r="H404" s="446">
        <f>IF(G404=0,0,(VLOOKUP(G404,'2. SMDA BHN'!$B$12:$H512,4,0)))</f>
        <v>0</v>
      </c>
      <c r="I404" s="473"/>
      <c r="J404" s="447"/>
      <c r="K404" s="448">
        <f>SUMIF('PO MTRL'!$G$9:$G512,G404,'PO MTRL'!$J$9:$J512)</f>
        <v>0</v>
      </c>
      <c r="L404" s="448">
        <f t="shared" si="1"/>
        <v>0</v>
      </c>
      <c r="M404" s="449">
        <f>SUMIF('PO MTRL'!$G$9:$G512,G404,'PO MTRL'!$L$9:$L512)</f>
        <v>0</v>
      </c>
      <c r="N404" s="450">
        <f>IF(G404=0,0,(VLOOKUP(G404,'2. SMDA BHN'!$B$12:$H512,5,0)))</f>
        <v>0</v>
      </c>
      <c r="O404" s="450">
        <f>IF(G404=0,0,(VLOOKUP(G404,'2. SMDA BHN'!$B$12:$H512,7,0)))</f>
        <v>0</v>
      </c>
      <c r="P404" s="449">
        <f t="shared" si="2"/>
        <v>0</v>
      </c>
      <c r="Q404" s="449">
        <f t="shared" si="3"/>
        <v>0</v>
      </c>
      <c r="R404" s="451" t="s">
        <v>45</v>
      </c>
      <c r="S404" s="474"/>
      <c r="T404" s="439"/>
      <c r="U404" s="16"/>
      <c r="V404" s="439"/>
      <c r="W404" s="439"/>
      <c r="X404" s="439"/>
      <c r="Y404" s="439"/>
      <c r="Z404" s="439"/>
      <c r="AA404" s="439"/>
      <c r="AB404" s="439"/>
      <c r="AC404" s="439"/>
      <c r="AD404" s="439"/>
      <c r="AE404" s="439"/>
      <c r="AF404" s="439"/>
    </row>
    <row r="405" ht="16.5" customHeight="1">
      <c r="A405" s="439"/>
      <c r="B405" s="454">
        <f t="shared" si="4"/>
        <v>1396</v>
      </c>
      <c r="C405" s="472"/>
      <c r="D405" s="442" t="str">
        <f>IF(G405="","",(VLOOKUP(G405,'2. SMDA BHN'!$B$12:$J512,2,0)))</f>
        <v/>
      </c>
      <c r="E405" s="443">
        <f>IF(G405=0,0,(VLOOKUP(G405,'2. SMDA BHN'!$B$12:$J512,3,0)))</f>
        <v>0</v>
      </c>
      <c r="F405" s="444"/>
      <c r="G405" s="467"/>
      <c r="H405" s="446">
        <f>IF(G405=0,0,(VLOOKUP(G405,'2. SMDA BHN'!$B$12:$H512,4,0)))</f>
        <v>0</v>
      </c>
      <c r="I405" s="473"/>
      <c r="J405" s="447"/>
      <c r="K405" s="448">
        <f>SUMIF('PO MTRL'!$G$9:$G512,G405,'PO MTRL'!$J$9:$J512)</f>
        <v>0</v>
      </c>
      <c r="L405" s="448">
        <f t="shared" si="1"/>
        <v>0</v>
      </c>
      <c r="M405" s="449">
        <f>SUMIF('PO MTRL'!$G$9:$G512,G405,'PO MTRL'!$L$9:$L512)</f>
        <v>0</v>
      </c>
      <c r="N405" s="450">
        <f>IF(G405=0,0,(VLOOKUP(G405,'2. SMDA BHN'!$B$12:$H512,5,0)))</f>
        <v>0</v>
      </c>
      <c r="O405" s="450">
        <f>IF(G405=0,0,(VLOOKUP(G405,'2. SMDA BHN'!$B$12:$H512,7,0)))</f>
        <v>0</v>
      </c>
      <c r="P405" s="449">
        <f t="shared" si="2"/>
        <v>0</v>
      </c>
      <c r="Q405" s="449">
        <f t="shared" si="3"/>
        <v>0</v>
      </c>
      <c r="R405" s="451" t="s">
        <v>45</v>
      </c>
      <c r="S405" s="474"/>
      <c r="T405" s="439"/>
      <c r="U405" s="16"/>
      <c r="V405" s="439"/>
      <c r="W405" s="439"/>
      <c r="X405" s="439"/>
      <c r="Y405" s="439"/>
      <c r="Z405" s="439"/>
      <c r="AA405" s="439"/>
      <c r="AB405" s="439"/>
      <c r="AC405" s="439"/>
      <c r="AD405" s="439"/>
      <c r="AE405" s="439"/>
      <c r="AF405" s="439"/>
    </row>
    <row r="406" ht="16.5" customHeight="1">
      <c r="A406" s="439"/>
      <c r="B406" s="454">
        <f t="shared" si="4"/>
        <v>1397</v>
      </c>
      <c r="C406" s="472"/>
      <c r="D406" s="442" t="str">
        <f>IF(G406="","",(VLOOKUP(G406,'2. SMDA BHN'!$B$12:$J512,2,0)))</f>
        <v/>
      </c>
      <c r="E406" s="443">
        <f>IF(G406=0,0,(VLOOKUP(G406,'2. SMDA BHN'!$B$12:$J512,3,0)))</f>
        <v>0</v>
      </c>
      <c r="F406" s="444"/>
      <c r="G406" s="467"/>
      <c r="H406" s="446">
        <f>IF(G406=0,0,(VLOOKUP(G406,'2. SMDA BHN'!$B$12:$H512,4,0)))</f>
        <v>0</v>
      </c>
      <c r="I406" s="473"/>
      <c r="J406" s="447"/>
      <c r="K406" s="448">
        <f>SUMIF('PO MTRL'!$G$9:$G512,G406,'PO MTRL'!$J$9:$J512)</f>
        <v>0</v>
      </c>
      <c r="L406" s="448">
        <f t="shared" si="1"/>
        <v>0</v>
      </c>
      <c r="M406" s="449">
        <f>SUMIF('PO MTRL'!$G$9:$G512,G406,'PO MTRL'!$L$9:$L512)</f>
        <v>0</v>
      </c>
      <c r="N406" s="450">
        <f>IF(G406=0,0,(VLOOKUP(G406,'2. SMDA BHN'!$B$12:$H512,5,0)))</f>
        <v>0</v>
      </c>
      <c r="O406" s="450">
        <f>IF(G406=0,0,(VLOOKUP(G406,'2. SMDA BHN'!$B$12:$H512,7,0)))</f>
        <v>0</v>
      </c>
      <c r="P406" s="449">
        <f t="shared" si="2"/>
        <v>0</v>
      </c>
      <c r="Q406" s="449">
        <f t="shared" si="3"/>
        <v>0</v>
      </c>
      <c r="R406" s="451" t="s">
        <v>45</v>
      </c>
      <c r="S406" s="474"/>
      <c r="T406" s="439"/>
      <c r="U406" s="16"/>
      <c r="V406" s="439"/>
      <c r="W406" s="439"/>
      <c r="X406" s="439"/>
      <c r="Y406" s="439"/>
      <c r="Z406" s="439"/>
      <c r="AA406" s="439"/>
      <c r="AB406" s="439"/>
      <c r="AC406" s="439"/>
      <c r="AD406" s="439"/>
      <c r="AE406" s="439"/>
      <c r="AF406" s="439"/>
    </row>
    <row r="407" ht="16.5" customHeight="1">
      <c r="A407" s="439"/>
      <c r="B407" s="454">
        <f t="shared" si="4"/>
        <v>1398</v>
      </c>
      <c r="C407" s="472"/>
      <c r="D407" s="442" t="str">
        <f>IF(G407="","",(VLOOKUP(G407,'2. SMDA BHN'!$B$12:$J512,2,0)))</f>
        <v/>
      </c>
      <c r="E407" s="443">
        <f>IF(G407=0,0,(VLOOKUP(G407,'2. SMDA BHN'!$B$12:$J512,3,0)))</f>
        <v>0</v>
      </c>
      <c r="F407" s="444"/>
      <c r="G407" s="467"/>
      <c r="H407" s="446">
        <f>IF(G407=0,0,(VLOOKUP(G407,'2. SMDA BHN'!$B$12:$H512,4,0)))</f>
        <v>0</v>
      </c>
      <c r="I407" s="473"/>
      <c r="J407" s="447"/>
      <c r="K407" s="448">
        <f>SUMIF('PO MTRL'!$G$9:$G512,G407,'PO MTRL'!$J$9:$J512)</f>
        <v>0</v>
      </c>
      <c r="L407" s="448">
        <f t="shared" si="1"/>
        <v>0</v>
      </c>
      <c r="M407" s="449">
        <f>SUMIF('PO MTRL'!$G$9:$G512,G407,'PO MTRL'!$L$9:$L512)</f>
        <v>0</v>
      </c>
      <c r="N407" s="450">
        <f>IF(G407=0,0,(VLOOKUP(G407,'2. SMDA BHN'!$B$12:$H512,5,0)))</f>
        <v>0</v>
      </c>
      <c r="O407" s="450">
        <f>IF(G407=0,0,(VLOOKUP(G407,'2. SMDA BHN'!$B$12:$H512,7,0)))</f>
        <v>0</v>
      </c>
      <c r="P407" s="449">
        <f t="shared" si="2"/>
        <v>0</v>
      </c>
      <c r="Q407" s="449">
        <f t="shared" si="3"/>
        <v>0</v>
      </c>
      <c r="R407" s="451" t="s">
        <v>45</v>
      </c>
      <c r="S407" s="474"/>
      <c r="T407" s="439"/>
      <c r="U407" s="16"/>
      <c r="V407" s="439"/>
      <c r="W407" s="439"/>
      <c r="X407" s="439"/>
      <c r="Y407" s="439"/>
      <c r="Z407" s="439"/>
      <c r="AA407" s="439"/>
      <c r="AB407" s="439"/>
      <c r="AC407" s="439"/>
      <c r="AD407" s="439"/>
      <c r="AE407" s="439"/>
      <c r="AF407" s="439"/>
    </row>
    <row r="408" ht="16.5" customHeight="1">
      <c r="A408" s="439"/>
      <c r="B408" s="454">
        <f t="shared" si="4"/>
        <v>1399</v>
      </c>
      <c r="C408" s="472"/>
      <c r="D408" s="442" t="str">
        <f>IF(G408="","",(VLOOKUP(G408,'2. SMDA BHN'!$B$12:$J512,2,0)))</f>
        <v/>
      </c>
      <c r="E408" s="443">
        <f>IF(G408=0,0,(VLOOKUP(G408,'2. SMDA BHN'!$B$12:$J512,3,0)))</f>
        <v>0</v>
      </c>
      <c r="F408" s="444"/>
      <c r="G408" s="467"/>
      <c r="H408" s="446">
        <f>IF(G408=0,0,(VLOOKUP(G408,'2. SMDA BHN'!$B$12:$H512,4,0)))</f>
        <v>0</v>
      </c>
      <c r="I408" s="473"/>
      <c r="J408" s="447"/>
      <c r="K408" s="448">
        <f>SUMIF('PO MTRL'!$G$9:$G512,G408,'PO MTRL'!$J$9:$J512)</f>
        <v>0</v>
      </c>
      <c r="L408" s="448">
        <f t="shared" si="1"/>
        <v>0</v>
      </c>
      <c r="M408" s="449">
        <f>SUMIF('PO MTRL'!$G$9:$G512,G408,'PO MTRL'!$L$9:$L512)</f>
        <v>0</v>
      </c>
      <c r="N408" s="450">
        <f>IF(G408=0,0,(VLOOKUP(G408,'2. SMDA BHN'!$B$12:$H512,5,0)))</f>
        <v>0</v>
      </c>
      <c r="O408" s="450">
        <f>IF(G408=0,0,(VLOOKUP(G408,'2. SMDA BHN'!$B$12:$H512,7,0)))</f>
        <v>0</v>
      </c>
      <c r="P408" s="449">
        <f t="shared" si="2"/>
        <v>0</v>
      </c>
      <c r="Q408" s="449">
        <f t="shared" si="3"/>
        <v>0</v>
      </c>
      <c r="R408" s="451" t="s">
        <v>45</v>
      </c>
      <c r="S408" s="474"/>
      <c r="T408" s="439"/>
      <c r="U408" s="16"/>
      <c r="V408" s="439"/>
      <c r="W408" s="439"/>
      <c r="X408" s="439"/>
      <c r="Y408" s="439"/>
      <c r="Z408" s="439"/>
      <c r="AA408" s="439"/>
      <c r="AB408" s="439"/>
      <c r="AC408" s="439"/>
      <c r="AD408" s="439"/>
      <c r="AE408" s="439"/>
      <c r="AF408" s="439"/>
    </row>
    <row r="409" ht="16.5" customHeight="1">
      <c r="A409" s="439"/>
      <c r="B409" s="454">
        <f t="shared" si="4"/>
        <v>1400</v>
      </c>
      <c r="C409" s="472"/>
      <c r="D409" s="442" t="str">
        <f>IF(G409="","",(VLOOKUP(G409,'2. SMDA BHN'!$B$12:$J512,2,0)))</f>
        <v/>
      </c>
      <c r="E409" s="443">
        <f>IF(G409=0,0,(VLOOKUP(G409,'2. SMDA BHN'!$B$12:$J512,3,0)))</f>
        <v>0</v>
      </c>
      <c r="F409" s="444"/>
      <c r="G409" s="467"/>
      <c r="H409" s="446">
        <f>IF(G409=0,0,(VLOOKUP(G409,'2. SMDA BHN'!$B$12:$H512,4,0)))</f>
        <v>0</v>
      </c>
      <c r="I409" s="473"/>
      <c r="J409" s="447"/>
      <c r="K409" s="448">
        <f>SUMIF('PO MTRL'!$G$9:$G512,G409,'PO MTRL'!$J$9:$J512)</f>
        <v>0</v>
      </c>
      <c r="L409" s="448">
        <f t="shared" si="1"/>
        <v>0</v>
      </c>
      <c r="M409" s="449">
        <f>SUMIF('PO MTRL'!$G$9:$G512,G409,'PO MTRL'!$L$9:$L512)</f>
        <v>0</v>
      </c>
      <c r="N409" s="450">
        <f>IF(G409=0,0,(VLOOKUP(G409,'2. SMDA BHN'!$B$12:$H512,5,0)))</f>
        <v>0</v>
      </c>
      <c r="O409" s="450">
        <f>IF(G409=0,0,(VLOOKUP(G409,'2. SMDA BHN'!$B$12:$H512,7,0)))</f>
        <v>0</v>
      </c>
      <c r="P409" s="449">
        <f t="shared" si="2"/>
        <v>0</v>
      </c>
      <c r="Q409" s="449">
        <f t="shared" si="3"/>
        <v>0</v>
      </c>
      <c r="R409" s="451" t="s">
        <v>45</v>
      </c>
      <c r="S409" s="474"/>
      <c r="T409" s="439"/>
      <c r="U409" s="16"/>
      <c r="V409" s="439"/>
      <c r="W409" s="439"/>
      <c r="X409" s="439"/>
      <c r="Y409" s="439"/>
      <c r="Z409" s="439"/>
      <c r="AA409" s="439"/>
      <c r="AB409" s="439"/>
      <c r="AC409" s="439"/>
      <c r="AD409" s="439"/>
      <c r="AE409" s="439"/>
      <c r="AF409" s="439"/>
    </row>
    <row r="410" ht="16.5" customHeight="1">
      <c r="A410" s="439"/>
      <c r="B410" s="454">
        <f t="shared" si="4"/>
        <v>1401</v>
      </c>
      <c r="C410" s="472"/>
      <c r="D410" s="442" t="str">
        <f>IF(G410="","",(VLOOKUP(G410,'2. SMDA BHN'!$B$12:$J512,2,0)))</f>
        <v/>
      </c>
      <c r="E410" s="443">
        <f>IF(G410=0,0,(VLOOKUP(G410,'2. SMDA BHN'!$B$12:$J512,3,0)))</f>
        <v>0</v>
      </c>
      <c r="F410" s="444"/>
      <c r="G410" s="467"/>
      <c r="H410" s="446">
        <f>IF(G410=0,0,(VLOOKUP(G410,'2. SMDA BHN'!$B$12:$H512,4,0)))</f>
        <v>0</v>
      </c>
      <c r="I410" s="473"/>
      <c r="J410" s="447"/>
      <c r="K410" s="448">
        <f>SUMIF('PO MTRL'!$G$9:$G512,G410,'PO MTRL'!$J$9:$J512)</f>
        <v>0</v>
      </c>
      <c r="L410" s="448">
        <f t="shared" si="1"/>
        <v>0</v>
      </c>
      <c r="M410" s="449">
        <f>SUMIF('PO MTRL'!$G$9:$G512,G410,'PO MTRL'!$L$9:$L512)</f>
        <v>0</v>
      </c>
      <c r="N410" s="450">
        <f>IF(G410=0,0,(VLOOKUP(G410,'2. SMDA BHN'!$B$12:$H512,5,0)))</f>
        <v>0</v>
      </c>
      <c r="O410" s="450">
        <f>IF(G410=0,0,(VLOOKUP(G410,'2. SMDA BHN'!$B$12:$H512,7,0)))</f>
        <v>0</v>
      </c>
      <c r="P410" s="449">
        <f t="shared" si="2"/>
        <v>0</v>
      </c>
      <c r="Q410" s="449">
        <f t="shared" si="3"/>
        <v>0</v>
      </c>
      <c r="R410" s="451" t="s">
        <v>45</v>
      </c>
      <c r="S410" s="474"/>
      <c r="T410" s="439"/>
      <c r="U410" s="16"/>
      <c r="V410" s="439"/>
      <c r="W410" s="439"/>
      <c r="X410" s="439"/>
      <c r="Y410" s="439"/>
      <c r="Z410" s="439"/>
      <c r="AA410" s="439"/>
      <c r="AB410" s="439"/>
      <c r="AC410" s="439"/>
      <c r="AD410" s="439"/>
      <c r="AE410" s="439"/>
      <c r="AF410" s="439"/>
    </row>
    <row r="411" ht="16.5" customHeight="1">
      <c r="A411" s="439"/>
      <c r="B411" s="454">
        <f t="shared" si="4"/>
        <v>1402</v>
      </c>
      <c r="C411" s="472"/>
      <c r="D411" s="442" t="str">
        <f>IF(G411="","",(VLOOKUP(G411,'2. SMDA BHN'!$B$12:$J512,2,0)))</f>
        <v/>
      </c>
      <c r="E411" s="443">
        <f>IF(G411=0,0,(VLOOKUP(G411,'2. SMDA BHN'!$B$12:$J512,3,0)))</f>
        <v>0</v>
      </c>
      <c r="F411" s="444"/>
      <c r="G411" s="467"/>
      <c r="H411" s="446">
        <f>IF(G411=0,0,(VLOOKUP(G411,'2. SMDA BHN'!$B$12:$H512,4,0)))</f>
        <v>0</v>
      </c>
      <c r="I411" s="473"/>
      <c r="J411" s="447"/>
      <c r="K411" s="448">
        <f>SUMIF('PO MTRL'!$G$9:$G512,G411,'PO MTRL'!$J$9:$J512)</f>
        <v>0</v>
      </c>
      <c r="L411" s="448">
        <f t="shared" si="1"/>
        <v>0</v>
      </c>
      <c r="M411" s="449">
        <f>SUMIF('PO MTRL'!$G$9:$G512,G411,'PO MTRL'!$L$9:$L512)</f>
        <v>0</v>
      </c>
      <c r="N411" s="450">
        <f>IF(G411=0,0,(VLOOKUP(G411,'2. SMDA BHN'!$B$12:$H512,5,0)))</f>
        <v>0</v>
      </c>
      <c r="O411" s="450">
        <f>IF(G411=0,0,(VLOOKUP(G411,'2. SMDA BHN'!$B$12:$H512,7,0)))</f>
        <v>0</v>
      </c>
      <c r="P411" s="449">
        <f t="shared" si="2"/>
        <v>0</v>
      </c>
      <c r="Q411" s="449">
        <f t="shared" si="3"/>
        <v>0</v>
      </c>
      <c r="R411" s="451" t="s">
        <v>45</v>
      </c>
      <c r="S411" s="474"/>
      <c r="T411" s="439"/>
      <c r="U411" s="16"/>
      <c r="V411" s="439"/>
      <c r="W411" s="439"/>
      <c r="X411" s="439"/>
      <c r="Y411" s="439"/>
      <c r="Z411" s="439"/>
      <c r="AA411" s="439"/>
      <c r="AB411" s="439"/>
      <c r="AC411" s="439"/>
      <c r="AD411" s="439"/>
      <c r="AE411" s="439"/>
      <c r="AF411" s="439"/>
    </row>
    <row r="412" ht="16.5" customHeight="1">
      <c r="A412" s="439"/>
      <c r="B412" s="454">
        <f t="shared" si="4"/>
        <v>1403</v>
      </c>
      <c r="C412" s="472"/>
      <c r="D412" s="442" t="str">
        <f>IF(G412="","",(VLOOKUP(G412,'2. SMDA BHN'!$B$12:$J512,2,0)))</f>
        <v/>
      </c>
      <c r="E412" s="443">
        <f>IF(G412=0,0,(VLOOKUP(G412,'2. SMDA BHN'!$B$12:$J512,3,0)))</f>
        <v>0</v>
      </c>
      <c r="F412" s="444"/>
      <c r="G412" s="467"/>
      <c r="H412" s="446">
        <f>IF(G412=0,0,(VLOOKUP(G412,'2. SMDA BHN'!$B$12:$H512,4,0)))</f>
        <v>0</v>
      </c>
      <c r="I412" s="473"/>
      <c r="J412" s="447"/>
      <c r="K412" s="448">
        <f>SUMIF('PO MTRL'!$G$9:$G512,G412,'PO MTRL'!$J$9:$J512)</f>
        <v>0</v>
      </c>
      <c r="L412" s="448">
        <f t="shared" si="1"/>
        <v>0</v>
      </c>
      <c r="M412" s="449">
        <f>SUMIF('PO MTRL'!$G$9:$G512,G412,'PO MTRL'!$L$9:$L512)</f>
        <v>0</v>
      </c>
      <c r="N412" s="450">
        <f>IF(G412=0,0,(VLOOKUP(G412,'2. SMDA BHN'!$B$12:$H512,5,0)))</f>
        <v>0</v>
      </c>
      <c r="O412" s="450">
        <f>IF(G412=0,0,(VLOOKUP(G412,'2. SMDA BHN'!$B$12:$H512,7,0)))</f>
        <v>0</v>
      </c>
      <c r="P412" s="449">
        <f t="shared" si="2"/>
        <v>0</v>
      </c>
      <c r="Q412" s="449">
        <f t="shared" si="3"/>
        <v>0</v>
      </c>
      <c r="R412" s="451" t="s">
        <v>45</v>
      </c>
      <c r="S412" s="474"/>
      <c r="T412" s="439"/>
      <c r="U412" s="16"/>
      <c r="V412" s="439"/>
      <c r="W412" s="439"/>
      <c r="X412" s="439"/>
      <c r="Y412" s="439"/>
      <c r="Z412" s="439"/>
      <c r="AA412" s="439"/>
      <c r="AB412" s="439"/>
      <c r="AC412" s="439"/>
      <c r="AD412" s="439"/>
      <c r="AE412" s="439"/>
      <c r="AF412" s="439"/>
    </row>
    <row r="413" ht="16.5" customHeight="1">
      <c r="A413" s="439"/>
      <c r="B413" s="454">
        <f t="shared" si="4"/>
        <v>1404</v>
      </c>
      <c r="C413" s="472"/>
      <c r="D413" s="442" t="str">
        <f>IF(G413="","",(VLOOKUP(G413,'2. SMDA BHN'!$B$12:$J512,2,0)))</f>
        <v/>
      </c>
      <c r="E413" s="443">
        <f>IF(G413=0,0,(VLOOKUP(G413,'2. SMDA BHN'!$B$12:$J512,3,0)))</f>
        <v>0</v>
      </c>
      <c r="F413" s="444"/>
      <c r="G413" s="467"/>
      <c r="H413" s="446">
        <f>IF(G413=0,0,(VLOOKUP(G413,'2. SMDA BHN'!$B$12:$H512,4,0)))</f>
        <v>0</v>
      </c>
      <c r="I413" s="473"/>
      <c r="J413" s="447"/>
      <c r="K413" s="448">
        <f>SUMIF('PO MTRL'!$G$9:$G512,G413,'PO MTRL'!$J$9:$J512)</f>
        <v>0</v>
      </c>
      <c r="L413" s="448">
        <f t="shared" si="1"/>
        <v>0</v>
      </c>
      <c r="M413" s="449">
        <f>SUMIF('PO MTRL'!$G$9:$G512,G413,'PO MTRL'!$L$9:$L512)</f>
        <v>0</v>
      </c>
      <c r="N413" s="450">
        <f>IF(G413=0,0,(VLOOKUP(G413,'2. SMDA BHN'!$B$12:$H512,5,0)))</f>
        <v>0</v>
      </c>
      <c r="O413" s="450">
        <f>IF(G413=0,0,(VLOOKUP(G413,'2. SMDA BHN'!$B$12:$H512,7,0)))</f>
        <v>0</v>
      </c>
      <c r="P413" s="449">
        <f t="shared" si="2"/>
        <v>0</v>
      </c>
      <c r="Q413" s="449">
        <f t="shared" si="3"/>
        <v>0</v>
      </c>
      <c r="R413" s="451" t="s">
        <v>45</v>
      </c>
      <c r="S413" s="474"/>
      <c r="T413" s="439"/>
      <c r="U413" s="16"/>
      <c r="V413" s="439"/>
      <c r="W413" s="439"/>
      <c r="X413" s="439"/>
      <c r="Y413" s="439"/>
      <c r="Z413" s="439"/>
      <c r="AA413" s="439"/>
      <c r="AB413" s="439"/>
      <c r="AC413" s="439"/>
      <c r="AD413" s="439"/>
      <c r="AE413" s="439"/>
      <c r="AF413" s="439"/>
    </row>
    <row r="414" ht="16.5" customHeight="1">
      <c r="A414" s="439"/>
      <c r="B414" s="454">
        <f t="shared" si="4"/>
        <v>1405</v>
      </c>
      <c r="C414" s="472"/>
      <c r="D414" s="442" t="str">
        <f>IF(G414="","",(VLOOKUP(G414,'2. SMDA BHN'!$B$12:$J512,2,0)))</f>
        <v/>
      </c>
      <c r="E414" s="443">
        <f>IF(G414=0,0,(VLOOKUP(G414,'2. SMDA BHN'!$B$12:$J512,3,0)))</f>
        <v>0</v>
      </c>
      <c r="F414" s="444"/>
      <c r="G414" s="467"/>
      <c r="H414" s="446">
        <f>IF(G414=0,0,(VLOOKUP(G414,'2. SMDA BHN'!$B$12:$H512,4,0)))</f>
        <v>0</v>
      </c>
      <c r="I414" s="473"/>
      <c r="J414" s="447"/>
      <c r="K414" s="448">
        <f>SUMIF('PO MTRL'!$G$9:$G512,G414,'PO MTRL'!$J$9:$J512)</f>
        <v>0</v>
      </c>
      <c r="L414" s="448">
        <f t="shared" si="1"/>
        <v>0</v>
      </c>
      <c r="M414" s="449">
        <f>SUMIF('PO MTRL'!$G$9:$G512,G414,'PO MTRL'!$L$9:$L512)</f>
        <v>0</v>
      </c>
      <c r="N414" s="450">
        <f>IF(G414=0,0,(VLOOKUP(G414,'2. SMDA BHN'!$B$12:$H512,5,0)))</f>
        <v>0</v>
      </c>
      <c r="O414" s="450">
        <f>IF(G414=0,0,(VLOOKUP(G414,'2. SMDA BHN'!$B$12:$H512,7,0)))</f>
        <v>0</v>
      </c>
      <c r="P414" s="449">
        <f t="shared" si="2"/>
        <v>0</v>
      </c>
      <c r="Q414" s="449">
        <f t="shared" si="3"/>
        <v>0</v>
      </c>
      <c r="R414" s="451" t="s">
        <v>45</v>
      </c>
      <c r="S414" s="474"/>
      <c r="T414" s="439"/>
      <c r="U414" s="16"/>
      <c r="V414" s="439"/>
      <c r="W414" s="439"/>
      <c r="X414" s="439"/>
      <c r="Y414" s="439"/>
      <c r="Z414" s="439"/>
      <c r="AA414" s="439"/>
      <c r="AB414" s="439"/>
      <c r="AC414" s="439"/>
      <c r="AD414" s="439"/>
      <c r="AE414" s="439"/>
      <c r="AF414" s="439"/>
    </row>
    <row r="415" ht="16.5" customHeight="1">
      <c r="A415" s="439"/>
      <c r="B415" s="454">
        <f t="shared" si="4"/>
        <v>1406</v>
      </c>
      <c r="C415" s="472"/>
      <c r="D415" s="442" t="str">
        <f>IF(G415="","",(VLOOKUP(G415,'2. SMDA BHN'!$B$12:$J512,2,0)))</f>
        <v/>
      </c>
      <c r="E415" s="443">
        <f>IF(G415=0,0,(VLOOKUP(G415,'2. SMDA BHN'!$B$12:$J512,3,0)))</f>
        <v>0</v>
      </c>
      <c r="F415" s="444"/>
      <c r="G415" s="467"/>
      <c r="H415" s="446">
        <f>IF(G415=0,0,(VLOOKUP(G415,'2. SMDA BHN'!$B$12:$H512,4,0)))</f>
        <v>0</v>
      </c>
      <c r="I415" s="473"/>
      <c r="J415" s="447"/>
      <c r="K415" s="448">
        <f>SUMIF('PO MTRL'!$G$9:$G512,G415,'PO MTRL'!$J$9:$J512)</f>
        <v>0</v>
      </c>
      <c r="L415" s="448">
        <f t="shared" si="1"/>
        <v>0</v>
      </c>
      <c r="M415" s="449">
        <f>SUMIF('PO MTRL'!$G$9:$G512,G415,'PO MTRL'!$L$9:$L512)</f>
        <v>0</v>
      </c>
      <c r="N415" s="450">
        <f>IF(G415=0,0,(VLOOKUP(G415,'2. SMDA BHN'!$B$12:$H512,5,0)))</f>
        <v>0</v>
      </c>
      <c r="O415" s="450">
        <f>IF(G415=0,0,(VLOOKUP(G415,'2. SMDA BHN'!$B$12:$H512,7,0)))</f>
        <v>0</v>
      </c>
      <c r="P415" s="449">
        <f t="shared" si="2"/>
        <v>0</v>
      </c>
      <c r="Q415" s="449">
        <f t="shared" si="3"/>
        <v>0</v>
      </c>
      <c r="R415" s="451" t="s">
        <v>45</v>
      </c>
      <c r="S415" s="474"/>
      <c r="T415" s="439"/>
      <c r="U415" s="16"/>
      <c r="V415" s="439"/>
      <c r="W415" s="439"/>
      <c r="X415" s="439"/>
      <c r="Y415" s="439"/>
      <c r="Z415" s="439"/>
      <c r="AA415" s="439"/>
      <c r="AB415" s="439"/>
      <c r="AC415" s="439"/>
      <c r="AD415" s="439"/>
      <c r="AE415" s="439"/>
      <c r="AF415" s="439"/>
    </row>
    <row r="416" ht="16.5" customHeight="1">
      <c r="A416" s="439"/>
      <c r="B416" s="454">
        <f t="shared" si="4"/>
        <v>1407</v>
      </c>
      <c r="C416" s="472"/>
      <c r="D416" s="442" t="str">
        <f>IF(G416="","",(VLOOKUP(G416,'2. SMDA BHN'!$B$12:$J512,2,0)))</f>
        <v/>
      </c>
      <c r="E416" s="443">
        <f>IF(G416=0,0,(VLOOKUP(G416,'2. SMDA BHN'!$B$12:$J512,3,0)))</f>
        <v>0</v>
      </c>
      <c r="F416" s="444"/>
      <c r="G416" s="467"/>
      <c r="H416" s="446">
        <f>IF(G416=0,0,(VLOOKUP(G416,'2. SMDA BHN'!$B$12:$H512,4,0)))</f>
        <v>0</v>
      </c>
      <c r="I416" s="473"/>
      <c r="J416" s="447"/>
      <c r="K416" s="448">
        <f>SUMIF('PO MTRL'!$G$9:$G512,G416,'PO MTRL'!$J$9:$J512)</f>
        <v>0</v>
      </c>
      <c r="L416" s="448">
        <f t="shared" si="1"/>
        <v>0</v>
      </c>
      <c r="M416" s="449">
        <f>SUMIF('PO MTRL'!$G$9:$G512,G416,'PO MTRL'!$L$9:$L512)</f>
        <v>0</v>
      </c>
      <c r="N416" s="450">
        <f>IF(G416=0,0,(VLOOKUP(G416,'2. SMDA BHN'!$B$12:$H512,5,0)))</f>
        <v>0</v>
      </c>
      <c r="O416" s="450">
        <f>IF(G416=0,0,(VLOOKUP(G416,'2. SMDA BHN'!$B$12:$H512,7,0)))</f>
        <v>0</v>
      </c>
      <c r="P416" s="449">
        <f t="shared" si="2"/>
        <v>0</v>
      </c>
      <c r="Q416" s="449">
        <f t="shared" si="3"/>
        <v>0</v>
      </c>
      <c r="R416" s="451" t="s">
        <v>45</v>
      </c>
      <c r="S416" s="474"/>
      <c r="T416" s="439"/>
      <c r="U416" s="16"/>
      <c r="V416" s="439"/>
      <c r="W416" s="439"/>
      <c r="X416" s="439"/>
      <c r="Y416" s="439"/>
      <c r="Z416" s="439"/>
      <c r="AA416" s="439"/>
      <c r="AB416" s="439"/>
      <c r="AC416" s="439"/>
      <c r="AD416" s="439"/>
      <c r="AE416" s="439"/>
      <c r="AF416" s="439"/>
    </row>
    <row r="417" ht="16.5" customHeight="1">
      <c r="A417" s="439"/>
      <c r="B417" s="454">
        <f t="shared" si="4"/>
        <v>1408</v>
      </c>
      <c r="C417" s="472"/>
      <c r="D417" s="442" t="str">
        <f>IF(G417="","",(VLOOKUP(G417,'2. SMDA BHN'!$B$12:$J512,2,0)))</f>
        <v/>
      </c>
      <c r="E417" s="443">
        <f>IF(G417=0,0,(VLOOKUP(G417,'2. SMDA BHN'!$B$12:$J512,3,0)))</f>
        <v>0</v>
      </c>
      <c r="F417" s="444"/>
      <c r="G417" s="467"/>
      <c r="H417" s="446">
        <f>IF(G417=0,0,(VLOOKUP(G417,'2. SMDA BHN'!$B$12:$H512,4,0)))</f>
        <v>0</v>
      </c>
      <c r="I417" s="473"/>
      <c r="J417" s="447"/>
      <c r="K417" s="448">
        <f>SUMIF('PO MTRL'!$G$9:$G512,G417,'PO MTRL'!$J$9:$J512)</f>
        <v>0</v>
      </c>
      <c r="L417" s="448">
        <f t="shared" si="1"/>
        <v>0</v>
      </c>
      <c r="M417" s="449">
        <f>SUMIF('PO MTRL'!$G$9:$G512,G417,'PO MTRL'!$L$9:$L512)</f>
        <v>0</v>
      </c>
      <c r="N417" s="450">
        <f>IF(G417=0,0,(VLOOKUP(G417,'2. SMDA BHN'!$B$12:$H512,5,0)))</f>
        <v>0</v>
      </c>
      <c r="O417" s="450">
        <f>IF(G417=0,0,(VLOOKUP(G417,'2. SMDA BHN'!$B$12:$H512,7,0)))</f>
        <v>0</v>
      </c>
      <c r="P417" s="449">
        <f t="shared" si="2"/>
        <v>0</v>
      </c>
      <c r="Q417" s="449">
        <f t="shared" si="3"/>
        <v>0</v>
      </c>
      <c r="R417" s="451" t="s">
        <v>45</v>
      </c>
      <c r="S417" s="474"/>
      <c r="T417" s="439"/>
      <c r="U417" s="16"/>
      <c r="V417" s="439"/>
      <c r="W417" s="439"/>
      <c r="X417" s="439"/>
      <c r="Y417" s="439"/>
      <c r="Z417" s="439"/>
      <c r="AA417" s="439"/>
      <c r="AB417" s="439"/>
      <c r="AC417" s="439"/>
      <c r="AD417" s="439"/>
      <c r="AE417" s="439"/>
      <c r="AF417" s="439"/>
    </row>
    <row r="418" ht="16.5" customHeight="1">
      <c r="A418" s="439"/>
      <c r="B418" s="454">
        <f t="shared" si="4"/>
        <v>1409</v>
      </c>
      <c r="C418" s="472"/>
      <c r="D418" s="442" t="str">
        <f>IF(G418="","",(VLOOKUP(G418,'2. SMDA BHN'!$B$12:$J512,2,0)))</f>
        <v/>
      </c>
      <c r="E418" s="443">
        <f>IF(G418=0,0,(VLOOKUP(G418,'2. SMDA BHN'!$B$12:$J512,3,0)))</f>
        <v>0</v>
      </c>
      <c r="F418" s="444"/>
      <c r="G418" s="467"/>
      <c r="H418" s="446">
        <f>IF(G418=0,0,(VLOOKUP(G418,'2. SMDA BHN'!$B$12:$H512,4,0)))</f>
        <v>0</v>
      </c>
      <c r="I418" s="473"/>
      <c r="J418" s="447"/>
      <c r="K418" s="448">
        <f>SUMIF('PO MTRL'!$G$9:$G512,G418,'PO MTRL'!$J$9:$J512)</f>
        <v>0</v>
      </c>
      <c r="L418" s="448">
        <f t="shared" si="1"/>
        <v>0</v>
      </c>
      <c r="M418" s="449">
        <f>SUMIF('PO MTRL'!$G$9:$G512,G418,'PO MTRL'!$L$9:$L512)</f>
        <v>0</v>
      </c>
      <c r="N418" s="450">
        <f>IF(G418=0,0,(VLOOKUP(G418,'2. SMDA BHN'!$B$12:$H512,5,0)))</f>
        <v>0</v>
      </c>
      <c r="O418" s="450">
        <f>IF(G418=0,0,(VLOOKUP(G418,'2. SMDA BHN'!$B$12:$H512,7,0)))</f>
        <v>0</v>
      </c>
      <c r="P418" s="449">
        <f t="shared" si="2"/>
        <v>0</v>
      </c>
      <c r="Q418" s="449">
        <f t="shared" si="3"/>
        <v>0</v>
      </c>
      <c r="R418" s="451" t="s">
        <v>45</v>
      </c>
      <c r="S418" s="474"/>
      <c r="T418" s="439"/>
      <c r="U418" s="16"/>
      <c r="V418" s="439"/>
      <c r="W418" s="439"/>
      <c r="X418" s="439"/>
      <c r="Y418" s="439"/>
      <c r="Z418" s="439"/>
      <c r="AA418" s="439"/>
      <c r="AB418" s="439"/>
      <c r="AC418" s="439"/>
      <c r="AD418" s="439"/>
      <c r="AE418" s="439"/>
      <c r="AF418" s="439"/>
    </row>
    <row r="419" ht="16.5" customHeight="1">
      <c r="A419" s="439"/>
      <c r="B419" s="454">
        <f t="shared" si="4"/>
        <v>1410</v>
      </c>
      <c r="C419" s="472"/>
      <c r="D419" s="442" t="str">
        <f>IF(G419="","",(VLOOKUP(G419,'2. SMDA BHN'!$B$12:$J512,2,0)))</f>
        <v/>
      </c>
      <c r="E419" s="443">
        <f>IF(G419=0,0,(VLOOKUP(G419,'2. SMDA BHN'!$B$12:$J512,3,0)))</f>
        <v>0</v>
      </c>
      <c r="F419" s="444"/>
      <c r="G419" s="467"/>
      <c r="H419" s="446">
        <f>IF(G419=0,0,(VLOOKUP(G419,'2. SMDA BHN'!$B$12:$H512,4,0)))</f>
        <v>0</v>
      </c>
      <c r="I419" s="473"/>
      <c r="J419" s="447"/>
      <c r="K419" s="448">
        <f>SUMIF('PO MTRL'!$G$9:$G512,G419,'PO MTRL'!$J$9:$J512)</f>
        <v>0</v>
      </c>
      <c r="L419" s="448">
        <f t="shared" si="1"/>
        <v>0</v>
      </c>
      <c r="M419" s="449">
        <f>SUMIF('PO MTRL'!$G$9:$G512,G419,'PO MTRL'!$L$9:$L512)</f>
        <v>0</v>
      </c>
      <c r="N419" s="450">
        <f>IF(G419=0,0,(VLOOKUP(G419,'2. SMDA BHN'!$B$12:$H512,5,0)))</f>
        <v>0</v>
      </c>
      <c r="O419" s="450">
        <f>IF(G419=0,0,(VLOOKUP(G419,'2. SMDA BHN'!$B$12:$H512,7,0)))</f>
        <v>0</v>
      </c>
      <c r="P419" s="449">
        <f t="shared" si="2"/>
        <v>0</v>
      </c>
      <c r="Q419" s="449">
        <f t="shared" si="3"/>
        <v>0</v>
      </c>
      <c r="R419" s="451" t="s">
        <v>45</v>
      </c>
      <c r="S419" s="474"/>
      <c r="T419" s="439"/>
      <c r="U419" s="16"/>
      <c r="V419" s="439"/>
      <c r="W419" s="439"/>
      <c r="X419" s="439"/>
      <c r="Y419" s="439"/>
      <c r="Z419" s="439"/>
      <c r="AA419" s="439"/>
      <c r="AB419" s="439"/>
      <c r="AC419" s="439"/>
      <c r="AD419" s="439"/>
      <c r="AE419" s="439"/>
      <c r="AF419" s="439"/>
    </row>
    <row r="420" ht="16.5" customHeight="1">
      <c r="A420" s="439"/>
      <c r="B420" s="454">
        <f t="shared" si="4"/>
        <v>1411</v>
      </c>
      <c r="C420" s="472"/>
      <c r="D420" s="442" t="str">
        <f>IF(G420="","",(VLOOKUP(G420,'2. SMDA BHN'!$B$12:$J512,2,0)))</f>
        <v/>
      </c>
      <c r="E420" s="443">
        <f>IF(G420=0,0,(VLOOKUP(G420,'2. SMDA BHN'!$B$12:$J512,3,0)))</f>
        <v>0</v>
      </c>
      <c r="F420" s="444"/>
      <c r="G420" s="467"/>
      <c r="H420" s="446">
        <f>IF(G420=0,0,(VLOOKUP(G420,'2. SMDA BHN'!$B$12:$H512,4,0)))</f>
        <v>0</v>
      </c>
      <c r="I420" s="473"/>
      <c r="J420" s="447"/>
      <c r="K420" s="448">
        <f>SUMIF('PO MTRL'!$G$9:$G512,G420,'PO MTRL'!$J$9:$J512)</f>
        <v>0</v>
      </c>
      <c r="L420" s="448">
        <f t="shared" si="1"/>
        <v>0</v>
      </c>
      <c r="M420" s="449">
        <f>SUMIF('PO MTRL'!$G$9:$G512,G420,'PO MTRL'!$L$9:$L512)</f>
        <v>0</v>
      </c>
      <c r="N420" s="450">
        <f>IF(G420=0,0,(VLOOKUP(G420,'2. SMDA BHN'!$B$12:$H512,5,0)))</f>
        <v>0</v>
      </c>
      <c r="O420" s="450">
        <f>IF(G420=0,0,(VLOOKUP(G420,'2. SMDA BHN'!$B$12:$H512,7,0)))</f>
        <v>0</v>
      </c>
      <c r="P420" s="449">
        <f t="shared" si="2"/>
        <v>0</v>
      </c>
      <c r="Q420" s="449">
        <f t="shared" si="3"/>
        <v>0</v>
      </c>
      <c r="R420" s="451" t="s">
        <v>45</v>
      </c>
      <c r="S420" s="474"/>
      <c r="T420" s="439"/>
      <c r="U420" s="16"/>
      <c r="V420" s="439"/>
      <c r="W420" s="439"/>
      <c r="X420" s="439"/>
      <c r="Y420" s="439"/>
      <c r="Z420" s="439"/>
      <c r="AA420" s="439"/>
      <c r="AB420" s="439"/>
      <c r="AC420" s="439"/>
      <c r="AD420" s="439"/>
      <c r="AE420" s="439"/>
      <c r="AF420" s="439"/>
    </row>
    <row r="421" ht="16.5" customHeight="1">
      <c r="A421" s="439"/>
      <c r="B421" s="454">
        <f t="shared" si="4"/>
        <v>1412</v>
      </c>
      <c r="C421" s="472"/>
      <c r="D421" s="442" t="str">
        <f>IF(G421="","",(VLOOKUP(G421,'2. SMDA BHN'!$B$12:$J512,2,0)))</f>
        <v/>
      </c>
      <c r="E421" s="443">
        <f>IF(G421=0,0,(VLOOKUP(G421,'2. SMDA BHN'!$B$12:$J512,3,0)))</f>
        <v>0</v>
      </c>
      <c r="F421" s="444"/>
      <c r="G421" s="467"/>
      <c r="H421" s="446">
        <f>IF(G421=0,0,(VLOOKUP(G421,'2. SMDA BHN'!$B$12:$H512,4,0)))</f>
        <v>0</v>
      </c>
      <c r="I421" s="473"/>
      <c r="J421" s="447"/>
      <c r="K421" s="448">
        <f>SUMIF('PO MTRL'!$G$9:$G512,G421,'PO MTRL'!$J$9:$J512)</f>
        <v>0</v>
      </c>
      <c r="L421" s="448">
        <f t="shared" si="1"/>
        <v>0</v>
      </c>
      <c r="M421" s="449">
        <f>SUMIF('PO MTRL'!$G$9:$G512,G421,'PO MTRL'!$L$9:$L512)</f>
        <v>0</v>
      </c>
      <c r="N421" s="450">
        <f>IF(G421=0,0,(VLOOKUP(G421,'2. SMDA BHN'!$B$12:$H512,5,0)))</f>
        <v>0</v>
      </c>
      <c r="O421" s="450">
        <f>IF(G421=0,0,(VLOOKUP(G421,'2. SMDA BHN'!$B$12:$H512,7,0)))</f>
        <v>0</v>
      </c>
      <c r="P421" s="449">
        <f t="shared" si="2"/>
        <v>0</v>
      </c>
      <c r="Q421" s="449">
        <f t="shared" si="3"/>
        <v>0</v>
      </c>
      <c r="R421" s="451" t="s">
        <v>45</v>
      </c>
      <c r="S421" s="474"/>
      <c r="T421" s="439"/>
      <c r="U421" s="16"/>
      <c r="V421" s="439"/>
      <c r="W421" s="439"/>
      <c r="X421" s="439"/>
      <c r="Y421" s="439"/>
      <c r="Z421" s="439"/>
      <c r="AA421" s="439"/>
      <c r="AB421" s="439"/>
      <c r="AC421" s="439"/>
      <c r="AD421" s="439"/>
      <c r="AE421" s="439"/>
      <c r="AF421" s="439"/>
    </row>
    <row r="422" ht="16.5" customHeight="1">
      <c r="A422" s="439"/>
      <c r="B422" s="454">
        <f t="shared" si="4"/>
        <v>1413</v>
      </c>
      <c r="C422" s="472"/>
      <c r="D422" s="442" t="str">
        <f>IF(G422="","",(VLOOKUP(G422,'2. SMDA BHN'!$B$12:$J512,2,0)))</f>
        <v/>
      </c>
      <c r="E422" s="443">
        <f>IF(G422=0,0,(VLOOKUP(G422,'2. SMDA BHN'!$B$12:$J512,3,0)))</f>
        <v>0</v>
      </c>
      <c r="F422" s="444"/>
      <c r="G422" s="467"/>
      <c r="H422" s="446">
        <f>IF(G422=0,0,(VLOOKUP(G422,'2. SMDA BHN'!$B$12:$H512,4,0)))</f>
        <v>0</v>
      </c>
      <c r="I422" s="473"/>
      <c r="J422" s="447"/>
      <c r="K422" s="448">
        <f>SUMIF('PO MTRL'!$G$9:$G512,G422,'PO MTRL'!$J$9:$J512)</f>
        <v>0</v>
      </c>
      <c r="L422" s="448">
        <f t="shared" si="1"/>
        <v>0</v>
      </c>
      <c r="M422" s="449">
        <f>SUMIF('PO MTRL'!$G$9:$G512,G422,'PO MTRL'!$L$9:$L512)</f>
        <v>0</v>
      </c>
      <c r="N422" s="450">
        <f>IF(G422=0,0,(VLOOKUP(G422,'2. SMDA BHN'!$B$12:$H512,5,0)))</f>
        <v>0</v>
      </c>
      <c r="O422" s="450">
        <f>IF(G422=0,0,(VLOOKUP(G422,'2. SMDA BHN'!$B$12:$H512,7,0)))</f>
        <v>0</v>
      </c>
      <c r="P422" s="449">
        <f t="shared" si="2"/>
        <v>0</v>
      </c>
      <c r="Q422" s="449">
        <f t="shared" si="3"/>
        <v>0</v>
      </c>
      <c r="R422" s="451" t="s">
        <v>45</v>
      </c>
      <c r="S422" s="474"/>
      <c r="T422" s="439"/>
      <c r="U422" s="16"/>
      <c r="V422" s="439"/>
      <c r="W422" s="439"/>
      <c r="X422" s="439"/>
      <c r="Y422" s="439"/>
      <c r="Z422" s="439"/>
      <c r="AA422" s="439"/>
      <c r="AB422" s="439"/>
      <c r="AC422" s="439"/>
      <c r="AD422" s="439"/>
      <c r="AE422" s="439"/>
      <c r="AF422" s="439"/>
    </row>
    <row r="423" ht="16.5" customHeight="1">
      <c r="A423" s="439"/>
      <c r="B423" s="454">
        <f t="shared" si="4"/>
        <v>1414</v>
      </c>
      <c r="C423" s="472"/>
      <c r="D423" s="442" t="str">
        <f>IF(G423="","",(VLOOKUP(G423,'2. SMDA BHN'!$B$12:$J512,2,0)))</f>
        <v/>
      </c>
      <c r="E423" s="443">
        <f>IF(G423=0,0,(VLOOKUP(G423,'2. SMDA BHN'!$B$12:$J512,3,0)))</f>
        <v>0</v>
      </c>
      <c r="F423" s="444"/>
      <c r="G423" s="467"/>
      <c r="H423" s="446">
        <f>IF(G423=0,0,(VLOOKUP(G423,'2. SMDA BHN'!$B$12:$H512,4,0)))</f>
        <v>0</v>
      </c>
      <c r="I423" s="473"/>
      <c r="J423" s="447"/>
      <c r="K423" s="448">
        <f>SUMIF('PO MTRL'!$G$9:$G512,G423,'PO MTRL'!$J$9:$J512)</f>
        <v>0</v>
      </c>
      <c r="L423" s="448">
        <f t="shared" si="1"/>
        <v>0</v>
      </c>
      <c r="M423" s="449">
        <f>SUMIF('PO MTRL'!$G$9:$G512,G423,'PO MTRL'!$L$9:$L512)</f>
        <v>0</v>
      </c>
      <c r="N423" s="450">
        <f>IF(G423=0,0,(VLOOKUP(G423,'2. SMDA BHN'!$B$12:$H512,5,0)))</f>
        <v>0</v>
      </c>
      <c r="O423" s="450">
        <f>IF(G423=0,0,(VLOOKUP(G423,'2. SMDA BHN'!$B$12:$H512,7,0)))</f>
        <v>0</v>
      </c>
      <c r="P423" s="449">
        <f t="shared" si="2"/>
        <v>0</v>
      </c>
      <c r="Q423" s="449">
        <f t="shared" si="3"/>
        <v>0</v>
      </c>
      <c r="R423" s="451" t="s">
        <v>45</v>
      </c>
      <c r="S423" s="474"/>
      <c r="T423" s="439"/>
      <c r="U423" s="16"/>
      <c r="V423" s="439"/>
      <c r="W423" s="439"/>
      <c r="X423" s="439"/>
      <c r="Y423" s="439"/>
      <c r="Z423" s="439"/>
      <c r="AA423" s="439"/>
      <c r="AB423" s="439"/>
      <c r="AC423" s="439"/>
      <c r="AD423" s="439"/>
      <c r="AE423" s="439"/>
      <c r="AF423" s="439"/>
    </row>
    <row r="424" ht="16.5" customHeight="1">
      <c r="A424" s="439"/>
      <c r="B424" s="454">
        <f t="shared" si="4"/>
        <v>1415</v>
      </c>
      <c r="C424" s="472"/>
      <c r="D424" s="442" t="str">
        <f>IF(G424="","",(VLOOKUP(G424,'2. SMDA BHN'!$B$12:$J512,2,0)))</f>
        <v/>
      </c>
      <c r="E424" s="443">
        <f>IF(G424=0,0,(VLOOKUP(G424,'2. SMDA BHN'!$B$12:$J512,3,0)))</f>
        <v>0</v>
      </c>
      <c r="F424" s="444"/>
      <c r="G424" s="467"/>
      <c r="H424" s="446">
        <f>IF(G424=0,0,(VLOOKUP(G424,'2. SMDA BHN'!$B$12:$H512,4,0)))</f>
        <v>0</v>
      </c>
      <c r="I424" s="473"/>
      <c r="J424" s="447"/>
      <c r="K424" s="448">
        <f>SUMIF('PO MTRL'!$G$9:$G512,G424,'PO MTRL'!$J$9:$J512)</f>
        <v>0</v>
      </c>
      <c r="L424" s="448">
        <f t="shared" si="1"/>
        <v>0</v>
      </c>
      <c r="M424" s="449">
        <f>SUMIF('PO MTRL'!$G$9:$G512,G424,'PO MTRL'!$L$9:$L512)</f>
        <v>0</v>
      </c>
      <c r="N424" s="450">
        <f>IF(G424=0,0,(VLOOKUP(G424,'2. SMDA BHN'!$B$12:$H512,5,0)))</f>
        <v>0</v>
      </c>
      <c r="O424" s="450">
        <f>IF(G424=0,0,(VLOOKUP(G424,'2. SMDA BHN'!$B$12:$H512,7,0)))</f>
        <v>0</v>
      </c>
      <c r="P424" s="449">
        <f t="shared" si="2"/>
        <v>0</v>
      </c>
      <c r="Q424" s="449">
        <f t="shared" si="3"/>
        <v>0</v>
      </c>
      <c r="R424" s="451" t="s">
        <v>45</v>
      </c>
      <c r="S424" s="474"/>
      <c r="T424" s="439"/>
      <c r="U424" s="16"/>
      <c r="V424" s="439"/>
      <c r="W424" s="439"/>
      <c r="X424" s="439"/>
      <c r="Y424" s="439"/>
      <c r="Z424" s="439"/>
      <c r="AA424" s="439"/>
      <c r="AB424" s="439"/>
      <c r="AC424" s="439"/>
      <c r="AD424" s="439"/>
      <c r="AE424" s="439"/>
      <c r="AF424" s="439"/>
    </row>
    <row r="425" ht="16.5" customHeight="1">
      <c r="A425" s="439"/>
      <c r="B425" s="454">
        <f t="shared" si="4"/>
        <v>1416</v>
      </c>
      <c r="C425" s="472"/>
      <c r="D425" s="442" t="str">
        <f>IF(G425="","",(VLOOKUP(G425,'2. SMDA BHN'!$B$12:$J512,2,0)))</f>
        <v/>
      </c>
      <c r="E425" s="443">
        <f>IF(G425=0,0,(VLOOKUP(G425,'2. SMDA BHN'!$B$12:$J512,3,0)))</f>
        <v>0</v>
      </c>
      <c r="F425" s="444"/>
      <c r="G425" s="467"/>
      <c r="H425" s="446">
        <f>IF(G425=0,0,(VLOOKUP(G425,'2. SMDA BHN'!$B$12:$H512,4,0)))</f>
        <v>0</v>
      </c>
      <c r="I425" s="473"/>
      <c r="J425" s="447"/>
      <c r="K425" s="448">
        <f>SUMIF('PO MTRL'!$G$9:$G512,G425,'PO MTRL'!$J$9:$J512)</f>
        <v>0</v>
      </c>
      <c r="L425" s="448">
        <f t="shared" si="1"/>
        <v>0</v>
      </c>
      <c r="M425" s="449">
        <f>SUMIF('PO MTRL'!$G$9:$G512,G425,'PO MTRL'!$L$9:$L512)</f>
        <v>0</v>
      </c>
      <c r="N425" s="450">
        <f>IF(G425=0,0,(VLOOKUP(G425,'2. SMDA BHN'!$B$12:$H512,5,0)))</f>
        <v>0</v>
      </c>
      <c r="O425" s="450">
        <f>IF(G425=0,0,(VLOOKUP(G425,'2. SMDA BHN'!$B$12:$H512,7,0)))</f>
        <v>0</v>
      </c>
      <c r="P425" s="449">
        <f t="shared" si="2"/>
        <v>0</v>
      </c>
      <c r="Q425" s="449">
        <f t="shared" si="3"/>
        <v>0</v>
      </c>
      <c r="R425" s="451" t="s">
        <v>45</v>
      </c>
      <c r="S425" s="474"/>
      <c r="T425" s="439"/>
      <c r="U425" s="16"/>
      <c r="V425" s="439"/>
      <c r="W425" s="439"/>
      <c r="X425" s="439"/>
      <c r="Y425" s="439"/>
      <c r="Z425" s="439"/>
      <c r="AA425" s="439"/>
      <c r="AB425" s="439"/>
      <c r="AC425" s="439"/>
      <c r="AD425" s="439"/>
      <c r="AE425" s="439"/>
      <c r="AF425" s="439"/>
    </row>
    <row r="426" ht="16.5" customHeight="1">
      <c r="A426" s="439"/>
      <c r="B426" s="454">
        <f t="shared" si="4"/>
        <v>1417</v>
      </c>
      <c r="C426" s="472"/>
      <c r="D426" s="442" t="str">
        <f>IF(G426="","",(VLOOKUP(G426,'2. SMDA BHN'!$B$12:$J512,2,0)))</f>
        <v/>
      </c>
      <c r="E426" s="443">
        <f>IF(G426=0,0,(VLOOKUP(G426,'2. SMDA BHN'!$B$12:$J512,3,0)))</f>
        <v>0</v>
      </c>
      <c r="F426" s="444"/>
      <c r="G426" s="467"/>
      <c r="H426" s="446">
        <f>IF(G426=0,0,(VLOOKUP(G426,'2. SMDA BHN'!$B$12:$H512,4,0)))</f>
        <v>0</v>
      </c>
      <c r="I426" s="473"/>
      <c r="J426" s="447"/>
      <c r="K426" s="448">
        <f>SUMIF('PO MTRL'!$G$9:$G512,G426,'PO MTRL'!$J$9:$J512)</f>
        <v>0</v>
      </c>
      <c r="L426" s="448">
        <f t="shared" si="1"/>
        <v>0</v>
      </c>
      <c r="M426" s="449">
        <f>SUMIF('PO MTRL'!$G$9:$G512,G426,'PO MTRL'!$L$9:$L512)</f>
        <v>0</v>
      </c>
      <c r="N426" s="450">
        <f>IF(G426=0,0,(VLOOKUP(G426,'2. SMDA BHN'!$B$12:$H512,5,0)))</f>
        <v>0</v>
      </c>
      <c r="O426" s="450">
        <f>IF(G426=0,0,(VLOOKUP(G426,'2. SMDA BHN'!$B$12:$H512,7,0)))</f>
        <v>0</v>
      </c>
      <c r="P426" s="449">
        <f t="shared" si="2"/>
        <v>0</v>
      </c>
      <c r="Q426" s="449">
        <f t="shared" si="3"/>
        <v>0</v>
      </c>
      <c r="R426" s="451" t="s">
        <v>45</v>
      </c>
      <c r="S426" s="474"/>
      <c r="T426" s="439"/>
      <c r="U426" s="16"/>
      <c r="V426" s="439"/>
      <c r="W426" s="439"/>
      <c r="X426" s="439"/>
      <c r="Y426" s="439"/>
      <c r="Z426" s="439"/>
      <c r="AA426" s="439"/>
      <c r="AB426" s="439"/>
      <c r="AC426" s="439"/>
      <c r="AD426" s="439"/>
      <c r="AE426" s="439"/>
      <c r="AF426" s="439"/>
    </row>
    <row r="427" ht="16.5" customHeight="1">
      <c r="A427" s="439"/>
      <c r="B427" s="454">
        <f t="shared" si="4"/>
        <v>1418</v>
      </c>
      <c r="C427" s="472"/>
      <c r="D427" s="442" t="str">
        <f>IF(G427="","",(VLOOKUP(G427,'2. SMDA BHN'!$B$12:$J512,2,0)))</f>
        <v/>
      </c>
      <c r="E427" s="443">
        <f>IF(G427=0,0,(VLOOKUP(G427,'2. SMDA BHN'!$B$12:$J512,3,0)))</f>
        <v>0</v>
      </c>
      <c r="F427" s="444"/>
      <c r="G427" s="467"/>
      <c r="H427" s="446">
        <f>IF(G427=0,0,(VLOOKUP(G427,'2. SMDA BHN'!$B$12:$H512,4,0)))</f>
        <v>0</v>
      </c>
      <c r="I427" s="473"/>
      <c r="J427" s="447"/>
      <c r="K427" s="448">
        <f>SUMIF('PO MTRL'!$G$9:$G512,G427,'PO MTRL'!$J$9:$J512)</f>
        <v>0</v>
      </c>
      <c r="L427" s="448">
        <f t="shared" si="1"/>
        <v>0</v>
      </c>
      <c r="M427" s="449">
        <f>SUMIF('PO MTRL'!$G$9:$G512,G427,'PO MTRL'!$L$9:$L512)</f>
        <v>0</v>
      </c>
      <c r="N427" s="450">
        <f>IF(G427=0,0,(VLOOKUP(G427,'2. SMDA BHN'!$B$12:$H512,5,0)))</f>
        <v>0</v>
      </c>
      <c r="O427" s="450">
        <f>IF(G427=0,0,(VLOOKUP(G427,'2. SMDA BHN'!$B$12:$H512,7,0)))</f>
        <v>0</v>
      </c>
      <c r="P427" s="449">
        <f t="shared" si="2"/>
        <v>0</v>
      </c>
      <c r="Q427" s="449">
        <f t="shared" si="3"/>
        <v>0</v>
      </c>
      <c r="R427" s="451" t="s">
        <v>45</v>
      </c>
      <c r="S427" s="474"/>
      <c r="T427" s="439"/>
      <c r="U427" s="16"/>
      <c r="V427" s="439"/>
      <c r="W427" s="439"/>
      <c r="X427" s="439"/>
      <c r="Y427" s="439"/>
      <c r="Z427" s="439"/>
      <c r="AA427" s="439"/>
      <c r="AB427" s="439"/>
      <c r="AC427" s="439"/>
      <c r="AD427" s="439"/>
      <c r="AE427" s="439"/>
      <c r="AF427" s="439"/>
    </row>
    <row r="428" ht="16.5" customHeight="1">
      <c r="A428" s="439"/>
      <c r="B428" s="454">
        <f t="shared" si="4"/>
        <v>1419</v>
      </c>
      <c r="C428" s="472"/>
      <c r="D428" s="442" t="str">
        <f>IF(G428="","",(VLOOKUP(G428,'2. SMDA BHN'!$B$12:$J512,2,0)))</f>
        <v/>
      </c>
      <c r="E428" s="443">
        <f>IF(G428=0,0,(VLOOKUP(G428,'2. SMDA BHN'!$B$12:$J512,3,0)))</f>
        <v>0</v>
      </c>
      <c r="F428" s="444"/>
      <c r="G428" s="467"/>
      <c r="H428" s="446">
        <f>IF(G428=0,0,(VLOOKUP(G428,'2. SMDA BHN'!$B$12:$H512,4,0)))</f>
        <v>0</v>
      </c>
      <c r="I428" s="473"/>
      <c r="J428" s="447"/>
      <c r="K428" s="448">
        <f>SUMIF('PO MTRL'!$G$9:$G512,G428,'PO MTRL'!$J$9:$J512)</f>
        <v>0</v>
      </c>
      <c r="L428" s="448">
        <f t="shared" si="1"/>
        <v>0</v>
      </c>
      <c r="M428" s="449">
        <f>SUMIF('PO MTRL'!$G$9:$G512,G428,'PO MTRL'!$L$9:$L512)</f>
        <v>0</v>
      </c>
      <c r="N428" s="450">
        <f>IF(G428=0,0,(VLOOKUP(G428,'2. SMDA BHN'!$B$12:$H512,5,0)))</f>
        <v>0</v>
      </c>
      <c r="O428" s="450">
        <f>IF(G428=0,0,(VLOOKUP(G428,'2. SMDA BHN'!$B$12:$H512,7,0)))</f>
        <v>0</v>
      </c>
      <c r="P428" s="449">
        <f t="shared" si="2"/>
        <v>0</v>
      </c>
      <c r="Q428" s="449">
        <f t="shared" si="3"/>
        <v>0</v>
      </c>
      <c r="R428" s="451" t="s">
        <v>45</v>
      </c>
      <c r="S428" s="474"/>
      <c r="T428" s="439"/>
      <c r="U428" s="16"/>
      <c r="V428" s="439"/>
      <c r="W428" s="439"/>
      <c r="X428" s="439"/>
      <c r="Y428" s="439"/>
      <c r="Z428" s="439"/>
      <c r="AA428" s="439"/>
      <c r="AB428" s="439"/>
      <c r="AC428" s="439"/>
      <c r="AD428" s="439"/>
      <c r="AE428" s="439"/>
      <c r="AF428" s="439"/>
    </row>
    <row r="429" ht="16.5" customHeight="1">
      <c r="A429" s="439"/>
      <c r="B429" s="454">
        <f t="shared" si="4"/>
        <v>1420</v>
      </c>
      <c r="C429" s="472"/>
      <c r="D429" s="442" t="str">
        <f>IF(G429="","",(VLOOKUP(G429,'2. SMDA BHN'!$B$12:$J512,2,0)))</f>
        <v/>
      </c>
      <c r="E429" s="443">
        <f>IF(G429=0,0,(VLOOKUP(G429,'2. SMDA BHN'!$B$12:$J512,3,0)))</f>
        <v>0</v>
      </c>
      <c r="F429" s="444"/>
      <c r="G429" s="467"/>
      <c r="H429" s="446">
        <f>IF(G429=0,0,(VLOOKUP(G429,'2. SMDA BHN'!$B$12:$H512,4,0)))</f>
        <v>0</v>
      </c>
      <c r="I429" s="473"/>
      <c r="J429" s="447"/>
      <c r="K429" s="448">
        <f>SUMIF('PO MTRL'!$G$9:$G512,G429,'PO MTRL'!$J$9:$J512)</f>
        <v>0</v>
      </c>
      <c r="L429" s="448">
        <f t="shared" si="1"/>
        <v>0</v>
      </c>
      <c r="M429" s="449">
        <f>SUMIF('PO MTRL'!$G$9:$G512,G429,'PO MTRL'!$L$9:$L512)</f>
        <v>0</v>
      </c>
      <c r="N429" s="450">
        <f>IF(G429=0,0,(VLOOKUP(G429,'2. SMDA BHN'!$B$12:$H512,5,0)))</f>
        <v>0</v>
      </c>
      <c r="O429" s="450">
        <f>IF(G429=0,0,(VLOOKUP(G429,'2. SMDA BHN'!$B$12:$H512,7,0)))</f>
        <v>0</v>
      </c>
      <c r="P429" s="449">
        <f t="shared" si="2"/>
        <v>0</v>
      </c>
      <c r="Q429" s="449">
        <f t="shared" si="3"/>
        <v>0</v>
      </c>
      <c r="R429" s="451" t="s">
        <v>45</v>
      </c>
      <c r="S429" s="474"/>
      <c r="T429" s="439"/>
      <c r="U429" s="16"/>
      <c r="V429" s="439"/>
      <c r="W429" s="439"/>
      <c r="X429" s="439"/>
      <c r="Y429" s="439"/>
      <c r="Z429" s="439"/>
      <c r="AA429" s="439"/>
      <c r="AB429" s="439"/>
      <c r="AC429" s="439"/>
      <c r="AD429" s="439"/>
      <c r="AE429" s="439"/>
      <c r="AF429" s="439"/>
    </row>
    <row r="430" ht="16.5" customHeight="1">
      <c r="A430" s="439"/>
      <c r="B430" s="454">
        <f t="shared" si="4"/>
        <v>1421</v>
      </c>
      <c r="C430" s="472"/>
      <c r="D430" s="442" t="str">
        <f>IF(G430="","",(VLOOKUP(G430,'2. SMDA BHN'!$B$12:$J512,2,0)))</f>
        <v/>
      </c>
      <c r="E430" s="443">
        <f>IF(G430=0,0,(VLOOKUP(G430,'2. SMDA BHN'!$B$12:$J512,3,0)))</f>
        <v>0</v>
      </c>
      <c r="F430" s="444"/>
      <c r="G430" s="467"/>
      <c r="H430" s="446">
        <f>IF(G430=0,0,(VLOOKUP(G430,'2. SMDA BHN'!$B$12:$H512,4,0)))</f>
        <v>0</v>
      </c>
      <c r="I430" s="473"/>
      <c r="J430" s="447"/>
      <c r="K430" s="448">
        <f>SUMIF('PO MTRL'!$G$9:$G512,G430,'PO MTRL'!$J$9:$J512)</f>
        <v>0</v>
      </c>
      <c r="L430" s="448">
        <f t="shared" si="1"/>
        <v>0</v>
      </c>
      <c r="M430" s="449">
        <f>SUMIF('PO MTRL'!$G$9:$G512,G430,'PO MTRL'!$L$9:$L512)</f>
        <v>0</v>
      </c>
      <c r="N430" s="450">
        <f>IF(G430=0,0,(VLOOKUP(G430,'2. SMDA BHN'!$B$12:$H512,5,0)))</f>
        <v>0</v>
      </c>
      <c r="O430" s="450">
        <f>IF(G430=0,0,(VLOOKUP(G430,'2. SMDA BHN'!$B$12:$H512,7,0)))</f>
        <v>0</v>
      </c>
      <c r="P430" s="449">
        <f t="shared" si="2"/>
        <v>0</v>
      </c>
      <c r="Q430" s="449">
        <f t="shared" si="3"/>
        <v>0</v>
      </c>
      <c r="R430" s="451" t="s">
        <v>45</v>
      </c>
      <c r="S430" s="474"/>
      <c r="T430" s="439"/>
      <c r="U430" s="16"/>
      <c r="V430" s="439"/>
      <c r="W430" s="439"/>
      <c r="X430" s="439"/>
      <c r="Y430" s="439"/>
      <c r="Z430" s="439"/>
      <c r="AA430" s="439"/>
      <c r="AB430" s="439"/>
      <c r="AC430" s="439"/>
      <c r="AD430" s="439"/>
      <c r="AE430" s="439"/>
      <c r="AF430" s="439"/>
    </row>
    <row r="431" ht="16.5" customHeight="1">
      <c r="A431" s="439"/>
      <c r="B431" s="454">
        <f t="shared" si="4"/>
        <v>1422</v>
      </c>
      <c r="C431" s="472"/>
      <c r="D431" s="442" t="str">
        <f>IF(G431="","",(VLOOKUP(G431,'2. SMDA BHN'!$B$12:$J512,2,0)))</f>
        <v/>
      </c>
      <c r="E431" s="443">
        <f>IF(G431=0,0,(VLOOKUP(G431,'2. SMDA BHN'!$B$12:$J512,3,0)))</f>
        <v>0</v>
      </c>
      <c r="F431" s="444"/>
      <c r="G431" s="467"/>
      <c r="H431" s="446">
        <f>IF(G431=0,0,(VLOOKUP(G431,'2. SMDA BHN'!$B$12:$H512,4,0)))</f>
        <v>0</v>
      </c>
      <c r="I431" s="473"/>
      <c r="J431" s="447"/>
      <c r="K431" s="448">
        <f>SUMIF('PO MTRL'!$G$9:$G512,G431,'PO MTRL'!$J$9:$J512)</f>
        <v>0</v>
      </c>
      <c r="L431" s="448">
        <f t="shared" si="1"/>
        <v>0</v>
      </c>
      <c r="M431" s="449">
        <f>SUMIF('PO MTRL'!$G$9:$G512,G431,'PO MTRL'!$L$9:$L512)</f>
        <v>0</v>
      </c>
      <c r="N431" s="450">
        <f>IF(G431=0,0,(VLOOKUP(G431,'2. SMDA BHN'!$B$12:$H512,5,0)))</f>
        <v>0</v>
      </c>
      <c r="O431" s="450">
        <f>IF(G431=0,0,(VLOOKUP(G431,'2. SMDA BHN'!$B$12:$H512,7,0)))</f>
        <v>0</v>
      </c>
      <c r="P431" s="449">
        <f t="shared" si="2"/>
        <v>0</v>
      </c>
      <c r="Q431" s="449">
        <f t="shared" si="3"/>
        <v>0</v>
      </c>
      <c r="R431" s="451" t="s">
        <v>45</v>
      </c>
      <c r="S431" s="474"/>
      <c r="T431" s="439"/>
      <c r="U431" s="16"/>
      <c r="V431" s="439"/>
      <c r="W431" s="439"/>
      <c r="X431" s="439"/>
      <c r="Y431" s="439"/>
      <c r="Z431" s="439"/>
      <c r="AA431" s="439"/>
      <c r="AB431" s="439"/>
      <c r="AC431" s="439"/>
      <c r="AD431" s="439"/>
      <c r="AE431" s="439"/>
      <c r="AF431" s="439"/>
    </row>
    <row r="432" ht="16.5" customHeight="1">
      <c r="A432" s="439"/>
      <c r="B432" s="454">
        <f t="shared" si="4"/>
        <v>1423</v>
      </c>
      <c r="C432" s="472"/>
      <c r="D432" s="442" t="str">
        <f>IF(G432="","",(VLOOKUP(G432,'2. SMDA BHN'!$B$12:$J512,2,0)))</f>
        <v/>
      </c>
      <c r="E432" s="443">
        <f>IF(G432=0,0,(VLOOKUP(G432,'2. SMDA BHN'!$B$12:$J512,3,0)))</f>
        <v>0</v>
      </c>
      <c r="F432" s="444"/>
      <c r="G432" s="467"/>
      <c r="H432" s="446">
        <f>IF(G432=0,0,(VLOOKUP(G432,'2. SMDA BHN'!$B$12:$H512,4,0)))</f>
        <v>0</v>
      </c>
      <c r="I432" s="473"/>
      <c r="J432" s="447"/>
      <c r="K432" s="448">
        <f>SUMIF('PO MTRL'!$G$9:$G512,G432,'PO MTRL'!$J$9:$J512)</f>
        <v>0</v>
      </c>
      <c r="L432" s="448">
        <f t="shared" si="1"/>
        <v>0</v>
      </c>
      <c r="M432" s="449">
        <f>SUMIF('PO MTRL'!$G$9:$G512,G432,'PO MTRL'!$L$9:$L512)</f>
        <v>0</v>
      </c>
      <c r="N432" s="450">
        <f>IF(G432=0,0,(VLOOKUP(G432,'2. SMDA BHN'!$B$12:$H512,5,0)))</f>
        <v>0</v>
      </c>
      <c r="O432" s="450">
        <f>IF(G432=0,0,(VLOOKUP(G432,'2. SMDA BHN'!$B$12:$H512,7,0)))</f>
        <v>0</v>
      </c>
      <c r="P432" s="449">
        <f t="shared" si="2"/>
        <v>0</v>
      </c>
      <c r="Q432" s="449">
        <f t="shared" si="3"/>
        <v>0</v>
      </c>
      <c r="R432" s="451" t="s">
        <v>45</v>
      </c>
      <c r="S432" s="474"/>
      <c r="T432" s="439"/>
      <c r="U432" s="16"/>
      <c r="V432" s="439"/>
      <c r="W432" s="439"/>
      <c r="X432" s="439"/>
      <c r="Y432" s="439"/>
      <c r="Z432" s="439"/>
      <c r="AA432" s="439"/>
      <c r="AB432" s="439"/>
      <c r="AC432" s="439"/>
      <c r="AD432" s="439"/>
      <c r="AE432" s="439"/>
      <c r="AF432" s="439"/>
    </row>
    <row r="433" ht="16.5" customHeight="1">
      <c r="A433" s="439"/>
      <c r="B433" s="454">
        <f t="shared" si="4"/>
        <v>1424</v>
      </c>
      <c r="C433" s="472"/>
      <c r="D433" s="442" t="str">
        <f>IF(G433="","",(VLOOKUP(G433,'2. SMDA BHN'!$B$12:$J512,2,0)))</f>
        <v/>
      </c>
      <c r="E433" s="443">
        <f>IF(G433=0,0,(VLOOKUP(G433,'2. SMDA BHN'!$B$12:$J512,3,0)))</f>
        <v>0</v>
      </c>
      <c r="F433" s="444"/>
      <c r="G433" s="467"/>
      <c r="H433" s="446">
        <f>IF(G433=0,0,(VLOOKUP(G433,'2. SMDA BHN'!$B$12:$H512,4,0)))</f>
        <v>0</v>
      </c>
      <c r="I433" s="473"/>
      <c r="J433" s="447"/>
      <c r="K433" s="448">
        <f>SUMIF('PO MTRL'!$G$9:$G512,G433,'PO MTRL'!$J$9:$J512)</f>
        <v>0</v>
      </c>
      <c r="L433" s="448">
        <f t="shared" si="1"/>
        <v>0</v>
      </c>
      <c r="M433" s="449">
        <f>SUMIF('PO MTRL'!$G$9:$G512,G433,'PO MTRL'!$L$9:$L512)</f>
        <v>0</v>
      </c>
      <c r="N433" s="450">
        <f>IF(G433=0,0,(VLOOKUP(G433,'2. SMDA BHN'!$B$12:$H512,5,0)))</f>
        <v>0</v>
      </c>
      <c r="O433" s="450">
        <f>IF(G433=0,0,(VLOOKUP(G433,'2. SMDA BHN'!$B$12:$H512,7,0)))</f>
        <v>0</v>
      </c>
      <c r="P433" s="449">
        <f t="shared" si="2"/>
        <v>0</v>
      </c>
      <c r="Q433" s="449">
        <f t="shared" si="3"/>
        <v>0</v>
      </c>
      <c r="R433" s="451" t="s">
        <v>45</v>
      </c>
      <c r="S433" s="474"/>
      <c r="T433" s="439"/>
      <c r="U433" s="16"/>
      <c r="V433" s="439"/>
      <c r="W433" s="439"/>
      <c r="X433" s="439"/>
      <c r="Y433" s="439"/>
      <c r="Z433" s="439"/>
      <c r="AA433" s="439"/>
      <c r="AB433" s="439"/>
      <c r="AC433" s="439"/>
      <c r="AD433" s="439"/>
      <c r="AE433" s="439"/>
      <c r="AF433" s="439"/>
    </row>
    <row r="434" ht="16.5" customHeight="1">
      <c r="A434" s="439"/>
      <c r="B434" s="454">
        <f t="shared" si="4"/>
        <v>1425</v>
      </c>
      <c r="C434" s="472"/>
      <c r="D434" s="442" t="str">
        <f>IF(G434="","",(VLOOKUP(G434,'2. SMDA BHN'!$B$12:$J512,2,0)))</f>
        <v/>
      </c>
      <c r="E434" s="443">
        <f>IF(G434=0,0,(VLOOKUP(G434,'2. SMDA BHN'!$B$12:$J512,3,0)))</f>
        <v>0</v>
      </c>
      <c r="F434" s="444"/>
      <c r="G434" s="467"/>
      <c r="H434" s="446">
        <f>IF(G434=0,0,(VLOOKUP(G434,'2. SMDA BHN'!$B$12:$H512,4,0)))</f>
        <v>0</v>
      </c>
      <c r="I434" s="473"/>
      <c r="J434" s="447"/>
      <c r="K434" s="448">
        <f>SUMIF('PO MTRL'!$G$9:$G512,G434,'PO MTRL'!$J$9:$J512)</f>
        <v>0</v>
      </c>
      <c r="L434" s="448">
        <f t="shared" si="1"/>
        <v>0</v>
      </c>
      <c r="M434" s="449">
        <f>SUMIF('PO MTRL'!$G$9:$G512,G434,'PO MTRL'!$L$9:$L512)</f>
        <v>0</v>
      </c>
      <c r="N434" s="450">
        <f>IF(G434=0,0,(VLOOKUP(G434,'2. SMDA BHN'!$B$12:$H512,5,0)))</f>
        <v>0</v>
      </c>
      <c r="O434" s="450">
        <f>IF(G434=0,0,(VLOOKUP(G434,'2. SMDA BHN'!$B$12:$H512,7,0)))</f>
        <v>0</v>
      </c>
      <c r="P434" s="449">
        <f t="shared" si="2"/>
        <v>0</v>
      </c>
      <c r="Q434" s="449">
        <f t="shared" si="3"/>
        <v>0</v>
      </c>
      <c r="R434" s="451" t="s">
        <v>45</v>
      </c>
      <c r="S434" s="474"/>
      <c r="T434" s="439"/>
      <c r="U434" s="16"/>
      <c r="V434" s="439"/>
      <c r="W434" s="439"/>
      <c r="X434" s="439"/>
      <c r="Y434" s="439"/>
      <c r="Z434" s="439"/>
      <c r="AA434" s="439"/>
      <c r="AB434" s="439"/>
      <c r="AC434" s="439"/>
      <c r="AD434" s="439"/>
      <c r="AE434" s="439"/>
      <c r="AF434" s="439"/>
    </row>
    <row r="435" ht="16.5" customHeight="1">
      <c r="A435" s="439"/>
      <c r="B435" s="454">
        <f t="shared" si="4"/>
        <v>1426</v>
      </c>
      <c r="C435" s="472"/>
      <c r="D435" s="442" t="str">
        <f>IF(G435="","",(VLOOKUP(G435,'2. SMDA BHN'!$B$12:$J512,2,0)))</f>
        <v/>
      </c>
      <c r="E435" s="443">
        <f>IF(G435=0,0,(VLOOKUP(G435,'2. SMDA BHN'!$B$12:$J512,3,0)))</f>
        <v>0</v>
      </c>
      <c r="F435" s="444"/>
      <c r="G435" s="467"/>
      <c r="H435" s="446">
        <f>IF(G435=0,0,(VLOOKUP(G435,'2. SMDA BHN'!$B$12:$H512,4,0)))</f>
        <v>0</v>
      </c>
      <c r="I435" s="473"/>
      <c r="J435" s="447"/>
      <c r="K435" s="448">
        <f>SUMIF('PO MTRL'!$G$9:$G512,G435,'PO MTRL'!$J$9:$J512)</f>
        <v>0</v>
      </c>
      <c r="L435" s="448">
        <f t="shared" si="1"/>
        <v>0</v>
      </c>
      <c r="M435" s="449">
        <f>SUMIF('PO MTRL'!$G$9:$G512,G435,'PO MTRL'!$L$9:$L512)</f>
        <v>0</v>
      </c>
      <c r="N435" s="450">
        <f>IF(G435=0,0,(VLOOKUP(G435,'2. SMDA BHN'!$B$12:$H512,5,0)))</f>
        <v>0</v>
      </c>
      <c r="O435" s="450">
        <f>IF(G435=0,0,(VLOOKUP(G435,'2. SMDA BHN'!$B$12:$H512,7,0)))</f>
        <v>0</v>
      </c>
      <c r="P435" s="449">
        <f t="shared" si="2"/>
        <v>0</v>
      </c>
      <c r="Q435" s="449">
        <f t="shared" si="3"/>
        <v>0</v>
      </c>
      <c r="R435" s="451" t="s">
        <v>45</v>
      </c>
      <c r="S435" s="474"/>
      <c r="T435" s="439"/>
      <c r="U435" s="16"/>
      <c r="V435" s="439"/>
      <c r="W435" s="439"/>
      <c r="X435" s="439"/>
      <c r="Y435" s="439"/>
      <c r="Z435" s="439"/>
      <c r="AA435" s="439"/>
      <c r="AB435" s="439"/>
      <c r="AC435" s="439"/>
      <c r="AD435" s="439"/>
      <c r="AE435" s="439"/>
      <c r="AF435" s="439"/>
    </row>
    <row r="436" ht="16.5" customHeight="1">
      <c r="A436" s="439"/>
      <c r="B436" s="454">
        <f t="shared" si="4"/>
        <v>1427</v>
      </c>
      <c r="C436" s="472"/>
      <c r="D436" s="442" t="str">
        <f>IF(G436="","",(VLOOKUP(G436,'2. SMDA BHN'!$B$12:$J512,2,0)))</f>
        <v/>
      </c>
      <c r="E436" s="443">
        <f>IF(G436=0,0,(VLOOKUP(G436,'2. SMDA BHN'!$B$12:$J512,3,0)))</f>
        <v>0</v>
      </c>
      <c r="F436" s="444"/>
      <c r="G436" s="467"/>
      <c r="H436" s="446">
        <f>IF(G436=0,0,(VLOOKUP(G436,'2. SMDA BHN'!$B$12:$H512,4,0)))</f>
        <v>0</v>
      </c>
      <c r="I436" s="473"/>
      <c r="J436" s="447"/>
      <c r="K436" s="448">
        <f>SUMIF('PO MTRL'!$G$9:$G512,G436,'PO MTRL'!$J$9:$J512)</f>
        <v>0</v>
      </c>
      <c r="L436" s="448">
        <f t="shared" si="1"/>
        <v>0</v>
      </c>
      <c r="M436" s="449">
        <f>SUMIF('PO MTRL'!$G$9:$G512,G436,'PO MTRL'!$L$9:$L512)</f>
        <v>0</v>
      </c>
      <c r="N436" s="450">
        <f>IF(G436=0,0,(VLOOKUP(G436,'2. SMDA BHN'!$B$12:$H512,5,0)))</f>
        <v>0</v>
      </c>
      <c r="O436" s="450">
        <f>IF(G436=0,0,(VLOOKUP(G436,'2. SMDA BHN'!$B$12:$H512,7,0)))</f>
        <v>0</v>
      </c>
      <c r="P436" s="449">
        <f t="shared" si="2"/>
        <v>0</v>
      </c>
      <c r="Q436" s="449">
        <f t="shared" si="3"/>
        <v>0</v>
      </c>
      <c r="R436" s="451" t="s">
        <v>45</v>
      </c>
      <c r="S436" s="474"/>
      <c r="T436" s="439"/>
      <c r="U436" s="16"/>
      <c r="V436" s="439"/>
      <c r="W436" s="439"/>
      <c r="X436" s="439"/>
      <c r="Y436" s="439"/>
      <c r="Z436" s="439"/>
      <c r="AA436" s="439"/>
      <c r="AB436" s="439"/>
      <c r="AC436" s="439"/>
      <c r="AD436" s="439"/>
      <c r="AE436" s="439"/>
      <c r="AF436" s="439"/>
    </row>
    <row r="437" ht="16.5" customHeight="1">
      <c r="A437" s="439"/>
      <c r="B437" s="454">
        <f t="shared" si="4"/>
        <v>1428</v>
      </c>
      <c r="C437" s="472"/>
      <c r="D437" s="442" t="str">
        <f>IF(G437="","",(VLOOKUP(G437,'2. SMDA BHN'!$B$12:$J512,2,0)))</f>
        <v/>
      </c>
      <c r="E437" s="443">
        <f>IF(G437=0,0,(VLOOKUP(G437,'2. SMDA BHN'!$B$12:$J512,3,0)))</f>
        <v>0</v>
      </c>
      <c r="F437" s="444"/>
      <c r="G437" s="467"/>
      <c r="H437" s="446">
        <f>IF(G437=0,0,(VLOOKUP(G437,'2. SMDA BHN'!$B$12:$H512,4,0)))</f>
        <v>0</v>
      </c>
      <c r="I437" s="473"/>
      <c r="J437" s="447"/>
      <c r="K437" s="448">
        <f>SUMIF('PO MTRL'!$G$9:$G512,G437,'PO MTRL'!$J$9:$J512)</f>
        <v>0</v>
      </c>
      <c r="L437" s="448">
        <f t="shared" si="1"/>
        <v>0</v>
      </c>
      <c r="M437" s="449">
        <f>SUMIF('PO MTRL'!$G$9:$G512,G437,'PO MTRL'!$L$9:$L512)</f>
        <v>0</v>
      </c>
      <c r="N437" s="450">
        <f>IF(G437=0,0,(VLOOKUP(G437,'2. SMDA BHN'!$B$12:$H512,5,0)))</f>
        <v>0</v>
      </c>
      <c r="O437" s="450">
        <f>IF(G437=0,0,(VLOOKUP(G437,'2. SMDA BHN'!$B$12:$H512,7,0)))</f>
        <v>0</v>
      </c>
      <c r="P437" s="449">
        <f t="shared" si="2"/>
        <v>0</v>
      </c>
      <c r="Q437" s="449">
        <f t="shared" si="3"/>
        <v>0</v>
      </c>
      <c r="R437" s="451" t="s">
        <v>45</v>
      </c>
      <c r="S437" s="474"/>
      <c r="T437" s="439"/>
      <c r="U437" s="16"/>
      <c r="V437" s="439"/>
      <c r="W437" s="439"/>
      <c r="X437" s="439"/>
      <c r="Y437" s="439"/>
      <c r="Z437" s="439"/>
      <c r="AA437" s="439"/>
      <c r="AB437" s="439"/>
      <c r="AC437" s="439"/>
      <c r="AD437" s="439"/>
      <c r="AE437" s="439"/>
      <c r="AF437" s="439"/>
    </row>
    <row r="438" ht="16.5" customHeight="1">
      <c r="A438" s="439"/>
      <c r="B438" s="454">
        <f t="shared" si="4"/>
        <v>1429</v>
      </c>
      <c r="C438" s="472"/>
      <c r="D438" s="442" t="str">
        <f>IF(G438="","",(VLOOKUP(G438,'2. SMDA BHN'!$B$12:$J512,2,0)))</f>
        <v/>
      </c>
      <c r="E438" s="443">
        <f>IF(G438=0,0,(VLOOKUP(G438,'2. SMDA BHN'!$B$12:$J512,3,0)))</f>
        <v>0</v>
      </c>
      <c r="F438" s="444"/>
      <c r="G438" s="467"/>
      <c r="H438" s="446">
        <f>IF(G438=0,0,(VLOOKUP(G438,'2. SMDA BHN'!$B$12:$H512,4,0)))</f>
        <v>0</v>
      </c>
      <c r="I438" s="473"/>
      <c r="J438" s="447"/>
      <c r="K438" s="448">
        <f>SUMIF('PO MTRL'!$G$9:$G512,G438,'PO MTRL'!$J$9:$J512)</f>
        <v>0</v>
      </c>
      <c r="L438" s="448">
        <f t="shared" si="1"/>
        <v>0</v>
      </c>
      <c r="M438" s="449">
        <f>SUMIF('PO MTRL'!$G$9:$G512,G438,'PO MTRL'!$L$9:$L512)</f>
        <v>0</v>
      </c>
      <c r="N438" s="450">
        <f>IF(G438=0,0,(VLOOKUP(G438,'2. SMDA BHN'!$B$12:$H512,5,0)))</f>
        <v>0</v>
      </c>
      <c r="O438" s="450">
        <f>IF(G438=0,0,(VLOOKUP(G438,'2. SMDA BHN'!$B$12:$H512,7,0)))</f>
        <v>0</v>
      </c>
      <c r="P438" s="449">
        <f t="shared" si="2"/>
        <v>0</v>
      </c>
      <c r="Q438" s="449">
        <f t="shared" si="3"/>
        <v>0</v>
      </c>
      <c r="R438" s="451" t="s">
        <v>45</v>
      </c>
      <c r="S438" s="474"/>
      <c r="T438" s="439"/>
      <c r="U438" s="16"/>
      <c r="V438" s="439"/>
      <c r="W438" s="439"/>
      <c r="X438" s="439"/>
      <c r="Y438" s="439"/>
      <c r="Z438" s="439"/>
      <c r="AA438" s="439"/>
      <c r="AB438" s="439"/>
      <c r="AC438" s="439"/>
      <c r="AD438" s="439"/>
      <c r="AE438" s="439"/>
      <c r="AF438" s="439"/>
    </row>
    <row r="439" ht="16.5" customHeight="1">
      <c r="A439" s="439"/>
      <c r="B439" s="454">
        <f t="shared" si="4"/>
        <v>1430</v>
      </c>
      <c r="C439" s="472"/>
      <c r="D439" s="442" t="str">
        <f>IF(G439="","",(VLOOKUP(G439,'2. SMDA BHN'!$B$12:$J512,2,0)))</f>
        <v/>
      </c>
      <c r="E439" s="443">
        <f>IF(G439=0,0,(VLOOKUP(G439,'2. SMDA BHN'!$B$12:$J512,3,0)))</f>
        <v>0</v>
      </c>
      <c r="F439" s="444"/>
      <c r="G439" s="467"/>
      <c r="H439" s="446">
        <f>IF(G439=0,0,(VLOOKUP(G439,'2. SMDA BHN'!$B$12:$H512,4,0)))</f>
        <v>0</v>
      </c>
      <c r="I439" s="473"/>
      <c r="J439" s="447"/>
      <c r="K439" s="448">
        <f>SUMIF('PO MTRL'!$G$9:$G512,G439,'PO MTRL'!$J$9:$J512)</f>
        <v>0</v>
      </c>
      <c r="L439" s="448">
        <f t="shared" si="1"/>
        <v>0</v>
      </c>
      <c r="M439" s="449">
        <f>SUMIF('PO MTRL'!$G$9:$G512,G439,'PO MTRL'!$L$9:$L512)</f>
        <v>0</v>
      </c>
      <c r="N439" s="450">
        <f>IF(G439=0,0,(VLOOKUP(G439,'2. SMDA BHN'!$B$12:$H512,5,0)))</f>
        <v>0</v>
      </c>
      <c r="O439" s="450">
        <f>IF(G439=0,0,(VLOOKUP(G439,'2. SMDA BHN'!$B$12:$H512,7,0)))</f>
        <v>0</v>
      </c>
      <c r="P439" s="449">
        <f t="shared" si="2"/>
        <v>0</v>
      </c>
      <c r="Q439" s="449">
        <f t="shared" si="3"/>
        <v>0</v>
      </c>
      <c r="R439" s="451" t="s">
        <v>45</v>
      </c>
      <c r="S439" s="474"/>
      <c r="T439" s="439"/>
      <c r="U439" s="16"/>
      <c r="V439" s="439"/>
      <c r="W439" s="439"/>
      <c r="X439" s="439"/>
      <c r="Y439" s="439"/>
      <c r="Z439" s="439"/>
      <c r="AA439" s="439"/>
      <c r="AB439" s="439"/>
      <c r="AC439" s="439"/>
      <c r="AD439" s="439"/>
      <c r="AE439" s="439"/>
      <c r="AF439" s="439"/>
    </row>
    <row r="440" ht="16.5" customHeight="1">
      <c r="A440" s="439"/>
      <c r="B440" s="454">
        <f t="shared" si="4"/>
        <v>1431</v>
      </c>
      <c r="C440" s="472"/>
      <c r="D440" s="442" t="str">
        <f>IF(G440="","",(VLOOKUP(G440,'2. SMDA BHN'!$B$12:$J512,2,0)))</f>
        <v/>
      </c>
      <c r="E440" s="443">
        <f>IF(G440=0,0,(VLOOKUP(G440,'2. SMDA BHN'!$B$12:$J512,3,0)))</f>
        <v>0</v>
      </c>
      <c r="F440" s="444"/>
      <c r="G440" s="467"/>
      <c r="H440" s="446">
        <f>IF(G440=0,0,(VLOOKUP(G440,'2. SMDA BHN'!$B$12:$H512,4,0)))</f>
        <v>0</v>
      </c>
      <c r="I440" s="473"/>
      <c r="J440" s="447"/>
      <c r="K440" s="448">
        <f>SUMIF('PO MTRL'!$G$9:$G512,G440,'PO MTRL'!$J$9:$J512)</f>
        <v>0</v>
      </c>
      <c r="L440" s="448">
        <f t="shared" si="1"/>
        <v>0</v>
      </c>
      <c r="M440" s="449">
        <f>SUMIF('PO MTRL'!$G$9:$G512,G440,'PO MTRL'!$L$9:$L512)</f>
        <v>0</v>
      </c>
      <c r="N440" s="450">
        <f>IF(G440=0,0,(VLOOKUP(G440,'2. SMDA BHN'!$B$12:$H512,5,0)))</f>
        <v>0</v>
      </c>
      <c r="O440" s="450">
        <f>IF(G440=0,0,(VLOOKUP(G440,'2. SMDA BHN'!$B$12:$H512,7,0)))</f>
        <v>0</v>
      </c>
      <c r="P440" s="449">
        <f t="shared" si="2"/>
        <v>0</v>
      </c>
      <c r="Q440" s="449">
        <f t="shared" si="3"/>
        <v>0</v>
      </c>
      <c r="R440" s="451" t="s">
        <v>45</v>
      </c>
      <c r="S440" s="474"/>
      <c r="T440" s="439"/>
      <c r="U440" s="16"/>
      <c r="V440" s="439"/>
      <c r="W440" s="439"/>
      <c r="X440" s="439"/>
      <c r="Y440" s="439"/>
      <c r="Z440" s="439"/>
      <c r="AA440" s="439"/>
      <c r="AB440" s="439"/>
      <c r="AC440" s="439"/>
      <c r="AD440" s="439"/>
      <c r="AE440" s="439"/>
      <c r="AF440" s="439"/>
    </row>
    <row r="441" ht="16.5" customHeight="1">
      <c r="A441" s="439"/>
      <c r="B441" s="454">
        <f t="shared" si="4"/>
        <v>1432</v>
      </c>
      <c r="C441" s="472"/>
      <c r="D441" s="442" t="str">
        <f>IF(G441="","",(VLOOKUP(G441,'2. SMDA BHN'!$B$12:$J512,2,0)))</f>
        <v/>
      </c>
      <c r="E441" s="443">
        <f>IF(G441=0,0,(VLOOKUP(G441,'2. SMDA BHN'!$B$12:$J512,3,0)))</f>
        <v>0</v>
      </c>
      <c r="F441" s="444"/>
      <c r="G441" s="467"/>
      <c r="H441" s="446">
        <f>IF(G441=0,0,(VLOOKUP(G441,'2. SMDA BHN'!$B$12:$H512,4,0)))</f>
        <v>0</v>
      </c>
      <c r="I441" s="473"/>
      <c r="J441" s="447"/>
      <c r="K441" s="448">
        <f>SUMIF('PO MTRL'!$G$9:$G512,G441,'PO MTRL'!$J$9:$J512)</f>
        <v>0</v>
      </c>
      <c r="L441" s="448">
        <f t="shared" si="1"/>
        <v>0</v>
      </c>
      <c r="M441" s="449">
        <f>SUMIF('PO MTRL'!$G$9:$G512,G441,'PO MTRL'!$L$9:$L512)</f>
        <v>0</v>
      </c>
      <c r="N441" s="450">
        <f>IF(G441=0,0,(VLOOKUP(G441,'2. SMDA BHN'!$B$12:$H512,5,0)))</f>
        <v>0</v>
      </c>
      <c r="O441" s="450">
        <f>IF(G441=0,0,(VLOOKUP(G441,'2. SMDA BHN'!$B$12:$H512,7,0)))</f>
        <v>0</v>
      </c>
      <c r="P441" s="449">
        <f t="shared" si="2"/>
        <v>0</v>
      </c>
      <c r="Q441" s="449">
        <f t="shared" si="3"/>
        <v>0</v>
      </c>
      <c r="R441" s="451" t="s">
        <v>45</v>
      </c>
      <c r="S441" s="474"/>
      <c r="T441" s="439"/>
      <c r="U441" s="16"/>
      <c r="V441" s="439"/>
      <c r="W441" s="439"/>
      <c r="X441" s="439"/>
      <c r="Y441" s="439"/>
      <c r="Z441" s="439"/>
      <c r="AA441" s="439"/>
      <c r="AB441" s="439"/>
      <c r="AC441" s="439"/>
      <c r="AD441" s="439"/>
      <c r="AE441" s="439"/>
      <c r="AF441" s="439"/>
    </row>
    <row r="442" ht="16.5" customHeight="1">
      <c r="A442" s="439"/>
      <c r="B442" s="454">
        <f t="shared" si="4"/>
        <v>1433</v>
      </c>
      <c r="C442" s="472"/>
      <c r="D442" s="442" t="str">
        <f>IF(G442="","",(VLOOKUP(G442,'2. SMDA BHN'!$B$12:$J512,2,0)))</f>
        <v/>
      </c>
      <c r="E442" s="443">
        <f>IF(G442=0,0,(VLOOKUP(G442,'2. SMDA BHN'!$B$12:$J512,3,0)))</f>
        <v>0</v>
      </c>
      <c r="F442" s="444"/>
      <c r="G442" s="467"/>
      <c r="H442" s="446">
        <f>IF(G442=0,0,(VLOOKUP(G442,'2. SMDA BHN'!$B$12:$H512,4,0)))</f>
        <v>0</v>
      </c>
      <c r="I442" s="473"/>
      <c r="J442" s="447"/>
      <c r="K442" s="448">
        <f>SUMIF('PO MTRL'!$G$9:$G512,G442,'PO MTRL'!$J$9:$J512)</f>
        <v>0</v>
      </c>
      <c r="L442" s="448">
        <f t="shared" si="1"/>
        <v>0</v>
      </c>
      <c r="M442" s="449">
        <f>SUMIF('PO MTRL'!$G$9:$G512,G442,'PO MTRL'!$L$9:$L512)</f>
        <v>0</v>
      </c>
      <c r="N442" s="450">
        <f>IF(G442=0,0,(VLOOKUP(G442,'2. SMDA BHN'!$B$12:$H512,5,0)))</f>
        <v>0</v>
      </c>
      <c r="O442" s="450">
        <f>IF(G442=0,0,(VLOOKUP(G442,'2. SMDA BHN'!$B$12:$H512,7,0)))</f>
        <v>0</v>
      </c>
      <c r="P442" s="449">
        <f t="shared" si="2"/>
        <v>0</v>
      </c>
      <c r="Q442" s="449">
        <f t="shared" si="3"/>
        <v>0</v>
      </c>
      <c r="R442" s="451" t="s">
        <v>45</v>
      </c>
      <c r="S442" s="474"/>
      <c r="T442" s="439"/>
      <c r="U442" s="16"/>
      <c r="V442" s="439"/>
      <c r="W442" s="439"/>
      <c r="X442" s="439"/>
      <c r="Y442" s="439"/>
      <c r="Z442" s="439"/>
      <c r="AA442" s="439"/>
      <c r="AB442" s="439"/>
      <c r="AC442" s="439"/>
      <c r="AD442" s="439"/>
      <c r="AE442" s="439"/>
      <c r="AF442" s="439"/>
    </row>
    <row r="443" ht="16.5" customHeight="1">
      <c r="A443" s="439"/>
      <c r="B443" s="454">
        <f t="shared" si="4"/>
        <v>1434</v>
      </c>
      <c r="C443" s="472"/>
      <c r="D443" s="442" t="str">
        <f>IF(G443="","",(VLOOKUP(G443,'2. SMDA BHN'!$B$12:$J512,2,0)))</f>
        <v/>
      </c>
      <c r="E443" s="443">
        <f>IF(G443=0,0,(VLOOKUP(G443,'2. SMDA BHN'!$B$12:$J512,3,0)))</f>
        <v>0</v>
      </c>
      <c r="F443" s="444"/>
      <c r="G443" s="467"/>
      <c r="H443" s="446">
        <f>IF(G443=0,0,(VLOOKUP(G443,'2. SMDA BHN'!$B$12:$H512,4,0)))</f>
        <v>0</v>
      </c>
      <c r="I443" s="473"/>
      <c r="J443" s="447"/>
      <c r="K443" s="448">
        <f>SUMIF('PO MTRL'!$G$9:$G512,G443,'PO MTRL'!$J$9:$J512)</f>
        <v>0</v>
      </c>
      <c r="L443" s="448">
        <f t="shared" si="1"/>
        <v>0</v>
      </c>
      <c r="M443" s="449">
        <f>SUMIF('PO MTRL'!$G$9:$G512,G443,'PO MTRL'!$L$9:$L512)</f>
        <v>0</v>
      </c>
      <c r="N443" s="450">
        <f>IF(G443=0,0,(VLOOKUP(G443,'2. SMDA BHN'!$B$12:$H512,5,0)))</f>
        <v>0</v>
      </c>
      <c r="O443" s="450">
        <f>IF(G443=0,0,(VLOOKUP(G443,'2. SMDA BHN'!$B$12:$H512,7,0)))</f>
        <v>0</v>
      </c>
      <c r="P443" s="449">
        <f t="shared" si="2"/>
        <v>0</v>
      </c>
      <c r="Q443" s="449">
        <f t="shared" si="3"/>
        <v>0</v>
      </c>
      <c r="R443" s="451" t="s">
        <v>45</v>
      </c>
      <c r="S443" s="474"/>
      <c r="T443" s="439"/>
      <c r="U443" s="16"/>
      <c r="V443" s="439"/>
      <c r="W443" s="439"/>
      <c r="X443" s="439"/>
      <c r="Y443" s="439"/>
      <c r="Z443" s="439"/>
      <c r="AA443" s="439"/>
      <c r="AB443" s="439"/>
      <c r="AC443" s="439"/>
      <c r="AD443" s="439"/>
      <c r="AE443" s="439"/>
      <c r="AF443" s="439"/>
    </row>
    <row r="444" ht="16.5" customHeight="1">
      <c r="A444" s="439"/>
      <c r="B444" s="454">
        <f t="shared" si="4"/>
        <v>1435</v>
      </c>
      <c r="C444" s="472"/>
      <c r="D444" s="442" t="str">
        <f>IF(G444="","",(VLOOKUP(G444,'2. SMDA BHN'!$B$12:$J512,2,0)))</f>
        <v/>
      </c>
      <c r="E444" s="443">
        <f>IF(G444=0,0,(VLOOKUP(G444,'2. SMDA BHN'!$B$12:$J512,3,0)))</f>
        <v>0</v>
      </c>
      <c r="F444" s="444"/>
      <c r="G444" s="467"/>
      <c r="H444" s="446">
        <f>IF(G444=0,0,(VLOOKUP(G444,'2. SMDA BHN'!$B$12:$H512,4,0)))</f>
        <v>0</v>
      </c>
      <c r="I444" s="473"/>
      <c r="J444" s="447"/>
      <c r="K444" s="448">
        <f>SUMIF('PO MTRL'!$G$9:$G512,G444,'PO MTRL'!$J$9:$J512)</f>
        <v>0</v>
      </c>
      <c r="L444" s="448">
        <f t="shared" si="1"/>
        <v>0</v>
      </c>
      <c r="M444" s="449">
        <f>SUMIF('PO MTRL'!$G$9:$G512,G444,'PO MTRL'!$L$9:$L512)</f>
        <v>0</v>
      </c>
      <c r="N444" s="450">
        <f>IF(G444=0,0,(VLOOKUP(G444,'2. SMDA BHN'!$B$12:$H512,5,0)))</f>
        <v>0</v>
      </c>
      <c r="O444" s="450">
        <f>IF(G444=0,0,(VLOOKUP(G444,'2. SMDA BHN'!$B$12:$H512,7,0)))</f>
        <v>0</v>
      </c>
      <c r="P444" s="449">
        <f t="shared" si="2"/>
        <v>0</v>
      </c>
      <c r="Q444" s="449">
        <f t="shared" si="3"/>
        <v>0</v>
      </c>
      <c r="R444" s="451" t="s">
        <v>45</v>
      </c>
      <c r="S444" s="474"/>
      <c r="T444" s="439"/>
      <c r="U444" s="16"/>
      <c r="V444" s="439"/>
      <c r="W444" s="439"/>
      <c r="X444" s="439"/>
      <c r="Y444" s="439"/>
      <c r="Z444" s="439"/>
      <c r="AA444" s="439"/>
      <c r="AB444" s="439"/>
      <c r="AC444" s="439"/>
      <c r="AD444" s="439"/>
      <c r="AE444" s="439"/>
      <c r="AF444" s="439"/>
    </row>
    <row r="445" ht="16.5" customHeight="1">
      <c r="A445" s="439"/>
      <c r="B445" s="454">
        <f t="shared" si="4"/>
        <v>1436</v>
      </c>
      <c r="C445" s="472"/>
      <c r="D445" s="442" t="str">
        <f>IF(G445="","",(VLOOKUP(G445,'2. SMDA BHN'!$B$12:$J512,2,0)))</f>
        <v/>
      </c>
      <c r="E445" s="443">
        <f>IF(G445=0,0,(VLOOKUP(G445,'2. SMDA BHN'!$B$12:$J512,3,0)))</f>
        <v>0</v>
      </c>
      <c r="F445" s="444"/>
      <c r="G445" s="467"/>
      <c r="H445" s="446">
        <f>IF(G445=0,0,(VLOOKUP(G445,'2. SMDA BHN'!$B$12:$H512,4,0)))</f>
        <v>0</v>
      </c>
      <c r="I445" s="473"/>
      <c r="J445" s="447"/>
      <c r="K445" s="448">
        <f>SUMIF('PO MTRL'!$G$9:$G512,G445,'PO MTRL'!$J$9:$J512)</f>
        <v>0</v>
      </c>
      <c r="L445" s="448">
        <f t="shared" si="1"/>
        <v>0</v>
      </c>
      <c r="M445" s="449">
        <f>SUMIF('PO MTRL'!$G$9:$G512,G445,'PO MTRL'!$L$9:$L512)</f>
        <v>0</v>
      </c>
      <c r="N445" s="450">
        <f>IF(G445=0,0,(VLOOKUP(G445,'2. SMDA BHN'!$B$12:$H512,5,0)))</f>
        <v>0</v>
      </c>
      <c r="O445" s="450">
        <f>IF(G445=0,0,(VLOOKUP(G445,'2. SMDA BHN'!$B$12:$H512,7,0)))</f>
        <v>0</v>
      </c>
      <c r="P445" s="449">
        <f t="shared" si="2"/>
        <v>0</v>
      </c>
      <c r="Q445" s="449">
        <f t="shared" si="3"/>
        <v>0</v>
      </c>
      <c r="R445" s="451" t="s">
        <v>45</v>
      </c>
      <c r="S445" s="474"/>
      <c r="T445" s="439"/>
      <c r="U445" s="16"/>
      <c r="V445" s="439"/>
      <c r="W445" s="439"/>
      <c r="X445" s="439"/>
      <c r="Y445" s="439"/>
      <c r="Z445" s="439"/>
      <c r="AA445" s="439"/>
      <c r="AB445" s="439"/>
      <c r="AC445" s="439"/>
      <c r="AD445" s="439"/>
      <c r="AE445" s="439"/>
      <c r="AF445" s="439"/>
    </row>
    <row r="446" ht="16.5" customHeight="1">
      <c r="A446" s="439"/>
      <c r="B446" s="454">
        <f t="shared" si="4"/>
        <v>1437</v>
      </c>
      <c r="C446" s="472"/>
      <c r="D446" s="442" t="str">
        <f>IF(G446="","",(VLOOKUP(G446,'2. SMDA BHN'!$B$12:$J512,2,0)))</f>
        <v/>
      </c>
      <c r="E446" s="443">
        <f>IF(G446=0,0,(VLOOKUP(G446,'2. SMDA BHN'!$B$12:$J512,3,0)))</f>
        <v>0</v>
      </c>
      <c r="F446" s="444"/>
      <c r="G446" s="467"/>
      <c r="H446" s="446">
        <f>IF(G446=0,0,(VLOOKUP(G446,'2. SMDA BHN'!$B$12:$H512,4,0)))</f>
        <v>0</v>
      </c>
      <c r="I446" s="473"/>
      <c r="J446" s="447"/>
      <c r="K446" s="448">
        <f>SUMIF('PO MTRL'!$G$9:$G512,G446,'PO MTRL'!$J$9:$J512)</f>
        <v>0</v>
      </c>
      <c r="L446" s="448">
        <f t="shared" si="1"/>
        <v>0</v>
      </c>
      <c r="M446" s="449">
        <f>SUMIF('PO MTRL'!$G$9:$G512,G446,'PO MTRL'!$L$9:$L512)</f>
        <v>0</v>
      </c>
      <c r="N446" s="450">
        <f>IF(G446=0,0,(VLOOKUP(G446,'2. SMDA BHN'!$B$12:$H512,5,0)))</f>
        <v>0</v>
      </c>
      <c r="O446" s="450">
        <f>IF(G446=0,0,(VLOOKUP(G446,'2. SMDA BHN'!$B$12:$H512,7,0)))</f>
        <v>0</v>
      </c>
      <c r="P446" s="449">
        <f t="shared" si="2"/>
        <v>0</v>
      </c>
      <c r="Q446" s="449">
        <f t="shared" si="3"/>
        <v>0</v>
      </c>
      <c r="R446" s="451" t="s">
        <v>45</v>
      </c>
      <c r="S446" s="474"/>
      <c r="T446" s="439"/>
      <c r="U446" s="16"/>
      <c r="V446" s="439"/>
      <c r="W446" s="439"/>
      <c r="X446" s="439"/>
      <c r="Y446" s="439"/>
      <c r="Z446" s="439"/>
      <c r="AA446" s="439"/>
      <c r="AB446" s="439"/>
      <c r="AC446" s="439"/>
      <c r="AD446" s="439"/>
      <c r="AE446" s="439"/>
      <c r="AF446" s="439"/>
    </row>
    <row r="447" ht="16.5" customHeight="1">
      <c r="A447" s="439"/>
      <c r="B447" s="454">
        <f t="shared" si="4"/>
        <v>1438</v>
      </c>
      <c r="C447" s="472"/>
      <c r="D447" s="442" t="str">
        <f>IF(G447="","",(VLOOKUP(G447,'2. SMDA BHN'!$B$12:$J512,2,0)))</f>
        <v/>
      </c>
      <c r="E447" s="443">
        <f>IF(G447=0,0,(VLOOKUP(G447,'2. SMDA BHN'!$B$12:$J512,3,0)))</f>
        <v>0</v>
      </c>
      <c r="F447" s="444"/>
      <c r="G447" s="467"/>
      <c r="H447" s="446">
        <f>IF(G447=0,0,(VLOOKUP(G447,'2. SMDA BHN'!$B$12:$H512,4,0)))</f>
        <v>0</v>
      </c>
      <c r="I447" s="473"/>
      <c r="J447" s="447"/>
      <c r="K447" s="448">
        <f>SUMIF('PO MTRL'!$G$9:$G512,G447,'PO MTRL'!$J$9:$J512)</f>
        <v>0</v>
      </c>
      <c r="L447" s="448">
        <f t="shared" si="1"/>
        <v>0</v>
      </c>
      <c r="M447" s="449">
        <f>SUMIF('PO MTRL'!$G$9:$G512,G447,'PO MTRL'!$L$9:$L512)</f>
        <v>0</v>
      </c>
      <c r="N447" s="450">
        <f>IF(G447=0,0,(VLOOKUP(G447,'2. SMDA BHN'!$B$12:$H512,5,0)))</f>
        <v>0</v>
      </c>
      <c r="O447" s="450">
        <f>IF(G447=0,0,(VLOOKUP(G447,'2. SMDA BHN'!$B$12:$H512,7,0)))</f>
        <v>0</v>
      </c>
      <c r="P447" s="449">
        <f t="shared" si="2"/>
        <v>0</v>
      </c>
      <c r="Q447" s="449">
        <f t="shared" si="3"/>
        <v>0</v>
      </c>
      <c r="R447" s="451" t="s">
        <v>45</v>
      </c>
      <c r="S447" s="474"/>
      <c r="T447" s="439"/>
      <c r="U447" s="16"/>
      <c r="V447" s="439"/>
      <c r="W447" s="439"/>
      <c r="X447" s="439"/>
      <c r="Y447" s="439"/>
      <c r="Z447" s="439"/>
      <c r="AA447" s="439"/>
      <c r="AB447" s="439"/>
      <c r="AC447" s="439"/>
      <c r="AD447" s="439"/>
      <c r="AE447" s="439"/>
      <c r="AF447" s="439"/>
    </row>
    <row r="448" ht="16.5" customHeight="1">
      <c r="A448" s="439"/>
      <c r="B448" s="454">
        <f t="shared" si="4"/>
        <v>1439</v>
      </c>
      <c r="C448" s="472"/>
      <c r="D448" s="442" t="str">
        <f>IF(G448="","",(VLOOKUP(G448,'2. SMDA BHN'!$B$12:$J512,2,0)))</f>
        <v/>
      </c>
      <c r="E448" s="443">
        <f>IF(G448=0,0,(VLOOKUP(G448,'2. SMDA BHN'!$B$12:$J512,3,0)))</f>
        <v>0</v>
      </c>
      <c r="F448" s="444"/>
      <c r="G448" s="467"/>
      <c r="H448" s="446">
        <f>IF(G448=0,0,(VLOOKUP(G448,'2. SMDA BHN'!$B$12:$H512,4,0)))</f>
        <v>0</v>
      </c>
      <c r="I448" s="473"/>
      <c r="J448" s="447"/>
      <c r="K448" s="448">
        <f>SUMIF('PO MTRL'!$G$9:$G512,G448,'PO MTRL'!$J$9:$J512)</f>
        <v>0</v>
      </c>
      <c r="L448" s="448">
        <f t="shared" si="1"/>
        <v>0</v>
      </c>
      <c r="M448" s="449">
        <f>SUMIF('PO MTRL'!$G$9:$G512,G448,'PO MTRL'!$L$9:$L512)</f>
        <v>0</v>
      </c>
      <c r="N448" s="450">
        <f>IF(G448=0,0,(VLOOKUP(G448,'2. SMDA BHN'!$B$12:$H512,5,0)))</f>
        <v>0</v>
      </c>
      <c r="O448" s="450">
        <f>IF(G448=0,0,(VLOOKUP(G448,'2. SMDA BHN'!$B$12:$H512,7,0)))</f>
        <v>0</v>
      </c>
      <c r="P448" s="449">
        <f t="shared" si="2"/>
        <v>0</v>
      </c>
      <c r="Q448" s="449">
        <f t="shared" si="3"/>
        <v>0</v>
      </c>
      <c r="R448" s="451" t="s">
        <v>45</v>
      </c>
      <c r="S448" s="474"/>
      <c r="T448" s="439"/>
      <c r="U448" s="16"/>
      <c r="V448" s="439"/>
      <c r="W448" s="439"/>
      <c r="X448" s="439"/>
      <c r="Y448" s="439"/>
      <c r="Z448" s="439"/>
      <c r="AA448" s="439"/>
      <c r="AB448" s="439"/>
      <c r="AC448" s="439"/>
      <c r="AD448" s="439"/>
      <c r="AE448" s="439"/>
      <c r="AF448" s="439"/>
    </row>
    <row r="449" ht="16.5" customHeight="1">
      <c r="A449" s="439"/>
      <c r="B449" s="454">
        <f t="shared" si="4"/>
        <v>1440</v>
      </c>
      <c r="C449" s="472"/>
      <c r="D449" s="442" t="str">
        <f>IF(G449="","",(VLOOKUP(G449,'2. SMDA BHN'!$B$12:$J512,2,0)))</f>
        <v/>
      </c>
      <c r="E449" s="443">
        <f>IF(G449=0,0,(VLOOKUP(G449,'2. SMDA BHN'!$B$12:$J512,3,0)))</f>
        <v>0</v>
      </c>
      <c r="F449" s="444"/>
      <c r="G449" s="467"/>
      <c r="H449" s="446">
        <f>IF(G449=0,0,(VLOOKUP(G449,'2. SMDA BHN'!$B$12:$H512,4,0)))</f>
        <v>0</v>
      </c>
      <c r="I449" s="473"/>
      <c r="J449" s="447"/>
      <c r="K449" s="448">
        <f>SUMIF('PO MTRL'!$G$9:$G512,G449,'PO MTRL'!$J$9:$J512)</f>
        <v>0</v>
      </c>
      <c r="L449" s="448">
        <f t="shared" si="1"/>
        <v>0</v>
      </c>
      <c r="M449" s="449">
        <f>SUMIF('PO MTRL'!$G$9:$G512,G449,'PO MTRL'!$L$9:$L512)</f>
        <v>0</v>
      </c>
      <c r="N449" s="450">
        <f>IF(G449=0,0,(VLOOKUP(G449,'2. SMDA BHN'!$B$12:$H512,5,0)))</f>
        <v>0</v>
      </c>
      <c r="O449" s="450">
        <f>IF(G449=0,0,(VLOOKUP(G449,'2. SMDA BHN'!$B$12:$H512,7,0)))</f>
        <v>0</v>
      </c>
      <c r="P449" s="449">
        <f t="shared" si="2"/>
        <v>0</v>
      </c>
      <c r="Q449" s="449">
        <f t="shared" si="3"/>
        <v>0</v>
      </c>
      <c r="R449" s="451" t="s">
        <v>45</v>
      </c>
      <c r="S449" s="474"/>
      <c r="T449" s="439"/>
      <c r="U449" s="16"/>
      <c r="V449" s="439"/>
      <c r="W449" s="439"/>
      <c r="X449" s="439"/>
      <c r="Y449" s="439"/>
      <c r="Z449" s="439"/>
      <c r="AA449" s="439"/>
      <c r="AB449" s="439"/>
      <c r="AC449" s="439"/>
      <c r="AD449" s="439"/>
      <c r="AE449" s="439"/>
      <c r="AF449" s="439"/>
    </row>
    <row r="450" ht="16.5" customHeight="1">
      <c r="A450" s="439"/>
      <c r="B450" s="454">
        <f t="shared" si="4"/>
        <v>1441</v>
      </c>
      <c r="C450" s="472"/>
      <c r="D450" s="442" t="str">
        <f>IF(G450="","",(VLOOKUP(G450,'2. SMDA BHN'!$B$12:$J512,2,0)))</f>
        <v/>
      </c>
      <c r="E450" s="443">
        <f>IF(G450=0,0,(VLOOKUP(G450,'2. SMDA BHN'!$B$12:$J512,3,0)))</f>
        <v>0</v>
      </c>
      <c r="F450" s="444"/>
      <c r="G450" s="467"/>
      <c r="H450" s="446">
        <f>IF(G450=0,0,(VLOOKUP(G450,'2. SMDA BHN'!$B$12:$H512,4,0)))</f>
        <v>0</v>
      </c>
      <c r="I450" s="473"/>
      <c r="J450" s="447"/>
      <c r="K450" s="448">
        <f>SUMIF('PO MTRL'!$G$9:$G512,G450,'PO MTRL'!$J$9:$J512)</f>
        <v>0</v>
      </c>
      <c r="L450" s="448">
        <f t="shared" si="1"/>
        <v>0</v>
      </c>
      <c r="M450" s="449">
        <f>SUMIF('PO MTRL'!$G$9:$G512,G450,'PO MTRL'!$L$9:$L512)</f>
        <v>0</v>
      </c>
      <c r="N450" s="450">
        <f>IF(G450=0,0,(VLOOKUP(G450,'2. SMDA BHN'!$B$12:$H512,5,0)))</f>
        <v>0</v>
      </c>
      <c r="O450" s="450">
        <f>IF(G450=0,0,(VLOOKUP(G450,'2. SMDA BHN'!$B$12:$H512,7,0)))</f>
        <v>0</v>
      </c>
      <c r="P450" s="449">
        <f t="shared" si="2"/>
        <v>0</v>
      </c>
      <c r="Q450" s="449">
        <f t="shared" si="3"/>
        <v>0</v>
      </c>
      <c r="R450" s="451" t="s">
        <v>45</v>
      </c>
      <c r="S450" s="474"/>
      <c r="T450" s="439"/>
      <c r="U450" s="16"/>
      <c r="V450" s="439"/>
      <c r="W450" s="439"/>
      <c r="X450" s="439"/>
      <c r="Y450" s="439"/>
      <c r="Z450" s="439"/>
      <c r="AA450" s="439"/>
      <c r="AB450" s="439"/>
      <c r="AC450" s="439"/>
      <c r="AD450" s="439"/>
      <c r="AE450" s="439"/>
      <c r="AF450" s="439"/>
    </row>
    <row r="451" ht="16.5" customHeight="1">
      <c r="A451" s="439"/>
      <c r="B451" s="454">
        <f t="shared" si="4"/>
        <v>1442</v>
      </c>
      <c r="C451" s="472"/>
      <c r="D451" s="442" t="str">
        <f>IF(G451="","",(VLOOKUP(G451,'2. SMDA BHN'!$B$12:$J512,2,0)))</f>
        <v/>
      </c>
      <c r="E451" s="443">
        <f>IF(G451=0,0,(VLOOKUP(G451,'2. SMDA BHN'!$B$12:$J512,3,0)))</f>
        <v>0</v>
      </c>
      <c r="F451" s="444"/>
      <c r="G451" s="467"/>
      <c r="H451" s="446">
        <f>IF(G451=0,0,(VLOOKUP(G451,'2. SMDA BHN'!$B$12:$H512,4,0)))</f>
        <v>0</v>
      </c>
      <c r="I451" s="473"/>
      <c r="J451" s="447"/>
      <c r="K451" s="448">
        <f>SUMIF('PO MTRL'!$G$9:$G512,G451,'PO MTRL'!$J$9:$J512)</f>
        <v>0</v>
      </c>
      <c r="L451" s="448">
        <f t="shared" si="1"/>
        <v>0</v>
      </c>
      <c r="M451" s="449">
        <f>SUMIF('PO MTRL'!$G$9:$G512,G451,'PO MTRL'!$L$9:$L512)</f>
        <v>0</v>
      </c>
      <c r="N451" s="450">
        <f>IF(G451=0,0,(VLOOKUP(G451,'2. SMDA BHN'!$B$12:$H512,5,0)))</f>
        <v>0</v>
      </c>
      <c r="O451" s="450">
        <f>IF(G451=0,0,(VLOOKUP(G451,'2. SMDA BHN'!$B$12:$H512,7,0)))</f>
        <v>0</v>
      </c>
      <c r="P451" s="449">
        <f t="shared" si="2"/>
        <v>0</v>
      </c>
      <c r="Q451" s="449">
        <f t="shared" si="3"/>
        <v>0</v>
      </c>
      <c r="R451" s="451" t="s">
        <v>45</v>
      </c>
      <c r="S451" s="474"/>
      <c r="T451" s="439"/>
      <c r="U451" s="16"/>
      <c r="V451" s="439"/>
      <c r="W451" s="439"/>
      <c r="X451" s="439"/>
      <c r="Y451" s="439"/>
      <c r="Z451" s="439"/>
      <c r="AA451" s="439"/>
      <c r="AB451" s="439"/>
      <c r="AC451" s="439"/>
      <c r="AD451" s="439"/>
      <c r="AE451" s="439"/>
      <c r="AF451" s="439"/>
    </row>
    <row r="452" ht="16.5" customHeight="1">
      <c r="A452" s="439"/>
      <c r="B452" s="454">
        <f t="shared" si="4"/>
        <v>1443</v>
      </c>
      <c r="C452" s="472"/>
      <c r="D452" s="442" t="str">
        <f>IF(G452="","",(VLOOKUP(G452,'2. SMDA BHN'!$B$12:$J512,2,0)))</f>
        <v/>
      </c>
      <c r="E452" s="443">
        <f>IF(G452=0,0,(VLOOKUP(G452,'2. SMDA BHN'!$B$12:$J512,3,0)))</f>
        <v>0</v>
      </c>
      <c r="F452" s="444"/>
      <c r="G452" s="467"/>
      <c r="H452" s="446">
        <f>IF(G452=0,0,(VLOOKUP(G452,'2. SMDA BHN'!$B$12:$H512,4,0)))</f>
        <v>0</v>
      </c>
      <c r="I452" s="473"/>
      <c r="J452" s="447"/>
      <c r="K452" s="448">
        <f>SUMIF('PO MTRL'!$G$9:$G512,G452,'PO MTRL'!$J$9:$J512)</f>
        <v>0</v>
      </c>
      <c r="L452" s="448">
        <f t="shared" si="1"/>
        <v>0</v>
      </c>
      <c r="M452" s="449">
        <f>SUMIF('PO MTRL'!$G$9:$G512,G452,'PO MTRL'!$L$9:$L512)</f>
        <v>0</v>
      </c>
      <c r="N452" s="450">
        <f>IF(G452=0,0,(VLOOKUP(G452,'2. SMDA BHN'!$B$12:$H512,5,0)))</f>
        <v>0</v>
      </c>
      <c r="O452" s="450">
        <f>IF(G452=0,0,(VLOOKUP(G452,'2. SMDA BHN'!$B$12:$H512,7,0)))</f>
        <v>0</v>
      </c>
      <c r="P452" s="449">
        <f t="shared" si="2"/>
        <v>0</v>
      </c>
      <c r="Q452" s="449">
        <f t="shared" si="3"/>
        <v>0</v>
      </c>
      <c r="R452" s="451" t="s">
        <v>45</v>
      </c>
      <c r="S452" s="474"/>
      <c r="T452" s="439"/>
      <c r="U452" s="16"/>
      <c r="V452" s="439"/>
      <c r="W452" s="439"/>
      <c r="X452" s="439"/>
      <c r="Y452" s="439"/>
      <c r="Z452" s="439"/>
      <c r="AA452" s="439"/>
      <c r="AB452" s="439"/>
      <c r="AC452" s="439"/>
      <c r="AD452" s="439"/>
      <c r="AE452" s="439"/>
      <c r="AF452" s="439"/>
    </row>
    <row r="453" ht="16.5" customHeight="1">
      <c r="A453" s="439"/>
      <c r="B453" s="454">
        <f t="shared" si="4"/>
        <v>1444</v>
      </c>
      <c r="C453" s="472"/>
      <c r="D453" s="442" t="str">
        <f>IF(G453="","",(VLOOKUP(G453,'2. SMDA BHN'!$B$12:$J512,2,0)))</f>
        <v/>
      </c>
      <c r="E453" s="443">
        <f>IF(G453=0,0,(VLOOKUP(G453,'2. SMDA BHN'!$B$12:$J512,3,0)))</f>
        <v>0</v>
      </c>
      <c r="F453" s="444"/>
      <c r="G453" s="467"/>
      <c r="H453" s="446">
        <f>IF(G453=0,0,(VLOOKUP(G453,'2. SMDA BHN'!$B$12:$H512,4,0)))</f>
        <v>0</v>
      </c>
      <c r="I453" s="473"/>
      <c r="J453" s="447"/>
      <c r="K453" s="448">
        <f>SUMIF('PO MTRL'!$G$9:$G512,G453,'PO MTRL'!$J$9:$J512)</f>
        <v>0</v>
      </c>
      <c r="L453" s="448">
        <f t="shared" si="1"/>
        <v>0</v>
      </c>
      <c r="M453" s="449">
        <f>SUMIF('PO MTRL'!$G$9:$G512,G453,'PO MTRL'!$L$9:$L512)</f>
        <v>0</v>
      </c>
      <c r="N453" s="450">
        <f>IF(G453=0,0,(VLOOKUP(G453,'2. SMDA BHN'!$B$12:$H512,5,0)))</f>
        <v>0</v>
      </c>
      <c r="O453" s="450">
        <f>IF(G453=0,0,(VLOOKUP(G453,'2. SMDA BHN'!$B$12:$H512,7,0)))</f>
        <v>0</v>
      </c>
      <c r="P453" s="449">
        <f t="shared" si="2"/>
        <v>0</v>
      </c>
      <c r="Q453" s="449">
        <f t="shared" si="3"/>
        <v>0</v>
      </c>
      <c r="R453" s="451" t="s">
        <v>45</v>
      </c>
      <c r="S453" s="474"/>
      <c r="T453" s="439"/>
      <c r="U453" s="16"/>
      <c r="V453" s="439"/>
      <c r="W453" s="439"/>
      <c r="X453" s="439"/>
      <c r="Y453" s="439"/>
      <c r="Z453" s="439"/>
      <c r="AA453" s="439"/>
      <c r="AB453" s="439"/>
      <c r="AC453" s="439"/>
      <c r="AD453" s="439"/>
      <c r="AE453" s="439"/>
      <c r="AF453" s="439"/>
    </row>
    <row r="454" ht="16.5" customHeight="1">
      <c r="A454" s="439"/>
      <c r="B454" s="454">
        <f t="shared" si="4"/>
        <v>1445</v>
      </c>
      <c r="C454" s="472"/>
      <c r="D454" s="442" t="str">
        <f>IF(G454="","",(VLOOKUP(G454,'2. SMDA BHN'!$B$12:$J512,2,0)))</f>
        <v/>
      </c>
      <c r="E454" s="443">
        <f>IF(G454=0,0,(VLOOKUP(G454,'2. SMDA BHN'!$B$12:$J512,3,0)))</f>
        <v>0</v>
      </c>
      <c r="F454" s="444"/>
      <c r="G454" s="467"/>
      <c r="H454" s="446">
        <f>IF(G454=0,0,(VLOOKUP(G454,'2. SMDA BHN'!$B$12:$H512,4,0)))</f>
        <v>0</v>
      </c>
      <c r="I454" s="473"/>
      <c r="J454" s="447"/>
      <c r="K454" s="448">
        <f>SUMIF('PO MTRL'!$G$9:$G512,G454,'PO MTRL'!$J$9:$J512)</f>
        <v>0</v>
      </c>
      <c r="L454" s="448">
        <f t="shared" si="1"/>
        <v>0</v>
      </c>
      <c r="M454" s="449">
        <f>SUMIF('PO MTRL'!$G$9:$G512,G454,'PO MTRL'!$L$9:$L512)</f>
        <v>0</v>
      </c>
      <c r="N454" s="450">
        <f>IF(G454=0,0,(VLOOKUP(G454,'2. SMDA BHN'!$B$12:$H512,5,0)))</f>
        <v>0</v>
      </c>
      <c r="O454" s="450">
        <f>IF(G454=0,0,(VLOOKUP(G454,'2. SMDA BHN'!$B$12:$H512,7,0)))</f>
        <v>0</v>
      </c>
      <c r="P454" s="449">
        <f t="shared" si="2"/>
        <v>0</v>
      </c>
      <c r="Q454" s="449">
        <f t="shared" si="3"/>
        <v>0</v>
      </c>
      <c r="R454" s="451" t="s">
        <v>45</v>
      </c>
      <c r="S454" s="474"/>
      <c r="T454" s="439"/>
      <c r="U454" s="16"/>
      <c r="V454" s="439"/>
      <c r="W454" s="439"/>
      <c r="X454" s="439"/>
      <c r="Y454" s="439"/>
      <c r="Z454" s="439"/>
      <c r="AA454" s="439"/>
      <c r="AB454" s="439"/>
      <c r="AC454" s="439"/>
      <c r="AD454" s="439"/>
      <c r="AE454" s="439"/>
      <c r="AF454" s="439"/>
    </row>
    <row r="455" ht="16.5" customHeight="1">
      <c r="A455" s="439"/>
      <c r="B455" s="454">
        <f t="shared" si="4"/>
        <v>1446</v>
      </c>
      <c r="C455" s="472"/>
      <c r="D455" s="442" t="str">
        <f>IF(G455="","",(VLOOKUP(G455,'2. SMDA BHN'!$B$12:$J512,2,0)))</f>
        <v/>
      </c>
      <c r="E455" s="443">
        <f>IF(G455=0,0,(VLOOKUP(G455,'2. SMDA BHN'!$B$12:$J512,3,0)))</f>
        <v>0</v>
      </c>
      <c r="F455" s="444"/>
      <c r="G455" s="467"/>
      <c r="H455" s="446">
        <f>IF(G455=0,0,(VLOOKUP(G455,'2. SMDA BHN'!$B$12:$H512,4,0)))</f>
        <v>0</v>
      </c>
      <c r="I455" s="473"/>
      <c r="J455" s="447"/>
      <c r="K455" s="448">
        <f>SUMIF('PO MTRL'!$G$9:$G512,G455,'PO MTRL'!$J$9:$J512)</f>
        <v>0</v>
      </c>
      <c r="L455" s="448">
        <f t="shared" si="1"/>
        <v>0</v>
      </c>
      <c r="M455" s="449">
        <f>SUMIF('PO MTRL'!$G$9:$G512,G455,'PO MTRL'!$L$9:$L512)</f>
        <v>0</v>
      </c>
      <c r="N455" s="450">
        <f>IF(G455=0,0,(VLOOKUP(G455,'2. SMDA BHN'!$B$12:$H512,5,0)))</f>
        <v>0</v>
      </c>
      <c r="O455" s="450">
        <f>IF(G455=0,0,(VLOOKUP(G455,'2. SMDA BHN'!$B$12:$H512,7,0)))</f>
        <v>0</v>
      </c>
      <c r="P455" s="449">
        <f t="shared" si="2"/>
        <v>0</v>
      </c>
      <c r="Q455" s="449">
        <f t="shared" si="3"/>
        <v>0</v>
      </c>
      <c r="R455" s="451" t="s">
        <v>45</v>
      </c>
      <c r="S455" s="474"/>
      <c r="T455" s="439"/>
      <c r="U455" s="16"/>
      <c r="V455" s="439"/>
      <c r="W455" s="439"/>
      <c r="X455" s="439"/>
      <c r="Y455" s="439"/>
      <c r="Z455" s="439"/>
      <c r="AA455" s="439"/>
      <c r="AB455" s="439"/>
      <c r="AC455" s="439"/>
      <c r="AD455" s="439"/>
      <c r="AE455" s="439"/>
      <c r="AF455" s="439"/>
    </row>
    <row r="456" ht="16.5" customHeight="1">
      <c r="A456" s="439"/>
      <c r="B456" s="454">
        <f t="shared" si="4"/>
        <v>1447</v>
      </c>
      <c r="C456" s="472"/>
      <c r="D456" s="442" t="str">
        <f>IF(G456="","",(VLOOKUP(G456,'2. SMDA BHN'!$B$12:$J512,2,0)))</f>
        <v/>
      </c>
      <c r="E456" s="443">
        <f>IF(G456=0,0,(VLOOKUP(G456,'2. SMDA BHN'!$B$12:$J512,3,0)))</f>
        <v>0</v>
      </c>
      <c r="F456" s="444"/>
      <c r="G456" s="467"/>
      <c r="H456" s="446">
        <f>IF(G456=0,0,(VLOOKUP(G456,'2. SMDA BHN'!$B$12:$H512,4,0)))</f>
        <v>0</v>
      </c>
      <c r="I456" s="473"/>
      <c r="J456" s="447"/>
      <c r="K456" s="448">
        <f>SUMIF('PO MTRL'!$G$9:$G512,G456,'PO MTRL'!$J$9:$J512)</f>
        <v>0</v>
      </c>
      <c r="L456" s="448">
        <f t="shared" si="1"/>
        <v>0</v>
      </c>
      <c r="M456" s="449">
        <f>SUMIF('PO MTRL'!$G$9:$G512,G456,'PO MTRL'!$L$9:$L512)</f>
        <v>0</v>
      </c>
      <c r="N456" s="450">
        <f>IF(G456=0,0,(VLOOKUP(G456,'2. SMDA BHN'!$B$12:$H512,5,0)))</f>
        <v>0</v>
      </c>
      <c r="O456" s="450">
        <f>IF(G456=0,0,(VLOOKUP(G456,'2. SMDA BHN'!$B$12:$H512,7,0)))</f>
        <v>0</v>
      </c>
      <c r="P456" s="449">
        <f t="shared" si="2"/>
        <v>0</v>
      </c>
      <c r="Q456" s="449">
        <f t="shared" si="3"/>
        <v>0</v>
      </c>
      <c r="R456" s="451" t="s">
        <v>45</v>
      </c>
      <c r="S456" s="474"/>
      <c r="T456" s="439"/>
      <c r="U456" s="16"/>
      <c r="V456" s="439"/>
      <c r="W456" s="439"/>
      <c r="X456" s="439"/>
      <c r="Y456" s="439"/>
      <c r="Z456" s="439"/>
      <c r="AA456" s="439"/>
      <c r="AB456" s="439"/>
      <c r="AC456" s="439"/>
      <c r="AD456" s="439"/>
      <c r="AE456" s="439"/>
      <c r="AF456" s="439"/>
    </row>
    <row r="457" ht="16.5" customHeight="1">
      <c r="A457" s="439"/>
      <c r="B457" s="454">
        <f t="shared" si="4"/>
        <v>1448</v>
      </c>
      <c r="C457" s="472"/>
      <c r="D457" s="442" t="str">
        <f>IF(G457="","",(VLOOKUP(G457,'2. SMDA BHN'!$B$12:$J512,2,0)))</f>
        <v/>
      </c>
      <c r="E457" s="443">
        <f>IF(G457=0,0,(VLOOKUP(G457,'2. SMDA BHN'!$B$12:$J512,3,0)))</f>
        <v>0</v>
      </c>
      <c r="F457" s="444"/>
      <c r="G457" s="467"/>
      <c r="H457" s="446">
        <f>IF(G457=0,0,(VLOOKUP(G457,'2. SMDA BHN'!$B$12:$H512,4,0)))</f>
        <v>0</v>
      </c>
      <c r="I457" s="473"/>
      <c r="J457" s="447"/>
      <c r="K457" s="448">
        <f>SUMIF('PO MTRL'!$G$9:$G512,G457,'PO MTRL'!$J$9:$J512)</f>
        <v>0</v>
      </c>
      <c r="L457" s="448">
        <f t="shared" si="1"/>
        <v>0</v>
      </c>
      <c r="M457" s="449">
        <f>SUMIF('PO MTRL'!$G$9:$G512,G457,'PO MTRL'!$L$9:$L512)</f>
        <v>0</v>
      </c>
      <c r="N457" s="450">
        <f>IF(G457=0,0,(VLOOKUP(G457,'2. SMDA BHN'!$B$12:$H512,5,0)))</f>
        <v>0</v>
      </c>
      <c r="O457" s="450">
        <f>IF(G457=0,0,(VLOOKUP(G457,'2. SMDA BHN'!$B$12:$H512,7,0)))</f>
        <v>0</v>
      </c>
      <c r="P457" s="449">
        <f t="shared" si="2"/>
        <v>0</v>
      </c>
      <c r="Q457" s="449">
        <f t="shared" si="3"/>
        <v>0</v>
      </c>
      <c r="R457" s="451" t="s">
        <v>45</v>
      </c>
      <c r="S457" s="474"/>
      <c r="T457" s="439"/>
      <c r="U457" s="16"/>
      <c r="V457" s="439"/>
      <c r="W457" s="439"/>
      <c r="X457" s="439"/>
      <c r="Y457" s="439"/>
      <c r="Z457" s="439"/>
      <c r="AA457" s="439"/>
      <c r="AB457" s="439"/>
      <c r="AC457" s="439"/>
      <c r="AD457" s="439"/>
      <c r="AE457" s="439"/>
      <c r="AF457" s="439"/>
    </row>
    <row r="458" ht="16.5" customHeight="1">
      <c r="A458" s="439"/>
      <c r="B458" s="454">
        <f t="shared" si="4"/>
        <v>1449</v>
      </c>
      <c r="C458" s="472"/>
      <c r="D458" s="442" t="str">
        <f>IF(G458="","",(VLOOKUP(G458,'2. SMDA BHN'!$B$12:$J512,2,0)))</f>
        <v/>
      </c>
      <c r="E458" s="443">
        <f>IF(G458=0,0,(VLOOKUP(G458,'2. SMDA BHN'!$B$12:$J512,3,0)))</f>
        <v>0</v>
      </c>
      <c r="F458" s="444"/>
      <c r="G458" s="467"/>
      <c r="H458" s="446">
        <f>IF(G458=0,0,(VLOOKUP(G458,'2. SMDA BHN'!$B$12:$H512,4,0)))</f>
        <v>0</v>
      </c>
      <c r="I458" s="473"/>
      <c r="J458" s="447"/>
      <c r="K458" s="448">
        <f>SUMIF('PO MTRL'!$G$9:$G512,G458,'PO MTRL'!$J$9:$J512)</f>
        <v>0</v>
      </c>
      <c r="L458" s="448">
        <f t="shared" si="1"/>
        <v>0</v>
      </c>
      <c r="M458" s="449">
        <f>SUMIF('PO MTRL'!$G$9:$G512,G458,'PO MTRL'!$L$9:$L512)</f>
        <v>0</v>
      </c>
      <c r="N458" s="450">
        <f>IF(G458=0,0,(VLOOKUP(G458,'2. SMDA BHN'!$B$12:$H512,5,0)))</f>
        <v>0</v>
      </c>
      <c r="O458" s="450">
        <f>IF(G458=0,0,(VLOOKUP(G458,'2. SMDA BHN'!$B$12:$H512,7,0)))</f>
        <v>0</v>
      </c>
      <c r="P458" s="449">
        <f t="shared" si="2"/>
        <v>0</v>
      </c>
      <c r="Q458" s="449">
        <f t="shared" si="3"/>
        <v>0</v>
      </c>
      <c r="R458" s="451" t="s">
        <v>45</v>
      </c>
      <c r="S458" s="474"/>
      <c r="T458" s="439"/>
      <c r="U458" s="16"/>
      <c r="V458" s="439"/>
      <c r="W458" s="439"/>
      <c r="X458" s="439"/>
      <c r="Y458" s="439"/>
      <c r="Z458" s="439"/>
      <c r="AA458" s="439"/>
      <c r="AB458" s="439"/>
      <c r="AC458" s="439"/>
      <c r="AD458" s="439"/>
      <c r="AE458" s="439"/>
      <c r="AF458" s="439"/>
    </row>
    <row r="459" ht="16.5" customHeight="1">
      <c r="A459" s="439"/>
      <c r="B459" s="454">
        <f t="shared" si="4"/>
        <v>1450</v>
      </c>
      <c r="C459" s="472"/>
      <c r="D459" s="442" t="str">
        <f>IF(G459="","",(VLOOKUP(G459,'2. SMDA BHN'!$B$12:$J512,2,0)))</f>
        <v/>
      </c>
      <c r="E459" s="443">
        <f>IF(G459=0,0,(VLOOKUP(G459,'2. SMDA BHN'!$B$12:$J512,3,0)))</f>
        <v>0</v>
      </c>
      <c r="F459" s="444"/>
      <c r="G459" s="467"/>
      <c r="H459" s="446">
        <f>IF(G459=0,0,(VLOOKUP(G459,'2. SMDA BHN'!$B$12:$H512,4,0)))</f>
        <v>0</v>
      </c>
      <c r="I459" s="473"/>
      <c r="J459" s="447"/>
      <c r="K459" s="448">
        <f>SUMIF('PO MTRL'!$G$9:$G512,G459,'PO MTRL'!$J$9:$J512)</f>
        <v>0</v>
      </c>
      <c r="L459" s="448">
        <f t="shared" si="1"/>
        <v>0</v>
      </c>
      <c r="M459" s="449">
        <f>SUMIF('PO MTRL'!$G$9:$G512,G459,'PO MTRL'!$L$9:$L512)</f>
        <v>0</v>
      </c>
      <c r="N459" s="450">
        <f>IF(G459=0,0,(VLOOKUP(G459,'2. SMDA BHN'!$B$12:$H512,5,0)))</f>
        <v>0</v>
      </c>
      <c r="O459" s="450">
        <f>IF(G459=0,0,(VLOOKUP(G459,'2. SMDA BHN'!$B$12:$H512,7,0)))</f>
        <v>0</v>
      </c>
      <c r="P459" s="449">
        <f t="shared" si="2"/>
        <v>0</v>
      </c>
      <c r="Q459" s="449">
        <f t="shared" si="3"/>
        <v>0</v>
      </c>
      <c r="R459" s="451" t="s">
        <v>45</v>
      </c>
      <c r="S459" s="474"/>
      <c r="T459" s="439"/>
      <c r="U459" s="16"/>
      <c r="V459" s="439"/>
      <c r="W459" s="439"/>
      <c r="X459" s="439"/>
      <c r="Y459" s="439"/>
      <c r="Z459" s="439"/>
      <c r="AA459" s="439"/>
      <c r="AB459" s="439"/>
      <c r="AC459" s="439"/>
      <c r="AD459" s="439"/>
      <c r="AE459" s="439"/>
      <c r="AF459" s="439"/>
    </row>
    <row r="460" ht="16.5" customHeight="1">
      <c r="A460" s="439"/>
      <c r="B460" s="454">
        <f t="shared" si="4"/>
        <v>1451</v>
      </c>
      <c r="C460" s="472"/>
      <c r="D460" s="442" t="str">
        <f>IF(G460="","",(VLOOKUP(G460,'2. SMDA BHN'!$B$12:$J512,2,0)))</f>
        <v/>
      </c>
      <c r="E460" s="443">
        <f>IF(G460=0,0,(VLOOKUP(G460,'2. SMDA BHN'!$B$12:$J512,3,0)))</f>
        <v>0</v>
      </c>
      <c r="F460" s="444"/>
      <c r="G460" s="467"/>
      <c r="H460" s="446">
        <f>IF(G460=0,0,(VLOOKUP(G460,'2. SMDA BHN'!$B$12:$H512,4,0)))</f>
        <v>0</v>
      </c>
      <c r="I460" s="473"/>
      <c r="J460" s="447"/>
      <c r="K460" s="448">
        <f>SUMIF('PO MTRL'!$G$9:$G512,G460,'PO MTRL'!$J$9:$J512)</f>
        <v>0</v>
      </c>
      <c r="L460" s="448">
        <f t="shared" si="1"/>
        <v>0</v>
      </c>
      <c r="M460" s="449">
        <f>SUMIF('PO MTRL'!$G$9:$G512,G460,'PO MTRL'!$L$9:$L512)</f>
        <v>0</v>
      </c>
      <c r="N460" s="450">
        <f>IF(G460=0,0,(VLOOKUP(G460,'2. SMDA BHN'!$B$12:$H512,5,0)))</f>
        <v>0</v>
      </c>
      <c r="O460" s="450">
        <f>IF(G460=0,0,(VLOOKUP(G460,'2. SMDA BHN'!$B$12:$H512,7,0)))</f>
        <v>0</v>
      </c>
      <c r="P460" s="449">
        <f t="shared" si="2"/>
        <v>0</v>
      </c>
      <c r="Q460" s="449">
        <f t="shared" si="3"/>
        <v>0</v>
      </c>
      <c r="R460" s="451" t="s">
        <v>45</v>
      </c>
      <c r="S460" s="474"/>
      <c r="T460" s="439"/>
      <c r="U460" s="16"/>
      <c r="V460" s="439"/>
      <c r="W460" s="439"/>
      <c r="X460" s="439"/>
      <c r="Y460" s="439"/>
      <c r="Z460" s="439"/>
      <c r="AA460" s="439"/>
      <c r="AB460" s="439"/>
      <c r="AC460" s="439"/>
      <c r="AD460" s="439"/>
      <c r="AE460" s="439"/>
      <c r="AF460" s="439"/>
    </row>
    <row r="461" ht="16.5" customHeight="1">
      <c r="A461" s="439"/>
      <c r="B461" s="454">
        <f t="shared" si="4"/>
        <v>1452</v>
      </c>
      <c r="C461" s="472"/>
      <c r="D461" s="442" t="str">
        <f>IF(G461="","",(VLOOKUP(G461,'2. SMDA BHN'!$B$12:$J512,2,0)))</f>
        <v/>
      </c>
      <c r="E461" s="443">
        <f>IF(G461=0,0,(VLOOKUP(G461,'2. SMDA BHN'!$B$12:$J512,3,0)))</f>
        <v>0</v>
      </c>
      <c r="F461" s="444"/>
      <c r="G461" s="467"/>
      <c r="H461" s="446">
        <f>IF(G461=0,0,(VLOOKUP(G461,'2. SMDA BHN'!$B$12:$H512,4,0)))</f>
        <v>0</v>
      </c>
      <c r="I461" s="473"/>
      <c r="J461" s="447"/>
      <c r="K461" s="448">
        <f>SUMIF('PO MTRL'!$G$9:$G512,G461,'PO MTRL'!$J$9:$J512)</f>
        <v>0</v>
      </c>
      <c r="L461" s="448">
        <f t="shared" si="1"/>
        <v>0</v>
      </c>
      <c r="M461" s="449">
        <f>SUMIF('PO MTRL'!$G$9:$G512,G461,'PO MTRL'!$L$9:$L512)</f>
        <v>0</v>
      </c>
      <c r="N461" s="450">
        <f>IF(G461=0,0,(VLOOKUP(G461,'2. SMDA BHN'!$B$12:$H512,5,0)))</f>
        <v>0</v>
      </c>
      <c r="O461" s="450">
        <f>IF(G461=0,0,(VLOOKUP(G461,'2. SMDA BHN'!$B$12:$H512,7,0)))</f>
        <v>0</v>
      </c>
      <c r="P461" s="449">
        <f t="shared" si="2"/>
        <v>0</v>
      </c>
      <c r="Q461" s="449">
        <f t="shared" si="3"/>
        <v>0</v>
      </c>
      <c r="R461" s="451" t="s">
        <v>45</v>
      </c>
      <c r="S461" s="474"/>
      <c r="T461" s="439"/>
      <c r="U461" s="16"/>
      <c r="V461" s="439"/>
      <c r="W461" s="439"/>
      <c r="X461" s="439"/>
      <c r="Y461" s="439"/>
      <c r="Z461" s="439"/>
      <c r="AA461" s="439"/>
      <c r="AB461" s="439"/>
      <c r="AC461" s="439"/>
      <c r="AD461" s="439"/>
      <c r="AE461" s="439"/>
      <c r="AF461" s="439"/>
    </row>
    <row r="462" ht="16.5" customHeight="1">
      <c r="A462" s="439"/>
      <c r="B462" s="454">
        <f t="shared" si="4"/>
        <v>1453</v>
      </c>
      <c r="C462" s="472"/>
      <c r="D462" s="442" t="str">
        <f>IF(G462="","",(VLOOKUP(G462,'2. SMDA BHN'!$B$12:$J512,2,0)))</f>
        <v/>
      </c>
      <c r="E462" s="443">
        <f>IF(G462=0,0,(VLOOKUP(G462,'2. SMDA BHN'!$B$12:$J512,3,0)))</f>
        <v>0</v>
      </c>
      <c r="F462" s="444"/>
      <c r="G462" s="467"/>
      <c r="H462" s="446">
        <f>IF(G462=0,0,(VLOOKUP(G462,'2. SMDA BHN'!$B$12:$H512,4,0)))</f>
        <v>0</v>
      </c>
      <c r="I462" s="473"/>
      <c r="J462" s="447"/>
      <c r="K462" s="448">
        <f>SUMIF('PO MTRL'!$G$9:$G512,G462,'PO MTRL'!$J$9:$J512)</f>
        <v>0</v>
      </c>
      <c r="L462" s="448">
        <f t="shared" si="1"/>
        <v>0</v>
      </c>
      <c r="M462" s="449">
        <f>SUMIF('PO MTRL'!$G$9:$G512,G462,'PO MTRL'!$L$9:$L512)</f>
        <v>0</v>
      </c>
      <c r="N462" s="450">
        <f>IF(G462=0,0,(VLOOKUP(G462,'2. SMDA BHN'!$B$12:$H512,5,0)))</f>
        <v>0</v>
      </c>
      <c r="O462" s="450">
        <f>IF(G462=0,0,(VLOOKUP(G462,'2. SMDA BHN'!$B$12:$H512,7,0)))</f>
        <v>0</v>
      </c>
      <c r="P462" s="449">
        <f t="shared" si="2"/>
        <v>0</v>
      </c>
      <c r="Q462" s="449">
        <f t="shared" si="3"/>
        <v>0</v>
      </c>
      <c r="R462" s="451" t="s">
        <v>45</v>
      </c>
      <c r="S462" s="474"/>
      <c r="T462" s="439"/>
      <c r="U462" s="16"/>
      <c r="V462" s="439"/>
      <c r="W462" s="439"/>
      <c r="X462" s="439"/>
      <c r="Y462" s="439"/>
      <c r="Z462" s="439"/>
      <c r="AA462" s="439"/>
      <c r="AB462" s="439"/>
      <c r="AC462" s="439"/>
      <c r="AD462" s="439"/>
      <c r="AE462" s="439"/>
      <c r="AF462" s="439"/>
    </row>
    <row r="463" ht="16.5" customHeight="1">
      <c r="A463" s="439"/>
      <c r="B463" s="454">
        <f t="shared" si="4"/>
        <v>1454</v>
      </c>
      <c r="C463" s="472"/>
      <c r="D463" s="442" t="str">
        <f>IF(G463="","",(VLOOKUP(G463,'2. SMDA BHN'!$B$12:$J512,2,0)))</f>
        <v/>
      </c>
      <c r="E463" s="443">
        <f>IF(G463=0,0,(VLOOKUP(G463,'2. SMDA BHN'!$B$12:$J512,3,0)))</f>
        <v>0</v>
      </c>
      <c r="F463" s="444"/>
      <c r="G463" s="467"/>
      <c r="H463" s="446">
        <f>IF(G463=0,0,(VLOOKUP(G463,'2. SMDA BHN'!$B$12:$H512,4,0)))</f>
        <v>0</v>
      </c>
      <c r="I463" s="473"/>
      <c r="J463" s="447"/>
      <c r="K463" s="448">
        <f>SUMIF('PO MTRL'!$G$9:$G512,G463,'PO MTRL'!$J$9:$J512)</f>
        <v>0</v>
      </c>
      <c r="L463" s="448">
        <f t="shared" si="1"/>
        <v>0</v>
      </c>
      <c r="M463" s="449">
        <f>SUMIF('PO MTRL'!$G$9:$G512,G463,'PO MTRL'!$L$9:$L512)</f>
        <v>0</v>
      </c>
      <c r="N463" s="450">
        <f>IF(G463=0,0,(VLOOKUP(G463,'2. SMDA BHN'!$B$12:$H512,5,0)))</f>
        <v>0</v>
      </c>
      <c r="O463" s="450">
        <f>IF(G463=0,0,(VLOOKUP(G463,'2. SMDA BHN'!$B$12:$H512,7,0)))</f>
        <v>0</v>
      </c>
      <c r="P463" s="449">
        <f t="shared" si="2"/>
        <v>0</v>
      </c>
      <c r="Q463" s="449">
        <f t="shared" si="3"/>
        <v>0</v>
      </c>
      <c r="R463" s="451" t="s">
        <v>45</v>
      </c>
      <c r="S463" s="474"/>
      <c r="T463" s="439"/>
      <c r="U463" s="16"/>
      <c r="V463" s="439"/>
      <c r="W463" s="439"/>
      <c r="X463" s="439"/>
      <c r="Y463" s="439"/>
      <c r="Z463" s="439"/>
      <c r="AA463" s="439"/>
      <c r="AB463" s="439"/>
      <c r="AC463" s="439"/>
      <c r="AD463" s="439"/>
      <c r="AE463" s="439"/>
      <c r="AF463" s="439"/>
    </row>
    <row r="464" ht="16.5" customHeight="1">
      <c r="A464" s="439"/>
      <c r="B464" s="454">
        <f t="shared" si="4"/>
        <v>1455</v>
      </c>
      <c r="C464" s="472"/>
      <c r="D464" s="442" t="str">
        <f>IF(G464="","",(VLOOKUP(G464,'2. SMDA BHN'!$B$12:$J512,2,0)))</f>
        <v/>
      </c>
      <c r="E464" s="443">
        <f>IF(G464=0,0,(VLOOKUP(G464,'2. SMDA BHN'!$B$12:$J512,3,0)))</f>
        <v>0</v>
      </c>
      <c r="F464" s="444"/>
      <c r="G464" s="467"/>
      <c r="H464" s="446">
        <f>IF(G464=0,0,(VLOOKUP(G464,'2. SMDA BHN'!$B$12:$H512,4,0)))</f>
        <v>0</v>
      </c>
      <c r="I464" s="473"/>
      <c r="J464" s="447"/>
      <c r="K464" s="448">
        <f>SUMIF('PO MTRL'!$G$9:$G512,G464,'PO MTRL'!$J$9:$J512)</f>
        <v>0</v>
      </c>
      <c r="L464" s="448">
        <f t="shared" si="1"/>
        <v>0</v>
      </c>
      <c r="M464" s="449">
        <f>SUMIF('PO MTRL'!$G$9:$G512,G464,'PO MTRL'!$L$9:$L512)</f>
        <v>0</v>
      </c>
      <c r="N464" s="450">
        <f>IF(G464=0,0,(VLOOKUP(G464,'2. SMDA BHN'!$B$12:$H512,5,0)))</f>
        <v>0</v>
      </c>
      <c r="O464" s="450">
        <f>IF(G464=0,0,(VLOOKUP(G464,'2. SMDA BHN'!$B$12:$H512,7,0)))</f>
        <v>0</v>
      </c>
      <c r="P464" s="449">
        <f t="shared" si="2"/>
        <v>0</v>
      </c>
      <c r="Q464" s="449">
        <f t="shared" si="3"/>
        <v>0</v>
      </c>
      <c r="R464" s="451" t="s">
        <v>45</v>
      </c>
      <c r="S464" s="474"/>
      <c r="T464" s="439"/>
      <c r="U464" s="16"/>
      <c r="V464" s="439"/>
      <c r="W464" s="439"/>
      <c r="X464" s="439"/>
      <c r="Y464" s="439"/>
      <c r="Z464" s="439"/>
      <c r="AA464" s="439"/>
      <c r="AB464" s="439"/>
      <c r="AC464" s="439"/>
      <c r="AD464" s="439"/>
      <c r="AE464" s="439"/>
      <c r="AF464" s="439"/>
    </row>
    <row r="465" ht="16.5" customHeight="1">
      <c r="A465" s="439"/>
      <c r="B465" s="454">
        <f t="shared" si="4"/>
        <v>1456</v>
      </c>
      <c r="C465" s="472"/>
      <c r="D465" s="442" t="str">
        <f>IF(G465="","",(VLOOKUP(G465,'2. SMDA BHN'!$B$12:$J512,2,0)))</f>
        <v/>
      </c>
      <c r="E465" s="443">
        <f>IF(G465=0,0,(VLOOKUP(G465,'2. SMDA BHN'!$B$12:$J512,3,0)))</f>
        <v>0</v>
      </c>
      <c r="F465" s="444"/>
      <c r="G465" s="467"/>
      <c r="H465" s="446">
        <f>IF(G465=0,0,(VLOOKUP(G465,'2. SMDA BHN'!$B$12:$H512,4,0)))</f>
        <v>0</v>
      </c>
      <c r="I465" s="473"/>
      <c r="J465" s="447"/>
      <c r="K465" s="448">
        <f>SUMIF('PO MTRL'!$G$9:$G512,G465,'PO MTRL'!$J$9:$J512)</f>
        <v>0</v>
      </c>
      <c r="L465" s="448">
        <f t="shared" si="1"/>
        <v>0</v>
      </c>
      <c r="M465" s="449">
        <f>SUMIF('PO MTRL'!$G$9:$G512,G465,'PO MTRL'!$L$9:$L512)</f>
        <v>0</v>
      </c>
      <c r="N465" s="450">
        <f>IF(G465=0,0,(VLOOKUP(G465,'2. SMDA BHN'!$B$12:$H512,5,0)))</f>
        <v>0</v>
      </c>
      <c r="O465" s="450">
        <f>IF(G465=0,0,(VLOOKUP(G465,'2. SMDA BHN'!$B$12:$H512,7,0)))</f>
        <v>0</v>
      </c>
      <c r="P465" s="449">
        <f t="shared" si="2"/>
        <v>0</v>
      </c>
      <c r="Q465" s="449">
        <f t="shared" si="3"/>
        <v>0</v>
      </c>
      <c r="R465" s="451" t="s">
        <v>45</v>
      </c>
      <c r="S465" s="474"/>
      <c r="T465" s="439"/>
      <c r="U465" s="16"/>
      <c r="V465" s="439"/>
      <c r="W465" s="439"/>
      <c r="X465" s="439"/>
      <c r="Y465" s="439"/>
      <c r="Z465" s="439"/>
      <c r="AA465" s="439"/>
      <c r="AB465" s="439"/>
      <c r="AC465" s="439"/>
      <c r="AD465" s="439"/>
      <c r="AE465" s="439"/>
      <c r="AF465" s="439"/>
    </row>
    <row r="466" ht="16.5" customHeight="1">
      <c r="A466" s="439"/>
      <c r="B466" s="454">
        <f t="shared" si="4"/>
        <v>1457</v>
      </c>
      <c r="C466" s="472"/>
      <c r="D466" s="442" t="str">
        <f>IF(G466="","",(VLOOKUP(G466,'2. SMDA BHN'!$B$12:$J512,2,0)))</f>
        <v/>
      </c>
      <c r="E466" s="443">
        <f>IF(G466=0,0,(VLOOKUP(G466,'2. SMDA BHN'!$B$12:$J512,3,0)))</f>
        <v>0</v>
      </c>
      <c r="F466" s="444"/>
      <c r="G466" s="467"/>
      <c r="H466" s="446">
        <f>IF(G466=0,0,(VLOOKUP(G466,'2. SMDA BHN'!$B$12:$H512,4,0)))</f>
        <v>0</v>
      </c>
      <c r="I466" s="473"/>
      <c r="J466" s="447"/>
      <c r="K466" s="448">
        <f>SUMIF('PO MTRL'!$G$9:$G512,G466,'PO MTRL'!$J$9:$J512)</f>
        <v>0</v>
      </c>
      <c r="L466" s="448">
        <f t="shared" si="1"/>
        <v>0</v>
      </c>
      <c r="M466" s="449">
        <f>SUMIF('PO MTRL'!$G$9:$G512,G466,'PO MTRL'!$L$9:$L512)</f>
        <v>0</v>
      </c>
      <c r="N466" s="450">
        <f>IF(G466=0,0,(VLOOKUP(G466,'2. SMDA BHN'!$B$12:$H512,5,0)))</f>
        <v>0</v>
      </c>
      <c r="O466" s="450">
        <f>IF(G466=0,0,(VLOOKUP(G466,'2. SMDA BHN'!$B$12:$H512,7,0)))</f>
        <v>0</v>
      </c>
      <c r="P466" s="449">
        <f t="shared" si="2"/>
        <v>0</v>
      </c>
      <c r="Q466" s="449">
        <f t="shared" si="3"/>
        <v>0</v>
      </c>
      <c r="R466" s="451" t="s">
        <v>45</v>
      </c>
      <c r="S466" s="474"/>
      <c r="T466" s="439"/>
      <c r="U466" s="16"/>
      <c r="V466" s="439"/>
      <c r="W466" s="439"/>
      <c r="X466" s="439"/>
      <c r="Y466" s="439"/>
      <c r="Z466" s="439"/>
      <c r="AA466" s="439"/>
      <c r="AB466" s="439"/>
      <c r="AC466" s="439"/>
      <c r="AD466" s="439"/>
      <c r="AE466" s="439"/>
      <c r="AF466" s="439"/>
    </row>
    <row r="467" ht="16.5" customHeight="1">
      <c r="A467" s="439"/>
      <c r="B467" s="454">
        <f t="shared" si="4"/>
        <v>1458</v>
      </c>
      <c r="C467" s="472"/>
      <c r="D467" s="442" t="str">
        <f>IF(G467="","",(VLOOKUP(G467,'2. SMDA BHN'!$B$12:$J512,2,0)))</f>
        <v/>
      </c>
      <c r="E467" s="443">
        <f>IF(G467=0,0,(VLOOKUP(G467,'2. SMDA BHN'!$B$12:$J512,3,0)))</f>
        <v>0</v>
      </c>
      <c r="F467" s="444"/>
      <c r="G467" s="467"/>
      <c r="H467" s="446">
        <f>IF(G467=0,0,(VLOOKUP(G467,'2. SMDA BHN'!$B$12:$H512,4,0)))</f>
        <v>0</v>
      </c>
      <c r="I467" s="473"/>
      <c r="J467" s="447"/>
      <c r="K467" s="448">
        <f>SUMIF('PO MTRL'!$G$9:$G512,G467,'PO MTRL'!$J$9:$J512)</f>
        <v>0</v>
      </c>
      <c r="L467" s="448">
        <f t="shared" si="1"/>
        <v>0</v>
      </c>
      <c r="M467" s="449">
        <f>SUMIF('PO MTRL'!$G$9:$G512,G467,'PO MTRL'!$L$9:$L512)</f>
        <v>0</v>
      </c>
      <c r="N467" s="450">
        <f>IF(G467=0,0,(VLOOKUP(G467,'2. SMDA BHN'!$B$12:$H512,5,0)))</f>
        <v>0</v>
      </c>
      <c r="O467" s="450">
        <f>IF(G467=0,0,(VLOOKUP(G467,'2. SMDA BHN'!$B$12:$H512,7,0)))</f>
        <v>0</v>
      </c>
      <c r="P467" s="449">
        <f t="shared" si="2"/>
        <v>0</v>
      </c>
      <c r="Q467" s="449">
        <f t="shared" si="3"/>
        <v>0</v>
      </c>
      <c r="R467" s="451" t="s">
        <v>45</v>
      </c>
      <c r="S467" s="474"/>
      <c r="T467" s="439"/>
      <c r="U467" s="16"/>
      <c r="V467" s="439"/>
      <c r="W467" s="439"/>
      <c r="X467" s="439"/>
      <c r="Y467" s="439"/>
      <c r="Z467" s="439"/>
      <c r="AA467" s="439"/>
      <c r="AB467" s="439"/>
      <c r="AC467" s="439"/>
      <c r="AD467" s="439"/>
      <c r="AE467" s="439"/>
      <c r="AF467" s="439"/>
    </row>
    <row r="468" ht="16.5" customHeight="1">
      <c r="A468" s="439"/>
      <c r="B468" s="454">
        <f t="shared" si="4"/>
        <v>1459</v>
      </c>
      <c r="C468" s="472"/>
      <c r="D468" s="442" t="str">
        <f>IF(G468="","",(VLOOKUP(G468,'2. SMDA BHN'!$B$12:$J512,2,0)))</f>
        <v/>
      </c>
      <c r="E468" s="443">
        <f>IF(G468=0,0,(VLOOKUP(G468,'2. SMDA BHN'!$B$12:$J512,3,0)))</f>
        <v>0</v>
      </c>
      <c r="F468" s="444"/>
      <c r="G468" s="467"/>
      <c r="H468" s="446">
        <f>IF(G468=0,0,(VLOOKUP(G468,'2. SMDA BHN'!$B$12:$H512,4,0)))</f>
        <v>0</v>
      </c>
      <c r="I468" s="473"/>
      <c r="J468" s="447"/>
      <c r="K468" s="448">
        <f>SUMIF('PO MTRL'!$G$9:$G512,G468,'PO MTRL'!$J$9:$J512)</f>
        <v>0</v>
      </c>
      <c r="L468" s="448">
        <f t="shared" si="1"/>
        <v>0</v>
      </c>
      <c r="M468" s="449">
        <f>SUMIF('PO MTRL'!$G$9:$G512,G468,'PO MTRL'!$L$9:$L512)</f>
        <v>0</v>
      </c>
      <c r="N468" s="450">
        <f>IF(G468=0,0,(VLOOKUP(G468,'2. SMDA BHN'!$B$12:$H512,5,0)))</f>
        <v>0</v>
      </c>
      <c r="O468" s="450">
        <f>IF(G468=0,0,(VLOOKUP(G468,'2. SMDA BHN'!$B$12:$H512,7,0)))</f>
        <v>0</v>
      </c>
      <c r="P468" s="449">
        <f t="shared" si="2"/>
        <v>0</v>
      </c>
      <c r="Q468" s="449">
        <f t="shared" si="3"/>
        <v>0</v>
      </c>
      <c r="R468" s="451" t="s">
        <v>45</v>
      </c>
      <c r="S468" s="474"/>
      <c r="T468" s="439"/>
      <c r="U468" s="16"/>
      <c r="V468" s="439"/>
      <c r="W468" s="439"/>
      <c r="X468" s="439"/>
      <c r="Y468" s="439"/>
      <c r="Z468" s="439"/>
      <c r="AA468" s="439"/>
      <c r="AB468" s="439"/>
      <c r="AC468" s="439"/>
      <c r="AD468" s="439"/>
      <c r="AE468" s="439"/>
      <c r="AF468" s="439"/>
    </row>
    <row r="469" ht="16.5" customHeight="1">
      <c r="A469" s="439"/>
      <c r="B469" s="454">
        <f t="shared" si="4"/>
        <v>1460</v>
      </c>
      <c r="C469" s="472"/>
      <c r="D469" s="442" t="str">
        <f>IF(G469="","",(VLOOKUP(G469,'2. SMDA BHN'!$B$12:$J512,2,0)))</f>
        <v/>
      </c>
      <c r="E469" s="443">
        <f>IF(G469=0,0,(VLOOKUP(G469,'2. SMDA BHN'!$B$12:$J512,3,0)))</f>
        <v>0</v>
      </c>
      <c r="F469" s="444"/>
      <c r="G469" s="467"/>
      <c r="H469" s="446">
        <f>IF(G469=0,0,(VLOOKUP(G469,'2. SMDA BHN'!$B$12:$H512,4,0)))</f>
        <v>0</v>
      </c>
      <c r="I469" s="473"/>
      <c r="J469" s="447"/>
      <c r="K469" s="448">
        <f>SUMIF('PO MTRL'!$G$9:$G512,G469,'PO MTRL'!$J$9:$J512)</f>
        <v>0</v>
      </c>
      <c r="L469" s="448">
        <f t="shared" si="1"/>
        <v>0</v>
      </c>
      <c r="M469" s="449">
        <f>SUMIF('PO MTRL'!$G$9:$G512,G469,'PO MTRL'!$L$9:$L512)</f>
        <v>0</v>
      </c>
      <c r="N469" s="450">
        <f>IF(G469=0,0,(VLOOKUP(G469,'2. SMDA BHN'!$B$12:$H512,5,0)))</f>
        <v>0</v>
      </c>
      <c r="O469" s="450">
        <f>IF(G469=0,0,(VLOOKUP(G469,'2. SMDA BHN'!$B$12:$H512,7,0)))</f>
        <v>0</v>
      </c>
      <c r="P469" s="449">
        <f t="shared" si="2"/>
        <v>0</v>
      </c>
      <c r="Q469" s="449">
        <f t="shared" si="3"/>
        <v>0</v>
      </c>
      <c r="R469" s="451" t="s">
        <v>45</v>
      </c>
      <c r="S469" s="474"/>
      <c r="T469" s="439"/>
      <c r="U469" s="16"/>
      <c r="V469" s="439"/>
      <c r="W469" s="439"/>
      <c r="X469" s="439"/>
      <c r="Y469" s="439"/>
      <c r="Z469" s="439"/>
      <c r="AA469" s="439"/>
      <c r="AB469" s="439"/>
      <c r="AC469" s="439"/>
      <c r="AD469" s="439"/>
      <c r="AE469" s="439"/>
      <c r="AF469" s="439"/>
    </row>
    <row r="470" ht="16.5" customHeight="1">
      <c r="A470" s="439"/>
      <c r="B470" s="454">
        <f t="shared" si="4"/>
        <v>1461</v>
      </c>
      <c r="C470" s="472"/>
      <c r="D470" s="442" t="str">
        <f>IF(G470="","",(VLOOKUP(G470,'2. SMDA BHN'!$B$12:$J512,2,0)))</f>
        <v/>
      </c>
      <c r="E470" s="443">
        <f>IF(G470=0,0,(VLOOKUP(G470,'2. SMDA BHN'!$B$12:$J512,3,0)))</f>
        <v>0</v>
      </c>
      <c r="F470" s="444"/>
      <c r="G470" s="467"/>
      <c r="H470" s="446">
        <f>IF(G470=0,0,(VLOOKUP(G470,'2. SMDA BHN'!$B$12:$H512,4,0)))</f>
        <v>0</v>
      </c>
      <c r="I470" s="473"/>
      <c r="J470" s="447"/>
      <c r="K470" s="448">
        <f>SUMIF('PO MTRL'!$G$9:$G512,G470,'PO MTRL'!$J$9:$J512)</f>
        <v>0</v>
      </c>
      <c r="L470" s="448">
        <f t="shared" si="1"/>
        <v>0</v>
      </c>
      <c r="M470" s="449">
        <f>SUMIF('PO MTRL'!$G$9:$G512,G470,'PO MTRL'!$L$9:$L512)</f>
        <v>0</v>
      </c>
      <c r="N470" s="450">
        <f>IF(G470=0,0,(VLOOKUP(G470,'2. SMDA BHN'!$B$12:$H512,5,0)))</f>
        <v>0</v>
      </c>
      <c r="O470" s="450">
        <f>IF(G470=0,0,(VLOOKUP(G470,'2. SMDA BHN'!$B$12:$H512,7,0)))</f>
        <v>0</v>
      </c>
      <c r="P470" s="449">
        <f t="shared" si="2"/>
        <v>0</v>
      </c>
      <c r="Q470" s="449">
        <f t="shared" si="3"/>
        <v>0</v>
      </c>
      <c r="R470" s="451" t="s">
        <v>45</v>
      </c>
      <c r="S470" s="474"/>
      <c r="T470" s="439"/>
      <c r="U470" s="16"/>
      <c r="V470" s="439"/>
      <c r="W470" s="439"/>
      <c r="X470" s="439"/>
      <c r="Y470" s="439"/>
      <c r="Z470" s="439"/>
      <c r="AA470" s="439"/>
      <c r="AB470" s="439"/>
      <c r="AC470" s="439"/>
      <c r="AD470" s="439"/>
      <c r="AE470" s="439"/>
      <c r="AF470" s="439"/>
    </row>
    <row r="471" ht="16.5" customHeight="1">
      <c r="A471" s="439"/>
      <c r="B471" s="454">
        <f t="shared" si="4"/>
        <v>1462</v>
      </c>
      <c r="C471" s="472"/>
      <c r="D471" s="442" t="str">
        <f>IF(G471="","",(VLOOKUP(G471,'2. SMDA BHN'!$B$12:$J512,2,0)))</f>
        <v/>
      </c>
      <c r="E471" s="443">
        <f>IF(G471=0,0,(VLOOKUP(G471,'2. SMDA BHN'!$B$12:$J512,3,0)))</f>
        <v>0</v>
      </c>
      <c r="F471" s="444"/>
      <c r="G471" s="467"/>
      <c r="H471" s="446">
        <f>IF(G471=0,0,(VLOOKUP(G471,'2. SMDA BHN'!$B$12:$H512,4,0)))</f>
        <v>0</v>
      </c>
      <c r="I471" s="473"/>
      <c r="J471" s="447"/>
      <c r="K471" s="448">
        <f>SUMIF('PO MTRL'!$G$9:$G512,G471,'PO MTRL'!$J$9:$J512)</f>
        <v>0</v>
      </c>
      <c r="L471" s="448">
        <f t="shared" si="1"/>
        <v>0</v>
      </c>
      <c r="M471" s="449">
        <f>SUMIF('PO MTRL'!$G$9:$G512,G471,'PO MTRL'!$L$9:$L512)</f>
        <v>0</v>
      </c>
      <c r="N471" s="450">
        <f>IF(G471=0,0,(VLOOKUP(G471,'2. SMDA BHN'!$B$12:$H512,5,0)))</f>
        <v>0</v>
      </c>
      <c r="O471" s="450">
        <f>IF(G471=0,0,(VLOOKUP(G471,'2. SMDA BHN'!$B$12:$H512,7,0)))</f>
        <v>0</v>
      </c>
      <c r="P471" s="449">
        <f t="shared" si="2"/>
        <v>0</v>
      </c>
      <c r="Q471" s="449">
        <f t="shared" si="3"/>
        <v>0</v>
      </c>
      <c r="R471" s="451" t="s">
        <v>45</v>
      </c>
      <c r="S471" s="474"/>
      <c r="T471" s="439"/>
      <c r="U471" s="16"/>
      <c r="V471" s="439"/>
      <c r="W471" s="439"/>
      <c r="X471" s="439"/>
      <c r="Y471" s="439"/>
      <c r="Z471" s="439"/>
      <c r="AA471" s="439"/>
      <c r="AB471" s="439"/>
      <c r="AC471" s="439"/>
      <c r="AD471" s="439"/>
      <c r="AE471" s="439"/>
      <c r="AF471" s="439"/>
    </row>
    <row r="472" ht="16.5" customHeight="1">
      <c r="A472" s="439"/>
      <c r="B472" s="454">
        <f t="shared" si="4"/>
        <v>1463</v>
      </c>
      <c r="C472" s="472"/>
      <c r="D472" s="442" t="str">
        <f>IF(G472="","",(VLOOKUP(G472,'2. SMDA BHN'!$B$12:$J512,2,0)))</f>
        <v/>
      </c>
      <c r="E472" s="443">
        <f>IF(G472=0,0,(VLOOKUP(G472,'2. SMDA BHN'!$B$12:$J512,3,0)))</f>
        <v>0</v>
      </c>
      <c r="F472" s="444"/>
      <c r="G472" s="467"/>
      <c r="H472" s="446">
        <f>IF(G472=0,0,(VLOOKUP(G472,'2. SMDA BHN'!$B$12:$H512,4,0)))</f>
        <v>0</v>
      </c>
      <c r="I472" s="473"/>
      <c r="J472" s="447"/>
      <c r="K472" s="448">
        <f>SUMIF('PO MTRL'!$G$9:$G512,G472,'PO MTRL'!$J$9:$J512)</f>
        <v>0</v>
      </c>
      <c r="L472" s="448">
        <f t="shared" si="1"/>
        <v>0</v>
      </c>
      <c r="M472" s="449">
        <f>SUMIF('PO MTRL'!$G$9:$G512,G472,'PO MTRL'!$L$9:$L512)</f>
        <v>0</v>
      </c>
      <c r="N472" s="450">
        <f>IF(G472=0,0,(VLOOKUP(G472,'2. SMDA BHN'!$B$12:$H512,5,0)))</f>
        <v>0</v>
      </c>
      <c r="O472" s="450">
        <f>IF(G472=0,0,(VLOOKUP(G472,'2. SMDA BHN'!$B$12:$H512,7,0)))</f>
        <v>0</v>
      </c>
      <c r="P472" s="449">
        <f t="shared" si="2"/>
        <v>0</v>
      </c>
      <c r="Q472" s="449">
        <f t="shared" si="3"/>
        <v>0</v>
      </c>
      <c r="R472" s="451" t="s">
        <v>45</v>
      </c>
      <c r="S472" s="474"/>
      <c r="T472" s="439"/>
      <c r="U472" s="16"/>
      <c r="V472" s="439"/>
      <c r="W472" s="439"/>
      <c r="X472" s="439"/>
      <c r="Y472" s="439"/>
      <c r="Z472" s="439"/>
      <c r="AA472" s="439"/>
      <c r="AB472" s="439"/>
      <c r="AC472" s="439"/>
      <c r="AD472" s="439"/>
      <c r="AE472" s="439"/>
      <c r="AF472" s="439"/>
    </row>
    <row r="473" ht="16.5" customHeight="1">
      <c r="A473" s="439"/>
      <c r="B473" s="454">
        <f t="shared" si="4"/>
        <v>1464</v>
      </c>
      <c r="C473" s="472"/>
      <c r="D473" s="442" t="str">
        <f>IF(G473="","",(VLOOKUP(G473,'2. SMDA BHN'!$B$12:$J512,2,0)))</f>
        <v/>
      </c>
      <c r="E473" s="443">
        <f>IF(G473=0,0,(VLOOKUP(G473,'2. SMDA BHN'!$B$12:$J512,3,0)))</f>
        <v>0</v>
      </c>
      <c r="F473" s="444"/>
      <c r="G473" s="467"/>
      <c r="H473" s="446">
        <f>IF(G473=0,0,(VLOOKUP(G473,'2. SMDA BHN'!$B$12:$H512,4,0)))</f>
        <v>0</v>
      </c>
      <c r="I473" s="473"/>
      <c r="J473" s="447"/>
      <c r="K473" s="448">
        <f>SUMIF('PO MTRL'!$G$9:$G512,G473,'PO MTRL'!$J$9:$J512)</f>
        <v>0</v>
      </c>
      <c r="L473" s="448">
        <f t="shared" si="1"/>
        <v>0</v>
      </c>
      <c r="M473" s="449">
        <f>SUMIF('PO MTRL'!$G$9:$G512,G473,'PO MTRL'!$L$9:$L512)</f>
        <v>0</v>
      </c>
      <c r="N473" s="450">
        <f>IF(G473=0,0,(VLOOKUP(G473,'2. SMDA BHN'!$B$12:$H512,5,0)))</f>
        <v>0</v>
      </c>
      <c r="O473" s="450">
        <f>IF(G473=0,0,(VLOOKUP(G473,'2. SMDA BHN'!$B$12:$H512,7,0)))</f>
        <v>0</v>
      </c>
      <c r="P473" s="449">
        <f t="shared" si="2"/>
        <v>0</v>
      </c>
      <c r="Q473" s="449">
        <f t="shared" si="3"/>
        <v>0</v>
      </c>
      <c r="R473" s="451" t="s">
        <v>45</v>
      </c>
      <c r="S473" s="474"/>
      <c r="T473" s="439"/>
      <c r="U473" s="16"/>
      <c r="V473" s="439"/>
      <c r="W473" s="439"/>
      <c r="X473" s="439"/>
      <c r="Y473" s="439"/>
      <c r="Z473" s="439"/>
      <c r="AA473" s="439"/>
      <c r="AB473" s="439"/>
      <c r="AC473" s="439"/>
      <c r="AD473" s="439"/>
      <c r="AE473" s="439"/>
      <c r="AF473" s="439"/>
    </row>
    <row r="474" ht="16.5" customHeight="1">
      <c r="A474" s="439"/>
      <c r="B474" s="454">
        <f t="shared" si="4"/>
        <v>1465</v>
      </c>
      <c r="C474" s="472"/>
      <c r="D474" s="442" t="str">
        <f>IF(G474="","",(VLOOKUP(G474,'2. SMDA BHN'!$B$12:$J512,2,0)))</f>
        <v/>
      </c>
      <c r="E474" s="443">
        <f>IF(G474=0,0,(VLOOKUP(G474,'2. SMDA BHN'!$B$12:$J512,3,0)))</f>
        <v>0</v>
      </c>
      <c r="F474" s="444"/>
      <c r="G474" s="467"/>
      <c r="H474" s="446">
        <f>IF(G474=0,0,(VLOOKUP(G474,'2. SMDA BHN'!$B$12:$H512,4,0)))</f>
        <v>0</v>
      </c>
      <c r="I474" s="473"/>
      <c r="J474" s="447"/>
      <c r="K474" s="448">
        <f>SUMIF('PO MTRL'!$G$9:$G512,G474,'PO MTRL'!$J$9:$J512)</f>
        <v>0</v>
      </c>
      <c r="L474" s="448">
        <f t="shared" si="1"/>
        <v>0</v>
      </c>
      <c r="M474" s="449">
        <f>SUMIF('PO MTRL'!$G$9:$G512,G474,'PO MTRL'!$L$9:$L512)</f>
        <v>0</v>
      </c>
      <c r="N474" s="450">
        <f>IF(G474=0,0,(VLOOKUP(G474,'2. SMDA BHN'!$B$12:$H512,5,0)))</f>
        <v>0</v>
      </c>
      <c r="O474" s="450">
        <f>IF(G474=0,0,(VLOOKUP(G474,'2. SMDA BHN'!$B$12:$H512,7,0)))</f>
        <v>0</v>
      </c>
      <c r="P474" s="449">
        <f t="shared" si="2"/>
        <v>0</v>
      </c>
      <c r="Q474" s="449">
        <f t="shared" si="3"/>
        <v>0</v>
      </c>
      <c r="R474" s="451" t="s">
        <v>45</v>
      </c>
      <c r="S474" s="474"/>
      <c r="T474" s="439"/>
      <c r="U474" s="16"/>
      <c r="V474" s="439"/>
      <c r="W474" s="439"/>
      <c r="X474" s="439"/>
      <c r="Y474" s="439"/>
      <c r="Z474" s="439"/>
      <c r="AA474" s="439"/>
      <c r="AB474" s="439"/>
      <c r="AC474" s="439"/>
      <c r="AD474" s="439"/>
      <c r="AE474" s="439"/>
      <c r="AF474" s="439"/>
    </row>
    <row r="475" ht="16.5" customHeight="1">
      <c r="A475" s="439"/>
      <c r="B475" s="454">
        <f t="shared" si="4"/>
        <v>1466</v>
      </c>
      <c r="C475" s="472"/>
      <c r="D475" s="442" t="str">
        <f>IF(G475="","",(VLOOKUP(G475,'2. SMDA BHN'!$B$12:$J512,2,0)))</f>
        <v/>
      </c>
      <c r="E475" s="443">
        <f>IF(G475=0,0,(VLOOKUP(G475,'2. SMDA BHN'!$B$12:$J512,3,0)))</f>
        <v>0</v>
      </c>
      <c r="F475" s="444"/>
      <c r="G475" s="467"/>
      <c r="H475" s="446">
        <f>IF(G475=0,0,(VLOOKUP(G475,'2. SMDA BHN'!$B$12:$H512,4,0)))</f>
        <v>0</v>
      </c>
      <c r="I475" s="473"/>
      <c r="J475" s="447"/>
      <c r="K475" s="448">
        <f>SUMIF('PO MTRL'!$G$9:$G512,G475,'PO MTRL'!$J$9:$J512)</f>
        <v>0</v>
      </c>
      <c r="L475" s="448">
        <f t="shared" si="1"/>
        <v>0</v>
      </c>
      <c r="M475" s="449">
        <f>SUMIF('PO MTRL'!$G$9:$G512,G475,'PO MTRL'!$L$9:$L512)</f>
        <v>0</v>
      </c>
      <c r="N475" s="450">
        <f>IF(G475=0,0,(VLOOKUP(G475,'2. SMDA BHN'!$B$12:$H512,5,0)))</f>
        <v>0</v>
      </c>
      <c r="O475" s="450">
        <f>IF(G475=0,0,(VLOOKUP(G475,'2. SMDA BHN'!$B$12:$H512,7,0)))</f>
        <v>0</v>
      </c>
      <c r="P475" s="449">
        <f t="shared" si="2"/>
        <v>0</v>
      </c>
      <c r="Q475" s="449">
        <f t="shared" si="3"/>
        <v>0</v>
      </c>
      <c r="R475" s="451" t="s">
        <v>45</v>
      </c>
      <c r="S475" s="474"/>
      <c r="T475" s="439"/>
      <c r="U475" s="16"/>
      <c r="V475" s="439"/>
      <c r="W475" s="439"/>
      <c r="X475" s="439"/>
      <c r="Y475" s="439"/>
      <c r="Z475" s="439"/>
      <c r="AA475" s="439"/>
      <c r="AB475" s="439"/>
      <c r="AC475" s="439"/>
      <c r="AD475" s="439"/>
      <c r="AE475" s="439"/>
      <c r="AF475" s="439"/>
    </row>
    <row r="476" ht="16.5" customHeight="1">
      <c r="A476" s="439"/>
      <c r="B476" s="454">
        <f t="shared" si="4"/>
        <v>1467</v>
      </c>
      <c r="C476" s="472"/>
      <c r="D476" s="442" t="str">
        <f>IF(G476="","",(VLOOKUP(G476,'2. SMDA BHN'!$B$12:$J512,2,0)))</f>
        <v/>
      </c>
      <c r="E476" s="443">
        <f>IF(G476=0,0,(VLOOKUP(G476,'2. SMDA BHN'!$B$12:$J512,3,0)))</f>
        <v>0</v>
      </c>
      <c r="F476" s="444"/>
      <c r="G476" s="467"/>
      <c r="H476" s="446">
        <f>IF(G476=0,0,(VLOOKUP(G476,'2. SMDA BHN'!$B$12:$H512,4,0)))</f>
        <v>0</v>
      </c>
      <c r="I476" s="473"/>
      <c r="J476" s="447"/>
      <c r="K476" s="448">
        <f>SUMIF('PO MTRL'!$G$9:$G512,G476,'PO MTRL'!$J$9:$J512)</f>
        <v>0</v>
      </c>
      <c r="L476" s="448">
        <f t="shared" si="1"/>
        <v>0</v>
      </c>
      <c r="M476" s="449">
        <f>SUMIF('PO MTRL'!$G$9:$G512,G476,'PO MTRL'!$L$9:$L512)</f>
        <v>0</v>
      </c>
      <c r="N476" s="450">
        <f>IF(G476=0,0,(VLOOKUP(G476,'2. SMDA BHN'!$B$12:$H512,5,0)))</f>
        <v>0</v>
      </c>
      <c r="O476" s="450">
        <f>IF(G476=0,0,(VLOOKUP(G476,'2. SMDA BHN'!$B$12:$H512,7,0)))</f>
        <v>0</v>
      </c>
      <c r="P476" s="449">
        <f t="shared" si="2"/>
        <v>0</v>
      </c>
      <c r="Q476" s="449">
        <f t="shared" si="3"/>
        <v>0</v>
      </c>
      <c r="R476" s="451" t="s">
        <v>45</v>
      </c>
      <c r="S476" s="474"/>
      <c r="T476" s="439"/>
      <c r="U476" s="16"/>
      <c r="V476" s="439"/>
      <c r="W476" s="439"/>
      <c r="X476" s="439"/>
      <c r="Y476" s="439"/>
      <c r="Z476" s="439"/>
      <c r="AA476" s="439"/>
      <c r="AB476" s="439"/>
      <c r="AC476" s="439"/>
      <c r="AD476" s="439"/>
      <c r="AE476" s="439"/>
      <c r="AF476" s="439"/>
    </row>
    <row r="477" ht="16.5" customHeight="1">
      <c r="A477" s="439"/>
      <c r="B477" s="454">
        <f t="shared" si="4"/>
        <v>1468</v>
      </c>
      <c r="C477" s="472"/>
      <c r="D477" s="442" t="str">
        <f>IF(G477="","",(VLOOKUP(G477,'2. SMDA BHN'!$B$12:$J512,2,0)))</f>
        <v/>
      </c>
      <c r="E477" s="443">
        <f>IF(G477=0,0,(VLOOKUP(G477,'2. SMDA BHN'!$B$12:$J512,3,0)))</f>
        <v>0</v>
      </c>
      <c r="F477" s="444"/>
      <c r="G477" s="467"/>
      <c r="H477" s="446">
        <f>IF(G477=0,0,(VLOOKUP(G477,'2. SMDA BHN'!$B$12:$H512,4,0)))</f>
        <v>0</v>
      </c>
      <c r="I477" s="473"/>
      <c r="J477" s="447"/>
      <c r="K477" s="448">
        <f>SUMIF('PO MTRL'!$G$9:$G512,G477,'PO MTRL'!$J$9:$J512)</f>
        <v>0</v>
      </c>
      <c r="L477" s="448">
        <f t="shared" si="1"/>
        <v>0</v>
      </c>
      <c r="M477" s="449">
        <f>SUMIF('PO MTRL'!$G$9:$G512,G477,'PO MTRL'!$L$9:$L512)</f>
        <v>0</v>
      </c>
      <c r="N477" s="450">
        <f>IF(G477=0,0,(VLOOKUP(G477,'2. SMDA BHN'!$B$12:$H512,5,0)))</f>
        <v>0</v>
      </c>
      <c r="O477" s="450">
        <f>IF(G477=0,0,(VLOOKUP(G477,'2. SMDA BHN'!$B$12:$H512,7,0)))</f>
        <v>0</v>
      </c>
      <c r="P477" s="449">
        <f t="shared" si="2"/>
        <v>0</v>
      </c>
      <c r="Q477" s="449">
        <f t="shared" si="3"/>
        <v>0</v>
      </c>
      <c r="R477" s="451" t="s">
        <v>45</v>
      </c>
      <c r="S477" s="474"/>
      <c r="T477" s="439"/>
      <c r="U477" s="16"/>
      <c r="V477" s="439"/>
      <c r="W477" s="439"/>
      <c r="X477" s="439"/>
      <c r="Y477" s="439"/>
      <c r="Z477" s="439"/>
      <c r="AA477" s="439"/>
      <c r="AB477" s="439"/>
      <c r="AC477" s="439"/>
      <c r="AD477" s="439"/>
      <c r="AE477" s="439"/>
      <c r="AF477" s="439"/>
    </row>
    <row r="478" ht="16.5" customHeight="1">
      <c r="A478" s="439"/>
      <c r="B478" s="454">
        <f t="shared" si="4"/>
        <v>1469</v>
      </c>
      <c r="C478" s="472"/>
      <c r="D478" s="442" t="str">
        <f>IF(G478="","",(VLOOKUP(G478,'2. SMDA BHN'!$B$12:$J512,2,0)))</f>
        <v/>
      </c>
      <c r="E478" s="443">
        <f>IF(G478=0,0,(VLOOKUP(G478,'2. SMDA BHN'!$B$12:$J512,3,0)))</f>
        <v>0</v>
      </c>
      <c r="F478" s="444"/>
      <c r="G478" s="467"/>
      <c r="H478" s="446">
        <f>IF(G478=0,0,(VLOOKUP(G478,'2. SMDA BHN'!$B$12:$H512,4,0)))</f>
        <v>0</v>
      </c>
      <c r="I478" s="473"/>
      <c r="J478" s="447"/>
      <c r="K478" s="448">
        <f>SUMIF('PO MTRL'!$G$9:$G512,G478,'PO MTRL'!$J$9:$J512)</f>
        <v>0</v>
      </c>
      <c r="L478" s="448">
        <f t="shared" si="1"/>
        <v>0</v>
      </c>
      <c r="M478" s="449">
        <f>SUMIF('PO MTRL'!$G$9:$G512,G478,'PO MTRL'!$L$9:$L512)</f>
        <v>0</v>
      </c>
      <c r="N478" s="450">
        <f>IF(G478=0,0,(VLOOKUP(G478,'2. SMDA BHN'!$B$12:$H512,5,0)))</f>
        <v>0</v>
      </c>
      <c r="O478" s="450">
        <f>IF(G478=0,0,(VLOOKUP(G478,'2. SMDA BHN'!$B$12:$H512,7,0)))</f>
        <v>0</v>
      </c>
      <c r="P478" s="449">
        <f t="shared" si="2"/>
        <v>0</v>
      </c>
      <c r="Q478" s="449">
        <f t="shared" si="3"/>
        <v>0</v>
      </c>
      <c r="R478" s="451" t="s">
        <v>45</v>
      </c>
      <c r="S478" s="474"/>
      <c r="T478" s="439"/>
      <c r="U478" s="16"/>
      <c r="V478" s="439"/>
      <c r="W478" s="439"/>
      <c r="X478" s="439"/>
      <c r="Y478" s="439"/>
      <c r="Z478" s="439"/>
      <c r="AA478" s="439"/>
      <c r="AB478" s="439"/>
      <c r="AC478" s="439"/>
      <c r="AD478" s="439"/>
      <c r="AE478" s="439"/>
      <c r="AF478" s="439"/>
    </row>
    <row r="479" ht="16.5" customHeight="1">
      <c r="A479" s="439"/>
      <c r="B479" s="454">
        <f t="shared" si="4"/>
        <v>1470</v>
      </c>
      <c r="C479" s="472"/>
      <c r="D479" s="442" t="str">
        <f>IF(G479="","",(VLOOKUP(G479,'2. SMDA BHN'!$B$12:$J512,2,0)))</f>
        <v/>
      </c>
      <c r="E479" s="443">
        <f>IF(G479=0,0,(VLOOKUP(G479,'2. SMDA BHN'!$B$12:$J512,3,0)))</f>
        <v>0</v>
      </c>
      <c r="F479" s="444"/>
      <c r="G479" s="467"/>
      <c r="H479" s="446">
        <f>IF(G479=0,0,(VLOOKUP(G479,'2. SMDA BHN'!$B$12:$H512,4,0)))</f>
        <v>0</v>
      </c>
      <c r="I479" s="473"/>
      <c r="J479" s="447"/>
      <c r="K479" s="448">
        <f>SUMIF('PO MTRL'!$G$9:$G512,G479,'PO MTRL'!$J$9:$J512)</f>
        <v>0</v>
      </c>
      <c r="L479" s="448">
        <f t="shared" si="1"/>
        <v>0</v>
      </c>
      <c r="M479" s="449">
        <f>SUMIF('PO MTRL'!$G$9:$G512,G479,'PO MTRL'!$L$9:$L512)</f>
        <v>0</v>
      </c>
      <c r="N479" s="450">
        <f>IF(G479=0,0,(VLOOKUP(G479,'2. SMDA BHN'!$B$12:$H512,5,0)))</f>
        <v>0</v>
      </c>
      <c r="O479" s="450">
        <f>IF(G479=0,0,(VLOOKUP(G479,'2. SMDA BHN'!$B$12:$H512,7,0)))</f>
        <v>0</v>
      </c>
      <c r="P479" s="449">
        <f t="shared" si="2"/>
        <v>0</v>
      </c>
      <c r="Q479" s="449">
        <f t="shared" si="3"/>
        <v>0</v>
      </c>
      <c r="R479" s="451" t="s">
        <v>45</v>
      </c>
      <c r="S479" s="474"/>
      <c r="T479" s="439"/>
      <c r="U479" s="16"/>
      <c r="V479" s="439"/>
      <c r="W479" s="439"/>
      <c r="X479" s="439"/>
      <c r="Y479" s="439"/>
      <c r="Z479" s="439"/>
      <c r="AA479" s="439"/>
      <c r="AB479" s="439"/>
      <c r="AC479" s="439"/>
      <c r="AD479" s="439"/>
      <c r="AE479" s="439"/>
      <c r="AF479" s="439"/>
    </row>
    <row r="480" ht="16.5" customHeight="1">
      <c r="A480" s="439"/>
      <c r="B480" s="454">
        <f t="shared" si="4"/>
        <v>1471</v>
      </c>
      <c r="C480" s="472"/>
      <c r="D480" s="442" t="str">
        <f>IF(G480="","",(VLOOKUP(G480,'2. SMDA BHN'!$B$12:$J512,2,0)))</f>
        <v/>
      </c>
      <c r="E480" s="443">
        <f>IF(G480=0,0,(VLOOKUP(G480,'2. SMDA BHN'!$B$12:$J512,3,0)))</f>
        <v>0</v>
      </c>
      <c r="F480" s="444"/>
      <c r="G480" s="467"/>
      <c r="H480" s="446">
        <f>IF(G480=0,0,(VLOOKUP(G480,'2. SMDA BHN'!$B$12:$H512,4,0)))</f>
        <v>0</v>
      </c>
      <c r="I480" s="473"/>
      <c r="J480" s="447"/>
      <c r="K480" s="448">
        <f>SUMIF('PO MTRL'!$G$9:$G512,G480,'PO MTRL'!$J$9:$J512)</f>
        <v>0</v>
      </c>
      <c r="L480" s="448">
        <f t="shared" si="1"/>
        <v>0</v>
      </c>
      <c r="M480" s="449">
        <f>SUMIF('PO MTRL'!$G$9:$G512,G480,'PO MTRL'!$L$9:$L512)</f>
        <v>0</v>
      </c>
      <c r="N480" s="450">
        <f>IF(G480=0,0,(VLOOKUP(G480,'2. SMDA BHN'!$B$12:$H512,5,0)))</f>
        <v>0</v>
      </c>
      <c r="O480" s="450">
        <f>IF(G480=0,0,(VLOOKUP(G480,'2. SMDA BHN'!$B$12:$H512,7,0)))</f>
        <v>0</v>
      </c>
      <c r="P480" s="449">
        <f t="shared" si="2"/>
        <v>0</v>
      </c>
      <c r="Q480" s="449">
        <f t="shared" si="3"/>
        <v>0</v>
      </c>
      <c r="R480" s="451" t="s">
        <v>45</v>
      </c>
      <c r="S480" s="474"/>
      <c r="T480" s="439"/>
      <c r="U480" s="16"/>
      <c r="V480" s="439"/>
      <c r="W480" s="439"/>
      <c r="X480" s="439"/>
      <c r="Y480" s="439"/>
      <c r="Z480" s="439"/>
      <c r="AA480" s="439"/>
      <c r="AB480" s="439"/>
      <c r="AC480" s="439"/>
      <c r="AD480" s="439"/>
      <c r="AE480" s="439"/>
      <c r="AF480" s="439"/>
    </row>
    <row r="481" ht="16.5" customHeight="1">
      <c r="A481" s="439"/>
      <c r="B481" s="454">
        <f t="shared" si="4"/>
        <v>1472</v>
      </c>
      <c r="C481" s="472"/>
      <c r="D481" s="442" t="str">
        <f>IF(G481="","",(VLOOKUP(G481,'2. SMDA BHN'!$B$12:$J512,2,0)))</f>
        <v/>
      </c>
      <c r="E481" s="443">
        <f>IF(G481=0,0,(VLOOKUP(G481,'2. SMDA BHN'!$B$12:$J512,3,0)))</f>
        <v>0</v>
      </c>
      <c r="F481" s="444"/>
      <c r="G481" s="467"/>
      <c r="H481" s="446">
        <f>IF(G481=0,0,(VLOOKUP(G481,'2. SMDA BHN'!$B$12:$H512,4,0)))</f>
        <v>0</v>
      </c>
      <c r="I481" s="473"/>
      <c r="J481" s="447"/>
      <c r="K481" s="448">
        <f>SUMIF('PO MTRL'!$G$9:$G512,G481,'PO MTRL'!$J$9:$J512)</f>
        <v>0</v>
      </c>
      <c r="L481" s="448">
        <f t="shared" si="1"/>
        <v>0</v>
      </c>
      <c r="M481" s="449">
        <f>SUMIF('PO MTRL'!$G$9:$G512,G481,'PO MTRL'!$L$9:$L512)</f>
        <v>0</v>
      </c>
      <c r="N481" s="450">
        <f>IF(G481=0,0,(VLOOKUP(G481,'2. SMDA BHN'!$B$12:$H512,5,0)))</f>
        <v>0</v>
      </c>
      <c r="O481" s="450">
        <f>IF(G481=0,0,(VLOOKUP(G481,'2. SMDA BHN'!$B$12:$H512,7,0)))</f>
        <v>0</v>
      </c>
      <c r="P481" s="449">
        <f t="shared" si="2"/>
        <v>0</v>
      </c>
      <c r="Q481" s="449">
        <f t="shared" si="3"/>
        <v>0</v>
      </c>
      <c r="R481" s="451" t="s">
        <v>45</v>
      </c>
      <c r="S481" s="474"/>
      <c r="T481" s="439"/>
      <c r="U481" s="16"/>
      <c r="V481" s="439"/>
      <c r="W481" s="439"/>
      <c r="X481" s="439"/>
      <c r="Y481" s="439"/>
      <c r="Z481" s="439"/>
      <c r="AA481" s="439"/>
      <c r="AB481" s="439"/>
      <c r="AC481" s="439"/>
      <c r="AD481" s="439"/>
      <c r="AE481" s="439"/>
      <c r="AF481" s="439"/>
    </row>
    <row r="482" ht="16.5" customHeight="1">
      <c r="A482" s="439"/>
      <c r="B482" s="454">
        <f t="shared" si="4"/>
        <v>1473</v>
      </c>
      <c r="C482" s="472"/>
      <c r="D482" s="442" t="str">
        <f>IF(G482="","",(VLOOKUP(G482,'2. SMDA BHN'!$B$12:$J512,2,0)))</f>
        <v/>
      </c>
      <c r="E482" s="443">
        <f>IF(G482=0,0,(VLOOKUP(G482,'2. SMDA BHN'!$B$12:$J512,3,0)))</f>
        <v>0</v>
      </c>
      <c r="F482" s="444"/>
      <c r="G482" s="467"/>
      <c r="H482" s="446">
        <f>IF(G482=0,0,(VLOOKUP(G482,'2. SMDA BHN'!$B$12:$H512,4,0)))</f>
        <v>0</v>
      </c>
      <c r="I482" s="473"/>
      <c r="J482" s="447"/>
      <c r="K482" s="448">
        <f>SUMIF('PO MTRL'!$G$9:$G512,G482,'PO MTRL'!$J$9:$J512)</f>
        <v>0</v>
      </c>
      <c r="L482" s="448">
        <f t="shared" si="1"/>
        <v>0</v>
      </c>
      <c r="M482" s="449">
        <f>SUMIF('PO MTRL'!$G$9:$G512,G482,'PO MTRL'!$L$9:$L512)</f>
        <v>0</v>
      </c>
      <c r="N482" s="450">
        <f>IF(G482=0,0,(VLOOKUP(G482,'2. SMDA BHN'!$B$12:$H512,5,0)))</f>
        <v>0</v>
      </c>
      <c r="O482" s="450">
        <f>IF(G482=0,0,(VLOOKUP(G482,'2. SMDA BHN'!$B$12:$H512,7,0)))</f>
        <v>0</v>
      </c>
      <c r="P482" s="449">
        <f t="shared" si="2"/>
        <v>0</v>
      </c>
      <c r="Q482" s="449">
        <f t="shared" si="3"/>
        <v>0</v>
      </c>
      <c r="R482" s="451" t="s">
        <v>45</v>
      </c>
      <c r="S482" s="474"/>
      <c r="T482" s="439"/>
      <c r="U482" s="16"/>
      <c r="V482" s="439"/>
      <c r="W482" s="439"/>
      <c r="X482" s="439"/>
      <c r="Y482" s="439"/>
      <c r="Z482" s="439"/>
      <c r="AA482" s="439"/>
      <c r="AB482" s="439"/>
      <c r="AC482" s="439"/>
      <c r="AD482" s="439"/>
      <c r="AE482" s="439"/>
      <c r="AF482" s="439"/>
    </row>
    <row r="483" ht="16.5" customHeight="1">
      <c r="A483" s="439"/>
      <c r="B483" s="454">
        <f t="shared" si="4"/>
        <v>1474</v>
      </c>
      <c r="C483" s="472"/>
      <c r="D483" s="442" t="str">
        <f>IF(G483="","",(VLOOKUP(G483,'2. SMDA BHN'!$B$12:$J512,2,0)))</f>
        <v/>
      </c>
      <c r="E483" s="443">
        <f>IF(G483=0,0,(VLOOKUP(G483,'2. SMDA BHN'!$B$12:$J512,3,0)))</f>
        <v>0</v>
      </c>
      <c r="F483" s="444"/>
      <c r="G483" s="467"/>
      <c r="H483" s="446">
        <f>IF(G483=0,0,(VLOOKUP(G483,'2. SMDA BHN'!$B$12:$H512,4,0)))</f>
        <v>0</v>
      </c>
      <c r="I483" s="473"/>
      <c r="J483" s="447"/>
      <c r="K483" s="448">
        <f>SUMIF('PO MTRL'!$G$9:$G512,G483,'PO MTRL'!$J$9:$J512)</f>
        <v>0</v>
      </c>
      <c r="L483" s="448">
        <f t="shared" si="1"/>
        <v>0</v>
      </c>
      <c r="M483" s="449">
        <f>SUMIF('PO MTRL'!$G$9:$G512,G483,'PO MTRL'!$L$9:$L512)</f>
        <v>0</v>
      </c>
      <c r="N483" s="450">
        <f>IF(G483=0,0,(VLOOKUP(G483,'2. SMDA BHN'!$B$12:$H512,5,0)))</f>
        <v>0</v>
      </c>
      <c r="O483" s="450">
        <f>IF(G483=0,0,(VLOOKUP(G483,'2. SMDA BHN'!$B$12:$H512,7,0)))</f>
        <v>0</v>
      </c>
      <c r="P483" s="449">
        <f t="shared" si="2"/>
        <v>0</v>
      </c>
      <c r="Q483" s="449">
        <f t="shared" si="3"/>
        <v>0</v>
      </c>
      <c r="R483" s="451" t="s">
        <v>45</v>
      </c>
      <c r="S483" s="474"/>
      <c r="T483" s="439"/>
      <c r="U483" s="16"/>
      <c r="V483" s="439"/>
      <c r="W483" s="439"/>
      <c r="X483" s="439"/>
      <c r="Y483" s="439"/>
      <c r="Z483" s="439"/>
      <c r="AA483" s="439"/>
      <c r="AB483" s="439"/>
      <c r="AC483" s="439"/>
      <c r="AD483" s="439"/>
      <c r="AE483" s="439"/>
      <c r="AF483" s="439"/>
    </row>
    <row r="484" ht="16.5" customHeight="1">
      <c r="A484" s="439"/>
      <c r="B484" s="454">
        <f t="shared" si="4"/>
        <v>1475</v>
      </c>
      <c r="C484" s="472"/>
      <c r="D484" s="442" t="str">
        <f>IF(G484="","",(VLOOKUP(G484,'2. SMDA BHN'!$B$12:$J512,2,0)))</f>
        <v/>
      </c>
      <c r="E484" s="443">
        <f>IF(G484=0,0,(VLOOKUP(G484,'2. SMDA BHN'!$B$12:$J512,3,0)))</f>
        <v>0</v>
      </c>
      <c r="F484" s="444"/>
      <c r="G484" s="467"/>
      <c r="H484" s="446">
        <f>IF(G484=0,0,(VLOOKUP(G484,'2. SMDA BHN'!$B$12:$H512,4,0)))</f>
        <v>0</v>
      </c>
      <c r="I484" s="473"/>
      <c r="J484" s="447"/>
      <c r="K484" s="448">
        <f>SUMIF('PO MTRL'!$G$9:$G512,G484,'PO MTRL'!$J$9:$J512)</f>
        <v>0</v>
      </c>
      <c r="L484" s="448">
        <f t="shared" si="1"/>
        <v>0</v>
      </c>
      <c r="M484" s="449">
        <f>SUMIF('PO MTRL'!$G$9:$G512,G484,'PO MTRL'!$L$9:$L512)</f>
        <v>0</v>
      </c>
      <c r="N484" s="450">
        <f>IF(G484=0,0,(VLOOKUP(G484,'2. SMDA BHN'!$B$12:$H512,5,0)))</f>
        <v>0</v>
      </c>
      <c r="O484" s="450">
        <f>IF(G484=0,0,(VLOOKUP(G484,'2. SMDA BHN'!$B$12:$H512,7,0)))</f>
        <v>0</v>
      </c>
      <c r="P484" s="449">
        <f t="shared" si="2"/>
        <v>0</v>
      </c>
      <c r="Q484" s="449">
        <f t="shared" si="3"/>
        <v>0</v>
      </c>
      <c r="R484" s="451" t="s">
        <v>45</v>
      </c>
      <c r="S484" s="474"/>
      <c r="T484" s="439"/>
      <c r="U484" s="16"/>
      <c r="V484" s="439"/>
      <c r="W484" s="439"/>
      <c r="X484" s="439"/>
      <c r="Y484" s="439"/>
      <c r="Z484" s="439"/>
      <c r="AA484" s="439"/>
      <c r="AB484" s="439"/>
      <c r="AC484" s="439"/>
      <c r="AD484" s="439"/>
      <c r="AE484" s="439"/>
      <c r="AF484" s="439"/>
    </row>
    <row r="485" ht="16.5" customHeight="1">
      <c r="A485" s="439"/>
      <c r="B485" s="454">
        <f t="shared" si="4"/>
        <v>1476</v>
      </c>
      <c r="C485" s="472"/>
      <c r="D485" s="442" t="str">
        <f>IF(G485="","",(VLOOKUP(G485,'2. SMDA BHN'!$B$12:$J512,2,0)))</f>
        <v/>
      </c>
      <c r="E485" s="443">
        <f>IF(G485=0,0,(VLOOKUP(G485,'2. SMDA BHN'!$B$12:$J512,3,0)))</f>
        <v>0</v>
      </c>
      <c r="F485" s="444"/>
      <c r="G485" s="467"/>
      <c r="H485" s="446">
        <f>IF(G485=0,0,(VLOOKUP(G485,'2. SMDA BHN'!$B$12:$H512,4,0)))</f>
        <v>0</v>
      </c>
      <c r="I485" s="473"/>
      <c r="J485" s="447"/>
      <c r="K485" s="448">
        <f>SUMIF('PO MTRL'!$G$9:$G512,G485,'PO MTRL'!$J$9:$J512)</f>
        <v>0</v>
      </c>
      <c r="L485" s="448">
        <f t="shared" si="1"/>
        <v>0</v>
      </c>
      <c r="M485" s="449">
        <f>SUMIF('PO MTRL'!$G$9:$G512,G485,'PO MTRL'!$L$9:$L512)</f>
        <v>0</v>
      </c>
      <c r="N485" s="450">
        <f>IF(G485=0,0,(VLOOKUP(G485,'2. SMDA BHN'!$B$12:$H512,5,0)))</f>
        <v>0</v>
      </c>
      <c r="O485" s="450">
        <f>IF(G485=0,0,(VLOOKUP(G485,'2. SMDA BHN'!$B$12:$H512,7,0)))</f>
        <v>0</v>
      </c>
      <c r="P485" s="449">
        <f t="shared" si="2"/>
        <v>0</v>
      </c>
      <c r="Q485" s="449">
        <f t="shared" si="3"/>
        <v>0</v>
      </c>
      <c r="R485" s="451" t="s">
        <v>45</v>
      </c>
      <c r="S485" s="474"/>
      <c r="T485" s="439"/>
      <c r="U485" s="16"/>
      <c r="V485" s="439"/>
      <c r="W485" s="439"/>
      <c r="X485" s="439"/>
      <c r="Y485" s="439"/>
      <c r="Z485" s="439"/>
      <c r="AA485" s="439"/>
      <c r="AB485" s="439"/>
      <c r="AC485" s="439"/>
      <c r="AD485" s="439"/>
      <c r="AE485" s="439"/>
      <c r="AF485" s="439"/>
    </row>
    <row r="486" ht="16.5" customHeight="1">
      <c r="A486" s="439"/>
      <c r="B486" s="454">
        <f t="shared" si="4"/>
        <v>1477</v>
      </c>
      <c r="C486" s="472"/>
      <c r="D486" s="442" t="str">
        <f>IF(G486="","",(VLOOKUP(G486,'2. SMDA BHN'!$B$12:$J512,2,0)))</f>
        <v/>
      </c>
      <c r="E486" s="443">
        <f>IF(G486=0,0,(VLOOKUP(G486,'2. SMDA BHN'!$B$12:$J512,3,0)))</f>
        <v>0</v>
      </c>
      <c r="F486" s="444"/>
      <c r="G486" s="467"/>
      <c r="H486" s="446">
        <f>IF(G486=0,0,(VLOOKUP(G486,'2. SMDA BHN'!$B$12:$H512,4,0)))</f>
        <v>0</v>
      </c>
      <c r="I486" s="473"/>
      <c r="J486" s="447"/>
      <c r="K486" s="448">
        <f>SUMIF('PO MTRL'!$G$9:$G512,G486,'PO MTRL'!$J$9:$J512)</f>
        <v>0</v>
      </c>
      <c r="L486" s="448">
        <f t="shared" si="1"/>
        <v>0</v>
      </c>
      <c r="M486" s="449">
        <f>SUMIF('PO MTRL'!$G$9:$G512,G486,'PO MTRL'!$L$9:$L512)</f>
        <v>0</v>
      </c>
      <c r="N486" s="450">
        <f>IF(G486=0,0,(VLOOKUP(G486,'2. SMDA BHN'!$B$12:$H512,5,0)))</f>
        <v>0</v>
      </c>
      <c r="O486" s="450">
        <f>IF(G486=0,0,(VLOOKUP(G486,'2. SMDA BHN'!$B$12:$H512,7,0)))</f>
        <v>0</v>
      </c>
      <c r="P486" s="449">
        <f t="shared" si="2"/>
        <v>0</v>
      </c>
      <c r="Q486" s="449">
        <f t="shared" si="3"/>
        <v>0</v>
      </c>
      <c r="R486" s="451" t="s">
        <v>45</v>
      </c>
      <c r="S486" s="474"/>
      <c r="T486" s="439"/>
      <c r="U486" s="16"/>
      <c r="V486" s="439"/>
      <c r="W486" s="439"/>
      <c r="X486" s="439"/>
      <c r="Y486" s="439"/>
      <c r="Z486" s="439"/>
      <c r="AA486" s="439"/>
      <c r="AB486" s="439"/>
      <c r="AC486" s="439"/>
      <c r="AD486" s="439"/>
      <c r="AE486" s="439"/>
      <c r="AF486" s="439"/>
    </row>
    <row r="487" ht="16.5" customHeight="1">
      <c r="A487" s="439"/>
      <c r="B487" s="454">
        <f t="shared" si="4"/>
        <v>1478</v>
      </c>
      <c r="C487" s="472"/>
      <c r="D487" s="442" t="str">
        <f>IF(G487="","",(VLOOKUP(G487,'2. SMDA BHN'!$B$12:$J512,2,0)))</f>
        <v/>
      </c>
      <c r="E487" s="443">
        <f>IF(G487=0,0,(VLOOKUP(G487,'2. SMDA BHN'!$B$12:$J512,3,0)))</f>
        <v>0</v>
      </c>
      <c r="F487" s="444"/>
      <c r="G487" s="467"/>
      <c r="H487" s="446">
        <f>IF(G487=0,0,(VLOOKUP(G487,'2. SMDA BHN'!$B$12:$H512,4,0)))</f>
        <v>0</v>
      </c>
      <c r="I487" s="473"/>
      <c r="J487" s="447"/>
      <c r="K487" s="448">
        <f>SUMIF('PO MTRL'!$G$9:$G512,G487,'PO MTRL'!$J$9:$J512)</f>
        <v>0</v>
      </c>
      <c r="L487" s="448">
        <f t="shared" si="1"/>
        <v>0</v>
      </c>
      <c r="M487" s="449">
        <f>SUMIF('PO MTRL'!$G$9:$G512,G487,'PO MTRL'!$L$9:$L512)</f>
        <v>0</v>
      </c>
      <c r="N487" s="450">
        <f>IF(G487=0,0,(VLOOKUP(G487,'2. SMDA BHN'!$B$12:$H512,5,0)))</f>
        <v>0</v>
      </c>
      <c r="O487" s="450">
        <f>IF(G487=0,0,(VLOOKUP(G487,'2. SMDA BHN'!$B$12:$H512,7,0)))</f>
        <v>0</v>
      </c>
      <c r="P487" s="449">
        <f t="shared" si="2"/>
        <v>0</v>
      </c>
      <c r="Q487" s="449">
        <f t="shared" si="3"/>
        <v>0</v>
      </c>
      <c r="R487" s="451" t="s">
        <v>45</v>
      </c>
      <c r="S487" s="474"/>
      <c r="T487" s="439"/>
      <c r="U487" s="16"/>
      <c r="V487" s="439"/>
      <c r="W487" s="439"/>
      <c r="X487" s="439"/>
      <c r="Y487" s="439"/>
      <c r="Z487" s="439"/>
      <c r="AA487" s="439"/>
      <c r="AB487" s="439"/>
      <c r="AC487" s="439"/>
      <c r="AD487" s="439"/>
      <c r="AE487" s="439"/>
      <c r="AF487" s="439"/>
    </row>
    <row r="488" ht="16.5" customHeight="1">
      <c r="A488" s="439"/>
      <c r="B488" s="454">
        <f t="shared" si="4"/>
        <v>1479</v>
      </c>
      <c r="C488" s="472"/>
      <c r="D488" s="442" t="str">
        <f>IF(G488="","",(VLOOKUP(G488,'2. SMDA BHN'!$B$12:$J512,2,0)))</f>
        <v/>
      </c>
      <c r="E488" s="443">
        <f>IF(G488=0,0,(VLOOKUP(G488,'2. SMDA BHN'!$B$12:$J512,3,0)))</f>
        <v>0</v>
      </c>
      <c r="F488" s="444"/>
      <c r="G488" s="467"/>
      <c r="H488" s="446">
        <f>IF(G488=0,0,(VLOOKUP(G488,'2. SMDA BHN'!$B$12:$H512,4,0)))</f>
        <v>0</v>
      </c>
      <c r="I488" s="473"/>
      <c r="J488" s="447"/>
      <c r="K488" s="448">
        <f>SUMIF('PO MTRL'!$G$9:$G512,G488,'PO MTRL'!$J$9:$J512)</f>
        <v>0</v>
      </c>
      <c r="L488" s="448">
        <f t="shared" si="1"/>
        <v>0</v>
      </c>
      <c r="M488" s="449">
        <f>SUMIF('PO MTRL'!$G$9:$G512,G488,'PO MTRL'!$L$9:$L512)</f>
        <v>0</v>
      </c>
      <c r="N488" s="450">
        <f>IF(G488=0,0,(VLOOKUP(G488,'2. SMDA BHN'!$B$12:$H512,5,0)))</f>
        <v>0</v>
      </c>
      <c r="O488" s="450">
        <f>IF(G488=0,0,(VLOOKUP(G488,'2. SMDA BHN'!$B$12:$H512,7,0)))</f>
        <v>0</v>
      </c>
      <c r="P488" s="449">
        <f t="shared" si="2"/>
        <v>0</v>
      </c>
      <c r="Q488" s="449">
        <f t="shared" si="3"/>
        <v>0</v>
      </c>
      <c r="R488" s="451" t="s">
        <v>45</v>
      </c>
      <c r="S488" s="474"/>
      <c r="T488" s="439"/>
      <c r="U488" s="16"/>
      <c r="V488" s="439"/>
      <c r="W488" s="439"/>
      <c r="X488" s="439"/>
      <c r="Y488" s="439"/>
      <c r="Z488" s="439"/>
      <c r="AA488" s="439"/>
      <c r="AB488" s="439"/>
      <c r="AC488" s="439"/>
      <c r="AD488" s="439"/>
      <c r="AE488" s="439"/>
      <c r="AF488" s="439"/>
    </row>
    <row r="489" ht="16.5" customHeight="1">
      <c r="A489" s="439"/>
      <c r="B489" s="454">
        <f t="shared" si="4"/>
        <v>1480</v>
      </c>
      <c r="C489" s="472"/>
      <c r="D489" s="442" t="str">
        <f>IF(G489="","",(VLOOKUP(G489,'2. SMDA BHN'!$B$12:$J512,2,0)))</f>
        <v/>
      </c>
      <c r="E489" s="443">
        <f>IF(G489=0,0,(VLOOKUP(G489,'2. SMDA BHN'!$B$12:$J512,3,0)))</f>
        <v>0</v>
      </c>
      <c r="F489" s="444"/>
      <c r="G489" s="467"/>
      <c r="H489" s="446">
        <f>IF(G489=0,0,(VLOOKUP(G489,'2. SMDA BHN'!$B$12:$H512,4,0)))</f>
        <v>0</v>
      </c>
      <c r="I489" s="473"/>
      <c r="J489" s="447"/>
      <c r="K489" s="448">
        <f>SUMIF('PO MTRL'!$G$9:$G512,G489,'PO MTRL'!$J$9:$J512)</f>
        <v>0</v>
      </c>
      <c r="L489" s="448">
        <f t="shared" si="1"/>
        <v>0</v>
      </c>
      <c r="M489" s="449">
        <f>SUMIF('PO MTRL'!$G$9:$G512,G489,'PO MTRL'!$L$9:$L512)</f>
        <v>0</v>
      </c>
      <c r="N489" s="450">
        <f>IF(G489=0,0,(VLOOKUP(G489,'2. SMDA BHN'!$B$12:$H512,5,0)))</f>
        <v>0</v>
      </c>
      <c r="O489" s="450">
        <f>IF(G489=0,0,(VLOOKUP(G489,'2. SMDA BHN'!$B$12:$H512,7,0)))</f>
        <v>0</v>
      </c>
      <c r="P489" s="449">
        <f t="shared" si="2"/>
        <v>0</v>
      </c>
      <c r="Q489" s="449">
        <f t="shared" si="3"/>
        <v>0</v>
      </c>
      <c r="R489" s="451" t="s">
        <v>45</v>
      </c>
      <c r="S489" s="474"/>
      <c r="T489" s="439"/>
      <c r="U489" s="16"/>
      <c r="V489" s="439"/>
      <c r="W489" s="439"/>
      <c r="X489" s="439"/>
      <c r="Y489" s="439"/>
      <c r="Z489" s="439"/>
      <c r="AA489" s="439"/>
      <c r="AB489" s="439"/>
      <c r="AC489" s="439"/>
      <c r="AD489" s="439"/>
      <c r="AE489" s="439"/>
      <c r="AF489" s="439"/>
    </row>
    <row r="490" ht="16.5" customHeight="1">
      <c r="A490" s="439"/>
      <c r="B490" s="454">
        <f t="shared" si="4"/>
        <v>1481</v>
      </c>
      <c r="C490" s="472"/>
      <c r="D490" s="442" t="str">
        <f>IF(G490="","",(VLOOKUP(G490,'2. SMDA BHN'!$B$12:$J512,2,0)))</f>
        <v/>
      </c>
      <c r="E490" s="443">
        <f>IF(G490=0,0,(VLOOKUP(G490,'2. SMDA BHN'!$B$12:$J512,3,0)))</f>
        <v>0</v>
      </c>
      <c r="F490" s="444"/>
      <c r="G490" s="467"/>
      <c r="H490" s="446">
        <f>IF(G490=0,0,(VLOOKUP(G490,'2. SMDA BHN'!$B$12:$H512,4,0)))</f>
        <v>0</v>
      </c>
      <c r="I490" s="473"/>
      <c r="J490" s="447"/>
      <c r="K490" s="448">
        <f>SUMIF('PO MTRL'!$G$9:$G512,G490,'PO MTRL'!$J$9:$J512)</f>
        <v>0</v>
      </c>
      <c r="L490" s="448">
        <f t="shared" si="1"/>
        <v>0</v>
      </c>
      <c r="M490" s="449">
        <f>SUMIF('PO MTRL'!$G$9:$G512,G490,'PO MTRL'!$L$9:$L512)</f>
        <v>0</v>
      </c>
      <c r="N490" s="450">
        <f>IF(G490=0,0,(VLOOKUP(G490,'2. SMDA BHN'!$B$12:$H512,5,0)))</f>
        <v>0</v>
      </c>
      <c r="O490" s="450">
        <f>IF(G490=0,0,(VLOOKUP(G490,'2. SMDA BHN'!$B$12:$H512,7,0)))</f>
        <v>0</v>
      </c>
      <c r="P490" s="449">
        <f t="shared" si="2"/>
        <v>0</v>
      </c>
      <c r="Q490" s="449">
        <f t="shared" si="3"/>
        <v>0</v>
      </c>
      <c r="R490" s="451" t="s">
        <v>45</v>
      </c>
      <c r="S490" s="474"/>
      <c r="T490" s="439"/>
      <c r="U490" s="16"/>
      <c r="V490" s="439"/>
      <c r="W490" s="439"/>
      <c r="X490" s="439"/>
      <c r="Y490" s="439"/>
      <c r="Z490" s="439"/>
      <c r="AA490" s="439"/>
      <c r="AB490" s="439"/>
      <c r="AC490" s="439"/>
      <c r="AD490" s="439"/>
      <c r="AE490" s="439"/>
      <c r="AF490" s="439"/>
    </row>
    <row r="491" ht="16.5" customHeight="1">
      <c r="A491" s="439"/>
      <c r="B491" s="454">
        <f t="shared" si="4"/>
        <v>1482</v>
      </c>
      <c r="C491" s="472"/>
      <c r="D491" s="442" t="str">
        <f>IF(G491="","",(VLOOKUP(G491,'2. SMDA BHN'!$B$12:$J512,2,0)))</f>
        <v/>
      </c>
      <c r="E491" s="443">
        <f>IF(G491=0,0,(VLOOKUP(G491,'2. SMDA BHN'!$B$12:$J512,3,0)))</f>
        <v>0</v>
      </c>
      <c r="F491" s="444"/>
      <c r="G491" s="467"/>
      <c r="H491" s="446">
        <f>IF(G491=0,0,(VLOOKUP(G491,'2. SMDA BHN'!$B$12:$H512,4,0)))</f>
        <v>0</v>
      </c>
      <c r="I491" s="473"/>
      <c r="J491" s="447"/>
      <c r="K491" s="448">
        <f>SUMIF('PO MTRL'!$G$9:$G512,G491,'PO MTRL'!$J$9:$J512)</f>
        <v>0</v>
      </c>
      <c r="L491" s="448">
        <f t="shared" si="1"/>
        <v>0</v>
      </c>
      <c r="M491" s="449">
        <f>SUMIF('PO MTRL'!$G$9:$G512,G491,'PO MTRL'!$L$9:$L512)</f>
        <v>0</v>
      </c>
      <c r="N491" s="450">
        <f>IF(G491=0,0,(VLOOKUP(G491,'2. SMDA BHN'!$B$12:$H512,5,0)))</f>
        <v>0</v>
      </c>
      <c r="O491" s="450">
        <f>IF(G491=0,0,(VLOOKUP(G491,'2. SMDA BHN'!$B$12:$H512,7,0)))</f>
        <v>0</v>
      </c>
      <c r="P491" s="449">
        <f t="shared" si="2"/>
        <v>0</v>
      </c>
      <c r="Q491" s="449">
        <f t="shared" si="3"/>
        <v>0</v>
      </c>
      <c r="R491" s="451" t="s">
        <v>45</v>
      </c>
      <c r="S491" s="474"/>
      <c r="T491" s="439"/>
      <c r="U491" s="16"/>
      <c r="V491" s="439"/>
      <c r="W491" s="439"/>
      <c r="X491" s="439"/>
      <c r="Y491" s="439"/>
      <c r="Z491" s="439"/>
      <c r="AA491" s="439"/>
      <c r="AB491" s="439"/>
      <c r="AC491" s="439"/>
      <c r="AD491" s="439"/>
      <c r="AE491" s="439"/>
      <c r="AF491" s="439"/>
    </row>
    <row r="492" ht="16.5" customHeight="1">
      <c r="A492" s="439"/>
      <c r="B492" s="454">
        <f t="shared" si="4"/>
        <v>1483</v>
      </c>
      <c r="C492" s="472"/>
      <c r="D492" s="442" t="str">
        <f>IF(G492="","",(VLOOKUP(G492,'2. SMDA BHN'!$B$12:$J512,2,0)))</f>
        <v/>
      </c>
      <c r="E492" s="443">
        <f>IF(G492=0,0,(VLOOKUP(G492,'2. SMDA BHN'!$B$12:$J512,3,0)))</f>
        <v>0</v>
      </c>
      <c r="F492" s="444"/>
      <c r="G492" s="467"/>
      <c r="H492" s="446">
        <f>IF(G492=0,0,(VLOOKUP(G492,'2. SMDA BHN'!$B$12:$H512,4,0)))</f>
        <v>0</v>
      </c>
      <c r="I492" s="473"/>
      <c r="J492" s="447"/>
      <c r="K492" s="448">
        <f>SUMIF('PO MTRL'!$G$9:$G512,G492,'PO MTRL'!$J$9:$J512)</f>
        <v>0</v>
      </c>
      <c r="L492" s="448">
        <f t="shared" si="1"/>
        <v>0</v>
      </c>
      <c r="M492" s="449">
        <f>SUMIF('PO MTRL'!$G$9:$G512,G492,'PO MTRL'!$L$9:$L512)</f>
        <v>0</v>
      </c>
      <c r="N492" s="450">
        <f>IF(G492=0,0,(VLOOKUP(G492,'2. SMDA BHN'!$B$12:$H512,5,0)))</f>
        <v>0</v>
      </c>
      <c r="O492" s="450">
        <f>IF(G492=0,0,(VLOOKUP(G492,'2. SMDA BHN'!$B$12:$H512,7,0)))</f>
        <v>0</v>
      </c>
      <c r="P492" s="449">
        <f t="shared" si="2"/>
        <v>0</v>
      </c>
      <c r="Q492" s="449">
        <f t="shared" si="3"/>
        <v>0</v>
      </c>
      <c r="R492" s="451" t="s">
        <v>45</v>
      </c>
      <c r="S492" s="474"/>
      <c r="T492" s="439"/>
      <c r="U492" s="16"/>
      <c r="V492" s="439"/>
      <c r="W492" s="439"/>
      <c r="X492" s="439"/>
      <c r="Y492" s="439"/>
      <c r="Z492" s="439"/>
      <c r="AA492" s="439"/>
      <c r="AB492" s="439"/>
      <c r="AC492" s="439"/>
      <c r="AD492" s="439"/>
      <c r="AE492" s="439"/>
      <c r="AF492" s="439"/>
    </row>
    <row r="493" ht="16.5" customHeight="1">
      <c r="A493" s="439"/>
      <c r="B493" s="454">
        <f t="shared" si="4"/>
        <v>1484</v>
      </c>
      <c r="C493" s="472"/>
      <c r="D493" s="442" t="str">
        <f>IF(G493="","",(VLOOKUP(G493,'2. SMDA BHN'!$B$12:$J512,2,0)))</f>
        <v/>
      </c>
      <c r="E493" s="443">
        <f>IF(G493=0,0,(VLOOKUP(G493,'2. SMDA BHN'!$B$12:$J512,3,0)))</f>
        <v>0</v>
      </c>
      <c r="F493" s="444"/>
      <c r="G493" s="467"/>
      <c r="H493" s="446">
        <f>IF(G493=0,0,(VLOOKUP(G493,'2. SMDA BHN'!$B$12:$H512,4,0)))</f>
        <v>0</v>
      </c>
      <c r="I493" s="473"/>
      <c r="J493" s="447"/>
      <c r="K493" s="448">
        <f>SUMIF('PO MTRL'!$G$9:$G512,G493,'PO MTRL'!$J$9:$J512)</f>
        <v>0</v>
      </c>
      <c r="L493" s="448">
        <f t="shared" si="1"/>
        <v>0</v>
      </c>
      <c r="M493" s="449">
        <f>SUMIF('PO MTRL'!$G$9:$G512,G493,'PO MTRL'!$L$9:$L512)</f>
        <v>0</v>
      </c>
      <c r="N493" s="450">
        <f>IF(G493=0,0,(VLOOKUP(G493,'2. SMDA BHN'!$B$12:$H512,5,0)))</f>
        <v>0</v>
      </c>
      <c r="O493" s="450">
        <f>IF(G493=0,0,(VLOOKUP(G493,'2. SMDA BHN'!$B$12:$H512,7,0)))</f>
        <v>0</v>
      </c>
      <c r="P493" s="449">
        <f t="shared" si="2"/>
        <v>0</v>
      </c>
      <c r="Q493" s="449">
        <f t="shared" si="3"/>
        <v>0</v>
      </c>
      <c r="R493" s="451" t="s">
        <v>45</v>
      </c>
      <c r="S493" s="474"/>
      <c r="T493" s="439"/>
      <c r="U493" s="16"/>
      <c r="V493" s="439"/>
      <c r="W493" s="439"/>
      <c r="X493" s="439"/>
      <c r="Y493" s="439"/>
      <c r="Z493" s="439"/>
      <c r="AA493" s="439"/>
      <c r="AB493" s="439"/>
      <c r="AC493" s="439"/>
      <c r="AD493" s="439"/>
      <c r="AE493" s="439"/>
      <c r="AF493" s="439"/>
    </row>
    <row r="494" ht="16.5" customHeight="1">
      <c r="A494" s="439"/>
      <c r="B494" s="454">
        <f t="shared" si="4"/>
        <v>1485</v>
      </c>
      <c r="C494" s="472"/>
      <c r="D494" s="442" t="str">
        <f>IF(G494="","",(VLOOKUP(G494,'2. SMDA BHN'!$B$12:$J512,2,0)))</f>
        <v/>
      </c>
      <c r="E494" s="443">
        <f>IF(G494=0,0,(VLOOKUP(G494,'2. SMDA BHN'!$B$12:$J512,3,0)))</f>
        <v>0</v>
      </c>
      <c r="F494" s="444"/>
      <c r="G494" s="467"/>
      <c r="H494" s="446">
        <f>IF(G494=0,0,(VLOOKUP(G494,'2. SMDA BHN'!$B$12:$H512,4,0)))</f>
        <v>0</v>
      </c>
      <c r="I494" s="473"/>
      <c r="J494" s="447"/>
      <c r="K494" s="448">
        <f>SUMIF('PO MTRL'!$G$9:$G512,G494,'PO MTRL'!$J$9:$J512)</f>
        <v>0</v>
      </c>
      <c r="L494" s="448">
        <f t="shared" si="1"/>
        <v>0</v>
      </c>
      <c r="M494" s="449">
        <f>SUMIF('PO MTRL'!$G$9:$G512,G494,'PO MTRL'!$L$9:$L512)</f>
        <v>0</v>
      </c>
      <c r="N494" s="450">
        <f>IF(G494=0,0,(VLOOKUP(G494,'2. SMDA BHN'!$B$12:$H512,5,0)))</f>
        <v>0</v>
      </c>
      <c r="O494" s="450">
        <f>IF(G494=0,0,(VLOOKUP(G494,'2. SMDA BHN'!$B$12:$H512,7,0)))</f>
        <v>0</v>
      </c>
      <c r="P494" s="449">
        <f t="shared" si="2"/>
        <v>0</v>
      </c>
      <c r="Q494" s="449">
        <f t="shared" si="3"/>
        <v>0</v>
      </c>
      <c r="R494" s="451" t="s">
        <v>45</v>
      </c>
      <c r="S494" s="474"/>
      <c r="T494" s="439"/>
      <c r="U494" s="16"/>
      <c r="V494" s="439"/>
      <c r="W494" s="439"/>
      <c r="X494" s="439"/>
      <c r="Y494" s="439"/>
      <c r="Z494" s="439"/>
      <c r="AA494" s="439"/>
      <c r="AB494" s="439"/>
      <c r="AC494" s="439"/>
      <c r="AD494" s="439"/>
      <c r="AE494" s="439"/>
      <c r="AF494" s="439"/>
    </row>
    <row r="495" ht="16.5" customHeight="1">
      <c r="A495" s="439"/>
      <c r="B495" s="454">
        <f t="shared" si="4"/>
        <v>1486</v>
      </c>
      <c r="C495" s="472"/>
      <c r="D495" s="442" t="str">
        <f>IF(G495="","",(VLOOKUP(G495,'2. SMDA BHN'!$B$12:$J512,2,0)))</f>
        <v/>
      </c>
      <c r="E495" s="443">
        <f>IF(G495=0,0,(VLOOKUP(G495,'2. SMDA BHN'!$B$12:$J512,3,0)))</f>
        <v>0</v>
      </c>
      <c r="F495" s="444"/>
      <c r="G495" s="467"/>
      <c r="H495" s="446">
        <f>IF(G495=0,0,(VLOOKUP(G495,'2. SMDA BHN'!$B$12:$H512,4,0)))</f>
        <v>0</v>
      </c>
      <c r="I495" s="473"/>
      <c r="J495" s="447"/>
      <c r="K495" s="448">
        <f>SUMIF('PO MTRL'!$G$9:$G512,G495,'PO MTRL'!$J$9:$J512)</f>
        <v>0</v>
      </c>
      <c r="L495" s="448">
        <f t="shared" si="1"/>
        <v>0</v>
      </c>
      <c r="M495" s="449">
        <f>SUMIF('PO MTRL'!$G$9:$G512,G495,'PO MTRL'!$L$9:$L512)</f>
        <v>0</v>
      </c>
      <c r="N495" s="450">
        <f>IF(G495=0,0,(VLOOKUP(G495,'2. SMDA BHN'!$B$12:$H512,5,0)))</f>
        <v>0</v>
      </c>
      <c r="O495" s="450">
        <f>IF(G495=0,0,(VLOOKUP(G495,'2. SMDA BHN'!$B$12:$H512,7,0)))</f>
        <v>0</v>
      </c>
      <c r="P495" s="449">
        <f t="shared" si="2"/>
        <v>0</v>
      </c>
      <c r="Q495" s="449">
        <f t="shared" si="3"/>
        <v>0</v>
      </c>
      <c r="R495" s="451" t="s">
        <v>45</v>
      </c>
      <c r="S495" s="474"/>
      <c r="T495" s="439"/>
      <c r="U495" s="16"/>
      <c r="V495" s="439"/>
      <c r="W495" s="439"/>
      <c r="X495" s="439"/>
      <c r="Y495" s="439"/>
      <c r="Z495" s="439"/>
      <c r="AA495" s="439"/>
      <c r="AB495" s="439"/>
      <c r="AC495" s="439"/>
      <c r="AD495" s="439"/>
      <c r="AE495" s="439"/>
      <c r="AF495" s="439"/>
    </row>
    <row r="496" ht="16.5" customHeight="1">
      <c r="A496" s="439"/>
      <c r="B496" s="454">
        <f t="shared" si="4"/>
        <v>1487</v>
      </c>
      <c r="C496" s="472"/>
      <c r="D496" s="442" t="str">
        <f>IF(G496="","",(VLOOKUP(G496,'2. SMDA BHN'!$B$12:$J512,2,0)))</f>
        <v/>
      </c>
      <c r="E496" s="443">
        <f>IF(G496=0,0,(VLOOKUP(G496,'2. SMDA BHN'!$B$12:$J512,3,0)))</f>
        <v>0</v>
      </c>
      <c r="F496" s="444"/>
      <c r="G496" s="467"/>
      <c r="H496" s="446">
        <f>IF(G496=0,0,(VLOOKUP(G496,'2. SMDA BHN'!$B$12:$H512,4,0)))</f>
        <v>0</v>
      </c>
      <c r="I496" s="473"/>
      <c r="J496" s="447"/>
      <c r="K496" s="448">
        <f>SUMIF('PO MTRL'!$G$9:$G512,G496,'PO MTRL'!$J$9:$J512)</f>
        <v>0</v>
      </c>
      <c r="L496" s="448">
        <f t="shared" si="1"/>
        <v>0</v>
      </c>
      <c r="M496" s="449">
        <f>SUMIF('PO MTRL'!$G$9:$G512,G496,'PO MTRL'!$L$9:$L512)</f>
        <v>0</v>
      </c>
      <c r="N496" s="450">
        <f>IF(G496=0,0,(VLOOKUP(G496,'2. SMDA BHN'!$B$12:$H512,5,0)))</f>
        <v>0</v>
      </c>
      <c r="O496" s="450">
        <f>IF(G496=0,0,(VLOOKUP(G496,'2. SMDA BHN'!$B$12:$H512,7,0)))</f>
        <v>0</v>
      </c>
      <c r="P496" s="449">
        <f t="shared" si="2"/>
        <v>0</v>
      </c>
      <c r="Q496" s="449">
        <f t="shared" si="3"/>
        <v>0</v>
      </c>
      <c r="R496" s="451" t="s">
        <v>45</v>
      </c>
      <c r="S496" s="474"/>
      <c r="T496" s="439"/>
      <c r="U496" s="16"/>
      <c r="V496" s="439"/>
      <c r="W496" s="439"/>
      <c r="X496" s="439"/>
      <c r="Y496" s="439"/>
      <c r="Z496" s="439"/>
      <c r="AA496" s="439"/>
      <c r="AB496" s="439"/>
      <c r="AC496" s="439"/>
      <c r="AD496" s="439"/>
      <c r="AE496" s="439"/>
      <c r="AF496" s="439"/>
    </row>
    <row r="497" ht="16.5" customHeight="1">
      <c r="A497" s="439"/>
      <c r="B497" s="454">
        <f t="shared" si="4"/>
        <v>1488</v>
      </c>
      <c r="C497" s="472"/>
      <c r="D497" s="442" t="str">
        <f>IF(G497="","",(VLOOKUP(G497,'2. SMDA BHN'!$B$12:$J512,2,0)))</f>
        <v/>
      </c>
      <c r="E497" s="443">
        <f>IF(G497=0,0,(VLOOKUP(G497,'2. SMDA BHN'!$B$12:$J512,3,0)))</f>
        <v>0</v>
      </c>
      <c r="F497" s="444"/>
      <c r="G497" s="467"/>
      <c r="H497" s="446">
        <f>IF(G497=0,0,(VLOOKUP(G497,'2. SMDA BHN'!$B$12:$H512,4,0)))</f>
        <v>0</v>
      </c>
      <c r="I497" s="473"/>
      <c r="J497" s="447"/>
      <c r="K497" s="448">
        <f>SUMIF('PO MTRL'!$G$9:$G512,G497,'PO MTRL'!$J$9:$J512)</f>
        <v>0</v>
      </c>
      <c r="L497" s="448">
        <f t="shared" si="1"/>
        <v>0</v>
      </c>
      <c r="M497" s="449">
        <f>SUMIF('PO MTRL'!$G$9:$G512,G497,'PO MTRL'!$L$9:$L512)</f>
        <v>0</v>
      </c>
      <c r="N497" s="450">
        <f>IF(G497=0,0,(VLOOKUP(G497,'2. SMDA BHN'!$B$12:$H512,5,0)))</f>
        <v>0</v>
      </c>
      <c r="O497" s="450">
        <f>IF(G497=0,0,(VLOOKUP(G497,'2. SMDA BHN'!$B$12:$H512,7,0)))</f>
        <v>0</v>
      </c>
      <c r="P497" s="449">
        <f t="shared" si="2"/>
        <v>0</v>
      </c>
      <c r="Q497" s="449">
        <f t="shared" si="3"/>
        <v>0</v>
      </c>
      <c r="R497" s="451" t="s">
        <v>45</v>
      </c>
      <c r="S497" s="474"/>
      <c r="T497" s="439"/>
      <c r="U497" s="16"/>
      <c r="V497" s="439"/>
      <c r="W497" s="439"/>
      <c r="X497" s="439"/>
      <c r="Y497" s="439"/>
      <c r="Z497" s="439"/>
      <c r="AA497" s="439"/>
      <c r="AB497" s="439"/>
      <c r="AC497" s="439"/>
      <c r="AD497" s="439"/>
      <c r="AE497" s="439"/>
      <c r="AF497" s="439"/>
    </row>
    <row r="498" ht="16.5" customHeight="1">
      <c r="A498" s="439"/>
      <c r="B498" s="454">
        <f t="shared" si="4"/>
        <v>1489</v>
      </c>
      <c r="C498" s="472"/>
      <c r="D498" s="442" t="str">
        <f>IF(G498="","",(VLOOKUP(G498,'2. SMDA BHN'!$B$12:$J512,2,0)))</f>
        <v/>
      </c>
      <c r="E498" s="443">
        <f>IF(G498=0,0,(VLOOKUP(G498,'2. SMDA BHN'!$B$12:$J512,3,0)))</f>
        <v>0</v>
      </c>
      <c r="F498" s="444"/>
      <c r="G498" s="467"/>
      <c r="H498" s="446">
        <f>IF(G498=0,0,(VLOOKUP(G498,'2. SMDA BHN'!$B$12:$H512,4,0)))</f>
        <v>0</v>
      </c>
      <c r="I498" s="473"/>
      <c r="J498" s="447"/>
      <c r="K498" s="448">
        <f>SUMIF('PO MTRL'!$G$9:$G512,G498,'PO MTRL'!$J$9:$J512)</f>
        <v>0</v>
      </c>
      <c r="L498" s="448">
        <f t="shared" si="1"/>
        <v>0</v>
      </c>
      <c r="M498" s="449">
        <f>SUMIF('PO MTRL'!$G$9:$G512,G498,'PO MTRL'!$L$9:$L512)</f>
        <v>0</v>
      </c>
      <c r="N498" s="450">
        <f>IF(G498=0,0,(VLOOKUP(G498,'2. SMDA BHN'!$B$12:$H512,5,0)))</f>
        <v>0</v>
      </c>
      <c r="O498" s="450">
        <f>IF(G498=0,0,(VLOOKUP(G498,'2. SMDA BHN'!$B$12:$H512,7,0)))</f>
        <v>0</v>
      </c>
      <c r="P498" s="449">
        <f t="shared" si="2"/>
        <v>0</v>
      </c>
      <c r="Q498" s="449">
        <f t="shared" si="3"/>
        <v>0</v>
      </c>
      <c r="R498" s="451" t="s">
        <v>45</v>
      </c>
      <c r="S498" s="474"/>
      <c r="T498" s="439"/>
      <c r="U498" s="16"/>
      <c r="V498" s="439"/>
      <c r="W498" s="439"/>
      <c r="X498" s="439"/>
      <c r="Y498" s="439"/>
      <c r="Z498" s="439"/>
      <c r="AA498" s="439"/>
      <c r="AB498" s="439"/>
      <c r="AC498" s="439"/>
      <c r="AD498" s="439"/>
      <c r="AE498" s="439"/>
      <c r="AF498" s="439"/>
    </row>
    <row r="499" ht="16.5" customHeight="1">
      <c r="A499" s="439"/>
      <c r="B499" s="454">
        <f t="shared" si="4"/>
        <v>1490</v>
      </c>
      <c r="C499" s="472"/>
      <c r="D499" s="442" t="str">
        <f>IF(G499="","",(VLOOKUP(G499,'2. SMDA BHN'!$B$12:$J512,2,0)))</f>
        <v/>
      </c>
      <c r="E499" s="443">
        <f>IF(G499=0,0,(VLOOKUP(G499,'2. SMDA BHN'!$B$12:$J512,3,0)))</f>
        <v>0</v>
      </c>
      <c r="F499" s="444"/>
      <c r="G499" s="467"/>
      <c r="H499" s="446">
        <f>IF(G499=0,0,(VLOOKUP(G499,'2. SMDA BHN'!$B$12:$H512,4,0)))</f>
        <v>0</v>
      </c>
      <c r="I499" s="473"/>
      <c r="J499" s="447"/>
      <c r="K499" s="448">
        <f>SUMIF('PO MTRL'!$G$9:$G512,G499,'PO MTRL'!$J$9:$J512)</f>
        <v>0</v>
      </c>
      <c r="L499" s="448">
        <f t="shared" si="1"/>
        <v>0</v>
      </c>
      <c r="M499" s="449">
        <f>SUMIF('PO MTRL'!$G$9:$G512,G499,'PO MTRL'!$L$9:$L512)</f>
        <v>0</v>
      </c>
      <c r="N499" s="450">
        <f>IF(G499=0,0,(VLOOKUP(G499,'2. SMDA BHN'!$B$12:$H512,5,0)))</f>
        <v>0</v>
      </c>
      <c r="O499" s="450">
        <f>IF(G499=0,0,(VLOOKUP(G499,'2. SMDA BHN'!$B$12:$H512,7,0)))</f>
        <v>0</v>
      </c>
      <c r="P499" s="449">
        <f t="shared" si="2"/>
        <v>0</v>
      </c>
      <c r="Q499" s="449">
        <f t="shared" si="3"/>
        <v>0</v>
      </c>
      <c r="R499" s="451" t="s">
        <v>45</v>
      </c>
      <c r="S499" s="474"/>
      <c r="T499" s="439"/>
      <c r="U499" s="16"/>
      <c r="V499" s="439"/>
      <c r="W499" s="439"/>
      <c r="X499" s="439"/>
      <c r="Y499" s="439"/>
      <c r="Z499" s="439"/>
      <c r="AA499" s="439"/>
      <c r="AB499" s="439"/>
      <c r="AC499" s="439"/>
      <c r="AD499" s="439"/>
      <c r="AE499" s="439"/>
      <c r="AF499" s="439"/>
    </row>
    <row r="500" ht="16.5" customHeight="1">
      <c r="A500" s="16"/>
      <c r="B500" s="454">
        <f t="shared" si="4"/>
        <v>1491</v>
      </c>
      <c r="C500" s="472"/>
      <c r="D500" s="442" t="str">
        <f>IF(G500="","",(VLOOKUP(G500,'2. SMDA BHN'!$B$12:$J512,2,0)))</f>
        <v/>
      </c>
      <c r="E500" s="443">
        <f>IF(G500=0,0,(VLOOKUP(G500,'2. SMDA BHN'!$B$12:$J512,3,0)))</f>
        <v>0</v>
      </c>
      <c r="F500" s="444"/>
      <c r="G500" s="467"/>
      <c r="H500" s="446">
        <f>IF(G500=0,0,(VLOOKUP(G500,'2. SMDA BHN'!$B$12:$H512,4,0)))</f>
        <v>0</v>
      </c>
      <c r="I500" s="473"/>
      <c r="J500" s="447"/>
      <c r="K500" s="448">
        <f>SUMIF('PO MTRL'!$G$9:$G512,G500,'PO MTRL'!$J$9:$J512)</f>
        <v>0</v>
      </c>
      <c r="L500" s="448">
        <f t="shared" si="1"/>
        <v>0</v>
      </c>
      <c r="M500" s="449">
        <f>SUMIF('PO MTRL'!$G$9:$G512,G500,'PO MTRL'!$L$9:$L512)</f>
        <v>0</v>
      </c>
      <c r="N500" s="450">
        <f>IF(G500=0,0,(VLOOKUP(G500,'2. SMDA BHN'!$B$12:$H512,5,0)))</f>
        <v>0</v>
      </c>
      <c r="O500" s="450">
        <f>IF(G500=0,0,(VLOOKUP(G500,'2. SMDA BHN'!$B$12:$H512,7,0)))</f>
        <v>0</v>
      </c>
      <c r="P500" s="449">
        <f t="shared" si="2"/>
        <v>0</v>
      </c>
      <c r="Q500" s="449">
        <f t="shared" si="3"/>
        <v>0</v>
      </c>
      <c r="R500" s="451" t="s">
        <v>45</v>
      </c>
      <c r="S500" s="474"/>
      <c r="T500" s="439"/>
      <c r="U500" s="16"/>
      <c r="V500" s="439"/>
      <c r="W500" s="439"/>
      <c r="X500" s="439"/>
      <c r="Y500" s="439"/>
      <c r="Z500" s="439"/>
      <c r="AA500" s="439"/>
      <c r="AB500" s="439"/>
      <c r="AC500" s="439"/>
      <c r="AD500" s="439"/>
      <c r="AE500" s="439"/>
      <c r="AF500" s="439"/>
    </row>
    <row r="501" ht="16.5" customHeight="1">
      <c r="A501" s="16"/>
      <c r="B501" s="475"/>
      <c r="C501" s="476"/>
      <c r="D501" s="476"/>
      <c r="E501" s="477"/>
      <c r="F501" s="478"/>
      <c r="G501" s="479"/>
      <c r="H501" s="446"/>
      <c r="I501" s="480"/>
      <c r="J501" s="477"/>
      <c r="K501" s="480"/>
      <c r="L501" s="448"/>
      <c r="M501" s="449"/>
      <c r="N501" s="449"/>
      <c r="O501" s="449"/>
      <c r="P501" s="449"/>
      <c r="Q501" s="449"/>
      <c r="R501" s="481"/>
      <c r="S501" s="482"/>
      <c r="T501" s="439"/>
      <c r="U501" s="16"/>
      <c r="V501" s="439"/>
      <c r="W501" s="439"/>
      <c r="X501" s="439"/>
      <c r="Y501" s="439"/>
      <c r="Z501" s="439"/>
      <c r="AA501" s="439"/>
      <c r="AB501" s="439"/>
      <c r="AC501" s="439"/>
      <c r="AD501" s="439"/>
      <c r="AE501" s="439"/>
      <c r="AF501" s="439"/>
    </row>
    <row r="502" ht="16.5" customHeight="1">
      <c r="A502" s="16"/>
      <c r="B502" s="483"/>
      <c r="C502" s="484"/>
      <c r="D502" s="484"/>
      <c r="E502" s="485"/>
      <c r="F502" s="485" t="s">
        <v>55</v>
      </c>
      <c r="G502" s="486"/>
      <c r="H502" s="485"/>
      <c r="I502" s="485"/>
      <c r="J502" s="485"/>
      <c r="K502" s="485"/>
      <c r="L502" s="487">
        <f>SUM(L9:L501)</f>
        <v>30242000</v>
      </c>
      <c r="M502" s="485"/>
      <c r="N502" s="485"/>
      <c r="O502" s="485"/>
      <c r="P502" s="485"/>
      <c r="Q502" s="487">
        <f>SUM(Q9:Q501)</f>
        <v>4198000</v>
      </c>
      <c r="R502" s="485"/>
      <c r="S502" s="488"/>
      <c r="T502" s="439"/>
      <c r="U502" s="16"/>
      <c r="V502" s="439"/>
      <c r="W502" s="439"/>
      <c r="X502" s="439"/>
      <c r="Y502" s="439"/>
      <c r="Z502" s="439"/>
      <c r="AA502" s="439"/>
      <c r="AB502" s="439"/>
      <c r="AC502" s="439"/>
      <c r="AD502" s="439"/>
      <c r="AE502" s="439"/>
      <c r="AF502" s="439"/>
    </row>
    <row r="503" ht="16.5" customHeight="1">
      <c r="A503" s="16"/>
      <c r="B503" s="43"/>
      <c r="C503" s="489"/>
      <c r="D503" s="489"/>
      <c r="E503" s="489"/>
      <c r="F503" s="489"/>
      <c r="G503" s="42"/>
      <c r="H503" s="489"/>
      <c r="I503" s="489"/>
      <c r="J503" s="489"/>
      <c r="K503" s="489"/>
      <c r="L503" s="489"/>
      <c r="M503" s="489"/>
      <c r="N503" s="489"/>
      <c r="O503" s="489"/>
      <c r="P503" s="489"/>
      <c r="Q503" s="489"/>
      <c r="R503" s="489"/>
      <c r="S503" s="489"/>
      <c r="T503" s="439"/>
      <c r="U503" s="16"/>
      <c r="V503" s="439"/>
      <c r="W503" s="439"/>
      <c r="X503" s="439"/>
      <c r="Y503" s="439"/>
      <c r="Z503" s="439"/>
      <c r="AA503" s="439"/>
      <c r="AB503" s="439"/>
      <c r="AC503" s="439"/>
      <c r="AD503" s="439"/>
      <c r="AE503" s="439"/>
      <c r="AF503" s="439"/>
    </row>
    <row r="504" ht="16.5" customHeight="1">
      <c r="A504" s="439"/>
      <c r="B504" s="490"/>
      <c r="C504" s="490"/>
      <c r="D504" s="439"/>
      <c r="E504" s="439"/>
      <c r="F504" s="439"/>
      <c r="G504" s="264"/>
      <c r="H504" s="439"/>
      <c r="I504" s="439"/>
      <c r="J504" s="439"/>
      <c r="K504" s="439"/>
      <c r="L504" s="439"/>
      <c r="M504" s="491"/>
      <c r="N504" s="491"/>
      <c r="O504" s="491"/>
      <c r="P504" s="491"/>
      <c r="Q504" s="491"/>
      <c r="R504" s="439"/>
      <c r="S504" s="439"/>
      <c r="T504" s="439"/>
      <c r="U504" s="16"/>
      <c r="V504" s="439"/>
      <c r="W504" s="439"/>
      <c r="X504" s="439"/>
      <c r="Y504" s="439"/>
      <c r="Z504" s="439"/>
      <c r="AA504" s="439"/>
      <c r="AB504" s="439"/>
      <c r="AC504" s="439"/>
      <c r="AD504" s="439"/>
      <c r="AE504" s="439"/>
      <c r="AF504" s="439"/>
    </row>
    <row r="505" ht="16.5" customHeight="1">
      <c r="A505" s="439"/>
      <c r="B505" s="490"/>
      <c r="C505" s="490"/>
      <c r="D505" s="439"/>
      <c r="E505" s="439"/>
      <c r="F505" s="439"/>
      <c r="G505" s="264"/>
      <c r="H505" s="439"/>
      <c r="I505" s="439"/>
      <c r="J505" s="439"/>
      <c r="K505" s="439"/>
      <c r="L505" s="439"/>
      <c r="M505" s="491"/>
      <c r="N505" s="491"/>
      <c r="O505" s="491"/>
      <c r="P505" s="491"/>
      <c r="Q505" s="491"/>
      <c r="R505" s="439"/>
      <c r="S505" s="439"/>
      <c r="T505" s="439"/>
      <c r="U505" s="16"/>
      <c r="V505" s="439"/>
      <c r="W505" s="439"/>
      <c r="X505" s="439"/>
      <c r="Y505" s="439"/>
      <c r="Z505" s="439"/>
      <c r="AA505" s="439"/>
      <c r="AB505" s="439"/>
      <c r="AC505" s="439"/>
      <c r="AD505" s="439"/>
      <c r="AE505" s="439"/>
      <c r="AF505" s="439"/>
    </row>
    <row r="506" ht="16.5" customHeight="1">
      <c r="A506" s="439"/>
      <c r="B506" s="490"/>
      <c r="C506" s="490"/>
      <c r="D506" s="439"/>
      <c r="E506" s="439"/>
      <c r="F506" s="439"/>
      <c r="G506" s="264"/>
      <c r="H506" s="439"/>
      <c r="I506" s="439"/>
      <c r="J506" s="439"/>
      <c r="K506" s="439"/>
      <c r="L506" s="439"/>
      <c r="M506" s="491"/>
      <c r="N506" s="491"/>
      <c r="O506" s="491"/>
      <c r="P506" s="491"/>
      <c r="Q506" s="491"/>
      <c r="R506" s="439"/>
      <c r="S506" s="439"/>
      <c r="T506" s="439"/>
      <c r="U506" s="16"/>
      <c r="V506" s="439"/>
      <c r="W506" s="439"/>
      <c r="X506" s="439"/>
      <c r="Y506" s="439"/>
      <c r="Z506" s="439"/>
      <c r="AA506" s="439"/>
      <c r="AB506" s="439"/>
      <c r="AC506" s="439"/>
      <c r="AD506" s="439"/>
      <c r="AE506" s="439"/>
      <c r="AF506" s="439"/>
    </row>
    <row r="507" ht="16.5" customHeight="1">
      <c r="A507" s="439"/>
      <c r="B507" s="490"/>
      <c r="C507" s="490"/>
      <c r="D507" s="439"/>
      <c r="E507" s="439"/>
      <c r="F507" s="439"/>
      <c r="G507" s="264"/>
      <c r="H507" s="439"/>
      <c r="I507" s="439"/>
      <c r="J507" s="439"/>
      <c r="K507" s="439"/>
      <c r="L507" s="439"/>
      <c r="M507" s="491"/>
      <c r="N507" s="491"/>
      <c r="O507" s="491"/>
      <c r="P507" s="491"/>
      <c r="Q507" s="491"/>
      <c r="R507" s="439"/>
      <c r="S507" s="439"/>
      <c r="T507" s="439"/>
      <c r="U507" s="16"/>
      <c r="V507" s="439"/>
      <c r="W507" s="439"/>
      <c r="X507" s="439"/>
      <c r="Y507" s="439"/>
      <c r="Z507" s="439"/>
      <c r="AA507" s="439"/>
      <c r="AB507" s="439"/>
      <c r="AC507" s="439"/>
      <c r="AD507" s="439"/>
      <c r="AE507" s="439"/>
      <c r="AF507" s="439"/>
    </row>
    <row r="508" ht="16.5" customHeight="1">
      <c r="A508" s="439"/>
      <c r="B508" s="490"/>
      <c r="C508" s="490"/>
      <c r="D508" s="439"/>
      <c r="E508" s="439"/>
      <c r="F508" s="439"/>
      <c r="G508" s="264"/>
      <c r="H508" s="439"/>
      <c r="I508" s="439"/>
      <c r="J508" s="439"/>
      <c r="K508" s="439"/>
      <c r="L508" s="439"/>
      <c r="M508" s="491"/>
      <c r="N508" s="491"/>
      <c r="O508" s="491"/>
      <c r="P508" s="491"/>
      <c r="Q508" s="491"/>
      <c r="R508" s="439"/>
      <c r="S508" s="439"/>
      <c r="T508" s="439"/>
      <c r="U508" s="16"/>
      <c r="V508" s="439"/>
      <c r="W508" s="439"/>
      <c r="X508" s="439"/>
      <c r="Y508" s="439"/>
      <c r="Z508" s="439"/>
      <c r="AA508" s="439"/>
      <c r="AB508" s="439"/>
      <c r="AC508" s="439"/>
      <c r="AD508" s="439"/>
      <c r="AE508" s="439"/>
      <c r="AF508" s="439"/>
    </row>
    <row r="509" ht="16.5" customHeight="1">
      <c r="A509" s="439"/>
      <c r="B509" s="490"/>
      <c r="C509" s="490"/>
      <c r="D509" s="439"/>
      <c r="E509" s="439"/>
      <c r="F509" s="439"/>
      <c r="G509" s="264"/>
      <c r="H509" s="439"/>
      <c r="I509" s="439"/>
      <c r="J509" s="439"/>
      <c r="K509" s="439"/>
      <c r="L509" s="439"/>
      <c r="M509" s="491"/>
      <c r="N509" s="491"/>
      <c r="O509" s="491"/>
      <c r="P509" s="491"/>
      <c r="Q509" s="491"/>
      <c r="R509" s="439"/>
      <c r="S509" s="439"/>
      <c r="T509" s="439"/>
      <c r="U509" s="16"/>
      <c r="V509" s="439"/>
      <c r="W509" s="439"/>
      <c r="X509" s="439"/>
      <c r="Y509" s="439"/>
      <c r="Z509" s="439"/>
      <c r="AA509" s="439"/>
      <c r="AB509" s="439"/>
      <c r="AC509" s="439"/>
      <c r="AD509" s="439"/>
      <c r="AE509" s="439"/>
      <c r="AF509" s="439"/>
    </row>
    <row r="510" ht="16.5" customHeight="1">
      <c r="A510" s="439"/>
      <c r="B510" s="490"/>
      <c r="C510" s="490"/>
      <c r="D510" s="439"/>
      <c r="E510" s="439"/>
      <c r="F510" s="439"/>
      <c r="G510" s="264"/>
      <c r="H510" s="439"/>
      <c r="I510" s="439"/>
      <c r="J510" s="439"/>
      <c r="K510" s="439"/>
      <c r="L510" s="439"/>
      <c r="M510" s="491"/>
      <c r="N510" s="491"/>
      <c r="O510" s="491"/>
      <c r="P510" s="491"/>
      <c r="Q510" s="491"/>
      <c r="R510" s="439"/>
      <c r="S510" s="439"/>
      <c r="T510" s="439"/>
      <c r="U510" s="16"/>
      <c r="V510" s="439"/>
      <c r="W510" s="439"/>
      <c r="X510" s="439"/>
      <c r="Y510" s="439"/>
      <c r="Z510" s="439"/>
      <c r="AA510" s="439"/>
      <c r="AB510" s="439"/>
      <c r="AC510" s="439"/>
      <c r="AD510" s="439"/>
      <c r="AE510" s="439"/>
      <c r="AF510" s="439"/>
    </row>
    <row r="511" ht="16.5" customHeight="1">
      <c r="A511" s="439"/>
      <c r="B511" s="490"/>
      <c r="C511" s="490"/>
      <c r="D511" s="439"/>
      <c r="E511" s="439"/>
      <c r="F511" s="439"/>
      <c r="G511" s="264"/>
      <c r="H511" s="439"/>
      <c r="I511" s="439"/>
      <c r="J511" s="439"/>
      <c r="K511" s="439"/>
      <c r="L511" s="439"/>
      <c r="M511" s="491"/>
      <c r="N511" s="491"/>
      <c r="O511" s="491"/>
      <c r="P511" s="491"/>
      <c r="Q511" s="491"/>
      <c r="R511" s="439"/>
      <c r="S511" s="439"/>
      <c r="T511" s="439"/>
      <c r="U511" s="16"/>
      <c r="V511" s="439"/>
      <c r="W511" s="439"/>
      <c r="X511" s="439"/>
      <c r="Y511" s="439"/>
      <c r="Z511" s="439"/>
      <c r="AA511" s="439"/>
      <c r="AB511" s="439"/>
      <c r="AC511" s="439"/>
      <c r="AD511" s="439"/>
      <c r="AE511" s="439"/>
      <c r="AF511" s="439"/>
    </row>
    <row r="512" ht="16.5" customHeight="1">
      <c r="A512" s="439"/>
      <c r="B512" s="439"/>
      <c r="C512" s="439"/>
      <c r="D512" s="439"/>
      <c r="E512" s="439"/>
      <c r="F512" s="439"/>
      <c r="G512" s="264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92"/>
      <c r="T512" s="439"/>
      <c r="U512" s="16"/>
      <c r="V512" s="439"/>
      <c r="W512" s="439"/>
      <c r="X512" s="439"/>
      <c r="Y512" s="439"/>
      <c r="Z512" s="439"/>
      <c r="AA512" s="439"/>
      <c r="AB512" s="439"/>
      <c r="AC512" s="439"/>
      <c r="AD512" s="439"/>
      <c r="AE512" s="439"/>
      <c r="AF512" s="439"/>
    </row>
  </sheetData>
  <mergeCells count="7">
    <mergeCell ref="Q1:S2"/>
    <mergeCell ref="U4:U5"/>
    <mergeCell ref="J5:K5"/>
    <mergeCell ref="L5:M5"/>
    <mergeCell ref="N5:O5"/>
    <mergeCell ref="P5:Q5"/>
    <mergeCell ref="R512:S512"/>
  </mergeCells>
  <conditionalFormatting sqref="B9:S500">
    <cfRule type="expression" dxfId="0" priority="1">
      <formula>$P9&lt;0</formula>
    </cfRule>
  </conditionalFormatting>
  <dataValidations>
    <dataValidation type="list" allowBlank="1" showErrorMessage="1" sqref="R9:R500">
      <formula1>'PO LAPANGAN'!$U$8:$U$10</formula1>
    </dataValidation>
    <dataValidation type="list" allowBlank="1" showErrorMessage="1" sqref="G9:G500">
      <formula1>'2. SMDA BHN'!$B$12:$B512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14.63"/>
    <col customWidth="1" min="3" max="3" width="10.75"/>
    <col customWidth="1" min="4" max="4" width="22.63"/>
    <col customWidth="1" min="5" max="6" width="11.5"/>
    <col customWidth="1" min="7" max="7" width="11.88"/>
    <col customWidth="1" min="8" max="8" width="29.75"/>
    <col customWidth="1" min="9" max="9" width="9.63"/>
    <col customWidth="1" min="10" max="10" width="12.5"/>
    <col customWidth="1" min="11" max="12" width="12.75"/>
    <col customWidth="1" min="13" max="14" width="14.13"/>
    <col customWidth="1" min="15" max="15" width="13.0"/>
    <col customWidth="1" min="16" max="16" width="14.0"/>
    <col customWidth="1" min="17" max="17" width="13.0"/>
    <col customWidth="1" min="18" max="18" width="18.38"/>
    <col customWidth="1" min="19" max="19" width="16.63"/>
    <col customWidth="1" min="20" max="20" width="10.88"/>
    <col customWidth="1" min="21" max="21" width="18.13"/>
    <col customWidth="1" min="22" max="22" width="2.75"/>
    <col customWidth="1" min="23" max="23" width="12.13"/>
    <col customWidth="1" min="24" max="24" width="8.0"/>
    <col customWidth="1" min="25" max="25" width="8.5"/>
    <col customWidth="1" min="26" max="30" width="8.0"/>
    <col customWidth="1" min="31" max="32" width="16.38"/>
    <col customWidth="1" min="33" max="37" width="8.0"/>
  </cols>
  <sheetData>
    <row r="1" ht="17.25" customHeight="1">
      <c r="A1" s="373"/>
      <c r="B1" s="493" t="s">
        <v>56</v>
      </c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/>
      <c r="O1" s="373"/>
      <c r="P1" s="373"/>
      <c r="Q1" s="373"/>
      <c r="R1" s="373"/>
      <c r="S1" s="494" t="s">
        <v>4</v>
      </c>
      <c r="V1" s="8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8"/>
      <c r="AI1" s="373"/>
      <c r="AJ1" s="373"/>
      <c r="AK1" s="373"/>
    </row>
    <row r="2" ht="24.0" customHeight="1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122"/>
      <c r="T2" s="122"/>
      <c r="U2" s="122"/>
      <c r="V2" s="16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6"/>
      <c r="AI2" s="373"/>
      <c r="AJ2" s="373"/>
      <c r="AK2" s="373"/>
    </row>
    <row r="3" ht="18.75" customHeight="1">
      <c r="A3" s="495"/>
      <c r="B3" s="496"/>
      <c r="C3" s="497"/>
      <c r="D3" s="498"/>
      <c r="E3" s="499"/>
      <c r="F3" s="499"/>
      <c r="G3" s="498" t="s">
        <v>57</v>
      </c>
      <c r="H3" s="387"/>
      <c r="I3" s="388"/>
      <c r="J3" s="500"/>
      <c r="K3" s="501"/>
      <c r="L3" s="502"/>
      <c r="M3" s="503">
        <f>SUM(M9:M1518)</f>
        <v>78092000</v>
      </c>
      <c r="N3" s="504"/>
      <c r="O3" s="500"/>
      <c r="P3" s="500"/>
      <c r="Q3" s="500"/>
      <c r="R3" s="500"/>
      <c r="S3" s="505"/>
      <c r="T3" s="506"/>
      <c r="U3" s="507"/>
      <c r="V3" s="16"/>
      <c r="W3" s="395" t="s">
        <v>0</v>
      </c>
      <c r="X3" s="508"/>
      <c r="Y3" s="508"/>
      <c r="Z3" s="508"/>
      <c r="AA3" s="508"/>
      <c r="AB3" s="508"/>
      <c r="AC3" s="508"/>
      <c r="AD3" s="508"/>
      <c r="AE3" s="119"/>
      <c r="AF3" s="119"/>
      <c r="AG3" s="508"/>
      <c r="AH3" s="43"/>
      <c r="AI3" s="495"/>
      <c r="AJ3" s="495"/>
      <c r="AK3" s="495"/>
    </row>
    <row r="4" ht="17.25" customHeight="1">
      <c r="A4" s="373"/>
      <c r="B4" s="373"/>
      <c r="C4" s="119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  <c r="S4" s="373"/>
      <c r="T4" s="10"/>
      <c r="U4" s="373"/>
      <c r="V4" s="16"/>
      <c r="W4" s="396" t="s">
        <v>58</v>
      </c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6"/>
      <c r="AI4" s="373"/>
      <c r="AJ4" s="373"/>
      <c r="AK4" s="373"/>
    </row>
    <row r="5" ht="17.25" customHeight="1">
      <c r="A5" s="119"/>
      <c r="B5" s="509" t="s">
        <v>8</v>
      </c>
      <c r="C5" s="510" t="s">
        <v>8</v>
      </c>
      <c r="D5" s="511" t="s">
        <v>8</v>
      </c>
      <c r="E5" s="400" t="s">
        <v>9</v>
      </c>
      <c r="F5" s="511" t="s">
        <v>9</v>
      </c>
      <c r="G5" s="512" t="s">
        <v>10</v>
      </c>
      <c r="H5" s="512" t="s">
        <v>11</v>
      </c>
      <c r="I5" s="512" t="s">
        <v>12</v>
      </c>
      <c r="J5" s="405" t="s">
        <v>13</v>
      </c>
      <c r="K5" s="513" t="s">
        <v>59</v>
      </c>
      <c r="L5" s="215"/>
      <c r="M5" s="514" t="s">
        <v>60</v>
      </c>
      <c r="N5" s="215"/>
      <c r="O5" s="515" t="s">
        <v>61</v>
      </c>
      <c r="P5" s="215"/>
      <c r="Q5" s="516" t="s">
        <v>62</v>
      </c>
      <c r="R5" s="215"/>
      <c r="S5" s="512" t="s">
        <v>63</v>
      </c>
      <c r="T5" s="517" t="s">
        <v>64</v>
      </c>
      <c r="U5" s="518" t="s">
        <v>19</v>
      </c>
      <c r="V5" s="16"/>
      <c r="W5" s="119"/>
      <c r="X5" s="119"/>
      <c r="Y5" s="119"/>
      <c r="Z5" s="119"/>
      <c r="AA5" s="519" t="s">
        <v>65</v>
      </c>
      <c r="AH5" s="16"/>
      <c r="AI5" s="119"/>
      <c r="AJ5" s="119"/>
      <c r="AK5" s="119"/>
    </row>
    <row r="6" ht="17.25" customHeight="1">
      <c r="A6" s="119"/>
      <c r="B6" s="520" t="s">
        <v>66</v>
      </c>
      <c r="C6" s="521" t="s">
        <v>20</v>
      </c>
      <c r="D6" s="522" t="s">
        <v>21</v>
      </c>
      <c r="E6" s="409" t="s">
        <v>22</v>
      </c>
      <c r="F6" s="522" t="s">
        <v>23</v>
      </c>
      <c r="G6" s="523"/>
      <c r="H6" s="524"/>
      <c r="I6" s="523"/>
      <c r="J6" s="525" t="s">
        <v>21</v>
      </c>
      <c r="K6" s="524" t="s">
        <v>24</v>
      </c>
      <c r="L6" s="524" t="s">
        <v>67</v>
      </c>
      <c r="M6" s="413" t="s">
        <v>24</v>
      </c>
      <c r="N6" s="415" t="s">
        <v>67</v>
      </c>
      <c r="O6" s="413" t="s">
        <v>26</v>
      </c>
      <c r="P6" s="415" t="s">
        <v>27</v>
      </c>
      <c r="Q6" s="526" t="s">
        <v>26</v>
      </c>
      <c r="R6" s="417" t="s">
        <v>27</v>
      </c>
      <c r="S6" s="524"/>
      <c r="T6" s="527"/>
      <c r="U6" s="528"/>
      <c r="V6" s="16"/>
      <c r="W6" s="529" t="s">
        <v>68</v>
      </c>
      <c r="Y6" s="111"/>
      <c r="Z6" s="119"/>
      <c r="AA6" s="530" t="s">
        <v>69</v>
      </c>
      <c r="AB6" s="530" t="s">
        <v>70</v>
      </c>
      <c r="AC6" s="530" t="s">
        <v>71</v>
      </c>
      <c r="AD6" s="530" t="s">
        <v>72</v>
      </c>
      <c r="AE6" s="530" t="s">
        <v>73</v>
      </c>
      <c r="AF6" s="530" t="s">
        <v>74</v>
      </c>
      <c r="AG6" s="530" t="s">
        <v>75</v>
      </c>
      <c r="AH6" s="16"/>
      <c r="AI6" s="119"/>
      <c r="AJ6" s="119"/>
      <c r="AK6" s="119"/>
    </row>
    <row r="7" ht="17.25" customHeight="1">
      <c r="A7" s="119"/>
      <c r="B7" s="531" t="s">
        <v>28</v>
      </c>
      <c r="C7" s="532" t="s">
        <v>29</v>
      </c>
      <c r="D7" s="533" t="s">
        <v>30</v>
      </c>
      <c r="E7" s="534" t="s">
        <v>31</v>
      </c>
      <c r="F7" s="535" t="s">
        <v>32</v>
      </c>
      <c r="G7" s="535" t="s">
        <v>33</v>
      </c>
      <c r="H7" s="535" t="s">
        <v>34</v>
      </c>
      <c r="I7" s="535" t="s">
        <v>35</v>
      </c>
      <c r="J7" s="533" t="s">
        <v>36</v>
      </c>
      <c r="K7" s="536" t="s">
        <v>76</v>
      </c>
      <c r="L7" s="536" t="s">
        <v>38</v>
      </c>
      <c r="M7" s="533" t="s">
        <v>77</v>
      </c>
      <c r="N7" s="533" t="s">
        <v>40</v>
      </c>
      <c r="O7" s="533" t="s">
        <v>78</v>
      </c>
      <c r="P7" s="533" t="s">
        <v>79</v>
      </c>
      <c r="Q7" s="533" t="s">
        <v>80</v>
      </c>
      <c r="R7" s="533" t="s">
        <v>81</v>
      </c>
      <c r="S7" s="536" t="s">
        <v>82</v>
      </c>
      <c r="T7" s="537" t="s">
        <v>83</v>
      </c>
      <c r="U7" s="538" t="s">
        <v>84</v>
      </c>
      <c r="V7" s="16"/>
      <c r="W7" s="149"/>
      <c r="X7" s="149"/>
      <c r="Y7" s="539"/>
      <c r="Z7" s="119"/>
      <c r="AA7" s="540" t="str">
        <f>IFERROR(__xludf.DUMMYFUNCTION("IMPORTRANGE(""https://docs.google.com/spreadsheets/d/1j-8kBYYPqmcXqtsp1nk42pAatSq0tHG-RvDmkOpWhbc/edit?gid=1519252238#gid=1519252238"",""PO MTRL!$B$7:$B"")"),"A")</f>
        <v>A</v>
      </c>
      <c r="AB7" s="541" t="str">
        <f>IFERROR(__xludf.DUMMYFUNCTION("IMPORTRANGE(""https://docs.google.com/spreadsheets/d/1j-8kBYYPqmcXqtsp1nk42pAatSq0tHG-RvDmkOpWhbc/edit?gid=1519252238#gid=1519252238"",""PO MTRL!$G$7:$G"")"),"F")</f>
        <v>F</v>
      </c>
      <c r="AC7" s="540" t="str">
        <f>IFERROR(__xludf.DUMMYFUNCTION("IMPORTRANGE(""https://docs.google.com/spreadsheets/d/1j-8kBYYPqmcXqtsp1nk42pAatSq0tHG-RvDmkOpWhbc/edit?gid=1519252238#gid=1519252238"",""PO MTRL!$c$7:$c"")"),"B")</f>
        <v>B</v>
      </c>
      <c r="AD7" s="119"/>
      <c r="AE7" s="119"/>
      <c r="AF7" s="119"/>
      <c r="AG7" s="119"/>
      <c r="AH7" s="16"/>
      <c r="AI7" s="119"/>
      <c r="AJ7" s="119"/>
      <c r="AK7" s="119"/>
    </row>
    <row r="8" ht="13.5" customHeight="1">
      <c r="B8" s="542"/>
      <c r="C8" s="543"/>
      <c r="D8" s="434"/>
      <c r="E8" s="433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544"/>
      <c r="U8" s="437"/>
      <c r="V8" s="290"/>
      <c r="W8" s="119"/>
      <c r="X8" s="119"/>
      <c r="Y8" s="545" t="s">
        <v>64</v>
      </c>
      <c r="Z8" s="119"/>
      <c r="AA8" s="119"/>
      <c r="AB8" s="119"/>
      <c r="AC8" s="119"/>
      <c r="AD8" s="119"/>
      <c r="AE8" s="119"/>
      <c r="AF8" s="119"/>
      <c r="AG8" s="119"/>
      <c r="AH8" s="290"/>
    </row>
    <row r="9" ht="18.75" customHeight="1">
      <c r="A9" s="439"/>
      <c r="B9" s="546" t="s">
        <v>85</v>
      </c>
      <c r="C9" s="547">
        <v>1.0</v>
      </c>
      <c r="D9" s="446" t="str">
        <f>IF(C9=0,0,(VLOOKUP(C9,'PO MTRL'!$B$9:$S1518,2,0)))</f>
        <v>PO1</v>
      </c>
      <c r="E9" s="548">
        <f>IF(C9="","",(VLOOKUP(C9,'PO MTRL'!$B$9:$S1518,3,0)))</f>
        <v>2</v>
      </c>
      <c r="F9" s="549" t="str">
        <f>IF(C9=0,0,(VLOOKUP(C9,'PO MTRL'!$B$9:$S1518,4,0)))</f>
        <v>M002</v>
      </c>
      <c r="G9" s="444">
        <v>46158.0</v>
      </c>
      <c r="H9" s="550" t="str">
        <f>IF(C9=0,0,(VLOOKUP(C9,'PO MTRL'!$B$9:$S1518,6,0)))</f>
        <v>Baja Tul Ulir</v>
      </c>
      <c r="I9" s="446" t="str">
        <f>IF(C9=0,0,(VLOOKUP(C9,'PO MTRL'!$B$9:$S1518,7,0)))</f>
        <v>KG</v>
      </c>
      <c r="J9" s="551">
        <f>IF(C9=0,0,(VLOOKUP(C9,'PO MTRL'!$B$9:$S1518,8,0)))</f>
        <v>8500</v>
      </c>
      <c r="K9" s="552">
        <v>3000.0</v>
      </c>
      <c r="L9" s="448">
        <f t="shared" ref="L9:L501" si="1">SUMIF($H$8:$H$502,H9,$K$8:$K1518)</f>
        <v>5000</v>
      </c>
      <c r="M9" s="551">
        <f t="shared" ref="M9:M501" si="2">J9*K9</f>
        <v>25500000</v>
      </c>
      <c r="N9" s="449">
        <f t="shared" ref="N9:N501" si="3">SUMIF($H$8:$H$502,H9,$M$8:$M1518)</f>
        <v>43500000</v>
      </c>
      <c r="O9" s="551">
        <f>IF(H9=0,0,(VLOOKUP(H9,'PO MTRL'!$G$9:$S1518,5,0)))</f>
        <v>7000</v>
      </c>
      <c r="P9" s="551">
        <f>IF(H9=0,0,(VLOOKUP(H9,'PO MTRL'!$G$9:$S1518,7,0)))</f>
        <v>60500000</v>
      </c>
      <c r="Q9" s="551">
        <f t="shared" ref="Q9:Q501" si="4">O9-L9</f>
        <v>2000</v>
      </c>
      <c r="R9" s="551">
        <f t="shared" ref="R9:R501" si="5">P9-N9</f>
        <v>17000000</v>
      </c>
      <c r="S9" s="550" t="str">
        <f>IF(C9=0,0,(VLOOKUP(C9,'PO MTRL'!$B$9:$S1518,17,0)))</f>
        <v>KKK</v>
      </c>
      <c r="T9" s="553"/>
      <c r="U9" s="554"/>
      <c r="V9" s="16"/>
      <c r="W9" s="555" t="str">
        <f t="shared" ref="W9:W503" si="6">B9</f>
        <v>TPDP1</v>
      </c>
      <c r="X9" s="165" t="str">
        <f t="shared" ref="X9:X501" si="7">F9</f>
        <v>M002</v>
      </c>
      <c r="Y9" s="556" t="s">
        <v>49</v>
      </c>
      <c r="Z9" s="119"/>
      <c r="AA9" s="530">
        <f>IFERROR(__xludf.DUMMYFUNCTION("""COMPUTED_VALUE"""),1.0)</f>
        <v>1</v>
      </c>
      <c r="AB9" s="165" t="str">
        <f>IFERROR(__xludf.DUMMYFUNCTION("""COMPUTED_VALUE""")," Baja Tul Ulir ")</f>
        <v>Baja Tul Ulir</v>
      </c>
      <c r="AC9" s="530" t="str">
        <f>IFERROR(__xludf.DUMMYFUNCTION("""COMPUTED_VALUE"""),"PO1")</f>
        <v>PO1</v>
      </c>
      <c r="AD9" s="540">
        <f>IFERROR(__xludf.DUMMYFUNCTION("FILTER((AA9:AC1518),AB9:AB1518&lt;&gt;"""")"),1.0)</f>
        <v>1</v>
      </c>
      <c r="AE9" s="165" t="str">
        <f>IFERROR(__xludf.DUMMYFUNCTION("""COMPUTED_VALUE""")," Baja Tul Ulir ")</f>
        <v>Baja Tul Ulir</v>
      </c>
      <c r="AF9" s="530" t="str">
        <f>IFERROR(__xludf.DUMMYFUNCTION("""COMPUTED_VALUE"""),"PO1")</f>
        <v>PO1</v>
      </c>
      <c r="AG9" s="555" t="str">
        <f t="shared" ref="AG9:AG500" si="8">AD9&amp;"  ---&gt;   "&amp;AE9&amp;"  ---&gt;   "&amp;AF9</f>
        <v>1  ---&gt;   Baja Tul Ulir  ---&gt;   PO1</v>
      </c>
      <c r="AH9" s="16"/>
      <c r="AI9" s="439"/>
      <c r="AJ9" s="439"/>
      <c r="AK9" s="439"/>
    </row>
    <row r="10" ht="18.75" customHeight="1">
      <c r="A10" s="439"/>
      <c r="B10" s="546" t="s">
        <v>86</v>
      </c>
      <c r="C10" s="547">
        <v>2.0</v>
      </c>
      <c r="D10" s="446" t="str">
        <f>IF(C10=0,0,(VLOOKUP(C10,'PO MTRL'!$B$9:$S1518,2,0)))</f>
        <v>PO2</v>
      </c>
      <c r="E10" s="548">
        <f>IF(C10="","",(VLOOKUP(C10,'PO MTRL'!$B$9:$S1518,3,0)))</f>
        <v>2</v>
      </c>
      <c r="F10" s="549" t="str">
        <f>IF(C10=0,0,(VLOOKUP(C10,'PO MTRL'!$B$9:$S1518,4,0)))</f>
        <v>M002</v>
      </c>
      <c r="G10" s="444">
        <v>46159.0</v>
      </c>
      <c r="H10" s="550" t="str">
        <f>IF(C10=0,0,(VLOOKUP(C10,'PO MTRL'!$B$9:$S1518,6,0)))</f>
        <v>Baja Tul Ulir</v>
      </c>
      <c r="I10" s="446" t="str">
        <f>IF(C10=0,0,(VLOOKUP(C10,'PO MTRL'!$B$9:$S1518,7,0)))</f>
        <v>KG</v>
      </c>
      <c r="J10" s="551">
        <f>IF(C10=0,0,(VLOOKUP(C10,'PO MTRL'!$B$9:$S1518,8,0)))</f>
        <v>9000</v>
      </c>
      <c r="K10" s="557">
        <v>2000.0</v>
      </c>
      <c r="L10" s="448">
        <f t="shared" si="1"/>
        <v>5000</v>
      </c>
      <c r="M10" s="551">
        <f t="shared" si="2"/>
        <v>18000000</v>
      </c>
      <c r="N10" s="449">
        <f t="shared" si="3"/>
        <v>43500000</v>
      </c>
      <c r="O10" s="551">
        <f>IF(H10=0,0,(VLOOKUP(H10,'PO MTRL'!$G$9:$S1518,5,0)))</f>
        <v>7000</v>
      </c>
      <c r="P10" s="551">
        <f>IF(H10=0,0,(VLOOKUP(H10,'PO MTRL'!$G$9:$S1518,7,0)))</f>
        <v>60500000</v>
      </c>
      <c r="Q10" s="551">
        <f t="shared" si="4"/>
        <v>2000</v>
      </c>
      <c r="R10" s="551">
        <f t="shared" si="5"/>
        <v>17000000</v>
      </c>
      <c r="S10" s="550" t="str">
        <f>IF(C10=0,0,(VLOOKUP(C10,'PO MTRL'!$B$9:$S1518,17,0)))</f>
        <v>LLL</v>
      </c>
      <c r="T10" s="553"/>
      <c r="U10" s="554"/>
      <c r="V10" s="16"/>
      <c r="W10" s="555" t="str">
        <f t="shared" si="6"/>
        <v>TPDP2</v>
      </c>
      <c r="X10" s="165" t="str">
        <f t="shared" si="7"/>
        <v>M002</v>
      </c>
      <c r="Y10" s="558"/>
      <c r="Z10" s="119"/>
      <c r="AA10" s="530">
        <f>IFERROR(__xludf.DUMMYFUNCTION("""COMPUTED_VALUE"""),2.0)</f>
        <v>2</v>
      </c>
      <c r="AB10" s="165" t="str">
        <f>IFERROR(__xludf.DUMMYFUNCTION("""COMPUTED_VALUE""")," Baja Tul Ulir ")</f>
        <v>Baja Tul Ulir</v>
      </c>
      <c r="AC10" s="530" t="str">
        <f>IFERROR(__xludf.DUMMYFUNCTION("""COMPUTED_VALUE"""),"PO2")</f>
        <v>PO2</v>
      </c>
      <c r="AD10" s="530">
        <f>IFERROR(__xludf.DUMMYFUNCTION("""COMPUTED_VALUE"""),2.0)</f>
        <v>2</v>
      </c>
      <c r="AE10" s="165" t="str">
        <f>IFERROR(__xludf.DUMMYFUNCTION("""COMPUTED_VALUE""")," Baja Tul Ulir ")</f>
        <v>Baja Tul Ulir</v>
      </c>
      <c r="AF10" s="530" t="str">
        <f>IFERROR(__xludf.DUMMYFUNCTION("""COMPUTED_VALUE"""),"PO2")</f>
        <v>PO2</v>
      </c>
      <c r="AG10" s="555" t="str">
        <f t="shared" si="8"/>
        <v>2  ---&gt;   Baja Tul Ulir  ---&gt;   PO2</v>
      </c>
      <c r="AH10" s="16"/>
      <c r="AI10" s="439"/>
      <c r="AJ10" s="439"/>
      <c r="AK10" s="439"/>
    </row>
    <row r="11" ht="18.75" customHeight="1">
      <c r="A11" s="439"/>
      <c r="B11" s="546" t="s">
        <v>87</v>
      </c>
      <c r="C11" s="547">
        <v>4.0</v>
      </c>
      <c r="D11" s="446" t="str">
        <f>IF(C11=0,0,(VLOOKUP(C11,'PO MTRL'!$B$9:$S1518,2,0)))</f>
        <v>PO3</v>
      </c>
      <c r="E11" s="548">
        <f>IF(C11="","",(VLOOKUP(C11,'PO MTRL'!$B$9:$S1518,3,0)))</f>
        <v>7</v>
      </c>
      <c r="F11" s="549" t="str">
        <f>IF(C11=0,0,(VLOOKUP(C11,'PO MTRL'!$B$9:$S1518,4,0)))</f>
        <v>M007</v>
      </c>
      <c r="G11" s="444">
        <v>46160.0</v>
      </c>
      <c r="H11" s="550" t="str">
        <f>IF(C11=0,0,(VLOOKUP(C11,'PO MTRL'!$B$9:$S1518,6,0)))</f>
        <v>Multipleks 18 mm</v>
      </c>
      <c r="I11" s="446" t="str">
        <f>IF(C11=0,0,(VLOOKUP(C11,'PO MTRL'!$B$9:$S1518,7,0)))</f>
        <v>LBR</v>
      </c>
      <c r="J11" s="551">
        <f>IF(C11=0,0,(VLOOKUP(C11,'PO MTRL'!$B$9:$S1518,8,0)))</f>
        <v>250000</v>
      </c>
      <c r="K11" s="552">
        <v>5.0</v>
      </c>
      <c r="L11" s="448">
        <f t="shared" si="1"/>
        <v>5</v>
      </c>
      <c r="M11" s="551">
        <f t="shared" si="2"/>
        <v>1250000</v>
      </c>
      <c r="N11" s="449">
        <f t="shared" si="3"/>
        <v>1250000</v>
      </c>
      <c r="O11" s="551">
        <f>IF(H11=0,0,(VLOOKUP(H11,'PO MTRL'!$G$9:$S1518,5,0)))</f>
        <v>10</v>
      </c>
      <c r="P11" s="551">
        <f>IF(H11=0,0,(VLOOKUP(H11,'PO MTRL'!$G$9:$S1518,7,0)))</f>
        <v>2500000</v>
      </c>
      <c r="Q11" s="551">
        <f t="shared" si="4"/>
        <v>5</v>
      </c>
      <c r="R11" s="551">
        <f t="shared" si="5"/>
        <v>1250000</v>
      </c>
      <c r="S11" s="550" t="str">
        <f>IF(C11=0,0,(VLOOKUP(C11,'PO MTRL'!$B$9:$S1518,17,0)))</f>
        <v>GGG</v>
      </c>
      <c r="T11" s="553"/>
      <c r="U11" s="554"/>
      <c r="V11" s="16"/>
      <c r="W11" s="555" t="str">
        <f t="shared" si="6"/>
        <v>TPDP3</v>
      </c>
      <c r="X11" s="165" t="str">
        <f t="shared" si="7"/>
        <v>M007</v>
      </c>
      <c r="Y11" s="119"/>
      <c r="Z11" s="119"/>
      <c r="AA11" s="530">
        <f>IFERROR(__xludf.DUMMYFUNCTION("""COMPUTED_VALUE"""),3.0)</f>
        <v>3</v>
      </c>
      <c r="AB11" s="119"/>
      <c r="AC11" s="119"/>
      <c r="AD11" s="530">
        <f>IFERROR(__xludf.DUMMYFUNCTION("""COMPUTED_VALUE"""),4.0)</f>
        <v>4</v>
      </c>
      <c r="AE11" s="165" t="str">
        <f>IFERROR(__xludf.DUMMYFUNCTION("""COMPUTED_VALUE""")," Multipleks 18 mm ")</f>
        <v>Multipleks 18 mm</v>
      </c>
      <c r="AF11" s="530" t="str">
        <f>IFERROR(__xludf.DUMMYFUNCTION("""COMPUTED_VALUE"""),"PO3")</f>
        <v>PO3</v>
      </c>
      <c r="AG11" s="555" t="str">
        <f t="shared" si="8"/>
        <v>4  ---&gt;   Multipleks 18 mm  ---&gt;   PO3</v>
      </c>
      <c r="AH11" s="16"/>
      <c r="AI11" s="439"/>
      <c r="AJ11" s="439"/>
      <c r="AK11" s="439"/>
    </row>
    <row r="12" ht="18.75" customHeight="1">
      <c r="A12" s="439"/>
      <c r="B12" s="546" t="s">
        <v>87</v>
      </c>
      <c r="C12" s="547">
        <v>5.0</v>
      </c>
      <c r="D12" s="446" t="str">
        <f>IF(C12=0,0,(VLOOKUP(C12,'PO MTRL'!$B$9:$S1518,2,0)))</f>
        <v>PO3</v>
      </c>
      <c r="E12" s="548">
        <f>IF(C12="","",(VLOOKUP(C12,'PO MTRL'!$B$9:$S1518,3,0)))</f>
        <v>8</v>
      </c>
      <c r="F12" s="549" t="str">
        <f>IF(C12=0,0,(VLOOKUP(C12,'PO MTRL'!$B$9:$S1518,4,0)))</f>
        <v>M008</v>
      </c>
      <c r="G12" s="444">
        <v>46160.0</v>
      </c>
      <c r="H12" s="550" t="str">
        <f>IF(C12=0,0,(VLOOKUP(C12,'PO MTRL'!$B$9:$S1518,6,0)))</f>
        <v>Paku</v>
      </c>
      <c r="I12" s="446" t="str">
        <f>IF(C12=0,0,(VLOOKUP(C12,'PO MTRL'!$B$9:$S1518,7,0)))</f>
        <v>KG</v>
      </c>
      <c r="J12" s="551">
        <f>IF(C12=0,0,(VLOOKUP(C12,'PO MTRL'!$B$9:$S1518,8,0)))</f>
        <v>20000</v>
      </c>
      <c r="K12" s="552">
        <v>5.0</v>
      </c>
      <c r="L12" s="448">
        <f t="shared" si="1"/>
        <v>7</v>
      </c>
      <c r="M12" s="551">
        <f t="shared" si="2"/>
        <v>100000</v>
      </c>
      <c r="N12" s="449">
        <f t="shared" si="3"/>
        <v>142000</v>
      </c>
      <c r="O12" s="551">
        <f>IF(H12=0,0,(VLOOKUP(H12,'PO MTRL'!$G$9:$S1518,5,0)))</f>
        <v>10</v>
      </c>
      <c r="P12" s="551">
        <f>IF(H12=0,0,(VLOOKUP(H12,'PO MTRL'!$G$9:$S1518,7,0)))</f>
        <v>202000</v>
      </c>
      <c r="Q12" s="551">
        <f t="shared" si="4"/>
        <v>3</v>
      </c>
      <c r="R12" s="551">
        <f t="shared" si="5"/>
        <v>60000</v>
      </c>
      <c r="S12" s="550" t="str">
        <f>IF(C12=0,0,(VLOOKUP(C12,'PO MTRL'!$B$9:$S1518,17,0)))</f>
        <v>GGG</v>
      </c>
      <c r="T12" s="553"/>
      <c r="U12" s="554"/>
      <c r="V12" s="16"/>
      <c r="W12" s="555" t="str">
        <f t="shared" si="6"/>
        <v>TPDP3</v>
      </c>
      <c r="X12" s="165" t="str">
        <f t="shared" si="7"/>
        <v>M008</v>
      </c>
      <c r="Y12" s="119"/>
      <c r="Z12" s="119"/>
      <c r="AA12" s="530">
        <f>IFERROR(__xludf.DUMMYFUNCTION("""COMPUTED_VALUE"""),4.0)</f>
        <v>4</v>
      </c>
      <c r="AB12" s="165" t="str">
        <f>IFERROR(__xludf.DUMMYFUNCTION("""COMPUTED_VALUE""")," Multipleks 18 mm ")</f>
        <v>Multipleks 18 mm</v>
      </c>
      <c r="AC12" s="530" t="str">
        <f>IFERROR(__xludf.DUMMYFUNCTION("""COMPUTED_VALUE"""),"PO3")</f>
        <v>PO3</v>
      </c>
      <c r="AD12" s="530">
        <f>IFERROR(__xludf.DUMMYFUNCTION("""COMPUTED_VALUE"""),5.0)</f>
        <v>5</v>
      </c>
      <c r="AE12" s="165" t="str">
        <f>IFERROR(__xludf.DUMMYFUNCTION("""COMPUTED_VALUE""")," Paku ")</f>
        <v>Paku</v>
      </c>
      <c r="AF12" s="530" t="str">
        <f>IFERROR(__xludf.DUMMYFUNCTION("""COMPUTED_VALUE"""),"PO3")</f>
        <v>PO3</v>
      </c>
      <c r="AG12" s="555" t="str">
        <f t="shared" si="8"/>
        <v>5  ---&gt;   Paku  ---&gt;   PO3</v>
      </c>
      <c r="AH12" s="16"/>
      <c r="AI12" s="439"/>
      <c r="AJ12" s="439"/>
      <c r="AK12" s="439"/>
    </row>
    <row r="13" ht="18.75" customHeight="1">
      <c r="A13" s="439"/>
      <c r="B13" s="546" t="s">
        <v>88</v>
      </c>
      <c r="C13" s="547">
        <v>7.0</v>
      </c>
      <c r="D13" s="446" t="str">
        <f>IF(C13=0,0,(VLOOKUP(C13,'PO MTRL'!$B$9:$S1518,2,0)))</f>
        <v>PO4</v>
      </c>
      <c r="E13" s="548">
        <f>IF(C13="","",(VLOOKUP(C13,'PO MTRL'!$B$9:$S1518,3,0)))</f>
        <v>3</v>
      </c>
      <c r="F13" s="549" t="str">
        <f>IF(C13=0,0,(VLOOKUP(C13,'PO MTRL'!$B$9:$S1518,4,0)))</f>
        <v>M003</v>
      </c>
      <c r="G13" s="444">
        <v>46161.0</v>
      </c>
      <c r="H13" s="550" t="str">
        <f>IF(C13=0,0,(VLOOKUP(C13,'PO MTRL'!$B$9:$S1518,6,0)))</f>
        <v>Beton Ready fc' 30 MPa</v>
      </c>
      <c r="I13" s="446" t="str">
        <f>IF(C13=0,0,(VLOOKUP(C13,'PO MTRL'!$B$9:$S1518,7,0)))</f>
        <v>M3</v>
      </c>
      <c r="J13" s="551">
        <f>IF(C13=0,0,(VLOOKUP(C13,'PO MTRL'!$B$9:$S1518,8,0)))</f>
        <v>200000</v>
      </c>
      <c r="K13" s="559">
        <v>15.0</v>
      </c>
      <c r="L13" s="448">
        <f t="shared" si="1"/>
        <v>15</v>
      </c>
      <c r="M13" s="551">
        <f t="shared" si="2"/>
        <v>3000000</v>
      </c>
      <c r="N13" s="449">
        <f t="shared" si="3"/>
        <v>3000000</v>
      </c>
      <c r="O13" s="551">
        <f>IF(H13=0,0,(VLOOKUP(H13,'PO MTRL'!$G$9:$S1518,5,0)))</f>
        <v>25</v>
      </c>
      <c r="P13" s="551">
        <f>IF(H13=0,0,(VLOOKUP(H13,'PO MTRL'!$G$9:$S1518,7,0)))</f>
        <v>5000000</v>
      </c>
      <c r="Q13" s="551">
        <f t="shared" si="4"/>
        <v>10</v>
      </c>
      <c r="R13" s="551">
        <f t="shared" si="5"/>
        <v>2000000</v>
      </c>
      <c r="S13" s="550" t="str">
        <f>IF(C13=0,0,(VLOOKUP(C13,'PO MTRL'!$B$9:$S1518,17,0)))</f>
        <v>JJJ</v>
      </c>
      <c r="T13" s="553"/>
      <c r="U13" s="554"/>
      <c r="V13" s="16"/>
      <c r="W13" s="555" t="str">
        <f t="shared" si="6"/>
        <v>TPDP4</v>
      </c>
      <c r="X13" s="165" t="str">
        <f t="shared" si="7"/>
        <v>M003</v>
      </c>
      <c r="Y13" s="119"/>
      <c r="Z13" s="119"/>
      <c r="AA13" s="530">
        <f>IFERROR(__xludf.DUMMYFUNCTION("""COMPUTED_VALUE"""),5.0)</f>
        <v>5</v>
      </c>
      <c r="AB13" s="165" t="str">
        <f>IFERROR(__xludf.DUMMYFUNCTION("""COMPUTED_VALUE""")," Paku ")</f>
        <v>Paku</v>
      </c>
      <c r="AC13" s="530" t="str">
        <f>IFERROR(__xludf.DUMMYFUNCTION("""COMPUTED_VALUE"""),"PO3")</f>
        <v>PO3</v>
      </c>
      <c r="AD13" s="530">
        <f>IFERROR(__xludf.DUMMYFUNCTION("""COMPUTED_VALUE"""),7.0)</f>
        <v>7</v>
      </c>
      <c r="AE13" s="165" t="str">
        <f>IFERROR(__xludf.DUMMYFUNCTION("""COMPUTED_VALUE""")," Beton Ready fc' 30 MPa ")</f>
        <v>Beton Ready fc' 30 MPa</v>
      </c>
      <c r="AF13" s="530" t="str">
        <f>IFERROR(__xludf.DUMMYFUNCTION("""COMPUTED_VALUE"""),"PO4")</f>
        <v>PO4</v>
      </c>
      <c r="AG13" s="555" t="str">
        <f t="shared" si="8"/>
        <v>7  ---&gt;   Beton Ready fc' 30 MPa  ---&gt;   PO4</v>
      </c>
      <c r="AH13" s="16"/>
      <c r="AI13" s="439"/>
      <c r="AJ13" s="439"/>
      <c r="AK13" s="439"/>
    </row>
    <row r="14" ht="18.75" customHeight="1">
      <c r="A14" s="439"/>
      <c r="B14" s="546" t="s">
        <v>89</v>
      </c>
      <c r="C14" s="547">
        <v>1000.0</v>
      </c>
      <c r="D14" s="446" t="str">
        <f>IF(C14=0,0,(VLOOKUP(C14,'PO MTRL'!$B$9:$S1518,2,0)))</f>
        <v>PO5</v>
      </c>
      <c r="E14" s="548">
        <f>IF(C14="","",(VLOOKUP(C14,'PO MTRL'!$B$9:$S1518,3,0)))</f>
        <v>6</v>
      </c>
      <c r="F14" s="549" t="str">
        <f>IF(C14=0,0,(VLOOKUP(C14,'PO MTRL'!$B$9:$S1518,4,0)))</f>
        <v>M006</v>
      </c>
      <c r="G14" s="444">
        <v>46168.0</v>
      </c>
      <c r="H14" s="550" t="str">
        <f>IF(C14=0,0,(VLOOKUP(C14,'PO MTRL'!$B$9:$S1518,6,0)))</f>
        <v>Kayu 5/7</v>
      </c>
      <c r="I14" s="446" t="str">
        <f>IF(C14=0,0,(VLOOKUP(C14,'PO MTRL'!$B$9:$S1518,7,0)))</f>
        <v>M3</v>
      </c>
      <c r="J14" s="551">
        <f>IF(C14=0,0,(VLOOKUP(C14,'PO MTRL'!$B$9:$S1518,8,0)))</f>
        <v>2200000</v>
      </c>
      <c r="K14" s="552">
        <v>1.0</v>
      </c>
      <c r="L14" s="448">
        <f t="shared" si="1"/>
        <v>1</v>
      </c>
      <c r="M14" s="551">
        <f t="shared" si="2"/>
        <v>2200000</v>
      </c>
      <c r="N14" s="449">
        <f t="shared" si="3"/>
        <v>2200000</v>
      </c>
      <c r="O14" s="551">
        <f>IF(H14=0,0,(VLOOKUP(H14,'PO MTRL'!$G$9:$S1518,5,0)))</f>
        <v>1</v>
      </c>
      <c r="P14" s="551">
        <f>IF(H14=0,0,(VLOOKUP(H14,'PO MTRL'!$G$9:$S1518,7,0)))</f>
        <v>2200000</v>
      </c>
      <c r="Q14" s="551">
        <f t="shared" si="4"/>
        <v>0</v>
      </c>
      <c r="R14" s="551">
        <f t="shared" si="5"/>
        <v>0</v>
      </c>
      <c r="S14" s="550" t="str">
        <f>IF(C14=0,0,(VLOOKUP(C14,'PO MTRL'!$B$9:$S1518,17,0)))</f>
        <v>Cash Proyek</v>
      </c>
      <c r="T14" s="553"/>
      <c r="U14" s="554"/>
      <c r="V14" s="16"/>
      <c r="W14" s="555" t="str">
        <f t="shared" si="6"/>
        <v>TPDP5</v>
      </c>
      <c r="X14" s="165" t="str">
        <f t="shared" si="7"/>
        <v>M006</v>
      </c>
      <c r="Y14" s="119"/>
      <c r="Z14" s="119"/>
      <c r="AA14" s="530">
        <f>IFERROR(__xludf.DUMMYFUNCTION("""COMPUTED_VALUE"""),6.0)</f>
        <v>6</v>
      </c>
      <c r="AB14" s="119"/>
      <c r="AC14" s="119"/>
      <c r="AD14" s="530"/>
      <c r="AE14" s="165" t="str">
        <f>IFERROR(__xludf.DUMMYFUNCTION("""COMPUTED_VALUE""")," PIC: LOGISTIK DIVISI ")</f>
        <v>PIC: LOGISTIK DIVISI</v>
      </c>
      <c r="AF14" s="560"/>
      <c r="AG14" s="555" t="str">
        <f t="shared" si="8"/>
        <v>  ---&gt;   PIC: LOGISTIK DIVISI  ---&gt;   </v>
      </c>
      <c r="AH14" s="16"/>
      <c r="AI14" s="439"/>
      <c r="AJ14" s="439"/>
      <c r="AK14" s="439"/>
    </row>
    <row r="15" ht="18.75" customHeight="1">
      <c r="A15" s="439"/>
      <c r="B15" s="546" t="s">
        <v>90</v>
      </c>
      <c r="C15" s="547">
        <v>1001.0</v>
      </c>
      <c r="D15" s="446" t="str">
        <f>IF(C15=0,0,(VLOOKUP(C15,'PO MTRL'!$B$9:$S1518,2,0)))</f>
        <v>PO5</v>
      </c>
      <c r="E15" s="548">
        <f>IF(C15="","",(VLOOKUP(C15,'PO MTRL'!$B$9:$S1518,3,0)))</f>
        <v>8</v>
      </c>
      <c r="F15" s="549" t="str">
        <f>IF(C15=0,0,(VLOOKUP(C15,'PO MTRL'!$B$9:$S1518,4,0)))</f>
        <v>M008</v>
      </c>
      <c r="G15" s="444">
        <v>46174.0</v>
      </c>
      <c r="H15" s="550" t="str">
        <f>IF(C15=0,0,(VLOOKUP(C15,'PO MTRL'!$B$9:$S1518,6,0)))</f>
        <v>Paku</v>
      </c>
      <c r="I15" s="446" t="str">
        <f>IF(C15=0,0,(VLOOKUP(C15,'PO MTRL'!$B$9:$S1518,7,0)))</f>
        <v>KG</v>
      </c>
      <c r="J15" s="551">
        <f>IF(C15=0,0,(VLOOKUP(C15,'PO MTRL'!$B$9:$S1518,8,0)))</f>
        <v>21000</v>
      </c>
      <c r="K15" s="552">
        <v>2.0</v>
      </c>
      <c r="L15" s="448">
        <f t="shared" si="1"/>
        <v>7</v>
      </c>
      <c r="M15" s="551">
        <f t="shared" si="2"/>
        <v>42000</v>
      </c>
      <c r="N15" s="449">
        <f t="shared" si="3"/>
        <v>142000</v>
      </c>
      <c r="O15" s="551">
        <f>IF(H15=0,0,(VLOOKUP(H15,'PO MTRL'!$G$9:$S1518,5,0)))</f>
        <v>10</v>
      </c>
      <c r="P15" s="551">
        <f>IF(H15=0,0,(VLOOKUP(H15,'PO MTRL'!$G$9:$S1518,7,0)))</f>
        <v>202000</v>
      </c>
      <c r="Q15" s="551">
        <f t="shared" si="4"/>
        <v>3</v>
      </c>
      <c r="R15" s="551">
        <f t="shared" si="5"/>
        <v>60000</v>
      </c>
      <c r="S15" s="550" t="str">
        <f>IF(C15=0,0,(VLOOKUP(C15,'PO MTRL'!$B$9:$S1518,17,0)))</f>
        <v>Cash Proyek</v>
      </c>
      <c r="T15" s="553"/>
      <c r="U15" s="554"/>
      <c r="V15" s="16"/>
      <c r="W15" s="555" t="str">
        <f t="shared" si="6"/>
        <v>TPDP6</v>
      </c>
      <c r="X15" s="165" t="str">
        <f t="shared" si="7"/>
        <v>M008</v>
      </c>
      <c r="Y15" s="119"/>
      <c r="Z15" s="119"/>
      <c r="AA15" s="530">
        <f>IFERROR(__xludf.DUMMYFUNCTION("""COMPUTED_VALUE"""),7.0)</f>
        <v>7</v>
      </c>
      <c r="AB15" s="165" t="str">
        <f>IFERROR(__xludf.DUMMYFUNCTION("""COMPUTED_VALUE""")," Beton Ready fc' 30 MPa ")</f>
        <v>Beton Ready fc' 30 MPa</v>
      </c>
      <c r="AC15" s="530" t="str">
        <f>IFERROR(__xludf.DUMMYFUNCTION("""COMPUTED_VALUE"""),"PO4")</f>
        <v>PO4</v>
      </c>
      <c r="AD15" s="530" t="str">
        <f>IFERROR(__xludf.DUMMYFUNCTION("""COMPUTED_VALUE"""),"NOMOR")</f>
        <v>NOMOR</v>
      </c>
      <c r="AE15" s="165" t="str">
        <f>IFERROR(__xludf.DUMMYFUNCTION("""COMPUTED_VALUE""")," JENIS MATERIAL ")</f>
        <v>JENIS MATERIAL</v>
      </c>
      <c r="AF15" s="560" t="str">
        <f>IFERROR(__xludf.DUMMYFUNCTION("""COMPUTED_VALUE""")," NOMOR ")</f>
        <v>NOMOR</v>
      </c>
      <c r="AG15" s="555" t="str">
        <f t="shared" si="8"/>
        <v>NOMOR  ---&gt;   JENIS MATERIAL  ---&gt;   NOMOR</v>
      </c>
      <c r="AH15" s="16"/>
      <c r="AI15" s="439"/>
      <c r="AJ15" s="439"/>
      <c r="AK15" s="439"/>
    </row>
    <row r="16" ht="18.75" customHeight="1">
      <c r="A16" s="439"/>
      <c r="B16" s="561" t="s">
        <v>91</v>
      </c>
      <c r="C16" s="547">
        <v>1002.0</v>
      </c>
      <c r="D16" s="446" t="str">
        <f>IF(C16=0,0,(VLOOKUP(C16,'PO MTRL'!$B$9:$S1518,2,0)))</f>
        <v>PO6</v>
      </c>
      <c r="E16" s="548">
        <f>IF(C16="","",(VLOOKUP(C16,'PO MTRL'!$B$9:$S1518,3,0)))</f>
        <v>9</v>
      </c>
      <c r="F16" s="549" t="str">
        <f>IF(C16=0,0,(VLOOKUP(C16,'PO MTRL'!$B$9:$S1518,4,0)))</f>
        <v>M010</v>
      </c>
      <c r="G16" s="562">
        <v>46163.0</v>
      </c>
      <c r="H16" s="550" t="str">
        <f>IF(C16=0,0,(VLOOKUP(C16,'PO MTRL'!$B$9:$S1518,6,0)))</f>
        <v>Concrete Mixer Beton</v>
      </c>
      <c r="I16" s="446" t="str">
        <f>IF(C16=0,0,(VLOOKUP(C16,'PO MTRL'!$B$9:$S1518,7,0)))</f>
        <v>UNIT</v>
      </c>
      <c r="J16" s="551">
        <f>IF(C16=0,0,(VLOOKUP(C16,'PO MTRL'!$B$9:$S1518,8,0)))</f>
        <v>25000000</v>
      </c>
      <c r="K16" s="563">
        <v>1.0</v>
      </c>
      <c r="L16" s="448">
        <f t="shared" si="1"/>
        <v>1</v>
      </c>
      <c r="M16" s="551">
        <f t="shared" si="2"/>
        <v>25000000</v>
      </c>
      <c r="N16" s="449">
        <f t="shared" si="3"/>
        <v>25000000</v>
      </c>
      <c r="O16" s="551">
        <f>IF(H16=0,0,(VLOOKUP(H16,'PO MTRL'!$G$9:$S1518,5,0)))</f>
        <v>1</v>
      </c>
      <c r="P16" s="551">
        <f>IF(H16=0,0,(VLOOKUP(H16,'PO MTRL'!$G$9:$S1518,7,0)))</f>
        <v>25000000</v>
      </c>
      <c r="Q16" s="551">
        <f t="shared" si="4"/>
        <v>0</v>
      </c>
      <c r="R16" s="551">
        <f t="shared" si="5"/>
        <v>0</v>
      </c>
      <c r="S16" s="550" t="str">
        <f>IF(C16=0,0,(VLOOKUP(C16,'PO MTRL'!$B$9:$S1518,17,0)))</f>
        <v>Cash Proyek</v>
      </c>
      <c r="T16" s="553" t="s">
        <v>64</v>
      </c>
      <c r="U16" s="554"/>
      <c r="V16" s="16"/>
      <c r="W16" s="555" t="str">
        <f t="shared" si="6"/>
        <v>TPDP7</v>
      </c>
      <c r="X16" s="165" t="str">
        <f t="shared" si="7"/>
        <v>M010</v>
      </c>
      <c r="Y16" s="119"/>
      <c r="Z16" s="119"/>
      <c r="AA16" s="530">
        <f>IFERROR(__xludf.DUMMYFUNCTION("""COMPUTED_VALUE"""),8.0)</f>
        <v>8</v>
      </c>
      <c r="AB16" s="119"/>
      <c r="AC16" s="119"/>
      <c r="AD16" s="530" t="str">
        <f>IFERROR(__xludf.DUMMYFUNCTION("""COMPUTED_VALUE"""),"A")</f>
        <v>A</v>
      </c>
      <c r="AE16" s="165" t="str">
        <f>IFERROR(__xludf.DUMMYFUNCTION("""COMPUTED_VALUE""")," E ")</f>
        <v>E</v>
      </c>
      <c r="AF16" s="560" t="str">
        <f>IFERROR(__xludf.DUMMYFUNCTION("""COMPUTED_VALUE""")," B ")</f>
        <v>B</v>
      </c>
      <c r="AG16" s="555" t="str">
        <f t="shared" si="8"/>
        <v>A  ---&gt;   E  ---&gt;   B</v>
      </c>
      <c r="AH16" s="16"/>
      <c r="AI16" s="439"/>
      <c r="AJ16" s="439"/>
      <c r="AK16" s="439"/>
    </row>
    <row r="17" ht="18.75" customHeight="1">
      <c r="A17" s="439"/>
      <c r="B17" s="561" t="s">
        <v>91</v>
      </c>
      <c r="C17" s="547">
        <v>1003.0</v>
      </c>
      <c r="D17" s="446" t="str">
        <f>IF(C17=0,0,(VLOOKUP(C17,'PO MTRL'!$B$9:$S1518,2,0)))</f>
        <v>PO6</v>
      </c>
      <c r="E17" s="548">
        <f>IF(C17="","",(VLOOKUP(C17,'PO MTRL'!$B$9:$S1518,3,0)))</f>
        <v>10</v>
      </c>
      <c r="F17" s="549" t="str">
        <f>IF(C17=0,0,(VLOOKUP(C17,'PO MTRL'!$B$9:$S1518,4,0)))</f>
        <v>M011</v>
      </c>
      <c r="G17" s="562">
        <v>46163.0</v>
      </c>
      <c r="H17" s="550" t="str">
        <f>IF(C17=0,0,(VLOOKUP(C17,'PO MTRL'!$B$9:$S1518,6,0)))</f>
        <v>Mesin gerinda tangan</v>
      </c>
      <c r="I17" s="446" t="str">
        <f>IF(C17=0,0,(VLOOKUP(C17,'PO MTRL'!$B$9:$S1518,7,0)))</f>
        <v>UNIT</v>
      </c>
      <c r="J17" s="551">
        <f>IF(C17=0,0,(VLOOKUP(C17,'PO MTRL'!$B$9:$S1518,8,0)))</f>
        <v>500000</v>
      </c>
      <c r="K17" s="563">
        <v>2.0</v>
      </c>
      <c r="L17" s="448">
        <f t="shared" si="1"/>
        <v>2</v>
      </c>
      <c r="M17" s="551">
        <f t="shared" si="2"/>
        <v>1000000</v>
      </c>
      <c r="N17" s="449">
        <f t="shared" si="3"/>
        <v>1000000</v>
      </c>
      <c r="O17" s="551">
        <f>IF(H17=0,0,(VLOOKUP(H17,'PO MTRL'!$G$9:$S1518,5,0)))</f>
        <v>2</v>
      </c>
      <c r="P17" s="551">
        <f>IF(H17=0,0,(VLOOKUP(H17,'PO MTRL'!$G$9:$S1518,7,0)))</f>
        <v>1000000</v>
      </c>
      <c r="Q17" s="551">
        <f t="shared" si="4"/>
        <v>0</v>
      </c>
      <c r="R17" s="551">
        <f t="shared" si="5"/>
        <v>0</v>
      </c>
      <c r="S17" s="550" t="str">
        <f>IF(C17=0,0,(VLOOKUP(C17,'PO MTRL'!$B$9:$S1518,17,0)))</f>
        <v>Cash Proyek</v>
      </c>
      <c r="T17" s="553" t="s">
        <v>64</v>
      </c>
      <c r="U17" s="554" t="str">
        <f>IF(C17=0,0,(VLOOKUP(C17,'PO MTRL'!$B$9:$S1518,18,0)))</f>
        <v/>
      </c>
      <c r="V17" s="16"/>
      <c r="W17" s="555" t="str">
        <f t="shared" si="6"/>
        <v>TPDP7</v>
      </c>
      <c r="X17" s="165" t="str">
        <f t="shared" si="7"/>
        <v>M011</v>
      </c>
      <c r="Y17" s="119"/>
      <c r="Z17" s="119"/>
      <c r="AA17" s="530">
        <f>IFERROR(__xludf.DUMMYFUNCTION("""COMPUTED_VALUE"""),9.0)</f>
        <v>9</v>
      </c>
      <c r="AB17" s="119"/>
      <c r="AC17" s="119"/>
      <c r="AD17" s="530">
        <f>IFERROR(__xludf.DUMMYFUNCTION("""COMPUTED_VALUE"""),1000.0)</f>
        <v>1000</v>
      </c>
      <c r="AE17" s="165" t="str">
        <f>IFERROR(__xludf.DUMMYFUNCTION("""COMPUTED_VALUE""")," Kayu 5/7 ")</f>
        <v>Kayu 5/7</v>
      </c>
      <c r="AF17" s="560" t="str">
        <f>IFERROR(__xludf.DUMMYFUNCTION("""COMPUTED_VALUE""")," PO5 ")</f>
        <v>PO5</v>
      </c>
      <c r="AG17" s="555" t="str">
        <f t="shared" si="8"/>
        <v>1000  ---&gt;   Kayu 5/7  ---&gt;   PO5</v>
      </c>
      <c r="AH17" s="16"/>
      <c r="AI17" s="439"/>
      <c r="AJ17" s="439"/>
      <c r="AK17" s="439"/>
    </row>
    <row r="18" ht="18.75" customHeight="1">
      <c r="A18" s="439"/>
      <c r="B18" s="561" t="s">
        <v>91</v>
      </c>
      <c r="C18" s="547">
        <v>1004.0</v>
      </c>
      <c r="D18" s="446" t="str">
        <f>IF(C18=0,0,(VLOOKUP(C18,'PO MTRL'!$B$9:$S1518,2,0)))</f>
        <v>PO6</v>
      </c>
      <c r="E18" s="548">
        <f>IF(C18="","",(VLOOKUP(C18,'PO MTRL'!$B$9:$S1518,3,0)))</f>
        <v>11</v>
      </c>
      <c r="F18" s="549" t="str">
        <f>IF(C18=0,0,(VLOOKUP(C18,'PO MTRL'!$B$9:$S1518,4,0)))</f>
        <v>M012</v>
      </c>
      <c r="G18" s="562">
        <v>46163.0</v>
      </c>
      <c r="H18" s="550" t="str">
        <f>IF(C18=0,0,(VLOOKUP(C18,'PO MTRL'!$B$9:$S1518,6,0)))</f>
        <v>Rubber Cone</v>
      </c>
      <c r="I18" s="446" t="str">
        <f>IF(C18=0,0,(VLOOKUP(C18,'PO MTRL'!$B$9:$S1518,7,0)))</f>
        <v>BUAH</v>
      </c>
      <c r="J18" s="551">
        <f>IF(C18=0,0,(VLOOKUP(C18,'PO MTRL'!$B$9:$S1518,8,0)))</f>
        <v>100000</v>
      </c>
      <c r="K18" s="563">
        <v>20.0</v>
      </c>
      <c r="L18" s="448">
        <f t="shared" si="1"/>
        <v>20</v>
      </c>
      <c r="M18" s="551">
        <f t="shared" si="2"/>
        <v>2000000</v>
      </c>
      <c r="N18" s="449">
        <f t="shared" si="3"/>
        <v>2000000</v>
      </c>
      <c r="O18" s="551">
        <f>IF(H18=0,0,(VLOOKUP(H18,'PO MTRL'!$G$9:$S1518,5,0)))</f>
        <v>20</v>
      </c>
      <c r="P18" s="551">
        <f>IF(H18=0,0,(VLOOKUP(H18,'PO MTRL'!$G$9:$S1518,7,0)))</f>
        <v>2000000</v>
      </c>
      <c r="Q18" s="551">
        <f t="shared" si="4"/>
        <v>0</v>
      </c>
      <c r="R18" s="551">
        <f t="shared" si="5"/>
        <v>0</v>
      </c>
      <c r="S18" s="550" t="str">
        <f>IF(C18=0,0,(VLOOKUP(C18,'PO MTRL'!$B$9:$S1518,17,0)))</f>
        <v>Cash Proyek</v>
      </c>
      <c r="T18" s="553" t="s">
        <v>64</v>
      </c>
      <c r="U18" s="554" t="str">
        <f>IF(C18=0,0,(VLOOKUP(C18,'PO MTRL'!$B$9:$S1518,18,0)))</f>
        <v/>
      </c>
      <c r="V18" s="16"/>
      <c r="W18" s="555" t="str">
        <f t="shared" si="6"/>
        <v>TPDP7</v>
      </c>
      <c r="X18" s="165" t="str">
        <f t="shared" si="7"/>
        <v>M012</v>
      </c>
      <c r="Y18" s="119"/>
      <c r="Z18" s="119"/>
      <c r="AA18" s="530">
        <f>IFERROR(__xludf.DUMMYFUNCTION("""COMPUTED_VALUE"""),10.0)</f>
        <v>10</v>
      </c>
      <c r="AB18" s="119"/>
      <c r="AC18" s="119"/>
      <c r="AD18" s="530">
        <f>IFERROR(__xludf.DUMMYFUNCTION("""COMPUTED_VALUE"""),1001.0)</f>
        <v>1001</v>
      </c>
      <c r="AE18" s="165" t="str">
        <f>IFERROR(__xludf.DUMMYFUNCTION("""COMPUTED_VALUE""")," Paku ")</f>
        <v>Paku</v>
      </c>
      <c r="AF18" s="560" t="str">
        <f>IFERROR(__xludf.DUMMYFUNCTION("""COMPUTED_VALUE""")," PO5 ")</f>
        <v>PO5</v>
      </c>
      <c r="AG18" s="555" t="str">
        <f t="shared" si="8"/>
        <v>1001  ---&gt;   Paku  ---&gt;   PO5</v>
      </c>
      <c r="AH18" s="16"/>
      <c r="AI18" s="439"/>
      <c r="AJ18" s="439"/>
      <c r="AK18" s="439"/>
    </row>
    <row r="19" ht="18.75" customHeight="1">
      <c r="A19" s="439"/>
      <c r="B19" s="546"/>
      <c r="C19" s="547"/>
      <c r="D19" s="446">
        <f>IF(C19=0,0,(VLOOKUP(C19,'PO MTRL'!$B$9:$S1518,2,0)))</f>
        <v>0</v>
      </c>
      <c r="E19" s="548" t="str">
        <f>IF(C19="","",(VLOOKUP(C19,'PO MTRL'!$B$9:$S1518,3,0)))</f>
        <v/>
      </c>
      <c r="F19" s="549">
        <f>IF(C19=0,0,(VLOOKUP(C19,'PO MTRL'!$B$9:$S1518,4,0)))</f>
        <v>0</v>
      </c>
      <c r="G19" s="444"/>
      <c r="H19" s="550">
        <f>IF(C19=0,0,(VLOOKUP(C19,'PO MTRL'!$B$9:$S1518,6,0)))</f>
        <v>0</v>
      </c>
      <c r="I19" s="446">
        <f>IF(C19=0,0,(VLOOKUP(C19,'PO MTRL'!$B$9:$S1518,7,0)))</f>
        <v>0</v>
      </c>
      <c r="J19" s="551">
        <f>IF(C19=0,0,(VLOOKUP(C19,'PO MTRL'!$B$9:$S1518,8,0)))</f>
        <v>0</v>
      </c>
      <c r="K19" s="559"/>
      <c r="L19" s="448">
        <f t="shared" si="1"/>
        <v>0</v>
      </c>
      <c r="M19" s="551">
        <f t="shared" si="2"/>
        <v>0</v>
      </c>
      <c r="N19" s="449">
        <f t="shared" si="3"/>
        <v>0</v>
      </c>
      <c r="O19" s="551">
        <f>IF(H19=0,0,(VLOOKUP(H19,'PO MTRL'!$G$9:$S1518,5,0)))</f>
        <v>0</v>
      </c>
      <c r="P19" s="551">
        <f>IF(H19=0,0,(VLOOKUP(H19,'PO MTRL'!$G$9:$S1518,7,0)))</f>
        <v>0</v>
      </c>
      <c r="Q19" s="551">
        <f t="shared" si="4"/>
        <v>0</v>
      </c>
      <c r="R19" s="551">
        <f t="shared" si="5"/>
        <v>0</v>
      </c>
      <c r="S19" s="550">
        <f>IF(C19=0,0,(VLOOKUP(C19,'PO MTRL'!$B$9:$S1518,17,0)))</f>
        <v>0</v>
      </c>
      <c r="T19" s="553"/>
      <c r="U19" s="554">
        <f>IF(C19=0,0,(VLOOKUP(C19,'PO MTRL'!$B$9:$S1518,18,0)))</f>
        <v>0</v>
      </c>
      <c r="V19" s="16"/>
      <c r="W19" s="119" t="str">
        <f t="shared" si="6"/>
        <v/>
      </c>
      <c r="X19" s="564">
        <f t="shared" si="7"/>
        <v>0</v>
      </c>
      <c r="Y19" s="119"/>
      <c r="Z19" s="119"/>
      <c r="AA19" s="530">
        <f>IFERROR(__xludf.DUMMYFUNCTION("""COMPUTED_VALUE"""),11.0)</f>
        <v>11</v>
      </c>
      <c r="AB19" s="119"/>
      <c r="AC19" s="119"/>
      <c r="AD19" s="119">
        <f>IFERROR(__xludf.DUMMYFUNCTION("""COMPUTED_VALUE"""),1002.0)</f>
        <v>1002</v>
      </c>
      <c r="AE19" s="172" t="str">
        <f>IFERROR(__xludf.DUMMYFUNCTION("""COMPUTED_VALUE""")," Concrete Mixer Beton ")</f>
        <v>Concrete Mixer Beton</v>
      </c>
      <c r="AF19" s="172" t="str">
        <f>IFERROR(__xludf.DUMMYFUNCTION("""COMPUTED_VALUE""")," PO6 ")</f>
        <v>PO6</v>
      </c>
      <c r="AG19" s="555" t="str">
        <f t="shared" si="8"/>
        <v>1002  ---&gt;   Concrete Mixer Beton  ---&gt;   PO6</v>
      </c>
      <c r="AH19" s="16"/>
      <c r="AI19" s="439"/>
      <c r="AJ19" s="439"/>
      <c r="AK19" s="439"/>
    </row>
    <row r="20" ht="18.75" customHeight="1">
      <c r="A20" s="439"/>
      <c r="B20" s="546"/>
      <c r="C20" s="547"/>
      <c r="D20" s="446">
        <f>IF(C20=0,0,(VLOOKUP(C20,'PO MTRL'!$B$9:$S1518,2,0)))</f>
        <v>0</v>
      </c>
      <c r="E20" s="548" t="str">
        <f>IF(C20="","",(VLOOKUP(C20,'PO MTRL'!$B$9:$S1518,3,0)))</f>
        <v/>
      </c>
      <c r="F20" s="549">
        <f>IF(C20=0,0,(VLOOKUP(C20,'PO MTRL'!$B$9:$S1518,4,0)))</f>
        <v>0</v>
      </c>
      <c r="G20" s="444"/>
      <c r="H20" s="550">
        <f>IF(C20=0,0,(VLOOKUP(C20,'PO MTRL'!$B$9:$S1518,6,0)))</f>
        <v>0</v>
      </c>
      <c r="I20" s="446">
        <f>IF(C20=0,0,(VLOOKUP(C20,'PO MTRL'!$B$9:$S1518,7,0)))</f>
        <v>0</v>
      </c>
      <c r="J20" s="551">
        <f>IF(C20=0,0,(VLOOKUP(C20,'PO MTRL'!$B$9:$S1518,8,0)))</f>
        <v>0</v>
      </c>
      <c r="K20" s="559"/>
      <c r="L20" s="448">
        <f t="shared" si="1"/>
        <v>0</v>
      </c>
      <c r="M20" s="551">
        <f t="shared" si="2"/>
        <v>0</v>
      </c>
      <c r="N20" s="449">
        <f t="shared" si="3"/>
        <v>0</v>
      </c>
      <c r="O20" s="551">
        <f>IF(H20=0,0,(VLOOKUP(H20,'PO MTRL'!$G$9:$S1518,5,0)))</f>
        <v>0</v>
      </c>
      <c r="P20" s="551">
        <f>IF(H20=0,0,(VLOOKUP(H20,'PO MTRL'!$G$9:$S1518,7,0)))</f>
        <v>0</v>
      </c>
      <c r="Q20" s="551">
        <f t="shared" si="4"/>
        <v>0</v>
      </c>
      <c r="R20" s="551">
        <f t="shared" si="5"/>
        <v>0</v>
      </c>
      <c r="S20" s="550">
        <f>IF(C20=0,0,(VLOOKUP(C20,'PO MTRL'!$B$9:$S1518,17,0)))</f>
        <v>0</v>
      </c>
      <c r="T20" s="553"/>
      <c r="U20" s="554">
        <f>IF(C20=0,0,(VLOOKUP(C20,'PO MTRL'!$B$9:$S1518,18,0)))</f>
        <v>0</v>
      </c>
      <c r="V20" s="16"/>
      <c r="W20" s="119" t="str">
        <f t="shared" si="6"/>
        <v/>
      </c>
      <c r="X20" s="564">
        <f t="shared" si="7"/>
        <v>0</v>
      </c>
      <c r="Y20" s="119"/>
      <c r="Z20" s="119"/>
      <c r="AA20" s="530">
        <f>IFERROR(__xludf.DUMMYFUNCTION("""COMPUTED_VALUE"""),12.0)</f>
        <v>12</v>
      </c>
      <c r="AB20" s="119"/>
      <c r="AC20" s="119"/>
      <c r="AD20" s="119">
        <f>IFERROR(__xludf.DUMMYFUNCTION("""COMPUTED_VALUE"""),1003.0)</f>
        <v>1003</v>
      </c>
      <c r="AE20" s="172" t="str">
        <f>IFERROR(__xludf.DUMMYFUNCTION("""COMPUTED_VALUE""")," Mesin gerinda tangan ")</f>
        <v>Mesin gerinda tangan</v>
      </c>
      <c r="AF20" s="172" t="str">
        <f>IFERROR(__xludf.DUMMYFUNCTION("""COMPUTED_VALUE""")," PO6 ")</f>
        <v>PO6</v>
      </c>
      <c r="AG20" s="555" t="str">
        <f t="shared" si="8"/>
        <v>1003  ---&gt;   Mesin gerinda tangan  ---&gt;   PO6</v>
      </c>
      <c r="AH20" s="16"/>
      <c r="AI20" s="439"/>
      <c r="AJ20" s="439"/>
      <c r="AK20" s="439"/>
    </row>
    <row r="21" ht="18.75" customHeight="1">
      <c r="A21" s="439"/>
      <c r="B21" s="546"/>
      <c r="C21" s="547"/>
      <c r="D21" s="446">
        <f>IF(C21=0,0,(VLOOKUP(C21,'PO MTRL'!$B$9:$S1518,2,0)))</f>
        <v>0</v>
      </c>
      <c r="E21" s="548" t="str">
        <f>IF(C21="","",(VLOOKUP(C21,'PO MTRL'!$B$9:$S1518,3,0)))</f>
        <v/>
      </c>
      <c r="F21" s="549">
        <f>IF(C21=0,0,(VLOOKUP(C21,'PO MTRL'!$B$9:$S1518,4,0)))</f>
        <v>0</v>
      </c>
      <c r="G21" s="444"/>
      <c r="H21" s="550">
        <f>IF(C21=0,0,(VLOOKUP(C21,'PO MTRL'!$B$9:$S1518,6,0)))</f>
        <v>0</v>
      </c>
      <c r="I21" s="446">
        <f>IF(C21=0,0,(VLOOKUP(C21,'PO MTRL'!$B$9:$S1518,7,0)))</f>
        <v>0</v>
      </c>
      <c r="J21" s="551">
        <f>IF(C21=0,0,(VLOOKUP(C21,'PO MTRL'!$B$9:$S1518,8,0)))</f>
        <v>0</v>
      </c>
      <c r="K21" s="559"/>
      <c r="L21" s="448">
        <f t="shared" si="1"/>
        <v>0</v>
      </c>
      <c r="M21" s="551">
        <f t="shared" si="2"/>
        <v>0</v>
      </c>
      <c r="N21" s="449">
        <f t="shared" si="3"/>
        <v>0</v>
      </c>
      <c r="O21" s="551">
        <f>IF(H21=0,0,(VLOOKUP(H21,'PO MTRL'!$G$9:$S1518,5,0)))</f>
        <v>0</v>
      </c>
      <c r="P21" s="551">
        <f>IF(H21=0,0,(VLOOKUP(H21,'PO MTRL'!$G$9:$S1518,7,0)))</f>
        <v>0</v>
      </c>
      <c r="Q21" s="551">
        <f t="shared" si="4"/>
        <v>0</v>
      </c>
      <c r="R21" s="551">
        <f t="shared" si="5"/>
        <v>0</v>
      </c>
      <c r="S21" s="550">
        <f>IF(C21=0,0,(VLOOKUP(C21,'PO MTRL'!$B$9:$S1518,17,0)))</f>
        <v>0</v>
      </c>
      <c r="T21" s="553"/>
      <c r="U21" s="554">
        <f>IF(C21=0,0,(VLOOKUP(C21,'PO MTRL'!$B$9:$S1518,18,0)))</f>
        <v>0</v>
      </c>
      <c r="V21" s="16"/>
      <c r="W21" s="119" t="str">
        <f t="shared" si="6"/>
        <v/>
      </c>
      <c r="X21" s="564">
        <f t="shared" si="7"/>
        <v>0</v>
      </c>
      <c r="Y21" s="119"/>
      <c r="Z21" s="119"/>
      <c r="AA21" s="530">
        <f>IFERROR(__xludf.DUMMYFUNCTION("""COMPUTED_VALUE"""),13.0)</f>
        <v>13</v>
      </c>
      <c r="AB21" s="119"/>
      <c r="AC21" s="119"/>
      <c r="AD21" s="119">
        <f>IFERROR(__xludf.DUMMYFUNCTION("""COMPUTED_VALUE"""),1004.0)</f>
        <v>1004</v>
      </c>
      <c r="AE21" s="172" t="str">
        <f>IFERROR(__xludf.DUMMYFUNCTION("""COMPUTED_VALUE""")," Rubber Cone ")</f>
        <v>Rubber Cone</v>
      </c>
      <c r="AF21" s="172" t="str">
        <f>IFERROR(__xludf.DUMMYFUNCTION("""COMPUTED_VALUE""")," PO6 ")</f>
        <v>PO6</v>
      </c>
      <c r="AG21" s="555" t="str">
        <f t="shared" si="8"/>
        <v>1004  ---&gt;   Rubber Cone  ---&gt;   PO6</v>
      </c>
      <c r="AH21" s="16"/>
      <c r="AI21" s="439"/>
      <c r="AJ21" s="439"/>
      <c r="AK21" s="439"/>
    </row>
    <row r="22" ht="18.75" customHeight="1">
      <c r="A22" s="439"/>
      <c r="B22" s="546"/>
      <c r="C22" s="547"/>
      <c r="D22" s="446">
        <f>IF(C22=0,0,(VLOOKUP(C22,'PO MTRL'!$B$9:$S1518,2,0)))</f>
        <v>0</v>
      </c>
      <c r="E22" s="548" t="str">
        <f>IF(C22="","",(VLOOKUP(C22,'PO MTRL'!$B$9:$S1518,3,0)))</f>
        <v/>
      </c>
      <c r="F22" s="549">
        <f>IF(C22=0,0,(VLOOKUP(C22,'PO MTRL'!$B$9:$S1518,4,0)))</f>
        <v>0</v>
      </c>
      <c r="G22" s="444"/>
      <c r="H22" s="550">
        <f>IF(C22=0,0,(VLOOKUP(C22,'PO MTRL'!$B$9:$S1518,6,0)))</f>
        <v>0</v>
      </c>
      <c r="I22" s="446">
        <f>IF(C22=0,0,(VLOOKUP(C22,'PO MTRL'!$B$9:$S1518,7,0)))</f>
        <v>0</v>
      </c>
      <c r="J22" s="551">
        <f>IF(C22=0,0,(VLOOKUP(C22,'PO MTRL'!$B$9:$S1518,8,0)))</f>
        <v>0</v>
      </c>
      <c r="K22" s="559"/>
      <c r="L22" s="448">
        <f t="shared" si="1"/>
        <v>0</v>
      </c>
      <c r="M22" s="551">
        <f t="shared" si="2"/>
        <v>0</v>
      </c>
      <c r="N22" s="449">
        <f t="shared" si="3"/>
        <v>0</v>
      </c>
      <c r="O22" s="551">
        <f>IF(H22=0,0,(VLOOKUP(H22,'PO MTRL'!$G$9:$S1518,5,0)))</f>
        <v>0</v>
      </c>
      <c r="P22" s="551">
        <f>IF(H22=0,0,(VLOOKUP(H22,'PO MTRL'!$G$9:$S1518,7,0)))</f>
        <v>0</v>
      </c>
      <c r="Q22" s="551">
        <f t="shared" si="4"/>
        <v>0</v>
      </c>
      <c r="R22" s="551">
        <f t="shared" si="5"/>
        <v>0</v>
      </c>
      <c r="S22" s="550">
        <f>IF(C22=0,0,(VLOOKUP(C22,'PO MTRL'!$B$9:$S1518,17,0)))</f>
        <v>0</v>
      </c>
      <c r="T22" s="553"/>
      <c r="U22" s="554">
        <f>IF(C22=0,0,(VLOOKUP(C22,'PO MTRL'!$B$9:$S1518,18,0)))</f>
        <v>0</v>
      </c>
      <c r="V22" s="16"/>
      <c r="W22" s="119" t="str">
        <f t="shared" si="6"/>
        <v/>
      </c>
      <c r="X22" s="564">
        <f t="shared" si="7"/>
        <v>0</v>
      </c>
      <c r="Y22" s="119"/>
      <c r="Z22" s="119"/>
      <c r="AA22" s="530">
        <f>IFERROR(__xludf.DUMMYFUNCTION("""COMPUTED_VALUE"""),14.0)</f>
        <v>14</v>
      </c>
      <c r="AB22" s="119"/>
      <c r="AC22" s="119"/>
      <c r="AD22" s="119"/>
      <c r="AE22" s="119"/>
      <c r="AF22" s="119"/>
      <c r="AG22" s="555" t="str">
        <f t="shared" si="8"/>
        <v>  ---&gt;     ---&gt;   </v>
      </c>
      <c r="AH22" s="16"/>
      <c r="AI22" s="439"/>
      <c r="AJ22" s="439"/>
      <c r="AK22" s="439"/>
    </row>
    <row r="23" ht="18.75" customHeight="1">
      <c r="A23" s="439"/>
      <c r="B23" s="546"/>
      <c r="C23" s="547"/>
      <c r="D23" s="446">
        <f>IF(C23=0,0,(VLOOKUP(C23,'PO MTRL'!$B$9:$S1518,2,0)))</f>
        <v>0</v>
      </c>
      <c r="E23" s="548" t="str">
        <f>IF(C23="","",(VLOOKUP(C23,'PO MTRL'!$B$9:$S1518,3,0)))</f>
        <v/>
      </c>
      <c r="F23" s="549">
        <f>IF(C23=0,0,(VLOOKUP(C23,'PO MTRL'!$B$9:$S1518,4,0)))</f>
        <v>0</v>
      </c>
      <c r="G23" s="444"/>
      <c r="H23" s="550">
        <f>IF(C23=0,0,(VLOOKUP(C23,'PO MTRL'!$B$9:$S1518,6,0)))</f>
        <v>0</v>
      </c>
      <c r="I23" s="446">
        <f>IF(C23=0,0,(VLOOKUP(C23,'PO MTRL'!$B$9:$S1518,7,0)))</f>
        <v>0</v>
      </c>
      <c r="J23" s="551">
        <f>IF(C23=0,0,(VLOOKUP(C23,'PO MTRL'!$B$9:$S1518,8,0)))</f>
        <v>0</v>
      </c>
      <c r="K23" s="559"/>
      <c r="L23" s="448">
        <f t="shared" si="1"/>
        <v>0</v>
      </c>
      <c r="M23" s="551">
        <f t="shared" si="2"/>
        <v>0</v>
      </c>
      <c r="N23" s="449">
        <f t="shared" si="3"/>
        <v>0</v>
      </c>
      <c r="O23" s="551">
        <f>IF(H23=0,0,(VLOOKUP(H23,'PO MTRL'!$G$9:$S1518,5,0)))</f>
        <v>0</v>
      </c>
      <c r="P23" s="551">
        <f>IF(H23=0,0,(VLOOKUP(H23,'PO MTRL'!$G$9:$S1518,7,0)))</f>
        <v>0</v>
      </c>
      <c r="Q23" s="551">
        <f t="shared" si="4"/>
        <v>0</v>
      </c>
      <c r="R23" s="551">
        <f t="shared" si="5"/>
        <v>0</v>
      </c>
      <c r="S23" s="550">
        <f>IF(C23=0,0,(VLOOKUP(C23,'PO MTRL'!$B$9:$S1518,17,0)))</f>
        <v>0</v>
      </c>
      <c r="T23" s="553"/>
      <c r="U23" s="554">
        <f>IF(C23=0,0,(VLOOKUP(C23,'PO MTRL'!$B$9:$S1518,18,0)))</f>
        <v>0</v>
      </c>
      <c r="V23" s="16"/>
      <c r="W23" s="119" t="str">
        <f t="shared" si="6"/>
        <v/>
      </c>
      <c r="X23" s="564">
        <f t="shared" si="7"/>
        <v>0</v>
      </c>
      <c r="Y23" s="119"/>
      <c r="Z23" s="119"/>
      <c r="AA23" s="530">
        <f>IFERROR(__xludf.DUMMYFUNCTION("""COMPUTED_VALUE"""),15.0)</f>
        <v>15</v>
      </c>
      <c r="AB23" s="119"/>
      <c r="AC23" s="119"/>
      <c r="AD23" s="119"/>
      <c r="AE23" s="119"/>
      <c r="AF23" s="119"/>
      <c r="AG23" s="555" t="str">
        <f t="shared" si="8"/>
        <v>  ---&gt;     ---&gt;   </v>
      </c>
      <c r="AH23" s="16"/>
      <c r="AI23" s="439"/>
      <c r="AJ23" s="439"/>
      <c r="AK23" s="439"/>
    </row>
    <row r="24" ht="18.75" customHeight="1">
      <c r="A24" s="439"/>
      <c r="B24" s="546"/>
      <c r="C24" s="547"/>
      <c r="D24" s="446">
        <f>IF(C24=0,0,(VLOOKUP(C24,'PO MTRL'!$B$9:$S1518,2,0)))</f>
        <v>0</v>
      </c>
      <c r="E24" s="548" t="str">
        <f>IF(C24="","",(VLOOKUP(C24,'PO MTRL'!$B$9:$S1518,3,0)))</f>
        <v/>
      </c>
      <c r="F24" s="549">
        <f>IF(C24=0,0,(VLOOKUP(C24,'PO MTRL'!$B$9:$S1518,4,0)))</f>
        <v>0</v>
      </c>
      <c r="G24" s="444"/>
      <c r="H24" s="550">
        <f>IF(C24=0,0,(VLOOKUP(C24,'PO MTRL'!$B$9:$S1518,6,0)))</f>
        <v>0</v>
      </c>
      <c r="I24" s="446">
        <f>IF(C24=0,0,(VLOOKUP(C24,'PO MTRL'!$B$9:$S1518,7,0)))</f>
        <v>0</v>
      </c>
      <c r="J24" s="551">
        <f>IF(C24=0,0,(VLOOKUP(C24,'PO MTRL'!$B$9:$S1518,8,0)))</f>
        <v>0</v>
      </c>
      <c r="K24" s="559"/>
      <c r="L24" s="448">
        <f t="shared" si="1"/>
        <v>0</v>
      </c>
      <c r="M24" s="551">
        <f t="shared" si="2"/>
        <v>0</v>
      </c>
      <c r="N24" s="449">
        <f t="shared" si="3"/>
        <v>0</v>
      </c>
      <c r="O24" s="551">
        <f>IF(H24=0,0,(VLOOKUP(H24,'PO MTRL'!$G$9:$S1518,5,0)))</f>
        <v>0</v>
      </c>
      <c r="P24" s="551">
        <f>IF(H24=0,0,(VLOOKUP(H24,'PO MTRL'!$G$9:$S1518,7,0)))</f>
        <v>0</v>
      </c>
      <c r="Q24" s="551">
        <f t="shared" si="4"/>
        <v>0</v>
      </c>
      <c r="R24" s="551">
        <f t="shared" si="5"/>
        <v>0</v>
      </c>
      <c r="S24" s="550">
        <f>IF(C24=0,0,(VLOOKUP(C24,'PO MTRL'!$B$9:$S1518,17,0)))</f>
        <v>0</v>
      </c>
      <c r="T24" s="553"/>
      <c r="U24" s="554">
        <f>IF(C24=0,0,(VLOOKUP(C24,'PO MTRL'!$B$9:$S1518,18,0)))</f>
        <v>0</v>
      </c>
      <c r="V24" s="16"/>
      <c r="W24" s="119" t="str">
        <f t="shared" si="6"/>
        <v/>
      </c>
      <c r="X24" s="564">
        <f t="shared" si="7"/>
        <v>0</v>
      </c>
      <c r="Y24" s="119"/>
      <c r="Z24" s="119"/>
      <c r="AA24" s="530">
        <f>IFERROR(__xludf.DUMMYFUNCTION("""COMPUTED_VALUE"""),16.0)</f>
        <v>16</v>
      </c>
      <c r="AB24" s="119"/>
      <c r="AC24" s="119"/>
      <c r="AD24" s="119"/>
      <c r="AE24" s="119"/>
      <c r="AF24" s="119"/>
      <c r="AG24" s="555" t="str">
        <f t="shared" si="8"/>
        <v>  ---&gt;     ---&gt;   </v>
      </c>
      <c r="AH24" s="16"/>
      <c r="AI24" s="439"/>
      <c r="AJ24" s="439"/>
      <c r="AK24" s="439"/>
    </row>
    <row r="25" ht="25.5" customHeight="1">
      <c r="A25" s="439"/>
      <c r="B25" s="546"/>
      <c r="C25" s="547"/>
      <c r="D25" s="446">
        <f>IF(C25=0,0,(VLOOKUP(C25,'PO MTRL'!$B$9:$S1518,2,0)))</f>
        <v>0</v>
      </c>
      <c r="E25" s="548" t="str">
        <f>IF(C25="","",(VLOOKUP(C25,'PO MTRL'!$B$9:$S1518,3,0)))</f>
        <v/>
      </c>
      <c r="F25" s="549">
        <f>IF(C25=0,0,(VLOOKUP(C25,'PO MTRL'!$B$9:$S1518,4,0)))</f>
        <v>0</v>
      </c>
      <c r="G25" s="444"/>
      <c r="H25" s="550">
        <f>IF(C25=0,0,(VLOOKUP(C25,'PO MTRL'!$B$9:$S1518,6,0)))</f>
        <v>0</v>
      </c>
      <c r="I25" s="446">
        <f>IF(C25=0,0,(VLOOKUP(C25,'PO MTRL'!$B$9:$S1518,7,0)))</f>
        <v>0</v>
      </c>
      <c r="J25" s="551">
        <f>IF(C25=0,0,(VLOOKUP(C25,'PO MTRL'!$B$9:$S1518,8,0)))</f>
        <v>0</v>
      </c>
      <c r="K25" s="559"/>
      <c r="L25" s="448">
        <f t="shared" si="1"/>
        <v>0</v>
      </c>
      <c r="M25" s="551">
        <f t="shared" si="2"/>
        <v>0</v>
      </c>
      <c r="N25" s="449">
        <f t="shared" si="3"/>
        <v>0</v>
      </c>
      <c r="O25" s="551">
        <f>IF(H25=0,0,(VLOOKUP(H25,'PO MTRL'!$G$9:$S1518,5,0)))</f>
        <v>0</v>
      </c>
      <c r="P25" s="551">
        <f>IF(H25=0,0,(VLOOKUP(H25,'PO MTRL'!$G$9:$S1518,7,0)))</f>
        <v>0</v>
      </c>
      <c r="Q25" s="551">
        <f t="shared" si="4"/>
        <v>0</v>
      </c>
      <c r="R25" s="551">
        <f t="shared" si="5"/>
        <v>0</v>
      </c>
      <c r="S25" s="550">
        <f>IF(C25=0,0,(VLOOKUP(C25,'PO MTRL'!$B$9:$S1518,17,0)))</f>
        <v>0</v>
      </c>
      <c r="T25" s="553"/>
      <c r="U25" s="554">
        <f>IF(C25=0,0,(VLOOKUP(C25,'PO MTRL'!$B$9:$S1518,18,0)))</f>
        <v>0</v>
      </c>
      <c r="V25" s="16"/>
      <c r="W25" s="119" t="str">
        <f t="shared" si="6"/>
        <v/>
      </c>
      <c r="X25" s="564">
        <f t="shared" si="7"/>
        <v>0</v>
      </c>
      <c r="Y25" s="119"/>
      <c r="Z25" s="119"/>
      <c r="AA25" s="530">
        <f>IFERROR(__xludf.DUMMYFUNCTION("""COMPUTED_VALUE"""),17.0)</f>
        <v>17</v>
      </c>
      <c r="AB25" s="119"/>
      <c r="AC25" s="119"/>
      <c r="AD25" s="119"/>
      <c r="AE25" s="119"/>
      <c r="AF25" s="119"/>
      <c r="AG25" s="555" t="str">
        <f t="shared" si="8"/>
        <v>  ---&gt;     ---&gt;   </v>
      </c>
      <c r="AH25" s="16"/>
      <c r="AI25" s="439"/>
      <c r="AJ25" s="439"/>
      <c r="AK25" s="439"/>
    </row>
    <row r="26" ht="18.75" customHeight="1">
      <c r="A26" s="439"/>
      <c r="B26" s="546"/>
      <c r="C26" s="547"/>
      <c r="D26" s="446">
        <f>IF(C26=0,0,(VLOOKUP(C26,'PO MTRL'!$B$9:$S1518,2,0)))</f>
        <v>0</v>
      </c>
      <c r="E26" s="548" t="str">
        <f>IF(C26="","",(VLOOKUP(C26,'PO MTRL'!$B$9:$S1518,3,0)))</f>
        <v/>
      </c>
      <c r="F26" s="549">
        <f>IF(C26=0,0,(VLOOKUP(C26,'PO MTRL'!$B$9:$S1518,4,0)))</f>
        <v>0</v>
      </c>
      <c r="G26" s="444"/>
      <c r="H26" s="550">
        <f>IF(C26=0,0,(VLOOKUP(C26,'PO MTRL'!$B$9:$S1518,6,0)))</f>
        <v>0</v>
      </c>
      <c r="I26" s="446">
        <f>IF(C26=0,0,(VLOOKUP(C26,'PO MTRL'!$B$9:$S1518,7,0)))</f>
        <v>0</v>
      </c>
      <c r="J26" s="551">
        <f>IF(C26=0,0,(VLOOKUP(C26,'PO MTRL'!$B$9:$S1518,8,0)))</f>
        <v>0</v>
      </c>
      <c r="K26" s="559"/>
      <c r="L26" s="448">
        <f t="shared" si="1"/>
        <v>0</v>
      </c>
      <c r="M26" s="551">
        <f t="shared" si="2"/>
        <v>0</v>
      </c>
      <c r="N26" s="449">
        <f t="shared" si="3"/>
        <v>0</v>
      </c>
      <c r="O26" s="551">
        <f>IF(H26=0,0,(VLOOKUP(H26,'PO MTRL'!$G$9:$S1518,5,0)))</f>
        <v>0</v>
      </c>
      <c r="P26" s="551">
        <f>IF(H26=0,0,(VLOOKUP(H26,'PO MTRL'!$G$9:$S1518,7,0)))</f>
        <v>0</v>
      </c>
      <c r="Q26" s="551">
        <f t="shared" si="4"/>
        <v>0</v>
      </c>
      <c r="R26" s="551">
        <f t="shared" si="5"/>
        <v>0</v>
      </c>
      <c r="S26" s="550">
        <f>IF(C26=0,0,(VLOOKUP(C26,'PO MTRL'!$B$9:$S1518,17,0)))</f>
        <v>0</v>
      </c>
      <c r="T26" s="553"/>
      <c r="U26" s="554">
        <f>IF(C26=0,0,(VLOOKUP(C26,'PO MTRL'!$B$9:$S1518,18,0)))</f>
        <v>0</v>
      </c>
      <c r="V26" s="16"/>
      <c r="W26" s="119" t="str">
        <f t="shared" si="6"/>
        <v/>
      </c>
      <c r="X26" s="564">
        <f t="shared" si="7"/>
        <v>0</v>
      </c>
      <c r="Y26" s="119"/>
      <c r="Z26" s="119"/>
      <c r="AA26" s="530">
        <f>IFERROR(__xludf.DUMMYFUNCTION("""COMPUTED_VALUE"""),18.0)</f>
        <v>18</v>
      </c>
      <c r="AB26" s="119"/>
      <c r="AC26" s="119"/>
      <c r="AD26" s="119"/>
      <c r="AE26" s="119"/>
      <c r="AF26" s="119"/>
      <c r="AG26" s="555" t="str">
        <f t="shared" si="8"/>
        <v>  ---&gt;     ---&gt;   </v>
      </c>
      <c r="AH26" s="16"/>
      <c r="AI26" s="439"/>
      <c r="AJ26" s="439"/>
      <c r="AK26" s="439"/>
    </row>
    <row r="27" ht="18.75" customHeight="1">
      <c r="A27" s="439"/>
      <c r="B27" s="546"/>
      <c r="C27" s="547"/>
      <c r="D27" s="446">
        <f>IF(C27=0,0,(VLOOKUP(C27,'PO MTRL'!$B$9:$S1518,2,0)))</f>
        <v>0</v>
      </c>
      <c r="E27" s="548" t="str">
        <f>IF(C27="","",(VLOOKUP(C27,'PO MTRL'!$B$9:$S1518,3,0)))</f>
        <v/>
      </c>
      <c r="F27" s="549">
        <f>IF(C27=0,0,(VLOOKUP(C27,'PO MTRL'!$B$9:$S1518,4,0)))</f>
        <v>0</v>
      </c>
      <c r="G27" s="444"/>
      <c r="H27" s="550">
        <f>IF(C27=0,0,(VLOOKUP(C27,'PO MTRL'!$B$9:$S1518,6,0)))</f>
        <v>0</v>
      </c>
      <c r="I27" s="446">
        <f>IF(C27=0,0,(VLOOKUP(C27,'PO MTRL'!$B$9:$S1518,7,0)))</f>
        <v>0</v>
      </c>
      <c r="J27" s="551">
        <f>IF(C27=0,0,(VLOOKUP(C27,'PO MTRL'!$B$9:$S1518,8,0)))</f>
        <v>0</v>
      </c>
      <c r="K27" s="559"/>
      <c r="L27" s="448">
        <f t="shared" si="1"/>
        <v>0</v>
      </c>
      <c r="M27" s="551">
        <f t="shared" si="2"/>
        <v>0</v>
      </c>
      <c r="N27" s="449">
        <f t="shared" si="3"/>
        <v>0</v>
      </c>
      <c r="O27" s="551">
        <f>IF(H27=0,0,(VLOOKUP(H27,'PO MTRL'!$G$9:$S1518,5,0)))</f>
        <v>0</v>
      </c>
      <c r="P27" s="551">
        <f>IF(H27=0,0,(VLOOKUP(H27,'PO MTRL'!$G$9:$S1518,7,0)))</f>
        <v>0</v>
      </c>
      <c r="Q27" s="551">
        <f t="shared" si="4"/>
        <v>0</v>
      </c>
      <c r="R27" s="551">
        <f t="shared" si="5"/>
        <v>0</v>
      </c>
      <c r="S27" s="550">
        <f>IF(C27=0,0,(VLOOKUP(C27,'PO MTRL'!$B$9:$S1518,17,0)))</f>
        <v>0</v>
      </c>
      <c r="T27" s="553"/>
      <c r="U27" s="554">
        <f>IF(C27=0,0,(VLOOKUP(C27,'PO MTRL'!$B$9:$S1518,18,0)))</f>
        <v>0</v>
      </c>
      <c r="V27" s="16"/>
      <c r="W27" s="119" t="str">
        <f t="shared" si="6"/>
        <v/>
      </c>
      <c r="X27" s="564">
        <f t="shared" si="7"/>
        <v>0</v>
      </c>
      <c r="Y27" s="119"/>
      <c r="Z27" s="119"/>
      <c r="AA27" s="530">
        <f>IFERROR(__xludf.DUMMYFUNCTION("""COMPUTED_VALUE"""),19.0)</f>
        <v>19</v>
      </c>
      <c r="AB27" s="119"/>
      <c r="AC27" s="119"/>
      <c r="AD27" s="119"/>
      <c r="AE27" s="119"/>
      <c r="AF27" s="119"/>
      <c r="AG27" s="555" t="str">
        <f t="shared" si="8"/>
        <v>  ---&gt;     ---&gt;   </v>
      </c>
      <c r="AH27" s="16"/>
      <c r="AI27" s="439"/>
      <c r="AJ27" s="439"/>
      <c r="AK27" s="439"/>
    </row>
    <row r="28" ht="18.75" customHeight="1">
      <c r="A28" s="439"/>
      <c r="B28" s="546"/>
      <c r="C28" s="547"/>
      <c r="D28" s="446">
        <f>IF(C28=0,0,(VLOOKUP(C28,'PO MTRL'!$B$9:$S1518,2,0)))</f>
        <v>0</v>
      </c>
      <c r="E28" s="548" t="str">
        <f>IF(C28="","",(VLOOKUP(C28,'PO MTRL'!$B$9:$S1518,3,0)))</f>
        <v/>
      </c>
      <c r="F28" s="549">
        <f>IF(C28=0,0,(VLOOKUP(C28,'PO MTRL'!$B$9:$S1518,4,0)))</f>
        <v>0</v>
      </c>
      <c r="G28" s="444"/>
      <c r="H28" s="550">
        <f>IF(C28=0,0,(VLOOKUP(C28,'PO MTRL'!$B$9:$S1518,6,0)))</f>
        <v>0</v>
      </c>
      <c r="I28" s="446">
        <f>IF(C28=0,0,(VLOOKUP(C28,'PO MTRL'!$B$9:$S1518,7,0)))</f>
        <v>0</v>
      </c>
      <c r="J28" s="551">
        <f>IF(C28=0,0,(VLOOKUP(C28,'PO MTRL'!$B$9:$S1518,8,0)))</f>
        <v>0</v>
      </c>
      <c r="K28" s="559"/>
      <c r="L28" s="448">
        <f t="shared" si="1"/>
        <v>0</v>
      </c>
      <c r="M28" s="551">
        <f t="shared" si="2"/>
        <v>0</v>
      </c>
      <c r="N28" s="449">
        <f t="shared" si="3"/>
        <v>0</v>
      </c>
      <c r="O28" s="551">
        <f>IF(H28=0,0,(VLOOKUP(H28,'PO MTRL'!$G$9:$S1518,5,0)))</f>
        <v>0</v>
      </c>
      <c r="P28" s="551">
        <f>IF(H28=0,0,(VLOOKUP(H28,'PO MTRL'!$G$9:$S1518,7,0)))</f>
        <v>0</v>
      </c>
      <c r="Q28" s="551">
        <f t="shared" si="4"/>
        <v>0</v>
      </c>
      <c r="R28" s="551">
        <f t="shared" si="5"/>
        <v>0</v>
      </c>
      <c r="S28" s="550">
        <f>IF(C28=0,0,(VLOOKUP(C28,'PO MTRL'!$B$9:$S1518,17,0)))</f>
        <v>0</v>
      </c>
      <c r="T28" s="553"/>
      <c r="U28" s="554">
        <f>IF(C28=0,0,(VLOOKUP(C28,'PO MTRL'!$B$9:$S1518,18,0)))</f>
        <v>0</v>
      </c>
      <c r="V28" s="16"/>
      <c r="W28" s="119" t="str">
        <f t="shared" si="6"/>
        <v/>
      </c>
      <c r="X28" s="564">
        <f t="shared" si="7"/>
        <v>0</v>
      </c>
      <c r="Y28" s="119"/>
      <c r="Z28" s="119"/>
      <c r="AA28" s="530">
        <f>IFERROR(__xludf.DUMMYFUNCTION("""COMPUTED_VALUE"""),20.0)</f>
        <v>20</v>
      </c>
      <c r="AB28" s="119"/>
      <c r="AC28" s="119"/>
      <c r="AD28" s="119"/>
      <c r="AE28" s="119"/>
      <c r="AF28" s="119"/>
      <c r="AG28" s="555" t="str">
        <f t="shared" si="8"/>
        <v>  ---&gt;     ---&gt;   </v>
      </c>
      <c r="AH28" s="16"/>
      <c r="AI28" s="439"/>
      <c r="AJ28" s="439"/>
      <c r="AK28" s="439"/>
    </row>
    <row r="29" ht="18.75" customHeight="1">
      <c r="A29" s="439"/>
      <c r="B29" s="546"/>
      <c r="C29" s="547"/>
      <c r="D29" s="446">
        <f>IF(C29=0,0,(VLOOKUP(C29,'PO MTRL'!$B$9:$S1518,2,0)))</f>
        <v>0</v>
      </c>
      <c r="E29" s="548" t="str">
        <f>IF(C29="","",(VLOOKUP(C29,'PO MTRL'!$B$9:$S1518,3,0)))</f>
        <v/>
      </c>
      <c r="F29" s="549">
        <f>IF(C29=0,0,(VLOOKUP(C29,'PO MTRL'!$B$9:$S1518,4,0)))</f>
        <v>0</v>
      </c>
      <c r="G29" s="444"/>
      <c r="H29" s="550">
        <f>IF(C29=0,0,(VLOOKUP(C29,'PO MTRL'!$B$9:$S1518,6,0)))</f>
        <v>0</v>
      </c>
      <c r="I29" s="446">
        <f>IF(C29=0,0,(VLOOKUP(C29,'PO MTRL'!$B$9:$S1518,7,0)))</f>
        <v>0</v>
      </c>
      <c r="J29" s="551">
        <f>IF(C29=0,0,(VLOOKUP(C29,'PO MTRL'!$B$9:$S1518,8,0)))</f>
        <v>0</v>
      </c>
      <c r="K29" s="559"/>
      <c r="L29" s="448">
        <f t="shared" si="1"/>
        <v>0</v>
      </c>
      <c r="M29" s="551">
        <f t="shared" si="2"/>
        <v>0</v>
      </c>
      <c r="N29" s="449">
        <f t="shared" si="3"/>
        <v>0</v>
      </c>
      <c r="O29" s="551">
        <f>IF(H29=0,0,(VLOOKUP(H29,'PO MTRL'!$G$9:$S1518,5,0)))</f>
        <v>0</v>
      </c>
      <c r="P29" s="551">
        <f>IF(H29=0,0,(VLOOKUP(H29,'PO MTRL'!$G$9:$S1518,7,0)))</f>
        <v>0</v>
      </c>
      <c r="Q29" s="551">
        <f t="shared" si="4"/>
        <v>0</v>
      </c>
      <c r="R29" s="551">
        <f t="shared" si="5"/>
        <v>0</v>
      </c>
      <c r="S29" s="550">
        <f>IF(C29=0,0,(VLOOKUP(C29,'PO MTRL'!$B$9:$S1518,17,0)))</f>
        <v>0</v>
      </c>
      <c r="T29" s="553"/>
      <c r="U29" s="554">
        <f>IF(C29=0,0,(VLOOKUP(C29,'PO MTRL'!$B$9:$S1518,18,0)))</f>
        <v>0</v>
      </c>
      <c r="V29" s="16"/>
      <c r="W29" s="119" t="str">
        <f t="shared" si="6"/>
        <v/>
      </c>
      <c r="X29" s="564">
        <f t="shared" si="7"/>
        <v>0</v>
      </c>
      <c r="Y29" s="119"/>
      <c r="Z29" s="119"/>
      <c r="AA29" s="530">
        <f>IFERROR(__xludf.DUMMYFUNCTION("""COMPUTED_VALUE"""),21.0)</f>
        <v>21</v>
      </c>
      <c r="AB29" s="119"/>
      <c r="AC29" s="119"/>
      <c r="AD29" s="119"/>
      <c r="AE29" s="119"/>
      <c r="AF29" s="119"/>
      <c r="AG29" s="555" t="str">
        <f t="shared" si="8"/>
        <v>  ---&gt;     ---&gt;   </v>
      </c>
      <c r="AH29" s="16"/>
      <c r="AI29" s="439"/>
      <c r="AJ29" s="439"/>
      <c r="AK29" s="439"/>
    </row>
    <row r="30" ht="18.75" customHeight="1">
      <c r="A30" s="439"/>
      <c r="B30" s="546"/>
      <c r="C30" s="547"/>
      <c r="D30" s="446">
        <f>IF(C30=0,0,(VLOOKUP(C30,'PO MTRL'!$B$9:$S1518,2,0)))</f>
        <v>0</v>
      </c>
      <c r="E30" s="548" t="str">
        <f>IF(C30="","",(VLOOKUP(C30,'PO MTRL'!$B$9:$S1518,3,0)))</f>
        <v/>
      </c>
      <c r="F30" s="549">
        <f>IF(C30=0,0,(VLOOKUP(C30,'PO MTRL'!$B$9:$S1518,4,0)))</f>
        <v>0</v>
      </c>
      <c r="G30" s="444"/>
      <c r="H30" s="550">
        <f>IF(C30=0,0,(VLOOKUP(C30,'PO MTRL'!$B$9:$S1518,6,0)))</f>
        <v>0</v>
      </c>
      <c r="I30" s="446">
        <f>IF(C30=0,0,(VLOOKUP(C30,'PO MTRL'!$B$9:$S1518,7,0)))</f>
        <v>0</v>
      </c>
      <c r="J30" s="551">
        <f>IF(C30=0,0,(VLOOKUP(C30,'PO MTRL'!$B$9:$S1518,8,0)))</f>
        <v>0</v>
      </c>
      <c r="K30" s="559"/>
      <c r="L30" s="448">
        <f t="shared" si="1"/>
        <v>0</v>
      </c>
      <c r="M30" s="551">
        <f t="shared" si="2"/>
        <v>0</v>
      </c>
      <c r="N30" s="449">
        <f t="shared" si="3"/>
        <v>0</v>
      </c>
      <c r="O30" s="551">
        <f>IF(H30=0,0,(VLOOKUP(H30,'PO MTRL'!$G$9:$S1518,5,0)))</f>
        <v>0</v>
      </c>
      <c r="P30" s="551">
        <f>IF(H30=0,0,(VLOOKUP(H30,'PO MTRL'!$G$9:$S1518,7,0)))</f>
        <v>0</v>
      </c>
      <c r="Q30" s="551">
        <f t="shared" si="4"/>
        <v>0</v>
      </c>
      <c r="R30" s="551">
        <f t="shared" si="5"/>
        <v>0</v>
      </c>
      <c r="S30" s="550">
        <f>IF(C30=0,0,(VLOOKUP(C30,'PO MTRL'!$B$9:$S1518,17,0)))</f>
        <v>0</v>
      </c>
      <c r="T30" s="553"/>
      <c r="U30" s="554">
        <f>IF(C30=0,0,(VLOOKUP(C30,'PO MTRL'!$B$9:$S1518,18,0)))</f>
        <v>0</v>
      </c>
      <c r="V30" s="16"/>
      <c r="W30" s="119" t="str">
        <f t="shared" si="6"/>
        <v/>
      </c>
      <c r="X30" s="564">
        <f t="shared" si="7"/>
        <v>0</v>
      </c>
      <c r="Y30" s="119"/>
      <c r="Z30" s="119"/>
      <c r="AA30" s="530">
        <f>IFERROR(__xludf.DUMMYFUNCTION("""COMPUTED_VALUE"""),22.0)</f>
        <v>22</v>
      </c>
      <c r="AB30" s="119"/>
      <c r="AC30" s="119"/>
      <c r="AD30" s="119"/>
      <c r="AE30" s="119"/>
      <c r="AF30" s="119"/>
      <c r="AG30" s="555" t="str">
        <f t="shared" si="8"/>
        <v>  ---&gt;     ---&gt;   </v>
      </c>
      <c r="AH30" s="16"/>
      <c r="AI30" s="439"/>
      <c r="AJ30" s="439"/>
      <c r="AK30" s="439"/>
    </row>
    <row r="31" ht="18.75" customHeight="1">
      <c r="A31" s="439"/>
      <c r="B31" s="546"/>
      <c r="C31" s="547"/>
      <c r="D31" s="446">
        <f>IF(C31=0,0,(VLOOKUP(C31,'PO MTRL'!$B$9:$S1518,2,0)))</f>
        <v>0</v>
      </c>
      <c r="E31" s="548" t="str">
        <f>IF(C31="","",(VLOOKUP(C31,'PO MTRL'!$B$9:$S1518,3,0)))</f>
        <v/>
      </c>
      <c r="F31" s="549">
        <f>IF(C31=0,0,(VLOOKUP(C31,'PO MTRL'!$B$9:$S1518,4,0)))</f>
        <v>0</v>
      </c>
      <c r="G31" s="444"/>
      <c r="H31" s="550">
        <f>IF(C31=0,0,(VLOOKUP(C31,'PO MTRL'!$B$9:$S1518,6,0)))</f>
        <v>0</v>
      </c>
      <c r="I31" s="446">
        <f>IF(C31=0,0,(VLOOKUP(C31,'PO MTRL'!$B$9:$S1518,7,0)))</f>
        <v>0</v>
      </c>
      <c r="J31" s="551">
        <f>IF(C31=0,0,(VLOOKUP(C31,'PO MTRL'!$B$9:$S1518,8,0)))</f>
        <v>0</v>
      </c>
      <c r="K31" s="559"/>
      <c r="L31" s="448">
        <f t="shared" si="1"/>
        <v>0</v>
      </c>
      <c r="M31" s="551">
        <f t="shared" si="2"/>
        <v>0</v>
      </c>
      <c r="N31" s="449">
        <f t="shared" si="3"/>
        <v>0</v>
      </c>
      <c r="O31" s="551">
        <f>IF(H31=0,0,(VLOOKUP(H31,'PO MTRL'!$G$9:$S1518,5,0)))</f>
        <v>0</v>
      </c>
      <c r="P31" s="551">
        <f>IF(H31=0,0,(VLOOKUP(H31,'PO MTRL'!$G$9:$S1518,7,0)))</f>
        <v>0</v>
      </c>
      <c r="Q31" s="551">
        <f t="shared" si="4"/>
        <v>0</v>
      </c>
      <c r="R31" s="551">
        <f t="shared" si="5"/>
        <v>0</v>
      </c>
      <c r="S31" s="550">
        <f>IF(C31=0,0,(VLOOKUP(C31,'PO MTRL'!$B$9:$S1518,17,0)))</f>
        <v>0</v>
      </c>
      <c r="T31" s="553"/>
      <c r="U31" s="554">
        <f>IF(C31=0,0,(VLOOKUP(C31,'PO MTRL'!$B$9:$S1518,18,0)))</f>
        <v>0</v>
      </c>
      <c r="V31" s="16"/>
      <c r="W31" s="119" t="str">
        <f t="shared" si="6"/>
        <v/>
      </c>
      <c r="X31" s="564">
        <f t="shared" si="7"/>
        <v>0</v>
      </c>
      <c r="Y31" s="119"/>
      <c r="Z31" s="119"/>
      <c r="AA31" s="530">
        <f>IFERROR(__xludf.DUMMYFUNCTION("""COMPUTED_VALUE"""),23.0)</f>
        <v>23</v>
      </c>
      <c r="AB31" s="119"/>
      <c r="AC31" s="119"/>
      <c r="AD31" s="119"/>
      <c r="AE31" s="119"/>
      <c r="AF31" s="119"/>
      <c r="AG31" s="555" t="str">
        <f t="shared" si="8"/>
        <v>  ---&gt;     ---&gt;   </v>
      </c>
      <c r="AH31" s="16"/>
      <c r="AI31" s="439"/>
      <c r="AJ31" s="439"/>
      <c r="AK31" s="439"/>
    </row>
    <row r="32" ht="18.75" customHeight="1">
      <c r="A32" s="439"/>
      <c r="B32" s="546"/>
      <c r="C32" s="547"/>
      <c r="D32" s="446">
        <f>IF(C32=0,0,(VLOOKUP(C32,'PO MTRL'!$B$9:$S1518,2,0)))</f>
        <v>0</v>
      </c>
      <c r="E32" s="548" t="str">
        <f>IF(C32="","",(VLOOKUP(C32,'PO MTRL'!$B$9:$S1518,3,0)))</f>
        <v/>
      </c>
      <c r="F32" s="549">
        <f>IF(C32=0,0,(VLOOKUP(C32,'PO MTRL'!$B$9:$S1518,4,0)))</f>
        <v>0</v>
      </c>
      <c r="G32" s="444"/>
      <c r="H32" s="550">
        <f>IF(C32=0,0,(VLOOKUP(C32,'PO MTRL'!$B$9:$S1518,6,0)))</f>
        <v>0</v>
      </c>
      <c r="I32" s="446">
        <f>IF(C32=0,0,(VLOOKUP(C32,'PO MTRL'!$B$9:$S1518,7,0)))</f>
        <v>0</v>
      </c>
      <c r="J32" s="551">
        <f>IF(C32=0,0,(VLOOKUP(C32,'PO MTRL'!$B$9:$S1518,8,0)))</f>
        <v>0</v>
      </c>
      <c r="K32" s="559"/>
      <c r="L32" s="448">
        <f t="shared" si="1"/>
        <v>0</v>
      </c>
      <c r="M32" s="551">
        <f t="shared" si="2"/>
        <v>0</v>
      </c>
      <c r="N32" s="449">
        <f t="shared" si="3"/>
        <v>0</v>
      </c>
      <c r="O32" s="551">
        <f>IF(H32=0,0,(VLOOKUP(H32,'PO MTRL'!$G$9:$S1518,5,0)))</f>
        <v>0</v>
      </c>
      <c r="P32" s="551">
        <f>IF(H32=0,0,(VLOOKUP(H32,'PO MTRL'!$G$9:$S1518,7,0)))</f>
        <v>0</v>
      </c>
      <c r="Q32" s="551">
        <f t="shared" si="4"/>
        <v>0</v>
      </c>
      <c r="R32" s="551">
        <f t="shared" si="5"/>
        <v>0</v>
      </c>
      <c r="S32" s="550">
        <f>IF(C32=0,0,(VLOOKUP(C32,'PO MTRL'!$B$9:$S1518,17,0)))</f>
        <v>0</v>
      </c>
      <c r="T32" s="553"/>
      <c r="U32" s="554">
        <f>IF(C32=0,0,(VLOOKUP(C32,'PO MTRL'!$B$9:$S1518,18,0)))</f>
        <v>0</v>
      </c>
      <c r="V32" s="16"/>
      <c r="W32" s="119" t="str">
        <f t="shared" si="6"/>
        <v/>
      </c>
      <c r="X32" s="564">
        <f t="shared" si="7"/>
        <v>0</v>
      </c>
      <c r="Y32" s="119"/>
      <c r="Z32" s="119"/>
      <c r="AA32" s="530">
        <f>IFERROR(__xludf.DUMMYFUNCTION("""COMPUTED_VALUE"""),24.0)</f>
        <v>24</v>
      </c>
      <c r="AB32" s="119"/>
      <c r="AC32" s="119"/>
      <c r="AD32" s="119"/>
      <c r="AE32" s="119"/>
      <c r="AF32" s="119"/>
      <c r="AG32" s="555" t="str">
        <f t="shared" si="8"/>
        <v>  ---&gt;     ---&gt;   </v>
      </c>
      <c r="AH32" s="16"/>
      <c r="AI32" s="439"/>
      <c r="AJ32" s="439"/>
      <c r="AK32" s="439"/>
    </row>
    <row r="33" ht="18.75" customHeight="1">
      <c r="A33" s="439"/>
      <c r="B33" s="546"/>
      <c r="C33" s="547"/>
      <c r="D33" s="446">
        <f>IF(C33=0,0,(VLOOKUP(C33,'PO MTRL'!$B$9:$S1518,2,0)))</f>
        <v>0</v>
      </c>
      <c r="E33" s="548" t="str">
        <f>IF(C33="","",(VLOOKUP(C33,'PO MTRL'!$B$9:$S1518,3,0)))</f>
        <v/>
      </c>
      <c r="F33" s="549">
        <f>IF(C33=0,0,(VLOOKUP(C33,'PO MTRL'!$B$9:$S1518,4,0)))</f>
        <v>0</v>
      </c>
      <c r="G33" s="444"/>
      <c r="H33" s="550">
        <f>IF(C33=0,0,(VLOOKUP(C33,'PO MTRL'!$B$9:$S1518,6,0)))</f>
        <v>0</v>
      </c>
      <c r="I33" s="446">
        <f>IF(C33=0,0,(VLOOKUP(C33,'PO MTRL'!$B$9:$S1518,7,0)))</f>
        <v>0</v>
      </c>
      <c r="J33" s="551">
        <f>IF(C33=0,0,(VLOOKUP(C33,'PO MTRL'!$B$9:$S1518,8,0)))</f>
        <v>0</v>
      </c>
      <c r="K33" s="559"/>
      <c r="L33" s="448">
        <f t="shared" si="1"/>
        <v>0</v>
      </c>
      <c r="M33" s="551">
        <f t="shared" si="2"/>
        <v>0</v>
      </c>
      <c r="N33" s="449">
        <f t="shared" si="3"/>
        <v>0</v>
      </c>
      <c r="O33" s="551">
        <f>IF(H33=0,0,(VLOOKUP(H33,'PO MTRL'!$G$9:$S1518,5,0)))</f>
        <v>0</v>
      </c>
      <c r="P33" s="551">
        <f>IF(H33=0,0,(VLOOKUP(H33,'PO MTRL'!$G$9:$S1518,7,0)))</f>
        <v>0</v>
      </c>
      <c r="Q33" s="551">
        <f t="shared" si="4"/>
        <v>0</v>
      </c>
      <c r="R33" s="551">
        <f t="shared" si="5"/>
        <v>0</v>
      </c>
      <c r="S33" s="550">
        <f>IF(C33=0,0,(VLOOKUP(C33,'PO MTRL'!$B$9:$S1518,17,0)))</f>
        <v>0</v>
      </c>
      <c r="T33" s="553"/>
      <c r="U33" s="554">
        <f>IF(C33=0,0,(VLOOKUP(C33,'PO MTRL'!$B$9:$S1518,18,0)))</f>
        <v>0</v>
      </c>
      <c r="V33" s="16"/>
      <c r="W33" s="119" t="str">
        <f t="shared" si="6"/>
        <v/>
      </c>
      <c r="X33" s="564">
        <f t="shared" si="7"/>
        <v>0</v>
      </c>
      <c r="Y33" s="119"/>
      <c r="Z33" s="119"/>
      <c r="AA33" s="530">
        <f>IFERROR(__xludf.DUMMYFUNCTION("""COMPUTED_VALUE"""),25.0)</f>
        <v>25</v>
      </c>
      <c r="AB33" s="119"/>
      <c r="AC33" s="119"/>
      <c r="AD33" s="119"/>
      <c r="AE33" s="119"/>
      <c r="AF33" s="119"/>
      <c r="AG33" s="555" t="str">
        <f t="shared" si="8"/>
        <v>  ---&gt;     ---&gt;   </v>
      </c>
      <c r="AH33" s="16"/>
      <c r="AI33" s="439"/>
      <c r="AJ33" s="439"/>
      <c r="AK33" s="439"/>
    </row>
    <row r="34" ht="18.75" customHeight="1">
      <c r="A34" s="439"/>
      <c r="B34" s="546"/>
      <c r="C34" s="547"/>
      <c r="D34" s="446">
        <f>IF(C34=0,0,(VLOOKUP(C34,'PO MTRL'!$B$9:$S1518,2,0)))</f>
        <v>0</v>
      </c>
      <c r="E34" s="548" t="str">
        <f>IF(C34="","",(VLOOKUP(C34,'PO MTRL'!$B$9:$S1518,3,0)))</f>
        <v/>
      </c>
      <c r="F34" s="549">
        <f>IF(C34=0,0,(VLOOKUP(C34,'PO MTRL'!$B$9:$S1518,4,0)))</f>
        <v>0</v>
      </c>
      <c r="G34" s="444"/>
      <c r="H34" s="550">
        <f>IF(C34=0,0,(VLOOKUP(C34,'PO MTRL'!$B$9:$S1518,6,0)))</f>
        <v>0</v>
      </c>
      <c r="I34" s="446">
        <f>IF(C34=0,0,(VLOOKUP(C34,'PO MTRL'!$B$9:$S1518,7,0)))</f>
        <v>0</v>
      </c>
      <c r="J34" s="551">
        <f>IF(C34=0,0,(VLOOKUP(C34,'PO MTRL'!$B$9:$S1518,8,0)))</f>
        <v>0</v>
      </c>
      <c r="K34" s="559"/>
      <c r="L34" s="448">
        <f t="shared" si="1"/>
        <v>0</v>
      </c>
      <c r="M34" s="551">
        <f t="shared" si="2"/>
        <v>0</v>
      </c>
      <c r="N34" s="449">
        <f t="shared" si="3"/>
        <v>0</v>
      </c>
      <c r="O34" s="551">
        <f>IF(H34=0,0,(VLOOKUP(H34,'PO MTRL'!$G$9:$S1518,5,0)))</f>
        <v>0</v>
      </c>
      <c r="P34" s="551">
        <f>IF(H34=0,0,(VLOOKUP(H34,'PO MTRL'!$G$9:$S1518,7,0)))</f>
        <v>0</v>
      </c>
      <c r="Q34" s="551">
        <f t="shared" si="4"/>
        <v>0</v>
      </c>
      <c r="R34" s="551">
        <f t="shared" si="5"/>
        <v>0</v>
      </c>
      <c r="S34" s="550">
        <f>IF(C34=0,0,(VLOOKUP(C34,'PO MTRL'!$B$9:$S1518,17,0)))</f>
        <v>0</v>
      </c>
      <c r="T34" s="553"/>
      <c r="U34" s="554">
        <f>IF(C34=0,0,(VLOOKUP(C34,'PO MTRL'!$B$9:$S1518,18,0)))</f>
        <v>0</v>
      </c>
      <c r="V34" s="16"/>
      <c r="W34" s="119" t="str">
        <f t="shared" si="6"/>
        <v/>
      </c>
      <c r="X34" s="564">
        <f t="shared" si="7"/>
        <v>0</v>
      </c>
      <c r="Y34" s="119"/>
      <c r="Z34" s="119"/>
      <c r="AA34" s="530">
        <f>IFERROR(__xludf.DUMMYFUNCTION("""COMPUTED_VALUE"""),26.0)</f>
        <v>26</v>
      </c>
      <c r="AB34" s="119"/>
      <c r="AC34" s="119"/>
      <c r="AD34" s="119"/>
      <c r="AE34" s="119"/>
      <c r="AF34" s="119"/>
      <c r="AG34" s="555" t="str">
        <f t="shared" si="8"/>
        <v>  ---&gt;     ---&gt;   </v>
      </c>
      <c r="AH34" s="16"/>
      <c r="AI34" s="439"/>
      <c r="AJ34" s="439"/>
      <c r="AK34" s="439"/>
    </row>
    <row r="35" ht="18.75" customHeight="1">
      <c r="A35" s="439"/>
      <c r="B35" s="546"/>
      <c r="C35" s="547"/>
      <c r="D35" s="446">
        <f>IF(C35=0,0,(VLOOKUP(C35,'PO MTRL'!$B$9:$S1518,2,0)))</f>
        <v>0</v>
      </c>
      <c r="E35" s="548" t="str">
        <f>IF(C35="","",(VLOOKUP(C35,'PO MTRL'!$B$9:$S1518,3,0)))</f>
        <v/>
      </c>
      <c r="F35" s="549">
        <f>IF(C35=0,0,(VLOOKUP(C35,'PO MTRL'!$B$9:$S1518,4,0)))</f>
        <v>0</v>
      </c>
      <c r="G35" s="444"/>
      <c r="H35" s="550">
        <f>IF(C35=0,0,(VLOOKUP(C35,'PO MTRL'!$B$9:$S1518,6,0)))</f>
        <v>0</v>
      </c>
      <c r="I35" s="446">
        <f>IF(C35=0,0,(VLOOKUP(C35,'PO MTRL'!$B$9:$S1518,7,0)))</f>
        <v>0</v>
      </c>
      <c r="J35" s="551">
        <f>IF(C35=0,0,(VLOOKUP(C35,'PO MTRL'!$B$9:$S1518,8,0)))</f>
        <v>0</v>
      </c>
      <c r="K35" s="559"/>
      <c r="L35" s="448">
        <f t="shared" si="1"/>
        <v>0</v>
      </c>
      <c r="M35" s="551">
        <f t="shared" si="2"/>
        <v>0</v>
      </c>
      <c r="N35" s="449">
        <f t="shared" si="3"/>
        <v>0</v>
      </c>
      <c r="O35" s="551">
        <f>IF(H35=0,0,(VLOOKUP(H35,'PO MTRL'!$G$9:$S1518,5,0)))</f>
        <v>0</v>
      </c>
      <c r="P35" s="551">
        <f>IF(H35=0,0,(VLOOKUP(H35,'PO MTRL'!$G$9:$S1518,7,0)))</f>
        <v>0</v>
      </c>
      <c r="Q35" s="551">
        <f t="shared" si="4"/>
        <v>0</v>
      </c>
      <c r="R35" s="551">
        <f t="shared" si="5"/>
        <v>0</v>
      </c>
      <c r="S35" s="550">
        <f>IF(C35=0,0,(VLOOKUP(C35,'PO MTRL'!$B$9:$S1518,17,0)))</f>
        <v>0</v>
      </c>
      <c r="T35" s="553"/>
      <c r="U35" s="554">
        <f>IF(C35=0,0,(VLOOKUP(C35,'PO MTRL'!$B$9:$S1518,18,0)))</f>
        <v>0</v>
      </c>
      <c r="V35" s="16"/>
      <c r="W35" s="119" t="str">
        <f t="shared" si="6"/>
        <v/>
      </c>
      <c r="X35" s="564">
        <f t="shared" si="7"/>
        <v>0</v>
      </c>
      <c r="Y35" s="119"/>
      <c r="Z35" s="119"/>
      <c r="AA35" s="530">
        <f>IFERROR(__xludf.DUMMYFUNCTION("""COMPUTED_VALUE"""),27.0)</f>
        <v>27</v>
      </c>
      <c r="AB35" s="119"/>
      <c r="AC35" s="119"/>
      <c r="AD35" s="119"/>
      <c r="AE35" s="119"/>
      <c r="AF35" s="119"/>
      <c r="AG35" s="555" t="str">
        <f t="shared" si="8"/>
        <v>  ---&gt;     ---&gt;   </v>
      </c>
      <c r="AH35" s="16"/>
      <c r="AI35" s="439"/>
      <c r="AJ35" s="439"/>
      <c r="AK35" s="439"/>
    </row>
    <row r="36" ht="18.75" customHeight="1">
      <c r="A36" s="439"/>
      <c r="B36" s="546"/>
      <c r="C36" s="547"/>
      <c r="D36" s="446">
        <f>IF(C36=0,0,(VLOOKUP(C36,'PO MTRL'!$B$9:$S1518,2,0)))</f>
        <v>0</v>
      </c>
      <c r="E36" s="548" t="str">
        <f>IF(C36="","",(VLOOKUP(C36,'PO MTRL'!$B$9:$S1518,3,0)))</f>
        <v/>
      </c>
      <c r="F36" s="549">
        <f>IF(C36=0,0,(VLOOKUP(C36,'PO MTRL'!$B$9:$S1518,4,0)))</f>
        <v>0</v>
      </c>
      <c r="G36" s="444"/>
      <c r="H36" s="550">
        <f>IF(C36=0,0,(VLOOKUP(C36,'PO MTRL'!$B$9:$S1518,6,0)))</f>
        <v>0</v>
      </c>
      <c r="I36" s="446">
        <f>IF(C36=0,0,(VLOOKUP(C36,'PO MTRL'!$B$9:$S1518,7,0)))</f>
        <v>0</v>
      </c>
      <c r="J36" s="551">
        <f>IF(C36=0,0,(VLOOKUP(C36,'PO MTRL'!$B$9:$S1518,8,0)))</f>
        <v>0</v>
      </c>
      <c r="K36" s="559"/>
      <c r="L36" s="448">
        <f t="shared" si="1"/>
        <v>0</v>
      </c>
      <c r="M36" s="551">
        <f t="shared" si="2"/>
        <v>0</v>
      </c>
      <c r="N36" s="449">
        <f t="shared" si="3"/>
        <v>0</v>
      </c>
      <c r="O36" s="551">
        <f>IF(H36=0,0,(VLOOKUP(H36,'PO MTRL'!$G$9:$S1518,5,0)))</f>
        <v>0</v>
      </c>
      <c r="P36" s="551">
        <f>IF(H36=0,0,(VLOOKUP(H36,'PO MTRL'!$G$9:$S1518,7,0)))</f>
        <v>0</v>
      </c>
      <c r="Q36" s="551">
        <f t="shared" si="4"/>
        <v>0</v>
      </c>
      <c r="R36" s="551">
        <f t="shared" si="5"/>
        <v>0</v>
      </c>
      <c r="S36" s="550">
        <f>IF(C36=0,0,(VLOOKUP(C36,'PO MTRL'!$B$9:$S1518,17,0)))</f>
        <v>0</v>
      </c>
      <c r="T36" s="553"/>
      <c r="U36" s="554">
        <f>IF(C36=0,0,(VLOOKUP(C36,'PO MTRL'!$B$9:$S1518,18,0)))</f>
        <v>0</v>
      </c>
      <c r="V36" s="16"/>
      <c r="W36" s="119" t="str">
        <f t="shared" si="6"/>
        <v/>
      </c>
      <c r="X36" s="564">
        <f t="shared" si="7"/>
        <v>0</v>
      </c>
      <c r="Y36" s="119"/>
      <c r="Z36" s="119"/>
      <c r="AA36" s="530">
        <f>IFERROR(__xludf.DUMMYFUNCTION("""COMPUTED_VALUE"""),28.0)</f>
        <v>28</v>
      </c>
      <c r="AB36" s="119"/>
      <c r="AC36" s="119"/>
      <c r="AD36" s="119"/>
      <c r="AE36" s="119"/>
      <c r="AF36" s="119"/>
      <c r="AG36" s="555" t="str">
        <f t="shared" si="8"/>
        <v>  ---&gt;     ---&gt;   </v>
      </c>
      <c r="AH36" s="16"/>
      <c r="AI36" s="439"/>
      <c r="AJ36" s="439"/>
      <c r="AK36" s="439"/>
    </row>
    <row r="37" ht="18.75" customHeight="1">
      <c r="A37" s="439"/>
      <c r="B37" s="546"/>
      <c r="C37" s="547"/>
      <c r="D37" s="446">
        <f>IF(C37=0,0,(VLOOKUP(C37,'PO MTRL'!$B$9:$S1518,2,0)))</f>
        <v>0</v>
      </c>
      <c r="E37" s="548" t="str">
        <f>IF(C37="","",(VLOOKUP(C37,'PO MTRL'!$B$9:$S1518,3,0)))</f>
        <v/>
      </c>
      <c r="F37" s="549">
        <f>IF(C37=0,0,(VLOOKUP(C37,'PO MTRL'!$B$9:$S1518,4,0)))</f>
        <v>0</v>
      </c>
      <c r="G37" s="444"/>
      <c r="H37" s="550">
        <f>IF(C37=0,0,(VLOOKUP(C37,'PO MTRL'!$B$9:$S1518,6,0)))</f>
        <v>0</v>
      </c>
      <c r="I37" s="446">
        <f>IF(C37=0,0,(VLOOKUP(C37,'PO MTRL'!$B$9:$S1518,7,0)))</f>
        <v>0</v>
      </c>
      <c r="J37" s="551">
        <f>IF(C37=0,0,(VLOOKUP(C37,'PO MTRL'!$B$9:$S1518,8,0)))</f>
        <v>0</v>
      </c>
      <c r="K37" s="559"/>
      <c r="L37" s="448">
        <f t="shared" si="1"/>
        <v>0</v>
      </c>
      <c r="M37" s="551">
        <f t="shared" si="2"/>
        <v>0</v>
      </c>
      <c r="N37" s="449">
        <f t="shared" si="3"/>
        <v>0</v>
      </c>
      <c r="O37" s="551">
        <f>IF(H37=0,0,(VLOOKUP(H37,'PO MTRL'!$G$9:$S1518,5,0)))</f>
        <v>0</v>
      </c>
      <c r="P37" s="551">
        <f>IF(H37=0,0,(VLOOKUP(H37,'PO MTRL'!$G$9:$S1518,7,0)))</f>
        <v>0</v>
      </c>
      <c r="Q37" s="551">
        <f t="shared" si="4"/>
        <v>0</v>
      </c>
      <c r="R37" s="551">
        <f t="shared" si="5"/>
        <v>0</v>
      </c>
      <c r="S37" s="550">
        <f>IF(C37=0,0,(VLOOKUP(C37,'PO MTRL'!$B$9:$S1518,17,0)))</f>
        <v>0</v>
      </c>
      <c r="T37" s="553"/>
      <c r="U37" s="554">
        <f>IF(C37=0,0,(VLOOKUP(C37,'PO MTRL'!$B$9:$S1518,18,0)))</f>
        <v>0</v>
      </c>
      <c r="V37" s="16"/>
      <c r="W37" s="119" t="str">
        <f t="shared" si="6"/>
        <v/>
      </c>
      <c r="X37" s="564">
        <f t="shared" si="7"/>
        <v>0</v>
      </c>
      <c r="Y37" s="119"/>
      <c r="Z37" s="119"/>
      <c r="AA37" s="530">
        <f>IFERROR(__xludf.DUMMYFUNCTION("""COMPUTED_VALUE"""),29.0)</f>
        <v>29</v>
      </c>
      <c r="AB37" s="119"/>
      <c r="AC37" s="119"/>
      <c r="AD37" s="119"/>
      <c r="AE37" s="119"/>
      <c r="AF37" s="119"/>
      <c r="AG37" s="555" t="str">
        <f t="shared" si="8"/>
        <v>  ---&gt;     ---&gt;   </v>
      </c>
      <c r="AH37" s="16"/>
      <c r="AI37" s="439"/>
      <c r="AJ37" s="439"/>
      <c r="AK37" s="439"/>
    </row>
    <row r="38" ht="18.75" customHeight="1">
      <c r="A38" s="439"/>
      <c r="B38" s="546"/>
      <c r="C38" s="547"/>
      <c r="D38" s="446">
        <f>IF(C38=0,0,(VLOOKUP(C38,'PO MTRL'!$B$9:$S1518,2,0)))</f>
        <v>0</v>
      </c>
      <c r="E38" s="548" t="str">
        <f>IF(C38="","",(VLOOKUP(C38,'PO MTRL'!$B$9:$S1518,3,0)))</f>
        <v/>
      </c>
      <c r="F38" s="549">
        <f>IF(C38=0,0,(VLOOKUP(C38,'PO MTRL'!$B$9:$S1518,4,0)))</f>
        <v>0</v>
      </c>
      <c r="G38" s="444"/>
      <c r="H38" s="550">
        <f>IF(C38=0,0,(VLOOKUP(C38,'PO MTRL'!$B$9:$S1518,6,0)))</f>
        <v>0</v>
      </c>
      <c r="I38" s="446">
        <f>IF(C38=0,0,(VLOOKUP(C38,'PO MTRL'!$B$9:$S1518,7,0)))</f>
        <v>0</v>
      </c>
      <c r="J38" s="551">
        <f>IF(C38=0,0,(VLOOKUP(C38,'PO MTRL'!$B$9:$S1518,8,0)))</f>
        <v>0</v>
      </c>
      <c r="K38" s="559"/>
      <c r="L38" s="448">
        <f t="shared" si="1"/>
        <v>0</v>
      </c>
      <c r="M38" s="551">
        <f t="shared" si="2"/>
        <v>0</v>
      </c>
      <c r="N38" s="449">
        <f t="shared" si="3"/>
        <v>0</v>
      </c>
      <c r="O38" s="551">
        <f>IF(H38=0,0,(VLOOKUP(H38,'PO MTRL'!$G$9:$S1518,5,0)))</f>
        <v>0</v>
      </c>
      <c r="P38" s="551">
        <f>IF(H38=0,0,(VLOOKUP(H38,'PO MTRL'!$G$9:$S1518,7,0)))</f>
        <v>0</v>
      </c>
      <c r="Q38" s="551">
        <f t="shared" si="4"/>
        <v>0</v>
      </c>
      <c r="R38" s="551">
        <f t="shared" si="5"/>
        <v>0</v>
      </c>
      <c r="S38" s="550">
        <f>IF(C38=0,0,(VLOOKUP(C38,'PO MTRL'!$B$9:$S1518,17,0)))</f>
        <v>0</v>
      </c>
      <c r="T38" s="553"/>
      <c r="U38" s="554">
        <f>IF(C38=0,0,(VLOOKUP(C38,'PO MTRL'!$B$9:$S1518,18,0)))</f>
        <v>0</v>
      </c>
      <c r="V38" s="16"/>
      <c r="W38" s="119" t="str">
        <f t="shared" si="6"/>
        <v/>
      </c>
      <c r="X38" s="564">
        <f t="shared" si="7"/>
        <v>0</v>
      </c>
      <c r="Y38" s="119"/>
      <c r="Z38" s="119"/>
      <c r="AA38" s="530">
        <f>IFERROR(__xludf.DUMMYFUNCTION("""COMPUTED_VALUE"""),30.0)</f>
        <v>30</v>
      </c>
      <c r="AB38" s="119"/>
      <c r="AC38" s="119"/>
      <c r="AD38" s="119"/>
      <c r="AE38" s="119"/>
      <c r="AF38" s="119"/>
      <c r="AG38" s="555" t="str">
        <f t="shared" si="8"/>
        <v>  ---&gt;     ---&gt;   </v>
      </c>
      <c r="AH38" s="16"/>
      <c r="AI38" s="439"/>
      <c r="AJ38" s="439"/>
      <c r="AK38" s="439"/>
    </row>
    <row r="39" ht="18.75" customHeight="1">
      <c r="A39" s="439"/>
      <c r="B39" s="546"/>
      <c r="C39" s="547"/>
      <c r="D39" s="446">
        <f>IF(C39=0,0,(VLOOKUP(C39,'PO MTRL'!$B$9:$S1518,2,0)))</f>
        <v>0</v>
      </c>
      <c r="E39" s="548" t="str">
        <f>IF(C39="","",(VLOOKUP(C39,'PO MTRL'!$B$9:$S1518,3,0)))</f>
        <v/>
      </c>
      <c r="F39" s="549">
        <f>IF(C39=0,0,(VLOOKUP(C39,'PO MTRL'!$B$9:$S1518,4,0)))</f>
        <v>0</v>
      </c>
      <c r="G39" s="444"/>
      <c r="H39" s="550">
        <f>IF(C39=0,0,(VLOOKUP(C39,'PO MTRL'!$B$9:$S1518,6,0)))</f>
        <v>0</v>
      </c>
      <c r="I39" s="446">
        <f>IF(C39=0,0,(VLOOKUP(C39,'PO MTRL'!$B$9:$S1518,7,0)))</f>
        <v>0</v>
      </c>
      <c r="J39" s="551">
        <f>IF(C39=0,0,(VLOOKUP(C39,'PO MTRL'!$B$9:$S1518,8,0)))</f>
        <v>0</v>
      </c>
      <c r="K39" s="559"/>
      <c r="L39" s="448">
        <f t="shared" si="1"/>
        <v>0</v>
      </c>
      <c r="M39" s="551">
        <f t="shared" si="2"/>
        <v>0</v>
      </c>
      <c r="N39" s="449">
        <f t="shared" si="3"/>
        <v>0</v>
      </c>
      <c r="O39" s="551">
        <f>IF(H39=0,0,(VLOOKUP(H39,'PO MTRL'!$G$9:$S1518,5,0)))</f>
        <v>0</v>
      </c>
      <c r="P39" s="551">
        <f>IF(H39=0,0,(VLOOKUP(H39,'PO MTRL'!$G$9:$S1518,7,0)))</f>
        <v>0</v>
      </c>
      <c r="Q39" s="551">
        <f t="shared" si="4"/>
        <v>0</v>
      </c>
      <c r="R39" s="551">
        <f t="shared" si="5"/>
        <v>0</v>
      </c>
      <c r="S39" s="550">
        <f>IF(C39=0,0,(VLOOKUP(C39,'PO MTRL'!$B$9:$S1518,17,0)))</f>
        <v>0</v>
      </c>
      <c r="T39" s="553"/>
      <c r="U39" s="554">
        <f>IF(C39=0,0,(VLOOKUP(C39,'PO MTRL'!$B$9:$S1518,18,0)))</f>
        <v>0</v>
      </c>
      <c r="V39" s="16"/>
      <c r="W39" s="119" t="str">
        <f t="shared" si="6"/>
        <v/>
      </c>
      <c r="X39" s="564">
        <f t="shared" si="7"/>
        <v>0</v>
      </c>
      <c r="Y39" s="119"/>
      <c r="Z39" s="119"/>
      <c r="AA39" s="530">
        <f>IFERROR(__xludf.DUMMYFUNCTION("""COMPUTED_VALUE"""),31.0)</f>
        <v>31</v>
      </c>
      <c r="AB39" s="119"/>
      <c r="AC39" s="119"/>
      <c r="AD39" s="119"/>
      <c r="AE39" s="119"/>
      <c r="AF39" s="119"/>
      <c r="AG39" s="555" t="str">
        <f t="shared" si="8"/>
        <v>  ---&gt;     ---&gt;   </v>
      </c>
      <c r="AH39" s="16"/>
      <c r="AI39" s="439"/>
      <c r="AJ39" s="439"/>
      <c r="AK39" s="439"/>
    </row>
    <row r="40" ht="18.75" customHeight="1">
      <c r="A40" s="439"/>
      <c r="B40" s="546"/>
      <c r="C40" s="547"/>
      <c r="D40" s="446">
        <f>IF(C40=0,0,(VLOOKUP(C40,'PO MTRL'!$B$9:$S1518,2,0)))</f>
        <v>0</v>
      </c>
      <c r="E40" s="548" t="str">
        <f>IF(C40="","",(VLOOKUP(C40,'PO MTRL'!$B$9:$S1518,3,0)))</f>
        <v/>
      </c>
      <c r="F40" s="549">
        <f>IF(C40=0,0,(VLOOKUP(C40,'PO MTRL'!$B$9:$S1518,4,0)))</f>
        <v>0</v>
      </c>
      <c r="G40" s="444"/>
      <c r="H40" s="550">
        <f>IF(C40=0,0,(VLOOKUP(C40,'PO MTRL'!$B$9:$S1518,6,0)))</f>
        <v>0</v>
      </c>
      <c r="I40" s="446">
        <f>IF(C40=0,0,(VLOOKUP(C40,'PO MTRL'!$B$9:$S1518,7,0)))</f>
        <v>0</v>
      </c>
      <c r="J40" s="551">
        <f>IF(C40=0,0,(VLOOKUP(C40,'PO MTRL'!$B$9:$S1518,8,0)))</f>
        <v>0</v>
      </c>
      <c r="K40" s="559"/>
      <c r="L40" s="448">
        <f t="shared" si="1"/>
        <v>0</v>
      </c>
      <c r="M40" s="551">
        <f t="shared" si="2"/>
        <v>0</v>
      </c>
      <c r="N40" s="449">
        <f t="shared" si="3"/>
        <v>0</v>
      </c>
      <c r="O40" s="551">
        <f>IF(H40=0,0,(VLOOKUP(H40,'PO MTRL'!$G$9:$S1518,5,0)))</f>
        <v>0</v>
      </c>
      <c r="P40" s="551">
        <f>IF(H40=0,0,(VLOOKUP(H40,'PO MTRL'!$G$9:$S1518,7,0)))</f>
        <v>0</v>
      </c>
      <c r="Q40" s="551">
        <f t="shared" si="4"/>
        <v>0</v>
      </c>
      <c r="R40" s="551">
        <f t="shared" si="5"/>
        <v>0</v>
      </c>
      <c r="S40" s="550">
        <f>IF(C40=0,0,(VLOOKUP(C40,'PO MTRL'!$B$9:$S1518,17,0)))</f>
        <v>0</v>
      </c>
      <c r="T40" s="553"/>
      <c r="U40" s="554">
        <f>IF(C40=0,0,(VLOOKUP(C40,'PO MTRL'!$B$9:$S1518,18,0)))</f>
        <v>0</v>
      </c>
      <c r="V40" s="16"/>
      <c r="W40" s="119" t="str">
        <f t="shared" si="6"/>
        <v/>
      </c>
      <c r="X40" s="564">
        <f t="shared" si="7"/>
        <v>0</v>
      </c>
      <c r="Y40" s="119"/>
      <c r="Z40" s="119"/>
      <c r="AA40" s="530">
        <f>IFERROR(__xludf.DUMMYFUNCTION("""COMPUTED_VALUE"""),32.0)</f>
        <v>32</v>
      </c>
      <c r="AB40" s="119"/>
      <c r="AC40" s="119"/>
      <c r="AD40" s="119"/>
      <c r="AE40" s="119"/>
      <c r="AF40" s="119"/>
      <c r="AG40" s="555" t="str">
        <f t="shared" si="8"/>
        <v>  ---&gt;     ---&gt;   </v>
      </c>
      <c r="AH40" s="16"/>
      <c r="AI40" s="439"/>
      <c r="AJ40" s="439"/>
      <c r="AK40" s="439"/>
    </row>
    <row r="41" ht="18.75" customHeight="1">
      <c r="A41" s="439"/>
      <c r="B41" s="546"/>
      <c r="C41" s="547"/>
      <c r="D41" s="446">
        <f>IF(C41=0,0,(VLOOKUP(C41,'PO MTRL'!$B$9:$S1518,2,0)))</f>
        <v>0</v>
      </c>
      <c r="E41" s="548" t="str">
        <f>IF(C41="","",(VLOOKUP(C41,'PO MTRL'!$B$9:$S1518,3,0)))</f>
        <v/>
      </c>
      <c r="F41" s="549">
        <f>IF(C41=0,0,(VLOOKUP(C41,'PO MTRL'!$B$9:$S1518,4,0)))</f>
        <v>0</v>
      </c>
      <c r="G41" s="444"/>
      <c r="H41" s="550">
        <f>IF(C41=0,0,(VLOOKUP(C41,'PO MTRL'!$B$9:$S1518,6,0)))</f>
        <v>0</v>
      </c>
      <c r="I41" s="446">
        <f>IF(C41=0,0,(VLOOKUP(C41,'PO MTRL'!$B$9:$S1518,7,0)))</f>
        <v>0</v>
      </c>
      <c r="J41" s="551">
        <f>IF(C41=0,0,(VLOOKUP(C41,'PO MTRL'!$B$9:$S1518,8,0)))</f>
        <v>0</v>
      </c>
      <c r="K41" s="559"/>
      <c r="L41" s="448">
        <f t="shared" si="1"/>
        <v>0</v>
      </c>
      <c r="M41" s="551">
        <f t="shared" si="2"/>
        <v>0</v>
      </c>
      <c r="N41" s="449">
        <f t="shared" si="3"/>
        <v>0</v>
      </c>
      <c r="O41" s="551">
        <f>IF(H41=0,0,(VLOOKUP(H41,'PO MTRL'!$G$9:$S1518,5,0)))</f>
        <v>0</v>
      </c>
      <c r="P41" s="551">
        <f>IF(H41=0,0,(VLOOKUP(H41,'PO MTRL'!$G$9:$S1518,7,0)))</f>
        <v>0</v>
      </c>
      <c r="Q41" s="551">
        <f t="shared" si="4"/>
        <v>0</v>
      </c>
      <c r="R41" s="551">
        <f t="shared" si="5"/>
        <v>0</v>
      </c>
      <c r="S41" s="550">
        <f>IF(C41=0,0,(VLOOKUP(C41,'PO MTRL'!$B$9:$S1518,17,0)))</f>
        <v>0</v>
      </c>
      <c r="T41" s="553"/>
      <c r="U41" s="554">
        <f>IF(C41=0,0,(VLOOKUP(C41,'PO MTRL'!$B$9:$S1518,18,0)))</f>
        <v>0</v>
      </c>
      <c r="V41" s="16"/>
      <c r="W41" s="119" t="str">
        <f t="shared" si="6"/>
        <v/>
      </c>
      <c r="X41" s="564">
        <f t="shared" si="7"/>
        <v>0</v>
      </c>
      <c r="Y41" s="119"/>
      <c r="Z41" s="119"/>
      <c r="AA41" s="530">
        <f>IFERROR(__xludf.DUMMYFUNCTION("""COMPUTED_VALUE"""),33.0)</f>
        <v>33</v>
      </c>
      <c r="AB41" s="119"/>
      <c r="AC41" s="119"/>
      <c r="AD41" s="119"/>
      <c r="AE41" s="119"/>
      <c r="AF41" s="119"/>
      <c r="AG41" s="555" t="str">
        <f t="shared" si="8"/>
        <v>  ---&gt;     ---&gt;   </v>
      </c>
      <c r="AH41" s="16"/>
      <c r="AI41" s="439"/>
      <c r="AJ41" s="439"/>
      <c r="AK41" s="439"/>
    </row>
    <row r="42" ht="18.75" customHeight="1">
      <c r="A42" s="439"/>
      <c r="B42" s="546"/>
      <c r="C42" s="547"/>
      <c r="D42" s="446">
        <f>IF(C42=0,0,(VLOOKUP(C42,'PO MTRL'!$B$9:$S1518,2,0)))</f>
        <v>0</v>
      </c>
      <c r="E42" s="548" t="str">
        <f>IF(C42="","",(VLOOKUP(C42,'PO MTRL'!$B$9:$S1518,3,0)))</f>
        <v/>
      </c>
      <c r="F42" s="549">
        <f>IF(C42=0,0,(VLOOKUP(C42,'PO MTRL'!$B$9:$S1518,4,0)))</f>
        <v>0</v>
      </c>
      <c r="G42" s="444"/>
      <c r="H42" s="550">
        <f>IF(C42=0,0,(VLOOKUP(C42,'PO MTRL'!$B$9:$S1518,6,0)))</f>
        <v>0</v>
      </c>
      <c r="I42" s="446">
        <f>IF(C42=0,0,(VLOOKUP(C42,'PO MTRL'!$B$9:$S1518,7,0)))</f>
        <v>0</v>
      </c>
      <c r="J42" s="551">
        <f>IF(C42=0,0,(VLOOKUP(C42,'PO MTRL'!$B$9:$S1518,8,0)))</f>
        <v>0</v>
      </c>
      <c r="K42" s="559"/>
      <c r="L42" s="448">
        <f t="shared" si="1"/>
        <v>0</v>
      </c>
      <c r="M42" s="551">
        <f t="shared" si="2"/>
        <v>0</v>
      </c>
      <c r="N42" s="449">
        <f t="shared" si="3"/>
        <v>0</v>
      </c>
      <c r="O42" s="551">
        <f>IF(H42=0,0,(VLOOKUP(H42,'PO MTRL'!$G$9:$S1518,5,0)))</f>
        <v>0</v>
      </c>
      <c r="P42" s="551">
        <f>IF(H42=0,0,(VLOOKUP(H42,'PO MTRL'!$G$9:$S1518,7,0)))</f>
        <v>0</v>
      </c>
      <c r="Q42" s="551">
        <f t="shared" si="4"/>
        <v>0</v>
      </c>
      <c r="R42" s="551">
        <f t="shared" si="5"/>
        <v>0</v>
      </c>
      <c r="S42" s="550">
        <f>IF(C42=0,0,(VLOOKUP(C42,'PO MTRL'!$B$9:$S1518,17,0)))</f>
        <v>0</v>
      </c>
      <c r="T42" s="553"/>
      <c r="U42" s="554">
        <f>IF(C42=0,0,(VLOOKUP(C42,'PO MTRL'!$B$9:$S1518,18,0)))</f>
        <v>0</v>
      </c>
      <c r="V42" s="16"/>
      <c r="W42" s="119" t="str">
        <f t="shared" si="6"/>
        <v/>
      </c>
      <c r="X42" s="564">
        <f t="shared" si="7"/>
        <v>0</v>
      </c>
      <c r="Y42" s="119"/>
      <c r="Z42" s="119"/>
      <c r="AA42" s="530">
        <f>IFERROR(__xludf.DUMMYFUNCTION("""COMPUTED_VALUE"""),34.0)</f>
        <v>34</v>
      </c>
      <c r="AB42" s="119"/>
      <c r="AC42" s="119"/>
      <c r="AD42" s="119"/>
      <c r="AE42" s="119"/>
      <c r="AF42" s="119"/>
      <c r="AG42" s="555" t="str">
        <f t="shared" si="8"/>
        <v>  ---&gt;     ---&gt;   </v>
      </c>
      <c r="AH42" s="16"/>
      <c r="AI42" s="439"/>
      <c r="AJ42" s="439"/>
      <c r="AK42" s="439"/>
    </row>
    <row r="43" ht="18.75" customHeight="1">
      <c r="A43" s="439"/>
      <c r="B43" s="546"/>
      <c r="C43" s="547"/>
      <c r="D43" s="446">
        <f>IF(C43=0,0,(VLOOKUP(C43,'PO MTRL'!$B$9:$S1518,2,0)))</f>
        <v>0</v>
      </c>
      <c r="E43" s="548" t="str">
        <f>IF(C43="","",(VLOOKUP(C43,'PO MTRL'!$B$9:$S1518,3,0)))</f>
        <v/>
      </c>
      <c r="F43" s="549">
        <f>IF(C43=0,0,(VLOOKUP(C43,'PO MTRL'!$B$9:$S1518,4,0)))</f>
        <v>0</v>
      </c>
      <c r="G43" s="444"/>
      <c r="H43" s="550">
        <f>IF(C43=0,0,(VLOOKUP(C43,'PO MTRL'!$B$9:$S1518,6,0)))</f>
        <v>0</v>
      </c>
      <c r="I43" s="446">
        <f>IF(C43=0,0,(VLOOKUP(C43,'PO MTRL'!$B$9:$S1518,7,0)))</f>
        <v>0</v>
      </c>
      <c r="J43" s="551">
        <f>IF(C43=0,0,(VLOOKUP(C43,'PO MTRL'!$B$9:$S1518,8,0)))</f>
        <v>0</v>
      </c>
      <c r="K43" s="559"/>
      <c r="L43" s="448">
        <f t="shared" si="1"/>
        <v>0</v>
      </c>
      <c r="M43" s="551">
        <f t="shared" si="2"/>
        <v>0</v>
      </c>
      <c r="N43" s="449">
        <f t="shared" si="3"/>
        <v>0</v>
      </c>
      <c r="O43" s="551">
        <f>IF(H43=0,0,(VLOOKUP(H43,'PO MTRL'!$G$9:$S1518,5,0)))</f>
        <v>0</v>
      </c>
      <c r="P43" s="551">
        <f>IF(H43=0,0,(VLOOKUP(H43,'PO MTRL'!$G$9:$S1518,7,0)))</f>
        <v>0</v>
      </c>
      <c r="Q43" s="551">
        <f t="shared" si="4"/>
        <v>0</v>
      </c>
      <c r="R43" s="551">
        <f t="shared" si="5"/>
        <v>0</v>
      </c>
      <c r="S43" s="550">
        <f>IF(C43=0,0,(VLOOKUP(C43,'PO MTRL'!$B$9:$S1518,17,0)))</f>
        <v>0</v>
      </c>
      <c r="T43" s="553"/>
      <c r="U43" s="554">
        <f>IF(C43=0,0,(VLOOKUP(C43,'PO MTRL'!$B$9:$S1518,18,0)))</f>
        <v>0</v>
      </c>
      <c r="V43" s="16"/>
      <c r="W43" s="119" t="str">
        <f t="shared" si="6"/>
        <v/>
      </c>
      <c r="X43" s="564">
        <f t="shared" si="7"/>
        <v>0</v>
      </c>
      <c r="Y43" s="119"/>
      <c r="Z43" s="119"/>
      <c r="AA43" s="530">
        <f>IFERROR(__xludf.DUMMYFUNCTION("""COMPUTED_VALUE"""),35.0)</f>
        <v>35</v>
      </c>
      <c r="AB43" s="119"/>
      <c r="AC43" s="119"/>
      <c r="AD43" s="119"/>
      <c r="AE43" s="119"/>
      <c r="AF43" s="119"/>
      <c r="AG43" s="555" t="str">
        <f t="shared" si="8"/>
        <v>  ---&gt;     ---&gt;   </v>
      </c>
      <c r="AH43" s="16"/>
      <c r="AI43" s="439"/>
      <c r="AJ43" s="439"/>
      <c r="AK43" s="439"/>
    </row>
    <row r="44" ht="18.75" customHeight="1">
      <c r="A44" s="439"/>
      <c r="B44" s="546"/>
      <c r="C44" s="547"/>
      <c r="D44" s="446">
        <f>IF(C44=0,0,(VLOOKUP(C44,'PO MTRL'!$B$9:$S1518,2,0)))</f>
        <v>0</v>
      </c>
      <c r="E44" s="548" t="str">
        <f>IF(C44="","",(VLOOKUP(C44,'PO MTRL'!$B$9:$S1518,3,0)))</f>
        <v/>
      </c>
      <c r="F44" s="549">
        <f>IF(C44=0,0,(VLOOKUP(C44,'PO MTRL'!$B$9:$S1518,4,0)))</f>
        <v>0</v>
      </c>
      <c r="G44" s="444"/>
      <c r="H44" s="550">
        <f>IF(C44=0,0,(VLOOKUP(C44,'PO MTRL'!$B$9:$S1518,6,0)))</f>
        <v>0</v>
      </c>
      <c r="I44" s="446">
        <f>IF(C44=0,0,(VLOOKUP(C44,'PO MTRL'!$B$9:$S1518,7,0)))</f>
        <v>0</v>
      </c>
      <c r="J44" s="551">
        <f>IF(C44=0,0,(VLOOKUP(C44,'PO MTRL'!$B$9:$S1518,8,0)))</f>
        <v>0</v>
      </c>
      <c r="K44" s="559"/>
      <c r="L44" s="448">
        <f t="shared" si="1"/>
        <v>0</v>
      </c>
      <c r="M44" s="551">
        <f t="shared" si="2"/>
        <v>0</v>
      </c>
      <c r="N44" s="449">
        <f t="shared" si="3"/>
        <v>0</v>
      </c>
      <c r="O44" s="551">
        <f>IF(H44=0,0,(VLOOKUP(H44,'PO MTRL'!$G$9:$S1518,5,0)))</f>
        <v>0</v>
      </c>
      <c r="P44" s="551">
        <f>IF(H44=0,0,(VLOOKUP(H44,'PO MTRL'!$G$9:$S1518,7,0)))</f>
        <v>0</v>
      </c>
      <c r="Q44" s="551">
        <f t="shared" si="4"/>
        <v>0</v>
      </c>
      <c r="R44" s="551">
        <f t="shared" si="5"/>
        <v>0</v>
      </c>
      <c r="S44" s="550">
        <f>IF(C44=0,0,(VLOOKUP(C44,'PO MTRL'!$B$9:$S1518,17,0)))</f>
        <v>0</v>
      </c>
      <c r="T44" s="553"/>
      <c r="U44" s="554">
        <f>IF(C44=0,0,(VLOOKUP(C44,'PO MTRL'!$B$9:$S1518,18,0)))</f>
        <v>0</v>
      </c>
      <c r="V44" s="16"/>
      <c r="W44" s="119" t="str">
        <f t="shared" si="6"/>
        <v/>
      </c>
      <c r="X44" s="564">
        <f t="shared" si="7"/>
        <v>0</v>
      </c>
      <c r="Y44" s="119"/>
      <c r="Z44" s="119"/>
      <c r="AA44" s="530">
        <f>IFERROR(__xludf.DUMMYFUNCTION("""COMPUTED_VALUE"""),36.0)</f>
        <v>36</v>
      </c>
      <c r="AB44" s="119"/>
      <c r="AC44" s="119"/>
      <c r="AD44" s="119"/>
      <c r="AE44" s="119"/>
      <c r="AF44" s="119"/>
      <c r="AG44" s="555" t="str">
        <f t="shared" si="8"/>
        <v>  ---&gt;     ---&gt;   </v>
      </c>
      <c r="AH44" s="16"/>
      <c r="AI44" s="439"/>
      <c r="AJ44" s="439"/>
      <c r="AK44" s="439"/>
    </row>
    <row r="45" ht="18.75" customHeight="1">
      <c r="A45" s="439"/>
      <c r="B45" s="546"/>
      <c r="C45" s="547"/>
      <c r="D45" s="446">
        <f>IF(C45=0,0,(VLOOKUP(C45,'PO MTRL'!$B$9:$S1518,2,0)))</f>
        <v>0</v>
      </c>
      <c r="E45" s="548" t="str">
        <f>IF(C45="","",(VLOOKUP(C45,'PO MTRL'!$B$9:$S1518,3,0)))</f>
        <v/>
      </c>
      <c r="F45" s="549">
        <f>IF(C45=0,0,(VLOOKUP(C45,'PO MTRL'!$B$9:$S1518,4,0)))</f>
        <v>0</v>
      </c>
      <c r="G45" s="444"/>
      <c r="H45" s="550">
        <f>IF(C45=0,0,(VLOOKUP(C45,'PO MTRL'!$B$9:$S1518,6,0)))</f>
        <v>0</v>
      </c>
      <c r="I45" s="446">
        <f>IF(C45=0,0,(VLOOKUP(C45,'PO MTRL'!$B$9:$S1518,7,0)))</f>
        <v>0</v>
      </c>
      <c r="J45" s="551">
        <f>IF(C45=0,0,(VLOOKUP(C45,'PO MTRL'!$B$9:$S1518,8,0)))</f>
        <v>0</v>
      </c>
      <c r="K45" s="559"/>
      <c r="L45" s="448">
        <f t="shared" si="1"/>
        <v>0</v>
      </c>
      <c r="M45" s="551">
        <f t="shared" si="2"/>
        <v>0</v>
      </c>
      <c r="N45" s="449">
        <f t="shared" si="3"/>
        <v>0</v>
      </c>
      <c r="O45" s="551">
        <f>IF(H45=0,0,(VLOOKUP(H45,'PO MTRL'!$G$9:$S1518,5,0)))</f>
        <v>0</v>
      </c>
      <c r="P45" s="551">
        <f>IF(H45=0,0,(VLOOKUP(H45,'PO MTRL'!$G$9:$S1518,7,0)))</f>
        <v>0</v>
      </c>
      <c r="Q45" s="551">
        <f t="shared" si="4"/>
        <v>0</v>
      </c>
      <c r="R45" s="551">
        <f t="shared" si="5"/>
        <v>0</v>
      </c>
      <c r="S45" s="550">
        <f>IF(C45=0,0,(VLOOKUP(C45,'PO MTRL'!$B$9:$S1518,17,0)))</f>
        <v>0</v>
      </c>
      <c r="T45" s="553"/>
      <c r="U45" s="554">
        <f>IF(C45=0,0,(VLOOKUP(C45,'PO MTRL'!$B$9:$S1518,18,0)))</f>
        <v>0</v>
      </c>
      <c r="V45" s="16"/>
      <c r="W45" s="119" t="str">
        <f t="shared" si="6"/>
        <v/>
      </c>
      <c r="X45" s="564">
        <f t="shared" si="7"/>
        <v>0</v>
      </c>
      <c r="Y45" s="119"/>
      <c r="Z45" s="119"/>
      <c r="AA45" s="530">
        <f>IFERROR(__xludf.DUMMYFUNCTION("""COMPUTED_VALUE"""),37.0)</f>
        <v>37</v>
      </c>
      <c r="AB45" s="119"/>
      <c r="AC45" s="119"/>
      <c r="AD45" s="119"/>
      <c r="AE45" s="119"/>
      <c r="AF45" s="119"/>
      <c r="AG45" s="555" t="str">
        <f t="shared" si="8"/>
        <v>  ---&gt;     ---&gt;   </v>
      </c>
      <c r="AH45" s="16"/>
      <c r="AI45" s="439"/>
      <c r="AJ45" s="439"/>
      <c r="AK45" s="439"/>
    </row>
    <row r="46" ht="18.75" customHeight="1">
      <c r="A46" s="439"/>
      <c r="B46" s="546"/>
      <c r="C46" s="547"/>
      <c r="D46" s="446">
        <f>IF(C46=0,0,(VLOOKUP(C46,'PO MTRL'!$B$9:$S1518,2,0)))</f>
        <v>0</v>
      </c>
      <c r="E46" s="548" t="str">
        <f>IF(C46="","",(VLOOKUP(C46,'PO MTRL'!$B$9:$S1518,3,0)))</f>
        <v/>
      </c>
      <c r="F46" s="549">
        <f>IF(C46=0,0,(VLOOKUP(C46,'PO MTRL'!$B$9:$S1518,4,0)))</f>
        <v>0</v>
      </c>
      <c r="G46" s="444"/>
      <c r="H46" s="550">
        <f>IF(C46=0,0,(VLOOKUP(C46,'PO MTRL'!$B$9:$S1518,6,0)))</f>
        <v>0</v>
      </c>
      <c r="I46" s="446">
        <f>IF(C46=0,0,(VLOOKUP(C46,'PO MTRL'!$B$9:$S1518,7,0)))</f>
        <v>0</v>
      </c>
      <c r="J46" s="551">
        <f>IF(C46=0,0,(VLOOKUP(C46,'PO MTRL'!$B$9:$S1518,8,0)))</f>
        <v>0</v>
      </c>
      <c r="K46" s="559"/>
      <c r="L46" s="448">
        <f t="shared" si="1"/>
        <v>0</v>
      </c>
      <c r="M46" s="551">
        <f t="shared" si="2"/>
        <v>0</v>
      </c>
      <c r="N46" s="449">
        <f t="shared" si="3"/>
        <v>0</v>
      </c>
      <c r="O46" s="551">
        <f>IF(H46=0,0,(VLOOKUP(H46,'PO MTRL'!$G$9:$S1518,5,0)))</f>
        <v>0</v>
      </c>
      <c r="P46" s="551">
        <f>IF(H46=0,0,(VLOOKUP(H46,'PO MTRL'!$G$9:$S1518,7,0)))</f>
        <v>0</v>
      </c>
      <c r="Q46" s="551">
        <f t="shared" si="4"/>
        <v>0</v>
      </c>
      <c r="R46" s="551">
        <f t="shared" si="5"/>
        <v>0</v>
      </c>
      <c r="S46" s="550">
        <f>IF(C46=0,0,(VLOOKUP(C46,'PO MTRL'!$B$9:$S1518,17,0)))</f>
        <v>0</v>
      </c>
      <c r="T46" s="553"/>
      <c r="U46" s="554">
        <f>IF(C46=0,0,(VLOOKUP(C46,'PO MTRL'!$B$9:$S1518,18,0)))</f>
        <v>0</v>
      </c>
      <c r="V46" s="16"/>
      <c r="W46" s="119" t="str">
        <f t="shared" si="6"/>
        <v/>
      </c>
      <c r="X46" s="564">
        <f t="shared" si="7"/>
        <v>0</v>
      </c>
      <c r="Y46" s="119"/>
      <c r="Z46" s="119"/>
      <c r="AA46" s="530">
        <f>IFERROR(__xludf.DUMMYFUNCTION("""COMPUTED_VALUE"""),38.0)</f>
        <v>38</v>
      </c>
      <c r="AB46" s="119"/>
      <c r="AC46" s="119"/>
      <c r="AD46" s="119"/>
      <c r="AE46" s="119"/>
      <c r="AF46" s="119"/>
      <c r="AG46" s="555" t="str">
        <f t="shared" si="8"/>
        <v>  ---&gt;     ---&gt;   </v>
      </c>
      <c r="AH46" s="16"/>
      <c r="AI46" s="439"/>
      <c r="AJ46" s="439"/>
      <c r="AK46" s="439"/>
    </row>
    <row r="47" ht="18.75" customHeight="1">
      <c r="A47" s="439"/>
      <c r="B47" s="546"/>
      <c r="C47" s="547"/>
      <c r="D47" s="446">
        <f>IF(C47=0,0,(VLOOKUP(C47,'PO MTRL'!$B$9:$S1518,2,0)))</f>
        <v>0</v>
      </c>
      <c r="E47" s="548" t="str">
        <f>IF(C47="","",(VLOOKUP(C47,'PO MTRL'!$B$9:$S1518,3,0)))</f>
        <v/>
      </c>
      <c r="F47" s="549">
        <f>IF(C47=0,0,(VLOOKUP(C47,'PO MTRL'!$B$9:$S1518,4,0)))</f>
        <v>0</v>
      </c>
      <c r="G47" s="444"/>
      <c r="H47" s="550">
        <f>IF(C47=0,0,(VLOOKUP(C47,'PO MTRL'!$B$9:$S1518,6,0)))</f>
        <v>0</v>
      </c>
      <c r="I47" s="446">
        <f>IF(C47=0,0,(VLOOKUP(C47,'PO MTRL'!$B$9:$S1518,7,0)))</f>
        <v>0</v>
      </c>
      <c r="J47" s="551">
        <f>IF(C47=0,0,(VLOOKUP(C47,'PO MTRL'!$B$9:$S1518,8,0)))</f>
        <v>0</v>
      </c>
      <c r="K47" s="559"/>
      <c r="L47" s="448">
        <f t="shared" si="1"/>
        <v>0</v>
      </c>
      <c r="M47" s="551">
        <f t="shared" si="2"/>
        <v>0</v>
      </c>
      <c r="N47" s="449">
        <f t="shared" si="3"/>
        <v>0</v>
      </c>
      <c r="O47" s="551">
        <f>IF(H47=0,0,(VLOOKUP(H47,'PO MTRL'!$G$9:$S1518,5,0)))</f>
        <v>0</v>
      </c>
      <c r="P47" s="551">
        <f>IF(H47=0,0,(VLOOKUP(H47,'PO MTRL'!$G$9:$S1518,7,0)))</f>
        <v>0</v>
      </c>
      <c r="Q47" s="551">
        <f t="shared" si="4"/>
        <v>0</v>
      </c>
      <c r="R47" s="551">
        <f t="shared" si="5"/>
        <v>0</v>
      </c>
      <c r="S47" s="550">
        <f>IF(C47=0,0,(VLOOKUP(C47,'PO MTRL'!$B$9:$S1518,17,0)))</f>
        <v>0</v>
      </c>
      <c r="T47" s="553"/>
      <c r="U47" s="554">
        <f>IF(C47=0,0,(VLOOKUP(C47,'PO MTRL'!$B$9:$S1518,18,0)))</f>
        <v>0</v>
      </c>
      <c r="V47" s="16"/>
      <c r="W47" s="119" t="str">
        <f t="shared" si="6"/>
        <v/>
      </c>
      <c r="X47" s="564">
        <f t="shared" si="7"/>
        <v>0</v>
      </c>
      <c r="Y47" s="119"/>
      <c r="Z47" s="119"/>
      <c r="AA47" s="530">
        <f>IFERROR(__xludf.DUMMYFUNCTION("""COMPUTED_VALUE"""),39.0)</f>
        <v>39</v>
      </c>
      <c r="AB47" s="119"/>
      <c r="AC47" s="119"/>
      <c r="AD47" s="119"/>
      <c r="AE47" s="119"/>
      <c r="AF47" s="119"/>
      <c r="AG47" s="555" t="str">
        <f t="shared" si="8"/>
        <v>  ---&gt;     ---&gt;   </v>
      </c>
      <c r="AH47" s="16"/>
      <c r="AI47" s="439"/>
      <c r="AJ47" s="439"/>
      <c r="AK47" s="439"/>
    </row>
    <row r="48" ht="18.75" customHeight="1">
      <c r="A48" s="439"/>
      <c r="B48" s="546"/>
      <c r="C48" s="547"/>
      <c r="D48" s="446">
        <f>IF(C48=0,0,(VLOOKUP(C48,'PO MTRL'!$B$9:$S1518,2,0)))</f>
        <v>0</v>
      </c>
      <c r="E48" s="548" t="str">
        <f>IF(C48="","",(VLOOKUP(C48,'PO MTRL'!$B$9:$S1518,3,0)))</f>
        <v/>
      </c>
      <c r="F48" s="549">
        <f>IF(C48=0,0,(VLOOKUP(C48,'PO MTRL'!$B$9:$S1518,4,0)))</f>
        <v>0</v>
      </c>
      <c r="G48" s="444"/>
      <c r="H48" s="550">
        <f>IF(C48=0,0,(VLOOKUP(C48,'PO MTRL'!$B$9:$S1518,6,0)))</f>
        <v>0</v>
      </c>
      <c r="I48" s="446">
        <f>IF(C48=0,0,(VLOOKUP(C48,'PO MTRL'!$B$9:$S1518,7,0)))</f>
        <v>0</v>
      </c>
      <c r="J48" s="551">
        <f>IF(C48=0,0,(VLOOKUP(C48,'PO MTRL'!$B$9:$S1518,8,0)))</f>
        <v>0</v>
      </c>
      <c r="K48" s="559"/>
      <c r="L48" s="448">
        <f t="shared" si="1"/>
        <v>0</v>
      </c>
      <c r="M48" s="551">
        <f t="shared" si="2"/>
        <v>0</v>
      </c>
      <c r="N48" s="449">
        <f t="shared" si="3"/>
        <v>0</v>
      </c>
      <c r="O48" s="551">
        <f>IF(H48=0,0,(VLOOKUP(H48,'PO MTRL'!$G$9:$S1518,5,0)))</f>
        <v>0</v>
      </c>
      <c r="P48" s="551">
        <f>IF(H48=0,0,(VLOOKUP(H48,'PO MTRL'!$G$9:$S1518,7,0)))</f>
        <v>0</v>
      </c>
      <c r="Q48" s="551">
        <f t="shared" si="4"/>
        <v>0</v>
      </c>
      <c r="R48" s="551">
        <f t="shared" si="5"/>
        <v>0</v>
      </c>
      <c r="S48" s="550">
        <f>IF(C48=0,0,(VLOOKUP(C48,'PO MTRL'!$B$9:$S1518,17,0)))</f>
        <v>0</v>
      </c>
      <c r="T48" s="553"/>
      <c r="U48" s="554">
        <f>IF(C48=0,0,(VLOOKUP(C48,'PO MTRL'!$B$9:$S1518,18,0)))</f>
        <v>0</v>
      </c>
      <c r="V48" s="16"/>
      <c r="W48" s="119" t="str">
        <f t="shared" si="6"/>
        <v/>
      </c>
      <c r="X48" s="564">
        <f t="shared" si="7"/>
        <v>0</v>
      </c>
      <c r="Y48" s="119"/>
      <c r="Z48" s="119"/>
      <c r="AA48" s="530">
        <f>IFERROR(__xludf.DUMMYFUNCTION("""COMPUTED_VALUE"""),40.0)</f>
        <v>40</v>
      </c>
      <c r="AB48" s="119"/>
      <c r="AC48" s="119"/>
      <c r="AD48" s="119"/>
      <c r="AE48" s="119"/>
      <c r="AF48" s="119"/>
      <c r="AG48" s="555" t="str">
        <f t="shared" si="8"/>
        <v>  ---&gt;     ---&gt;   </v>
      </c>
      <c r="AH48" s="16"/>
      <c r="AI48" s="439"/>
      <c r="AJ48" s="439"/>
      <c r="AK48" s="439"/>
    </row>
    <row r="49" ht="18.75" customHeight="1">
      <c r="A49" s="439"/>
      <c r="B49" s="546"/>
      <c r="C49" s="547"/>
      <c r="D49" s="446">
        <f>IF(C49=0,0,(VLOOKUP(C49,'PO MTRL'!$B$9:$S1518,2,0)))</f>
        <v>0</v>
      </c>
      <c r="E49" s="548" t="str">
        <f>IF(C49="","",(VLOOKUP(C49,'PO MTRL'!$B$9:$S1518,3,0)))</f>
        <v/>
      </c>
      <c r="F49" s="549">
        <f>IF(C49=0,0,(VLOOKUP(C49,'PO MTRL'!$B$9:$S1518,4,0)))</f>
        <v>0</v>
      </c>
      <c r="G49" s="444"/>
      <c r="H49" s="550">
        <f>IF(C49=0,0,(VLOOKUP(C49,'PO MTRL'!$B$9:$S1518,6,0)))</f>
        <v>0</v>
      </c>
      <c r="I49" s="446">
        <f>IF(C49=0,0,(VLOOKUP(C49,'PO MTRL'!$B$9:$S1518,7,0)))</f>
        <v>0</v>
      </c>
      <c r="J49" s="551">
        <f>IF(C49=0,0,(VLOOKUP(C49,'PO MTRL'!$B$9:$S1518,8,0)))</f>
        <v>0</v>
      </c>
      <c r="K49" s="559"/>
      <c r="L49" s="448">
        <f t="shared" si="1"/>
        <v>0</v>
      </c>
      <c r="M49" s="551">
        <f t="shared" si="2"/>
        <v>0</v>
      </c>
      <c r="N49" s="449">
        <f t="shared" si="3"/>
        <v>0</v>
      </c>
      <c r="O49" s="551">
        <f>IF(H49=0,0,(VLOOKUP(H49,'PO MTRL'!$G$9:$S1518,5,0)))</f>
        <v>0</v>
      </c>
      <c r="P49" s="551">
        <f>IF(H49=0,0,(VLOOKUP(H49,'PO MTRL'!$G$9:$S1518,7,0)))</f>
        <v>0</v>
      </c>
      <c r="Q49" s="551">
        <f t="shared" si="4"/>
        <v>0</v>
      </c>
      <c r="R49" s="551">
        <f t="shared" si="5"/>
        <v>0</v>
      </c>
      <c r="S49" s="550">
        <f>IF(C49=0,0,(VLOOKUP(C49,'PO MTRL'!$B$9:$S1518,17,0)))</f>
        <v>0</v>
      </c>
      <c r="T49" s="553"/>
      <c r="U49" s="554">
        <f>IF(C49=0,0,(VLOOKUP(C49,'PO MTRL'!$B$9:$S1518,18,0)))</f>
        <v>0</v>
      </c>
      <c r="V49" s="16"/>
      <c r="W49" s="119" t="str">
        <f t="shared" si="6"/>
        <v/>
      </c>
      <c r="X49" s="564">
        <f t="shared" si="7"/>
        <v>0</v>
      </c>
      <c r="Y49" s="119"/>
      <c r="Z49" s="119"/>
      <c r="AA49" s="530">
        <f>IFERROR(__xludf.DUMMYFUNCTION("""COMPUTED_VALUE"""),41.0)</f>
        <v>41</v>
      </c>
      <c r="AB49" s="119"/>
      <c r="AC49" s="119"/>
      <c r="AD49" s="119"/>
      <c r="AE49" s="119"/>
      <c r="AF49" s="119"/>
      <c r="AG49" s="555" t="str">
        <f t="shared" si="8"/>
        <v>  ---&gt;     ---&gt;   </v>
      </c>
      <c r="AH49" s="16"/>
      <c r="AI49" s="439"/>
      <c r="AJ49" s="439"/>
      <c r="AK49" s="439"/>
    </row>
    <row r="50" ht="18.75" customHeight="1">
      <c r="A50" s="439"/>
      <c r="B50" s="546"/>
      <c r="C50" s="547"/>
      <c r="D50" s="446">
        <f>IF(C50=0,0,(VLOOKUP(C50,'PO MTRL'!$B$9:$S1518,2,0)))</f>
        <v>0</v>
      </c>
      <c r="E50" s="548" t="str">
        <f>IF(C50="","",(VLOOKUP(C50,'PO MTRL'!$B$9:$S1518,3,0)))</f>
        <v/>
      </c>
      <c r="F50" s="549">
        <f>IF(C50=0,0,(VLOOKUP(C50,'PO MTRL'!$B$9:$S1518,4,0)))</f>
        <v>0</v>
      </c>
      <c r="G50" s="444"/>
      <c r="H50" s="550">
        <f>IF(C50=0,0,(VLOOKUP(C50,'PO MTRL'!$B$9:$S1518,6,0)))</f>
        <v>0</v>
      </c>
      <c r="I50" s="446">
        <f>IF(C50=0,0,(VLOOKUP(C50,'PO MTRL'!$B$9:$S1518,7,0)))</f>
        <v>0</v>
      </c>
      <c r="J50" s="551">
        <f>IF(C50=0,0,(VLOOKUP(C50,'PO MTRL'!$B$9:$S1518,8,0)))</f>
        <v>0</v>
      </c>
      <c r="K50" s="559"/>
      <c r="L50" s="448">
        <f t="shared" si="1"/>
        <v>0</v>
      </c>
      <c r="M50" s="551">
        <f t="shared" si="2"/>
        <v>0</v>
      </c>
      <c r="N50" s="449">
        <f t="shared" si="3"/>
        <v>0</v>
      </c>
      <c r="O50" s="551">
        <f>IF(H50=0,0,(VLOOKUP(H50,'PO MTRL'!$G$9:$S1518,5,0)))</f>
        <v>0</v>
      </c>
      <c r="P50" s="551">
        <f>IF(H50=0,0,(VLOOKUP(H50,'PO MTRL'!$G$9:$S1518,7,0)))</f>
        <v>0</v>
      </c>
      <c r="Q50" s="551">
        <f t="shared" si="4"/>
        <v>0</v>
      </c>
      <c r="R50" s="551">
        <f t="shared" si="5"/>
        <v>0</v>
      </c>
      <c r="S50" s="550">
        <f>IF(C50=0,0,(VLOOKUP(C50,'PO MTRL'!$B$9:$S1518,17,0)))</f>
        <v>0</v>
      </c>
      <c r="T50" s="553"/>
      <c r="U50" s="554">
        <f>IF(C50=0,0,(VLOOKUP(C50,'PO MTRL'!$B$9:$S1518,18,0)))</f>
        <v>0</v>
      </c>
      <c r="V50" s="16"/>
      <c r="W50" s="119" t="str">
        <f t="shared" si="6"/>
        <v/>
      </c>
      <c r="X50" s="564">
        <f t="shared" si="7"/>
        <v>0</v>
      </c>
      <c r="Y50" s="119"/>
      <c r="Z50" s="119"/>
      <c r="AA50" s="530">
        <f>IFERROR(__xludf.DUMMYFUNCTION("""COMPUTED_VALUE"""),42.0)</f>
        <v>42</v>
      </c>
      <c r="AB50" s="119"/>
      <c r="AC50" s="119"/>
      <c r="AD50" s="119"/>
      <c r="AE50" s="119"/>
      <c r="AF50" s="119"/>
      <c r="AG50" s="555" t="str">
        <f t="shared" si="8"/>
        <v>  ---&gt;     ---&gt;   </v>
      </c>
      <c r="AH50" s="16"/>
      <c r="AI50" s="439"/>
      <c r="AJ50" s="439"/>
      <c r="AK50" s="439"/>
    </row>
    <row r="51" ht="18.75" customHeight="1">
      <c r="A51" s="439"/>
      <c r="B51" s="546"/>
      <c r="C51" s="547"/>
      <c r="D51" s="446">
        <f>IF(C51=0,0,(VLOOKUP(C51,'PO MTRL'!$B$9:$S1518,2,0)))</f>
        <v>0</v>
      </c>
      <c r="E51" s="548" t="str">
        <f>IF(C51="","",(VLOOKUP(C51,'PO MTRL'!$B$9:$S1518,3,0)))</f>
        <v/>
      </c>
      <c r="F51" s="549">
        <f>IF(C51=0,0,(VLOOKUP(C51,'PO MTRL'!$B$9:$S1518,4,0)))</f>
        <v>0</v>
      </c>
      <c r="G51" s="444"/>
      <c r="H51" s="550">
        <f>IF(C51=0,0,(VLOOKUP(C51,'PO MTRL'!$B$9:$S1518,6,0)))</f>
        <v>0</v>
      </c>
      <c r="I51" s="446">
        <f>IF(C51=0,0,(VLOOKUP(C51,'PO MTRL'!$B$9:$S1518,7,0)))</f>
        <v>0</v>
      </c>
      <c r="J51" s="551">
        <f>IF(C51=0,0,(VLOOKUP(C51,'PO MTRL'!$B$9:$S1518,8,0)))</f>
        <v>0</v>
      </c>
      <c r="K51" s="559"/>
      <c r="L51" s="448">
        <f t="shared" si="1"/>
        <v>0</v>
      </c>
      <c r="M51" s="551">
        <f t="shared" si="2"/>
        <v>0</v>
      </c>
      <c r="N51" s="449">
        <f t="shared" si="3"/>
        <v>0</v>
      </c>
      <c r="O51" s="551">
        <f>IF(H51=0,0,(VLOOKUP(H51,'PO MTRL'!$G$9:$S1518,5,0)))</f>
        <v>0</v>
      </c>
      <c r="P51" s="551">
        <f>IF(H51=0,0,(VLOOKUP(H51,'PO MTRL'!$G$9:$S1518,7,0)))</f>
        <v>0</v>
      </c>
      <c r="Q51" s="551">
        <f t="shared" si="4"/>
        <v>0</v>
      </c>
      <c r="R51" s="551">
        <f t="shared" si="5"/>
        <v>0</v>
      </c>
      <c r="S51" s="550">
        <f>IF(C51=0,0,(VLOOKUP(C51,'PO MTRL'!$B$9:$S1518,17,0)))</f>
        <v>0</v>
      </c>
      <c r="T51" s="553"/>
      <c r="U51" s="554">
        <f>IF(C51=0,0,(VLOOKUP(C51,'PO MTRL'!$B$9:$S1518,18,0)))</f>
        <v>0</v>
      </c>
      <c r="V51" s="16"/>
      <c r="W51" s="119" t="str">
        <f t="shared" si="6"/>
        <v/>
      </c>
      <c r="X51" s="564">
        <f t="shared" si="7"/>
        <v>0</v>
      </c>
      <c r="Y51" s="119"/>
      <c r="Z51" s="119"/>
      <c r="AA51" s="530">
        <f>IFERROR(__xludf.DUMMYFUNCTION("""COMPUTED_VALUE"""),43.0)</f>
        <v>43</v>
      </c>
      <c r="AB51" s="119"/>
      <c r="AC51" s="119"/>
      <c r="AD51" s="119"/>
      <c r="AE51" s="119"/>
      <c r="AF51" s="119"/>
      <c r="AG51" s="555" t="str">
        <f t="shared" si="8"/>
        <v>  ---&gt;     ---&gt;   </v>
      </c>
      <c r="AH51" s="16"/>
      <c r="AI51" s="439"/>
      <c r="AJ51" s="439"/>
      <c r="AK51" s="439"/>
    </row>
    <row r="52" ht="18.75" customHeight="1">
      <c r="A52" s="439"/>
      <c r="B52" s="546"/>
      <c r="C52" s="547"/>
      <c r="D52" s="446">
        <f>IF(C52=0,0,(VLOOKUP(C52,'PO MTRL'!$B$9:$S1518,2,0)))</f>
        <v>0</v>
      </c>
      <c r="E52" s="548" t="str">
        <f>IF(C52="","",(VLOOKUP(C52,'PO MTRL'!$B$9:$S1518,3,0)))</f>
        <v/>
      </c>
      <c r="F52" s="549">
        <f>IF(C52=0,0,(VLOOKUP(C52,'PO MTRL'!$B$9:$S1518,4,0)))</f>
        <v>0</v>
      </c>
      <c r="G52" s="444"/>
      <c r="H52" s="550">
        <f>IF(C52=0,0,(VLOOKUP(C52,'PO MTRL'!$B$9:$S1518,6,0)))</f>
        <v>0</v>
      </c>
      <c r="I52" s="446">
        <f>IF(C52=0,0,(VLOOKUP(C52,'PO MTRL'!$B$9:$S1518,7,0)))</f>
        <v>0</v>
      </c>
      <c r="J52" s="551">
        <f>IF(C52=0,0,(VLOOKUP(C52,'PO MTRL'!$B$9:$S1518,8,0)))</f>
        <v>0</v>
      </c>
      <c r="K52" s="559"/>
      <c r="L52" s="448">
        <f t="shared" si="1"/>
        <v>0</v>
      </c>
      <c r="M52" s="551">
        <f t="shared" si="2"/>
        <v>0</v>
      </c>
      <c r="N52" s="449">
        <f t="shared" si="3"/>
        <v>0</v>
      </c>
      <c r="O52" s="551">
        <f>IF(H52=0,0,(VLOOKUP(H52,'PO MTRL'!$G$9:$S1518,5,0)))</f>
        <v>0</v>
      </c>
      <c r="P52" s="551">
        <f>IF(H52=0,0,(VLOOKUP(H52,'PO MTRL'!$G$9:$S1518,7,0)))</f>
        <v>0</v>
      </c>
      <c r="Q52" s="551">
        <f t="shared" si="4"/>
        <v>0</v>
      </c>
      <c r="R52" s="551">
        <f t="shared" si="5"/>
        <v>0</v>
      </c>
      <c r="S52" s="550">
        <f>IF(C52=0,0,(VLOOKUP(C52,'PO MTRL'!$B$9:$S1518,17,0)))</f>
        <v>0</v>
      </c>
      <c r="T52" s="553"/>
      <c r="U52" s="554">
        <f>IF(C52=0,0,(VLOOKUP(C52,'PO MTRL'!$B$9:$S1518,18,0)))</f>
        <v>0</v>
      </c>
      <c r="V52" s="16"/>
      <c r="W52" s="119" t="str">
        <f t="shared" si="6"/>
        <v/>
      </c>
      <c r="X52" s="564">
        <f t="shared" si="7"/>
        <v>0</v>
      </c>
      <c r="Y52" s="119"/>
      <c r="Z52" s="119"/>
      <c r="AA52" s="530">
        <f>IFERROR(__xludf.DUMMYFUNCTION("""COMPUTED_VALUE"""),44.0)</f>
        <v>44</v>
      </c>
      <c r="AB52" s="119"/>
      <c r="AC52" s="119"/>
      <c r="AD52" s="119"/>
      <c r="AE52" s="119"/>
      <c r="AF52" s="119"/>
      <c r="AG52" s="555" t="str">
        <f t="shared" si="8"/>
        <v>  ---&gt;     ---&gt;   </v>
      </c>
      <c r="AH52" s="16"/>
      <c r="AI52" s="439"/>
      <c r="AJ52" s="439"/>
      <c r="AK52" s="439"/>
    </row>
    <row r="53" ht="18.75" customHeight="1">
      <c r="A53" s="439"/>
      <c r="B53" s="546"/>
      <c r="C53" s="547"/>
      <c r="D53" s="446">
        <f>IF(C53=0,0,(VLOOKUP(C53,'PO MTRL'!$B$9:$S1518,2,0)))</f>
        <v>0</v>
      </c>
      <c r="E53" s="548" t="str">
        <f>IF(C53="","",(VLOOKUP(C53,'PO MTRL'!$B$9:$S1518,3,0)))</f>
        <v/>
      </c>
      <c r="F53" s="549">
        <f>IF(C53=0,0,(VLOOKUP(C53,'PO MTRL'!$B$9:$S1518,4,0)))</f>
        <v>0</v>
      </c>
      <c r="G53" s="444"/>
      <c r="H53" s="550">
        <f>IF(C53=0,0,(VLOOKUP(C53,'PO MTRL'!$B$9:$S1518,6,0)))</f>
        <v>0</v>
      </c>
      <c r="I53" s="446">
        <f>IF(C53=0,0,(VLOOKUP(C53,'PO MTRL'!$B$9:$S1518,7,0)))</f>
        <v>0</v>
      </c>
      <c r="J53" s="551">
        <f>IF(C53=0,0,(VLOOKUP(C53,'PO MTRL'!$B$9:$S1518,8,0)))</f>
        <v>0</v>
      </c>
      <c r="K53" s="559"/>
      <c r="L53" s="448">
        <f t="shared" si="1"/>
        <v>0</v>
      </c>
      <c r="M53" s="551">
        <f t="shared" si="2"/>
        <v>0</v>
      </c>
      <c r="N53" s="449">
        <f t="shared" si="3"/>
        <v>0</v>
      </c>
      <c r="O53" s="551">
        <f>IF(H53=0,0,(VLOOKUP(H53,'PO MTRL'!$G$9:$S1518,5,0)))</f>
        <v>0</v>
      </c>
      <c r="P53" s="551">
        <f>IF(H53=0,0,(VLOOKUP(H53,'PO MTRL'!$G$9:$S1518,7,0)))</f>
        <v>0</v>
      </c>
      <c r="Q53" s="551">
        <f t="shared" si="4"/>
        <v>0</v>
      </c>
      <c r="R53" s="551">
        <f t="shared" si="5"/>
        <v>0</v>
      </c>
      <c r="S53" s="550">
        <f>IF(C53=0,0,(VLOOKUP(C53,'PO MTRL'!$B$9:$S1518,17,0)))</f>
        <v>0</v>
      </c>
      <c r="T53" s="553"/>
      <c r="U53" s="554">
        <f>IF(C53=0,0,(VLOOKUP(C53,'PO MTRL'!$B$9:$S1518,18,0)))</f>
        <v>0</v>
      </c>
      <c r="V53" s="16"/>
      <c r="W53" s="119" t="str">
        <f t="shared" si="6"/>
        <v/>
      </c>
      <c r="X53" s="564">
        <f t="shared" si="7"/>
        <v>0</v>
      </c>
      <c r="Y53" s="119"/>
      <c r="Z53" s="119"/>
      <c r="AA53" s="530">
        <f>IFERROR(__xludf.DUMMYFUNCTION("""COMPUTED_VALUE"""),45.0)</f>
        <v>45</v>
      </c>
      <c r="AB53" s="119"/>
      <c r="AC53" s="119"/>
      <c r="AD53" s="119"/>
      <c r="AE53" s="119"/>
      <c r="AF53" s="119"/>
      <c r="AG53" s="555" t="str">
        <f t="shared" si="8"/>
        <v>  ---&gt;     ---&gt;   </v>
      </c>
      <c r="AH53" s="16"/>
      <c r="AI53" s="439"/>
      <c r="AJ53" s="439"/>
      <c r="AK53" s="439"/>
    </row>
    <row r="54" ht="18.75" customHeight="1">
      <c r="A54" s="439"/>
      <c r="B54" s="546"/>
      <c r="C54" s="547"/>
      <c r="D54" s="446">
        <f>IF(C54=0,0,(VLOOKUP(C54,'PO MTRL'!$B$9:$S1518,2,0)))</f>
        <v>0</v>
      </c>
      <c r="E54" s="548" t="str">
        <f>IF(C54="","",(VLOOKUP(C54,'PO MTRL'!$B$9:$S1518,3,0)))</f>
        <v/>
      </c>
      <c r="F54" s="549">
        <f>IF(C54=0,0,(VLOOKUP(C54,'PO MTRL'!$B$9:$S1518,4,0)))</f>
        <v>0</v>
      </c>
      <c r="G54" s="444"/>
      <c r="H54" s="550">
        <f>IF(C54=0,0,(VLOOKUP(C54,'PO MTRL'!$B$9:$S1518,6,0)))</f>
        <v>0</v>
      </c>
      <c r="I54" s="446">
        <f>IF(C54=0,0,(VLOOKUP(C54,'PO MTRL'!$B$9:$S1518,7,0)))</f>
        <v>0</v>
      </c>
      <c r="J54" s="551">
        <f>IF(C54=0,0,(VLOOKUP(C54,'PO MTRL'!$B$9:$S1518,8,0)))</f>
        <v>0</v>
      </c>
      <c r="K54" s="559"/>
      <c r="L54" s="448">
        <f t="shared" si="1"/>
        <v>0</v>
      </c>
      <c r="M54" s="551">
        <f t="shared" si="2"/>
        <v>0</v>
      </c>
      <c r="N54" s="449">
        <f t="shared" si="3"/>
        <v>0</v>
      </c>
      <c r="O54" s="551">
        <f>IF(H54=0,0,(VLOOKUP(H54,'PO MTRL'!$G$9:$S1518,5,0)))</f>
        <v>0</v>
      </c>
      <c r="P54" s="551">
        <f>IF(H54=0,0,(VLOOKUP(H54,'PO MTRL'!$G$9:$S1518,7,0)))</f>
        <v>0</v>
      </c>
      <c r="Q54" s="551">
        <f t="shared" si="4"/>
        <v>0</v>
      </c>
      <c r="R54" s="551">
        <f t="shared" si="5"/>
        <v>0</v>
      </c>
      <c r="S54" s="550">
        <f>IF(C54=0,0,(VLOOKUP(C54,'PO MTRL'!$B$9:$S1518,17,0)))</f>
        <v>0</v>
      </c>
      <c r="T54" s="553"/>
      <c r="U54" s="554">
        <f>IF(C54=0,0,(VLOOKUP(C54,'PO MTRL'!$B$9:$S1518,18,0)))</f>
        <v>0</v>
      </c>
      <c r="V54" s="16"/>
      <c r="W54" s="119" t="str">
        <f t="shared" si="6"/>
        <v/>
      </c>
      <c r="X54" s="564">
        <f t="shared" si="7"/>
        <v>0</v>
      </c>
      <c r="Y54" s="119"/>
      <c r="Z54" s="119"/>
      <c r="AA54" s="530">
        <f>IFERROR(__xludf.DUMMYFUNCTION("""COMPUTED_VALUE"""),46.0)</f>
        <v>46</v>
      </c>
      <c r="AB54" s="119"/>
      <c r="AC54" s="119"/>
      <c r="AD54" s="119"/>
      <c r="AE54" s="119"/>
      <c r="AF54" s="119"/>
      <c r="AG54" s="555" t="str">
        <f t="shared" si="8"/>
        <v>  ---&gt;     ---&gt;   </v>
      </c>
      <c r="AH54" s="16"/>
      <c r="AI54" s="439"/>
      <c r="AJ54" s="439"/>
      <c r="AK54" s="439"/>
    </row>
    <row r="55" ht="18.75" customHeight="1">
      <c r="A55" s="439"/>
      <c r="B55" s="546"/>
      <c r="C55" s="547"/>
      <c r="D55" s="446">
        <f>IF(C55=0,0,(VLOOKUP(C55,'PO MTRL'!$B$9:$S1518,2,0)))</f>
        <v>0</v>
      </c>
      <c r="E55" s="548" t="str">
        <f>IF(C55="","",(VLOOKUP(C55,'PO MTRL'!$B$9:$S1518,3,0)))</f>
        <v/>
      </c>
      <c r="F55" s="549">
        <f>IF(C55=0,0,(VLOOKUP(C55,'PO MTRL'!$B$9:$S1518,4,0)))</f>
        <v>0</v>
      </c>
      <c r="G55" s="444"/>
      <c r="H55" s="550">
        <f>IF(C55=0,0,(VLOOKUP(C55,'PO MTRL'!$B$9:$S1518,6,0)))</f>
        <v>0</v>
      </c>
      <c r="I55" s="446">
        <f>IF(C55=0,0,(VLOOKUP(C55,'PO MTRL'!$B$9:$S1518,7,0)))</f>
        <v>0</v>
      </c>
      <c r="J55" s="551">
        <f>IF(C55=0,0,(VLOOKUP(C55,'PO MTRL'!$B$9:$S1518,8,0)))</f>
        <v>0</v>
      </c>
      <c r="K55" s="559"/>
      <c r="L55" s="448">
        <f t="shared" si="1"/>
        <v>0</v>
      </c>
      <c r="M55" s="551">
        <f t="shared" si="2"/>
        <v>0</v>
      </c>
      <c r="N55" s="449">
        <f t="shared" si="3"/>
        <v>0</v>
      </c>
      <c r="O55" s="551">
        <f>IF(H55=0,0,(VLOOKUP(H55,'PO MTRL'!$G$9:$S1518,5,0)))</f>
        <v>0</v>
      </c>
      <c r="P55" s="551">
        <f>IF(H55=0,0,(VLOOKUP(H55,'PO MTRL'!$G$9:$S1518,7,0)))</f>
        <v>0</v>
      </c>
      <c r="Q55" s="551">
        <f t="shared" si="4"/>
        <v>0</v>
      </c>
      <c r="R55" s="551">
        <f t="shared" si="5"/>
        <v>0</v>
      </c>
      <c r="S55" s="550">
        <f>IF(C55=0,0,(VLOOKUP(C55,'PO MTRL'!$B$9:$S1518,17,0)))</f>
        <v>0</v>
      </c>
      <c r="T55" s="553"/>
      <c r="U55" s="554">
        <f>IF(C55=0,0,(VLOOKUP(C55,'PO MTRL'!$B$9:$S1518,18,0)))</f>
        <v>0</v>
      </c>
      <c r="V55" s="16"/>
      <c r="W55" s="119" t="str">
        <f t="shared" si="6"/>
        <v/>
      </c>
      <c r="X55" s="564">
        <f t="shared" si="7"/>
        <v>0</v>
      </c>
      <c r="Y55" s="119"/>
      <c r="Z55" s="119"/>
      <c r="AA55" s="530">
        <f>IFERROR(__xludf.DUMMYFUNCTION("""COMPUTED_VALUE"""),47.0)</f>
        <v>47</v>
      </c>
      <c r="AB55" s="119"/>
      <c r="AC55" s="119"/>
      <c r="AD55" s="119"/>
      <c r="AE55" s="119"/>
      <c r="AF55" s="119"/>
      <c r="AG55" s="555" t="str">
        <f t="shared" si="8"/>
        <v>  ---&gt;     ---&gt;   </v>
      </c>
      <c r="AH55" s="16"/>
      <c r="AI55" s="439"/>
      <c r="AJ55" s="439"/>
      <c r="AK55" s="439"/>
    </row>
    <row r="56" ht="18.75" customHeight="1">
      <c r="A56" s="439"/>
      <c r="B56" s="546"/>
      <c r="C56" s="547"/>
      <c r="D56" s="446">
        <f>IF(C56=0,0,(VLOOKUP(C56,'PO MTRL'!$B$9:$S1518,2,0)))</f>
        <v>0</v>
      </c>
      <c r="E56" s="548" t="str">
        <f>IF(C56="","",(VLOOKUP(C56,'PO MTRL'!$B$9:$S1518,3,0)))</f>
        <v/>
      </c>
      <c r="F56" s="549">
        <f>IF(C56=0,0,(VLOOKUP(C56,'PO MTRL'!$B$9:$S1518,4,0)))</f>
        <v>0</v>
      </c>
      <c r="G56" s="444"/>
      <c r="H56" s="550">
        <f>IF(C56=0,0,(VLOOKUP(C56,'PO MTRL'!$B$9:$S1518,6,0)))</f>
        <v>0</v>
      </c>
      <c r="I56" s="446">
        <f>IF(C56=0,0,(VLOOKUP(C56,'PO MTRL'!$B$9:$S1518,7,0)))</f>
        <v>0</v>
      </c>
      <c r="J56" s="551">
        <f>IF(C56=0,0,(VLOOKUP(C56,'PO MTRL'!$B$9:$S1518,8,0)))</f>
        <v>0</v>
      </c>
      <c r="K56" s="559"/>
      <c r="L56" s="448">
        <f t="shared" si="1"/>
        <v>0</v>
      </c>
      <c r="M56" s="551">
        <f t="shared" si="2"/>
        <v>0</v>
      </c>
      <c r="N56" s="449">
        <f t="shared" si="3"/>
        <v>0</v>
      </c>
      <c r="O56" s="551">
        <f>IF(H56=0,0,(VLOOKUP(H56,'PO MTRL'!$G$9:$S1518,5,0)))</f>
        <v>0</v>
      </c>
      <c r="P56" s="551">
        <f>IF(H56=0,0,(VLOOKUP(H56,'PO MTRL'!$G$9:$S1518,7,0)))</f>
        <v>0</v>
      </c>
      <c r="Q56" s="551">
        <f t="shared" si="4"/>
        <v>0</v>
      </c>
      <c r="R56" s="551">
        <f t="shared" si="5"/>
        <v>0</v>
      </c>
      <c r="S56" s="550">
        <f>IF(C56=0,0,(VLOOKUP(C56,'PO MTRL'!$B$9:$S1518,17,0)))</f>
        <v>0</v>
      </c>
      <c r="T56" s="553"/>
      <c r="U56" s="554">
        <f>IF(C56=0,0,(VLOOKUP(C56,'PO MTRL'!$B$9:$S1518,18,0)))</f>
        <v>0</v>
      </c>
      <c r="V56" s="16"/>
      <c r="W56" s="119" t="str">
        <f t="shared" si="6"/>
        <v/>
      </c>
      <c r="X56" s="564">
        <f t="shared" si="7"/>
        <v>0</v>
      </c>
      <c r="Y56" s="119"/>
      <c r="Z56" s="119"/>
      <c r="AA56" s="530">
        <f>IFERROR(__xludf.DUMMYFUNCTION("""COMPUTED_VALUE"""),48.0)</f>
        <v>48</v>
      </c>
      <c r="AB56" s="119"/>
      <c r="AC56" s="119"/>
      <c r="AD56" s="119"/>
      <c r="AE56" s="119"/>
      <c r="AF56" s="119"/>
      <c r="AG56" s="555" t="str">
        <f t="shared" si="8"/>
        <v>  ---&gt;     ---&gt;   </v>
      </c>
      <c r="AH56" s="16"/>
      <c r="AI56" s="439"/>
      <c r="AJ56" s="439"/>
      <c r="AK56" s="439"/>
    </row>
    <row r="57" ht="18.75" customHeight="1">
      <c r="A57" s="439"/>
      <c r="B57" s="546"/>
      <c r="C57" s="547"/>
      <c r="D57" s="446">
        <f>IF(C57=0,0,(VLOOKUP(C57,'PO MTRL'!$B$9:$S1518,2,0)))</f>
        <v>0</v>
      </c>
      <c r="E57" s="548" t="str">
        <f>IF(C57="","",(VLOOKUP(C57,'PO MTRL'!$B$9:$S1518,3,0)))</f>
        <v/>
      </c>
      <c r="F57" s="549">
        <f>IF(C57=0,0,(VLOOKUP(C57,'PO MTRL'!$B$9:$S1518,4,0)))</f>
        <v>0</v>
      </c>
      <c r="G57" s="444"/>
      <c r="H57" s="550">
        <f>IF(C57=0,0,(VLOOKUP(C57,'PO MTRL'!$B$9:$S1518,6,0)))</f>
        <v>0</v>
      </c>
      <c r="I57" s="446">
        <f>IF(C57=0,0,(VLOOKUP(C57,'PO MTRL'!$B$9:$S1518,7,0)))</f>
        <v>0</v>
      </c>
      <c r="J57" s="551">
        <f>IF(C57=0,0,(VLOOKUP(C57,'PO MTRL'!$B$9:$S1518,8,0)))</f>
        <v>0</v>
      </c>
      <c r="K57" s="559"/>
      <c r="L57" s="448">
        <f t="shared" si="1"/>
        <v>0</v>
      </c>
      <c r="M57" s="551">
        <f t="shared" si="2"/>
        <v>0</v>
      </c>
      <c r="N57" s="449">
        <f t="shared" si="3"/>
        <v>0</v>
      </c>
      <c r="O57" s="551">
        <f>IF(H57=0,0,(VLOOKUP(H57,'PO MTRL'!$G$9:$S1518,5,0)))</f>
        <v>0</v>
      </c>
      <c r="P57" s="551">
        <f>IF(H57=0,0,(VLOOKUP(H57,'PO MTRL'!$G$9:$S1518,7,0)))</f>
        <v>0</v>
      </c>
      <c r="Q57" s="551">
        <f t="shared" si="4"/>
        <v>0</v>
      </c>
      <c r="R57" s="551">
        <f t="shared" si="5"/>
        <v>0</v>
      </c>
      <c r="S57" s="550">
        <f>IF(C57=0,0,(VLOOKUP(C57,'PO MTRL'!$B$9:$S1518,17,0)))</f>
        <v>0</v>
      </c>
      <c r="T57" s="553"/>
      <c r="U57" s="554">
        <f>IF(C57=0,0,(VLOOKUP(C57,'PO MTRL'!$B$9:$S1518,18,0)))</f>
        <v>0</v>
      </c>
      <c r="V57" s="16"/>
      <c r="W57" s="119" t="str">
        <f t="shared" si="6"/>
        <v/>
      </c>
      <c r="X57" s="564">
        <f t="shared" si="7"/>
        <v>0</v>
      </c>
      <c r="Y57" s="119"/>
      <c r="Z57" s="119"/>
      <c r="AA57" s="530">
        <f>IFERROR(__xludf.DUMMYFUNCTION("""COMPUTED_VALUE"""),49.0)</f>
        <v>49</v>
      </c>
      <c r="AB57" s="119"/>
      <c r="AC57" s="119"/>
      <c r="AD57" s="119"/>
      <c r="AE57" s="119"/>
      <c r="AF57" s="119"/>
      <c r="AG57" s="555" t="str">
        <f t="shared" si="8"/>
        <v>  ---&gt;     ---&gt;   </v>
      </c>
      <c r="AH57" s="16"/>
      <c r="AI57" s="439"/>
      <c r="AJ57" s="439"/>
      <c r="AK57" s="439"/>
    </row>
    <row r="58" ht="18.75" customHeight="1">
      <c r="A58" s="439"/>
      <c r="B58" s="546"/>
      <c r="C58" s="547"/>
      <c r="D58" s="446">
        <f>IF(C58=0,0,(VLOOKUP(C58,'PO MTRL'!$B$9:$S1518,2,0)))</f>
        <v>0</v>
      </c>
      <c r="E58" s="548" t="str">
        <f>IF(C58="","",(VLOOKUP(C58,'PO MTRL'!$B$9:$S1518,3,0)))</f>
        <v/>
      </c>
      <c r="F58" s="549">
        <f>IF(C58=0,0,(VLOOKUP(C58,'PO MTRL'!$B$9:$S1518,4,0)))</f>
        <v>0</v>
      </c>
      <c r="G58" s="444"/>
      <c r="H58" s="550">
        <f>IF(C58=0,0,(VLOOKUP(C58,'PO MTRL'!$B$9:$S1518,6,0)))</f>
        <v>0</v>
      </c>
      <c r="I58" s="446">
        <f>IF(C58=0,0,(VLOOKUP(C58,'PO MTRL'!$B$9:$S1518,7,0)))</f>
        <v>0</v>
      </c>
      <c r="J58" s="551">
        <f>IF(C58=0,0,(VLOOKUP(C58,'PO MTRL'!$B$9:$S1518,8,0)))</f>
        <v>0</v>
      </c>
      <c r="K58" s="559"/>
      <c r="L58" s="448">
        <f t="shared" si="1"/>
        <v>0</v>
      </c>
      <c r="M58" s="551">
        <f t="shared" si="2"/>
        <v>0</v>
      </c>
      <c r="N58" s="449">
        <f t="shared" si="3"/>
        <v>0</v>
      </c>
      <c r="O58" s="551">
        <f>IF(H58=0,0,(VLOOKUP(H58,'PO MTRL'!$G$9:$S1518,5,0)))</f>
        <v>0</v>
      </c>
      <c r="P58" s="551">
        <f>IF(H58=0,0,(VLOOKUP(H58,'PO MTRL'!$G$9:$S1518,7,0)))</f>
        <v>0</v>
      </c>
      <c r="Q58" s="551">
        <f t="shared" si="4"/>
        <v>0</v>
      </c>
      <c r="R58" s="551">
        <f t="shared" si="5"/>
        <v>0</v>
      </c>
      <c r="S58" s="550">
        <f>IF(C58=0,0,(VLOOKUP(C58,'PO MTRL'!$B$9:$S1518,17,0)))</f>
        <v>0</v>
      </c>
      <c r="T58" s="553"/>
      <c r="U58" s="554">
        <f>IF(C58=0,0,(VLOOKUP(C58,'PO MTRL'!$B$9:$S1518,18,0)))</f>
        <v>0</v>
      </c>
      <c r="V58" s="16"/>
      <c r="W58" s="119" t="str">
        <f t="shared" si="6"/>
        <v/>
      </c>
      <c r="X58" s="564">
        <f t="shared" si="7"/>
        <v>0</v>
      </c>
      <c r="Y58" s="119"/>
      <c r="Z58" s="119"/>
      <c r="AA58" s="530">
        <f>IFERROR(__xludf.DUMMYFUNCTION("""COMPUTED_VALUE"""),50.0)</f>
        <v>50</v>
      </c>
      <c r="AB58" s="119"/>
      <c r="AC58" s="119"/>
      <c r="AD58" s="119"/>
      <c r="AE58" s="119"/>
      <c r="AF58" s="119"/>
      <c r="AG58" s="555" t="str">
        <f t="shared" si="8"/>
        <v>  ---&gt;     ---&gt;   </v>
      </c>
      <c r="AH58" s="16"/>
      <c r="AI58" s="439"/>
      <c r="AJ58" s="439"/>
      <c r="AK58" s="439"/>
    </row>
    <row r="59" ht="18.75" customHeight="1">
      <c r="A59" s="439"/>
      <c r="B59" s="546"/>
      <c r="C59" s="547"/>
      <c r="D59" s="446">
        <f>IF(C59=0,0,(VLOOKUP(C59,'PO MTRL'!$B$9:$S1518,2,0)))</f>
        <v>0</v>
      </c>
      <c r="E59" s="548" t="str">
        <f>IF(C59="","",(VLOOKUP(C59,'PO MTRL'!$B$9:$S1518,3,0)))</f>
        <v/>
      </c>
      <c r="F59" s="549">
        <f>IF(C59=0,0,(VLOOKUP(C59,'PO MTRL'!$B$9:$S1518,4,0)))</f>
        <v>0</v>
      </c>
      <c r="G59" s="444"/>
      <c r="H59" s="550">
        <f>IF(C59=0,0,(VLOOKUP(C59,'PO MTRL'!$B$9:$S1518,6,0)))</f>
        <v>0</v>
      </c>
      <c r="I59" s="446">
        <f>IF(C59=0,0,(VLOOKUP(C59,'PO MTRL'!$B$9:$S1518,7,0)))</f>
        <v>0</v>
      </c>
      <c r="J59" s="551">
        <f>IF(C59=0,0,(VLOOKUP(C59,'PO MTRL'!$B$9:$S1518,8,0)))</f>
        <v>0</v>
      </c>
      <c r="K59" s="559"/>
      <c r="L59" s="448">
        <f t="shared" si="1"/>
        <v>0</v>
      </c>
      <c r="M59" s="551">
        <f t="shared" si="2"/>
        <v>0</v>
      </c>
      <c r="N59" s="449">
        <f t="shared" si="3"/>
        <v>0</v>
      </c>
      <c r="O59" s="551">
        <f>IF(H59=0,0,(VLOOKUP(H59,'PO MTRL'!$G$9:$S1518,5,0)))</f>
        <v>0</v>
      </c>
      <c r="P59" s="551">
        <f>IF(H59=0,0,(VLOOKUP(H59,'PO MTRL'!$G$9:$S1518,7,0)))</f>
        <v>0</v>
      </c>
      <c r="Q59" s="551">
        <f t="shared" si="4"/>
        <v>0</v>
      </c>
      <c r="R59" s="551">
        <f t="shared" si="5"/>
        <v>0</v>
      </c>
      <c r="S59" s="550">
        <f>IF(C59=0,0,(VLOOKUP(C59,'PO MTRL'!$B$9:$S1518,17,0)))</f>
        <v>0</v>
      </c>
      <c r="T59" s="553"/>
      <c r="U59" s="554">
        <f>IF(C59=0,0,(VLOOKUP(C59,'PO MTRL'!$B$9:$S1518,18,0)))</f>
        <v>0</v>
      </c>
      <c r="V59" s="16"/>
      <c r="W59" s="119" t="str">
        <f t="shared" si="6"/>
        <v/>
      </c>
      <c r="X59" s="564">
        <f t="shared" si="7"/>
        <v>0</v>
      </c>
      <c r="Y59" s="119"/>
      <c r="Z59" s="119"/>
      <c r="AA59" s="530">
        <f>IFERROR(__xludf.DUMMYFUNCTION("""COMPUTED_VALUE"""),51.0)</f>
        <v>51</v>
      </c>
      <c r="AB59" s="119"/>
      <c r="AC59" s="119"/>
      <c r="AD59" s="119"/>
      <c r="AE59" s="119"/>
      <c r="AF59" s="119"/>
      <c r="AG59" s="555" t="str">
        <f t="shared" si="8"/>
        <v>  ---&gt;     ---&gt;   </v>
      </c>
      <c r="AH59" s="16"/>
      <c r="AI59" s="439"/>
      <c r="AJ59" s="439"/>
      <c r="AK59" s="439"/>
    </row>
    <row r="60" ht="18.75" customHeight="1">
      <c r="A60" s="439"/>
      <c r="B60" s="546"/>
      <c r="C60" s="547"/>
      <c r="D60" s="446">
        <f>IF(C60=0,0,(VLOOKUP(C60,'PO MTRL'!$B$9:$S1518,2,0)))</f>
        <v>0</v>
      </c>
      <c r="E60" s="548" t="str">
        <f>IF(C60="","",(VLOOKUP(C60,'PO MTRL'!$B$9:$S1518,3,0)))</f>
        <v/>
      </c>
      <c r="F60" s="549">
        <f>IF(C60=0,0,(VLOOKUP(C60,'PO MTRL'!$B$9:$S1518,4,0)))</f>
        <v>0</v>
      </c>
      <c r="G60" s="444"/>
      <c r="H60" s="550">
        <f>IF(C60=0,0,(VLOOKUP(C60,'PO MTRL'!$B$9:$S1518,6,0)))</f>
        <v>0</v>
      </c>
      <c r="I60" s="446">
        <f>IF(C60=0,0,(VLOOKUP(C60,'PO MTRL'!$B$9:$S1518,7,0)))</f>
        <v>0</v>
      </c>
      <c r="J60" s="551">
        <f>IF(C60=0,0,(VLOOKUP(C60,'PO MTRL'!$B$9:$S1518,8,0)))</f>
        <v>0</v>
      </c>
      <c r="K60" s="559"/>
      <c r="L60" s="448">
        <f t="shared" si="1"/>
        <v>0</v>
      </c>
      <c r="M60" s="551">
        <f t="shared" si="2"/>
        <v>0</v>
      </c>
      <c r="N60" s="449">
        <f t="shared" si="3"/>
        <v>0</v>
      </c>
      <c r="O60" s="551">
        <f>IF(H60=0,0,(VLOOKUP(H60,'PO MTRL'!$G$9:$S1518,5,0)))</f>
        <v>0</v>
      </c>
      <c r="P60" s="551">
        <f>IF(H60=0,0,(VLOOKUP(H60,'PO MTRL'!$G$9:$S1518,7,0)))</f>
        <v>0</v>
      </c>
      <c r="Q60" s="551">
        <f t="shared" si="4"/>
        <v>0</v>
      </c>
      <c r="R60" s="551">
        <f t="shared" si="5"/>
        <v>0</v>
      </c>
      <c r="S60" s="550">
        <f>IF(C60=0,0,(VLOOKUP(C60,'PO MTRL'!$B$9:$S1518,17,0)))</f>
        <v>0</v>
      </c>
      <c r="T60" s="553"/>
      <c r="U60" s="554">
        <f>IF(C60=0,0,(VLOOKUP(C60,'PO MTRL'!$B$9:$S1518,18,0)))</f>
        <v>0</v>
      </c>
      <c r="V60" s="16"/>
      <c r="W60" s="119" t="str">
        <f t="shared" si="6"/>
        <v/>
      </c>
      <c r="X60" s="564">
        <f t="shared" si="7"/>
        <v>0</v>
      </c>
      <c r="Y60" s="119"/>
      <c r="Z60" s="119"/>
      <c r="AA60" s="530">
        <f>IFERROR(__xludf.DUMMYFUNCTION("""COMPUTED_VALUE"""),52.0)</f>
        <v>52</v>
      </c>
      <c r="AB60" s="119"/>
      <c r="AC60" s="119"/>
      <c r="AD60" s="119"/>
      <c r="AE60" s="119"/>
      <c r="AF60" s="119"/>
      <c r="AG60" s="555" t="str">
        <f t="shared" si="8"/>
        <v>  ---&gt;     ---&gt;   </v>
      </c>
      <c r="AH60" s="16"/>
      <c r="AI60" s="439"/>
      <c r="AJ60" s="439"/>
      <c r="AK60" s="439"/>
    </row>
    <row r="61" ht="18.75" customHeight="1">
      <c r="A61" s="439"/>
      <c r="B61" s="546"/>
      <c r="C61" s="547"/>
      <c r="D61" s="446">
        <f>IF(C61=0,0,(VLOOKUP(C61,'PO MTRL'!$B$9:$S1518,2,0)))</f>
        <v>0</v>
      </c>
      <c r="E61" s="548" t="str">
        <f>IF(C61="","",(VLOOKUP(C61,'PO MTRL'!$B$9:$S1518,3,0)))</f>
        <v/>
      </c>
      <c r="F61" s="549">
        <f>IF(C61=0,0,(VLOOKUP(C61,'PO MTRL'!$B$9:$S1518,4,0)))</f>
        <v>0</v>
      </c>
      <c r="G61" s="444"/>
      <c r="H61" s="550">
        <f>IF(C61=0,0,(VLOOKUP(C61,'PO MTRL'!$B$9:$S1518,6,0)))</f>
        <v>0</v>
      </c>
      <c r="I61" s="446">
        <f>IF(C61=0,0,(VLOOKUP(C61,'PO MTRL'!$B$9:$S1518,7,0)))</f>
        <v>0</v>
      </c>
      <c r="J61" s="551">
        <f>IF(C61=0,0,(VLOOKUP(C61,'PO MTRL'!$B$9:$S1518,8,0)))</f>
        <v>0</v>
      </c>
      <c r="K61" s="559"/>
      <c r="L61" s="448">
        <f t="shared" si="1"/>
        <v>0</v>
      </c>
      <c r="M61" s="551">
        <f t="shared" si="2"/>
        <v>0</v>
      </c>
      <c r="N61" s="449">
        <f t="shared" si="3"/>
        <v>0</v>
      </c>
      <c r="O61" s="551">
        <f>IF(H61=0,0,(VLOOKUP(H61,'PO MTRL'!$G$9:$S1518,5,0)))</f>
        <v>0</v>
      </c>
      <c r="P61" s="551">
        <f>IF(H61=0,0,(VLOOKUP(H61,'PO MTRL'!$G$9:$S1518,7,0)))</f>
        <v>0</v>
      </c>
      <c r="Q61" s="551">
        <f t="shared" si="4"/>
        <v>0</v>
      </c>
      <c r="R61" s="551">
        <f t="shared" si="5"/>
        <v>0</v>
      </c>
      <c r="S61" s="550">
        <f>IF(C61=0,0,(VLOOKUP(C61,'PO MTRL'!$B$9:$S1518,17,0)))</f>
        <v>0</v>
      </c>
      <c r="T61" s="553"/>
      <c r="U61" s="554">
        <f>IF(C61=0,0,(VLOOKUP(C61,'PO MTRL'!$B$9:$S1518,18,0)))</f>
        <v>0</v>
      </c>
      <c r="V61" s="16"/>
      <c r="W61" s="119" t="str">
        <f t="shared" si="6"/>
        <v/>
      </c>
      <c r="X61" s="564">
        <f t="shared" si="7"/>
        <v>0</v>
      </c>
      <c r="Y61" s="119"/>
      <c r="Z61" s="119"/>
      <c r="AA61" s="530">
        <f>IFERROR(__xludf.DUMMYFUNCTION("""COMPUTED_VALUE"""),53.0)</f>
        <v>53</v>
      </c>
      <c r="AB61" s="119"/>
      <c r="AC61" s="119"/>
      <c r="AD61" s="119"/>
      <c r="AE61" s="119"/>
      <c r="AF61" s="119"/>
      <c r="AG61" s="555" t="str">
        <f t="shared" si="8"/>
        <v>  ---&gt;     ---&gt;   </v>
      </c>
      <c r="AH61" s="16"/>
      <c r="AI61" s="439"/>
      <c r="AJ61" s="439"/>
      <c r="AK61" s="439"/>
    </row>
    <row r="62" ht="18.75" customHeight="1">
      <c r="A62" s="439"/>
      <c r="B62" s="546"/>
      <c r="C62" s="547"/>
      <c r="D62" s="446">
        <f>IF(C62=0,0,(VLOOKUP(C62,'PO MTRL'!$B$9:$S1518,2,0)))</f>
        <v>0</v>
      </c>
      <c r="E62" s="548" t="str">
        <f>IF(C62="","",(VLOOKUP(C62,'PO MTRL'!$B$9:$S1518,3,0)))</f>
        <v/>
      </c>
      <c r="F62" s="549">
        <f>IF(C62=0,0,(VLOOKUP(C62,'PO MTRL'!$B$9:$S1518,4,0)))</f>
        <v>0</v>
      </c>
      <c r="G62" s="444"/>
      <c r="H62" s="550">
        <f>IF(C62=0,0,(VLOOKUP(C62,'PO MTRL'!$B$9:$S1518,6,0)))</f>
        <v>0</v>
      </c>
      <c r="I62" s="446">
        <f>IF(C62=0,0,(VLOOKUP(C62,'PO MTRL'!$B$9:$S1518,7,0)))</f>
        <v>0</v>
      </c>
      <c r="J62" s="551">
        <f>IF(C62=0,0,(VLOOKUP(C62,'PO MTRL'!$B$9:$S1518,8,0)))</f>
        <v>0</v>
      </c>
      <c r="K62" s="559"/>
      <c r="L62" s="448">
        <f t="shared" si="1"/>
        <v>0</v>
      </c>
      <c r="M62" s="551">
        <f t="shared" si="2"/>
        <v>0</v>
      </c>
      <c r="N62" s="449">
        <f t="shared" si="3"/>
        <v>0</v>
      </c>
      <c r="O62" s="551">
        <f>IF(H62=0,0,(VLOOKUP(H62,'PO MTRL'!$G$9:$S1518,5,0)))</f>
        <v>0</v>
      </c>
      <c r="P62" s="551">
        <f>IF(H62=0,0,(VLOOKUP(H62,'PO MTRL'!$G$9:$S1518,7,0)))</f>
        <v>0</v>
      </c>
      <c r="Q62" s="551">
        <f t="shared" si="4"/>
        <v>0</v>
      </c>
      <c r="R62" s="551">
        <f t="shared" si="5"/>
        <v>0</v>
      </c>
      <c r="S62" s="550">
        <f>IF(C62=0,0,(VLOOKUP(C62,'PO MTRL'!$B$9:$S1518,17,0)))</f>
        <v>0</v>
      </c>
      <c r="T62" s="553"/>
      <c r="U62" s="554">
        <f>IF(C62=0,0,(VLOOKUP(C62,'PO MTRL'!$B$9:$S1518,18,0)))</f>
        <v>0</v>
      </c>
      <c r="V62" s="16"/>
      <c r="W62" s="119" t="str">
        <f t="shared" si="6"/>
        <v/>
      </c>
      <c r="X62" s="564">
        <f t="shared" si="7"/>
        <v>0</v>
      </c>
      <c r="Y62" s="119"/>
      <c r="Z62" s="119"/>
      <c r="AA62" s="530">
        <f>IFERROR(__xludf.DUMMYFUNCTION("""COMPUTED_VALUE"""),54.0)</f>
        <v>54</v>
      </c>
      <c r="AB62" s="119"/>
      <c r="AC62" s="119"/>
      <c r="AD62" s="119"/>
      <c r="AE62" s="119"/>
      <c r="AF62" s="119"/>
      <c r="AG62" s="555" t="str">
        <f t="shared" si="8"/>
        <v>  ---&gt;     ---&gt;   </v>
      </c>
      <c r="AH62" s="16"/>
      <c r="AI62" s="439"/>
      <c r="AJ62" s="439"/>
      <c r="AK62" s="439"/>
    </row>
    <row r="63" ht="18.75" customHeight="1">
      <c r="A63" s="439"/>
      <c r="B63" s="546"/>
      <c r="C63" s="547"/>
      <c r="D63" s="446">
        <f>IF(C63=0,0,(VLOOKUP(C63,'PO MTRL'!$B$9:$S1518,2,0)))</f>
        <v>0</v>
      </c>
      <c r="E63" s="548" t="str">
        <f>IF(C63="","",(VLOOKUP(C63,'PO MTRL'!$B$9:$S1518,3,0)))</f>
        <v/>
      </c>
      <c r="F63" s="549">
        <f>IF(C63=0,0,(VLOOKUP(C63,'PO MTRL'!$B$9:$S1518,4,0)))</f>
        <v>0</v>
      </c>
      <c r="G63" s="444"/>
      <c r="H63" s="550">
        <f>IF(C63=0,0,(VLOOKUP(C63,'PO MTRL'!$B$9:$S1518,6,0)))</f>
        <v>0</v>
      </c>
      <c r="I63" s="446">
        <f>IF(C63=0,0,(VLOOKUP(C63,'PO MTRL'!$B$9:$S1518,7,0)))</f>
        <v>0</v>
      </c>
      <c r="J63" s="551">
        <f>IF(C63=0,0,(VLOOKUP(C63,'PO MTRL'!$B$9:$S1518,8,0)))</f>
        <v>0</v>
      </c>
      <c r="K63" s="559"/>
      <c r="L63" s="448">
        <f t="shared" si="1"/>
        <v>0</v>
      </c>
      <c r="M63" s="551">
        <f t="shared" si="2"/>
        <v>0</v>
      </c>
      <c r="N63" s="449">
        <f t="shared" si="3"/>
        <v>0</v>
      </c>
      <c r="O63" s="551">
        <f>IF(H63=0,0,(VLOOKUP(H63,'PO MTRL'!$G$9:$S1518,5,0)))</f>
        <v>0</v>
      </c>
      <c r="P63" s="551">
        <f>IF(H63=0,0,(VLOOKUP(H63,'PO MTRL'!$G$9:$S1518,7,0)))</f>
        <v>0</v>
      </c>
      <c r="Q63" s="551">
        <f t="shared" si="4"/>
        <v>0</v>
      </c>
      <c r="R63" s="551">
        <f t="shared" si="5"/>
        <v>0</v>
      </c>
      <c r="S63" s="550">
        <f>IF(C63=0,0,(VLOOKUP(C63,'PO MTRL'!$B$9:$S1518,17,0)))</f>
        <v>0</v>
      </c>
      <c r="T63" s="553"/>
      <c r="U63" s="554">
        <f>IF(C63=0,0,(VLOOKUP(C63,'PO MTRL'!$B$9:$S1518,18,0)))</f>
        <v>0</v>
      </c>
      <c r="V63" s="16"/>
      <c r="W63" s="119" t="str">
        <f t="shared" si="6"/>
        <v/>
      </c>
      <c r="X63" s="564">
        <f t="shared" si="7"/>
        <v>0</v>
      </c>
      <c r="Y63" s="119"/>
      <c r="Z63" s="119"/>
      <c r="AA63" s="530">
        <f>IFERROR(__xludf.DUMMYFUNCTION("""COMPUTED_VALUE"""),55.0)</f>
        <v>55</v>
      </c>
      <c r="AB63" s="119"/>
      <c r="AC63" s="119"/>
      <c r="AD63" s="119"/>
      <c r="AE63" s="119"/>
      <c r="AF63" s="119"/>
      <c r="AG63" s="555" t="str">
        <f t="shared" si="8"/>
        <v>  ---&gt;     ---&gt;   </v>
      </c>
      <c r="AH63" s="16"/>
      <c r="AI63" s="439"/>
      <c r="AJ63" s="439"/>
      <c r="AK63" s="439"/>
    </row>
    <row r="64" ht="18.75" customHeight="1">
      <c r="A64" s="439"/>
      <c r="B64" s="546"/>
      <c r="C64" s="547"/>
      <c r="D64" s="446">
        <f>IF(C64=0,0,(VLOOKUP(C64,'PO MTRL'!$B$9:$S1518,2,0)))</f>
        <v>0</v>
      </c>
      <c r="E64" s="548" t="str">
        <f>IF(C64="","",(VLOOKUP(C64,'PO MTRL'!$B$9:$S1518,3,0)))</f>
        <v/>
      </c>
      <c r="F64" s="549">
        <f>IF(C64=0,0,(VLOOKUP(C64,'PO MTRL'!$B$9:$S1518,4,0)))</f>
        <v>0</v>
      </c>
      <c r="G64" s="444"/>
      <c r="H64" s="550">
        <f>IF(C64=0,0,(VLOOKUP(C64,'PO MTRL'!$B$9:$S1518,6,0)))</f>
        <v>0</v>
      </c>
      <c r="I64" s="446">
        <f>IF(C64=0,0,(VLOOKUP(C64,'PO MTRL'!$B$9:$S1518,7,0)))</f>
        <v>0</v>
      </c>
      <c r="J64" s="551">
        <f>IF(C64=0,0,(VLOOKUP(C64,'PO MTRL'!$B$9:$S1518,8,0)))</f>
        <v>0</v>
      </c>
      <c r="K64" s="559"/>
      <c r="L64" s="448">
        <f t="shared" si="1"/>
        <v>0</v>
      </c>
      <c r="M64" s="551">
        <f t="shared" si="2"/>
        <v>0</v>
      </c>
      <c r="N64" s="449">
        <f t="shared" si="3"/>
        <v>0</v>
      </c>
      <c r="O64" s="551">
        <f>IF(H64=0,0,(VLOOKUP(H64,'PO MTRL'!$G$9:$S1518,5,0)))</f>
        <v>0</v>
      </c>
      <c r="P64" s="551">
        <f>IF(H64=0,0,(VLOOKUP(H64,'PO MTRL'!$G$9:$S1518,7,0)))</f>
        <v>0</v>
      </c>
      <c r="Q64" s="551">
        <f t="shared" si="4"/>
        <v>0</v>
      </c>
      <c r="R64" s="551">
        <f t="shared" si="5"/>
        <v>0</v>
      </c>
      <c r="S64" s="550">
        <f>IF(C64=0,0,(VLOOKUP(C64,'PO MTRL'!$B$9:$S1518,17,0)))</f>
        <v>0</v>
      </c>
      <c r="T64" s="553"/>
      <c r="U64" s="554">
        <f>IF(C64=0,0,(VLOOKUP(C64,'PO MTRL'!$B$9:$S1518,18,0)))</f>
        <v>0</v>
      </c>
      <c r="V64" s="16"/>
      <c r="W64" s="119" t="str">
        <f t="shared" si="6"/>
        <v/>
      </c>
      <c r="X64" s="564">
        <f t="shared" si="7"/>
        <v>0</v>
      </c>
      <c r="Y64" s="119"/>
      <c r="Z64" s="119"/>
      <c r="AA64" s="530">
        <f>IFERROR(__xludf.DUMMYFUNCTION("""COMPUTED_VALUE"""),56.0)</f>
        <v>56</v>
      </c>
      <c r="AB64" s="119"/>
      <c r="AC64" s="119"/>
      <c r="AD64" s="119"/>
      <c r="AE64" s="119"/>
      <c r="AF64" s="119"/>
      <c r="AG64" s="555" t="str">
        <f t="shared" si="8"/>
        <v>  ---&gt;     ---&gt;   </v>
      </c>
      <c r="AH64" s="16"/>
      <c r="AI64" s="439"/>
      <c r="AJ64" s="439"/>
      <c r="AK64" s="439"/>
    </row>
    <row r="65" ht="18.75" customHeight="1">
      <c r="A65" s="439"/>
      <c r="B65" s="546"/>
      <c r="C65" s="547"/>
      <c r="D65" s="446">
        <f>IF(C65=0,0,(VLOOKUP(C65,'PO MTRL'!$B$9:$S1518,2,0)))</f>
        <v>0</v>
      </c>
      <c r="E65" s="548" t="str">
        <f>IF(C65="","",(VLOOKUP(C65,'PO MTRL'!$B$9:$S1518,3,0)))</f>
        <v/>
      </c>
      <c r="F65" s="549">
        <f>IF(C65=0,0,(VLOOKUP(C65,'PO MTRL'!$B$9:$S1518,4,0)))</f>
        <v>0</v>
      </c>
      <c r="G65" s="444"/>
      <c r="H65" s="550">
        <f>IF(C65=0,0,(VLOOKUP(C65,'PO MTRL'!$B$9:$S1518,6,0)))</f>
        <v>0</v>
      </c>
      <c r="I65" s="446">
        <f>IF(C65=0,0,(VLOOKUP(C65,'PO MTRL'!$B$9:$S1518,7,0)))</f>
        <v>0</v>
      </c>
      <c r="J65" s="551">
        <f>IF(C65=0,0,(VLOOKUP(C65,'PO MTRL'!$B$9:$S1518,8,0)))</f>
        <v>0</v>
      </c>
      <c r="K65" s="559"/>
      <c r="L65" s="448">
        <f t="shared" si="1"/>
        <v>0</v>
      </c>
      <c r="M65" s="551">
        <f t="shared" si="2"/>
        <v>0</v>
      </c>
      <c r="N65" s="449">
        <f t="shared" si="3"/>
        <v>0</v>
      </c>
      <c r="O65" s="551">
        <f>IF(H65=0,0,(VLOOKUP(H65,'PO MTRL'!$G$9:$S1518,5,0)))</f>
        <v>0</v>
      </c>
      <c r="P65" s="551">
        <f>IF(H65=0,0,(VLOOKUP(H65,'PO MTRL'!$G$9:$S1518,7,0)))</f>
        <v>0</v>
      </c>
      <c r="Q65" s="551">
        <f t="shared" si="4"/>
        <v>0</v>
      </c>
      <c r="R65" s="551">
        <f t="shared" si="5"/>
        <v>0</v>
      </c>
      <c r="S65" s="550">
        <f>IF(C65=0,0,(VLOOKUP(C65,'PO MTRL'!$B$9:$S1518,17,0)))</f>
        <v>0</v>
      </c>
      <c r="T65" s="553"/>
      <c r="U65" s="554">
        <f>IF(C65=0,0,(VLOOKUP(C65,'PO MTRL'!$B$9:$S1518,18,0)))</f>
        <v>0</v>
      </c>
      <c r="V65" s="16"/>
      <c r="W65" s="119" t="str">
        <f t="shared" si="6"/>
        <v/>
      </c>
      <c r="X65" s="564">
        <f t="shared" si="7"/>
        <v>0</v>
      </c>
      <c r="Y65" s="119"/>
      <c r="Z65" s="119"/>
      <c r="AA65" s="530">
        <f>IFERROR(__xludf.DUMMYFUNCTION("""COMPUTED_VALUE"""),57.0)</f>
        <v>57</v>
      </c>
      <c r="AB65" s="119"/>
      <c r="AC65" s="119"/>
      <c r="AD65" s="119"/>
      <c r="AE65" s="119"/>
      <c r="AF65" s="119"/>
      <c r="AG65" s="555" t="str">
        <f t="shared" si="8"/>
        <v>  ---&gt;     ---&gt;   </v>
      </c>
      <c r="AH65" s="16"/>
      <c r="AI65" s="439"/>
      <c r="AJ65" s="439"/>
      <c r="AK65" s="439"/>
    </row>
    <row r="66" ht="18.75" customHeight="1">
      <c r="A66" s="439"/>
      <c r="B66" s="546"/>
      <c r="C66" s="547"/>
      <c r="D66" s="446">
        <f>IF(C66=0,0,(VLOOKUP(C66,'PO MTRL'!$B$9:$S1518,2,0)))</f>
        <v>0</v>
      </c>
      <c r="E66" s="548" t="str">
        <f>IF(C66="","",(VLOOKUP(C66,'PO MTRL'!$B$9:$S1518,3,0)))</f>
        <v/>
      </c>
      <c r="F66" s="549">
        <f>IF(C66=0,0,(VLOOKUP(C66,'PO MTRL'!$B$9:$S1518,4,0)))</f>
        <v>0</v>
      </c>
      <c r="G66" s="444"/>
      <c r="H66" s="550">
        <f>IF(C66=0,0,(VLOOKUP(C66,'PO MTRL'!$B$9:$S1518,6,0)))</f>
        <v>0</v>
      </c>
      <c r="I66" s="446">
        <f>IF(C66=0,0,(VLOOKUP(C66,'PO MTRL'!$B$9:$S1518,7,0)))</f>
        <v>0</v>
      </c>
      <c r="J66" s="551">
        <f>IF(C66=0,0,(VLOOKUP(C66,'PO MTRL'!$B$9:$S1518,8,0)))</f>
        <v>0</v>
      </c>
      <c r="K66" s="559"/>
      <c r="L66" s="448">
        <f t="shared" si="1"/>
        <v>0</v>
      </c>
      <c r="M66" s="551">
        <f t="shared" si="2"/>
        <v>0</v>
      </c>
      <c r="N66" s="449">
        <f t="shared" si="3"/>
        <v>0</v>
      </c>
      <c r="O66" s="551">
        <f>IF(H66=0,0,(VLOOKUP(H66,'PO MTRL'!$G$9:$S1518,5,0)))</f>
        <v>0</v>
      </c>
      <c r="P66" s="551">
        <f>IF(H66=0,0,(VLOOKUP(H66,'PO MTRL'!$G$9:$S1518,7,0)))</f>
        <v>0</v>
      </c>
      <c r="Q66" s="551">
        <f t="shared" si="4"/>
        <v>0</v>
      </c>
      <c r="R66" s="551">
        <f t="shared" si="5"/>
        <v>0</v>
      </c>
      <c r="S66" s="550">
        <f>IF(C66=0,0,(VLOOKUP(C66,'PO MTRL'!$B$9:$S1518,17,0)))</f>
        <v>0</v>
      </c>
      <c r="T66" s="553"/>
      <c r="U66" s="554">
        <f>IF(C66=0,0,(VLOOKUP(C66,'PO MTRL'!$B$9:$S1518,18,0)))</f>
        <v>0</v>
      </c>
      <c r="V66" s="16"/>
      <c r="W66" s="119" t="str">
        <f t="shared" si="6"/>
        <v/>
      </c>
      <c r="X66" s="564">
        <f t="shared" si="7"/>
        <v>0</v>
      </c>
      <c r="Y66" s="119"/>
      <c r="Z66" s="119"/>
      <c r="AA66" s="530">
        <f>IFERROR(__xludf.DUMMYFUNCTION("""COMPUTED_VALUE"""),58.0)</f>
        <v>58</v>
      </c>
      <c r="AB66" s="119"/>
      <c r="AC66" s="119"/>
      <c r="AD66" s="119"/>
      <c r="AE66" s="119"/>
      <c r="AF66" s="119"/>
      <c r="AG66" s="555" t="str">
        <f t="shared" si="8"/>
        <v>  ---&gt;     ---&gt;   </v>
      </c>
      <c r="AH66" s="16"/>
      <c r="AI66" s="439"/>
      <c r="AJ66" s="439"/>
      <c r="AK66" s="439"/>
    </row>
    <row r="67" ht="18.75" customHeight="1">
      <c r="A67" s="439"/>
      <c r="B67" s="546"/>
      <c r="C67" s="547"/>
      <c r="D67" s="446">
        <f>IF(C67=0,0,(VLOOKUP(C67,'PO MTRL'!$B$9:$S1518,2,0)))</f>
        <v>0</v>
      </c>
      <c r="E67" s="548" t="str">
        <f>IF(C67="","",(VLOOKUP(C67,'PO MTRL'!$B$9:$S1518,3,0)))</f>
        <v/>
      </c>
      <c r="F67" s="549">
        <f>IF(C67=0,0,(VLOOKUP(C67,'PO MTRL'!$B$9:$S1518,4,0)))</f>
        <v>0</v>
      </c>
      <c r="G67" s="444"/>
      <c r="H67" s="550">
        <f>IF(C67=0,0,(VLOOKUP(C67,'PO MTRL'!$B$9:$S1518,6,0)))</f>
        <v>0</v>
      </c>
      <c r="I67" s="446">
        <f>IF(C67=0,0,(VLOOKUP(C67,'PO MTRL'!$B$9:$S1518,7,0)))</f>
        <v>0</v>
      </c>
      <c r="J67" s="551">
        <f>IF(C67=0,0,(VLOOKUP(C67,'PO MTRL'!$B$9:$S1518,8,0)))</f>
        <v>0</v>
      </c>
      <c r="K67" s="559"/>
      <c r="L67" s="448">
        <f t="shared" si="1"/>
        <v>0</v>
      </c>
      <c r="M67" s="551">
        <f t="shared" si="2"/>
        <v>0</v>
      </c>
      <c r="N67" s="449">
        <f t="shared" si="3"/>
        <v>0</v>
      </c>
      <c r="O67" s="551">
        <f>IF(H67=0,0,(VLOOKUP(H67,'PO MTRL'!$G$9:$S1518,5,0)))</f>
        <v>0</v>
      </c>
      <c r="P67" s="551">
        <f>IF(H67=0,0,(VLOOKUP(H67,'PO MTRL'!$G$9:$S1518,7,0)))</f>
        <v>0</v>
      </c>
      <c r="Q67" s="551">
        <f t="shared" si="4"/>
        <v>0</v>
      </c>
      <c r="R67" s="551">
        <f t="shared" si="5"/>
        <v>0</v>
      </c>
      <c r="S67" s="550">
        <f>IF(C67=0,0,(VLOOKUP(C67,'PO MTRL'!$B$9:$S1518,17,0)))</f>
        <v>0</v>
      </c>
      <c r="T67" s="553"/>
      <c r="U67" s="554">
        <f>IF(C67=0,0,(VLOOKUP(C67,'PO MTRL'!$B$9:$S1518,18,0)))</f>
        <v>0</v>
      </c>
      <c r="V67" s="16"/>
      <c r="W67" s="119" t="str">
        <f t="shared" si="6"/>
        <v/>
      </c>
      <c r="X67" s="564">
        <f t="shared" si="7"/>
        <v>0</v>
      </c>
      <c r="Y67" s="119"/>
      <c r="Z67" s="119"/>
      <c r="AA67" s="530">
        <f>IFERROR(__xludf.DUMMYFUNCTION("""COMPUTED_VALUE"""),59.0)</f>
        <v>59</v>
      </c>
      <c r="AB67" s="119"/>
      <c r="AC67" s="119"/>
      <c r="AD67" s="119"/>
      <c r="AE67" s="119"/>
      <c r="AF67" s="119"/>
      <c r="AG67" s="555" t="str">
        <f t="shared" si="8"/>
        <v>  ---&gt;     ---&gt;   </v>
      </c>
      <c r="AH67" s="16"/>
      <c r="AI67" s="439"/>
      <c r="AJ67" s="439"/>
      <c r="AK67" s="439"/>
    </row>
    <row r="68" ht="18.75" customHeight="1">
      <c r="A68" s="439"/>
      <c r="B68" s="546"/>
      <c r="C68" s="547"/>
      <c r="D68" s="446">
        <f>IF(C68=0,0,(VLOOKUP(C68,'PO MTRL'!$B$9:$S1518,2,0)))</f>
        <v>0</v>
      </c>
      <c r="E68" s="548" t="str">
        <f>IF(C68="","",(VLOOKUP(C68,'PO MTRL'!$B$9:$S1518,3,0)))</f>
        <v/>
      </c>
      <c r="F68" s="549">
        <f>IF(C68=0,0,(VLOOKUP(C68,'PO MTRL'!$B$9:$S1518,4,0)))</f>
        <v>0</v>
      </c>
      <c r="G68" s="444"/>
      <c r="H68" s="550">
        <f>IF(C68=0,0,(VLOOKUP(C68,'PO MTRL'!$B$9:$S1518,6,0)))</f>
        <v>0</v>
      </c>
      <c r="I68" s="446">
        <f>IF(C68=0,0,(VLOOKUP(C68,'PO MTRL'!$B$9:$S1518,7,0)))</f>
        <v>0</v>
      </c>
      <c r="J68" s="551">
        <f>IF(C68=0,0,(VLOOKUP(C68,'PO MTRL'!$B$9:$S1518,8,0)))</f>
        <v>0</v>
      </c>
      <c r="K68" s="559"/>
      <c r="L68" s="448">
        <f t="shared" si="1"/>
        <v>0</v>
      </c>
      <c r="M68" s="551">
        <f t="shared" si="2"/>
        <v>0</v>
      </c>
      <c r="N68" s="449">
        <f t="shared" si="3"/>
        <v>0</v>
      </c>
      <c r="O68" s="551">
        <f>IF(H68=0,0,(VLOOKUP(H68,'PO MTRL'!$G$9:$S1518,5,0)))</f>
        <v>0</v>
      </c>
      <c r="P68" s="551">
        <f>IF(H68=0,0,(VLOOKUP(H68,'PO MTRL'!$G$9:$S1518,7,0)))</f>
        <v>0</v>
      </c>
      <c r="Q68" s="551">
        <f t="shared" si="4"/>
        <v>0</v>
      </c>
      <c r="R68" s="551">
        <f t="shared" si="5"/>
        <v>0</v>
      </c>
      <c r="S68" s="550">
        <f>IF(C68=0,0,(VLOOKUP(C68,'PO MTRL'!$B$9:$S1518,17,0)))</f>
        <v>0</v>
      </c>
      <c r="T68" s="553"/>
      <c r="U68" s="554">
        <f>IF(C68=0,0,(VLOOKUP(C68,'PO MTRL'!$B$9:$S1518,18,0)))</f>
        <v>0</v>
      </c>
      <c r="V68" s="16"/>
      <c r="W68" s="119" t="str">
        <f t="shared" si="6"/>
        <v/>
      </c>
      <c r="X68" s="564">
        <f t="shared" si="7"/>
        <v>0</v>
      </c>
      <c r="Y68" s="119"/>
      <c r="Z68" s="119"/>
      <c r="AA68" s="530">
        <f>IFERROR(__xludf.DUMMYFUNCTION("""COMPUTED_VALUE"""),60.0)</f>
        <v>60</v>
      </c>
      <c r="AB68" s="119"/>
      <c r="AC68" s="119"/>
      <c r="AD68" s="119"/>
      <c r="AE68" s="119"/>
      <c r="AF68" s="119"/>
      <c r="AG68" s="555" t="str">
        <f t="shared" si="8"/>
        <v>  ---&gt;     ---&gt;   </v>
      </c>
      <c r="AH68" s="16"/>
      <c r="AI68" s="439"/>
      <c r="AJ68" s="439"/>
      <c r="AK68" s="439"/>
    </row>
    <row r="69" ht="18.75" customHeight="1">
      <c r="A69" s="439"/>
      <c r="B69" s="546"/>
      <c r="C69" s="547"/>
      <c r="D69" s="446">
        <f>IF(C69=0,0,(VLOOKUP(C69,'PO MTRL'!$B$9:$S1518,2,0)))</f>
        <v>0</v>
      </c>
      <c r="E69" s="548" t="str">
        <f>IF(C69="","",(VLOOKUP(C69,'PO MTRL'!$B$9:$S1518,3,0)))</f>
        <v/>
      </c>
      <c r="F69" s="549">
        <f>IF(C69=0,0,(VLOOKUP(C69,'PO MTRL'!$B$9:$S1518,4,0)))</f>
        <v>0</v>
      </c>
      <c r="G69" s="444"/>
      <c r="H69" s="550">
        <f>IF(C69=0,0,(VLOOKUP(C69,'PO MTRL'!$B$9:$S1518,6,0)))</f>
        <v>0</v>
      </c>
      <c r="I69" s="446">
        <f>IF(C69=0,0,(VLOOKUP(C69,'PO MTRL'!$B$9:$S1518,7,0)))</f>
        <v>0</v>
      </c>
      <c r="J69" s="551">
        <f>IF(C69=0,0,(VLOOKUP(C69,'PO MTRL'!$B$9:$S1518,8,0)))</f>
        <v>0</v>
      </c>
      <c r="K69" s="559"/>
      <c r="L69" s="448">
        <f t="shared" si="1"/>
        <v>0</v>
      </c>
      <c r="M69" s="551">
        <f t="shared" si="2"/>
        <v>0</v>
      </c>
      <c r="N69" s="449">
        <f t="shared" si="3"/>
        <v>0</v>
      </c>
      <c r="O69" s="551">
        <f>IF(H69=0,0,(VLOOKUP(H69,'PO MTRL'!$G$9:$S1518,5,0)))</f>
        <v>0</v>
      </c>
      <c r="P69" s="551">
        <f>IF(H69=0,0,(VLOOKUP(H69,'PO MTRL'!$G$9:$S1518,7,0)))</f>
        <v>0</v>
      </c>
      <c r="Q69" s="551">
        <f t="shared" si="4"/>
        <v>0</v>
      </c>
      <c r="R69" s="551">
        <f t="shared" si="5"/>
        <v>0</v>
      </c>
      <c r="S69" s="550">
        <f>IF(C69=0,0,(VLOOKUP(C69,'PO MTRL'!$B$9:$S1518,17,0)))</f>
        <v>0</v>
      </c>
      <c r="T69" s="553"/>
      <c r="U69" s="554">
        <f>IF(C69=0,0,(VLOOKUP(C69,'PO MTRL'!$B$9:$S1518,18,0)))</f>
        <v>0</v>
      </c>
      <c r="V69" s="16"/>
      <c r="W69" s="119" t="str">
        <f t="shared" si="6"/>
        <v/>
      </c>
      <c r="X69" s="564">
        <f t="shared" si="7"/>
        <v>0</v>
      </c>
      <c r="Y69" s="119"/>
      <c r="Z69" s="119"/>
      <c r="AA69" s="530">
        <f>IFERROR(__xludf.DUMMYFUNCTION("""COMPUTED_VALUE"""),61.0)</f>
        <v>61</v>
      </c>
      <c r="AB69" s="119"/>
      <c r="AC69" s="119"/>
      <c r="AD69" s="119"/>
      <c r="AE69" s="119"/>
      <c r="AF69" s="119"/>
      <c r="AG69" s="555" t="str">
        <f t="shared" si="8"/>
        <v>  ---&gt;     ---&gt;   </v>
      </c>
      <c r="AH69" s="16"/>
      <c r="AI69" s="439"/>
      <c r="AJ69" s="439"/>
      <c r="AK69" s="439"/>
    </row>
    <row r="70" ht="18.75" customHeight="1">
      <c r="A70" s="439"/>
      <c r="B70" s="546"/>
      <c r="C70" s="547"/>
      <c r="D70" s="446">
        <f>IF(C70=0,0,(VLOOKUP(C70,'PO MTRL'!$B$9:$S1518,2,0)))</f>
        <v>0</v>
      </c>
      <c r="E70" s="548" t="str">
        <f>IF(C70="","",(VLOOKUP(C70,'PO MTRL'!$B$9:$S1518,3,0)))</f>
        <v/>
      </c>
      <c r="F70" s="549">
        <f>IF(C70=0,0,(VLOOKUP(C70,'PO MTRL'!$B$9:$S1518,4,0)))</f>
        <v>0</v>
      </c>
      <c r="G70" s="444"/>
      <c r="H70" s="550">
        <f>IF(C70=0,0,(VLOOKUP(C70,'PO MTRL'!$B$9:$S1518,6,0)))</f>
        <v>0</v>
      </c>
      <c r="I70" s="446">
        <f>IF(C70=0,0,(VLOOKUP(C70,'PO MTRL'!$B$9:$S1518,7,0)))</f>
        <v>0</v>
      </c>
      <c r="J70" s="551">
        <f>IF(C70=0,0,(VLOOKUP(C70,'PO MTRL'!$B$9:$S1518,8,0)))</f>
        <v>0</v>
      </c>
      <c r="K70" s="559"/>
      <c r="L70" s="448">
        <f t="shared" si="1"/>
        <v>0</v>
      </c>
      <c r="M70" s="551">
        <f t="shared" si="2"/>
        <v>0</v>
      </c>
      <c r="N70" s="449">
        <f t="shared" si="3"/>
        <v>0</v>
      </c>
      <c r="O70" s="551">
        <f>IF(H70=0,0,(VLOOKUP(H70,'PO MTRL'!$G$9:$S1518,5,0)))</f>
        <v>0</v>
      </c>
      <c r="P70" s="551">
        <f>IF(H70=0,0,(VLOOKUP(H70,'PO MTRL'!$G$9:$S1518,7,0)))</f>
        <v>0</v>
      </c>
      <c r="Q70" s="551">
        <f t="shared" si="4"/>
        <v>0</v>
      </c>
      <c r="R70" s="551">
        <f t="shared" si="5"/>
        <v>0</v>
      </c>
      <c r="S70" s="550">
        <f>IF(C70=0,0,(VLOOKUP(C70,'PO MTRL'!$B$9:$S1518,17,0)))</f>
        <v>0</v>
      </c>
      <c r="T70" s="553"/>
      <c r="U70" s="554">
        <f>IF(C70=0,0,(VLOOKUP(C70,'PO MTRL'!$B$9:$S1518,18,0)))</f>
        <v>0</v>
      </c>
      <c r="V70" s="16"/>
      <c r="W70" s="119" t="str">
        <f t="shared" si="6"/>
        <v/>
      </c>
      <c r="X70" s="564">
        <f t="shared" si="7"/>
        <v>0</v>
      </c>
      <c r="Y70" s="119"/>
      <c r="Z70" s="119"/>
      <c r="AA70" s="530">
        <f>IFERROR(__xludf.DUMMYFUNCTION("""COMPUTED_VALUE"""),62.0)</f>
        <v>62</v>
      </c>
      <c r="AB70" s="119"/>
      <c r="AC70" s="119"/>
      <c r="AD70" s="119"/>
      <c r="AE70" s="119"/>
      <c r="AF70" s="119"/>
      <c r="AG70" s="555" t="str">
        <f t="shared" si="8"/>
        <v>  ---&gt;     ---&gt;   </v>
      </c>
      <c r="AH70" s="16"/>
      <c r="AI70" s="439"/>
      <c r="AJ70" s="439"/>
      <c r="AK70" s="439"/>
    </row>
    <row r="71" ht="18.75" customHeight="1">
      <c r="A71" s="439"/>
      <c r="B71" s="546"/>
      <c r="C71" s="547"/>
      <c r="D71" s="446">
        <f>IF(C71=0,0,(VLOOKUP(C71,'PO MTRL'!$B$9:$S1518,2,0)))</f>
        <v>0</v>
      </c>
      <c r="E71" s="548" t="str">
        <f>IF(C71="","",(VLOOKUP(C71,'PO MTRL'!$B$9:$S1518,3,0)))</f>
        <v/>
      </c>
      <c r="F71" s="549">
        <f>IF(C71=0,0,(VLOOKUP(C71,'PO MTRL'!$B$9:$S1518,4,0)))</f>
        <v>0</v>
      </c>
      <c r="G71" s="444"/>
      <c r="H71" s="550">
        <f>IF(C71=0,0,(VLOOKUP(C71,'PO MTRL'!$B$9:$S1518,6,0)))</f>
        <v>0</v>
      </c>
      <c r="I71" s="446">
        <f>IF(C71=0,0,(VLOOKUP(C71,'PO MTRL'!$B$9:$S1518,7,0)))</f>
        <v>0</v>
      </c>
      <c r="J71" s="551">
        <f>IF(C71=0,0,(VLOOKUP(C71,'PO MTRL'!$B$9:$S1518,8,0)))</f>
        <v>0</v>
      </c>
      <c r="K71" s="559"/>
      <c r="L71" s="448">
        <f t="shared" si="1"/>
        <v>0</v>
      </c>
      <c r="M71" s="551">
        <f t="shared" si="2"/>
        <v>0</v>
      </c>
      <c r="N71" s="449">
        <f t="shared" si="3"/>
        <v>0</v>
      </c>
      <c r="O71" s="551">
        <f>IF(H71=0,0,(VLOOKUP(H71,'PO MTRL'!$G$9:$S1518,5,0)))</f>
        <v>0</v>
      </c>
      <c r="P71" s="551">
        <f>IF(H71=0,0,(VLOOKUP(H71,'PO MTRL'!$G$9:$S1518,7,0)))</f>
        <v>0</v>
      </c>
      <c r="Q71" s="551">
        <f t="shared" si="4"/>
        <v>0</v>
      </c>
      <c r="R71" s="551">
        <f t="shared" si="5"/>
        <v>0</v>
      </c>
      <c r="S71" s="550">
        <f>IF(C71=0,0,(VLOOKUP(C71,'PO MTRL'!$B$9:$S1518,17,0)))</f>
        <v>0</v>
      </c>
      <c r="T71" s="553"/>
      <c r="U71" s="554">
        <f>IF(C71=0,0,(VLOOKUP(C71,'PO MTRL'!$B$9:$S1518,18,0)))</f>
        <v>0</v>
      </c>
      <c r="V71" s="16"/>
      <c r="W71" s="119" t="str">
        <f t="shared" si="6"/>
        <v/>
      </c>
      <c r="X71" s="564">
        <f t="shared" si="7"/>
        <v>0</v>
      </c>
      <c r="Y71" s="119"/>
      <c r="Z71" s="119"/>
      <c r="AA71" s="530">
        <f>IFERROR(__xludf.DUMMYFUNCTION("""COMPUTED_VALUE"""),63.0)</f>
        <v>63</v>
      </c>
      <c r="AB71" s="119"/>
      <c r="AC71" s="119"/>
      <c r="AD71" s="119"/>
      <c r="AE71" s="119"/>
      <c r="AF71" s="119"/>
      <c r="AG71" s="555" t="str">
        <f t="shared" si="8"/>
        <v>  ---&gt;     ---&gt;   </v>
      </c>
      <c r="AH71" s="16"/>
      <c r="AI71" s="439"/>
      <c r="AJ71" s="439"/>
      <c r="AK71" s="439"/>
    </row>
    <row r="72" ht="18.75" customHeight="1">
      <c r="A72" s="439"/>
      <c r="B72" s="546"/>
      <c r="C72" s="547"/>
      <c r="D72" s="446">
        <f>IF(C72=0,0,(VLOOKUP(C72,'PO MTRL'!$B$9:$S1518,2,0)))</f>
        <v>0</v>
      </c>
      <c r="E72" s="548" t="str">
        <f>IF(C72="","",(VLOOKUP(C72,'PO MTRL'!$B$9:$S1518,3,0)))</f>
        <v/>
      </c>
      <c r="F72" s="549">
        <f>IF(C72=0,0,(VLOOKUP(C72,'PO MTRL'!$B$9:$S1518,4,0)))</f>
        <v>0</v>
      </c>
      <c r="G72" s="444"/>
      <c r="H72" s="550">
        <f>IF(C72=0,0,(VLOOKUP(C72,'PO MTRL'!$B$9:$S1518,6,0)))</f>
        <v>0</v>
      </c>
      <c r="I72" s="446">
        <f>IF(C72=0,0,(VLOOKUP(C72,'PO MTRL'!$B$9:$S1518,7,0)))</f>
        <v>0</v>
      </c>
      <c r="J72" s="551">
        <f>IF(C72=0,0,(VLOOKUP(C72,'PO MTRL'!$B$9:$S1518,8,0)))</f>
        <v>0</v>
      </c>
      <c r="K72" s="559"/>
      <c r="L72" s="448">
        <f t="shared" si="1"/>
        <v>0</v>
      </c>
      <c r="M72" s="551">
        <f t="shared" si="2"/>
        <v>0</v>
      </c>
      <c r="N72" s="449">
        <f t="shared" si="3"/>
        <v>0</v>
      </c>
      <c r="O72" s="551">
        <f>IF(H72=0,0,(VLOOKUP(H72,'PO MTRL'!$G$9:$S1518,5,0)))</f>
        <v>0</v>
      </c>
      <c r="P72" s="551">
        <f>IF(H72=0,0,(VLOOKUP(H72,'PO MTRL'!$G$9:$S1518,7,0)))</f>
        <v>0</v>
      </c>
      <c r="Q72" s="551">
        <f t="shared" si="4"/>
        <v>0</v>
      </c>
      <c r="R72" s="551">
        <f t="shared" si="5"/>
        <v>0</v>
      </c>
      <c r="S72" s="550">
        <f>IF(C72=0,0,(VLOOKUP(C72,'PO MTRL'!$B$9:$S1518,17,0)))</f>
        <v>0</v>
      </c>
      <c r="T72" s="553"/>
      <c r="U72" s="554">
        <f>IF(C72=0,0,(VLOOKUP(C72,'PO MTRL'!$B$9:$S1518,18,0)))</f>
        <v>0</v>
      </c>
      <c r="V72" s="16"/>
      <c r="W72" s="119" t="str">
        <f t="shared" si="6"/>
        <v/>
      </c>
      <c r="X72" s="564">
        <f t="shared" si="7"/>
        <v>0</v>
      </c>
      <c r="Y72" s="119"/>
      <c r="Z72" s="119"/>
      <c r="AA72" s="530">
        <f>IFERROR(__xludf.DUMMYFUNCTION("""COMPUTED_VALUE"""),64.0)</f>
        <v>64</v>
      </c>
      <c r="AB72" s="119"/>
      <c r="AC72" s="119"/>
      <c r="AD72" s="119"/>
      <c r="AE72" s="119"/>
      <c r="AF72" s="119"/>
      <c r="AG72" s="555" t="str">
        <f t="shared" si="8"/>
        <v>  ---&gt;     ---&gt;   </v>
      </c>
      <c r="AH72" s="16"/>
      <c r="AI72" s="439"/>
      <c r="AJ72" s="439"/>
      <c r="AK72" s="439"/>
    </row>
    <row r="73" ht="18.75" customHeight="1">
      <c r="A73" s="439"/>
      <c r="B73" s="546"/>
      <c r="C73" s="547"/>
      <c r="D73" s="446">
        <f>IF(C73=0,0,(VLOOKUP(C73,'PO MTRL'!$B$9:$S1518,2,0)))</f>
        <v>0</v>
      </c>
      <c r="E73" s="548" t="str">
        <f>IF(C73="","",(VLOOKUP(C73,'PO MTRL'!$B$9:$S1518,3,0)))</f>
        <v/>
      </c>
      <c r="F73" s="549">
        <f>IF(C73=0,0,(VLOOKUP(C73,'PO MTRL'!$B$9:$S1518,4,0)))</f>
        <v>0</v>
      </c>
      <c r="G73" s="444"/>
      <c r="H73" s="550">
        <f>IF(C73=0,0,(VLOOKUP(C73,'PO MTRL'!$B$9:$S1518,6,0)))</f>
        <v>0</v>
      </c>
      <c r="I73" s="446">
        <f>IF(C73=0,0,(VLOOKUP(C73,'PO MTRL'!$B$9:$S1518,7,0)))</f>
        <v>0</v>
      </c>
      <c r="J73" s="551">
        <f>IF(C73=0,0,(VLOOKUP(C73,'PO MTRL'!$B$9:$S1518,8,0)))</f>
        <v>0</v>
      </c>
      <c r="K73" s="559"/>
      <c r="L73" s="448">
        <f t="shared" si="1"/>
        <v>0</v>
      </c>
      <c r="M73" s="551">
        <f t="shared" si="2"/>
        <v>0</v>
      </c>
      <c r="N73" s="449">
        <f t="shared" si="3"/>
        <v>0</v>
      </c>
      <c r="O73" s="551">
        <f>IF(H73=0,0,(VLOOKUP(H73,'PO MTRL'!$G$9:$S1518,5,0)))</f>
        <v>0</v>
      </c>
      <c r="P73" s="551">
        <f>IF(H73=0,0,(VLOOKUP(H73,'PO MTRL'!$G$9:$S1518,7,0)))</f>
        <v>0</v>
      </c>
      <c r="Q73" s="551">
        <f t="shared" si="4"/>
        <v>0</v>
      </c>
      <c r="R73" s="551">
        <f t="shared" si="5"/>
        <v>0</v>
      </c>
      <c r="S73" s="550">
        <f>IF(C73=0,0,(VLOOKUP(C73,'PO MTRL'!$B$9:$S1518,17,0)))</f>
        <v>0</v>
      </c>
      <c r="T73" s="553"/>
      <c r="U73" s="554">
        <f>IF(C73=0,0,(VLOOKUP(C73,'PO MTRL'!$B$9:$S1518,18,0)))</f>
        <v>0</v>
      </c>
      <c r="V73" s="16"/>
      <c r="W73" s="119" t="str">
        <f t="shared" si="6"/>
        <v/>
      </c>
      <c r="X73" s="564">
        <f t="shared" si="7"/>
        <v>0</v>
      </c>
      <c r="Y73" s="119"/>
      <c r="Z73" s="119"/>
      <c r="AA73" s="530">
        <f>IFERROR(__xludf.DUMMYFUNCTION("""COMPUTED_VALUE"""),65.0)</f>
        <v>65</v>
      </c>
      <c r="AB73" s="119"/>
      <c r="AC73" s="119"/>
      <c r="AD73" s="119"/>
      <c r="AE73" s="119"/>
      <c r="AF73" s="119"/>
      <c r="AG73" s="555" t="str">
        <f t="shared" si="8"/>
        <v>  ---&gt;     ---&gt;   </v>
      </c>
      <c r="AH73" s="16"/>
      <c r="AI73" s="439"/>
      <c r="AJ73" s="439"/>
      <c r="AK73" s="439"/>
    </row>
    <row r="74" ht="18.75" customHeight="1">
      <c r="A74" s="439"/>
      <c r="B74" s="546"/>
      <c r="C74" s="547"/>
      <c r="D74" s="446">
        <f>IF(C74=0,0,(VLOOKUP(C74,'PO MTRL'!$B$9:$S1518,2,0)))</f>
        <v>0</v>
      </c>
      <c r="E74" s="548" t="str">
        <f>IF(C74="","",(VLOOKUP(C74,'PO MTRL'!$B$9:$S1518,3,0)))</f>
        <v/>
      </c>
      <c r="F74" s="549">
        <f>IF(C74=0,0,(VLOOKUP(C74,'PO MTRL'!$B$9:$S1518,4,0)))</f>
        <v>0</v>
      </c>
      <c r="G74" s="444"/>
      <c r="H74" s="550">
        <f>IF(C74=0,0,(VLOOKUP(C74,'PO MTRL'!$B$9:$S1518,6,0)))</f>
        <v>0</v>
      </c>
      <c r="I74" s="446">
        <f>IF(C74=0,0,(VLOOKUP(C74,'PO MTRL'!$B$9:$S1518,7,0)))</f>
        <v>0</v>
      </c>
      <c r="J74" s="551">
        <f>IF(C74=0,0,(VLOOKUP(C74,'PO MTRL'!$B$9:$S1518,8,0)))</f>
        <v>0</v>
      </c>
      <c r="K74" s="559"/>
      <c r="L74" s="448">
        <f t="shared" si="1"/>
        <v>0</v>
      </c>
      <c r="M74" s="551">
        <f t="shared" si="2"/>
        <v>0</v>
      </c>
      <c r="N74" s="449">
        <f t="shared" si="3"/>
        <v>0</v>
      </c>
      <c r="O74" s="551">
        <f>IF(H74=0,0,(VLOOKUP(H74,'PO MTRL'!$G$9:$S1518,5,0)))</f>
        <v>0</v>
      </c>
      <c r="P74" s="551">
        <f>IF(H74=0,0,(VLOOKUP(H74,'PO MTRL'!$G$9:$S1518,7,0)))</f>
        <v>0</v>
      </c>
      <c r="Q74" s="551">
        <f t="shared" si="4"/>
        <v>0</v>
      </c>
      <c r="R74" s="551">
        <f t="shared" si="5"/>
        <v>0</v>
      </c>
      <c r="S74" s="550">
        <f>IF(C74=0,0,(VLOOKUP(C74,'PO MTRL'!$B$9:$S1518,17,0)))</f>
        <v>0</v>
      </c>
      <c r="T74" s="553"/>
      <c r="U74" s="554">
        <f>IF(C74=0,0,(VLOOKUP(C74,'PO MTRL'!$B$9:$S1518,18,0)))</f>
        <v>0</v>
      </c>
      <c r="V74" s="16"/>
      <c r="W74" s="119" t="str">
        <f t="shared" si="6"/>
        <v/>
      </c>
      <c r="X74" s="564">
        <f t="shared" si="7"/>
        <v>0</v>
      </c>
      <c r="Y74" s="119"/>
      <c r="Z74" s="119"/>
      <c r="AA74" s="530">
        <f>IFERROR(__xludf.DUMMYFUNCTION("""COMPUTED_VALUE"""),66.0)</f>
        <v>66</v>
      </c>
      <c r="AB74" s="119"/>
      <c r="AC74" s="119"/>
      <c r="AD74" s="119"/>
      <c r="AE74" s="119"/>
      <c r="AF74" s="119"/>
      <c r="AG74" s="555" t="str">
        <f t="shared" si="8"/>
        <v>  ---&gt;     ---&gt;   </v>
      </c>
      <c r="AH74" s="16"/>
      <c r="AI74" s="439"/>
      <c r="AJ74" s="439"/>
      <c r="AK74" s="439"/>
    </row>
    <row r="75" ht="18.75" customHeight="1">
      <c r="A75" s="439"/>
      <c r="B75" s="546"/>
      <c r="C75" s="547"/>
      <c r="D75" s="446">
        <f>IF(C75=0,0,(VLOOKUP(C75,'PO MTRL'!$B$9:$S1518,2,0)))</f>
        <v>0</v>
      </c>
      <c r="E75" s="548" t="str">
        <f>IF(C75="","",(VLOOKUP(C75,'PO MTRL'!$B$9:$S1518,3,0)))</f>
        <v/>
      </c>
      <c r="F75" s="549">
        <f>IF(C75=0,0,(VLOOKUP(C75,'PO MTRL'!$B$9:$S1518,4,0)))</f>
        <v>0</v>
      </c>
      <c r="G75" s="444"/>
      <c r="H75" s="550">
        <f>IF(C75=0,0,(VLOOKUP(C75,'PO MTRL'!$B$9:$S1518,6,0)))</f>
        <v>0</v>
      </c>
      <c r="I75" s="446">
        <f>IF(C75=0,0,(VLOOKUP(C75,'PO MTRL'!$B$9:$S1518,7,0)))</f>
        <v>0</v>
      </c>
      <c r="J75" s="551">
        <f>IF(C75=0,0,(VLOOKUP(C75,'PO MTRL'!$B$9:$S1518,8,0)))</f>
        <v>0</v>
      </c>
      <c r="K75" s="559"/>
      <c r="L75" s="448">
        <f t="shared" si="1"/>
        <v>0</v>
      </c>
      <c r="M75" s="551">
        <f t="shared" si="2"/>
        <v>0</v>
      </c>
      <c r="N75" s="449">
        <f t="shared" si="3"/>
        <v>0</v>
      </c>
      <c r="O75" s="551">
        <f>IF(H75=0,0,(VLOOKUP(H75,'PO MTRL'!$G$9:$S1518,5,0)))</f>
        <v>0</v>
      </c>
      <c r="P75" s="551">
        <f>IF(H75=0,0,(VLOOKUP(H75,'PO MTRL'!$G$9:$S1518,7,0)))</f>
        <v>0</v>
      </c>
      <c r="Q75" s="551">
        <f t="shared" si="4"/>
        <v>0</v>
      </c>
      <c r="R75" s="551">
        <f t="shared" si="5"/>
        <v>0</v>
      </c>
      <c r="S75" s="550">
        <f>IF(C75=0,0,(VLOOKUP(C75,'PO MTRL'!$B$9:$S1518,17,0)))</f>
        <v>0</v>
      </c>
      <c r="T75" s="553"/>
      <c r="U75" s="554">
        <f>IF(C75=0,0,(VLOOKUP(C75,'PO MTRL'!$B$9:$S1518,18,0)))</f>
        <v>0</v>
      </c>
      <c r="V75" s="16"/>
      <c r="W75" s="119" t="str">
        <f t="shared" si="6"/>
        <v/>
      </c>
      <c r="X75" s="564">
        <f t="shared" si="7"/>
        <v>0</v>
      </c>
      <c r="Y75" s="119"/>
      <c r="Z75" s="119"/>
      <c r="AA75" s="530">
        <f>IFERROR(__xludf.DUMMYFUNCTION("""COMPUTED_VALUE"""),67.0)</f>
        <v>67</v>
      </c>
      <c r="AB75" s="119"/>
      <c r="AC75" s="119"/>
      <c r="AD75" s="119"/>
      <c r="AE75" s="119"/>
      <c r="AF75" s="119"/>
      <c r="AG75" s="555" t="str">
        <f t="shared" si="8"/>
        <v>  ---&gt;     ---&gt;   </v>
      </c>
      <c r="AH75" s="16"/>
      <c r="AI75" s="439"/>
      <c r="AJ75" s="439"/>
      <c r="AK75" s="439"/>
    </row>
    <row r="76" ht="18.75" customHeight="1">
      <c r="A76" s="439"/>
      <c r="B76" s="546"/>
      <c r="C76" s="547"/>
      <c r="D76" s="446">
        <f>IF(C76=0,0,(VLOOKUP(C76,'PO MTRL'!$B$9:$S1518,2,0)))</f>
        <v>0</v>
      </c>
      <c r="E76" s="548" t="str">
        <f>IF(C76="","",(VLOOKUP(C76,'PO MTRL'!$B$9:$S1518,3,0)))</f>
        <v/>
      </c>
      <c r="F76" s="549">
        <f>IF(C76=0,0,(VLOOKUP(C76,'PO MTRL'!$B$9:$S1518,4,0)))</f>
        <v>0</v>
      </c>
      <c r="G76" s="444"/>
      <c r="H76" s="550">
        <f>IF(C76=0,0,(VLOOKUP(C76,'PO MTRL'!$B$9:$S1518,6,0)))</f>
        <v>0</v>
      </c>
      <c r="I76" s="446">
        <f>IF(C76=0,0,(VLOOKUP(C76,'PO MTRL'!$B$9:$S1518,7,0)))</f>
        <v>0</v>
      </c>
      <c r="J76" s="551">
        <f>IF(C76=0,0,(VLOOKUP(C76,'PO MTRL'!$B$9:$S1518,8,0)))</f>
        <v>0</v>
      </c>
      <c r="K76" s="559"/>
      <c r="L76" s="448">
        <f t="shared" si="1"/>
        <v>0</v>
      </c>
      <c r="M76" s="551">
        <f t="shared" si="2"/>
        <v>0</v>
      </c>
      <c r="N76" s="449">
        <f t="shared" si="3"/>
        <v>0</v>
      </c>
      <c r="O76" s="551">
        <f>IF(H76=0,0,(VLOOKUP(H76,'PO MTRL'!$G$9:$S1518,5,0)))</f>
        <v>0</v>
      </c>
      <c r="P76" s="551">
        <f>IF(H76=0,0,(VLOOKUP(H76,'PO MTRL'!$G$9:$S1518,7,0)))</f>
        <v>0</v>
      </c>
      <c r="Q76" s="551">
        <f t="shared" si="4"/>
        <v>0</v>
      </c>
      <c r="R76" s="551">
        <f t="shared" si="5"/>
        <v>0</v>
      </c>
      <c r="S76" s="550">
        <f>IF(C76=0,0,(VLOOKUP(C76,'PO MTRL'!$B$9:$S1518,17,0)))</f>
        <v>0</v>
      </c>
      <c r="T76" s="553"/>
      <c r="U76" s="554">
        <f>IF(C76=0,0,(VLOOKUP(C76,'PO MTRL'!$B$9:$S1518,18,0)))</f>
        <v>0</v>
      </c>
      <c r="V76" s="16"/>
      <c r="W76" s="119" t="str">
        <f t="shared" si="6"/>
        <v/>
      </c>
      <c r="X76" s="564">
        <f t="shared" si="7"/>
        <v>0</v>
      </c>
      <c r="Y76" s="119"/>
      <c r="Z76" s="119"/>
      <c r="AA76" s="530">
        <f>IFERROR(__xludf.DUMMYFUNCTION("""COMPUTED_VALUE"""),68.0)</f>
        <v>68</v>
      </c>
      <c r="AB76" s="119"/>
      <c r="AC76" s="119"/>
      <c r="AD76" s="119"/>
      <c r="AE76" s="119"/>
      <c r="AF76" s="119"/>
      <c r="AG76" s="555" t="str">
        <f t="shared" si="8"/>
        <v>  ---&gt;     ---&gt;   </v>
      </c>
      <c r="AH76" s="16"/>
      <c r="AI76" s="439"/>
      <c r="AJ76" s="439"/>
      <c r="AK76" s="439"/>
    </row>
    <row r="77" ht="18.75" customHeight="1">
      <c r="A77" s="439"/>
      <c r="B77" s="546"/>
      <c r="C77" s="547"/>
      <c r="D77" s="446">
        <f>IF(C77=0,0,(VLOOKUP(C77,'PO MTRL'!$B$9:$S1518,2,0)))</f>
        <v>0</v>
      </c>
      <c r="E77" s="548" t="str">
        <f>IF(C77="","",(VLOOKUP(C77,'PO MTRL'!$B$9:$S1518,3,0)))</f>
        <v/>
      </c>
      <c r="F77" s="549">
        <f>IF(C77=0,0,(VLOOKUP(C77,'PO MTRL'!$B$9:$S1518,4,0)))</f>
        <v>0</v>
      </c>
      <c r="G77" s="444"/>
      <c r="H77" s="550">
        <f>IF(C77=0,0,(VLOOKUP(C77,'PO MTRL'!$B$9:$S1518,6,0)))</f>
        <v>0</v>
      </c>
      <c r="I77" s="446">
        <f>IF(C77=0,0,(VLOOKUP(C77,'PO MTRL'!$B$9:$S1518,7,0)))</f>
        <v>0</v>
      </c>
      <c r="J77" s="551">
        <f>IF(C77=0,0,(VLOOKUP(C77,'PO MTRL'!$B$9:$S1518,8,0)))</f>
        <v>0</v>
      </c>
      <c r="K77" s="559"/>
      <c r="L77" s="448">
        <f t="shared" si="1"/>
        <v>0</v>
      </c>
      <c r="M77" s="551">
        <f t="shared" si="2"/>
        <v>0</v>
      </c>
      <c r="N77" s="449">
        <f t="shared" si="3"/>
        <v>0</v>
      </c>
      <c r="O77" s="551">
        <f>IF(H77=0,0,(VLOOKUP(H77,'PO MTRL'!$G$9:$S1518,5,0)))</f>
        <v>0</v>
      </c>
      <c r="P77" s="551">
        <f>IF(H77=0,0,(VLOOKUP(H77,'PO MTRL'!$G$9:$S1518,7,0)))</f>
        <v>0</v>
      </c>
      <c r="Q77" s="551">
        <f t="shared" si="4"/>
        <v>0</v>
      </c>
      <c r="R77" s="551">
        <f t="shared" si="5"/>
        <v>0</v>
      </c>
      <c r="S77" s="550">
        <f>IF(C77=0,0,(VLOOKUP(C77,'PO MTRL'!$B$9:$S1518,17,0)))</f>
        <v>0</v>
      </c>
      <c r="T77" s="553"/>
      <c r="U77" s="554">
        <f>IF(C77=0,0,(VLOOKUP(C77,'PO MTRL'!$B$9:$S1518,18,0)))</f>
        <v>0</v>
      </c>
      <c r="V77" s="16"/>
      <c r="W77" s="119" t="str">
        <f t="shared" si="6"/>
        <v/>
      </c>
      <c r="X77" s="564">
        <f t="shared" si="7"/>
        <v>0</v>
      </c>
      <c r="Y77" s="119"/>
      <c r="Z77" s="119"/>
      <c r="AA77" s="530">
        <f>IFERROR(__xludf.DUMMYFUNCTION("""COMPUTED_VALUE"""),69.0)</f>
        <v>69</v>
      </c>
      <c r="AB77" s="119"/>
      <c r="AC77" s="119"/>
      <c r="AD77" s="119"/>
      <c r="AE77" s="119"/>
      <c r="AF77" s="119"/>
      <c r="AG77" s="555" t="str">
        <f t="shared" si="8"/>
        <v>  ---&gt;     ---&gt;   </v>
      </c>
      <c r="AH77" s="16"/>
      <c r="AI77" s="439"/>
      <c r="AJ77" s="439"/>
      <c r="AK77" s="439"/>
    </row>
    <row r="78" ht="18.75" customHeight="1">
      <c r="A78" s="439"/>
      <c r="B78" s="546"/>
      <c r="C78" s="547"/>
      <c r="D78" s="446">
        <f>IF(C78=0,0,(VLOOKUP(C78,'PO MTRL'!$B$9:$S1518,2,0)))</f>
        <v>0</v>
      </c>
      <c r="E78" s="548" t="str">
        <f>IF(C78="","",(VLOOKUP(C78,'PO MTRL'!$B$9:$S1518,3,0)))</f>
        <v/>
      </c>
      <c r="F78" s="549">
        <f>IF(C78=0,0,(VLOOKUP(C78,'PO MTRL'!$B$9:$S1518,4,0)))</f>
        <v>0</v>
      </c>
      <c r="G78" s="444"/>
      <c r="H78" s="550">
        <f>IF(C78=0,0,(VLOOKUP(C78,'PO MTRL'!$B$9:$S1518,6,0)))</f>
        <v>0</v>
      </c>
      <c r="I78" s="446">
        <f>IF(C78=0,0,(VLOOKUP(C78,'PO MTRL'!$B$9:$S1518,7,0)))</f>
        <v>0</v>
      </c>
      <c r="J78" s="551">
        <f>IF(C78=0,0,(VLOOKUP(C78,'PO MTRL'!$B$9:$S1518,8,0)))</f>
        <v>0</v>
      </c>
      <c r="K78" s="559"/>
      <c r="L78" s="448">
        <f t="shared" si="1"/>
        <v>0</v>
      </c>
      <c r="M78" s="551">
        <f t="shared" si="2"/>
        <v>0</v>
      </c>
      <c r="N78" s="449">
        <f t="shared" si="3"/>
        <v>0</v>
      </c>
      <c r="O78" s="551">
        <f>IF(H78=0,0,(VLOOKUP(H78,'PO MTRL'!$G$9:$S1518,5,0)))</f>
        <v>0</v>
      </c>
      <c r="P78" s="551">
        <f>IF(H78=0,0,(VLOOKUP(H78,'PO MTRL'!$G$9:$S1518,7,0)))</f>
        <v>0</v>
      </c>
      <c r="Q78" s="551">
        <f t="shared" si="4"/>
        <v>0</v>
      </c>
      <c r="R78" s="551">
        <f t="shared" si="5"/>
        <v>0</v>
      </c>
      <c r="S78" s="550">
        <f>IF(C78=0,0,(VLOOKUP(C78,'PO MTRL'!$B$9:$S1518,17,0)))</f>
        <v>0</v>
      </c>
      <c r="T78" s="553"/>
      <c r="U78" s="554">
        <f>IF(C78=0,0,(VLOOKUP(C78,'PO MTRL'!$B$9:$S1518,18,0)))</f>
        <v>0</v>
      </c>
      <c r="V78" s="16"/>
      <c r="W78" s="119" t="str">
        <f t="shared" si="6"/>
        <v/>
      </c>
      <c r="X78" s="564">
        <f t="shared" si="7"/>
        <v>0</v>
      </c>
      <c r="Y78" s="119"/>
      <c r="Z78" s="119"/>
      <c r="AA78" s="530">
        <f>IFERROR(__xludf.DUMMYFUNCTION("""COMPUTED_VALUE"""),70.0)</f>
        <v>70</v>
      </c>
      <c r="AB78" s="119"/>
      <c r="AC78" s="119"/>
      <c r="AD78" s="119"/>
      <c r="AE78" s="119"/>
      <c r="AF78" s="119"/>
      <c r="AG78" s="555" t="str">
        <f t="shared" si="8"/>
        <v>  ---&gt;     ---&gt;   </v>
      </c>
      <c r="AH78" s="16"/>
      <c r="AI78" s="439"/>
      <c r="AJ78" s="439"/>
      <c r="AK78" s="439"/>
    </row>
    <row r="79" ht="18.75" customHeight="1">
      <c r="A79" s="439"/>
      <c r="B79" s="546"/>
      <c r="C79" s="547"/>
      <c r="D79" s="446">
        <f>IF(C79=0,0,(VLOOKUP(C79,'PO MTRL'!$B$9:$S1518,2,0)))</f>
        <v>0</v>
      </c>
      <c r="E79" s="548" t="str">
        <f>IF(C79="","",(VLOOKUP(C79,'PO MTRL'!$B$9:$S1518,3,0)))</f>
        <v/>
      </c>
      <c r="F79" s="549">
        <f>IF(C79=0,0,(VLOOKUP(C79,'PO MTRL'!$B$9:$S1518,4,0)))</f>
        <v>0</v>
      </c>
      <c r="G79" s="444"/>
      <c r="H79" s="550">
        <f>IF(C79=0,0,(VLOOKUP(C79,'PO MTRL'!$B$9:$S1518,6,0)))</f>
        <v>0</v>
      </c>
      <c r="I79" s="446">
        <f>IF(C79=0,0,(VLOOKUP(C79,'PO MTRL'!$B$9:$S1518,7,0)))</f>
        <v>0</v>
      </c>
      <c r="J79" s="551">
        <f>IF(C79=0,0,(VLOOKUP(C79,'PO MTRL'!$B$9:$S1518,8,0)))</f>
        <v>0</v>
      </c>
      <c r="K79" s="559"/>
      <c r="L79" s="448">
        <f t="shared" si="1"/>
        <v>0</v>
      </c>
      <c r="M79" s="551">
        <f t="shared" si="2"/>
        <v>0</v>
      </c>
      <c r="N79" s="449">
        <f t="shared" si="3"/>
        <v>0</v>
      </c>
      <c r="O79" s="551">
        <f>IF(H79=0,0,(VLOOKUP(H79,'PO MTRL'!$G$9:$S1518,5,0)))</f>
        <v>0</v>
      </c>
      <c r="P79" s="551">
        <f>IF(H79=0,0,(VLOOKUP(H79,'PO MTRL'!$G$9:$S1518,7,0)))</f>
        <v>0</v>
      </c>
      <c r="Q79" s="551">
        <f t="shared" si="4"/>
        <v>0</v>
      </c>
      <c r="R79" s="551">
        <f t="shared" si="5"/>
        <v>0</v>
      </c>
      <c r="S79" s="550">
        <f>IF(C79=0,0,(VLOOKUP(C79,'PO MTRL'!$B$9:$S1518,17,0)))</f>
        <v>0</v>
      </c>
      <c r="T79" s="553"/>
      <c r="U79" s="554">
        <f>IF(C79=0,0,(VLOOKUP(C79,'PO MTRL'!$B$9:$S1518,18,0)))</f>
        <v>0</v>
      </c>
      <c r="V79" s="16"/>
      <c r="W79" s="119" t="str">
        <f t="shared" si="6"/>
        <v/>
      </c>
      <c r="X79" s="564">
        <f t="shared" si="7"/>
        <v>0</v>
      </c>
      <c r="Y79" s="119"/>
      <c r="Z79" s="119"/>
      <c r="AA79" s="530">
        <f>IFERROR(__xludf.DUMMYFUNCTION("""COMPUTED_VALUE"""),71.0)</f>
        <v>71</v>
      </c>
      <c r="AB79" s="119"/>
      <c r="AC79" s="119"/>
      <c r="AD79" s="119"/>
      <c r="AE79" s="119"/>
      <c r="AF79" s="119"/>
      <c r="AG79" s="555" t="str">
        <f t="shared" si="8"/>
        <v>  ---&gt;     ---&gt;   </v>
      </c>
      <c r="AH79" s="16"/>
      <c r="AI79" s="439"/>
      <c r="AJ79" s="439"/>
      <c r="AK79" s="439"/>
    </row>
    <row r="80" ht="18.75" customHeight="1">
      <c r="A80" s="439"/>
      <c r="B80" s="546"/>
      <c r="C80" s="547"/>
      <c r="D80" s="446">
        <f>IF(C80=0,0,(VLOOKUP(C80,'PO MTRL'!$B$9:$S1518,2,0)))</f>
        <v>0</v>
      </c>
      <c r="E80" s="548" t="str">
        <f>IF(C80="","",(VLOOKUP(C80,'PO MTRL'!$B$9:$S1518,3,0)))</f>
        <v/>
      </c>
      <c r="F80" s="549">
        <f>IF(C80=0,0,(VLOOKUP(C80,'PO MTRL'!$B$9:$S1518,4,0)))</f>
        <v>0</v>
      </c>
      <c r="G80" s="444"/>
      <c r="H80" s="550">
        <f>IF(C80=0,0,(VLOOKUP(C80,'PO MTRL'!$B$9:$S1518,6,0)))</f>
        <v>0</v>
      </c>
      <c r="I80" s="446">
        <f>IF(C80=0,0,(VLOOKUP(C80,'PO MTRL'!$B$9:$S1518,7,0)))</f>
        <v>0</v>
      </c>
      <c r="J80" s="551">
        <f>IF(C80=0,0,(VLOOKUP(C80,'PO MTRL'!$B$9:$S1518,8,0)))</f>
        <v>0</v>
      </c>
      <c r="K80" s="559"/>
      <c r="L80" s="448">
        <f t="shared" si="1"/>
        <v>0</v>
      </c>
      <c r="M80" s="551">
        <f t="shared" si="2"/>
        <v>0</v>
      </c>
      <c r="N80" s="449">
        <f t="shared" si="3"/>
        <v>0</v>
      </c>
      <c r="O80" s="551">
        <f>IF(H80=0,0,(VLOOKUP(H80,'PO MTRL'!$G$9:$S1518,5,0)))</f>
        <v>0</v>
      </c>
      <c r="P80" s="551">
        <f>IF(H80=0,0,(VLOOKUP(H80,'PO MTRL'!$G$9:$S1518,7,0)))</f>
        <v>0</v>
      </c>
      <c r="Q80" s="551">
        <f t="shared" si="4"/>
        <v>0</v>
      </c>
      <c r="R80" s="551">
        <f t="shared" si="5"/>
        <v>0</v>
      </c>
      <c r="S80" s="550">
        <f>IF(C80=0,0,(VLOOKUP(C80,'PO MTRL'!$B$9:$S1518,17,0)))</f>
        <v>0</v>
      </c>
      <c r="T80" s="553"/>
      <c r="U80" s="554">
        <f>IF(C80=0,0,(VLOOKUP(C80,'PO MTRL'!$B$9:$S1518,18,0)))</f>
        <v>0</v>
      </c>
      <c r="V80" s="16"/>
      <c r="W80" s="119" t="str">
        <f t="shared" si="6"/>
        <v/>
      </c>
      <c r="X80" s="564">
        <f t="shared" si="7"/>
        <v>0</v>
      </c>
      <c r="Y80" s="119"/>
      <c r="Z80" s="119"/>
      <c r="AA80" s="530">
        <f>IFERROR(__xludf.DUMMYFUNCTION("""COMPUTED_VALUE"""),72.0)</f>
        <v>72</v>
      </c>
      <c r="AB80" s="119"/>
      <c r="AC80" s="119"/>
      <c r="AD80" s="119"/>
      <c r="AE80" s="119"/>
      <c r="AF80" s="119"/>
      <c r="AG80" s="555" t="str">
        <f t="shared" si="8"/>
        <v>  ---&gt;     ---&gt;   </v>
      </c>
      <c r="AH80" s="16"/>
      <c r="AI80" s="439"/>
      <c r="AJ80" s="439"/>
      <c r="AK80" s="439"/>
    </row>
    <row r="81" ht="18.75" customHeight="1">
      <c r="A81" s="439"/>
      <c r="B81" s="546"/>
      <c r="C81" s="547"/>
      <c r="D81" s="446">
        <f>IF(C81=0,0,(VLOOKUP(C81,'PO MTRL'!$B$9:$S1518,2,0)))</f>
        <v>0</v>
      </c>
      <c r="E81" s="548" t="str">
        <f>IF(C81="","",(VLOOKUP(C81,'PO MTRL'!$B$9:$S1518,3,0)))</f>
        <v/>
      </c>
      <c r="F81" s="549">
        <f>IF(C81=0,0,(VLOOKUP(C81,'PO MTRL'!$B$9:$S1518,4,0)))</f>
        <v>0</v>
      </c>
      <c r="G81" s="444"/>
      <c r="H81" s="550">
        <f>IF(C81=0,0,(VLOOKUP(C81,'PO MTRL'!$B$9:$S1518,6,0)))</f>
        <v>0</v>
      </c>
      <c r="I81" s="446">
        <f>IF(C81=0,0,(VLOOKUP(C81,'PO MTRL'!$B$9:$S1518,7,0)))</f>
        <v>0</v>
      </c>
      <c r="J81" s="551">
        <f>IF(C81=0,0,(VLOOKUP(C81,'PO MTRL'!$B$9:$S1518,8,0)))</f>
        <v>0</v>
      </c>
      <c r="K81" s="559"/>
      <c r="L81" s="448">
        <f t="shared" si="1"/>
        <v>0</v>
      </c>
      <c r="M81" s="551">
        <f t="shared" si="2"/>
        <v>0</v>
      </c>
      <c r="N81" s="449">
        <f t="shared" si="3"/>
        <v>0</v>
      </c>
      <c r="O81" s="551">
        <f>IF(H81=0,0,(VLOOKUP(H81,'PO MTRL'!$G$9:$S1518,5,0)))</f>
        <v>0</v>
      </c>
      <c r="P81" s="551">
        <f>IF(H81=0,0,(VLOOKUP(H81,'PO MTRL'!$G$9:$S1518,7,0)))</f>
        <v>0</v>
      </c>
      <c r="Q81" s="551">
        <f t="shared" si="4"/>
        <v>0</v>
      </c>
      <c r="R81" s="551">
        <f t="shared" si="5"/>
        <v>0</v>
      </c>
      <c r="S81" s="550">
        <f>IF(C81=0,0,(VLOOKUP(C81,'PO MTRL'!$B$9:$S1518,17,0)))</f>
        <v>0</v>
      </c>
      <c r="T81" s="553"/>
      <c r="U81" s="554">
        <f>IF(C81=0,0,(VLOOKUP(C81,'PO MTRL'!$B$9:$S1518,18,0)))</f>
        <v>0</v>
      </c>
      <c r="V81" s="16"/>
      <c r="W81" s="119" t="str">
        <f t="shared" si="6"/>
        <v/>
      </c>
      <c r="X81" s="564">
        <f t="shared" si="7"/>
        <v>0</v>
      </c>
      <c r="Y81" s="119"/>
      <c r="Z81" s="119"/>
      <c r="AA81" s="530">
        <f>IFERROR(__xludf.DUMMYFUNCTION("""COMPUTED_VALUE"""),73.0)</f>
        <v>73</v>
      </c>
      <c r="AB81" s="119"/>
      <c r="AC81" s="119"/>
      <c r="AD81" s="119"/>
      <c r="AE81" s="119"/>
      <c r="AF81" s="119"/>
      <c r="AG81" s="555" t="str">
        <f t="shared" si="8"/>
        <v>  ---&gt;     ---&gt;   </v>
      </c>
      <c r="AH81" s="16"/>
      <c r="AI81" s="439"/>
      <c r="AJ81" s="439"/>
      <c r="AK81" s="439"/>
    </row>
    <row r="82" ht="18.75" customHeight="1">
      <c r="A82" s="439"/>
      <c r="B82" s="546"/>
      <c r="C82" s="547"/>
      <c r="D82" s="446">
        <f>IF(C82=0,0,(VLOOKUP(C82,'PO MTRL'!$B$9:$S1518,2,0)))</f>
        <v>0</v>
      </c>
      <c r="E82" s="548" t="str">
        <f>IF(C82="","",(VLOOKUP(C82,'PO MTRL'!$B$9:$S1518,3,0)))</f>
        <v/>
      </c>
      <c r="F82" s="549">
        <f>IF(C82=0,0,(VLOOKUP(C82,'PO MTRL'!$B$9:$S1518,4,0)))</f>
        <v>0</v>
      </c>
      <c r="G82" s="444"/>
      <c r="H82" s="550">
        <f>IF(C82=0,0,(VLOOKUP(C82,'PO MTRL'!$B$9:$S1518,6,0)))</f>
        <v>0</v>
      </c>
      <c r="I82" s="446">
        <f>IF(C82=0,0,(VLOOKUP(C82,'PO MTRL'!$B$9:$S1518,7,0)))</f>
        <v>0</v>
      </c>
      <c r="J82" s="551">
        <f>IF(C82=0,0,(VLOOKUP(C82,'PO MTRL'!$B$9:$S1518,8,0)))</f>
        <v>0</v>
      </c>
      <c r="K82" s="559"/>
      <c r="L82" s="448">
        <f t="shared" si="1"/>
        <v>0</v>
      </c>
      <c r="M82" s="551">
        <f t="shared" si="2"/>
        <v>0</v>
      </c>
      <c r="N82" s="449">
        <f t="shared" si="3"/>
        <v>0</v>
      </c>
      <c r="O82" s="551">
        <f>IF(H82=0,0,(VLOOKUP(H82,'PO MTRL'!$G$9:$S1518,5,0)))</f>
        <v>0</v>
      </c>
      <c r="P82" s="551">
        <f>IF(H82=0,0,(VLOOKUP(H82,'PO MTRL'!$G$9:$S1518,7,0)))</f>
        <v>0</v>
      </c>
      <c r="Q82" s="551">
        <f t="shared" si="4"/>
        <v>0</v>
      </c>
      <c r="R82" s="551">
        <f t="shared" si="5"/>
        <v>0</v>
      </c>
      <c r="S82" s="550">
        <f>IF(C82=0,0,(VLOOKUP(C82,'PO MTRL'!$B$9:$S1518,17,0)))</f>
        <v>0</v>
      </c>
      <c r="T82" s="553"/>
      <c r="U82" s="554">
        <f>IF(C82=0,0,(VLOOKUP(C82,'PO MTRL'!$B$9:$S1518,18,0)))</f>
        <v>0</v>
      </c>
      <c r="V82" s="16"/>
      <c r="W82" s="119" t="str">
        <f t="shared" si="6"/>
        <v/>
      </c>
      <c r="X82" s="564">
        <f t="shared" si="7"/>
        <v>0</v>
      </c>
      <c r="Y82" s="119"/>
      <c r="Z82" s="119"/>
      <c r="AA82" s="530">
        <f>IFERROR(__xludf.DUMMYFUNCTION("""COMPUTED_VALUE"""),74.0)</f>
        <v>74</v>
      </c>
      <c r="AB82" s="119"/>
      <c r="AC82" s="119"/>
      <c r="AD82" s="119"/>
      <c r="AE82" s="119"/>
      <c r="AF82" s="119"/>
      <c r="AG82" s="555" t="str">
        <f t="shared" si="8"/>
        <v>  ---&gt;     ---&gt;   </v>
      </c>
      <c r="AH82" s="16"/>
      <c r="AI82" s="439"/>
      <c r="AJ82" s="439"/>
      <c r="AK82" s="439"/>
    </row>
    <row r="83" ht="18.75" customHeight="1">
      <c r="A83" s="439"/>
      <c r="B83" s="546"/>
      <c r="C83" s="547"/>
      <c r="D83" s="446">
        <f>IF(C83=0,0,(VLOOKUP(C83,'PO MTRL'!$B$9:$S1518,2,0)))</f>
        <v>0</v>
      </c>
      <c r="E83" s="548" t="str">
        <f>IF(C83="","",(VLOOKUP(C83,'PO MTRL'!$B$9:$S1518,3,0)))</f>
        <v/>
      </c>
      <c r="F83" s="549">
        <f>IF(C83=0,0,(VLOOKUP(C83,'PO MTRL'!$B$9:$S1518,4,0)))</f>
        <v>0</v>
      </c>
      <c r="G83" s="444"/>
      <c r="H83" s="550">
        <f>IF(C83=0,0,(VLOOKUP(C83,'PO MTRL'!$B$9:$S1518,6,0)))</f>
        <v>0</v>
      </c>
      <c r="I83" s="446">
        <f>IF(C83=0,0,(VLOOKUP(C83,'PO MTRL'!$B$9:$S1518,7,0)))</f>
        <v>0</v>
      </c>
      <c r="J83" s="551">
        <f>IF(C83=0,0,(VLOOKUP(C83,'PO MTRL'!$B$9:$S1518,8,0)))</f>
        <v>0</v>
      </c>
      <c r="K83" s="559"/>
      <c r="L83" s="448">
        <f t="shared" si="1"/>
        <v>0</v>
      </c>
      <c r="M83" s="551">
        <f t="shared" si="2"/>
        <v>0</v>
      </c>
      <c r="N83" s="449">
        <f t="shared" si="3"/>
        <v>0</v>
      </c>
      <c r="O83" s="551">
        <f>IF(H83=0,0,(VLOOKUP(H83,'PO MTRL'!$G$9:$S1518,5,0)))</f>
        <v>0</v>
      </c>
      <c r="P83" s="551">
        <f>IF(H83=0,0,(VLOOKUP(H83,'PO MTRL'!$G$9:$S1518,7,0)))</f>
        <v>0</v>
      </c>
      <c r="Q83" s="551">
        <f t="shared" si="4"/>
        <v>0</v>
      </c>
      <c r="R83" s="551">
        <f t="shared" si="5"/>
        <v>0</v>
      </c>
      <c r="S83" s="550">
        <f>IF(C83=0,0,(VLOOKUP(C83,'PO MTRL'!$B$9:$S1518,17,0)))</f>
        <v>0</v>
      </c>
      <c r="T83" s="553"/>
      <c r="U83" s="554">
        <f>IF(C83=0,0,(VLOOKUP(C83,'PO MTRL'!$B$9:$S1518,18,0)))</f>
        <v>0</v>
      </c>
      <c r="V83" s="16"/>
      <c r="W83" s="119" t="str">
        <f t="shared" si="6"/>
        <v/>
      </c>
      <c r="X83" s="564">
        <f t="shared" si="7"/>
        <v>0</v>
      </c>
      <c r="Y83" s="119"/>
      <c r="Z83" s="119"/>
      <c r="AA83" s="530">
        <f>IFERROR(__xludf.DUMMYFUNCTION("""COMPUTED_VALUE"""),75.0)</f>
        <v>75</v>
      </c>
      <c r="AB83" s="119"/>
      <c r="AC83" s="119"/>
      <c r="AD83" s="119"/>
      <c r="AE83" s="119"/>
      <c r="AF83" s="119"/>
      <c r="AG83" s="555" t="str">
        <f t="shared" si="8"/>
        <v>  ---&gt;     ---&gt;   </v>
      </c>
      <c r="AH83" s="16"/>
      <c r="AI83" s="439"/>
      <c r="AJ83" s="439"/>
      <c r="AK83" s="439"/>
    </row>
    <row r="84" ht="18.75" customHeight="1">
      <c r="A84" s="439"/>
      <c r="B84" s="546"/>
      <c r="C84" s="547"/>
      <c r="D84" s="446">
        <f>IF(C84=0,0,(VLOOKUP(C84,'PO MTRL'!$B$9:$S1518,2,0)))</f>
        <v>0</v>
      </c>
      <c r="E84" s="548" t="str">
        <f>IF(C84="","",(VLOOKUP(C84,'PO MTRL'!$B$9:$S1518,3,0)))</f>
        <v/>
      </c>
      <c r="F84" s="549">
        <f>IF(C84=0,0,(VLOOKUP(C84,'PO MTRL'!$B$9:$S1518,4,0)))</f>
        <v>0</v>
      </c>
      <c r="G84" s="444"/>
      <c r="H84" s="550">
        <f>IF(C84=0,0,(VLOOKUP(C84,'PO MTRL'!$B$9:$S1518,6,0)))</f>
        <v>0</v>
      </c>
      <c r="I84" s="446">
        <f>IF(C84=0,0,(VLOOKUP(C84,'PO MTRL'!$B$9:$S1518,7,0)))</f>
        <v>0</v>
      </c>
      <c r="J84" s="551">
        <f>IF(C84=0,0,(VLOOKUP(C84,'PO MTRL'!$B$9:$S1518,8,0)))</f>
        <v>0</v>
      </c>
      <c r="K84" s="559"/>
      <c r="L84" s="448">
        <f t="shared" si="1"/>
        <v>0</v>
      </c>
      <c r="M84" s="551">
        <f t="shared" si="2"/>
        <v>0</v>
      </c>
      <c r="N84" s="449">
        <f t="shared" si="3"/>
        <v>0</v>
      </c>
      <c r="O84" s="551">
        <f>IF(H84=0,0,(VLOOKUP(H84,'PO MTRL'!$G$9:$S1518,5,0)))</f>
        <v>0</v>
      </c>
      <c r="P84" s="551">
        <f>IF(H84=0,0,(VLOOKUP(H84,'PO MTRL'!$G$9:$S1518,7,0)))</f>
        <v>0</v>
      </c>
      <c r="Q84" s="551">
        <f t="shared" si="4"/>
        <v>0</v>
      </c>
      <c r="R84" s="551">
        <f t="shared" si="5"/>
        <v>0</v>
      </c>
      <c r="S84" s="550">
        <f>IF(C84=0,0,(VLOOKUP(C84,'PO MTRL'!$B$9:$S1518,17,0)))</f>
        <v>0</v>
      </c>
      <c r="T84" s="553"/>
      <c r="U84" s="554">
        <f>IF(C84=0,0,(VLOOKUP(C84,'PO MTRL'!$B$9:$S1518,18,0)))</f>
        <v>0</v>
      </c>
      <c r="V84" s="16"/>
      <c r="W84" s="119" t="str">
        <f t="shared" si="6"/>
        <v/>
      </c>
      <c r="X84" s="564">
        <f t="shared" si="7"/>
        <v>0</v>
      </c>
      <c r="Y84" s="119"/>
      <c r="Z84" s="119"/>
      <c r="AA84" s="530">
        <f>IFERROR(__xludf.DUMMYFUNCTION("""COMPUTED_VALUE"""),76.0)</f>
        <v>76</v>
      </c>
      <c r="AB84" s="119"/>
      <c r="AC84" s="119"/>
      <c r="AD84" s="119"/>
      <c r="AE84" s="119"/>
      <c r="AF84" s="119"/>
      <c r="AG84" s="555" t="str">
        <f t="shared" si="8"/>
        <v>  ---&gt;     ---&gt;   </v>
      </c>
      <c r="AH84" s="16"/>
      <c r="AI84" s="439"/>
      <c r="AJ84" s="439"/>
      <c r="AK84" s="439"/>
    </row>
    <row r="85" ht="18.75" customHeight="1">
      <c r="A85" s="439"/>
      <c r="B85" s="546"/>
      <c r="C85" s="547"/>
      <c r="D85" s="446">
        <f>IF(C85=0,0,(VLOOKUP(C85,'PO MTRL'!$B$9:$S1518,2,0)))</f>
        <v>0</v>
      </c>
      <c r="E85" s="548" t="str">
        <f>IF(C85="","",(VLOOKUP(C85,'PO MTRL'!$B$9:$S1518,3,0)))</f>
        <v/>
      </c>
      <c r="F85" s="549">
        <f>IF(C85=0,0,(VLOOKUP(C85,'PO MTRL'!$B$9:$S1518,4,0)))</f>
        <v>0</v>
      </c>
      <c r="G85" s="444"/>
      <c r="H85" s="550">
        <f>IF(C85=0,0,(VLOOKUP(C85,'PO MTRL'!$B$9:$S1518,6,0)))</f>
        <v>0</v>
      </c>
      <c r="I85" s="446">
        <f>IF(C85=0,0,(VLOOKUP(C85,'PO MTRL'!$B$9:$S1518,7,0)))</f>
        <v>0</v>
      </c>
      <c r="J85" s="551">
        <f>IF(C85=0,0,(VLOOKUP(C85,'PO MTRL'!$B$9:$S1518,8,0)))</f>
        <v>0</v>
      </c>
      <c r="K85" s="559"/>
      <c r="L85" s="448">
        <f t="shared" si="1"/>
        <v>0</v>
      </c>
      <c r="M85" s="551">
        <f t="shared" si="2"/>
        <v>0</v>
      </c>
      <c r="N85" s="449">
        <f t="shared" si="3"/>
        <v>0</v>
      </c>
      <c r="O85" s="551">
        <f>IF(H85=0,0,(VLOOKUP(H85,'PO MTRL'!$G$9:$S1518,5,0)))</f>
        <v>0</v>
      </c>
      <c r="P85" s="551">
        <f>IF(H85=0,0,(VLOOKUP(H85,'PO MTRL'!$G$9:$S1518,7,0)))</f>
        <v>0</v>
      </c>
      <c r="Q85" s="551">
        <f t="shared" si="4"/>
        <v>0</v>
      </c>
      <c r="R85" s="551">
        <f t="shared" si="5"/>
        <v>0</v>
      </c>
      <c r="S85" s="550">
        <f>IF(C85=0,0,(VLOOKUP(C85,'PO MTRL'!$B$9:$S1518,17,0)))</f>
        <v>0</v>
      </c>
      <c r="T85" s="553"/>
      <c r="U85" s="554">
        <f>IF(C85=0,0,(VLOOKUP(C85,'PO MTRL'!$B$9:$S1518,18,0)))</f>
        <v>0</v>
      </c>
      <c r="V85" s="16"/>
      <c r="W85" s="119" t="str">
        <f t="shared" si="6"/>
        <v/>
      </c>
      <c r="X85" s="564">
        <f t="shared" si="7"/>
        <v>0</v>
      </c>
      <c r="Y85" s="119"/>
      <c r="Z85" s="119"/>
      <c r="AA85" s="530">
        <f>IFERROR(__xludf.DUMMYFUNCTION("""COMPUTED_VALUE"""),77.0)</f>
        <v>77</v>
      </c>
      <c r="AB85" s="119"/>
      <c r="AC85" s="119"/>
      <c r="AD85" s="119"/>
      <c r="AE85" s="119"/>
      <c r="AF85" s="119"/>
      <c r="AG85" s="555" t="str">
        <f t="shared" si="8"/>
        <v>  ---&gt;     ---&gt;   </v>
      </c>
      <c r="AH85" s="16"/>
      <c r="AI85" s="439"/>
      <c r="AJ85" s="439"/>
      <c r="AK85" s="439"/>
    </row>
    <row r="86" ht="18.75" customHeight="1">
      <c r="A86" s="439"/>
      <c r="B86" s="546"/>
      <c r="C86" s="547"/>
      <c r="D86" s="446">
        <f>IF(C86=0,0,(VLOOKUP(C86,'PO MTRL'!$B$9:$S1518,2,0)))</f>
        <v>0</v>
      </c>
      <c r="E86" s="548" t="str">
        <f>IF(C86="","",(VLOOKUP(C86,'PO MTRL'!$B$9:$S1518,3,0)))</f>
        <v/>
      </c>
      <c r="F86" s="549">
        <f>IF(C86=0,0,(VLOOKUP(C86,'PO MTRL'!$B$9:$S1518,4,0)))</f>
        <v>0</v>
      </c>
      <c r="G86" s="444"/>
      <c r="H86" s="550">
        <f>IF(C86=0,0,(VLOOKUP(C86,'PO MTRL'!$B$9:$S1518,6,0)))</f>
        <v>0</v>
      </c>
      <c r="I86" s="446">
        <f>IF(C86=0,0,(VLOOKUP(C86,'PO MTRL'!$B$9:$S1518,7,0)))</f>
        <v>0</v>
      </c>
      <c r="J86" s="551">
        <f>IF(C86=0,0,(VLOOKUP(C86,'PO MTRL'!$B$9:$S1518,8,0)))</f>
        <v>0</v>
      </c>
      <c r="K86" s="559"/>
      <c r="L86" s="448">
        <f t="shared" si="1"/>
        <v>0</v>
      </c>
      <c r="M86" s="551">
        <f t="shared" si="2"/>
        <v>0</v>
      </c>
      <c r="N86" s="449">
        <f t="shared" si="3"/>
        <v>0</v>
      </c>
      <c r="O86" s="551">
        <f>IF(H86=0,0,(VLOOKUP(H86,'PO MTRL'!$G$9:$S1518,5,0)))</f>
        <v>0</v>
      </c>
      <c r="P86" s="551">
        <f>IF(H86=0,0,(VLOOKUP(H86,'PO MTRL'!$G$9:$S1518,7,0)))</f>
        <v>0</v>
      </c>
      <c r="Q86" s="551">
        <f t="shared" si="4"/>
        <v>0</v>
      </c>
      <c r="R86" s="551">
        <f t="shared" si="5"/>
        <v>0</v>
      </c>
      <c r="S86" s="550">
        <f>IF(C86=0,0,(VLOOKUP(C86,'PO MTRL'!$B$9:$S1518,17,0)))</f>
        <v>0</v>
      </c>
      <c r="T86" s="553"/>
      <c r="U86" s="554">
        <f>IF(C86=0,0,(VLOOKUP(C86,'PO MTRL'!$B$9:$S1518,18,0)))</f>
        <v>0</v>
      </c>
      <c r="V86" s="16"/>
      <c r="W86" s="119" t="str">
        <f t="shared" si="6"/>
        <v/>
      </c>
      <c r="X86" s="564">
        <f t="shared" si="7"/>
        <v>0</v>
      </c>
      <c r="Y86" s="119"/>
      <c r="Z86" s="119"/>
      <c r="AA86" s="530">
        <f>IFERROR(__xludf.DUMMYFUNCTION("""COMPUTED_VALUE"""),78.0)</f>
        <v>78</v>
      </c>
      <c r="AB86" s="119"/>
      <c r="AC86" s="119"/>
      <c r="AD86" s="119"/>
      <c r="AE86" s="119"/>
      <c r="AF86" s="119"/>
      <c r="AG86" s="555" t="str">
        <f t="shared" si="8"/>
        <v>  ---&gt;     ---&gt;   </v>
      </c>
      <c r="AH86" s="16"/>
      <c r="AI86" s="439"/>
      <c r="AJ86" s="439"/>
      <c r="AK86" s="439"/>
    </row>
    <row r="87" ht="18.75" customHeight="1">
      <c r="A87" s="439"/>
      <c r="B87" s="546"/>
      <c r="C87" s="547"/>
      <c r="D87" s="446">
        <f>IF(C87=0,0,(VLOOKUP(C87,'PO MTRL'!$B$9:$S1518,2,0)))</f>
        <v>0</v>
      </c>
      <c r="E87" s="548" t="str">
        <f>IF(C87="","",(VLOOKUP(C87,'PO MTRL'!$B$9:$S1518,3,0)))</f>
        <v/>
      </c>
      <c r="F87" s="549">
        <f>IF(C87=0,0,(VLOOKUP(C87,'PO MTRL'!$B$9:$S1518,4,0)))</f>
        <v>0</v>
      </c>
      <c r="G87" s="444"/>
      <c r="H87" s="550">
        <f>IF(C87=0,0,(VLOOKUP(C87,'PO MTRL'!$B$9:$S1518,6,0)))</f>
        <v>0</v>
      </c>
      <c r="I87" s="446">
        <f>IF(C87=0,0,(VLOOKUP(C87,'PO MTRL'!$B$9:$S1518,7,0)))</f>
        <v>0</v>
      </c>
      <c r="J87" s="551">
        <f>IF(C87=0,0,(VLOOKUP(C87,'PO MTRL'!$B$9:$S1518,8,0)))</f>
        <v>0</v>
      </c>
      <c r="K87" s="559"/>
      <c r="L87" s="448">
        <f t="shared" si="1"/>
        <v>0</v>
      </c>
      <c r="M87" s="551">
        <f t="shared" si="2"/>
        <v>0</v>
      </c>
      <c r="N87" s="449">
        <f t="shared" si="3"/>
        <v>0</v>
      </c>
      <c r="O87" s="551">
        <f>IF(H87=0,0,(VLOOKUP(H87,'PO MTRL'!$G$9:$S1518,5,0)))</f>
        <v>0</v>
      </c>
      <c r="P87" s="551">
        <f>IF(H87=0,0,(VLOOKUP(H87,'PO MTRL'!$G$9:$S1518,7,0)))</f>
        <v>0</v>
      </c>
      <c r="Q87" s="551">
        <f t="shared" si="4"/>
        <v>0</v>
      </c>
      <c r="R87" s="551">
        <f t="shared" si="5"/>
        <v>0</v>
      </c>
      <c r="S87" s="550">
        <f>IF(C87=0,0,(VLOOKUP(C87,'PO MTRL'!$B$9:$S1518,17,0)))</f>
        <v>0</v>
      </c>
      <c r="T87" s="553"/>
      <c r="U87" s="554">
        <f>IF(C87=0,0,(VLOOKUP(C87,'PO MTRL'!$B$9:$S1518,18,0)))</f>
        <v>0</v>
      </c>
      <c r="V87" s="16"/>
      <c r="W87" s="119" t="str">
        <f t="shared" si="6"/>
        <v/>
      </c>
      <c r="X87" s="564">
        <f t="shared" si="7"/>
        <v>0</v>
      </c>
      <c r="Y87" s="119"/>
      <c r="Z87" s="119"/>
      <c r="AA87" s="530">
        <f>IFERROR(__xludf.DUMMYFUNCTION("""COMPUTED_VALUE"""),79.0)</f>
        <v>79</v>
      </c>
      <c r="AB87" s="119"/>
      <c r="AC87" s="119"/>
      <c r="AD87" s="119"/>
      <c r="AE87" s="119"/>
      <c r="AF87" s="119"/>
      <c r="AG87" s="555" t="str">
        <f t="shared" si="8"/>
        <v>  ---&gt;     ---&gt;   </v>
      </c>
      <c r="AH87" s="16"/>
      <c r="AI87" s="439"/>
      <c r="AJ87" s="439"/>
      <c r="AK87" s="439"/>
    </row>
    <row r="88" ht="18.75" customHeight="1">
      <c r="A88" s="439"/>
      <c r="B88" s="546"/>
      <c r="C88" s="547"/>
      <c r="D88" s="446">
        <f>IF(C88=0,0,(VLOOKUP(C88,'PO MTRL'!$B$9:$S1518,2,0)))</f>
        <v>0</v>
      </c>
      <c r="E88" s="548" t="str">
        <f>IF(C88="","",(VLOOKUP(C88,'PO MTRL'!$B$9:$S1518,3,0)))</f>
        <v/>
      </c>
      <c r="F88" s="549">
        <f>IF(C88=0,0,(VLOOKUP(C88,'PO MTRL'!$B$9:$S1518,4,0)))</f>
        <v>0</v>
      </c>
      <c r="G88" s="444"/>
      <c r="H88" s="550">
        <f>IF(C88=0,0,(VLOOKUP(C88,'PO MTRL'!$B$9:$S1518,6,0)))</f>
        <v>0</v>
      </c>
      <c r="I88" s="446">
        <f>IF(C88=0,0,(VLOOKUP(C88,'PO MTRL'!$B$9:$S1518,7,0)))</f>
        <v>0</v>
      </c>
      <c r="J88" s="551">
        <f>IF(C88=0,0,(VLOOKUP(C88,'PO MTRL'!$B$9:$S1518,8,0)))</f>
        <v>0</v>
      </c>
      <c r="K88" s="559"/>
      <c r="L88" s="448">
        <f t="shared" si="1"/>
        <v>0</v>
      </c>
      <c r="M88" s="551">
        <f t="shared" si="2"/>
        <v>0</v>
      </c>
      <c r="N88" s="449">
        <f t="shared" si="3"/>
        <v>0</v>
      </c>
      <c r="O88" s="551">
        <f>IF(H88=0,0,(VLOOKUP(H88,'PO MTRL'!$G$9:$S1518,5,0)))</f>
        <v>0</v>
      </c>
      <c r="P88" s="551">
        <f>IF(H88=0,0,(VLOOKUP(H88,'PO MTRL'!$G$9:$S1518,7,0)))</f>
        <v>0</v>
      </c>
      <c r="Q88" s="551">
        <f t="shared" si="4"/>
        <v>0</v>
      </c>
      <c r="R88" s="551">
        <f t="shared" si="5"/>
        <v>0</v>
      </c>
      <c r="S88" s="550">
        <f>IF(C88=0,0,(VLOOKUP(C88,'PO MTRL'!$B$9:$S1518,17,0)))</f>
        <v>0</v>
      </c>
      <c r="T88" s="553"/>
      <c r="U88" s="554">
        <f>IF(C88=0,0,(VLOOKUP(C88,'PO MTRL'!$B$9:$S1518,18,0)))</f>
        <v>0</v>
      </c>
      <c r="V88" s="16"/>
      <c r="W88" s="119" t="str">
        <f t="shared" si="6"/>
        <v/>
      </c>
      <c r="X88" s="564">
        <f t="shared" si="7"/>
        <v>0</v>
      </c>
      <c r="Y88" s="119"/>
      <c r="Z88" s="119"/>
      <c r="AA88" s="530">
        <f>IFERROR(__xludf.DUMMYFUNCTION("""COMPUTED_VALUE"""),80.0)</f>
        <v>80</v>
      </c>
      <c r="AB88" s="119"/>
      <c r="AC88" s="119"/>
      <c r="AD88" s="119"/>
      <c r="AE88" s="119"/>
      <c r="AF88" s="119"/>
      <c r="AG88" s="555" t="str">
        <f t="shared" si="8"/>
        <v>  ---&gt;     ---&gt;   </v>
      </c>
      <c r="AH88" s="16"/>
      <c r="AI88" s="439"/>
      <c r="AJ88" s="439"/>
      <c r="AK88" s="439"/>
    </row>
    <row r="89" ht="18.75" customHeight="1">
      <c r="A89" s="439"/>
      <c r="B89" s="546"/>
      <c r="C89" s="547"/>
      <c r="D89" s="446">
        <f>IF(C89=0,0,(VLOOKUP(C89,'PO MTRL'!$B$9:$S1518,2,0)))</f>
        <v>0</v>
      </c>
      <c r="E89" s="548" t="str">
        <f>IF(C89="","",(VLOOKUP(C89,'PO MTRL'!$B$9:$S1518,3,0)))</f>
        <v/>
      </c>
      <c r="F89" s="549">
        <f>IF(C89=0,0,(VLOOKUP(C89,'PO MTRL'!$B$9:$S1518,4,0)))</f>
        <v>0</v>
      </c>
      <c r="G89" s="444"/>
      <c r="H89" s="550">
        <f>IF(C89=0,0,(VLOOKUP(C89,'PO MTRL'!$B$9:$S1518,6,0)))</f>
        <v>0</v>
      </c>
      <c r="I89" s="446">
        <f>IF(C89=0,0,(VLOOKUP(C89,'PO MTRL'!$B$9:$S1518,7,0)))</f>
        <v>0</v>
      </c>
      <c r="J89" s="551">
        <f>IF(C89=0,0,(VLOOKUP(C89,'PO MTRL'!$B$9:$S1518,8,0)))</f>
        <v>0</v>
      </c>
      <c r="K89" s="559"/>
      <c r="L89" s="448">
        <f t="shared" si="1"/>
        <v>0</v>
      </c>
      <c r="M89" s="551">
        <f t="shared" si="2"/>
        <v>0</v>
      </c>
      <c r="N89" s="449">
        <f t="shared" si="3"/>
        <v>0</v>
      </c>
      <c r="O89" s="551">
        <f>IF(H89=0,0,(VLOOKUP(H89,'PO MTRL'!$G$9:$S1518,5,0)))</f>
        <v>0</v>
      </c>
      <c r="P89" s="551">
        <f>IF(H89=0,0,(VLOOKUP(H89,'PO MTRL'!$G$9:$S1518,7,0)))</f>
        <v>0</v>
      </c>
      <c r="Q89" s="551">
        <f t="shared" si="4"/>
        <v>0</v>
      </c>
      <c r="R89" s="551">
        <f t="shared" si="5"/>
        <v>0</v>
      </c>
      <c r="S89" s="550">
        <f>IF(C89=0,0,(VLOOKUP(C89,'PO MTRL'!$B$9:$S1518,17,0)))</f>
        <v>0</v>
      </c>
      <c r="T89" s="553"/>
      <c r="U89" s="554">
        <f>IF(C89=0,0,(VLOOKUP(C89,'PO MTRL'!$B$9:$S1518,18,0)))</f>
        <v>0</v>
      </c>
      <c r="V89" s="16"/>
      <c r="W89" s="119" t="str">
        <f t="shared" si="6"/>
        <v/>
      </c>
      <c r="X89" s="564">
        <f t="shared" si="7"/>
        <v>0</v>
      </c>
      <c r="Y89" s="119"/>
      <c r="Z89" s="119"/>
      <c r="AA89" s="530">
        <f>IFERROR(__xludf.DUMMYFUNCTION("""COMPUTED_VALUE"""),81.0)</f>
        <v>81</v>
      </c>
      <c r="AB89" s="119"/>
      <c r="AC89" s="119"/>
      <c r="AD89" s="119"/>
      <c r="AE89" s="119"/>
      <c r="AF89" s="119"/>
      <c r="AG89" s="555" t="str">
        <f t="shared" si="8"/>
        <v>  ---&gt;     ---&gt;   </v>
      </c>
      <c r="AH89" s="16"/>
      <c r="AI89" s="439"/>
      <c r="AJ89" s="439"/>
      <c r="AK89" s="439"/>
    </row>
    <row r="90" ht="18.75" customHeight="1">
      <c r="A90" s="439"/>
      <c r="B90" s="546"/>
      <c r="C90" s="547"/>
      <c r="D90" s="446">
        <f>IF(C90=0,0,(VLOOKUP(C90,'PO MTRL'!$B$9:$S1518,2,0)))</f>
        <v>0</v>
      </c>
      <c r="E90" s="548" t="str">
        <f>IF(C90="","",(VLOOKUP(C90,'PO MTRL'!$B$9:$S1518,3,0)))</f>
        <v/>
      </c>
      <c r="F90" s="549">
        <f>IF(C90=0,0,(VLOOKUP(C90,'PO MTRL'!$B$9:$S1518,4,0)))</f>
        <v>0</v>
      </c>
      <c r="G90" s="444"/>
      <c r="H90" s="550">
        <f>IF(C90=0,0,(VLOOKUP(C90,'PO MTRL'!$B$9:$S1518,6,0)))</f>
        <v>0</v>
      </c>
      <c r="I90" s="446">
        <f>IF(C90=0,0,(VLOOKUP(C90,'PO MTRL'!$B$9:$S1518,7,0)))</f>
        <v>0</v>
      </c>
      <c r="J90" s="551">
        <f>IF(C90=0,0,(VLOOKUP(C90,'PO MTRL'!$B$9:$S1518,8,0)))</f>
        <v>0</v>
      </c>
      <c r="K90" s="559"/>
      <c r="L90" s="448">
        <f t="shared" si="1"/>
        <v>0</v>
      </c>
      <c r="M90" s="551">
        <f t="shared" si="2"/>
        <v>0</v>
      </c>
      <c r="N90" s="449">
        <f t="shared" si="3"/>
        <v>0</v>
      </c>
      <c r="O90" s="551">
        <f>IF(H90=0,0,(VLOOKUP(H90,'PO MTRL'!$G$9:$S1518,5,0)))</f>
        <v>0</v>
      </c>
      <c r="P90" s="551">
        <f>IF(H90=0,0,(VLOOKUP(H90,'PO MTRL'!$G$9:$S1518,7,0)))</f>
        <v>0</v>
      </c>
      <c r="Q90" s="551">
        <f t="shared" si="4"/>
        <v>0</v>
      </c>
      <c r="R90" s="551">
        <f t="shared" si="5"/>
        <v>0</v>
      </c>
      <c r="S90" s="550">
        <f>IF(C90=0,0,(VLOOKUP(C90,'PO MTRL'!$B$9:$S1518,17,0)))</f>
        <v>0</v>
      </c>
      <c r="T90" s="553"/>
      <c r="U90" s="554">
        <f>IF(C90=0,0,(VLOOKUP(C90,'PO MTRL'!$B$9:$S1518,18,0)))</f>
        <v>0</v>
      </c>
      <c r="V90" s="16"/>
      <c r="W90" s="119" t="str">
        <f t="shared" si="6"/>
        <v/>
      </c>
      <c r="X90" s="564">
        <f t="shared" si="7"/>
        <v>0</v>
      </c>
      <c r="Y90" s="119"/>
      <c r="Z90" s="119"/>
      <c r="AA90" s="530">
        <f>IFERROR(__xludf.DUMMYFUNCTION("""COMPUTED_VALUE"""),82.0)</f>
        <v>82</v>
      </c>
      <c r="AB90" s="119"/>
      <c r="AC90" s="119"/>
      <c r="AD90" s="119"/>
      <c r="AE90" s="119"/>
      <c r="AF90" s="119"/>
      <c r="AG90" s="555" t="str">
        <f t="shared" si="8"/>
        <v>  ---&gt;     ---&gt;   </v>
      </c>
      <c r="AH90" s="16"/>
      <c r="AI90" s="439"/>
      <c r="AJ90" s="439"/>
      <c r="AK90" s="439"/>
    </row>
    <row r="91" ht="18.75" customHeight="1">
      <c r="A91" s="439"/>
      <c r="B91" s="546"/>
      <c r="C91" s="547"/>
      <c r="D91" s="446">
        <f>IF(C91=0,0,(VLOOKUP(C91,'PO MTRL'!$B$9:$S1518,2,0)))</f>
        <v>0</v>
      </c>
      <c r="E91" s="548" t="str">
        <f>IF(C91="","",(VLOOKUP(C91,'PO MTRL'!$B$9:$S1518,3,0)))</f>
        <v/>
      </c>
      <c r="F91" s="549">
        <f>IF(C91=0,0,(VLOOKUP(C91,'PO MTRL'!$B$9:$S1518,4,0)))</f>
        <v>0</v>
      </c>
      <c r="G91" s="444"/>
      <c r="H91" s="550">
        <f>IF(C91=0,0,(VLOOKUP(C91,'PO MTRL'!$B$9:$S1518,6,0)))</f>
        <v>0</v>
      </c>
      <c r="I91" s="446">
        <f>IF(C91=0,0,(VLOOKUP(C91,'PO MTRL'!$B$9:$S1518,7,0)))</f>
        <v>0</v>
      </c>
      <c r="J91" s="551">
        <f>IF(C91=0,0,(VLOOKUP(C91,'PO MTRL'!$B$9:$S1518,8,0)))</f>
        <v>0</v>
      </c>
      <c r="K91" s="559"/>
      <c r="L91" s="448">
        <f t="shared" si="1"/>
        <v>0</v>
      </c>
      <c r="M91" s="551">
        <f t="shared" si="2"/>
        <v>0</v>
      </c>
      <c r="N91" s="449">
        <f t="shared" si="3"/>
        <v>0</v>
      </c>
      <c r="O91" s="551">
        <f>IF(H91=0,0,(VLOOKUP(H91,'PO MTRL'!$G$9:$S1518,5,0)))</f>
        <v>0</v>
      </c>
      <c r="P91" s="551">
        <f>IF(H91=0,0,(VLOOKUP(H91,'PO MTRL'!$G$9:$S1518,7,0)))</f>
        <v>0</v>
      </c>
      <c r="Q91" s="551">
        <f t="shared" si="4"/>
        <v>0</v>
      </c>
      <c r="R91" s="551">
        <f t="shared" si="5"/>
        <v>0</v>
      </c>
      <c r="S91" s="550">
        <f>IF(C91=0,0,(VLOOKUP(C91,'PO MTRL'!$B$9:$S1518,17,0)))</f>
        <v>0</v>
      </c>
      <c r="T91" s="553"/>
      <c r="U91" s="554">
        <f>IF(C91=0,0,(VLOOKUP(C91,'PO MTRL'!$B$9:$S1518,18,0)))</f>
        <v>0</v>
      </c>
      <c r="V91" s="16"/>
      <c r="W91" s="119" t="str">
        <f t="shared" si="6"/>
        <v/>
      </c>
      <c r="X91" s="564">
        <f t="shared" si="7"/>
        <v>0</v>
      </c>
      <c r="Y91" s="119"/>
      <c r="Z91" s="119"/>
      <c r="AA91" s="530">
        <f>IFERROR(__xludf.DUMMYFUNCTION("""COMPUTED_VALUE"""),83.0)</f>
        <v>83</v>
      </c>
      <c r="AB91" s="119"/>
      <c r="AC91" s="119"/>
      <c r="AD91" s="119"/>
      <c r="AE91" s="119"/>
      <c r="AF91" s="119"/>
      <c r="AG91" s="555" t="str">
        <f t="shared" si="8"/>
        <v>  ---&gt;     ---&gt;   </v>
      </c>
      <c r="AH91" s="16"/>
      <c r="AI91" s="439"/>
      <c r="AJ91" s="439"/>
      <c r="AK91" s="439"/>
    </row>
    <row r="92" ht="18.75" customHeight="1">
      <c r="A92" s="439"/>
      <c r="B92" s="546"/>
      <c r="C92" s="547"/>
      <c r="D92" s="446">
        <f>IF(C92=0,0,(VLOOKUP(C92,'PO MTRL'!$B$9:$S1518,2,0)))</f>
        <v>0</v>
      </c>
      <c r="E92" s="548" t="str">
        <f>IF(C92="","",(VLOOKUP(C92,'PO MTRL'!$B$9:$S1518,3,0)))</f>
        <v/>
      </c>
      <c r="F92" s="549">
        <f>IF(C92=0,0,(VLOOKUP(C92,'PO MTRL'!$B$9:$S1518,4,0)))</f>
        <v>0</v>
      </c>
      <c r="G92" s="444"/>
      <c r="H92" s="550">
        <f>IF(C92=0,0,(VLOOKUP(C92,'PO MTRL'!$B$9:$S1518,6,0)))</f>
        <v>0</v>
      </c>
      <c r="I92" s="446">
        <f>IF(C92=0,0,(VLOOKUP(C92,'PO MTRL'!$B$9:$S1518,7,0)))</f>
        <v>0</v>
      </c>
      <c r="J92" s="551">
        <f>IF(C92=0,0,(VLOOKUP(C92,'PO MTRL'!$B$9:$S1518,8,0)))</f>
        <v>0</v>
      </c>
      <c r="K92" s="559"/>
      <c r="L92" s="448">
        <f t="shared" si="1"/>
        <v>0</v>
      </c>
      <c r="M92" s="551">
        <f t="shared" si="2"/>
        <v>0</v>
      </c>
      <c r="N92" s="449">
        <f t="shared" si="3"/>
        <v>0</v>
      </c>
      <c r="O92" s="551">
        <f>IF(H92=0,0,(VLOOKUP(H92,'PO MTRL'!$G$9:$S1518,5,0)))</f>
        <v>0</v>
      </c>
      <c r="P92" s="551">
        <f>IF(H92=0,0,(VLOOKUP(H92,'PO MTRL'!$G$9:$S1518,7,0)))</f>
        <v>0</v>
      </c>
      <c r="Q92" s="551">
        <f t="shared" si="4"/>
        <v>0</v>
      </c>
      <c r="R92" s="551">
        <f t="shared" si="5"/>
        <v>0</v>
      </c>
      <c r="S92" s="550">
        <f>IF(C92=0,0,(VLOOKUP(C92,'PO MTRL'!$B$9:$S1518,17,0)))</f>
        <v>0</v>
      </c>
      <c r="T92" s="553"/>
      <c r="U92" s="554">
        <f>IF(C92=0,0,(VLOOKUP(C92,'PO MTRL'!$B$9:$S1518,18,0)))</f>
        <v>0</v>
      </c>
      <c r="V92" s="16"/>
      <c r="W92" s="119" t="str">
        <f t="shared" si="6"/>
        <v/>
      </c>
      <c r="X92" s="564">
        <f t="shared" si="7"/>
        <v>0</v>
      </c>
      <c r="Y92" s="119"/>
      <c r="Z92" s="119"/>
      <c r="AA92" s="530">
        <f>IFERROR(__xludf.DUMMYFUNCTION("""COMPUTED_VALUE"""),84.0)</f>
        <v>84</v>
      </c>
      <c r="AB92" s="119"/>
      <c r="AC92" s="119"/>
      <c r="AD92" s="119"/>
      <c r="AE92" s="119"/>
      <c r="AF92" s="119"/>
      <c r="AG92" s="555" t="str">
        <f t="shared" si="8"/>
        <v>  ---&gt;     ---&gt;   </v>
      </c>
      <c r="AH92" s="16"/>
      <c r="AI92" s="439"/>
      <c r="AJ92" s="439"/>
      <c r="AK92" s="439"/>
    </row>
    <row r="93" ht="18.75" customHeight="1">
      <c r="A93" s="439"/>
      <c r="B93" s="546"/>
      <c r="C93" s="547"/>
      <c r="D93" s="446">
        <f>IF(C93=0,0,(VLOOKUP(C93,'PO MTRL'!$B$9:$S1518,2,0)))</f>
        <v>0</v>
      </c>
      <c r="E93" s="548" t="str">
        <f>IF(C93="","",(VLOOKUP(C93,'PO MTRL'!$B$9:$S1518,3,0)))</f>
        <v/>
      </c>
      <c r="F93" s="549">
        <f>IF(C93=0,0,(VLOOKUP(C93,'PO MTRL'!$B$9:$S1518,4,0)))</f>
        <v>0</v>
      </c>
      <c r="G93" s="444"/>
      <c r="H93" s="550">
        <f>IF(C93=0,0,(VLOOKUP(C93,'PO MTRL'!$B$9:$S1518,6,0)))</f>
        <v>0</v>
      </c>
      <c r="I93" s="446">
        <f>IF(C93=0,0,(VLOOKUP(C93,'PO MTRL'!$B$9:$S1518,7,0)))</f>
        <v>0</v>
      </c>
      <c r="J93" s="551">
        <f>IF(C93=0,0,(VLOOKUP(C93,'PO MTRL'!$B$9:$S1518,8,0)))</f>
        <v>0</v>
      </c>
      <c r="K93" s="559"/>
      <c r="L93" s="448">
        <f t="shared" si="1"/>
        <v>0</v>
      </c>
      <c r="M93" s="551">
        <f t="shared" si="2"/>
        <v>0</v>
      </c>
      <c r="N93" s="449">
        <f t="shared" si="3"/>
        <v>0</v>
      </c>
      <c r="O93" s="551">
        <f>IF(H93=0,0,(VLOOKUP(H93,'PO MTRL'!$G$9:$S1518,5,0)))</f>
        <v>0</v>
      </c>
      <c r="P93" s="551">
        <f>IF(H93=0,0,(VLOOKUP(H93,'PO MTRL'!$G$9:$S1518,7,0)))</f>
        <v>0</v>
      </c>
      <c r="Q93" s="551">
        <f t="shared" si="4"/>
        <v>0</v>
      </c>
      <c r="R93" s="551">
        <f t="shared" si="5"/>
        <v>0</v>
      </c>
      <c r="S93" s="550">
        <f>IF(C93=0,0,(VLOOKUP(C93,'PO MTRL'!$B$9:$S1518,17,0)))</f>
        <v>0</v>
      </c>
      <c r="T93" s="553"/>
      <c r="U93" s="554">
        <f>IF(C93=0,0,(VLOOKUP(C93,'PO MTRL'!$B$9:$S1518,18,0)))</f>
        <v>0</v>
      </c>
      <c r="V93" s="16"/>
      <c r="W93" s="119" t="str">
        <f t="shared" si="6"/>
        <v/>
      </c>
      <c r="X93" s="564">
        <f t="shared" si="7"/>
        <v>0</v>
      </c>
      <c r="Y93" s="119"/>
      <c r="Z93" s="119"/>
      <c r="AA93" s="530">
        <f>IFERROR(__xludf.DUMMYFUNCTION("""COMPUTED_VALUE"""),85.0)</f>
        <v>85</v>
      </c>
      <c r="AB93" s="119"/>
      <c r="AC93" s="119"/>
      <c r="AD93" s="119"/>
      <c r="AE93" s="119"/>
      <c r="AF93" s="119"/>
      <c r="AG93" s="555" t="str">
        <f t="shared" si="8"/>
        <v>  ---&gt;     ---&gt;   </v>
      </c>
      <c r="AH93" s="16"/>
      <c r="AI93" s="439"/>
      <c r="AJ93" s="439"/>
      <c r="AK93" s="439"/>
    </row>
    <row r="94" ht="18.75" customHeight="1">
      <c r="A94" s="439"/>
      <c r="B94" s="546"/>
      <c r="C94" s="547"/>
      <c r="D94" s="446">
        <f>IF(C94=0,0,(VLOOKUP(C94,'PO MTRL'!$B$9:$S1518,2,0)))</f>
        <v>0</v>
      </c>
      <c r="E94" s="548" t="str">
        <f>IF(C94="","",(VLOOKUP(C94,'PO MTRL'!$B$9:$S1518,3,0)))</f>
        <v/>
      </c>
      <c r="F94" s="549">
        <f>IF(C94=0,0,(VLOOKUP(C94,'PO MTRL'!$B$9:$S1518,4,0)))</f>
        <v>0</v>
      </c>
      <c r="G94" s="444"/>
      <c r="H94" s="550">
        <f>IF(C94=0,0,(VLOOKUP(C94,'PO MTRL'!$B$9:$S1518,6,0)))</f>
        <v>0</v>
      </c>
      <c r="I94" s="446">
        <f>IF(C94=0,0,(VLOOKUP(C94,'PO MTRL'!$B$9:$S1518,7,0)))</f>
        <v>0</v>
      </c>
      <c r="J94" s="551">
        <f>IF(C94=0,0,(VLOOKUP(C94,'PO MTRL'!$B$9:$S1518,8,0)))</f>
        <v>0</v>
      </c>
      <c r="K94" s="559"/>
      <c r="L94" s="448">
        <f t="shared" si="1"/>
        <v>0</v>
      </c>
      <c r="M94" s="551">
        <f t="shared" si="2"/>
        <v>0</v>
      </c>
      <c r="N94" s="449">
        <f t="shared" si="3"/>
        <v>0</v>
      </c>
      <c r="O94" s="551">
        <f>IF(H94=0,0,(VLOOKUP(H94,'PO MTRL'!$G$9:$S1518,5,0)))</f>
        <v>0</v>
      </c>
      <c r="P94" s="551">
        <f>IF(H94=0,0,(VLOOKUP(H94,'PO MTRL'!$G$9:$S1518,7,0)))</f>
        <v>0</v>
      </c>
      <c r="Q94" s="551">
        <f t="shared" si="4"/>
        <v>0</v>
      </c>
      <c r="R94" s="551">
        <f t="shared" si="5"/>
        <v>0</v>
      </c>
      <c r="S94" s="550">
        <f>IF(C94=0,0,(VLOOKUP(C94,'PO MTRL'!$B$9:$S1518,17,0)))</f>
        <v>0</v>
      </c>
      <c r="T94" s="553"/>
      <c r="U94" s="554">
        <f>IF(C94=0,0,(VLOOKUP(C94,'PO MTRL'!$B$9:$S1518,18,0)))</f>
        <v>0</v>
      </c>
      <c r="V94" s="16"/>
      <c r="W94" s="119" t="str">
        <f t="shared" si="6"/>
        <v/>
      </c>
      <c r="X94" s="564">
        <f t="shared" si="7"/>
        <v>0</v>
      </c>
      <c r="Y94" s="119"/>
      <c r="Z94" s="119"/>
      <c r="AA94" s="530">
        <f>IFERROR(__xludf.DUMMYFUNCTION("""COMPUTED_VALUE"""),86.0)</f>
        <v>86</v>
      </c>
      <c r="AB94" s="119"/>
      <c r="AC94" s="119"/>
      <c r="AD94" s="119"/>
      <c r="AE94" s="119"/>
      <c r="AF94" s="119"/>
      <c r="AG94" s="555" t="str">
        <f t="shared" si="8"/>
        <v>  ---&gt;     ---&gt;   </v>
      </c>
      <c r="AH94" s="16"/>
      <c r="AI94" s="439"/>
      <c r="AJ94" s="439"/>
      <c r="AK94" s="439"/>
    </row>
    <row r="95" ht="18.75" customHeight="1">
      <c r="A95" s="439"/>
      <c r="B95" s="546"/>
      <c r="C95" s="547"/>
      <c r="D95" s="446">
        <f>IF(C95=0,0,(VLOOKUP(C95,'PO MTRL'!$B$9:$S1518,2,0)))</f>
        <v>0</v>
      </c>
      <c r="E95" s="548" t="str">
        <f>IF(C95="","",(VLOOKUP(C95,'PO MTRL'!$B$9:$S1518,3,0)))</f>
        <v/>
      </c>
      <c r="F95" s="549">
        <f>IF(C95=0,0,(VLOOKUP(C95,'PO MTRL'!$B$9:$S1518,4,0)))</f>
        <v>0</v>
      </c>
      <c r="G95" s="444"/>
      <c r="H95" s="550">
        <f>IF(C95=0,0,(VLOOKUP(C95,'PO MTRL'!$B$9:$S1518,6,0)))</f>
        <v>0</v>
      </c>
      <c r="I95" s="446">
        <f>IF(C95=0,0,(VLOOKUP(C95,'PO MTRL'!$B$9:$S1518,7,0)))</f>
        <v>0</v>
      </c>
      <c r="J95" s="551">
        <f>IF(C95=0,0,(VLOOKUP(C95,'PO MTRL'!$B$9:$S1518,8,0)))</f>
        <v>0</v>
      </c>
      <c r="K95" s="559"/>
      <c r="L95" s="448">
        <f t="shared" si="1"/>
        <v>0</v>
      </c>
      <c r="M95" s="551">
        <f t="shared" si="2"/>
        <v>0</v>
      </c>
      <c r="N95" s="449">
        <f t="shared" si="3"/>
        <v>0</v>
      </c>
      <c r="O95" s="551">
        <f>IF(H95=0,0,(VLOOKUP(H95,'PO MTRL'!$G$9:$S1518,5,0)))</f>
        <v>0</v>
      </c>
      <c r="P95" s="551">
        <f>IF(H95=0,0,(VLOOKUP(H95,'PO MTRL'!$G$9:$S1518,7,0)))</f>
        <v>0</v>
      </c>
      <c r="Q95" s="551">
        <f t="shared" si="4"/>
        <v>0</v>
      </c>
      <c r="R95" s="551">
        <f t="shared" si="5"/>
        <v>0</v>
      </c>
      <c r="S95" s="550">
        <f>IF(C95=0,0,(VLOOKUP(C95,'PO MTRL'!$B$9:$S1518,17,0)))</f>
        <v>0</v>
      </c>
      <c r="T95" s="553"/>
      <c r="U95" s="554">
        <f>IF(C95=0,0,(VLOOKUP(C95,'PO MTRL'!$B$9:$S1518,18,0)))</f>
        <v>0</v>
      </c>
      <c r="V95" s="16"/>
      <c r="W95" s="119" t="str">
        <f t="shared" si="6"/>
        <v/>
      </c>
      <c r="X95" s="564">
        <f t="shared" si="7"/>
        <v>0</v>
      </c>
      <c r="Y95" s="119"/>
      <c r="Z95" s="119"/>
      <c r="AA95" s="530">
        <f>IFERROR(__xludf.DUMMYFUNCTION("""COMPUTED_VALUE"""),87.0)</f>
        <v>87</v>
      </c>
      <c r="AB95" s="119"/>
      <c r="AC95" s="119"/>
      <c r="AD95" s="119"/>
      <c r="AE95" s="119"/>
      <c r="AF95" s="119"/>
      <c r="AG95" s="555" t="str">
        <f t="shared" si="8"/>
        <v>  ---&gt;     ---&gt;   </v>
      </c>
      <c r="AH95" s="16"/>
      <c r="AI95" s="439"/>
      <c r="AJ95" s="439"/>
      <c r="AK95" s="439"/>
    </row>
    <row r="96" ht="18.75" customHeight="1">
      <c r="A96" s="439"/>
      <c r="B96" s="546"/>
      <c r="C96" s="547"/>
      <c r="D96" s="446">
        <f>IF(C96=0,0,(VLOOKUP(C96,'PO MTRL'!$B$9:$S1518,2,0)))</f>
        <v>0</v>
      </c>
      <c r="E96" s="548" t="str">
        <f>IF(C96="","",(VLOOKUP(C96,'PO MTRL'!$B$9:$S1518,3,0)))</f>
        <v/>
      </c>
      <c r="F96" s="549">
        <f>IF(C96=0,0,(VLOOKUP(C96,'PO MTRL'!$B$9:$S1518,4,0)))</f>
        <v>0</v>
      </c>
      <c r="G96" s="444"/>
      <c r="H96" s="550">
        <f>IF(C96=0,0,(VLOOKUP(C96,'PO MTRL'!$B$9:$S1518,6,0)))</f>
        <v>0</v>
      </c>
      <c r="I96" s="446">
        <f>IF(C96=0,0,(VLOOKUP(C96,'PO MTRL'!$B$9:$S1518,7,0)))</f>
        <v>0</v>
      </c>
      <c r="J96" s="551">
        <f>IF(C96=0,0,(VLOOKUP(C96,'PO MTRL'!$B$9:$S1518,8,0)))</f>
        <v>0</v>
      </c>
      <c r="K96" s="559"/>
      <c r="L96" s="448">
        <f t="shared" si="1"/>
        <v>0</v>
      </c>
      <c r="M96" s="551">
        <f t="shared" si="2"/>
        <v>0</v>
      </c>
      <c r="N96" s="449">
        <f t="shared" si="3"/>
        <v>0</v>
      </c>
      <c r="O96" s="551">
        <f>IF(H96=0,0,(VLOOKUP(H96,'PO MTRL'!$G$9:$S1518,5,0)))</f>
        <v>0</v>
      </c>
      <c r="P96" s="551">
        <f>IF(H96=0,0,(VLOOKUP(H96,'PO MTRL'!$G$9:$S1518,7,0)))</f>
        <v>0</v>
      </c>
      <c r="Q96" s="551">
        <f t="shared" si="4"/>
        <v>0</v>
      </c>
      <c r="R96" s="551">
        <f t="shared" si="5"/>
        <v>0</v>
      </c>
      <c r="S96" s="550">
        <f>IF(C96=0,0,(VLOOKUP(C96,'PO MTRL'!$B$9:$S1518,17,0)))</f>
        <v>0</v>
      </c>
      <c r="T96" s="553"/>
      <c r="U96" s="554">
        <f>IF(C96=0,0,(VLOOKUP(C96,'PO MTRL'!$B$9:$S1518,18,0)))</f>
        <v>0</v>
      </c>
      <c r="V96" s="16"/>
      <c r="W96" s="119" t="str">
        <f t="shared" si="6"/>
        <v/>
      </c>
      <c r="X96" s="564">
        <f t="shared" si="7"/>
        <v>0</v>
      </c>
      <c r="Y96" s="119"/>
      <c r="Z96" s="119"/>
      <c r="AA96" s="530">
        <f>IFERROR(__xludf.DUMMYFUNCTION("""COMPUTED_VALUE"""),88.0)</f>
        <v>88</v>
      </c>
      <c r="AB96" s="119"/>
      <c r="AC96" s="119"/>
      <c r="AD96" s="119"/>
      <c r="AE96" s="119"/>
      <c r="AF96" s="119"/>
      <c r="AG96" s="555" t="str">
        <f t="shared" si="8"/>
        <v>  ---&gt;     ---&gt;   </v>
      </c>
      <c r="AH96" s="16"/>
      <c r="AI96" s="439"/>
      <c r="AJ96" s="439"/>
      <c r="AK96" s="439"/>
    </row>
    <row r="97" ht="18.75" customHeight="1">
      <c r="A97" s="439"/>
      <c r="B97" s="546"/>
      <c r="C97" s="547"/>
      <c r="D97" s="446">
        <f>IF(C97=0,0,(VLOOKUP(C97,'PO MTRL'!$B$9:$S1518,2,0)))</f>
        <v>0</v>
      </c>
      <c r="E97" s="548" t="str">
        <f>IF(C97="","",(VLOOKUP(C97,'PO MTRL'!$B$9:$S1518,3,0)))</f>
        <v/>
      </c>
      <c r="F97" s="549">
        <f>IF(C97=0,0,(VLOOKUP(C97,'PO MTRL'!$B$9:$S1518,4,0)))</f>
        <v>0</v>
      </c>
      <c r="G97" s="444"/>
      <c r="H97" s="550">
        <f>IF(C97=0,0,(VLOOKUP(C97,'PO MTRL'!$B$9:$S1518,6,0)))</f>
        <v>0</v>
      </c>
      <c r="I97" s="446">
        <f>IF(C97=0,0,(VLOOKUP(C97,'PO MTRL'!$B$9:$S1518,7,0)))</f>
        <v>0</v>
      </c>
      <c r="J97" s="551">
        <f>IF(C97=0,0,(VLOOKUP(C97,'PO MTRL'!$B$9:$S1518,8,0)))</f>
        <v>0</v>
      </c>
      <c r="K97" s="559"/>
      <c r="L97" s="448">
        <f t="shared" si="1"/>
        <v>0</v>
      </c>
      <c r="M97" s="551">
        <f t="shared" si="2"/>
        <v>0</v>
      </c>
      <c r="N97" s="449">
        <f t="shared" si="3"/>
        <v>0</v>
      </c>
      <c r="O97" s="551">
        <f>IF(H97=0,0,(VLOOKUP(H97,'PO MTRL'!$G$9:$S1518,5,0)))</f>
        <v>0</v>
      </c>
      <c r="P97" s="551">
        <f>IF(H97=0,0,(VLOOKUP(H97,'PO MTRL'!$G$9:$S1518,7,0)))</f>
        <v>0</v>
      </c>
      <c r="Q97" s="551">
        <f t="shared" si="4"/>
        <v>0</v>
      </c>
      <c r="R97" s="551">
        <f t="shared" si="5"/>
        <v>0</v>
      </c>
      <c r="S97" s="550">
        <f>IF(C97=0,0,(VLOOKUP(C97,'PO MTRL'!$B$9:$S1518,17,0)))</f>
        <v>0</v>
      </c>
      <c r="T97" s="553"/>
      <c r="U97" s="554">
        <f>IF(C97=0,0,(VLOOKUP(C97,'PO MTRL'!$B$9:$S1518,18,0)))</f>
        <v>0</v>
      </c>
      <c r="V97" s="16"/>
      <c r="W97" s="119" t="str">
        <f t="shared" si="6"/>
        <v/>
      </c>
      <c r="X97" s="564">
        <f t="shared" si="7"/>
        <v>0</v>
      </c>
      <c r="Y97" s="119"/>
      <c r="Z97" s="119"/>
      <c r="AA97" s="530">
        <f>IFERROR(__xludf.DUMMYFUNCTION("""COMPUTED_VALUE"""),89.0)</f>
        <v>89</v>
      </c>
      <c r="AB97" s="119"/>
      <c r="AC97" s="119"/>
      <c r="AD97" s="119"/>
      <c r="AE97" s="119"/>
      <c r="AF97" s="119"/>
      <c r="AG97" s="555" t="str">
        <f t="shared" si="8"/>
        <v>  ---&gt;     ---&gt;   </v>
      </c>
      <c r="AH97" s="16"/>
      <c r="AI97" s="439"/>
      <c r="AJ97" s="439"/>
      <c r="AK97" s="439"/>
    </row>
    <row r="98" ht="18.75" customHeight="1">
      <c r="A98" s="439"/>
      <c r="B98" s="546"/>
      <c r="C98" s="547"/>
      <c r="D98" s="446">
        <f>IF(C98=0,0,(VLOOKUP(C98,'PO MTRL'!$B$9:$S1518,2,0)))</f>
        <v>0</v>
      </c>
      <c r="E98" s="548" t="str">
        <f>IF(C98="","",(VLOOKUP(C98,'PO MTRL'!$B$9:$S1518,3,0)))</f>
        <v/>
      </c>
      <c r="F98" s="549">
        <f>IF(C98=0,0,(VLOOKUP(C98,'PO MTRL'!$B$9:$S1518,4,0)))</f>
        <v>0</v>
      </c>
      <c r="G98" s="444"/>
      <c r="H98" s="550">
        <f>IF(C98=0,0,(VLOOKUP(C98,'PO MTRL'!$B$9:$S1518,6,0)))</f>
        <v>0</v>
      </c>
      <c r="I98" s="446">
        <f>IF(C98=0,0,(VLOOKUP(C98,'PO MTRL'!$B$9:$S1518,7,0)))</f>
        <v>0</v>
      </c>
      <c r="J98" s="551">
        <f>IF(C98=0,0,(VLOOKUP(C98,'PO MTRL'!$B$9:$S1518,8,0)))</f>
        <v>0</v>
      </c>
      <c r="K98" s="559"/>
      <c r="L98" s="448">
        <f t="shared" si="1"/>
        <v>0</v>
      </c>
      <c r="M98" s="551">
        <f t="shared" si="2"/>
        <v>0</v>
      </c>
      <c r="N98" s="449">
        <f t="shared" si="3"/>
        <v>0</v>
      </c>
      <c r="O98" s="551">
        <f>IF(H98=0,0,(VLOOKUP(H98,'PO MTRL'!$G$9:$S1518,5,0)))</f>
        <v>0</v>
      </c>
      <c r="P98" s="551">
        <f>IF(H98=0,0,(VLOOKUP(H98,'PO MTRL'!$G$9:$S1518,7,0)))</f>
        <v>0</v>
      </c>
      <c r="Q98" s="551">
        <f t="shared" si="4"/>
        <v>0</v>
      </c>
      <c r="R98" s="551">
        <f t="shared" si="5"/>
        <v>0</v>
      </c>
      <c r="S98" s="550">
        <f>IF(C98=0,0,(VLOOKUP(C98,'PO MTRL'!$B$9:$S1518,17,0)))</f>
        <v>0</v>
      </c>
      <c r="T98" s="553"/>
      <c r="U98" s="554">
        <f>IF(C98=0,0,(VLOOKUP(C98,'PO MTRL'!$B$9:$S1518,18,0)))</f>
        <v>0</v>
      </c>
      <c r="V98" s="16"/>
      <c r="W98" s="119" t="str">
        <f t="shared" si="6"/>
        <v/>
      </c>
      <c r="X98" s="564">
        <f t="shared" si="7"/>
        <v>0</v>
      </c>
      <c r="Y98" s="119"/>
      <c r="Z98" s="119"/>
      <c r="AA98" s="530">
        <f>IFERROR(__xludf.DUMMYFUNCTION("""COMPUTED_VALUE"""),90.0)</f>
        <v>90</v>
      </c>
      <c r="AB98" s="119"/>
      <c r="AC98" s="119"/>
      <c r="AD98" s="119"/>
      <c r="AE98" s="119"/>
      <c r="AF98" s="119"/>
      <c r="AG98" s="555" t="str">
        <f t="shared" si="8"/>
        <v>  ---&gt;     ---&gt;   </v>
      </c>
      <c r="AH98" s="16"/>
      <c r="AI98" s="439"/>
      <c r="AJ98" s="439"/>
      <c r="AK98" s="439"/>
    </row>
    <row r="99" ht="18.75" customHeight="1">
      <c r="A99" s="439"/>
      <c r="B99" s="546"/>
      <c r="C99" s="547"/>
      <c r="D99" s="446">
        <f>IF(C99=0,0,(VLOOKUP(C99,'PO MTRL'!$B$9:$S1518,2,0)))</f>
        <v>0</v>
      </c>
      <c r="E99" s="548" t="str">
        <f>IF(C99="","",(VLOOKUP(C99,'PO MTRL'!$B$9:$S1518,3,0)))</f>
        <v/>
      </c>
      <c r="F99" s="549">
        <f>IF(C99=0,0,(VLOOKUP(C99,'PO MTRL'!$B$9:$S1518,4,0)))</f>
        <v>0</v>
      </c>
      <c r="G99" s="444"/>
      <c r="H99" s="550">
        <f>IF(C99=0,0,(VLOOKUP(C99,'PO MTRL'!$B$9:$S1518,6,0)))</f>
        <v>0</v>
      </c>
      <c r="I99" s="446">
        <f>IF(C99=0,0,(VLOOKUP(C99,'PO MTRL'!$B$9:$S1518,7,0)))</f>
        <v>0</v>
      </c>
      <c r="J99" s="551">
        <f>IF(C99=0,0,(VLOOKUP(C99,'PO MTRL'!$B$9:$S1518,8,0)))</f>
        <v>0</v>
      </c>
      <c r="K99" s="559"/>
      <c r="L99" s="448">
        <f t="shared" si="1"/>
        <v>0</v>
      </c>
      <c r="M99" s="551">
        <f t="shared" si="2"/>
        <v>0</v>
      </c>
      <c r="N99" s="449">
        <f t="shared" si="3"/>
        <v>0</v>
      </c>
      <c r="O99" s="551">
        <f>IF(H99=0,0,(VLOOKUP(H99,'PO MTRL'!$G$9:$S1518,5,0)))</f>
        <v>0</v>
      </c>
      <c r="P99" s="551">
        <f>IF(H99=0,0,(VLOOKUP(H99,'PO MTRL'!$G$9:$S1518,7,0)))</f>
        <v>0</v>
      </c>
      <c r="Q99" s="551">
        <f t="shared" si="4"/>
        <v>0</v>
      </c>
      <c r="R99" s="551">
        <f t="shared" si="5"/>
        <v>0</v>
      </c>
      <c r="S99" s="550">
        <f>IF(C99=0,0,(VLOOKUP(C99,'PO MTRL'!$B$9:$S1518,17,0)))</f>
        <v>0</v>
      </c>
      <c r="T99" s="553"/>
      <c r="U99" s="554">
        <f>IF(C99=0,0,(VLOOKUP(C99,'PO MTRL'!$B$9:$S1518,18,0)))</f>
        <v>0</v>
      </c>
      <c r="V99" s="16"/>
      <c r="W99" s="119" t="str">
        <f t="shared" si="6"/>
        <v/>
      </c>
      <c r="X99" s="564">
        <f t="shared" si="7"/>
        <v>0</v>
      </c>
      <c r="Y99" s="119"/>
      <c r="Z99" s="119"/>
      <c r="AA99" s="530">
        <f>IFERROR(__xludf.DUMMYFUNCTION("""COMPUTED_VALUE"""),91.0)</f>
        <v>91</v>
      </c>
      <c r="AB99" s="119"/>
      <c r="AC99" s="119"/>
      <c r="AD99" s="119"/>
      <c r="AE99" s="119"/>
      <c r="AF99" s="119"/>
      <c r="AG99" s="555" t="str">
        <f t="shared" si="8"/>
        <v>  ---&gt;     ---&gt;   </v>
      </c>
      <c r="AH99" s="16"/>
      <c r="AI99" s="439"/>
      <c r="AJ99" s="439"/>
      <c r="AK99" s="439"/>
    </row>
    <row r="100" ht="18.75" customHeight="1">
      <c r="A100" s="439"/>
      <c r="B100" s="546"/>
      <c r="C100" s="547"/>
      <c r="D100" s="446">
        <f>IF(C100=0,0,(VLOOKUP(C100,'PO MTRL'!$B$9:$S1518,2,0)))</f>
        <v>0</v>
      </c>
      <c r="E100" s="548" t="str">
        <f>IF(C100="","",(VLOOKUP(C100,'PO MTRL'!$B$9:$S1518,3,0)))</f>
        <v/>
      </c>
      <c r="F100" s="549">
        <f>IF(C100=0,0,(VLOOKUP(C100,'PO MTRL'!$B$9:$S1518,4,0)))</f>
        <v>0</v>
      </c>
      <c r="G100" s="444"/>
      <c r="H100" s="550">
        <f>IF(C100=0,0,(VLOOKUP(C100,'PO MTRL'!$B$9:$S1518,6,0)))</f>
        <v>0</v>
      </c>
      <c r="I100" s="446">
        <f>IF(C100=0,0,(VLOOKUP(C100,'PO MTRL'!$B$9:$S1518,7,0)))</f>
        <v>0</v>
      </c>
      <c r="J100" s="551">
        <f>IF(C100=0,0,(VLOOKUP(C100,'PO MTRL'!$B$9:$S1518,8,0)))</f>
        <v>0</v>
      </c>
      <c r="K100" s="559"/>
      <c r="L100" s="448">
        <f t="shared" si="1"/>
        <v>0</v>
      </c>
      <c r="M100" s="551">
        <f t="shared" si="2"/>
        <v>0</v>
      </c>
      <c r="N100" s="449">
        <f t="shared" si="3"/>
        <v>0</v>
      </c>
      <c r="O100" s="551">
        <f>IF(H100=0,0,(VLOOKUP(H100,'PO MTRL'!$G$9:$S1518,5,0)))</f>
        <v>0</v>
      </c>
      <c r="P100" s="551">
        <f>IF(H100=0,0,(VLOOKUP(H100,'PO MTRL'!$G$9:$S1518,7,0)))</f>
        <v>0</v>
      </c>
      <c r="Q100" s="551">
        <f t="shared" si="4"/>
        <v>0</v>
      </c>
      <c r="R100" s="551">
        <f t="shared" si="5"/>
        <v>0</v>
      </c>
      <c r="S100" s="550">
        <f>IF(C100=0,0,(VLOOKUP(C100,'PO MTRL'!$B$9:$S1518,17,0)))</f>
        <v>0</v>
      </c>
      <c r="T100" s="553"/>
      <c r="U100" s="554">
        <f>IF(C100=0,0,(VLOOKUP(C100,'PO MTRL'!$B$9:$S1518,18,0)))</f>
        <v>0</v>
      </c>
      <c r="V100" s="16"/>
      <c r="W100" s="119" t="str">
        <f t="shared" si="6"/>
        <v/>
      </c>
      <c r="X100" s="564">
        <f t="shared" si="7"/>
        <v>0</v>
      </c>
      <c r="Y100" s="119"/>
      <c r="Z100" s="119"/>
      <c r="AA100" s="530">
        <f>IFERROR(__xludf.DUMMYFUNCTION("""COMPUTED_VALUE"""),92.0)</f>
        <v>92</v>
      </c>
      <c r="AB100" s="119"/>
      <c r="AC100" s="119"/>
      <c r="AD100" s="119"/>
      <c r="AE100" s="119"/>
      <c r="AF100" s="119"/>
      <c r="AG100" s="555" t="str">
        <f t="shared" si="8"/>
        <v>  ---&gt;     ---&gt;   </v>
      </c>
      <c r="AH100" s="16"/>
      <c r="AI100" s="439"/>
      <c r="AJ100" s="439"/>
      <c r="AK100" s="439"/>
    </row>
    <row r="101" ht="18.75" customHeight="1">
      <c r="A101" s="439"/>
      <c r="B101" s="546"/>
      <c r="C101" s="547"/>
      <c r="D101" s="446">
        <f>IF(C101=0,0,(VLOOKUP(C101,'PO MTRL'!$B$9:$S1518,2,0)))</f>
        <v>0</v>
      </c>
      <c r="E101" s="548" t="str">
        <f>IF(C101="","",(VLOOKUP(C101,'PO MTRL'!$B$9:$S1518,3,0)))</f>
        <v/>
      </c>
      <c r="F101" s="549">
        <f>IF(C101=0,0,(VLOOKUP(C101,'PO MTRL'!$B$9:$S1518,4,0)))</f>
        <v>0</v>
      </c>
      <c r="G101" s="444"/>
      <c r="H101" s="550">
        <f>IF(C101=0,0,(VLOOKUP(C101,'PO MTRL'!$B$9:$S1518,6,0)))</f>
        <v>0</v>
      </c>
      <c r="I101" s="446">
        <f>IF(C101=0,0,(VLOOKUP(C101,'PO MTRL'!$B$9:$S1518,7,0)))</f>
        <v>0</v>
      </c>
      <c r="J101" s="551">
        <f>IF(C101=0,0,(VLOOKUP(C101,'PO MTRL'!$B$9:$S1518,8,0)))</f>
        <v>0</v>
      </c>
      <c r="K101" s="559"/>
      <c r="L101" s="448">
        <f t="shared" si="1"/>
        <v>0</v>
      </c>
      <c r="M101" s="551">
        <f t="shared" si="2"/>
        <v>0</v>
      </c>
      <c r="N101" s="449">
        <f t="shared" si="3"/>
        <v>0</v>
      </c>
      <c r="O101" s="551">
        <f>IF(H101=0,0,(VLOOKUP(H101,'PO MTRL'!$G$9:$S1518,5,0)))</f>
        <v>0</v>
      </c>
      <c r="P101" s="551">
        <f>IF(H101=0,0,(VLOOKUP(H101,'PO MTRL'!$G$9:$S1518,7,0)))</f>
        <v>0</v>
      </c>
      <c r="Q101" s="551">
        <f t="shared" si="4"/>
        <v>0</v>
      </c>
      <c r="R101" s="551">
        <f t="shared" si="5"/>
        <v>0</v>
      </c>
      <c r="S101" s="550">
        <f>IF(C101=0,0,(VLOOKUP(C101,'PO MTRL'!$B$9:$S1518,17,0)))</f>
        <v>0</v>
      </c>
      <c r="T101" s="553"/>
      <c r="U101" s="554">
        <f>IF(C101=0,0,(VLOOKUP(C101,'PO MTRL'!$B$9:$S1518,18,0)))</f>
        <v>0</v>
      </c>
      <c r="V101" s="16"/>
      <c r="W101" s="119" t="str">
        <f t="shared" si="6"/>
        <v/>
      </c>
      <c r="X101" s="564">
        <f t="shared" si="7"/>
        <v>0</v>
      </c>
      <c r="Y101" s="119"/>
      <c r="Z101" s="119"/>
      <c r="AA101" s="530">
        <f>IFERROR(__xludf.DUMMYFUNCTION("""COMPUTED_VALUE"""),93.0)</f>
        <v>93</v>
      </c>
      <c r="AB101" s="119"/>
      <c r="AC101" s="119"/>
      <c r="AD101" s="119"/>
      <c r="AE101" s="119"/>
      <c r="AF101" s="119"/>
      <c r="AG101" s="555" t="str">
        <f t="shared" si="8"/>
        <v>  ---&gt;     ---&gt;   </v>
      </c>
      <c r="AH101" s="16"/>
      <c r="AI101" s="439"/>
      <c r="AJ101" s="439"/>
      <c r="AK101" s="439"/>
    </row>
    <row r="102" ht="18.75" customHeight="1">
      <c r="A102" s="439"/>
      <c r="B102" s="546"/>
      <c r="C102" s="547"/>
      <c r="D102" s="446">
        <f>IF(C102=0,0,(VLOOKUP(C102,'PO MTRL'!$B$9:$S1518,2,0)))</f>
        <v>0</v>
      </c>
      <c r="E102" s="548" t="str">
        <f>IF(C102="","",(VLOOKUP(C102,'PO MTRL'!$B$9:$S1518,3,0)))</f>
        <v/>
      </c>
      <c r="F102" s="549">
        <f>IF(C102=0,0,(VLOOKUP(C102,'PO MTRL'!$B$9:$S1518,4,0)))</f>
        <v>0</v>
      </c>
      <c r="G102" s="444"/>
      <c r="H102" s="550">
        <f>IF(C102=0,0,(VLOOKUP(C102,'PO MTRL'!$B$9:$S1518,6,0)))</f>
        <v>0</v>
      </c>
      <c r="I102" s="446">
        <f>IF(C102=0,0,(VLOOKUP(C102,'PO MTRL'!$B$9:$S1518,7,0)))</f>
        <v>0</v>
      </c>
      <c r="J102" s="551">
        <f>IF(C102=0,0,(VLOOKUP(C102,'PO MTRL'!$B$9:$S1518,8,0)))</f>
        <v>0</v>
      </c>
      <c r="K102" s="559"/>
      <c r="L102" s="448">
        <f t="shared" si="1"/>
        <v>0</v>
      </c>
      <c r="M102" s="551">
        <f t="shared" si="2"/>
        <v>0</v>
      </c>
      <c r="N102" s="449">
        <f t="shared" si="3"/>
        <v>0</v>
      </c>
      <c r="O102" s="551">
        <f>IF(H102=0,0,(VLOOKUP(H102,'PO MTRL'!$G$9:$S1518,5,0)))</f>
        <v>0</v>
      </c>
      <c r="P102" s="551">
        <f>IF(H102=0,0,(VLOOKUP(H102,'PO MTRL'!$G$9:$S1518,7,0)))</f>
        <v>0</v>
      </c>
      <c r="Q102" s="551">
        <f t="shared" si="4"/>
        <v>0</v>
      </c>
      <c r="R102" s="551">
        <f t="shared" si="5"/>
        <v>0</v>
      </c>
      <c r="S102" s="550">
        <f>IF(C102=0,0,(VLOOKUP(C102,'PO MTRL'!$B$9:$S1518,17,0)))</f>
        <v>0</v>
      </c>
      <c r="T102" s="553"/>
      <c r="U102" s="554">
        <f>IF(C102=0,0,(VLOOKUP(C102,'PO MTRL'!$B$9:$S1518,18,0)))</f>
        <v>0</v>
      </c>
      <c r="V102" s="16"/>
      <c r="W102" s="119" t="str">
        <f t="shared" si="6"/>
        <v/>
      </c>
      <c r="X102" s="564">
        <f t="shared" si="7"/>
        <v>0</v>
      </c>
      <c r="Y102" s="119"/>
      <c r="Z102" s="119"/>
      <c r="AA102" s="530">
        <f>IFERROR(__xludf.DUMMYFUNCTION("""COMPUTED_VALUE"""),94.0)</f>
        <v>94</v>
      </c>
      <c r="AB102" s="119"/>
      <c r="AC102" s="119"/>
      <c r="AD102" s="119"/>
      <c r="AE102" s="119"/>
      <c r="AF102" s="119"/>
      <c r="AG102" s="555" t="str">
        <f t="shared" si="8"/>
        <v>  ---&gt;     ---&gt;   </v>
      </c>
      <c r="AH102" s="16"/>
      <c r="AI102" s="439"/>
      <c r="AJ102" s="439"/>
      <c r="AK102" s="439"/>
    </row>
    <row r="103" ht="18.75" customHeight="1">
      <c r="A103" s="439"/>
      <c r="B103" s="546"/>
      <c r="C103" s="547"/>
      <c r="D103" s="446">
        <f>IF(C103=0,0,(VLOOKUP(C103,'PO MTRL'!$B$9:$S1518,2,0)))</f>
        <v>0</v>
      </c>
      <c r="E103" s="548" t="str">
        <f>IF(C103="","",(VLOOKUP(C103,'PO MTRL'!$B$9:$S1518,3,0)))</f>
        <v/>
      </c>
      <c r="F103" s="549">
        <f>IF(C103=0,0,(VLOOKUP(C103,'PO MTRL'!$B$9:$S1518,4,0)))</f>
        <v>0</v>
      </c>
      <c r="G103" s="444"/>
      <c r="H103" s="550">
        <f>IF(C103=0,0,(VLOOKUP(C103,'PO MTRL'!$B$9:$S1518,6,0)))</f>
        <v>0</v>
      </c>
      <c r="I103" s="446">
        <f>IF(C103=0,0,(VLOOKUP(C103,'PO MTRL'!$B$9:$S1518,7,0)))</f>
        <v>0</v>
      </c>
      <c r="J103" s="551">
        <f>IF(C103=0,0,(VLOOKUP(C103,'PO MTRL'!$B$9:$S1518,8,0)))</f>
        <v>0</v>
      </c>
      <c r="K103" s="559"/>
      <c r="L103" s="448">
        <f t="shared" si="1"/>
        <v>0</v>
      </c>
      <c r="M103" s="551">
        <f t="shared" si="2"/>
        <v>0</v>
      </c>
      <c r="N103" s="449">
        <f t="shared" si="3"/>
        <v>0</v>
      </c>
      <c r="O103" s="551">
        <f>IF(H103=0,0,(VLOOKUP(H103,'PO MTRL'!$G$9:$S1518,5,0)))</f>
        <v>0</v>
      </c>
      <c r="P103" s="551">
        <f>IF(H103=0,0,(VLOOKUP(H103,'PO MTRL'!$G$9:$S1518,7,0)))</f>
        <v>0</v>
      </c>
      <c r="Q103" s="551">
        <f t="shared" si="4"/>
        <v>0</v>
      </c>
      <c r="R103" s="551">
        <f t="shared" si="5"/>
        <v>0</v>
      </c>
      <c r="S103" s="550">
        <f>IF(C103=0,0,(VLOOKUP(C103,'PO MTRL'!$B$9:$S1518,17,0)))</f>
        <v>0</v>
      </c>
      <c r="T103" s="553"/>
      <c r="U103" s="554">
        <f>IF(C103=0,0,(VLOOKUP(C103,'PO MTRL'!$B$9:$S1518,18,0)))</f>
        <v>0</v>
      </c>
      <c r="V103" s="16"/>
      <c r="W103" s="119" t="str">
        <f t="shared" si="6"/>
        <v/>
      </c>
      <c r="X103" s="564">
        <f t="shared" si="7"/>
        <v>0</v>
      </c>
      <c r="Y103" s="119"/>
      <c r="Z103" s="119"/>
      <c r="AA103" s="530">
        <f>IFERROR(__xludf.DUMMYFUNCTION("""COMPUTED_VALUE"""),95.0)</f>
        <v>95</v>
      </c>
      <c r="AB103" s="119"/>
      <c r="AC103" s="119"/>
      <c r="AD103" s="119"/>
      <c r="AE103" s="119"/>
      <c r="AF103" s="119"/>
      <c r="AG103" s="555" t="str">
        <f t="shared" si="8"/>
        <v>  ---&gt;     ---&gt;   </v>
      </c>
      <c r="AH103" s="16"/>
      <c r="AI103" s="439"/>
      <c r="AJ103" s="439"/>
      <c r="AK103" s="439"/>
    </row>
    <row r="104" ht="18.75" customHeight="1">
      <c r="A104" s="439"/>
      <c r="B104" s="546"/>
      <c r="C104" s="547"/>
      <c r="D104" s="446">
        <f>IF(C104=0,0,(VLOOKUP(C104,'PO MTRL'!$B$9:$S1518,2,0)))</f>
        <v>0</v>
      </c>
      <c r="E104" s="548" t="str">
        <f>IF(C104="","",(VLOOKUP(C104,'PO MTRL'!$B$9:$S1518,3,0)))</f>
        <v/>
      </c>
      <c r="F104" s="549">
        <f>IF(C104=0,0,(VLOOKUP(C104,'PO MTRL'!$B$9:$S1518,4,0)))</f>
        <v>0</v>
      </c>
      <c r="G104" s="444"/>
      <c r="H104" s="550">
        <f>IF(C104=0,0,(VLOOKUP(C104,'PO MTRL'!$B$9:$S1518,6,0)))</f>
        <v>0</v>
      </c>
      <c r="I104" s="446">
        <f>IF(C104=0,0,(VLOOKUP(C104,'PO MTRL'!$B$9:$S1518,7,0)))</f>
        <v>0</v>
      </c>
      <c r="J104" s="551">
        <f>IF(C104=0,0,(VLOOKUP(C104,'PO MTRL'!$B$9:$S1518,8,0)))</f>
        <v>0</v>
      </c>
      <c r="K104" s="559"/>
      <c r="L104" s="448">
        <f t="shared" si="1"/>
        <v>0</v>
      </c>
      <c r="M104" s="551">
        <f t="shared" si="2"/>
        <v>0</v>
      </c>
      <c r="N104" s="449">
        <f t="shared" si="3"/>
        <v>0</v>
      </c>
      <c r="O104" s="551">
        <f>IF(H104=0,0,(VLOOKUP(H104,'PO MTRL'!$G$9:$S1518,5,0)))</f>
        <v>0</v>
      </c>
      <c r="P104" s="551">
        <f>IF(H104=0,0,(VLOOKUP(H104,'PO MTRL'!$G$9:$S1518,7,0)))</f>
        <v>0</v>
      </c>
      <c r="Q104" s="551">
        <f t="shared" si="4"/>
        <v>0</v>
      </c>
      <c r="R104" s="551">
        <f t="shared" si="5"/>
        <v>0</v>
      </c>
      <c r="S104" s="550">
        <f>IF(C104=0,0,(VLOOKUP(C104,'PO MTRL'!$B$9:$S1518,17,0)))</f>
        <v>0</v>
      </c>
      <c r="T104" s="553"/>
      <c r="U104" s="554">
        <f>IF(C104=0,0,(VLOOKUP(C104,'PO MTRL'!$B$9:$S1518,18,0)))</f>
        <v>0</v>
      </c>
      <c r="V104" s="16"/>
      <c r="W104" s="119" t="str">
        <f t="shared" si="6"/>
        <v/>
      </c>
      <c r="X104" s="564">
        <f t="shared" si="7"/>
        <v>0</v>
      </c>
      <c r="Y104" s="119"/>
      <c r="Z104" s="119"/>
      <c r="AA104" s="530">
        <f>IFERROR(__xludf.DUMMYFUNCTION("""COMPUTED_VALUE"""),96.0)</f>
        <v>96</v>
      </c>
      <c r="AB104" s="119"/>
      <c r="AC104" s="119"/>
      <c r="AD104" s="119"/>
      <c r="AE104" s="119"/>
      <c r="AF104" s="119"/>
      <c r="AG104" s="555" t="str">
        <f t="shared" si="8"/>
        <v>  ---&gt;     ---&gt;   </v>
      </c>
      <c r="AH104" s="16"/>
      <c r="AI104" s="439"/>
      <c r="AJ104" s="439"/>
      <c r="AK104" s="439"/>
    </row>
    <row r="105" ht="18.75" customHeight="1">
      <c r="A105" s="439"/>
      <c r="B105" s="546"/>
      <c r="C105" s="547"/>
      <c r="D105" s="446">
        <f>IF(C105=0,0,(VLOOKUP(C105,'PO MTRL'!$B$9:$S1518,2,0)))</f>
        <v>0</v>
      </c>
      <c r="E105" s="548" t="str">
        <f>IF(C105="","",(VLOOKUP(C105,'PO MTRL'!$B$9:$S1518,3,0)))</f>
        <v/>
      </c>
      <c r="F105" s="549">
        <f>IF(C105=0,0,(VLOOKUP(C105,'PO MTRL'!$B$9:$S1518,4,0)))</f>
        <v>0</v>
      </c>
      <c r="G105" s="444"/>
      <c r="H105" s="550">
        <f>IF(C105=0,0,(VLOOKUP(C105,'PO MTRL'!$B$9:$S1518,6,0)))</f>
        <v>0</v>
      </c>
      <c r="I105" s="446">
        <f>IF(C105=0,0,(VLOOKUP(C105,'PO MTRL'!$B$9:$S1518,7,0)))</f>
        <v>0</v>
      </c>
      <c r="J105" s="551">
        <f>IF(C105=0,0,(VLOOKUP(C105,'PO MTRL'!$B$9:$S1518,8,0)))</f>
        <v>0</v>
      </c>
      <c r="K105" s="559"/>
      <c r="L105" s="448">
        <f t="shared" si="1"/>
        <v>0</v>
      </c>
      <c r="M105" s="551">
        <f t="shared" si="2"/>
        <v>0</v>
      </c>
      <c r="N105" s="449">
        <f t="shared" si="3"/>
        <v>0</v>
      </c>
      <c r="O105" s="551">
        <f>IF(H105=0,0,(VLOOKUP(H105,'PO MTRL'!$G$9:$S1518,5,0)))</f>
        <v>0</v>
      </c>
      <c r="P105" s="551">
        <f>IF(H105=0,0,(VLOOKUP(H105,'PO MTRL'!$G$9:$S1518,7,0)))</f>
        <v>0</v>
      </c>
      <c r="Q105" s="551">
        <f t="shared" si="4"/>
        <v>0</v>
      </c>
      <c r="R105" s="551">
        <f t="shared" si="5"/>
        <v>0</v>
      </c>
      <c r="S105" s="550">
        <f>IF(C105=0,0,(VLOOKUP(C105,'PO MTRL'!$B$9:$S1518,17,0)))</f>
        <v>0</v>
      </c>
      <c r="T105" s="553"/>
      <c r="U105" s="554">
        <f>IF(C105=0,0,(VLOOKUP(C105,'PO MTRL'!$B$9:$S1518,18,0)))</f>
        <v>0</v>
      </c>
      <c r="V105" s="16"/>
      <c r="W105" s="119" t="str">
        <f t="shared" si="6"/>
        <v/>
      </c>
      <c r="X105" s="564">
        <f t="shared" si="7"/>
        <v>0</v>
      </c>
      <c r="Y105" s="119"/>
      <c r="Z105" s="119"/>
      <c r="AA105" s="530">
        <f>IFERROR(__xludf.DUMMYFUNCTION("""COMPUTED_VALUE"""),97.0)</f>
        <v>97</v>
      </c>
      <c r="AB105" s="119"/>
      <c r="AC105" s="119"/>
      <c r="AD105" s="119"/>
      <c r="AE105" s="119"/>
      <c r="AF105" s="119"/>
      <c r="AG105" s="555" t="str">
        <f t="shared" si="8"/>
        <v>  ---&gt;     ---&gt;   </v>
      </c>
      <c r="AH105" s="16"/>
      <c r="AI105" s="439"/>
      <c r="AJ105" s="439"/>
      <c r="AK105" s="439"/>
    </row>
    <row r="106" ht="18.75" customHeight="1">
      <c r="A106" s="439"/>
      <c r="B106" s="546"/>
      <c r="C106" s="547"/>
      <c r="D106" s="446">
        <f>IF(C106=0,0,(VLOOKUP(C106,'PO MTRL'!$B$9:$S1518,2,0)))</f>
        <v>0</v>
      </c>
      <c r="E106" s="548" t="str">
        <f>IF(C106="","",(VLOOKUP(C106,'PO MTRL'!$B$9:$S1518,3,0)))</f>
        <v/>
      </c>
      <c r="F106" s="549">
        <f>IF(C106=0,0,(VLOOKUP(C106,'PO MTRL'!$B$9:$S1518,4,0)))</f>
        <v>0</v>
      </c>
      <c r="G106" s="444"/>
      <c r="H106" s="550">
        <f>IF(C106=0,0,(VLOOKUP(C106,'PO MTRL'!$B$9:$S1518,6,0)))</f>
        <v>0</v>
      </c>
      <c r="I106" s="446">
        <f>IF(C106=0,0,(VLOOKUP(C106,'PO MTRL'!$B$9:$S1518,7,0)))</f>
        <v>0</v>
      </c>
      <c r="J106" s="551">
        <f>IF(C106=0,0,(VLOOKUP(C106,'PO MTRL'!$B$9:$S1518,8,0)))</f>
        <v>0</v>
      </c>
      <c r="K106" s="559"/>
      <c r="L106" s="448">
        <f t="shared" si="1"/>
        <v>0</v>
      </c>
      <c r="M106" s="551">
        <f t="shared" si="2"/>
        <v>0</v>
      </c>
      <c r="N106" s="449">
        <f t="shared" si="3"/>
        <v>0</v>
      </c>
      <c r="O106" s="551">
        <f>IF(H106=0,0,(VLOOKUP(H106,'PO MTRL'!$G$9:$S1518,5,0)))</f>
        <v>0</v>
      </c>
      <c r="P106" s="551">
        <f>IF(H106=0,0,(VLOOKUP(H106,'PO MTRL'!$G$9:$S1518,7,0)))</f>
        <v>0</v>
      </c>
      <c r="Q106" s="551">
        <f t="shared" si="4"/>
        <v>0</v>
      </c>
      <c r="R106" s="551">
        <f t="shared" si="5"/>
        <v>0</v>
      </c>
      <c r="S106" s="550">
        <f>IF(C106=0,0,(VLOOKUP(C106,'PO MTRL'!$B$9:$S1518,17,0)))</f>
        <v>0</v>
      </c>
      <c r="T106" s="553"/>
      <c r="U106" s="554">
        <f>IF(C106=0,0,(VLOOKUP(C106,'PO MTRL'!$B$9:$S1518,18,0)))</f>
        <v>0</v>
      </c>
      <c r="V106" s="16"/>
      <c r="W106" s="119" t="str">
        <f t="shared" si="6"/>
        <v/>
      </c>
      <c r="X106" s="564">
        <f t="shared" si="7"/>
        <v>0</v>
      </c>
      <c r="Y106" s="119"/>
      <c r="Z106" s="119"/>
      <c r="AA106" s="530">
        <f>IFERROR(__xludf.DUMMYFUNCTION("""COMPUTED_VALUE"""),98.0)</f>
        <v>98</v>
      </c>
      <c r="AB106" s="119"/>
      <c r="AC106" s="119"/>
      <c r="AD106" s="119"/>
      <c r="AE106" s="119"/>
      <c r="AF106" s="119"/>
      <c r="AG106" s="555" t="str">
        <f t="shared" si="8"/>
        <v>  ---&gt;     ---&gt;   </v>
      </c>
      <c r="AH106" s="16"/>
      <c r="AI106" s="439"/>
      <c r="AJ106" s="439"/>
      <c r="AK106" s="439"/>
    </row>
    <row r="107" ht="18.75" customHeight="1">
      <c r="A107" s="439"/>
      <c r="B107" s="546"/>
      <c r="C107" s="547"/>
      <c r="D107" s="446">
        <f>IF(C107=0,0,(VLOOKUP(C107,'PO MTRL'!$B$9:$S1518,2,0)))</f>
        <v>0</v>
      </c>
      <c r="E107" s="548" t="str">
        <f>IF(C107="","",(VLOOKUP(C107,'PO MTRL'!$B$9:$S1518,3,0)))</f>
        <v/>
      </c>
      <c r="F107" s="549">
        <f>IF(C107=0,0,(VLOOKUP(C107,'PO MTRL'!$B$9:$S1518,4,0)))</f>
        <v>0</v>
      </c>
      <c r="G107" s="444"/>
      <c r="H107" s="550">
        <f>IF(C107=0,0,(VLOOKUP(C107,'PO MTRL'!$B$9:$S1518,6,0)))</f>
        <v>0</v>
      </c>
      <c r="I107" s="446">
        <f>IF(C107=0,0,(VLOOKUP(C107,'PO MTRL'!$B$9:$S1518,7,0)))</f>
        <v>0</v>
      </c>
      <c r="J107" s="551">
        <f>IF(C107=0,0,(VLOOKUP(C107,'PO MTRL'!$B$9:$S1518,8,0)))</f>
        <v>0</v>
      </c>
      <c r="K107" s="559"/>
      <c r="L107" s="448">
        <f t="shared" si="1"/>
        <v>0</v>
      </c>
      <c r="M107" s="551">
        <f t="shared" si="2"/>
        <v>0</v>
      </c>
      <c r="N107" s="449">
        <f t="shared" si="3"/>
        <v>0</v>
      </c>
      <c r="O107" s="551">
        <f>IF(H107=0,0,(VLOOKUP(H107,'PO MTRL'!$G$9:$S1518,5,0)))</f>
        <v>0</v>
      </c>
      <c r="P107" s="551">
        <f>IF(H107=0,0,(VLOOKUP(H107,'PO MTRL'!$G$9:$S1518,7,0)))</f>
        <v>0</v>
      </c>
      <c r="Q107" s="551">
        <f t="shared" si="4"/>
        <v>0</v>
      </c>
      <c r="R107" s="551">
        <f t="shared" si="5"/>
        <v>0</v>
      </c>
      <c r="S107" s="550">
        <f>IF(C107=0,0,(VLOOKUP(C107,'PO MTRL'!$B$9:$S1518,17,0)))</f>
        <v>0</v>
      </c>
      <c r="T107" s="553"/>
      <c r="U107" s="554">
        <f>IF(C107=0,0,(VLOOKUP(C107,'PO MTRL'!$B$9:$S1518,18,0)))</f>
        <v>0</v>
      </c>
      <c r="V107" s="16"/>
      <c r="W107" s="119" t="str">
        <f t="shared" si="6"/>
        <v/>
      </c>
      <c r="X107" s="564">
        <f t="shared" si="7"/>
        <v>0</v>
      </c>
      <c r="Y107" s="119"/>
      <c r="Z107" s="119"/>
      <c r="AA107" s="530">
        <f>IFERROR(__xludf.DUMMYFUNCTION("""COMPUTED_VALUE"""),99.0)</f>
        <v>99</v>
      </c>
      <c r="AB107" s="119"/>
      <c r="AC107" s="119"/>
      <c r="AD107" s="119"/>
      <c r="AE107" s="119"/>
      <c r="AF107" s="119"/>
      <c r="AG107" s="555" t="str">
        <f t="shared" si="8"/>
        <v>  ---&gt;     ---&gt;   </v>
      </c>
      <c r="AH107" s="16"/>
      <c r="AI107" s="439"/>
      <c r="AJ107" s="439"/>
      <c r="AK107" s="439"/>
    </row>
    <row r="108" ht="18.75" customHeight="1">
      <c r="A108" s="439"/>
      <c r="B108" s="546"/>
      <c r="C108" s="547"/>
      <c r="D108" s="446">
        <f>IF(C108=0,0,(VLOOKUP(C108,'PO MTRL'!$B$9:$S1518,2,0)))</f>
        <v>0</v>
      </c>
      <c r="E108" s="548" t="str">
        <f>IF(C108="","",(VLOOKUP(C108,'PO MTRL'!$B$9:$S1518,3,0)))</f>
        <v/>
      </c>
      <c r="F108" s="549">
        <f>IF(C108=0,0,(VLOOKUP(C108,'PO MTRL'!$B$9:$S1518,4,0)))</f>
        <v>0</v>
      </c>
      <c r="G108" s="444"/>
      <c r="H108" s="550">
        <f>IF(C108=0,0,(VLOOKUP(C108,'PO MTRL'!$B$9:$S1518,6,0)))</f>
        <v>0</v>
      </c>
      <c r="I108" s="446">
        <f>IF(C108=0,0,(VLOOKUP(C108,'PO MTRL'!$B$9:$S1518,7,0)))</f>
        <v>0</v>
      </c>
      <c r="J108" s="551">
        <f>IF(C108=0,0,(VLOOKUP(C108,'PO MTRL'!$B$9:$S1518,8,0)))</f>
        <v>0</v>
      </c>
      <c r="K108" s="559"/>
      <c r="L108" s="448">
        <f t="shared" si="1"/>
        <v>0</v>
      </c>
      <c r="M108" s="551">
        <f t="shared" si="2"/>
        <v>0</v>
      </c>
      <c r="N108" s="449">
        <f t="shared" si="3"/>
        <v>0</v>
      </c>
      <c r="O108" s="551">
        <f>IF(H108=0,0,(VLOOKUP(H108,'PO MTRL'!$G$9:$S1518,5,0)))</f>
        <v>0</v>
      </c>
      <c r="P108" s="551">
        <f>IF(H108=0,0,(VLOOKUP(H108,'PO MTRL'!$G$9:$S1518,7,0)))</f>
        <v>0</v>
      </c>
      <c r="Q108" s="551">
        <f t="shared" si="4"/>
        <v>0</v>
      </c>
      <c r="R108" s="551">
        <f t="shared" si="5"/>
        <v>0</v>
      </c>
      <c r="S108" s="550">
        <f>IF(C108=0,0,(VLOOKUP(C108,'PO MTRL'!$B$9:$S1518,17,0)))</f>
        <v>0</v>
      </c>
      <c r="T108" s="553"/>
      <c r="U108" s="554">
        <f>IF(C108=0,0,(VLOOKUP(C108,'PO MTRL'!$B$9:$S1518,18,0)))</f>
        <v>0</v>
      </c>
      <c r="V108" s="16"/>
      <c r="W108" s="119" t="str">
        <f t="shared" si="6"/>
        <v/>
      </c>
      <c r="X108" s="564">
        <f t="shared" si="7"/>
        <v>0</v>
      </c>
      <c r="Y108" s="119"/>
      <c r="Z108" s="119"/>
      <c r="AA108" s="530">
        <f>IFERROR(__xludf.DUMMYFUNCTION("""COMPUTED_VALUE"""),100.0)</f>
        <v>100</v>
      </c>
      <c r="AB108" s="119"/>
      <c r="AC108" s="119"/>
      <c r="AD108" s="119"/>
      <c r="AE108" s="119"/>
      <c r="AF108" s="119"/>
      <c r="AG108" s="555" t="str">
        <f t="shared" si="8"/>
        <v>  ---&gt;     ---&gt;   </v>
      </c>
      <c r="AH108" s="16"/>
      <c r="AI108" s="439"/>
      <c r="AJ108" s="439"/>
      <c r="AK108" s="439"/>
    </row>
    <row r="109" ht="18.75" customHeight="1">
      <c r="A109" s="439"/>
      <c r="B109" s="546"/>
      <c r="C109" s="547"/>
      <c r="D109" s="446">
        <f>IF(C109=0,0,(VLOOKUP(C109,'PO MTRL'!$B$9:$S1518,2,0)))</f>
        <v>0</v>
      </c>
      <c r="E109" s="548" t="str">
        <f>IF(C109="","",(VLOOKUP(C109,'PO MTRL'!$B$9:$S1518,3,0)))</f>
        <v/>
      </c>
      <c r="F109" s="549">
        <f>IF(C109=0,0,(VLOOKUP(C109,'PO MTRL'!$B$9:$S1518,4,0)))</f>
        <v>0</v>
      </c>
      <c r="G109" s="444"/>
      <c r="H109" s="550">
        <f>IF(C109=0,0,(VLOOKUP(C109,'PO MTRL'!$B$9:$S1518,6,0)))</f>
        <v>0</v>
      </c>
      <c r="I109" s="446">
        <f>IF(C109=0,0,(VLOOKUP(C109,'PO MTRL'!$B$9:$S1518,7,0)))</f>
        <v>0</v>
      </c>
      <c r="J109" s="551">
        <f>IF(C109=0,0,(VLOOKUP(C109,'PO MTRL'!$B$9:$S1518,8,0)))</f>
        <v>0</v>
      </c>
      <c r="K109" s="559"/>
      <c r="L109" s="448">
        <f t="shared" si="1"/>
        <v>0</v>
      </c>
      <c r="M109" s="551">
        <f t="shared" si="2"/>
        <v>0</v>
      </c>
      <c r="N109" s="449">
        <f t="shared" si="3"/>
        <v>0</v>
      </c>
      <c r="O109" s="551">
        <f>IF(H109=0,0,(VLOOKUP(H109,'PO MTRL'!$G$9:$S1518,5,0)))</f>
        <v>0</v>
      </c>
      <c r="P109" s="551">
        <f>IF(H109=0,0,(VLOOKUP(H109,'PO MTRL'!$G$9:$S1518,7,0)))</f>
        <v>0</v>
      </c>
      <c r="Q109" s="551">
        <f t="shared" si="4"/>
        <v>0</v>
      </c>
      <c r="R109" s="551">
        <f t="shared" si="5"/>
        <v>0</v>
      </c>
      <c r="S109" s="550">
        <f>IF(C109=0,0,(VLOOKUP(C109,'PO MTRL'!$B$9:$S1518,17,0)))</f>
        <v>0</v>
      </c>
      <c r="T109" s="553"/>
      <c r="U109" s="554">
        <f>IF(C109=0,0,(VLOOKUP(C109,'PO MTRL'!$B$9:$S1518,18,0)))</f>
        <v>0</v>
      </c>
      <c r="V109" s="16"/>
      <c r="W109" s="119" t="str">
        <f t="shared" si="6"/>
        <v/>
      </c>
      <c r="X109" s="564">
        <f t="shared" si="7"/>
        <v>0</v>
      </c>
      <c r="Y109" s="119"/>
      <c r="Z109" s="119"/>
      <c r="AA109" s="530">
        <f>IFERROR(__xludf.DUMMYFUNCTION("""COMPUTED_VALUE"""),101.0)</f>
        <v>101</v>
      </c>
      <c r="AB109" s="119"/>
      <c r="AC109" s="119"/>
      <c r="AD109" s="119"/>
      <c r="AE109" s="119"/>
      <c r="AF109" s="119"/>
      <c r="AG109" s="555" t="str">
        <f t="shared" si="8"/>
        <v>  ---&gt;     ---&gt;   </v>
      </c>
      <c r="AH109" s="16"/>
      <c r="AI109" s="439"/>
      <c r="AJ109" s="439"/>
      <c r="AK109" s="439"/>
    </row>
    <row r="110" ht="18.75" customHeight="1">
      <c r="A110" s="439"/>
      <c r="B110" s="546"/>
      <c r="C110" s="547"/>
      <c r="D110" s="446">
        <f>IF(C110=0,0,(VLOOKUP(C110,'PO MTRL'!$B$9:$S1518,2,0)))</f>
        <v>0</v>
      </c>
      <c r="E110" s="548" t="str">
        <f>IF(C110="","",(VLOOKUP(C110,'PO MTRL'!$B$9:$S1518,3,0)))</f>
        <v/>
      </c>
      <c r="F110" s="549">
        <f>IF(C110=0,0,(VLOOKUP(C110,'PO MTRL'!$B$9:$S1518,4,0)))</f>
        <v>0</v>
      </c>
      <c r="G110" s="444"/>
      <c r="H110" s="550">
        <f>IF(C110=0,0,(VLOOKUP(C110,'PO MTRL'!$B$9:$S1518,6,0)))</f>
        <v>0</v>
      </c>
      <c r="I110" s="446">
        <f>IF(C110=0,0,(VLOOKUP(C110,'PO MTRL'!$B$9:$S1518,7,0)))</f>
        <v>0</v>
      </c>
      <c r="J110" s="551">
        <f>IF(C110=0,0,(VLOOKUP(C110,'PO MTRL'!$B$9:$S1518,8,0)))</f>
        <v>0</v>
      </c>
      <c r="K110" s="559"/>
      <c r="L110" s="448">
        <f t="shared" si="1"/>
        <v>0</v>
      </c>
      <c r="M110" s="551">
        <f t="shared" si="2"/>
        <v>0</v>
      </c>
      <c r="N110" s="449">
        <f t="shared" si="3"/>
        <v>0</v>
      </c>
      <c r="O110" s="551">
        <f>IF(H110=0,0,(VLOOKUP(H110,'PO MTRL'!$G$9:$S1518,5,0)))</f>
        <v>0</v>
      </c>
      <c r="P110" s="551">
        <f>IF(H110=0,0,(VLOOKUP(H110,'PO MTRL'!$G$9:$S1518,7,0)))</f>
        <v>0</v>
      </c>
      <c r="Q110" s="551">
        <f t="shared" si="4"/>
        <v>0</v>
      </c>
      <c r="R110" s="551">
        <f t="shared" si="5"/>
        <v>0</v>
      </c>
      <c r="S110" s="550">
        <f>IF(C110=0,0,(VLOOKUP(C110,'PO MTRL'!$B$9:$S1518,17,0)))</f>
        <v>0</v>
      </c>
      <c r="T110" s="553"/>
      <c r="U110" s="554">
        <f>IF(C110=0,0,(VLOOKUP(C110,'PO MTRL'!$B$9:$S1518,18,0)))</f>
        <v>0</v>
      </c>
      <c r="V110" s="16"/>
      <c r="W110" s="119" t="str">
        <f t="shared" si="6"/>
        <v/>
      </c>
      <c r="X110" s="564">
        <f t="shared" si="7"/>
        <v>0</v>
      </c>
      <c r="Y110" s="119"/>
      <c r="Z110" s="119"/>
      <c r="AA110" s="530">
        <f>IFERROR(__xludf.DUMMYFUNCTION("""COMPUTED_VALUE"""),102.0)</f>
        <v>102</v>
      </c>
      <c r="AB110" s="119"/>
      <c r="AC110" s="119"/>
      <c r="AD110" s="119"/>
      <c r="AE110" s="119"/>
      <c r="AF110" s="119"/>
      <c r="AG110" s="555" t="str">
        <f t="shared" si="8"/>
        <v>  ---&gt;     ---&gt;   </v>
      </c>
      <c r="AH110" s="16"/>
      <c r="AI110" s="439"/>
      <c r="AJ110" s="439"/>
      <c r="AK110" s="439"/>
    </row>
    <row r="111" ht="18.75" customHeight="1">
      <c r="A111" s="439"/>
      <c r="B111" s="546"/>
      <c r="C111" s="547"/>
      <c r="D111" s="446">
        <f>IF(C111=0,0,(VLOOKUP(C111,'PO MTRL'!$B$9:$S1518,2,0)))</f>
        <v>0</v>
      </c>
      <c r="E111" s="548" t="str">
        <f>IF(C111="","",(VLOOKUP(C111,'PO MTRL'!$B$9:$S1518,3,0)))</f>
        <v/>
      </c>
      <c r="F111" s="549">
        <f>IF(C111=0,0,(VLOOKUP(C111,'PO MTRL'!$B$9:$S1518,4,0)))</f>
        <v>0</v>
      </c>
      <c r="G111" s="444"/>
      <c r="H111" s="550">
        <f>IF(C111=0,0,(VLOOKUP(C111,'PO MTRL'!$B$9:$S1518,6,0)))</f>
        <v>0</v>
      </c>
      <c r="I111" s="446">
        <f>IF(C111=0,0,(VLOOKUP(C111,'PO MTRL'!$B$9:$S1518,7,0)))</f>
        <v>0</v>
      </c>
      <c r="J111" s="551">
        <f>IF(C111=0,0,(VLOOKUP(C111,'PO MTRL'!$B$9:$S1518,8,0)))</f>
        <v>0</v>
      </c>
      <c r="K111" s="559"/>
      <c r="L111" s="448">
        <f t="shared" si="1"/>
        <v>0</v>
      </c>
      <c r="M111" s="551">
        <f t="shared" si="2"/>
        <v>0</v>
      </c>
      <c r="N111" s="449">
        <f t="shared" si="3"/>
        <v>0</v>
      </c>
      <c r="O111" s="551">
        <f>IF(H111=0,0,(VLOOKUP(H111,'PO MTRL'!$G$9:$S1518,5,0)))</f>
        <v>0</v>
      </c>
      <c r="P111" s="551">
        <f>IF(H111=0,0,(VLOOKUP(H111,'PO MTRL'!$G$9:$S1518,7,0)))</f>
        <v>0</v>
      </c>
      <c r="Q111" s="551">
        <f t="shared" si="4"/>
        <v>0</v>
      </c>
      <c r="R111" s="551">
        <f t="shared" si="5"/>
        <v>0</v>
      </c>
      <c r="S111" s="550">
        <f>IF(C111=0,0,(VLOOKUP(C111,'PO MTRL'!$B$9:$S1518,17,0)))</f>
        <v>0</v>
      </c>
      <c r="T111" s="553"/>
      <c r="U111" s="554">
        <f>IF(C111=0,0,(VLOOKUP(C111,'PO MTRL'!$B$9:$S1518,18,0)))</f>
        <v>0</v>
      </c>
      <c r="V111" s="16"/>
      <c r="W111" s="119" t="str">
        <f t="shared" si="6"/>
        <v/>
      </c>
      <c r="X111" s="564">
        <f t="shared" si="7"/>
        <v>0</v>
      </c>
      <c r="Y111" s="119"/>
      <c r="Z111" s="119"/>
      <c r="AA111" s="530">
        <f>IFERROR(__xludf.DUMMYFUNCTION("""COMPUTED_VALUE"""),103.0)</f>
        <v>103</v>
      </c>
      <c r="AB111" s="119"/>
      <c r="AC111" s="119"/>
      <c r="AD111" s="119"/>
      <c r="AE111" s="119"/>
      <c r="AF111" s="119"/>
      <c r="AG111" s="555" t="str">
        <f t="shared" si="8"/>
        <v>  ---&gt;     ---&gt;   </v>
      </c>
      <c r="AH111" s="16"/>
      <c r="AI111" s="439"/>
      <c r="AJ111" s="439"/>
      <c r="AK111" s="439"/>
    </row>
    <row r="112" ht="18.75" customHeight="1">
      <c r="A112" s="439"/>
      <c r="B112" s="546"/>
      <c r="C112" s="547"/>
      <c r="D112" s="446">
        <f>IF(C112=0,0,(VLOOKUP(C112,'PO MTRL'!$B$9:$S1518,2,0)))</f>
        <v>0</v>
      </c>
      <c r="E112" s="548" t="str">
        <f>IF(C112="","",(VLOOKUP(C112,'PO MTRL'!$B$9:$S1518,3,0)))</f>
        <v/>
      </c>
      <c r="F112" s="549">
        <f>IF(C112=0,0,(VLOOKUP(C112,'PO MTRL'!$B$9:$S1518,4,0)))</f>
        <v>0</v>
      </c>
      <c r="G112" s="444"/>
      <c r="H112" s="550">
        <f>IF(C112=0,0,(VLOOKUP(C112,'PO MTRL'!$B$9:$S1518,6,0)))</f>
        <v>0</v>
      </c>
      <c r="I112" s="446">
        <f>IF(C112=0,0,(VLOOKUP(C112,'PO MTRL'!$B$9:$S1518,7,0)))</f>
        <v>0</v>
      </c>
      <c r="J112" s="551">
        <f>IF(C112=0,0,(VLOOKUP(C112,'PO MTRL'!$B$9:$S1518,8,0)))</f>
        <v>0</v>
      </c>
      <c r="K112" s="559"/>
      <c r="L112" s="448">
        <f t="shared" si="1"/>
        <v>0</v>
      </c>
      <c r="M112" s="551">
        <f t="shared" si="2"/>
        <v>0</v>
      </c>
      <c r="N112" s="449">
        <f t="shared" si="3"/>
        <v>0</v>
      </c>
      <c r="O112" s="551">
        <f>IF(H112=0,0,(VLOOKUP(H112,'PO MTRL'!$G$9:$S1518,5,0)))</f>
        <v>0</v>
      </c>
      <c r="P112" s="551">
        <f>IF(H112=0,0,(VLOOKUP(H112,'PO MTRL'!$G$9:$S1518,7,0)))</f>
        <v>0</v>
      </c>
      <c r="Q112" s="551">
        <f t="shared" si="4"/>
        <v>0</v>
      </c>
      <c r="R112" s="551">
        <f t="shared" si="5"/>
        <v>0</v>
      </c>
      <c r="S112" s="550">
        <f>IF(C112=0,0,(VLOOKUP(C112,'PO MTRL'!$B$9:$S1518,17,0)))</f>
        <v>0</v>
      </c>
      <c r="T112" s="553"/>
      <c r="U112" s="554">
        <f>IF(C112=0,0,(VLOOKUP(C112,'PO MTRL'!$B$9:$S1518,18,0)))</f>
        <v>0</v>
      </c>
      <c r="V112" s="16"/>
      <c r="W112" s="119" t="str">
        <f t="shared" si="6"/>
        <v/>
      </c>
      <c r="X112" s="564">
        <f t="shared" si="7"/>
        <v>0</v>
      </c>
      <c r="Y112" s="119"/>
      <c r="Z112" s="119"/>
      <c r="AA112" s="530">
        <f>IFERROR(__xludf.DUMMYFUNCTION("""COMPUTED_VALUE"""),104.0)</f>
        <v>104</v>
      </c>
      <c r="AB112" s="119"/>
      <c r="AC112" s="119"/>
      <c r="AD112" s="119"/>
      <c r="AE112" s="119"/>
      <c r="AF112" s="119"/>
      <c r="AG112" s="555" t="str">
        <f t="shared" si="8"/>
        <v>  ---&gt;     ---&gt;   </v>
      </c>
      <c r="AH112" s="16"/>
      <c r="AI112" s="439"/>
      <c r="AJ112" s="439"/>
      <c r="AK112" s="439"/>
    </row>
    <row r="113" ht="18.75" customHeight="1">
      <c r="A113" s="439"/>
      <c r="B113" s="546"/>
      <c r="C113" s="547"/>
      <c r="D113" s="446">
        <f>IF(C113=0,0,(VLOOKUP(C113,'PO MTRL'!$B$9:$S1518,2,0)))</f>
        <v>0</v>
      </c>
      <c r="E113" s="548" t="str">
        <f>IF(C113="","",(VLOOKUP(C113,'PO MTRL'!$B$9:$S1518,3,0)))</f>
        <v/>
      </c>
      <c r="F113" s="549">
        <f>IF(C113=0,0,(VLOOKUP(C113,'PO MTRL'!$B$9:$S1518,4,0)))</f>
        <v>0</v>
      </c>
      <c r="G113" s="444"/>
      <c r="H113" s="550">
        <f>IF(C113=0,0,(VLOOKUP(C113,'PO MTRL'!$B$9:$S1518,6,0)))</f>
        <v>0</v>
      </c>
      <c r="I113" s="446">
        <f>IF(C113=0,0,(VLOOKUP(C113,'PO MTRL'!$B$9:$S1518,7,0)))</f>
        <v>0</v>
      </c>
      <c r="J113" s="551">
        <f>IF(C113=0,0,(VLOOKUP(C113,'PO MTRL'!$B$9:$S1518,8,0)))</f>
        <v>0</v>
      </c>
      <c r="K113" s="559"/>
      <c r="L113" s="448">
        <f t="shared" si="1"/>
        <v>0</v>
      </c>
      <c r="M113" s="551">
        <f t="shared" si="2"/>
        <v>0</v>
      </c>
      <c r="N113" s="449">
        <f t="shared" si="3"/>
        <v>0</v>
      </c>
      <c r="O113" s="551">
        <f>IF(H113=0,0,(VLOOKUP(H113,'PO MTRL'!$G$9:$S1518,5,0)))</f>
        <v>0</v>
      </c>
      <c r="P113" s="551">
        <f>IF(H113=0,0,(VLOOKUP(H113,'PO MTRL'!$G$9:$S1518,7,0)))</f>
        <v>0</v>
      </c>
      <c r="Q113" s="551">
        <f t="shared" si="4"/>
        <v>0</v>
      </c>
      <c r="R113" s="551">
        <f t="shared" si="5"/>
        <v>0</v>
      </c>
      <c r="S113" s="550">
        <f>IF(C113=0,0,(VLOOKUP(C113,'PO MTRL'!$B$9:$S1518,17,0)))</f>
        <v>0</v>
      </c>
      <c r="T113" s="553"/>
      <c r="U113" s="554">
        <f>IF(C113=0,0,(VLOOKUP(C113,'PO MTRL'!$B$9:$S1518,18,0)))</f>
        <v>0</v>
      </c>
      <c r="V113" s="16"/>
      <c r="W113" s="119" t="str">
        <f t="shared" si="6"/>
        <v/>
      </c>
      <c r="X113" s="564">
        <f t="shared" si="7"/>
        <v>0</v>
      </c>
      <c r="Y113" s="119"/>
      <c r="Z113" s="119"/>
      <c r="AA113" s="530">
        <f>IFERROR(__xludf.DUMMYFUNCTION("""COMPUTED_VALUE"""),105.0)</f>
        <v>105</v>
      </c>
      <c r="AB113" s="119"/>
      <c r="AC113" s="119"/>
      <c r="AD113" s="119"/>
      <c r="AE113" s="119"/>
      <c r="AF113" s="119"/>
      <c r="AG113" s="555" t="str">
        <f t="shared" si="8"/>
        <v>  ---&gt;     ---&gt;   </v>
      </c>
      <c r="AH113" s="16"/>
      <c r="AI113" s="439"/>
      <c r="AJ113" s="439"/>
      <c r="AK113" s="439"/>
    </row>
    <row r="114" ht="18.75" customHeight="1">
      <c r="A114" s="439"/>
      <c r="B114" s="546"/>
      <c r="C114" s="547"/>
      <c r="D114" s="446">
        <f>IF(C114=0,0,(VLOOKUP(C114,'PO MTRL'!$B$9:$S1518,2,0)))</f>
        <v>0</v>
      </c>
      <c r="E114" s="548" t="str">
        <f>IF(C114="","",(VLOOKUP(C114,'PO MTRL'!$B$9:$S1518,3,0)))</f>
        <v/>
      </c>
      <c r="F114" s="549">
        <f>IF(C114=0,0,(VLOOKUP(C114,'PO MTRL'!$B$9:$S1518,4,0)))</f>
        <v>0</v>
      </c>
      <c r="G114" s="444"/>
      <c r="H114" s="550">
        <f>IF(C114=0,0,(VLOOKUP(C114,'PO MTRL'!$B$9:$S1518,6,0)))</f>
        <v>0</v>
      </c>
      <c r="I114" s="446">
        <f>IF(C114=0,0,(VLOOKUP(C114,'PO MTRL'!$B$9:$S1518,7,0)))</f>
        <v>0</v>
      </c>
      <c r="J114" s="551">
        <f>IF(C114=0,0,(VLOOKUP(C114,'PO MTRL'!$B$9:$S1518,8,0)))</f>
        <v>0</v>
      </c>
      <c r="K114" s="559"/>
      <c r="L114" s="448">
        <f t="shared" si="1"/>
        <v>0</v>
      </c>
      <c r="M114" s="551">
        <f t="shared" si="2"/>
        <v>0</v>
      </c>
      <c r="N114" s="449">
        <f t="shared" si="3"/>
        <v>0</v>
      </c>
      <c r="O114" s="551">
        <f>IF(H114=0,0,(VLOOKUP(H114,'PO MTRL'!$G$9:$S1518,5,0)))</f>
        <v>0</v>
      </c>
      <c r="P114" s="551">
        <f>IF(H114=0,0,(VLOOKUP(H114,'PO MTRL'!$G$9:$S1518,7,0)))</f>
        <v>0</v>
      </c>
      <c r="Q114" s="551">
        <f t="shared" si="4"/>
        <v>0</v>
      </c>
      <c r="R114" s="551">
        <f t="shared" si="5"/>
        <v>0</v>
      </c>
      <c r="S114" s="550">
        <f>IF(C114=0,0,(VLOOKUP(C114,'PO MTRL'!$B$9:$S1518,17,0)))</f>
        <v>0</v>
      </c>
      <c r="T114" s="553"/>
      <c r="U114" s="554">
        <f>IF(C114=0,0,(VLOOKUP(C114,'PO MTRL'!$B$9:$S1518,18,0)))</f>
        <v>0</v>
      </c>
      <c r="V114" s="16"/>
      <c r="W114" s="119" t="str">
        <f t="shared" si="6"/>
        <v/>
      </c>
      <c r="X114" s="564">
        <f t="shared" si="7"/>
        <v>0</v>
      </c>
      <c r="Y114" s="119"/>
      <c r="Z114" s="119"/>
      <c r="AA114" s="530">
        <f>IFERROR(__xludf.DUMMYFUNCTION("""COMPUTED_VALUE"""),106.0)</f>
        <v>106</v>
      </c>
      <c r="AB114" s="119"/>
      <c r="AC114" s="119"/>
      <c r="AD114" s="119"/>
      <c r="AE114" s="119"/>
      <c r="AF114" s="119"/>
      <c r="AG114" s="555" t="str">
        <f t="shared" si="8"/>
        <v>  ---&gt;     ---&gt;   </v>
      </c>
      <c r="AH114" s="16"/>
      <c r="AI114" s="439"/>
      <c r="AJ114" s="439"/>
      <c r="AK114" s="439"/>
    </row>
    <row r="115" ht="18.75" customHeight="1">
      <c r="A115" s="439"/>
      <c r="B115" s="546"/>
      <c r="C115" s="547"/>
      <c r="D115" s="446">
        <f>IF(C115=0,0,(VLOOKUP(C115,'PO MTRL'!$B$9:$S1518,2,0)))</f>
        <v>0</v>
      </c>
      <c r="E115" s="548" t="str">
        <f>IF(C115="","",(VLOOKUP(C115,'PO MTRL'!$B$9:$S1518,3,0)))</f>
        <v/>
      </c>
      <c r="F115" s="549">
        <f>IF(C115=0,0,(VLOOKUP(C115,'PO MTRL'!$B$9:$S1518,4,0)))</f>
        <v>0</v>
      </c>
      <c r="G115" s="444"/>
      <c r="H115" s="550">
        <f>IF(C115=0,0,(VLOOKUP(C115,'PO MTRL'!$B$9:$S1518,6,0)))</f>
        <v>0</v>
      </c>
      <c r="I115" s="446">
        <f>IF(C115=0,0,(VLOOKUP(C115,'PO MTRL'!$B$9:$S1518,7,0)))</f>
        <v>0</v>
      </c>
      <c r="J115" s="551">
        <f>IF(C115=0,0,(VLOOKUP(C115,'PO MTRL'!$B$9:$S1518,8,0)))</f>
        <v>0</v>
      </c>
      <c r="K115" s="559"/>
      <c r="L115" s="448">
        <f t="shared" si="1"/>
        <v>0</v>
      </c>
      <c r="M115" s="551">
        <f t="shared" si="2"/>
        <v>0</v>
      </c>
      <c r="N115" s="449">
        <f t="shared" si="3"/>
        <v>0</v>
      </c>
      <c r="O115" s="551">
        <f>IF(H115=0,0,(VLOOKUP(H115,'PO MTRL'!$G$9:$S1518,5,0)))</f>
        <v>0</v>
      </c>
      <c r="P115" s="551">
        <f>IF(H115=0,0,(VLOOKUP(H115,'PO MTRL'!$G$9:$S1518,7,0)))</f>
        <v>0</v>
      </c>
      <c r="Q115" s="551">
        <f t="shared" si="4"/>
        <v>0</v>
      </c>
      <c r="R115" s="551">
        <f t="shared" si="5"/>
        <v>0</v>
      </c>
      <c r="S115" s="550">
        <f>IF(C115=0,0,(VLOOKUP(C115,'PO MTRL'!$B$9:$S1518,17,0)))</f>
        <v>0</v>
      </c>
      <c r="T115" s="553"/>
      <c r="U115" s="554">
        <f>IF(C115=0,0,(VLOOKUP(C115,'PO MTRL'!$B$9:$S1518,18,0)))</f>
        <v>0</v>
      </c>
      <c r="V115" s="16"/>
      <c r="W115" s="119" t="str">
        <f t="shared" si="6"/>
        <v/>
      </c>
      <c r="X115" s="564">
        <f t="shared" si="7"/>
        <v>0</v>
      </c>
      <c r="Y115" s="119"/>
      <c r="Z115" s="119"/>
      <c r="AA115" s="530">
        <f>IFERROR(__xludf.DUMMYFUNCTION("""COMPUTED_VALUE"""),107.0)</f>
        <v>107</v>
      </c>
      <c r="AB115" s="119"/>
      <c r="AC115" s="119"/>
      <c r="AD115" s="119"/>
      <c r="AE115" s="119"/>
      <c r="AF115" s="119"/>
      <c r="AG115" s="555" t="str">
        <f t="shared" si="8"/>
        <v>  ---&gt;     ---&gt;   </v>
      </c>
      <c r="AH115" s="16"/>
      <c r="AI115" s="439"/>
      <c r="AJ115" s="439"/>
      <c r="AK115" s="439"/>
    </row>
    <row r="116" ht="18.75" customHeight="1">
      <c r="A116" s="439"/>
      <c r="B116" s="546"/>
      <c r="C116" s="547"/>
      <c r="D116" s="446">
        <f>IF(C116=0,0,(VLOOKUP(C116,'PO MTRL'!$B$9:$S1518,2,0)))</f>
        <v>0</v>
      </c>
      <c r="E116" s="548" t="str">
        <f>IF(C116="","",(VLOOKUP(C116,'PO MTRL'!$B$9:$S1518,3,0)))</f>
        <v/>
      </c>
      <c r="F116" s="549">
        <f>IF(C116=0,0,(VLOOKUP(C116,'PO MTRL'!$B$9:$S1518,4,0)))</f>
        <v>0</v>
      </c>
      <c r="G116" s="444"/>
      <c r="H116" s="550">
        <f>IF(C116=0,0,(VLOOKUP(C116,'PO MTRL'!$B$9:$S1518,6,0)))</f>
        <v>0</v>
      </c>
      <c r="I116" s="446">
        <f>IF(C116=0,0,(VLOOKUP(C116,'PO MTRL'!$B$9:$S1518,7,0)))</f>
        <v>0</v>
      </c>
      <c r="J116" s="551">
        <f>IF(C116=0,0,(VLOOKUP(C116,'PO MTRL'!$B$9:$S1518,8,0)))</f>
        <v>0</v>
      </c>
      <c r="K116" s="559"/>
      <c r="L116" s="448">
        <f t="shared" si="1"/>
        <v>0</v>
      </c>
      <c r="M116" s="551">
        <f t="shared" si="2"/>
        <v>0</v>
      </c>
      <c r="N116" s="449">
        <f t="shared" si="3"/>
        <v>0</v>
      </c>
      <c r="O116" s="551">
        <f>IF(H116=0,0,(VLOOKUP(H116,'PO MTRL'!$G$9:$S1518,5,0)))</f>
        <v>0</v>
      </c>
      <c r="P116" s="551">
        <f>IF(H116=0,0,(VLOOKUP(H116,'PO MTRL'!$G$9:$S1518,7,0)))</f>
        <v>0</v>
      </c>
      <c r="Q116" s="551">
        <f t="shared" si="4"/>
        <v>0</v>
      </c>
      <c r="R116" s="551">
        <f t="shared" si="5"/>
        <v>0</v>
      </c>
      <c r="S116" s="550">
        <f>IF(C116=0,0,(VLOOKUP(C116,'PO MTRL'!$B$9:$S1518,17,0)))</f>
        <v>0</v>
      </c>
      <c r="T116" s="553"/>
      <c r="U116" s="554">
        <f>IF(C116=0,0,(VLOOKUP(C116,'PO MTRL'!$B$9:$S1518,18,0)))</f>
        <v>0</v>
      </c>
      <c r="V116" s="16"/>
      <c r="W116" s="119" t="str">
        <f t="shared" si="6"/>
        <v/>
      </c>
      <c r="X116" s="564">
        <f t="shared" si="7"/>
        <v>0</v>
      </c>
      <c r="Y116" s="119"/>
      <c r="Z116" s="119"/>
      <c r="AA116" s="530">
        <f>IFERROR(__xludf.DUMMYFUNCTION("""COMPUTED_VALUE"""),108.0)</f>
        <v>108</v>
      </c>
      <c r="AB116" s="119"/>
      <c r="AC116" s="119"/>
      <c r="AD116" s="119"/>
      <c r="AE116" s="119"/>
      <c r="AF116" s="119"/>
      <c r="AG116" s="555" t="str">
        <f t="shared" si="8"/>
        <v>  ---&gt;     ---&gt;   </v>
      </c>
      <c r="AH116" s="16"/>
      <c r="AI116" s="439"/>
      <c r="AJ116" s="439"/>
      <c r="AK116" s="439"/>
    </row>
    <row r="117" ht="18.75" customHeight="1">
      <c r="A117" s="439"/>
      <c r="B117" s="546"/>
      <c r="C117" s="547"/>
      <c r="D117" s="446">
        <f>IF(C117=0,0,(VLOOKUP(C117,'PO MTRL'!$B$9:$S1518,2,0)))</f>
        <v>0</v>
      </c>
      <c r="E117" s="548" t="str">
        <f>IF(C117="","",(VLOOKUP(C117,'PO MTRL'!$B$9:$S1518,3,0)))</f>
        <v/>
      </c>
      <c r="F117" s="549">
        <f>IF(C117=0,0,(VLOOKUP(C117,'PO MTRL'!$B$9:$S1518,4,0)))</f>
        <v>0</v>
      </c>
      <c r="G117" s="444"/>
      <c r="H117" s="550">
        <f>IF(C117=0,0,(VLOOKUP(C117,'PO MTRL'!$B$9:$S1518,6,0)))</f>
        <v>0</v>
      </c>
      <c r="I117" s="446">
        <f>IF(C117=0,0,(VLOOKUP(C117,'PO MTRL'!$B$9:$S1518,7,0)))</f>
        <v>0</v>
      </c>
      <c r="J117" s="551">
        <f>IF(C117=0,0,(VLOOKUP(C117,'PO MTRL'!$B$9:$S1518,8,0)))</f>
        <v>0</v>
      </c>
      <c r="K117" s="559"/>
      <c r="L117" s="448">
        <f t="shared" si="1"/>
        <v>0</v>
      </c>
      <c r="M117" s="551">
        <f t="shared" si="2"/>
        <v>0</v>
      </c>
      <c r="N117" s="449">
        <f t="shared" si="3"/>
        <v>0</v>
      </c>
      <c r="O117" s="551">
        <f>IF(H117=0,0,(VLOOKUP(H117,'PO MTRL'!$G$9:$S1518,5,0)))</f>
        <v>0</v>
      </c>
      <c r="P117" s="551">
        <f>IF(H117=0,0,(VLOOKUP(H117,'PO MTRL'!$G$9:$S1518,7,0)))</f>
        <v>0</v>
      </c>
      <c r="Q117" s="551">
        <f t="shared" si="4"/>
        <v>0</v>
      </c>
      <c r="R117" s="551">
        <f t="shared" si="5"/>
        <v>0</v>
      </c>
      <c r="S117" s="550">
        <f>IF(C117=0,0,(VLOOKUP(C117,'PO MTRL'!$B$9:$S1518,17,0)))</f>
        <v>0</v>
      </c>
      <c r="T117" s="553"/>
      <c r="U117" s="554">
        <f>IF(C117=0,0,(VLOOKUP(C117,'PO MTRL'!$B$9:$S1518,18,0)))</f>
        <v>0</v>
      </c>
      <c r="V117" s="16"/>
      <c r="W117" s="119" t="str">
        <f t="shared" si="6"/>
        <v/>
      </c>
      <c r="X117" s="564">
        <f t="shared" si="7"/>
        <v>0</v>
      </c>
      <c r="Y117" s="119"/>
      <c r="Z117" s="119"/>
      <c r="AA117" s="530">
        <f>IFERROR(__xludf.DUMMYFUNCTION("""COMPUTED_VALUE"""),109.0)</f>
        <v>109</v>
      </c>
      <c r="AB117" s="119"/>
      <c r="AC117" s="119"/>
      <c r="AD117" s="119"/>
      <c r="AE117" s="119"/>
      <c r="AF117" s="119"/>
      <c r="AG117" s="555" t="str">
        <f t="shared" si="8"/>
        <v>  ---&gt;     ---&gt;   </v>
      </c>
      <c r="AH117" s="16"/>
      <c r="AI117" s="439"/>
      <c r="AJ117" s="439"/>
      <c r="AK117" s="439"/>
    </row>
    <row r="118" ht="18.75" customHeight="1">
      <c r="A118" s="439"/>
      <c r="B118" s="546"/>
      <c r="C118" s="547"/>
      <c r="D118" s="446">
        <f>IF(C118=0,0,(VLOOKUP(C118,'PO MTRL'!$B$9:$S1518,2,0)))</f>
        <v>0</v>
      </c>
      <c r="E118" s="548" t="str">
        <f>IF(C118="","",(VLOOKUP(C118,'PO MTRL'!$B$9:$S1518,3,0)))</f>
        <v/>
      </c>
      <c r="F118" s="549">
        <f>IF(C118=0,0,(VLOOKUP(C118,'PO MTRL'!$B$9:$S1518,4,0)))</f>
        <v>0</v>
      </c>
      <c r="G118" s="444"/>
      <c r="H118" s="550">
        <f>IF(C118=0,0,(VLOOKUP(C118,'PO MTRL'!$B$9:$S1518,6,0)))</f>
        <v>0</v>
      </c>
      <c r="I118" s="446">
        <f>IF(C118=0,0,(VLOOKUP(C118,'PO MTRL'!$B$9:$S1518,7,0)))</f>
        <v>0</v>
      </c>
      <c r="J118" s="551">
        <f>IF(C118=0,0,(VLOOKUP(C118,'PO MTRL'!$B$9:$S1518,8,0)))</f>
        <v>0</v>
      </c>
      <c r="K118" s="559"/>
      <c r="L118" s="448">
        <f t="shared" si="1"/>
        <v>0</v>
      </c>
      <c r="M118" s="551">
        <f t="shared" si="2"/>
        <v>0</v>
      </c>
      <c r="N118" s="449">
        <f t="shared" si="3"/>
        <v>0</v>
      </c>
      <c r="O118" s="551">
        <f>IF(H118=0,0,(VLOOKUP(H118,'PO MTRL'!$G$9:$S1518,5,0)))</f>
        <v>0</v>
      </c>
      <c r="P118" s="551">
        <f>IF(H118=0,0,(VLOOKUP(H118,'PO MTRL'!$G$9:$S1518,7,0)))</f>
        <v>0</v>
      </c>
      <c r="Q118" s="551">
        <f t="shared" si="4"/>
        <v>0</v>
      </c>
      <c r="R118" s="551">
        <f t="shared" si="5"/>
        <v>0</v>
      </c>
      <c r="S118" s="550">
        <f>IF(C118=0,0,(VLOOKUP(C118,'PO MTRL'!$B$9:$S1518,17,0)))</f>
        <v>0</v>
      </c>
      <c r="T118" s="553"/>
      <c r="U118" s="554">
        <f>IF(C118=0,0,(VLOOKUP(C118,'PO MTRL'!$B$9:$S1518,18,0)))</f>
        <v>0</v>
      </c>
      <c r="V118" s="16"/>
      <c r="W118" s="119" t="str">
        <f t="shared" si="6"/>
        <v/>
      </c>
      <c r="X118" s="564">
        <f t="shared" si="7"/>
        <v>0</v>
      </c>
      <c r="Y118" s="119"/>
      <c r="Z118" s="119"/>
      <c r="AA118" s="530">
        <f>IFERROR(__xludf.DUMMYFUNCTION("""COMPUTED_VALUE"""),110.0)</f>
        <v>110</v>
      </c>
      <c r="AB118" s="119"/>
      <c r="AC118" s="119"/>
      <c r="AD118" s="119"/>
      <c r="AE118" s="119"/>
      <c r="AF118" s="119"/>
      <c r="AG118" s="555" t="str">
        <f t="shared" si="8"/>
        <v>  ---&gt;     ---&gt;   </v>
      </c>
      <c r="AH118" s="16"/>
      <c r="AI118" s="439"/>
      <c r="AJ118" s="439"/>
      <c r="AK118" s="439"/>
    </row>
    <row r="119" ht="18.75" customHeight="1">
      <c r="A119" s="439"/>
      <c r="B119" s="546"/>
      <c r="C119" s="547"/>
      <c r="D119" s="446">
        <f>IF(C119=0,0,(VLOOKUP(C119,'PO MTRL'!$B$9:$S1518,2,0)))</f>
        <v>0</v>
      </c>
      <c r="E119" s="548" t="str">
        <f>IF(C119="","",(VLOOKUP(C119,'PO MTRL'!$B$9:$S1518,3,0)))</f>
        <v/>
      </c>
      <c r="F119" s="549">
        <f>IF(C119=0,0,(VLOOKUP(C119,'PO MTRL'!$B$9:$S1518,4,0)))</f>
        <v>0</v>
      </c>
      <c r="G119" s="444"/>
      <c r="H119" s="550">
        <f>IF(C119=0,0,(VLOOKUP(C119,'PO MTRL'!$B$9:$S1518,6,0)))</f>
        <v>0</v>
      </c>
      <c r="I119" s="446">
        <f>IF(C119=0,0,(VLOOKUP(C119,'PO MTRL'!$B$9:$S1518,7,0)))</f>
        <v>0</v>
      </c>
      <c r="J119" s="551">
        <f>IF(C119=0,0,(VLOOKUP(C119,'PO MTRL'!$B$9:$S1518,8,0)))</f>
        <v>0</v>
      </c>
      <c r="K119" s="559"/>
      <c r="L119" s="448">
        <f t="shared" si="1"/>
        <v>0</v>
      </c>
      <c r="M119" s="551">
        <f t="shared" si="2"/>
        <v>0</v>
      </c>
      <c r="N119" s="449">
        <f t="shared" si="3"/>
        <v>0</v>
      </c>
      <c r="O119" s="551">
        <f>IF(H119=0,0,(VLOOKUP(H119,'PO MTRL'!$G$9:$S1518,5,0)))</f>
        <v>0</v>
      </c>
      <c r="P119" s="551">
        <f>IF(H119=0,0,(VLOOKUP(H119,'PO MTRL'!$G$9:$S1518,7,0)))</f>
        <v>0</v>
      </c>
      <c r="Q119" s="551">
        <f t="shared" si="4"/>
        <v>0</v>
      </c>
      <c r="R119" s="551">
        <f t="shared" si="5"/>
        <v>0</v>
      </c>
      <c r="S119" s="550">
        <f>IF(C119=0,0,(VLOOKUP(C119,'PO MTRL'!$B$9:$S1518,17,0)))</f>
        <v>0</v>
      </c>
      <c r="T119" s="553"/>
      <c r="U119" s="554">
        <f>IF(C119=0,0,(VLOOKUP(C119,'PO MTRL'!$B$9:$S1518,18,0)))</f>
        <v>0</v>
      </c>
      <c r="V119" s="16"/>
      <c r="W119" s="119" t="str">
        <f t="shared" si="6"/>
        <v/>
      </c>
      <c r="X119" s="564">
        <f t="shared" si="7"/>
        <v>0</v>
      </c>
      <c r="Y119" s="119"/>
      <c r="Z119" s="119"/>
      <c r="AA119" s="530">
        <f>IFERROR(__xludf.DUMMYFUNCTION("""COMPUTED_VALUE"""),111.0)</f>
        <v>111</v>
      </c>
      <c r="AB119" s="119"/>
      <c r="AC119" s="119"/>
      <c r="AD119" s="119"/>
      <c r="AE119" s="119"/>
      <c r="AF119" s="119"/>
      <c r="AG119" s="555" t="str">
        <f t="shared" si="8"/>
        <v>  ---&gt;     ---&gt;   </v>
      </c>
      <c r="AH119" s="16"/>
      <c r="AI119" s="439"/>
      <c r="AJ119" s="439"/>
      <c r="AK119" s="439"/>
    </row>
    <row r="120" ht="18.75" customHeight="1">
      <c r="A120" s="439"/>
      <c r="B120" s="546"/>
      <c r="C120" s="547"/>
      <c r="D120" s="446">
        <f>IF(C120=0,0,(VLOOKUP(C120,'PO MTRL'!$B$9:$S1518,2,0)))</f>
        <v>0</v>
      </c>
      <c r="E120" s="548" t="str">
        <f>IF(C120="","",(VLOOKUP(C120,'PO MTRL'!$B$9:$S1518,3,0)))</f>
        <v/>
      </c>
      <c r="F120" s="549">
        <f>IF(C120=0,0,(VLOOKUP(C120,'PO MTRL'!$B$9:$S1518,4,0)))</f>
        <v>0</v>
      </c>
      <c r="G120" s="444"/>
      <c r="H120" s="550">
        <f>IF(C120=0,0,(VLOOKUP(C120,'PO MTRL'!$B$9:$S1518,6,0)))</f>
        <v>0</v>
      </c>
      <c r="I120" s="446">
        <f>IF(C120=0,0,(VLOOKUP(C120,'PO MTRL'!$B$9:$S1518,7,0)))</f>
        <v>0</v>
      </c>
      <c r="J120" s="551">
        <f>IF(C120=0,0,(VLOOKUP(C120,'PO MTRL'!$B$9:$S1518,8,0)))</f>
        <v>0</v>
      </c>
      <c r="K120" s="559"/>
      <c r="L120" s="448">
        <f t="shared" si="1"/>
        <v>0</v>
      </c>
      <c r="M120" s="551">
        <f t="shared" si="2"/>
        <v>0</v>
      </c>
      <c r="N120" s="449">
        <f t="shared" si="3"/>
        <v>0</v>
      </c>
      <c r="O120" s="551">
        <f>IF(H120=0,0,(VLOOKUP(H120,'PO MTRL'!$G$9:$S1518,5,0)))</f>
        <v>0</v>
      </c>
      <c r="P120" s="551">
        <f>IF(H120=0,0,(VLOOKUP(H120,'PO MTRL'!$G$9:$S1518,7,0)))</f>
        <v>0</v>
      </c>
      <c r="Q120" s="551">
        <f t="shared" si="4"/>
        <v>0</v>
      </c>
      <c r="R120" s="551">
        <f t="shared" si="5"/>
        <v>0</v>
      </c>
      <c r="S120" s="550">
        <f>IF(C120=0,0,(VLOOKUP(C120,'PO MTRL'!$B$9:$S1518,17,0)))</f>
        <v>0</v>
      </c>
      <c r="T120" s="553"/>
      <c r="U120" s="554">
        <f>IF(C120=0,0,(VLOOKUP(C120,'PO MTRL'!$B$9:$S1518,18,0)))</f>
        <v>0</v>
      </c>
      <c r="V120" s="16"/>
      <c r="W120" s="119" t="str">
        <f t="shared" si="6"/>
        <v/>
      </c>
      <c r="X120" s="564">
        <f t="shared" si="7"/>
        <v>0</v>
      </c>
      <c r="Y120" s="119"/>
      <c r="Z120" s="119"/>
      <c r="AA120" s="530">
        <f>IFERROR(__xludf.DUMMYFUNCTION("""COMPUTED_VALUE"""),112.0)</f>
        <v>112</v>
      </c>
      <c r="AB120" s="119"/>
      <c r="AC120" s="119"/>
      <c r="AD120" s="119"/>
      <c r="AE120" s="119"/>
      <c r="AF120" s="119"/>
      <c r="AG120" s="555" t="str">
        <f t="shared" si="8"/>
        <v>  ---&gt;     ---&gt;   </v>
      </c>
      <c r="AH120" s="16"/>
      <c r="AI120" s="439"/>
      <c r="AJ120" s="439"/>
      <c r="AK120" s="439"/>
    </row>
    <row r="121" ht="18.75" customHeight="1">
      <c r="A121" s="439"/>
      <c r="B121" s="546"/>
      <c r="C121" s="547"/>
      <c r="D121" s="446">
        <f>IF(C121=0,0,(VLOOKUP(C121,'PO MTRL'!$B$9:$S1518,2,0)))</f>
        <v>0</v>
      </c>
      <c r="E121" s="548" t="str">
        <f>IF(C121="","",(VLOOKUP(C121,'PO MTRL'!$B$9:$S1518,3,0)))</f>
        <v/>
      </c>
      <c r="F121" s="549">
        <f>IF(C121=0,0,(VLOOKUP(C121,'PO MTRL'!$B$9:$S1518,4,0)))</f>
        <v>0</v>
      </c>
      <c r="G121" s="444"/>
      <c r="H121" s="550">
        <f>IF(C121=0,0,(VLOOKUP(C121,'PO MTRL'!$B$9:$S1518,6,0)))</f>
        <v>0</v>
      </c>
      <c r="I121" s="446">
        <f>IF(C121=0,0,(VLOOKUP(C121,'PO MTRL'!$B$9:$S1518,7,0)))</f>
        <v>0</v>
      </c>
      <c r="J121" s="551">
        <f>IF(C121=0,0,(VLOOKUP(C121,'PO MTRL'!$B$9:$S1518,8,0)))</f>
        <v>0</v>
      </c>
      <c r="K121" s="559"/>
      <c r="L121" s="448">
        <f t="shared" si="1"/>
        <v>0</v>
      </c>
      <c r="M121" s="551">
        <f t="shared" si="2"/>
        <v>0</v>
      </c>
      <c r="N121" s="449">
        <f t="shared" si="3"/>
        <v>0</v>
      </c>
      <c r="O121" s="551">
        <f>IF(H121=0,0,(VLOOKUP(H121,'PO MTRL'!$G$9:$S1518,5,0)))</f>
        <v>0</v>
      </c>
      <c r="P121" s="551">
        <f>IF(H121=0,0,(VLOOKUP(H121,'PO MTRL'!$G$9:$S1518,7,0)))</f>
        <v>0</v>
      </c>
      <c r="Q121" s="551">
        <f t="shared" si="4"/>
        <v>0</v>
      </c>
      <c r="R121" s="551">
        <f t="shared" si="5"/>
        <v>0</v>
      </c>
      <c r="S121" s="550">
        <f>IF(C121=0,0,(VLOOKUP(C121,'PO MTRL'!$B$9:$S1518,17,0)))</f>
        <v>0</v>
      </c>
      <c r="T121" s="553"/>
      <c r="U121" s="554">
        <f>IF(C121=0,0,(VLOOKUP(C121,'PO MTRL'!$B$9:$S1518,18,0)))</f>
        <v>0</v>
      </c>
      <c r="V121" s="16"/>
      <c r="W121" s="119" t="str">
        <f t="shared" si="6"/>
        <v/>
      </c>
      <c r="X121" s="564">
        <f t="shared" si="7"/>
        <v>0</v>
      </c>
      <c r="Y121" s="119"/>
      <c r="Z121" s="119"/>
      <c r="AA121" s="530">
        <f>IFERROR(__xludf.DUMMYFUNCTION("""COMPUTED_VALUE"""),113.0)</f>
        <v>113</v>
      </c>
      <c r="AB121" s="119"/>
      <c r="AC121" s="119"/>
      <c r="AD121" s="119"/>
      <c r="AE121" s="119"/>
      <c r="AF121" s="119"/>
      <c r="AG121" s="555" t="str">
        <f t="shared" si="8"/>
        <v>  ---&gt;     ---&gt;   </v>
      </c>
      <c r="AH121" s="16"/>
      <c r="AI121" s="439"/>
      <c r="AJ121" s="439"/>
      <c r="AK121" s="439"/>
    </row>
    <row r="122" ht="18.75" customHeight="1">
      <c r="A122" s="439"/>
      <c r="B122" s="546"/>
      <c r="C122" s="547"/>
      <c r="D122" s="446">
        <f>IF(C122=0,0,(VLOOKUP(C122,'PO MTRL'!$B$9:$S1518,2,0)))</f>
        <v>0</v>
      </c>
      <c r="E122" s="548" t="str">
        <f>IF(C122="","",(VLOOKUP(C122,'PO MTRL'!$B$9:$S1518,3,0)))</f>
        <v/>
      </c>
      <c r="F122" s="549">
        <f>IF(C122=0,0,(VLOOKUP(C122,'PO MTRL'!$B$9:$S1518,4,0)))</f>
        <v>0</v>
      </c>
      <c r="G122" s="444"/>
      <c r="H122" s="550">
        <f>IF(C122=0,0,(VLOOKUP(C122,'PO MTRL'!$B$9:$S1518,6,0)))</f>
        <v>0</v>
      </c>
      <c r="I122" s="446">
        <f>IF(C122=0,0,(VLOOKUP(C122,'PO MTRL'!$B$9:$S1518,7,0)))</f>
        <v>0</v>
      </c>
      <c r="J122" s="551">
        <f>IF(C122=0,0,(VLOOKUP(C122,'PO MTRL'!$B$9:$S1518,8,0)))</f>
        <v>0</v>
      </c>
      <c r="K122" s="559"/>
      <c r="L122" s="448">
        <f t="shared" si="1"/>
        <v>0</v>
      </c>
      <c r="M122" s="551">
        <f t="shared" si="2"/>
        <v>0</v>
      </c>
      <c r="N122" s="449">
        <f t="shared" si="3"/>
        <v>0</v>
      </c>
      <c r="O122" s="551">
        <f>IF(H122=0,0,(VLOOKUP(H122,'PO MTRL'!$G$9:$S1518,5,0)))</f>
        <v>0</v>
      </c>
      <c r="P122" s="551">
        <f>IF(H122=0,0,(VLOOKUP(H122,'PO MTRL'!$G$9:$S1518,7,0)))</f>
        <v>0</v>
      </c>
      <c r="Q122" s="551">
        <f t="shared" si="4"/>
        <v>0</v>
      </c>
      <c r="R122" s="551">
        <f t="shared" si="5"/>
        <v>0</v>
      </c>
      <c r="S122" s="550">
        <f>IF(C122=0,0,(VLOOKUP(C122,'PO MTRL'!$B$9:$S1518,17,0)))</f>
        <v>0</v>
      </c>
      <c r="T122" s="553"/>
      <c r="U122" s="554">
        <f>IF(C122=0,0,(VLOOKUP(C122,'PO MTRL'!$B$9:$S1518,18,0)))</f>
        <v>0</v>
      </c>
      <c r="V122" s="16"/>
      <c r="W122" s="119" t="str">
        <f t="shared" si="6"/>
        <v/>
      </c>
      <c r="X122" s="564">
        <f t="shared" si="7"/>
        <v>0</v>
      </c>
      <c r="Y122" s="119"/>
      <c r="Z122" s="119"/>
      <c r="AA122" s="530">
        <f>IFERROR(__xludf.DUMMYFUNCTION("""COMPUTED_VALUE"""),114.0)</f>
        <v>114</v>
      </c>
      <c r="AB122" s="119"/>
      <c r="AC122" s="119"/>
      <c r="AD122" s="119"/>
      <c r="AE122" s="119"/>
      <c r="AF122" s="119"/>
      <c r="AG122" s="555" t="str">
        <f t="shared" si="8"/>
        <v>  ---&gt;     ---&gt;   </v>
      </c>
      <c r="AH122" s="16"/>
      <c r="AI122" s="439"/>
      <c r="AJ122" s="439"/>
      <c r="AK122" s="439"/>
    </row>
    <row r="123" ht="18.75" customHeight="1">
      <c r="A123" s="439"/>
      <c r="B123" s="546"/>
      <c r="C123" s="547"/>
      <c r="D123" s="446">
        <f>IF(C123=0,0,(VLOOKUP(C123,'PO MTRL'!$B$9:$S1518,2,0)))</f>
        <v>0</v>
      </c>
      <c r="E123" s="548" t="str">
        <f>IF(C123="","",(VLOOKUP(C123,'PO MTRL'!$B$9:$S1518,3,0)))</f>
        <v/>
      </c>
      <c r="F123" s="549">
        <f>IF(C123=0,0,(VLOOKUP(C123,'PO MTRL'!$B$9:$S1518,4,0)))</f>
        <v>0</v>
      </c>
      <c r="G123" s="444"/>
      <c r="H123" s="550">
        <f>IF(C123=0,0,(VLOOKUP(C123,'PO MTRL'!$B$9:$S1518,6,0)))</f>
        <v>0</v>
      </c>
      <c r="I123" s="446">
        <f>IF(C123=0,0,(VLOOKUP(C123,'PO MTRL'!$B$9:$S1518,7,0)))</f>
        <v>0</v>
      </c>
      <c r="J123" s="551">
        <f>IF(C123=0,0,(VLOOKUP(C123,'PO MTRL'!$B$9:$S1518,8,0)))</f>
        <v>0</v>
      </c>
      <c r="K123" s="559"/>
      <c r="L123" s="448">
        <f t="shared" si="1"/>
        <v>0</v>
      </c>
      <c r="M123" s="551">
        <f t="shared" si="2"/>
        <v>0</v>
      </c>
      <c r="N123" s="449">
        <f t="shared" si="3"/>
        <v>0</v>
      </c>
      <c r="O123" s="551">
        <f>IF(H123=0,0,(VLOOKUP(H123,'PO MTRL'!$G$9:$S1518,5,0)))</f>
        <v>0</v>
      </c>
      <c r="P123" s="551">
        <f>IF(H123=0,0,(VLOOKUP(H123,'PO MTRL'!$G$9:$S1518,7,0)))</f>
        <v>0</v>
      </c>
      <c r="Q123" s="551">
        <f t="shared" si="4"/>
        <v>0</v>
      </c>
      <c r="R123" s="551">
        <f t="shared" si="5"/>
        <v>0</v>
      </c>
      <c r="S123" s="550">
        <f>IF(C123=0,0,(VLOOKUP(C123,'PO MTRL'!$B$9:$S1518,17,0)))</f>
        <v>0</v>
      </c>
      <c r="T123" s="553"/>
      <c r="U123" s="554">
        <f>IF(C123=0,0,(VLOOKUP(C123,'PO MTRL'!$B$9:$S1518,18,0)))</f>
        <v>0</v>
      </c>
      <c r="V123" s="16"/>
      <c r="W123" s="119" t="str">
        <f t="shared" si="6"/>
        <v/>
      </c>
      <c r="X123" s="564">
        <f t="shared" si="7"/>
        <v>0</v>
      </c>
      <c r="Y123" s="119"/>
      <c r="Z123" s="119"/>
      <c r="AA123" s="530">
        <f>IFERROR(__xludf.DUMMYFUNCTION("""COMPUTED_VALUE"""),115.0)</f>
        <v>115</v>
      </c>
      <c r="AB123" s="119"/>
      <c r="AC123" s="119"/>
      <c r="AD123" s="119"/>
      <c r="AE123" s="119"/>
      <c r="AF123" s="119"/>
      <c r="AG123" s="555" t="str">
        <f t="shared" si="8"/>
        <v>  ---&gt;     ---&gt;   </v>
      </c>
      <c r="AH123" s="16"/>
      <c r="AI123" s="439"/>
      <c r="AJ123" s="439"/>
      <c r="AK123" s="439"/>
    </row>
    <row r="124" ht="18.75" customHeight="1">
      <c r="A124" s="439"/>
      <c r="B124" s="546"/>
      <c r="C124" s="547"/>
      <c r="D124" s="446">
        <f>IF(C124=0,0,(VLOOKUP(C124,'PO MTRL'!$B$9:$S1518,2,0)))</f>
        <v>0</v>
      </c>
      <c r="E124" s="548" t="str">
        <f>IF(C124="","",(VLOOKUP(C124,'PO MTRL'!$B$9:$S1518,3,0)))</f>
        <v/>
      </c>
      <c r="F124" s="549">
        <f>IF(C124=0,0,(VLOOKUP(C124,'PO MTRL'!$B$9:$S1518,4,0)))</f>
        <v>0</v>
      </c>
      <c r="G124" s="444"/>
      <c r="H124" s="550">
        <f>IF(C124=0,0,(VLOOKUP(C124,'PO MTRL'!$B$9:$S1518,6,0)))</f>
        <v>0</v>
      </c>
      <c r="I124" s="446">
        <f>IF(C124=0,0,(VLOOKUP(C124,'PO MTRL'!$B$9:$S1518,7,0)))</f>
        <v>0</v>
      </c>
      <c r="J124" s="551">
        <f>IF(C124=0,0,(VLOOKUP(C124,'PO MTRL'!$B$9:$S1518,8,0)))</f>
        <v>0</v>
      </c>
      <c r="K124" s="559"/>
      <c r="L124" s="448">
        <f t="shared" si="1"/>
        <v>0</v>
      </c>
      <c r="M124" s="551">
        <f t="shared" si="2"/>
        <v>0</v>
      </c>
      <c r="N124" s="449">
        <f t="shared" si="3"/>
        <v>0</v>
      </c>
      <c r="O124" s="551">
        <f>IF(H124=0,0,(VLOOKUP(H124,'PO MTRL'!$G$9:$S1518,5,0)))</f>
        <v>0</v>
      </c>
      <c r="P124" s="551">
        <f>IF(H124=0,0,(VLOOKUP(H124,'PO MTRL'!$G$9:$S1518,7,0)))</f>
        <v>0</v>
      </c>
      <c r="Q124" s="551">
        <f t="shared" si="4"/>
        <v>0</v>
      </c>
      <c r="R124" s="551">
        <f t="shared" si="5"/>
        <v>0</v>
      </c>
      <c r="S124" s="550">
        <f>IF(C124=0,0,(VLOOKUP(C124,'PO MTRL'!$B$9:$S1518,17,0)))</f>
        <v>0</v>
      </c>
      <c r="T124" s="553"/>
      <c r="U124" s="554">
        <f>IF(C124=0,0,(VLOOKUP(C124,'PO MTRL'!$B$9:$S1518,18,0)))</f>
        <v>0</v>
      </c>
      <c r="V124" s="16"/>
      <c r="W124" s="119" t="str">
        <f t="shared" si="6"/>
        <v/>
      </c>
      <c r="X124" s="564">
        <f t="shared" si="7"/>
        <v>0</v>
      </c>
      <c r="Y124" s="119"/>
      <c r="Z124" s="119"/>
      <c r="AA124" s="530">
        <f>IFERROR(__xludf.DUMMYFUNCTION("""COMPUTED_VALUE"""),116.0)</f>
        <v>116</v>
      </c>
      <c r="AB124" s="119"/>
      <c r="AC124" s="119"/>
      <c r="AD124" s="119"/>
      <c r="AE124" s="119"/>
      <c r="AF124" s="119"/>
      <c r="AG124" s="555" t="str">
        <f t="shared" si="8"/>
        <v>  ---&gt;     ---&gt;   </v>
      </c>
      <c r="AH124" s="16"/>
      <c r="AI124" s="439"/>
      <c r="AJ124" s="439"/>
      <c r="AK124" s="439"/>
    </row>
    <row r="125" ht="18.75" customHeight="1">
      <c r="A125" s="439"/>
      <c r="B125" s="546"/>
      <c r="C125" s="547"/>
      <c r="D125" s="446">
        <f>IF(C125=0,0,(VLOOKUP(C125,'PO MTRL'!$B$9:$S1518,2,0)))</f>
        <v>0</v>
      </c>
      <c r="E125" s="548" t="str">
        <f>IF(C125="","",(VLOOKUP(C125,'PO MTRL'!$B$9:$S1518,3,0)))</f>
        <v/>
      </c>
      <c r="F125" s="549">
        <f>IF(C125=0,0,(VLOOKUP(C125,'PO MTRL'!$B$9:$S1518,4,0)))</f>
        <v>0</v>
      </c>
      <c r="G125" s="444"/>
      <c r="H125" s="550">
        <f>IF(C125=0,0,(VLOOKUP(C125,'PO MTRL'!$B$9:$S1518,6,0)))</f>
        <v>0</v>
      </c>
      <c r="I125" s="446">
        <f>IF(C125=0,0,(VLOOKUP(C125,'PO MTRL'!$B$9:$S1518,7,0)))</f>
        <v>0</v>
      </c>
      <c r="J125" s="551">
        <f>IF(C125=0,0,(VLOOKUP(C125,'PO MTRL'!$B$9:$S1518,8,0)))</f>
        <v>0</v>
      </c>
      <c r="K125" s="559"/>
      <c r="L125" s="448">
        <f t="shared" si="1"/>
        <v>0</v>
      </c>
      <c r="M125" s="551">
        <f t="shared" si="2"/>
        <v>0</v>
      </c>
      <c r="N125" s="449">
        <f t="shared" si="3"/>
        <v>0</v>
      </c>
      <c r="O125" s="551">
        <f>IF(H125=0,0,(VLOOKUP(H125,'PO MTRL'!$G$9:$S1518,5,0)))</f>
        <v>0</v>
      </c>
      <c r="P125" s="551">
        <f>IF(H125=0,0,(VLOOKUP(H125,'PO MTRL'!$G$9:$S1518,7,0)))</f>
        <v>0</v>
      </c>
      <c r="Q125" s="551">
        <f t="shared" si="4"/>
        <v>0</v>
      </c>
      <c r="R125" s="551">
        <f t="shared" si="5"/>
        <v>0</v>
      </c>
      <c r="S125" s="550">
        <f>IF(C125=0,0,(VLOOKUP(C125,'PO MTRL'!$B$9:$S1518,17,0)))</f>
        <v>0</v>
      </c>
      <c r="T125" s="553"/>
      <c r="U125" s="554">
        <f>IF(C125=0,0,(VLOOKUP(C125,'PO MTRL'!$B$9:$S1518,18,0)))</f>
        <v>0</v>
      </c>
      <c r="V125" s="16"/>
      <c r="W125" s="119" t="str">
        <f t="shared" si="6"/>
        <v/>
      </c>
      <c r="X125" s="564">
        <f t="shared" si="7"/>
        <v>0</v>
      </c>
      <c r="Y125" s="119"/>
      <c r="Z125" s="119"/>
      <c r="AA125" s="530">
        <f>IFERROR(__xludf.DUMMYFUNCTION("""COMPUTED_VALUE"""),117.0)</f>
        <v>117</v>
      </c>
      <c r="AB125" s="119"/>
      <c r="AC125" s="119"/>
      <c r="AD125" s="119"/>
      <c r="AE125" s="119"/>
      <c r="AF125" s="119"/>
      <c r="AG125" s="555" t="str">
        <f t="shared" si="8"/>
        <v>  ---&gt;     ---&gt;   </v>
      </c>
      <c r="AH125" s="16"/>
      <c r="AI125" s="439"/>
      <c r="AJ125" s="439"/>
      <c r="AK125" s="439"/>
    </row>
    <row r="126" ht="18.75" customHeight="1">
      <c r="A126" s="439"/>
      <c r="B126" s="546"/>
      <c r="C126" s="547"/>
      <c r="D126" s="446">
        <f>IF(C126=0,0,(VLOOKUP(C126,'PO MTRL'!$B$9:$S1518,2,0)))</f>
        <v>0</v>
      </c>
      <c r="E126" s="548" t="str">
        <f>IF(C126="","",(VLOOKUP(C126,'PO MTRL'!$B$9:$S1518,3,0)))</f>
        <v/>
      </c>
      <c r="F126" s="549">
        <f>IF(C126=0,0,(VLOOKUP(C126,'PO MTRL'!$B$9:$S1518,4,0)))</f>
        <v>0</v>
      </c>
      <c r="G126" s="444"/>
      <c r="H126" s="550">
        <f>IF(C126=0,0,(VLOOKUP(C126,'PO MTRL'!$B$9:$S1518,6,0)))</f>
        <v>0</v>
      </c>
      <c r="I126" s="446">
        <f>IF(C126=0,0,(VLOOKUP(C126,'PO MTRL'!$B$9:$S1518,7,0)))</f>
        <v>0</v>
      </c>
      <c r="J126" s="551">
        <f>IF(C126=0,0,(VLOOKUP(C126,'PO MTRL'!$B$9:$S1518,8,0)))</f>
        <v>0</v>
      </c>
      <c r="K126" s="559"/>
      <c r="L126" s="448">
        <f t="shared" si="1"/>
        <v>0</v>
      </c>
      <c r="M126" s="551">
        <f t="shared" si="2"/>
        <v>0</v>
      </c>
      <c r="N126" s="449">
        <f t="shared" si="3"/>
        <v>0</v>
      </c>
      <c r="O126" s="551">
        <f>IF(H126=0,0,(VLOOKUP(H126,'PO MTRL'!$G$9:$S1518,5,0)))</f>
        <v>0</v>
      </c>
      <c r="P126" s="551">
        <f>IF(H126=0,0,(VLOOKUP(H126,'PO MTRL'!$G$9:$S1518,7,0)))</f>
        <v>0</v>
      </c>
      <c r="Q126" s="551">
        <f t="shared" si="4"/>
        <v>0</v>
      </c>
      <c r="R126" s="551">
        <f t="shared" si="5"/>
        <v>0</v>
      </c>
      <c r="S126" s="550">
        <f>IF(C126=0,0,(VLOOKUP(C126,'PO MTRL'!$B$9:$S1518,17,0)))</f>
        <v>0</v>
      </c>
      <c r="T126" s="553"/>
      <c r="U126" s="554">
        <f>IF(C126=0,0,(VLOOKUP(C126,'PO MTRL'!$B$9:$S1518,18,0)))</f>
        <v>0</v>
      </c>
      <c r="V126" s="16"/>
      <c r="W126" s="119" t="str">
        <f t="shared" si="6"/>
        <v/>
      </c>
      <c r="X126" s="564">
        <f t="shared" si="7"/>
        <v>0</v>
      </c>
      <c r="Y126" s="119"/>
      <c r="Z126" s="119"/>
      <c r="AA126" s="530">
        <f>IFERROR(__xludf.DUMMYFUNCTION("""COMPUTED_VALUE"""),118.0)</f>
        <v>118</v>
      </c>
      <c r="AB126" s="119"/>
      <c r="AC126" s="119"/>
      <c r="AD126" s="119"/>
      <c r="AE126" s="119"/>
      <c r="AF126" s="119"/>
      <c r="AG126" s="555" t="str">
        <f t="shared" si="8"/>
        <v>  ---&gt;     ---&gt;   </v>
      </c>
      <c r="AH126" s="16"/>
      <c r="AI126" s="439"/>
      <c r="AJ126" s="439"/>
      <c r="AK126" s="439"/>
    </row>
    <row r="127" ht="18.75" customHeight="1">
      <c r="A127" s="439"/>
      <c r="B127" s="546"/>
      <c r="C127" s="547"/>
      <c r="D127" s="446">
        <f>IF(C127=0,0,(VLOOKUP(C127,'PO MTRL'!$B$9:$S1518,2,0)))</f>
        <v>0</v>
      </c>
      <c r="E127" s="548" t="str">
        <f>IF(C127="","",(VLOOKUP(C127,'PO MTRL'!$B$9:$S1518,3,0)))</f>
        <v/>
      </c>
      <c r="F127" s="549">
        <f>IF(C127=0,0,(VLOOKUP(C127,'PO MTRL'!$B$9:$S1518,4,0)))</f>
        <v>0</v>
      </c>
      <c r="G127" s="444"/>
      <c r="H127" s="550">
        <f>IF(C127=0,0,(VLOOKUP(C127,'PO MTRL'!$B$9:$S1518,6,0)))</f>
        <v>0</v>
      </c>
      <c r="I127" s="446">
        <f>IF(C127=0,0,(VLOOKUP(C127,'PO MTRL'!$B$9:$S1518,7,0)))</f>
        <v>0</v>
      </c>
      <c r="J127" s="551">
        <f>IF(C127=0,0,(VLOOKUP(C127,'PO MTRL'!$B$9:$S1518,8,0)))</f>
        <v>0</v>
      </c>
      <c r="K127" s="559"/>
      <c r="L127" s="448">
        <f t="shared" si="1"/>
        <v>0</v>
      </c>
      <c r="M127" s="551">
        <f t="shared" si="2"/>
        <v>0</v>
      </c>
      <c r="N127" s="449">
        <f t="shared" si="3"/>
        <v>0</v>
      </c>
      <c r="O127" s="551">
        <f>IF(H127=0,0,(VLOOKUP(H127,'PO MTRL'!$G$9:$S1518,5,0)))</f>
        <v>0</v>
      </c>
      <c r="P127" s="551">
        <f>IF(H127=0,0,(VLOOKUP(H127,'PO MTRL'!$G$9:$S1518,7,0)))</f>
        <v>0</v>
      </c>
      <c r="Q127" s="551">
        <f t="shared" si="4"/>
        <v>0</v>
      </c>
      <c r="R127" s="551">
        <f t="shared" si="5"/>
        <v>0</v>
      </c>
      <c r="S127" s="550">
        <f>IF(C127=0,0,(VLOOKUP(C127,'PO MTRL'!$B$9:$S1518,17,0)))</f>
        <v>0</v>
      </c>
      <c r="T127" s="553"/>
      <c r="U127" s="554">
        <f>IF(C127=0,0,(VLOOKUP(C127,'PO MTRL'!$B$9:$S1518,18,0)))</f>
        <v>0</v>
      </c>
      <c r="V127" s="16"/>
      <c r="W127" s="119" t="str">
        <f t="shared" si="6"/>
        <v/>
      </c>
      <c r="X127" s="564">
        <f t="shared" si="7"/>
        <v>0</v>
      </c>
      <c r="Y127" s="119"/>
      <c r="Z127" s="119"/>
      <c r="AA127" s="530">
        <f>IFERROR(__xludf.DUMMYFUNCTION("""COMPUTED_VALUE"""),119.0)</f>
        <v>119</v>
      </c>
      <c r="AB127" s="119"/>
      <c r="AC127" s="119"/>
      <c r="AD127" s="119"/>
      <c r="AE127" s="119"/>
      <c r="AF127" s="119"/>
      <c r="AG127" s="555" t="str">
        <f t="shared" si="8"/>
        <v>  ---&gt;     ---&gt;   </v>
      </c>
      <c r="AH127" s="16"/>
      <c r="AI127" s="439"/>
      <c r="AJ127" s="439"/>
      <c r="AK127" s="439"/>
    </row>
    <row r="128" ht="18.75" customHeight="1">
      <c r="A128" s="439"/>
      <c r="B128" s="546"/>
      <c r="C128" s="547"/>
      <c r="D128" s="446">
        <f>IF(C128=0,0,(VLOOKUP(C128,'PO MTRL'!$B$9:$S1518,2,0)))</f>
        <v>0</v>
      </c>
      <c r="E128" s="548" t="str">
        <f>IF(C128="","",(VLOOKUP(C128,'PO MTRL'!$B$9:$S1518,3,0)))</f>
        <v/>
      </c>
      <c r="F128" s="549">
        <f>IF(C128=0,0,(VLOOKUP(C128,'PO MTRL'!$B$9:$S1518,4,0)))</f>
        <v>0</v>
      </c>
      <c r="G128" s="444"/>
      <c r="H128" s="550">
        <f>IF(C128=0,0,(VLOOKUP(C128,'PO MTRL'!$B$9:$S1518,6,0)))</f>
        <v>0</v>
      </c>
      <c r="I128" s="446">
        <f>IF(C128=0,0,(VLOOKUP(C128,'PO MTRL'!$B$9:$S1518,7,0)))</f>
        <v>0</v>
      </c>
      <c r="J128" s="551">
        <f>IF(C128=0,0,(VLOOKUP(C128,'PO MTRL'!$B$9:$S1518,8,0)))</f>
        <v>0</v>
      </c>
      <c r="K128" s="559"/>
      <c r="L128" s="448">
        <f t="shared" si="1"/>
        <v>0</v>
      </c>
      <c r="M128" s="551">
        <f t="shared" si="2"/>
        <v>0</v>
      </c>
      <c r="N128" s="449">
        <f t="shared" si="3"/>
        <v>0</v>
      </c>
      <c r="O128" s="551">
        <f>IF(H128=0,0,(VLOOKUP(H128,'PO MTRL'!$G$9:$S1518,5,0)))</f>
        <v>0</v>
      </c>
      <c r="P128" s="551">
        <f>IF(H128=0,0,(VLOOKUP(H128,'PO MTRL'!$G$9:$S1518,7,0)))</f>
        <v>0</v>
      </c>
      <c r="Q128" s="551">
        <f t="shared" si="4"/>
        <v>0</v>
      </c>
      <c r="R128" s="551">
        <f t="shared" si="5"/>
        <v>0</v>
      </c>
      <c r="S128" s="550">
        <f>IF(C128=0,0,(VLOOKUP(C128,'PO MTRL'!$B$9:$S1518,17,0)))</f>
        <v>0</v>
      </c>
      <c r="T128" s="553"/>
      <c r="U128" s="554">
        <f>IF(C128=0,0,(VLOOKUP(C128,'PO MTRL'!$B$9:$S1518,18,0)))</f>
        <v>0</v>
      </c>
      <c r="V128" s="16"/>
      <c r="W128" s="119" t="str">
        <f t="shared" si="6"/>
        <v/>
      </c>
      <c r="X128" s="564">
        <f t="shared" si="7"/>
        <v>0</v>
      </c>
      <c r="Y128" s="119"/>
      <c r="Z128" s="119"/>
      <c r="AA128" s="530">
        <f>IFERROR(__xludf.DUMMYFUNCTION("""COMPUTED_VALUE"""),120.0)</f>
        <v>120</v>
      </c>
      <c r="AB128" s="119"/>
      <c r="AC128" s="119"/>
      <c r="AD128" s="119"/>
      <c r="AE128" s="119"/>
      <c r="AF128" s="119"/>
      <c r="AG128" s="555" t="str">
        <f t="shared" si="8"/>
        <v>  ---&gt;     ---&gt;   </v>
      </c>
      <c r="AH128" s="16"/>
      <c r="AI128" s="439"/>
      <c r="AJ128" s="439"/>
      <c r="AK128" s="439"/>
    </row>
    <row r="129" ht="18.75" customHeight="1">
      <c r="A129" s="439"/>
      <c r="B129" s="546"/>
      <c r="C129" s="547"/>
      <c r="D129" s="446">
        <f>IF(C129=0,0,(VLOOKUP(C129,'PO MTRL'!$B$9:$S1518,2,0)))</f>
        <v>0</v>
      </c>
      <c r="E129" s="548" t="str">
        <f>IF(C129="","",(VLOOKUP(C129,'PO MTRL'!$B$9:$S1518,3,0)))</f>
        <v/>
      </c>
      <c r="F129" s="549">
        <f>IF(C129=0,0,(VLOOKUP(C129,'PO MTRL'!$B$9:$S1518,4,0)))</f>
        <v>0</v>
      </c>
      <c r="G129" s="444"/>
      <c r="H129" s="550">
        <f>IF(C129=0,0,(VLOOKUP(C129,'PO MTRL'!$B$9:$S1518,6,0)))</f>
        <v>0</v>
      </c>
      <c r="I129" s="446">
        <f>IF(C129=0,0,(VLOOKUP(C129,'PO MTRL'!$B$9:$S1518,7,0)))</f>
        <v>0</v>
      </c>
      <c r="J129" s="551">
        <f>IF(C129=0,0,(VLOOKUP(C129,'PO MTRL'!$B$9:$S1518,8,0)))</f>
        <v>0</v>
      </c>
      <c r="K129" s="559"/>
      <c r="L129" s="448">
        <f t="shared" si="1"/>
        <v>0</v>
      </c>
      <c r="M129" s="551">
        <f t="shared" si="2"/>
        <v>0</v>
      </c>
      <c r="N129" s="449">
        <f t="shared" si="3"/>
        <v>0</v>
      </c>
      <c r="O129" s="551">
        <f>IF(H129=0,0,(VLOOKUP(H129,'PO MTRL'!$G$9:$S1518,5,0)))</f>
        <v>0</v>
      </c>
      <c r="P129" s="551">
        <f>IF(H129=0,0,(VLOOKUP(H129,'PO MTRL'!$G$9:$S1518,7,0)))</f>
        <v>0</v>
      </c>
      <c r="Q129" s="551">
        <f t="shared" si="4"/>
        <v>0</v>
      </c>
      <c r="R129" s="551">
        <f t="shared" si="5"/>
        <v>0</v>
      </c>
      <c r="S129" s="550">
        <f>IF(C129=0,0,(VLOOKUP(C129,'PO MTRL'!$B$9:$S1518,17,0)))</f>
        <v>0</v>
      </c>
      <c r="T129" s="553"/>
      <c r="U129" s="554">
        <f>IF(C129=0,0,(VLOOKUP(C129,'PO MTRL'!$B$9:$S1518,18,0)))</f>
        <v>0</v>
      </c>
      <c r="V129" s="16"/>
      <c r="W129" s="119" t="str">
        <f t="shared" si="6"/>
        <v/>
      </c>
      <c r="X129" s="564">
        <f t="shared" si="7"/>
        <v>0</v>
      </c>
      <c r="Y129" s="119"/>
      <c r="Z129" s="119"/>
      <c r="AA129" s="530">
        <f>IFERROR(__xludf.DUMMYFUNCTION("""COMPUTED_VALUE"""),121.0)</f>
        <v>121</v>
      </c>
      <c r="AB129" s="119"/>
      <c r="AC129" s="119"/>
      <c r="AD129" s="119"/>
      <c r="AE129" s="119"/>
      <c r="AF129" s="119"/>
      <c r="AG129" s="555" t="str">
        <f t="shared" si="8"/>
        <v>  ---&gt;     ---&gt;   </v>
      </c>
      <c r="AH129" s="16"/>
      <c r="AI129" s="439"/>
      <c r="AJ129" s="439"/>
      <c r="AK129" s="439"/>
    </row>
    <row r="130" ht="18.75" customHeight="1">
      <c r="A130" s="439"/>
      <c r="B130" s="546"/>
      <c r="C130" s="547"/>
      <c r="D130" s="446">
        <f>IF(C130=0,0,(VLOOKUP(C130,'PO MTRL'!$B$9:$S1518,2,0)))</f>
        <v>0</v>
      </c>
      <c r="E130" s="548" t="str">
        <f>IF(C130="","",(VLOOKUP(C130,'PO MTRL'!$B$9:$S1518,3,0)))</f>
        <v/>
      </c>
      <c r="F130" s="549">
        <f>IF(C130=0,0,(VLOOKUP(C130,'PO MTRL'!$B$9:$S1518,4,0)))</f>
        <v>0</v>
      </c>
      <c r="G130" s="444"/>
      <c r="H130" s="550">
        <f>IF(C130=0,0,(VLOOKUP(C130,'PO MTRL'!$B$9:$S1518,6,0)))</f>
        <v>0</v>
      </c>
      <c r="I130" s="446">
        <f>IF(C130=0,0,(VLOOKUP(C130,'PO MTRL'!$B$9:$S1518,7,0)))</f>
        <v>0</v>
      </c>
      <c r="J130" s="551">
        <f>IF(C130=0,0,(VLOOKUP(C130,'PO MTRL'!$B$9:$S1518,8,0)))</f>
        <v>0</v>
      </c>
      <c r="K130" s="559"/>
      <c r="L130" s="448">
        <f t="shared" si="1"/>
        <v>0</v>
      </c>
      <c r="M130" s="551">
        <f t="shared" si="2"/>
        <v>0</v>
      </c>
      <c r="N130" s="449">
        <f t="shared" si="3"/>
        <v>0</v>
      </c>
      <c r="O130" s="551">
        <f>IF(H130=0,0,(VLOOKUP(H130,'PO MTRL'!$G$9:$S1518,5,0)))</f>
        <v>0</v>
      </c>
      <c r="P130" s="551">
        <f>IF(H130=0,0,(VLOOKUP(H130,'PO MTRL'!$G$9:$S1518,7,0)))</f>
        <v>0</v>
      </c>
      <c r="Q130" s="551">
        <f t="shared" si="4"/>
        <v>0</v>
      </c>
      <c r="R130" s="551">
        <f t="shared" si="5"/>
        <v>0</v>
      </c>
      <c r="S130" s="550">
        <f>IF(C130=0,0,(VLOOKUP(C130,'PO MTRL'!$B$9:$S1518,17,0)))</f>
        <v>0</v>
      </c>
      <c r="T130" s="553"/>
      <c r="U130" s="554">
        <f>IF(C130=0,0,(VLOOKUP(C130,'PO MTRL'!$B$9:$S1518,18,0)))</f>
        <v>0</v>
      </c>
      <c r="V130" s="16"/>
      <c r="W130" s="119" t="str">
        <f t="shared" si="6"/>
        <v/>
      </c>
      <c r="X130" s="564">
        <f t="shared" si="7"/>
        <v>0</v>
      </c>
      <c r="Y130" s="119"/>
      <c r="Z130" s="119"/>
      <c r="AA130" s="530">
        <f>IFERROR(__xludf.DUMMYFUNCTION("""COMPUTED_VALUE"""),122.0)</f>
        <v>122</v>
      </c>
      <c r="AB130" s="119"/>
      <c r="AC130" s="119"/>
      <c r="AD130" s="119"/>
      <c r="AE130" s="119"/>
      <c r="AF130" s="119"/>
      <c r="AG130" s="555" t="str">
        <f t="shared" si="8"/>
        <v>  ---&gt;     ---&gt;   </v>
      </c>
      <c r="AH130" s="16"/>
      <c r="AI130" s="439"/>
      <c r="AJ130" s="439"/>
      <c r="AK130" s="439"/>
    </row>
    <row r="131" ht="18.75" customHeight="1">
      <c r="A131" s="439"/>
      <c r="B131" s="546"/>
      <c r="C131" s="547"/>
      <c r="D131" s="446">
        <f>IF(C131=0,0,(VLOOKUP(C131,'PO MTRL'!$B$9:$S1518,2,0)))</f>
        <v>0</v>
      </c>
      <c r="E131" s="548" t="str">
        <f>IF(C131="","",(VLOOKUP(C131,'PO MTRL'!$B$9:$S1518,3,0)))</f>
        <v/>
      </c>
      <c r="F131" s="549">
        <f>IF(C131=0,0,(VLOOKUP(C131,'PO MTRL'!$B$9:$S1518,4,0)))</f>
        <v>0</v>
      </c>
      <c r="G131" s="444"/>
      <c r="H131" s="550">
        <f>IF(C131=0,0,(VLOOKUP(C131,'PO MTRL'!$B$9:$S1518,6,0)))</f>
        <v>0</v>
      </c>
      <c r="I131" s="446">
        <f>IF(C131=0,0,(VLOOKUP(C131,'PO MTRL'!$B$9:$S1518,7,0)))</f>
        <v>0</v>
      </c>
      <c r="J131" s="551">
        <f>IF(C131=0,0,(VLOOKUP(C131,'PO MTRL'!$B$9:$S1518,8,0)))</f>
        <v>0</v>
      </c>
      <c r="K131" s="559"/>
      <c r="L131" s="448">
        <f t="shared" si="1"/>
        <v>0</v>
      </c>
      <c r="M131" s="551">
        <f t="shared" si="2"/>
        <v>0</v>
      </c>
      <c r="N131" s="449">
        <f t="shared" si="3"/>
        <v>0</v>
      </c>
      <c r="O131" s="551">
        <f>IF(H131=0,0,(VLOOKUP(H131,'PO MTRL'!$G$9:$S1518,5,0)))</f>
        <v>0</v>
      </c>
      <c r="P131" s="551">
        <f>IF(H131=0,0,(VLOOKUP(H131,'PO MTRL'!$G$9:$S1518,7,0)))</f>
        <v>0</v>
      </c>
      <c r="Q131" s="551">
        <f t="shared" si="4"/>
        <v>0</v>
      </c>
      <c r="R131" s="551">
        <f t="shared" si="5"/>
        <v>0</v>
      </c>
      <c r="S131" s="550">
        <f>IF(C131=0,0,(VLOOKUP(C131,'PO MTRL'!$B$9:$S1518,17,0)))</f>
        <v>0</v>
      </c>
      <c r="T131" s="553"/>
      <c r="U131" s="554">
        <f>IF(C131=0,0,(VLOOKUP(C131,'PO MTRL'!$B$9:$S1518,18,0)))</f>
        <v>0</v>
      </c>
      <c r="V131" s="16"/>
      <c r="W131" s="119" t="str">
        <f t="shared" si="6"/>
        <v/>
      </c>
      <c r="X131" s="564">
        <f t="shared" si="7"/>
        <v>0</v>
      </c>
      <c r="Y131" s="119"/>
      <c r="Z131" s="119"/>
      <c r="AA131" s="530">
        <f>IFERROR(__xludf.DUMMYFUNCTION("""COMPUTED_VALUE"""),123.0)</f>
        <v>123</v>
      </c>
      <c r="AB131" s="119"/>
      <c r="AC131" s="119"/>
      <c r="AD131" s="119"/>
      <c r="AE131" s="119"/>
      <c r="AF131" s="119"/>
      <c r="AG131" s="555" t="str">
        <f t="shared" si="8"/>
        <v>  ---&gt;     ---&gt;   </v>
      </c>
      <c r="AH131" s="16"/>
      <c r="AI131" s="439"/>
      <c r="AJ131" s="439"/>
      <c r="AK131" s="439"/>
    </row>
    <row r="132" ht="18.75" customHeight="1">
      <c r="A132" s="439"/>
      <c r="B132" s="546"/>
      <c r="C132" s="547"/>
      <c r="D132" s="446">
        <f>IF(C132=0,0,(VLOOKUP(C132,'PO MTRL'!$B$9:$S1518,2,0)))</f>
        <v>0</v>
      </c>
      <c r="E132" s="548" t="str">
        <f>IF(C132="","",(VLOOKUP(C132,'PO MTRL'!$B$9:$S1518,3,0)))</f>
        <v/>
      </c>
      <c r="F132" s="549">
        <f>IF(C132=0,0,(VLOOKUP(C132,'PO MTRL'!$B$9:$S1518,4,0)))</f>
        <v>0</v>
      </c>
      <c r="G132" s="444"/>
      <c r="H132" s="550">
        <f>IF(C132=0,0,(VLOOKUP(C132,'PO MTRL'!$B$9:$S1518,6,0)))</f>
        <v>0</v>
      </c>
      <c r="I132" s="446">
        <f>IF(C132=0,0,(VLOOKUP(C132,'PO MTRL'!$B$9:$S1518,7,0)))</f>
        <v>0</v>
      </c>
      <c r="J132" s="551">
        <f>IF(C132=0,0,(VLOOKUP(C132,'PO MTRL'!$B$9:$S1518,8,0)))</f>
        <v>0</v>
      </c>
      <c r="K132" s="559"/>
      <c r="L132" s="448">
        <f t="shared" si="1"/>
        <v>0</v>
      </c>
      <c r="M132" s="551">
        <f t="shared" si="2"/>
        <v>0</v>
      </c>
      <c r="N132" s="449">
        <f t="shared" si="3"/>
        <v>0</v>
      </c>
      <c r="O132" s="551">
        <f>IF(H132=0,0,(VLOOKUP(H132,'PO MTRL'!$G$9:$S1518,5,0)))</f>
        <v>0</v>
      </c>
      <c r="P132" s="551">
        <f>IF(H132=0,0,(VLOOKUP(H132,'PO MTRL'!$G$9:$S1518,7,0)))</f>
        <v>0</v>
      </c>
      <c r="Q132" s="551">
        <f t="shared" si="4"/>
        <v>0</v>
      </c>
      <c r="R132" s="551">
        <f t="shared" si="5"/>
        <v>0</v>
      </c>
      <c r="S132" s="550">
        <f>IF(C132=0,0,(VLOOKUP(C132,'PO MTRL'!$B$9:$S1518,17,0)))</f>
        <v>0</v>
      </c>
      <c r="T132" s="553"/>
      <c r="U132" s="554">
        <f>IF(C132=0,0,(VLOOKUP(C132,'PO MTRL'!$B$9:$S1518,18,0)))</f>
        <v>0</v>
      </c>
      <c r="V132" s="16"/>
      <c r="W132" s="119" t="str">
        <f t="shared" si="6"/>
        <v/>
      </c>
      <c r="X132" s="564">
        <f t="shared" si="7"/>
        <v>0</v>
      </c>
      <c r="Y132" s="119"/>
      <c r="Z132" s="119"/>
      <c r="AA132" s="530">
        <f>IFERROR(__xludf.DUMMYFUNCTION("""COMPUTED_VALUE"""),124.0)</f>
        <v>124</v>
      </c>
      <c r="AB132" s="119"/>
      <c r="AC132" s="119"/>
      <c r="AD132" s="119"/>
      <c r="AE132" s="119"/>
      <c r="AF132" s="119"/>
      <c r="AG132" s="555" t="str">
        <f t="shared" si="8"/>
        <v>  ---&gt;     ---&gt;   </v>
      </c>
      <c r="AH132" s="16"/>
      <c r="AI132" s="439"/>
      <c r="AJ132" s="439"/>
      <c r="AK132" s="439"/>
    </row>
    <row r="133" ht="18.75" customHeight="1">
      <c r="A133" s="439"/>
      <c r="B133" s="546"/>
      <c r="C133" s="547"/>
      <c r="D133" s="446">
        <f>IF(C133=0,0,(VLOOKUP(C133,'PO MTRL'!$B$9:$S1518,2,0)))</f>
        <v>0</v>
      </c>
      <c r="E133" s="548" t="str">
        <f>IF(C133="","",(VLOOKUP(C133,'PO MTRL'!$B$9:$S1518,3,0)))</f>
        <v/>
      </c>
      <c r="F133" s="549">
        <f>IF(C133=0,0,(VLOOKUP(C133,'PO MTRL'!$B$9:$S1518,4,0)))</f>
        <v>0</v>
      </c>
      <c r="G133" s="444"/>
      <c r="H133" s="550">
        <f>IF(C133=0,0,(VLOOKUP(C133,'PO MTRL'!$B$9:$S1518,6,0)))</f>
        <v>0</v>
      </c>
      <c r="I133" s="446">
        <f>IF(C133=0,0,(VLOOKUP(C133,'PO MTRL'!$B$9:$S1518,7,0)))</f>
        <v>0</v>
      </c>
      <c r="J133" s="551">
        <f>IF(C133=0,0,(VLOOKUP(C133,'PO MTRL'!$B$9:$S1518,8,0)))</f>
        <v>0</v>
      </c>
      <c r="K133" s="559"/>
      <c r="L133" s="448">
        <f t="shared" si="1"/>
        <v>0</v>
      </c>
      <c r="M133" s="551">
        <f t="shared" si="2"/>
        <v>0</v>
      </c>
      <c r="N133" s="449">
        <f t="shared" si="3"/>
        <v>0</v>
      </c>
      <c r="O133" s="551">
        <f>IF(H133=0,0,(VLOOKUP(H133,'PO MTRL'!$G$9:$S1518,5,0)))</f>
        <v>0</v>
      </c>
      <c r="P133" s="551">
        <f>IF(H133=0,0,(VLOOKUP(H133,'PO MTRL'!$G$9:$S1518,7,0)))</f>
        <v>0</v>
      </c>
      <c r="Q133" s="551">
        <f t="shared" si="4"/>
        <v>0</v>
      </c>
      <c r="R133" s="551">
        <f t="shared" si="5"/>
        <v>0</v>
      </c>
      <c r="S133" s="550">
        <f>IF(C133=0,0,(VLOOKUP(C133,'PO MTRL'!$B$9:$S1518,17,0)))</f>
        <v>0</v>
      </c>
      <c r="T133" s="553"/>
      <c r="U133" s="554">
        <f>IF(C133=0,0,(VLOOKUP(C133,'PO MTRL'!$B$9:$S1518,18,0)))</f>
        <v>0</v>
      </c>
      <c r="V133" s="16"/>
      <c r="W133" s="119" t="str">
        <f t="shared" si="6"/>
        <v/>
      </c>
      <c r="X133" s="564">
        <f t="shared" si="7"/>
        <v>0</v>
      </c>
      <c r="Y133" s="119"/>
      <c r="Z133" s="119"/>
      <c r="AA133" s="530">
        <f>IFERROR(__xludf.DUMMYFUNCTION("""COMPUTED_VALUE"""),125.0)</f>
        <v>125</v>
      </c>
      <c r="AB133" s="119"/>
      <c r="AC133" s="119"/>
      <c r="AD133" s="119"/>
      <c r="AE133" s="119"/>
      <c r="AF133" s="119"/>
      <c r="AG133" s="555" t="str">
        <f t="shared" si="8"/>
        <v>  ---&gt;     ---&gt;   </v>
      </c>
      <c r="AH133" s="16"/>
      <c r="AI133" s="439"/>
      <c r="AJ133" s="439"/>
      <c r="AK133" s="439"/>
    </row>
    <row r="134" ht="18.75" customHeight="1">
      <c r="A134" s="439"/>
      <c r="B134" s="546"/>
      <c r="C134" s="547"/>
      <c r="D134" s="446">
        <f>IF(C134=0,0,(VLOOKUP(C134,'PO MTRL'!$B$9:$S1518,2,0)))</f>
        <v>0</v>
      </c>
      <c r="E134" s="548" t="str">
        <f>IF(C134="","",(VLOOKUP(C134,'PO MTRL'!$B$9:$S1518,3,0)))</f>
        <v/>
      </c>
      <c r="F134" s="549">
        <f>IF(C134=0,0,(VLOOKUP(C134,'PO MTRL'!$B$9:$S1518,4,0)))</f>
        <v>0</v>
      </c>
      <c r="G134" s="444"/>
      <c r="H134" s="550">
        <f>IF(C134=0,0,(VLOOKUP(C134,'PO MTRL'!$B$9:$S1518,6,0)))</f>
        <v>0</v>
      </c>
      <c r="I134" s="446">
        <f>IF(C134=0,0,(VLOOKUP(C134,'PO MTRL'!$B$9:$S1518,7,0)))</f>
        <v>0</v>
      </c>
      <c r="J134" s="551">
        <f>IF(C134=0,0,(VLOOKUP(C134,'PO MTRL'!$B$9:$S1518,8,0)))</f>
        <v>0</v>
      </c>
      <c r="K134" s="559"/>
      <c r="L134" s="448">
        <f t="shared" si="1"/>
        <v>0</v>
      </c>
      <c r="M134" s="551">
        <f t="shared" si="2"/>
        <v>0</v>
      </c>
      <c r="N134" s="449">
        <f t="shared" si="3"/>
        <v>0</v>
      </c>
      <c r="O134" s="551">
        <f>IF(H134=0,0,(VLOOKUP(H134,'PO MTRL'!$G$9:$S1518,5,0)))</f>
        <v>0</v>
      </c>
      <c r="P134" s="551">
        <f>IF(H134=0,0,(VLOOKUP(H134,'PO MTRL'!$G$9:$S1518,7,0)))</f>
        <v>0</v>
      </c>
      <c r="Q134" s="551">
        <f t="shared" si="4"/>
        <v>0</v>
      </c>
      <c r="R134" s="551">
        <f t="shared" si="5"/>
        <v>0</v>
      </c>
      <c r="S134" s="550">
        <f>IF(C134=0,0,(VLOOKUP(C134,'PO MTRL'!$B$9:$S1518,17,0)))</f>
        <v>0</v>
      </c>
      <c r="T134" s="553"/>
      <c r="U134" s="554">
        <f>IF(C134=0,0,(VLOOKUP(C134,'PO MTRL'!$B$9:$S1518,18,0)))</f>
        <v>0</v>
      </c>
      <c r="V134" s="16"/>
      <c r="W134" s="119" t="str">
        <f t="shared" si="6"/>
        <v/>
      </c>
      <c r="X134" s="564">
        <f t="shared" si="7"/>
        <v>0</v>
      </c>
      <c r="Y134" s="119"/>
      <c r="Z134" s="119"/>
      <c r="AA134" s="530">
        <f>IFERROR(__xludf.DUMMYFUNCTION("""COMPUTED_VALUE"""),126.0)</f>
        <v>126</v>
      </c>
      <c r="AB134" s="119"/>
      <c r="AC134" s="119"/>
      <c r="AD134" s="119"/>
      <c r="AE134" s="119"/>
      <c r="AF134" s="119"/>
      <c r="AG134" s="555" t="str">
        <f t="shared" si="8"/>
        <v>  ---&gt;     ---&gt;   </v>
      </c>
      <c r="AH134" s="16"/>
      <c r="AI134" s="439"/>
      <c r="AJ134" s="439"/>
      <c r="AK134" s="439"/>
    </row>
    <row r="135" ht="18.75" customHeight="1">
      <c r="A135" s="439"/>
      <c r="B135" s="546"/>
      <c r="C135" s="547"/>
      <c r="D135" s="446">
        <f>IF(C135=0,0,(VLOOKUP(C135,'PO MTRL'!$B$9:$S1518,2,0)))</f>
        <v>0</v>
      </c>
      <c r="E135" s="548" t="str">
        <f>IF(C135="","",(VLOOKUP(C135,'PO MTRL'!$B$9:$S1518,3,0)))</f>
        <v/>
      </c>
      <c r="F135" s="549">
        <f>IF(C135=0,0,(VLOOKUP(C135,'PO MTRL'!$B$9:$S1518,4,0)))</f>
        <v>0</v>
      </c>
      <c r="G135" s="444"/>
      <c r="H135" s="550">
        <f>IF(C135=0,0,(VLOOKUP(C135,'PO MTRL'!$B$9:$S1518,6,0)))</f>
        <v>0</v>
      </c>
      <c r="I135" s="446">
        <f>IF(C135=0,0,(VLOOKUP(C135,'PO MTRL'!$B$9:$S1518,7,0)))</f>
        <v>0</v>
      </c>
      <c r="J135" s="551">
        <f>IF(C135=0,0,(VLOOKUP(C135,'PO MTRL'!$B$9:$S1518,8,0)))</f>
        <v>0</v>
      </c>
      <c r="K135" s="559"/>
      <c r="L135" s="448">
        <f t="shared" si="1"/>
        <v>0</v>
      </c>
      <c r="M135" s="551">
        <f t="shared" si="2"/>
        <v>0</v>
      </c>
      <c r="N135" s="449">
        <f t="shared" si="3"/>
        <v>0</v>
      </c>
      <c r="O135" s="551">
        <f>IF(H135=0,0,(VLOOKUP(H135,'PO MTRL'!$G$9:$S1518,5,0)))</f>
        <v>0</v>
      </c>
      <c r="P135" s="551">
        <f>IF(H135=0,0,(VLOOKUP(H135,'PO MTRL'!$G$9:$S1518,7,0)))</f>
        <v>0</v>
      </c>
      <c r="Q135" s="551">
        <f t="shared" si="4"/>
        <v>0</v>
      </c>
      <c r="R135" s="551">
        <f t="shared" si="5"/>
        <v>0</v>
      </c>
      <c r="S135" s="550">
        <f>IF(C135=0,0,(VLOOKUP(C135,'PO MTRL'!$B$9:$S1518,17,0)))</f>
        <v>0</v>
      </c>
      <c r="T135" s="553"/>
      <c r="U135" s="554">
        <f>IF(C135=0,0,(VLOOKUP(C135,'PO MTRL'!$B$9:$S1518,18,0)))</f>
        <v>0</v>
      </c>
      <c r="V135" s="16"/>
      <c r="W135" s="119" t="str">
        <f t="shared" si="6"/>
        <v/>
      </c>
      <c r="X135" s="564">
        <f t="shared" si="7"/>
        <v>0</v>
      </c>
      <c r="Y135" s="119"/>
      <c r="Z135" s="119"/>
      <c r="AA135" s="530">
        <f>IFERROR(__xludf.DUMMYFUNCTION("""COMPUTED_VALUE"""),127.0)</f>
        <v>127</v>
      </c>
      <c r="AB135" s="119"/>
      <c r="AC135" s="119"/>
      <c r="AD135" s="119"/>
      <c r="AE135" s="119"/>
      <c r="AF135" s="119"/>
      <c r="AG135" s="555" t="str">
        <f t="shared" si="8"/>
        <v>  ---&gt;     ---&gt;   </v>
      </c>
      <c r="AH135" s="16"/>
      <c r="AI135" s="439"/>
      <c r="AJ135" s="439"/>
      <c r="AK135" s="439"/>
    </row>
    <row r="136" ht="18.75" customHeight="1">
      <c r="A136" s="439"/>
      <c r="B136" s="546"/>
      <c r="C136" s="547"/>
      <c r="D136" s="446">
        <f>IF(C136=0,0,(VLOOKUP(C136,'PO MTRL'!$B$9:$S1518,2,0)))</f>
        <v>0</v>
      </c>
      <c r="E136" s="548" t="str">
        <f>IF(C136="","",(VLOOKUP(C136,'PO MTRL'!$B$9:$S1518,3,0)))</f>
        <v/>
      </c>
      <c r="F136" s="549">
        <f>IF(C136=0,0,(VLOOKUP(C136,'PO MTRL'!$B$9:$S1518,4,0)))</f>
        <v>0</v>
      </c>
      <c r="G136" s="444"/>
      <c r="H136" s="550">
        <f>IF(C136=0,0,(VLOOKUP(C136,'PO MTRL'!$B$9:$S1518,6,0)))</f>
        <v>0</v>
      </c>
      <c r="I136" s="446">
        <f>IF(C136=0,0,(VLOOKUP(C136,'PO MTRL'!$B$9:$S1518,7,0)))</f>
        <v>0</v>
      </c>
      <c r="J136" s="551">
        <f>IF(C136=0,0,(VLOOKUP(C136,'PO MTRL'!$B$9:$S1518,8,0)))</f>
        <v>0</v>
      </c>
      <c r="K136" s="559"/>
      <c r="L136" s="448">
        <f t="shared" si="1"/>
        <v>0</v>
      </c>
      <c r="M136" s="551">
        <f t="shared" si="2"/>
        <v>0</v>
      </c>
      <c r="N136" s="449">
        <f t="shared" si="3"/>
        <v>0</v>
      </c>
      <c r="O136" s="551">
        <f>IF(H136=0,0,(VLOOKUP(H136,'PO MTRL'!$G$9:$S1518,5,0)))</f>
        <v>0</v>
      </c>
      <c r="P136" s="551">
        <f>IF(H136=0,0,(VLOOKUP(H136,'PO MTRL'!$G$9:$S1518,7,0)))</f>
        <v>0</v>
      </c>
      <c r="Q136" s="551">
        <f t="shared" si="4"/>
        <v>0</v>
      </c>
      <c r="R136" s="551">
        <f t="shared" si="5"/>
        <v>0</v>
      </c>
      <c r="S136" s="550">
        <f>IF(C136=0,0,(VLOOKUP(C136,'PO MTRL'!$B$9:$S1518,17,0)))</f>
        <v>0</v>
      </c>
      <c r="T136" s="553"/>
      <c r="U136" s="554">
        <f>IF(C136=0,0,(VLOOKUP(C136,'PO MTRL'!$B$9:$S1518,18,0)))</f>
        <v>0</v>
      </c>
      <c r="V136" s="16"/>
      <c r="W136" s="119" t="str">
        <f t="shared" si="6"/>
        <v/>
      </c>
      <c r="X136" s="564">
        <f t="shared" si="7"/>
        <v>0</v>
      </c>
      <c r="Y136" s="119"/>
      <c r="Z136" s="119"/>
      <c r="AA136" s="530">
        <f>IFERROR(__xludf.DUMMYFUNCTION("""COMPUTED_VALUE"""),128.0)</f>
        <v>128</v>
      </c>
      <c r="AB136" s="119"/>
      <c r="AC136" s="119"/>
      <c r="AD136" s="119"/>
      <c r="AE136" s="119"/>
      <c r="AF136" s="119"/>
      <c r="AG136" s="555" t="str">
        <f t="shared" si="8"/>
        <v>  ---&gt;     ---&gt;   </v>
      </c>
      <c r="AH136" s="16"/>
      <c r="AI136" s="439"/>
      <c r="AJ136" s="439"/>
      <c r="AK136" s="439"/>
    </row>
    <row r="137" ht="18.75" customHeight="1">
      <c r="A137" s="439"/>
      <c r="B137" s="546"/>
      <c r="C137" s="547"/>
      <c r="D137" s="446">
        <f>IF(C137=0,0,(VLOOKUP(C137,'PO MTRL'!$B$9:$S1518,2,0)))</f>
        <v>0</v>
      </c>
      <c r="E137" s="548" t="str">
        <f>IF(C137="","",(VLOOKUP(C137,'PO MTRL'!$B$9:$S1518,3,0)))</f>
        <v/>
      </c>
      <c r="F137" s="549">
        <f>IF(C137=0,0,(VLOOKUP(C137,'PO MTRL'!$B$9:$S1518,4,0)))</f>
        <v>0</v>
      </c>
      <c r="G137" s="444"/>
      <c r="H137" s="550">
        <f>IF(C137=0,0,(VLOOKUP(C137,'PO MTRL'!$B$9:$S1518,6,0)))</f>
        <v>0</v>
      </c>
      <c r="I137" s="446">
        <f>IF(C137=0,0,(VLOOKUP(C137,'PO MTRL'!$B$9:$S1518,7,0)))</f>
        <v>0</v>
      </c>
      <c r="J137" s="551">
        <f>IF(C137=0,0,(VLOOKUP(C137,'PO MTRL'!$B$9:$S1518,8,0)))</f>
        <v>0</v>
      </c>
      <c r="K137" s="559"/>
      <c r="L137" s="448">
        <f t="shared" si="1"/>
        <v>0</v>
      </c>
      <c r="M137" s="551">
        <f t="shared" si="2"/>
        <v>0</v>
      </c>
      <c r="N137" s="449">
        <f t="shared" si="3"/>
        <v>0</v>
      </c>
      <c r="O137" s="551">
        <f>IF(H137=0,0,(VLOOKUP(H137,'PO MTRL'!$G$9:$S1518,5,0)))</f>
        <v>0</v>
      </c>
      <c r="P137" s="551">
        <f>IF(H137=0,0,(VLOOKUP(H137,'PO MTRL'!$G$9:$S1518,7,0)))</f>
        <v>0</v>
      </c>
      <c r="Q137" s="551">
        <f t="shared" si="4"/>
        <v>0</v>
      </c>
      <c r="R137" s="551">
        <f t="shared" si="5"/>
        <v>0</v>
      </c>
      <c r="S137" s="550">
        <f>IF(C137=0,0,(VLOOKUP(C137,'PO MTRL'!$B$9:$S1518,17,0)))</f>
        <v>0</v>
      </c>
      <c r="T137" s="553"/>
      <c r="U137" s="554">
        <f>IF(C137=0,0,(VLOOKUP(C137,'PO MTRL'!$B$9:$S1518,18,0)))</f>
        <v>0</v>
      </c>
      <c r="V137" s="16"/>
      <c r="W137" s="119" t="str">
        <f t="shared" si="6"/>
        <v/>
      </c>
      <c r="X137" s="564">
        <f t="shared" si="7"/>
        <v>0</v>
      </c>
      <c r="Y137" s="119"/>
      <c r="Z137" s="119"/>
      <c r="AA137" s="530">
        <f>IFERROR(__xludf.DUMMYFUNCTION("""COMPUTED_VALUE"""),129.0)</f>
        <v>129</v>
      </c>
      <c r="AB137" s="119"/>
      <c r="AC137" s="119"/>
      <c r="AD137" s="119"/>
      <c r="AE137" s="119"/>
      <c r="AF137" s="119"/>
      <c r="AG137" s="555" t="str">
        <f t="shared" si="8"/>
        <v>  ---&gt;     ---&gt;   </v>
      </c>
      <c r="AH137" s="16"/>
      <c r="AI137" s="439"/>
      <c r="AJ137" s="439"/>
      <c r="AK137" s="439"/>
    </row>
    <row r="138" ht="18.75" customHeight="1">
      <c r="A138" s="439"/>
      <c r="B138" s="546"/>
      <c r="C138" s="547"/>
      <c r="D138" s="446">
        <f>IF(C138=0,0,(VLOOKUP(C138,'PO MTRL'!$B$9:$S1518,2,0)))</f>
        <v>0</v>
      </c>
      <c r="E138" s="548" t="str">
        <f>IF(C138="","",(VLOOKUP(C138,'PO MTRL'!$B$9:$S1518,3,0)))</f>
        <v/>
      </c>
      <c r="F138" s="549">
        <f>IF(C138=0,0,(VLOOKUP(C138,'PO MTRL'!$B$9:$S1518,4,0)))</f>
        <v>0</v>
      </c>
      <c r="G138" s="444"/>
      <c r="H138" s="550">
        <f>IF(C138=0,0,(VLOOKUP(C138,'PO MTRL'!$B$9:$S1518,6,0)))</f>
        <v>0</v>
      </c>
      <c r="I138" s="446">
        <f>IF(C138=0,0,(VLOOKUP(C138,'PO MTRL'!$B$9:$S1518,7,0)))</f>
        <v>0</v>
      </c>
      <c r="J138" s="551">
        <f>IF(C138=0,0,(VLOOKUP(C138,'PO MTRL'!$B$9:$S1518,8,0)))</f>
        <v>0</v>
      </c>
      <c r="K138" s="559"/>
      <c r="L138" s="448">
        <f t="shared" si="1"/>
        <v>0</v>
      </c>
      <c r="M138" s="551">
        <f t="shared" si="2"/>
        <v>0</v>
      </c>
      <c r="N138" s="449">
        <f t="shared" si="3"/>
        <v>0</v>
      </c>
      <c r="O138" s="551">
        <f>IF(H138=0,0,(VLOOKUP(H138,'PO MTRL'!$G$9:$S1518,5,0)))</f>
        <v>0</v>
      </c>
      <c r="P138" s="551">
        <f>IF(H138=0,0,(VLOOKUP(H138,'PO MTRL'!$G$9:$S1518,7,0)))</f>
        <v>0</v>
      </c>
      <c r="Q138" s="551">
        <f t="shared" si="4"/>
        <v>0</v>
      </c>
      <c r="R138" s="551">
        <f t="shared" si="5"/>
        <v>0</v>
      </c>
      <c r="S138" s="550">
        <f>IF(C138=0,0,(VLOOKUP(C138,'PO MTRL'!$B$9:$S1518,17,0)))</f>
        <v>0</v>
      </c>
      <c r="T138" s="553"/>
      <c r="U138" s="554">
        <f>IF(C138=0,0,(VLOOKUP(C138,'PO MTRL'!$B$9:$S1518,18,0)))</f>
        <v>0</v>
      </c>
      <c r="V138" s="16"/>
      <c r="W138" s="119" t="str">
        <f t="shared" si="6"/>
        <v/>
      </c>
      <c r="X138" s="564">
        <f t="shared" si="7"/>
        <v>0</v>
      </c>
      <c r="Y138" s="119"/>
      <c r="Z138" s="119"/>
      <c r="AA138" s="530">
        <f>IFERROR(__xludf.DUMMYFUNCTION("""COMPUTED_VALUE"""),130.0)</f>
        <v>130</v>
      </c>
      <c r="AB138" s="119"/>
      <c r="AC138" s="119"/>
      <c r="AD138" s="119"/>
      <c r="AE138" s="119"/>
      <c r="AF138" s="119"/>
      <c r="AG138" s="555" t="str">
        <f t="shared" si="8"/>
        <v>  ---&gt;     ---&gt;   </v>
      </c>
      <c r="AH138" s="16"/>
      <c r="AI138" s="439"/>
      <c r="AJ138" s="439"/>
      <c r="AK138" s="439"/>
    </row>
    <row r="139" ht="18.75" customHeight="1">
      <c r="A139" s="439"/>
      <c r="B139" s="546"/>
      <c r="C139" s="547"/>
      <c r="D139" s="446">
        <f>IF(C139=0,0,(VLOOKUP(C139,'PO MTRL'!$B$9:$S1518,2,0)))</f>
        <v>0</v>
      </c>
      <c r="E139" s="548" t="str">
        <f>IF(C139="","",(VLOOKUP(C139,'PO MTRL'!$B$9:$S1518,3,0)))</f>
        <v/>
      </c>
      <c r="F139" s="549">
        <f>IF(C139=0,0,(VLOOKUP(C139,'PO MTRL'!$B$9:$S1518,4,0)))</f>
        <v>0</v>
      </c>
      <c r="G139" s="444"/>
      <c r="H139" s="550">
        <f>IF(C139=0,0,(VLOOKUP(C139,'PO MTRL'!$B$9:$S1518,6,0)))</f>
        <v>0</v>
      </c>
      <c r="I139" s="446">
        <f>IF(C139=0,0,(VLOOKUP(C139,'PO MTRL'!$B$9:$S1518,7,0)))</f>
        <v>0</v>
      </c>
      <c r="J139" s="551">
        <f>IF(C139=0,0,(VLOOKUP(C139,'PO MTRL'!$B$9:$S1518,8,0)))</f>
        <v>0</v>
      </c>
      <c r="K139" s="559"/>
      <c r="L139" s="448">
        <f t="shared" si="1"/>
        <v>0</v>
      </c>
      <c r="M139" s="551">
        <f t="shared" si="2"/>
        <v>0</v>
      </c>
      <c r="N139" s="449">
        <f t="shared" si="3"/>
        <v>0</v>
      </c>
      <c r="O139" s="551">
        <f>IF(H139=0,0,(VLOOKUP(H139,'PO MTRL'!$G$9:$S1518,5,0)))</f>
        <v>0</v>
      </c>
      <c r="P139" s="551">
        <f>IF(H139=0,0,(VLOOKUP(H139,'PO MTRL'!$G$9:$S1518,7,0)))</f>
        <v>0</v>
      </c>
      <c r="Q139" s="551">
        <f t="shared" si="4"/>
        <v>0</v>
      </c>
      <c r="R139" s="551">
        <f t="shared" si="5"/>
        <v>0</v>
      </c>
      <c r="S139" s="550">
        <f>IF(C139=0,0,(VLOOKUP(C139,'PO MTRL'!$B$9:$S1518,17,0)))</f>
        <v>0</v>
      </c>
      <c r="T139" s="553"/>
      <c r="U139" s="554">
        <f>IF(C139=0,0,(VLOOKUP(C139,'PO MTRL'!$B$9:$S1518,18,0)))</f>
        <v>0</v>
      </c>
      <c r="V139" s="16"/>
      <c r="W139" s="119" t="str">
        <f t="shared" si="6"/>
        <v/>
      </c>
      <c r="X139" s="564">
        <f t="shared" si="7"/>
        <v>0</v>
      </c>
      <c r="Y139" s="119"/>
      <c r="Z139" s="119"/>
      <c r="AA139" s="530">
        <f>IFERROR(__xludf.DUMMYFUNCTION("""COMPUTED_VALUE"""),131.0)</f>
        <v>131</v>
      </c>
      <c r="AB139" s="119"/>
      <c r="AC139" s="119"/>
      <c r="AD139" s="119"/>
      <c r="AE139" s="119"/>
      <c r="AF139" s="119"/>
      <c r="AG139" s="555" t="str">
        <f t="shared" si="8"/>
        <v>  ---&gt;     ---&gt;   </v>
      </c>
      <c r="AH139" s="16"/>
      <c r="AI139" s="439"/>
      <c r="AJ139" s="439"/>
      <c r="AK139" s="439"/>
    </row>
    <row r="140" ht="18.75" customHeight="1">
      <c r="A140" s="439"/>
      <c r="B140" s="546"/>
      <c r="C140" s="547"/>
      <c r="D140" s="446">
        <f>IF(C140=0,0,(VLOOKUP(C140,'PO MTRL'!$B$9:$S1518,2,0)))</f>
        <v>0</v>
      </c>
      <c r="E140" s="548" t="str">
        <f>IF(C140="","",(VLOOKUP(C140,'PO MTRL'!$B$9:$S1518,3,0)))</f>
        <v/>
      </c>
      <c r="F140" s="549">
        <f>IF(C140=0,0,(VLOOKUP(C140,'PO MTRL'!$B$9:$S1518,4,0)))</f>
        <v>0</v>
      </c>
      <c r="G140" s="444"/>
      <c r="H140" s="550">
        <f>IF(C140=0,0,(VLOOKUP(C140,'PO MTRL'!$B$9:$S1518,6,0)))</f>
        <v>0</v>
      </c>
      <c r="I140" s="446">
        <f>IF(C140=0,0,(VLOOKUP(C140,'PO MTRL'!$B$9:$S1518,7,0)))</f>
        <v>0</v>
      </c>
      <c r="J140" s="551">
        <f>IF(C140=0,0,(VLOOKUP(C140,'PO MTRL'!$B$9:$S1518,8,0)))</f>
        <v>0</v>
      </c>
      <c r="K140" s="559"/>
      <c r="L140" s="448">
        <f t="shared" si="1"/>
        <v>0</v>
      </c>
      <c r="M140" s="551">
        <f t="shared" si="2"/>
        <v>0</v>
      </c>
      <c r="N140" s="449">
        <f t="shared" si="3"/>
        <v>0</v>
      </c>
      <c r="O140" s="551">
        <f>IF(H140=0,0,(VLOOKUP(H140,'PO MTRL'!$G$9:$S1518,5,0)))</f>
        <v>0</v>
      </c>
      <c r="P140" s="551">
        <f>IF(H140=0,0,(VLOOKUP(H140,'PO MTRL'!$G$9:$S1518,7,0)))</f>
        <v>0</v>
      </c>
      <c r="Q140" s="551">
        <f t="shared" si="4"/>
        <v>0</v>
      </c>
      <c r="R140" s="551">
        <f t="shared" si="5"/>
        <v>0</v>
      </c>
      <c r="S140" s="550">
        <f>IF(C140=0,0,(VLOOKUP(C140,'PO MTRL'!$B$9:$S1518,17,0)))</f>
        <v>0</v>
      </c>
      <c r="T140" s="553"/>
      <c r="U140" s="554">
        <f>IF(C140=0,0,(VLOOKUP(C140,'PO MTRL'!$B$9:$S1518,18,0)))</f>
        <v>0</v>
      </c>
      <c r="V140" s="16"/>
      <c r="W140" s="119" t="str">
        <f t="shared" si="6"/>
        <v/>
      </c>
      <c r="X140" s="564">
        <f t="shared" si="7"/>
        <v>0</v>
      </c>
      <c r="Y140" s="119"/>
      <c r="Z140" s="119"/>
      <c r="AA140" s="530">
        <f>IFERROR(__xludf.DUMMYFUNCTION("""COMPUTED_VALUE"""),132.0)</f>
        <v>132</v>
      </c>
      <c r="AB140" s="119"/>
      <c r="AC140" s="119"/>
      <c r="AD140" s="119"/>
      <c r="AE140" s="119"/>
      <c r="AF140" s="119"/>
      <c r="AG140" s="555" t="str">
        <f t="shared" si="8"/>
        <v>  ---&gt;     ---&gt;   </v>
      </c>
      <c r="AH140" s="16"/>
      <c r="AI140" s="439"/>
      <c r="AJ140" s="439"/>
      <c r="AK140" s="439"/>
    </row>
    <row r="141" ht="18.75" customHeight="1">
      <c r="A141" s="439"/>
      <c r="B141" s="546"/>
      <c r="C141" s="547"/>
      <c r="D141" s="446">
        <f>IF(C141=0,0,(VLOOKUP(C141,'PO MTRL'!$B$9:$S1518,2,0)))</f>
        <v>0</v>
      </c>
      <c r="E141" s="548" t="str">
        <f>IF(C141="","",(VLOOKUP(C141,'PO MTRL'!$B$9:$S1518,3,0)))</f>
        <v/>
      </c>
      <c r="F141" s="549">
        <f>IF(C141=0,0,(VLOOKUP(C141,'PO MTRL'!$B$9:$S1518,4,0)))</f>
        <v>0</v>
      </c>
      <c r="G141" s="444"/>
      <c r="H141" s="550">
        <f>IF(C141=0,0,(VLOOKUP(C141,'PO MTRL'!$B$9:$S1518,6,0)))</f>
        <v>0</v>
      </c>
      <c r="I141" s="446">
        <f>IF(C141=0,0,(VLOOKUP(C141,'PO MTRL'!$B$9:$S1518,7,0)))</f>
        <v>0</v>
      </c>
      <c r="J141" s="551">
        <f>IF(C141=0,0,(VLOOKUP(C141,'PO MTRL'!$B$9:$S1518,8,0)))</f>
        <v>0</v>
      </c>
      <c r="K141" s="559"/>
      <c r="L141" s="448">
        <f t="shared" si="1"/>
        <v>0</v>
      </c>
      <c r="M141" s="551">
        <f t="shared" si="2"/>
        <v>0</v>
      </c>
      <c r="N141" s="449">
        <f t="shared" si="3"/>
        <v>0</v>
      </c>
      <c r="O141" s="551">
        <f>IF(H141=0,0,(VLOOKUP(H141,'PO MTRL'!$G$9:$S1518,5,0)))</f>
        <v>0</v>
      </c>
      <c r="P141" s="551">
        <f>IF(H141=0,0,(VLOOKUP(H141,'PO MTRL'!$G$9:$S1518,7,0)))</f>
        <v>0</v>
      </c>
      <c r="Q141" s="551">
        <f t="shared" si="4"/>
        <v>0</v>
      </c>
      <c r="R141" s="551">
        <f t="shared" si="5"/>
        <v>0</v>
      </c>
      <c r="S141" s="550">
        <f>IF(C141=0,0,(VLOOKUP(C141,'PO MTRL'!$B$9:$S1518,17,0)))</f>
        <v>0</v>
      </c>
      <c r="T141" s="553"/>
      <c r="U141" s="554">
        <f>IF(C141=0,0,(VLOOKUP(C141,'PO MTRL'!$B$9:$S1518,18,0)))</f>
        <v>0</v>
      </c>
      <c r="V141" s="16"/>
      <c r="W141" s="119" t="str">
        <f t="shared" si="6"/>
        <v/>
      </c>
      <c r="X141" s="564">
        <f t="shared" si="7"/>
        <v>0</v>
      </c>
      <c r="Y141" s="119"/>
      <c r="Z141" s="119"/>
      <c r="AA141" s="530">
        <f>IFERROR(__xludf.DUMMYFUNCTION("""COMPUTED_VALUE"""),133.0)</f>
        <v>133</v>
      </c>
      <c r="AB141" s="119"/>
      <c r="AC141" s="119"/>
      <c r="AD141" s="119"/>
      <c r="AE141" s="119"/>
      <c r="AF141" s="119"/>
      <c r="AG141" s="555" t="str">
        <f t="shared" si="8"/>
        <v>  ---&gt;     ---&gt;   </v>
      </c>
      <c r="AH141" s="16"/>
      <c r="AI141" s="439"/>
      <c r="AJ141" s="439"/>
      <c r="AK141" s="439"/>
    </row>
    <row r="142" ht="18.75" customHeight="1">
      <c r="A142" s="439"/>
      <c r="B142" s="546"/>
      <c r="C142" s="547"/>
      <c r="D142" s="446">
        <f>IF(C142=0,0,(VLOOKUP(C142,'PO MTRL'!$B$9:$S1518,2,0)))</f>
        <v>0</v>
      </c>
      <c r="E142" s="548" t="str">
        <f>IF(C142="","",(VLOOKUP(C142,'PO MTRL'!$B$9:$S1518,3,0)))</f>
        <v/>
      </c>
      <c r="F142" s="549">
        <f>IF(C142=0,0,(VLOOKUP(C142,'PO MTRL'!$B$9:$S1518,4,0)))</f>
        <v>0</v>
      </c>
      <c r="G142" s="444"/>
      <c r="H142" s="550">
        <f>IF(C142=0,0,(VLOOKUP(C142,'PO MTRL'!$B$9:$S1518,6,0)))</f>
        <v>0</v>
      </c>
      <c r="I142" s="446">
        <f>IF(C142=0,0,(VLOOKUP(C142,'PO MTRL'!$B$9:$S1518,7,0)))</f>
        <v>0</v>
      </c>
      <c r="J142" s="551">
        <f>IF(C142=0,0,(VLOOKUP(C142,'PO MTRL'!$B$9:$S1518,8,0)))</f>
        <v>0</v>
      </c>
      <c r="K142" s="559"/>
      <c r="L142" s="448">
        <f t="shared" si="1"/>
        <v>0</v>
      </c>
      <c r="M142" s="551">
        <f t="shared" si="2"/>
        <v>0</v>
      </c>
      <c r="N142" s="449">
        <f t="shared" si="3"/>
        <v>0</v>
      </c>
      <c r="O142" s="551">
        <f>IF(H142=0,0,(VLOOKUP(H142,'PO MTRL'!$G$9:$S1518,5,0)))</f>
        <v>0</v>
      </c>
      <c r="P142" s="551">
        <f>IF(H142=0,0,(VLOOKUP(H142,'PO MTRL'!$G$9:$S1518,7,0)))</f>
        <v>0</v>
      </c>
      <c r="Q142" s="551">
        <f t="shared" si="4"/>
        <v>0</v>
      </c>
      <c r="R142" s="551">
        <f t="shared" si="5"/>
        <v>0</v>
      </c>
      <c r="S142" s="550">
        <f>IF(C142=0,0,(VLOOKUP(C142,'PO MTRL'!$B$9:$S1518,17,0)))</f>
        <v>0</v>
      </c>
      <c r="T142" s="553"/>
      <c r="U142" s="554">
        <f>IF(C142=0,0,(VLOOKUP(C142,'PO MTRL'!$B$9:$S1518,18,0)))</f>
        <v>0</v>
      </c>
      <c r="V142" s="16"/>
      <c r="W142" s="119" t="str">
        <f t="shared" si="6"/>
        <v/>
      </c>
      <c r="X142" s="564">
        <f t="shared" si="7"/>
        <v>0</v>
      </c>
      <c r="Y142" s="119"/>
      <c r="Z142" s="119"/>
      <c r="AA142" s="530">
        <f>IFERROR(__xludf.DUMMYFUNCTION("""COMPUTED_VALUE"""),134.0)</f>
        <v>134</v>
      </c>
      <c r="AB142" s="119"/>
      <c r="AC142" s="119"/>
      <c r="AD142" s="119"/>
      <c r="AE142" s="119"/>
      <c r="AF142" s="119"/>
      <c r="AG142" s="555" t="str">
        <f t="shared" si="8"/>
        <v>  ---&gt;     ---&gt;   </v>
      </c>
      <c r="AH142" s="16"/>
      <c r="AI142" s="439"/>
      <c r="AJ142" s="439"/>
      <c r="AK142" s="439"/>
    </row>
    <row r="143" ht="18.75" customHeight="1">
      <c r="A143" s="439"/>
      <c r="B143" s="546"/>
      <c r="C143" s="547"/>
      <c r="D143" s="446">
        <f>IF(C143=0,0,(VLOOKUP(C143,'PO MTRL'!$B$9:$S1518,2,0)))</f>
        <v>0</v>
      </c>
      <c r="E143" s="548" t="str">
        <f>IF(C143="","",(VLOOKUP(C143,'PO MTRL'!$B$9:$S1518,3,0)))</f>
        <v/>
      </c>
      <c r="F143" s="549">
        <f>IF(C143=0,0,(VLOOKUP(C143,'PO MTRL'!$B$9:$S1518,4,0)))</f>
        <v>0</v>
      </c>
      <c r="G143" s="444"/>
      <c r="H143" s="550">
        <f>IF(C143=0,0,(VLOOKUP(C143,'PO MTRL'!$B$9:$S1518,6,0)))</f>
        <v>0</v>
      </c>
      <c r="I143" s="446">
        <f>IF(C143=0,0,(VLOOKUP(C143,'PO MTRL'!$B$9:$S1518,7,0)))</f>
        <v>0</v>
      </c>
      <c r="J143" s="551">
        <f>IF(C143=0,0,(VLOOKUP(C143,'PO MTRL'!$B$9:$S1518,8,0)))</f>
        <v>0</v>
      </c>
      <c r="K143" s="559"/>
      <c r="L143" s="448">
        <f t="shared" si="1"/>
        <v>0</v>
      </c>
      <c r="M143" s="551">
        <f t="shared" si="2"/>
        <v>0</v>
      </c>
      <c r="N143" s="449">
        <f t="shared" si="3"/>
        <v>0</v>
      </c>
      <c r="O143" s="551">
        <f>IF(H143=0,0,(VLOOKUP(H143,'PO MTRL'!$G$9:$S1518,5,0)))</f>
        <v>0</v>
      </c>
      <c r="P143" s="551">
        <f>IF(H143=0,0,(VLOOKUP(H143,'PO MTRL'!$G$9:$S1518,7,0)))</f>
        <v>0</v>
      </c>
      <c r="Q143" s="551">
        <f t="shared" si="4"/>
        <v>0</v>
      </c>
      <c r="R143" s="551">
        <f t="shared" si="5"/>
        <v>0</v>
      </c>
      <c r="S143" s="550">
        <f>IF(C143=0,0,(VLOOKUP(C143,'PO MTRL'!$B$9:$S1518,17,0)))</f>
        <v>0</v>
      </c>
      <c r="T143" s="553"/>
      <c r="U143" s="554">
        <f>IF(C143=0,0,(VLOOKUP(C143,'PO MTRL'!$B$9:$S1518,18,0)))</f>
        <v>0</v>
      </c>
      <c r="V143" s="16"/>
      <c r="W143" s="119" t="str">
        <f t="shared" si="6"/>
        <v/>
      </c>
      <c r="X143" s="564">
        <f t="shared" si="7"/>
        <v>0</v>
      </c>
      <c r="Y143" s="119"/>
      <c r="Z143" s="119"/>
      <c r="AA143" s="530">
        <f>IFERROR(__xludf.DUMMYFUNCTION("""COMPUTED_VALUE"""),135.0)</f>
        <v>135</v>
      </c>
      <c r="AB143" s="119"/>
      <c r="AC143" s="119"/>
      <c r="AD143" s="119"/>
      <c r="AE143" s="119"/>
      <c r="AF143" s="119"/>
      <c r="AG143" s="555" t="str">
        <f t="shared" si="8"/>
        <v>  ---&gt;     ---&gt;   </v>
      </c>
      <c r="AH143" s="16"/>
      <c r="AI143" s="439"/>
      <c r="AJ143" s="439"/>
      <c r="AK143" s="439"/>
    </row>
    <row r="144" ht="18.75" customHeight="1">
      <c r="A144" s="439"/>
      <c r="B144" s="546"/>
      <c r="C144" s="547"/>
      <c r="D144" s="446">
        <f>IF(C144=0,0,(VLOOKUP(C144,'PO MTRL'!$B$9:$S1518,2,0)))</f>
        <v>0</v>
      </c>
      <c r="E144" s="548" t="str">
        <f>IF(C144="","",(VLOOKUP(C144,'PO MTRL'!$B$9:$S1518,3,0)))</f>
        <v/>
      </c>
      <c r="F144" s="549">
        <f>IF(C144=0,0,(VLOOKUP(C144,'PO MTRL'!$B$9:$S1518,4,0)))</f>
        <v>0</v>
      </c>
      <c r="G144" s="444"/>
      <c r="H144" s="550">
        <f>IF(C144=0,0,(VLOOKUP(C144,'PO MTRL'!$B$9:$S1518,6,0)))</f>
        <v>0</v>
      </c>
      <c r="I144" s="446">
        <f>IF(C144=0,0,(VLOOKUP(C144,'PO MTRL'!$B$9:$S1518,7,0)))</f>
        <v>0</v>
      </c>
      <c r="J144" s="551">
        <f>IF(C144=0,0,(VLOOKUP(C144,'PO MTRL'!$B$9:$S1518,8,0)))</f>
        <v>0</v>
      </c>
      <c r="K144" s="559"/>
      <c r="L144" s="448">
        <f t="shared" si="1"/>
        <v>0</v>
      </c>
      <c r="M144" s="551">
        <f t="shared" si="2"/>
        <v>0</v>
      </c>
      <c r="N144" s="449">
        <f t="shared" si="3"/>
        <v>0</v>
      </c>
      <c r="O144" s="551">
        <f>IF(H144=0,0,(VLOOKUP(H144,'PO MTRL'!$G$9:$S1518,5,0)))</f>
        <v>0</v>
      </c>
      <c r="P144" s="551">
        <f>IF(H144=0,0,(VLOOKUP(H144,'PO MTRL'!$G$9:$S1518,7,0)))</f>
        <v>0</v>
      </c>
      <c r="Q144" s="551">
        <f t="shared" si="4"/>
        <v>0</v>
      </c>
      <c r="R144" s="551">
        <f t="shared" si="5"/>
        <v>0</v>
      </c>
      <c r="S144" s="550">
        <f>IF(C144=0,0,(VLOOKUP(C144,'PO MTRL'!$B$9:$S1518,17,0)))</f>
        <v>0</v>
      </c>
      <c r="T144" s="553"/>
      <c r="U144" s="554">
        <f>IF(C144=0,0,(VLOOKUP(C144,'PO MTRL'!$B$9:$S1518,18,0)))</f>
        <v>0</v>
      </c>
      <c r="V144" s="16"/>
      <c r="W144" s="119" t="str">
        <f t="shared" si="6"/>
        <v/>
      </c>
      <c r="X144" s="564">
        <f t="shared" si="7"/>
        <v>0</v>
      </c>
      <c r="Y144" s="119"/>
      <c r="Z144" s="119"/>
      <c r="AA144" s="530">
        <f>IFERROR(__xludf.DUMMYFUNCTION("""COMPUTED_VALUE"""),136.0)</f>
        <v>136</v>
      </c>
      <c r="AB144" s="119"/>
      <c r="AC144" s="119"/>
      <c r="AD144" s="119"/>
      <c r="AE144" s="119"/>
      <c r="AF144" s="119"/>
      <c r="AG144" s="555" t="str">
        <f t="shared" si="8"/>
        <v>  ---&gt;     ---&gt;   </v>
      </c>
      <c r="AH144" s="16"/>
      <c r="AI144" s="439"/>
      <c r="AJ144" s="439"/>
      <c r="AK144" s="439"/>
    </row>
    <row r="145" ht="18.75" customHeight="1">
      <c r="A145" s="439"/>
      <c r="B145" s="546"/>
      <c r="C145" s="547"/>
      <c r="D145" s="446">
        <f>IF(C145=0,0,(VLOOKUP(C145,'PO MTRL'!$B$9:$S1518,2,0)))</f>
        <v>0</v>
      </c>
      <c r="E145" s="548" t="str">
        <f>IF(C145="","",(VLOOKUP(C145,'PO MTRL'!$B$9:$S1518,3,0)))</f>
        <v/>
      </c>
      <c r="F145" s="549">
        <f>IF(C145=0,0,(VLOOKUP(C145,'PO MTRL'!$B$9:$S1518,4,0)))</f>
        <v>0</v>
      </c>
      <c r="G145" s="444"/>
      <c r="H145" s="550">
        <f>IF(C145=0,0,(VLOOKUP(C145,'PO MTRL'!$B$9:$S1518,6,0)))</f>
        <v>0</v>
      </c>
      <c r="I145" s="446">
        <f>IF(C145=0,0,(VLOOKUP(C145,'PO MTRL'!$B$9:$S1518,7,0)))</f>
        <v>0</v>
      </c>
      <c r="J145" s="551">
        <f>IF(C145=0,0,(VLOOKUP(C145,'PO MTRL'!$B$9:$S1518,8,0)))</f>
        <v>0</v>
      </c>
      <c r="K145" s="559"/>
      <c r="L145" s="448">
        <f t="shared" si="1"/>
        <v>0</v>
      </c>
      <c r="M145" s="551">
        <f t="shared" si="2"/>
        <v>0</v>
      </c>
      <c r="N145" s="449">
        <f t="shared" si="3"/>
        <v>0</v>
      </c>
      <c r="O145" s="551">
        <f>IF(H145=0,0,(VLOOKUP(H145,'PO MTRL'!$G$9:$S1518,5,0)))</f>
        <v>0</v>
      </c>
      <c r="P145" s="551">
        <f>IF(H145=0,0,(VLOOKUP(H145,'PO MTRL'!$G$9:$S1518,7,0)))</f>
        <v>0</v>
      </c>
      <c r="Q145" s="551">
        <f t="shared" si="4"/>
        <v>0</v>
      </c>
      <c r="R145" s="551">
        <f t="shared" si="5"/>
        <v>0</v>
      </c>
      <c r="S145" s="550">
        <f>IF(C145=0,0,(VLOOKUP(C145,'PO MTRL'!$B$9:$S1518,17,0)))</f>
        <v>0</v>
      </c>
      <c r="T145" s="553"/>
      <c r="U145" s="554">
        <f>IF(C145=0,0,(VLOOKUP(C145,'PO MTRL'!$B$9:$S1518,18,0)))</f>
        <v>0</v>
      </c>
      <c r="V145" s="16"/>
      <c r="W145" s="119" t="str">
        <f t="shared" si="6"/>
        <v/>
      </c>
      <c r="X145" s="564">
        <f t="shared" si="7"/>
        <v>0</v>
      </c>
      <c r="Y145" s="119"/>
      <c r="Z145" s="119"/>
      <c r="AA145" s="530">
        <f>IFERROR(__xludf.DUMMYFUNCTION("""COMPUTED_VALUE"""),137.0)</f>
        <v>137</v>
      </c>
      <c r="AB145" s="119"/>
      <c r="AC145" s="119"/>
      <c r="AD145" s="119"/>
      <c r="AE145" s="119"/>
      <c r="AF145" s="119"/>
      <c r="AG145" s="555" t="str">
        <f t="shared" si="8"/>
        <v>  ---&gt;     ---&gt;   </v>
      </c>
      <c r="AH145" s="16"/>
      <c r="AI145" s="439"/>
      <c r="AJ145" s="439"/>
      <c r="AK145" s="439"/>
    </row>
    <row r="146" ht="18.75" customHeight="1">
      <c r="A146" s="439"/>
      <c r="B146" s="546"/>
      <c r="C146" s="547"/>
      <c r="D146" s="446">
        <f>IF(C146=0,0,(VLOOKUP(C146,'PO MTRL'!$B$9:$S1518,2,0)))</f>
        <v>0</v>
      </c>
      <c r="E146" s="548" t="str">
        <f>IF(C146="","",(VLOOKUP(C146,'PO MTRL'!$B$9:$S1518,3,0)))</f>
        <v/>
      </c>
      <c r="F146" s="549">
        <f>IF(C146=0,0,(VLOOKUP(C146,'PO MTRL'!$B$9:$S1518,4,0)))</f>
        <v>0</v>
      </c>
      <c r="G146" s="444"/>
      <c r="H146" s="550">
        <f>IF(C146=0,0,(VLOOKUP(C146,'PO MTRL'!$B$9:$S1518,6,0)))</f>
        <v>0</v>
      </c>
      <c r="I146" s="446">
        <f>IF(C146=0,0,(VLOOKUP(C146,'PO MTRL'!$B$9:$S1518,7,0)))</f>
        <v>0</v>
      </c>
      <c r="J146" s="551">
        <f>IF(C146=0,0,(VLOOKUP(C146,'PO MTRL'!$B$9:$S1518,8,0)))</f>
        <v>0</v>
      </c>
      <c r="K146" s="559"/>
      <c r="L146" s="448">
        <f t="shared" si="1"/>
        <v>0</v>
      </c>
      <c r="M146" s="551">
        <f t="shared" si="2"/>
        <v>0</v>
      </c>
      <c r="N146" s="449">
        <f t="shared" si="3"/>
        <v>0</v>
      </c>
      <c r="O146" s="551">
        <f>IF(H146=0,0,(VLOOKUP(H146,'PO MTRL'!$G$9:$S1518,5,0)))</f>
        <v>0</v>
      </c>
      <c r="P146" s="551">
        <f>IF(H146=0,0,(VLOOKUP(H146,'PO MTRL'!$G$9:$S1518,7,0)))</f>
        <v>0</v>
      </c>
      <c r="Q146" s="551">
        <f t="shared" si="4"/>
        <v>0</v>
      </c>
      <c r="R146" s="551">
        <f t="shared" si="5"/>
        <v>0</v>
      </c>
      <c r="S146" s="550">
        <f>IF(C146=0,0,(VLOOKUP(C146,'PO MTRL'!$B$9:$S1518,17,0)))</f>
        <v>0</v>
      </c>
      <c r="T146" s="553"/>
      <c r="U146" s="554">
        <f>IF(C146=0,0,(VLOOKUP(C146,'PO MTRL'!$B$9:$S1518,18,0)))</f>
        <v>0</v>
      </c>
      <c r="V146" s="16"/>
      <c r="W146" s="119" t="str">
        <f t="shared" si="6"/>
        <v/>
      </c>
      <c r="X146" s="564">
        <f t="shared" si="7"/>
        <v>0</v>
      </c>
      <c r="Y146" s="119"/>
      <c r="Z146" s="119"/>
      <c r="AA146" s="530">
        <f>IFERROR(__xludf.DUMMYFUNCTION("""COMPUTED_VALUE"""),138.0)</f>
        <v>138</v>
      </c>
      <c r="AB146" s="119"/>
      <c r="AC146" s="119"/>
      <c r="AD146" s="119"/>
      <c r="AE146" s="119"/>
      <c r="AF146" s="119"/>
      <c r="AG146" s="555" t="str">
        <f t="shared" si="8"/>
        <v>  ---&gt;     ---&gt;   </v>
      </c>
      <c r="AH146" s="16"/>
      <c r="AI146" s="439"/>
      <c r="AJ146" s="439"/>
      <c r="AK146" s="439"/>
    </row>
    <row r="147" ht="18.75" customHeight="1">
      <c r="A147" s="439"/>
      <c r="B147" s="546"/>
      <c r="C147" s="547"/>
      <c r="D147" s="446">
        <f>IF(C147=0,0,(VLOOKUP(C147,'PO MTRL'!$B$9:$S1518,2,0)))</f>
        <v>0</v>
      </c>
      <c r="E147" s="548" t="str">
        <f>IF(C147="","",(VLOOKUP(C147,'PO MTRL'!$B$9:$S1518,3,0)))</f>
        <v/>
      </c>
      <c r="F147" s="549">
        <f>IF(C147=0,0,(VLOOKUP(C147,'PO MTRL'!$B$9:$S1518,4,0)))</f>
        <v>0</v>
      </c>
      <c r="G147" s="444"/>
      <c r="H147" s="550">
        <f>IF(C147=0,0,(VLOOKUP(C147,'PO MTRL'!$B$9:$S1518,6,0)))</f>
        <v>0</v>
      </c>
      <c r="I147" s="446">
        <f>IF(C147=0,0,(VLOOKUP(C147,'PO MTRL'!$B$9:$S1518,7,0)))</f>
        <v>0</v>
      </c>
      <c r="J147" s="551">
        <f>IF(C147=0,0,(VLOOKUP(C147,'PO MTRL'!$B$9:$S1518,8,0)))</f>
        <v>0</v>
      </c>
      <c r="K147" s="559"/>
      <c r="L147" s="448">
        <f t="shared" si="1"/>
        <v>0</v>
      </c>
      <c r="M147" s="551">
        <f t="shared" si="2"/>
        <v>0</v>
      </c>
      <c r="N147" s="449">
        <f t="shared" si="3"/>
        <v>0</v>
      </c>
      <c r="O147" s="551">
        <f>IF(H147=0,0,(VLOOKUP(H147,'PO MTRL'!$G$9:$S1518,5,0)))</f>
        <v>0</v>
      </c>
      <c r="P147" s="551">
        <f>IF(H147=0,0,(VLOOKUP(H147,'PO MTRL'!$G$9:$S1518,7,0)))</f>
        <v>0</v>
      </c>
      <c r="Q147" s="551">
        <f t="shared" si="4"/>
        <v>0</v>
      </c>
      <c r="R147" s="551">
        <f t="shared" si="5"/>
        <v>0</v>
      </c>
      <c r="S147" s="550">
        <f>IF(C147=0,0,(VLOOKUP(C147,'PO MTRL'!$B$9:$S1518,17,0)))</f>
        <v>0</v>
      </c>
      <c r="T147" s="553"/>
      <c r="U147" s="554">
        <f>IF(C147=0,0,(VLOOKUP(C147,'PO MTRL'!$B$9:$S1518,18,0)))</f>
        <v>0</v>
      </c>
      <c r="V147" s="16"/>
      <c r="W147" s="119" t="str">
        <f t="shared" si="6"/>
        <v/>
      </c>
      <c r="X147" s="564">
        <f t="shared" si="7"/>
        <v>0</v>
      </c>
      <c r="Y147" s="119"/>
      <c r="Z147" s="119"/>
      <c r="AA147" s="530">
        <f>IFERROR(__xludf.DUMMYFUNCTION("""COMPUTED_VALUE"""),139.0)</f>
        <v>139</v>
      </c>
      <c r="AB147" s="119"/>
      <c r="AC147" s="119"/>
      <c r="AD147" s="119"/>
      <c r="AE147" s="119"/>
      <c r="AF147" s="119"/>
      <c r="AG147" s="555" t="str">
        <f t="shared" si="8"/>
        <v>  ---&gt;     ---&gt;   </v>
      </c>
      <c r="AH147" s="16"/>
      <c r="AI147" s="439"/>
      <c r="AJ147" s="439"/>
      <c r="AK147" s="439"/>
    </row>
    <row r="148" ht="18.75" customHeight="1">
      <c r="A148" s="439"/>
      <c r="B148" s="546"/>
      <c r="C148" s="547"/>
      <c r="D148" s="446">
        <f>IF(C148=0,0,(VLOOKUP(C148,'PO MTRL'!$B$9:$S1518,2,0)))</f>
        <v>0</v>
      </c>
      <c r="E148" s="548" t="str">
        <f>IF(C148="","",(VLOOKUP(C148,'PO MTRL'!$B$9:$S1518,3,0)))</f>
        <v/>
      </c>
      <c r="F148" s="549">
        <f>IF(C148=0,0,(VLOOKUP(C148,'PO MTRL'!$B$9:$S1518,4,0)))</f>
        <v>0</v>
      </c>
      <c r="G148" s="444"/>
      <c r="H148" s="550">
        <f>IF(C148=0,0,(VLOOKUP(C148,'PO MTRL'!$B$9:$S1518,6,0)))</f>
        <v>0</v>
      </c>
      <c r="I148" s="446">
        <f>IF(C148=0,0,(VLOOKUP(C148,'PO MTRL'!$B$9:$S1518,7,0)))</f>
        <v>0</v>
      </c>
      <c r="J148" s="551">
        <f>IF(C148=0,0,(VLOOKUP(C148,'PO MTRL'!$B$9:$S1518,8,0)))</f>
        <v>0</v>
      </c>
      <c r="K148" s="559"/>
      <c r="L148" s="448">
        <f t="shared" si="1"/>
        <v>0</v>
      </c>
      <c r="M148" s="551">
        <f t="shared" si="2"/>
        <v>0</v>
      </c>
      <c r="N148" s="449">
        <f t="shared" si="3"/>
        <v>0</v>
      </c>
      <c r="O148" s="551">
        <f>IF(H148=0,0,(VLOOKUP(H148,'PO MTRL'!$G$9:$S1518,5,0)))</f>
        <v>0</v>
      </c>
      <c r="P148" s="551">
        <f>IF(H148=0,0,(VLOOKUP(H148,'PO MTRL'!$G$9:$S1518,7,0)))</f>
        <v>0</v>
      </c>
      <c r="Q148" s="551">
        <f t="shared" si="4"/>
        <v>0</v>
      </c>
      <c r="R148" s="551">
        <f t="shared" si="5"/>
        <v>0</v>
      </c>
      <c r="S148" s="550">
        <f>IF(C148=0,0,(VLOOKUP(C148,'PO MTRL'!$B$9:$S1518,17,0)))</f>
        <v>0</v>
      </c>
      <c r="T148" s="553"/>
      <c r="U148" s="554">
        <f>IF(C148=0,0,(VLOOKUP(C148,'PO MTRL'!$B$9:$S1518,18,0)))</f>
        <v>0</v>
      </c>
      <c r="V148" s="16"/>
      <c r="W148" s="119" t="str">
        <f t="shared" si="6"/>
        <v/>
      </c>
      <c r="X148" s="564">
        <f t="shared" si="7"/>
        <v>0</v>
      </c>
      <c r="Y148" s="119"/>
      <c r="Z148" s="119"/>
      <c r="AA148" s="530">
        <f>IFERROR(__xludf.DUMMYFUNCTION("""COMPUTED_VALUE"""),140.0)</f>
        <v>140</v>
      </c>
      <c r="AB148" s="119"/>
      <c r="AC148" s="119"/>
      <c r="AD148" s="119"/>
      <c r="AE148" s="119"/>
      <c r="AF148" s="119"/>
      <c r="AG148" s="555" t="str">
        <f t="shared" si="8"/>
        <v>  ---&gt;     ---&gt;   </v>
      </c>
      <c r="AH148" s="16"/>
      <c r="AI148" s="439"/>
      <c r="AJ148" s="439"/>
      <c r="AK148" s="439"/>
    </row>
    <row r="149" ht="18.75" customHeight="1">
      <c r="A149" s="439"/>
      <c r="B149" s="546"/>
      <c r="C149" s="547"/>
      <c r="D149" s="446">
        <f>IF(C149=0,0,(VLOOKUP(C149,'PO MTRL'!$B$9:$S1518,2,0)))</f>
        <v>0</v>
      </c>
      <c r="E149" s="548" t="str">
        <f>IF(C149="","",(VLOOKUP(C149,'PO MTRL'!$B$9:$S1518,3,0)))</f>
        <v/>
      </c>
      <c r="F149" s="549">
        <f>IF(C149=0,0,(VLOOKUP(C149,'PO MTRL'!$B$9:$S1518,4,0)))</f>
        <v>0</v>
      </c>
      <c r="G149" s="444"/>
      <c r="H149" s="550">
        <f>IF(C149=0,0,(VLOOKUP(C149,'PO MTRL'!$B$9:$S1518,6,0)))</f>
        <v>0</v>
      </c>
      <c r="I149" s="446">
        <f>IF(C149=0,0,(VLOOKUP(C149,'PO MTRL'!$B$9:$S1518,7,0)))</f>
        <v>0</v>
      </c>
      <c r="J149" s="551">
        <f>IF(C149=0,0,(VLOOKUP(C149,'PO MTRL'!$B$9:$S1518,8,0)))</f>
        <v>0</v>
      </c>
      <c r="K149" s="559"/>
      <c r="L149" s="448">
        <f t="shared" si="1"/>
        <v>0</v>
      </c>
      <c r="M149" s="551">
        <f t="shared" si="2"/>
        <v>0</v>
      </c>
      <c r="N149" s="449">
        <f t="shared" si="3"/>
        <v>0</v>
      </c>
      <c r="O149" s="551">
        <f>IF(H149=0,0,(VLOOKUP(H149,'PO MTRL'!$G$9:$S1518,5,0)))</f>
        <v>0</v>
      </c>
      <c r="P149" s="551">
        <f>IF(H149=0,0,(VLOOKUP(H149,'PO MTRL'!$G$9:$S1518,7,0)))</f>
        <v>0</v>
      </c>
      <c r="Q149" s="551">
        <f t="shared" si="4"/>
        <v>0</v>
      </c>
      <c r="R149" s="551">
        <f t="shared" si="5"/>
        <v>0</v>
      </c>
      <c r="S149" s="550">
        <f>IF(C149=0,0,(VLOOKUP(C149,'PO MTRL'!$B$9:$S1518,17,0)))</f>
        <v>0</v>
      </c>
      <c r="T149" s="553"/>
      <c r="U149" s="554">
        <f>IF(C149=0,0,(VLOOKUP(C149,'PO MTRL'!$B$9:$S1518,18,0)))</f>
        <v>0</v>
      </c>
      <c r="V149" s="16"/>
      <c r="W149" s="119" t="str">
        <f t="shared" si="6"/>
        <v/>
      </c>
      <c r="X149" s="564">
        <f t="shared" si="7"/>
        <v>0</v>
      </c>
      <c r="Y149" s="119"/>
      <c r="Z149" s="119"/>
      <c r="AA149" s="530">
        <f>IFERROR(__xludf.DUMMYFUNCTION("""COMPUTED_VALUE"""),141.0)</f>
        <v>141</v>
      </c>
      <c r="AB149" s="119"/>
      <c r="AC149" s="119"/>
      <c r="AD149" s="119"/>
      <c r="AE149" s="119"/>
      <c r="AF149" s="119"/>
      <c r="AG149" s="555" t="str">
        <f t="shared" si="8"/>
        <v>  ---&gt;     ---&gt;   </v>
      </c>
      <c r="AH149" s="16"/>
      <c r="AI149" s="439"/>
      <c r="AJ149" s="439"/>
      <c r="AK149" s="439"/>
    </row>
    <row r="150" ht="18.75" customHeight="1">
      <c r="A150" s="439"/>
      <c r="B150" s="546"/>
      <c r="C150" s="547"/>
      <c r="D150" s="446">
        <f>IF(C150=0,0,(VLOOKUP(C150,'PO MTRL'!$B$9:$S1518,2,0)))</f>
        <v>0</v>
      </c>
      <c r="E150" s="548" t="str">
        <f>IF(C150="","",(VLOOKUP(C150,'PO MTRL'!$B$9:$S1518,3,0)))</f>
        <v/>
      </c>
      <c r="F150" s="549">
        <f>IF(C150=0,0,(VLOOKUP(C150,'PO MTRL'!$B$9:$S1518,4,0)))</f>
        <v>0</v>
      </c>
      <c r="G150" s="444"/>
      <c r="H150" s="550">
        <f>IF(C150=0,0,(VLOOKUP(C150,'PO MTRL'!$B$9:$S1518,6,0)))</f>
        <v>0</v>
      </c>
      <c r="I150" s="446">
        <f>IF(C150=0,0,(VLOOKUP(C150,'PO MTRL'!$B$9:$S1518,7,0)))</f>
        <v>0</v>
      </c>
      <c r="J150" s="551">
        <f>IF(C150=0,0,(VLOOKUP(C150,'PO MTRL'!$B$9:$S1518,8,0)))</f>
        <v>0</v>
      </c>
      <c r="K150" s="559"/>
      <c r="L150" s="448">
        <f t="shared" si="1"/>
        <v>0</v>
      </c>
      <c r="M150" s="551">
        <f t="shared" si="2"/>
        <v>0</v>
      </c>
      <c r="N150" s="449">
        <f t="shared" si="3"/>
        <v>0</v>
      </c>
      <c r="O150" s="551">
        <f>IF(H150=0,0,(VLOOKUP(H150,'PO MTRL'!$G$9:$S1518,5,0)))</f>
        <v>0</v>
      </c>
      <c r="P150" s="551">
        <f>IF(H150=0,0,(VLOOKUP(H150,'PO MTRL'!$G$9:$S1518,7,0)))</f>
        <v>0</v>
      </c>
      <c r="Q150" s="551">
        <f t="shared" si="4"/>
        <v>0</v>
      </c>
      <c r="R150" s="551">
        <f t="shared" si="5"/>
        <v>0</v>
      </c>
      <c r="S150" s="550">
        <f>IF(C150=0,0,(VLOOKUP(C150,'PO MTRL'!$B$9:$S1518,17,0)))</f>
        <v>0</v>
      </c>
      <c r="T150" s="553"/>
      <c r="U150" s="554">
        <f>IF(C150=0,0,(VLOOKUP(C150,'PO MTRL'!$B$9:$S1518,18,0)))</f>
        <v>0</v>
      </c>
      <c r="V150" s="16"/>
      <c r="W150" s="119" t="str">
        <f t="shared" si="6"/>
        <v/>
      </c>
      <c r="X150" s="564">
        <f t="shared" si="7"/>
        <v>0</v>
      </c>
      <c r="Y150" s="119"/>
      <c r="Z150" s="119"/>
      <c r="AA150" s="530">
        <f>IFERROR(__xludf.DUMMYFUNCTION("""COMPUTED_VALUE"""),142.0)</f>
        <v>142</v>
      </c>
      <c r="AB150" s="119"/>
      <c r="AC150" s="119"/>
      <c r="AD150" s="119"/>
      <c r="AE150" s="119"/>
      <c r="AF150" s="119"/>
      <c r="AG150" s="555" t="str">
        <f t="shared" si="8"/>
        <v>  ---&gt;     ---&gt;   </v>
      </c>
      <c r="AH150" s="16"/>
      <c r="AI150" s="439"/>
      <c r="AJ150" s="439"/>
      <c r="AK150" s="439"/>
    </row>
    <row r="151" ht="18.75" customHeight="1">
      <c r="A151" s="439"/>
      <c r="B151" s="546"/>
      <c r="C151" s="547"/>
      <c r="D151" s="446">
        <f>IF(C151=0,0,(VLOOKUP(C151,'PO MTRL'!$B$9:$S1518,2,0)))</f>
        <v>0</v>
      </c>
      <c r="E151" s="548" t="str">
        <f>IF(C151="","",(VLOOKUP(C151,'PO MTRL'!$B$9:$S1518,3,0)))</f>
        <v/>
      </c>
      <c r="F151" s="549">
        <f>IF(C151=0,0,(VLOOKUP(C151,'PO MTRL'!$B$9:$S1518,4,0)))</f>
        <v>0</v>
      </c>
      <c r="G151" s="444"/>
      <c r="H151" s="550">
        <f>IF(C151=0,0,(VLOOKUP(C151,'PO MTRL'!$B$9:$S1518,6,0)))</f>
        <v>0</v>
      </c>
      <c r="I151" s="446">
        <f>IF(C151=0,0,(VLOOKUP(C151,'PO MTRL'!$B$9:$S1518,7,0)))</f>
        <v>0</v>
      </c>
      <c r="J151" s="551">
        <f>IF(C151=0,0,(VLOOKUP(C151,'PO MTRL'!$B$9:$S1518,8,0)))</f>
        <v>0</v>
      </c>
      <c r="K151" s="559"/>
      <c r="L151" s="448">
        <f t="shared" si="1"/>
        <v>0</v>
      </c>
      <c r="M151" s="551">
        <f t="shared" si="2"/>
        <v>0</v>
      </c>
      <c r="N151" s="449">
        <f t="shared" si="3"/>
        <v>0</v>
      </c>
      <c r="O151" s="551">
        <f>IF(H151=0,0,(VLOOKUP(H151,'PO MTRL'!$G$9:$S1518,5,0)))</f>
        <v>0</v>
      </c>
      <c r="P151" s="551">
        <f>IF(H151=0,0,(VLOOKUP(H151,'PO MTRL'!$G$9:$S1518,7,0)))</f>
        <v>0</v>
      </c>
      <c r="Q151" s="551">
        <f t="shared" si="4"/>
        <v>0</v>
      </c>
      <c r="R151" s="551">
        <f t="shared" si="5"/>
        <v>0</v>
      </c>
      <c r="S151" s="550">
        <f>IF(C151=0,0,(VLOOKUP(C151,'PO MTRL'!$B$9:$S1518,17,0)))</f>
        <v>0</v>
      </c>
      <c r="T151" s="553"/>
      <c r="U151" s="554">
        <f>IF(C151=0,0,(VLOOKUP(C151,'PO MTRL'!$B$9:$S1518,18,0)))</f>
        <v>0</v>
      </c>
      <c r="V151" s="16"/>
      <c r="W151" s="119" t="str">
        <f t="shared" si="6"/>
        <v/>
      </c>
      <c r="X151" s="564">
        <f t="shared" si="7"/>
        <v>0</v>
      </c>
      <c r="Y151" s="119"/>
      <c r="Z151" s="119"/>
      <c r="AA151" s="530">
        <f>IFERROR(__xludf.DUMMYFUNCTION("""COMPUTED_VALUE"""),143.0)</f>
        <v>143</v>
      </c>
      <c r="AB151" s="119"/>
      <c r="AC151" s="119"/>
      <c r="AD151" s="119"/>
      <c r="AE151" s="119"/>
      <c r="AF151" s="119"/>
      <c r="AG151" s="555" t="str">
        <f t="shared" si="8"/>
        <v>  ---&gt;     ---&gt;   </v>
      </c>
      <c r="AH151" s="16"/>
      <c r="AI151" s="439"/>
      <c r="AJ151" s="439"/>
      <c r="AK151" s="439"/>
    </row>
    <row r="152" ht="18.75" customHeight="1">
      <c r="A152" s="439"/>
      <c r="B152" s="546"/>
      <c r="C152" s="547"/>
      <c r="D152" s="446">
        <f>IF(C152=0,0,(VLOOKUP(C152,'PO MTRL'!$B$9:$S1518,2,0)))</f>
        <v>0</v>
      </c>
      <c r="E152" s="548" t="str">
        <f>IF(C152="","",(VLOOKUP(C152,'PO MTRL'!$B$9:$S1518,3,0)))</f>
        <v/>
      </c>
      <c r="F152" s="549">
        <f>IF(C152=0,0,(VLOOKUP(C152,'PO MTRL'!$B$9:$S1518,4,0)))</f>
        <v>0</v>
      </c>
      <c r="G152" s="444"/>
      <c r="H152" s="550">
        <f>IF(C152=0,0,(VLOOKUP(C152,'PO MTRL'!$B$9:$S1518,6,0)))</f>
        <v>0</v>
      </c>
      <c r="I152" s="446">
        <f>IF(C152=0,0,(VLOOKUP(C152,'PO MTRL'!$B$9:$S1518,7,0)))</f>
        <v>0</v>
      </c>
      <c r="J152" s="551">
        <f>IF(C152=0,0,(VLOOKUP(C152,'PO MTRL'!$B$9:$S1518,8,0)))</f>
        <v>0</v>
      </c>
      <c r="K152" s="559"/>
      <c r="L152" s="448">
        <f t="shared" si="1"/>
        <v>0</v>
      </c>
      <c r="M152" s="551">
        <f t="shared" si="2"/>
        <v>0</v>
      </c>
      <c r="N152" s="449">
        <f t="shared" si="3"/>
        <v>0</v>
      </c>
      <c r="O152" s="551">
        <f>IF(H152=0,0,(VLOOKUP(H152,'PO MTRL'!$G$9:$S1518,5,0)))</f>
        <v>0</v>
      </c>
      <c r="P152" s="551">
        <f>IF(H152=0,0,(VLOOKUP(H152,'PO MTRL'!$G$9:$S1518,7,0)))</f>
        <v>0</v>
      </c>
      <c r="Q152" s="551">
        <f t="shared" si="4"/>
        <v>0</v>
      </c>
      <c r="R152" s="551">
        <f t="shared" si="5"/>
        <v>0</v>
      </c>
      <c r="S152" s="550">
        <f>IF(C152=0,0,(VLOOKUP(C152,'PO MTRL'!$B$9:$S1518,17,0)))</f>
        <v>0</v>
      </c>
      <c r="T152" s="553"/>
      <c r="U152" s="554">
        <f>IF(C152=0,0,(VLOOKUP(C152,'PO MTRL'!$B$9:$S1518,18,0)))</f>
        <v>0</v>
      </c>
      <c r="V152" s="16"/>
      <c r="W152" s="119" t="str">
        <f t="shared" si="6"/>
        <v/>
      </c>
      <c r="X152" s="564">
        <f t="shared" si="7"/>
        <v>0</v>
      </c>
      <c r="Y152" s="119"/>
      <c r="Z152" s="119"/>
      <c r="AA152" s="530">
        <f>IFERROR(__xludf.DUMMYFUNCTION("""COMPUTED_VALUE"""),144.0)</f>
        <v>144</v>
      </c>
      <c r="AB152" s="119"/>
      <c r="AC152" s="119"/>
      <c r="AD152" s="119"/>
      <c r="AE152" s="119"/>
      <c r="AF152" s="119"/>
      <c r="AG152" s="555" t="str">
        <f t="shared" si="8"/>
        <v>  ---&gt;     ---&gt;   </v>
      </c>
      <c r="AH152" s="16"/>
      <c r="AI152" s="439"/>
      <c r="AJ152" s="439"/>
      <c r="AK152" s="439"/>
    </row>
    <row r="153" ht="18.75" customHeight="1">
      <c r="A153" s="439"/>
      <c r="B153" s="546"/>
      <c r="C153" s="547"/>
      <c r="D153" s="446">
        <f>IF(C153=0,0,(VLOOKUP(C153,'PO MTRL'!$B$9:$S1518,2,0)))</f>
        <v>0</v>
      </c>
      <c r="E153" s="548" t="str">
        <f>IF(C153="","",(VLOOKUP(C153,'PO MTRL'!$B$9:$S1518,3,0)))</f>
        <v/>
      </c>
      <c r="F153" s="549">
        <f>IF(C153=0,0,(VLOOKUP(C153,'PO MTRL'!$B$9:$S1518,4,0)))</f>
        <v>0</v>
      </c>
      <c r="G153" s="444"/>
      <c r="H153" s="550">
        <f>IF(C153=0,0,(VLOOKUP(C153,'PO MTRL'!$B$9:$S1518,6,0)))</f>
        <v>0</v>
      </c>
      <c r="I153" s="446">
        <f>IF(C153=0,0,(VLOOKUP(C153,'PO MTRL'!$B$9:$S1518,7,0)))</f>
        <v>0</v>
      </c>
      <c r="J153" s="551">
        <f>IF(C153=0,0,(VLOOKUP(C153,'PO MTRL'!$B$9:$S1518,8,0)))</f>
        <v>0</v>
      </c>
      <c r="K153" s="559"/>
      <c r="L153" s="448">
        <f t="shared" si="1"/>
        <v>0</v>
      </c>
      <c r="M153" s="551">
        <f t="shared" si="2"/>
        <v>0</v>
      </c>
      <c r="N153" s="449">
        <f t="shared" si="3"/>
        <v>0</v>
      </c>
      <c r="O153" s="551">
        <f>IF(H153=0,0,(VLOOKUP(H153,'PO MTRL'!$G$9:$S1518,5,0)))</f>
        <v>0</v>
      </c>
      <c r="P153" s="551">
        <f>IF(H153=0,0,(VLOOKUP(H153,'PO MTRL'!$G$9:$S1518,7,0)))</f>
        <v>0</v>
      </c>
      <c r="Q153" s="551">
        <f t="shared" si="4"/>
        <v>0</v>
      </c>
      <c r="R153" s="551">
        <f t="shared" si="5"/>
        <v>0</v>
      </c>
      <c r="S153" s="550">
        <f>IF(C153=0,0,(VLOOKUP(C153,'PO MTRL'!$B$9:$S1518,17,0)))</f>
        <v>0</v>
      </c>
      <c r="T153" s="553"/>
      <c r="U153" s="554">
        <f>IF(C153=0,0,(VLOOKUP(C153,'PO MTRL'!$B$9:$S1518,18,0)))</f>
        <v>0</v>
      </c>
      <c r="V153" s="16"/>
      <c r="W153" s="119" t="str">
        <f t="shared" si="6"/>
        <v/>
      </c>
      <c r="X153" s="564">
        <f t="shared" si="7"/>
        <v>0</v>
      </c>
      <c r="Y153" s="119"/>
      <c r="Z153" s="119"/>
      <c r="AA153" s="530">
        <f>IFERROR(__xludf.DUMMYFUNCTION("""COMPUTED_VALUE"""),145.0)</f>
        <v>145</v>
      </c>
      <c r="AB153" s="119"/>
      <c r="AC153" s="119"/>
      <c r="AD153" s="119"/>
      <c r="AE153" s="119"/>
      <c r="AF153" s="119"/>
      <c r="AG153" s="555" t="str">
        <f t="shared" si="8"/>
        <v>  ---&gt;     ---&gt;   </v>
      </c>
      <c r="AH153" s="16"/>
      <c r="AI153" s="439"/>
      <c r="AJ153" s="439"/>
      <c r="AK153" s="439"/>
    </row>
    <row r="154" ht="18.75" customHeight="1">
      <c r="A154" s="439"/>
      <c r="B154" s="546"/>
      <c r="C154" s="547"/>
      <c r="D154" s="446">
        <f>IF(C154=0,0,(VLOOKUP(C154,'PO MTRL'!$B$9:$S1518,2,0)))</f>
        <v>0</v>
      </c>
      <c r="E154" s="548" t="str">
        <f>IF(C154="","",(VLOOKUP(C154,'PO MTRL'!$B$9:$S1518,3,0)))</f>
        <v/>
      </c>
      <c r="F154" s="549">
        <f>IF(C154=0,0,(VLOOKUP(C154,'PO MTRL'!$B$9:$S1518,4,0)))</f>
        <v>0</v>
      </c>
      <c r="G154" s="444"/>
      <c r="H154" s="550">
        <f>IF(C154=0,0,(VLOOKUP(C154,'PO MTRL'!$B$9:$S1518,6,0)))</f>
        <v>0</v>
      </c>
      <c r="I154" s="446">
        <f>IF(C154=0,0,(VLOOKUP(C154,'PO MTRL'!$B$9:$S1518,7,0)))</f>
        <v>0</v>
      </c>
      <c r="J154" s="551">
        <f>IF(C154=0,0,(VLOOKUP(C154,'PO MTRL'!$B$9:$S1518,8,0)))</f>
        <v>0</v>
      </c>
      <c r="K154" s="559"/>
      <c r="L154" s="448">
        <f t="shared" si="1"/>
        <v>0</v>
      </c>
      <c r="M154" s="551">
        <f t="shared" si="2"/>
        <v>0</v>
      </c>
      <c r="N154" s="449">
        <f t="shared" si="3"/>
        <v>0</v>
      </c>
      <c r="O154" s="551">
        <f>IF(H154=0,0,(VLOOKUP(H154,'PO MTRL'!$G$9:$S1518,5,0)))</f>
        <v>0</v>
      </c>
      <c r="P154" s="551">
        <f>IF(H154=0,0,(VLOOKUP(H154,'PO MTRL'!$G$9:$S1518,7,0)))</f>
        <v>0</v>
      </c>
      <c r="Q154" s="551">
        <f t="shared" si="4"/>
        <v>0</v>
      </c>
      <c r="R154" s="551">
        <f t="shared" si="5"/>
        <v>0</v>
      </c>
      <c r="S154" s="550">
        <f>IF(C154=0,0,(VLOOKUP(C154,'PO MTRL'!$B$9:$S1518,17,0)))</f>
        <v>0</v>
      </c>
      <c r="T154" s="553"/>
      <c r="U154" s="554">
        <f>IF(C154=0,0,(VLOOKUP(C154,'PO MTRL'!$B$9:$S1518,18,0)))</f>
        <v>0</v>
      </c>
      <c r="V154" s="16"/>
      <c r="W154" s="119" t="str">
        <f t="shared" si="6"/>
        <v/>
      </c>
      <c r="X154" s="564">
        <f t="shared" si="7"/>
        <v>0</v>
      </c>
      <c r="Y154" s="119"/>
      <c r="Z154" s="119"/>
      <c r="AA154" s="530">
        <f>IFERROR(__xludf.DUMMYFUNCTION("""COMPUTED_VALUE"""),146.0)</f>
        <v>146</v>
      </c>
      <c r="AB154" s="119"/>
      <c r="AC154" s="119"/>
      <c r="AD154" s="119"/>
      <c r="AE154" s="119"/>
      <c r="AF154" s="119"/>
      <c r="AG154" s="555" t="str">
        <f t="shared" si="8"/>
        <v>  ---&gt;     ---&gt;   </v>
      </c>
      <c r="AH154" s="16"/>
      <c r="AI154" s="439"/>
      <c r="AJ154" s="439"/>
      <c r="AK154" s="439"/>
    </row>
    <row r="155" ht="18.75" customHeight="1">
      <c r="A155" s="439"/>
      <c r="B155" s="546"/>
      <c r="C155" s="547"/>
      <c r="D155" s="446">
        <f>IF(C155=0,0,(VLOOKUP(C155,'PO MTRL'!$B$9:$S1518,2,0)))</f>
        <v>0</v>
      </c>
      <c r="E155" s="548" t="str">
        <f>IF(C155="","",(VLOOKUP(C155,'PO MTRL'!$B$9:$S1518,3,0)))</f>
        <v/>
      </c>
      <c r="F155" s="549">
        <f>IF(C155=0,0,(VLOOKUP(C155,'PO MTRL'!$B$9:$S1518,4,0)))</f>
        <v>0</v>
      </c>
      <c r="G155" s="444"/>
      <c r="H155" s="550">
        <f>IF(C155=0,0,(VLOOKUP(C155,'PO MTRL'!$B$9:$S1518,6,0)))</f>
        <v>0</v>
      </c>
      <c r="I155" s="446">
        <f>IF(C155=0,0,(VLOOKUP(C155,'PO MTRL'!$B$9:$S1518,7,0)))</f>
        <v>0</v>
      </c>
      <c r="J155" s="551">
        <f>IF(C155=0,0,(VLOOKUP(C155,'PO MTRL'!$B$9:$S1518,8,0)))</f>
        <v>0</v>
      </c>
      <c r="K155" s="559"/>
      <c r="L155" s="448">
        <f t="shared" si="1"/>
        <v>0</v>
      </c>
      <c r="M155" s="551">
        <f t="shared" si="2"/>
        <v>0</v>
      </c>
      <c r="N155" s="449">
        <f t="shared" si="3"/>
        <v>0</v>
      </c>
      <c r="O155" s="551">
        <f>IF(H155=0,0,(VLOOKUP(H155,'PO MTRL'!$G$9:$S1518,5,0)))</f>
        <v>0</v>
      </c>
      <c r="P155" s="551">
        <f>IF(H155=0,0,(VLOOKUP(H155,'PO MTRL'!$G$9:$S1518,7,0)))</f>
        <v>0</v>
      </c>
      <c r="Q155" s="551">
        <f t="shared" si="4"/>
        <v>0</v>
      </c>
      <c r="R155" s="551">
        <f t="shared" si="5"/>
        <v>0</v>
      </c>
      <c r="S155" s="550">
        <f>IF(C155=0,0,(VLOOKUP(C155,'PO MTRL'!$B$9:$S1518,17,0)))</f>
        <v>0</v>
      </c>
      <c r="T155" s="553"/>
      <c r="U155" s="554">
        <f>IF(C155=0,0,(VLOOKUP(C155,'PO MTRL'!$B$9:$S1518,18,0)))</f>
        <v>0</v>
      </c>
      <c r="V155" s="16"/>
      <c r="W155" s="119" t="str">
        <f t="shared" si="6"/>
        <v/>
      </c>
      <c r="X155" s="564">
        <f t="shared" si="7"/>
        <v>0</v>
      </c>
      <c r="Y155" s="119"/>
      <c r="Z155" s="119"/>
      <c r="AA155" s="530">
        <f>IFERROR(__xludf.DUMMYFUNCTION("""COMPUTED_VALUE"""),147.0)</f>
        <v>147</v>
      </c>
      <c r="AB155" s="119"/>
      <c r="AC155" s="119"/>
      <c r="AD155" s="119"/>
      <c r="AE155" s="119"/>
      <c r="AF155" s="119"/>
      <c r="AG155" s="555" t="str">
        <f t="shared" si="8"/>
        <v>  ---&gt;     ---&gt;   </v>
      </c>
      <c r="AH155" s="16"/>
      <c r="AI155" s="439"/>
      <c r="AJ155" s="439"/>
      <c r="AK155" s="439"/>
    </row>
    <row r="156" ht="18.75" customHeight="1">
      <c r="A156" s="439"/>
      <c r="B156" s="546"/>
      <c r="C156" s="547"/>
      <c r="D156" s="446">
        <f>IF(C156=0,0,(VLOOKUP(C156,'PO MTRL'!$B$9:$S1518,2,0)))</f>
        <v>0</v>
      </c>
      <c r="E156" s="548" t="str">
        <f>IF(C156="","",(VLOOKUP(C156,'PO MTRL'!$B$9:$S1518,3,0)))</f>
        <v/>
      </c>
      <c r="F156" s="549">
        <f>IF(C156=0,0,(VLOOKUP(C156,'PO MTRL'!$B$9:$S1518,4,0)))</f>
        <v>0</v>
      </c>
      <c r="G156" s="444"/>
      <c r="H156" s="550">
        <f>IF(C156=0,0,(VLOOKUP(C156,'PO MTRL'!$B$9:$S1518,6,0)))</f>
        <v>0</v>
      </c>
      <c r="I156" s="446">
        <f>IF(C156=0,0,(VLOOKUP(C156,'PO MTRL'!$B$9:$S1518,7,0)))</f>
        <v>0</v>
      </c>
      <c r="J156" s="551">
        <f>IF(C156=0,0,(VLOOKUP(C156,'PO MTRL'!$B$9:$S1518,8,0)))</f>
        <v>0</v>
      </c>
      <c r="K156" s="559"/>
      <c r="L156" s="448">
        <f t="shared" si="1"/>
        <v>0</v>
      </c>
      <c r="M156" s="551">
        <f t="shared" si="2"/>
        <v>0</v>
      </c>
      <c r="N156" s="449">
        <f t="shared" si="3"/>
        <v>0</v>
      </c>
      <c r="O156" s="551">
        <f>IF(H156=0,0,(VLOOKUP(H156,'PO MTRL'!$G$9:$S1518,5,0)))</f>
        <v>0</v>
      </c>
      <c r="P156" s="551">
        <f>IF(H156=0,0,(VLOOKUP(H156,'PO MTRL'!$G$9:$S1518,7,0)))</f>
        <v>0</v>
      </c>
      <c r="Q156" s="551">
        <f t="shared" si="4"/>
        <v>0</v>
      </c>
      <c r="R156" s="551">
        <f t="shared" si="5"/>
        <v>0</v>
      </c>
      <c r="S156" s="550">
        <f>IF(C156=0,0,(VLOOKUP(C156,'PO MTRL'!$B$9:$S1518,17,0)))</f>
        <v>0</v>
      </c>
      <c r="T156" s="553"/>
      <c r="U156" s="554">
        <f>IF(C156=0,0,(VLOOKUP(C156,'PO MTRL'!$B$9:$S1518,18,0)))</f>
        <v>0</v>
      </c>
      <c r="V156" s="16"/>
      <c r="W156" s="119" t="str">
        <f t="shared" si="6"/>
        <v/>
      </c>
      <c r="X156" s="564">
        <f t="shared" si="7"/>
        <v>0</v>
      </c>
      <c r="Y156" s="119"/>
      <c r="Z156" s="119"/>
      <c r="AA156" s="530">
        <f>IFERROR(__xludf.DUMMYFUNCTION("""COMPUTED_VALUE"""),148.0)</f>
        <v>148</v>
      </c>
      <c r="AB156" s="119"/>
      <c r="AC156" s="119"/>
      <c r="AD156" s="119"/>
      <c r="AE156" s="119"/>
      <c r="AF156" s="119"/>
      <c r="AG156" s="555" t="str">
        <f t="shared" si="8"/>
        <v>  ---&gt;     ---&gt;   </v>
      </c>
      <c r="AH156" s="16"/>
      <c r="AI156" s="439"/>
      <c r="AJ156" s="439"/>
      <c r="AK156" s="439"/>
    </row>
    <row r="157" ht="18.75" customHeight="1">
      <c r="A157" s="439"/>
      <c r="B157" s="546"/>
      <c r="C157" s="547"/>
      <c r="D157" s="446">
        <f>IF(C157=0,0,(VLOOKUP(C157,'PO MTRL'!$B$9:$S1518,2,0)))</f>
        <v>0</v>
      </c>
      <c r="E157" s="548" t="str">
        <f>IF(C157="","",(VLOOKUP(C157,'PO MTRL'!$B$9:$S1518,3,0)))</f>
        <v/>
      </c>
      <c r="F157" s="549">
        <f>IF(C157=0,0,(VLOOKUP(C157,'PO MTRL'!$B$9:$S1518,4,0)))</f>
        <v>0</v>
      </c>
      <c r="G157" s="444"/>
      <c r="H157" s="550">
        <f>IF(C157=0,0,(VLOOKUP(C157,'PO MTRL'!$B$9:$S1518,6,0)))</f>
        <v>0</v>
      </c>
      <c r="I157" s="446">
        <f>IF(C157=0,0,(VLOOKUP(C157,'PO MTRL'!$B$9:$S1518,7,0)))</f>
        <v>0</v>
      </c>
      <c r="J157" s="551">
        <f>IF(C157=0,0,(VLOOKUP(C157,'PO MTRL'!$B$9:$S1518,8,0)))</f>
        <v>0</v>
      </c>
      <c r="K157" s="559"/>
      <c r="L157" s="448">
        <f t="shared" si="1"/>
        <v>0</v>
      </c>
      <c r="M157" s="551">
        <f t="shared" si="2"/>
        <v>0</v>
      </c>
      <c r="N157" s="449">
        <f t="shared" si="3"/>
        <v>0</v>
      </c>
      <c r="O157" s="551">
        <f>IF(H157=0,0,(VLOOKUP(H157,'PO MTRL'!$G$9:$S1518,5,0)))</f>
        <v>0</v>
      </c>
      <c r="P157" s="551">
        <f>IF(H157=0,0,(VLOOKUP(H157,'PO MTRL'!$G$9:$S1518,7,0)))</f>
        <v>0</v>
      </c>
      <c r="Q157" s="551">
        <f t="shared" si="4"/>
        <v>0</v>
      </c>
      <c r="R157" s="551">
        <f t="shared" si="5"/>
        <v>0</v>
      </c>
      <c r="S157" s="550">
        <f>IF(C157=0,0,(VLOOKUP(C157,'PO MTRL'!$B$9:$S1518,17,0)))</f>
        <v>0</v>
      </c>
      <c r="T157" s="553"/>
      <c r="U157" s="554">
        <f>IF(C157=0,0,(VLOOKUP(C157,'PO MTRL'!$B$9:$S1518,18,0)))</f>
        <v>0</v>
      </c>
      <c r="V157" s="16"/>
      <c r="W157" s="119" t="str">
        <f t="shared" si="6"/>
        <v/>
      </c>
      <c r="X157" s="564">
        <f t="shared" si="7"/>
        <v>0</v>
      </c>
      <c r="Y157" s="119"/>
      <c r="Z157" s="119"/>
      <c r="AA157" s="530">
        <f>IFERROR(__xludf.DUMMYFUNCTION("""COMPUTED_VALUE"""),149.0)</f>
        <v>149</v>
      </c>
      <c r="AB157" s="119"/>
      <c r="AC157" s="119"/>
      <c r="AD157" s="119"/>
      <c r="AE157" s="119"/>
      <c r="AF157" s="119"/>
      <c r="AG157" s="555" t="str">
        <f t="shared" si="8"/>
        <v>  ---&gt;     ---&gt;   </v>
      </c>
      <c r="AH157" s="16"/>
      <c r="AI157" s="439"/>
      <c r="AJ157" s="439"/>
      <c r="AK157" s="439"/>
    </row>
    <row r="158" ht="18.75" customHeight="1">
      <c r="A158" s="439"/>
      <c r="B158" s="546"/>
      <c r="C158" s="547"/>
      <c r="D158" s="446">
        <f>IF(C158=0,0,(VLOOKUP(C158,'PO MTRL'!$B$9:$S1518,2,0)))</f>
        <v>0</v>
      </c>
      <c r="E158" s="548" t="str">
        <f>IF(C158="","",(VLOOKUP(C158,'PO MTRL'!$B$9:$S1518,3,0)))</f>
        <v/>
      </c>
      <c r="F158" s="549">
        <f>IF(C158=0,0,(VLOOKUP(C158,'PO MTRL'!$B$9:$S1518,4,0)))</f>
        <v>0</v>
      </c>
      <c r="G158" s="444"/>
      <c r="H158" s="550">
        <f>IF(C158=0,0,(VLOOKUP(C158,'PO MTRL'!$B$9:$S1518,6,0)))</f>
        <v>0</v>
      </c>
      <c r="I158" s="446">
        <f>IF(C158=0,0,(VLOOKUP(C158,'PO MTRL'!$B$9:$S1518,7,0)))</f>
        <v>0</v>
      </c>
      <c r="J158" s="551">
        <f>IF(C158=0,0,(VLOOKUP(C158,'PO MTRL'!$B$9:$S1518,8,0)))</f>
        <v>0</v>
      </c>
      <c r="K158" s="559"/>
      <c r="L158" s="448">
        <f t="shared" si="1"/>
        <v>0</v>
      </c>
      <c r="M158" s="551">
        <f t="shared" si="2"/>
        <v>0</v>
      </c>
      <c r="N158" s="449">
        <f t="shared" si="3"/>
        <v>0</v>
      </c>
      <c r="O158" s="551">
        <f>IF(H158=0,0,(VLOOKUP(H158,'PO MTRL'!$G$9:$S1518,5,0)))</f>
        <v>0</v>
      </c>
      <c r="P158" s="551">
        <f>IF(H158=0,0,(VLOOKUP(H158,'PO MTRL'!$G$9:$S1518,7,0)))</f>
        <v>0</v>
      </c>
      <c r="Q158" s="551">
        <f t="shared" si="4"/>
        <v>0</v>
      </c>
      <c r="R158" s="551">
        <f t="shared" si="5"/>
        <v>0</v>
      </c>
      <c r="S158" s="550">
        <f>IF(C158=0,0,(VLOOKUP(C158,'PO MTRL'!$B$9:$S1518,17,0)))</f>
        <v>0</v>
      </c>
      <c r="T158" s="553"/>
      <c r="U158" s="554">
        <f>IF(C158=0,0,(VLOOKUP(C158,'PO MTRL'!$B$9:$S1518,18,0)))</f>
        <v>0</v>
      </c>
      <c r="V158" s="16"/>
      <c r="W158" s="119" t="str">
        <f t="shared" si="6"/>
        <v/>
      </c>
      <c r="X158" s="564">
        <f t="shared" si="7"/>
        <v>0</v>
      </c>
      <c r="Y158" s="119"/>
      <c r="Z158" s="119"/>
      <c r="AA158" s="530">
        <f>IFERROR(__xludf.DUMMYFUNCTION("""COMPUTED_VALUE"""),150.0)</f>
        <v>150</v>
      </c>
      <c r="AB158" s="119"/>
      <c r="AC158" s="119"/>
      <c r="AD158" s="119"/>
      <c r="AE158" s="119"/>
      <c r="AF158" s="119"/>
      <c r="AG158" s="555" t="str">
        <f t="shared" si="8"/>
        <v>  ---&gt;     ---&gt;   </v>
      </c>
      <c r="AH158" s="16"/>
      <c r="AI158" s="439"/>
      <c r="AJ158" s="439"/>
      <c r="AK158" s="439"/>
    </row>
    <row r="159" ht="18.75" customHeight="1">
      <c r="A159" s="439"/>
      <c r="B159" s="546"/>
      <c r="C159" s="547"/>
      <c r="D159" s="446">
        <f>IF(C159=0,0,(VLOOKUP(C159,'PO MTRL'!$B$9:$S1518,2,0)))</f>
        <v>0</v>
      </c>
      <c r="E159" s="548" t="str">
        <f>IF(C159="","",(VLOOKUP(C159,'PO MTRL'!$B$9:$S1518,3,0)))</f>
        <v/>
      </c>
      <c r="F159" s="549">
        <f>IF(C159=0,0,(VLOOKUP(C159,'PO MTRL'!$B$9:$S1518,4,0)))</f>
        <v>0</v>
      </c>
      <c r="G159" s="444"/>
      <c r="H159" s="550">
        <f>IF(C159=0,0,(VLOOKUP(C159,'PO MTRL'!$B$9:$S1518,6,0)))</f>
        <v>0</v>
      </c>
      <c r="I159" s="446">
        <f>IF(C159=0,0,(VLOOKUP(C159,'PO MTRL'!$B$9:$S1518,7,0)))</f>
        <v>0</v>
      </c>
      <c r="J159" s="551">
        <f>IF(C159=0,0,(VLOOKUP(C159,'PO MTRL'!$B$9:$S1518,8,0)))</f>
        <v>0</v>
      </c>
      <c r="K159" s="559"/>
      <c r="L159" s="448">
        <f t="shared" si="1"/>
        <v>0</v>
      </c>
      <c r="M159" s="551">
        <f t="shared" si="2"/>
        <v>0</v>
      </c>
      <c r="N159" s="449">
        <f t="shared" si="3"/>
        <v>0</v>
      </c>
      <c r="O159" s="551">
        <f>IF(H159=0,0,(VLOOKUP(H159,'PO MTRL'!$G$9:$S1518,5,0)))</f>
        <v>0</v>
      </c>
      <c r="P159" s="551">
        <f>IF(H159=0,0,(VLOOKUP(H159,'PO MTRL'!$G$9:$S1518,7,0)))</f>
        <v>0</v>
      </c>
      <c r="Q159" s="551">
        <f t="shared" si="4"/>
        <v>0</v>
      </c>
      <c r="R159" s="551">
        <f t="shared" si="5"/>
        <v>0</v>
      </c>
      <c r="S159" s="550">
        <f>IF(C159=0,0,(VLOOKUP(C159,'PO MTRL'!$B$9:$S1518,17,0)))</f>
        <v>0</v>
      </c>
      <c r="T159" s="553"/>
      <c r="U159" s="554">
        <f>IF(C159=0,0,(VLOOKUP(C159,'PO MTRL'!$B$9:$S1518,18,0)))</f>
        <v>0</v>
      </c>
      <c r="V159" s="16"/>
      <c r="W159" s="119" t="str">
        <f t="shared" si="6"/>
        <v/>
      </c>
      <c r="X159" s="564">
        <f t="shared" si="7"/>
        <v>0</v>
      </c>
      <c r="Y159" s="119"/>
      <c r="Z159" s="119"/>
      <c r="AA159" s="530">
        <f>IFERROR(__xludf.DUMMYFUNCTION("""COMPUTED_VALUE"""),151.0)</f>
        <v>151</v>
      </c>
      <c r="AB159" s="119"/>
      <c r="AC159" s="119"/>
      <c r="AD159" s="119"/>
      <c r="AE159" s="119"/>
      <c r="AF159" s="119"/>
      <c r="AG159" s="555" t="str">
        <f t="shared" si="8"/>
        <v>  ---&gt;     ---&gt;   </v>
      </c>
      <c r="AH159" s="16"/>
      <c r="AI159" s="439"/>
      <c r="AJ159" s="439"/>
      <c r="AK159" s="439"/>
    </row>
    <row r="160" ht="18.75" customHeight="1">
      <c r="A160" s="439"/>
      <c r="B160" s="546"/>
      <c r="C160" s="547"/>
      <c r="D160" s="446">
        <f>IF(C160=0,0,(VLOOKUP(C160,'PO MTRL'!$B$9:$S1518,2,0)))</f>
        <v>0</v>
      </c>
      <c r="E160" s="548" t="str">
        <f>IF(C160="","",(VLOOKUP(C160,'PO MTRL'!$B$9:$S1518,3,0)))</f>
        <v/>
      </c>
      <c r="F160" s="549">
        <f>IF(C160=0,0,(VLOOKUP(C160,'PO MTRL'!$B$9:$S1518,4,0)))</f>
        <v>0</v>
      </c>
      <c r="G160" s="444"/>
      <c r="H160" s="550">
        <f>IF(C160=0,0,(VLOOKUP(C160,'PO MTRL'!$B$9:$S1518,6,0)))</f>
        <v>0</v>
      </c>
      <c r="I160" s="446">
        <f>IF(C160=0,0,(VLOOKUP(C160,'PO MTRL'!$B$9:$S1518,7,0)))</f>
        <v>0</v>
      </c>
      <c r="J160" s="551">
        <f>IF(C160=0,0,(VLOOKUP(C160,'PO MTRL'!$B$9:$S1518,8,0)))</f>
        <v>0</v>
      </c>
      <c r="K160" s="559"/>
      <c r="L160" s="448">
        <f t="shared" si="1"/>
        <v>0</v>
      </c>
      <c r="M160" s="551">
        <f t="shared" si="2"/>
        <v>0</v>
      </c>
      <c r="N160" s="449">
        <f t="shared" si="3"/>
        <v>0</v>
      </c>
      <c r="O160" s="551">
        <f>IF(H160=0,0,(VLOOKUP(H160,'PO MTRL'!$G$9:$S1518,5,0)))</f>
        <v>0</v>
      </c>
      <c r="P160" s="551">
        <f>IF(H160=0,0,(VLOOKUP(H160,'PO MTRL'!$G$9:$S1518,7,0)))</f>
        <v>0</v>
      </c>
      <c r="Q160" s="551">
        <f t="shared" si="4"/>
        <v>0</v>
      </c>
      <c r="R160" s="551">
        <f t="shared" si="5"/>
        <v>0</v>
      </c>
      <c r="S160" s="550">
        <f>IF(C160=0,0,(VLOOKUP(C160,'PO MTRL'!$B$9:$S1518,17,0)))</f>
        <v>0</v>
      </c>
      <c r="T160" s="553"/>
      <c r="U160" s="554">
        <f>IF(C160=0,0,(VLOOKUP(C160,'PO MTRL'!$B$9:$S1518,18,0)))</f>
        <v>0</v>
      </c>
      <c r="V160" s="16"/>
      <c r="W160" s="119" t="str">
        <f t="shared" si="6"/>
        <v/>
      </c>
      <c r="X160" s="564">
        <f t="shared" si="7"/>
        <v>0</v>
      </c>
      <c r="Y160" s="119"/>
      <c r="Z160" s="119"/>
      <c r="AA160" s="530">
        <f>IFERROR(__xludf.DUMMYFUNCTION("""COMPUTED_VALUE"""),152.0)</f>
        <v>152</v>
      </c>
      <c r="AB160" s="119"/>
      <c r="AC160" s="119"/>
      <c r="AD160" s="119"/>
      <c r="AE160" s="119"/>
      <c r="AF160" s="119"/>
      <c r="AG160" s="555" t="str">
        <f t="shared" si="8"/>
        <v>  ---&gt;     ---&gt;   </v>
      </c>
      <c r="AH160" s="16"/>
      <c r="AI160" s="439"/>
      <c r="AJ160" s="439"/>
      <c r="AK160" s="439"/>
    </row>
    <row r="161" ht="18.75" customHeight="1">
      <c r="A161" s="439"/>
      <c r="B161" s="546"/>
      <c r="C161" s="547"/>
      <c r="D161" s="446">
        <f>IF(C161=0,0,(VLOOKUP(C161,'PO MTRL'!$B$9:$S1518,2,0)))</f>
        <v>0</v>
      </c>
      <c r="E161" s="548" t="str">
        <f>IF(C161="","",(VLOOKUP(C161,'PO MTRL'!$B$9:$S1518,3,0)))</f>
        <v/>
      </c>
      <c r="F161" s="549">
        <f>IF(C161=0,0,(VLOOKUP(C161,'PO MTRL'!$B$9:$S1518,4,0)))</f>
        <v>0</v>
      </c>
      <c r="G161" s="444"/>
      <c r="H161" s="550">
        <f>IF(C161=0,0,(VLOOKUP(C161,'PO MTRL'!$B$9:$S1518,6,0)))</f>
        <v>0</v>
      </c>
      <c r="I161" s="446">
        <f>IF(C161=0,0,(VLOOKUP(C161,'PO MTRL'!$B$9:$S1518,7,0)))</f>
        <v>0</v>
      </c>
      <c r="J161" s="551">
        <f>IF(C161=0,0,(VLOOKUP(C161,'PO MTRL'!$B$9:$S1518,8,0)))</f>
        <v>0</v>
      </c>
      <c r="K161" s="559"/>
      <c r="L161" s="448">
        <f t="shared" si="1"/>
        <v>0</v>
      </c>
      <c r="M161" s="551">
        <f t="shared" si="2"/>
        <v>0</v>
      </c>
      <c r="N161" s="449">
        <f t="shared" si="3"/>
        <v>0</v>
      </c>
      <c r="O161" s="551">
        <f>IF(H161=0,0,(VLOOKUP(H161,'PO MTRL'!$G$9:$S1518,5,0)))</f>
        <v>0</v>
      </c>
      <c r="P161" s="551">
        <f>IF(H161=0,0,(VLOOKUP(H161,'PO MTRL'!$G$9:$S1518,7,0)))</f>
        <v>0</v>
      </c>
      <c r="Q161" s="551">
        <f t="shared" si="4"/>
        <v>0</v>
      </c>
      <c r="R161" s="551">
        <f t="shared" si="5"/>
        <v>0</v>
      </c>
      <c r="S161" s="550">
        <f>IF(C161=0,0,(VLOOKUP(C161,'PO MTRL'!$B$9:$S1518,17,0)))</f>
        <v>0</v>
      </c>
      <c r="T161" s="553"/>
      <c r="U161" s="554">
        <f>IF(C161=0,0,(VLOOKUP(C161,'PO MTRL'!$B$9:$S1518,18,0)))</f>
        <v>0</v>
      </c>
      <c r="V161" s="16"/>
      <c r="W161" s="119" t="str">
        <f t="shared" si="6"/>
        <v/>
      </c>
      <c r="X161" s="564">
        <f t="shared" si="7"/>
        <v>0</v>
      </c>
      <c r="Y161" s="119"/>
      <c r="Z161" s="119"/>
      <c r="AA161" s="530">
        <f>IFERROR(__xludf.DUMMYFUNCTION("""COMPUTED_VALUE"""),153.0)</f>
        <v>153</v>
      </c>
      <c r="AB161" s="119"/>
      <c r="AC161" s="119"/>
      <c r="AD161" s="119"/>
      <c r="AE161" s="119"/>
      <c r="AF161" s="119"/>
      <c r="AG161" s="555" t="str">
        <f t="shared" si="8"/>
        <v>  ---&gt;     ---&gt;   </v>
      </c>
      <c r="AH161" s="16"/>
      <c r="AI161" s="439"/>
      <c r="AJ161" s="439"/>
      <c r="AK161" s="439"/>
    </row>
    <row r="162" ht="18.75" customHeight="1">
      <c r="A162" s="439"/>
      <c r="B162" s="546"/>
      <c r="C162" s="547"/>
      <c r="D162" s="446">
        <f>IF(C162=0,0,(VLOOKUP(C162,'PO MTRL'!$B$9:$S1518,2,0)))</f>
        <v>0</v>
      </c>
      <c r="E162" s="548" t="str">
        <f>IF(C162="","",(VLOOKUP(C162,'PO MTRL'!$B$9:$S1518,3,0)))</f>
        <v/>
      </c>
      <c r="F162" s="549">
        <f>IF(C162=0,0,(VLOOKUP(C162,'PO MTRL'!$B$9:$S1518,4,0)))</f>
        <v>0</v>
      </c>
      <c r="G162" s="444"/>
      <c r="H162" s="550">
        <f>IF(C162=0,0,(VLOOKUP(C162,'PO MTRL'!$B$9:$S1518,6,0)))</f>
        <v>0</v>
      </c>
      <c r="I162" s="446">
        <f>IF(C162=0,0,(VLOOKUP(C162,'PO MTRL'!$B$9:$S1518,7,0)))</f>
        <v>0</v>
      </c>
      <c r="J162" s="551">
        <f>IF(C162=0,0,(VLOOKUP(C162,'PO MTRL'!$B$9:$S1518,8,0)))</f>
        <v>0</v>
      </c>
      <c r="K162" s="559"/>
      <c r="L162" s="448">
        <f t="shared" si="1"/>
        <v>0</v>
      </c>
      <c r="M162" s="551">
        <f t="shared" si="2"/>
        <v>0</v>
      </c>
      <c r="N162" s="449">
        <f t="shared" si="3"/>
        <v>0</v>
      </c>
      <c r="O162" s="551">
        <f>IF(H162=0,0,(VLOOKUP(H162,'PO MTRL'!$G$9:$S1518,5,0)))</f>
        <v>0</v>
      </c>
      <c r="P162" s="551">
        <f>IF(H162=0,0,(VLOOKUP(H162,'PO MTRL'!$G$9:$S1518,7,0)))</f>
        <v>0</v>
      </c>
      <c r="Q162" s="551">
        <f t="shared" si="4"/>
        <v>0</v>
      </c>
      <c r="R162" s="551">
        <f t="shared" si="5"/>
        <v>0</v>
      </c>
      <c r="S162" s="550">
        <f>IF(C162=0,0,(VLOOKUP(C162,'PO MTRL'!$B$9:$S1518,17,0)))</f>
        <v>0</v>
      </c>
      <c r="T162" s="553"/>
      <c r="U162" s="554">
        <f>IF(C162=0,0,(VLOOKUP(C162,'PO MTRL'!$B$9:$S1518,18,0)))</f>
        <v>0</v>
      </c>
      <c r="V162" s="16"/>
      <c r="W162" s="119" t="str">
        <f t="shared" si="6"/>
        <v/>
      </c>
      <c r="X162" s="564">
        <f t="shared" si="7"/>
        <v>0</v>
      </c>
      <c r="Y162" s="119"/>
      <c r="Z162" s="119"/>
      <c r="AA162" s="530">
        <f>IFERROR(__xludf.DUMMYFUNCTION("""COMPUTED_VALUE"""),154.0)</f>
        <v>154</v>
      </c>
      <c r="AB162" s="119"/>
      <c r="AC162" s="119"/>
      <c r="AD162" s="119"/>
      <c r="AE162" s="119"/>
      <c r="AF162" s="119"/>
      <c r="AG162" s="555" t="str">
        <f t="shared" si="8"/>
        <v>  ---&gt;     ---&gt;   </v>
      </c>
      <c r="AH162" s="16"/>
      <c r="AI162" s="439"/>
      <c r="AJ162" s="439"/>
      <c r="AK162" s="439"/>
    </row>
    <row r="163" ht="18.75" customHeight="1">
      <c r="A163" s="439"/>
      <c r="B163" s="546"/>
      <c r="C163" s="547"/>
      <c r="D163" s="446">
        <f>IF(C163=0,0,(VLOOKUP(C163,'PO MTRL'!$B$9:$S1518,2,0)))</f>
        <v>0</v>
      </c>
      <c r="E163" s="548" t="str">
        <f>IF(C163="","",(VLOOKUP(C163,'PO MTRL'!$B$9:$S1518,3,0)))</f>
        <v/>
      </c>
      <c r="F163" s="549">
        <f>IF(C163=0,0,(VLOOKUP(C163,'PO MTRL'!$B$9:$S1518,4,0)))</f>
        <v>0</v>
      </c>
      <c r="G163" s="444"/>
      <c r="H163" s="550">
        <f>IF(C163=0,0,(VLOOKUP(C163,'PO MTRL'!$B$9:$S1518,6,0)))</f>
        <v>0</v>
      </c>
      <c r="I163" s="446">
        <f>IF(C163=0,0,(VLOOKUP(C163,'PO MTRL'!$B$9:$S1518,7,0)))</f>
        <v>0</v>
      </c>
      <c r="J163" s="551">
        <f>IF(C163=0,0,(VLOOKUP(C163,'PO MTRL'!$B$9:$S1518,8,0)))</f>
        <v>0</v>
      </c>
      <c r="K163" s="559"/>
      <c r="L163" s="448">
        <f t="shared" si="1"/>
        <v>0</v>
      </c>
      <c r="M163" s="551">
        <f t="shared" si="2"/>
        <v>0</v>
      </c>
      <c r="N163" s="449">
        <f t="shared" si="3"/>
        <v>0</v>
      </c>
      <c r="O163" s="551">
        <f>IF(H163=0,0,(VLOOKUP(H163,'PO MTRL'!$G$9:$S1518,5,0)))</f>
        <v>0</v>
      </c>
      <c r="P163" s="551">
        <f>IF(H163=0,0,(VLOOKUP(H163,'PO MTRL'!$G$9:$S1518,7,0)))</f>
        <v>0</v>
      </c>
      <c r="Q163" s="551">
        <f t="shared" si="4"/>
        <v>0</v>
      </c>
      <c r="R163" s="551">
        <f t="shared" si="5"/>
        <v>0</v>
      </c>
      <c r="S163" s="550">
        <f>IF(C163=0,0,(VLOOKUP(C163,'PO MTRL'!$B$9:$S1518,17,0)))</f>
        <v>0</v>
      </c>
      <c r="T163" s="553"/>
      <c r="U163" s="554">
        <f>IF(C163=0,0,(VLOOKUP(C163,'PO MTRL'!$B$9:$S1518,18,0)))</f>
        <v>0</v>
      </c>
      <c r="V163" s="16"/>
      <c r="W163" s="119" t="str">
        <f t="shared" si="6"/>
        <v/>
      </c>
      <c r="X163" s="564">
        <f t="shared" si="7"/>
        <v>0</v>
      </c>
      <c r="Y163" s="119"/>
      <c r="Z163" s="119"/>
      <c r="AA163" s="530">
        <f>IFERROR(__xludf.DUMMYFUNCTION("""COMPUTED_VALUE"""),155.0)</f>
        <v>155</v>
      </c>
      <c r="AB163" s="119"/>
      <c r="AC163" s="119"/>
      <c r="AD163" s="119"/>
      <c r="AE163" s="119"/>
      <c r="AF163" s="119"/>
      <c r="AG163" s="555" t="str">
        <f t="shared" si="8"/>
        <v>  ---&gt;     ---&gt;   </v>
      </c>
      <c r="AH163" s="16"/>
      <c r="AI163" s="439"/>
      <c r="AJ163" s="439"/>
      <c r="AK163" s="439"/>
    </row>
    <row r="164" ht="18.75" customHeight="1">
      <c r="A164" s="439"/>
      <c r="B164" s="546"/>
      <c r="C164" s="547"/>
      <c r="D164" s="446">
        <f>IF(C164=0,0,(VLOOKUP(C164,'PO MTRL'!$B$9:$S1518,2,0)))</f>
        <v>0</v>
      </c>
      <c r="E164" s="548" t="str">
        <f>IF(C164="","",(VLOOKUP(C164,'PO MTRL'!$B$9:$S1518,3,0)))</f>
        <v/>
      </c>
      <c r="F164" s="549">
        <f>IF(C164=0,0,(VLOOKUP(C164,'PO MTRL'!$B$9:$S1518,4,0)))</f>
        <v>0</v>
      </c>
      <c r="G164" s="444"/>
      <c r="H164" s="550">
        <f>IF(C164=0,0,(VLOOKUP(C164,'PO MTRL'!$B$9:$S1518,6,0)))</f>
        <v>0</v>
      </c>
      <c r="I164" s="446">
        <f>IF(C164=0,0,(VLOOKUP(C164,'PO MTRL'!$B$9:$S1518,7,0)))</f>
        <v>0</v>
      </c>
      <c r="J164" s="551">
        <f>IF(C164=0,0,(VLOOKUP(C164,'PO MTRL'!$B$9:$S1518,8,0)))</f>
        <v>0</v>
      </c>
      <c r="K164" s="559"/>
      <c r="L164" s="448">
        <f t="shared" si="1"/>
        <v>0</v>
      </c>
      <c r="M164" s="551">
        <f t="shared" si="2"/>
        <v>0</v>
      </c>
      <c r="N164" s="449">
        <f t="shared" si="3"/>
        <v>0</v>
      </c>
      <c r="O164" s="551">
        <f>IF(H164=0,0,(VLOOKUP(H164,'PO MTRL'!$G$9:$S1518,5,0)))</f>
        <v>0</v>
      </c>
      <c r="P164" s="551">
        <f>IF(H164=0,0,(VLOOKUP(H164,'PO MTRL'!$G$9:$S1518,7,0)))</f>
        <v>0</v>
      </c>
      <c r="Q164" s="551">
        <f t="shared" si="4"/>
        <v>0</v>
      </c>
      <c r="R164" s="551">
        <f t="shared" si="5"/>
        <v>0</v>
      </c>
      <c r="S164" s="550">
        <f>IF(C164=0,0,(VLOOKUP(C164,'PO MTRL'!$B$9:$S1518,17,0)))</f>
        <v>0</v>
      </c>
      <c r="T164" s="553"/>
      <c r="U164" s="554">
        <f>IF(C164=0,0,(VLOOKUP(C164,'PO MTRL'!$B$9:$S1518,18,0)))</f>
        <v>0</v>
      </c>
      <c r="V164" s="16"/>
      <c r="W164" s="119" t="str">
        <f t="shared" si="6"/>
        <v/>
      </c>
      <c r="X164" s="564">
        <f t="shared" si="7"/>
        <v>0</v>
      </c>
      <c r="Y164" s="119"/>
      <c r="Z164" s="119"/>
      <c r="AA164" s="530">
        <f>IFERROR(__xludf.DUMMYFUNCTION("""COMPUTED_VALUE"""),156.0)</f>
        <v>156</v>
      </c>
      <c r="AB164" s="119"/>
      <c r="AC164" s="119"/>
      <c r="AD164" s="119"/>
      <c r="AE164" s="119"/>
      <c r="AF164" s="119"/>
      <c r="AG164" s="555" t="str">
        <f t="shared" si="8"/>
        <v>  ---&gt;     ---&gt;   </v>
      </c>
      <c r="AH164" s="16"/>
      <c r="AI164" s="439"/>
      <c r="AJ164" s="439"/>
      <c r="AK164" s="439"/>
    </row>
    <row r="165" ht="18.75" customHeight="1">
      <c r="A165" s="439"/>
      <c r="B165" s="546"/>
      <c r="C165" s="547"/>
      <c r="D165" s="446">
        <f>IF(C165=0,0,(VLOOKUP(C165,'PO MTRL'!$B$9:$S1518,2,0)))</f>
        <v>0</v>
      </c>
      <c r="E165" s="548" t="str">
        <f>IF(C165="","",(VLOOKUP(C165,'PO MTRL'!$B$9:$S1518,3,0)))</f>
        <v/>
      </c>
      <c r="F165" s="549">
        <f>IF(C165=0,0,(VLOOKUP(C165,'PO MTRL'!$B$9:$S1518,4,0)))</f>
        <v>0</v>
      </c>
      <c r="G165" s="444"/>
      <c r="H165" s="550">
        <f>IF(C165=0,0,(VLOOKUP(C165,'PO MTRL'!$B$9:$S1518,6,0)))</f>
        <v>0</v>
      </c>
      <c r="I165" s="446">
        <f>IF(C165=0,0,(VLOOKUP(C165,'PO MTRL'!$B$9:$S1518,7,0)))</f>
        <v>0</v>
      </c>
      <c r="J165" s="551">
        <f>IF(C165=0,0,(VLOOKUP(C165,'PO MTRL'!$B$9:$S1518,8,0)))</f>
        <v>0</v>
      </c>
      <c r="K165" s="559"/>
      <c r="L165" s="448">
        <f t="shared" si="1"/>
        <v>0</v>
      </c>
      <c r="M165" s="551">
        <f t="shared" si="2"/>
        <v>0</v>
      </c>
      <c r="N165" s="449">
        <f t="shared" si="3"/>
        <v>0</v>
      </c>
      <c r="O165" s="551">
        <f>IF(H165=0,0,(VLOOKUP(H165,'PO MTRL'!$G$9:$S1518,5,0)))</f>
        <v>0</v>
      </c>
      <c r="P165" s="551">
        <f>IF(H165=0,0,(VLOOKUP(H165,'PO MTRL'!$G$9:$S1518,7,0)))</f>
        <v>0</v>
      </c>
      <c r="Q165" s="551">
        <f t="shared" si="4"/>
        <v>0</v>
      </c>
      <c r="R165" s="551">
        <f t="shared" si="5"/>
        <v>0</v>
      </c>
      <c r="S165" s="550">
        <f>IF(C165=0,0,(VLOOKUP(C165,'PO MTRL'!$B$9:$S1518,17,0)))</f>
        <v>0</v>
      </c>
      <c r="T165" s="553"/>
      <c r="U165" s="554">
        <f>IF(C165=0,0,(VLOOKUP(C165,'PO MTRL'!$B$9:$S1518,18,0)))</f>
        <v>0</v>
      </c>
      <c r="V165" s="16"/>
      <c r="W165" s="119" t="str">
        <f t="shared" si="6"/>
        <v/>
      </c>
      <c r="X165" s="564">
        <f t="shared" si="7"/>
        <v>0</v>
      </c>
      <c r="Y165" s="119"/>
      <c r="Z165" s="119"/>
      <c r="AA165" s="530">
        <f>IFERROR(__xludf.DUMMYFUNCTION("""COMPUTED_VALUE"""),157.0)</f>
        <v>157</v>
      </c>
      <c r="AB165" s="119"/>
      <c r="AC165" s="119"/>
      <c r="AD165" s="119"/>
      <c r="AE165" s="119"/>
      <c r="AF165" s="119"/>
      <c r="AG165" s="555" t="str">
        <f t="shared" si="8"/>
        <v>  ---&gt;     ---&gt;   </v>
      </c>
      <c r="AH165" s="16"/>
      <c r="AI165" s="439"/>
      <c r="AJ165" s="439"/>
      <c r="AK165" s="439"/>
    </row>
    <row r="166" ht="18.75" customHeight="1">
      <c r="A166" s="439"/>
      <c r="B166" s="546"/>
      <c r="C166" s="547"/>
      <c r="D166" s="446">
        <f>IF(C166=0,0,(VLOOKUP(C166,'PO MTRL'!$B$9:$S1518,2,0)))</f>
        <v>0</v>
      </c>
      <c r="E166" s="548" t="str">
        <f>IF(C166="","",(VLOOKUP(C166,'PO MTRL'!$B$9:$S1518,3,0)))</f>
        <v/>
      </c>
      <c r="F166" s="549">
        <f>IF(C166=0,0,(VLOOKUP(C166,'PO MTRL'!$B$9:$S1518,4,0)))</f>
        <v>0</v>
      </c>
      <c r="G166" s="444"/>
      <c r="H166" s="550">
        <f>IF(C166=0,0,(VLOOKUP(C166,'PO MTRL'!$B$9:$S1518,6,0)))</f>
        <v>0</v>
      </c>
      <c r="I166" s="446">
        <f>IF(C166=0,0,(VLOOKUP(C166,'PO MTRL'!$B$9:$S1518,7,0)))</f>
        <v>0</v>
      </c>
      <c r="J166" s="551">
        <f>IF(C166=0,0,(VLOOKUP(C166,'PO MTRL'!$B$9:$S1518,8,0)))</f>
        <v>0</v>
      </c>
      <c r="K166" s="559"/>
      <c r="L166" s="448">
        <f t="shared" si="1"/>
        <v>0</v>
      </c>
      <c r="M166" s="551">
        <f t="shared" si="2"/>
        <v>0</v>
      </c>
      <c r="N166" s="449">
        <f t="shared" si="3"/>
        <v>0</v>
      </c>
      <c r="O166" s="551">
        <f>IF(H166=0,0,(VLOOKUP(H166,'PO MTRL'!$G$9:$S1518,5,0)))</f>
        <v>0</v>
      </c>
      <c r="P166" s="551">
        <f>IF(H166=0,0,(VLOOKUP(H166,'PO MTRL'!$G$9:$S1518,7,0)))</f>
        <v>0</v>
      </c>
      <c r="Q166" s="551">
        <f t="shared" si="4"/>
        <v>0</v>
      </c>
      <c r="R166" s="551">
        <f t="shared" si="5"/>
        <v>0</v>
      </c>
      <c r="S166" s="550">
        <f>IF(C166=0,0,(VLOOKUP(C166,'PO MTRL'!$B$9:$S1518,17,0)))</f>
        <v>0</v>
      </c>
      <c r="T166" s="553"/>
      <c r="U166" s="554">
        <f>IF(C166=0,0,(VLOOKUP(C166,'PO MTRL'!$B$9:$S1518,18,0)))</f>
        <v>0</v>
      </c>
      <c r="V166" s="16"/>
      <c r="W166" s="119" t="str">
        <f t="shared" si="6"/>
        <v/>
      </c>
      <c r="X166" s="564">
        <f t="shared" si="7"/>
        <v>0</v>
      </c>
      <c r="Y166" s="119"/>
      <c r="Z166" s="119"/>
      <c r="AA166" s="530">
        <f>IFERROR(__xludf.DUMMYFUNCTION("""COMPUTED_VALUE"""),158.0)</f>
        <v>158</v>
      </c>
      <c r="AB166" s="119"/>
      <c r="AC166" s="119"/>
      <c r="AD166" s="119"/>
      <c r="AE166" s="119"/>
      <c r="AF166" s="119"/>
      <c r="AG166" s="555" t="str">
        <f t="shared" si="8"/>
        <v>  ---&gt;     ---&gt;   </v>
      </c>
      <c r="AH166" s="16"/>
      <c r="AI166" s="439"/>
      <c r="AJ166" s="439"/>
      <c r="AK166" s="439"/>
    </row>
    <row r="167" ht="18.75" customHeight="1">
      <c r="A167" s="439"/>
      <c r="B167" s="546"/>
      <c r="C167" s="547"/>
      <c r="D167" s="446">
        <f>IF(C167=0,0,(VLOOKUP(C167,'PO MTRL'!$B$9:$S1518,2,0)))</f>
        <v>0</v>
      </c>
      <c r="E167" s="548" t="str">
        <f>IF(C167="","",(VLOOKUP(C167,'PO MTRL'!$B$9:$S1518,3,0)))</f>
        <v/>
      </c>
      <c r="F167" s="549">
        <f>IF(C167=0,0,(VLOOKUP(C167,'PO MTRL'!$B$9:$S1518,4,0)))</f>
        <v>0</v>
      </c>
      <c r="G167" s="444"/>
      <c r="H167" s="550">
        <f>IF(C167=0,0,(VLOOKUP(C167,'PO MTRL'!$B$9:$S1518,6,0)))</f>
        <v>0</v>
      </c>
      <c r="I167" s="446">
        <f>IF(C167=0,0,(VLOOKUP(C167,'PO MTRL'!$B$9:$S1518,7,0)))</f>
        <v>0</v>
      </c>
      <c r="J167" s="551">
        <f>IF(C167=0,0,(VLOOKUP(C167,'PO MTRL'!$B$9:$S1518,8,0)))</f>
        <v>0</v>
      </c>
      <c r="K167" s="559"/>
      <c r="L167" s="448">
        <f t="shared" si="1"/>
        <v>0</v>
      </c>
      <c r="M167" s="551">
        <f t="shared" si="2"/>
        <v>0</v>
      </c>
      <c r="N167" s="449">
        <f t="shared" si="3"/>
        <v>0</v>
      </c>
      <c r="O167" s="551">
        <f>IF(H167=0,0,(VLOOKUP(H167,'PO MTRL'!$G$9:$S1518,5,0)))</f>
        <v>0</v>
      </c>
      <c r="P167" s="551">
        <f>IF(H167=0,0,(VLOOKUP(H167,'PO MTRL'!$G$9:$S1518,7,0)))</f>
        <v>0</v>
      </c>
      <c r="Q167" s="551">
        <f t="shared" si="4"/>
        <v>0</v>
      </c>
      <c r="R167" s="551">
        <f t="shared" si="5"/>
        <v>0</v>
      </c>
      <c r="S167" s="550">
        <f>IF(C167=0,0,(VLOOKUP(C167,'PO MTRL'!$B$9:$S1518,17,0)))</f>
        <v>0</v>
      </c>
      <c r="T167" s="553"/>
      <c r="U167" s="554">
        <f>IF(C167=0,0,(VLOOKUP(C167,'PO MTRL'!$B$9:$S1518,18,0)))</f>
        <v>0</v>
      </c>
      <c r="V167" s="16"/>
      <c r="W167" s="119" t="str">
        <f t="shared" si="6"/>
        <v/>
      </c>
      <c r="X167" s="564">
        <f t="shared" si="7"/>
        <v>0</v>
      </c>
      <c r="Y167" s="119"/>
      <c r="Z167" s="119"/>
      <c r="AA167" s="530">
        <f>IFERROR(__xludf.DUMMYFUNCTION("""COMPUTED_VALUE"""),159.0)</f>
        <v>159</v>
      </c>
      <c r="AB167" s="119"/>
      <c r="AC167" s="119"/>
      <c r="AD167" s="119"/>
      <c r="AE167" s="119"/>
      <c r="AF167" s="119"/>
      <c r="AG167" s="555" t="str">
        <f t="shared" si="8"/>
        <v>  ---&gt;     ---&gt;   </v>
      </c>
      <c r="AH167" s="16"/>
      <c r="AI167" s="439"/>
      <c r="AJ167" s="439"/>
      <c r="AK167" s="439"/>
    </row>
    <row r="168" ht="18.75" customHeight="1">
      <c r="A168" s="439"/>
      <c r="B168" s="546"/>
      <c r="C168" s="547"/>
      <c r="D168" s="446">
        <f>IF(C168=0,0,(VLOOKUP(C168,'PO MTRL'!$B$9:$S1518,2,0)))</f>
        <v>0</v>
      </c>
      <c r="E168" s="548" t="str">
        <f>IF(C168="","",(VLOOKUP(C168,'PO MTRL'!$B$9:$S1518,3,0)))</f>
        <v/>
      </c>
      <c r="F168" s="549">
        <f>IF(C168=0,0,(VLOOKUP(C168,'PO MTRL'!$B$9:$S1518,4,0)))</f>
        <v>0</v>
      </c>
      <c r="G168" s="444"/>
      <c r="H168" s="550">
        <f>IF(C168=0,0,(VLOOKUP(C168,'PO MTRL'!$B$9:$S1518,6,0)))</f>
        <v>0</v>
      </c>
      <c r="I168" s="446">
        <f>IF(C168=0,0,(VLOOKUP(C168,'PO MTRL'!$B$9:$S1518,7,0)))</f>
        <v>0</v>
      </c>
      <c r="J168" s="551">
        <f>IF(C168=0,0,(VLOOKUP(C168,'PO MTRL'!$B$9:$S1518,8,0)))</f>
        <v>0</v>
      </c>
      <c r="K168" s="559"/>
      <c r="L168" s="448">
        <f t="shared" si="1"/>
        <v>0</v>
      </c>
      <c r="M168" s="551">
        <f t="shared" si="2"/>
        <v>0</v>
      </c>
      <c r="N168" s="449">
        <f t="shared" si="3"/>
        <v>0</v>
      </c>
      <c r="O168" s="551">
        <f>IF(H168=0,0,(VLOOKUP(H168,'PO MTRL'!$G$9:$S1518,5,0)))</f>
        <v>0</v>
      </c>
      <c r="P168" s="551">
        <f>IF(H168=0,0,(VLOOKUP(H168,'PO MTRL'!$G$9:$S1518,7,0)))</f>
        <v>0</v>
      </c>
      <c r="Q168" s="551">
        <f t="shared" si="4"/>
        <v>0</v>
      </c>
      <c r="R168" s="551">
        <f t="shared" si="5"/>
        <v>0</v>
      </c>
      <c r="S168" s="550">
        <f>IF(C168=0,0,(VLOOKUP(C168,'PO MTRL'!$B$9:$S1518,17,0)))</f>
        <v>0</v>
      </c>
      <c r="T168" s="553"/>
      <c r="U168" s="554">
        <f>IF(C168=0,0,(VLOOKUP(C168,'PO MTRL'!$B$9:$S1518,18,0)))</f>
        <v>0</v>
      </c>
      <c r="V168" s="16"/>
      <c r="W168" s="119" t="str">
        <f t="shared" si="6"/>
        <v/>
      </c>
      <c r="X168" s="564">
        <f t="shared" si="7"/>
        <v>0</v>
      </c>
      <c r="Y168" s="119"/>
      <c r="Z168" s="119"/>
      <c r="AA168" s="530">
        <f>IFERROR(__xludf.DUMMYFUNCTION("""COMPUTED_VALUE"""),160.0)</f>
        <v>160</v>
      </c>
      <c r="AB168" s="119"/>
      <c r="AC168" s="119"/>
      <c r="AD168" s="119"/>
      <c r="AE168" s="119"/>
      <c r="AF168" s="119"/>
      <c r="AG168" s="555" t="str">
        <f t="shared" si="8"/>
        <v>  ---&gt;     ---&gt;   </v>
      </c>
      <c r="AH168" s="16"/>
      <c r="AI168" s="439"/>
      <c r="AJ168" s="439"/>
      <c r="AK168" s="439"/>
    </row>
    <row r="169" ht="18.75" customHeight="1">
      <c r="A169" s="439"/>
      <c r="B169" s="546"/>
      <c r="C169" s="547"/>
      <c r="D169" s="446">
        <f>IF(C169=0,0,(VLOOKUP(C169,'PO MTRL'!$B$9:$S1518,2,0)))</f>
        <v>0</v>
      </c>
      <c r="E169" s="548" t="str">
        <f>IF(C169="","",(VLOOKUP(C169,'PO MTRL'!$B$9:$S1518,3,0)))</f>
        <v/>
      </c>
      <c r="F169" s="549">
        <f>IF(C169=0,0,(VLOOKUP(C169,'PO MTRL'!$B$9:$S1518,4,0)))</f>
        <v>0</v>
      </c>
      <c r="G169" s="444"/>
      <c r="H169" s="550">
        <f>IF(C169=0,0,(VLOOKUP(C169,'PO MTRL'!$B$9:$S1518,6,0)))</f>
        <v>0</v>
      </c>
      <c r="I169" s="446">
        <f>IF(C169=0,0,(VLOOKUP(C169,'PO MTRL'!$B$9:$S1518,7,0)))</f>
        <v>0</v>
      </c>
      <c r="J169" s="551">
        <f>IF(C169=0,0,(VLOOKUP(C169,'PO MTRL'!$B$9:$S1518,8,0)))</f>
        <v>0</v>
      </c>
      <c r="K169" s="559"/>
      <c r="L169" s="448">
        <f t="shared" si="1"/>
        <v>0</v>
      </c>
      <c r="M169" s="551">
        <f t="shared" si="2"/>
        <v>0</v>
      </c>
      <c r="N169" s="449">
        <f t="shared" si="3"/>
        <v>0</v>
      </c>
      <c r="O169" s="551">
        <f>IF(H169=0,0,(VLOOKUP(H169,'PO MTRL'!$G$9:$S1518,5,0)))</f>
        <v>0</v>
      </c>
      <c r="P169" s="551">
        <f>IF(H169=0,0,(VLOOKUP(H169,'PO MTRL'!$G$9:$S1518,7,0)))</f>
        <v>0</v>
      </c>
      <c r="Q169" s="551">
        <f t="shared" si="4"/>
        <v>0</v>
      </c>
      <c r="R169" s="551">
        <f t="shared" si="5"/>
        <v>0</v>
      </c>
      <c r="S169" s="550">
        <f>IF(C169=0,0,(VLOOKUP(C169,'PO MTRL'!$B$9:$S1518,17,0)))</f>
        <v>0</v>
      </c>
      <c r="T169" s="553"/>
      <c r="U169" s="554">
        <f>IF(C169=0,0,(VLOOKUP(C169,'PO MTRL'!$B$9:$S1518,18,0)))</f>
        <v>0</v>
      </c>
      <c r="V169" s="16"/>
      <c r="W169" s="119" t="str">
        <f t="shared" si="6"/>
        <v/>
      </c>
      <c r="X169" s="564">
        <f t="shared" si="7"/>
        <v>0</v>
      </c>
      <c r="Y169" s="119"/>
      <c r="Z169" s="119"/>
      <c r="AA169" s="530">
        <f>IFERROR(__xludf.DUMMYFUNCTION("""COMPUTED_VALUE"""),161.0)</f>
        <v>161</v>
      </c>
      <c r="AB169" s="119"/>
      <c r="AC169" s="119"/>
      <c r="AD169" s="119"/>
      <c r="AE169" s="119"/>
      <c r="AF169" s="119"/>
      <c r="AG169" s="555" t="str">
        <f t="shared" si="8"/>
        <v>  ---&gt;     ---&gt;   </v>
      </c>
      <c r="AH169" s="16"/>
      <c r="AI169" s="439"/>
      <c r="AJ169" s="439"/>
      <c r="AK169" s="439"/>
    </row>
    <row r="170" ht="18.75" customHeight="1">
      <c r="A170" s="439"/>
      <c r="B170" s="546"/>
      <c r="C170" s="547"/>
      <c r="D170" s="446">
        <f>IF(C170=0,0,(VLOOKUP(C170,'PO MTRL'!$B$9:$S1518,2,0)))</f>
        <v>0</v>
      </c>
      <c r="E170" s="548" t="str">
        <f>IF(C170="","",(VLOOKUP(C170,'PO MTRL'!$B$9:$S1518,3,0)))</f>
        <v/>
      </c>
      <c r="F170" s="549">
        <f>IF(C170=0,0,(VLOOKUP(C170,'PO MTRL'!$B$9:$S1518,4,0)))</f>
        <v>0</v>
      </c>
      <c r="G170" s="444"/>
      <c r="H170" s="550">
        <f>IF(C170=0,0,(VLOOKUP(C170,'PO MTRL'!$B$9:$S1518,6,0)))</f>
        <v>0</v>
      </c>
      <c r="I170" s="446">
        <f>IF(C170=0,0,(VLOOKUP(C170,'PO MTRL'!$B$9:$S1518,7,0)))</f>
        <v>0</v>
      </c>
      <c r="J170" s="551">
        <f>IF(C170=0,0,(VLOOKUP(C170,'PO MTRL'!$B$9:$S1518,8,0)))</f>
        <v>0</v>
      </c>
      <c r="K170" s="559"/>
      <c r="L170" s="448">
        <f t="shared" si="1"/>
        <v>0</v>
      </c>
      <c r="M170" s="551">
        <f t="shared" si="2"/>
        <v>0</v>
      </c>
      <c r="N170" s="449">
        <f t="shared" si="3"/>
        <v>0</v>
      </c>
      <c r="O170" s="551">
        <f>IF(H170=0,0,(VLOOKUP(H170,'PO MTRL'!$G$9:$S1518,5,0)))</f>
        <v>0</v>
      </c>
      <c r="P170" s="551">
        <f>IF(H170=0,0,(VLOOKUP(H170,'PO MTRL'!$G$9:$S1518,7,0)))</f>
        <v>0</v>
      </c>
      <c r="Q170" s="551">
        <f t="shared" si="4"/>
        <v>0</v>
      </c>
      <c r="R170" s="551">
        <f t="shared" si="5"/>
        <v>0</v>
      </c>
      <c r="S170" s="550">
        <f>IF(C170=0,0,(VLOOKUP(C170,'PO MTRL'!$B$9:$S1518,17,0)))</f>
        <v>0</v>
      </c>
      <c r="T170" s="553"/>
      <c r="U170" s="554">
        <f>IF(C170=0,0,(VLOOKUP(C170,'PO MTRL'!$B$9:$S1518,18,0)))</f>
        <v>0</v>
      </c>
      <c r="V170" s="16"/>
      <c r="W170" s="119" t="str">
        <f t="shared" si="6"/>
        <v/>
      </c>
      <c r="X170" s="564">
        <f t="shared" si="7"/>
        <v>0</v>
      </c>
      <c r="Y170" s="119"/>
      <c r="Z170" s="119"/>
      <c r="AA170" s="530">
        <f>IFERROR(__xludf.DUMMYFUNCTION("""COMPUTED_VALUE"""),162.0)</f>
        <v>162</v>
      </c>
      <c r="AB170" s="119"/>
      <c r="AC170" s="119"/>
      <c r="AD170" s="119"/>
      <c r="AE170" s="119"/>
      <c r="AF170" s="119"/>
      <c r="AG170" s="555" t="str">
        <f t="shared" si="8"/>
        <v>  ---&gt;     ---&gt;   </v>
      </c>
      <c r="AH170" s="16"/>
      <c r="AI170" s="439"/>
      <c r="AJ170" s="439"/>
      <c r="AK170" s="439"/>
    </row>
    <row r="171" ht="18.75" customHeight="1">
      <c r="A171" s="439"/>
      <c r="B171" s="546"/>
      <c r="C171" s="547"/>
      <c r="D171" s="446">
        <f>IF(C171=0,0,(VLOOKUP(C171,'PO MTRL'!$B$9:$S1518,2,0)))</f>
        <v>0</v>
      </c>
      <c r="E171" s="548" t="str">
        <f>IF(C171="","",(VLOOKUP(C171,'PO MTRL'!$B$9:$S1518,3,0)))</f>
        <v/>
      </c>
      <c r="F171" s="549">
        <f>IF(C171=0,0,(VLOOKUP(C171,'PO MTRL'!$B$9:$S1518,4,0)))</f>
        <v>0</v>
      </c>
      <c r="G171" s="444"/>
      <c r="H171" s="550">
        <f>IF(C171=0,0,(VLOOKUP(C171,'PO MTRL'!$B$9:$S1518,6,0)))</f>
        <v>0</v>
      </c>
      <c r="I171" s="446">
        <f>IF(C171=0,0,(VLOOKUP(C171,'PO MTRL'!$B$9:$S1518,7,0)))</f>
        <v>0</v>
      </c>
      <c r="J171" s="551">
        <f>IF(C171=0,0,(VLOOKUP(C171,'PO MTRL'!$B$9:$S1518,8,0)))</f>
        <v>0</v>
      </c>
      <c r="K171" s="559"/>
      <c r="L171" s="448">
        <f t="shared" si="1"/>
        <v>0</v>
      </c>
      <c r="M171" s="551">
        <f t="shared" si="2"/>
        <v>0</v>
      </c>
      <c r="N171" s="449">
        <f t="shared" si="3"/>
        <v>0</v>
      </c>
      <c r="O171" s="551">
        <f>IF(H171=0,0,(VLOOKUP(H171,'PO MTRL'!$G$9:$S1518,5,0)))</f>
        <v>0</v>
      </c>
      <c r="P171" s="551">
        <f>IF(H171=0,0,(VLOOKUP(H171,'PO MTRL'!$G$9:$S1518,7,0)))</f>
        <v>0</v>
      </c>
      <c r="Q171" s="551">
        <f t="shared" si="4"/>
        <v>0</v>
      </c>
      <c r="R171" s="551">
        <f t="shared" si="5"/>
        <v>0</v>
      </c>
      <c r="S171" s="550">
        <f>IF(C171=0,0,(VLOOKUP(C171,'PO MTRL'!$B$9:$S1518,17,0)))</f>
        <v>0</v>
      </c>
      <c r="T171" s="553"/>
      <c r="U171" s="554">
        <f>IF(C171=0,0,(VLOOKUP(C171,'PO MTRL'!$B$9:$S1518,18,0)))</f>
        <v>0</v>
      </c>
      <c r="V171" s="16"/>
      <c r="W171" s="119" t="str">
        <f t="shared" si="6"/>
        <v/>
      </c>
      <c r="X171" s="564">
        <f t="shared" si="7"/>
        <v>0</v>
      </c>
      <c r="Y171" s="119"/>
      <c r="Z171" s="119"/>
      <c r="AA171" s="530">
        <f>IFERROR(__xludf.DUMMYFUNCTION("""COMPUTED_VALUE"""),163.0)</f>
        <v>163</v>
      </c>
      <c r="AB171" s="119"/>
      <c r="AC171" s="119"/>
      <c r="AD171" s="119"/>
      <c r="AE171" s="119"/>
      <c r="AF171" s="119"/>
      <c r="AG171" s="555" t="str">
        <f t="shared" si="8"/>
        <v>  ---&gt;     ---&gt;   </v>
      </c>
      <c r="AH171" s="16"/>
      <c r="AI171" s="439"/>
      <c r="AJ171" s="439"/>
      <c r="AK171" s="439"/>
    </row>
    <row r="172" ht="18.75" customHeight="1">
      <c r="A172" s="439"/>
      <c r="B172" s="546"/>
      <c r="C172" s="547"/>
      <c r="D172" s="446">
        <f>IF(C172=0,0,(VLOOKUP(C172,'PO MTRL'!$B$9:$S1518,2,0)))</f>
        <v>0</v>
      </c>
      <c r="E172" s="548" t="str">
        <f>IF(C172="","",(VLOOKUP(C172,'PO MTRL'!$B$9:$S1518,3,0)))</f>
        <v/>
      </c>
      <c r="F172" s="549">
        <f>IF(C172=0,0,(VLOOKUP(C172,'PO MTRL'!$B$9:$S1518,4,0)))</f>
        <v>0</v>
      </c>
      <c r="G172" s="444"/>
      <c r="H172" s="550">
        <f>IF(C172=0,0,(VLOOKUP(C172,'PO MTRL'!$B$9:$S1518,6,0)))</f>
        <v>0</v>
      </c>
      <c r="I172" s="446">
        <f>IF(C172=0,0,(VLOOKUP(C172,'PO MTRL'!$B$9:$S1518,7,0)))</f>
        <v>0</v>
      </c>
      <c r="J172" s="551">
        <f>IF(C172=0,0,(VLOOKUP(C172,'PO MTRL'!$B$9:$S1518,8,0)))</f>
        <v>0</v>
      </c>
      <c r="K172" s="559"/>
      <c r="L172" s="448">
        <f t="shared" si="1"/>
        <v>0</v>
      </c>
      <c r="M172" s="551">
        <f t="shared" si="2"/>
        <v>0</v>
      </c>
      <c r="N172" s="449">
        <f t="shared" si="3"/>
        <v>0</v>
      </c>
      <c r="O172" s="551">
        <f>IF(H172=0,0,(VLOOKUP(H172,'PO MTRL'!$G$9:$S1518,5,0)))</f>
        <v>0</v>
      </c>
      <c r="P172" s="551">
        <f>IF(H172=0,0,(VLOOKUP(H172,'PO MTRL'!$G$9:$S1518,7,0)))</f>
        <v>0</v>
      </c>
      <c r="Q172" s="551">
        <f t="shared" si="4"/>
        <v>0</v>
      </c>
      <c r="R172" s="551">
        <f t="shared" si="5"/>
        <v>0</v>
      </c>
      <c r="S172" s="550">
        <f>IF(C172=0,0,(VLOOKUP(C172,'PO MTRL'!$B$9:$S1518,17,0)))</f>
        <v>0</v>
      </c>
      <c r="T172" s="553"/>
      <c r="U172" s="554">
        <f>IF(C172=0,0,(VLOOKUP(C172,'PO MTRL'!$B$9:$S1518,18,0)))</f>
        <v>0</v>
      </c>
      <c r="V172" s="16"/>
      <c r="W172" s="119" t="str">
        <f t="shared" si="6"/>
        <v/>
      </c>
      <c r="X172" s="564">
        <f t="shared" si="7"/>
        <v>0</v>
      </c>
      <c r="Y172" s="119"/>
      <c r="Z172" s="119"/>
      <c r="AA172" s="530">
        <f>IFERROR(__xludf.DUMMYFUNCTION("""COMPUTED_VALUE"""),164.0)</f>
        <v>164</v>
      </c>
      <c r="AB172" s="119"/>
      <c r="AC172" s="119"/>
      <c r="AD172" s="119"/>
      <c r="AE172" s="119"/>
      <c r="AF172" s="119"/>
      <c r="AG172" s="555" t="str">
        <f t="shared" si="8"/>
        <v>  ---&gt;     ---&gt;   </v>
      </c>
      <c r="AH172" s="16"/>
      <c r="AI172" s="439"/>
      <c r="AJ172" s="439"/>
      <c r="AK172" s="439"/>
    </row>
    <row r="173" ht="18.75" customHeight="1">
      <c r="A173" s="439"/>
      <c r="B173" s="546"/>
      <c r="C173" s="547"/>
      <c r="D173" s="446">
        <f>IF(C173=0,0,(VLOOKUP(C173,'PO MTRL'!$B$9:$S1518,2,0)))</f>
        <v>0</v>
      </c>
      <c r="E173" s="548" t="str">
        <f>IF(C173="","",(VLOOKUP(C173,'PO MTRL'!$B$9:$S1518,3,0)))</f>
        <v/>
      </c>
      <c r="F173" s="549">
        <f>IF(C173=0,0,(VLOOKUP(C173,'PO MTRL'!$B$9:$S1518,4,0)))</f>
        <v>0</v>
      </c>
      <c r="G173" s="444"/>
      <c r="H173" s="550">
        <f>IF(C173=0,0,(VLOOKUP(C173,'PO MTRL'!$B$9:$S1518,6,0)))</f>
        <v>0</v>
      </c>
      <c r="I173" s="446">
        <f>IF(C173=0,0,(VLOOKUP(C173,'PO MTRL'!$B$9:$S1518,7,0)))</f>
        <v>0</v>
      </c>
      <c r="J173" s="551">
        <f>IF(C173=0,0,(VLOOKUP(C173,'PO MTRL'!$B$9:$S1518,8,0)))</f>
        <v>0</v>
      </c>
      <c r="K173" s="559"/>
      <c r="L173" s="448">
        <f t="shared" si="1"/>
        <v>0</v>
      </c>
      <c r="M173" s="551">
        <f t="shared" si="2"/>
        <v>0</v>
      </c>
      <c r="N173" s="449">
        <f t="shared" si="3"/>
        <v>0</v>
      </c>
      <c r="O173" s="551">
        <f>IF(H173=0,0,(VLOOKUP(H173,'PO MTRL'!$G$9:$S1518,5,0)))</f>
        <v>0</v>
      </c>
      <c r="P173" s="551">
        <f>IF(H173=0,0,(VLOOKUP(H173,'PO MTRL'!$G$9:$S1518,7,0)))</f>
        <v>0</v>
      </c>
      <c r="Q173" s="551">
        <f t="shared" si="4"/>
        <v>0</v>
      </c>
      <c r="R173" s="551">
        <f t="shared" si="5"/>
        <v>0</v>
      </c>
      <c r="S173" s="550">
        <f>IF(C173=0,0,(VLOOKUP(C173,'PO MTRL'!$B$9:$S1518,17,0)))</f>
        <v>0</v>
      </c>
      <c r="T173" s="553"/>
      <c r="U173" s="554">
        <f>IF(C173=0,0,(VLOOKUP(C173,'PO MTRL'!$B$9:$S1518,18,0)))</f>
        <v>0</v>
      </c>
      <c r="V173" s="16"/>
      <c r="W173" s="119" t="str">
        <f t="shared" si="6"/>
        <v/>
      </c>
      <c r="X173" s="564">
        <f t="shared" si="7"/>
        <v>0</v>
      </c>
      <c r="Y173" s="119"/>
      <c r="Z173" s="119"/>
      <c r="AA173" s="530">
        <f>IFERROR(__xludf.DUMMYFUNCTION("""COMPUTED_VALUE"""),165.0)</f>
        <v>165</v>
      </c>
      <c r="AB173" s="119"/>
      <c r="AC173" s="119"/>
      <c r="AD173" s="119"/>
      <c r="AE173" s="119"/>
      <c r="AF173" s="119"/>
      <c r="AG173" s="555" t="str">
        <f t="shared" si="8"/>
        <v>  ---&gt;     ---&gt;   </v>
      </c>
      <c r="AH173" s="16"/>
      <c r="AI173" s="439"/>
      <c r="AJ173" s="439"/>
      <c r="AK173" s="439"/>
    </row>
    <row r="174" ht="18.75" customHeight="1">
      <c r="A174" s="439"/>
      <c r="B174" s="546"/>
      <c r="C174" s="547"/>
      <c r="D174" s="446">
        <f>IF(C174=0,0,(VLOOKUP(C174,'PO MTRL'!$B$9:$S1518,2,0)))</f>
        <v>0</v>
      </c>
      <c r="E174" s="548" t="str">
        <f>IF(C174="","",(VLOOKUP(C174,'PO MTRL'!$B$9:$S1518,3,0)))</f>
        <v/>
      </c>
      <c r="F174" s="549">
        <f>IF(C174=0,0,(VLOOKUP(C174,'PO MTRL'!$B$9:$S1518,4,0)))</f>
        <v>0</v>
      </c>
      <c r="G174" s="444"/>
      <c r="H174" s="550">
        <f>IF(C174=0,0,(VLOOKUP(C174,'PO MTRL'!$B$9:$S1518,6,0)))</f>
        <v>0</v>
      </c>
      <c r="I174" s="446">
        <f>IF(C174=0,0,(VLOOKUP(C174,'PO MTRL'!$B$9:$S1518,7,0)))</f>
        <v>0</v>
      </c>
      <c r="J174" s="551">
        <f>IF(C174=0,0,(VLOOKUP(C174,'PO MTRL'!$B$9:$S1518,8,0)))</f>
        <v>0</v>
      </c>
      <c r="K174" s="559"/>
      <c r="L174" s="448">
        <f t="shared" si="1"/>
        <v>0</v>
      </c>
      <c r="M174" s="551">
        <f t="shared" si="2"/>
        <v>0</v>
      </c>
      <c r="N174" s="449">
        <f t="shared" si="3"/>
        <v>0</v>
      </c>
      <c r="O174" s="551">
        <f>IF(H174=0,0,(VLOOKUP(H174,'PO MTRL'!$G$9:$S1518,5,0)))</f>
        <v>0</v>
      </c>
      <c r="P174" s="551">
        <f>IF(H174=0,0,(VLOOKUP(H174,'PO MTRL'!$G$9:$S1518,7,0)))</f>
        <v>0</v>
      </c>
      <c r="Q174" s="551">
        <f t="shared" si="4"/>
        <v>0</v>
      </c>
      <c r="R174" s="551">
        <f t="shared" si="5"/>
        <v>0</v>
      </c>
      <c r="S174" s="550">
        <f>IF(C174=0,0,(VLOOKUP(C174,'PO MTRL'!$B$9:$S1518,17,0)))</f>
        <v>0</v>
      </c>
      <c r="T174" s="553"/>
      <c r="U174" s="554">
        <f>IF(C174=0,0,(VLOOKUP(C174,'PO MTRL'!$B$9:$S1518,18,0)))</f>
        <v>0</v>
      </c>
      <c r="V174" s="16"/>
      <c r="W174" s="119" t="str">
        <f t="shared" si="6"/>
        <v/>
      </c>
      <c r="X174" s="564">
        <f t="shared" si="7"/>
        <v>0</v>
      </c>
      <c r="Y174" s="119"/>
      <c r="Z174" s="119"/>
      <c r="AA174" s="530">
        <f>IFERROR(__xludf.DUMMYFUNCTION("""COMPUTED_VALUE"""),166.0)</f>
        <v>166</v>
      </c>
      <c r="AB174" s="119"/>
      <c r="AC174" s="119"/>
      <c r="AD174" s="119"/>
      <c r="AE174" s="119"/>
      <c r="AF174" s="119"/>
      <c r="AG174" s="555" t="str">
        <f t="shared" si="8"/>
        <v>  ---&gt;     ---&gt;   </v>
      </c>
      <c r="AH174" s="16"/>
      <c r="AI174" s="439"/>
      <c r="AJ174" s="439"/>
      <c r="AK174" s="439"/>
    </row>
    <row r="175" ht="18.75" customHeight="1">
      <c r="A175" s="439"/>
      <c r="B175" s="546"/>
      <c r="C175" s="547"/>
      <c r="D175" s="446">
        <f>IF(C175=0,0,(VLOOKUP(C175,'PO MTRL'!$B$9:$S1518,2,0)))</f>
        <v>0</v>
      </c>
      <c r="E175" s="548" t="str">
        <f>IF(C175="","",(VLOOKUP(C175,'PO MTRL'!$B$9:$S1518,3,0)))</f>
        <v/>
      </c>
      <c r="F175" s="549">
        <f>IF(C175=0,0,(VLOOKUP(C175,'PO MTRL'!$B$9:$S1518,4,0)))</f>
        <v>0</v>
      </c>
      <c r="G175" s="444"/>
      <c r="H175" s="550">
        <f>IF(C175=0,0,(VLOOKUP(C175,'PO MTRL'!$B$9:$S1518,6,0)))</f>
        <v>0</v>
      </c>
      <c r="I175" s="446">
        <f>IF(C175=0,0,(VLOOKUP(C175,'PO MTRL'!$B$9:$S1518,7,0)))</f>
        <v>0</v>
      </c>
      <c r="J175" s="551">
        <f>IF(C175=0,0,(VLOOKUP(C175,'PO MTRL'!$B$9:$S1518,8,0)))</f>
        <v>0</v>
      </c>
      <c r="K175" s="559"/>
      <c r="L175" s="448">
        <f t="shared" si="1"/>
        <v>0</v>
      </c>
      <c r="M175" s="551">
        <f t="shared" si="2"/>
        <v>0</v>
      </c>
      <c r="N175" s="449">
        <f t="shared" si="3"/>
        <v>0</v>
      </c>
      <c r="O175" s="551">
        <f>IF(H175=0,0,(VLOOKUP(H175,'PO MTRL'!$G$9:$S1518,5,0)))</f>
        <v>0</v>
      </c>
      <c r="P175" s="551">
        <f>IF(H175=0,0,(VLOOKUP(H175,'PO MTRL'!$G$9:$S1518,7,0)))</f>
        <v>0</v>
      </c>
      <c r="Q175" s="551">
        <f t="shared" si="4"/>
        <v>0</v>
      </c>
      <c r="R175" s="551">
        <f t="shared" si="5"/>
        <v>0</v>
      </c>
      <c r="S175" s="550">
        <f>IF(C175=0,0,(VLOOKUP(C175,'PO MTRL'!$B$9:$S1518,17,0)))</f>
        <v>0</v>
      </c>
      <c r="T175" s="553"/>
      <c r="U175" s="554">
        <f>IF(C175=0,0,(VLOOKUP(C175,'PO MTRL'!$B$9:$S1518,18,0)))</f>
        <v>0</v>
      </c>
      <c r="V175" s="16"/>
      <c r="W175" s="119" t="str">
        <f t="shared" si="6"/>
        <v/>
      </c>
      <c r="X175" s="564">
        <f t="shared" si="7"/>
        <v>0</v>
      </c>
      <c r="Y175" s="119"/>
      <c r="Z175" s="119"/>
      <c r="AA175" s="530">
        <f>IFERROR(__xludf.DUMMYFUNCTION("""COMPUTED_VALUE"""),167.0)</f>
        <v>167</v>
      </c>
      <c r="AB175" s="119"/>
      <c r="AC175" s="119"/>
      <c r="AD175" s="119"/>
      <c r="AE175" s="119"/>
      <c r="AF175" s="119"/>
      <c r="AG175" s="555" t="str">
        <f t="shared" si="8"/>
        <v>  ---&gt;     ---&gt;   </v>
      </c>
      <c r="AH175" s="16"/>
      <c r="AI175" s="439"/>
      <c r="AJ175" s="439"/>
      <c r="AK175" s="439"/>
    </row>
    <row r="176" ht="18.75" customHeight="1">
      <c r="A176" s="439"/>
      <c r="B176" s="546"/>
      <c r="C176" s="547"/>
      <c r="D176" s="446">
        <f>IF(C176=0,0,(VLOOKUP(C176,'PO MTRL'!$B$9:$S1518,2,0)))</f>
        <v>0</v>
      </c>
      <c r="E176" s="548" t="str">
        <f>IF(C176="","",(VLOOKUP(C176,'PO MTRL'!$B$9:$S1518,3,0)))</f>
        <v/>
      </c>
      <c r="F176" s="549">
        <f>IF(C176=0,0,(VLOOKUP(C176,'PO MTRL'!$B$9:$S1518,4,0)))</f>
        <v>0</v>
      </c>
      <c r="G176" s="444"/>
      <c r="H176" s="550">
        <f>IF(C176=0,0,(VLOOKUP(C176,'PO MTRL'!$B$9:$S1518,6,0)))</f>
        <v>0</v>
      </c>
      <c r="I176" s="446">
        <f>IF(C176=0,0,(VLOOKUP(C176,'PO MTRL'!$B$9:$S1518,7,0)))</f>
        <v>0</v>
      </c>
      <c r="J176" s="551">
        <f>IF(C176=0,0,(VLOOKUP(C176,'PO MTRL'!$B$9:$S1518,8,0)))</f>
        <v>0</v>
      </c>
      <c r="K176" s="559"/>
      <c r="L176" s="448">
        <f t="shared" si="1"/>
        <v>0</v>
      </c>
      <c r="M176" s="551">
        <f t="shared" si="2"/>
        <v>0</v>
      </c>
      <c r="N176" s="449">
        <f t="shared" si="3"/>
        <v>0</v>
      </c>
      <c r="O176" s="551">
        <f>IF(H176=0,0,(VLOOKUP(H176,'PO MTRL'!$G$9:$S1518,5,0)))</f>
        <v>0</v>
      </c>
      <c r="P176" s="551">
        <f>IF(H176=0,0,(VLOOKUP(H176,'PO MTRL'!$G$9:$S1518,7,0)))</f>
        <v>0</v>
      </c>
      <c r="Q176" s="551">
        <f t="shared" si="4"/>
        <v>0</v>
      </c>
      <c r="R176" s="551">
        <f t="shared" si="5"/>
        <v>0</v>
      </c>
      <c r="S176" s="550">
        <f>IF(C176=0,0,(VLOOKUP(C176,'PO MTRL'!$B$9:$S1518,17,0)))</f>
        <v>0</v>
      </c>
      <c r="T176" s="553"/>
      <c r="U176" s="554">
        <f>IF(C176=0,0,(VLOOKUP(C176,'PO MTRL'!$B$9:$S1518,18,0)))</f>
        <v>0</v>
      </c>
      <c r="V176" s="16"/>
      <c r="W176" s="119" t="str">
        <f t="shared" si="6"/>
        <v/>
      </c>
      <c r="X176" s="564">
        <f t="shared" si="7"/>
        <v>0</v>
      </c>
      <c r="Y176" s="119"/>
      <c r="Z176" s="119"/>
      <c r="AA176" s="530">
        <f>IFERROR(__xludf.DUMMYFUNCTION("""COMPUTED_VALUE"""),168.0)</f>
        <v>168</v>
      </c>
      <c r="AB176" s="119"/>
      <c r="AC176" s="119"/>
      <c r="AD176" s="119"/>
      <c r="AE176" s="119"/>
      <c r="AF176" s="119"/>
      <c r="AG176" s="555" t="str">
        <f t="shared" si="8"/>
        <v>  ---&gt;     ---&gt;   </v>
      </c>
      <c r="AH176" s="16"/>
      <c r="AI176" s="439"/>
      <c r="AJ176" s="439"/>
      <c r="AK176" s="439"/>
    </row>
    <row r="177" ht="18.75" customHeight="1">
      <c r="A177" s="439"/>
      <c r="B177" s="546"/>
      <c r="C177" s="547"/>
      <c r="D177" s="446">
        <f>IF(C177=0,0,(VLOOKUP(C177,'PO MTRL'!$B$9:$S1518,2,0)))</f>
        <v>0</v>
      </c>
      <c r="E177" s="548" t="str">
        <f>IF(C177="","",(VLOOKUP(C177,'PO MTRL'!$B$9:$S1518,3,0)))</f>
        <v/>
      </c>
      <c r="F177" s="549">
        <f>IF(C177=0,0,(VLOOKUP(C177,'PO MTRL'!$B$9:$S1518,4,0)))</f>
        <v>0</v>
      </c>
      <c r="G177" s="444"/>
      <c r="H177" s="550">
        <f>IF(C177=0,0,(VLOOKUP(C177,'PO MTRL'!$B$9:$S1518,6,0)))</f>
        <v>0</v>
      </c>
      <c r="I177" s="446">
        <f>IF(C177=0,0,(VLOOKUP(C177,'PO MTRL'!$B$9:$S1518,7,0)))</f>
        <v>0</v>
      </c>
      <c r="J177" s="551">
        <f>IF(C177=0,0,(VLOOKUP(C177,'PO MTRL'!$B$9:$S1518,8,0)))</f>
        <v>0</v>
      </c>
      <c r="K177" s="559"/>
      <c r="L177" s="448">
        <f t="shared" si="1"/>
        <v>0</v>
      </c>
      <c r="M177" s="551">
        <f t="shared" si="2"/>
        <v>0</v>
      </c>
      <c r="N177" s="449">
        <f t="shared" si="3"/>
        <v>0</v>
      </c>
      <c r="O177" s="551">
        <f>IF(H177=0,0,(VLOOKUP(H177,'PO MTRL'!$G$9:$S1518,5,0)))</f>
        <v>0</v>
      </c>
      <c r="P177" s="551">
        <f>IF(H177=0,0,(VLOOKUP(H177,'PO MTRL'!$G$9:$S1518,7,0)))</f>
        <v>0</v>
      </c>
      <c r="Q177" s="551">
        <f t="shared" si="4"/>
        <v>0</v>
      </c>
      <c r="R177" s="551">
        <f t="shared" si="5"/>
        <v>0</v>
      </c>
      <c r="S177" s="550">
        <f>IF(C177=0,0,(VLOOKUP(C177,'PO MTRL'!$B$9:$S1518,17,0)))</f>
        <v>0</v>
      </c>
      <c r="T177" s="553"/>
      <c r="U177" s="554">
        <f>IF(C177=0,0,(VLOOKUP(C177,'PO MTRL'!$B$9:$S1518,18,0)))</f>
        <v>0</v>
      </c>
      <c r="V177" s="16"/>
      <c r="W177" s="119" t="str">
        <f t="shared" si="6"/>
        <v/>
      </c>
      <c r="X177" s="564">
        <f t="shared" si="7"/>
        <v>0</v>
      </c>
      <c r="Y177" s="119"/>
      <c r="Z177" s="119"/>
      <c r="AA177" s="530">
        <f>IFERROR(__xludf.DUMMYFUNCTION("""COMPUTED_VALUE"""),169.0)</f>
        <v>169</v>
      </c>
      <c r="AB177" s="119"/>
      <c r="AC177" s="119"/>
      <c r="AD177" s="119"/>
      <c r="AE177" s="119"/>
      <c r="AF177" s="119"/>
      <c r="AG177" s="555" t="str">
        <f t="shared" si="8"/>
        <v>  ---&gt;     ---&gt;   </v>
      </c>
      <c r="AH177" s="16"/>
      <c r="AI177" s="439"/>
      <c r="AJ177" s="439"/>
      <c r="AK177" s="439"/>
    </row>
    <row r="178" ht="18.75" customHeight="1">
      <c r="A178" s="439"/>
      <c r="B178" s="546"/>
      <c r="C178" s="547"/>
      <c r="D178" s="446">
        <f>IF(C178=0,0,(VLOOKUP(C178,'PO MTRL'!$B$9:$S1518,2,0)))</f>
        <v>0</v>
      </c>
      <c r="E178" s="548" t="str">
        <f>IF(C178="","",(VLOOKUP(C178,'PO MTRL'!$B$9:$S1518,3,0)))</f>
        <v/>
      </c>
      <c r="F178" s="549">
        <f>IF(C178=0,0,(VLOOKUP(C178,'PO MTRL'!$B$9:$S1518,4,0)))</f>
        <v>0</v>
      </c>
      <c r="G178" s="444"/>
      <c r="H178" s="550">
        <f>IF(C178=0,0,(VLOOKUP(C178,'PO MTRL'!$B$9:$S1518,6,0)))</f>
        <v>0</v>
      </c>
      <c r="I178" s="446">
        <f>IF(C178=0,0,(VLOOKUP(C178,'PO MTRL'!$B$9:$S1518,7,0)))</f>
        <v>0</v>
      </c>
      <c r="J178" s="551">
        <f>IF(C178=0,0,(VLOOKUP(C178,'PO MTRL'!$B$9:$S1518,8,0)))</f>
        <v>0</v>
      </c>
      <c r="K178" s="559"/>
      <c r="L178" s="448">
        <f t="shared" si="1"/>
        <v>0</v>
      </c>
      <c r="M178" s="551">
        <f t="shared" si="2"/>
        <v>0</v>
      </c>
      <c r="N178" s="449">
        <f t="shared" si="3"/>
        <v>0</v>
      </c>
      <c r="O178" s="551">
        <f>IF(H178=0,0,(VLOOKUP(H178,'PO MTRL'!$G$9:$S1518,5,0)))</f>
        <v>0</v>
      </c>
      <c r="P178" s="551">
        <f>IF(H178=0,0,(VLOOKUP(H178,'PO MTRL'!$G$9:$S1518,7,0)))</f>
        <v>0</v>
      </c>
      <c r="Q178" s="551">
        <f t="shared" si="4"/>
        <v>0</v>
      </c>
      <c r="R178" s="551">
        <f t="shared" si="5"/>
        <v>0</v>
      </c>
      <c r="S178" s="550">
        <f>IF(C178=0,0,(VLOOKUP(C178,'PO MTRL'!$B$9:$S1518,17,0)))</f>
        <v>0</v>
      </c>
      <c r="T178" s="553"/>
      <c r="U178" s="554">
        <f>IF(C178=0,0,(VLOOKUP(C178,'PO MTRL'!$B$9:$S1518,18,0)))</f>
        <v>0</v>
      </c>
      <c r="V178" s="16"/>
      <c r="W178" s="119" t="str">
        <f t="shared" si="6"/>
        <v/>
      </c>
      <c r="X178" s="564">
        <f t="shared" si="7"/>
        <v>0</v>
      </c>
      <c r="Y178" s="119"/>
      <c r="Z178" s="119"/>
      <c r="AA178" s="530">
        <f>IFERROR(__xludf.DUMMYFUNCTION("""COMPUTED_VALUE"""),170.0)</f>
        <v>170</v>
      </c>
      <c r="AB178" s="119"/>
      <c r="AC178" s="119"/>
      <c r="AD178" s="119"/>
      <c r="AE178" s="119"/>
      <c r="AF178" s="119"/>
      <c r="AG178" s="555" t="str">
        <f t="shared" si="8"/>
        <v>  ---&gt;     ---&gt;   </v>
      </c>
      <c r="AH178" s="16"/>
      <c r="AI178" s="439"/>
      <c r="AJ178" s="439"/>
      <c r="AK178" s="439"/>
    </row>
    <row r="179" ht="18.75" customHeight="1">
      <c r="A179" s="439"/>
      <c r="B179" s="546"/>
      <c r="C179" s="547"/>
      <c r="D179" s="446">
        <f>IF(C179=0,0,(VLOOKUP(C179,'PO MTRL'!$B$9:$S1518,2,0)))</f>
        <v>0</v>
      </c>
      <c r="E179" s="548" t="str">
        <f>IF(C179="","",(VLOOKUP(C179,'PO MTRL'!$B$9:$S1518,3,0)))</f>
        <v/>
      </c>
      <c r="F179" s="549">
        <f>IF(C179=0,0,(VLOOKUP(C179,'PO MTRL'!$B$9:$S1518,4,0)))</f>
        <v>0</v>
      </c>
      <c r="G179" s="444"/>
      <c r="H179" s="550">
        <f>IF(C179=0,0,(VLOOKUP(C179,'PO MTRL'!$B$9:$S1518,6,0)))</f>
        <v>0</v>
      </c>
      <c r="I179" s="446">
        <f>IF(C179=0,0,(VLOOKUP(C179,'PO MTRL'!$B$9:$S1518,7,0)))</f>
        <v>0</v>
      </c>
      <c r="J179" s="551">
        <f>IF(C179=0,0,(VLOOKUP(C179,'PO MTRL'!$B$9:$S1518,8,0)))</f>
        <v>0</v>
      </c>
      <c r="K179" s="559"/>
      <c r="L179" s="448">
        <f t="shared" si="1"/>
        <v>0</v>
      </c>
      <c r="M179" s="551">
        <f t="shared" si="2"/>
        <v>0</v>
      </c>
      <c r="N179" s="449">
        <f t="shared" si="3"/>
        <v>0</v>
      </c>
      <c r="O179" s="551">
        <f>IF(H179=0,0,(VLOOKUP(H179,'PO MTRL'!$G$9:$S1518,5,0)))</f>
        <v>0</v>
      </c>
      <c r="P179" s="551">
        <f>IF(H179=0,0,(VLOOKUP(H179,'PO MTRL'!$G$9:$S1518,7,0)))</f>
        <v>0</v>
      </c>
      <c r="Q179" s="551">
        <f t="shared" si="4"/>
        <v>0</v>
      </c>
      <c r="R179" s="551">
        <f t="shared" si="5"/>
        <v>0</v>
      </c>
      <c r="S179" s="550">
        <f>IF(C179=0,0,(VLOOKUP(C179,'PO MTRL'!$B$9:$S1518,17,0)))</f>
        <v>0</v>
      </c>
      <c r="T179" s="553"/>
      <c r="U179" s="554">
        <f>IF(C179=0,0,(VLOOKUP(C179,'PO MTRL'!$B$9:$S1518,18,0)))</f>
        <v>0</v>
      </c>
      <c r="V179" s="16"/>
      <c r="W179" s="119" t="str">
        <f t="shared" si="6"/>
        <v/>
      </c>
      <c r="X179" s="564">
        <f t="shared" si="7"/>
        <v>0</v>
      </c>
      <c r="Y179" s="119"/>
      <c r="Z179" s="119"/>
      <c r="AA179" s="530">
        <f>IFERROR(__xludf.DUMMYFUNCTION("""COMPUTED_VALUE"""),171.0)</f>
        <v>171</v>
      </c>
      <c r="AB179" s="119"/>
      <c r="AC179" s="119"/>
      <c r="AD179" s="119"/>
      <c r="AE179" s="119"/>
      <c r="AF179" s="119"/>
      <c r="AG179" s="555" t="str">
        <f t="shared" si="8"/>
        <v>  ---&gt;     ---&gt;   </v>
      </c>
      <c r="AH179" s="16"/>
      <c r="AI179" s="439"/>
      <c r="AJ179" s="439"/>
      <c r="AK179" s="439"/>
    </row>
    <row r="180" ht="18.75" customHeight="1">
      <c r="A180" s="439"/>
      <c r="B180" s="546"/>
      <c r="C180" s="547"/>
      <c r="D180" s="446">
        <f>IF(C180=0,0,(VLOOKUP(C180,'PO MTRL'!$B$9:$S1518,2,0)))</f>
        <v>0</v>
      </c>
      <c r="E180" s="548" t="str">
        <f>IF(C180="","",(VLOOKUP(C180,'PO MTRL'!$B$9:$S1518,3,0)))</f>
        <v/>
      </c>
      <c r="F180" s="549">
        <f>IF(C180=0,0,(VLOOKUP(C180,'PO MTRL'!$B$9:$S1518,4,0)))</f>
        <v>0</v>
      </c>
      <c r="G180" s="444"/>
      <c r="H180" s="550">
        <f>IF(C180=0,0,(VLOOKUP(C180,'PO MTRL'!$B$9:$S1518,6,0)))</f>
        <v>0</v>
      </c>
      <c r="I180" s="446">
        <f>IF(C180=0,0,(VLOOKUP(C180,'PO MTRL'!$B$9:$S1518,7,0)))</f>
        <v>0</v>
      </c>
      <c r="J180" s="551">
        <f>IF(C180=0,0,(VLOOKUP(C180,'PO MTRL'!$B$9:$S1518,8,0)))</f>
        <v>0</v>
      </c>
      <c r="K180" s="559"/>
      <c r="L180" s="448">
        <f t="shared" si="1"/>
        <v>0</v>
      </c>
      <c r="M180" s="551">
        <f t="shared" si="2"/>
        <v>0</v>
      </c>
      <c r="N180" s="449">
        <f t="shared" si="3"/>
        <v>0</v>
      </c>
      <c r="O180" s="551">
        <f>IF(H180=0,0,(VLOOKUP(H180,'PO MTRL'!$G$9:$S1518,5,0)))</f>
        <v>0</v>
      </c>
      <c r="P180" s="551">
        <f>IF(H180=0,0,(VLOOKUP(H180,'PO MTRL'!$G$9:$S1518,7,0)))</f>
        <v>0</v>
      </c>
      <c r="Q180" s="551">
        <f t="shared" si="4"/>
        <v>0</v>
      </c>
      <c r="R180" s="551">
        <f t="shared" si="5"/>
        <v>0</v>
      </c>
      <c r="S180" s="550">
        <f>IF(C180=0,0,(VLOOKUP(C180,'PO MTRL'!$B$9:$S1518,17,0)))</f>
        <v>0</v>
      </c>
      <c r="T180" s="553"/>
      <c r="U180" s="554">
        <f>IF(C180=0,0,(VLOOKUP(C180,'PO MTRL'!$B$9:$S1518,18,0)))</f>
        <v>0</v>
      </c>
      <c r="V180" s="16"/>
      <c r="W180" s="119" t="str">
        <f t="shared" si="6"/>
        <v/>
      </c>
      <c r="X180" s="564">
        <f t="shared" si="7"/>
        <v>0</v>
      </c>
      <c r="Y180" s="119"/>
      <c r="Z180" s="119"/>
      <c r="AA180" s="530">
        <f>IFERROR(__xludf.DUMMYFUNCTION("""COMPUTED_VALUE"""),172.0)</f>
        <v>172</v>
      </c>
      <c r="AB180" s="119"/>
      <c r="AC180" s="119"/>
      <c r="AD180" s="119"/>
      <c r="AE180" s="119"/>
      <c r="AF180" s="119"/>
      <c r="AG180" s="555" t="str">
        <f t="shared" si="8"/>
        <v>  ---&gt;     ---&gt;   </v>
      </c>
      <c r="AH180" s="16"/>
      <c r="AI180" s="439"/>
      <c r="AJ180" s="439"/>
      <c r="AK180" s="439"/>
    </row>
    <row r="181" ht="18.75" customHeight="1">
      <c r="A181" s="439"/>
      <c r="B181" s="546"/>
      <c r="C181" s="547"/>
      <c r="D181" s="446">
        <f>IF(C181=0,0,(VLOOKUP(C181,'PO MTRL'!$B$9:$S1518,2,0)))</f>
        <v>0</v>
      </c>
      <c r="E181" s="548" t="str">
        <f>IF(C181="","",(VLOOKUP(C181,'PO MTRL'!$B$9:$S1518,3,0)))</f>
        <v/>
      </c>
      <c r="F181" s="549">
        <f>IF(C181=0,0,(VLOOKUP(C181,'PO MTRL'!$B$9:$S1518,4,0)))</f>
        <v>0</v>
      </c>
      <c r="G181" s="444"/>
      <c r="H181" s="550">
        <f>IF(C181=0,0,(VLOOKUP(C181,'PO MTRL'!$B$9:$S1518,6,0)))</f>
        <v>0</v>
      </c>
      <c r="I181" s="446">
        <f>IF(C181=0,0,(VLOOKUP(C181,'PO MTRL'!$B$9:$S1518,7,0)))</f>
        <v>0</v>
      </c>
      <c r="J181" s="551">
        <f>IF(C181=0,0,(VLOOKUP(C181,'PO MTRL'!$B$9:$S1518,8,0)))</f>
        <v>0</v>
      </c>
      <c r="K181" s="559"/>
      <c r="L181" s="448">
        <f t="shared" si="1"/>
        <v>0</v>
      </c>
      <c r="M181" s="551">
        <f t="shared" si="2"/>
        <v>0</v>
      </c>
      <c r="N181" s="449">
        <f t="shared" si="3"/>
        <v>0</v>
      </c>
      <c r="O181" s="551">
        <f>IF(H181=0,0,(VLOOKUP(H181,'PO MTRL'!$G$9:$S1518,5,0)))</f>
        <v>0</v>
      </c>
      <c r="P181" s="551">
        <f>IF(H181=0,0,(VLOOKUP(H181,'PO MTRL'!$G$9:$S1518,7,0)))</f>
        <v>0</v>
      </c>
      <c r="Q181" s="551">
        <f t="shared" si="4"/>
        <v>0</v>
      </c>
      <c r="R181" s="551">
        <f t="shared" si="5"/>
        <v>0</v>
      </c>
      <c r="S181" s="550">
        <f>IF(C181=0,0,(VLOOKUP(C181,'PO MTRL'!$B$9:$S1518,17,0)))</f>
        <v>0</v>
      </c>
      <c r="T181" s="553"/>
      <c r="U181" s="554">
        <f>IF(C181=0,0,(VLOOKUP(C181,'PO MTRL'!$B$9:$S1518,18,0)))</f>
        <v>0</v>
      </c>
      <c r="V181" s="16"/>
      <c r="W181" s="119" t="str">
        <f t="shared" si="6"/>
        <v/>
      </c>
      <c r="X181" s="564">
        <f t="shared" si="7"/>
        <v>0</v>
      </c>
      <c r="Y181" s="119"/>
      <c r="Z181" s="119"/>
      <c r="AA181" s="530">
        <f>IFERROR(__xludf.DUMMYFUNCTION("""COMPUTED_VALUE"""),173.0)</f>
        <v>173</v>
      </c>
      <c r="AB181" s="119"/>
      <c r="AC181" s="119"/>
      <c r="AD181" s="119"/>
      <c r="AE181" s="119"/>
      <c r="AF181" s="119"/>
      <c r="AG181" s="555" t="str">
        <f t="shared" si="8"/>
        <v>  ---&gt;     ---&gt;   </v>
      </c>
      <c r="AH181" s="16"/>
      <c r="AI181" s="439"/>
      <c r="AJ181" s="439"/>
      <c r="AK181" s="439"/>
    </row>
    <row r="182" ht="18.75" customHeight="1">
      <c r="A182" s="439"/>
      <c r="B182" s="546"/>
      <c r="C182" s="547"/>
      <c r="D182" s="446">
        <f>IF(C182=0,0,(VLOOKUP(C182,'PO MTRL'!$B$9:$S1518,2,0)))</f>
        <v>0</v>
      </c>
      <c r="E182" s="548" t="str">
        <f>IF(C182="","",(VLOOKUP(C182,'PO MTRL'!$B$9:$S1518,3,0)))</f>
        <v/>
      </c>
      <c r="F182" s="549">
        <f>IF(C182=0,0,(VLOOKUP(C182,'PO MTRL'!$B$9:$S1518,4,0)))</f>
        <v>0</v>
      </c>
      <c r="G182" s="444"/>
      <c r="H182" s="550">
        <f>IF(C182=0,0,(VLOOKUP(C182,'PO MTRL'!$B$9:$S1518,6,0)))</f>
        <v>0</v>
      </c>
      <c r="I182" s="446">
        <f>IF(C182=0,0,(VLOOKUP(C182,'PO MTRL'!$B$9:$S1518,7,0)))</f>
        <v>0</v>
      </c>
      <c r="J182" s="551">
        <f>IF(C182=0,0,(VLOOKUP(C182,'PO MTRL'!$B$9:$S1518,8,0)))</f>
        <v>0</v>
      </c>
      <c r="K182" s="559"/>
      <c r="L182" s="448">
        <f t="shared" si="1"/>
        <v>0</v>
      </c>
      <c r="M182" s="551">
        <f t="shared" si="2"/>
        <v>0</v>
      </c>
      <c r="N182" s="449">
        <f t="shared" si="3"/>
        <v>0</v>
      </c>
      <c r="O182" s="551">
        <f>IF(H182=0,0,(VLOOKUP(H182,'PO MTRL'!$G$9:$S1518,5,0)))</f>
        <v>0</v>
      </c>
      <c r="P182" s="551">
        <f>IF(H182=0,0,(VLOOKUP(H182,'PO MTRL'!$G$9:$S1518,7,0)))</f>
        <v>0</v>
      </c>
      <c r="Q182" s="551">
        <f t="shared" si="4"/>
        <v>0</v>
      </c>
      <c r="R182" s="551">
        <f t="shared" si="5"/>
        <v>0</v>
      </c>
      <c r="S182" s="550">
        <f>IF(C182=0,0,(VLOOKUP(C182,'PO MTRL'!$B$9:$S1518,17,0)))</f>
        <v>0</v>
      </c>
      <c r="T182" s="553"/>
      <c r="U182" s="554">
        <f>IF(C182=0,0,(VLOOKUP(C182,'PO MTRL'!$B$9:$S1518,18,0)))</f>
        <v>0</v>
      </c>
      <c r="V182" s="16"/>
      <c r="W182" s="119" t="str">
        <f t="shared" si="6"/>
        <v/>
      </c>
      <c r="X182" s="564">
        <f t="shared" si="7"/>
        <v>0</v>
      </c>
      <c r="Y182" s="119"/>
      <c r="Z182" s="119"/>
      <c r="AA182" s="530">
        <f>IFERROR(__xludf.DUMMYFUNCTION("""COMPUTED_VALUE"""),174.0)</f>
        <v>174</v>
      </c>
      <c r="AB182" s="119"/>
      <c r="AC182" s="119"/>
      <c r="AD182" s="119"/>
      <c r="AE182" s="119"/>
      <c r="AF182" s="119"/>
      <c r="AG182" s="555" t="str">
        <f t="shared" si="8"/>
        <v>  ---&gt;     ---&gt;   </v>
      </c>
      <c r="AH182" s="16"/>
      <c r="AI182" s="439"/>
      <c r="AJ182" s="439"/>
      <c r="AK182" s="439"/>
    </row>
    <row r="183" ht="18.75" customHeight="1">
      <c r="A183" s="439"/>
      <c r="B183" s="546"/>
      <c r="C183" s="547"/>
      <c r="D183" s="446">
        <f>IF(C183=0,0,(VLOOKUP(C183,'PO MTRL'!$B$9:$S1518,2,0)))</f>
        <v>0</v>
      </c>
      <c r="E183" s="548" t="str">
        <f>IF(C183="","",(VLOOKUP(C183,'PO MTRL'!$B$9:$S1518,3,0)))</f>
        <v/>
      </c>
      <c r="F183" s="549">
        <f>IF(C183=0,0,(VLOOKUP(C183,'PO MTRL'!$B$9:$S1518,4,0)))</f>
        <v>0</v>
      </c>
      <c r="G183" s="444"/>
      <c r="H183" s="550">
        <f>IF(C183=0,0,(VLOOKUP(C183,'PO MTRL'!$B$9:$S1518,6,0)))</f>
        <v>0</v>
      </c>
      <c r="I183" s="446">
        <f>IF(C183=0,0,(VLOOKUP(C183,'PO MTRL'!$B$9:$S1518,7,0)))</f>
        <v>0</v>
      </c>
      <c r="J183" s="551">
        <f>IF(C183=0,0,(VLOOKUP(C183,'PO MTRL'!$B$9:$S1518,8,0)))</f>
        <v>0</v>
      </c>
      <c r="K183" s="559"/>
      <c r="L183" s="448">
        <f t="shared" si="1"/>
        <v>0</v>
      </c>
      <c r="M183" s="551">
        <f t="shared" si="2"/>
        <v>0</v>
      </c>
      <c r="N183" s="449">
        <f t="shared" si="3"/>
        <v>0</v>
      </c>
      <c r="O183" s="551">
        <f>IF(H183=0,0,(VLOOKUP(H183,'PO MTRL'!$G$9:$S1518,5,0)))</f>
        <v>0</v>
      </c>
      <c r="P183" s="551">
        <f>IF(H183=0,0,(VLOOKUP(H183,'PO MTRL'!$G$9:$S1518,7,0)))</f>
        <v>0</v>
      </c>
      <c r="Q183" s="551">
        <f t="shared" si="4"/>
        <v>0</v>
      </c>
      <c r="R183" s="551">
        <f t="shared" si="5"/>
        <v>0</v>
      </c>
      <c r="S183" s="550">
        <f>IF(C183=0,0,(VLOOKUP(C183,'PO MTRL'!$B$9:$S1518,17,0)))</f>
        <v>0</v>
      </c>
      <c r="T183" s="553"/>
      <c r="U183" s="554">
        <f>IF(C183=0,0,(VLOOKUP(C183,'PO MTRL'!$B$9:$S1518,18,0)))</f>
        <v>0</v>
      </c>
      <c r="V183" s="16"/>
      <c r="W183" s="119" t="str">
        <f t="shared" si="6"/>
        <v/>
      </c>
      <c r="X183" s="564">
        <f t="shared" si="7"/>
        <v>0</v>
      </c>
      <c r="Y183" s="119"/>
      <c r="Z183" s="119"/>
      <c r="AA183" s="530">
        <f>IFERROR(__xludf.DUMMYFUNCTION("""COMPUTED_VALUE"""),175.0)</f>
        <v>175</v>
      </c>
      <c r="AB183" s="119"/>
      <c r="AC183" s="119"/>
      <c r="AD183" s="119"/>
      <c r="AE183" s="119"/>
      <c r="AF183" s="119"/>
      <c r="AG183" s="555" t="str">
        <f t="shared" si="8"/>
        <v>  ---&gt;     ---&gt;   </v>
      </c>
      <c r="AH183" s="16"/>
      <c r="AI183" s="439"/>
      <c r="AJ183" s="439"/>
      <c r="AK183" s="439"/>
    </row>
    <row r="184" ht="18.75" customHeight="1">
      <c r="A184" s="439"/>
      <c r="B184" s="546"/>
      <c r="C184" s="547"/>
      <c r="D184" s="446">
        <f>IF(C184=0,0,(VLOOKUP(C184,'PO MTRL'!$B$9:$S1518,2,0)))</f>
        <v>0</v>
      </c>
      <c r="E184" s="548" t="str">
        <f>IF(C184="","",(VLOOKUP(C184,'PO MTRL'!$B$9:$S1518,3,0)))</f>
        <v/>
      </c>
      <c r="F184" s="549">
        <f>IF(C184=0,0,(VLOOKUP(C184,'PO MTRL'!$B$9:$S1518,4,0)))</f>
        <v>0</v>
      </c>
      <c r="G184" s="444"/>
      <c r="H184" s="550">
        <f>IF(C184=0,0,(VLOOKUP(C184,'PO MTRL'!$B$9:$S1518,6,0)))</f>
        <v>0</v>
      </c>
      <c r="I184" s="446">
        <f>IF(C184=0,0,(VLOOKUP(C184,'PO MTRL'!$B$9:$S1518,7,0)))</f>
        <v>0</v>
      </c>
      <c r="J184" s="551">
        <f>IF(C184=0,0,(VLOOKUP(C184,'PO MTRL'!$B$9:$S1518,8,0)))</f>
        <v>0</v>
      </c>
      <c r="K184" s="559"/>
      <c r="L184" s="448">
        <f t="shared" si="1"/>
        <v>0</v>
      </c>
      <c r="M184" s="551">
        <f t="shared" si="2"/>
        <v>0</v>
      </c>
      <c r="N184" s="449">
        <f t="shared" si="3"/>
        <v>0</v>
      </c>
      <c r="O184" s="551">
        <f>IF(H184=0,0,(VLOOKUP(H184,'PO MTRL'!$G$9:$S1518,5,0)))</f>
        <v>0</v>
      </c>
      <c r="P184" s="551">
        <f>IF(H184=0,0,(VLOOKUP(H184,'PO MTRL'!$G$9:$S1518,7,0)))</f>
        <v>0</v>
      </c>
      <c r="Q184" s="551">
        <f t="shared" si="4"/>
        <v>0</v>
      </c>
      <c r="R184" s="551">
        <f t="shared" si="5"/>
        <v>0</v>
      </c>
      <c r="S184" s="550">
        <f>IF(C184=0,0,(VLOOKUP(C184,'PO MTRL'!$B$9:$S1518,17,0)))</f>
        <v>0</v>
      </c>
      <c r="T184" s="553"/>
      <c r="U184" s="554">
        <f>IF(C184=0,0,(VLOOKUP(C184,'PO MTRL'!$B$9:$S1518,18,0)))</f>
        <v>0</v>
      </c>
      <c r="V184" s="16"/>
      <c r="W184" s="119" t="str">
        <f t="shared" si="6"/>
        <v/>
      </c>
      <c r="X184" s="564">
        <f t="shared" si="7"/>
        <v>0</v>
      </c>
      <c r="Y184" s="119"/>
      <c r="Z184" s="119"/>
      <c r="AA184" s="530">
        <f>IFERROR(__xludf.DUMMYFUNCTION("""COMPUTED_VALUE"""),176.0)</f>
        <v>176</v>
      </c>
      <c r="AB184" s="119"/>
      <c r="AC184" s="119"/>
      <c r="AD184" s="119"/>
      <c r="AE184" s="119"/>
      <c r="AF184" s="119"/>
      <c r="AG184" s="555" t="str">
        <f t="shared" si="8"/>
        <v>  ---&gt;     ---&gt;   </v>
      </c>
      <c r="AH184" s="16"/>
      <c r="AI184" s="439"/>
      <c r="AJ184" s="439"/>
      <c r="AK184" s="439"/>
    </row>
    <row r="185" ht="18.75" customHeight="1">
      <c r="A185" s="439"/>
      <c r="B185" s="546"/>
      <c r="C185" s="547"/>
      <c r="D185" s="446">
        <f>IF(C185=0,0,(VLOOKUP(C185,'PO MTRL'!$B$9:$S1518,2,0)))</f>
        <v>0</v>
      </c>
      <c r="E185" s="548" t="str">
        <f>IF(C185="","",(VLOOKUP(C185,'PO MTRL'!$B$9:$S1518,3,0)))</f>
        <v/>
      </c>
      <c r="F185" s="549">
        <f>IF(C185=0,0,(VLOOKUP(C185,'PO MTRL'!$B$9:$S1518,4,0)))</f>
        <v>0</v>
      </c>
      <c r="G185" s="444"/>
      <c r="H185" s="550">
        <f>IF(C185=0,0,(VLOOKUP(C185,'PO MTRL'!$B$9:$S1518,6,0)))</f>
        <v>0</v>
      </c>
      <c r="I185" s="446">
        <f>IF(C185=0,0,(VLOOKUP(C185,'PO MTRL'!$B$9:$S1518,7,0)))</f>
        <v>0</v>
      </c>
      <c r="J185" s="551">
        <f>IF(C185=0,0,(VLOOKUP(C185,'PO MTRL'!$B$9:$S1518,8,0)))</f>
        <v>0</v>
      </c>
      <c r="K185" s="559"/>
      <c r="L185" s="448">
        <f t="shared" si="1"/>
        <v>0</v>
      </c>
      <c r="M185" s="551">
        <f t="shared" si="2"/>
        <v>0</v>
      </c>
      <c r="N185" s="449">
        <f t="shared" si="3"/>
        <v>0</v>
      </c>
      <c r="O185" s="551">
        <f>IF(H185=0,0,(VLOOKUP(H185,'PO MTRL'!$G$9:$S1518,5,0)))</f>
        <v>0</v>
      </c>
      <c r="P185" s="551">
        <f>IF(H185=0,0,(VLOOKUP(H185,'PO MTRL'!$G$9:$S1518,7,0)))</f>
        <v>0</v>
      </c>
      <c r="Q185" s="551">
        <f t="shared" si="4"/>
        <v>0</v>
      </c>
      <c r="R185" s="551">
        <f t="shared" si="5"/>
        <v>0</v>
      </c>
      <c r="S185" s="550">
        <f>IF(C185=0,0,(VLOOKUP(C185,'PO MTRL'!$B$9:$S1518,17,0)))</f>
        <v>0</v>
      </c>
      <c r="T185" s="553"/>
      <c r="U185" s="554">
        <f>IF(C185=0,0,(VLOOKUP(C185,'PO MTRL'!$B$9:$S1518,18,0)))</f>
        <v>0</v>
      </c>
      <c r="V185" s="16"/>
      <c r="W185" s="119" t="str">
        <f t="shared" si="6"/>
        <v/>
      </c>
      <c r="X185" s="564">
        <f t="shared" si="7"/>
        <v>0</v>
      </c>
      <c r="Y185" s="119"/>
      <c r="Z185" s="119"/>
      <c r="AA185" s="530">
        <f>IFERROR(__xludf.DUMMYFUNCTION("""COMPUTED_VALUE"""),177.0)</f>
        <v>177</v>
      </c>
      <c r="AB185" s="119"/>
      <c r="AC185" s="119"/>
      <c r="AD185" s="119"/>
      <c r="AE185" s="119"/>
      <c r="AF185" s="119"/>
      <c r="AG185" s="555" t="str">
        <f t="shared" si="8"/>
        <v>  ---&gt;     ---&gt;   </v>
      </c>
      <c r="AH185" s="16"/>
      <c r="AI185" s="439"/>
      <c r="AJ185" s="439"/>
      <c r="AK185" s="439"/>
    </row>
    <row r="186" ht="18.75" customHeight="1">
      <c r="A186" s="439"/>
      <c r="B186" s="546"/>
      <c r="C186" s="547"/>
      <c r="D186" s="446">
        <f>IF(C186=0,0,(VLOOKUP(C186,'PO MTRL'!$B$9:$S1518,2,0)))</f>
        <v>0</v>
      </c>
      <c r="E186" s="548" t="str">
        <f>IF(C186="","",(VLOOKUP(C186,'PO MTRL'!$B$9:$S1518,3,0)))</f>
        <v/>
      </c>
      <c r="F186" s="549">
        <f>IF(C186=0,0,(VLOOKUP(C186,'PO MTRL'!$B$9:$S1518,4,0)))</f>
        <v>0</v>
      </c>
      <c r="G186" s="444"/>
      <c r="H186" s="550">
        <f>IF(C186=0,0,(VLOOKUP(C186,'PO MTRL'!$B$9:$S1518,6,0)))</f>
        <v>0</v>
      </c>
      <c r="I186" s="446">
        <f>IF(C186=0,0,(VLOOKUP(C186,'PO MTRL'!$B$9:$S1518,7,0)))</f>
        <v>0</v>
      </c>
      <c r="J186" s="551">
        <f>IF(C186=0,0,(VLOOKUP(C186,'PO MTRL'!$B$9:$S1518,8,0)))</f>
        <v>0</v>
      </c>
      <c r="K186" s="559"/>
      <c r="L186" s="448">
        <f t="shared" si="1"/>
        <v>0</v>
      </c>
      <c r="M186" s="551">
        <f t="shared" si="2"/>
        <v>0</v>
      </c>
      <c r="N186" s="449">
        <f t="shared" si="3"/>
        <v>0</v>
      </c>
      <c r="O186" s="551">
        <f>IF(H186=0,0,(VLOOKUP(H186,'PO MTRL'!$G$9:$S1518,5,0)))</f>
        <v>0</v>
      </c>
      <c r="P186" s="551">
        <f>IF(H186=0,0,(VLOOKUP(H186,'PO MTRL'!$G$9:$S1518,7,0)))</f>
        <v>0</v>
      </c>
      <c r="Q186" s="551">
        <f t="shared" si="4"/>
        <v>0</v>
      </c>
      <c r="R186" s="551">
        <f t="shared" si="5"/>
        <v>0</v>
      </c>
      <c r="S186" s="550">
        <f>IF(C186=0,0,(VLOOKUP(C186,'PO MTRL'!$B$9:$S1518,17,0)))</f>
        <v>0</v>
      </c>
      <c r="T186" s="553"/>
      <c r="U186" s="554">
        <f>IF(C186=0,0,(VLOOKUP(C186,'PO MTRL'!$B$9:$S1518,18,0)))</f>
        <v>0</v>
      </c>
      <c r="V186" s="16"/>
      <c r="W186" s="119" t="str">
        <f t="shared" si="6"/>
        <v/>
      </c>
      <c r="X186" s="564">
        <f t="shared" si="7"/>
        <v>0</v>
      </c>
      <c r="Y186" s="119"/>
      <c r="Z186" s="119"/>
      <c r="AA186" s="530">
        <f>IFERROR(__xludf.DUMMYFUNCTION("""COMPUTED_VALUE"""),178.0)</f>
        <v>178</v>
      </c>
      <c r="AB186" s="119"/>
      <c r="AC186" s="119"/>
      <c r="AD186" s="119"/>
      <c r="AE186" s="119"/>
      <c r="AF186" s="119"/>
      <c r="AG186" s="555" t="str">
        <f t="shared" si="8"/>
        <v>  ---&gt;     ---&gt;   </v>
      </c>
      <c r="AH186" s="16"/>
      <c r="AI186" s="439"/>
      <c r="AJ186" s="439"/>
      <c r="AK186" s="439"/>
    </row>
    <row r="187" ht="18.75" customHeight="1">
      <c r="A187" s="439"/>
      <c r="B187" s="546"/>
      <c r="C187" s="547"/>
      <c r="D187" s="446">
        <f>IF(C187=0,0,(VLOOKUP(C187,'PO MTRL'!$B$9:$S1518,2,0)))</f>
        <v>0</v>
      </c>
      <c r="E187" s="548" t="str">
        <f>IF(C187="","",(VLOOKUP(C187,'PO MTRL'!$B$9:$S1518,3,0)))</f>
        <v/>
      </c>
      <c r="F187" s="549">
        <f>IF(C187=0,0,(VLOOKUP(C187,'PO MTRL'!$B$9:$S1518,4,0)))</f>
        <v>0</v>
      </c>
      <c r="G187" s="444"/>
      <c r="H187" s="550">
        <f>IF(C187=0,0,(VLOOKUP(C187,'PO MTRL'!$B$9:$S1518,6,0)))</f>
        <v>0</v>
      </c>
      <c r="I187" s="446">
        <f>IF(C187=0,0,(VLOOKUP(C187,'PO MTRL'!$B$9:$S1518,7,0)))</f>
        <v>0</v>
      </c>
      <c r="J187" s="551">
        <f>IF(C187=0,0,(VLOOKUP(C187,'PO MTRL'!$B$9:$S1518,8,0)))</f>
        <v>0</v>
      </c>
      <c r="K187" s="559"/>
      <c r="L187" s="448">
        <f t="shared" si="1"/>
        <v>0</v>
      </c>
      <c r="M187" s="551">
        <f t="shared" si="2"/>
        <v>0</v>
      </c>
      <c r="N187" s="449">
        <f t="shared" si="3"/>
        <v>0</v>
      </c>
      <c r="O187" s="551">
        <f>IF(H187=0,0,(VLOOKUP(H187,'PO MTRL'!$G$9:$S1518,5,0)))</f>
        <v>0</v>
      </c>
      <c r="P187" s="551">
        <f>IF(H187=0,0,(VLOOKUP(H187,'PO MTRL'!$G$9:$S1518,7,0)))</f>
        <v>0</v>
      </c>
      <c r="Q187" s="551">
        <f t="shared" si="4"/>
        <v>0</v>
      </c>
      <c r="R187" s="551">
        <f t="shared" si="5"/>
        <v>0</v>
      </c>
      <c r="S187" s="550">
        <f>IF(C187=0,0,(VLOOKUP(C187,'PO MTRL'!$B$9:$S1518,17,0)))</f>
        <v>0</v>
      </c>
      <c r="T187" s="553"/>
      <c r="U187" s="554">
        <f>IF(C187=0,0,(VLOOKUP(C187,'PO MTRL'!$B$9:$S1518,18,0)))</f>
        <v>0</v>
      </c>
      <c r="V187" s="16"/>
      <c r="W187" s="119" t="str">
        <f t="shared" si="6"/>
        <v/>
      </c>
      <c r="X187" s="564">
        <f t="shared" si="7"/>
        <v>0</v>
      </c>
      <c r="Y187" s="119"/>
      <c r="Z187" s="119"/>
      <c r="AA187" s="530">
        <f>IFERROR(__xludf.DUMMYFUNCTION("""COMPUTED_VALUE"""),179.0)</f>
        <v>179</v>
      </c>
      <c r="AB187" s="119"/>
      <c r="AC187" s="119"/>
      <c r="AD187" s="119"/>
      <c r="AE187" s="119"/>
      <c r="AF187" s="119"/>
      <c r="AG187" s="555" t="str">
        <f t="shared" si="8"/>
        <v>  ---&gt;     ---&gt;   </v>
      </c>
      <c r="AH187" s="16"/>
      <c r="AI187" s="439"/>
      <c r="AJ187" s="439"/>
      <c r="AK187" s="439"/>
    </row>
    <row r="188" ht="18.75" customHeight="1">
      <c r="A188" s="439"/>
      <c r="B188" s="546"/>
      <c r="C188" s="547"/>
      <c r="D188" s="446">
        <f>IF(C188=0,0,(VLOOKUP(C188,'PO MTRL'!$B$9:$S1518,2,0)))</f>
        <v>0</v>
      </c>
      <c r="E188" s="548" t="str">
        <f>IF(C188="","",(VLOOKUP(C188,'PO MTRL'!$B$9:$S1518,3,0)))</f>
        <v/>
      </c>
      <c r="F188" s="549">
        <f>IF(C188=0,0,(VLOOKUP(C188,'PO MTRL'!$B$9:$S1518,4,0)))</f>
        <v>0</v>
      </c>
      <c r="G188" s="444"/>
      <c r="H188" s="550">
        <f>IF(C188=0,0,(VLOOKUP(C188,'PO MTRL'!$B$9:$S1518,6,0)))</f>
        <v>0</v>
      </c>
      <c r="I188" s="446">
        <f>IF(C188=0,0,(VLOOKUP(C188,'PO MTRL'!$B$9:$S1518,7,0)))</f>
        <v>0</v>
      </c>
      <c r="J188" s="551">
        <f>IF(C188=0,0,(VLOOKUP(C188,'PO MTRL'!$B$9:$S1518,8,0)))</f>
        <v>0</v>
      </c>
      <c r="K188" s="559"/>
      <c r="L188" s="448">
        <f t="shared" si="1"/>
        <v>0</v>
      </c>
      <c r="M188" s="551">
        <f t="shared" si="2"/>
        <v>0</v>
      </c>
      <c r="N188" s="449">
        <f t="shared" si="3"/>
        <v>0</v>
      </c>
      <c r="O188" s="551">
        <f>IF(H188=0,0,(VLOOKUP(H188,'PO MTRL'!$G$9:$S1518,5,0)))</f>
        <v>0</v>
      </c>
      <c r="P188" s="551">
        <f>IF(H188=0,0,(VLOOKUP(H188,'PO MTRL'!$G$9:$S1518,7,0)))</f>
        <v>0</v>
      </c>
      <c r="Q188" s="551">
        <f t="shared" si="4"/>
        <v>0</v>
      </c>
      <c r="R188" s="551">
        <f t="shared" si="5"/>
        <v>0</v>
      </c>
      <c r="S188" s="550">
        <f>IF(C188=0,0,(VLOOKUP(C188,'PO MTRL'!$B$9:$S1518,17,0)))</f>
        <v>0</v>
      </c>
      <c r="T188" s="553"/>
      <c r="U188" s="554">
        <f>IF(C188=0,0,(VLOOKUP(C188,'PO MTRL'!$B$9:$S1518,18,0)))</f>
        <v>0</v>
      </c>
      <c r="V188" s="16"/>
      <c r="W188" s="119" t="str">
        <f t="shared" si="6"/>
        <v/>
      </c>
      <c r="X188" s="564">
        <f t="shared" si="7"/>
        <v>0</v>
      </c>
      <c r="Y188" s="119"/>
      <c r="Z188" s="119"/>
      <c r="AA188" s="530">
        <f>IFERROR(__xludf.DUMMYFUNCTION("""COMPUTED_VALUE"""),180.0)</f>
        <v>180</v>
      </c>
      <c r="AB188" s="119"/>
      <c r="AC188" s="119"/>
      <c r="AD188" s="119"/>
      <c r="AE188" s="119"/>
      <c r="AF188" s="119"/>
      <c r="AG188" s="555" t="str">
        <f t="shared" si="8"/>
        <v>  ---&gt;     ---&gt;   </v>
      </c>
      <c r="AH188" s="16"/>
      <c r="AI188" s="439"/>
      <c r="AJ188" s="439"/>
      <c r="AK188" s="439"/>
    </row>
    <row r="189" ht="18.75" customHeight="1">
      <c r="A189" s="439"/>
      <c r="B189" s="546"/>
      <c r="C189" s="547"/>
      <c r="D189" s="446">
        <f>IF(C189=0,0,(VLOOKUP(C189,'PO MTRL'!$B$9:$S1518,2,0)))</f>
        <v>0</v>
      </c>
      <c r="E189" s="548" t="str">
        <f>IF(C189="","",(VLOOKUP(C189,'PO MTRL'!$B$9:$S1518,3,0)))</f>
        <v/>
      </c>
      <c r="F189" s="549">
        <f>IF(C189=0,0,(VLOOKUP(C189,'PO MTRL'!$B$9:$S1518,4,0)))</f>
        <v>0</v>
      </c>
      <c r="G189" s="444"/>
      <c r="H189" s="550">
        <f>IF(C189=0,0,(VLOOKUP(C189,'PO MTRL'!$B$9:$S1518,6,0)))</f>
        <v>0</v>
      </c>
      <c r="I189" s="446">
        <f>IF(C189=0,0,(VLOOKUP(C189,'PO MTRL'!$B$9:$S1518,7,0)))</f>
        <v>0</v>
      </c>
      <c r="J189" s="551">
        <f>IF(C189=0,0,(VLOOKUP(C189,'PO MTRL'!$B$9:$S1518,8,0)))</f>
        <v>0</v>
      </c>
      <c r="K189" s="559"/>
      <c r="L189" s="448">
        <f t="shared" si="1"/>
        <v>0</v>
      </c>
      <c r="M189" s="551">
        <f t="shared" si="2"/>
        <v>0</v>
      </c>
      <c r="N189" s="449">
        <f t="shared" si="3"/>
        <v>0</v>
      </c>
      <c r="O189" s="551">
        <f>IF(H189=0,0,(VLOOKUP(H189,'PO MTRL'!$G$9:$S1518,5,0)))</f>
        <v>0</v>
      </c>
      <c r="P189" s="551">
        <f>IF(H189=0,0,(VLOOKUP(H189,'PO MTRL'!$G$9:$S1518,7,0)))</f>
        <v>0</v>
      </c>
      <c r="Q189" s="551">
        <f t="shared" si="4"/>
        <v>0</v>
      </c>
      <c r="R189" s="551">
        <f t="shared" si="5"/>
        <v>0</v>
      </c>
      <c r="S189" s="550">
        <f>IF(C189=0,0,(VLOOKUP(C189,'PO MTRL'!$B$9:$S1518,17,0)))</f>
        <v>0</v>
      </c>
      <c r="T189" s="553"/>
      <c r="U189" s="554">
        <f>IF(C189=0,0,(VLOOKUP(C189,'PO MTRL'!$B$9:$S1518,18,0)))</f>
        <v>0</v>
      </c>
      <c r="V189" s="16"/>
      <c r="W189" s="119" t="str">
        <f t="shared" si="6"/>
        <v/>
      </c>
      <c r="X189" s="564">
        <f t="shared" si="7"/>
        <v>0</v>
      </c>
      <c r="Y189" s="119"/>
      <c r="Z189" s="119"/>
      <c r="AA189" s="530">
        <f>IFERROR(__xludf.DUMMYFUNCTION("""COMPUTED_VALUE"""),181.0)</f>
        <v>181</v>
      </c>
      <c r="AB189" s="119"/>
      <c r="AC189" s="119"/>
      <c r="AD189" s="119"/>
      <c r="AE189" s="119"/>
      <c r="AF189" s="119"/>
      <c r="AG189" s="555" t="str">
        <f t="shared" si="8"/>
        <v>  ---&gt;     ---&gt;   </v>
      </c>
      <c r="AH189" s="16"/>
      <c r="AI189" s="439"/>
      <c r="AJ189" s="439"/>
      <c r="AK189" s="439"/>
    </row>
    <row r="190" ht="18.75" customHeight="1">
      <c r="A190" s="439"/>
      <c r="B190" s="546"/>
      <c r="C190" s="547"/>
      <c r="D190" s="446">
        <f>IF(C190=0,0,(VLOOKUP(C190,'PO MTRL'!$B$9:$S1518,2,0)))</f>
        <v>0</v>
      </c>
      <c r="E190" s="548" t="str">
        <f>IF(C190="","",(VLOOKUP(C190,'PO MTRL'!$B$9:$S1518,3,0)))</f>
        <v/>
      </c>
      <c r="F190" s="549">
        <f>IF(C190=0,0,(VLOOKUP(C190,'PO MTRL'!$B$9:$S1518,4,0)))</f>
        <v>0</v>
      </c>
      <c r="G190" s="444"/>
      <c r="H190" s="550">
        <f>IF(C190=0,0,(VLOOKUP(C190,'PO MTRL'!$B$9:$S1518,6,0)))</f>
        <v>0</v>
      </c>
      <c r="I190" s="446">
        <f>IF(C190=0,0,(VLOOKUP(C190,'PO MTRL'!$B$9:$S1518,7,0)))</f>
        <v>0</v>
      </c>
      <c r="J190" s="551">
        <f>IF(C190=0,0,(VLOOKUP(C190,'PO MTRL'!$B$9:$S1518,8,0)))</f>
        <v>0</v>
      </c>
      <c r="K190" s="559"/>
      <c r="L190" s="448">
        <f t="shared" si="1"/>
        <v>0</v>
      </c>
      <c r="M190" s="551">
        <f t="shared" si="2"/>
        <v>0</v>
      </c>
      <c r="N190" s="449">
        <f t="shared" si="3"/>
        <v>0</v>
      </c>
      <c r="O190" s="551">
        <f>IF(H190=0,0,(VLOOKUP(H190,'PO MTRL'!$G$9:$S1518,5,0)))</f>
        <v>0</v>
      </c>
      <c r="P190" s="551">
        <f>IF(H190=0,0,(VLOOKUP(H190,'PO MTRL'!$G$9:$S1518,7,0)))</f>
        <v>0</v>
      </c>
      <c r="Q190" s="551">
        <f t="shared" si="4"/>
        <v>0</v>
      </c>
      <c r="R190" s="551">
        <f t="shared" si="5"/>
        <v>0</v>
      </c>
      <c r="S190" s="550">
        <f>IF(C190=0,0,(VLOOKUP(C190,'PO MTRL'!$B$9:$S1518,17,0)))</f>
        <v>0</v>
      </c>
      <c r="T190" s="553"/>
      <c r="U190" s="554">
        <f>IF(C190=0,0,(VLOOKUP(C190,'PO MTRL'!$B$9:$S1518,18,0)))</f>
        <v>0</v>
      </c>
      <c r="V190" s="16"/>
      <c r="W190" s="119" t="str">
        <f t="shared" si="6"/>
        <v/>
      </c>
      <c r="X190" s="564">
        <f t="shared" si="7"/>
        <v>0</v>
      </c>
      <c r="Y190" s="119"/>
      <c r="Z190" s="119"/>
      <c r="AA190" s="530">
        <f>IFERROR(__xludf.DUMMYFUNCTION("""COMPUTED_VALUE"""),182.0)</f>
        <v>182</v>
      </c>
      <c r="AB190" s="119"/>
      <c r="AC190" s="119"/>
      <c r="AD190" s="119"/>
      <c r="AE190" s="119"/>
      <c r="AF190" s="119"/>
      <c r="AG190" s="555" t="str">
        <f t="shared" si="8"/>
        <v>  ---&gt;     ---&gt;   </v>
      </c>
      <c r="AH190" s="16"/>
      <c r="AI190" s="439"/>
      <c r="AJ190" s="439"/>
      <c r="AK190" s="439"/>
    </row>
    <row r="191" ht="18.75" customHeight="1">
      <c r="A191" s="439"/>
      <c r="B191" s="546"/>
      <c r="C191" s="547"/>
      <c r="D191" s="446">
        <f>IF(C191=0,0,(VLOOKUP(C191,'PO MTRL'!$B$9:$S1518,2,0)))</f>
        <v>0</v>
      </c>
      <c r="E191" s="548" t="str">
        <f>IF(C191="","",(VLOOKUP(C191,'PO MTRL'!$B$9:$S1518,3,0)))</f>
        <v/>
      </c>
      <c r="F191" s="549">
        <f>IF(C191=0,0,(VLOOKUP(C191,'PO MTRL'!$B$9:$S1518,4,0)))</f>
        <v>0</v>
      </c>
      <c r="G191" s="444"/>
      <c r="H191" s="550">
        <f>IF(C191=0,0,(VLOOKUP(C191,'PO MTRL'!$B$9:$S1518,6,0)))</f>
        <v>0</v>
      </c>
      <c r="I191" s="446">
        <f>IF(C191=0,0,(VLOOKUP(C191,'PO MTRL'!$B$9:$S1518,7,0)))</f>
        <v>0</v>
      </c>
      <c r="J191" s="551">
        <f>IF(C191=0,0,(VLOOKUP(C191,'PO MTRL'!$B$9:$S1518,8,0)))</f>
        <v>0</v>
      </c>
      <c r="K191" s="559"/>
      <c r="L191" s="448">
        <f t="shared" si="1"/>
        <v>0</v>
      </c>
      <c r="M191" s="551">
        <f t="shared" si="2"/>
        <v>0</v>
      </c>
      <c r="N191" s="449">
        <f t="shared" si="3"/>
        <v>0</v>
      </c>
      <c r="O191" s="551">
        <f>IF(H191=0,0,(VLOOKUP(H191,'PO MTRL'!$G$9:$S1518,5,0)))</f>
        <v>0</v>
      </c>
      <c r="P191" s="551">
        <f>IF(H191=0,0,(VLOOKUP(H191,'PO MTRL'!$G$9:$S1518,7,0)))</f>
        <v>0</v>
      </c>
      <c r="Q191" s="551">
        <f t="shared" si="4"/>
        <v>0</v>
      </c>
      <c r="R191" s="551">
        <f t="shared" si="5"/>
        <v>0</v>
      </c>
      <c r="S191" s="550">
        <f>IF(C191=0,0,(VLOOKUP(C191,'PO MTRL'!$B$9:$S1518,17,0)))</f>
        <v>0</v>
      </c>
      <c r="T191" s="553"/>
      <c r="U191" s="554">
        <f>IF(C191=0,0,(VLOOKUP(C191,'PO MTRL'!$B$9:$S1518,18,0)))</f>
        <v>0</v>
      </c>
      <c r="V191" s="16"/>
      <c r="W191" s="119" t="str">
        <f t="shared" si="6"/>
        <v/>
      </c>
      <c r="X191" s="564">
        <f t="shared" si="7"/>
        <v>0</v>
      </c>
      <c r="Y191" s="119"/>
      <c r="Z191" s="119"/>
      <c r="AA191" s="530">
        <f>IFERROR(__xludf.DUMMYFUNCTION("""COMPUTED_VALUE"""),183.0)</f>
        <v>183</v>
      </c>
      <c r="AB191" s="119"/>
      <c r="AC191" s="119"/>
      <c r="AD191" s="119"/>
      <c r="AE191" s="119"/>
      <c r="AF191" s="119"/>
      <c r="AG191" s="555" t="str">
        <f t="shared" si="8"/>
        <v>  ---&gt;     ---&gt;   </v>
      </c>
      <c r="AH191" s="16"/>
      <c r="AI191" s="439"/>
      <c r="AJ191" s="439"/>
      <c r="AK191" s="439"/>
    </row>
    <row r="192" ht="18.75" customHeight="1">
      <c r="A192" s="439"/>
      <c r="B192" s="546"/>
      <c r="C192" s="547"/>
      <c r="D192" s="446">
        <f>IF(C192=0,0,(VLOOKUP(C192,'PO MTRL'!$B$9:$S1518,2,0)))</f>
        <v>0</v>
      </c>
      <c r="E192" s="548" t="str">
        <f>IF(C192="","",(VLOOKUP(C192,'PO MTRL'!$B$9:$S1518,3,0)))</f>
        <v/>
      </c>
      <c r="F192" s="549">
        <f>IF(C192=0,0,(VLOOKUP(C192,'PO MTRL'!$B$9:$S1518,4,0)))</f>
        <v>0</v>
      </c>
      <c r="G192" s="444"/>
      <c r="H192" s="550">
        <f>IF(C192=0,0,(VLOOKUP(C192,'PO MTRL'!$B$9:$S1518,6,0)))</f>
        <v>0</v>
      </c>
      <c r="I192" s="446">
        <f>IF(C192=0,0,(VLOOKUP(C192,'PO MTRL'!$B$9:$S1518,7,0)))</f>
        <v>0</v>
      </c>
      <c r="J192" s="551">
        <f>IF(C192=0,0,(VLOOKUP(C192,'PO MTRL'!$B$9:$S1518,8,0)))</f>
        <v>0</v>
      </c>
      <c r="K192" s="559"/>
      <c r="L192" s="448">
        <f t="shared" si="1"/>
        <v>0</v>
      </c>
      <c r="M192" s="551">
        <f t="shared" si="2"/>
        <v>0</v>
      </c>
      <c r="N192" s="449">
        <f t="shared" si="3"/>
        <v>0</v>
      </c>
      <c r="O192" s="551">
        <f>IF(H192=0,0,(VLOOKUP(H192,'PO MTRL'!$G$9:$S1518,5,0)))</f>
        <v>0</v>
      </c>
      <c r="P192" s="551">
        <f>IF(H192=0,0,(VLOOKUP(H192,'PO MTRL'!$G$9:$S1518,7,0)))</f>
        <v>0</v>
      </c>
      <c r="Q192" s="551">
        <f t="shared" si="4"/>
        <v>0</v>
      </c>
      <c r="R192" s="551">
        <f t="shared" si="5"/>
        <v>0</v>
      </c>
      <c r="S192" s="550">
        <f>IF(C192=0,0,(VLOOKUP(C192,'PO MTRL'!$B$9:$S1518,17,0)))</f>
        <v>0</v>
      </c>
      <c r="T192" s="553"/>
      <c r="U192" s="554">
        <f>IF(C192=0,0,(VLOOKUP(C192,'PO MTRL'!$B$9:$S1518,18,0)))</f>
        <v>0</v>
      </c>
      <c r="V192" s="16"/>
      <c r="W192" s="119" t="str">
        <f t="shared" si="6"/>
        <v/>
      </c>
      <c r="X192" s="564">
        <f t="shared" si="7"/>
        <v>0</v>
      </c>
      <c r="Y192" s="119"/>
      <c r="Z192" s="119"/>
      <c r="AA192" s="530">
        <f>IFERROR(__xludf.DUMMYFUNCTION("""COMPUTED_VALUE"""),184.0)</f>
        <v>184</v>
      </c>
      <c r="AB192" s="119"/>
      <c r="AC192" s="119"/>
      <c r="AD192" s="119"/>
      <c r="AE192" s="119"/>
      <c r="AF192" s="119"/>
      <c r="AG192" s="555" t="str">
        <f t="shared" si="8"/>
        <v>  ---&gt;     ---&gt;   </v>
      </c>
      <c r="AH192" s="16"/>
      <c r="AI192" s="439"/>
      <c r="AJ192" s="439"/>
      <c r="AK192" s="439"/>
    </row>
    <row r="193" ht="18.75" customHeight="1">
      <c r="A193" s="439"/>
      <c r="B193" s="546"/>
      <c r="C193" s="547"/>
      <c r="D193" s="446">
        <f>IF(C193=0,0,(VLOOKUP(C193,'PO MTRL'!$B$9:$S1518,2,0)))</f>
        <v>0</v>
      </c>
      <c r="E193" s="548" t="str">
        <f>IF(C193="","",(VLOOKUP(C193,'PO MTRL'!$B$9:$S1518,3,0)))</f>
        <v/>
      </c>
      <c r="F193" s="549">
        <f>IF(C193=0,0,(VLOOKUP(C193,'PO MTRL'!$B$9:$S1518,4,0)))</f>
        <v>0</v>
      </c>
      <c r="G193" s="444"/>
      <c r="H193" s="550">
        <f>IF(C193=0,0,(VLOOKUP(C193,'PO MTRL'!$B$9:$S1518,6,0)))</f>
        <v>0</v>
      </c>
      <c r="I193" s="446">
        <f>IF(C193=0,0,(VLOOKUP(C193,'PO MTRL'!$B$9:$S1518,7,0)))</f>
        <v>0</v>
      </c>
      <c r="J193" s="551">
        <f>IF(C193=0,0,(VLOOKUP(C193,'PO MTRL'!$B$9:$S1518,8,0)))</f>
        <v>0</v>
      </c>
      <c r="K193" s="559"/>
      <c r="L193" s="448">
        <f t="shared" si="1"/>
        <v>0</v>
      </c>
      <c r="M193" s="551">
        <f t="shared" si="2"/>
        <v>0</v>
      </c>
      <c r="N193" s="449">
        <f t="shared" si="3"/>
        <v>0</v>
      </c>
      <c r="O193" s="551">
        <f>IF(H193=0,0,(VLOOKUP(H193,'PO MTRL'!$G$9:$S1518,5,0)))</f>
        <v>0</v>
      </c>
      <c r="P193" s="551">
        <f>IF(H193=0,0,(VLOOKUP(H193,'PO MTRL'!$G$9:$S1518,7,0)))</f>
        <v>0</v>
      </c>
      <c r="Q193" s="551">
        <f t="shared" si="4"/>
        <v>0</v>
      </c>
      <c r="R193" s="551">
        <f t="shared" si="5"/>
        <v>0</v>
      </c>
      <c r="S193" s="550">
        <f>IF(C193=0,0,(VLOOKUP(C193,'PO MTRL'!$B$9:$S1518,17,0)))</f>
        <v>0</v>
      </c>
      <c r="T193" s="553"/>
      <c r="U193" s="554">
        <f>IF(C193=0,0,(VLOOKUP(C193,'PO MTRL'!$B$9:$S1518,18,0)))</f>
        <v>0</v>
      </c>
      <c r="V193" s="16"/>
      <c r="W193" s="119" t="str">
        <f t="shared" si="6"/>
        <v/>
      </c>
      <c r="X193" s="564">
        <f t="shared" si="7"/>
        <v>0</v>
      </c>
      <c r="Y193" s="119"/>
      <c r="Z193" s="119"/>
      <c r="AA193" s="530">
        <f>IFERROR(__xludf.DUMMYFUNCTION("""COMPUTED_VALUE"""),185.0)</f>
        <v>185</v>
      </c>
      <c r="AB193" s="119"/>
      <c r="AC193" s="119"/>
      <c r="AD193" s="119"/>
      <c r="AE193" s="119"/>
      <c r="AF193" s="119"/>
      <c r="AG193" s="555" t="str">
        <f t="shared" si="8"/>
        <v>  ---&gt;     ---&gt;   </v>
      </c>
      <c r="AH193" s="16"/>
      <c r="AI193" s="439"/>
      <c r="AJ193" s="439"/>
      <c r="AK193" s="439"/>
    </row>
    <row r="194" ht="18.75" customHeight="1">
      <c r="A194" s="439"/>
      <c r="B194" s="546"/>
      <c r="C194" s="547"/>
      <c r="D194" s="446">
        <f>IF(C194=0,0,(VLOOKUP(C194,'PO MTRL'!$B$9:$S1518,2,0)))</f>
        <v>0</v>
      </c>
      <c r="E194" s="548" t="str">
        <f>IF(C194="","",(VLOOKUP(C194,'PO MTRL'!$B$9:$S1518,3,0)))</f>
        <v/>
      </c>
      <c r="F194" s="549">
        <f>IF(C194=0,0,(VLOOKUP(C194,'PO MTRL'!$B$9:$S1518,4,0)))</f>
        <v>0</v>
      </c>
      <c r="G194" s="444"/>
      <c r="H194" s="550">
        <f>IF(C194=0,0,(VLOOKUP(C194,'PO MTRL'!$B$9:$S1518,6,0)))</f>
        <v>0</v>
      </c>
      <c r="I194" s="446">
        <f>IF(C194=0,0,(VLOOKUP(C194,'PO MTRL'!$B$9:$S1518,7,0)))</f>
        <v>0</v>
      </c>
      <c r="J194" s="551">
        <f>IF(C194=0,0,(VLOOKUP(C194,'PO MTRL'!$B$9:$S1518,8,0)))</f>
        <v>0</v>
      </c>
      <c r="K194" s="559"/>
      <c r="L194" s="448">
        <f t="shared" si="1"/>
        <v>0</v>
      </c>
      <c r="M194" s="551">
        <f t="shared" si="2"/>
        <v>0</v>
      </c>
      <c r="N194" s="449">
        <f t="shared" si="3"/>
        <v>0</v>
      </c>
      <c r="O194" s="551">
        <f>IF(H194=0,0,(VLOOKUP(H194,'PO MTRL'!$G$9:$S1518,5,0)))</f>
        <v>0</v>
      </c>
      <c r="P194" s="551">
        <f>IF(H194=0,0,(VLOOKUP(H194,'PO MTRL'!$G$9:$S1518,7,0)))</f>
        <v>0</v>
      </c>
      <c r="Q194" s="551">
        <f t="shared" si="4"/>
        <v>0</v>
      </c>
      <c r="R194" s="551">
        <f t="shared" si="5"/>
        <v>0</v>
      </c>
      <c r="S194" s="550">
        <f>IF(C194=0,0,(VLOOKUP(C194,'PO MTRL'!$B$9:$S1518,17,0)))</f>
        <v>0</v>
      </c>
      <c r="T194" s="553"/>
      <c r="U194" s="554">
        <f>IF(C194=0,0,(VLOOKUP(C194,'PO MTRL'!$B$9:$S1518,18,0)))</f>
        <v>0</v>
      </c>
      <c r="V194" s="16"/>
      <c r="W194" s="119" t="str">
        <f t="shared" si="6"/>
        <v/>
      </c>
      <c r="X194" s="564">
        <f t="shared" si="7"/>
        <v>0</v>
      </c>
      <c r="Y194" s="119"/>
      <c r="Z194" s="119"/>
      <c r="AA194" s="530">
        <f>IFERROR(__xludf.DUMMYFUNCTION("""COMPUTED_VALUE"""),186.0)</f>
        <v>186</v>
      </c>
      <c r="AB194" s="119"/>
      <c r="AC194" s="119"/>
      <c r="AD194" s="119"/>
      <c r="AE194" s="119"/>
      <c r="AF194" s="119"/>
      <c r="AG194" s="555" t="str">
        <f t="shared" si="8"/>
        <v>  ---&gt;     ---&gt;   </v>
      </c>
      <c r="AH194" s="16"/>
      <c r="AI194" s="439"/>
      <c r="AJ194" s="439"/>
      <c r="AK194" s="439"/>
    </row>
    <row r="195" ht="18.75" customHeight="1">
      <c r="A195" s="439"/>
      <c r="B195" s="546"/>
      <c r="C195" s="547"/>
      <c r="D195" s="446">
        <f>IF(C195=0,0,(VLOOKUP(C195,'PO MTRL'!$B$9:$S1518,2,0)))</f>
        <v>0</v>
      </c>
      <c r="E195" s="548" t="str">
        <f>IF(C195="","",(VLOOKUP(C195,'PO MTRL'!$B$9:$S1518,3,0)))</f>
        <v/>
      </c>
      <c r="F195" s="549">
        <f>IF(C195=0,0,(VLOOKUP(C195,'PO MTRL'!$B$9:$S1518,4,0)))</f>
        <v>0</v>
      </c>
      <c r="G195" s="444"/>
      <c r="H195" s="550">
        <f>IF(C195=0,0,(VLOOKUP(C195,'PO MTRL'!$B$9:$S1518,6,0)))</f>
        <v>0</v>
      </c>
      <c r="I195" s="446">
        <f>IF(C195=0,0,(VLOOKUP(C195,'PO MTRL'!$B$9:$S1518,7,0)))</f>
        <v>0</v>
      </c>
      <c r="J195" s="551">
        <f>IF(C195=0,0,(VLOOKUP(C195,'PO MTRL'!$B$9:$S1518,8,0)))</f>
        <v>0</v>
      </c>
      <c r="K195" s="559"/>
      <c r="L195" s="448">
        <f t="shared" si="1"/>
        <v>0</v>
      </c>
      <c r="M195" s="551">
        <f t="shared" si="2"/>
        <v>0</v>
      </c>
      <c r="N195" s="449">
        <f t="shared" si="3"/>
        <v>0</v>
      </c>
      <c r="O195" s="551">
        <f>IF(H195=0,0,(VLOOKUP(H195,'PO MTRL'!$G$9:$S1518,5,0)))</f>
        <v>0</v>
      </c>
      <c r="P195" s="551">
        <f>IF(H195=0,0,(VLOOKUP(H195,'PO MTRL'!$G$9:$S1518,7,0)))</f>
        <v>0</v>
      </c>
      <c r="Q195" s="551">
        <f t="shared" si="4"/>
        <v>0</v>
      </c>
      <c r="R195" s="551">
        <f t="shared" si="5"/>
        <v>0</v>
      </c>
      <c r="S195" s="550">
        <f>IF(C195=0,0,(VLOOKUP(C195,'PO MTRL'!$B$9:$S1518,17,0)))</f>
        <v>0</v>
      </c>
      <c r="T195" s="553"/>
      <c r="U195" s="554">
        <f>IF(C195=0,0,(VLOOKUP(C195,'PO MTRL'!$B$9:$S1518,18,0)))</f>
        <v>0</v>
      </c>
      <c r="V195" s="16"/>
      <c r="W195" s="119" t="str">
        <f t="shared" si="6"/>
        <v/>
      </c>
      <c r="X195" s="564">
        <f t="shared" si="7"/>
        <v>0</v>
      </c>
      <c r="Y195" s="119"/>
      <c r="Z195" s="119"/>
      <c r="AA195" s="530">
        <f>IFERROR(__xludf.DUMMYFUNCTION("""COMPUTED_VALUE"""),187.0)</f>
        <v>187</v>
      </c>
      <c r="AB195" s="119"/>
      <c r="AC195" s="119"/>
      <c r="AD195" s="119"/>
      <c r="AE195" s="119"/>
      <c r="AF195" s="119"/>
      <c r="AG195" s="555" t="str">
        <f t="shared" si="8"/>
        <v>  ---&gt;     ---&gt;   </v>
      </c>
      <c r="AH195" s="16"/>
      <c r="AI195" s="439"/>
      <c r="AJ195" s="439"/>
      <c r="AK195" s="439"/>
    </row>
    <row r="196" ht="18.75" customHeight="1">
      <c r="A196" s="439"/>
      <c r="B196" s="546"/>
      <c r="C196" s="547"/>
      <c r="D196" s="446">
        <f>IF(C196=0,0,(VLOOKUP(C196,'PO MTRL'!$B$9:$S1518,2,0)))</f>
        <v>0</v>
      </c>
      <c r="E196" s="548" t="str">
        <f>IF(C196="","",(VLOOKUP(C196,'PO MTRL'!$B$9:$S1518,3,0)))</f>
        <v/>
      </c>
      <c r="F196" s="549">
        <f>IF(C196=0,0,(VLOOKUP(C196,'PO MTRL'!$B$9:$S1518,4,0)))</f>
        <v>0</v>
      </c>
      <c r="G196" s="444"/>
      <c r="H196" s="550">
        <f>IF(C196=0,0,(VLOOKUP(C196,'PO MTRL'!$B$9:$S1518,6,0)))</f>
        <v>0</v>
      </c>
      <c r="I196" s="446">
        <f>IF(C196=0,0,(VLOOKUP(C196,'PO MTRL'!$B$9:$S1518,7,0)))</f>
        <v>0</v>
      </c>
      <c r="J196" s="551">
        <f>IF(C196=0,0,(VLOOKUP(C196,'PO MTRL'!$B$9:$S1518,8,0)))</f>
        <v>0</v>
      </c>
      <c r="K196" s="559"/>
      <c r="L196" s="448">
        <f t="shared" si="1"/>
        <v>0</v>
      </c>
      <c r="M196" s="551">
        <f t="shared" si="2"/>
        <v>0</v>
      </c>
      <c r="N196" s="449">
        <f t="shared" si="3"/>
        <v>0</v>
      </c>
      <c r="O196" s="551">
        <f>IF(H196=0,0,(VLOOKUP(H196,'PO MTRL'!$G$9:$S1518,5,0)))</f>
        <v>0</v>
      </c>
      <c r="P196" s="551">
        <f>IF(H196=0,0,(VLOOKUP(H196,'PO MTRL'!$G$9:$S1518,7,0)))</f>
        <v>0</v>
      </c>
      <c r="Q196" s="551">
        <f t="shared" si="4"/>
        <v>0</v>
      </c>
      <c r="R196" s="551">
        <f t="shared" si="5"/>
        <v>0</v>
      </c>
      <c r="S196" s="550">
        <f>IF(C196=0,0,(VLOOKUP(C196,'PO MTRL'!$B$9:$S1518,17,0)))</f>
        <v>0</v>
      </c>
      <c r="T196" s="553"/>
      <c r="U196" s="554">
        <f>IF(C196=0,0,(VLOOKUP(C196,'PO MTRL'!$B$9:$S1518,18,0)))</f>
        <v>0</v>
      </c>
      <c r="V196" s="16"/>
      <c r="W196" s="119" t="str">
        <f t="shared" si="6"/>
        <v/>
      </c>
      <c r="X196" s="564">
        <f t="shared" si="7"/>
        <v>0</v>
      </c>
      <c r="Y196" s="119"/>
      <c r="Z196" s="119"/>
      <c r="AA196" s="530">
        <f>IFERROR(__xludf.DUMMYFUNCTION("""COMPUTED_VALUE"""),188.0)</f>
        <v>188</v>
      </c>
      <c r="AB196" s="119"/>
      <c r="AC196" s="119"/>
      <c r="AD196" s="119"/>
      <c r="AE196" s="119"/>
      <c r="AF196" s="119"/>
      <c r="AG196" s="555" t="str">
        <f t="shared" si="8"/>
        <v>  ---&gt;     ---&gt;   </v>
      </c>
      <c r="AH196" s="16"/>
      <c r="AI196" s="439"/>
      <c r="AJ196" s="439"/>
      <c r="AK196" s="439"/>
    </row>
    <row r="197" ht="18.75" customHeight="1">
      <c r="A197" s="439"/>
      <c r="B197" s="546"/>
      <c r="C197" s="547"/>
      <c r="D197" s="446">
        <f>IF(C197=0,0,(VLOOKUP(C197,'PO MTRL'!$B$9:$S1518,2,0)))</f>
        <v>0</v>
      </c>
      <c r="E197" s="548" t="str">
        <f>IF(C197="","",(VLOOKUP(C197,'PO MTRL'!$B$9:$S1518,3,0)))</f>
        <v/>
      </c>
      <c r="F197" s="549">
        <f>IF(C197=0,0,(VLOOKUP(C197,'PO MTRL'!$B$9:$S1518,4,0)))</f>
        <v>0</v>
      </c>
      <c r="G197" s="444"/>
      <c r="H197" s="550">
        <f>IF(C197=0,0,(VLOOKUP(C197,'PO MTRL'!$B$9:$S1518,6,0)))</f>
        <v>0</v>
      </c>
      <c r="I197" s="446">
        <f>IF(C197=0,0,(VLOOKUP(C197,'PO MTRL'!$B$9:$S1518,7,0)))</f>
        <v>0</v>
      </c>
      <c r="J197" s="551">
        <f>IF(C197=0,0,(VLOOKUP(C197,'PO MTRL'!$B$9:$S1518,8,0)))</f>
        <v>0</v>
      </c>
      <c r="K197" s="559"/>
      <c r="L197" s="448">
        <f t="shared" si="1"/>
        <v>0</v>
      </c>
      <c r="M197" s="551">
        <f t="shared" si="2"/>
        <v>0</v>
      </c>
      <c r="N197" s="449">
        <f t="shared" si="3"/>
        <v>0</v>
      </c>
      <c r="O197" s="551">
        <f>IF(H197=0,0,(VLOOKUP(H197,'PO MTRL'!$G$9:$S1518,5,0)))</f>
        <v>0</v>
      </c>
      <c r="P197" s="551">
        <f>IF(H197=0,0,(VLOOKUP(H197,'PO MTRL'!$G$9:$S1518,7,0)))</f>
        <v>0</v>
      </c>
      <c r="Q197" s="551">
        <f t="shared" si="4"/>
        <v>0</v>
      </c>
      <c r="R197" s="551">
        <f t="shared" si="5"/>
        <v>0</v>
      </c>
      <c r="S197" s="550">
        <f>IF(C197=0,0,(VLOOKUP(C197,'PO MTRL'!$B$9:$S1518,17,0)))</f>
        <v>0</v>
      </c>
      <c r="T197" s="553"/>
      <c r="U197" s="554">
        <f>IF(C197=0,0,(VLOOKUP(C197,'PO MTRL'!$B$9:$S1518,18,0)))</f>
        <v>0</v>
      </c>
      <c r="V197" s="16"/>
      <c r="W197" s="119" t="str">
        <f t="shared" si="6"/>
        <v/>
      </c>
      <c r="X197" s="564">
        <f t="shared" si="7"/>
        <v>0</v>
      </c>
      <c r="Y197" s="119"/>
      <c r="Z197" s="119"/>
      <c r="AA197" s="530">
        <f>IFERROR(__xludf.DUMMYFUNCTION("""COMPUTED_VALUE"""),189.0)</f>
        <v>189</v>
      </c>
      <c r="AB197" s="119"/>
      <c r="AC197" s="119"/>
      <c r="AD197" s="119"/>
      <c r="AE197" s="119"/>
      <c r="AF197" s="119"/>
      <c r="AG197" s="555" t="str">
        <f t="shared" si="8"/>
        <v>  ---&gt;     ---&gt;   </v>
      </c>
      <c r="AH197" s="16"/>
      <c r="AI197" s="439"/>
      <c r="AJ197" s="439"/>
      <c r="AK197" s="439"/>
    </row>
    <row r="198" ht="18.75" customHeight="1">
      <c r="A198" s="439"/>
      <c r="B198" s="546"/>
      <c r="C198" s="547"/>
      <c r="D198" s="446">
        <f>IF(C198=0,0,(VLOOKUP(C198,'PO MTRL'!$B$9:$S1518,2,0)))</f>
        <v>0</v>
      </c>
      <c r="E198" s="548" t="str">
        <f>IF(C198="","",(VLOOKUP(C198,'PO MTRL'!$B$9:$S1518,3,0)))</f>
        <v/>
      </c>
      <c r="F198" s="549">
        <f>IF(C198=0,0,(VLOOKUP(C198,'PO MTRL'!$B$9:$S1518,4,0)))</f>
        <v>0</v>
      </c>
      <c r="G198" s="444"/>
      <c r="H198" s="550">
        <f>IF(C198=0,0,(VLOOKUP(C198,'PO MTRL'!$B$9:$S1518,6,0)))</f>
        <v>0</v>
      </c>
      <c r="I198" s="446">
        <f>IF(C198=0,0,(VLOOKUP(C198,'PO MTRL'!$B$9:$S1518,7,0)))</f>
        <v>0</v>
      </c>
      <c r="J198" s="551">
        <f>IF(C198=0,0,(VLOOKUP(C198,'PO MTRL'!$B$9:$S1518,8,0)))</f>
        <v>0</v>
      </c>
      <c r="K198" s="559"/>
      <c r="L198" s="448">
        <f t="shared" si="1"/>
        <v>0</v>
      </c>
      <c r="M198" s="551">
        <f t="shared" si="2"/>
        <v>0</v>
      </c>
      <c r="N198" s="449">
        <f t="shared" si="3"/>
        <v>0</v>
      </c>
      <c r="O198" s="551">
        <f>IF(H198=0,0,(VLOOKUP(H198,'PO MTRL'!$G$9:$S1518,5,0)))</f>
        <v>0</v>
      </c>
      <c r="P198" s="551">
        <f>IF(H198=0,0,(VLOOKUP(H198,'PO MTRL'!$G$9:$S1518,7,0)))</f>
        <v>0</v>
      </c>
      <c r="Q198" s="551">
        <f t="shared" si="4"/>
        <v>0</v>
      </c>
      <c r="R198" s="551">
        <f t="shared" si="5"/>
        <v>0</v>
      </c>
      <c r="S198" s="550">
        <f>IF(C198=0,0,(VLOOKUP(C198,'PO MTRL'!$B$9:$S1518,17,0)))</f>
        <v>0</v>
      </c>
      <c r="T198" s="553"/>
      <c r="U198" s="554">
        <f>IF(C198=0,0,(VLOOKUP(C198,'PO MTRL'!$B$9:$S1518,18,0)))</f>
        <v>0</v>
      </c>
      <c r="V198" s="16"/>
      <c r="W198" s="119" t="str">
        <f t="shared" si="6"/>
        <v/>
      </c>
      <c r="X198" s="564">
        <f t="shared" si="7"/>
        <v>0</v>
      </c>
      <c r="Y198" s="119"/>
      <c r="Z198" s="119"/>
      <c r="AA198" s="530">
        <f>IFERROR(__xludf.DUMMYFUNCTION("""COMPUTED_VALUE"""),190.0)</f>
        <v>190</v>
      </c>
      <c r="AB198" s="119"/>
      <c r="AC198" s="119"/>
      <c r="AD198" s="119"/>
      <c r="AE198" s="119"/>
      <c r="AF198" s="119"/>
      <c r="AG198" s="555" t="str">
        <f t="shared" si="8"/>
        <v>  ---&gt;     ---&gt;   </v>
      </c>
      <c r="AH198" s="16"/>
      <c r="AI198" s="439"/>
      <c r="AJ198" s="439"/>
      <c r="AK198" s="439"/>
    </row>
    <row r="199" ht="25.5" customHeight="1">
      <c r="A199" s="439"/>
      <c r="B199" s="546"/>
      <c r="C199" s="547"/>
      <c r="D199" s="446">
        <f>IF(C199=0,0,(VLOOKUP(C199,'PO MTRL'!$B$9:$S1518,2,0)))</f>
        <v>0</v>
      </c>
      <c r="E199" s="548" t="str">
        <f>IF(C199="","",(VLOOKUP(C199,'PO MTRL'!$B$9:$S1518,3,0)))</f>
        <v/>
      </c>
      <c r="F199" s="549">
        <f>IF(C199=0,0,(VLOOKUP(C199,'PO MTRL'!$B$9:$S1518,4,0)))</f>
        <v>0</v>
      </c>
      <c r="G199" s="444"/>
      <c r="H199" s="550">
        <f>IF(C199=0,0,(VLOOKUP(C199,'PO MTRL'!$B$9:$S1518,6,0)))</f>
        <v>0</v>
      </c>
      <c r="I199" s="446">
        <f>IF(C199=0,0,(VLOOKUP(C199,'PO MTRL'!$B$9:$S1518,7,0)))</f>
        <v>0</v>
      </c>
      <c r="J199" s="551">
        <f>IF(C199=0,0,(VLOOKUP(C199,'PO MTRL'!$B$9:$S1518,8,0)))</f>
        <v>0</v>
      </c>
      <c r="K199" s="559"/>
      <c r="L199" s="448">
        <f t="shared" si="1"/>
        <v>0</v>
      </c>
      <c r="M199" s="551">
        <f t="shared" si="2"/>
        <v>0</v>
      </c>
      <c r="N199" s="449">
        <f t="shared" si="3"/>
        <v>0</v>
      </c>
      <c r="O199" s="551">
        <f>IF(H199=0,0,(VLOOKUP(H199,'PO MTRL'!$G$9:$S1518,5,0)))</f>
        <v>0</v>
      </c>
      <c r="P199" s="551">
        <f>IF(H199=0,0,(VLOOKUP(H199,'PO MTRL'!$G$9:$S1518,7,0)))</f>
        <v>0</v>
      </c>
      <c r="Q199" s="551">
        <f t="shared" si="4"/>
        <v>0</v>
      </c>
      <c r="R199" s="551">
        <f t="shared" si="5"/>
        <v>0</v>
      </c>
      <c r="S199" s="550">
        <f>IF(C199=0,0,(VLOOKUP(C199,'PO MTRL'!$B$9:$S1518,17,0)))</f>
        <v>0</v>
      </c>
      <c r="T199" s="553"/>
      <c r="U199" s="554">
        <f>IF(C199=0,0,(VLOOKUP(C199,'PO MTRL'!$B$9:$S1518,18,0)))</f>
        <v>0</v>
      </c>
      <c r="V199" s="16"/>
      <c r="W199" s="119" t="str">
        <f t="shared" si="6"/>
        <v/>
      </c>
      <c r="X199" s="564">
        <f t="shared" si="7"/>
        <v>0</v>
      </c>
      <c r="Y199" s="119"/>
      <c r="Z199" s="119"/>
      <c r="AA199" s="530">
        <f>IFERROR(__xludf.DUMMYFUNCTION("""COMPUTED_VALUE"""),191.0)</f>
        <v>191</v>
      </c>
      <c r="AB199" s="119"/>
      <c r="AC199" s="119"/>
      <c r="AD199" s="119"/>
      <c r="AE199" s="119"/>
      <c r="AF199" s="119"/>
      <c r="AG199" s="555" t="str">
        <f t="shared" si="8"/>
        <v>  ---&gt;     ---&gt;   </v>
      </c>
      <c r="AH199" s="16"/>
      <c r="AI199" s="439"/>
      <c r="AJ199" s="439"/>
      <c r="AK199" s="439"/>
    </row>
    <row r="200" ht="25.5" customHeight="1">
      <c r="A200" s="439"/>
      <c r="B200" s="546"/>
      <c r="C200" s="547"/>
      <c r="D200" s="446">
        <f>IF(C200=0,0,(VLOOKUP(C200,'PO MTRL'!$B$9:$S1518,2,0)))</f>
        <v>0</v>
      </c>
      <c r="E200" s="548" t="str">
        <f>IF(C200="","",(VLOOKUP(C200,'PO MTRL'!$B$9:$S1518,3,0)))</f>
        <v/>
      </c>
      <c r="F200" s="549">
        <f>IF(C200=0,0,(VLOOKUP(C200,'PO MTRL'!$B$9:$S1518,4,0)))</f>
        <v>0</v>
      </c>
      <c r="G200" s="444"/>
      <c r="H200" s="550">
        <f>IF(C200=0,0,(VLOOKUP(C200,'PO MTRL'!$B$9:$S1518,6,0)))</f>
        <v>0</v>
      </c>
      <c r="I200" s="446">
        <f>IF(C200=0,0,(VLOOKUP(C200,'PO MTRL'!$B$9:$S1518,7,0)))</f>
        <v>0</v>
      </c>
      <c r="J200" s="551">
        <f>IF(C200=0,0,(VLOOKUP(C200,'PO MTRL'!$B$9:$S1518,8,0)))</f>
        <v>0</v>
      </c>
      <c r="K200" s="559"/>
      <c r="L200" s="448">
        <f t="shared" si="1"/>
        <v>0</v>
      </c>
      <c r="M200" s="551">
        <f t="shared" si="2"/>
        <v>0</v>
      </c>
      <c r="N200" s="449">
        <f t="shared" si="3"/>
        <v>0</v>
      </c>
      <c r="O200" s="551">
        <f>IF(H200=0,0,(VLOOKUP(H200,'PO MTRL'!$G$9:$S1518,5,0)))</f>
        <v>0</v>
      </c>
      <c r="P200" s="551">
        <f>IF(H200=0,0,(VLOOKUP(H200,'PO MTRL'!$G$9:$S1518,7,0)))</f>
        <v>0</v>
      </c>
      <c r="Q200" s="551">
        <f t="shared" si="4"/>
        <v>0</v>
      </c>
      <c r="R200" s="551">
        <f t="shared" si="5"/>
        <v>0</v>
      </c>
      <c r="S200" s="550">
        <f>IF(C200=0,0,(VLOOKUP(C200,'PO MTRL'!$B$9:$S1518,17,0)))</f>
        <v>0</v>
      </c>
      <c r="T200" s="553"/>
      <c r="U200" s="554">
        <f>IF(C200=0,0,(VLOOKUP(C200,'PO MTRL'!$B$9:$S1518,18,0)))</f>
        <v>0</v>
      </c>
      <c r="V200" s="16"/>
      <c r="W200" s="119" t="str">
        <f t="shared" si="6"/>
        <v/>
      </c>
      <c r="X200" s="564">
        <f t="shared" si="7"/>
        <v>0</v>
      </c>
      <c r="Y200" s="119"/>
      <c r="Z200" s="119"/>
      <c r="AA200" s="530">
        <f>IFERROR(__xludf.DUMMYFUNCTION("""COMPUTED_VALUE"""),192.0)</f>
        <v>192</v>
      </c>
      <c r="AB200" s="119"/>
      <c r="AC200" s="119"/>
      <c r="AD200" s="119"/>
      <c r="AE200" s="119"/>
      <c r="AF200" s="119"/>
      <c r="AG200" s="555" t="str">
        <f t="shared" si="8"/>
        <v>  ---&gt;     ---&gt;   </v>
      </c>
      <c r="AH200" s="16"/>
      <c r="AI200" s="439"/>
      <c r="AJ200" s="439"/>
      <c r="AK200" s="439"/>
    </row>
    <row r="201" ht="18.75" customHeight="1">
      <c r="A201" s="439"/>
      <c r="B201" s="546"/>
      <c r="C201" s="547"/>
      <c r="D201" s="446">
        <f>IF(C201=0,0,(VLOOKUP(C201,'PO MTRL'!$B$9:$S1518,2,0)))</f>
        <v>0</v>
      </c>
      <c r="E201" s="548" t="str">
        <f>IF(C201="","",(VLOOKUP(C201,'PO MTRL'!$B$9:$S1518,3,0)))</f>
        <v/>
      </c>
      <c r="F201" s="549">
        <f>IF(C201=0,0,(VLOOKUP(C201,'PO MTRL'!$B$9:$S1518,4,0)))</f>
        <v>0</v>
      </c>
      <c r="G201" s="444"/>
      <c r="H201" s="550">
        <f>IF(C201=0,0,(VLOOKUP(C201,'PO MTRL'!$B$9:$S1518,6,0)))</f>
        <v>0</v>
      </c>
      <c r="I201" s="446">
        <f>IF(C201=0,0,(VLOOKUP(C201,'PO MTRL'!$B$9:$S1518,7,0)))</f>
        <v>0</v>
      </c>
      <c r="J201" s="551">
        <f>IF(C201=0,0,(VLOOKUP(C201,'PO MTRL'!$B$9:$S1518,8,0)))</f>
        <v>0</v>
      </c>
      <c r="K201" s="559"/>
      <c r="L201" s="448">
        <f t="shared" si="1"/>
        <v>0</v>
      </c>
      <c r="M201" s="551">
        <f t="shared" si="2"/>
        <v>0</v>
      </c>
      <c r="N201" s="449">
        <f t="shared" si="3"/>
        <v>0</v>
      </c>
      <c r="O201" s="551">
        <f>IF(H201=0,0,(VLOOKUP(H201,'PO MTRL'!$G$9:$S1518,5,0)))</f>
        <v>0</v>
      </c>
      <c r="P201" s="551">
        <f>IF(H201=0,0,(VLOOKUP(H201,'PO MTRL'!$G$9:$S1518,7,0)))</f>
        <v>0</v>
      </c>
      <c r="Q201" s="551">
        <f t="shared" si="4"/>
        <v>0</v>
      </c>
      <c r="R201" s="551">
        <f t="shared" si="5"/>
        <v>0</v>
      </c>
      <c r="S201" s="550">
        <f>IF(C201=0,0,(VLOOKUP(C201,'PO MTRL'!$B$9:$S1518,17,0)))</f>
        <v>0</v>
      </c>
      <c r="T201" s="553"/>
      <c r="U201" s="554">
        <f>IF(C201=0,0,(VLOOKUP(C201,'PO MTRL'!$B$9:$S1518,18,0)))</f>
        <v>0</v>
      </c>
      <c r="V201" s="16"/>
      <c r="W201" s="119" t="str">
        <f t="shared" si="6"/>
        <v/>
      </c>
      <c r="X201" s="564">
        <f t="shared" si="7"/>
        <v>0</v>
      </c>
      <c r="Y201" s="119"/>
      <c r="Z201" s="119"/>
      <c r="AA201" s="530">
        <f>IFERROR(__xludf.DUMMYFUNCTION("""COMPUTED_VALUE"""),193.0)</f>
        <v>193</v>
      </c>
      <c r="AB201" s="119"/>
      <c r="AC201" s="119"/>
      <c r="AD201" s="119"/>
      <c r="AE201" s="119"/>
      <c r="AF201" s="119"/>
      <c r="AG201" s="555" t="str">
        <f t="shared" si="8"/>
        <v>  ---&gt;     ---&gt;   </v>
      </c>
      <c r="AH201" s="16"/>
      <c r="AI201" s="439"/>
      <c r="AJ201" s="439"/>
      <c r="AK201" s="439"/>
    </row>
    <row r="202" ht="24.0" customHeight="1">
      <c r="A202" s="439"/>
      <c r="B202" s="546"/>
      <c r="C202" s="547"/>
      <c r="D202" s="446">
        <f>IF(C202=0,0,(VLOOKUP(C202,'PO MTRL'!$B$9:$S1518,2,0)))</f>
        <v>0</v>
      </c>
      <c r="E202" s="548" t="str">
        <f>IF(C202="","",(VLOOKUP(C202,'PO MTRL'!$B$9:$S1518,3,0)))</f>
        <v/>
      </c>
      <c r="F202" s="549">
        <f>IF(C202=0,0,(VLOOKUP(C202,'PO MTRL'!$B$9:$S1518,4,0)))</f>
        <v>0</v>
      </c>
      <c r="G202" s="444"/>
      <c r="H202" s="550">
        <f>IF(C202=0,0,(VLOOKUP(C202,'PO MTRL'!$B$9:$S1518,6,0)))</f>
        <v>0</v>
      </c>
      <c r="I202" s="446">
        <f>IF(C202=0,0,(VLOOKUP(C202,'PO MTRL'!$B$9:$S1518,7,0)))</f>
        <v>0</v>
      </c>
      <c r="J202" s="551">
        <f>IF(C202=0,0,(VLOOKUP(C202,'PO MTRL'!$B$9:$S1518,8,0)))</f>
        <v>0</v>
      </c>
      <c r="K202" s="559"/>
      <c r="L202" s="448">
        <f t="shared" si="1"/>
        <v>0</v>
      </c>
      <c r="M202" s="551">
        <f t="shared" si="2"/>
        <v>0</v>
      </c>
      <c r="N202" s="449">
        <f t="shared" si="3"/>
        <v>0</v>
      </c>
      <c r="O202" s="551">
        <f>IF(H202=0,0,(VLOOKUP(H202,'PO MTRL'!$G$9:$S1518,5,0)))</f>
        <v>0</v>
      </c>
      <c r="P202" s="551">
        <f>IF(H202=0,0,(VLOOKUP(H202,'PO MTRL'!$G$9:$S1518,7,0)))</f>
        <v>0</v>
      </c>
      <c r="Q202" s="551">
        <f t="shared" si="4"/>
        <v>0</v>
      </c>
      <c r="R202" s="551">
        <f t="shared" si="5"/>
        <v>0</v>
      </c>
      <c r="S202" s="550">
        <f>IF(C202=0,0,(VLOOKUP(C202,'PO MTRL'!$B$9:$S1518,17,0)))</f>
        <v>0</v>
      </c>
      <c r="T202" s="553"/>
      <c r="U202" s="554">
        <f>IF(C202=0,0,(VLOOKUP(C202,'PO MTRL'!$B$9:$S1518,18,0)))</f>
        <v>0</v>
      </c>
      <c r="V202" s="16"/>
      <c r="W202" s="119" t="str">
        <f t="shared" si="6"/>
        <v/>
      </c>
      <c r="X202" s="564">
        <f t="shared" si="7"/>
        <v>0</v>
      </c>
      <c r="Y202" s="119"/>
      <c r="Z202" s="119"/>
      <c r="AA202" s="530">
        <f>IFERROR(__xludf.DUMMYFUNCTION("""COMPUTED_VALUE"""),194.0)</f>
        <v>194</v>
      </c>
      <c r="AB202" s="119"/>
      <c r="AC202" s="119"/>
      <c r="AD202" s="119"/>
      <c r="AE202" s="119"/>
      <c r="AF202" s="119"/>
      <c r="AG202" s="555" t="str">
        <f t="shared" si="8"/>
        <v>  ---&gt;     ---&gt;   </v>
      </c>
      <c r="AH202" s="16"/>
      <c r="AI202" s="439"/>
      <c r="AJ202" s="439"/>
      <c r="AK202" s="439"/>
    </row>
    <row r="203" ht="24.0" customHeight="1">
      <c r="A203" s="439"/>
      <c r="B203" s="546"/>
      <c r="C203" s="547"/>
      <c r="D203" s="446">
        <f>IF(C203=0,0,(VLOOKUP(C203,'PO MTRL'!$B$9:$S1518,2,0)))</f>
        <v>0</v>
      </c>
      <c r="E203" s="548" t="str">
        <f>IF(C203="","",(VLOOKUP(C203,'PO MTRL'!$B$9:$S1518,3,0)))</f>
        <v/>
      </c>
      <c r="F203" s="549">
        <f>IF(C203=0,0,(VLOOKUP(C203,'PO MTRL'!$B$9:$S1518,4,0)))</f>
        <v>0</v>
      </c>
      <c r="G203" s="444"/>
      <c r="H203" s="550">
        <f>IF(C203=0,0,(VLOOKUP(C203,'PO MTRL'!$B$9:$S1518,6,0)))</f>
        <v>0</v>
      </c>
      <c r="I203" s="446">
        <f>IF(C203=0,0,(VLOOKUP(C203,'PO MTRL'!$B$9:$S1518,7,0)))</f>
        <v>0</v>
      </c>
      <c r="J203" s="551">
        <f>IF(C203=0,0,(VLOOKUP(C203,'PO MTRL'!$B$9:$S1518,8,0)))</f>
        <v>0</v>
      </c>
      <c r="K203" s="559"/>
      <c r="L203" s="448">
        <f t="shared" si="1"/>
        <v>0</v>
      </c>
      <c r="M203" s="551">
        <f t="shared" si="2"/>
        <v>0</v>
      </c>
      <c r="N203" s="449">
        <f t="shared" si="3"/>
        <v>0</v>
      </c>
      <c r="O203" s="551">
        <f>IF(H203=0,0,(VLOOKUP(H203,'PO MTRL'!$G$9:$S1518,5,0)))</f>
        <v>0</v>
      </c>
      <c r="P203" s="551">
        <f>IF(H203=0,0,(VLOOKUP(H203,'PO MTRL'!$G$9:$S1518,7,0)))</f>
        <v>0</v>
      </c>
      <c r="Q203" s="551">
        <f t="shared" si="4"/>
        <v>0</v>
      </c>
      <c r="R203" s="551">
        <f t="shared" si="5"/>
        <v>0</v>
      </c>
      <c r="S203" s="550">
        <f>IF(C203=0,0,(VLOOKUP(C203,'PO MTRL'!$B$9:$S1518,17,0)))</f>
        <v>0</v>
      </c>
      <c r="T203" s="553"/>
      <c r="U203" s="554">
        <f>IF(C203=0,0,(VLOOKUP(C203,'PO MTRL'!$B$9:$S1518,18,0)))</f>
        <v>0</v>
      </c>
      <c r="V203" s="16"/>
      <c r="W203" s="119" t="str">
        <f t="shared" si="6"/>
        <v/>
      </c>
      <c r="X203" s="564">
        <f t="shared" si="7"/>
        <v>0</v>
      </c>
      <c r="Y203" s="119"/>
      <c r="Z203" s="119"/>
      <c r="AA203" s="530">
        <f>IFERROR(__xludf.DUMMYFUNCTION("""COMPUTED_VALUE"""),195.0)</f>
        <v>195</v>
      </c>
      <c r="AB203" s="119"/>
      <c r="AC203" s="119"/>
      <c r="AD203" s="119"/>
      <c r="AE203" s="119"/>
      <c r="AF203" s="119"/>
      <c r="AG203" s="555" t="str">
        <f t="shared" si="8"/>
        <v>  ---&gt;     ---&gt;   </v>
      </c>
      <c r="AH203" s="16"/>
      <c r="AI203" s="439"/>
      <c r="AJ203" s="439"/>
      <c r="AK203" s="439"/>
    </row>
    <row r="204" ht="18.75" customHeight="1">
      <c r="A204" s="439"/>
      <c r="B204" s="546"/>
      <c r="C204" s="547"/>
      <c r="D204" s="446">
        <f>IF(C204=0,0,(VLOOKUP(C204,'PO MTRL'!$B$9:$S1518,2,0)))</f>
        <v>0</v>
      </c>
      <c r="E204" s="548" t="str">
        <f>IF(C204="","",(VLOOKUP(C204,'PO MTRL'!$B$9:$S1518,3,0)))</f>
        <v/>
      </c>
      <c r="F204" s="549">
        <f>IF(C204=0,0,(VLOOKUP(C204,'PO MTRL'!$B$9:$S1518,4,0)))</f>
        <v>0</v>
      </c>
      <c r="G204" s="444"/>
      <c r="H204" s="550">
        <f>IF(C204=0,0,(VLOOKUP(C204,'PO MTRL'!$B$9:$S1518,6,0)))</f>
        <v>0</v>
      </c>
      <c r="I204" s="446">
        <f>IF(C204=0,0,(VLOOKUP(C204,'PO MTRL'!$B$9:$S1518,7,0)))</f>
        <v>0</v>
      </c>
      <c r="J204" s="551">
        <f>IF(C204=0,0,(VLOOKUP(C204,'PO MTRL'!$B$9:$S1518,8,0)))</f>
        <v>0</v>
      </c>
      <c r="K204" s="559"/>
      <c r="L204" s="448">
        <f t="shared" si="1"/>
        <v>0</v>
      </c>
      <c r="M204" s="551">
        <f t="shared" si="2"/>
        <v>0</v>
      </c>
      <c r="N204" s="449">
        <f t="shared" si="3"/>
        <v>0</v>
      </c>
      <c r="O204" s="551">
        <f>IF(H204=0,0,(VLOOKUP(H204,'PO MTRL'!$G$9:$S1518,5,0)))</f>
        <v>0</v>
      </c>
      <c r="P204" s="551">
        <f>IF(H204=0,0,(VLOOKUP(H204,'PO MTRL'!$G$9:$S1518,7,0)))</f>
        <v>0</v>
      </c>
      <c r="Q204" s="551">
        <f t="shared" si="4"/>
        <v>0</v>
      </c>
      <c r="R204" s="551">
        <f t="shared" si="5"/>
        <v>0</v>
      </c>
      <c r="S204" s="550">
        <f>IF(C204=0,0,(VLOOKUP(C204,'PO MTRL'!$B$9:$S1518,17,0)))</f>
        <v>0</v>
      </c>
      <c r="T204" s="553"/>
      <c r="U204" s="554">
        <f>IF(C204=0,0,(VLOOKUP(C204,'PO MTRL'!$B$9:$S1518,18,0)))</f>
        <v>0</v>
      </c>
      <c r="V204" s="16"/>
      <c r="W204" s="119" t="str">
        <f t="shared" si="6"/>
        <v/>
      </c>
      <c r="X204" s="564">
        <f t="shared" si="7"/>
        <v>0</v>
      </c>
      <c r="Y204" s="119"/>
      <c r="Z204" s="119"/>
      <c r="AA204" s="530">
        <f>IFERROR(__xludf.DUMMYFUNCTION("""COMPUTED_VALUE"""),196.0)</f>
        <v>196</v>
      </c>
      <c r="AB204" s="119"/>
      <c r="AC204" s="119"/>
      <c r="AD204" s="119"/>
      <c r="AE204" s="119"/>
      <c r="AF204" s="119"/>
      <c r="AG204" s="555" t="str">
        <f t="shared" si="8"/>
        <v>  ---&gt;     ---&gt;   </v>
      </c>
      <c r="AH204" s="16"/>
      <c r="AI204" s="439"/>
      <c r="AJ204" s="439"/>
      <c r="AK204" s="439"/>
    </row>
    <row r="205" ht="18.75" customHeight="1">
      <c r="A205" s="439"/>
      <c r="B205" s="546"/>
      <c r="C205" s="547"/>
      <c r="D205" s="446">
        <f>IF(C205=0,0,(VLOOKUP(C205,'PO MTRL'!$B$9:$S1518,2,0)))</f>
        <v>0</v>
      </c>
      <c r="E205" s="548" t="str">
        <f>IF(C205="","",(VLOOKUP(C205,'PO MTRL'!$B$9:$S1518,3,0)))</f>
        <v/>
      </c>
      <c r="F205" s="549">
        <f>IF(C205=0,0,(VLOOKUP(C205,'PO MTRL'!$B$9:$S1518,4,0)))</f>
        <v>0</v>
      </c>
      <c r="G205" s="444"/>
      <c r="H205" s="550">
        <f>IF(C205=0,0,(VLOOKUP(C205,'PO MTRL'!$B$9:$S1518,6,0)))</f>
        <v>0</v>
      </c>
      <c r="I205" s="446">
        <f>IF(C205=0,0,(VLOOKUP(C205,'PO MTRL'!$B$9:$S1518,7,0)))</f>
        <v>0</v>
      </c>
      <c r="J205" s="551">
        <f>IF(C205=0,0,(VLOOKUP(C205,'PO MTRL'!$B$9:$S1518,8,0)))</f>
        <v>0</v>
      </c>
      <c r="K205" s="559"/>
      <c r="L205" s="448">
        <f t="shared" si="1"/>
        <v>0</v>
      </c>
      <c r="M205" s="551">
        <f t="shared" si="2"/>
        <v>0</v>
      </c>
      <c r="N205" s="449">
        <f t="shared" si="3"/>
        <v>0</v>
      </c>
      <c r="O205" s="551">
        <f>IF(H205=0,0,(VLOOKUP(H205,'PO MTRL'!$G$9:$S1518,5,0)))</f>
        <v>0</v>
      </c>
      <c r="P205" s="551">
        <f>IF(H205=0,0,(VLOOKUP(H205,'PO MTRL'!$G$9:$S1518,7,0)))</f>
        <v>0</v>
      </c>
      <c r="Q205" s="551">
        <f t="shared" si="4"/>
        <v>0</v>
      </c>
      <c r="R205" s="551">
        <f t="shared" si="5"/>
        <v>0</v>
      </c>
      <c r="S205" s="550">
        <f>IF(C205=0,0,(VLOOKUP(C205,'PO MTRL'!$B$9:$S1518,17,0)))</f>
        <v>0</v>
      </c>
      <c r="T205" s="553"/>
      <c r="U205" s="554">
        <f>IF(C205=0,0,(VLOOKUP(C205,'PO MTRL'!$B$9:$S1518,18,0)))</f>
        <v>0</v>
      </c>
      <c r="V205" s="16"/>
      <c r="W205" s="119" t="str">
        <f t="shared" si="6"/>
        <v/>
      </c>
      <c r="X205" s="564">
        <f t="shared" si="7"/>
        <v>0</v>
      </c>
      <c r="Y205" s="119"/>
      <c r="Z205" s="119"/>
      <c r="AA205" s="530">
        <f>IFERROR(__xludf.DUMMYFUNCTION("""COMPUTED_VALUE"""),197.0)</f>
        <v>197</v>
      </c>
      <c r="AB205" s="119"/>
      <c r="AC205" s="119"/>
      <c r="AD205" s="119"/>
      <c r="AE205" s="119"/>
      <c r="AF205" s="119"/>
      <c r="AG205" s="555" t="str">
        <f t="shared" si="8"/>
        <v>  ---&gt;     ---&gt;   </v>
      </c>
      <c r="AH205" s="16"/>
      <c r="AI205" s="439"/>
      <c r="AJ205" s="439"/>
      <c r="AK205" s="439"/>
    </row>
    <row r="206" ht="26.25" customHeight="1">
      <c r="A206" s="439"/>
      <c r="B206" s="546"/>
      <c r="C206" s="547"/>
      <c r="D206" s="446">
        <f>IF(C206=0,0,(VLOOKUP(C206,'PO MTRL'!$B$9:$S1518,2,0)))</f>
        <v>0</v>
      </c>
      <c r="E206" s="548" t="str">
        <f>IF(C206="","",(VLOOKUP(C206,'PO MTRL'!$B$9:$S1518,3,0)))</f>
        <v/>
      </c>
      <c r="F206" s="549">
        <f>IF(C206=0,0,(VLOOKUP(C206,'PO MTRL'!$B$9:$S1518,4,0)))</f>
        <v>0</v>
      </c>
      <c r="G206" s="444"/>
      <c r="H206" s="550">
        <f>IF(C206=0,0,(VLOOKUP(C206,'PO MTRL'!$B$9:$S1518,6,0)))</f>
        <v>0</v>
      </c>
      <c r="I206" s="446">
        <f>IF(C206=0,0,(VLOOKUP(C206,'PO MTRL'!$B$9:$S1518,7,0)))</f>
        <v>0</v>
      </c>
      <c r="J206" s="551">
        <f>IF(C206=0,0,(VLOOKUP(C206,'PO MTRL'!$B$9:$S1518,8,0)))</f>
        <v>0</v>
      </c>
      <c r="K206" s="559"/>
      <c r="L206" s="448">
        <f t="shared" si="1"/>
        <v>0</v>
      </c>
      <c r="M206" s="551">
        <f t="shared" si="2"/>
        <v>0</v>
      </c>
      <c r="N206" s="449">
        <f t="shared" si="3"/>
        <v>0</v>
      </c>
      <c r="O206" s="551">
        <f>IF(H206=0,0,(VLOOKUP(H206,'PO MTRL'!$G$9:$S1518,5,0)))</f>
        <v>0</v>
      </c>
      <c r="P206" s="551">
        <f>IF(H206=0,0,(VLOOKUP(H206,'PO MTRL'!$G$9:$S1518,7,0)))</f>
        <v>0</v>
      </c>
      <c r="Q206" s="551">
        <f t="shared" si="4"/>
        <v>0</v>
      </c>
      <c r="R206" s="551">
        <f t="shared" si="5"/>
        <v>0</v>
      </c>
      <c r="S206" s="550">
        <f>IF(C206=0,0,(VLOOKUP(C206,'PO MTRL'!$B$9:$S1518,17,0)))</f>
        <v>0</v>
      </c>
      <c r="T206" s="553"/>
      <c r="U206" s="554">
        <f>IF(C206=0,0,(VLOOKUP(C206,'PO MTRL'!$B$9:$S1518,18,0)))</f>
        <v>0</v>
      </c>
      <c r="V206" s="16"/>
      <c r="W206" s="119" t="str">
        <f t="shared" si="6"/>
        <v/>
      </c>
      <c r="X206" s="564">
        <f t="shared" si="7"/>
        <v>0</v>
      </c>
      <c r="Y206" s="119"/>
      <c r="Z206" s="119"/>
      <c r="AA206" s="530">
        <f>IFERROR(__xludf.DUMMYFUNCTION("""COMPUTED_VALUE"""),198.0)</f>
        <v>198</v>
      </c>
      <c r="AB206" s="119"/>
      <c r="AC206" s="119"/>
      <c r="AD206" s="119"/>
      <c r="AE206" s="119"/>
      <c r="AF206" s="119"/>
      <c r="AG206" s="555" t="str">
        <f t="shared" si="8"/>
        <v>  ---&gt;     ---&gt;   </v>
      </c>
      <c r="AH206" s="16"/>
      <c r="AI206" s="439"/>
      <c r="AJ206" s="439"/>
      <c r="AK206" s="439"/>
    </row>
    <row r="207" ht="18.75" customHeight="1">
      <c r="A207" s="439"/>
      <c r="B207" s="546"/>
      <c r="C207" s="547"/>
      <c r="D207" s="446">
        <f>IF(C207=0,0,(VLOOKUP(C207,'PO MTRL'!$B$9:$S1518,2,0)))</f>
        <v>0</v>
      </c>
      <c r="E207" s="548" t="str">
        <f>IF(C207="","",(VLOOKUP(C207,'PO MTRL'!$B$9:$S1518,3,0)))</f>
        <v/>
      </c>
      <c r="F207" s="549">
        <f>IF(C207=0,0,(VLOOKUP(C207,'PO MTRL'!$B$9:$S1518,4,0)))</f>
        <v>0</v>
      </c>
      <c r="G207" s="444"/>
      <c r="H207" s="550">
        <f>IF(C207=0,0,(VLOOKUP(C207,'PO MTRL'!$B$9:$S1518,6,0)))</f>
        <v>0</v>
      </c>
      <c r="I207" s="446">
        <f>IF(C207=0,0,(VLOOKUP(C207,'PO MTRL'!$B$9:$S1518,7,0)))</f>
        <v>0</v>
      </c>
      <c r="J207" s="551">
        <f>IF(C207=0,0,(VLOOKUP(C207,'PO MTRL'!$B$9:$S1518,8,0)))</f>
        <v>0</v>
      </c>
      <c r="K207" s="559"/>
      <c r="L207" s="448">
        <f t="shared" si="1"/>
        <v>0</v>
      </c>
      <c r="M207" s="551">
        <f t="shared" si="2"/>
        <v>0</v>
      </c>
      <c r="N207" s="449">
        <f t="shared" si="3"/>
        <v>0</v>
      </c>
      <c r="O207" s="551">
        <f>IF(H207=0,0,(VLOOKUP(H207,'PO MTRL'!$G$9:$S1518,5,0)))</f>
        <v>0</v>
      </c>
      <c r="P207" s="551">
        <f>IF(H207=0,0,(VLOOKUP(H207,'PO MTRL'!$G$9:$S1518,7,0)))</f>
        <v>0</v>
      </c>
      <c r="Q207" s="551">
        <f t="shared" si="4"/>
        <v>0</v>
      </c>
      <c r="R207" s="551">
        <f t="shared" si="5"/>
        <v>0</v>
      </c>
      <c r="S207" s="550">
        <f>IF(C207=0,0,(VLOOKUP(C207,'PO MTRL'!$B$9:$S1518,17,0)))</f>
        <v>0</v>
      </c>
      <c r="T207" s="553"/>
      <c r="U207" s="554">
        <f>IF(C207=0,0,(VLOOKUP(C207,'PO MTRL'!$B$9:$S1518,18,0)))</f>
        <v>0</v>
      </c>
      <c r="V207" s="16"/>
      <c r="W207" s="119" t="str">
        <f t="shared" si="6"/>
        <v/>
      </c>
      <c r="X207" s="564">
        <f t="shared" si="7"/>
        <v>0</v>
      </c>
      <c r="Y207" s="119"/>
      <c r="Z207" s="119"/>
      <c r="AA207" s="530">
        <f>IFERROR(__xludf.DUMMYFUNCTION("""COMPUTED_VALUE"""),199.0)</f>
        <v>199</v>
      </c>
      <c r="AB207" s="119"/>
      <c r="AC207" s="119"/>
      <c r="AD207" s="119"/>
      <c r="AE207" s="119"/>
      <c r="AF207" s="119"/>
      <c r="AG207" s="555" t="str">
        <f t="shared" si="8"/>
        <v>  ---&gt;     ---&gt;   </v>
      </c>
      <c r="AH207" s="16"/>
      <c r="AI207" s="439"/>
      <c r="AJ207" s="439"/>
      <c r="AK207" s="439"/>
    </row>
    <row r="208" ht="18.75" customHeight="1">
      <c r="A208" s="439"/>
      <c r="B208" s="546"/>
      <c r="C208" s="547"/>
      <c r="D208" s="446">
        <f>IF(C208=0,0,(VLOOKUP(C208,'PO MTRL'!$B$9:$S1518,2,0)))</f>
        <v>0</v>
      </c>
      <c r="E208" s="548" t="str">
        <f>IF(C208="","",(VLOOKUP(C208,'PO MTRL'!$B$9:$S1518,3,0)))</f>
        <v/>
      </c>
      <c r="F208" s="549">
        <f>IF(C208=0,0,(VLOOKUP(C208,'PO MTRL'!$B$9:$S1518,4,0)))</f>
        <v>0</v>
      </c>
      <c r="G208" s="444"/>
      <c r="H208" s="550">
        <f>IF(C208=0,0,(VLOOKUP(C208,'PO MTRL'!$B$9:$S1518,6,0)))</f>
        <v>0</v>
      </c>
      <c r="I208" s="446">
        <f>IF(C208=0,0,(VLOOKUP(C208,'PO MTRL'!$B$9:$S1518,7,0)))</f>
        <v>0</v>
      </c>
      <c r="J208" s="551">
        <f>IF(C208=0,0,(VLOOKUP(C208,'PO MTRL'!$B$9:$S1518,8,0)))</f>
        <v>0</v>
      </c>
      <c r="K208" s="559"/>
      <c r="L208" s="448">
        <f t="shared" si="1"/>
        <v>0</v>
      </c>
      <c r="M208" s="551">
        <f t="shared" si="2"/>
        <v>0</v>
      </c>
      <c r="N208" s="449">
        <f t="shared" si="3"/>
        <v>0</v>
      </c>
      <c r="O208" s="551">
        <f>IF(H208=0,0,(VLOOKUP(H208,'PO MTRL'!$G$9:$S1518,5,0)))</f>
        <v>0</v>
      </c>
      <c r="P208" s="551">
        <f>IF(H208=0,0,(VLOOKUP(H208,'PO MTRL'!$G$9:$S1518,7,0)))</f>
        <v>0</v>
      </c>
      <c r="Q208" s="551">
        <f t="shared" si="4"/>
        <v>0</v>
      </c>
      <c r="R208" s="551">
        <f t="shared" si="5"/>
        <v>0</v>
      </c>
      <c r="S208" s="550">
        <f>IF(C208=0,0,(VLOOKUP(C208,'PO MTRL'!$B$9:$S1518,17,0)))</f>
        <v>0</v>
      </c>
      <c r="T208" s="553"/>
      <c r="U208" s="554">
        <f>IF(C208=0,0,(VLOOKUP(C208,'PO MTRL'!$B$9:$S1518,18,0)))</f>
        <v>0</v>
      </c>
      <c r="V208" s="16"/>
      <c r="W208" s="119" t="str">
        <f t="shared" si="6"/>
        <v/>
      </c>
      <c r="X208" s="564">
        <f t="shared" si="7"/>
        <v>0</v>
      </c>
      <c r="Y208" s="119"/>
      <c r="Z208" s="119"/>
      <c r="AA208" s="530">
        <f>IFERROR(__xludf.DUMMYFUNCTION("""COMPUTED_VALUE"""),200.0)</f>
        <v>200</v>
      </c>
      <c r="AB208" s="119"/>
      <c r="AC208" s="119"/>
      <c r="AD208" s="119"/>
      <c r="AE208" s="119"/>
      <c r="AF208" s="119"/>
      <c r="AG208" s="555" t="str">
        <f t="shared" si="8"/>
        <v>  ---&gt;     ---&gt;   </v>
      </c>
      <c r="AH208" s="16"/>
      <c r="AI208" s="439"/>
      <c r="AJ208" s="439"/>
      <c r="AK208" s="439"/>
    </row>
    <row r="209" ht="18.75" customHeight="1">
      <c r="A209" s="439"/>
      <c r="B209" s="546"/>
      <c r="C209" s="547"/>
      <c r="D209" s="446">
        <f>IF(C209=0,0,(VLOOKUP(C209,'PO MTRL'!$B$9:$S1518,2,0)))</f>
        <v>0</v>
      </c>
      <c r="E209" s="548" t="str">
        <f>IF(C209="","",(VLOOKUP(C209,'PO MTRL'!$B$9:$S1518,3,0)))</f>
        <v/>
      </c>
      <c r="F209" s="549">
        <f>IF(C209=0,0,(VLOOKUP(C209,'PO MTRL'!$B$9:$S1518,4,0)))</f>
        <v>0</v>
      </c>
      <c r="G209" s="444"/>
      <c r="H209" s="550">
        <f>IF(C209=0,0,(VLOOKUP(C209,'PO MTRL'!$B$9:$S1518,6,0)))</f>
        <v>0</v>
      </c>
      <c r="I209" s="446">
        <f>IF(C209=0,0,(VLOOKUP(C209,'PO MTRL'!$B$9:$S1518,7,0)))</f>
        <v>0</v>
      </c>
      <c r="J209" s="551">
        <f>IF(C209=0,0,(VLOOKUP(C209,'PO MTRL'!$B$9:$S1518,8,0)))</f>
        <v>0</v>
      </c>
      <c r="K209" s="559"/>
      <c r="L209" s="448">
        <f t="shared" si="1"/>
        <v>0</v>
      </c>
      <c r="M209" s="551">
        <f t="shared" si="2"/>
        <v>0</v>
      </c>
      <c r="N209" s="449">
        <f t="shared" si="3"/>
        <v>0</v>
      </c>
      <c r="O209" s="551">
        <f>IF(H209=0,0,(VLOOKUP(H209,'PO MTRL'!$G$9:$S1518,5,0)))</f>
        <v>0</v>
      </c>
      <c r="P209" s="551">
        <f>IF(H209=0,0,(VLOOKUP(H209,'PO MTRL'!$G$9:$S1518,7,0)))</f>
        <v>0</v>
      </c>
      <c r="Q209" s="551">
        <f t="shared" si="4"/>
        <v>0</v>
      </c>
      <c r="R209" s="551">
        <f t="shared" si="5"/>
        <v>0</v>
      </c>
      <c r="S209" s="550">
        <f>IF(C209=0,0,(VLOOKUP(C209,'PO MTRL'!$B$9:$S1518,17,0)))</f>
        <v>0</v>
      </c>
      <c r="T209" s="553"/>
      <c r="U209" s="554">
        <f>IF(C209=0,0,(VLOOKUP(C209,'PO MTRL'!$B$9:$S1518,18,0)))</f>
        <v>0</v>
      </c>
      <c r="V209" s="16"/>
      <c r="W209" s="119" t="str">
        <f t="shared" si="6"/>
        <v/>
      </c>
      <c r="X209" s="564">
        <f t="shared" si="7"/>
        <v>0</v>
      </c>
      <c r="Y209" s="119"/>
      <c r="Z209" s="119"/>
      <c r="AA209" s="530">
        <f>IFERROR(__xludf.DUMMYFUNCTION("""COMPUTED_VALUE"""),201.0)</f>
        <v>201</v>
      </c>
      <c r="AB209" s="119"/>
      <c r="AC209" s="119"/>
      <c r="AD209" s="119"/>
      <c r="AE209" s="119"/>
      <c r="AF209" s="119"/>
      <c r="AG209" s="555" t="str">
        <f t="shared" si="8"/>
        <v>  ---&gt;     ---&gt;   </v>
      </c>
      <c r="AH209" s="16"/>
      <c r="AI209" s="439"/>
      <c r="AJ209" s="439"/>
      <c r="AK209" s="439"/>
    </row>
    <row r="210" ht="18.75" customHeight="1">
      <c r="A210" s="439"/>
      <c r="B210" s="546"/>
      <c r="C210" s="547"/>
      <c r="D210" s="446">
        <f>IF(C210=0,0,(VLOOKUP(C210,'PO MTRL'!$B$9:$S1518,2,0)))</f>
        <v>0</v>
      </c>
      <c r="E210" s="548" t="str">
        <f>IF(C210="","",(VLOOKUP(C210,'PO MTRL'!$B$9:$S1518,3,0)))</f>
        <v/>
      </c>
      <c r="F210" s="549">
        <f>IF(C210=0,0,(VLOOKUP(C210,'PO MTRL'!$B$9:$S1518,4,0)))</f>
        <v>0</v>
      </c>
      <c r="G210" s="444"/>
      <c r="H210" s="550">
        <f>IF(C210=0,0,(VLOOKUP(C210,'PO MTRL'!$B$9:$S1518,6,0)))</f>
        <v>0</v>
      </c>
      <c r="I210" s="446">
        <f>IF(C210=0,0,(VLOOKUP(C210,'PO MTRL'!$B$9:$S1518,7,0)))</f>
        <v>0</v>
      </c>
      <c r="J210" s="551">
        <f>IF(C210=0,0,(VLOOKUP(C210,'PO MTRL'!$B$9:$S1518,8,0)))</f>
        <v>0</v>
      </c>
      <c r="K210" s="559"/>
      <c r="L210" s="448">
        <f t="shared" si="1"/>
        <v>0</v>
      </c>
      <c r="M210" s="551">
        <f t="shared" si="2"/>
        <v>0</v>
      </c>
      <c r="N210" s="449">
        <f t="shared" si="3"/>
        <v>0</v>
      </c>
      <c r="O210" s="551">
        <f>IF(H210=0,0,(VLOOKUP(H210,'PO MTRL'!$G$9:$S1518,5,0)))</f>
        <v>0</v>
      </c>
      <c r="P210" s="551">
        <f>IF(H210=0,0,(VLOOKUP(H210,'PO MTRL'!$G$9:$S1518,7,0)))</f>
        <v>0</v>
      </c>
      <c r="Q210" s="551">
        <f t="shared" si="4"/>
        <v>0</v>
      </c>
      <c r="R210" s="551">
        <f t="shared" si="5"/>
        <v>0</v>
      </c>
      <c r="S210" s="550">
        <f>IF(C210=0,0,(VLOOKUP(C210,'PO MTRL'!$B$9:$S1518,17,0)))</f>
        <v>0</v>
      </c>
      <c r="T210" s="553"/>
      <c r="U210" s="554">
        <f>IF(C210=0,0,(VLOOKUP(C210,'PO MTRL'!$B$9:$S1518,18,0)))</f>
        <v>0</v>
      </c>
      <c r="V210" s="16"/>
      <c r="W210" s="119" t="str">
        <f t="shared" si="6"/>
        <v/>
      </c>
      <c r="X210" s="564">
        <f t="shared" si="7"/>
        <v>0</v>
      </c>
      <c r="Y210" s="119"/>
      <c r="Z210" s="119"/>
      <c r="AA210" s="530">
        <f>IFERROR(__xludf.DUMMYFUNCTION("""COMPUTED_VALUE"""),202.0)</f>
        <v>202</v>
      </c>
      <c r="AB210" s="119"/>
      <c r="AC210" s="119"/>
      <c r="AD210" s="119"/>
      <c r="AE210" s="119"/>
      <c r="AF210" s="119"/>
      <c r="AG210" s="555" t="str">
        <f t="shared" si="8"/>
        <v>  ---&gt;     ---&gt;   </v>
      </c>
      <c r="AH210" s="16"/>
      <c r="AI210" s="439"/>
      <c r="AJ210" s="439"/>
      <c r="AK210" s="439"/>
    </row>
    <row r="211" ht="18.75" customHeight="1">
      <c r="A211" s="439"/>
      <c r="B211" s="546"/>
      <c r="C211" s="547"/>
      <c r="D211" s="446">
        <f>IF(C211=0,0,(VLOOKUP(C211,'PO MTRL'!$B$9:$S1518,2,0)))</f>
        <v>0</v>
      </c>
      <c r="E211" s="548" t="str">
        <f>IF(C211="","",(VLOOKUP(C211,'PO MTRL'!$B$9:$S1518,3,0)))</f>
        <v/>
      </c>
      <c r="F211" s="549">
        <f>IF(C211=0,0,(VLOOKUP(C211,'PO MTRL'!$B$9:$S1518,4,0)))</f>
        <v>0</v>
      </c>
      <c r="G211" s="444"/>
      <c r="H211" s="550">
        <f>IF(C211=0,0,(VLOOKUP(C211,'PO MTRL'!$B$9:$S1518,6,0)))</f>
        <v>0</v>
      </c>
      <c r="I211" s="446">
        <f>IF(C211=0,0,(VLOOKUP(C211,'PO MTRL'!$B$9:$S1518,7,0)))</f>
        <v>0</v>
      </c>
      <c r="J211" s="551">
        <f>IF(C211=0,0,(VLOOKUP(C211,'PO MTRL'!$B$9:$S1518,8,0)))</f>
        <v>0</v>
      </c>
      <c r="K211" s="559"/>
      <c r="L211" s="448">
        <f t="shared" si="1"/>
        <v>0</v>
      </c>
      <c r="M211" s="551">
        <f t="shared" si="2"/>
        <v>0</v>
      </c>
      <c r="N211" s="449">
        <f t="shared" si="3"/>
        <v>0</v>
      </c>
      <c r="O211" s="551">
        <f>IF(H211=0,0,(VLOOKUP(H211,'PO MTRL'!$G$9:$S1518,5,0)))</f>
        <v>0</v>
      </c>
      <c r="P211" s="551">
        <f>IF(H211=0,0,(VLOOKUP(H211,'PO MTRL'!$G$9:$S1518,7,0)))</f>
        <v>0</v>
      </c>
      <c r="Q211" s="551">
        <f t="shared" si="4"/>
        <v>0</v>
      </c>
      <c r="R211" s="551">
        <f t="shared" si="5"/>
        <v>0</v>
      </c>
      <c r="S211" s="550">
        <f>IF(C211=0,0,(VLOOKUP(C211,'PO MTRL'!$B$9:$S1518,17,0)))</f>
        <v>0</v>
      </c>
      <c r="T211" s="553"/>
      <c r="U211" s="554">
        <f>IF(C211=0,0,(VLOOKUP(C211,'PO MTRL'!$B$9:$S1518,18,0)))</f>
        <v>0</v>
      </c>
      <c r="V211" s="16"/>
      <c r="W211" s="119" t="str">
        <f t="shared" si="6"/>
        <v/>
      </c>
      <c r="X211" s="564">
        <f t="shared" si="7"/>
        <v>0</v>
      </c>
      <c r="Y211" s="119"/>
      <c r="Z211" s="119"/>
      <c r="AA211" s="530">
        <f>IFERROR(__xludf.DUMMYFUNCTION("""COMPUTED_VALUE"""),203.0)</f>
        <v>203</v>
      </c>
      <c r="AB211" s="119"/>
      <c r="AC211" s="119"/>
      <c r="AD211" s="119"/>
      <c r="AE211" s="119"/>
      <c r="AF211" s="119"/>
      <c r="AG211" s="555" t="str">
        <f t="shared" si="8"/>
        <v>  ---&gt;     ---&gt;   </v>
      </c>
      <c r="AH211" s="16"/>
      <c r="AI211" s="439"/>
      <c r="AJ211" s="439"/>
      <c r="AK211" s="439"/>
    </row>
    <row r="212" ht="18.75" customHeight="1">
      <c r="A212" s="439"/>
      <c r="B212" s="546"/>
      <c r="C212" s="547"/>
      <c r="D212" s="446">
        <f>IF(C212=0,0,(VLOOKUP(C212,'PO MTRL'!$B$9:$S1518,2,0)))</f>
        <v>0</v>
      </c>
      <c r="E212" s="548" t="str">
        <f>IF(C212="","",(VLOOKUP(C212,'PO MTRL'!$B$9:$S1518,3,0)))</f>
        <v/>
      </c>
      <c r="F212" s="549">
        <f>IF(C212=0,0,(VLOOKUP(C212,'PO MTRL'!$B$9:$S1518,4,0)))</f>
        <v>0</v>
      </c>
      <c r="G212" s="444"/>
      <c r="H212" s="550">
        <f>IF(C212=0,0,(VLOOKUP(C212,'PO MTRL'!$B$9:$S1518,6,0)))</f>
        <v>0</v>
      </c>
      <c r="I212" s="446">
        <f>IF(C212=0,0,(VLOOKUP(C212,'PO MTRL'!$B$9:$S1518,7,0)))</f>
        <v>0</v>
      </c>
      <c r="J212" s="551">
        <f>IF(C212=0,0,(VLOOKUP(C212,'PO MTRL'!$B$9:$S1518,8,0)))</f>
        <v>0</v>
      </c>
      <c r="K212" s="559"/>
      <c r="L212" s="448">
        <f t="shared" si="1"/>
        <v>0</v>
      </c>
      <c r="M212" s="551">
        <f t="shared" si="2"/>
        <v>0</v>
      </c>
      <c r="N212" s="449">
        <f t="shared" si="3"/>
        <v>0</v>
      </c>
      <c r="O212" s="551">
        <f>IF(H212=0,0,(VLOOKUP(H212,'PO MTRL'!$G$9:$S1518,5,0)))</f>
        <v>0</v>
      </c>
      <c r="P212" s="551">
        <f>IF(H212=0,0,(VLOOKUP(H212,'PO MTRL'!$G$9:$S1518,7,0)))</f>
        <v>0</v>
      </c>
      <c r="Q212" s="551">
        <f t="shared" si="4"/>
        <v>0</v>
      </c>
      <c r="R212" s="551">
        <f t="shared" si="5"/>
        <v>0</v>
      </c>
      <c r="S212" s="550">
        <f>IF(C212=0,0,(VLOOKUP(C212,'PO MTRL'!$B$9:$S1518,17,0)))</f>
        <v>0</v>
      </c>
      <c r="T212" s="553"/>
      <c r="U212" s="554">
        <f>IF(C212=0,0,(VLOOKUP(C212,'PO MTRL'!$B$9:$S1518,18,0)))</f>
        <v>0</v>
      </c>
      <c r="V212" s="16"/>
      <c r="W212" s="119" t="str">
        <f t="shared" si="6"/>
        <v/>
      </c>
      <c r="X212" s="564">
        <f t="shared" si="7"/>
        <v>0</v>
      </c>
      <c r="Y212" s="119"/>
      <c r="Z212" s="119"/>
      <c r="AA212" s="530">
        <f>IFERROR(__xludf.DUMMYFUNCTION("""COMPUTED_VALUE"""),204.0)</f>
        <v>204</v>
      </c>
      <c r="AB212" s="119"/>
      <c r="AC212" s="119"/>
      <c r="AD212" s="119"/>
      <c r="AE212" s="119"/>
      <c r="AF212" s="119"/>
      <c r="AG212" s="555" t="str">
        <f t="shared" si="8"/>
        <v>  ---&gt;     ---&gt;   </v>
      </c>
      <c r="AH212" s="16"/>
      <c r="AI212" s="439"/>
      <c r="AJ212" s="439"/>
      <c r="AK212" s="439"/>
    </row>
    <row r="213" ht="18.75" customHeight="1">
      <c r="A213" s="439"/>
      <c r="B213" s="546"/>
      <c r="C213" s="547"/>
      <c r="D213" s="446">
        <f>IF(C213=0,0,(VLOOKUP(C213,'PO MTRL'!$B$9:$S1518,2,0)))</f>
        <v>0</v>
      </c>
      <c r="E213" s="548" t="str">
        <f>IF(C213="","",(VLOOKUP(C213,'PO MTRL'!$B$9:$S1518,3,0)))</f>
        <v/>
      </c>
      <c r="F213" s="549">
        <f>IF(C213=0,0,(VLOOKUP(C213,'PO MTRL'!$B$9:$S1518,4,0)))</f>
        <v>0</v>
      </c>
      <c r="G213" s="444"/>
      <c r="H213" s="550">
        <f>IF(C213=0,0,(VLOOKUP(C213,'PO MTRL'!$B$9:$S1518,6,0)))</f>
        <v>0</v>
      </c>
      <c r="I213" s="446">
        <f>IF(C213=0,0,(VLOOKUP(C213,'PO MTRL'!$B$9:$S1518,7,0)))</f>
        <v>0</v>
      </c>
      <c r="J213" s="551">
        <f>IF(C213=0,0,(VLOOKUP(C213,'PO MTRL'!$B$9:$S1518,8,0)))</f>
        <v>0</v>
      </c>
      <c r="K213" s="559"/>
      <c r="L213" s="448">
        <f t="shared" si="1"/>
        <v>0</v>
      </c>
      <c r="M213" s="551">
        <f t="shared" si="2"/>
        <v>0</v>
      </c>
      <c r="N213" s="449">
        <f t="shared" si="3"/>
        <v>0</v>
      </c>
      <c r="O213" s="551">
        <f>IF(H213=0,0,(VLOOKUP(H213,'PO MTRL'!$G$9:$S1518,5,0)))</f>
        <v>0</v>
      </c>
      <c r="P213" s="551">
        <f>IF(H213=0,0,(VLOOKUP(H213,'PO MTRL'!$G$9:$S1518,7,0)))</f>
        <v>0</v>
      </c>
      <c r="Q213" s="551">
        <f t="shared" si="4"/>
        <v>0</v>
      </c>
      <c r="R213" s="551">
        <f t="shared" si="5"/>
        <v>0</v>
      </c>
      <c r="S213" s="550">
        <f>IF(C213=0,0,(VLOOKUP(C213,'PO MTRL'!$B$9:$S1518,17,0)))</f>
        <v>0</v>
      </c>
      <c r="T213" s="553"/>
      <c r="U213" s="554">
        <f>IF(C213=0,0,(VLOOKUP(C213,'PO MTRL'!$B$9:$S1518,18,0)))</f>
        <v>0</v>
      </c>
      <c r="V213" s="16"/>
      <c r="W213" s="119" t="str">
        <f t="shared" si="6"/>
        <v/>
      </c>
      <c r="X213" s="564">
        <f t="shared" si="7"/>
        <v>0</v>
      </c>
      <c r="Y213" s="119"/>
      <c r="Z213" s="119"/>
      <c r="AA213" s="530">
        <f>IFERROR(__xludf.DUMMYFUNCTION("""COMPUTED_VALUE"""),205.0)</f>
        <v>205</v>
      </c>
      <c r="AB213" s="119"/>
      <c r="AC213" s="119"/>
      <c r="AD213" s="119"/>
      <c r="AE213" s="119"/>
      <c r="AF213" s="119"/>
      <c r="AG213" s="555" t="str">
        <f t="shared" si="8"/>
        <v>  ---&gt;     ---&gt;   </v>
      </c>
      <c r="AH213" s="16"/>
      <c r="AI213" s="439"/>
      <c r="AJ213" s="439"/>
      <c r="AK213" s="439"/>
    </row>
    <row r="214" ht="18.75" customHeight="1">
      <c r="A214" s="439"/>
      <c r="B214" s="546"/>
      <c r="C214" s="547"/>
      <c r="D214" s="446">
        <f>IF(C214=0,0,(VLOOKUP(C214,'PO MTRL'!$B$9:$S1518,2,0)))</f>
        <v>0</v>
      </c>
      <c r="E214" s="548" t="str">
        <f>IF(C214="","",(VLOOKUP(C214,'PO MTRL'!$B$9:$S1518,3,0)))</f>
        <v/>
      </c>
      <c r="F214" s="549">
        <f>IF(C214=0,0,(VLOOKUP(C214,'PO MTRL'!$B$9:$S1518,4,0)))</f>
        <v>0</v>
      </c>
      <c r="G214" s="444"/>
      <c r="H214" s="550">
        <f>IF(C214=0,0,(VLOOKUP(C214,'PO MTRL'!$B$9:$S1518,6,0)))</f>
        <v>0</v>
      </c>
      <c r="I214" s="446">
        <f>IF(C214=0,0,(VLOOKUP(C214,'PO MTRL'!$B$9:$S1518,7,0)))</f>
        <v>0</v>
      </c>
      <c r="J214" s="551">
        <f>IF(C214=0,0,(VLOOKUP(C214,'PO MTRL'!$B$9:$S1518,8,0)))</f>
        <v>0</v>
      </c>
      <c r="K214" s="559"/>
      <c r="L214" s="448">
        <f t="shared" si="1"/>
        <v>0</v>
      </c>
      <c r="M214" s="551">
        <f t="shared" si="2"/>
        <v>0</v>
      </c>
      <c r="N214" s="449">
        <f t="shared" si="3"/>
        <v>0</v>
      </c>
      <c r="O214" s="551">
        <f>IF(H214=0,0,(VLOOKUP(H214,'PO MTRL'!$G$9:$S1518,5,0)))</f>
        <v>0</v>
      </c>
      <c r="P214" s="551">
        <f>IF(H214=0,0,(VLOOKUP(H214,'PO MTRL'!$G$9:$S1518,7,0)))</f>
        <v>0</v>
      </c>
      <c r="Q214" s="551">
        <f t="shared" si="4"/>
        <v>0</v>
      </c>
      <c r="R214" s="551">
        <f t="shared" si="5"/>
        <v>0</v>
      </c>
      <c r="S214" s="550">
        <f>IF(C214=0,0,(VLOOKUP(C214,'PO MTRL'!$B$9:$S1518,17,0)))</f>
        <v>0</v>
      </c>
      <c r="T214" s="553"/>
      <c r="U214" s="554">
        <f>IF(C214=0,0,(VLOOKUP(C214,'PO MTRL'!$B$9:$S1518,18,0)))</f>
        <v>0</v>
      </c>
      <c r="V214" s="16"/>
      <c r="W214" s="119" t="str">
        <f t="shared" si="6"/>
        <v/>
      </c>
      <c r="X214" s="564">
        <f t="shared" si="7"/>
        <v>0</v>
      </c>
      <c r="Y214" s="119"/>
      <c r="Z214" s="119"/>
      <c r="AA214" s="530">
        <f>IFERROR(__xludf.DUMMYFUNCTION("""COMPUTED_VALUE"""),206.0)</f>
        <v>206</v>
      </c>
      <c r="AB214" s="119"/>
      <c r="AC214" s="119"/>
      <c r="AD214" s="119"/>
      <c r="AE214" s="119"/>
      <c r="AF214" s="119"/>
      <c r="AG214" s="555" t="str">
        <f t="shared" si="8"/>
        <v>  ---&gt;     ---&gt;   </v>
      </c>
      <c r="AH214" s="16"/>
      <c r="AI214" s="439"/>
      <c r="AJ214" s="439"/>
      <c r="AK214" s="439"/>
    </row>
    <row r="215" ht="18.75" customHeight="1">
      <c r="A215" s="439"/>
      <c r="B215" s="546"/>
      <c r="C215" s="547"/>
      <c r="D215" s="446">
        <f>IF(C215=0,0,(VLOOKUP(C215,'PO MTRL'!$B$9:$S1518,2,0)))</f>
        <v>0</v>
      </c>
      <c r="E215" s="548" t="str">
        <f>IF(C215="","",(VLOOKUP(C215,'PO MTRL'!$B$9:$S1518,3,0)))</f>
        <v/>
      </c>
      <c r="F215" s="549">
        <f>IF(C215=0,0,(VLOOKUP(C215,'PO MTRL'!$B$9:$S1518,4,0)))</f>
        <v>0</v>
      </c>
      <c r="G215" s="444"/>
      <c r="H215" s="550">
        <f>IF(C215=0,0,(VLOOKUP(C215,'PO MTRL'!$B$9:$S1518,6,0)))</f>
        <v>0</v>
      </c>
      <c r="I215" s="446">
        <f>IF(C215=0,0,(VLOOKUP(C215,'PO MTRL'!$B$9:$S1518,7,0)))</f>
        <v>0</v>
      </c>
      <c r="J215" s="551">
        <f>IF(C215=0,0,(VLOOKUP(C215,'PO MTRL'!$B$9:$S1518,8,0)))</f>
        <v>0</v>
      </c>
      <c r="K215" s="559"/>
      <c r="L215" s="448">
        <f t="shared" si="1"/>
        <v>0</v>
      </c>
      <c r="M215" s="551">
        <f t="shared" si="2"/>
        <v>0</v>
      </c>
      <c r="N215" s="449">
        <f t="shared" si="3"/>
        <v>0</v>
      </c>
      <c r="O215" s="551">
        <f>IF(H215=0,0,(VLOOKUP(H215,'PO MTRL'!$G$9:$S1518,5,0)))</f>
        <v>0</v>
      </c>
      <c r="P215" s="551">
        <f>IF(H215=0,0,(VLOOKUP(H215,'PO MTRL'!$G$9:$S1518,7,0)))</f>
        <v>0</v>
      </c>
      <c r="Q215" s="551">
        <f t="shared" si="4"/>
        <v>0</v>
      </c>
      <c r="R215" s="551">
        <f t="shared" si="5"/>
        <v>0</v>
      </c>
      <c r="S215" s="550">
        <f>IF(C215=0,0,(VLOOKUP(C215,'PO MTRL'!$B$9:$S1518,17,0)))</f>
        <v>0</v>
      </c>
      <c r="T215" s="553"/>
      <c r="U215" s="554">
        <f>IF(C215=0,0,(VLOOKUP(C215,'PO MTRL'!$B$9:$S1518,18,0)))</f>
        <v>0</v>
      </c>
      <c r="V215" s="16"/>
      <c r="W215" s="119" t="str">
        <f t="shared" si="6"/>
        <v/>
      </c>
      <c r="X215" s="564">
        <f t="shared" si="7"/>
        <v>0</v>
      </c>
      <c r="Y215" s="119"/>
      <c r="Z215" s="119"/>
      <c r="AA215" s="530">
        <f>IFERROR(__xludf.DUMMYFUNCTION("""COMPUTED_VALUE"""),207.0)</f>
        <v>207</v>
      </c>
      <c r="AB215" s="119"/>
      <c r="AC215" s="119"/>
      <c r="AD215" s="119"/>
      <c r="AE215" s="119"/>
      <c r="AF215" s="119"/>
      <c r="AG215" s="555" t="str">
        <f t="shared" si="8"/>
        <v>  ---&gt;     ---&gt;   </v>
      </c>
      <c r="AH215" s="16"/>
      <c r="AI215" s="439"/>
      <c r="AJ215" s="439"/>
      <c r="AK215" s="439"/>
    </row>
    <row r="216" ht="18.75" customHeight="1">
      <c r="A216" s="439"/>
      <c r="B216" s="546"/>
      <c r="C216" s="547"/>
      <c r="D216" s="446">
        <f>IF(C216=0,0,(VLOOKUP(C216,'PO MTRL'!$B$9:$S1518,2,0)))</f>
        <v>0</v>
      </c>
      <c r="E216" s="548" t="str">
        <f>IF(C216="","",(VLOOKUP(C216,'PO MTRL'!$B$9:$S1518,3,0)))</f>
        <v/>
      </c>
      <c r="F216" s="549">
        <f>IF(C216=0,0,(VLOOKUP(C216,'PO MTRL'!$B$9:$S1518,4,0)))</f>
        <v>0</v>
      </c>
      <c r="G216" s="444"/>
      <c r="H216" s="550">
        <f>IF(C216=0,0,(VLOOKUP(C216,'PO MTRL'!$B$9:$S1518,6,0)))</f>
        <v>0</v>
      </c>
      <c r="I216" s="446">
        <f>IF(C216=0,0,(VLOOKUP(C216,'PO MTRL'!$B$9:$S1518,7,0)))</f>
        <v>0</v>
      </c>
      <c r="J216" s="551">
        <f>IF(C216=0,0,(VLOOKUP(C216,'PO MTRL'!$B$9:$S1518,8,0)))</f>
        <v>0</v>
      </c>
      <c r="K216" s="559"/>
      <c r="L216" s="448">
        <f t="shared" si="1"/>
        <v>0</v>
      </c>
      <c r="M216" s="551">
        <f t="shared" si="2"/>
        <v>0</v>
      </c>
      <c r="N216" s="449">
        <f t="shared" si="3"/>
        <v>0</v>
      </c>
      <c r="O216" s="551">
        <f>IF(H216=0,0,(VLOOKUP(H216,'PO MTRL'!$G$9:$S1518,5,0)))</f>
        <v>0</v>
      </c>
      <c r="P216" s="551">
        <f>IF(H216=0,0,(VLOOKUP(H216,'PO MTRL'!$G$9:$S1518,7,0)))</f>
        <v>0</v>
      </c>
      <c r="Q216" s="551">
        <f t="shared" si="4"/>
        <v>0</v>
      </c>
      <c r="R216" s="551">
        <f t="shared" si="5"/>
        <v>0</v>
      </c>
      <c r="S216" s="550">
        <f>IF(C216=0,0,(VLOOKUP(C216,'PO MTRL'!$B$9:$S1518,17,0)))</f>
        <v>0</v>
      </c>
      <c r="T216" s="553"/>
      <c r="U216" s="554">
        <f>IF(C216=0,0,(VLOOKUP(C216,'PO MTRL'!$B$9:$S1518,18,0)))</f>
        <v>0</v>
      </c>
      <c r="V216" s="16"/>
      <c r="W216" s="119" t="str">
        <f t="shared" si="6"/>
        <v/>
      </c>
      <c r="X216" s="564">
        <f t="shared" si="7"/>
        <v>0</v>
      </c>
      <c r="Y216" s="119"/>
      <c r="Z216" s="119"/>
      <c r="AA216" s="530">
        <f>IFERROR(__xludf.DUMMYFUNCTION("""COMPUTED_VALUE"""),208.0)</f>
        <v>208</v>
      </c>
      <c r="AB216" s="119"/>
      <c r="AC216" s="119"/>
      <c r="AD216" s="119"/>
      <c r="AE216" s="119"/>
      <c r="AF216" s="119"/>
      <c r="AG216" s="555" t="str">
        <f t="shared" si="8"/>
        <v>  ---&gt;     ---&gt;   </v>
      </c>
      <c r="AH216" s="16"/>
      <c r="AI216" s="439"/>
      <c r="AJ216" s="439"/>
      <c r="AK216" s="439"/>
    </row>
    <row r="217" ht="18.75" customHeight="1">
      <c r="A217" s="439"/>
      <c r="B217" s="546"/>
      <c r="C217" s="547"/>
      <c r="D217" s="446">
        <f>IF(C217=0,0,(VLOOKUP(C217,'PO MTRL'!$B$9:$S1518,2,0)))</f>
        <v>0</v>
      </c>
      <c r="E217" s="548" t="str">
        <f>IF(C217="","",(VLOOKUP(C217,'PO MTRL'!$B$9:$S1518,3,0)))</f>
        <v/>
      </c>
      <c r="F217" s="549">
        <f>IF(C217=0,0,(VLOOKUP(C217,'PO MTRL'!$B$9:$S1518,4,0)))</f>
        <v>0</v>
      </c>
      <c r="G217" s="444"/>
      <c r="H217" s="550">
        <f>IF(C217=0,0,(VLOOKUP(C217,'PO MTRL'!$B$9:$S1518,6,0)))</f>
        <v>0</v>
      </c>
      <c r="I217" s="446">
        <f>IF(C217=0,0,(VLOOKUP(C217,'PO MTRL'!$B$9:$S1518,7,0)))</f>
        <v>0</v>
      </c>
      <c r="J217" s="551">
        <f>IF(C217=0,0,(VLOOKUP(C217,'PO MTRL'!$B$9:$S1518,8,0)))</f>
        <v>0</v>
      </c>
      <c r="K217" s="559"/>
      <c r="L217" s="448">
        <f t="shared" si="1"/>
        <v>0</v>
      </c>
      <c r="M217" s="551">
        <f t="shared" si="2"/>
        <v>0</v>
      </c>
      <c r="N217" s="449">
        <f t="shared" si="3"/>
        <v>0</v>
      </c>
      <c r="O217" s="551">
        <f>IF(H217=0,0,(VLOOKUP(H217,'PO MTRL'!$G$9:$S1518,5,0)))</f>
        <v>0</v>
      </c>
      <c r="P217" s="551">
        <f>IF(H217=0,0,(VLOOKUP(H217,'PO MTRL'!$G$9:$S1518,7,0)))</f>
        <v>0</v>
      </c>
      <c r="Q217" s="551">
        <f t="shared" si="4"/>
        <v>0</v>
      </c>
      <c r="R217" s="551">
        <f t="shared" si="5"/>
        <v>0</v>
      </c>
      <c r="S217" s="550">
        <f>IF(C217=0,0,(VLOOKUP(C217,'PO MTRL'!$B$9:$S1518,17,0)))</f>
        <v>0</v>
      </c>
      <c r="T217" s="553"/>
      <c r="U217" s="554">
        <f>IF(C217=0,0,(VLOOKUP(C217,'PO MTRL'!$B$9:$S1518,18,0)))</f>
        <v>0</v>
      </c>
      <c r="V217" s="16"/>
      <c r="W217" s="119" t="str">
        <f t="shared" si="6"/>
        <v/>
      </c>
      <c r="X217" s="564">
        <f t="shared" si="7"/>
        <v>0</v>
      </c>
      <c r="Y217" s="119"/>
      <c r="Z217" s="119"/>
      <c r="AA217" s="530">
        <f>IFERROR(__xludf.DUMMYFUNCTION("""COMPUTED_VALUE"""),209.0)</f>
        <v>209</v>
      </c>
      <c r="AB217" s="119"/>
      <c r="AC217" s="119"/>
      <c r="AD217" s="119"/>
      <c r="AE217" s="119"/>
      <c r="AF217" s="119"/>
      <c r="AG217" s="555" t="str">
        <f t="shared" si="8"/>
        <v>  ---&gt;     ---&gt;   </v>
      </c>
      <c r="AH217" s="16"/>
      <c r="AI217" s="439"/>
      <c r="AJ217" s="439"/>
      <c r="AK217" s="439"/>
    </row>
    <row r="218" ht="18.75" customHeight="1">
      <c r="A218" s="439"/>
      <c r="B218" s="546"/>
      <c r="C218" s="547"/>
      <c r="D218" s="446">
        <f>IF(C218=0,0,(VLOOKUP(C218,'PO MTRL'!$B$9:$S1518,2,0)))</f>
        <v>0</v>
      </c>
      <c r="E218" s="548" t="str">
        <f>IF(C218="","",(VLOOKUP(C218,'PO MTRL'!$B$9:$S1518,3,0)))</f>
        <v/>
      </c>
      <c r="F218" s="549">
        <f>IF(C218=0,0,(VLOOKUP(C218,'PO MTRL'!$B$9:$S1518,4,0)))</f>
        <v>0</v>
      </c>
      <c r="G218" s="444"/>
      <c r="H218" s="550">
        <f>IF(C218=0,0,(VLOOKUP(C218,'PO MTRL'!$B$9:$S1518,6,0)))</f>
        <v>0</v>
      </c>
      <c r="I218" s="446">
        <f>IF(C218=0,0,(VLOOKUP(C218,'PO MTRL'!$B$9:$S1518,7,0)))</f>
        <v>0</v>
      </c>
      <c r="J218" s="551">
        <f>IF(C218=0,0,(VLOOKUP(C218,'PO MTRL'!$B$9:$S1518,8,0)))</f>
        <v>0</v>
      </c>
      <c r="K218" s="559"/>
      <c r="L218" s="448">
        <f t="shared" si="1"/>
        <v>0</v>
      </c>
      <c r="M218" s="551">
        <f t="shared" si="2"/>
        <v>0</v>
      </c>
      <c r="N218" s="449">
        <f t="shared" si="3"/>
        <v>0</v>
      </c>
      <c r="O218" s="551">
        <f>IF(H218=0,0,(VLOOKUP(H218,'PO MTRL'!$G$9:$S1518,5,0)))</f>
        <v>0</v>
      </c>
      <c r="P218" s="551">
        <f>IF(H218=0,0,(VLOOKUP(H218,'PO MTRL'!$G$9:$S1518,7,0)))</f>
        <v>0</v>
      </c>
      <c r="Q218" s="551">
        <f t="shared" si="4"/>
        <v>0</v>
      </c>
      <c r="R218" s="551">
        <f t="shared" si="5"/>
        <v>0</v>
      </c>
      <c r="S218" s="550">
        <f>IF(C218=0,0,(VLOOKUP(C218,'PO MTRL'!$B$9:$S1518,17,0)))</f>
        <v>0</v>
      </c>
      <c r="T218" s="553"/>
      <c r="U218" s="554">
        <f>IF(C218=0,0,(VLOOKUP(C218,'PO MTRL'!$B$9:$S1518,18,0)))</f>
        <v>0</v>
      </c>
      <c r="V218" s="16"/>
      <c r="W218" s="119" t="str">
        <f t="shared" si="6"/>
        <v/>
      </c>
      <c r="X218" s="564">
        <f t="shared" si="7"/>
        <v>0</v>
      </c>
      <c r="Y218" s="119"/>
      <c r="Z218" s="119"/>
      <c r="AA218" s="530">
        <f>IFERROR(__xludf.DUMMYFUNCTION("""COMPUTED_VALUE"""),210.0)</f>
        <v>210</v>
      </c>
      <c r="AB218" s="119"/>
      <c r="AC218" s="119"/>
      <c r="AD218" s="119"/>
      <c r="AE218" s="119"/>
      <c r="AF218" s="119"/>
      <c r="AG218" s="555" t="str">
        <f t="shared" si="8"/>
        <v>  ---&gt;     ---&gt;   </v>
      </c>
      <c r="AH218" s="16"/>
      <c r="AI218" s="439"/>
      <c r="AJ218" s="439"/>
      <c r="AK218" s="439"/>
    </row>
    <row r="219" ht="24.75" customHeight="1">
      <c r="A219" s="439"/>
      <c r="B219" s="546"/>
      <c r="C219" s="547"/>
      <c r="D219" s="446">
        <f>IF(C219=0,0,(VLOOKUP(C219,'PO MTRL'!$B$9:$S1518,2,0)))</f>
        <v>0</v>
      </c>
      <c r="E219" s="548" t="str">
        <f>IF(C219="","",(VLOOKUP(C219,'PO MTRL'!$B$9:$S1518,3,0)))</f>
        <v/>
      </c>
      <c r="F219" s="549">
        <f>IF(C219=0,0,(VLOOKUP(C219,'PO MTRL'!$B$9:$S1518,4,0)))</f>
        <v>0</v>
      </c>
      <c r="G219" s="444"/>
      <c r="H219" s="550">
        <f>IF(C219=0,0,(VLOOKUP(C219,'PO MTRL'!$B$9:$S1518,6,0)))</f>
        <v>0</v>
      </c>
      <c r="I219" s="446">
        <f>IF(C219=0,0,(VLOOKUP(C219,'PO MTRL'!$B$9:$S1518,7,0)))</f>
        <v>0</v>
      </c>
      <c r="J219" s="551">
        <f>IF(C219=0,0,(VLOOKUP(C219,'PO MTRL'!$B$9:$S1518,8,0)))</f>
        <v>0</v>
      </c>
      <c r="K219" s="559"/>
      <c r="L219" s="448">
        <f t="shared" si="1"/>
        <v>0</v>
      </c>
      <c r="M219" s="551">
        <f t="shared" si="2"/>
        <v>0</v>
      </c>
      <c r="N219" s="449">
        <f t="shared" si="3"/>
        <v>0</v>
      </c>
      <c r="O219" s="551">
        <f>IF(H219=0,0,(VLOOKUP(H219,'PO MTRL'!$G$9:$S1518,5,0)))</f>
        <v>0</v>
      </c>
      <c r="P219" s="551">
        <f>IF(H219=0,0,(VLOOKUP(H219,'PO MTRL'!$G$9:$S1518,7,0)))</f>
        <v>0</v>
      </c>
      <c r="Q219" s="551">
        <f t="shared" si="4"/>
        <v>0</v>
      </c>
      <c r="R219" s="551">
        <f t="shared" si="5"/>
        <v>0</v>
      </c>
      <c r="S219" s="550">
        <f>IF(C219=0,0,(VLOOKUP(C219,'PO MTRL'!$B$9:$S1518,17,0)))</f>
        <v>0</v>
      </c>
      <c r="T219" s="553"/>
      <c r="U219" s="554">
        <f>IF(C219=0,0,(VLOOKUP(C219,'PO MTRL'!$B$9:$S1518,18,0)))</f>
        <v>0</v>
      </c>
      <c r="V219" s="16"/>
      <c r="W219" s="119" t="str">
        <f t="shared" si="6"/>
        <v/>
      </c>
      <c r="X219" s="564">
        <f t="shared" si="7"/>
        <v>0</v>
      </c>
      <c r="Y219" s="119"/>
      <c r="Z219" s="119"/>
      <c r="AA219" s="530">
        <f>IFERROR(__xludf.DUMMYFUNCTION("""COMPUTED_VALUE"""),211.0)</f>
        <v>211</v>
      </c>
      <c r="AB219" s="119"/>
      <c r="AC219" s="119"/>
      <c r="AD219" s="119"/>
      <c r="AE219" s="119"/>
      <c r="AF219" s="119"/>
      <c r="AG219" s="555" t="str">
        <f t="shared" si="8"/>
        <v>  ---&gt;     ---&gt;   </v>
      </c>
      <c r="AH219" s="16"/>
      <c r="AI219" s="439"/>
      <c r="AJ219" s="439"/>
      <c r="AK219" s="439"/>
    </row>
    <row r="220" ht="18.75" customHeight="1">
      <c r="A220" s="439"/>
      <c r="B220" s="546"/>
      <c r="C220" s="547"/>
      <c r="D220" s="446">
        <f>IF(C220=0,0,(VLOOKUP(C220,'PO MTRL'!$B$9:$S1518,2,0)))</f>
        <v>0</v>
      </c>
      <c r="E220" s="548" t="str">
        <f>IF(C220="","",(VLOOKUP(C220,'PO MTRL'!$B$9:$S1518,3,0)))</f>
        <v/>
      </c>
      <c r="F220" s="549">
        <f>IF(C220=0,0,(VLOOKUP(C220,'PO MTRL'!$B$9:$S1518,4,0)))</f>
        <v>0</v>
      </c>
      <c r="G220" s="444"/>
      <c r="H220" s="550">
        <f>IF(C220=0,0,(VLOOKUP(C220,'PO MTRL'!$B$9:$S1518,6,0)))</f>
        <v>0</v>
      </c>
      <c r="I220" s="446">
        <f>IF(C220=0,0,(VLOOKUP(C220,'PO MTRL'!$B$9:$S1518,7,0)))</f>
        <v>0</v>
      </c>
      <c r="J220" s="551">
        <f>IF(C220=0,0,(VLOOKUP(C220,'PO MTRL'!$B$9:$S1518,8,0)))</f>
        <v>0</v>
      </c>
      <c r="K220" s="559"/>
      <c r="L220" s="448">
        <f t="shared" si="1"/>
        <v>0</v>
      </c>
      <c r="M220" s="551">
        <f t="shared" si="2"/>
        <v>0</v>
      </c>
      <c r="N220" s="449">
        <f t="shared" si="3"/>
        <v>0</v>
      </c>
      <c r="O220" s="551">
        <f>IF(H220=0,0,(VLOOKUP(H220,'PO MTRL'!$G$9:$S1518,5,0)))</f>
        <v>0</v>
      </c>
      <c r="P220" s="551">
        <f>IF(H220=0,0,(VLOOKUP(H220,'PO MTRL'!$G$9:$S1518,7,0)))</f>
        <v>0</v>
      </c>
      <c r="Q220" s="551">
        <f t="shared" si="4"/>
        <v>0</v>
      </c>
      <c r="R220" s="551">
        <f t="shared" si="5"/>
        <v>0</v>
      </c>
      <c r="S220" s="550">
        <f>IF(C220=0,0,(VLOOKUP(C220,'PO MTRL'!$B$9:$S1518,17,0)))</f>
        <v>0</v>
      </c>
      <c r="T220" s="553"/>
      <c r="U220" s="554">
        <f>IF(C220=0,0,(VLOOKUP(C220,'PO MTRL'!$B$9:$S1518,18,0)))</f>
        <v>0</v>
      </c>
      <c r="V220" s="16"/>
      <c r="W220" s="119" t="str">
        <f t="shared" si="6"/>
        <v/>
      </c>
      <c r="X220" s="564">
        <f t="shared" si="7"/>
        <v>0</v>
      </c>
      <c r="Y220" s="119"/>
      <c r="Z220" s="119"/>
      <c r="AA220" s="530">
        <f>IFERROR(__xludf.DUMMYFUNCTION("""COMPUTED_VALUE"""),212.0)</f>
        <v>212</v>
      </c>
      <c r="AB220" s="119"/>
      <c r="AC220" s="119"/>
      <c r="AD220" s="119"/>
      <c r="AE220" s="119"/>
      <c r="AF220" s="119"/>
      <c r="AG220" s="555" t="str">
        <f t="shared" si="8"/>
        <v>  ---&gt;     ---&gt;   </v>
      </c>
      <c r="AH220" s="16"/>
      <c r="AI220" s="439"/>
      <c r="AJ220" s="439"/>
      <c r="AK220" s="439"/>
    </row>
    <row r="221" ht="18.75" customHeight="1">
      <c r="A221" s="439"/>
      <c r="B221" s="546"/>
      <c r="C221" s="547"/>
      <c r="D221" s="446">
        <f>IF(C221=0,0,(VLOOKUP(C221,'PO MTRL'!$B$9:$S1518,2,0)))</f>
        <v>0</v>
      </c>
      <c r="E221" s="548" t="str">
        <f>IF(C221="","",(VLOOKUP(C221,'PO MTRL'!$B$9:$S1518,3,0)))</f>
        <v/>
      </c>
      <c r="F221" s="549">
        <f>IF(C221=0,0,(VLOOKUP(C221,'PO MTRL'!$B$9:$S1518,4,0)))</f>
        <v>0</v>
      </c>
      <c r="G221" s="444"/>
      <c r="H221" s="550">
        <f>IF(C221=0,0,(VLOOKUP(C221,'PO MTRL'!$B$9:$S1518,6,0)))</f>
        <v>0</v>
      </c>
      <c r="I221" s="446">
        <f>IF(C221=0,0,(VLOOKUP(C221,'PO MTRL'!$B$9:$S1518,7,0)))</f>
        <v>0</v>
      </c>
      <c r="J221" s="551">
        <f>IF(C221=0,0,(VLOOKUP(C221,'PO MTRL'!$B$9:$S1518,8,0)))</f>
        <v>0</v>
      </c>
      <c r="K221" s="559"/>
      <c r="L221" s="448">
        <f t="shared" si="1"/>
        <v>0</v>
      </c>
      <c r="M221" s="551">
        <f t="shared" si="2"/>
        <v>0</v>
      </c>
      <c r="N221" s="449">
        <f t="shared" si="3"/>
        <v>0</v>
      </c>
      <c r="O221" s="551">
        <f>IF(H221=0,0,(VLOOKUP(H221,'PO MTRL'!$G$9:$S1518,5,0)))</f>
        <v>0</v>
      </c>
      <c r="P221" s="551">
        <f>IF(H221=0,0,(VLOOKUP(H221,'PO MTRL'!$G$9:$S1518,7,0)))</f>
        <v>0</v>
      </c>
      <c r="Q221" s="551">
        <f t="shared" si="4"/>
        <v>0</v>
      </c>
      <c r="R221" s="551">
        <f t="shared" si="5"/>
        <v>0</v>
      </c>
      <c r="S221" s="550">
        <f>IF(C221=0,0,(VLOOKUP(C221,'PO MTRL'!$B$9:$S1518,17,0)))</f>
        <v>0</v>
      </c>
      <c r="T221" s="553"/>
      <c r="U221" s="554">
        <f>IF(C221=0,0,(VLOOKUP(C221,'PO MTRL'!$B$9:$S1518,18,0)))</f>
        <v>0</v>
      </c>
      <c r="V221" s="16"/>
      <c r="W221" s="119" t="str">
        <f t="shared" si="6"/>
        <v/>
      </c>
      <c r="X221" s="564">
        <f t="shared" si="7"/>
        <v>0</v>
      </c>
      <c r="Y221" s="119"/>
      <c r="Z221" s="119"/>
      <c r="AA221" s="530">
        <f>IFERROR(__xludf.DUMMYFUNCTION("""COMPUTED_VALUE"""),213.0)</f>
        <v>213</v>
      </c>
      <c r="AB221" s="119"/>
      <c r="AC221" s="119"/>
      <c r="AD221" s="119"/>
      <c r="AE221" s="119"/>
      <c r="AF221" s="119"/>
      <c r="AG221" s="555" t="str">
        <f t="shared" si="8"/>
        <v>  ---&gt;     ---&gt;   </v>
      </c>
      <c r="AH221" s="16"/>
      <c r="AI221" s="439"/>
      <c r="AJ221" s="439"/>
      <c r="AK221" s="439"/>
    </row>
    <row r="222" ht="18.75" customHeight="1">
      <c r="A222" s="439"/>
      <c r="B222" s="546"/>
      <c r="C222" s="547"/>
      <c r="D222" s="446">
        <f>IF(C222=0,0,(VLOOKUP(C222,'PO MTRL'!$B$9:$S1518,2,0)))</f>
        <v>0</v>
      </c>
      <c r="E222" s="548" t="str">
        <f>IF(C222="","",(VLOOKUP(C222,'PO MTRL'!$B$9:$S1518,3,0)))</f>
        <v/>
      </c>
      <c r="F222" s="549">
        <f>IF(C222=0,0,(VLOOKUP(C222,'PO MTRL'!$B$9:$S1518,4,0)))</f>
        <v>0</v>
      </c>
      <c r="G222" s="444"/>
      <c r="H222" s="550">
        <f>IF(C222=0,0,(VLOOKUP(C222,'PO MTRL'!$B$9:$S1518,6,0)))</f>
        <v>0</v>
      </c>
      <c r="I222" s="446">
        <f>IF(C222=0,0,(VLOOKUP(C222,'PO MTRL'!$B$9:$S1518,7,0)))</f>
        <v>0</v>
      </c>
      <c r="J222" s="551">
        <f>IF(C222=0,0,(VLOOKUP(C222,'PO MTRL'!$B$9:$S1518,8,0)))</f>
        <v>0</v>
      </c>
      <c r="K222" s="559"/>
      <c r="L222" s="448">
        <f t="shared" si="1"/>
        <v>0</v>
      </c>
      <c r="M222" s="551">
        <f t="shared" si="2"/>
        <v>0</v>
      </c>
      <c r="N222" s="449">
        <f t="shared" si="3"/>
        <v>0</v>
      </c>
      <c r="O222" s="551">
        <f>IF(H222=0,0,(VLOOKUP(H222,'PO MTRL'!$G$9:$S1518,5,0)))</f>
        <v>0</v>
      </c>
      <c r="P222" s="551">
        <f>IF(H222=0,0,(VLOOKUP(H222,'PO MTRL'!$G$9:$S1518,7,0)))</f>
        <v>0</v>
      </c>
      <c r="Q222" s="551">
        <f t="shared" si="4"/>
        <v>0</v>
      </c>
      <c r="R222" s="551">
        <f t="shared" si="5"/>
        <v>0</v>
      </c>
      <c r="S222" s="550">
        <f>IF(C222=0,0,(VLOOKUP(C222,'PO MTRL'!$B$9:$S1518,17,0)))</f>
        <v>0</v>
      </c>
      <c r="T222" s="553"/>
      <c r="U222" s="554">
        <f>IF(C222=0,0,(VLOOKUP(C222,'PO MTRL'!$B$9:$S1518,18,0)))</f>
        <v>0</v>
      </c>
      <c r="V222" s="16"/>
      <c r="W222" s="119" t="str">
        <f t="shared" si="6"/>
        <v/>
      </c>
      <c r="X222" s="564">
        <f t="shared" si="7"/>
        <v>0</v>
      </c>
      <c r="Y222" s="119"/>
      <c r="Z222" s="119"/>
      <c r="AA222" s="530">
        <f>IFERROR(__xludf.DUMMYFUNCTION("""COMPUTED_VALUE"""),214.0)</f>
        <v>214</v>
      </c>
      <c r="AB222" s="119"/>
      <c r="AC222" s="119"/>
      <c r="AD222" s="119"/>
      <c r="AE222" s="119"/>
      <c r="AF222" s="119"/>
      <c r="AG222" s="555" t="str">
        <f t="shared" si="8"/>
        <v>  ---&gt;     ---&gt;   </v>
      </c>
      <c r="AH222" s="16"/>
      <c r="AI222" s="439"/>
      <c r="AJ222" s="439"/>
      <c r="AK222" s="439"/>
    </row>
    <row r="223" ht="18.75" customHeight="1">
      <c r="A223" s="439"/>
      <c r="B223" s="546"/>
      <c r="C223" s="547"/>
      <c r="D223" s="446">
        <f>IF(C223=0,0,(VLOOKUP(C223,'PO MTRL'!$B$9:$S1518,2,0)))</f>
        <v>0</v>
      </c>
      <c r="E223" s="548" t="str">
        <f>IF(C223="","",(VLOOKUP(C223,'PO MTRL'!$B$9:$S1518,3,0)))</f>
        <v/>
      </c>
      <c r="F223" s="549">
        <f>IF(C223=0,0,(VLOOKUP(C223,'PO MTRL'!$B$9:$S1518,4,0)))</f>
        <v>0</v>
      </c>
      <c r="G223" s="444"/>
      <c r="H223" s="550">
        <f>IF(C223=0,0,(VLOOKUP(C223,'PO MTRL'!$B$9:$S1518,6,0)))</f>
        <v>0</v>
      </c>
      <c r="I223" s="446">
        <f>IF(C223=0,0,(VLOOKUP(C223,'PO MTRL'!$B$9:$S1518,7,0)))</f>
        <v>0</v>
      </c>
      <c r="J223" s="551">
        <f>IF(C223=0,0,(VLOOKUP(C223,'PO MTRL'!$B$9:$S1518,8,0)))</f>
        <v>0</v>
      </c>
      <c r="K223" s="559"/>
      <c r="L223" s="448">
        <f t="shared" si="1"/>
        <v>0</v>
      </c>
      <c r="M223" s="551">
        <f t="shared" si="2"/>
        <v>0</v>
      </c>
      <c r="N223" s="449">
        <f t="shared" si="3"/>
        <v>0</v>
      </c>
      <c r="O223" s="551">
        <f>IF(H223=0,0,(VLOOKUP(H223,'PO MTRL'!$G$9:$S1518,5,0)))</f>
        <v>0</v>
      </c>
      <c r="P223" s="551">
        <f>IF(H223=0,0,(VLOOKUP(H223,'PO MTRL'!$G$9:$S1518,7,0)))</f>
        <v>0</v>
      </c>
      <c r="Q223" s="551">
        <f t="shared" si="4"/>
        <v>0</v>
      </c>
      <c r="R223" s="551">
        <f t="shared" si="5"/>
        <v>0</v>
      </c>
      <c r="S223" s="550">
        <f>IF(C223=0,0,(VLOOKUP(C223,'PO MTRL'!$B$9:$S1518,17,0)))</f>
        <v>0</v>
      </c>
      <c r="T223" s="553"/>
      <c r="U223" s="554">
        <f>IF(C223=0,0,(VLOOKUP(C223,'PO MTRL'!$B$9:$S1518,18,0)))</f>
        <v>0</v>
      </c>
      <c r="V223" s="16"/>
      <c r="W223" s="119" t="str">
        <f t="shared" si="6"/>
        <v/>
      </c>
      <c r="X223" s="564">
        <f t="shared" si="7"/>
        <v>0</v>
      </c>
      <c r="Y223" s="119"/>
      <c r="Z223" s="119"/>
      <c r="AA223" s="530">
        <f>IFERROR(__xludf.DUMMYFUNCTION("""COMPUTED_VALUE"""),215.0)</f>
        <v>215</v>
      </c>
      <c r="AB223" s="119"/>
      <c r="AC223" s="119"/>
      <c r="AD223" s="119"/>
      <c r="AE223" s="119"/>
      <c r="AF223" s="119"/>
      <c r="AG223" s="555" t="str">
        <f t="shared" si="8"/>
        <v>  ---&gt;     ---&gt;   </v>
      </c>
      <c r="AH223" s="16"/>
      <c r="AI223" s="439"/>
      <c r="AJ223" s="439"/>
      <c r="AK223" s="439"/>
    </row>
    <row r="224" ht="18.75" customHeight="1">
      <c r="A224" s="439"/>
      <c r="B224" s="546"/>
      <c r="C224" s="547"/>
      <c r="D224" s="446">
        <f>IF(C224=0,0,(VLOOKUP(C224,'PO MTRL'!$B$9:$S1518,2,0)))</f>
        <v>0</v>
      </c>
      <c r="E224" s="548" t="str">
        <f>IF(C224="","",(VLOOKUP(C224,'PO MTRL'!$B$9:$S1518,3,0)))</f>
        <v/>
      </c>
      <c r="F224" s="549">
        <f>IF(C224=0,0,(VLOOKUP(C224,'PO MTRL'!$B$9:$S1518,4,0)))</f>
        <v>0</v>
      </c>
      <c r="G224" s="444"/>
      <c r="H224" s="550">
        <f>IF(C224=0,0,(VLOOKUP(C224,'PO MTRL'!$B$9:$S1518,6,0)))</f>
        <v>0</v>
      </c>
      <c r="I224" s="446">
        <f>IF(C224=0,0,(VLOOKUP(C224,'PO MTRL'!$B$9:$S1518,7,0)))</f>
        <v>0</v>
      </c>
      <c r="J224" s="551">
        <f>IF(C224=0,0,(VLOOKUP(C224,'PO MTRL'!$B$9:$S1518,8,0)))</f>
        <v>0</v>
      </c>
      <c r="K224" s="559"/>
      <c r="L224" s="448">
        <f t="shared" si="1"/>
        <v>0</v>
      </c>
      <c r="M224" s="551">
        <f t="shared" si="2"/>
        <v>0</v>
      </c>
      <c r="N224" s="449">
        <f t="shared" si="3"/>
        <v>0</v>
      </c>
      <c r="O224" s="551">
        <f>IF(H224=0,0,(VLOOKUP(H224,'PO MTRL'!$G$9:$S1518,5,0)))</f>
        <v>0</v>
      </c>
      <c r="P224" s="551">
        <f>IF(H224=0,0,(VLOOKUP(H224,'PO MTRL'!$G$9:$S1518,7,0)))</f>
        <v>0</v>
      </c>
      <c r="Q224" s="551">
        <f t="shared" si="4"/>
        <v>0</v>
      </c>
      <c r="R224" s="551">
        <f t="shared" si="5"/>
        <v>0</v>
      </c>
      <c r="S224" s="550">
        <f>IF(C224=0,0,(VLOOKUP(C224,'PO MTRL'!$B$9:$S1518,17,0)))</f>
        <v>0</v>
      </c>
      <c r="T224" s="553"/>
      <c r="U224" s="554">
        <f>IF(C224=0,0,(VLOOKUP(C224,'PO MTRL'!$B$9:$S1518,18,0)))</f>
        <v>0</v>
      </c>
      <c r="V224" s="16"/>
      <c r="W224" s="119" t="str">
        <f t="shared" si="6"/>
        <v/>
      </c>
      <c r="X224" s="564">
        <f t="shared" si="7"/>
        <v>0</v>
      </c>
      <c r="Y224" s="119"/>
      <c r="Z224" s="119"/>
      <c r="AA224" s="530">
        <f>IFERROR(__xludf.DUMMYFUNCTION("""COMPUTED_VALUE"""),216.0)</f>
        <v>216</v>
      </c>
      <c r="AB224" s="119"/>
      <c r="AC224" s="119"/>
      <c r="AD224" s="119"/>
      <c r="AE224" s="119"/>
      <c r="AF224" s="119"/>
      <c r="AG224" s="555" t="str">
        <f t="shared" si="8"/>
        <v>  ---&gt;     ---&gt;   </v>
      </c>
      <c r="AH224" s="16"/>
      <c r="AI224" s="439"/>
      <c r="AJ224" s="439"/>
      <c r="AK224" s="439"/>
    </row>
    <row r="225" ht="18.75" customHeight="1">
      <c r="A225" s="439"/>
      <c r="B225" s="546"/>
      <c r="C225" s="547"/>
      <c r="D225" s="446">
        <f>IF(C225=0,0,(VLOOKUP(C225,'PO MTRL'!$B$9:$S1518,2,0)))</f>
        <v>0</v>
      </c>
      <c r="E225" s="548" t="str">
        <f>IF(C225="","",(VLOOKUP(C225,'PO MTRL'!$B$9:$S1518,3,0)))</f>
        <v/>
      </c>
      <c r="F225" s="549">
        <f>IF(C225=0,0,(VLOOKUP(C225,'PO MTRL'!$B$9:$S1518,4,0)))</f>
        <v>0</v>
      </c>
      <c r="G225" s="444"/>
      <c r="H225" s="550">
        <f>IF(C225=0,0,(VLOOKUP(C225,'PO MTRL'!$B$9:$S1518,6,0)))</f>
        <v>0</v>
      </c>
      <c r="I225" s="446">
        <f>IF(C225=0,0,(VLOOKUP(C225,'PO MTRL'!$B$9:$S1518,7,0)))</f>
        <v>0</v>
      </c>
      <c r="J225" s="551">
        <f>IF(C225=0,0,(VLOOKUP(C225,'PO MTRL'!$B$9:$S1518,8,0)))</f>
        <v>0</v>
      </c>
      <c r="K225" s="559"/>
      <c r="L225" s="448">
        <f t="shared" si="1"/>
        <v>0</v>
      </c>
      <c r="M225" s="551">
        <f t="shared" si="2"/>
        <v>0</v>
      </c>
      <c r="N225" s="449">
        <f t="shared" si="3"/>
        <v>0</v>
      </c>
      <c r="O225" s="551">
        <f>IF(H225=0,0,(VLOOKUP(H225,'PO MTRL'!$G$9:$S1518,5,0)))</f>
        <v>0</v>
      </c>
      <c r="P225" s="551">
        <f>IF(H225=0,0,(VLOOKUP(H225,'PO MTRL'!$G$9:$S1518,7,0)))</f>
        <v>0</v>
      </c>
      <c r="Q225" s="551">
        <f t="shared" si="4"/>
        <v>0</v>
      </c>
      <c r="R225" s="551">
        <f t="shared" si="5"/>
        <v>0</v>
      </c>
      <c r="S225" s="550">
        <f>IF(C225=0,0,(VLOOKUP(C225,'PO MTRL'!$B$9:$S1518,17,0)))</f>
        <v>0</v>
      </c>
      <c r="T225" s="553"/>
      <c r="U225" s="554">
        <f>IF(C225=0,0,(VLOOKUP(C225,'PO MTRL'!$B$9:$S1518,18,0)))</f>
        <v>0</v>
      </c>
      <c r="V225" s="16"/>
      <c r="W225" s="119" t="str">
        <f t="shared" si="6"/>
        <v/>
      </c>
      <c r="X225" s="564">
        <f t="shared" si="7"/>
        <v>0</v>
      </c>
      <c r="Y225" s="119"/>
      <c r="Z225" s="119"/>
      <c r="AA225" s="530">
        <f>IFERROR(__xludf.DUMMYFUNCTION("""COMPUTED_VALUE"""),217.0)</f>
        <v>217</v>
      </c>
      <c r="AB225" s="119"/>
      <c r="AC225" s="119"/>
      <c r="AD225" s="119"/>
      <c r="AE225" s="119"/>
      <c r="AF225" s="119"/>
      <c r="AG225" s="555" t="str">
        <f t="shared" si="8"/>
        <v>  ---&gt;     ---&gt;   </v>
      </c>
      <c r="AH225" s="16"/>
      <c r="AI225" s="439"/>
      <c r="AJ225" s="439"/>
      <c r="AK225" s="439"/>
    </row>
    <row r="226" ht="18.75" customHeight="1">
      <c r="A226" s="439"/>
      <c r="B226" s="546"/>
      <c r="C226" s="547"/>
      <c r="D226" s="446">
        <f>IF(C226=0,0,(VLOOKUP(C226,'PO MTRL'!$B$9:$S1518,2,0)))</f>
        <v>0</v>
      </c>
      <c r="E226" s="548" t="str">
        <f>IF(C226="","",(VLOOKUP(C226,'PO MTRL'!$B$9:$S1518,3,0)))</f>
        <v/>
      </c>
      <c r="F226" s="549">
        <f>IF(C226=0,0,(VLOOKUP(C226,'PO MTRL'!$B$9:$S1518,4,0)))</f>
        <v>0</v>
      </c>
      <c r="G226" s="444"/>
      <c r="H226" s="550">
        <f>IF(C226=0,0,(VLOOKUP(C226,'PO MTRL'!$B$9:$S1518,6,0)))</f>
        <v>0</v>
      </c>
      <c r="I226" s="446">
        <f>IF(C226=0,0,(VLOOKUP(C226,'PO MTRL'!$B$9:$S1518,7,0)))</f>
        <v>0</v>
      </c>
      <c r="J226" s="551">
        <f>IF(C226=0,0,(VLOOKUP(C226,'PO MTRL'!$B$9:$S1518,8,0)))</f>
        <v>0</v>
      </c>
      <c r="K226" s="559"/>
      <c r="L226" s="448">
        <f t="shared" si="1"/>
        <v>0</v>
      </c>
      <c r="M226" s="551">
        <f t="shared" si="2"/>
        <v>0</v>
      </c>
      <c r="N226" s="449">
        <f t="shared" si="3"/>
        <v>0</v>
      </c>
      <c r="O226" s="551">
        <f>IF(H226=0,0,(VLOOKUP(H226,'PO MTRL'!$G$9:$S1518,5,0)))</f>
        <v>0</v>
      </c>
      <c r="P226" s="551">
        <f>IF(H226=0,0,(VLOOKUP(H226,'PO MTRL'!$G$9:$S1518,7,0)))</f>
        <v>0</v>
      </c>
      <c r="Q226" s="551">
        <f t="shared" si="4"/>
        <v>0</v>
      </c>
      <c r="R226" s="551">
        <f t="shared" si="5"/>
        <v>0</v>
      </c>
      <c r="S226" s="550">
        <f>IF(C226=0,0,(VLOOKUP(C226,'PO MTRL'!$B$9:$S1518,17,0)))</f>
        <v>0</v>
      </c>
      <c r="T226" s="553"/>
      <c r="U226" s="554">
        <f>IF(C226=0,0,(VLOOKUP(C226,'PO MTRL'!$B$9:$S1518,18,0)))</f>
        <v>0</v>
      </c>
      <c r="V226" s="16"/>
      <c r="W226" s="119" t="str">
        <f t="shared" si="6"/>
        <v/>
      </c>
      <c r="X226" s="564">
        <f t="shared" si="7"/>
        <v>0</v>
      </c>
      <c r="Y226" s="119"/>
      <c r="Z226" s="119"/>
      <c r="AA226" s="530">
        <f>IFERROR(__xludf.DUMMYFUNCTION("""COMPUTED_VALUE"""),218.0)</f>
        <v>218</v>
      </c>
      <c r="AB226" s="119"/>
      <c r="AC226" s="119"/>
      <c r="AD226" s="119"/>
      <c r="AE226" s="119"/>
      <c r="AF226" s="119"/>
      <c r="AG226" s="555" t="str">
        <f t="shared" si="8"/>
        <v>  ---&gt;     ---&gt;   </v>
      </c>
      <c r="AH226" s="16"/>
      <c r="AI226" s="439"/>
      <c r="AJ226" s="439"/>
      <c r="AK226" s="439"/>
    </row>
    <row r="227" ht="18.75" customHeight="1">
      <c r="A227" s="439"/>
      <c r="B227" s="546"/>
      <c r="C227" s="547"/>
      <c r="D227" s="446">
        <f>IF(C227=0,0,(VLOOKUP(C227,'PO MTRL'!$B$9:$S1518,2,0)))</f>
        <v>0</v>
      </c>
      <c r="E227" s="548" t="str">
        <f>IF(C227="","",(VLOOKUP(C227,'PO MTRL'!$B$9:$S1518,3,0)))</f>
        <v/>
      </c>
      <c r="F227" s="549">
        <f>IF(C227=0,0,(VLOOKUP(C227,'PO MTRL'!$B$9:$S1518,4,0)))</f>
        <v>0</v>
      </c>
      <c r="G227" s="444"/>
      <c r="H227" s="550">
        <f>IF(C227=0,0,(VLOOKUP(C227,'PO MTRL'!$B$9:$S1518,6,0)))</f>
        <v>0</v>
      </c>
      <c r="I227" s="446">
        <f>IF(C227=0,0,(VLOOKUP(C227,'PO MTRL'!$B$9:$S1518,7,0)))</f>
        <v>0</v>
      </c>
      <c r="J227" s="551">
        <f>IF(C227=0,0,(VLOOKUP(C227,'PO MTRL'!$B$9:$S1518,8,0)))</f>
        <v>0</v>
      </c>
      <c r="K227" s="559"/>
      <c r="L227" s="448">
        <f t="shared" si="1"/>
        <v>0</v>
      </c>
      <c r="M227" s="551">
        <f t="shared" si="2"/>
        <v>0</v>
      </c>
      <c r="N227" s="449">
        <f t="shared" si="3"/>
        <v>0</v>
      </c>
      <c r="O227" s="551">
        <f>IF(H227=0,0,(VLOOKUP(H227,'PO MTRL'!$G$9:$S1518,5,0)))</f>
        <v>0</v>
      </c>
      <c r="P227" s="551">
        <f>IF(H227=0,0,(VLOOKUP(H227,'PO MTRL'!$G$9:$S1518,7,0)))</f>
        <v>0</v>
      </c>
      <c r="Q227" s="551">
        <f t="shared" si="4"/>
        <v>0</v>
      </c>
      <c r="R227" s="551">
        <f t="shared" si="5"/>
        <v>0</v>
      </c>
      <c r="S227" s="550">
        <f>IF(C227=0,0,(VLOOKUP(C227,'PO MTRL'!$B$9:$S1518,17,0)))</f>
        <v>0</v>
      </c>
      <c r="T227" s="553"/>
      <c r="U227" s="554">
        <f>IF(C227=0,0,(VLOOKUP(C227,'PO MTRL'!$B$9:$S1518,18,0)))</f>
        <v>0</v>
      </c>
      <c r="V227" s="16"/>
      <c r="W227" s="119" t="str">
        <f t="shared" si="6"/>
        <v/>
      </c>
      <c r="X227" s="564">
        <f t="shared" si="7"/>
        <v>0</v>
      </c>
      <c r="Y227" s="119"/>
      <c r="Z227" s="119"/>
      <c r="AA227" s="530">
        <f>IFERROR(__xludf.DUMMYFUNCTION("""COMPUTED_VALUE"""),219.0)</f>
        <v>219</v>
      </c>
      <c r="AB227" s="119"/>
      <c r="AC227" s="119"/>
      <c r="AD227" s="119"/>
      <c r="AE227" s="119"/>
      <c r="AF227" s="119"/>
      <c r="AG227" s="555" t="str">
        <f t="shared" si="8"/>
        <v>  ---&gt;     ---&gt;   </v>
      </c>
      <c r="AH227" s="16"/>
      <c r="AI227" s="439"/>
      <c r="AJ227" s="439"/>
      <c r="AK227" s="439"/>
    </row>
    <row r="228" ht="18.75" customHeight="1">
      <c r="A228" s="439"/>
      <c r="B228" s="546"/>
      <c r="C228" s="547"/>
      <c r="D228" s="446">
        <f>IF(C228=0,0,(VLOOKUP(C228,'PO MTRL'!$B$9:$S1518,2,0)))</f>
        <v>0</v>
      </c>
      <c r="E228" s="548" t="str">
        <f>IF(C228="","",(VLOOKUP(C228,'PO MTRL'!$B$9:$S1518,3,0)))</f>
        <v/>
      </c>
      <c r="F228" s="549">
        <f>IF(C228=0,0,(VLOOKUP(C228,'PO MTRL'!$B$9:$S1518,4,0)))</f>
        <v>0</v>
      </c>
      <c r="G228" s="444"/>
      <c r="H228" s="550">
        <f>IF(C228=0,0,(VLOOKUP(C228,'PO MTRL'!$B$9:$S1518,6,0)))</f>
        <v>0</v>
      </c>
      <c r="I228" s="446">
        <f>IF(C228=0,0,(VLOOKUP(C228,'PO MTRL'!$B$9:$S1518,7,0)))</f>
        <v>0</v>
      </c>
      <c r="J228" s="551">
        <f>IF(C228=0,0,(VLOOKUP(C228,'PO MTRL'!$B$9:$S1518,8,0)))</f>
        <v>0</v>
      </c>
      <c r="K228" s="559"/>
      <c r="L228" s="448">
        <f t="shared" si="1"/>
        <v>0</v>
      </c>
      <c r="M228" s="551">
        <f t="shared" si="2"/>
        <v>0</v>
      </c>
      <c r="N228" s="449">
        <f t="shared" si="3"/>
        <v>0</v>
      </c>
      <c r="O228" s="551">
        <f>IF(H228=0,0,(VLOOKUP(H228,'PO MTRL'!$G$9:$S1518,5,0)))</f>
        <v>0</v>
      </c>
      <c r="P228" s="551">
        <f>IF(H228=0,0,(VLOOKUP(H228,'PO MTRL'!$G$9:$S1518,7,0)))</f>
        <v>0</v>
      </c>
      <c r="Q228" s="551">
        <f t="shared" si="4"/>
        <v>0</v>
      </c>
      <c r="R228" s="551">
        <f t="shared" si="5"/>
        <v>0</v>
      </c>
      <c r="S228" s="550">
        <f>IF(C228=0,0,(VLOOKUP(C228,'PO MTRL'!$B$9:$S1518,17,0)))</f>
        <v>0</v>
      </c>
      <c r="T228" s="553"/>
      <c r="U228" s="554">
        <f>IF(C228=0,0,(VLOOKUP(C228,'PO MTRL'!$B$9:$S1518,18,0)))</f>
        <v>0</v>
      </c>
      <c r="V228" s="16"/>
      <c r="W228" s="119" t="str">
        <f t="shared" si="6"/>
        <v/>
      </c>
      <c r="X228" s="564">
        <f t="shared" si="7"/>
        <v>0</v>
      </c>
      <c r="Y228" s="119"/>
      <c r="Z228" s="119"/>
      <c r="AA228" s="530">
        <f>IFERROR(__xludf.DUMMYFUNCTION("""COMPUTED_VALUE"""),220.0)</f>
        <v>220</v>
      </c>
      <c r="AB228" s="119"/>
      <c r="AC228" s="119"/>
      <c r="AD228" s="119"/>
      <c r="AE228" s="119"/>
      <c r="AF228" s="119"/>
      <c r="AG228" s="555" t="str">
        <f t="shared" si="8"/>
        <v>  ---&gt;     ---&gt;   </v>
      </c>
      <c r="AH228" s="16"/>
      <c r="AI228" s="439"/>
      <c r="AJ228" s="439"/>
      <c r="AK228" s="439"/>
    </row>
    <row r="229" ht="18.75" customHeight="1">
      <c r="A229" s="439"/>
      <c r="B229" s="546"/>
      <c r="C229" s="547"/>
      <c r="D229" s="446">
        <f>IF(C229=0,0,(VLOOKUP(C229,'PO MTRL'!$B$9:$S1518,2,0)))</f>
        <v>0</v>
      </c>
      <c r="E229" s="548" t="str">
        <f>IF(C229="","",(VLOOKUP(C229,'PO MTRL'!$B$9:$S1518,3,0)))</f>
        <v/>
      </c>
      <c r="F229" s="549">
        <f>IF(C229=0,0,(VLOOKUP(C229,'PO MTRL'!$B$9:$S1518,4,0)))</f>
        <v>0</v>
      </c>
      <c r="G229" s="444"/>
      <c r="H229" s="550">
        <f>IF(C229=0,0,(VLOOKUP(C229,'PO MTRL'!$B$9:$S1518,6,0)))</f>
        <v>0</v>
      </c>
      <c r="I229" s="446">
        <f>IF(C229=0,0,(VLOOKUP(C229,'PO MTRL'!$B$9:$S1518,7,0)))</f>
        <v>0</v>
      </c>
      <c r="J229" s="551">
        <f>IF(C229=0,0,(VLOOKUP(C229,'PO MTRL'!$B$9:$S1518,8,0)))</f>
        <v>0</v>
      </c>
      <c r="K229" s="559"/>
      <c r="L229" s="448">
        <f t="shared" si="1"/>
        <v>0</v>
      </c>
      <c r="M229" s="551">
        <f t="shared" si="2"/>
        <v>0</v>
      </c>
      <c r="N229" s="449">
        <f t="shared" si="3"/>
        <v>0</v>
      </c>
      <c r="O229" s="551">
        <f>IF(H229=0,0,(VLOOKUP(H229,'PO MTRL'!$G$9:$S1518,5,0)))</f>
        <v>0</v>
      </c>
      <c r="P229" s="551">
        <f>IF(H229=0,0,(VLOOKUP(H229,'PO MTRL'!$G$9:$S1518,7,0)))</f>
        <v>0</v>
      </c>
      <c r="Q229" s="551">
        <f t="shared" si="4"/>
        <v>0</v>
      </c>
      <c r="R229" s="551">
        <f t="shared" si="5"/>
        <v>0</v>
      </c>
      <c r="S229" s="550">
        <f>IF(C229=0,0,(VLOOKUP(C229,'PO MTRL'!$B$9:$S1518,17,0)))</f>
        <v>0</v>
      </c>
      <c r="T229" s="553"/>
      <c r="U229" s="554">
        <f>IF(C229=0,0,(VLOOKUP(C229,'PO MTRL'!$B$9:$S1518,18,0)))</f>
        <v>0</v>
      </c>
      <c r="V229" s="16"/>
      <c r="W229" s="119" t="str">
        <f t="shared" si="6"/>
        <v/>
      </c>
      <c r="X229" s="564">
        <f t="shared" si="7"/>
        <v>0</v>
      </c>
      <c r="Y229" s="119"/>
      <c r="Z229" s="119"/>
      <c r="AA229" s="530">
        <f>IFERROR(__xludf.DUMMYFUNCTION("""COMPUTED_VALUE"""),221.0)</f>
        <v>221</v>
      </c>
      <c r="AB229" s="119"/>
      <c r="AC229" s="119"/>
      <c r="AD229" s="119"/>
      <c r="AE229" s="119"/>
      <c r="AF229" s="119"/>
      <c r="AG229" s="555" t="str">
        <f t="shared" si="8"/>
        <v>  ---&gt;     ---&gt;   </v>
      </c>
      <c r="AH229" s="16"/>
      <c r="AI229" s="439"/>
      <c r="AJ229" s="439"/>
      <c r="AK229" s="439"/>
    </row>
    <row r="230" ht="18.75" customHeight="1">
      <c r="A230" s="439"/>
      <c r="B230" s="546"/>
      <c r="C230" s="547"/>
      <c r="D230" s="446">
        <f>IF(C230=0,0,(VLOOKUP(C230,'PO MTRL'!$B$9:$S1518,2,0)))</f>
        <v>0</v>
      </c>
      <c r="E230" s="548" t="str">
        <f>IF(C230="","",(VLOOKUP(C230,'PO MTRL'!$B$9:$S1518,3,0)))</f>
        <v/>
      </c>
      <c r="F230" s="549">
        <f>IF(C230=0,0,(VLOOKUP(C230,'PO MTRL'!$B$9:$S1518,4,0)))</f>
        <v>0</v>
      </c>
      <c r="G230" s="444"/>
      <c r="H230" s="550">
        <f>IF(C230=0,0,(VLOOKUP(C230,'PO MTRL'!$B$9:$S1518,6,0)))</f>
        <v>0</v>
      </c>
      <c r="I230" s="446">
        <f>IF(C230=0,0,(VLOOKUP(C230,'PO MTRL'!$B$9:$S1518,7,0)))</f>
        <v>0</v>
      </c>
      <c r="J230" s="551">
        <f>IF(C230=0,0,(VLOOKUP(C230,'PO MTRL'!$B$9:$S1518,8,0)))</f>
        <v>0</v>
      </c>
      <c r="K230" s="559"/>
      <c r="L230" s="448">
        <f t="shared" si="1"/>
        <v>0</v>
      </c>
      <c r="M230" s="551">
        <f t="shared" si="2"/>
        <v>0</v>
      </c>
      <c r="N230" s="449">
        <f t="shared" si="3"/>
        <v>0</v>
      </c>
      <c r="O230" s="551">
        <f>IF(H230=0,0,(VLOOKUP(H230,'PO MTRL'!$G$9:$S1518,5,0)))</f>
        <v>0</v>
      </c>
      <c r="P230" s="551">
        <f>IF(H230=0,0,(VLOOKUP(H230,'PO MTRL'!$G$9:$S1518,7,0)))</f>
        <v>0</v>
      </c>
      <c r="Q230" s="551">
        <f t="shared" si="4"/>
        <v>0</v>
      </c>
      <c r="R230" s="551">
        <f t="shared" si="5"/>
        <v>0</v>
      </c>
      <c r="S230" s="550">
        <f>IF(C230=0,0,(VLOOKUP(C230,'PO MTRL'!$B$9:$S1518,17,0)))</f>
        <v>0</v>
      </c>
      <c r="T230" s="553"/>
      <c r="U230" s="554">
        <f>IF(C230=0,0,(VLOOKUP(C230,'PO MTRL'!$B$9:$S1518,18,0)))</f>
        <v>0</v>
      </c>
      <c r="V230" s="16"/>
      <c r="W230" s="119" t="str">
        <f t="shared" si="6"/>
        <v/>
      </c>
      <c r="X230" s="564">
        <f t="shared" si="7"/>
        <v>0</v>
      </c>
      <c r="Y230" s="119"/>
      <c r="Z230" s="119"/>
      <c r="AA230" s="530">
        <f>IFERROR(__xludf.DUMMYFUNCTION("""COMPUTED_VALUE"""),222.0)</f>
        <v>222</v>
      </c>
      <c r="AB230" s="119"/>
      <c r="AC230" s="119"/>
      <c r="AD230" s="119"/>
      <c r="AE230" s="119"/>
      <c r="AF230" s="119"/>
      <c r="AG230" s="555" t="str">
        <f t="shared" si="8"/>
        <v>  ---&gt;     ---&gt;   </v>
      </c>
      <c r="AH230" s="16"/>
      <c r="AI230" s="439"/>
      <c r="AJ230" s="439"/>
      <c r="AK230" s="439"/>
    </row>
    <row r="231" ht="18.75" customHeight="1">
      <c r="A231" s="439"/>
      <c r="B231" s="546"/>
      <c r="C231" s="547"/>
      <c r="D231" s="446">
        <f>IF(C231=0,0,(VLOOKUP(C231,'PO MTRL'!$B$9:$S1518,2,0)))</f>
        <v>0</v>
      </c>
      <c r="E231" s="548" t="str">
        <f>IF(C231="","",(VLOOKUP(C231,'PO MTRL'!$B$9:$S1518,3,0)))</f>
        <v/>
      </c>
      <c r="F231" s="549">
        <f>IF(C231=0,0,(VLOOKUP(C231,'PO MTRL'!$B$9:$S1518,4,0)))</f>
        <v>0</v>
      </c>
      <c r="G231" s="444"/>
      <c r="H231" s="550">
        <f>IF(C231=0,0,(VLOOKUP(C231,'PO MTRL'!$B$9:$S1518,6,0)))</f>
        <v>0</v>
      </c>
      <c r="I231" s="446">
        <f>IF(C231=0,0,(VLOOKUP(C231,'PO MTRL'!$B$9:$S1518,7,0)))</f>
        <v>0</v>
      </c>
      <c r="J231" s="551">
        <f>IF(C231=0,0,(VLOOKUP(C231,'PO MTRL'!$B$9:$S1518,8,0)))</f>
        <v>0</v>
      </c>
      <c r="K231" s="559"/>
      <c r="L231" s="448">
        <f t="shared" si="1"/>
        <v>0</v>
      </c>
      <c r="M231" s="551">
        <f t="shared" si="2"/>
        <v>0</v>
      </c>
      <c r="N231" s="449">
        <f t="shared" si="3"/>
        <v>0</v>
      </c>
      <c r="O231" s="551">
        <f>IF(H231=0,0,(VLOOKUP(H231,'PO MTRL'!$G$9:$S1518,5,0)))</f>
        <v>0</v>
      </c>
      <c r="P231" s="551">
        <f>IF(H231=0,0,(VLOOKUP(H231,'PO MTRL'!$G$9:$S1518,7,0)))</f>
        <v>0</v>
      </c>
      <c r="Q231" s="551">
        <f t="shared" si="4"/>
        <v>0</v>
      </c>
      <c r="R231" s="551">
        <f t="shared" si="5"/>
        <v>0</v>
      </c>
      <c r="S231" s="550">
        <f>IF(C231=0,0,(VLOOKUP(C231,'PO MTRL'!$B$9:$S1518,17,0)))</f>
        <v>0</v>
      </c>
      <c r="T231" s="553"/>
      <c r="U231" s="554">
        <f>IF(C231=0,0,(VLOOKUP(C231,'PO MTRL'!$B$9:$S1518,18,0)))</f>
        <v>0</v>
      </c>
      <c r="V231" s="16"/>
      <c r="W231" s="119" t="str">
        <f t="shared" si="6"/>
        <v/>
      </c>
      <c r="X231" s="564">
        <f t="shared" si="7"/>
        <v>0</v>
      </c>
      <c r="Y231" s="119"/>
      <c r="Z231" s="119"/>
      <c r="AA231" s="530">
        <f>IFERROR(__xludf.DUMMYFUNCTION("""COMPUTED_VALUE"""),223.0)</f>
        <v>223</v>
      </c>
      <c r="AB231" s="119"/>
      <c r="AC231" s="119"/>
      <c r="AD231" s="119"/>
      <c r="AE231" s="119"/>
      <c r="AF231" s="119"/>
      <c r="AG231" s="555" t="str">
        <f t="shared" si="8"/>
        <v>  ---&gt;     ---&gt;   </v>
      </c>
      <c r="AH231" s="16"/>
      <c r="AI231" s="439"/>
      <c r="AJ231" s="439"/>
      <c r="AK231" s="439"/>
    </row>
    <row r="232" ht="18.75" customHeight="1">
      <c r="A232" s="439"/>
      <c r="B232" s="546"/>
      <c r="C232" s="547"/>
      <c r="D232" s="446">
        <f>IF(C232=0,0,(VLOOKUP(C232,'PO MTRL'!$B$9:$S1518,2,0)))</f>
        <v>0</v>
      </c>
      <c r="E232" s="548" t="str">
        <f>IF(C232="","",(VLOOKUP(C232,'PO MTRL'!$B$9:$S1518,3,0)))</f>
        <v/>
      </c>
      <c r="F232" s="549">
        <f>IF(C232=0,0,(VLOOKUP(C232,'PO MTRL'!$B$9:$S1518,4,0)))</f>
        <v>0</v>
      </c>
      <c r="G232" s="444"/>
      <c r="H232" s="550">
        <f>IF(C232=0,0,(VLOOKUP(C232,'PO MTRL'!$B$9:$S1518,6,0)))</f>
        <v>0</v>
      </c>
      <c r="I232" s="446">
        <f>IF(C232=0,0,(VLOOKUP(C232,'PO MTRL'!$B$9:$S1518,7,0)))</f>
        <v>0</v>
      </c>
      <c r="J232" s="551">
        <f>IF(C232=0,0,(VLOOKUP(C232,'PO MTRL'!$B$9:$S1518,8,0)))</f>
        <v>0</v>
      </c>
      <c r="K232" s="559"/>
      <c r="L232" s="448">
        <f t="shared" si="1"/>
        <v>0</v>
      </c>
      <c r="M232" s="551">
        <f t="shared" si="2"/>
        <v>0</v>
      </c>
      <c r="N232" s="449">
        <f t="shared" si="3"/>
        <v>0</v>
      </c>
      <c r="O232" s="551">
        <f>IF(H232=0,0,(VLOOKUP(H232,'PO MTRL'!$G$9:$S1518,5,0)))</f>
        <v>0</v>
      </c>
      <c r="P232" s="551">
        <f>IF(H232=0,0,(VLOOKUP(H232,'PO MTRL'!$G$9:$S1518,7,0)))</f>
        <v>0</v>
      </c>
      <c r="Q232" s="551">
        <f t="shared" si="4"/>
        <v>0</v>
      </c>
      <c r="R232" s="551">
        <f t="shared" si="5"/>
        <v>0</v>
      </c>
      <c r="S232" s="550">
        <f>IF(C232=0,0,(VLOOKUP(C232,'PO MTRL'!$B$9:$S1518,17,0)))</f>
        <v>0</v>
      </c>
      <c r="T232" s="553"/>
      <c r="U232" s="554">
        <f>IF(C232=0,0,(VLOOKUP(C232,'PO MTRL'!$B$9:$S1518,18,0)))</f>
        <v>0</v>
      </c>
      <c r="V232" s="16"/>
      <c r="W232" s="119" t="str">
        <f t="shared" si="6"/>
        <v/>
      </c>
      <c r="X232" s="564">
        <f t="shared" si="7"/>
        <v>0</v>
      </c>
      <c r="Y232" s="119"/>
      <c r="Z232" s="119"/>
      <c r="AA232" s="530">
        <f>IFERROR(__xludf.DUMMYFUNCTION("""COMPUTED_VALUE"""),224.0)</f>
        <v>224</v>
      </c>
      <c r="AB232" s="119"/>
      <c r="AC232" s="119"/>
      <c r="AD232" s="119"/>
      <c r="AE232" s="119"/>
      <c r="AF232" s="119"/>
      <c r="AG232" s="555" t="str">
        <f t="shared" si="8"/>
        <v>  ---&gt;     ---&gt;   </v>
      </c>
      <c r="AH232" s="16"/>
      <c r="AI232" s="439"/>
      <c r="AJ232" s="439"/>
      <c r="AK232" s="439"/>
    </row>
    <row r="233" ht="18.75" customHeight="1">
      <c r="A233" s="439"/>
      <c r="B233" s="546"/>
      <c r="C233" s="547"/>
      <c r="D233" s="446">
        <f>IF(C233=0,0,(VLOOKUP(C233,'PO MTRL'!$B$9:$S1518,2,0)))</f>
        <v>0</v>
      </c>
      <c r="E233" s="548" t="str">
        <f>IF(C233="","",(VLOOKUP(C233,'PO MTRL'!$B$9:$S1518,3,0)))</f>
        <v/>
      </c>
      <c r="F233" s="549">
        <f>IF(C233=0,0,(VLOOKUP(C233,'PO MTRL'!$B$9:$S1518,4,0)))</f>
        <v>0</v>
      </c>
      <c r="G233" s="444"/>
      <c r="H233" s="550">
        <f>IF(C233=0,0,(VLOOKUP(C233,'PO MTRL'!$B$9:$S1518,6,0)))</f>
        <v>0</v>
      </c>
      <c r="I233" s="446">
        <f>IF(C233=0,0,(VLOOKUP(C233,'PO MTRL'!$B$9:$S1518,7,0)))</f>
        <v>0</v>
      </c>
      <c r="J233" s="551">
        <f>IF(C233=0,0,(VLOOKUP(C233,'PO MTRL'!$B$9:$S1518,8,0)))</f>
        <v>0</v>
      </c>
      <c r="K233" s="559"/>
      <c r="L233" s="448">
        <f t="shared" si="1"/>
        <v>0</v>
      </c>
      <c r="M233" s="551">
        <f t="shared" si="2"/>
        <v>0</v>
      </c>
      <c r="N233" s="449">
        <f t="shared" si="3"/>
        <v>0</v>
      </c>
      <c r="O233" s="551">
        <f>IF(H233=0,0,(VLOOKUP(H233,'PO MTRL'!$G$9:$S1518,5,0)))</f>
        <v>0</v>
      </c>
      <c r="P233" s="551">
        <f>IF(H233=0,0,(VLOOKUP(H233,'PO MTRL'!$G$9:$S1518,7,0)))</f>
        <v>0</v>
      </c>
      <c r="Q233" s="551">
        <f t="shared" si="4"/>
        <v>0</v>
      </c>
      <c r="R233" s="551">
        <f t="shared" si="5"/>
        <v>0</v>
      </c>
      <c r="S233" s="550">
        <f>IF(C233=0,0,(VLOOKUP(C233,'PO MTRL'!$B$9:$S1518,17,0)))</f>
        <v>0</v>
      </c>
      <c r="T233" s="553"/>
      <c r="U233" s="554">
        <f>IF(C233=0,0,(VLOOKUP(C233,'PO MTRL'!$B$9:$S1518,18,0)))</f>
        <v>0</v>
      </c>
      <c r="V233" s="16"/>
      <c r="W233" s="119" t="str">
        <f t="shared" si="6"/>
        <v/>
      </c>
      <c r="X233" s="564">
        <f t="shared" si="7"/>
        <v>0</v>
      </c>
      <c r="Y233" s="119"/>
      <c r="Z233" s="119"/>
      <c r="AA233" s="530">
        <f>IFERROR(__xludf.DUMMYFUNCTION("""COMPUTED_VALUE"""),225.0)</f>
        <v>225</v>
      </c>
      <c r="AB233" s="119"/>
      <c r="AC233" s="119"/>
      <c r="AD233" s="119"/>
      <c r="AE233" s="119"/>
      <c r="AF233" s="119"/>
      <c r="AG233" s="555" t="str">
        <f t="shared" si="8"/>
        <v>  ---&gt;     ---&gt;   </v>
      </c>
      <c r="AH233" s="16"/>
      <c r="AI233" s="439"/>
      <c r="AJ233" s="439"/>
      <c r="AK233" s="439"/>
    </row>
    <row r="234" ht="18.75" customHeight="1">
      <c r="A234" s="439"/>
      <c r="B234" s="546"/>
      <c r="C234" s="547"/>
      <c r="D234" s="446">
        <f>IF(C234=0,0,(VLOOKUP(C234,'PO MTRL'!$B$9:$S1518,2,0)))</f>
        <v>0</v>
      </c>
      <c r="E234" s="548" t="str">
        <f>IF(C234="","",(VLOOKUP(C234,'PO MTRL'!$B$9:$S1518,3,0)))</f>
        <v/>
      </c>
      <c r="F234" s="549">
        <f>IF(C234=0,0,(VLOOKUP(C234,'PO MTRL'!$B$9:$S1518,4,0)))</f>
        <v>0</v>
      </c>
      <c r="G234" s="444"/>
      <c r="H234" s="550">
        <f>IF(C234=0,0,(VLOOKUP(C234,'PO MTRL'!$B$9:$S1518,6,0)))</f>
        <v>0</v>
      </c>
      <c r="I234" s="446">
        <f>IF(C234=0,0,(VLOOKUP(C234,'PO MTRL'!$B$9:$S1518,7,0)))</f>
        <v>0</v>
      </c>
      <c r="J234" s="551">
        <f>IF(C234=0,0,(VLOOKUP(C234,'PO MTRL'!$B$9:$S1518,8,0)))</f>
        <v>0</v>
      </c>
      <c r="K234" s="559"/>
      <c r="L234" s="448">
        <f t="shared" si="1"/>
        <v>0</v>
      </c>
      <c r="M234" s="551">
        <f t="shared" si="2"/>
        <v>0</v>
      </c>
      <c r="N234" s="449">
        <f t="shared" si="3"/>
        <v>0</v>
      </c>
      <c r="O234" s="551">
        <f>IF(H234=0,0,(VLOOKUP(H234,'PO MTRL'!$G$9:$S1518,5,0)))</f>
        <v>0</v>
      </c>
      <c r="P234" s="551">
        <f>IF(H234=0,0,(VLOOKUP(H234,'PO MTRL'!$G$9:$S1518,7,0)))</f>
        <v>0</v>
      </c>
      <c r="Q234" s="551">
        <f t="shared" si="4"/>
        <v>0</v>
      </c>
      <c r="R234" s="551">
        <f t="shared" si="5"/>
        <v>0</v>
      </c>
      <c r="S234" s="550">
        <f>IF(C234=0,0,(VLOOKUP(C234,'PO MTRL'!$B$9:$S1518,17,0)))</f>
        <v>0</v>
      </c>
      <c r="T234" s="553"/>
      <c r="U234" s="554">
        <f>IF(C234=0,0,(VLOOKUP(C234,'PO MTRL'!$B$9:$S1518,18,0)))</f>
        <v>0</v>
      </c>
      <c r="V234" s="16"/>
      <c r="W234" s="119" t="str">
        <f t="shared" si="6"/>
        <v/>
      </c>
      <c r="X234" s="564">
        <f t="shared" si="7"/>
        <v>0</v>
      </c>
      <c r="Y234" s="119"/>
      <c r="Z234" s="119"/>
      <c r="AA234" s="530">
        <f>IFERROR(__xludf.DUMMYFUNCTION("""COMPUTED_VALUE"""),226.0)</f>
        <v>226</v>
      </c>
      <c r="AB234" s="119"/>
      <c r="AC234" s="119"/>
      <c r="AD234" s="119"/>
      <c r="AE234" s="119"/>
      <c r="AF234" s="119"/>
      <c r="AG234" s="555" t="str">
        <f t="shared" si="8"/>
        <v>  ---&gt;     ---&gt;   </v>
      </c>
      <c r="AH234" s="16"/>
      <c r="AI234" s="439"/>
      <c r="AJ234" s="439"/>
      <c r="AK234" s="439"/>
    </row>
    <row r="235" ht="18.75" customHeight="1">
      <c r="A235" s="439"/>
      <c r="B235" s="546"/>
      <c r="C235" s="547"/>
      <c r="D235" s="446">
        <f>IF(C235=0,0,(VLOOKUP(C235,'PO MTRL'!$B$9:$S1518,2,0)))</f>
        <v>0</v>
      </c>
      <c r="E235" s="548" t="str">
        <f>IF(C235="","",(VLOOKUP(C235,'PO MTRL'!$B$9:$S1518,3,0)))</f>
        <v/>
      </c>
      <c r="F235" s="549">
        <f>IF(C235=0,0,(VLOOKUP(C235,'PO MTRL'!$B$9:$S1518,4,0)))</f>
        <v>0</v>
      </c>
      <c r="G235" s="444"/>
      <c r="H235" s="550">
        <f>IF(C235=0,0,(VLOOKUP(C235,'PO MTRL'!$B$9:$S1518,6,0)))</f>
        <v>0</v>
      </c>
      <c r="I235" s="446">
        <f>IF(C235=0,0,(VLOOKUP(C235,'PO MTRL'!$B$9:$S1518,7,0)))</f>
        <v>0</v>
      </c>
      <c r="J235" s="551">
        <f>IF(C235=0,0,(VLOOKUP(C235,'PO MTRL'!$B$9:$S1518,8,0)))</f>
        <v>0</v>
      </c>
      <c r="K235" s="559"/>
      <c r="L235" s="448">
        <f t="shared" si="1"/>
        <v>0</v>
      </c>
      <c r="M235" s="551">
        <f t="shared" si="2"/>
        <v>0</v>
      </c>
      <c r="N235" s="449">
        <f t="shared" si="3"/>
        <v>0</v>
      </c>
      <c r="O235" s="551">
        <f>IF(H235=0,0,(VLOOKUP(H235,'PO MTRL'!$G$9:$S1518,5,0)))</f>
        <v>0</v>
      </c>
      <c r="P235" s="551">
        <f>IF(H235=0,0,(VLOOKUP(H235,'PO MTRL'!$G$9:$S1518,7,0)))</f>
        <v>0</v>
      </c>
      <c r="Q235" s="551">
        <f t="shared" si="4"/>
        <v>0</v>
      </c>
      <c r="R235" s="551">
        <f t="shared" si="5"/>
        <v>0</v>
      </c>
      <c r="S235" s="550">
        <f>IF(C235=0,0,(VLOOKUP(C235,'PO MTRL'!$B$9:$S1518,17,0)))</f>
        <v>0</v>
      </c>
      <c r="T235" s="553"/>
      <c r="U235" s="554">
        <f>IF(C235=0,0,(VLOOKUP(C235,'PO MTRL'!$B$9:$S1518,18,0)))</f>
        <v>0</v>
      </c>
      <c r="V235" s="16"/>
      <c r="W235" s="119" t="str">
        <f t="shared" si="6"/>
        <v/>
      </c>
      <c r="X235" s="564">
        <f t="shared" si="7"/>
        <v>0</v>
      </c>
      <c r="Y235" s="119"/>
      <c r="Z235" s="119"/>
      <c r="AA235" s="530">
        <f>IFERROR(__xludf.DUMMYFUNCTION("""COMPUTED_VALUE"""),227.0)</f>
        <v>227</v>
      </c>
      <c r="AB235" s="119"/>
      <c r="AC235" s="119"/>
      <c r="AD235" s="119"/>
      <c r="AE235" s="119"/>
      <c r="AF235" s="119"/>
      <c r="AG235" s="555" t="str">
        <f t="shared" si="8"/>
        <v>  ---&gt;     ---&gt;   </v>
      </c>
      <c r="AH235" s="16"/>
      <c r="AI235" s="439"/>
      <c r="AJ235" s="439"/>
      <c r="AK235" s="439"/>
    </row>
    <row r="236" ht="18.75" customHeight="1">
      <c r="A236" s="439"/>
      <c r="B236" s="546"/>
      <c r="C236" s="547"/>
      <c r="D236" s="446">
        <f>IF(C236=0,0,(VLOOKUP(C236,'PO MTRL'!$B$9:$S1518,2,0)))</f>
        <v>0</v>
      </c>
      <c r="E236" s="548" t="str">
        <f>IF(C236="","",(VLOOKUP(C236,'PO MTRL'!$B$9:$S1518,3,0)))</f>
        <v/>
      </c>
      <c r="F236" s="549">
        <f>IF(C236=0,0,(VLOOKUP(C236,'PO MTRL'!$B$9:$S1518,4,0)))</f>
        <v>0</v>
      </c>
      <c r="G236" s="444"/>
      <c r="H236" s="550">
        <f>IF(C236=0,0,(VLOOKUP(C236,'PO MTRL'!$B$9:$S1518,6,0)))</f>
        <v>0</v>
      </c>
      <c r="I236" s="446">
        <f>IF(C236=0,0,(VLOOKUP(C236,'PO MTRL'!$B$9:$S1518,7,0)))</f>
        <v>0</v>
      </c>
      <c r="J236" s="551">
        <f>IF(C236=0,0,(VLOOKUP(C236,'PO MTRL'!$B$9:$S1518,8,0)))</f>
        <v>0</v>
      </c>
      <c r="K236" s="559"/>
      <c r="L236" s="448">
        <f t="shared" si="1"/>
        <v>0</v>
      </c>
      <c r="M236" s="551">
        <f t="shared" si="2"/>
        <v>0</v>
      </c>
      <c r="N236" s="449">
        <f t="shared" si="3"/>
        <v>0</v>
      </c>
      <c r="O236" s="551">
        <f>IF(H236=0,0,(VLOOKUP(H236,'PO MTRL'!$G$9:$S1518,5,0)))</f>
        <v>0</v>
      </c>
      <c r="P236" s="551">
        <f>IF(H236=0,0,(VLOOKUP(H236,'PO MTRL'!$G$9:$S1518,7,0)))</f>
        <v>0</v>
      </c>
      <c r="Q236" s="551">
        <f t="shared" si="4"/>
        <v>0</v>
      </c>
      <c r="R236" s="551">
        <f t="shared" si="5"/>
        <v>0</v>
      </c>
      <c r="S236" s="550">
        <f>IF(C236=0,0,(VLOOKUP(C236,'PO MTRL'!$B$9:$S1518,17,0)))</f>
        <v>0</v>
      </c>
      <c r="T236" s="553"/>
      <c r="U236" s="554">
        <f>IF(C236=0,0,(VLOOKUP(C236,'PO MTRL'!$B$9:$S1518,18,0)))</f>
        <v>0</v>
      </c>
      <c r="V236" s="16"/>
      <c r="W236" s="119" t="str">
        <f t="shared" si="6"/>
        <v/>
      </c>
      <c r="X236" s="564">
        <f t="shared" si="7"/>
        <v>0</v>
      </c>
      <c r="Y236" s="119"/>
      <c r="Z236" s="119"/>
      <c r="AA236" s="530">
        <f>IFERROR(__xludf.DUMMYFUNCTION("""COMPUTED_VALUE"""),228.0)</f>
        <v>228</v>
      </c>
      <c r="AB236" s="119"/>
      <c r="AC236" s="119"/>
      <c r="AD236" s="119"/>
      <c r="AE236" s="119"/>
      <c r="AF236" s="119"/>
      <c r="AG236" s="555" t="str">
        <f t="shared" si="8"/>
        <v>  ---&gt;     ---&gt;   </v>
      </c>
      <c r="AH236" s="16"/>
      <c r="AI236" s="439"/>
      <c r="AJ236" s="439"/>
      <c r="AK236" s="439"/>
    </row>
    <row r="237" ht="18.75" customHeight="1">
      <c r="A237" s="439"/>
      <c r="B237" s="546"/>
      <c r="C237" s="547"/>
      <c r="D237" s="446">
        <f>IF(C237=0,0,(VLOOKUP(C237,'PO MTRL'!$B$9:$S1518,2,0)))</f>
        <v>0</v>
      </c>
      <c r="E237" s="548" t="str">
        <f>IF(C237="","",(VLOOKUP(C237,'PO MTRL'!$B$9:$S1518,3,0)))</f>
        <v/>
      </c>
      <c r="F237" s="549">
        <f>IF(C237=0,0,(VLOOKUP(C237,'PO MTRL'!$B$9:$S1518,4,0)))</f>
        <v>0</v>
      </c>
      <c r="G237" s="444"/>
      <c r="H237" s="550">
        <f>IF(C237=0,0,(VLOOKUP(C237,'PO MTRL'!$B$9:$S1518,6,0)))</f>
        <v>0</v>
      </c>
      <c r="I237" s="446">
        <f>IF(C237=0,0,(VLOOKUP(C237,'PO MTRL'!$B$9:$S1518,7,0)))</f>
        <v>0</v>
      </c>
      <c r="J237" s="551">
        <f>IF(C237=0,0,(VLOOKUP(C237,'PO MTRL'!$B$9:$S1518,8,0)))</f>
        <v>0</v>
      </c>
      <c r="K237" s="559"/>
      <c r="L237" s="448">
        <f t="shared" si="1"/>
        <v>0</v>
      </c>
      <c r="M237" s="551">
        <f t="shared" si="2"/>
        <v>0</v>
      </c>
      <c r="N237" s="449">
        <f t="shared" si="3"/>
        <v>0</v>
      </c>
      <c r="O237" s="551">
        <f>IF(H237=0,0,(VLOOKUP(H237,'PO MTRL'!$G$9:$S1518,5,0)))</f>
        <v>0</v>
      </c>
      <c r="P237" s="551">
        <f>IF(H237=0,0,(VLOOKUP(H237,'PO MTRL'!$G$9:$S1518,7,0)))</f>
        <v>0</v>
      </c>
      <c r="Q237" s="551">
        <f t="shared" si="4"/>
        <v>0</v>
      </c>
      <c r="R237" s="551">
        <f t="shared" si="5"/>
        <v>0</v>
      </c>
      <c r="S237" s="550">
        <f>IF(C237=0,0,(VLOOKUP(C237,'PO MTRL'!$B$9:$S1518,17,0)))</f>
        <v>0</v>
      </c>
      <c r="T237" s="553"/>
      <c r="U237" s="554">
        <f>IF(C237=0,0,(VLOOKUP(C237,'PO MTRL'!$B$9:$S1518,18,0)))</f>
        <v>0</v>
      </c>
      <c r="V237" s="16"/>
      <c r="W237" s="119" t="str">
        <f t="shared" si="6"/>
        <v/>
      </c>
      <c r="X237" s="564">
        <f t="shared" si="7"/>
        <v>0</v>
      </c>
      <c r="Y237" s="119"/>
      <c r="Z237" s="119"/>
      <c r="AA237" s="530">
        <f>IFERROR(__xludf.DUMMYFUNCTION("""COMPUTED_VALUE"""),229.0)</f>
        <v>229</v>
      </c>
      <c r="AB237" s="119"/>
      <c r="AC237" s="119"/>
      <c r="AD237" s="119"/>
      <c r="AE237" s="119"/>
      <c r="AF237" s="119"/>
      <c r="AG237" s="555" t="str">
        <f t="shared" si="8"/>
        <v>  ---&gt;     ---&gt;   </v>
      </c>
      <c r="AH237" s="16"/>
      <c r="AI237" s="439"/>
      <c r="AJ237" s="439"/>
      <c r="AK237" s="439"/>
    </row>
    <row r="238" ht="18.75" customHeight="1">
      <c r="A238" s="439"/>
      <c r="B238" s="546"/>
      <c r="C238" s="547"/>
      <c r="D238" s="446">
        <f>IF(C238=0,0,(VLOOKUP(C238,'PO MTRL'!$B$9:$S1518,2,0)))</f>
        <v>0</v>
      </c>
      <c r="E238" s="548" t="str">
        <f>IF(C238="","",(VLOOKUP(C238,'PO MTRL'!$B$9:$S1518,3,0)))</f>
        <v/>
      </c>
      <c r="F238" s="549">
        <f>IF(C238=0,0,(VLOOKUP(C238,'PO MTRL'!$B$9:$S1518,4,0)))</f>
        <v>0</v>
      </c>
      <c r="G238" s="444"/>
      <c r="H238" s="550">
        <f>IF(C238=0,0,(VLOOKUP(C238,'PO MTRL'!$B$9:$S1518,6,0)))</f>
        <v>0</v>
      </c>
      <c r="I238" s="446">
        <f>IF(C238=0,0,(VLOOKUP(C238,'PO MTRL'!$B$9:$S1518,7,0)))</f>
        <v>0</v>
      </c>
      <c r="J238" s="551">
        <f>IF(C238=0,0,(VLOOKUP(C238,'PO MTRL'!$B$9:$S1518,8,0)))</f>
        <v>0</v>
      </c>
      <c r="K238" s="559"/>
      <c r="L238" s="448">
        <f t="shared" si="1"/>
        <v>0</v>
      </c>
      <c r="M238" s="551">
        <f t="shared" si="2"/>
        <v>0</v>
      </c>
      <c r="N238" s="449">
        <f t="shared" si="3"/>
        <v>0</v>
      </c>
      <c r="O238" s="551">
        <f>IF(H238=0,0,(VLOOKUP(H238,'PO MTRL'!$G$9:$S1518,5,0)))</f>
        <v>0</v>
      </c>
      <c r="P238" s="551">
        <f>IF(H238=0,0,(VLOOKUP(H238,'PO MTRL'!$G$9:$S1518,7,0)))</f>
        <v>0</v>
      </c>
      <c r="Q238" s="551">
        <f t="shared" si="4"/>
        <v>0</v>
      </c>
      <c r="R238" s="551">
        <f t="shared" si="5"/>
        <v>0</v>
      </c>
      <c r="S238" s="550">
        <f>IF(C238=0,0,(VLOOKUP(C238,'PO MTRL'!$B$9:$S1518,17,0)))</f>
        <v>0</v>
      </c>
      <c r="T238" s="553"/>
      <c r="U238" s="554">
        <f>IF(C238=0,0,(VLOOKUP(C238,'PO MTRL'!$B$9:$S1518,18,0)))</f>
        <v>0</v>
      </c>
      <c r="V238" s="16"/>
      <c r="W238" s="119" t="str">
        <f t="shared" si="6"/>
        <v/>
      </c>
      <c r="X238" s="564">
        <f t="shared" si="7"/>
        <v>0</v>
      </c>
      <c r="Y238" s="119"/>
      <c r="Z238" s="119"/>
      <c r="AA238" s="530">
        <f>IFERROR(__xludf.DUMMYFUNCTION("""COMPUTED_VALUE"""),230.0)</f>
        <v>230</v>
      </c>
      <c r="AB238" s="119"/>
      <c r="AC238" s="119"/>
      <c r="AD238" s="119"/>
      <c r="AE238" s="119"/>
      <c r="AF238" s="119"/>
      <c r="AG238" s="555" t="str">
        <f t="shared" si="8"/>
        <v>  ---&gt;     ---&gt;   </v>
      </c>
      <c r="AH238" s="16"/>
      <c r="AI238" s="439"/>
      <c r="AJ238" s="439"/>
      <c r="AK238" s="439"/>
    </row>
    <row r="239" ht="18.75" customHeight="1">
      <c r="A239" s="439"/>
      <c r="B239" s="546"/>
      <c r="C239" s="547"/>
      <c r="D239" s="446">
        <f>IF(C239=0,0,(VLOOKUP(C239,'PO MTRL'!$B$9:$S1518,2,0)))</f>
        <v>0</v>
      </c>
      <c r="E239" s="548" t="str">
        <f>IF(C239="","",(VLOOKUP(C239,'PO MTRL'!$B$9:$S1518,3,0)))</f>
        <v/>
      </c>
      <c r="F239" s="549">
        <f>IF(C239=0,0,(VLOOKUP(C239,'PO MTRL'!$B$9:$S1518,4,0)))</f>
        <v>0</v>
      </c>
      <c r="G239" s="444"/>
      <c r="H239" s="550">
        <f>IF(C239=0,0,(VLOOKUP(C239,'PO MTRL'!$B$9:$S1518,6,0)))</f>
        <v>0</v>
      </c>
      <c r="I239" s="446">
        <f>IF(C239=0,0,(VLOOKUP(C239,'PO MTRL'!$B$9:$S1518,7,0)))</f>
        <v>0</v>
      </c>
      <c r="J239" s="551">
        <f>IF(C239=0,0,(VLOOKUP(C239,'PO MTRL'!$B$9:$S1518,8,0)))</f>
        <v>0</v>
      </c>
      <c r="K239" s="559"/>
      <c r="L239" s="448">
        <f t="shared" si="1"/>
        <v>0</v>
      </c>
      <c r="M239" s="551">
        <f t="shared" si="2"/>
        <v>0</v>
      </c>
      <c r="N239" s="449">
        <f t="shared" si="3"/>
        <v>0</v>
      </c>
      <c r="O239" s="551">
        <f>IF(H239=0,0,(VLOOKUP(H239,'PO MTRL'!$G$9:$S1518,5,0)))</f>
        <v>0</v>
      </c>
      <c r="P239" s="551">
        <f>IF(H239=0,0,(VLOOKUP(H239,'PO MTRL'!$G$9:$S1518,7,0)))</f>
        <v>0</v>
      </c>
      <c r="Q239" s="551">
        <f t="shared" si="4"/>
        <v>0</v>
      </c>
      <c r="R239" s="551">
        <f t="shared" si="5"/>
        <v>0</v>
      </c>
      <c r="S239" s="550">
        <f>IF(C239=0,0,(VLOOKUP(C239,'PO MTRL'!$B$9:$S1518,17,0)))</f>
        <v>0</v>
      </c>
      <c r="T239" s="553"/>
      <c r="U239" s="554">
        <f>IF(C239=0,0,(VLOOKUP(C239,'PO MTRL'!$B$9:$S1518,18,0)))</f>
        <v>0</v>
      </c>
      <c r="V239" s="16"/>
      <c r="W239" s="119" t="str">
        <f t="shared" si="6"/>
        <v/>
      </c>
      <c r="X239" s="564">
        <f t="shared" si="7"/>
        <v>0</v>
      </c>
      <c r="Y239" s="119"/>
      <c r="Z239" s="119"/>
      <c r="AA239" s="530">
        <f>IFERROR(__xludf.DUMMYFUNCTION("""COMPUTED_VALUE"""),231.0)</f>
        <v>231</v>
      </c>
      <c r="AB239" s="119"/>
      <c r="AC239" s="119"/>
      <c r="AD239" s="119"/>
      <c r="AE239" s="119"/>
      <c r="AF239" s="119"/>
      <c r="AG239" s="555" t="str">
        <f t="shared" si="8"/>
        <v>  ---&gt;     ---&gt;   </v>
      </c>
      <c r="AH239" s="16"/>
      <c r="AI239" s="439"/>
      <c r="AJ239" s="439"/>
      <c r="AK239" s="439"/>
    </row>
    <row r="240" ht="18.75" customHeight="1">
      <c r="A240" s="439"/>
      <c r="B240" s="546"/>
      <c r="C240" s="547"/>
      <c r="D240" s="446">
        <f>IF(C240=0,0,(VLOOKUP(C240,'PO MTRL'!$B$9:$S1518,2,0)))</f>
        <v>0</v>
      </c>
      <c r="E240" s="548" t="str">
        <f>IF(C240="","",(VLOOKUP(C240,'PO MTRL'!$B$9:$S1518,3,0)))</f>
        <v/>
      </c>
      <c r="F240" s="549">
        <f>IF(C240=0,0,(VLOOKUP(C240,'PO MTRL'!$B$9:$S1518,4,0)))</f>
        <v>0</v>
      </c>
      <c r="G240" s="444"/>
      <c r="H240" s="550">
        <f>IF(C240=0,0,(VLOOKUP(C240,'PO MTRL'!$B$9:$S1518,6,0)))</f>
        <v>0</v>
      </c>
      <c r="I240" s="446">
        <f>IF(C240=0,0,(VLOOKUP(C240,'PO MTRL'!$B$9:$S1518,7,0)))</f>
        <v>0</v>
      </c>
      <c r="J240" s="551">
        <f>IF(C240=0,0,(VLOOKUP(C240,'PO MTRL'!$B$9:$S1518,8,0)))</f>
        <v>0</v>
      </c>
      <c r="K240" s="559"/>
      <c r="L240" s="448">
        <f t="shared" si="1"/>
        <v>0</v>
      </c>
      <c r="M240" s="551">
        <f t="shared" si="2"/>
        <v>0</v>
      </c>
      <c r="N240" s="449">
        <f t="shared" si="3"/>
        <v>0</v>
      </c>
      <c r="O240" s="551">
        <f>IF(H240=0,0,(VLOOKUP(H240,'PO MTRL'!$G$9:$S1518,5,0)))</f>
        <v>0</v>
      </c>
      <c r="P240" s="551">
        <f>IF(H240=0,0,(VLOOKUP(H240,'PO MTRL'!$G$9:$S1518,7,0)))</f>
        <v>0</v>
      </c>
      <c r="Q240" s="551">
        <f t="shared" si="4"/>
        <v>0</v>
      </c>
      <c r="R240" s="551">
        <f t="shared" si="5"/>
        <v>0</v>
      </c>
      <c r="S240" s="550">
        <f>IF(C240=0,0,(VLOOKUP(C240,'PO MTRL'!$B$9:$S1518,17,0)))</f>
        <v>0</v>
      </c>
      <c r="T240" s="553"/>
      <c r="U240" s="554">
        <f>IF(C240=0,0,(VLOOKUP(C240,'PO MTRL'!$B$9:$S1518,18,0)))</f>
        <v>0</v>
      </c>
      <c r="V240" s="16"/>
      <c r="W240" s="119" t="str">
        <f t="shared" si="6"/>
        <v/>
      </c>
      <c r="X240" s="564">
        <f t="shared" si="7"/>
        <v>0</v>
      </c>
      <c r="Y240" s="119"/>
      <c r="Z240" s="119"/>
      <c r="AA240" s="530">
        <f>IFERROR(__xludf.DUMMYFUNCTION("""COMPUTED_VALUE"""),232.0)</f>
        <v>232</v>
      </c>
      <c r="AB240" s="119"/>
      <c r="AC240" s="119"/>
      <c r="AD240" s="119"/>
      <c r="AE240" s="119"/>
      <c r="AF240" s="119"/>
      <c r="AG240" s="555" t="str">
        <f t="shared" si="8"/>
        <v>  ---&gt;     ---&gt;   </v>
      </c>
      <c r="AH240" s="16"/>
      <c r="AI240" s="439"/>
      <c r="AJ240" s="439"/>
      <c r="AK240" s="439"/>
    </row>
    <row r="241" ht="18.75" customHeight="1">
      <c r="A241" s="439"/>
      <c r="B241" s="546"/>
      <c r="C241" s="547"/>
      <c r="D241" s="446">
        <f>IF(C241=0,0,(VLOOKUP(C241,'PO MTRL'!$B$9:$S1518,2,0)))</f>
        <v>0</v>
      </c>
      <c r="E241" s="548" t="str">
        <f>IF(C241="","",(VLOOKUP(C241,'PO MTRL'!$B$9:$S1518,3,0)))</f>
        <v/>
      </c>
      <c r="F241" s="549">
        <f>IF(C241=0,0,(VLOOKUP(C241,'PO MTRL'!$B$9:$S1518,4,0)))</f>
        <v>0</v>
      </c>
      <c r="G241" s="444"/>
      <c r="H241" s="550">
        <f>IF(C241=0,0,(VLOOKUP(C241,'PO MTRL'!$B$9:$S1518,6,0)))</f>
        <v>0</v>
      </c>
      <c r="I241" s="446">
        <f>IF(C241=0,0,(VLOOKUP(C241,'PO MTRL'!$B$9:$S1518,7,0)))</f>
        <v>0</v>
      </c>
      <c r="J241" s="551">
        <f>IF(C241=0,0,(VLOOKUP(C241,'PO MTRL'!$B$9:$S1518,8,0)))</f>
        <v>0</v>
      </c>
      <c r="K241" s="559"/>
      <c r="L241" s="448">
        <f t="shared" si="1"/>
        <v>0</v>
      </c>
      <c r="M241" s="551">
        <f t="shared" si="2"/>
        <v>0</v>
      </c>
      <c r="N241" s="449">
        <f t="shared" si="3"/>
        <v>0</v>
      </c>
      <c r="O241" s="551">
        <f>IF(H241=0,0,(VLOOKUP(H241,'PO MTRL'!$G$9:$S1518,5,0)))</f>
        <v>0</v>
      </c>
      <c r="P241" s="551">
        <f>IF(H241=0,0,(VLOOKUP(H241,'PO MTRL'!$G$9:$S1518,7,0)))</f>
        <v>0</v>
      </c>
      <c r="Q241" s="551">
        <f t="shared" si="4"/>
        <v>0</v>
      </c>
      <c r="R241" s="551">
        <f t="shared" si="5"/>
        <v>0</v>
      </c>
      <c r="S241" s="550">
        <f>IF(C241=0,0,(VLOOKUP(C241,'PO MTRL'!$B$9:$S1518,17,0)))</f>
        <v>0</v>
      </c>
      <c r="T241" s="553"/>
      <c r="U241" s="554">
        <f>IF(C241=0,0,(VLOOKUP(C241,'PO MTRL'!$B$9:$S1518,18,0)))</f>
        <v>0</v>
      </c>
      <c r="V241" s="16"/>
      <c r="W241" s="119" t="str">
        <f t="shared" si="6"/>
        <v/>
      </c>
      <c r="X241" s="564">
        <f t="shared" si="7"/>
        <v>0</v>
      </c>
      <c r="Y241" s="119"/>
      <c r="Z241" s="119"/>
      <c r="AA241" s="530">
        <f>IFERROR(__xludf.DUMMYFUNCTION("""COMPUTED_VALUE"""),233.0)</f>
        <v>233</v>
      </c>
      <c r="AB241" s="119"/>
      <c r="AC241" s="119"/>
      <c r="AD241" s="119"/>
      <c r="AE241" s="119"/>
      <c r="AF241" s="119"/>
      <c r="AG241" s="555" t="str">
        <f t="shared" si="8"/>
        <v>  ---&gt;     ---&gt;   </v>
      </c>
      <c r="AH241" s="16"/>
      <c r="AI241" s="439"/>
      <c r="AJ241" s="439"/>
      <c r="AK241" s="439"/>
    </row>
    <row r="242" ht="18.75" customHeight="1">
      <c r="A242" s="439"/>
      <c r="B242" s="546"/>
      <c r="C242" s="547"/>
      <c r="D242" s="446">
        <f>IF(C242=0,0,(VLOOKUP(C242,'PO MTRL'!$B$9:$S1518,2,0)))</f>
        <v>0</v>
      </c>
      <c r="E242" s="548" t="str">
        <f>IF(C242="","",(VLOOKUP(C242,'PO MTRL'!$B$9:$S1518,3,0)))</f>
        <v/>
      </c>
      <c r="F242" s="549">
        <f>IF(C242=0,0,(VLOOKUP(C242,'PO MTRL'!$B$9:$S1518,4,0)))</f>
        <v>0</v>
      </c>
      <c r="G242" s="444"/>
      <c r="H242" s="550">
        <f>IF(C242=0,0,(VLOOKUP(C242,'PO MTRL'!$B$9:$S1518,6,0)))</f>
        <v>0</v>
      </c>
      <c r="I242" s="446">
        <f>IF(C242=0,0,(VLOOKUP(C242,'PO MTRL'!$B$9:$S1518,7,0)))</f>
        <v>0</v>
      </c>
      <c r="J242" s="551">
        <f>IF(C242=0,0,(VLOOKUP(C242,'PO MTRL'!$B$9:$S1518,8,0)))</f>
        <v>0</v>
      </c>
      <c r="K242" s="559"/>
      <c r="L242" s="448">
        <f t="shared" si="1"/>
        <v>0</v>
      </c>
      <c r="M242" s="551">
        <f t="shared" si="2"/>
        <v>0</v>
      </c>
      <c r="N242" s="449">
        <f t="shared" si="3"/>
        <v>0</v>
      </c>
      <c r="O242" s="551">
        <f>IF(H242=0,0,(VLOOKUP(H242,'PO MTRL'!$G$9:$S1518,5,0)))</f>
        <v>0</v>
      </c>
      <c r="P242" s="551">
        <f>IF(H242=0,0,(VLOOKUP(H242,'PO MTRL'!$G$9:$S1518,7,0)))</f>
        <v>0</v>
      </c>
      <c r="Q242" s="551">
        <f t="shared" si="4"/>
        <v>0</v>
      </c>
      <c r="R242" s="551">
        <f t="shared" si="5"/>
        <v>0</v>
      </c>
      <c r="S242" s="550">
        <f>IF(C242=0,0,(VLOOKUP(C242,'PO MTRL'!$B$9:$S1518,17,0)))</f>
        <v>0</v>
      </c>
      <c r="T242" s="553"/>
      <c r="U242" s="554">
        <f>IF(C242=0,0,(VLOOKUP(C242,'PO MTRL'!$B$9:$S1518,18,0)))</f>
        <v>0</v>
      </c>
      <c r="V242" s="16"/>
      <c r="W242" s="119" t="str">
        <f t="shared" si="6"/>
        <v/>
      </c>
      <c r="X242" s="564">
        <f t="shared" si="7"/>
        <v>0</v>
      </c>
      <c r="Y242" s="119"/>
      <c r="Z242" s="119"/>
      <c r="AA242" s="530">
        <f>IFERROR(__xludf.DUMMYFUNCTION("""COMPUTED_VALUE"""),234.0)</f>
        <v>234</v>
      </c>
      <c r="AB242" s="119"/>
      <c r="AC242" s="119"/>
      <c r="AD242" s="119"/>
      <c r="AE242" s="119"/>
      <c r="AF242" s="119"/>
      <c r="AG242" s="555" t="str">
        <f t="shared" si="8"/>
        <v>  ---&gt;     ---&gt;   </v>
      </c>
      <c r="AH242" s="16"/>
      <c r="AI242" s="439"/>
      <c r="AJ242" s="439"/>
      <c r="AK242" s="439"/>
    </row>
    <row r="243" ht="18.75" customHeight="1">
      <c r="A243" s="439"/>
      <c r="B243" s="546"/>
      <c r="C243" s="547"/>
      <c r="D243" s="446">
        <f>IF(C243=0,0,(VLOOKUP(C243,'PO MTRL'!$B$9:$S1518,2,0)))</f>
        <v>0</v>
      </c>
      <c r="E243" s="548" t="str">
        <f>IF(C243="","",(VLOOKUP(C243,'PO MTRL'!$B$9:$S1518,3,0)))</f>
        <v/>
      </c>
      <c r="F243" s="549">
        <f>IF(C243=0,0,(VLOOKUP(C243,'PO MTRL'!$B$9:$S1518,4,0)))</f>
        <v>0</v>
      </c>
      <c r="G243" s="444"/>
      <c r="H243" s="550">
        <f>IF(C243=0,0,(VLOOKUP(C243,'PO MTRL'!$B$9:$S1518,6,0)))</f>
        <v>0</v>
      </c>
      <c r="I243" s="446">
        <f>IF(C243=0,0,(VLOOKUP(C243,'PO MTRL'!$B$9:$S1518,7,0)))</f>
        <v>0</v>
      </c>
      <c r="J243" s="551">
        <f>IF(C243=0,0,(VLOOKUP(C243,'PO MTRL'!$B$9:$S1518,8,0)))</f>
        <v>0</v>
      </c>
      <c r="K243" s="559"/>
      <c r="L243" s="448">
        <f t="shared" si="1"/>
        <v>0</v>
      </c>
      <c r="M243" s="551">
        <f t="shared" si="2"/>
        <v>0</v>
      </c>
      <c r="N243" s="449">
        <f t="shared" si="3"/>
        <v>0</v>
      </c>
      <c r="O243" s="551">
        <f>IF(H243=0,0,(VLOOKUP(H243,'PO MTRL'!$G$9:$S1518,5,0)))</f>
        <v>0</v>
      </c>
      <c r="P243" s="551">
        <f>IF(H243=0,0,(VLOOKUP(H243,'PO MTRL'!$G$9:$S1518,7,0)))</f>
        <v>0</v>
      </c>
      <c r="Q243" s="551">
        <f t="shared" si="4"/>
        <v>0</v>
      </c>
      <c r="R243" s="551">
        <f t="shared" si="5"/>
        <v>0</v>
      </c>
      <c r="S243" s="550">
        <f>IF(C243=0,0,(VLOOKUP(C243,'PO MTRL'!$B$9:$S1518,17,0)))</f>
        <v>0</v>
      </c>
      <c r="T243" s="553"/>
      <c r="U243" s="554">
        <f>IF(C243=0,0,(VLOOKUP(C243,'PO MTRL'!$B$9:$S1518,18,0)))</f>
        <v>0</v>
      </c>
      <c r="V243" s="16"/>
      <c r="W243" s="119" t="str">
        <f t="shared" si="6"/>
        <v/>
      </c>
      <c r="X243" s="564">
        <f t="shared" si="7"/>
        <v>0</v>
      </c>
      <c r="Y243" s="119"/>
      <c r="Z243" s="119"/>
      <c r="AA243" s="530">
        <f>IFERROR(__xludf.DUMMYFUNCTION("""COMPUTED_VALUE"""),235.0)</f>
        <v>235</v>
      </c>
      <c r="AB243" s="119"/>
      <c r="AC243" s="119"/>
      <c r="AD243" s="119"/>
      <c r="AE243" s="119"/>
      <c r="AF243" s="119"/>
      <c r="AG243" s="555" t="str">
        <f t="shared" si="8"/>
        <v>  ---&gt;     ---&gt;   </v>
      </c>
      <c r="AH243" s="16"/>
      <c r="AI243" s="439"/>
      <c r="AJ243" s="439"/>
      <c r="AK243" s="439"/>
    </row>
    <row r="244" ht="18.75" customHeight="1">
      <c r="A244" s="439"/>
      <c r="B244" s="546"/>
      <c r="C244" s="547"/>
      <c r="D244" s="446">
        <f>IF(C244=0,0,(VLOOKUP(C244,'PO MTRL'!$B$9:$S1518,2,0)))</f>
        <v>0</v>
      </c>
      <c r="E244" s="548" t="str">
        <f>IF(C244="","",(VLOOKUP(C244,'PO MTRL'!$B$9:$S1518,3,0)))</f>
        <v/>
      </c>
      <c r="F244" s="549">
        <f>IF(C244=0,0,(VLOOKUP(C244,'PO MTRL'!$B$9:$S1518,4,0)))</f>
        <v>0</v>
      </c>
      <c r="G244" s="444"/>
      <c r="H244" s="550">
        <f>IF(C244=0,0,(VLOOKUP(C244,'PO MTRL'!$B$9:$S1518,6,0)))</f>
        <v>0</v>
      </c>
      <c r="I244" s="446">
        <f>IF(C244=0,0,(VLOOKUP(C244,'PO MTRL'!$B$9:$S1518,7,0)))</f>
        <v>0</v>
      </c>
      <c r="J244" s="551">
        <f>IF(C244=0,0,(VLOOKUP(C244,'PO MTRL'!$B$9:$S1518,8,0)))</f>
        <v>0</v>
      </c>
      <c r="K244" s="559"/>
      <c r="L244" s="448">
        <f t="shared" si="1"/>
        <v>0</v>
      </c>
      <c r="M244" s="551">
        <f t="shared" si="2"/>
        <v>0</v>
      </c>
      <c r="N244" s="449">
        <f t="shared" si="3"/>
        <v>0</v>
      </c>
      <c r="O244" s="551">
        <f>IF(H244=0,0,(VLOOKUP(H244,'PO MTRL'!$G$9:$S1518,5,0)))</f>
        <v>0</v>
      </c>
      <c r="P244" s="551">
        <f>IF(H244=0,0,(VLOOKUP(H244,'PO MTRL'!$G$9:$S1518,7,0)))</f>
        <v>0</v>
      </c>
      <c r="Q244" s="551">
        <f t="shared" si="4"/>
        <v>0</v>
      </c>
      <c r="R244" s="551">
        <f t="shared" si="5"/>
        <v>0</v>
      </c>
      <c r="S244" s="550">
        <f>IF(C244=0,0,(VLOOKUP(C244,'PO MTRL'!$B$9:$S1518,17,0)))</f>
        <v>0</v>
      </c>
      <c r="T244" s="553"/>
      <c r="U244" s="554">
        <f>IF(C244=0,0,(VLOOKUP(C244,'PO MTRL'!$B$9:$S1518,18,0)))</f>
        <v>0</v>
      </c>
      <c r="V244" s="16"/>
      <c r="W244" s="119" t="str">
        <f t="shared" si="6"/>
        <v/>
      </c>
      <c r="X244" s="564">
        <f t="shared" si="7"/>
        <v>0</v>
      </c>
      <c r="Y244" s="119"/>
      <c r="Z244" s="119"/>
      <c r="AA244" s="530">
        <f>IFERROR(__xludf.DUMMYFUNCTION("""COMPUTED_VALUE"""),236.0)</f>
        <v>236</v>
      </c>
      <c r="AB244" s="119"/>
      <c r="AC244" s="119"/>
      <c r="AD244" s="119"/>
      <c r="AE244" s="119"/>
      <c r="AF244" s="119"/>
      <c r="AG244" s="555" t="str">
        <f t="shared" si="8"/>
        <v>  ---&gt;     ---&gt;   </v>
      </c>
      <c r="AH244" s="16"/>
      <c r="AI244" s="439"/>
      <c r="AJ244" s="439"/>
      <c r="AK244" s="439"/>
    </row>
    <row r="245" ht="18.75" customHeight="1">
      <c r="A245" s="439"/>
      <c r="B245" s="546"/>
      <c r="C245" s="547"/>
      <c r="D245" s="446">
        <f>IF(C245=0,0,(VLOOKUP(C245,'PO MTRL'!$B$9:$S1518,2,0)))</f>
        <v>0</v>
      </c>
      <c r="E245" s="548" t="str">
        <f>IF(C245="","",(VLOOKUP(C245,'PO MTRL'!$B$9:$S1518,3,0)))</f>
        <v/>
      </c>
      <c r="F245" s="549">
        <f>IF(C245=0,0,(VLOOKUP(C245,'PO MTRL'!$B$9:$S1518,4,0)))</f>
        <v>0</v>
      </c>
      <c r="G245" s="444"/>
      <c r="H245" s="550">
        <f>IF(C245=0,0,(VLOOKUP(C245,'PO MTRL'!$B$9:$S1518,6,0)))</f>
        <v>0</v>
      </c>
      <c r="I245" s="446">
        <f>IF(C245=0,0,(VLOOKUP(C245,'PO MTRL'!$B$9:$S1518,7,0)))</f>
        <v>0</v>
      </c>
      <c r="J245" s="551">
        <f>IF(C245=0,0,(VLOOKUP(C245,'PO MTRL'!$B$9:$S1518,8,0)))</f>
        <v>0</v>
      </c>
      <c r="K245" s="559"/>
      <c r="L245" s="448">
        <f t="shared" si="1"/>
        <v>0</v>
      </c>
      <c r="M245" s="551">
        <f t="shared" si="2"/>
        <v>0</v>
      </c>
      <c r="N245" s="449">
        <f t="shared" si="3"/>
        <v>0</v>
      </c>
      <c r="O245" s="551">
        <f>IF(H245=0,0,(VLOOKUP(H245,'PO MTRL'!$G$9:$S1518,5,0)))</f>
        <v>0</v>
      </c>
      <c r="P245" s="551">
        <f>IF(H245=0,0,(VLOOKUP(H245,'PO MTRL'!$G$9:$S1518,7,0)))</f>
        <v>0</v>
      </c>
      <c r="Q245" s="551">
        <f t="shared" si="4"/>
        <v>0</v>
      </c>
      <c r="R245" s="551">
        <f t="shared" si="5"/>
        <v>0</v>
      </c>
      <c r="S245" s="550">
        <f>IF(C245=0,0,(VLOOKUP(C245,'PO MTRL'!$B$9:$S1518,17,0)))</f>
        <v>0</v>
      </c>
      <c r="T245" s="553"/>
      <c r="U245" s="554">
        <f>IF(C245=0,0,(VLOOKUP(C245,'PO MTRL'!$B$9:$S1518,18,0)))</f>
        <v>0</v>
      </c>
      <c r="V245" s="16"/>
      <c r="W245" s="119" t="str">
        <f t="shared" si="6"/>
        <v/>
      </c>
      <c r="X245" s="564">
        <f t="shared" si="7"/>
        <v>0</v>
      </c>
      <c r="Y245" s="119"/>
      <c r="Z245" s="119"/>
      <c r="AA245" s="530">
        <f>IFERROR(__xludf.DUMMYFUNCTION("""COMPUTED_VALUE"""),237.0)</f>
        <v>237</v>
      </c>
      <c r="AB245" s="119"/>
      <c r="AC245" s="119"/>
      <c r="AD245" s="119"/>
      <c r="AE245" s="119"/>
      <c r="AF245" s="119"/>
      <c r="AG245" s="555" t="str">
        <f t="shared" si="8"/>
        <v>  ---&gt;     ---&gt;   </v>
      </c>
      <c r="AH245" s="16"/>
      <c r="AI245" s="439"/>
      <c r="AJ245" s="439"/>
      <c r="AK245" s="439"/>
    </row>
    <row r="246" ht="18.75" customHeight="1">
      <c r="A246" s="439"/>
      <c r="B246" s="546"/>
      <c r="C246" s="547"/>
      <c r="D246" s="446">
        <f>IF(C246=0,0,(VLOOKUP(C246,'PO MTRL'!$B$9:$S1518,2,0)))</f>
        <v>0</v>
      </c>
      <c r="E246" s="548" t="str">
        <f>IF(C246="","",(VLOOKUP(C246,'PO MTRL'!$B$9:$S1518,3,0)))</f>
        <v/>
      </c>
      <c r="F246" s="549">
        <f>IF(C246=0,0,(VLOOKUP(C246,'PO MTRL'!$B$9:$S1518,4,0)))</f>
        <v>0</v>
      </c>
      <c r="G246" s="444"/>
      <c r="H246" s="550">
        <f>IF(C246=0,0,(VLOOKUP(C246,'PO MTRL'!$B$9:$S1518,6,0)))</f>
        <v>0</v>
      </c>
      <c r="I246" s="446">
        <f>IF(C246=0,0,(VLOOKUP(C246,'PO MTRL'!$B$9:$S1518,7,0)))</f>
        <v>0</v>
      </c>
      <c r="J246" s="551">
        <f>IF(C246=0,0,(VLOOKUP(C246,'PO MTRL'!$B$9:$S1518,8,0)))</f>
        <v>0</v>
      </c>
      <c r="K246" s="559"/>
      <c r="L246" s="448">
        <f t="shared" si="1"/>
        <v>0</v>
      </c>
      <c r="M246" s="551">
        <f t="shared" si="2"/>
        <v>0</v>
      </c>
      <c r="N246" s="449">
        <f t="shared" si="3"/>
        <v>0</v>
      </c>
      <c r="O246" s="551">
        <f>IF(H246=0,0,(VLOOKUP(H246,'PO MTRL'!$G$9:$S1518,5,0)))</f>
        <v>0</v>
      </c>
      <c r="P246" s="551">
        <f>IF(H246=0,0,(VLOOKUP(H246,'PO MTRL'!$G$9:$S1518,7,0)))</f>
        <v>0</v>
      </c>
      <c r="Q246" s="551">
        <f t="shared" si="4"/>
        <v>0</v>
      </c>
      <c r="R246" s="551">
        <f t="shared" si="5"/>
        <v>0</v>
      </c>
      <c r="S246" s="550">
        <f>IF(C246=0,0,(VLOOKUP(C246,'PO MTRL'!$B$9:$S1518,17,0)))</f>
        <v>0</v>
      </c>
      <c r="T246" s="553"/>
      <c r="U246" s="554">
        <f>IF(C246=0,0,(VLOOKUP(C246,'PO MTRL'!$B$9:$S1518,18,0)))</f>
        <v>0</v>
      </c>
      <c r="V246" s="16"/>
      <c r="W246" s="119" t="str">
        <f t="shared" si="6"/>
        <v/>
      </c>
      <c r="X246" s="564">
        <f t="shared" si="7"/>
        <v>0</v>
      </c>
      <c r="Y246" s="119"/>
      <c r="Z246" s="119"/>
      <c r="AA246" s="530">
        <f>IFERROR(__xludf.DUMMYFUNCTION("""COMPUTED_VALUE"""),238.0)</f>
        <v>238</v>
      </c>
      <c r="AB246" s="119"/>
      <c r="AC246" s="119"/>
      <c r="AD246" s="119"/>
      <c r="AE246" s="119"/>
      <c r="AF246" s="119"/>
      <c r="AG246" s="555" t="str">
        <f t="shared" si="8"/>
        <v>  ---&gt;     ---&gt;   </v>
      </c>
      <c r="AH246" s="16"/>
      <c r="AI246" s="439"/>
      <c r="AJ246" s="439"/>
      <c r="AK246" s="439"/>
    </row>
    <row r="247" ht="18.75" customHeight="1">
      <c r="A247" s="439"/>
      <c r="B247" s="546"/>
      <c r="C247" s="547"/>
      <c r="D247" s="446">
        <f>IF(C247=0,0,(VLOOKUP(C247,'PO MTRL'!$B$9:$S1518,2,0)))</f>
        <v>0</v>
      </c>
      <c r="E247" s="548" t="str">
        <f>IF(C247="","",(VLOOKUP(C247,'PO MTRL'!$B$9:$S1518,3,0)))</f>
        <v/>
      </c>
      <c r="F247" s="549">
        <f>IF(C247=0,0,(VLOOKUP(C247,'PO MTRL'!$B$9:$S1518,4,0)))</f>
        <v>0</v>
      </c>
      <c r="G247" s="444"/>
      <c r="H247" s="550">
        <f>IF(C247=0,0,(VLOOKUP(C247,'PO MTRL'!$B$9:$S1518,6,0)))</f>
        <v>0</v>
      </c>
      <c r="I247" s="446">
        <f>IF(C247=0,0,(VLOOKUP(C247,'PO MTRL'!$B$9:$S1518,7,0)))</f>
        <v>0</v>
      </c>
      <c r="J247" s="551">
        <f>IF(C247=0,0,(VLOOKUP(C247,'PO MTRL'!$B$9:$S1518,8,0)))</f>
        <v>0</v>
      </c>
      <c r="K247" s="559"/>
      <c r="L247" s="448">
        <f t="shared" si="1"/>
        <v>0</v>
      </c>
      <c r="M247" s="551">
        <f t="shared" si="2"/>
        <v>0</v>
      </c>
      <c r="N247" s="449">
        <f t="shared" si="3"/>
        <v>0</v>
      </c>
      <c r="O247" s="551">
        <f>IF(H247=0,0,(VLOOKUP(H247,'PO MTRL'!$G$9:$S1518,5,0)))</f>
        <v>0</v>
      </c>
      <c r="P247" s="551">
        <f>IF(H247=0,0,(VLOOKUP(H247,'PO MTRL'!$G$9:$S1518,7,0)))</f>
        <v>0</v>
      </c>
      <c r="Q247" s="551">
        <f t="shared" si="4"/>
        <v>0</v>
      </c>
      <c r="R247" s="551">
        <f t="shared" si="5"/>
        <v>0</v>
      </c>
      <c r="S247" s="550">
        <f>IF(C247=0,0,(VLOOKUP(C247,'PO MTRL'!$B$9:$S1518,17,0)))</f>
        <v>0</v>
      </c>
      <c r="T247" s="553"/>
      <c r="U247" s="554">
        <f>IF(C247=0,0,(VLOOKUP(C247,'PO MTRL'!$B$9:$S1518,18,0)))</f>
        <v>0</v>
      </c>
      <c r="V247" s="16"/>
      <c r="W247" s="119" t="str">
        <f t="shared" si="6"/>
        <v/>
      </c>
      <c r="X247" s="564">
        <f t="shared" si="7"/>
        <v>0</v>
      </c>
      <c r="Y247" s="119"/>
      <c r="Z247" s="119"/>
      <c r="AA247" s="530">
        <f>IFERROR(__xludf.DUMMYFUNCTION("""COMPUTED_VALUE"""),239.0)</f>
        <v>239</v>
      </c>
      <c r="AB247" s="119"/>
      <c r="AC247" s="119"/>
      <c r="AD247" s="119"/>
      <c r="AE247" s="119"/>
      <c r="AF247" s="119"/>
      <c r="AG247" s="555" t="str">
        <f t="shared" si="8"/>
        <v>  ---&gt;     ---&gt;   </v>
      </c>
      <c r="AH247" s="16"/>
      <c r="AI247" s="439"/>
      <c r="AJ247" s="439"/>
      <c r="AK247" s="439"/>
    </row>
    <row r="248" ht="18.75" customHeight="1">
      <c r="A248" s="439"/>
      <c r="B248" s="546"/>
      <c r="C248" s="547"/>
      <c r="D248" s="446">
        <f>IF(C248=0,0,(VLOOKUP(C248,'PO MTRL'!$B$9:$S1518,2,0)))</f>
        <v>0</v>
      </c>
      <c r="E248" s="548" t="str">
        <f>IF(C248="","",(VLOOKUP(C248,'PO MTRL'!$B$9:$S1518,3,0)))</f>
        <v/>
      </c>
      <c r="F248" s="549">
        <f>IF(C248=0,0,(VLOOKUP(C248,'PO MTRL'!$B$9:$S1518,4,0)))</f>
        <v>0</v>
      </c>
      <c r="G248" s="444"/>
      <c r="H248" s="550">
        <f>IF(C248=0,0,(VLOOKUP(C248,'PO MTRL'!$B$9:$S1518,6,0)))</f>
        <v>0</v>
      </c>
      <c r="I248" s="446">
        <f>IF(C248=0,0,(VLOOKUP(C248,'PO MTRL'!$B$9:$S1518,7,0)))</f>
        <v>0</v>
      </c>
      <c r="J248" s="551">
        <f>IF(C248=0,0,(VLOOKUP(C248,'PO MTRL'!$B$9:$S1518,8,0)))</f>
        <v>0</v>
      </c>
      <c r="K248" s="559"/>
      <c r="L248" s="448">
        <f t="shared" si="1"/>
        <v>0</v>
      </c>
      <c r="M248" s="551">
        <f t="shared" si="2"/>
        <v>0</v>
      </c>
      <c r="N248" s="449">
        <f t="shared" si="3"/>
        <v>0</v>
      </c>
      <c r="O248" s="551">
        <f>IF(H248=0,0,(VLOOKUP(H248,'PO MTRL'!$G$9:$S1518,5,0)))</f>
        <v>0</v>
      </c>
      <c r="P248" s="551">
        <f>IF(H248=0,0,(VLOOKUP(H248,'PO MTRL'!$G$9:$S1518,7,0)))</f>
        <v>0</v>
      </c>
      <c r="Q248" s="551">
        <f t="shared" si="4"/>
        <v>0</v>
      </c>
      <c r="R248" s="551">
        <f t="shared" si="5"/>
        <v>0</v>
      </c>
      <c r="S248" s="550">
        <f>IF(C248=0,0,(VLOOKUP(C248,'PO MTRL'!$B$9:$S1518,17,0)))</f>
        <v>0</v>
      </c>
      <c r="T248" s="553"/>
      <c r="U248" s="554">
        <f>IF(C248=0,0,(VLOOKUP(C248,'PO MTRL'!$B$9:$S1518,18,0)))</f>
        <v>0</v>
      </c>
      <c r="V248" s="16"/>
      <c r="W248" s="119" t="str">
        <f t="shared" si="6"/>
        <v/>
      </c>
      <c r="X248" s="564">
        <f t="shared" si="7"/>
        <v>0</v>
      </c>
      <c r="Y248" s="119"/>
      <c r="Z248" s="119"/>
      <c r="AA248" s="530">
        <f>IFERROR(__xludf.DUMMYFUNCTION("""COMPUTED_VALUE"""),240.0)</f>
        <v>240</v>
      </c>
      <c r="AB248" s="119"/>
      <c r="AC248" s="119"/>
      <c r="AD248" s="119"/>
      <c r="AE248" s="119"/>
      <c r="AF248" s="119"/>
      <c r="AG248" s="555" t="str">
        <f t="shared" si="8"/>
        <v>  ---&gt;     ---&gt;   </v>
      </c>
      <c r="AH248" s="16"/>
      <c r="AI248" s="439"/>
      <c r="AJ248" s="439"/>
      <c r="AK248" s="439"/>
    </row>
    <row r="249" ht="18.75" customHeight="1">
      <c r="A249" s="439"/>
      <c r="B249" s="546"/>
      <c r="C249" s="547"/>
      <c r="D249" s="446">
        <f>IF(C249=0,0,(VLOOKUP(C249,'PO MTRL'!$B$9:$S1518,2,0)))</f>
        <v>0</v>
      </c>
      <c r="E249" s="548" t="str">
        <f>IF(C249="","",(VLOOKUP(C249,'PO MTRL'!$B$9:$S1518,3,0)))</f>
        <v/>
      </c>
      <c r="F249" s="549">
        <f>IF(C249=0,0,(VLOOKUP(C249,'PO MTRL'!$B$9:$S1518,4,0)))</f>
        <v>0</v>
      </c>
      <c r="G249" s="444"/>
      <c r="H249" s="550">
        <f>IF(C249=0,0,(VLOOKUP(C249,'PO MTRL'!$B$9:$S1518,6,0)))</f>
        <v>0</v>
      </c>
      <c r="I249" s="446">
        <f>IF(C249=0,0,(VLOOKUP(C249,'PO MTRL'!$B$9:$S1518,7,0)))</f>
        <v>0</v>
      </c>
      <c r="J249" s="551">
        <f>IF(C249=0,0,(VLOOKUP(C249,'PO MTRL'!$B$9:$S1518,8,0)))</f>
        <v>0</v>
      </c>
      <c r="K249" s="559"/>
      <c r="L249" s="448">
        <f t="shared" si="1"/>
        <v>0</v>
      </c>
      <c r="M249" s="551">
        <f t="shared" si="2"/>
        <v>0</v>
      </c>
      <c r="N249" s="449">
        <f t="shared" si="3"/>
        <v>0</v>
      </c>
      <c r="O249" s="551">
        <f>IF(H249=0,0,(VLOOKUP(H249,'PO MTRL'!$G$9:$S1518,5,0)))</f>
        <v>0</v>
      </c>
      <c r="P249" s="551">
        <f>IF(H249=0,0,(VLOOKUP(H249,'PO MTRL'!$G$9:$S1518,7,0)))</f>
        <v>0</v>
      </c>
      <c r="Q249" s="551">
        <f t="shared" si="4"/>
        <v>0</v>
      </c>
      <c r="R249" s="551">
        <f t="shared" si="5"/>
        <v>0</v>
      </c>
      <c r="S249" s="550">
        <f>IF(C249=0,0,(VLOOKUP(C249,'PO MTRL'!$B$9:$S1518,17,0)))</f>
        <v>0</v>
      </c>
      <c r="T249" s="553"/>
      <c r="U249" s="554">
        <f>IF(C249=0,0,(VLOOKUP(C249,'PO MTRL'!$B$9:$S1518,18,0)))</f>
        <v>0</v>
      </c>
      <c r="V249" s="16"/>
      <c r="W249" s="119" t="str">
        <f t="shared" si="6"/>
        <v/>
      </c>
      <c r="X249" s="564">
        <f t="shared" si="7"/>
        <v>0</v>
      </c>
      <c r="Y249" s="119"/>
      <c r="Z249" s="119"/>
      <c r="AA249" s="530">
        <f>IFERROR(__xludf.DUMMYFUNCTION("""COMPUTED_VALUE"""),241.0)</f>
        <v>241</v>
      </c>
      <c r="AB249" s="119"/>
      <c r="AC249" s="119"/>
      <c r="AD249" s="119"/>
      <c r="AE249" s="119"/>
      <c r="AF249" s="119"/>
      <c r="AG249" s="555" t="str">
        <f t="shared" si="8"/>
        <v>  ---&gt;     ---&gt;   </v>
      </c>
      <c r="AH249" s="16"/>
      <c r="AI249" s="439"/>
      <c r="AJ249" s="439"/>
      <c r="AK249" s="439"/>
    </row>
    <row r="250" ht="18.75" customHeight="1">
      <c r="A250" s="439"/>
      <c r="B250" s="546"/>
      <c r="C250" s="547"/>
      <c r="D250" s="446">
        <f>IF(C250=0,0,(VLOOKUP(C250,'PO MTRL'!$B$9:$S1518,2,0)))</f>
        <v>0</v>
      </c>
      <c r="E250" s="548" t="str">
        <f>IF(C250="","",(VLOOKUP(C250,'PO MTRL'!$B$9:$S1518,3,0)))</f>
        <v/>
      </c>
      <c r="F250" s="549">
        <f>IF(C250=0,0,(VLOOKUP(C250,'PO MTRL'!$B$9:$S1518,4,0)))</f>
        <v>0</v>
      </c>
      <c r="G250" s="444"/>
      <c r="H250" s="550">
        <f>IF(C250=0,0,(VLOOKUP(C250,'PO MTRL'!$B$9:$S1518,6,0)))</f>
        <v>0</v>
      </c>
      <c r="I250" s="446">
        <f>IF(C250=0,0,(VLOOKUP(C250,'PO MTRL'!$B$9:$S1518,7,0)))</f>
        <v>0</v>
      </c>
      <c r="J250" s="551">
        <f>IF(C250=0,0,(VLOOKUP(C250,'PO MTRL'!$B$9:$S1518,8,0)))</f>
        <v>0</v>
      </c>
      <c r="K250" s="559"/>
      <c r="L250" s="448">
        <f t="shared" si="1"/>
        <v>0</v>
      </c>
      <c r="M250" s="551">
        <f t="shared" si="2"/>
        <v>0</v>
      </c>
      <c r="N250" s="449">
        <f t="shared" si="3"/>
        <v>0</v>
      </c>
      <c r="O250" s="551">
        <f>IF(H250=0,0,(VLOOKUP(H250,'PO MTRL'!$G$9:$S1518,5,0)))</f>
        <v>0</v>
      </c>
      <c r="P250" s="551">
        <f>IF(H250=0,0,(VLOOKUP(H250,'PO MTRL'!$G$9:$S1518,7,0)))</f>
        <v>0</v>
      </c>
      <c r="Q250" s="551">
        <f t="shared" si="4"/>
        <v>0</v>
      </c>
      <c r="R250" s="551">
        <f t="shared" si="5"/>
        <v>0</v>
      </c>
      <c r="S250" s="550">
        <f>IF(C250=0,0,(VLOOKUP(C250,'PO MTRL'!$B$9:$S1518,17,0)))</f>
        <v>0</v>
      </c>
      <c r="T250" s="553"/>
      <c r="U250" s="554">
        <f>IF(C250=0,0,(VLOOKUP(C250,'PO MTRL'!$B$9:$S1518,18,0)))</f>
        <v>0</v>
      </c>
      <c r="V250" s="16"/>
      <c r="W250" s="119" t="str">
        <f t="shared" si="6"/>
        <v/>
      </c>
      <c r="X250" s="564">
        <f t="shared" si="7"/>
        <v>0</v>
      </c>
      <c r="Y250" s="119"/>
      <c r="Z250" s="119"/>
      <c r="AA250" s="530">
        <f>IFERROR(__xludf.DUMMYFUNCTION("""COMPUTED_VALUE"""),242.0)</f>
        <v>242</v>
      </c>
      <c r="AB250" s="119"/>
      <c r="AC250" s="119"/>
      <c r="AD250" s="119"/>
      <c r="AE250" s="119"/>
      <c r="AF250" s="119"/>
      <c r="AG250" s="555" t="str">
        <f t="shared" si="8"/>
        <v>  ---&gt;     ---&gt;   </v>
      </c>
      <c r="AH250" s="16"/>
      <c r="AI250" s="439"/>
      <c r="AJ250" s="439"/>
      <c r="AK250" s="439"/>
    </row>
    <row r="251" ht="18.75" customHeight="1">
      <c r="A251" s="439"/>
      <c r="B251" s="546"/>
      <c r="C251" s="547"/>
      <c r="D251" s="446">
        <f>IF(C251=0,0,(VLOOKUP(C251,'PO MTRL'!$B$9:$S1518,2,0)))</f>
        <v>0</v>
      </c>
      <c r="E251" s="548" t="str">
        <f>IF(C251="","",(VLOOKUP(C251,'PO MTRL'!$B$9:$S1518,3,0)))</f>
        <v/>
      </c>
      <c r="F251" s="549">
        <f>IF(C251=0,0,(VLOOKUP(C251,'PO MTRL'!$B$9:$S1518,4,0)))</f>
        <v>0</v>
      </c>
      <c r="G251" s="444"/>
      <c r="H251" s="550">
        <f>IF(C251=0,0,(VLOOKUP(C251,'PO MTRL'!$B$9:$S1518,6,0)))</f>
        <v>0</v>
      </c>
      <c r="I251" s="446">
        <f>IF(C251=0,0,(VLOOKUP(C251,'PO MTRL'!$B$9:$S1518,7,0)))</f>
        <v>0</v>
      </c>
      <c r="J251" s="551">
        <f>IF(C251=0,0,(VLOOKUP(C251,'PO MTRL'!$B$9:$S1518,8,0)))</f>
        <v>0</v>
      </c>
      <c r="K251" s="559"/>
      <c r="L251" s="448">
        <f t="shared" si="1"/>
        <v>0</v>
      </c>
      <c r="M251" s="551">
        <f t="shared" si="2"/>
        <v>0</v>
      </c>
      <c r="N251" s="449">
        <f t="shared" si="3"/>
        <v>0</v>
      </c>
      <c r="O251" s="551">
        <f>IF(H251=0,0,(VLOOKUP(H251,'PO MTRL'!$G$9:$S1518,5,0)))</f>
        <v>0</v>
      </c>
      <c r="P251" s="551">
        <f>IF(H251=0,0,(VLOOKUP(H251,'PO MTRL'!$G$9:$S1518,7,0)))</f>
        <v>0</v>
      </c>
      <c r="Q251" s="551">
        <f t="shared" si="4"/>
        <v>0</v>
      </c>
      <c r="R251" s="551">
        <f t="shared" si="5"/>
        <v>0</v>
      </c>
      <c r="S251" s="550">
        <f>IF(C251=0,0,(VLOOKUP(C251,'PO MTRL'!$B$9:$S1518,17,0)))</f>
        <v>0</v>
      </c>
      <c r="T251" s="553"/>
      <c r="U251" s="554">
        <f>IF(C251=0,0,(VLOOKUP(C251,'PO MTRL'!$B$9:$S1518,18,0)))</f>
        <v>0</v>
      </c>
      <c r="V251" s="16"/>
      <c r="W251" s="119" t="str">
        <f t="shared" si="6"/>
        <v/>
      </c>
      <c r="X251" s="564">
        <f t="shared" si="7"/>
        <v>0</v>
      </c>
      <c r="Y251" s="119"/>
      <c r="Z251" s="119"/>
      <c r="AA251" s="530">
        <f>IFERROR(__xludf.DUMMYFUNCTION("""COMPUTED_VALUE"""),243.0)</f>
        <v>243</v>
      </c>
      <c r="AB251" s="119"/>
      <c r="AC251" s="119"/>
      <c r="AD251" s="119"/>
      <c r="AE251" s="119"/>
      <c r="AF251" s="119"/>
      <c r="AG251" s="555" t="str">
        <f t="shared" si="8"/>
        <v>  ---&gt;     ---&gt;   </v>
      </c>
      <c r="AH251" s="16"/>
      <c r="AI251" s="439"/>
      <c r="AJ251" s="439"/>
      <c r="AK251" s="439"/>
    </row>
    <row r="252" ht="18.75" customHeight="1">
      <c r="A252" s="439"/>
      <c r="B252" s="546"/>
      <c r="C252" s="547"/>
      <c r="D252" s="446">
        <f>IF(C252=0,0,(VLOOKUP(C252,'PO MTRL'!$B$9:$S1518,2,0)))</f>
        <v>0</v>
      </c>
      <c r="E252" s="548" t="str">
        <f>IF(C252="","",(VLOOKUP(C252,'PO MTRL'!$B$9:$S1518,3,0)))</f>
        <v/>
      </c>
      <c r="F252" s="549">
        <f>IF(C252=0,0,(VLOOKUP(C252,'PO MTRL'!$B$9:$S1518,4,0)))</f>
        <v>0</v>
      </c>
      <c r="G252" s="444"/>
      <c r="H252" s="550">
        <f>IF(C252=0,0,(VLOOKUP(C252,'PO MTRL'!$B$9:$S1518,6,0)))</f>
        <v>0</v>
      </c>
      <c r="I252" s="446">
        <f>IF(C252=0,0,(VLOOKUP(C252,'PO MTRL'!$B$9:$S1518,7,0)))</f>
        <v>0</v>
      </c>
      <c r="J252" s="551">
        <f>IF(C252=0,0,(VLOOKUP(C252,'PO MTRL'!$B$9:$S1518,8,0)))</f>
        <v>0</v>
      </c>
      <c r="K252" s="559"/>
      <c r="L252" s="448">
        <f t="shared" si="1"/>
        <v>0</v>
      </c>
      <c r="M252" s="551">
        <f t="shared" si="2"/>
        <v>0</v>
      </c>
      <c r="N252" s="449">
        <f t="shared" si="3"/>
        <v>0</v>
      </c>
      <c r="O252" s="551">
        <f>IF(H252=0,0,(VLOOKUP(H252,'PO MTRL'!$G$9:$S1518,5,0)))</f>
        <v>0</v>
      </c>
      <c r="P252" s="551">
        <f>IF(H252=0,0,(VLOOKUP(H252,'PO MTRL'!$G$9:$S1518,7,0)))</f>
        <v>0</v>
      </c>
      <c r="Q252" s="551">
        <f t="shared" si="4"/>
        <v>0</v>
      </c>
      <c r="R252" s="551">
        <f t="shared" si="5"/>
        <v>0</v>
      </c>
      <c r="S252" s="550">
        <f>IF(C252=0,0,(VLOOKUP(C252,'PO MTRL'!$B$9:$S1518,17,0)))</f>
        <v>0</v>
      </c>
      <c r="T252" s="553"/>
      <c r="U252" s="554">
        <f>IF(C252=0,0,(VLOOKUP(C252,'PO MTRL'!$B$9:$S1518,18,0)))</f>
        <v>0</v>
      </c>
      <c r="V252" s="16"/>
      <c r="W252" s="119" t="str">
        <f t="shared" si="6"/>
        <v/>
      </c>
      <c r="X252" s="564">
        <f t="shared" si="7"/>
        <v>0</v>
      </c>
      <c r="Y252" s="119"/>
      <c r="Z252" s="119"/>
      <c r="AA252" s="530">
        <f>IFERROR(__xludf.DUMMYFUNCTION("""COMPUTED_VALUE"""),244.0)</f>
        <v>244</v>
      </c>
      <c r="AB252" s="119"/>
      <c r="AC252" s="119"/>
      <c r="AD252" s="119"/>
      <c r="AE252" s="119"/>
      <c r="AF252" s="119"/>
      <c r="AG252" s="555" t="str">
        <f t="shared" si="8"/>
        <v>  ---&gt;     ---&gt;   </v>
      </c>
      <c r="AH252" s="16"/>
      <c r="AI252" s="439"/>
      <c r="AJ252" s="439"/>
      <c r="AK252" s="439"/>
    </row>
    <row r="253" ht="18.75" customHeight="1">
      <c r="A253" s="439"/>
      <c r="B253" s="546"/>
      <c r="C253" s="547"/>
      <c r="D253" s="446">
        <f>IF(C253=0,0,(VLOOKUP(C253,'PO MTRL'!$B$9:$S1518,2,0)))</f>
        <v>0</v>
      </c>
      <c r="E253" s="548" t="str">
        <f>IF(C253="","",(VLOOKUP(C253,'PO MTRL'!$B$9:$S1518,3,0)))</f>
        <v/>
      </c>
      <c r="F253" s="549">
        <f>IF(C253=0,0,(VLOOKUP(C253,'PO MTRL'!$B$9:$S1518,4,0)))</f>
        <v>0</v>
      </c>
      <c r="G253" s="444"/>
      <c r="H253" s="550">
        <f>IF(C253=0,0,(VLOOKUP(C253,'PO MTRL'!$B$9:$S1518,6,0)))</f>
        <v>0</v>
      </c>
      <c r="I253" s="446">
        <f>IF(C253=0,0,(VLOOKUP(C253,'PO MTRL'!$B$9:$S1518,7,0)))</f>
        <v>0</v>
      </c>
      <c r="J253" s="551">
        <f>IF(C253=0,0,(VLOOKUP(C253,'PO MTRL'!$B$9:$S1518,8,0)))</f>
        <v>0</v>
      </c>
      <c r="K253" s="559"/>
      <c r="L253" s="448">
        <f t="shared" si="1"/>
        <v>0</v>
      </c>
      <c r="M253" s="551">
        <f t="shared" si="2"/>
        <v>0</v>
      </c>
      <c r="N253" s="449">
        <f t="shared" si="3"/>
        <v>0</v>
      </c>
      <c r="O253" s="551">
        <f>IF(H253=0,0,(VLOOKUP(H253,'PO MTRL'!$G$9:$S1518,5,0)))</f>
        <v>0</v>
      </c>
      <c r="P253" s="551">
        <f>IF(H253=0,0,(VLOOKUP(H253,'PO MTRL'!$G$9:$S1518,7,0)))</f>
        <v>0</v>
      </c>
      <c r="Q253" s="551">
        <f t="shared" si="4"/>
        <v>0</v>
      </c>
      <c r="R253" s="551">
        <f t="shared" si="5"/>
        <v>0</v>
      </c>
      <c r="S253" s="550">
        <f>IF(C253=0,0,(VLOOKUP(C253,'PO MTRL'!$B$9:$S1518,17,0)))</f>
        <v>0</v>
      </c>
      <c r="T253" s="553"/>
      <c r="U253" s="554">
        <f>IF(C253=0,0,(VLOOKUP(C253,'PO MTRL'!$B$9:$S1518,18,0)))</f>
        <v>0</v>
      </c>
      <c r="V253" s="16"/>
      <c r="W253" s="119" t="str">
        <f t="shared" si="6"/>
        <v/>
      </c>
      <c r="X253" s="564">
        <f t="shared" si="7"/>
        <v>0</v>
      </c>
      <c r="Y253" s="119"/>
      <c r="Z253" s="119"/>
      <c r="AA253" s="530">
        <f>IFERROR(__xludf.DUMMYFUNCTION("""COMPUTED_VALUE"""),245.0)</f>
        <v>245</v>
      </c>
      <c r="AB253" s="119"/>
      <c r="AC253" s="119"/>
      <c r="AD253" s="119"/>
      <c r="AE253" s="119"/>
      <c r="AF253" s="119"/>
      <c r="AG253" s="555" t="str">
        <f t="shared" si="8"/>
        <v>  ---&gt;     ---&gt;   </v>
      </c>
      <c r="AH253" s="16"/>
      <c r="AI253" s="439"/>
      <c r="AJ253" s="439"/>
      <c r="AK253" s="439"/>
    </row>
    <row r="254" ht="18.75" customHeight="1">
      <c r="A254" s="439"/>
      <c r="B254" s="546"/>
      <c r="C254" s="547"/>
      <c r="D254" s="446">
        <f>IF(C254=0,0,(VLOOKUP(C254,'PO MTRL'!$B$9:$S1518,2,0)))</f>
        <v>0</v>
      </c>
      <c r="E254" s="548" t="str">
        <f>IF(C254="","",(VLOOKUP(C254,'PO MTRL'!$B$9:$S1518,3,0)))</f>
        <v/>
      </c>
      <c r="F254" s="549">
        <f>IF(C254=0,0,(VLOOKUP(C254,'PO MTRL'!$B$9:$S1518,4,0)))</f>
        <v>0</v>
      </c>
      <c r="G254" s="444"/>
      <c r="H254" s="550">
        <f>IF(C254=0,0,(VLOOKUP(C254,'PO MTRL'!$B$9:$S1518,6,0)))</f>
        <v>0</v>
      </c>
      <c r="I254" s="446">
        <f>IF(C254=0,0,(VLOOKUP(C254,'PO MTRL'!$B$9:$S1518,7,0)))</f>
        <v>0</v>
      </c>
      <c r="J254" s="551">
        <f>IF(C254=0,0,(VLOOKUP(C254,'PO MTRL'!$B$9:$S1518,8,0)))</f>
        <v>0</v>
      </c>
      <c r="K254" s="559"/>
      <c r="L254" s="448">
        <f t="shared" si="1"/>
        <v>0</v>
      </c>
      <c r="M254" s="551">
        <f t="shared" si="2"/>
        <v>0</v>
      </c>
      <c r="N254" s="449">
        <f t="shared" si="3"/>
        <v>0</v>
      </c>
      <c r="O254" s="551">
        <f>IF(H254=0,0,(VLOOKUP(H254,'PO MTRL'!$G$9:$S1518,5,0)))</f>
        <v>0</v>
      </c>
      <c r="P254" s="551">
        <f>IF(H254=0,0,(VLOOKUP(H254,'PO MTRL'!$G$9:$S1518,7,0)))</f>
        <v>0</v>
      </c>
      <c r="Q254" s="551">
        <f t="shared" si="4"/>
        <v>0</v>
      </c>
      <c r="R254" s="551">
        <f t="shared" si="5"/>
        <v>0</v>
      </c>
      <c r="S254" s="550">
        <f>IF(C254=0,0,(VLOOKUP(C254,'PO MTRL'!$B$9:$S1518,17,0)))</f>
        <v>0</v>
      </c>
      <c r="T254" s="553"/>
      <c r="U254" s="554">
        <f>IF(C254=0,0,(VLOOKUP(C254,'PO MTRL'!$B$9:$S1518,18,0)))</f>
        <v>0</v>
      </c>
      <c r="V254" s="16"/>
      <c r="W254" s="119" t="str">
        <f t="shared" si="6"/>
        <v/>
      </c>
      <c r="X254" s="564">
        <f t="shared" si="7"/>
        <v>0</v>
      </c>
      <c r="Y254" s="119"/>
      <c r="Z254" s="119"/>
      <c r="AA254" s="530">
        <f>IFERROR(__xludf.DUMMYFUNCTION("""COMPUTED_VALUE"""),246.0)</f>
        <v>246</v>
      </c>
      <c r="AB254" s="119"/>
      <c r="AC254" s="119"/>
      <c r="AD254" s="119"/>
      <c r="AE254" s="119"/>
      <c r="AF254" s="119"/>
      <c r="AG254" s="555" t="str">
        <f t="shared" si="8"/>
        <v>  ---&gt;     ---&gt;   </v>
      </c>
      <c r="AH254" s="16"/>
      <c r="AI254" s="439"/>
      <c r="AJ254" s="439"/>
      <c r="AK254" s="439"/>
    </row>
    <row r="255" ht="18.75" customHeight="1">
      <c r="A255" s="439"/>
      <c r="B255" s="546"/>
      <c r="C255" s="547"/>
      <c r="D255" s="446">
        <f>IF(C255=0,0,(VLOOKUP(C255,'PO MTRL'!$B$9:$S1518,2,0)))</f>
        <v>0</v>
      </c>
      <c r="E255" s="548" t="str">
        <f>IF(C255="","",(VLOOKUP(C255,'PO MTRL'!$B$9:$S1518,3,0)))</f>
        <v/>
      </c>
      <c r="F255" s="549">
        <f>IF(C255=0,0,(VLOOKUP(C255,'PO MTRL'!$B$9:$S1518,4,0)))</f>
        <v>0</v>
      </c>
      <c r="G255" s="444"/>
      <c r="H255" s="550">
        <f>IF(C255=0,0,(VLOOKUP(C255,'PO MTRL'!$B$9:$S1518,6,0)))</f>
        <v>0</v>
      </c>
      <c r="I255" s="446">
        <f>IF(C255=0,0,(VLOOKUP(C255,'PO MTRL'!$B$9:$S1518,7,0)))</f>
        <v>0</v>
      </c>
      <c r="J255" s="551">
        <f>IF(C255=0,0,(VLOOKUP(C255,'PO MTRL'!$B$9:$S1518,8,0)))</f>
        <v>0</v>
      </c>
      <c r="K255" s="559"/>
      <c r="L255" s="448">
        <f t="shared" si="1"/>
        <v>0</v>
      </c>
      <c r="M255" s="551">
        <f t="shared" si="2"/>
        <v>0</v>
      </c>
      <c r="N255" s="449">
        <f t="shared" si="3"/>
        <v>0</v>
      </c>
      <c r="O255" s="551">
        <f>IF(H255=0,0,(VLOOKUP(H255,'PO MTRL'!$G$9:$S1518,5,0)))</f>
        <v>0</v>
      </c>
      <c r="P255" s="551">
        <f>IF(H255=0,0,(VLOOKUP(H255,'PO MTRL'!$G$9:$S1518,7,0)))</f>
        <v>0</v>
      </c>
      <c r="Q255" s="551">
        <f t="shared" si="4"/>
        <v>0</v>
      </c>
      <c r="R255" s="551">
        <f t="shared" si="5"/>
        <v>0</v>
      </c>
      <c r="S255" s="550">
        <f>IF(C255=0,0,(VLOOKUP(C255,'PO MTRL'!$B$9:$S1518,17,0)))</f>
        <v>0</v>
      </c>
      <c r="T255" s="553"/>
      <c r="U255" s="554">
        <f>IF(C255=0,0,(VLOOKUP(C255,'PO MTRL'!$B$9:$S1518,18,0)))</f>
        <v>0</v>
      </c>
      <c r="V255" s="16"/>
      <c r="W255" s="119" t="str">
        <f t="shared" si="6"/>
        <v/>
      </c>
      <c r="X255" s="564">
        <f t="shared" si="7"/>
        <v>0</v>
      </c>
      <c r="Y255" s="119"/>
      <c r="Z255" s="119"/>
      <c r="AA255" s="530">
        <f>IFERROR(__xludf.DUMMYFUNCTION("""COMPUTED_VALUE"""),247.0)</f>
        <v>247</v>
      </c>
      <c r="AB255" s="119"/>
      <c r="AC255" s="119"/>
      <c r="AD255" s="119"/>
      <c r="AE255" s="119"/>
      <c r="AF255" s="119"/>
      <c r="AG255" s="555" t="str">
        <f t="shared" si="8"/>
        <v>  ---&gt;     ---&gt;   </v>
      </c>
      <c r="AH255" s="16"/>
      <c r="AI255" s="439"/>
      <c r="AJ255" s="439"/>
      <c r="AK255" s="439"/>
    </row>
    <row r="256" ht="18.75" customHeight="1">
      <c r="A256" s="439"/>
      <c r="B256" s="546"/>
      <c r="C256" s="547"/>
      <c r="D256" s="446">
        <f>IF(C256=0,0,(VLOOKUP(C256,'PO MTRL'!$B$9:$S1518,2,0)))</f>
        <v>0</v>
      </c>
      <c r="E256" s="548" t="str">
        <f>IF(C256="","",(VLOOKUP(C256,'PO MTRL'!$B$9:$S1518,3,0)))</f>
        <v/>
      </c>
      <c r="F256" s="549">
        <f>IF(C256=0,0,(VLOOKUP(C256,'PO MTRL'!$B$9:$S1518,4,0)))</f>
        <v>0</v>
      </c>
      <c r="G256" s="444"/>
      <c r="H256" s="550">
        <f>IF(C256=0,0,(VLOOKUP(C256,'PO MTRL'!$B$9:$S1518,6,0)))</f>
        <v>0</v>
      </c>
      <c r="I256" s="446">
        <f>IF(C256=0,0,(VLOOKUP(C256,'PO MTRL'!$B$9:$S1518,7,0)))</f>
        <v>0</v>
      </c>
      <c r="J256" s="551">
        <f>IF(C256=0,0,(VLOOKUP(C256,'PO MTRL'!$B$9:$S1518,8,0)))</f>
        <v>0</v>
      </c>
      <c r="K256" s="559"/>
      <c r="L256" s="448">
        <f t="shared" si="1"/>
        <v>0</v>
      </c>
      <c r="M256" s="551">
        <f t="shared" si="2"/>
        <v>0</v>
      </c>
      <c r="N256" s="449">
        <f t="shared" si="3"/>
        <v>0</v>
      </c>
      <c r="O256" s="551">
        <f>IF(H256=0,0,(VLOOKUP(H256,'PO MTRL'!$G$9:$S1518,5,0)))</f>
        <v>0</v>
      </c>
      <c r="P256" s="551">
        <f>IF(H256=0,0,(VLOOKUP(H256,'PO MTRL'!$G$9:$S1518,7,0)))</f>
        <v>0</v>
      </c>
      <c r="Q256" s="551">
        <f t="shared" si="4"/>
        <v>0</v>
      </c>
      <c r="R256" s="551">
        <f t="shared" si="5"/>
        <v>0</v>
      </c>
      <c r="S256" s="550">
        <f>IF(C256=0,0,(VLOOKUP(C256,'PO MTRL'!$B$9:$S1518,17,0)))</f>
        <v>0</v>
      </c>
      <c r="T256" s="553"/>
      <c r="U256" s="554">
        <f>IF(C256=0,0,(VLOOKUP(C256,'PO MTRL'!$B$9:$S1518,18,0)))</f>
        <v>0</v>
      </c>
      <c r="V256" s="16"/>
      <c r="W256" s="119" t="str">
        <f t="shared" si="6"/>
        <v/>
      </c>
      <c r="X256" s="564">
        <f t="shared" si="7"/>
        <v>0</v>
      </c>
      <c r="Y256" s="119"/>
      <c r="Z256" s="119"/>
      <c r="AA256" s="530">
        <f>IFERROR(__xludf.DUMMYFUNCTION("""COMPUTED_VALUE"""),248.0)</f>
        <v>248</v>
      </c>
      <c r="AB256" s="119"/>
      <c r="AC256" s="119"/>
      <c r="AD256" s="119"/>
      <c r="AE256" s="119"/>
      <c r="AF256" s="119"/>
      <c r="AG256" s="555" t="str">
        <f t="shared" si="8"/>
        <v>  ---&gt;     ---&gt;   </v>
      </c>
      <c r="AH256" s="16"/>
      <c r="AI256" s="439"/>
      <c r="AJ256" s="439"/>
      <c r="AK256" s="439"/>
    </row>
    <row r="257" ht="18.75" customHeight="1">
      <c r="A257" s="439"/>
      <c r="B257" s="546"/>
      <c r="C257" s="547"/>
      <c r="D257" s="446">
        <f>IF(C257=0,0,(VLOOKUP(C257,'PO MTRL'!$B$9:$S1518,2,0)))</f>
        <v>0</v>
      </c>
      <c r="E257" s="548" t="str">
        <f>IF(C257="","",(VLOOKUP(C257,'PO MTRL'!$B$9:$S1518,3,0)))</f>
        <v/>
      </c>
      <c r="F257" s="549">
        <f>IF(C257=0,0,(VLOOKUP(C257,'PO MTRL'!$B$9:$S1518,4,0)))</f>
        <v>0</v>
      </c>
      <c r="G257" s="444"/>
      <c r="H257" s="550">
        <f>IF(C257=0,0,(VLOOKUP(C257,'PO MTRL'!$B$9:$S1518,6,0)))</f>
        <v>0</v>
      </c>
      <c r="I257" s="446">
        <f>IF(C257=0,0,(VLOOKUP(C257,'PO MTRL'!$B$9:$S1518,7,0)))</f>
        <v>0</v>
      </c>
      <c r="J257" s="551">
        <f>IF(C257=0,0,(VLOOKUP(C257,'PO MTRL'!$B$9:$S1518,8,0)))</f>
        <v>0</v>
      </c>
      <c r="K257" s="559"/>
      <c r="L257" s="448">
        <f t="shared" si="1"/>
        <v>0</v>
      </c>
      <c r="M257" s="551">
        <f t="shared" si="2"/>
        <v>0</v>
      </c>
      <c r="N257" s="449">
        <f t="shared" si="3"/>
        <v>0</v>
      </c>
      <c r="O257" s="551">
        <f>IF(H257=0,0,(VLOOKUP(H257,'PO MTRL'!$G$9:$S1518,5,0)))</f>
        <v>0</v>
      </c>
      <c r="P257" s="551">
        <f>IF(H257=0,0,(VLOOKUP(H257,'PO MTRL'!$G$9:$S1518,7,0)))</f>
        <v>0</v>
      </c>
      <c r="Q257" s="551">
        <f t="shared" si="4"/>
        <v>0</v>
      </c>
      <c r="R257" s="551">
        <f t="shared" si="5"/>
        <v>0</v>
      </c>
      <c r="S257" s="550">
        <f>IF(C257=0,0,(VLOOKUP(C257,'PO MTRL'!$B$9:$S1518,17,0)))</f>
        <v>0</v>
      </c>
      <c r="T257" s="553"/>
      <c r="U257" s="554">
        <f>IF(C257=0,0,(VLOOKUP(C257,'PO MTRL'!$B$9:$S1518,18,0)))</f>
        <v>0</v>
      </c>
      <c r="V257" s="16"/>
      <c r="W257" s="119" t="str">
        <f t="shared" si="6"/>
        <v/>
      </c>
      <c r="X257" s="564">
        <f t="shared" si="7"/>
        <v>0</v>
      </c>
      <c r="Y257" s="119"/>
      <c r="Z257" s="119"/>
      <c r="AA257" s="530">
        <f>IFERROR(__xludf.DUMMYFUNCTION("""COMPUTED_VALUE"""),249.0)</f>
        <v>249</v>
      </c>
      <c r="AB257" s="119"/>
      <c r="AC257" s="119"/>
      <c r="AD257" s="119"/>
      <c r="AE257" s="119"/>
      <c r="AF257" s="119"/>
      <c r="AG257" s="555" t="str">
        <f t="shared" si="8"/>
        <v>  ---&gt;     ---&gt;   </v>
      </c>
      <c r="AH257" s="16"/>
      <c r="AI257" s="439"/>
      <c r="AJ257" s="439"/>
      <c r="AK257" s="439"/>
    </row>
    <row r="258" ht="18.75" customHeight="1">
      <c r="A258" s="439"/>
      <c r="B258" s="546"/>
      <c r="C258" s="547"/>
      <c r="D258" s="446">
        <f>IF(C258=0,0,(VLOOKUP(C258,'PO MTRL'!$B$9:$S1518,2,0)))</f>
        <v>0</v>
      </c>
      <c r="E258" s="548" t="str">
        <f>IF(C258="","",(VLOOKUP(C258,'PO MTRL'!$B$9:$S1518,3,0)))</f>
        <v/>
      </c>
      <c r="F258" s="549">
        <f>IF(C258=0,0,(VLOOKUP(C258,'PO MTRL'!$B$9:$S1518,4,0)))</f>
        <v>0</v>
      </c>
      <c r="G258" s="444"/>
      <c r="H258" s="550">
        <f>IF(C258=0,0,(VLOOKUP(C258,'PO MTRL'!$B$9:$S1518,6,0)))</f>
        <v>0</v>
      </c>
      <c r="I258" s="446">
        <f>IF(C258=0,0,(VLOOKUP(C258,'PO MTRL'!$B$9:$S1518,7,0)))</f>
        <v>0</v>
      </c>
      <c r="J258" s="551">
        <f>IF(C258=0,0,(VLOOKUP(C258,'PO MTRL'!$B$9:$S1518,8,0)))</f>
        <v>0</v>
      </c>
      <c r="K258" s="559"/>
      <c r="L258" s="448">
        <f t="shared" si="1"/>
        <v>0</v>
      </c>
      <c r="M258" s="551">
        <f t="shared" si="2"/>
        <v>0</v>
      </c>
      <c r="N258" s="449">
        <f t="shared" si="3"/>
        <v>0</v>
      </c>
      <c r="O258" s="551">
        <f>IF(H258=0,0,(VLOOKUP(H258,'PO MTRL'!$G$9:$S1518,5,0)))</f>
        <v>0</v>
      </c>
      <c r="P258" s="551">
        <f>IF(H258=0,0,(VLOOKUP(H258,'PO MTRL'!$G$9:$S1518,7,0)))</f>
        <v>0</v>
      </c>
      <c r="Q258" s="551">
        <f t="shared" si="4"/>
        <v>0</v>
      </c>
      <c r="R258" s="551">
        <f t="shared" si="5"/>
        <v>0</v>
      </c>
      <c r="S258" s="550">
        <f>IF(C258=0,0,(VLOOKUP(C258,'PO MTRL'!$B$9:$S1518,17,0)))</f>
        <v>0</v>
      </c>
      <c r="T258" s="553"/>
      <c r="U258" s="554">
        <f>IF(C258=0,0,(VLOOKUP(C258,'PO MTRL'!$B$9:$S1518,18,0)))</f>
        <v>0</v>
      </c>
      <c r="V258" s="16"/>
      <c r="W258" s="119" t="str">
        <f t="shared" si="6"/>
        <v/>
      </c>
      <c r="X258" s="564">
        <f t="shared" si="7"/>
        <v>0</v>
      </c>
      <c r="Y258" s="119"/>
      <c r="Z258" s="119"/>
      <c r="AA258" s="530">
        <f>IFERROR(__xludf.DUMMYFUNCTION("""COMPUTED_VALUE"""),250.0)</f>
        <v>250</v>
      </c>
      <c r="AB258" s="119"/>
      <c r="AC258" s="119"/>
      <c r="AD258" s="119"/>
      <c r="AE258" s="119"/>
      <c r="AF258" s="119"/>
      <c r="AG258" s="555" t="str">
        <f t="shared" si="8"/>
        <v>  ---&gt;     ---&gt;   </v>
      </c>
      <c r="AH258" s="16"/>
      <c r="AI258" s="439"/>
      <c r="AJ258" s="439"/>
      <c r="AK258" s="439"/>
    </row>
    <row r="259" ht="18.75" customHeight="1">
      <c r="A259" s="439"/>
      <c r="B259" s="546"/>
      <c r="C259" s="547"/>
      <c r="D259" s="446">
        <f>IF(C259=0,0,(VLOOKUP(C259,'PO MTRL'!$B$9:$S1518,2,0)))</f>
        <v>0</v>
      </c>
      <c r="E259" s="548" t="str">
        <f>IF(C259="","",(VLOOKUP(C259,'PO MTRL'!$B$9:$S1518,3,0)))</f>
        <v/>
      </c>
      <c r="F259" s="549">
        <f>IF(C259=0,0,(VLOOKUP(C259,'PO MTRL'!$B$9:$S1518,4,0)))</f>
        <v>0</v>
      </c>
      <c r="G259" s="444"/>
      <c r="H259" s="550">
        <f>IF(C259=0,0,(VLOOKUP(C259,'PO MTRL'!$B$9:$S1518,6,0)))</f>
        <v>0</v>
      </c>
      <c r="I259" s="446">
        <f>IF(C259=0,0,(VLOOKUP(C259,'PO MTRL'!$B$9:$S1518,7,0)))</f>
        <v>0</v>
      </c>
      <c r="J259" s="551">
        <f>IF(C259=0,0,(VLOOKUP(C259,'PO MTRL'!$B$9:$S1518,8,0)))</f>
        <v>0</v>
      </c>
      <c r="K259" s="559"/>
      <c r="L259" s="448">
        <f t="shared" si="1"/>
        <v>0</v>
      </c>
      <c r="M259" s="551">
        <f t="shared" si="2"/>
        <v>0</v>
      </c>
      <c r="N259" s="449">
        <f t="shared" si="3"/>
        <v>0</v>
      </c>
      <c r="O259" s="551">
        <f>IF(H259=0,0,(VLOOKUP(H259,'PO MTRL'!$G$9:$S1518,5,0)))</f>
        <v>0</v>
      </c>
      <c r="P259" s="551">
        <f>IF(H259=0,0,(VLOOKUP(H259,'PO MTRL'!$G$9:$S1518,7,0)))</f>
        <v>0</v>
      </c>
      <c r="Q259" s="551">
        <f t="shared" si="4"/>
        <v>0</v>
      </c>
      <c r="R259" s="551">
        <f t="shared" si="5"/>
        <v>0</v>
      </c>
      <c r="S259" s="550">
        <f>IF(C259=0,0,(VLOOKUP(C259,'PO MTRL'!$B$9:$S1518,17,0)))</f>
        <v>0</v>
      </c>
      <c r="T259" s="553"/>
      <c r="U259" s="554">
        <f>IF(C259=0,0,(VLOOKUP(C259,'PO MTRL'!$B$9:$S1518,18,0)))</f>
        <v>0</v>
      </c>
      <c r="V259" s="16"/>
      <c r="W259" s="119" t="str">
        <f t="shared" si="6"/>
        <v/>
      </c>
      <c r="X259" s="564">
        <f t="shared" si="7"/>
        <v>0</v>
      </c>
      <c r="Y259" s="119"/>
      <c r="Z259" s="119"/>
      <c r="AA259" s="530">
        <f>IFERROR(__xludf.DUMMYFUNCTION("""COMPUTED_VALUE"""),251.0)</f>
        <v>251</v>
      </c>
      <c r="AB259" s="119"/>
      <c r="AC259" s="119"/>
      <c r="AD259" s="119"/>
      <c r="AE259" s="119"/>
      <c r="AF259" s="119"/>
      <c r="AG259" s="555" t="str">
        <f t="shared" si="8"/>
        <v>  ---&gt;     ---&gt;   </v>
      </c>
      <c r="AH259" s="16"/>
      <c r="AI259" s="439"/>
      <c r="AJ259" s="439"/>
      <c r="AK259" s="439"/>
    </row>
    <row r="260" ht="18.75" customHeight="1">
      <c r="A260" s="439"/>
      <c r="B260" s="546"/>
      <c r="C260" s="547"/>
      <c r="D260" s="446">
        <f>IF(C260=0,0,(VLOOKUP(C260,'PO MTRL'!$B$9:$S1518,2,0)))</f>
        <v>0</v>
      </c>
      <c r="E260" s="548" t="str">
        <f>IF(C260="","",(VLOOKUP(C260,'PO MTRL'!$B$9:$S1518,3,0)))</f>
        <v/>
      </c>
      <c r="F260" s="549">
        <f>IF(C260=0,0,(VLOOKUP(C260,'PO MTRL'!$B$9:$S1518,4,0)))</f>
        <v>0</v>
      </c>
      <c r="G260" s="444"/>
      <c r="H260" s="550">
        <f>IF(C260=0,0,(VLOOKUP(C260,'PO MTRL'!$B$9:$S1518,6,0)))</f>
        <v>0</v>
      </c>
      <c r="I260" s="446">
        <f>IF(C260=0,0,(VLOOKUP(C260,'PO MTRL'!$B$9:$S1518,7,0)))</f>
        <v>0</v>
      </c>
      <c r="J260" s="551">
        <f>IF(C260=0,0,(VLOOKUP(C260,'PO MTRL'!$B$9:$S1518,8,0)))</f>
        <v>0</v>
      </c>
      <c r="K260" s="559"/>
      <c r="L260" s="448">
        <f t="shared" si="1"/>
        <v>0</v>
      </c>
      <c r="M260" s="551">
        <f t="shared" si="2"/>
        <v>0</v>
      </c>
      <c r="N260" s="449">
        <f t="shared" si="3"/>
        <v>0</v>
      </c>
      <c r="O260" s="551">
        <f>IF(H260=0,0,(VLOOKUP(H260,'PO MTRL'!$G$9:$S1518,5,0)))</f>
        <v>0</v>
      </c>
      <c r="P260" s="551">
        <f>IF(H260=0,0,(VLOOKUP(H260,'PO MTRL'!$G$9:$S1518,7,0)))</f>
        <v>0</v>
      </c>
      <c r="Q260" s="551">
        <f t="shared" si="4"/>
        <v>0</v>
      </c>
      <c r="R260" s="551">
        <f t="shared" si="5"/>
        <v>0</v>
      </c>
      <c r="S260" s="550">
        <f>IF(C260=0,0,(VLOOKUP(C260,'PO MTRL'!$B$9:$S1518,17,0)))</f>
        <v>0</v>
      </c>
      <c r="T260" s="553"/>
      <c r="U260" s="554">
        <f>IF(C260=0,0,(VLOOKUP(C260,'PO MTRL'!$B$9:$S1518,18,0)))</f>
        <v>0</v>
      </c>
      <c r="V260" s="16"/>
      <c r="W260" s="119" t="str">
        <f t="shared" si="6"/>
        <v/>
      </c>
      <c r="X260" s="564">
        <f t="shared" si="7"/>
        <v>0</v>
      </c>
      <c r="Y260" s="119"/>
      <c r="Z260" s="119"/>
      <c r="AA260" s="530">
        <f>IFERROR(__xludf.DUMMYFUNCTION("""COMPUTED_VALUE"""),252.0)</f>
        <v>252</v>
      </c>
      <c r="AB260" s="119"/>
      <c r="AC260" s="119"/>
      <c r="AD260" s="119"/>
      <c r="AE260" s="119"/>
      <c r="AF260" s="119"/>
      <c r="AG260" s="555" t="str">
        <f t="shared" si="8"/>
        <v>  ---&gt;     ---&gt;   </v>
      </c>
      <c r="AH260" s="16"/>
      <c r="AI260" s="439"/>
      <c r="AJ260" s="439"/>
      <c r="AK260" s="439"/>
    </row>
    <row r="261" ht="18.75" customHeight="1">
      <c r="A261" s="439"/>
      <c r="B261" s="546"/>
      <c r="C261" s="547"/>
      <c r="D261" s="446">
        <f>IF(C261=0,0,(VLOOKUP(C261,'PO MTRL'!$B$9:$S1518,2,0)))</f>
        <v>0</v>
      </c>
      <c r="E261" s="548" t="str">
        <f>IF(C261="","",(VLOOKUP(C261,'PO MTRL'!$B$9:$S1518,3,0)))</f>
        <v/>
      </c>
      <c r="F261" s="549">
        <f>IF(C261=0,0,(VLOOKUP(C261,'PO MTRL'!$B$9:$S1518,4,0)))</f>
        <v>0</v>
      </c>
      <c r="G261" s="444"/>
      <c r="H261" s="550">
        <f>IF(C261=0,0,(VLOOKUP(C261,'PO MTRL'!$B$9:$S1518,6,0)))</f>
        <v>0</v>
      </c>
      <c r="I261" s="446">
        <f>IF(C261=0,0,(VLOOKUP(C261,'PO MTRL'!$B$9:$S1518,7,0)))</f>
        <v>0</v>
      </c>
      <c r="J261" s="551">
        <f>IF(C261=0,0,(VLOOKUP(C261,'PO MTRL'!$B$9:$S1518,8,0)))</f>
        <v>0</v>
      </c>
      <c r="K261" s="559"/>
      <c r="L261" s="448">
        <f t="shared" si="1"/>
        <v>0</v>
      </c>
      <c r="M261" s="551">
        <f t="shared" si="2"/>
        <v>0</v>
      </c>
      <c r="N261" s="449">
        <f t="shared" si="3"/>
        <v>0</v>
      </c>
      <c r="O261" s="551">
        <f>IF(H261=0,0,(VLOOKUP(H261,'PO MTRL'!$G$9:$S1518,5,0)))</f>
        <v>0</v>
      </c>
      <c r="P261" s="551">
        <f>IF(H261=0,0,(VLOOKUP(H261,'PO MTRL'!$G$9:$S1518,7,0)))</f>
        <v>0</v>
      </c>
      <c r="Q261" s="551">
        <f t="shared" si="4"/>
        <v>0</v>
      </c>
      <c r="R261" s="551">
        <f t="shared" si="5"/>
        <v>0</v>
      </c>
      <c r="S261" s="550">
        <f>IF(C261=0,0,(VLOOKUP(C261,'PO MTRL'!$B$9:$S1518,17,0)))</f>
        <v>0</v>
      </c>
      <c r="T261" s="553"/>
      <c r="U261" s="554">
        <f>IF(C261=0,0,(VLOOKUP(C261,'PO MTRL'!$B$9:$S1518,18,0)))</f>
        <v>0</v>
      </c>
      <c r="V261" s="16"/>
      <c r="W261" s="119" t="str">
        <f t="shared" si="6"/>
        <v/>
      </c>
      <c r="X261" s="564">
        <f t="shared" si="7"/>
        <v>0</v>
      </c>
      <c r="Y261" s="119"/>
      <c r="Z261" s="119"/>
      <c r="AA261" s="530">
        <f>IFERROR(__xludf.DUMMYFUNCTION("""COMPUTED_VALUE"""),253.0)</f>
        <v>253</v>
      </c>
      <c r="AB261" s="119"/>
      <c r="AC261" s="119"/>
      <c r="AD261" s="119"/>
      <c r="AE261" s="119"/>
      <c r="AF261" s="119"/>
      <c r="AG261" s="555" t="str">
        <f t="shared" si="8"/>
        <v>  ---&gt;     ---&gt;   </v>
      </c>
      <c r="AH261" s="16"/>
      <c r="AI261" s="439"/>
      <c r="AJ261" s="439"/>
      <c r="AK261" s="439"/>
    </row>
    <row r="262" ht="18.75" customHeight="1">
      <c r="A262" s="439"/>
      <c r="B262" s="546"/>
      <c r="C262" s="547"/>
      <c r="D262" s="446">
        <f>IF(C262=0,0,(VLOOKUP(C262,'PO MTRL'!$B$9:$S1518,2,0)))</f>
        <v>0</v>
      </c>
      <c r="E262" s="548" t="str">
        <f>IF(C262="","",(VLOOKUP(C262,'PO MTRL'!$B$9:$S1518,3,0)))</f>
        <v/>
      </c>
      <c r="F262" s="549">
        <f>IF(C262=0,0,(VLOOKUP(C262,'PO MTRL'!$B$9:$S1518,4,0)))</f>
        <v>0</v>
      </c>
      <c r="G262" s="444"/>
      <c r="H262" s="550">
        <f>IF(C262=0,0,(VLOOKUP(C262,'PO MTRL'!$B$9:$S1518,6,0)))</f>
        <v>0</v>
      </c>
      <c r="I262" s="446">
        <f>IF(C262=0,0,(VLOOKUP(C262,'PO MTRL'!$B$9:$S1518,7,0)))</f>
        <v>0</v>
      </c>
      <c r="J262" s="551">
        <f>IF(C262=0,0,(VLOOKUP(C262,'PO MTRL'!$B$9:$S1518,8,0)))</f>
        <v>0</v>
      </c>
      <c r="K262" s="559"/>
      <c r="L262" s="448">
        <f t="shared" si="1"/>
        <v>0</v>
      </c>
      <c r="M262" s="551">
        <f t="shared" si="2"/>
        <v>0</v>
      </c>
      <c r="N262" s="449">
        <f t="shared" si="3"/>
        <v>0</v>
      </c>
      <c r="O262" s="551">
        <f>IF(H262=0,0,(VLOOKUP(H262,'PO MTRL'!$G$9:$S1518,5,0)))</f>
        <v>0</v>
      </c>
      <c r="P262" s="551">
        <f>IF(H262=0,0,(VLOOKUP(H262,'PO MTRL'!$G$9:$S1518,7,0)))</f>
        <v>0</v>
      </c>
      <c r="Q262" s="551">
        <f t="shared" si="4"/>
        <v>0</v>
      </c>
      <c r="R262" s="551">
        <f t="shared" si="5"/>
        <v>0</v>
      </c>
      <c r="S262" s="550">
        <f>IF(C262=0,0,(VLOOKUP(C262,'PO MTRL'!$B$9:$S1518,17,0)))</f>
        <v>0</v>
      </c>
      <c r="T262" s="553"/>
      <c r="U262" s="554">
        <f>IF(C262=0,0,(VLOOKUP(C262,'PO MTRL'!$B$9:$S1518,18,0)))</f>
        <v>0</v>
      </c>
      <c r="V262" s="16"/>
      <c r="W262" s="119" t="str">
        <f t="shared" si="6"/>
        <v/>
      </c>
      <c r="X262" s="564">
        <f t="shared" si="7"/>
        <v>0</v>
      </c>
      <c r="Y262" s="119"/>
      <c r="Z262" s="119"/>
      <c r="AA262" s="530">
        <f>IFERROR(__xludf.DUMMYFUNCTION("""COMPUTED_VALUE"""),254.0)</f>
        <v>254</v>
      </c>
      <c r="AB262" s="119"/>
      <c r="AC262" s="119"/>
      <c r="AD262" s="119"/>
      <c r="AE262" s="119"/>
      <c r="AF262" s="119"/>
      <c r="AG262" s="555" t="str">
        <f t="shared" si="8"/>
        <v>  ---&gt;     ---&gt;   </v>
      </c>
      <c r="AH262" s="16"/>
      <c r="AI262" s="439"/>
      <c r="AJ262" s="439"/>
      <c r="AK262" s="439"/>
    </row>
    <row r="263" ht="18.75" customHeight="1">
      <c r="A263" s="439"/>
      <c r="B263" s="546"/>
      <c r="C263" s="547"/>
      <c r="D263" s="446">
        <f>IF(C263=0,0,(VLOOKUP(C263,'PO MTRL'!$B$9:$S1518,2,0)))</f>
        <v>0</v>
      </c>
      <c r="E263" s="548" t="str">
        <f>IF(C263="","",(VLOOKUP(C263,'PO MTRL'!$B$9:$S1518,3,0)))</f>
        <v/>
      </c>
      <c r="F263" s="549">
        <f>IF(C263=0,0,(VLOOKUP(C263,'PO MTRL'!$B$9:$S1518,4,0)))</f>
        <v>0</v>
      </c>
      <c r="G263" s="444"/>
      <c r="H263" s="550">
        <f>IF(C263=0,0,(VLOOKUP(C263,'PO MTRL'!$B$9:$S1518,6,0)))</f>
        <v>0</v>
      </c>
      <c r="I263" s="446">
        <f>IF(C263=0,0,(VLOOKUP(C263,'PO MTRL'!$B$9:$S1518,7,0)))</f>
        <v>0</v>
      </c>
      <c r="J263" s="551">
        <f>IF(C263=0,0,(VLOOKUP(C263,'PO MTRL'!$B$9:$S1518,8,0)))</f>
        <v>0</v>
      </c>
      <c r="K263" s="559"/>
      <c r="L263" s="448">
        <f t="shared" si="1"/>
        <v>0</v>
      </c>
      <c r="M263" s="551">
        <f t="shared" si="2"/>
        <v>0</v>
      </c>
      <c r="N263" s="449">
        <f t="shared" si="3"/>
        <v>0</v>
      </c>
      <c r="O263" s="551">
        <f>IF(H263=0,0,(VLOOKUP(H263,'PO MTRL'!$G$9:$S1518,5,0)))</f>
        <v>0</v>
      </c>
      <c r="P263" s="551">
        <f>IF(H263=0,0,(VLOOKUP(H263,'PO MTRL'!$G$9:$S1518,7,0)))</f>
        <v>0</v>
      </c>
      <c r="Q263" s="551">
        <f t="shared" si="4"/>
        <v>0</v>
      </c>
      <c r="R263" s="551">
        <f t="shared" si="5"/>
        <v>0</v>
      </c>
      <c r="S263" s="550">
        <f>IF(C263=0,0,(VLOOKUP(C263,'PO MTRL'!$B$9:$S1518,17,0)))</f>
        <v>0</v>
      </c>
      <c r="T263" s="553"/>
      <c r="U263" s="554">
        <f>IF(C263=0,0,(VLOOKUP(C263,'PO MTRL'!$B$9:$S1518,18,0)))</f>
        <v>0</v>
      </c>
      <c r="V263" s="16"/>
      <c r="W263" s="119" t="str">
        <f t="shared" si="6"/>
        <v/>
      </c>
      <c r="X263" s="564">
        <f t="shared" si="7"/>
        <v>0</v>
      </c>
      <c r="Y263" s="119"/>
      <c r="Z263" s="119"/>
      <c r="AA263" s="530">
        <f>IFERROR(__xludf.DUMMYFUNCTION("""COMPUTED_VALUE"""),255.0)</f>
        <v>255</v>
      </c>
      <c r="AB263" s="119"/>
      <c r="AC263" s="119"/>
      <c r="AD263" s="119"/>
      <c r="AE263" s="119"/>
      <c r="AF263" s="119"/>
      <c r="AG263" s="555" t="str">
        <f t="shared" si="8"/>
        <v>  ---&gt;     ---&gt;   </v>
      </c>
      <c r="AH263" s="16"/>
      <c r="AI263" s="439"/>
      <c r="AJ263" s="439"/>
      <c r="AK263" s="439"/>
    </row>
    <row r="264" ht="18.75" customHeight="1">
      <c r="A264" s="439"/>
      <c r="B264" s="546"/>
      <c r="C264" s="547"/>
      <c r="D264" s="446">
        <f>IF(C264=0,0,(VLOOKUP(C264,'PO MTRL'!$B$9:$S1518,2,0)))</f>
        <v>0</v>
      </c>
      <c r="E264" s="548" t="str">
        <f>IF(C264="","",(VLOOKUP(C264,'PO MTRL'!$B$9:$S1518,3,0)))</f>
        <v/>
      </c>
      <c r="F264" s="549">
        <f>IF(C264=0,0,(VLOOKUP(C264,'PO MTRL'!$B$9:$S1518,4,0)))</f>
        <v>0</v>
      </c>
      <c r="G264" s="444"/>
      <c r="H264" s="550">
        <f>IF(C264=0,0,(VLOOKUP(C264,'PO MTRL'!$B$9:$S1518,6,0)))</f>
        <v>0</v>
      </c>
      <c r="I264" s="446">
        <f>IF(C264=0,0,(VLOOKUP(C264,'PO MTRL'!$B$9:$S1518,7,0)))</f>
        <v>0</v>
      </c>
      <c r="J264" s="551">
        <f>IF(C264=0,0,(VLOOKUP(C264,'PO MTRL'!$B$9:$S1518,8,0)))</f>
        <v>0</v>
      </c>
      <c r="K264" s="559"/>
      <c r="L264" s="448">
        <f t="shared" si="1"/>
        <v>0</v>
      </c>
      <c r="M264" s="551">
        <f t="shared" si="2"/>
        <v>0</v>
      </c>
      <c r="N264" s="449">
        <f t="shared" si="3"/>
        <v>0</v>
      </c>
      <c r="O264" s="551">
        <f>IF(H264=0,0,(VLOOKUP(H264,'PO MTRL'!$G$9:$S1518,5,0)))</f>
        <v>0</v>
      </c>
      <c r="P264" s="551">
        <f>IF(H264=0,0,(VLOOKUP(H264,'PO MTRL'!$G$9:$S1518,7,0)))</f>
        <v>0</v>
      </c>
      <c r="Q264" s="551">
        <f t="shared" si="4"/>
        <v>0</v>
      </c>
      <c r="R264" s="551">
        <f t="shared" si="5"/>
        <v>0</v>
      </c>
      <c r="S264" s="550">
        <f>IF(C264=0,0,(VLOOKUP(C264,'PO MTRL'!$B$9:$S1518,17,0)))</f>
        <v>0</v>
      </c>
      <c r="T264" s="553"/>
      <c r="U264" s="554">
        <f>IF(C264=0,0,(VLOOKUP(C264,'PO MTRL'!$B$9:$S1518,18,0)))</f>
        <v>0</v>
      </c>
      <c r="V264" s="16"/>
      <c r="W264" s="119" t="str">
        <f t="shared" si="6"/>
        <v/>
      </c>
      <c r="X264" s="564">
        <f t="shared" si="7"/>
        <v>0</v>
      </c>
      <c r="Y264" s="119"/>
      <c r="Z264" s="119"/>
      <c r="AA264" s="530">
        <f>IFERROR(__xludf.DUMMYFUNCTION("""COMPUTED_VALUE"""),256.0)</f>
        <v>256</v>
      </c>
      <c r="AB264" s="119"/>
      <c r="AC264" s="119"/>
      <c r="AD264" s="119"/>
      <c r="AE264" s="119"/>
      <c r="AF264" s="119"/>
      <c r="AG264" s="555" t="str">
        <f t="shared" si="8"/>
        <v>  ---&gt;     ---&gt;   </v>
      </c>
      <c r="AH264" s="16"/>
      <c r="AI264" s="439"/>
      <c r="AJ264" s="439"/>
      <c r="AK264" s="439"/>
    </row>
    <row r="265" ht="18.75" customHeight="1">
      <c r="A265" s="439"/>
      <c r="B265" s="546"/>
      <c r="C265" s="547"/>
      <c r="D265" s="446">
        <f>IF(C265=0,0,(VLOOKUP(C265,'PO MTRL'!$B$9:$S1518,2,0)))</f>
        <v>0</v>
      </c>
      <c r="E265" s="548" t="str">
        <f>IF(C265="","",(VLOOKUP(C265,'PO MTRL'!$B$9:$S1518,3,0)))</f>
        <v/>
      </c>
      <c r="F265" s="549">
        <f>IF(C265=0,0,(VLOOKUP(C265,'PO MTRL'!$B$9:$S1518,4,0)))</f>
        <v>0</v>
      </c>
      <c r="G265" s="444"/>
      <c r="H265" s="550">
        <f>IF(C265=0,0,(VLOOKUP(C265,'PO MTRL'!$B$9:$S1518,6,0)))</f>
        <v>0</v>
      </c>
      <c r="I265" s="446">
        <f>IF(C265=0,0,(VLOOKUP(C265,'PO MTRL'!$B$9:$S1518,7,0)))</f>
        <v>0</v>
      </c>
      <c r="J265" s="551">
        <f>IF(C265=0,0,(VLOOKUP(C265,'PO MTRL'!$B$9:$S1518,8,0)))</f>
        <v>0</v>
      </c>
      <c r="K265" s="559"/>
      <c r="L265" s="448">
        <f t="shared" si="1"/>
        <v>0</v>
      </c>
      <c r="M265" s="551">
        <f t="shared" si="2"/>
        <v>0</v>
      </c>
      <c r="N265" s="449">
        <f t="shared" si="3"/>
        <v>0</v>
      </c>
      <c r="O265" s="551">
        <f>IF(H265=0,0,(VLOOKUP(H265,'PO MTRL'!$G$9:$S1518,5,0)))</f>
        <v>0</v>
      </c>
      <c r="P265" s="551">
        <f>IF(H265=0,0,(VLOOKUP(H265,'PO MTRL'!$G$9:$S1518,7,0)))</f>
        <v>0</v>
      </c>
      <c r="Q265" s="551">
        <f t="shared" si="4"/>
        <v>0</v>
      </c>
      <c r="R265" s="551">
        <f t="shared" si="5"/>
        <v>0</v>
      </c>
      <c r="S265" s="550">
        <f>IF(C265=0,0,(VLOOKUP(C265,'PO MTRL'!$B$9:$S1518,17,0)))</f>
        <v>0</v>
      </c>
      <c r="T265" s="553"/>
      <c r="U265" s="554">
        <f>IF(C265=0,0,(VLOOKUP(C265,'PO MTRL'!$B$9:$S1518,18,0)))</f>
        <v>0</v>
      </c>
      <c r="V265" s="16"/>
      <c r="W265" s="119" t="str">
        <f t="shared" si="6"/>
        <v/>
      </c>
      <c r="X265" s="564">
        <f t="shared" si="7"/>
        <v>0</v>
      </c>
      <c r="Y265" s="119"/>
      <c r="Z265" s="119"/>
      <c r="AA265" s="530">
        <f>IFERROR(__xludf.DUMMYFUNCTION("""COMPUTED_VALUE"""),257.0)</f>
        <v>257</v>
      </c>
      <c r="AB265" s="119"/>
      <c r="AC265" s="119"/>
      <c r="AD265" s="119"/>
      <c r="AE265" s="119"/>
      <c r="AF265" s="119"/>
      <c r="AG265" s="555" t="str">
        <f t="shared" si="8"/>
        <v>  ---&gt;     ---&gt;   </v>
      </c>
      <c r="AH265" s="16"/>
      <c r="AI265" s="439"/>
      <c r="AJ265" s="439"/>
      <c r="AK265" s="439"/>
    </row>
    <row r="266" ht="18.75" customHeight="1">
      <c r="A266" s="439"/>
      <c r="B266" s="546"/>
      <c r="C266" s="547"/>
      <c r="D266" s="446">
        <f>IF(C266=0,0,(VLOOKUP(C266,'PO MTRL'!$B$9:$S1518,2,0)))</f>
        <v>0</v>
      </c>
      <c r="E266" s="548" t="str">
        <f>IF(C266="","",(VLOOKUP(C266,'PO MTRL'!$B$9:$S1518,3,0)))</f>
        <v/>
      </c>
      <c r="F266" s="549">
        <f>IF(C266=0,0,(VLOOKUP(C266,'PO MTRL'!$B$9:$S1518,4,0)))</f>
        <v>0</v>
      </c>
      <c r="G266" s="444"/>
      <c r="H266" s="550">
        <f>IF(C266=0,0,(VLOOKUP(C266,'PO MTRL'!$B$9:$S1518,6,0)))</f>
        <v>0</v>
      </c>
      <c r="I266" s="446">
        <f>IF(C266=0,0,(VLOOKUP(C266,'PO MTRL'!$B$9:$S1518,7,0)))</f>
        <v>0</v>
      </c>
      <c r="J266" s="551">
        <f>IF(C266=0,0,(VLOOKUP(C266,'PO MTRL'!$B$9:$S1518,8,0)))</f>
        <v>0</v>
      </c>
      <c r="K266" s="559"/>
      <c r="L266" s="448">
        <f t="shared" si="1"/>
        <v>0</v>
      </c>
      <c r="M266" s="551">
        <f t="shared" si="2"/>
        <v>0</v>
      </c>
      <c r="N266" s="449">
        <f t="shared" si="3"/>
        <v>0</v>
      </c>
      <c r="O266" s="551">
        <f>IF(H266=0,0,(VLOOKUP(H266,'PO MTRL'!$G$9:$S1518,5,0)))</f>
        <v>0</v>
      </c>
      <c r="P266" s="551">
        <f>IF(H266=0,0,(VLOOKUP(H266,'PO MTRL'!$G$9:$S1518,7,0)))</f>
        <v>0</v>
      </c>
      <c r="Q266" s="551">
        <f t="shared" si="4"/>
        <v>0</v>
      </c>
      <c r="R266" s="551">
        <f t="shared" si="5"/>
        <v>0</v>
      </c>
      <c r="S266" s="550">
        <f>IF(C266=0,0,(VLOOKUP(C266,'PO MTRL'!$B$9:$S1518,17,0)))</f>
        <v>0</v>
      </c>
      <c r="T266" s="553"/>
      <c r="U266" s="554">
        <f>IF(C266=0,0,(VLOOKUP(C266,'PO MTRL'!$B$9:$S1518,18,0)))</f>
        <v>0</v>
      </c>
      <c r="V266" s="16"/>
      <c r="W266" s="119" t="str">
        <f t="shared" si="6"/>
        <v/>
      </c>
      <c r="X266" s="564">
        <f t="shared" si="7"/>
        <v>0</v>
      </c>
      <c r="Y266" s="119"/>
      <c r="Z266" s="119"/>
      <c r="AA266" s="530">
        <f>IFERROR(__xludf.DUMMYFUNCTION("""COMPUTED_VALUE"""),258.0)</f>
        <v>258</v>
      </c>
      <c r="AB266" s="119"/>
      <c r="AC266" s="119"/>
      <c r="AD266" s="119"/>
      <c r="AE266" s="119"/>
      <c r="AF266" s="119"/>
      <c r="AG266" s="555" t="str">
        <f t="shared" si="8"/>
        <v>  ---&gt;     ---&gt;   </v>
      </c>
      <c r="AH266" s="16"/>
      <c r="AI266" s="439"/>
      <c r="AJ266" s="439"/>
      <c r="AK266" s="439"/>
    </row>
    <row r="267" ht="18.75" customHeight="1">
      <c r="A267" s="439"/>
      <c r="B267" s="546"/>
      <c r="C267" s="547"/>
      <c r="D267" s="446">
        <f>IF(C267=0,0,(VLOOKUP(C267,'PO MTRL'!$B$9:$S1518,2,0)))</f>
        <v>0</v>
      </c>
      <c r="E267" s="548" t="str">
        <f>IF(C267="","",(VLOOKUP(C267,'PO MTRL'!$B$9:$S1518,3,0)))</f>
        <v/>
      </c>
      <c r="F267" s="549">
        <f>IF(C267=0,0,(VLOOKUP(C267,'PO MTRL'!$B$9:$S1518,4,0)))</f>
        <v>0</v>
      </c>
      <c r="G267" s="444"/>
      <c r="H267" s="550">
        <f>IF(C267=0,0,(VLOOKUP(C267,'PO MTRL'!$B$9:$S1518,6,0)))</f>
        <v>0</v>
      </c>
      <c r="I267" s="446">
        <f>IF(C267=0,0,(VLOOKUP(C267,'PO MTRL'!$B$9:$S1518,7,0)))</f>
        <v>0</v>
      </c>
      <c r="J267" s="551">
        <f>IF(C267=0,0,(VLOOKUP(C267,'PO MTRL'!$B$9:$S1518,8,0)))</f>
        <v>0</v>
      </c>
      <c r="K267" s="559"/>
      <c r="L267" s="448">
        <f t="shared" si="1"/>
        <v>0</v>
      </c>
      <c r="M267" s="551">
        <f t="shared" si="2"/>
        <v>0</v>
      </c>
      <c r="N267" s="449">
        <f t="shared" si="3"/>
        <v>0</v>
      </c>
      <c r="O267" s="551">
        <f>IF(H267=0,0,(VLOOKUP(H267,'PO MTRL'!$G$9:$S1518,5,0)))</f>
        <v>0</v>
      </c>
      <c r="P267" s="551">
        <f>IF(H267=0,0,(VLOOKUP(H267,'PO MTRL'!$G$9:$S1518,7,0)))</f>
        <v>0</v>
      </c>
      <c r="Q267" s="551">
        <f t="shared" si="4"/>
        <v>0</v>
      </c>
      <c r="R267" s="551">
        <f t="shared" si="5"/>
        <v>0</v>
      </c>
      <c r="S267" s="550">
        <f>IF(C267=0,0,(VLOOKUP(C267,'PO MTRL'!$B$9:$S1518,17,0)))</f>
        <v>0</v>
      </c>
      <c r="T267" s="553"/>
      <c r="U267" s="554">
        <f>IF(C267=0,0,(VLOOKUP(C267,'PO MTRL'!$B$9:$S1518,18,0)))</f>
        <v>0</v>
      </c>
      <c r="V267" s="16"/>
      <c r="W267" s="119" t="str">
        <f t="shared" si="6"/>
        <v/>
      </c>
      <c r="X267" s="564">
        <f t="shared" si="7"/>
        <v>0</v>
      </c>
      <c r="Y267" s="119"/>
      <c r="Z267" s="119"/>
      <c r="AA267" s="530">
        <f>IFERROR(__xludf.DUMMYFUNCTION("""COMPUTED_VALUE"""),259.0)</f>
        <v>259</v>
      </c>
      <c r="AB267" s="119"/>
      <c r="AC267" s="119"/>
      <c r="AD267" s="119"/>
      <c r="AE267" s="119"/>
      <c r="AF267" s="119"/>
      <c r="AG267" s="555" t="str">
        <f t="shared" si="8"/>
        <v>  ---&gt;     ---&gt;   </v>
      </c>
      <c r="AH267" s="16"/>
      <c r="AI267" s="439"/>
      <c r="AJ267" s="439"/>
      <c r="AK267" s="439"/>
    </row>
    <row r="268" ht="18.75" customHeight="1">
      <c r="A268" s="439"/>
      <c r="B268" s="546"/>
      <c r="C268" s="547"/>
      <c r="D268" s="446">
        <f>IF(C268=0,0,(VLOOKUP(C268,'PO MTRL'!$B$9:$S1518,2,0)))</f>
        <v>0</v>
      </c>
      <c r="E268" s="548" t="str">
        <f>IF(C268="","",(VLOOKUP(C268,'PO MTRL'!$B$9:$S1518,3,0)))</f>
        <v/>
      </c>
      <c r="F268" s="549">
        <f>IF(C268=0,0,(VLOOKUP(C268,'PO MTRL'!$B$9:$S1518,4,0)))</f>
        <v>0</v>
      </c>
      <c r="G268" s="444"/>
      <c r="H268" s="550">
        <f>IF(C268=0,0,(VLOOKUP(C268,'PO MTRL'!$B$9:$S1518,6,0)))</f>
        <v>0</v>
      </c>
      <c r="I268" s="446">
        <f>IF(C268=0,0,(VLOOKUP(C268,'PO MTRL'!$B$9:$S1518,7,0)))</f>
        <v>0</v>
      </c>
      <c r="J268" s="551">
        <f>IF(C268=0,0,(VLOOKUP(C268,'PO MTRL'!$B$9:$S1518,8,0)))</f>
        <v>0</v>
      </c>
      <c r="K268" s="559"/>
      <c r="L268" s="448">
        <f t="shared" si="1"/>
        <v>0</v>
      </c>
      <c r="M268" s="551">
        <f t="shared" si="2"/>
        <v>0</v>
      </c>
      <c r="N268" s="449">
        <f t="shared" si="3"/>
        <v>0</v>
      </c>
      <c r="O268" s="551">
        <f>IF(H268=0,0,(VLOOKUP(H268,'PO MTRL'!$G$9:$S1518,5,0)))</f>
        <v>0</v>
      </c>
      <c r="P268" s="551">
        <f>IF(H268=0,0,(VLOOKUP(H268,'PO MTRL'!$G$9:$S1518,7,0)))</f>
        <v>0</v>
      </c>
      <c r="Q268" s="551">
        <f t="shared" si="4"/>
        <v>0</v>
      </c>
      <c r="R268" s="551">
        <f t="shared" si="5"/>
        <v>0</v>
      </c>
      <c r="S268" s="550">
        <f>IF(C268=0,0,(VLOOKUP(C268,'PO MTRL'!$B$9:$S1518,17,0)))</f>
        <v>0</v>
      </c>
      <c r="T268" s="553"/>
      <c r="U268" s="554">
        <f>IF(C268=0,0,(VLOOKUP(C268,'PO MTRL'!$B$9:$S1518,18,0)))</f>
        <v>0</v>
      </c>
      <c r="V268" s="16"/>
      <c r="W268" s="119" t="str">
        <f t="shared" si="6"/>
        <v/>
      </c>
      <c r="X268" s="564">
        <f t="shared" si="7"/>
        <v>0</v>
      </c>
      <c r="Y268" s="119"/>
      <c r="Z268" s="119"/>
      <c r="AA268" s="530">
        <f>IFERROR(__xludf.DUMMYFUNCTION("""COMPUTED_VALUE"""),260.0)</f>
        <v>260</v>
      </c>
      <c r="AB268" s="119"/>
      <c r="AC268" s="119"/>
      <c r="AD268" s="119"/>
      <c r="AE268" s="119"/>
      <c r="AF268" s="119"/>
      <c r="AG268" s="555" t="str">
        <f t="shared" si="8"/>
        <v>  ---&gt;     ---&gt;   </v>
      </c>
      <c r="AH268" s="16"/>
      <c r="AI268" s="439"/>
      <c r="AJ268" s="439"/>
      <c r="AK268" s="439"/>
    </row>
    <row r="269" ht="18.75" customHeight="1">
      <c r="A269" s="439"/>
      <c r="B269" s="546"/>
      <c r="C269" s="547"/>
      <c r="D269" s="446">
        <f>IF(C269=0,0,(VLOOKUP(C269,'PO MTRL'!$B$9:$S1518,2,0)))</f>
        <v>0</v>
      </c>
      <c r="E269" s="548" t="str">
        <f>IF(C269="","",(VLOOKUP(C269,'PO MTRL'!$B$9:$S1518,3,0)))</f>
        <v/>
      </c>
      <c r="F269" s="549">
        <f>IF(C269=0,0,(VLOOKUP(C269,'PO MTRL'!$B$9:$S1518,4,0)))</f>
        <v>0</v>
      </c>
      <c r="G269" s="444"/>
      <c r="H269" s="550">
        <f>IF(C269=0,0,(VLOOKUP(C269,'PO MTRL'!$B$9:$S1518,6,0)))</f>
        <v>0</v>
      </c>
      <c r="I269" s="446">
        <f>IF(C269=0,0,(VLOOKUP(C269,'PO MTRL'!$B$9:$S1518,7,0)))</f>
        <v>0</v>
      </c>
      <c r="J269" s="551">
        <f>IF(C269=0,0,(VLOOKUP(C269,'PO MTRL'!$B$9:$S1518,8,0)))</f>
        <v>0</v>
      </c>
      <c r="K269" s="559"/>
      <c r="L269" s="448">
        <f t="shared" si="1"/>
        <v>0</v>
      </c>
      <c r="M269" s="551">
        <f t="shared" si="2"/>
        <v>0</v>
      </c>
      <c r="N269" s="449">
        <f t="shared" si="3"/>
        <v>0</v>
      </c>
      <c r="O269" s="551">
        <f>IF(H269=0,0,(VLOOKUP(H269,'PO MTRL'!$G$9:$S1518,5,0)))</f>
        <v>0</v>
      </c>
      <c r="P269" s="551">
        <f>IF(H269=0,0,(VLOOKUP(H269,'PO MTRL'!$G$9:$S1518,7,0)))</f>
        <v>0</v>
      </c>
      <c r="Q269" s="551">
        <f t="shared" si="4"/>
        <v>0</v>
      </c>
      <c r="R269" s="551">
        <f t="shared" si="5"/>
        <v>0</v>
      </c>
      <c r="S269" s="550">
        <f>IF(C269=0,0,(VLOOKUP(C269,'PO MTRL'!$B$9:$S1518,17,0)))</f>
        <v>0</v>
      </c>
      <c r="T269" s="553"/>
      <c r="U269" s="554">
        <f>IF(C269=0,0,(VLOOKUP(C269,'PO MTRL'!$B$9:$S1518,18,0)))</f>
        <v>0</v>
      </c>
      <c r="V269" s="16"/>
      <c r="W269" s="119" t="str">
        <f t="shared" si="6"/>
        <v/>
      </c>
      <c r="X269" s="564">
        <f t="shared" si="7"/>
        <v>0</v>
      </c>
      <c r="Y269" s="119"/>
      <c r="Z269" s="119"/>
      <c r="AA269" s="530">
        <f>IFERROR(__xludf.DUMMYFUNCTION("""COMPUTED_VALUE"""),261.0)</f>
        <v>261</v>
      </c>
      <c r="AB269" s="119"/>
      <c r="AC269" s="119"/>
      <c r="AD269" s="119"/>
      <c r="AE269" s="119"/>
      <c r="AF269" s="119"/>
      <c r="AG269" s="555" t="str">
        <f t="shared" si="8"/>
        <v>  ---&gt;     ---&gt;   </v>
      </c>
      <c r="AH269" s="16"/>
      <c r="AI269" s="439"/>
      <c r="AJ269" s="439"/>
      <c r="AK269" s="439"/>
    </row>
    <row r="270" ht="18.75" customHeight="1">
      <c r="A270" s="439"/>
      <c r="B270" s="546"/>
      <c r="C270" s="547"/>
      <c r="D270" s="446">
        <f>IF(C270=0,0,(VLOOKUP(C270,'PO MTRL'!$B$9:$S1518,2,0)))</f>
        <v>0</v>
      </c>
      <c r="E270" s="548" t="str">
        <f>IF(C270="","",(VLOOKUP(C270,'PO MTRL'!$B$9:$S1518,3,0)))</f>
        <v/>
      </c>
      <c r="F270" s="549">
        <f>IF(C270=0,0,(VLOOKUP(C270,'PO MTRL'!$B$9:$S1518,4,0)))</f>
        <v>0</v>
      </c>
      <c r="G270" s="444"/>
      <c r="H270" s="550">
        <f>IF(C270=0,0,(VLOOKUP(C270,'PO MTRL'!$B$9:$S1518,6,0)))</f>
        <v>0</v>
      </c>
      <c r="I270" s="446">
        <f>IF(C270=0,0,(VLOOKUP(C270,'PO MTRL'!$B$9:$S1518,7,0)))</f>
        <v>0</v>
      </c>
      <c r="J270" s="551">
        <f>IF(C270=0,0,(VLOOKUP(C270,'PO MTRL'!$B$9:$S1518,8,0)))</f>
        <v>0</v>
      </c>
      <c r="K270" s="559"/>
      <c r="L270" s="448">
        <f t="shared" si="1"/>
        <v>0</v>
      </c>
      <c r="M270" s="551">
        <f t="shared" si="2"/>
        <v>0</v>
      </c>
      <c r="N270" s="449">
        <f t="shared" si="3"/>
        <v>0</v>
      </c>
      <c r="O270" s="551">
        <f>IF(H270=0,0,(VLOOKUP(H270,'PO MTRL'!$G$9:$S1518,5,0)))</f>
        <v>0</v>
      </c>
      <c r="P270" s="551">
        <f>IF(H270=0,0,(VLOOKUP(H270,'PO MTRL'!$G$9:$S1518,7,0)))</f>
        <v>0</v>
      </c>
      <c r="Q270" s="551">
        <f t="shared" si="4"/>
        <v>0</v>
      </c>
      <c r="R270" s="551">
        <f t="shared" si="5"/>
        <v>0</v>
      </c>
      <c r="S270" s="550">
        <f>IF(C270=0,0,(VLOOKUP(C270,'PO MTRL'!$B$9:$S1518,17,0)))</f>
        <v>0</v>
      </c>
      <c r="T270" s="553"/>
      <c r="U270" s="554">
        <f>IF(C270=0,0,(VLOOKUP(C270,'PO MTRL'!$B$9:$S1518,18,0)))</f>
        <v>0</v>
      </c>
      <c r="V270" s="16"/>
      <c r="W270" s="119" t="str">
        <f t="shared" si="6"/>
        <v/>
      </c>
      <c r="X270" s="564">
        <f t="shared" si="7"/>
        <v>0</v>
      </c>
      <c r="Y270" s="119"/>
      <c r="Z270" s="119"/>
      <c r="AA270" s="530">
        <f>IFERROR(__xludf.DUMMYFUNCTION("""COMPUTED_VALUE"""),262.0)</f>
        <v>262</v>
      </c>
      <c r="AB270" s="119"/>
      <c r="AC270" s="119"/>
      <c r="AD270" s="119"/>
      <c r="AE270" s="119"/>
      <c r="AF270" s="119"/>
      <c r="AG270" s="555" t="str">
        <f t="shared" si="8"/>
        <v>  ---&gt;     ---&gt;   </v>
      </c>
      <c r="AH270" s="16"/>
      <c r="AI270" s="439"/>
      <c r="AJ270" s="439"/>
      <c r="AK270" s="439"/>
    </row>
    <row r="271" ht="18.75" customHeight="1">
      <c r="A271" s="439"/>
      <c r="B271" s="546"/>
      <c r="C271" s="547"/>
      <c r="D271" s="446">
        <f>IF(C271=0,0,(VLOOKUP(C271,'PO MTRL'!$B$9:$S1518,2,0)))</f>
        <v>0</v>
      </c>
      <c r="E271" s="548" t="str">
        <f>IF(C271="","",(VLOOKUP(C271,'PO MTRL'!$B$9:$S1518,3,0)))</f>
        <v/>
      </c>
      <c r="F271" s="549">
        <f>IF(C271=0,0,(VLOOKUP(C271,'PO MTRL'!$B$9:$S1518,4,0)))</f>
        <v>0</v>
      </c>
      <c r="G271" s="444"/>
      <c r="H271" s="550">
        <f>IF(C271=0,0,(VLOOKUP(C271,'PO MTRL'!$B$9:$S1518,6,0)))</f>
        <v>0</v>
      </c>
      <c r="I271" s="446">
        <f>IF(C271=0,0,(VLOOKUP(C271,'PO MTRL'!$B$9:$S1518,7,0)))</f>
        <v>0</v>
      </c>
      <c r="J271" s="551">
        <f>IF(C271=0,0,(VLOOKUP(C271,'PO MTRL'!$B$9:$S1518,8,0)))</f>
        <v>0</v>
      </c>
      <c r="K271" s="559"/>
      <c r="L271" s="448">
        <f t="shared" si="1"/>
        <v>0</v>
      </c>
      <c r="M271" s="551">
        <f t="shared" si="2"/>
        <v>0</v>
      </c>
      <c r="N271" s="449">
        <f t="shared" si="3"/>
        <v>0</v>
      </c>
      <c r="O271" s="551">
        <f>IF(H271=0,0,(VLOOKUP(H271,'PO MTRL'!$G$9:$S1518,5,0)))</f>
        <v>0</v>
      </c>
      <c r="P271" s="551">
        <f>IF(H271=0,0,(VLOOKUP(H271,'PO MTRL'!$G$9:$S1518,7,0)))</f>
        <v>0</v>
      </c>
      <c r="Q271" s="551">
        <f t="shared" si="4"/>
        <v>0</v>
      </c>
      <c r="R271" s="551">
        <f t="shared" si="5"/>
        <v>0</v>
      </c>
      <c r="S271" s="550">
        <f>IF(C271=0,0,(VLOOKUP(C271,'PO MTRL'!$B$9:$S1518,17,0)))</f>
        <v>0</v>
      </c>
      <c r="T271" s="553"/>
      <c r="U271" s="554">
        <f>IF(C271=0,0,(VLOOKUP(C271,'PO MTRL'!$B$9:$S1518,18,0)))</f>
        <v>0</v>
      </c>
      <c r="V271" s="16"/>
      <c r="W271" s="119" t="str">
        <f t="shared" si="6"/>
        <v/>
      </c>
      <c r="X271" s="564">
        <f t="shared" si="7"/>
        <v>0</v>
      </c>
      <c r="Y271" s="119"/>
      <c r="Z271" s="119"/>
      <c r="AA271" s="530">
        <f>IFERROR(__xludf.DUMMYFUNCTION("""COMPUTED_VALUE"""),263.0)</f>
        <v>263</v>
      </c>
      <c r="AB271" s="119"/>
      <c r="AC271" s="119"/>
      <c r="AD271" s="119"/>
      <c r="AE271" s="119"/>
      <c r="AF271" s="119"/>
      <c r="AG271" s="555" t="str">
        <f t="shared" si="8"/>
        <v>  ---&gt;     ---&gt;   </v>
      </c>
      <c r="AH271" s="16"/>
      <c r="AI271" s="439"/>
      <c r="AJ271" s="439"/>
      <c r="AK271" s="439"/>
    </row>
    <row r="272" ht="18.75" customHeight="1">
      <c r="A272" s="439"/>
      <c r="B272" s="546"/>
      <c r="C272" s="547"/>
      <c r="D272" s="446">
        <f>IF(C272=0,0,(VLOOKUP(C272,'PO MTRL'!$B$9:$S1518,2,0)))</f>
        <v>0</v>
      </c>
      <c r="E272" s="548" t="str">
        <f>IF(C272="","",(VLOOKUP(C272,'PO MTRL'!$B$9:$S1518,3,0)))</f>
        <v/>
      </c>
      <c r="F272" s="549">
        <f>IF(C272=0,0,(VLOOKUP(C272,'PO MTRL'!$B$9:$S1518,4,0)))</f>
        <v>0</v>
      </c>
      <c r="G272" s="444"/>
      <c r="H272" s="550">
        <f>IF(C272=0,0,(VLOOKUP(C272,'PO MTRL'!$B$9:$S1518,6,0)))</f>
        <v>0</v>
      </c>
      <c r="I272" s="446">
        <f>IF(C272=0,0,(VLOOKUP(C272,'PO MTRL'!$B$9:$S1518,7,0)))</f>
        <v>0</v>
      </c>
      <c r="J272" s="551">
        <f>IF(C272=0,0,(VLOOKUP(C272,'PO MTRL'!$B$9:$S1518,8,0)))</f>
        <v>0</v>
      </c>
      <c r="K272" s="559"/>
      <c r="L272" s="448">
        <f t="shared" si="1"/>
        <v>0</v>
      </c>
      <c r="M272" s="551">
        <f t="shared" si="2"/>
        <v>0</v>
      </c>
      <c r="N272" s="449">
        <f t="shared" si="3"/>
        <v>0</v>
      </c>
      <c r="O272" s="551">
        <f>IF(H272=0,0,(VLOOKUP(H272,'PO MTRL'!$G$9:$S1518,5,0)))</f>
        <v>0</v>
      </c>
      <c r="P272" s="551">
        <f>IF(H272=0,0,(VLOOKUP(H272,'PO MTRL'!$G$9:$S1518,7,0)))</f>
        <v>0</v>
      </c>
      <c r="Q272" s="551">
        <f t="shared" si="4"/>
        <v>0</v>
      </c>
      <c r="R272" s="551">
        <f t="shared" si="5"/>
        <v>0</v>
      </c>
      <c r="S272" s="550">
        <f>IF(C272=0,0,(VLOOKUP(C272,'PO MTRL'!$B$9:$S1518,17,0)))</f>
        <v>0</v>
      </c>
      <c r="T272" s="553"/>
      <c r="U272" s="554">
        <f>IF(C272=0,0,(VLOOKUP(C272,'PO MTRL'!$B$9:$S1518,18,0)))</f>
        <v>0</v>
      </c>
      <c r="V272" s="16"/>
      <c r="W272" s="119" t="str">
        <f t="shared" si="6"/>
        <v/>
      </c>
      <c r="X272" s="564">
        <f t="shared" si="7"/>
        <v>0</v>
      </c>
      <c r="Y272" s="119"/>
      <c r="Z272" s="119"/>
      <c r="AA272" s="530">
        <f>IFERROR(__xludf.DUMMYFUNCTION("""COMPUTED_VALUE"""),264.0)</f>
        <v>264</v>
      </c>
      <c r="AB272" s="119"/>
      <c r="AC272" s="119"/>
      <c r="AD272" s="119"/>
      <c r="AE272" s="119"/>
      <c r="AF272" s="119"/>
      <c r="AG272" s="555" t="str">
        <f t="shared" si="8"/>
        <v>  ---&gt;     ---&gt;   </v>
      </c>
      <c r="AH272" s="16"/>
      <c r="AI272" s="439"/>
      <c r="AJ272" s="439"/>
      <c r="AK272" s="439"/>
    </row>
    <row r="273" ht="18.75" customHeight="1">
      <c r="A273" s="439"/>
      <c r="B273" s="546"/>
      <c r="C273" s="547"/>
      <c r="D273" s="446">
        <f>IF(C273=0,0,(VLOOKUP(C273,'PO MTRL'!$B$9:$S1518,2,0)))</f>
        <v>0</v>
      </c>
      <c r="E273" s="548" t="str">
        <f>IF(C273="","",(VLOOKUP(C273,'PO MTRL'!$B$9:$S1518,3,0)))</f>
        <v/>
      </c>
      <c r="F273" s="549">
        <f>IF(C273=0,0,(VLOOKUP(C273,'PO MTRL'!$B$9:$S1518,4,0)))</f>
        <v>0</v>
      </c>
      <c r="G273" s="444"/>
      <c r="H273" s="550">
        <f>IF(C273=0,0,(VLOOKUP(C273,'PO MTRL'!$B$9:$S1518,6,0)))</f>
        <v>0</v>
      </c>
      <c r="I273" s="446">
        <f>IF(C273=0,0,(VLOOKUP(C273,'PO MTRL'!$B$9:$S1518,7,0)))</f>
        <v>0</v>
      </c>
      <c r="J273" s="551">
        <f>IF(C273=0,0,(VLOOKUP(C273,'PO MTRL'!$B$9:$S1518,8,0)))</f>
        <v>0</v>
      </c>
      <c r="K273" s="559"/>
      <c r="L273" s="448">
        <f t="shared" si="1"/>
        <v>0</v>
      </c>
      <c r="M273" s="551">
        <f t="shared" si="2"/>
        <v>0</v>
      </c>
      <c r="N273" s="449">
        <f t="shared" si="3"/>
        <v>0</v>
      </c>
      <c r="O273" s="551">
        <f>IF(H273=0,0,(VLOOKUP(H273,'PO MTRL'!$G$9:$S1518,5,0)))</f>
        <v>0</v>
      </c>
      <c r="P273" s="551">
        <f>IF(H273=0,0,(VLOOKUP(H273,'PO MTRL'!$G$9:$S1518,7,0)))</f>
        <v>0</v>
      </c>
      <c r="Q273" s="551">
        <f t="shared" si="4"/>
        <v>0</v>
      </c>
      <c r="R273" s="551">
        <f t="shared" si="5"/>
        <v>0</v>
      </c>
      <c r="S273" s="550">
        <f>IF(C273=0,0,(VLOOKUP(C273,'PO MTRL'!$B$9:$S1518,17,0)))</f>
        <v>0</v>
      </c>
      <c r="T273" s="553"/>
      <c r="U273" s="554">
        <f>IF(C273=0,0,(VLOOKUP(C273,'PO MTRL'!$B$9:$S1518,18,0)))</f>
        <v>0</v>
      </c>
      <c r="V273" s="16"/>
      <c r="W273" s="119" t="str">
        <f t="shared" si="6"/>
        <v/>
      </c>
      <c r="X273" s="564">
        <f t="shared" si="7"/>
        <v>0</v>
      </c>
      <c r="Y273" s="119"/>
      <c r="Z273" s="119"/>
      <c r="AA273" s="530">
        <f>IFERROR(__xludf.DUMMYFUNCTION("""COMPUTED_VALUE"""),265.0)</f>
        <v>265</v>
      </c>
      <c r="AB273" s="119"/>
      <c r="AC273" s="119"/>
      <c r="AD273" s="119"/>
      <c r="AE273" s="119"/>
      <c r="AF273" s="119"/>
      <c r="AG273" s="555" t="str">
        <f t="shared" si="8"/>
        <v>  ---&gt;     ---&gt;   </v>
      </c>
      <c r="AH273" s="16"/>
      <c r="AI273" s="439"/>
      <c r="AJ273" s="439"/>
      <c r="AK273" s="439"/>
    </row>
    <row r="274" ht="18.75" customHeight="1">
      <c r="A274" s="439"/>
      <c r="B274" s="546"/>
      <c r="C274" s="547"/>
      <c r="D274" s="446">
        <f>IF(C274=0,0,(VLOOKUP(C274,'PO MTRL'!$B$9:$S1518,2,0)))</f>
        <v>0</v>
      </c>
      <c r="E274" s="548" t="str">
        <f>IF(C274="","",(VLOOKUP(C274,'PO MTRL'!$B$9:$S1518,3,0)))</f>
        <v/>
      </c>
      <c r="F274" s="549">
        <f>IF(C274=0,0,(VLOOKUP(C274,'PO MTRL'!$B$9:$S1518,4,0)))</f>
        <v>0</v>
      </c>
      <c r="G274" s="444"/>
      <c r="H274" s="550">
        <f>IF(C274=0,0,(VLOOKUP(C274,'PO MTRL'!$B$9:$S1518,6,0)))</f>
        <v>0</v>
      </c>
      <c r="I274" s="446">
        <f>IF(C274=0,0,(VLOOKUP(C274,'PO MTRL'!$B$9:$S1518,7,0)))</f>
        <v>0</v>
      </c>
      <c r="J274" s="551">
        <f>IF(C274=0,0,(VLOOKUP(C274,'PO MTRL'!$B$9:$S1518,8,0)))</f>
        <v>0</v>
      </c>
      <c r="K274" s="559"/>
      <c r="L274" s="448">
        <f t="shared" si="1"/>
        <v>0</v>
      </c>
      <c r="M274" s="551">
        <f t="shared" si="2"/>
        <v>0</v>
      </c>
      <c r="N274" s="449">
        <f t="shared" si="3"/>
        <v>0</v>
      </c>
      <c r="O274" s="551">
        <f>IF(H274=0,0,(VLOOKUP(H274,'PO MTRL'!$G$9:$S1518,5,0)))</f>
        <v>0</v>
      </c>
      <c r="P274" s="551">
        <f>IF(H274=0,0,(VLOOKUP(H274,'PO MTRL'!$G$9:$S1518,7,0)))</f>
        <v>0</v>
      </c>
      <c r="Q274" s="551">
        <f t="shared" si="4"/>
        <v>0</v>
      </c>
      <c r="R274" s="551">
        <f t="shared" si="5"/>
        <v>0</v>
      </c>
      <c r="S274" s="550">
        <f>IF(C274=0,0,(VLOOKUP(C274,'PO MTRL'!$B$9:$S1518,17,0)))</f>
        <v>0</v>
      </c>
      <c r="T274" s="553"/>
      <c r="U274" s="554">
        <f>IF(C274=0,0,(VLOOKUP(C274,'PO MTRL'!$B$9:$S1518,18,0)))</f>
        <v>0</v>
      </c>
      <c r="V274" s="16"/>
      <c r="W274" s="119" t="str">
        <f t="shared" si="6"/>
        <v/>
      </c>
      <c r="X274" s="564">
        <f t="shared" si="7"/>
        <v>0</v>
      </c>
      <c r="Y274" s="119"/>
      <c r="Z274" s="119"/>
      <c r="AA274" s="530">
        <f>IFERROR(__xludf.DUMMYFUNCTION("""COMPUTED_VALUE"""),266.0)</f>
        <v>266</v>
      </c>
      <c r="AB274" s="119"/>
      <c r="AC274" s="119"/>
      <c r="AD274" s="119"/>
      <c r="AE274" s="119"/>
      <c r="AF274" s="119"/>
      <c r="AG274" s="555" t="str">
        <f t="shared" si="8"/>
        <v>  ---&gt;     ---&gt;   </v>
      </c>
      <c r="AH274" s="16"/>
      <c r="AI274" s="439"/>
      <c r="AJ274" s="439"/>
      <c r="AK274" s="439"/>
    </row>
    <row r="275" ht="18.75" customHeight="1">
      <c r="A275" s="439"/>
      <c r="B275" s="546"/>
      <c r="C275" s="547"/>
      <c r="D275" s="446">
        <f>IF(C275=0,0,(VLOOKUP(C275,'PO MTRL'!$B$9:$S1518,2,0)))</f>
        <v>0</v>
      </c>
      <c r="E275" s="548" t="str">
        <f>IF(C275="","",(VLOOKUP(C275,'PO MTRL'!$B$9:$S1518,3,0)))</f>
        <v/>
      </c>
      <c r="F275" s="549">
        <f>IF(C275=0,0,(VLOOKUP(C275,'PO MTRL'!$B$9:$S1518,4,0)))</f>
        <v>0</v>
      </c>
      <c r="G275" s="444"/>
      <c r="H275" s="550">
        <f>IF(C275=0,0,(VLOOKUP(C275,'PO MTRL'!$B$9:$S1518,6,0)))</f>
        <v>0</v>
      </c>
      <c r="I275" s="446">
        <f>IF(C275=0,0,(VLOOKUP(C275,'PO MTRL'!$B$9:$S1518,7,0)))</f>
        <v>0</v>
      </c>
      <c r="J275" s="551">
        <f>IF(C275=0,0,(VLOOKUP(C275,'PO MTRL'!$B$9:$S1518,8,0)))</f>
        <v>0</v>
      </c>
      <c r="K275" s="559"/>
      <c r="L275" s="448">
        <f t="shared" si="1"/>
        <v>0</v>
      </c>
      <c r="M275" s="551">
        <f t="shared" si="2"/>
        <v>0</v>
      </c>
      <c r="N275" s="449">
        <f t="shared" si="3"/>
        <v>0</v>
      </c>
      <c r="O275" s="551">
        <f>IF(H275=0,0,(VLOOKUP(H275,'PO MTRL'!$G$9:$S1518,5,0)))</f>
        <v>0</v>
      </c>
      <c r="P275" s="551">
        <f>IF(H275=0,0,(VLOOKUP(H275,'PO MTRL'!$G$9:$S1518,7,0)))</f>
        <v>0</v>
      </c>
      <c r="Q275" s="551">
        <f t="shared" si="4"/>
        <v>0</v>
      </c>
      <c r="R275" s="551">
        <f t="shared" si="5"/>
        <v>0</v>
      </c>
      <c r="S275" s="550">
        <f>IF(C275=0,0,(VLOOKUP(C275,'PO MTRL'!$B$9:$S1518,17,0)))</f>
        <v>0</v>
      </c>
      <c r="T275" s="553"/>
      <c r="U275" s="554">
        <f>IF(C275=0,0,(VLOOKUP(C275,'PO MTRL'!$B$9:$S1518,18,0)))</f>
        <v>0</v>
      </c>
      <c r="V275" s="16"/>
      <c r="W275" s="119" t="str">
        <f t="shared" si="6"/>
        <v/>
      </c>
      <c r="X275" s="564">
        <f t="shared" si="7"/>
        <v>0</v>
      </c>
      <c r="Y275" s="119"/>
      <c r="Z275" s="119"/>
      <c r="AA275" s="530">
        <f>IFERROR(__xludf.DUMMYFUNCTION("""COMPUTED_VALUE"""),267.0)</f>
        <v>267</v>
      </c>
      <c r="AB275" s="119"/>
      <c r="AC275" s="119"/>
      <c r="AD275" s="119"/>
      <c r="AE275" s="119"/>
      <c r="AF275" s="119"/>
      <c r="AG275" s="555" t="str">
        <f t="shared" si="8"/>
        <v>  ---&gt;     ---&gt;   </v>
      </c>
      <c r="AH275" s="16"/>
      <c r="AI275" s="439"/>
      <c r="AJ275" s="439"/>
      <c r="AK275" s="439"/>
    </row>
    <row r="276" ht="18.75" customHeight="1">
      <c r="A276" s="439"/>
      <c r="B276" s="546"/>
      <c r="C276" s="547"/>
      <c r="D276" s="446">
        <f>IF(C276=0,0,(VLOOKUP(C276,'PO MTRL'!$B$9:$S1518,2,0)))</f>
        <v>0</v>
      </c>
      <c r="E276" s="548" t="str">
        <f>IF(C276="","",(VLOOKUP(C276,'PO MTRL'!$B$9:$S1518,3,0)))</f>
        <v/>
      </c>
      <c r="F276" s="549">
        <f>IF(C276=0,0,(VLOOKUP(C276,'PO MTRL'!$B$9:$S1518,4,0)))</f>
        <v>0</v>
      </c>
      <c r="G276" s="444"/>
      <c r="H276" s="550">
        <f>IF(C276=0,0,(VLOOKUP(C276,'PO MTRL'!$B$9:$S1518,6,0)))</f>
        <v>0</v>
      </c>
      <c r="I276" s="446">
        <f>IF(C276=0,0,(VLOOKUP(C276,'PO MTRL'!$B$9:$S1518,7,0)))</f>
        <v>0</v>
      </c>
      <c r="J276" s="551">
        <f>IF(C276=0,0,(VLOOKUP(C276,'PO MTRL'!$B$9:$S1518,8,0)))</f>
        <v>0</v>
      </c>
      <c r="K276" s="559"/>
      <c r="L276" s="448">
        <f t="shared" si="1"/>
        <v>0</v>
      </c>
      <c r="M276" s="551">
        <f t="shared" si="2"/>
        <v>0</v>
      </c>
      <c r="N276" s="449">
        <f t="shared" si="3"/>
        <v>0</v>
      </c>
      <c r="O276" s="551">
        <f>IF(H276=0,0,(VLOOKUP(H276,'PO MTRL'!$G$9:$S1518,5,0)))</f>
        <v>0</v>
      </c>
      <c r="P276" s="551">
        <f>IF(H276=0,0,(VLOOKUP(H276,'PO MTRL'!$G$9:$S1518,7,0)))</f>
        <v>0</v>
      </c>
      <c r="Q276" s="551">
        <f t="shared" si="4"/>
        <v>0</v>
      </c>
      <c r="R276" s="551">
        <f t="shared" si="5"/>
        <v>0</v>
      </c>
      <c r="S276" s="550">
        <f>IF(C276=0,0,(VLOOKUP(C276,'PO MTRL'!$B$9:$S1518,17,0)))</f>
        <v>0</v>
      </c>
      <c r="T276" s="553"/>
      <c r="U276" s="554">
        <f>IF(C276=0,0,(VLOOKUP(C276,'PO MTRL'!$B$9:$S1518,18,0)))</f>
        <v>0</v>
      </c>
      <c r="V276" s="16"/>
      <c r="W276" s="119" t="str">
        <f t="shared" si="6"/>
        <v/>
      </c>
      <c r="X276" s="564">
        <f t="shared" si="7"/>
        <v>0</v>
      </c>
      <c r="Y276" s="119"/>
      <c r="Z276" s="119"/>
      <c r="AA276" s="530">
        <f>IFERROR(__xludf.DUMMYFUNCTION("""COMPUTED_VALUE"""),268.0)</f>
        <v>268</v>
      </c>
      <c r="AB276" s="119"/>
      <c r="AC276" s="119"/>
      <c r="AD276" s="119"/>
      <c r="AE276" s="119"/>
      <c r="AF276" s="119"/>
      <c r="AG276" s="555" t="str">
        <f t="shared" si="8"/>
        <v>  ---&gt;     ---&gt;   </v>
      </c>
      <c r="AH276" s="16"/>
      <c r="AI276" s="439"/>
      <c r="AJ276" s="439"/>
      <c r="AK276" s="439"/>
    </row>
    <row r="277" ht="18.75" customHeight="1">
      <c r="A277" s="439"/>
      <c r="B277" s="546"/>
      <c r="C277" s="547"/>
      <c r="D277" s="446">
        <f>IF(C277=0,0,(VLOOKUP(C277,'PO MTRL'!$B$9:$S1518,2,0)))</f>
        <v>0</v>
      </c>
      <c r="E277" s="548" t="str">
        <f>IF(C277="","",(VLOOKUP(C277,'PO MTRL'!$B$9:$S1518,3,0)))</f>
        <v/>
      </c>
      <c r="F277" s="549">
        <f>IF(C277=0,0,(VLOOKUP(C277,'PO MTRL'!$B$9:$S1518,4,0)))</f>
        <v>0</v>
      </c>
      <c r="G277" s="444"/>
      <c r="H277" s="550">
        <f>IF(C277=0,0,(VLOOKUP(C277,'PO MTRL'!$B$9:$S1518,6,0)))</f>
        <v>0</v>
      </c>
      <c r="I277" s="446">
        <f>IF(C277=0,0,(VLOOKUP(C277,'PO MTRL'!$B$9:$S1518,7,0)))</f>
        <v>0</v>
      </c>
      <c r="J277" s="551">
        <f>IF(C277=0,0,(VLOOKUP(C277,'PO MTRL'!$B$9:$S1518,8,0)))</f>
        <v>0</v>
      </c>
      <c r="K277" s="559"/>
      <c r="L277" s="448">
        <f t="shared" si="1"/>
        <v>0</v>
      </c>
      <c r="M277" s="551">
        <f t="shared" si="2"/>
        <v>0</v>
      </c>
      <c r="N277" s="449">
        <f t="shared" si="3"/>
        <v>0</v>
      </c>
      <c r="O277" s="551">
        <f>IF(H277=0,0,(VLOOKUP(H277,'PO MTRL'!$G$9:$S1518,5,0)))</f>
        <v>0</v>
      </c>
      <c r="P277" s="551">
        <f>IF(H277=0,0,(VLOOKUP(H277,'PO MTRL'!$G$9:$S1518,7,0)))</f>
        <v>0</v>
      </c>
      <c r="Q277" s="551">
        <f t="shared" si="4"/>
        <v>0</v>
      </c>
      <c r="R277" s="551">
        <f t="shared" si="5"/>
        <v>0</v>
      </c>
      <c r="S277" s="550">
        <f>IF(C277=0,0,(VLOOKUP(C277,'PO MTRL'!$B$9:$S1518,17,0)))</f>
        <v>0</v>
      </c>
      <c r="T277" s="553"/>
      <c r="U277" s="554">
        <f>IF(C277=0,0,(VLOOKUP(C277,'PO MTRL'!$B$9:$S1518,18,0)))</f>
        <v>0</v>
      </c>
      <c r="V277" s="16"/>
      <c r="W277" s="119" t="str">
        <f t="shared" si="6"/>
        <v/>
      </c>
      <c r="X277" s="564">
        <f t="shared" si="7"/>
        <v>0</v>
      </c>
      <c r="Y277" s="119"/>
      <c r="Z277" s="119"/>
      <c r="AA277" s="530">
        <f>IFERROR(__xludf.DUMMYFUNCTION("""COMPUTED_VALUE"""),269.0)</f>
        <v>269</v>
      </c>
      <c r="AB277" s="119"/>
      <c r="AC277" s="119"/>
      <c r="AD277" s="119"/>
      <c r="AE277" s="119"/>
      <c r="AF277" s="119"/>
      <c r="AG277" s="555" t="str">
        <f t="shared" si="8"/>
        <v>  ---&gt;     ---&gt;   </v>
      </c>
      <c r="AH277" s="16"/>
      <c r="AI277" s="439"/>
      <c r="AJ277" s="439"/>
      <c r="AK277" s="439"/>
    </row>
    <row r="278" ht="18.75" customHeight="1">
      <c r="A278" s="439"/>
      <c r="B278" s="546"/>
      <c r="C278" s="547"/>
      <c r="D278" s="446">
        <f>IF(C278=0,0,(VLOOKUP(C278,'PO MTRL'!$B$9:$S1518,2,0)))</f>
        <v>0</v>
      </c>
      <c r="E278" s="548" t="str">
        <f>IF(C278="","",(VLOOKUP(C278,'PO MTRL'!$B$9:$S1518,3,0)))</f>
        <v/>
      </c>
      <c r="F278" s="549">
        <f>IF(C278=0,0,(VLOOKUP(C278,'PO MTRL'!$B$9:$S1518,4,0)))</f>
        <v>0</v>
      </c>
      <c r="G278" s="444"/>
      <c r="H278" s="550">
        <f>IF(C278=0,0,(VLOOKUP(C278,'PO MTRL'!$B$9:$S1518,6,0)))</f>
        <v>0</v>
      </c>
      <c r="I278" s="446">
        <f>IF(C278=0,0,(VLOOKUP(C278,'PO MTRL'!$B$9:$S1518,7,0)))</f>
        <v>0</v>
      </c>
      <c r="J278" s="551">
        <f>IF(C278=0,0,(VLOOKUP(C278,'PO MTRL'!$B$9:$S1518,8,0)))</f>
        <v>0</v>
      </c>
      <c r="K278" s="559"/>
      <c r="L278" s="448">
        <f t="shared" si="1"/>
        <v>0</v>
      </c>
      <c r="M278" s="551">
        <f t="shared" si="2"/>
        <v>0</v>
      </c>
      <c r="N278" s="449">
        <f t="shared" si="3"/>
        <v>0</v>
      </c>
      <c r="O278" s="551">
        <f>IF(H278=0,0,(VLOOKUP(H278,'PO MTRL'!$G$9:$S1518,5,0)))</f>
        <v>0</v>
      </c>
      <c r="P278" s="551">
        <f>IF(H278=0,0,(VLOOKUP(H278,'PO MTRL'!$G$9:$S1518,7,0)))</f>
        <v>0</v>
      </c>
      <c r="Q278" s="551">
        <f t="shared" si="4"/>
        <v>0</v>
      </c>
      <c r="R278" s="551">
        <f t="shared" si="5"/>
        <v>0</v>
      </c>
      <c r="S278" s="550">
        <f>IF(C278=0,0,(VLOOKUP(C278,'PO MTRL'!$B$9:$S1518,17,0)))</f>
        <v>0</v>
      </c>
      <c r="T278" s="553"/>
      <c r="U278" s="554">
        <f>IF(C278=0,0,(VLOOKUP(C278,'PO MTRL'!$B$9:$S1518,18,0)))</f>
        <v>0</v>
      </c>
      <c r="V278" s="16"/>
      <c r="W278" s="119" t="str">
        <f t="shared" si="6"/>
        <v/>
      </c>
      <c r="X278" s="564">
        <f t="shared" si="7"/>
        <v>0</v>
      </c>
      <c r="Y278" s="119"/>
      <c r="Z278" s="119"/>
      <c r="AA278" s="530">
        <f>IFERROR(__xludf.DUMMYFUNCTION("""COMPUTED_VALUE"""),270.0)</f>
        <v>270</v>
      </c>
      <c r="AB278" s="119"/>
      <c r="AC278" s="119"/>
      <c r="AD278" s="119"/>
      <c r="AE278" s="119"/>
      <c r="AF278" s="119"/>
      <c r="AG278" s="555" t="str">
        <f t="shared" si="8"/>
        <v>  ---&gt;     ---&gt;   </v>
      </c>
      <c r="AH278" s="16"/>
      <c r="AI278" s="439"/>
      <c r="AJ278" s="439"/>
      <c r="AK278" s="439"/>
    </row>
    <row r="279" ht="18.75" customHeight="1">
      <c r="A279" s="439"/>
      <c r="B279" s="546"/>
      <c r="C279" s="547"/>
      <c r="D279" s="446">
        <f>IF(C279=0,0,(VLOOKUP(C279,'PO MTRL'!$B$9:$S1518,2,0)))</f>
        <v>0</v>
      </c>
      <c r="E279" s="548" t="str">
        <f>IF(C279="","",(VLOOKUP(C279,'PO MTRL'!$B$9:$S1518,3,0)))</f>
        <v/>
      </c>
      <c r="F279" s="549">
        <f>IF(C279=0,0,(VLOOKUP(C279,'PO MTRL'!$B$9:$S1518,4,0)))</f>
        <v>0</v>
      </c>
      <c r="G279" s="444"/>
      <c r="H279" s="550">
        <f>IF(C279=0,0,(VLOOKUP(C279,'PO MTRL'!$B$9:$S1518,6,0)))</f>
        <v>0</v>
      </c>
      <c r="I279" s="446">
        <f>IF(C279=0,0,(VLOOKUP(C279,'PO MTRL'!$B$9:$S1518,7,0)))</f>
        <v>0</v>
      </c>
      <c r="J279" s="551">
        <f>IF(C279=0,0,(VLOOKUP(C279,'PO MTRL'!$B$9:$S1518,8,0)))</f>
        <v>0</v>
      </c>
      <c r="K279" s="559"/>
      <c r="L279" s="448">
        <f t="shared" si="1"/>
        <v>0</v>
      </c>
      <c r="M279" s="551">
        <f t="shared" si="2"/>
        <v>0</v>
      </c>
      <c r="N279" s="449">
        <f t="shared" si="3"/>
        <v>0</v>
      </c>
      <c r="O279" s="551">
        <f>IF(H279=0,0,(VLOOKUP(H279,'PO MTRL'!$G$9:$S1518,5,0)))</f>
        <v>0</v>
      </c>
      <c r="P279" s="551">
        <f>IF(H279=0,0,(VLOOKUP(H279,'PO MTRL'!$G$9:$S1518,7,0)))</f>
        <v>0</v>
      </c>
      <c r="Q279" s="551">
        <f t="shared" si="4"/>
        <v>0</v>
      </c>
      <c r="R279" s="551">
        <f t="shared" si="5"/>
        <v>0</v>
      </c>
      <c r="S279" s="550">
        <f>IF(C279=0,0,(VLOOKUP(C279,'PO MTRL'!$B$9:$S1518,17,0)))</f>
        <v>0</v>
      </c>
      <c r="T279" s="553"/>
      <c r="U279" s="554">
        <f>IF(C279=0,0,(VLOOKUP(C279,'PO MTRL'!$B$9:$S1518,18,0)))</f>
        <v>0</v>
      </c>
      <c r="V279" s="16"/>
      <c r="W279" s="119" t="str">
        <f t="shared" si="6"/>
        <v/>
      </c>
      <c r="X279" s="564">
        <f t="shared" si="7"/>
        <v>0</v>
      </c>
      <c r="Y279" s="119"/>
      <c r="Z279" s="119"/>
      <c r="AA279" s="530">
        <f>IFERROR(__xludf.DUMMYFUNCTION("""COMPUTED_VALUE"""),271.0)</f>
        <v>271</v>
      </c>
      <c r="AB279" s="119"/>
      <c r="AC279" s="119"/>
      <c r="AD279" s="119"/>
      <c r="AE279" s="119"/>
      <c r="AF279" s="119"/>
      <c r="AG279" s="555" t="str">
        <f t="shared" si="8"/>
        <v>  ---&gt;     ---&gt;   </v>
      </c>
      <c r="AH279" s="16"/>
      <c r="AI279" s="439"/>
      <c r="AJ279" s="439"/>
      <c r="AK279" s="439"/>
    </row>
    <row r="280" ht="18.75" customHeight="1">
      <c r="A280" s="439"/>
      <c r="B280" s="546"/>
      <c r="C280" s="547"/>
      <c r="D280" s="446">
        <f>IF(C280=0,0,(VLOOKUP(C280,'PO MTRL'!$B$9:$S1518,2,0)))</f>
        <v>0</v>
      </c>
      <c r="E280" s="548" t="str">
        <f>IF(C280="","",(VLOOKUP(C280,'PO MTRL'!$B$9:$S1518,3,0)))</f>
        <v/>
      </c>
      <c r="F280" s="549">
        <f>IF(C280=0,0,(VLOOKUP(C280,'PO MTRL'!$B$9:$S1518,4,0)))</f>
        <v>0</v>
      </c>
      <c r="G280" s="444"/>
      <c r="H280" s="550">
        <f>IF(C280=0,0,(VLOOKUP(C280,'PO MTRL'!$B$9:$S1518,6,0)))</f>
        <v>0</v>
      </c>
      <c r="I280" s="446">
        <f>IF(C280=0,0,(VLOOKUP(C280,'PO MTRL'!$B$9:$S1518,7,0)))</f>
        <v>0</v>
      </c>
      <c r="J280" s="551">
        <f>IF(C280=0,0,(VLOOKUP(C280,'PO MTRL'!$B$9:$S1518,8,0)))</f>
        <v>0</v>
      </c>
      <c r="K280" s="559"/>
      <c r="L280" s="448">
        <f t="shared" si="1"/>
        <v>0</v>
      </c>
      <c r="M280" s="551">
        <f t="shared" si="2"/>
        <v>0</v>
      </c>
      <c r="N280" s="449">
        <f t="shared" si="3"/>
        <v>0</v>
      </c>
      <c r="O280" s="551">
        <f>IF(H280=0,0,(VLOOKUP(H280,'PO MTRL'!$G$9:$S1518,5,0)))</f>
        <v>0</v>
      </c>
      <c r="P280" s="551">
        <f>IF(H280=0,0,(VLOOKUP(H280,'PO MTRL'!$G$9:$S1518,7,0)))</f>
        <v>0</v>
      </c>
      <c r="Q280" s="551">
        <f t="shared" si="4"/>
        <v>0</v>
      </c>
      <c r="R280" s="551">
        <f t="shared" si="5"/>
        <v>0</v>
      </c>
      <c r="S280" s="550">
        <f>IF(C280=0,0,(VLOOKUP(C280,'PO MTRL'!$B$9:$S1518,17,0)))</f>
        <v>0</v>
      </c>
      <c r="T280" s="553"/>
      <c r="U280" s="554">
        <f>IF(C280=0,0,(VLOOKUP(C280,'PO MTRL'!$B$9:$S1518,18,0)))</f>
        <v>0</v>
      </c>
      <c r="V280" s="16"/>
      <c r="W280" s="119" t="str">
        <f t="shared" si="6"/>
        <v/>
      </c>
      <c r="X280" s="564">
        <f t="shared" si="7"/>
        <v>0</v>
      </c>
      <c r="Y280" s="119"/>
      <c r="Z280" s="119"/>
      <c r="AA280" s="530">
        <f>IFERROR(__xludf.DUMMYFUNCTION("""COMPUTED_VALUE"""),272.0)</f>
        <v>272</v>
      </c>
      <c r="AB280" s="119"/>
      <c r="AC280" s="119"/>
      <c r="AD280" s="119"/>
      <c r="AE280" s="119"/>
      <c r="AF280" s="119"/>
      <c r="AG280" s="555" t="str">
        <f t="shared" si="8"/>
        <v>  ---&gt;     ---&gt;   </v>
      </c>
      <c r="AH280" s="16"/>
      <c r="AI280" s="439"/>
      <c r="AJ280" s="439"/>
      <c r="AK280" s="439"/>
    </row>
    <row r="281" ht="18.75" customHeight="1">
      <c r="A281" s="439"/>
      <c r="B281" s="546"/>
      <c r="C281" s="547"/>
      <c r="D281" s="446">
        <f>IF(C281=0,0,(VLOOKUP(C281,'PO MTRL'!$B$9:$S1518,2,0)))</f>
        <v>0</v>
      </c>
      <c r="E281" s="548" t="str">
        <f>IF(C281="","",(VLOOKUP(C281,'PO MTRL'!$B$9:$S1518,3,0)))</f>
        <v/>
      </c>
      <c r="F281" s="549">
        <f>IF(C281=0,0,(VLOOKUP(C281,'PO MTRL'!$B$9:$S1518,4,0)))</f>
        <v>0</v>
      </c>
      <c r="G281" s="444"/>
      <c r="H281" s="550">
        <f>IF(C281=0,0,(VLOOKUP(C281,'PO MTRL'!$B$9:$S1518,6,0)))</f>
        <v>0</v>
      </c>
      <c r="I281" s="446">
        <f>IF(C281=0,0,(VLOOKUP(C281,'PO MTRL'!$B$9:$S1518,7,0)))</f>
        <v>0</v>
      </c>
      <c r="J281" s="551">
        <f>IF(C281=0,0,(VLOOKUP(C281,'PO MTRL'!$B$9:$S1518,8,0)))</f>
        <v>0</v>
      </c>
      <c r="K281" s="559"/>
      <c r="L281" s="448">
        <f t="shared" si="1"/>
        <v>0</v>
      </c>
      <c r="M281" s="551">
        <f t="shared" si="2"/>
        <v>0</v>
      </c>
      <c r="N281" s="449">
        <f t="shared" si="3"/>
        <v>0</v>
      </c>
      <c r="O281" s="551">
        <f>IF(H281=0,0,(VLOOKUP(H281,'PO MTRL'!$G$9:$S1518,5,0)))</f>
        <v>0</v>
      </c>
      <c r="P281" s="551">
        <f>IF(H281=0,0,(VLOOKUP(H281,'PO MTRL'!$G$9:$S1518,7,0)))</f>
        <v>0</v>
      </c>
      <c r="Q281" s="551">
        <f t="shared" si="4"/>
        <v>0</v>
      </c>
      <c r="R281" s="551">
        <f t="shared" si="5"/>
        <v>0</v>
      </c>
      <c r="S281" s="550">
        <f>IF(C281=0,0,(VLOOKUP(C281,'PO MTRL'!$B$9:$S1518,17,0)))</f>
        <v>0</v>
      </c>
      <c r="T281" s="553"/>
      <c r="U281" s="554">
        <f>IF(C281=0,0,(VLOOKUP(C281,'PO MTRL'!$B$9:$S1518,18,0)))</f>
        <v>0</v>
      </c>
      <c r="V281" s="16"/>
      <c r="W281" s="119" t="str">
        <f t="shared" si="6"/>
        <v/>
      </c>
      <c r="X281" s="564">
        <f t="shared" si="7"/>
        <v>0</v>
      </c>
      <c r="Y281" s="119"/>
      <c r="Z281" s="119"/>
      <c r="AA281" s="530">
        <f>IFERROR(__xludf.DUMMYFUNCTION("""COMPUTED_VALUE"""),273.0)</f>
        <v>273</v>
      </c>
      <c r="AB281" s="119"/>
      <c r="AC281" s="119"/>
      <c r="AD281" s="119"/>
      <c r="AE281" s="119"/>
      <c r="AF281" s="119"/>
      <c r="AG281" s="555" t="str">
        <f t="shared" si="8"/>
        <v>  ---&gt;     ---&gt;   </v>
      </c>
      <c r="AH281" s="16"/>
      <c r="AI281" s="439"/>
      <c r="AJ281" s="439"/>
      <c r="AK281" s="439"/>
    </row>
    <row r="282" ht="18.75" customHeight="1">
      <c r="A282" s="439"/>
      <c r="B282" s="546"/>
      <c r="C282" s="547"/>
      <c r="D282" s="446">
        <f>IF(C282=0,0,(VLOOKUP(C282,'PO MTRL'!$B$9:$S1518,2,0)))</f>
        <v>0</v>
      </c>
      <c r="E282" s="548" t="str">
        <f>IF(C282="","",(VLOOKUP(C282,'PO MTRL'!$B$9:$S1518,3,0)))</f>
        <v/>
      </c>
      <c r="F282" s="549">
        <f>IF(C282=0,0,(VLOOKUP(C282,'PO MTRL'!$B$9:$S1518,4,0)))</f>
        <v>0</v>
      </c>
      <c r="G282" s="444"/>
      <c r="H282" s="550">
        <f>IF(C282=0,0,(VLOOKUP(C282,'PO MTRL'!$B$9:$S1518,6,0)))</f>
        <v>0</v>
      </c>
      <c r="I282" s="446">
        <f>IF(C282=0,0,(VLOOKUP(C282,'PO MTRL'!$B$9:$S1518,7,0)))</f>
        <v>0</v>
      </c>
      <c r="J282" s="551">
        <f>IF(C282=0,0,(VLOOKUP(C282,'PO MTRL'!$B$9:$S1518,8,0)))</f>
        <v>0</v>
      </c>
      <c r="K282" s="559"/>
      <c r="L282" s="448">
        <f t="shared" si="1"/>
        <v>0</v>
      </c>
      <c r="M282" s="551">
        <f t="shared" si="2"/>
        <v>0</v>
      </c>
      <c r="N282" s="449">
        <f t="shared" si="3"/>
        <v>0</v>
      </c>
      <c r="O282" s="551">
        <f>IF(H282=0,0,(VLOOKUP(H282,'PO MTRL'!$G$9:$S1518,5,0)))</f>
        <v>0</v>
      </c>
      <c r="P282" s="551">
        <f>IF(H282=0,0,(VLOOKUP(H282,'PO MTRL'!$G$9:$S1518,7,0)))</f>
        <v>0</v>
      </c>
      <c r="Q282" s="551">
        <f t="shared" si="4"/>
        <v>0</v>
      </c>
      <c r="R282" s="551">
        <f t="shared" si="5"/>
        <v>0</v>
      </c>
      <c r="S282" s="550">
        <f>IF(C282=0,0,(VLOOKUP(C282,'PO MTRL'!$B$9:$S1518,17,0)))</f>
        <v>0</v>
      </c>
      <c r="T282" s="553"/>
      <c r="U282" s="554">
        <f>IF(C282=0,0,(VLOOKUP(C282,'PO MTRL'!$B$9:$S1518,18,0)))</f>
        <v>0</v>
      </c>
      <c r="V282" s="16"/>
      <c r="W282" s="119" t="str">
        <f t="shared" si="6"/>
        <v/>
      </c>
      <c r="X282" s="564">
        <f t="shared" si="7"/>
        <v>0</v>
      </c>
      <c r="Y282" s="119"/>
      <c r="Z282" s="119"/>
      <c r="AA282" s="530">
        <f>IFERROR(__xludf.DUMMYFUNCTION("""COMPUTED_VALUE"""),274.0)</f>
        <v>274</v>
      </c>
      <c r="AB282" s="119"/>
      <c r="AC282" s="119"/>
      <c r="AD282" s="119"/>
      <c r="AE282" s="119"/>
      <c r="AF282" s="119"/>
      <c r="AG282" s="555" t="str">
        <f t="shared" si="8"/>
        <v>  ---&gt;     ---&gt;   </v>
      </c>
      <c r="AH282" s="16"/>
      <c r="AI282" s="439"/>
      <c r="AJ282" s="439"/>
      <c r="AK282" s="439"/>
    </row>
    <row r="283" ht="18.75" customHeight="1">
      <c r="A283" s="439"/>
      <c r="B283" s="546"/>
      <c r="C283" s="547"/>
      <c r="D283" s="446">
        <f>IF(C283=0,0,(VLOOKUP(C283,'PO MTRL'!$B$9:$S1518,2,0)))</f>
        <v>0</v>
      </c>
      <c r="E283" s="548" t="str">
        <f>IF(C283="","",(VLOOKUP(C283,'PO MTRL'!$B$9:$S1518,3,0)))</f>
        <v/>
      </c>
      <c r="F283" s="549">
        <f>IF(C283=0,0,(VLOOKUP(C283,'PO MTRL'!$B$9:$S1518,4,0)))</f>
        <v>0</v>
      </c>
      <c r="G283" s="444"/>
      <c r="H283" s="550">
        <f>IF(C283=0,0,(VLOOKUP(C283,'PO MTRL'!$B$9:$S1518,6,0)))</f>
        <v>0</v>
      </c>
      <c r="I283" s="446">
        <f>IF(C283=0,0,(VLOOKUP(C283,'PO MTRL'!$B$9:$S1518,7,0)))</f>
        <v>0</v>
      </c>
      <c r="J283" s="551">
        <f>IF(C283=0,0,(VLOOKUP(C283,'PO MTRL'!$B$9:$S1518,8,0)))</f>
        <v>0</v>
      </c>
      <c r="K283" s="559"/>
      <c r="L283" s="448">
        <f t="shared" si="1"/>
        <v>0</v>
      </c>
      <c r="M283" s="551">
        <f t="shared" si="2"/>
        <v>0</v>
      </c>
      <c r="N283" s="449">
        <f t="shared" si="3"/>
        <v>0</v>
      </c>
      <c r="O283" s="551">
        <f>IF(H283=0,0,(VLOOKUP(H283,'PO MTRL'!$G$9:$S1518,5,0)))</f>
        <v>0</v>
      </c>
      <c r="P283" s="551">
        <f>IF(H283=0,0,(VLOOKUP(H283,'PO MTRL'!$G$9:$S1518,7,0)))</f>
        <v>0</v>
      </c>
      <c r="Q283" s="551">
        <f t="shared" si="4"/>
        <v>0</v>
      </c>
      <c r="R283" s="551">
        <f t="shared" si="5"/>
        <v>0</v>
      </c>
      <c r="S283" s="550">
        <f>IF(C283=0,0,(VLOOKUP(C283,'PO MTRL'!$B$9:$S1518,17,0)))</f>
        <v>0</v>
      </c>
      <c r="T283" s="553"/>
      <c r="U283" s="554">
        <f>IF(C283=0,0,(VLOOKUP(C283,'PO MTRL'!$B$9:$S1518,18,0)))</f>
        <v>0</v>
      </c>
      <c r="V283" s="16"/>
      <c r="W283" s="119" t="str">
        <f t="shared" si="6"/>
        <v/>
      </c>
      <c r="X283" s="564">
        <f t="shared" si="7"/>
        <v>0</v>
      </c>
      <c r="Y283" s="119"/>
      <c r="Z283" s="119"/>
      <c r="AA283" s="530">
        <f>IFERROR(__xludf.DUMMYFUNCTION("""COMPUTED_VALUE"""),275.0)</f>
        <v>275</v>
      </c>
      <c r="AB283" s="119"/>
      <c r="AC283" s="119"/>
      <c r="AD283" s="119"/>
      <c r="AE283" s="119"/>
      <c r="AF283" s="119"/>
      <c r="AG283" s="555" t="str">
        <f t="shared" si="8"/>
        <v>  ---&gt;     ---&gt;   </v>
      </c>
      <c r="AH283" s="16"/>
      <c r="AI283" s="439"/>
      <c r="AJ283" s="439"/>
      <c r="AK283" s="439"/>
    </row>
    <row r="284" ht="18.75" customHeight="1">
      <c r="A284" s="439"/>
      <c r="B284" s="546"/>
      <c r="C284" s="547"/>
      <c r="D284" s="446">
        <f>IF(C284=0,0,(VLOOKUP(C284,'PO MTRL'!$B$9:$S1518,2,0)))</f>
        <v>0</v>
      </c>
      <c r="E284" s="548" t="str">
        <f>IF(C284="","",(VLOOKUP(C284,'PO MTRL'!$B$9:$S1518,3,0)))</f>
        <v/>
      </c>
      <c r="F284" s="549">
        <f>IF(C284=0,0,(VLOOKUP(C284,'PO MTRL'!$B$9:$S1518,4,0)))</f>
        <v>0</v>
      </c>
      <c r="G284" s="444"/>
      <c r="H284" s="550">
        <f>IF(C284=0,0,(VLOOKUP(C284,'PO MTRL'!$B$9:$S1518,6,0)))</f>
        <v>0</v>
      </c>
      <c r="I284" s="446">
        <f>IF(C284=0,0,(VLOOKUP(C284,'PO MTRL'!$B$9:$S1518,7,0)))</f>
        <v>0</v>
      </c>
      <c r="J284" s="551">
        <f>IF(C284=0,0,(VLOOKUP(C284,'PO MTRL'!$B$9:$S1518,8,0)))</f>
        <v>0</v>
      </c>
      <c r="K284" s="559"/>
      <c r="L284" s="448">
        <f t="shared" si="1"/>
        <v>0</v>
      </c>
      <c r="M284" s="551">
        <f t="shared" si="2"/>
        <v>0</v>
      </c>
      <c r="N284" s="449">
        <f t="shared" si="3"/>
        <v>0</v>
      </c>
      <c r="O284" s="551">
        <f>IF(H284=0,0,(VLOOKUP(H284,'PO MTRL'!$G$9:$S1518,5,0)))</f>
        <v>0</v>
      </c>
      <c r="P284" s="551">
        <f>IF(H284=0,0,(VLOOKUP(H284,'PO MTRL'!$G$9:$S1518,7,0)))</f>
        <v>0</v>
      </c>
      <c r="Q284" s="551">
        <f t="shared" si="4"/>
        <v>0</v>
      </c>
      <c r="R284" s="551">
        <f t="shared" si="5"/>
        <v>0</v>
      </c>
      <c r="S284" s="550">
        <f>IF(C284=0,0,(VLOOKUP(C284,'PO MTRL'!$B$9:$S1518,17,0)))</f>
        <v>0</v>
      </c>
      <c r="T284" s="553"/>
      <c r="U284" s="554">
        <f>IF(C284=0,0,(VLOOKUP(C284,'PO MTRL'!$B$9:$S1518,18,0)))</f>
        <v>0</v>
      </c>
      <c r="V284" s="16"/>
      <c r="W284" s="119" t="str">
        <f t="shared" si="6"/>
        <v/>
      </c>
      <c r="X284" s="564">
        <f t="shared" si="7"/>
        <v>0</v>
      </c>
      <c r="Y284" s="119"/>
      <c r="Z284" s="119"/>
      <c r="AA284" s="530">
        <f>IFERROR(__xludf.DUMMYFUNCTION("""COMPUTED_VALUE"""),276.0)</f>
        <v>276</v>
      </c>
      <c r="AB284" s="119"/>
      <c r="AC284" s="119"/>
      <c r="AD284" s="119"/>
      <c r="AE284" s="119"/>
      <c r="AF284" s="119"/>
      <c r="AG284" s="555" t="str">
        <f t="shared" si="8"/>
        <v>  ---&gt;     ---&gt;   </v>
      </c>
      <c r="AH284" s="16"/>
      <c r="AI284" s="439"/>
      <c r="AJ284" s="439"/>
      <c r="AK284" s="439"/>
    </row>
    <row r="285" ht="18.75" customHeight="1">
      <c r="A285" s="439"/>
      <c r="B285" s="546"/>
      <c r="C285" s="547"/>
      <c r="D285" s="446">
        <f>IF(C285=0,0,(VLOOKUP(C285,'PO MTRL'!$B$9:$S1518,2,0)))</f>
        <v>0</v>
      </c>
      <c r="E285" s="548" t="str">
        <f>IF(C285="","",(VLOOKUP(C285,'PO MTRL'!$B$9:$S1518,3,0)))</f>
        <v/>
      </c>
      <c r="F285" s="549">
        <f>IF(C285=0,0,(VLOOKUP(C285,'PO MTRL'!$B$9:$S1518,4,0)))</f>
        <v>0</v>
      </c>
      <c r="G285" s="444"/>
      <c r="H285" s="550">
        <f>IF(C285=0,0,(VLOOKUP(C285,'PO MTRL'!$B$9:$S1518,6,0)))</f>
        <v>0</v>
      </c>
      <c r="I285" s="446">
        <f>IF(C285=0,0,(VLOOKUP(C285,'PO MTRL'!$B$9:$S1518,7,0)))</f>
        <v>0</v>
      </c>
      <c r="J285" s="551">
        <f>IF(C285=0,0,(VLOOKUP(C285,'PO MTRL'!$B$9:$S1518,8,0)))</f>
        <v>0</v>
      </c>
      <c r="K285" s="559"/>
      <c r="L285" s="448">
        <f t="shared" si="1"/>
        <v>0</v>
      </c>
      <c r="M285" s="551">
        <f t="shared" si="2"/>
        <v>0</v>
      </c>
      <c r="N285" s="449">
        <f t="shared" si="3"/>
        <v>0</v>
      </c>
      <c r="O285" s="551">
        <f>IF(H285=0,0,(VLOOKUP(H285,'PO MTRL'!$G$9:$S1518,5,0)))</f>
        <v>0</v>
      </c>
      <c r="P285" s="551">
        <f>IF(H285=0,0,(VLOOKUP(H285,'PO MTRL'!$G$9:$S1518,7,0)))</f>
        <v>0</v>
      </c>
      <c r="Q285" s="551">
        <f t="shared" si="4"/>
        <v>0</v>
      </c>
      <c r="R285" s="551">
        <f t="shared" si="5"/>
        <v>0</v>
      </c>
      <c r="S285" s="550">
        <f>IF(C285=0,0,(VLOOKUP(C285,'PO MTRL'!$B$9:$S1518,17,0)))</f>
        <v>0</v>
      </c>
      <c r="T285" s="553"/>
      <c r="U285" s="554">
        <f>IF(C285=0,0,(VLOOKUP(C285,'PO MTRL'!$B$9:$S1518,18,0)))</f>
        <v>0</v>
      </c>
      <c r="V285" s="16"/>
      <c r="W285" s="119" t="str">
        <f t="shared" si="6"/>
        <v/>
      </c>
      <c r="X285" s="564">
        <f t="shared" si="7"/>
        <v>0</v>
      </c>
      <c r="Y285" s="119"/>
      <c r="Z285" s="119"/>
      <c r="AA285" s="530">
        <f>IFERROR(__xludf.DUMMYFUNCTION("""COMPUTED_VALUE"""),277.0)</f>
        <v>277</v>
      </c>
      <c r="AB285" s="119"/>
      <c r="AC285" s="119"/>
      <c r="AD285" s="119"/>
      <c r="AE285" s="119"/>
      <c r="AF285" s="119"/>
      <c r="AG285" s="555" t="str">
        <f t="shared" si="8"/>
        <v>  ---&gt;     ---&gt;   </v>
      </c>
      <c r="AH285" s="16"/>
      <c r="AI285" s="439"/>
      <c r="AJ285" s="439"/>
      <c r="AK285" s="439"/>
    </row>
    <row r="286" ht="18.75" customHeight="1">
      <c r="A286" s="439"/>
      <c r="B286" s="546"/>
      <c r="C286" s="547"/>
      <c r="D286" s="446">
        <f>IF(C286=0,0,(VLOOKUP(C286,'PO MTRL'!$B$9:$S1518,2,0)))</f>
        <v>0</v>
      </c>
      <c r="E286" s="548" t="str">
        <f>IF(C286="","",(VLOOKUP(C286,'PO MTRL'!$B$9:$S1518,3,0)))</f>
        <v/>
      </c>
      <c r="F286" s="549">
        <f>IF(C286=0,0,(VLOOKUP(C286,'PO MTRL'!$B$9:$S1518,4,0)))</f>
        <v>0</v>
      </c>
      <c r="G286" s="444"/>
      <c r="H286" s="550">
        <f>IF(C286=0,0,(VLOOKUP(C286,'PO MTRL'!$B$9:$S1518,6,0)))</f>
        <v>0</v>
      </c>
      <c r="I286" s="446">
        <f>IF(C286=0,0,(VLOOKUP(C286,'PO MTRL'!$B$9:$S1518,7,0)))</f>
        <v>0</v>
      </c>
      <c r="J286" s="551">
        <f>IF(C286=0,0,(VLOOKUP(C286,'PO MTRL'!$B$9:$S1518,8,0)))</f>
        <v>0</v>
      </c>
      <c r="K286" s="559"/>
      <c r="L286" s="448">
        <f t="shared" si="1"/>
        <v>0</v>
      </c>
      <c r="M286" s="551">
        <f t="shared" si="2"/>
        <v>0</v>
      </c>
      <c r="N286" s="449">
        <f t="shared" si="3"/>
        <v>0</v>
      </c>
      <c r="O286" s="551">
        <f>IF(H286=0,0,(VLOOKUP(H286,'PO MTRL'!$G$9:$S1518,5,0)))</f>
        <v>0</v>
      </c>
      <c r="P286" s="551">
        <f>IF(H286=0,0,(VLOOKUP(H286,'PO MTRL'!$G$9:$S1518,7,0)))</f>
        <v>0</v>
      </c>
      <c r="Q286" s="551">
        <f t="shared" si="4"/>
        <v>0</v>
      </c>
      <c r="R286" s="551">
        <f t="shared" si="5"/>
        <v>0</v>
      </c>
      <c r="S286" s="550">
        <f>IF(C286=0,0,(VLOOKUP(C286,'PO MTRL'!$B$9:$S1518,17,0)))</f>
        <v>0</v>
      </c>
      <c r="T286" s="553"/>
      <c r="U286" s="554">
        <f>IF(C286=0,0,(VLOOKUP(C286,'PO MTRL'!$B$9:$S1518,18,0)))</f>
        <v>0</v>
      </c>
      <c r="V286" s="16"/>
      <c r="W286" s="119" t="str">
        <f t="shared" si="6"/>
        <v/>
      </c>
      <c r="X286" s="564">
        <f t="shared" si="7"/>
        <v>0</v>
      </c>
      <c r="Y286" s="119"/>
      <c r="Z286" s="119"/>
      <c r="AA286" s="530">
        <f>IFERROR(__xludf.DUMMYFUNCTION("""COMPUTED_VALUE"""),278.0)</f>
        <v>278</v>
      </c>
      <c r="AB286" s="119"/>
      <c r="AC286" s="119"/>
      <c r="AD286" s="119"/>
      <c r="AE286" s="119"/>
      <c r="AF286" s="119"/>
      <c r="AG286" s="555" t="str">
        <f t="shared" si="8"/>
        <v>  ---&gt;     ---&gt;   </v>
      </c>
      <c r="AH286" s="16"/>
      <c r="AI286" s="439"/>
      <c r="AJ286" s="439"/>
      <c r="AK286" s="439"/>
    </row>
    <row r="287" ht="18.75" customHeight="1">
      <c r="A287" s="439"/>
      <c r="B287" s="546"/>
      <c r="C287" s="547"/>
      <c r="D287" s="446">
        <f>IF(C287=0,0,(VLOOKUP(C287,'PO MTRL'!$B$9:$S1518,2,0)))</f>
        <v>0</v>
      </c>
      <c r="E287" s="548" t="str">
        <f>IF(C287="","",(VLOOKUP(C287,'PO MTRL'!$B$9:$S1518,3,0)))</f>
        <v/>
      </c>
      <c r="F287" s="549">
        <f>IF(C287=0,0,(VLOOKUP(C287,'PO MTRL'!$B$9:$S1518,4,0)))</f>
        <v>0</v>
      </c>
      <c r="G287" s="444"/>
      <c r="H287" s="550">
        <f>IF(C287=0,0,(VLOOKUP(C287,'PO MTRL'!$B$9:$S1518,6,0)))</f>
        <v>0</v>
      </c>
      <c r="I287" s="446">
        <f>IF(C287=0,0,(VLOOKUP(C287,'PO MTRL'!$B$9:$S1518,7,0)))</f>
        <v>0</v>
      </c>
      <c r="J287" s="551">
        <f>IF(C287=0,0,(VLOOKUP(C287,'PO MTRL'!$B$9:$S1518,8,0)))</f>
        <v>0</v>
      </c>
      <c r="K287" s="559"/>
      <c r="L287" s="448">
        <f t="shared" si="1"/>
        <v>0</v>
      </c>
      <c r="M287" s="551">
        <f t="shared" si="2"/>
        <v>0</v>
      </c>
      <c r="N287" s="449">
        <f t="shared" si="3"/>
        <v>0</v>
      </c>
      <c r="O287" s="551">
        <f>IF(H287=0,0,(VLOOKUP(H287,'PO MTRL'!$G$9:$S1518,5,0)))</f>
        <v>0</v>
      </c>
      <c r="P287" s="551">
        <f>IF(H287=0,0,(VLOOKUP(H287,'PO MTRL'!$G$9:$S1518,7,0)))</f>
        <v>0</v>
      </c>
      <c r="Q287" s="551">
        <f t="shared" si="4"/>
        <v>0</v>
      </c>
      <c r="R287" s="551">
        <f t="shared" si="5"/>
        <v>0</v>
      </c>
      <c r="S287" s="550">
        <f>IF(C287=0,0,(VLOOKUP(C287,'PO MTRL'!$B$9:$S1518,17,0)))</f>
        <v>0</v>
      </c>
      <c r="T287" s="553"/>
      <c r="U287" s="554">
        <f>IF(C287=0,0,(VLOOKUP(C287,'PO MTRL'!$B$9:$S1518,18,0)))</f>
        <v>0</v>
      </c>
      <c r="V287" s="16"/>
      <c r="W287" s="119" t="str">
        <f t="shared" si="6"/>
        <v/>
      </c>
      <c r="X287" s="564">
        <f t="shared" si="7"/>
        <v>0</v>
      </c>
      <c r="Y287" s="119"/>
      <c r="Z287" s="119"/>
      <c r="AA287" s="530">
        <f>IFERROR(__xludf.DUMMYFUNCTION("""COMPUTED_VALUE"""),279.0)</f>
        <v>279</v>
      </c>
      <c r="AB287" s="119"/>
      <c r="AC287" s="119"/>
      <c r="AD287" s="119"/>
      <c r="AE287" s="119"/>
      <c r="AF287" s="119"/>
      <c r="AG287" s="555" t="str">
        <f t="shared" si="8"/>
        <v>  ---&gt;     ---&gt;   </v>
      </c>
      <c r="AH287" s="16"/>
      <c r="AI287" s="439"/>
      <c r="AJ287" s="439"/>
      <c r="AK287" s="439"/>
    </row>
    <row r="288" ht="18.75" customHeight="1">
      <c r="A288" s="439"/>
      <c r="B288" s="546"/>
      <c r="C288" s="547"/>
      <c r="D288" s="446">
        <f>IF(C288=0,0,(VLOOKUP(C288,'PO MTRL'!$B$9:$S1518,2,0)))</f>
        <v>0</v>
      </c>
      <c r="E288" s="548" t="str">
        <f>IF(C288="","",(VLOOKUP(C288,'PO MTRL'!$B$9:$S1518,3,0)))</f>
        <v/>
      </c>
      <c r="F288" s="549">
        <f>IF(C288=0,0,(VLOOKUP(C288,'PO MTRL'!$B$9:$S1518,4,0)))</f>
        <v>0</v>
      </c>
      <c r="G288" s="444"/>
      <c r="H288" s="550">
        <f>IF(C288=0,0,(VLOOKUP(C288,'PO MTRL'!$B$9:$S1518,6,0)))</f>
        <v>0</v>
      </c>
      <c r="I288" s="446">
        <f>IF(C288=0,0,(VLOOKUP(C288,'PO MTRL'!$B$9:$S1518,7,0)))</f>
        <v>0</v>
      </c>
      <c r="J288" s="551">
        <f>IF(C288=0,0,(VLOOKUP(C288,'PO MTRL'!$B$9:$S1518,8,0)))</f>
        <v>0</v>
      </c>
      <c r="K288" s="559"/>
      <c r="L288" s="448">
        <f t="shared" si="1"/>
        <v>0</v>
      </c>
      <c r="M288" s="551">
        <f t="shared" si="2"/>
        <v>0</v>
      </c>
      <c r="N288" s="449">
        <f t="shared" si="3"/>
        <v>0</v>
      </c>
      <c r="O288" s="551">
        <f>IF(H288=0,0,(VLOOKUP(H288,'PO MTRL'!$G$9:$S1518,5,0)))</f>
        <v>0</v>
      </c>
      <c r="P288" s="551">
        <f>IF(H288=0,0,(VLOOKUP(H288,'PO MTRL'!$G$9:$S1518,7,0)))</f>
        <v>0</v>
      </c>
      <c r="Q288" s="551">
        <f t="shared" si="4"/>
        <v>0</v>
      </c>
      <c r="R288" s="551">
        <f t="shared" si="5"/>
        <v>0</v>
      </c>
      <c r="S288" s="550">
        <f>IF(C288=0,0,(VLOOKUP(C288,'PO MTRL'!$B$9:$S1518,17,0)))</f>
        <v>0</v>
      </c>
      <c r="T288" s="553"/>
      <c r="U288" s="554">
        <f>IF(C288=0,0,(VLOOKUP(C288,'PO MTRL'!$B$9:$S1518,18,0)))</f>
        <v>0</v>
      </c>
      <c r="V288" s="16"/>
      <c r="W288" s="119" t="str">
        <f t="shared" si="6"/>
        <v/>
      </c>
      <c r="X288" s="564">
        <f t="shared" si="7"/>
        <v>0</v>
      </c>
      <c r="Y288" s="119"/>
      <c r="Z288" s="119"/>
      <c r="AA288" s="530">
        <f>IFERROR(__xludf.DUMMYFUNCTION("""COMPUTED_VALUE"""),280.0)</f>
        <v>280</v>
      </c>
      <c r="AB288" s="119"/>
      <c r="AC288" s="119"/>
      <c r="AD288" s="119"/>
      <c r="AE288" s="119"/>
      <c r="AF288" s="119"/>
      <c r="AG288" s="555" t="str">
        <f t="shared" si="8"/>
        <v>  ---&gt;     ---&gt;   </v>
      </c>
      <c r="AH288" s="16"/>
      <c r="AI288" s="439"/>
      <c r="AJ288" s="439"/>
      <c r="AK288" s="439"/>
    </row>
    <row r="289" ht="18.75" customHeight="1">
      <c r="A289" s="439"/>
      <c r="B289" s="546"/>
      <c r="C289" s="547"/>
      <c r="D289" s="446">
        <f>IF(C289=0,0,(VLOOKUP(C289,'PO MTRL'!$B$9:$S1518,2,0)))</f>
        <v>0</v>
      </c>
      <c r="E289" s="548" t="str">
        <f>IF(C289="","",(VLOOKUP(C289,'PO MTRL'!$B$9:$S1518,3,0)))</f>
        <v/>
      </c>
      <c r="F289" s="549">
        <f>IF(C289=0,0,(VLOOKUP(C289,'PO MTRL'!$B$9:$S1518,4,0)))</f>
        <v>0</v>
      </c>
      <c r="G289" s="444"/>
      <c r="H289" s="550">
        <f>IF(C289=0,0,(VLOOKUP(C289,'PO MTRL'!$B$9:$S1518,6,0)))</f>
        <v>0</v>
      </c>
      <c r="I289" s="446">
        <f>IF(C289=0,0,(VLOOKUP(C289,'PO MTRL'!$B$9:$S1518,7,0)))</f>
        <v>0</v>
      </c>
      <c r="J289" s="551">
        <f>IF(C289=0,0,(VLOOKUP(C289,'PO MTRL'!$B$9:$S1518,8,0)))</f>
        <v>0</v>
      </c>
      <c r="K289" s="559"/>
      <c r="L289" s="448">
        <f t="shared" si="1"/>
        <v>0</v>
      </c>
      <c r="M289" s="551">
        <f t="shared" si="2"/>
        <v>0</v>
      </c>
      <c r="N289" s="449">
        <f t="shared" si="3"/>
        <v>0</v>
      </c>
      <c r="O289" s="551">
        <f>IF(H289=0,0,(VLOOKUP(H289,'PO MTRL'!$G$9:$S1518,5,0)))</f>
        <v>0</v>
      </c>
      <c r="P289" s="551">
        <f>IF(H289=0,0,(VLOOKUP(H289,'PO MTRL'!$G$9:$S1518,7,0)))</f>
        <v>0</v>
      </c>
      <c r="Q289" s="551">
        <f t="shared" si="4"/>
        <v>0</v>
      </c>
      <c r="R289" s="551">
        <f t="shared" si="5"/>
        <v>0</v>
      </c>
      <c r="S289" s="550">
        <f>IF(C289=0,0,(VLOOKUP(C289,'PO MTRL'!$B$9:$S1518,17,0)))</f>
        <v>0</v>
      </c>
      <c r="T289" s="553"/>
      <c r="U289" s="554">
        <f>IF(C289=0,0,(VLOOKUP(C289,'PO MTRL'!$B$9:$S1518,18,0)))</f>
        <v>0</v>
      </c>
      <c r="V289" s="16"/>
      <c r="W289" s="119" t="str">
        <f t="shared" si="6"/>
        <v/>
      </c>
      <c r="X289" s="564">
        <f t="shared" si="7"/>
        <v>0</v>
      </c>
      <c r="Y289" s="119"/>
      <c r="Z289" s="119"/>
      <c r="AA289" s="530">
        <f>IFERROR(__xludf.DUMMYFUNCTION("""COMPUTED_VALUE"""),281.0)</f>
        <v>281</v>
      </c>
      <c r="AB289" s="119"/>
      <c r="AC289" s="119"/>
      <c r="AD289" s="119"/>
      <c r="AE289" s="119"/>
      <c r="AF289" s="119"/>
      <c r="AG289" s="555" t="str">
        <f t="shared" si="8"/>
        <v>  ---&gt;     ---&gt;   </v>
      </c>
      <c r="AH289" s="16"/>
      <c r="AI289" s="439"/>
      <c r="AJ289" s="439"/>
      <c r="AK289" s="439"/>
    </row>
    <row r="290" ht="18.75" customHeight="1">
      <c r="A290" s="439"/>
      <c r="B290" s="546"/>
      <c r="C290" s="547"/>
      <c r="D290" s="446">
        <f>IF(C290=0,0,(VLOOKUP(C290,'PO MTRL'!$B$9:$S1518,2,0)))</f>
        <v>0</v>
      </c>
      <c r="E290" s="548" t="str">
        <f>IF(C290="","",(VLOOKUP(C290,'PO MTRL'!$B$9:$S1518,3,0)))</f>
        <v/>
      </c>
      <c r="F290" s="549">
        <f>IF(C290=0,0,(VLOOKUP(C290,'PO MTRL'!$B$9:$S1518,4,0)))</f>
        <v>0</v>
      </c>
      <c r="G290" s="444"/>
      <c r="H290" s="550">
        <f>IF(C290=0,0,(VLOOKUP(C290,'PO MTRL'!$B$9:$S1518,6,0)))</f>
        <v>0</v>
      </c>
      <c r="I290" s="446">
        <f>IF(C290=0,0,(VLOOKUP(C290,'PO MTRL'!$B$9:$S1518,7,0)))</f>
        <v>0</v>
      </c>
      <c r="J290" s="551">
        <f>IF(C290=0,0,(VLOOKUP(C290,'PO MTRL'!$B$9:$S1518,8,0)))</f>
        <v>0</v>
      </c>
      <c r="K290" s="559"/>
      <c r="L290" s="448">
        <f t="shared" si="1"/>
        <v>0</v>
      </c>
      <c r="M290" s="551">
        <f t="shared" si="2"/>
        <v>0</v>
      </c>
      <c r="N290" s="449">
        <f t="shared" si="3"/>
        <v>0</v>
      </c>
      <c r="O290" s="551">
        <f>IF(H290=0,0,(VLOOKUP(H290,'PO MTRL'!$G$9:$S1518,5,0)))</f>
        <v>0</v>
      </c>
      <c r="P290" s="551">
        <f>IF(H290=0,0,(VLOOKUP(H290,'PO MTRL'!$G$9:$S1518,7,0)))</f>
        <v>0</v>
      </c>
      <c r="Q290" s="551">
        <f t="shared" si="4"/>
        <v>0</v>
      </c>
      <c r="R290" s="551">
        <f t="shared" si="5"/>
        <v>0</v>
      </c>
      <c r="S290" s="550">
        <f>IF(C290=0,0,(VLOOKUP(C290,'PO MTRL'!$B$9:$S1518,17,0)))</f>
        <v>0</v>
      </c>
      <c r="T290" s="553"/>
      <c r="U290" s="554">
        <f>IF(C290=0,0,(VLOOKUP(C290,'PO MTRL'!$B$9:$S1518,18,0)))</f>
        <v>0</v>
      </c>
      <c r="V290" s="16"/>
      <c r="W290" s="119" t="str">
        <f t="shared" si="6"/>
        <v/>
      </c>
      <c r="X290" s="564">
        <f t="shared" si="7"/>
        <v>0</v>
      </c>
      <c r="Y290" s="119"/>
      <c r="Z290" s="119"/>
      <c r="AA290" s="530">
        <f>IFERROR(__xludf.DUMMYFUNCTION("""COMPUTED_VALUE"""),282.0)</f>
        <v>282</v>
      </c>
      <c r="AB290" s="119"/>
      <c r="AC290" s="119"/>
      <c r="AD290" s="119"/>
      <c r="AE290" s="119"/>
      <c r="AF290" s="119"/>
      <c r="AG290" s="555" t="str">
        <f t="shared" si="8"/>
        <v>  ---&gt;     ---&gt;   </v>
      </c>
      <c r="AH290" s="16"/>
      <c r="AI290" s="439"/>
      <c r="AJ290" s="439"/>
      <c r="AK290" s="439"/>
    </row>
    <row r="291" ht="18.75" customHeight="1">
      <c r="A291" s="439"/>
      <c r="B291" s="546"/>
      <c r="C291" s="547"/>
      <c r="D291" s="446">
        <f>IF(C291=0,0,(VLOOKUP(C291,'PO MTRL'!$B$9:$S1518,2,0)))</f>
        <v>0</v>
      </c>
      <c r="E291" s="548" t="str">
        <f>IF(C291="","",(VLOOKUP(C291,'PO MTRL'!$B$9:$S1518,3,0)))</f>
        <v/>
      </c>
      <c r="F291" s="549">
        <f>IF(C291=0,0,(VLOOKUP(C291,'PO MTRL'!$B$9:$S1518,4,0)))</f>
        <v>0</v>
      </c>
      <c r="G291" s="444"/>
      <c r="H291" s="550">
        <f>IF(C291=0,0,(VLOOKUP(C291,'PO MTRL'!$B$9:$S1518,6,0)))</f>
        <v>0</v>
      </c>
      <c r="I291" s="446">
        <f>IF(C291=0,0,(VLOOKUP(C291,'PO MTRL'!$B$9:$S1518,7,0)))</f>
        <v>0</v>
      </c>
      <c r="J291" s="551">
        <f>IF(C291=0,0,(VLOOKUP(C291,'PO MTRL'!$B$9:$S1518,8,0)))</f>
        <v>0</v>
      </c>
      <c r="K291" s="559"/>
      <c r="L291" s="448">
        <f t="shared" si="1"/>
        <v>0</v>
      </c>
      <c r="M291" s="551">
        <f t="shared" si="2"/>
        <v>0</v>
      </c>
      <c r="N291" s="449">
        <f t="shared" si="3"/>
        <v>0</v>
      </c>
      <c r="O291" s="551">
        <f>IF(H291=0,0,(VLOOKUP(H291,'PO MTRL'!$G$9:$S1518,5,0)))</f>
        <v>0</v>
      </c>
      <c r="P291" s="551">
        <f>IF(H291=0,0,(VLOOKUP(H291,'PO MTRL'!$G$9:$S1518,7,0)))</f>
        <v>0</v>
      </c>
      <c r="Q291" s="551">
        <f t="shared" si="4"/>
        <v>0</v>
      </c>
      <c r="R291" s="551">
        <f t="shared" si="5"/>
        <v>0</v>
      </c>
      <c r="S291" s="550">
        <f>IF(C291=0,0,(VLOOKUP(C291,'PO MTRL'!$B$9:$S1518,17,0)))</f>
        <v>0</v>
      </c>
      <c r="T291" s="553"/>
      <c r="U291" s="554">
        <f>IF(C291=0,0,(VLOOKUP(C291,'PO MTRL'!$B$9:$S1518,18,0)))</f>
        <v>0</v>
      </c>
      <c r="V291" s="16"/>
      <c r="W291" s="119" t="str">
        <f t="shared" si="6"/>
        <v/>
      </c>
      <c r="X291" s="564">
        <f t="shared" si="7"/>
        <v>0</v>
      </c>
      <c r="Y291" s="119"/>
      <c r="Z291" s="119"/>
      <c r="AA291" s="530">
        <f>IFERROR(__xludf.DUMMYFUNCTION("""COMPUTED_VALUE"""),283.0)</f>
        <v>283</v>
      </c>
      <c r="AB291" s="119"/>
      <c r="AC291" s="119"/>
      <c r="AD291" s="119"/>
      <c r="AE291" s="119"/>
      <c r="AF291" s="119"/>
      <c r="AG291" s="555" t="str">
        <f t="shared" si="8"/>
        <v>  ---&gt;     ---&gt;   </v>
      </c>
      <c r="AH291" s="16"/>
      <c r="AI291" s="439"/>
      <c r="AJ291" s="439"/>
      <c r="AK291" s="439"/>
    </row>
    <row r="292" ht="18.75" customHeight="1">
      <c r="A292" s="439"/>
      <c r="B292" s="546"/>
      <c r="C292" s="547"/>
      <c r="D292" s="446">
        <f>IF(C292=0,0,(VLOOKUP(C292,'PO MTRL'!$B$9:$S1518,2,0)))</f>
        <v>0</v>
      </c>
      <c r="E292" s="548" t="str">
        <f>IF(C292="","",(VLOOKUP(C292,'PO MTRL'!$B$9:$S1518,3,0)))</f>
        <v/>
      </c>
      <c r="F292" s="549">
        <f>IF(C292=0,0,(VLOOKUP(C292,'PO MTRL'!$B$9:$S1518,4,0)))</f>
        <v>0</v>
      </c>
      <c r="G292" s="444"/>
      <c r="H292" s="550">
        <f>IF(C292=0,0,(VLOOKUP(C292,'PO MTRL'!$B$9:$S1518,6,0)))</f>
        <v>0</v>
      </c>
      <c r="I292" s="446">
        <f>IF(C292=0,0,(VLOOKUP(C292,'PO MTRL'!$B$9:$S1518,7,0)))</f>
        <v>0</v>
      </c>
      <c r="J292" s="551">
        <f>IF(C292=0,0,(VLOOKUP(C292,'PO MTRL'!$B$9:$S1518,8,0)))</f>
        <v>0</v>
      </c>
      <c r="K292" s="559"/>
      <c r="L292" s="448">
        <f t="shared" si="1"/>
        <v>0</v>
      </c>
      <c r="M292" s="551">
        <f t="shared" si="2"/>
        <v>0</v>
      </c>
      <c r="N292" s="449">
        <f t="shared" si="3"/>
        <v>0</v>
      </c>
      <c r="O292" s="551">
        <f>IF(H292=0,0,(VLOOKUP(H292,'PO MTRL'!$G$9:$S1518,5,0)))</f>
        <v>0</v>
      </c>
      <c r="P292" s="551">
        <f>IF(H292=0,0,(VLOOKUP(H292,'PO MTRL'!$G$9:$S1518,7,0)))</f>
        <v>0</v>
      </c>
      <c r="Q292" s="551">
        <f t="shared" si="4"/>
        <v>0</v>
      </c>
      <c r="R292" s="551">
        <f t="shared" si="5"/>
        <v>0</v>
      </c>
      <c r="S292" s="550">
        <f>IF(C292=0,0,(VLOOKUP(C292,'PO MTRL'!$B$9:$S1518,17,0)))</f>
        <v>0</v>
      </c>
      <c r="T292" s="553"/>
      <c r="U292" s="554">
        <f>IF(C292=0,0,(VLOOKUP(C292,'PO MTRL'!$B$9:$S1518,18,0)))</f>
        <v>0</v>
      </c>
      <c r="V292" s="16"/>
      <c r="W292" s="119" t="str">
        <f t="shared" si="6"/>
        <v/>
      </c>
      <c r="X292" s="564">
        <f t="shared" si="7"/>
        <v>0</v>
      </c>
      <c r="Y292" s="119"/>
      <c r="Z292" s="119"/>
      <c r="AA292" s="530">
        <f>IFERROR(__xludf.DUMMYFUNCTION("""COMPUTED_VALUE"""),284.0)</f>
        <v>284</v>
      </c>
      <c r="AB292" s="119"/>
      <c r="AC292" s="119"/>
      <c r="AD292" s="119"/>
      <c r="AE292" s="119"/>
      <c r="AF292" s="119"/>
      <c r="AG292" s="555" t="str">
        <f t="shared" si="8"/>
        <v>  ---&gt;     ---&gt;   </v>
      </c>
      <c r="AH292" s="16"/>
      <c r="AI292" s="439"/>
      <c r="AJ292" s="439"/>
      <c r="AK292" s="439"/>
    </row>
    <row r="293" ht="18.75" customHeight="1">
      <c r="A293" s="439"/>
      <c r="B293" s="546"/>
      <c r="C293" s="547"/>
      <c r="D293" s="446">
        <f>IF(C293=0,0,(VLOOKUP(C293,'PO MTRL'!$B$9:$S1518,2,0)))</f>
        <v>0</v>
      </c>
      <c r="E293" s="548" t="str">
        <f>IF(C293="","",(VLOOKUP(C293,'PO MTRL'!$B$9:$S1518,3,0)))</f>
        <v/>
      </c>
      <c r="F293" s="549">
        <f>IF(C293=0,0,(VLOOKUP(C293,'PO MTRL'!$B$9:$S1518,4,0)))</f>
        <v>0</v>
      </c>
      <c r="G293" s="444"/>
      <c r="H293" s="550">
        <f>IF(C293=0,0,(VLOOKUP(C293,'PO MTRL'!$B$9:$S1518,6,0)))</f>
        <v>0</v>
      </c>
      <c r="I293" s="446">
        <f>IF(C293=0,0,(VLOOKUP(C293,'PO MTRL'!$B$9:$S1518,7,0)))</f>
        <v>0</v>
      </c>
      <c r="J293" s="551">
        <f>IF(C293=0,0,(VLOOKUP(C293,'PO MTRL'!$B$9:$S1518,8,0)))</f>
        <v>0</v>
      </c>
      <c r="K293" s="559"/>
      <c r="L293" s="448">
        <f t="shared" si="1"/>
        <v>0</v>
      </c>
      <c r="M293" s="551">
        <f t="shared" si="2"/>
        <v>0</v>
      </c>
      <c r="N293" s="449">
        <f t="shared" si="3"/>
        <v>0</v>
      </c>
      <c r="O293" s="551">
        <f>IF(H293=0,0,(VLOOKUP(H293,'PO MTRL'!$G$9:$S1518,5,0)))</f>
        <v>0</v>
      </c>
      <c r="P293" s="551">
        <f>IF(H293=0,0,(VLOOKUP(H293,'PO MTRL'!$G$9:$S1518,7,0)))</f>
        <v>0</v>
      </c>
      <c r="Q293" s="551">
        <f t="shared" si="4"/>
        <v>0</v>
      </c>
      <c r="R293" s="551">
        <f t="shared" si="5"/>
        <v>0</v>
      </c>
      <c r="S293" s="550">
        <f>IF(C293=0,0,(VLOOKUP(C293,'PO MTRL'!$B$9:$S1518,17,0)))</f>
        <v>0</v>
      </c>
      <c r="T293" s="553"/>
      <c r="U293" s="554">
        <f>IF(C293=0,0,(VLOOKUP(C293,'PO MTRL'!$B$9:$S1518,18,0)))</f>
        <v>0</v>
      </c>
      <c r="V293" s="16"/>
      <c r="W293" s="119" t="str">
        <f t="shared" si="6"/>
        <v/>
      </c>
      <c r="X293" s="564">
        <f t="shared" si="7"/>
        <v>0</v>
      </c>
      <c r="Y293" s="119"/>
      <c r="Z293" s="119"/>
      <c r="AA293" s="530">
        <f>IFERROR(__xludf.DUMMYFUNCTION("""COMPUTED_VALUE"""),285.0)</f>
        <v>285</v>
      </c>
      <c r="AB293" s="119"/>
      <c r="AC293" s="119"/>
      <c r="AD293" s="119"/>
      <c r="AE293" s="119"/>
      <c r="AF293" s="119"/>
      <c r="AG293" s="555" t="str">
        <f t="shared" si="8"/>
        <v>  ---&gt;     ---&gt;   </v>
      </c>
      <c r="AH293" s="16"/>
      <c r="AI293" s="439"/>
      <c r="AJ293" s="439"/>
      <c r="AK293" s="439"/>
    </row>
    <row r="294" ht="18.75" customHeight="1">
      <c r="A294" s="439"/>
      <c r="B294" s="546"/>
      <c r="C294" s="547"/>
      <c r="D294" s="446">
        <f>IF(C294=0,0,(VLOOKUP(C294,'PO MTRL'!$B$9:$S1518,2,0)))</f>
        <v>0</v>
      </c>
      <c r="E294" s="548" t="str">
        <f>IF(C294="","",(VLOOKUP(C294,'PO MTRL'!$B$9:$S1518,3,0)))</f>
        <v/>
      </c>
      <c r="F294" s="549">
        <f>IF(C294=0,0,(VLOOKUP(C294,'PO MTRL'!$B$9:$S1518,4,0)))</f>
        <v>0</v>
      </c>
      <c r="G294" s="444"/>
      <c r="H294" s="550">
        <f>IF(C294=0,0,(VLOOKUP(C294,'PO MTRL'!$B$9:$S1518,6,0)))</f>
        <v>0</v>
      </c>
      <c r="I294" s="446">
        <f>IF(C294=0,0,(VLOOKUP(C294,'PO MTRL'!$B$9:$S1518,7,0)))</f>
        <v>0</v>
      </c>
      <c r="J294" s="551">
        <f>IF(C294=0,0,(VLOOKUP(C294,'PO MTRL'!$B$9:$S1518,8,0)))</f>
        <v>0</v>
      </c>
      <c r="K294" s="559"/>
      <c r="L294" s="448">
        <f t="shared" si="1"/>
        <v>0</v>
      </c>
      <c r="M294" s="551">
        <f t="shared" si="2"/>
        <v>0</v>
      </c>
      <c r="N294" s="449">
        <f t="shared" si="3"/>
        <v>0</v>
      </c>
      <c r="O294" s="551">
        <f>IF(H294=0,0,(VLOOKUP(H294,'PO MTRL'!$G$9:$S1518,5,0)))</f>
        <v>0</v>
      </c>
      <c r="P294" s="551">
        <f>IF(H294=0,0,(VLOOKUP(H294,'PO MTRL'!$G$9:$S1518,7,0)))</f>
        <v>0</v>
      </c>
      <c r="Q294" s="551">
        <f t="shared" si="4"/>
        <v>0</v>
      </c>
      <c r="R294" s="551">
        <f t="shared" si="5"/>
        <v>0</v>
      </c>
      <c r="S294" s="550">
        <f>IF(C294=0,0,(VLOOKUP(C294,'PO MTRL'!$B$9:$S1518,17,0)))</f>
        <v>0</v>
      </c>
      <c r="T294" s="553"/>
      <c r="U294" s="554">
        <f>IF(C294=0,0,(VLOOKUP(C294,'PO MTRL'!$B$9:$S1518,18,0)))</f>
        <v>0</v>
      </c>
      <c r="V294" s="16"/>
      <c r="W294" s="119" t="str">
        <f t="shared" si="6"/>
        <v/>
      </c>
      <c r="X294" s="564">
        <f t="shared" si="7"/>
        <v>0</v>
      </c>
      <c r="Y294" s="119"/>
      <c r="Z294" s="119"/>
      <c r="AA294" s="530">
        <f>IFERROR(__xludf.DUMMYFUNCTION("""COMPUTED_VALUE"""),286.0)</f>
        <v>286</v>
      </c>
      <c r="AB294" s="119"/>
      <c r="AC294" s="119"/>
      <c r="AD294" s="119"/>
      <c r="AE294" s="119"/>
      <c r="AF294" s="119"/>
      <c r="AG294" s="555" t="str">
        <f t="shared" si="8"/>
        <v>  ---&gt;     ---&gt;   </v>
      </c>
      <c r="AH294" s="16"/>
      <c r="AI294" s="439"/>
      <c r="AJ294" s="439"/>
      <c r="AK294" s="439"/>
    </row>
    <row r="295" ht="18.75" customHeight="1">
      <c r="A295" s="439"/>
      <c r="B295" s="546"/>
      <c r="C295" s="547"/>
      <c r="D295" s="446">
        <f>IF(C295=0,0,(VLOOKUP(C295,'PO MTRL'!$B$9:$S1518,2,0)))</f>
        <v>0</v>
      </c>
      <c r="E295" s="548" t="str">
        <f>IF(C295="","",(VLOOKUP(C295,'PO MTRL'!$B$9:$S1518,3,0)))</f>
        <v/>
      </c>
      <c r="F295" s="549">
        <f>IF(C295=0,0,(VLOOKUP(C295,'PO MTRL'!$B$9:$S1518,4,0)))</f>
        <v>0</v>
      </c>
      <c r="G295" s="444"/>
      <c r="H295" s="550">
        <f>IF(C295=0,0,(VLOOKUP(C295,'PO MTRL'!$B$9:$S1518,6,0)))</f>
        <v>0</v>
      </c>
      <c r="I295" s="446">
        <f>IF(C295=0,0,(VLOOKUP(C295,'PO MTRL'!$B$9:$S1518,7,0)))</f>
        <v>0</v>
      </c>
      <c r="J295" s="551">
        <f>IF(C295=0,0,(VLOOKUP(C295,'PO MTRL'!$B$9:$S1518,8,0)))</f>
        <v>0</v>
      </c>
      <c r="K295" s="559"/>
      <c r="L295" s="448">
        <f t="shared" si="1"/>
        <v>0</v>
      </c>
      <c r="M295" s="551">
        <f t="shared" si="2"/>
        <v>0</v>
      </c>
      <c r="N295" s="449">
        <f t="shared" si="3"/>
        <v>0</v>
      </c>
      <c r="O295" s="551">
        <f>IF(H295=0,0,(VLOOKUP(H295,'PO MTRL'!$G$9:$S1518,5,0)))</f>
        <v>0</v>
      </c>
      <c r="P295" s="551">
        <f>IF(H295=0,0,(VLOOKUP(H295,'PO MTRL'!$G$9:$S1518,7,0)))</f>
        <v>0</v>
      </c>
      <c r="Q295" s="551">
        <f t="shared" si="4"/>
        <v>0</v>
      </c>
      <c r="R295" s="551">
        <f t="shared" si="5"/>
        <v>0</v>
      </c>
      <c r="S295" s="550">
        <f>IF(C295=0,0,(VLOOKUP(C295,'PO MTRL'!$B$9:$S1518,17,0)))</f>
        <v>0</v>
      </c>
      <c r="T295" s="553"/>
      <c r="U295" s="554">
        <f>IF(C295=0,0,(VLOOKUP(C295,'PO MTRL'!$B$9:$S1518,18,0)))</f>
        <v>0</v>
      </c>
      <c r="V295" s="16"/>
      <c r="W295" s="119" t="str">
        <f t="shared" si="6"/>
        <v/>
      </c>
      <c r="X295" s="564">
        <f t="shared" si="7"/>
        <v>0</v>
      </c>
      <c r="Y295" s="119"/>
      <c r="Z295" s="119"/>
      <c r="AA295" s="530">
        <f>IFERROR(__xludf.DUMMYFUNCTION("""COMPUTED_VALUE"""),287.0)</f>
        <v>287</v>
      </c>
      <c r="AB295" s="119"/>
      <c r="AC295" s="119"/>
      <c r="AD295" s="119"/>
      <c r="AE295" s="119"/>
      <c r="AF295" s="119"/>
      <c r="AG295" s="555" t="str">
        <f t="shared" si="8"/>
        <v>  ---&gt;     ---&gt;   </v>
      </c>
      <c r="AH295" s="16"/>
      <c r="AI295" s="439"/>
      <c r="AJ295" s="439"/>
      <c r="AK295" s="439"/>
    </row>
    <row r="296" ht="18.75" customHeight="1">
      <c r="A296" s="439"/>
      <c r="B296" s="546"/>
      <c r="C296" s="547"/>
      <c r="D296" s="446">
        <f>IF(C296=0,0,(VLOOKUP(C296,'PO MTRL'!$B$9:$S1518,2,0)))</f>
        <v>0</v>
      </c>
      <c r="E296" s="548" t="str">
        <f>IF(C296="","",(VLOOKUP(C296,'PO MTRL'!$B$9:$S1518,3,0)))</f>
        <v/>
      </c>
      <c r="F296" s="549">
        <f>IF(C296=0,0,(VLOOKUP(C296,'PO MTRL'!$B$9:$S1518,4,0)))</f>
        <v>0</v>
      </c>
      <c r="G296" s="444"/>
      <c r="H296" s="550">
        <f>IF(C296=0,0,(VLOOKUP(C296,'PO MTRL'!$B$9:$S1518,6,0)))</f>
        <v>0</v>
      </c>
      <c r="I296" s="446">
        <f>IF(C296=0,0,(VLOOKUP(C296,'PO MTRL'!$B$9:$S1518,7,0)))</f>
        <v>0</v>
      </c>
      <c r="J296" s="551">
        <f>IF(C296=0,0,(VLOOKUP(C296,'PO MTRL'!$B$9:$S1518,8,0)))</f>
        <v>0</v>
      </c>
      <c r="K296" s="559"/>
      <c r="L296" s="448">
        <f t="shared" si="1"/>
        <v>0</v>
      </c>
      <c r="M296" s="551">
        <f t="shared" si="2"/>
        <v>0</v>
      </c>
      <c r="N296" s="449">
        <f t="shared" si="3"/>
        <v>0</v>
      </c>
      <c r="O296" s="551">
        <f>IF(H296=0,0,(VLOOKUP(H296,'PO MTRL'!$G$9:$S1518,5,0)))</f>
        <v>0</v>
      </c>
      <c r="P296" s="551">
        <f>IF(H296=0,0,(VLOOKUP(H296,'PO MTRL'!$G$9:$S1518,7,0)))</f>
        <v>0</v>
      </c>
      <c r="Q296" s="551">
        <f t="shared" si="4"/>
        <v>0</v>
      </c>
      <c r="R296" s="551">
        <f t="shared" si="5"/>
        <v>0</v>
      </c>
      <c r="S296" s="550">
        <f>IF(C296=0,0,(VLOOKUP(C296,'PO MTRL'!$B$9:$S1518,17,0)))</f>
        <v>0</v>
      </c>
      <c r="T296" s="553"/>
      <c r="U296" s="554">
        <f>IF(C296=0,0,(VLOOKUP(C296,'PO MTRL'!$B$9:$S1518,18,0)))</f>
        <v>0</v>
      </c>
      <c r="V296" s="16"/>
      <c r="W296" s="119" t="str">
        <f t="shared" si="6"/>
        <v/>
      </c>
      <c r="X296" s="564">
        <f t="shared" si="7"/>
        <v>0</v>
      </c>
      <c r="Y296" s="119"/>
      <c r="Z296" s="119"/>
      <c r="AA296" s="530">
        <f>IFERROR(__xludf.DUMMYFUNCTION("""COMPUTED_VALUE"""),288.0)</f>
        <v>288</v>
      </c>
      <c r="AB296" s="119"/>
      <c r="AC296" s="119"/>
      <c r="AD296" s="119"/>
      <c r="AE296" s="119"/>
      <c r="AF296" s="119"/>
      <c r="AG296" s="555" t="str">
        <f t="shared" si="8"/>
        <v>  ---&gt;     ---&gt;   </v>
      </c>
      <c r="AH296" s="16"/>
      <c r="AI296" s="439"/>
      <c r="AJ296" s="439"/>
      <c r="AK296" s="439"/>
    </row>
    <row r="297" ht="18.75" customHeight="1">
      <c r="A297" s="439"/>
      <c r="B297" s="546"/>
      <c r="C297" s="547"/>
      <c r="D297" s="446">
        <f>IF(C297=0,0,(VLOOKUP(C297,'PO MTRL'!$B$9:$S1518,2,0)))</f>
        <v>0</v>
      </c>
      <c r="E297" s="548" t="str">
        <f>IF(C297="","",(VLOOKUP(C297,'PO MTRL'!$B$9:$S1518,3,0)))</f>
        <v/>
      </c>
      <c r="F297" s="549">
        <f>IF(C297=0,0,(VLOOKUP(C297,'PO MTRL'!$B$9:$S1518,4,0)))</f>
        <v>0</v>
      </c>
      <c r="G297" s="444"/>
      <c r="H297" s="550">
        <f>IF(C297=0,0,(VLOOKUP(C297,'PO MTRL'!$B$9:$S1518,6,0)))</f>
        <v>0</v>
      </c>
      <c r="I297" s="446">
        <f>IF(C297=0,0,(VLOOKUP(C297,'PO MTRL'!$B$9:$S1518,7,0)))</f>
        <v>0</v>
      </c>
      <c r="J297" s="551">
        <f>IF(C297=0,0,(VLOOKUP(C297,'PO MTRL'!$B$9:$S1518,8,0)))</f>
        <v>0</v>
      </c>
      <c r="K297" s="559"/>
      <c r="L297" s="448">
        <f t="shared" si="1"/>
        <v>0</v>
      </c>
      <c r="M297" s="551">
        <f t="shared" si="2"/>
        <v>0</v>
      </c>
      <c r="N297" s="449">
        <f t="shared" si="3"/>
        <v>0</v>
      </c>
      <c r="O297" s="551">
        <f>IF(H297=0,0,(VLOOKUP(H297,'PO MTRL'!$G$9:$S1518,5,0)))</f>
        <v>0</v>
      </c>
      <c r="P297" s="551">
        <f>IF(H297=0,0,(VLOOKUP(H297,'PO MTRL'!$G$9:$S1518,7,0)))</f>
        <v>0</v>
      </c>
      <c r="Q297" s="551">
        <f t="shared" si="4"/>
        <v>0</v>
      </c>
      <c r="R297" s="551">
        <f t="shared" si="5"/>
        <v>0</v>
      </c>
      <c r="S297" s="550">
        <f>IF(C297=0,0,(VLOOKUP(C297,'PO MTRL'!$B$9:$S1518,17,0)))</f>
        <v>0</v>
      </c>
      <c r="T297" s="553"/>
      <c r="U297" s="554">
        <f>IF(C297=0,0,(VLOOKUP(C297,'PO MTRL'!$B$9:$S1518,18,0)))</f>
        <v>0</v>
      </c>
      <c r="V297" s="16"/>
      <c r="W297" s="119" t="str">
        <f t="shared" si="6"/>
        <v/>
      </c>
      <c r="X297" s="564">
        <f t="shared" si="7"/>
        <v>0</v>
      </c>
      <c r="Y297" s="119"/>
      <c r="Z297" s="119"/>
      <c r="AA297" s="530">
        <f>IFERROR(__xludf.DUMMYFUNCTION("""COMPUTED_VALUE"""),289.0)</f>
        <v>289</v>
      </c>
      <c r="AB297" s="119"/>
      <c r="AC297" s="119"/>
      <c r="AD297" s="119"/>
      <c r="AE297" s="119"/>
      <c r="AF297" s="119"/>
      <c r="AG297" s="555" t="str">
        <f t="shared" si="8"/>
        <v>  ---&gt;     ---&gt;   </v>
      </c>
      <c r="AH297" s="16"/>
      <c r="AI297" s="439"/>
      <c r="AJ297" s="439"/>
      <c r="AK297" s="439"/>
    </row>
    <row r="298" ht="18.75" customHeight="1">
      <c r="A298" s="439"/>
      <c r="B298" s="546"/>
      <c r="C298" s="547"/>
      <c r="D298" s="446">
        <f>IF(C298=0,0,(VLOOKUP(C298,'PO MTRL'!$B$9:$S1518,2,0)))</f>
        <v>0</v>
      </c>
      <c r="E298" s="548" t="str">
        <f>IF(C298="","",(VLOOKUP(C298,'PO MTRL'!$B$9:$S1518,3,0)))</f>
        <v/>
      </c>
      <c r="F298" s="549">
        <f>IF(C298=0,0,(VLOOKUP(C298,'PO MTRL'!$B$9:$S1518,4,0)))</f>
        <v>0</v>
      </c>
      <c r="G298" s="444"/>
      <c r="H298" s="550">
        <f>IF(C298=0,0,(VLOOKUP(C298,'PO MTRL'!$B$9:$S1518,6,0)))</f>
        <v>0</v>
      </c>
      <c r="I298" s="446">
        <f>IF(C298=0,0,(VLOOKUP(C298,'PO MTRL'!$B$9:$S1518,7,0)))</f>
        <v>0</v>
      </c>
      <c r="J298" s="551">
        <f>IF(C298=0,0,(VLOOKUP(C298,'PO MTRL'!$B$9:$S1518,8,0)))</f>
        <v>0</v>
      </c>
      <c r="K298" s="559"/>
      <c r="L298" s="448">
        <f t="shared" si="1"/>
        <v>0</v>
      </c>
      <c r="M298" s="551">
        <f t="shared" si="2"/>
        <v>0</v>
      </c>
      <c r="N298" s="449">
        <f t="shared" si="3"/>
        <v>0</v>
      </c>
      <c r="O298" s="551">
        <f>IF(H298=0,0,(VLOOKUP(H298,'PO MTRL'!$G$9:$S1518,5,0)))</f>
        <v>0</v>
      </c>
      <c r="P298" s="551">
        <f>IF(H298=0,0,(VLOOKUP(H298,'PO MTRL'!$G$9:$S1518,7,0)))</f>
        <v>0</v>
      </c>
      <c r="Q298" s="551">
        <f t="shared" si="4"/>
        <v>0</v>
      </c>
      <c r="R298" s="551">
        <f t="shared" si="5"/>
        <v>0</v>
      </c>
      <c r="S298" s="550">
        <f>IF(C298=0,0,(VLOOKUP(C298,'PO MTRL'!$B$9:$S1518,17,0)))</f>
        <v>0</v>
      </c>
      <c r="T298" s="553"/>
      <c r="U298" s="554">
        <f>IF(C298=0,0,(VLOOKUP(C298,'PO MTRL'!$B$9:$S1518,18,0)))</f>
        <v>0</v>
      </c>
      <c r="V298" s="16"/>
      <c r="W298" s="119" t="str">
        <f t="shared" si="6"/>
        <v/>
      </c>
      <c r="X298" s="564">
        <f t="shared" si="7"/>
        <v>0</v>
      </c>
      <c r="Y298" s="119"/>
      <c r="Z298" s="119"/>
      <c r="AA298" s="530">
        <f>IFERROR(__xludf.DUMMYFUNCTION("""COMPUTED_VALUE"""),290.0)</f>
        <v>290</v>
      </c>
      <c r="AB298" s="119"/>
      <c r="AC298" s="119"/>
      <c r="AD298" s="119"/>
      <c r="AE298" s="119"/>
      <c r="AF298" s="119"/>
      <c r="AG298" s="555" t="str">
        <f t="shared" si="8"/>
        <v>  ---&gt;     ---&gt;   </v>
      </c>
      <c r="AH298" s="16"/>
      <c r="AI298" s="439"/>
      <c r="AJ298" s="439"/>
      <c r="AK298" s="439"/>
    </row>
    <row r="299" ht="18.75" customHeight="1">
      <c r="A299" s="439"/>
      <c r="B299" s="546"/>
      <c r="C299" s="547"/>
      <c r="D299" s="446">
        <f>IF(C299=0,0,(VLOOKUP(C299,'PO MTRL'!$B$9:$S1518,2,0)))</f>
        <v>0</v>
      </c>
      <c r="E299" s="548" t="str">
        <f>IF(C299="","",(VLOOKUP(C299,'PO MTRL'!$B$9:$S1518,3,0)))</f>
        <v/>
      </c>
      <c r="F299" s="549">
        <f>IF(C299=0,0,(VLOOKUP(C299,'PO MTRL'!$B$9:$S1518,4,0)))</f>
        <v>0</v>
      </c>
      <c r="G299" s="444"/>
      <c r="H299" s="550">
        <f>IF(C299=0,0,(VLOOKUP(C299,'PO MTRL'!$B$9:$S1518,6,0)))</f>
        <v>0</v>
      </c>
      <c r="I299" s="446">
        <f>IF(C299=0,0,(VLOOKUP(C299,'PO MTRL'!$B$9:$S1518,7,0)))</f>
        <v>0</v>
      </c>
      <c r="J299" s="551">
        <f>IF(C299=0,0,(VLOOKUP(C299,'PO MTRL'!$B$9:$S1518,8,0)))</f>
        <v>0</v>
      </c>
      <c r="K299" s="559"/>
      <c r="L299" s="448">
        <f t="shared" si="1"/>
        <v>0</v>
      </c>
      <c r="M299" s="551">
        <f t="shared" si="2"/>
        <v>0</v>
      </c>
      <c r="N299" s="449">
        <f t="shared" si="3"/>
        <v>0</v>
      </c>
      <c r="O299" s="551">
        <f>IF(H299=0,0,(VLOOKUP(H299,'PO MTRL'!$G$9:$S1518,5,0)))</f>
        <v>0</v>
      </c>
      <c r="P299" s="551">
        <f>IF(H299=0,0,(VLOOKUP(H299,'PO MTRL'!$G$9:$S1518,7,0)))</f>
        <v>0</v>
      </c>
      <c r="Q299" s="551">
        <f t="shared" si="4"/>
        <v>0</v>
      </c>
      <c r="R299" s="551">
        <f t="shared" si="5"/>
        <v>0</v>
      </c>
      <c r="S299" s="550">
        <f>IF(C299=0,0,(VLOOKUP(C299,'PO MTRL'!$B$9:$S1518,17,0)))</f>
        <v>0</v>
      </c>
      <c r="T299" s="553"/>
      <c r="U299" s="554">
        <f>IF(C299=0,0,(VLOOKUP(C299,'PO MTRL'!$B$9:$S1518,18,0)))</f>
        <v>0</v>
      </c>
      <c r="V299" s="16"/>
      <c r="W299" s="119" t="str">
        <f t="shared" si="6"/>
        <v/>
      </c>
      <c r="X299" s="564">
        <f t="shared" si="7"/>
        <v>0</v>
      </c>
      <c r="Y299" s="119"/>
      <c r="Z299" s="119"/>
      <c r="AA299" s="530">
        <f>IFERROR(__xludf.DUMMYFUNCTION("""COMPUTED_VALUE"""),291.0)</f>
        <v>291</v>
      </c>
      <c r="AB299" s="119"/>
      <c r="AC299" s="119"/>
      <c r="AD299" s="119"/>
      <c r="AE299" s="119"/>
      <c r="AF299" s="119"/>
      <c r="AG299" s="555" t="str">
        <f t="shared" si="8"/>
        <v>  ---&gt;     ---&gt;   </v>
      </c>
      <c r="AH299" s="16"/>
      <c r="AI299" s="439"/>
      <c r="AJ299" s="439"/>
      <c r="AK299" s="439"/>
    </row>
    <row r="300" ht="18.75" customHeight="1">
      <c r="A300" s="439"/>
      <c r="B300" s="546"/>
      <c r="C300" s="547"/>
      <c r="D300" s="446">
        <f>IF(C300=0,0,(VLOOKUP(C300,'PO MTRL'!$B$9:$S1518,2,0)))</f>
        <v>0</v>
      </c>
      <c r="E300" s="548" t="str">
        <f>IF(C300="","",(VLOOKUP(C300,'PO MTRL'!$B$9:$S1518,3,0)))</f>
        <v/>
      </c>
      <c r="F300" s="549">
        <f>IF(C300=0,0,(VLOOKUP(C300,'PO MTRL'!$B$9:$S1518,4,0)))</f>
        <v>0</v>
      </c>
      <c r="G300" s="444"/>
      <c r="H300" s="550">
        <f>IF(C300=0,0,(VLOOKUP(C300,'PO MTRL'!$B$9:$S1518,6,0)))</f>
        <v>0</v>
      </c>
      <c r="I300" s="446">
        <f>IF(C300=0,0,(VLOOKUP(C300,'PO MTRL'!$B$9:$S1518,7,0)))</f>
        <v>0</v>
      </c>
      <c r="J300" s="551">
        <f>IF(C300=0,0,(VLOOKUP(C300,'PO MTRL'!$B$9:$S1518,8,0)))</f>
        <v>0</v>
      </c>
      <c r="K300" s="559"/>
      <c r="L300" s="448">
        <f t="shared" si="1"/>
        <v>0</v>
      </c>
      <c r="M300" s="551">
        <f t="shared" si="2"/>
        <v>0</v>
      </c>
      <c r="N300" s="449">
        <f t="shared" si="3"/>
        <v>0</v>
      </c>
      <c r="O300" s="551">
        <f>IF(H300=0,0,(VLOOKUP(H300,'PO MTRL'!$G$9:$S1518,5,0)))</f>
        <v>0</v>
      </c>
      <c r="P300" s="551">
        <f>IF(H300=0,0,(VLOOKUP(H300,'PO MTRL'!$G$9:$S1518,7,0)))</f>
        <v>0</v>
      </c>
      <c r="Q300" s="551">
        <f t="shared" si="4"/>
        <v>0</v>
      </c>
      <c r="R300" s="551">
        <f t="shared" si="5"/>
        <v>0</v>
      </c>
      <c r="S300" s="550">
        <f>IF(C300=0,0,(VLOOKUP(C300,'PO MTRL'!$B$9:$S1518,17,0)))</f>
        <v>0</v>
      </c>
      <c r="T300" s="553"/>
      <c r="U300" s="554">
        <f>IF(C300=0,0,(VLOOKUP(C300,'PO MTRL'!$B$9:$S1518,18,0)))</f>
        <v>0</v>
      </c>
      <c r="V300" s="16"/>
      <c r="W300" s="119" t="str">
        <f t="shared" si="6"/>
        <v/>
      </c>
      <c r="X300" s="564">
        <f t="shared" si="7"/>
        <v>0</v>
      </c>
      <c r="Y300" s="119"/>
      <c r="Z300" s="119"/>
      <c r="AA300" s="530">
        <f>IFERROR(__xludf.DUMMYFUNCTION("""COMPUTED_VALUE"""),292.0)</f>
        <v>292</v>
      </c>
      <c r="AB300" s="119"/>
      <c r="AC300" s="119"/>
      <c r="AD300" s="119"/>
      <c r="AE300" s="119"/>
      <c r="AF300" s="119"/>
      <c r="AG300" s="555" t="str">
        <f t="shared" si="8"/>
        <v>  ---&gt;     ---&gt;   </v>
      </c>
      <c r="AH300" s="16"/>
      <c r="AI300" s="439"/>
      <c r="AJ300" s="439"/>
      <c r="AK300" s="439"/>
    </row>
    <row r="301" ht="18.75" customHeight="1">
      <c r="A301" s="439"/>
      <c r="B301" s="546"/>
      <c r="C301" s="547"/>
      <c r="D301" s="446">
        <f>IF(C301=0,0,(VLOOKUP(C301,'PO MTRL'!$B$9:$S1518,2,0)))</f>
        <v>0</v>
      </c>
      <c r="E301" s="548" t="str">
        <f>IF(C301="","",(VLOOKUP(C301,'PO MTRL'!$B$9:$S1518,3,0)))</f>
        <v/>
      </c>
      <c r="F301" s="549">
        <f>IF(C301=0,0,(VLOOKUP(C301,'PO MTRL'!$B$9:$S1518,4,0)))</f>
        <v>0</v>
      </c>
      <c r="G301" s="444"/>
      <c r="H301" s="550">
        <f>IF(C301=0,0,(VLOOKUP(C301,'PO MTRL'!$B$9:$S1518,6,0)))</f>
        <v>0</v>
      </c>
      <c r="I301" s="446">
        <f>IF(C301=0,0,(VLOOKUP(C301,'PO MTRL'!$B$9:$S1518,7,0)))</f>
        <v>0</v>
      </c>
      <c r="J301" s="551">
        <f>IF(C301=0,0,(VLOOKUP(C301,'PO MTRL'!$B$9:$S1518,8,0)))</f>
        <v>0</v>
      </c>
      <c r="K301" s="559"/>
      <c r="L301" s="448">
        <f t="shared" si="1"/>
        <v>0</v>
      </c>
      <c r="M301" s="551">
        <f t="shared" si="2"/>
        <v>0</v>
      </c>
      <c r="N301" s="449">
        <f t="shared" si="3"/>
        <v>0</v>
      </c>
      <c r="O301" s="551">
        <f>IF(H301=0,0,(VLOOKUP(H301,'PO MTRL'!$G$9:$S1518,5,0)))</f>
        <v>0</v>
      </c>
      <c r="P301" s="551">
        <f>IF(H301=0,0,(VLOOKUP(H301,'PO MTRL'!$G$9:$S1518,7,0)))</f>
        <v>0</v>
      </c>
      <c r="Q301" s="551">
        <f t="shared" si="4"/>
        <v>0</v>
      </c>
      <c r="R301" s="551">
        <f t="shared" si="5"/>
        <v>0</v>
      </c>
      <c r="S301" s="550">
        <f>IF(C301=0,0,(VLOOKUP(C301,'PO MTRL'!$B$9:$S1518,17,0)))</f>
        <v>0</v>
      </c>
      <c r="T301" s="553"/>
      <c r="U301" s="554">
        <f>IF(C301=0,0,(VLOOKUP(C301,'PO MTRL'!$B$9:$S1518,18,0)))</f>
        <v>0</v>
      </c>
      <c r="V301" s="16"/>
      <c r="W301" s="119" t="str">
        <f t="shared" si="6"/>
        <v/>
      </c>
      <c r="X301" s="564">
        <f t="shared" si="7"/>
        <v>0</v>
      </c>
      <c r="Y301" s="119"/>
      <c r="Z301" s="119"/>
      <c r="AA301" s="530">
        <f>IFERROR(__xludf.DUMMYFUNCTION("""COMPUTED_VALUE"""),293.0)</f>
        <v>293</v>
      </c>
      <c r="AB301" s="119"/>
      <c r="AC301" s="119"/>
      <c r="AD301" s="119"/>
      <c r="AE301" s="119"/>
      <c r="AF301" s="119"/>
      <c r="AG301" s="555" t="str">
        <f t="shared" si="8"/>
        <v>  ---&gt;     ---&gt;   </v>
      </c>
      <c r="AH301" s="16"/>
      <c r="AI301" s="439"/>
      <c r="AJ301" s="439"/>
      <c r="AK301" s="439"/>
    </row>
    <row r="302" ht="18.75" customHeight="1">
      <c r="A302" s="439"/>
      <c r="B302" s="546"/>
      <c r="C302" s="547"/>
      <c r="D302" s="446">
        <f>IF(C302=0,0,(VLOOKUP(C302,'PO MTRL'!$B$9:$S1518,2,0)))</f>
        <v>0</v>
      </c>
      <c r="E302" s="548" t="str">
        <f>IF(C302="","",(VLOOKUP(C302,'PO MTRL'!$B$9:$S1518,3,0)))</f>
        <v/>
      </c>
      <c r="F302" s="549">
        <f>IF(C302=0,0,(VLOOKUP(C302,'PO MTRL'!$B$9:$S1518,4,0)))</f>
        <v>0</v>
      </c>
      <c r="G302" s="444"/>
      <c r="H302" s="550">
        <f>IF(C302=0,0,(VLOOKUP(C302,'PO MTRL'!$B$9:$S1518,6,0)))</f>
        <v>0</v>
      </c>
      <c r="I302" s="446">
        <f>IF(C302=0,0,(VLOOKUP(C302,'PO MTRL'!$B$9:$S1518,7,0)))</f>
        <v>0</v>
      </c>
      <c r="J302" s="551">
        <f>IF(C302=0,0,(VLOOKUP(C302,'PO MTRL'!$B$9:$S1518,8,0)))</f>
        <v>0</v>
      </c>
      <c r="K302" s="559"/>
      <c r="L302" s="448">
        <f t="shared" si="1"/>
        <v>0</v>
      </c>
      <c r="M302" s="551">
        <f t="shared" si="2"/>
        <v>0</v>
      </c>
      <c r="N302" s="449">
        <f t="shared" si="3"/>
        <v>0</v>
      </c>
      <c r="O302" s="551">
        <f>IF(H302=0,0,(VLOOKUP(H302,'PO MTRL'!$G$9:$S1518,5,0)))</f>
        <v>0</v>
      </c>
      <c r="P302" s="551">
        <f>IF(H302=0,0,(VLOOKUP(H302,'PO MTRL'!$G$9:$S1518,7,0)))</f>
        <v>0</v>
      </c>
      <c r="Q302" s="551">
        <f t="shared" si="4"/>
        <v>0</v>
      </c>
      <c r="R302" s="551">
        <f t="shared" si="5"/>
        <v>0</v>
      </c>
      <c r="S302" s="550">
        <f>IF(C302=0,0,(VLOOKUP(C302,'PO MTRL'!$B$9:$S1518,17,0)))</f>
        <v>0</v>
      </c>
      <c r="T302" s="553"/>
      <c r="U302" s="554">
        <f>IF(C302=0,0,(VLOOKUP(C302,'PO MTRL'!$B$9:$S1518,18,0)))</f>
        <v>0</v>
      </c>
      <c r="V302" s="16"/>
      <c r="W302" s="119" t="str">
        <f t="shared" si="6"/>
        <v/>
      </c>
      <c r="X302" s="564">
        <f t="shared" si="7"/>
        <v>0</v>
      </c>
      <c r="Y302" s="119"/>
      <c r="Z302" s="119"/>
      <c r="AA302" s="530">
        <f>IFERROR(__xludf.DUMMYFUNCTION("""COMPUTED_VALUE"""),294.0)</f>
        <v>294</v>
      </c>
      <c r="AB302" s="119"/>
      <c r="AC302" s="119"/>
      <c r="AD302" s="119"/>
      <c r="AE302" s="119"/>
      <c r="AF302" s="119"/>
      <c r="AG302" s="555" t="str">
        <f t="shared" si="8"/>
        <v>  ---&gt;     ---&gt;   </v>
      </c>
      <c r="AH302" s="16"/>
      <c r="AI302" s="439"/>
      <c r="AJ302" s="439"/>
      <c r="AK302" s="439"/>
    </row>
    <row r="303" ht="18.75" customHeight="1">
      <c r="A303" s="439"/>
      <c r="B303" s="546"/>
      <c r="C303" s="547"/>
      <c r="D303" s="446">
        <f>IF(C303=0,0,(VLOOKUP(C303,'PO MTRL'!$B$9:$S1518,2,0)))</f>
        <v>0</v>
      </c>
      <c r="E303" s="548" t="str">
        <f>IF(C303="","",(VLOOKUP(C303,'PO MTRL'!$B$9:$S1518,3,0)))</f>
        <v/>
      </c>
      <c r="F303" s="549">
        <f>IF(C303=0,0,(VLOOKUP(C303,'PO MTRL'!$B$9:$S1518,4,0)))</f>
        <v>0</v>
      </c>
      <c r="G303" s="444"/>
      <c r="H303" s="550">
        <f>IF(C303=0,0,(VLOOKUP(C303,'PO MTRL'!$B$9:$S1518,6,0)))</f>
        <v>0</v>
      </c>
      <c r="I303" s="446">
        <f>IF(C303=0,0,(VLOOKUP(C303,'PO MTRL'!$B$9:$S1518,7,0)))</f>
        <v>0</v>
      </c>
      <c r="J303" s="551">
        <f>IF(C303=0,0,(VLOOKUP(C303,'PO MTRL'!$B$9:$S1518,8,0)))</f>
        <v>0</v>
      </c>
      <c r="K303" s="559"/>
      <c r="L303" s="448">
        <f t="shared" si="1"/>
        <v>0</v>
      </c>
      <c r="M303" s="551">
        <f t="shared" si="2"/>
        <v>0</v>
      </c>
      <c r="N303" s="449">
        <f t="shared" si="3"/>
        <v>0</v>
      </c>
      <c r="O303" s="551">
        <f>IF(H303=0,0,(VLOOKUP(H303,'PO MTRL'!$G$9:$S1518,5,0)))</f>
        <v>0</v>
      </c>
      <c r="P303" s="551">
        <f>IF(H303=0,0,(VLOOKUP(H303,'PO MTRL'!$G$9:$S1518,7,0)))</f>
        <v>0</v>
      </c>
      <c r="Q303" s="551">
        <f t="shared" si="4"/>
        <v>0</v>
      </c>
      <c r="R303" s="551">
        <f t="shared" si="5"/>
        <v>0</v>
      </c>
      <c r="S303" s="550">
        <f>IF(C303=0,0,(VLOOKUP(C303,'PO MTRL'!$B$9:$S1518,17,0)))</f>
        <v>0</v>
      </c>
      <c r="T303" s="553"/>
      <c r="U303" s="554">
        <f>IF(C303=0,0,(VLOOKUP(C303,'PO MTRL'!$B$9:$S1518,18,0)))</f>
        <v>0</v>
      </c>
      <c r="V303" s="16"/>
      <c r="W303" s="119" t="str">
        <f t="shared" si="6"/>
        <v/>
      </c>
      <c r="X303" s="564">
        <f t="shared" si="7"/>
        <v>0</v>
      </c>
      <c r="Y303" s="119"/>
      <c r="Z303" s="119"/>
      <c r="AA303" s="530">
        <f>IFERROR(__xludf.DUMMYFUNCTION("""COMPUTED_VALUE"""),295.0)</f>
        <v>295</v>
      </c>
      <c r="AB303" s="119"/>
      <c r="AC303" s="119"/>
      <c r="AD303" s="119"/>
      <c r="AE303" s="119"/>
      <c r="AF303" s="119"/>
      <c r="AG303" s="555" t="str">
        <f t="shared" si="8"/>
        <v>  ---&gt;     ---&gt;   </v>
      </c>
      <c r="AH303" s="16"/>
      <c r="AI303" s="439"/>
      <c r="AJ303" s="439"/>
      <c r="AK303" s="439"/>
    </row>
    <row r="304" ht="18.75" customHeight="1">
      <c r="A304" s="439"/>
      <c r="B304" s="546"/>
      <c r="C304" s="547"/>
      <c r="D304" s="446">
        <f>IF(C304=0,0,(VLOOKUP(C304,'PO MTRL'!$B$9:$S1518,2,0)))</f>
        <v>0</v>
      </c>
      <c r="E304" s="548" t="str">
        <f>IF(C304="","",(VLOOKUP(C304,'PO MTRL'!$B$9:$S1518,3,0)))</f>
        <v/>
      </c>
      <c r="F304" s="549">
        <f>IF(C304=0,0,(VLOOKUP(C304,'PO MTRL'!$B$9:$S1518,4,0)))</f>
        <v>0</v>
      </c>
      <c r="G304" s="444"/>
      <c r="H304" s="550">
        <f>IF(C304=0,0,(VLOOKUP(C304,'PO MTRL'!$B$9:$S1518,6,0)))</f>
        <v>0</v>
      </c>
      <c r="I304" s="446">
        <f>IF(C304=0,0,(VLOOKUP(C304,'PO MTRL'!$B$9:$S1518,7,0)))</f>
        <v>0</v>
      </c>
      <c r="J304" s="551">
        <f>IF(C304=0,0,(VLOOKUP(C304,'PO MTRL'!$B$9:$S1518,8,0)))</f>
        <v>0</v>
      </c>
      <c r="K304" s="559"/>
      <c r="L304" s="448">
        <f t="shared" si="1"/>
        <v>0</v>
      </c>
      <c r="M304" s="551">
        <f t="shared" si="2"/>
        <v>0</v>
      </c>
      <c r="N304" s="449">
        <f t="shared" si="3"/>
        <v>0</v>
      </c>
      <c r="O304" s="551">
        <f>IF(H304=0,0,(VLOOKUP(H304,'PO MTRL'!$G$9:$S1518,5,0)))</f>
        <v>0</v>
      </c>
      <c r="P304" s="551">
        <f>IF(H304=0,0,(VLOOKUP(H304,'PO MTRL'!$G$9:$S1518,7,0)))</f>
        <v>0</v>
      </c>
      <c r="Q304" s="551">
        <f t="shared" si="4"/>
        <v>0</v>
      </c>
      <c r="R304" s="551">
        <f t="shared" si="5"/>
        <v>0</v>
      </c>
      <c r="S304" s="550">
        <f>IF(C304=0,0,(VLOOKUP(C304,'PO MTRL'!$B$9:$S1518,17,0)))</f>
        <v>0</v>
      </c>
      <c r="T304" s="553"/>
      <c r="U304" s="554">
        <f>IF(C304=0,0,(VLOOKUP(C304,'PO MTRL'!$B$9:$S1518,18,0)))</f>
        <v>0</v>
      </c>
      <c r="V304" s="16"/>
      <c r="W304" s="119" t="str">
        <f t="shared" si="6"/>
        <v/>
      </c>
      <c r="X304" s="564">
        <f t="shared" si="7"/>
        <v>0</v>
      </c>
      <c r="Y304" s="119"/>
      <c r="Z304" s="119"/>
      <c r="AA304" s="530">
        <f>IFERROR(__xludf.DUMMYFUNCTION("""COMPUTED_VALUE"""),296.0)</f>
        <v>296</v>
      </c>
      <c r="AB304" s="119"/>
      <c r="AC304" s="119"/>
      <c r="AD304" s="119"/>
      <c r="AE304" s="119"/>
      <c r="AF304" s="119"/>
      <c r="AG304" s="555" t="str">
        <f t="shared" si="8"/>
        <v>  ---&gt;     ---&gt;   </v>
      </c>
      <c r="AH304" s="16"/>
      <c r="AI304" s="439"/>
      <c r="AJ304" s="439"/>
      <c r="AK304" s="439"/>
    </row>
    <row r="305" ht="18.75" customHeight="1">
      <c r="A305" s="439"/>
      <c r="B305" s="546"/>
      <c r="C305" s="547"/>
      <c r="D305" s="446">
        <f>IF(C305=0,0,(VLOOKUP(C305,'PO MTRL'!$B$9:$S1518,2,0)))</f>
        <v>0</v>
      </c>
      <c r="E305" s="548" t="str">
        <f>IF(C305="","",(VLOOKUP(C305,'PO MTRL'!$B$9:$S1518,3,0)))</f>
        <v/>
      </c>
      <c r="F305" s="549">
        <f>IF(C305=0,0,(VLOOKUP(C305,'PO MTRL'!$B$9:$S1518,4,0)))</f>
        <v>0</v>
      </c>
      <c r="G305" s="444"/>
      <c r="H305" s="550">
        <f>IF(C305=0,0,(VLOOKUP(C305,'PO MTRL'!$B$9:$S1518,6,0)))</f>
        <v>0</v>
      </c>
      <c r="I305" s="446">
        <f>IF(C305=0,0,(VLOOKUP(C305,'PO MTRL'!$B$9:$S1518,7,0)))</f>
        <v>0</v>
      </c>
      <c r="J305" s="551">
        <f>IF(C305=0,0,(VLOOKUP(C305,'PO MTRL'!$B$9:$S1518,8,0)))</f>
        <v>0</v>
      </c>
      <c r="K305" s="559"/>
      <c r="L305" s="448">
        <f t="shared" si="1"/>
        <v>0</v>
      </c>
      <c r="M305" s="551">
        <f t="shared" si="2"/>
        <v>0</v>
      </c>
      <c r="N305" s="449">
        <f t="shared" si="3"/>
        <v>0</v>
      </c>
      <c r="O305" s="551">
        <f>IF(H305=0,0,(VLOOKUP(H305,'PO MTRL'!$G$9:$S1518,5,0)))</f>
        <v>0</v>
      </c>
      <c r="P305" s="551">
        <f>IF(H305=0,0,(VLOOKUP(H305,'PO MTRL'!$G$9:$S1518,7,0)))</f>
        <v>0</v>
      </c>
      <c r="Q305" s="551">
        <f t="shared" si="4"/>
        <v>0</v>
      </c>
      <c r="R305" s="551">
        <f t="shared" si="5"/>
        <v>0</v>
      </c>
      <c r="S305" s="550">
        <f>IF(C305=0,0,(VLOOKUP(C305,'PO MTRL'!$B$9:$S1518,17,0)))</f>
        <v>0</v>
      </c>
      <c r="T305" s="553"/>
      <c r="U305" s="554">
        <f>IF(C305=0,0,(VLOOKUP(C305,'PO MTRL'!$B$9:$S1518,18,0)))</f>
        <v>0</v>
      </c>
      <c r="V305" s="16"/>
      <c r="W305" s="119" t="str">
        <f t="shared" si="6"/>
        <v/>
      </c>
      <c r="X305" s="564">
        <f t="shared" si="7"/>
        <v>0</v>
      </c>
      <c r="Y305" s="119"/>
      <c r="Z305" s="119"/>
      <c r="AA305" s="530">
        <f>IFERROR(__xludf.DUMMYFUNCTION("""COMPUTED_VALUE"""),297.0)</f>
        <v>297</v>
      </c>
      <c r="AB305" s="119"/>
      <c r="AC305" s="119"/>
      <c r="AD305" s="119"/>
      <c r="AE305" s="119"/>
      <c r="AF305" s="119"/>
      <c r="AG305" s="555" t="str">
        <f t="shared" si="8"/>
        <v>  ---&gt;     ---&gt;   </v>
      </c>
      <c r="AH305" s="16"/>
      <c r="AI305" s="439"/>
      <c r="AJ305" s="439"/>
      <c r="AK305" s="439"/>
    </row>
    <row r="306" ht="18.75" customHeight="1">
      <c r="A306" s="439"/>
      <c r="B306" s="546"/>
      <c r="C306" s="547"/>
      <c r="D306" s="446">
        <f>IF(C306=0,0,(VLOOKUP(C306,'PO MTRL'!$B$9:$S1518,2,0)))</f>
        <v>0</v>
      </c>
      <c r="E306" s="548" t="str">
        <f>IF(C306="","",(VLOOKUP(C306,'PO MTRL'!$B$9:$S1518,3,0)))</f>
        <v/>
      </c>
      <c r="F306" s="549">
        <f>IF(C306=0,0,(VLOOKUP(C306,'PO MTRL'!$B$9:$S1518,4,0)))</f>
        <v>0</v>
      </c>
      <c r="G306" s="444"/>
      <c r="H306" s="550">
        <f>IF(C306=0,0,(VLOOKUP(C306,'PO MTRL'!$B$9:$S1518,6,0)))</f>
        <v>0</v>
      </c>
      <c r="I306" s="446">
        <f>IF(C306=0,0,(VLOOKUP(C306,'PO MTRL'!$B$9:$S1518,7,0)))</f>
        <v>0</v>
      </c>
      <c r="J306" s="551">
        <f>IF(C306=0,0,(VLOOKUP(C306,'PO MTRL'!$B$9:$S1518,8,0)))</f>
        <v>0</v>
      </c>
      <c r="K306" s="559"/>
      <c r="L306" s="448">
        <f t="shared" si="1"/>
        <v>0</v>
      </c>
      <c r="M306" s="551">
        <f t="shared" si="2"/>
        <v>0</v>
      </c>
      <c r="N306" s="449">
        <f t="shared" si="3"/>
        <v>0</v>
      </c>
      <c r="O306" s="551">
        <f>IF(H306=0,0,(VLOOKUP(H306,'PO MTRL'!$G$9:$S1518,5,0)))</f>
        <v>0</v>
      </c>
      <c r="P306" s="551">
        <f>IF(H306=0,0,(VLOOKUP(H306,'PO MTRL'!$G$9:$S1518,7,0)))</f>
        <v>0</v>
      </c>
      <c r="Q306" s="551">
        <f t="shared" si="4"/>
        <v>0</v>
      </c>
      <c r="R306" s="551">
        <f t="shared" si="5"/>
        <v>0</v>
      </c>
      <c r="S306" s="550">
        <f>IF(C306=0,0,(VLOOKUP(C306,'PO MTRL'!$B$9:$S1518,17,0)))</f>
        <v>0</v>
      </c>
      <c r="T306" s="553"/>
      <c r="U306" s="554">
        <f>IF(C306=0,0,(VLOOKUP(C306,'PO MTRL'!$B$9:$S1518,18,0)))</f>
        <v>0</v>
      </c>
      <c r="V306" s="16"/>
      <c r="W306" s="119" t="str">
        <f t="shared" si="6"/>
        <v/>
      </c>
      <c r="X306" s="564">
        <f t="shared" si="7"/>
        <v>0</v>
      </c>
      <c r="Y306" s="119"/>
      <c r="Z306" s="119"/>
      <c r="AA306" s="530">
        <f>IFERROR(__xludf.DUMMYFUNCTION("""COMPUTED_VALUE"""),298.0)</f>
        <v>298</v>
      </c>
      <c r="AB306" s="119"/>
      <c r="AC306" s="119"/>
      <c r="AD306" s="119"/>
      <c r="AE306" s="119"/>
      <c r="AF306" s="119"/>
      <c r="AG306" s="555" t="str">
        <f t="shared" si="8"/>
        <v>  ---&gt;     ---&gt;   </v>
      </c>
      <c r="AH306" s="16"/>
      <c r="AI306" s="439"/>
      <c r="AJ306" s="439"/>
      <c r="AK306" s="439"/>
    </row>
    <row r="307" ht="18.75" customHeight="1">
      <c r="A307" s="439"/>
      <c r="B307" s="546"/>
      <c r="C307" s="547"/>
      <c r="D307" s="446">
        <f>IF(C307=0,0,(VLOOKUP(C307,'PO MTRL'!$B$9:$S1518,2,0)))</f>
        <v>0</v>
      </c>
      <c r="E307" s="548" t="str">
        <f>IF(C307="","",(VLOOKUP(C307,'PO MTRL'!$B$9:$S1518,3,0)))</f>
        <v/>
      </c>
      <c r="F307" s="549">
        <f>IF(C307=0,0,(VLOOKUP(C307,'PO MTRL'!$B$9:$S1518,4,0)))</f>
        <v>0</v>
      </c>
      <c r="G307" s="444"/>
      <c r="H307" s="550">
        <f>IF(C307=0,0,(VLOOKUP(C307,'PO MTRL'!$B$9:$S1518,6,0)))</f>
        <v>0</v>
      </c>
      <c r="I307" s="446">
        <f>IF(C307=0,0,(VLOOKUP(C307,'PO MTRL'!$B$9:$S1518,7,0)))</f>
        <v>0</v>
      </c>
      <c r="J307" s="551">
        <f>IF(C307=0,0,(VLOOKUP(C307,'PO MTRL'!$B$9:$S1518,8,0)))</f>
        <v>0</v>
      </c>
      <c r="K307" s="559"/>
      <c r="L307" s="448">
        <f t="shared" si="1"/>
        <v>0</v>
      </c>
      <c r="M307" s="551">
        <f t="shared" si="2"/>
        <v>0</v>
      </c>
      <c r="N307" s="449">
        <f t="shared" si="3"/>
        <v>0</v>
      </c>
      <c r="O307" s="551">
        <f>IF(H307=0,0,(VLOOKUP(H307,'PO MTRL'!$G$9:$S1518,5,0)))</f>
        <v>0</v>
      </c>
      <c r="P307" s="551">
        <f>IF(H307=0,0,(VLOOKUP(H307,'PO MTRL'!$G$9:$S1518,7,0)))</f>
        <v>0</v>
      </c>
      <c r="Q307" s="551">
        <f t="shared" si="4"/>
        <v>0</v>
      </c>
      <c r="R307" s="551">
        <f t="shared" si="5"/>
        <v>0</v>
      </c>
      <c r="S307" s="550">
        <f>IF(C307=0,0,(VLOOKUP(C307,'PO MTRL'!$B$9:$S1518,17,0)))</f>
        <v>0</v>
      </c>
      <c r="T307" s="553"/>
      <c r="U307" s="554">
        <f>IF(C307=0,0,(VLOOKUP(C307,'PO MTRL'!$B$9:$S1518,18,0)))</f>
        <v>0</v>
      </c>
      <c r="V307" s="16"/>
      <c r="W307" s="119" t="str">
        <f t="shared" si="6"/>
        <v/>
      </c>
      <c r="X307" s="564">
        <f t="shared" si="7"/>
        <v>0</v>
      </c>
      <c r="Y307" s="119"/>
      <c r="Z307" s="119"/>
      <c r="AA307" s="530">
        <f>IFERROR(__xludf.DUMMYFUNCTION("""COMPUTED_VALUE"""),299.0)</f>
        <v>299</v>
      </c>
      <c r="AB307" s="119"/>
      <c r="AC307" s="119"/>
      <c r="AD307" s="119"/>
      <c r="AE307" s="119"/>
      <c r="AF307" s="119"/>
      <c r="AG307" s="555" t="str">
        <f t="shared" si="8"/>
        <v>  ---&gt;     ---&gt;   </v>
      </c>
      <c r="AH307" s="16"/>
      <c r="AI307" s="439"/>
      <c r="AJ307" s="439"/>
      <c r="AK307" s="439"/>
    </row>
    <row r="308" ht="18.75" customHeight="1">
      <c r="A308" s="439"/>
      <c r="B308" s="546"/>
      <c r="C308" s="547"/>
      <c r="D308" s="446">
        <f>IF(C308=0,0,(VLOOKUP(C308,'PO MTRL'!$B$9:$S1518,2,0)))</f>
        <v>0</v>
      </c>
      <c r="E308" s="548" t="str">
        <f>IF(C308="","",(VLOOKUP(C308,'PO MTRL'!$B$9:$S1518,3,0)))</f>
        <v/>
      </c>
      <c r="F308" s="549">
        <f>IF(C308=0,0,(VLOOKUP(C308,'PO MTRL'!$B$9:$S1518,4,0)))</f>
        <v>0</v>
      </c>
      <c r="G308" s="444"/>
      <c r="H308" s="550">
        <f>IF(C308=0,0,(VLOOKUP(C308,'PO MTRL'!$B$9:$S1518,6,0)))</f>
        <v>0</v>
      </c>
      <c r="I308" s="446">
        <f>IF(C308=0,0,(VLOOKUP(C308,'PO MTRL'!$B$9:$S1518,7,0)))</f>
        <v>0</v>
      </c>
      <c r="J308" s="551">
        <f>IF(C308=0,0,(VLOOKUP(C308,'PO MTRL'!$B$9:$S1518,8,0)))</f>
        <v>0</v>
      </c>
      <c r="K308" s="559"/>
      <c r="L308" s="448">
        <f t="shared" si="1"/>
        <v>0</v>
      </c>
      <c r="M308" s="551">
        <f t="shared" si="2"/>
        <v>0</v>
      </c>
      <c r="N308" s="449">
        <f t="shared" si="3"/>
        <v>0</v>
      </c>
      <c r="O308" s="551">
        <f>IF(H308=0,0,(VLOOKUP(H308,'PO MTRL'!$G$9:$S1518,5,0)))</f>
        <v>0</v>
      </c>
      <c r="P308" s="551">
        <f>IF(H308=0,0,(VLOOKUP(H308,'PO MTRL'!$G$9:$S1518,7,0)))</f>
        <v>0</v>
      </c>
      <c r="Q308" s="551">
        <f t="shared" si="4"/>
        <v>0</v>
      </c>
      <c r="R308" s="551">
        <f t="shared" si="5"/>
        <v>0</v>
      </c>
      <c r="S308" s="550">
        <f>IF(C308=0,0,(VLOOKUP(C308,'PO MTRL'!$B$9:$S1518,17,0)))</f>
        <v>0</v>
      </c>
      <c r="T308" s="553"/>
      <c r="U308" s="554">
        <f>IF(C308=0,0,(VLOOKUP(C308,'PO MTRL'!$B$9:$S1518,18,0)))</f>
        <v>0</v>
      </c>
      <c r="V308" s="16"/>
      <c r="W308" s="119" t="str">
        <f t="shared" si="6"/>
        <v/>
      </c>
      <c r="X308" s="564">
        <f t="shared" si="7"/>
        <v>0</v>
      </c>
      <c r="Y308" s="119"/>
      <c r="Z308" s="119"/>
      <c r="AA308" s="530">
        <f>IFERROR(__xludf.DUMMYFUNCTION("""COMPUTED_VALUE"""),300.0)</f>
        <v>300</v>
      </c>
      <c r="AB308" s="119"/>
      <c r="AC308" s="119"/>
      <c r="AD308" s="119"/>
      <c r="AE308" s="119"/>
      <c r="AF308" s="119"/>
      <c r="AG308" s="555" t="str">
        <f t="shared" si="8"/>
        <v>  ---&gt;     ---&gt;   </v>
      </c>
      <c r="AH308" s="16"/>
      <c r="AI308" s="439"/>
      <c r="AJ308" s="439"/>
      <c r="AK308" s="439"/>
    </row>
    <row r="309" ht="18.75" customHeight="1">
      <c r="A309" s="439"/>
      <c r="B309" s="546"/>
      <c r="C309" s="547"/>
      <c r="D309" s="446">
        <f>IF(C309=0,0,(VLOOKUP(C309,'PO MTRL'!$B$9:$S1518,2,0)))</f>
        <v>0</v>
      </c>
      <c r="E309" s="548" t="str">
        <f>IF(C309="","",(VLOOKUP(C309,'PO MTRL'!$B$9:$S1518,3,0)))</f>
        <v/>
      </c>
      <c r="F309" s="549">
        <f>IF(C309=0,0,(VLOOKUP(C309,'PO MTRL'!$B$9:$S1518,4,0)))</f>
        <v>0</v>
      </c>
      <c r="G309" s="444"/>
      <c r="H309" s="550">
        <f>IF(C309=0,0,(VLOOKUP(C309,'PO MTRL'!$B$9:$S1518,6,0)))</f>
        <v>0</v>
      </c>
      <c r="I309" s="446">
        <f>IF(C309=0,0,(VLOOKUP(C309,'PO MTRL'!$B$9:$S1518,7,0)))</f>
        <v>0</v>
      </c>
      <c r="J309" s="551">
        <f>IF(C309=0,0,(VLOOKUP(C309,'PO MTRL'!$B$9:$S1518,8,0)))</f>
        <v>0</v>
      </c>
      <c r="K309" s="559"/>
      <c r="L309" s="448">
        <f t="shared" si="1"/>
        <v>0</v>
      </c>
      <c r="M309" s="551">
        <f t="shared" si="2"/>
        <v>0</v>
      </c>
      <c r="N309" s="449">
        <f t="shared" si="3"/>
        <v>0</v>
      </c>
      <c r="O309" s="551">
        <f>IF(H309=0,0,(VLOOKUP(H309,'PO MTRL'!$G$9:$S1518,5,0)))</f>
        <v>0</v>
      </c>
      <c r="P309" s="551">
        <f>IF(H309=0,0,(VLOOKUP(H309,'PO MTRL'!$G$9:$S1518,7,0)))</f>
        <v>0</v>
      </c>
      <c r="Q309" s="551">
        <f t="shared" si="4"/>
        <v>0</v>
      </c>
      <c r="R309" s="551">
        <f t="shared" si="5"/>
        <v>0</v>
      </c>
      <c r="S309" s="550">
        <f>IF(C309=0,0,(VLOOKUP(C309,'PO MTRL'!$B$9:$S1518,17,0)))</f>
        <v>0</v>
      </c>
      <c r="T309" s="553"/>
      <c r="U309" s="554">
        <f>IF(C309=0,0,(VLOOKUP(C309,'PO MTRL'!$B$9:$S1518,18,0)))</f>
        <v>0</v>
      </c>
      <c r="V309" s="16"/>
      <c r="W309" s="119" t="str">
        <f t="shared" si="6"/>
        <v/>
      </c>
      <c r="X309" s="564">
        <f t="shared" si="7"/>
        <v>0</v>
      </c>
      <c r="Y309" s="119"/>
      <c r="Z309" s="119"/>
      <c r="AA309" s="530">
        <f>IFERROR(__xludf.DUMMYFUNCTION("""COMPUTED_VALUE"""),301.0)</f>
        <v>301</v>
      </c>
      <c r="AB309" s="119"/>
      <c r="AC309" s="119"/>
      <c r="AD309" s="119"/>
      <c r="AE309" s="119"/>
      <c r="AF309" s="119"/>
      <c r="AG309" s="555" t="str">
        <f t="shared" si="8"/>
        <v>  ---&gt;     ---&gt;   </v>
      </c>
      <c r="AH309" s="16"/>
      <c r="AI309" s="439"/>
      <c r="AJ309" s="439"/>
      <c r="AK309" s="439"/>
    </row>
    <row r="310" ht="18.75" customHeight="1">
      <c r="A310" s="439"/>
      <c r="B310" s="546"/>
      <c r="C310" s="547"/>
      <c r="D310" s="446">
        <f>IF(C310=0,0,(VLOOKUP(C310,'PO MTRL'!$B$9:$S1518,2,0)))</f>
        <v>0</v>
      </c>
      <c r="E310" s="548" t="str">
        <f>IF(C310="","",(VLOOKUP(C310,'PO MTRL'!$B$9:$S1518,3,0)))</f>
        <v/>
      </c>
      <c r="F310" s="549">
        <f>IF(C310=0,0,(VLOOKUP(C310,'PO MTRL'!$B$9:$S1518,4,0)))</f>
        <v>0</v>
      </c>
      <c r="G310" s="444"/>
      <c r="H310" s="550">
        <f>IF(C310=0,0,(VLOOKUP(C310,'PO MTRL'!$B$9:$S1518,6,0)))</f>
        <v>0</v>
      </c>
      <c r="I310" s="446">
        <f>IF(C310=0,0,(VLOOKUP(C310,'PO MTRL'!$B$9:$S1518,7,0)))</f>
        <v>0</v>
      </c>
      <c r="J310" s="551">
        <f>IF(C310=0,0,(VLOOKUP(C310,'PO MTRL'!$B$9:$S1518,8,0)))</f>
        <v>0</v>
      </c>
      <c r="K310" s="559"/>
      <c r="L310" s="448">
        <f t="shared" si="1"/>
        <v>0</v>
      </c>
      <c r="M310" s="551">
        <f t="shared" si="2"/>
        <v>0</v>
      </c>
      <c r="N310" s="449">
        <f t="shared" si="3"/>
        <v>0</v>
      </c>
      <c r="O310" s="551">
        <f>IF(H310=0,0,(VLOOKUP(H310,'PO MTRL'!$G$9:$S1518,5,0)))</f>
        <v>0</v>
      </c>
      <c r="P310" s="551">
        <f>IF(H310=0,0,(VLOOKUP(H310,'PO MTRL'!$G$9:$S1518,7,0)))</f>
        <v>0</v>
      </c>
      <c r="Q310" s="551">
        <f t="shared" si="4"/>
        <v>0</v>
      </c>
      <c r="R310" s="551">
        <f t="shared" si="5"/>
        <v>0</v>
      </c>
      <c r="S310" s="550">
        <f>IF(C310=0,0,(VLOOKUP(C310,'PO MTRL'!$B$9:$S1518,17,0)))</f>
        <v>0</v>
      </c>
      <c r="T310" s="553"/>
      <c r="U310" s="554">
        <f>IF(C310=0,0,(VLOOKUP(C310,'PO MTRL'!$B$9:$S1518,18,0)))</f>
        <v>0</v>
      </c>
      <c r="V310" s="16"/>
      <c r="W310" s="119" t="str">
        <f t="shared" si="6"/>
        <v/>
      </c>
      <c r="X310" s="564">
        <f t="shared" si="7"/>
        <v>0</v>
      </c>
      <c r="Y310" s="119"/>
      <c r="Z310" s="119"/>
      <c r="AA310" s="530">
        <f>IFERROR(__xludf.DUMMYFUNCTION("""COMPUTED_VALUE"""),302.0)</f>
        <v>302</v>
      </c>
      <c r="AB310" s="119"/>
      <c r="AC310" s="119"/>
      <c r="AD310" s="119"/>
      <c r="AE310" s="119"/>
      <c r="AF310" s="119"/>
      <c r="AG310" s="555" t="str">
        <f t="shared" si="8"/>
        <v>  ---&gt;     ---&gt;   </v>
      </c>
      <c r="AH310" s="16"/>
      <c r="AI310" s="439"/>
      <c r="AJ310" s="439"/>
      <c r="AK310" s="439"/>
    </row>
    <row r="311" ht="18.75" customHeight="1">
      <c r="A311" s="439"/>
      <c r="B311" s="546"/>
      <c r="C311" s="547"/>
      <c r="D311" s="446">
        <f>IF(C311=0,0,(VLOOKUP(C311,'PO MTRL'!$B$9:$S1518,2,0)))</f>
        <v>0</v>
      </c>
      <c r="E311" s="548" t="str">
        <f>IF(C311="","",(VLOOKUP(C311,'PO MTRL'!$B$9:$S1518,3,0)))</f>
        <v/>
      </c>
      <c r="F311" s="549">
        <f>IF(C311=0,0,(VLOOKUP(C311,'PO MTRL'!$B$9:$S1518,4,0)))</f>
        <v>0</v>
      </c>
      <c r="G311" s="444"/>
      <c r="H311" s="550">
        <f>IF(C311=0,0,(VLOOKUP(C311,'PO MTRL'!$B$9:$S1518,6,0)))</f>
        <v>0</v>
      </c>
      <c r="I311" s="446">
        <f>IF(C311=0,0,(VLOOKUP(C311,'PO MTRL'!$B$9:$S1518,7,0)))</f>
        <v>0</v>
      </c>
      <c r="J311" s="551">
        <f>IF(C311=0,0,(VLOOKUP(C311,'PO MTRL'!$B$9:$S1518,8,0)))</f>
        <v>0</v>
      </c>
      <c r="K311" s="559"/>
      <c r="L311" s="448">
        <f t="shared" si="1"/>
        <v>0</v>
      </c>
      <c r="M311" s="551">
        <f t="shared" si="2"/>
        <v>0</v>
      </c>
      <c r="N311" s="449">
        <f t="shared" si="3"/>
        <v>0</v>
      </c>
      <c r="O311" s="551">
        <f>IF(H311=0,0,(VLOOKUP(H311,'PO MTRL'!$G$9:$S1518,5,0)))</f>
        <v>0</v>
      </c>
      <c r="P311" s="551">
        <f>IF(H311=0,0,(VLOOKUP(H311,'PO MTRL'!$G$9:$S1518,7,0)))</f>
        <v>0</v>
      </c>
      <c r="Q311" s="551">
        <f t="shared" si="4"/>
        <v>0</v>
      </c>
      <c r="R311" s="551">
        <f t="shared" si="5"/>
        <v>0</v>
      </c>
      <c r="S311" s="550">
        <f>IF(C311=0,0,(VLOOKUP(C311,'PO MTRL'!$B$9:$S1518,17,0)))</f>
        <v>0</v>
      </c>
      <c r="T311" s="553"/>
      <c r="U311" s="554">
        <f>IF(C311=0,0,(VLOOKUP(C311,'PO MTRL'!$B$9:$S1518,18,0)))</f>
        <v>0</v>
      </c>
      <c r="V311" s="16"/>
      <c r="W311" s="119" t="str">
        <f t="shared" si="6"/>
        <v/>
      </c>
      <c r="X311" s="564">
        <f t="shared" si="7"/>
        <v>0</v>
      </c>
      <c r="Y311" s="119"/>
      <c r="Z311" s="119"/>
      <c r="AA311" s="530">
        <f>IFERROR(__xludf.DUMMYFUNCTION("""COMPUTED_VALUE"""),303.0)</f>
        <v>303</v>
      </c>
      <c r="AB311" s="119"/>
      <c r="AC311" s="119"/>
      <c r="AD311" s="119"/>
      <c r="AE311" s="119"/>
      <c r="AF311" s="119"/>
      <c r="AG311" s="555" t="str">
        <f t="shared" si="8"/>
        <v>  ---&gt;     ---&gt;   </v>
      </c>
      <c r="AH311" s="16"/>
      <c r="AI311" s="439"/>
      <c r="AJ311" s="439"/>
      <c r="AK311" s="439"/>
    </row>
    <row r="312" ht="18.75" customHeight="1">
      <c r="A312" s="439"/>
      <c r="B312" s="546"/>
      <c r="C312" s="547"/>
      <c r="D312" s="446">
        <f>IF(C312=0,0,(VLOOKUP(C312,'PO MTRL'!$B$9:$S1518,2,0)))</f>
        <v>0</v>
      </c>
      <c r="E312" s="548" t="str">
        <f>IF(C312="","",(VLOOKUP(C312,'PO MTRL'!$B$9:$S1518,3,0)))</f>
        <v/>
      </c>
      <c r="F312" s="549">
        <f>IF(C312=0,0,(VLOOKUP(C312,'PO MTRL'!$B$9:$S1518,4,0)))</f>
        <v>0</v>
      </c>
      <c r="G312" s="444"/>
      <c r="H312" s="550">
        <f>IF(C312=0,0,(VLOOKUP(C312,'PO MTRL'!$B$9:$S1518,6,0)))</f>
        <v>0</v>
      </c>
      <c r="I312" s="446">
        <f>IF(C312=0,0,(VLOOKUP(C312,'PO MTRL'!$B$9:$S1518,7,0)))</f>
        <v>0</v>
      </c>
      <c r="J312" s="551">
        <f>IF(C312=0,0,(VLOOKUP(C312,'PO MTRL'!$B$9:$S1518,8,0)))</f>
        <v>0</v>
      </c>
      <c r="K312" s="559"/>
      <c r="L312" s="448">
        <f t="shared" si="1"/>
        <v>0</v>
      </c>
      <c r="M312" s="551">
        <f t="shared" si="2"/>
        <v>0</v>
      </c>
      <c r="N312" s="449">
        <f t="shared" si="3"/>
        <v>0</v>
      </c>
      <c r="O312" s="551">
        <f>IF(H312=0,0,(VLOOKUP(H312,'PO MTRL'!$G$9:$S1518,5,0)))</f>
        <v>0</v>
      </c>
      <c r="P312" s="551">
        <f>IF(H312=0,0,(VLOOKUP(H312,'PO MTRL'!$G$9:$S1518,7,0)))</f>
        <v>0</v>
      </c>
      <c r="Q312" s="551">
        <f t="shared" si="4"/>
        <v>0</v>
      </c>
      <c r="R312" s="551">
        <f t="shared" si="5"/>
        <v>0</v>
      </c>
      <c r="S312" s="550">
        <f>IF(C312=0,0,(VLOOKUP(C312,'PO MTRL'!$B$9:$S1518,17,0)))</f>
        <v>0</v>
      </c>
      <c r="T312" s="553"/>
      <c r="U312" s="554">
        <f>IF(C312=0,0,(VLOOKUP(C312,'PO MTRL'!$B$9:$S1518,18,0)))</f>
        <v>0</v>
      </c>
      <c r="V312" s="16"/>
      <c r="W312" s="119" t="str">
        <f t="shared" si="6"/>
        <v/>
      </c>
      <c r="X312" s="564">
        <f t="shared" si="7"/>
        <v>0</v>
      </c>
      <c r="Y312" s="119"/>
      <c r="Z312" s="119"/>
      <c r="AA312" s="530">
        <f>IFERROR(__xludf.DUMMYFUNCTION("""COMPUTED_VALUE"""),304.0)</f>
        <v>304</v>
      </c>
      <c r="AB312" s="119"/>
      <c r="AC312" s="119"/>
      <c r="AD312" s="119"/>
      <c r="AE312" s="119"/>
      <c r="AF312" s="119"/>
      <c r="AG312" s="555" t="str">
        <f t="shared" si="8"/>
        <v>  ---&gt;     ---&gt;   </v>
      </c>
      <c r="AH312" s="16"/>
      <c r="AI312" s="439"/>
      <c r="AJ312" s="439"/>
      <c r="AK312" s="439"/>
    </row>
    <row r="313" ht="18.75" customHeight="1">
      <c r="A313" s="439"/>
      <c r="B313" s="546"/>
      <c r="C313" s="547"/>
      <c r="D313" s="446">
        <f>IF(C313=0,0,(VLOOKUP(C313,'PO MTRL'!$B$9:$S1518,2,0)))</f>
        <v>0</v>
      </c>
      <c r="E313" s="548" t="str">
        <f>IF(C313="","",(VLOOKUP(C313,'PO MTRL'!$B$9:$S1518,3,0)))</f>
        <v/>
      </c>
      <c r="F313" s="549">
        <f>IF(C313=0,0,(VLOOKUP(C313,'PO MTRL'!$B$9:$S1518,4,0)))</f>
        <v>0</v>
      </c>
      <c r="G313" s="444"/>
      <c r="H313" s="550">
        <f>IF(C313=0,0,(VLOOKUP(C313,'PO MTRL'!$B$9:$S1518,6,0)))</f>
        <v>0</v>
      </c>
      <c r="I313" s="446">
        <f>IF(C313=0,0,(VLOOKUP(C313,'PO MTRL'!$B$9:$S1518,7,0)))</f>
        <v>0</v>
      </c>
      <c r="J313" s="551">
        <f>IF(C313=0,0,(VLOOKUP(C313,'PO MTRL'!$B$9:$S1518,8,0)))</f>
        <v>0</v>
      </c>
      <c r="K313" s="559"/>
      <c r="L313" s="448">
        <f t="shared" si="1"/>
        <v>0</v>
      </c>
      <c r="M313" s="551">
        <f t="shared" si="2"/>
        <v>0</v>
      </c>
      <c r="N313" s="449">
        <f t="shared" si="3"/>
        <v>0</v>
      </c>
      <c r="O313" s="551">
        <f>IF(H313=0,0,(VLOOKUP(H313,'PO MTRL'!$G$9:$S1518,5,0)))</f>
        <v>0</v>
      </c>
      <c r="P313" s="551">
        <f>IF(H313=0,0,(VLOOKUP(H313,'PO MTRL'!$G$9:$S1518,7,0)))</f>
        <v>0</v>
      </c>
      <c r="Q313" s="551">
        <f t="shared" si="4"/>
        <v>0</v>
      </c>
      <c r="R313" s="551">
        <f t="shared" si="5"/>
        <v>0</v>
      </c>
      <c r="S313" s="550">
        <f>IF(C313=0,0,(VLOOKUP(C313,'PO MTRL'!$B$9:$S1518,17,0)))</f>
        <v>0</v>
      </c>
      <c r="T313" s="553"/>
      <c r="U313" s="554">
        <f>IF(C313=0,0,(VLOOKUP(C313,'PO MTRL'!$B$9:$S1518,18,0)))</f>
        <v>0</v>
      </c>
      <c r="V313" s="16"/>
      <c r="W313" s="119" t="str">
        <f t="shared" si="6"/>
        <v/>
      </c>
      <c r="X313" s="564">
        <f t="shared" si="7"/>
        <v>0</v>
      </c>
      <c r="Y313" s="119"/>
      <c r="Z313" s="119"/>
      <c r="AA313" s="530">
        <f>IFERROR(__xludf.DUMMYFUNCTION("""COMPUTED_VALUE"""),305.0)</f>
        <v>305</v>
      </c>
      <c r="AB313" s="119"/>
      <c r="AC313" s="119"/>
      <c r="AD313" s="119"/>
      <c r="AE313" s="119"/>
      <c r="AF313" s="119"/>
      <c r="AG313" s="555" t="str">
        <f t="shared" si="8"/>
        <v>  ---&gt;     ---&gt;   </v>
      </c>
      <c r="AH313" s="16"/>
      <c r="AI313" s="439"/>
      <c r="AJ313" s="439"/>
      <c r="AK313" s="439"/>
    </row>
    <row r="314" ht="18.75" customHeight="1">
      <c r="A314" s="439"/>
      <c r="B314" s="546"/>
      <c r="C314" s="547"/>
      <c r="D314" s="446">
        <f>IF(C314=0,0,(VLOOKUP(C314,'PO MTRL'!$B$9:$S1518,2,0)))</f>
        <v>0</v>
      </c>
      <c r="E314" s="548" t="str">
        <f>IF(C314="","",(VLOOKUP(C314,'PO MTRL'!$B$9:$S1518,3,0)))</f>
        <v/>
      </c>
      <c r="F314" s="549">
        <f>IF(C314=0,0,(VLOOKUP(C314,'PO MTRL'!$B$9:$S1518,4,0)))</f>
        <v>0</v>
      </c>
      <c r="G314" s="444"/>
      <c r="H314" s="550">
        <f>IF(C314=0,0,(VLOOKUP(C314,'PO MTRL'!$B$9:$S1518,6,0)))</f>
        <v>0</v>
      </c>
      <c r="I314" s="446">
        <f>IF(C314=0,0,(VLOOKUP(C314,'PO MTRL'!$B$9:$S1518,7,0)))</f>
        <v>0</v>
      </c>
      <c r="J314" s="551">
        <f>IF(C314=0,0,(VLOOKUP(C314,'PO MTRL'!$B$9:$S1518,8,0)))</f>
        <v>0</v>
      </c>
      <c r="K314" s="559"/>
      <c r="L314" s="448">
        <f t="shared" si="1"/>
        <v>0</v>
      </c>
      <c r="M314" s="551">
        <f t="shared" si="2"/>
        <v>0</v>
      </c>
      <c r="N314" s="449">
        <f t="shared" si="3"/>
        <v>0</v>
      </c>
      <c r="O314" s="551">
        <f>IF(H314=0,0,(VLOOKUP(H314,'PO MTRL'!$G$9:$S1518,5,0)))</f>
        <v>0</v>
      </c>
      <c r="P314" s="551">
        <f>IF(H314=0,0,(VLOOKUP(H314,'PO MTRL'!$G$9:$S1518,7,0)))</f>
        <v>0</v>
      </c>
      <c r="Q314" s="551">
        <f t="shared" si="4"/>
        <v>0</v>
      </c>
      <c r="R314" s="551">
        <f t="shared" si="5"/>
        <v>0</v>
      </c>
      <c r="S314" s="550">
        <f>IF(C314=0,0,(VLOOKUP(C314,'PO MTRL'!$B$9:$S1518,17,0)))</f>
        <v>0</v>
      </c>
      <c r="T314" s="553"/>
      <c r="U314" s="554">
        <f>IF(C314=0,0,(VLOOKUP(C314,'PO MTRL'!$B$9:$S1518,18,0)))</f>
        <v>0</v>
      </c>
      <c r="V314" s="16"/>
      <c r="W314" s="119" t="str">
        <f t="shared" si="6"/>
        <v/>
      </c>
      <c r="X314" s="564">
        <f t="shared" si="7"/>
        <v>0</v>
      </c>
      <c r="Y314" s="119"/>
      <c r="Z314" s="119"/>
      <c r="AA314" s="530">
        <f>IFERROR(__xludf.DUMMYFUNCTION("""COMPUTED_VALUE"""),306.0)</f>
        <v>306</v>
      </c>
      <c r="AB314" s="119"/>
      <c r="AC314" s="119"/>
      <c r="AD314" s="119"/>
      <c r="AE314" s="119"/>
      <c r="AF314" s="119"/>
      <c r="AG314" s="555" t="str">
        <f t="shared" si="8"/>
        <v>  ---&gt;     ---&gt;   </v>
      </c>
      <c r="AH314" s="16"/>
      <c r="AI314" s="439"/>
      <c r="AJ314" s="439"/>
      <c r="AK314" s="439"/>
    </row>
    <row r="315" ht="18.75" customHeight="1">
      <c r="A315" s="439"/>
      <c r="B315" s="546"/>
      <c r="C315" s="547"/>
      <c r="D315" s="446">
        <f>IF(C315=0,0,(VLOOKUP(C315,'PO MTRL'!$B$9:$S1518,2,0)))</f>
        <v>0</v>
      </c>
      <c r="E315" s="548" t="str">
        <f>IF(C315="","",(VLOOKUP(C315,'PO MTRL'!$B$9:$S1518,3,0)))</f>
        <v/>
      </c>
      <c r="F315" s="549">
        <f>IF(C315=0,0,(VLOOKUP(C315,'PO MTRL'!$B$9:$S1518,4,0)))</f>
        <v>0</v>
      </c>
      <c r="G315" s="444"/>
      <c r="H315" s="550">
        <f>IF(C315=0,0,(VLOOKUP(C315,'PO MTRL'!$B$9:$S1518,6,0)))</f>
        <v>0</v>
      </c>
      <c r="I315" s="446">
        <f>IF(C315=0,0,(VLOOKUP(C315,'PO MTRL'!$B$9:$S1518,7,0)))</f>
        <v>0</v>
      </c>
      <c r="J315" s="551">
        <f>IF(C315=0,0,(VLOOKUP(C315,'PO MTRL'!$B$9:$S1518,8,0)))</f>
        <v>0</v>
      </c>
      <c r="K315" s="559"/>
      <c r="L315" s="448">
        <f t="shared" si="1"/>
        <v>0</v>
      </c>
      <c r="M315" s="551">
        <f t="shared" si="2"/>
        <v>0</v>
      </c>
      <c r="N315" s="449">
        <f t="shared" si="3"/>
        <v>0</v>
      </c>
      <c r="O315" s="551">
        <f>IF(H315=0,0,(VLOOKUP(H315,'PO MTRL'!$G$9:$S1518,5,0)))</f>
        <v>0</v>
      </c>
      <c r="P315" s="551">
        <f>IF(H315=0,0,(VLOOKUP(H315,'PO MTRL'!$G$9:$S1518,7,0)))</f>
        <v>0</v>
      </c>
      <c r="Q315" s="551">
        <f t="shared" si="4"/>
        <v>0</v>
      </c>
      <c r="R315" s="551">
        <f t="shared" si="5"/>
        <v>0</v>
      </c>
      <c r="S315" s="550">
        <f>IF(C315=0,0,(VLOOKUP(C315,'PO MTRL'!$B$9:$S1518,17,0)))</f>
        <v>0</v>
      </c>
      <c r="T315" s="553"/>
      <c r="U315" s="554">
        <f>IF(C315=0,0,(VLOOKUP(C315,'PO MTRL'!$B$9:$S1518,18,0)))</f>
        <v>0</v>
      </c>
      <c r="V315" s="16"/>
      <c r="W315" s="119" t="str">
        <f t="shared" si="6"/>
        <v/>
      </c>
      <c r="X315" s="564">
        <f t="shared" si="7"/>
        <v>0</v>
      </c>
      <c r="Y315" s="119"/>
      <c r="Z315" s="119"/>
      <c r="AA315" s="530">
        <f>IFERROR(__xludf.DUMMYFUNCTION("""COMPUTED_VALUE"""),307.0)</f>
        <v>307</v>
      </c>
      <c r="AB315" s="119"/>
      <c r="AC315" s="119"/>
      <c r="AD315" s="119"/>
      <c r="AE315" s="119"/>
      <c r="AF315" s="119"/>
      <c r="AG315" s="555" t="str">
        <f t="shared" si="8"/>
        <v>  ---&gt;     ---&gt;   </v>
      </c>
      <c r="AH315" s="16"/>
      <c r="AI315" s="439"/>
      <c r="AJ315" s="439"/>
      <c r="AK315" s="439"/>
    </row>
    <row r="316" ht="18.75" customHeight="1">
      <c r="A316" s="439"/>
      <c r="B316" s="546"/>
      <c r="C316" s="547"/>
      <c r="D316" s="446">
        <f>IF(C316=0,0,(VLOOKUP(C316,'PO MTRL'!$B$9:$S1518,2,0)))</f>
        <v>0</v>
      </c>
      <c r="E316" s="548" t="str">
        <f>IF(C316="","",(VLOOKUP(C316,'PO MTRL'!$B$9:$S1518,3,0)))</f>
        <v/>
      </c>
      <c r="F316" s="549">
        <f>IF(C316=0,0,(VLOOKUP(C316,'PO MTRL'!$B$9:$S1518,4,0)))</f>
        <v>0</v>
      </c>
      <c r="G316" s="444"/>
      <c r="H316" s="550">
        <f>IF(C316=0,0,(VLOOKUP(C316,'PO MTRL'!$B$9:$S1518,6,0)))</f>
        <v>0</v>
      </c>
      <c r="I316" s="446">
        <f>IF(C316=0,0,(VLOOKUP(C316,'PO MTRL'!$B$9:$S1518,7,0)))</f>
        <v>0</v>
      </c>
      <c r="J316" s="551">
        <f>IF(C316=0,0,(VLOOKUP(C316,'PO MTRL'!$B$9:$S1518,8,0)))</f>
        <v>0</v>
      </c>
      <c r="K316" s="559"/>
      <c r="L316" s="448">
        <f t="shared" si="1"/>
        <v>0</v>
      </c>
      <c r="M316" s="551">
        <f t="shared" si="2"/>
        <v>0</v>
      </c>
      <c r="N316" s="449">
        <f t="shared" si="3"/>
        <v>0</v>
      </c>
      <c r="O316" s="551">
        <f>IF(H316=0,0,(VLOOKUP(H316,'PO MTRL'!$G$9:$S1518,5,0)))</f>
        <v>0</v>
      </c>
      <c r="P316" s="551">
        <f>IF(H316=0,0,(VLOOKUP(H316,'PO MTRL'!$G$9:$S1518,7,0)))</f>
        <v>0</v>
      </c>
      <c r="Q316" s="551">
        <f t="shared" si="4"/>
        <v>0</v>
      </c>
      <c r="R316" s="551">
        <f t="shared" si="5"/>
        <v>0</v>
      </c>
      <c r="S316" s="550">
        <f>IF(C316=0,0,(VLOOKUP(C316,'PO MTRL'!$B$9:$S1518,17,0)))</f>
        <v>0</v>
      </c>
      <c r="T316" s="553"/>
      <c r="U316" s="554">
        <f>IF(C316=0,0,(VLOOKUP(C316,'PO MTRL'!$B$9:$S1518,18,0)))</f>
        <v>0</v>
      </c>
      <c r="V316" s="16"/>
      <c r="W316" s="119" t="str">
        <f t="shared" si="6"/>
        <v/>
      </c>
      <c r="X316" s="564">
        <f t="shared" si="7"/>
        <v>0</v>
      </c>
      <c r="Y316" s="119"/>
      <c r="Z316" s="119"/>
      <c r="AA316" s="530">
        <f>IFERROR(__xludf.DUMMYFUNCTION("""COMPUTED_VALUE"""),308.0)</f>
        <v>308</v>
      </c>
      <c r="AB316" s="119"/>
      <c r="AC316" s="119"/>
      <c r="AD316" s="119"/>
      <c r="AE316" s="119"/>
      <c r="AF316" s="119"/>
      <c r="AG316" s="555" t="str">
        <f t="shared" si="8"/>
        <v>  ---&gt;     ---&gt;   </v>
      </c>
      <c r="AH316" s="16"/>
      <c r="AI316" s="439"/>
      <c r="AJ316" s="439"/>
      <c r="AK316" s="439"/>
    </row>
    <row r="317" ht="18.75" customHeight="1">
      <c r="A317" s="439"/>
      <c r="B317" s="546"/>
      <c r="C317" s="547"/>
      <c r="D317" s="446">
        <f>IF(C317=0,0,(VLOOKUP(C317,'PO MTRL'!$B$9:$S1518,2,0)))</f>
        <v>0</v>
      </c>
      <c r="E317" s="548" t="str">
        <f>IF(C317="","",(VLOOKUP(C317,'PO MTRL'!$B$9:$S1518,3,0)))</f>
        <v/>
      </c>
      <c r="F317" s="549">
        <f>IF(C317=0,0,(VLOOKUP(C317,'PO MTRL'!$B$9:$S1518,4,0)))</f>
        <v>0</v>
      </c>
      <c r="G317" s="444"/>
      <c r="H317" s="550">
        <f>IF(C317=0,0,(VLOOKUP(C317,'PO MTRL'!$B$9:$S1518,6,0)))</f>
        <v>0</v>
      </c>
      <c r="I317" s="446">
        <f>IF(C317=0,0,(VLOOKUP(C317,'PO MTRL'!$B$9:$S1518,7,0)))</f>
        <v>0</v>
      </c>
      <c r="J317" s="551">
        <f>IF(C317=0,0,(VLOOKUP(C317,'PO MTRL'!$B$9:$S1518,8,0)))</f>
        <v>0</v>
      </c>
      <c r="K317" s="559"/>
      <c r="L317" s="448">
        <f t="shared" si="1"/>
        <v>0</v>
      </c>
      <c r="M317" s="551">
        <f t="shared" si="2"/>
        <v>0</v>
      </c>
      <c r="N317" s="449">
        <f t="shared" si="3"/>
        <v>0</v>
      </c>
      <c r="O317" s="551">
        <f>IF(H317=0,0,(VLOOKUP(H317,'PO MTRL'!$G$9:$S1518,5,0)))</f>
        <v>0</v>
      </c>
      <c r="P317" s="551">
        <f>IF(H317=0,0,(VLOOKUP(H317,'PO MTRL'!$G$9:$S1518,7,0)))</f>
        <v>0</v>
      </c>
      <c r="Q317" s="551">
        <f t="shared" si="4"/>
        <v>0</v>
      </c>
      <c r="R317" s="551">
        <f t="shared" si="5"/>
        <v>0</v>
      </c>
      <c r="S317" s="550">
        <f>IF(C317=0,0,(VLOOKUP(C317,'PO MTRL'!$B$9:$S1518,17,0)))</f>
        <v>0</v>
      </c>
      <c r="T317" s="553"/>
      <c r="U317" s="554">
        <f>IF(C317=0,0,(VLOOKUP(C317,'PO MTRL'!$B$9:$S1518,18,0)))</f>
        <v>0</v>
      </c>
      <c r="V317" s="16"/>
      <c r="W317" s="119" t="str">
        <f t="shared" si="6"/>
        <v/>
      </c>
      <c r="X317" s="564">
        <f t="shared" si="7"/>
        <v>0</v>
      </c>
      <c r="Y317" s="119"/>
      <c r="Z317" s="119"/>
      <c r="AA317" s="530">
        <f>IFERROR(__xludf.DUMMYFUNCTION("""COMPUTED_VALUE"""),309.0)</f>
        <v>309</v>
      </c>
      <c r="AB317" s="119"/>
      <c r="AC317" s="119"/>
      <c r="AD317" s="119"/>
      <c r="AE317" s="119"/>
      <c r="AF317" s="119"/>
      <c r="AG317" s="555" t="str">
        <f t="shared" si="8"/>
        <v>  ---&gt;     ---&gt;   </v>
      </c>
      <c r="AH317" s="16"/>
      <c r="AI317" s="439"/>
      <c r="AJ317" s="439"/>
      <c r="AK317" s="439"/>
    </row>
    <row r="318" ht="18.75" customHeight="1">
      <c r="A318" s="439"/>
      <c r="B318" s="546"/>
      <c r="C318" s="547"/>
      <c r="D318" s="446">
        <f>IF(C318=0,0,(VLOOKUP(C318,'PO MTRL'!$B$9:$S1518,2,0)))</f>
        <v>0</v>
      </c>
      <c r="E318" s="548" t="str">
        <f>IF(C318="","",(VLOOKUP(C318,'PO MTRL'!$B$9:$S1518,3,0)))</f>
        <v/>
      </c>
      <c r="F318" s="549">
        <f>IF(C318=0,0,(VLOOKUP(C318,'PO MTRL'!$B$9:$S1518,4,0)))</f>
        <v>0</v>
      </c>
      <c r="G318" s="444"/>
      <c r="H318" s="550">
        <f>IF(C318=0,0,(VLOOKUP(C318,'PO MTRL'!$B$9:$S1518,6,0)))</f>
        <v>0</v>
      </c>
      <c r="I318" s="446">
        <f>IF(C318=0,0,(VLOOKUP(C318,'PO MTRL'!$B$9:$S1518,7,0)))</f>
        <v>0</v>
      </c>
      <c r="J318" s="551">
        <f>IF(C318=0,0,(VLOOKUP(C318,'PO MTRL'!$B$9:$S1518,8,0)))</f>
        <v>0</v>
      </c>
      <c r="K318" s="559"/>
      <c r="L318" s="448">
        <f t="shared" si="1"/>
        <v>0</v>
      </c>
      <c r="M318" s="551">
        <f t="shared" si="2"/>
        <v>0</v>
      </c>
      <c r="N318" s="449">
        <f t="shared" si="3"/>
        <v>0</v>
      </c>
      <c r="O318" s="551">
        <f>IF(H318=0,0,(VLOOKUP(H318,'PO MTRL'!$G$9:$S1518,5,0)))</f>
        <v>0</v>
      </c>
      <c r="P318" s="551">
        <f>IF(H318=0,0,(VLOOKUP(H318,'PO MTRL'!$G$9:$S1518,7,0)))</f>
        <v>0</v>
      </c>
      <c r="Q318" s="551">
        <f t="shared" si="4"/>
        <v>0</v>
      </c>
      <c r="R318" s="551">
        <f t="shared" si="5"/>
        <v>0</v>
      </c>
      <c r="S318" s="550">
        <f>IF(C318=0,0,(VLOOKUP(C318,'PO MTRL'!$B$9:$S1518,17,0)))</f>
        <v>0</v>
      </c>
      <c r="T318" s="553"/>
      <c r="U318" s="554">
        <f>IF(C318=0,0,(VLOOKUP(C318,'PO MTRL'!$B$9:$S1518,18,0)))</f>
        <v>0</v>
      </c>
      <c r="V318" s="16"/>
      <c r="W318" s="119" t="str">
        <f t="shared" si="6"/>
        <v/>
      </c>
      <c r="X318" s="564">
        <f t="shared" si="7"/>
        <v>0</v>
      </c>
      <c r="Y318" s="119"/>
      <c r="Z318" s="119"/>
      <c r="AA318" s="530">
        <f>IFERROR(__xludf.DUMMYFUNCTION("""COMPUTED_VALUE"""),310.0)</f>
        <v>310</v>
      </c>
      <c r="AB318" s="119"/>
      <c r="AC318" s="119"/>
      <c r="AD318" s="119"/>
      <c r="AE318" s="119"/>
      <c r="AF318" s="119"/>
      <c r="AG318" s="555" t="str">
        <f t="shared" si="8"/>
        <v>  ---&gt;     ---&gt;   </v>
      </c>
      <c r="AH318" s="16"/>
      <c r="AI318" s="439"/>
      <c r="AJ318" s="439"/>
      <c r="AK318" s="439"/>
    </row>
    <row r="319" ht="18.75" customHeight="1">
      <c r="A319" s="439"/>
      <c r="B319" s="546"/>
      <c r="C319" s="547"/>
      <c r="D319" s="446">
        <f>IF(C319=0,0,(VLOOKUP(C319,'PO MTRL'!$B$9:$S1518,2,0)))</f>
        <v>0</v>
      </c>
      <c r="E319" s="548" t="str">
        <f>IF(C319="","",(VLOOKUP(C319,'PO MTRL'!$B$9:$S1518,3,0)))</f>
        <v/>
      </c>
      <c r="F319" s="549">
        <f>IF(C319=0,0,(VLOOKUP(C319,'PO MTRL'!$B$9:$S1518,4,0)))</f>
        <v>0</v>
      </c>
      <c r="G319" s="444"/>
      <c r="H319" s="550">
        <f>IF(C319=0,0,(VLOOKUP(C319,'PO MTRL'!$B$9:$S1518,6,0)))</f>
        <v>0</v>
      </c>
      <c r="I319" s="446">
        <f>IF(C319=0,0,(VLOOKUP(C319,'PO MTRL'!$B$9:$S1518,7,0)))</f>
        <v>0</v>
      </c>
      <c r="J319" s="551">
        <f>IF(C319=0,0,(VLOOKUP(C319,'PO MTRL'!$B$9:$S1518,8,0)))</f>
        <v>0</v>
      </c>
      <c r="K319" s="559"/>
      <c r="L319" s="448">
        <f t="shared" si="1"/>
        <v>0</v>
      </c>
      <c r="M319" s="551">
        <f t="shared" si="2"/>
        <v>0</v>
      </c>
      <c r="N319" s="449">
        <f t="shared" si="3"/>
        <v>0</v>
      </c>
      <c r="O319" s="551">
        <f>IF(H319=0,0,(VLOOKUP(H319,'PO MTRL'!$G$9:$S1518,5,0)))</f>
        <v>0</v>
      </c>
      <c r="P319" s="551">
        <f>IF(H319=0,0,(VLOOKUP(H319,'PO MTRL'!$G$9:$S1518,7,0)))</f>
        <v>0</v>
      </c>
      <c r="Q319" s="551">
        <f t="shared" si="4"/>
        <v>0</v>
      </c>
      <c r="R319" s="551">
        <f t="shared" si="5"/>
        <v>0</v>
      </c>
      <c r="S319" s="550">
        <f>IF(C319=0,0,(VLOOKUP(C319,'PO MTRL'!$B$9:$S1518,17,0)))</f>
        <v>0</v>
      </c>
      <c r="T319" s="553"/>
      <c r="U319" s="554">
        <f>IF(C319=0,0,(VLOOKUP(C319,'PO MTRL'!$B$9:$S1518,18,0)))</f>
        <v>0</v>
      </c>
      <c r="V319" s="16"/>
      <c r="W319" s="119" t="str">
        <f t="shared" si="6"/>
        <v/>
      </c>
      <c r="X319" s="564">
        <f t="shared" si="7"/>
        <v>0</v>
      </c>
      <c r="Y319" s="119"/>
      <c r="Z319" s="119"/>
      <c r="AA319" s="530">
        <f>IFERROR(__xludf.DUMMYFUNCTION("""COMPUTED_VALUE"""),311.0)</f>
        <v>311</v>
      </c>
      <c r="AB319" s="119"/>
      <c r="AC319" s="119"/>
      <c r="AD319" s="119"/>
      <c r="AE319" s="119"/>
      <c r="AF319" s="119"/>
      <c r="AG319" s="555" t="str">
        <f t="shared" si="8"/>
        <v>  ---&gt;     ---&gt;   </v>
      </c>
      <c r="AH319" s="16"/>
      <c r="AI319" s="439"/>
      <c r="AJ319" s="439"/>
      <c r="AK319" s="439"/>
    </row>
    <row r="320" ht="18.75" customHeight="1">
      <c r="A320" s="439"/>
      <c r="B320" s="546"/>
      <c r="C320" s="547"/>
      <c r="D320" s="446">
        <f>IF(C320=0,0,(VLOOKUP(C320,'PO MTRL'!$B$9:$S1518,2,0)))</f>
        <v>0</v>
      </c>
      <c r="E320" s="548" t="str">
        <f>IF(C320="","",(VLOOKUP(C320,'PO MTRL'!$B$9:$S1518,3,0)))</f>
        <v/>
      </c>
      <c r="F320" s="549">
        <f>IF(C320=0,0,(VLOOKUP(C320,'PO MTRL'!$B$9:$S1518,4,0)))</f>
        <v>0</v>
      </c>
      <c r="G320" s="444"/>
      <c r="H320" s="550">
        <f>IF(C320=0,0,(VLOOKUP(C320,'PO MTRL'!$B$9:$S1518,6,0)))</f>
        <v>0</v>
      </c>
      <c r="I320" s="446">
        <f>IF(C320=0,0,(VLOOKUP(C320,'PO MTRL'!$B$9:$S1518,7,0)))</f>
        <v>0</v>
      </c>
      <c r="J320" s="551">
        <f>IF(C320=0,0,(VLOOKUP(C320,'PO MTRL'!$B$9:$S1518,8,0)))</f>
        <v>0</v>
      </c>
      <c r="K320" s="559"/>
      <c r="L320" s="448">
        <f t="shared" si="1"/>
        <v>0</v>
      </c>
      <c r="M320" s="551">
        <f t="shared" si="2"/>
        <v>0</v>
      </c>
      <c r="N320" s="449">
        <f t="shared" si="3"/>
        <v>0</v>
      </c>
      <c r="O320" s="551">
        <f>IF(H320=0,0,(VLOOKUP(H320,'PO MTRL'!$G$9:$S1518,5,0)))</f>
        <v>0</v>
      </c>
      <c r="P320" s="551">
        <f>IF(H320=0,0,(VLOOKUP(H320,'PO MTRL'!$G$9:$S1518,7,0)))</f>
        <v>0</v>
      </c>
      <c r="Q320" s="551">
        <f t="shared" si="4"/>
        <v>0</v>
      </c>
      <c r="R320" s="551">
        <f t="shared" si="5"/>
        <v>0</v>
      </c>
      <c r="S320" s="550">
        <f>IF(C320=0,0,(VLOOKUP(C320,'PO MTRL'!$B$9:$S1518,17,0)))</f>
        <v>0</v>
      </c>
      <c r="T320" s="553"/>
      <c r="U320" s="554">
        <f>IF(C320=0,0,(VLOOKUP(C320,'PO MTRL'!$B$9:$S1518,18,0)))</f>
        <v>0</v>
      </c>
      <c r="V320" s="16"/>
      <c r="W320" s="119" t="str">
        <f t="shared" si="6"/>
        <v/>
      </c>
      <c r="X320" s="564">
        <f t="shared" si="7"/>
        <v>0</v>
      </c>
      <c r="Y320" s="119"/>
      <c r="Z320" s="119"/>
      <c r="AA320" s="530">
        <f>IFERROR(__xludf.DUMMYFUNCTION("""COMPUTED_VALUE"""),312.0)</f>
        <v>312</v>
      </c>
      <c r="AB320" s="119"/>
      <c r="AC320" s="119"/>
      <c r="AD320" s="119"/>
      <c r="AE320" s="119"/>
      <c r="AF320" s="119"/>
      <c r="AG320" s="555" t="str">
        <f t="shared" si="8"/>
        <v>  ---&gt;     ---&gt;   </v>
      </c>
      <c r="AH320" s="16"/>
      <c r="AI320" s="439"/>
      <c r="AJ320" s="439"/>
      <c r="AK320" s="439"/>
    </row>
    <row r="321" ht="18.75" customHeight="1">
      <c r="A321" s="439"/>
      <c r="B321" s="546"/>
      <c r="C321" s="547"/>
      <c r="D321" s="446">
        <f>IF(C321=0,0,(VLOOKUP(C321,'PO MTRL'!$B$9:$S1518,2,0)))</f>
        <v>0</v>
      </c>
      <c r="E321" s="548" t="str">
        <f>IF(C321="","",(VLOOKUP(C321,'PO MTRL'!$B$9:$S1518,3,0)))</f>
        <v/>
      </c>
      <c r="F321" s="549">
        <f>IF(C321=0,0,(VLOOKUP(C321,'PO MTRL'!$B$9:$S1518,4,0)))</f>
        <v>0</v>
      </c>
      <c r="G321" s="444"/>
      <c r="H321" s="550">
        <f>IF(C321=0,0,(VLOOKUP(C321,'PO MTRL'!$B$9:$S1518,6,0)))</f>
        <v>0</v>
      </c>
      <c r="I321" s="446">
        <f>IF(C321=0,0,(VLOOKUP(C321,'PO MTRL'!$B$9:$S1518,7,0)))</f>
        <v>0</v>
      </c>
      <c r="J321" s="551">
        <f>IF(C321=0,0,(VLOOKUP(C321,'PO MTRL'!$B$9:$S1518,8,0)))</f>
        <v>0</v>
      </c>
      <c r="K321" s="559"/>
      <c r="L321" s="448">
        <f t="shared" si="1"/>
        <v>0</v>
      </c>
      <c r="M321" s="551">
        <f t="shared" si="2"/>
        <v>0</v>
      </c>
      <c r="N321" s="449">
        <f t="shared" si="3"/>
        <v>0</v>
      </c>
      <c r="O321" s="551">
        <f>IF(H321=0,0,(VLOOKUP(H321,'PO MTRL'!$G$9:$S1518,5,0)))</f>
        <v>0</v>
      </c>
      <c r="P321" s="551">
        <f>IF(H321=0,0,(VLOOKUP(H321,'PO MTRL'!$G$9:$S1518,7,0)))</f>
        <v>0</v>
      </c>
      <c r="Q321" s="551">
        <f t="shared" si="4"/>
        <v>0</v>
      </c>
      <c r="R321" s="551">
        <f t="shared" si="5"/>
        <v>0</v>
      </c>
      <c r="S321" s="550">
        <f>IF(C321=0,0,(VLOOKUP(C321,'PO MTRL'!$B$9:$S1518,17,0)))</f>
        <v>0</v>
      </c>
      <c r="T321" s="553"/>
      <c r="U321" s="554">
        <f>IF(C321=0,0,(VLOOKUP(C321,'PO MTRL'!$B$9:$S1518,18,0)))</f>
        <v>0</v>
      </c>
      <c r="V321" s="16"/>
      <c r="W321" s="119" t="str">
        <f t="shared" si="6"/>
        <v/>
      </c>
      <c r="X321" s="564">
        <f t="shared" si="7"/>
        <v>0</v>
      </c>
      <c r="Y321" s="119"/>
      <c r="Z321" s="119"/>
      <c r="AA321" s="530">
        <f>IFERROR(__xludf.DUMMYFUNCTION("""COMPUTED_VALUE"""),313.0)</f>
        <v>313</v>
      </c>
      <c r="AB321" s="119"/>
      <c r="AC321" s="119"/>
      <c r="AD321" s="119"/>
      <c r="AE321" s="119"/>
      <c r="AF321" s="119"/>
      <c r="AG321" s="555" t="str">
        <f t="shared" si="8"/>
        <v>  ---&gt;     ---&gt;   </v>
      </c>
      <c r="AH321" s="16"/>
      <c r="AI321" s="439"/>
      <c r="AJ321" s="439"/>
      <c r="AK321" s="439"/>
    </row>
    <row r="322" ht="18.75" customHeight="1">
      <c r="A322" s="439"/>
      <c r="B322" s="546"/>
      <c r="C322" s="547"/>
      <c r="D322" s="446">
        <f>IF(C322=0,0,(VLOOKUP(C322,'PO MTRL'!$B$9:$S1518,2,0)))</f>
        <v>0</v>
      </c>
      <c r="E322" s="548" t="str">
        <f>IF(C322="","",(VLOOKUP(C322,'PO MTRL'!$B$9:$S1518,3,0)))</f>
        <v/>
      </c>
      <c r="F322" s="549">
        <f>IF(C322=0,0,(VLOOKUP(C322,'PO MTRL'!$B$9:$S1518,4,0)))</f>
        <v>0</v>
      </c>
      <c r="G322" s="444"/>
      <c r="H322" s="550">
        <f>IF(C322=0,0,(VLOOKUP(C322,'PO MTRL'!$B$9:$S1518,6,0)))</f>
        <v>0</v>
      </c>
      <c r="I322" s="446">
        <f>IF(C322=0,0,(VLOOKUP(C322,'PO MTRL'!$B$9:$S1518,7,0)))</f>
        <v>0</v>
      </c>
      <c r="J322" s="551">
        <f>IF(C322=0,0,(VLOOKUP(C322,'PO MTRL'!$B$9:$S1518,8,0)))</f>
        <v>0</v>
      </c>
      <c r="K322" s="559"/>
      <c r="L322" s="448">
        <f t="shared" si="1"/>
        <v>0</v>
      </c>
      <c r="M322" s="551">
        <f t="shared" si="2"/>
        <v>0</v>
      </c>
      <c r="N322" s="449">
        <f t="shared" si="3"/>
        <v>0</v>
      </c>
      <c r="O322" s="551">
        <f>IF(H322=0,0,(VLOOKUP(H322,'PO MTRL'!$G$9:$S1518,5,0)))</f>
        <v>0</v>
      </c>
      <c r="P322" s="551">
        <f>IF(H322=0,0,(VLOOKUP(H322,'PO MTRL'!$G$9:$S1518,7,0)))</f>
        <v>0</v>
      </c>
      <c r="Q322" s="551">
        <f t="shared" si="4"/>
        <v>0</v>
      </c>
      <c r="R322" s="551">
        <f t="shared" si="5"/>
        <v>0</v>
      </c>
      <c r="S322" s="550">
        <f>IF(C322=0,0,(VLOOKUP(C322,'PO MTRL'!$B$9:$S1518,17,0)))</f>
        <v>0</v>
      </c>
      <c r="T322" s="553"/>
      <c r="U322" s="554">
        <f>IF(C322=0,0,(VLOOKUP(C322,'PO MTRL'!$B$9:$S1518,18,0)))</f>
        <v>0</v>
      </c>
      <c r="V322" s="16"/>
      <c r="W322" s="119" t="str">
        <f t="shared" si="6"/>
        <v/>
      </c>
      <c r="X322" s="564">
        <f t="shared" si="7"/>
        <v>0</v>
      </c>
      <c r="Y322" s="119"/>
      <c r="Z322" s="119"/>
      <c r="AA322" s="530">
        <f>IFERROR(__xludf.DUMMYFUNCTION("""COMPUTED_VALUE"""),314.0)</f>
        <v>314</v>
      </c>
      <c r="AB322" s="119"/>
      <c r="AC322" s="119"/>
      <c r="AD322" s="119"/>
      <c r="AE322" s="119"/>
      <c r="AF322" s="119"/>
      <c r="AG322" s="555" t="str">
        <f t="shared" si="8"/>
        <v>  ---&gt;     ---&gt;   </v>
      </c>
      <c r="AH322" s="16"/>
      <c r="AI322" s="439"/>
      <c r="AJ322" s="439"/>
      <c r="AK322" s="439"/>
    </row>
    <row r="323" ht="18.75" customHeight="1">
      <c r="A323" s="439"/>
      <c r="B323" s="546"/>
      <c r="C323" s="547"/>
      <c r="D323" s="446">
        <f>IF(C323=0,0,(VLOOKUP(C323,'PO MTRL'!$B$9:$S1518,2,0)))</f>
        <v>0</v>
      </c>
      <c r="E323" s="548" t="str">
        <f>IF(C323="","",(VLOOKUP(C323,'PO MTRL'!$B$9:$S1518,3,0)))</f>
        <v/>
      </c>
      <c r="F323" s="549">
        <f>IF(C323=0,0,(VLOOKUP(C323,'PO MTRL'!$B$9:$S1518,4,0)))</f>
        <v>0</v>
      </c>
      <c r="G323" s="444"/>
      <c r="H323" s="550">
        <f>IF(C323=0,0,(VLOOKUP(C323,'PO MTRL'!$B$9:$S1518,6,0)))</f>
        <v>0</v>
      </c>
      <c r="I323" s="446">
        <f>IF(C323=0,0,(VLOOKUP(C323,'PO MTRL'!$B$9:$S1518,7,0)))</f>
        <v>0</v>
      </c>
      <c r="J323" s="551">
        <f>IF(C323=0,0,(VLOOKUP(C323,'PO MTRL'!$B$9:$S1518,8,0)))</f>
        <v>0</v>
      </c>
      <c r="K323" s="559"/>
      <c r="L323" s="448">
        <f t="shared" si="1"/>
        <v>0</v>
      </c>
      <c r="M323" s="551">
        <f t="shared" si="2"/>
        <v>0</v>
      </c>
      <c r="N323" s="449">
        <f t="shared" si="3"/>
        <v>0</v>
      </c>
      <c r="O323" s="551">
        <f>IF(H323=0,0,(VLOOKUP(H323,'PO MTRL'!$G$9:$S1518,5,0)))</f>
        <v>0</v>
      </c>
      <c r="P323" s="551">
        <f>IF(H323=0,0,(VLOOKUP(H323,'PO MTRL'!$G$9:$S1518,7,0)))</f>
        <v>0</v>
      </c>
      <c r="Q323" s="551">
        <f t="shared" si="4"/>
        <v>0</v>
      </c>
      <c r="R323" s="551">
        <f t="shared" si="5"/>
        <v>0</v>
      </c>
      <c r="S323" s="550">
        <f>IF(C323=0,0,(VLOOKUP(C323,'PO MTRL'!$B$9:$S1518,17,0)))</f>
        <v>0</v>
      </c>
      <c r="T323" s="553"/>
      <c r="U323" s="554">
        <f>IF(C323=0,0,(VLOOKUP(C323,'PO MTRL'!$B$9:$S1518,18,0)))</f>
        <v>0</v>
      </c>
      <c r="V323" s="16"/>
      <c r="W323" s="119" t="str">
        <f t="shared" si="6"/>
        <v/>
      </c>
      <c r="X323" s="564">
        <f t="shared" si="7"/>
        <v>0</v>
      </c>
      <c r="Y323" s="119"/>
      <c r="Z323" s="119"/>
      <c r="AA323" s="530">
        <f>IFERROR(__xludf.DUMMYFUNCTION("""COMPUTED_VALUE"""),315.0)</f>
        <v>315</v>
      </c>
      <c r="AB323" s="119"/>
      <c r="AC323" s="119"/>
      <c r="AD323" s="119"/>
      <c r="AE323" s="119"/>
      <c r="AF323" s="119"/>
      <c r="AG323" s="555" t="str">
        <f t="shared" si="8"/>
        <v>  ---&gt;     ---&gt;   </v>
      </c>
      <c r="AH323" s="16"/>
      <c r="AI323" s="439"/>
      <c r="AJ323" s="439"/>
      <c r="AK323" s="439"/>
    </row>
    <row r="324" ht="18.75" customHeight="1">
      <c r="A324" s="439"/>
      <c r="B324" s="546"/>
      <c r="C324" s="547"/>
      <c r="D324" s="446">
        <f>IF(C324=0,0,(VLOOKUP(C324,'PO MTRL'!$B$9:$S1518,2,0)))</f>
        <v>0</v>
      </c>
      <c r="E324" s="548" t="str">
        <f>IF(C324="","",(VLOOKUP(C324,'PO MTRL'!$B$9:$S1518,3,0)))</f>
        <v/>
      </c>
      <c r="F324" s="549">
        <f>IF(C324=0,0,(VLOOKUP(C324,'PO MTRL'!$B$9:$S1518,4,0)))</f>
        <v>0</v>
      </c>
      <c r="G324" s="444"/>
      <c r="H324" s="550">
        <f>IF(C324=0,0,(VLOOKUP(C324,'PO MTRL'!$B$9:$S1518,6,0)))</f>
        <v>0</v>
      </c>
      <c r="I324" s="446">
        <f>IF(C324=0,0,(VLOOKUP(C324,'PO MTRL'!$B$9:$S1518,7,0)))</f>
        <v>0</v>
      </c>
      <c r="J324" s="551">
        <f>IF(C324=0,0,(VLOOKUP(C324,'PO MTRL'!$B$9:$S1518,8,0)))</f>
        <v>0</v>
      </c>
      <c r="K324" s="559"/>
      <c r="L324" s="448">
        <f t="shared" si="1"/>
        <v>0</v>
      </c>
      <c r="M324" s="551">
        <f t="shared" si="2"/>
        <v>0</v>
      </c>
      <c r="N324" s="449">
        <f t="shared" si="3"/>
        <v>0</v>
      </c>
      <c r="O324" s="551">
        <f>IF(H324=0,0,(VLOOKUP(H324,'PO MTRL'!$G$9:$S1518,5,0)))</f>
        <v>0</v>
      </c>
      <c r="P324" s="551">
        <f>IF(H324=0,0,(VLOOKUP(H324,'PO MTRL'!$G$9:$S1518,7,0)))</f>
        <v>0</v>
      </c>
      <c r="Q324" s="551">
        <f t="shared" si="4"/>
        <v>0</v>
      </c>
      <c r="R324" s="551">
        <f t="shared" si="5"/>
        <v>0</v>
      </c>
      <c r="S324" s="550">
        <f>IF(C324=0,0,(VLOOKUP(C324,'PO MTRL'!$B$9:$S1518,17,0)))</f>
        <v>0</v>
      </c>
      <c r="T324" s="553"/>
      <c r="U324" s="554">
        <f>IF(C324=0,0,(VLOOKUP(C324,'PO MTRL'!$B$9:$S1518,18,0)))</f>
        <v>0</v>
      </c>
      <c r="V324" s="16"/>
      <c r="W324" s="119" t="str">
        <f t="shared" si="6"/>
        <v/>
      </c>
      <c r="X324" s="564">
        <f t="shared" si="7"/>
        <v>0</v>
      </c>
      <c r="Y324" s="119"/>
      <c r="Z324" s="119"/>
      <c r="AA324" s="530">
        <f>IFERROR(__xludf.DUMMYFUNCTION("""COMPUTED_VALUE"""),316.0)</f>
        <v>316</v>
      </c>
      <c r="AB324" s="119"/>
      <c r="AC324" s="119"/>
      <c r="AD324" s="119"/>
      <c r="AE324" s="119"/>
      <c r="AF324" s="119"/>
      <c r="AG324" s="555" t="str">
        <f t="shared" si="8"/>
        <v>  ---&gt;     ---&gt;   </v>
      </c>
      <c r="AH324" s="16"/>
      <c r="AI324" s="439"/>
      <c r="AJ324" s="439"/>
      <c r="AK324" s="439"/>
    </row>
    <row r="325" ht="18.75" customHeight="1">
      <c r="A325" s="439"/>
      <c r="B325" s="546"/>
      <c r="C325" s="547"/>
      <c r="D325" s="446">
        <f>IF(C325=0,0,(VLOOKUP(C325,'PO MTRL'!$B$9:$S1518,2,0)))</f>
        <v>0</v>
      </c>
      <c r="E325" s="548" t="str">
        <f>IF(C325="","",(VLOOKUP(C325,'PO MTRL'!$B$9:$S1518,3,0)))</f>
        <v/>
      </c>
      <c r="F325" s="549">
        <f>IF(C325=0,0,(VLOOKUP(C325,'PO MTRL'!$B$9:$S1518,4,0)))</f>
        <v>0</v>
      </c>
      <c r="G325" s="444"/>
      <c r="H325" s="550">
        <f>IF(C325=0,0,(VLOOKUP(C325,'PO MTRL'!$B$9:$S1518,6,0)))</f>
        <v>0</v>
      </c>
      <c r="I325" s="446">
        <f>IF(C325=0,0,(VLOOKUP(C325,'PO MTRL'!$B$9:$S1518,7,0)))</f>
        <v>0</v>
      </c>
      <c r="J325" s="551">
        <f>IF(C325=0,0,(VLOOKUP(C325,'PO MTRL'!$B$9:$S1518,8,0)))</f>
        <v>0</v>
      </c>
      <c r="K325" s="559"/>
      <c r="L325" s="448">
        <f t="shared" si="1"/>
        <v>0</v>
      </c>
      <c r="M325" s="551">
        <f t="shared" si="2"/>
        <v>0</v>
      </c>
      <c r="N325" s="449">
        <f t="shared" si="3"/>
        <v>0</v>
      </c>
      <c r="O325" s="551">
        <f>IF(H325=0,0,(VLOOKUP(H325,'PO MTRL'!$G$9:$S1518,5,0)))</f>
        <v>0</v>
      </c>
      <c r="P325" s="551">
        <f>IF(H325=0,0,(VLOOKUP(H325,'PO MTRL'!$G$9:$S1518,7,0)))</f>
        <v>0</v>
      </c>
      <c r="Q325" s="551">
        <f t="shared" si="4"/>
        <v>0</v>
      </c>
      <c r="R325" s="551">
        <f t="shared" si="5"/>
        <v>0</v>
      </c>
      <c r="S325" s="550">
        <f>IF(C325=0,0,(VLOOKUP(C325,'PO MTRL'!$B$9:$S1518,17,0)))</f>
        <v>0</v>
      </c>
      <c r="T325" s="553"/>
      <c r="U325" s="554">
        <f>IF(C325=0,0,(VLOOKUP(C325,'PO MTRL'!$B$9:$S1518,18,0)))</f>
        <v>0</v>
      </c>
      <c r="V325" s="16"/>
      <c r="W325" s="119" t="str">
        <f t="shared" si="6"/>
        <v/>
      </c>
      <c r="X325" s="564">
        <f t="shared" si="7"/>
        <v>0</v>
      </c>
      <c r="Y325" s="119"/>
      <c r="Z325" s="119"/>
      <c r="AA325" s="530">
        <f>IFERROR(__xludf.DUMMYFUNCTION("""COMPUTED_VALUE"""),317.0)</f>
        <v>317</v>
      </c>
      <c r="AB325" s="119"/>
      <c r="AC325" s="119"/>
      <c r="AD325" s="119"/>
      <c r="AE325" s="119"/>
      <c r="AF325" s="119"/>
      <c r="AG325" s="555" t="str">
        <f t="shared" si="8"/>
        <v>  ---&gt;     ---&gt;   </v>
      </c>
      <c r="AH325" s="16"/>
      <c r="AI325" s="439"/>
      <c r="AJ325" s="439"/>
      <c r="AK325" s="439"/>
    </row>
    <row r="326" ht="18.75" customHeight="1">
      <c r="A326" s="439"/>
      <c r="B326" s="546"/>
      <c r="C326" s="547"/>
      <c r="D326" s="446">
        <f>IF(C326=0,0,(VLOOKUP(C326,'PO MTRL'!$B$9:$S1518,2,0)))</f>
        <v>0</v>
      </c>
      <c r="E326" s="548" t="str">
        <f>IF(C326="","",(VLOOKUP(C326,'PO MTRL'!$B$9:$S1518,3,0)))</f>
        <v/>
      </c>
      <c r="F326" s="549">
        <f>IF(C326=0,0,(VLOOKUP(C326,'PO MTRL'!$B$9:$S1518,4,0)))</f>
        <v>0</v>
      </c>
      <c r="G326" s="444"/>
      <c r="H326" s="550">
        <f>IF(C326=0,0,(VLOOKUP(C326,'PO MTRL'!$B$9:$S1518,6,0)))</f>
        <v>0</v>
      </c>
      <c r="I326" s="446">
        <f>IF(C326=0,0,(VLOOKUP(C326,'PO MTRL'!$B$9:$S1518,7,0)))</f>
        <v>0</v>
      </c>
      <c r="J326" s="551">
        <f>IF(C326=0,0,(VLOOKUP(C326,'PO MTRL'!$B$9:$S1518,8,0)))</f>
        <v>0</v>
      </c>
      <c r="K326" s="559"/>
      <c r="L326" s="448">
        <f t="shared" si="1"/>
        <v>0</v>
      </c>
      <c r="M326" s="551">
        <f t="shared" si="2"/>
        <v>0</v>
      </c>
      <c r="N326" s="449">
        <f t="shared" si="3"/>
        <v>0</v>
      </c>
      <c r="O326" s="551">
        <f>IF(H326=0,0,(VLOOKUP(H326,'PO MTRL'!$G$9:$S1518,5,0)))</f>
        <v>0</v>
      </c>
      <c r="P326" s="551">
        <f>IF(H326=0,0,(VLOOKUP(H326,'PO MTRL'!$G$9:$S1518,7,0)))</f>
        <v>0</v>
      </c>
      <c r="Q326" s="551">
        <f t="shared" si="4"/>
        <v>0</v>
      </c>
      <c r="R326" s="551">
        <f t="shared" si="5"/>
        <v>0</v>
      </c>
      <c r="S326" s="550">
        <f>IF(C326=0,0,(VLOOKUP(C326,'PO MTRL'!$B$9:$S1518,17,0)))</f>
        <v>0</v>
      </c>
      <c r="T326" s="553"/>
      <c r="U326" s="554">
        <f>IF(C326=0,0,(VLOOKUP(C326,'PO MTRL'!$B$9:$S1518,18,0)))</f>
        <v>0</v>
      </c>
      <c r="V326" s="16"/>
      <c r="W326" s="119" t="str">
        <f t="shared" si="6"/>
        <v/>
      </c>
      <c r="X326" s="564">
        <f t="shared" si="7"/>
        <v>0</v>
      </c>
      <c r="Y326" s="119"/>
      <c r="Z326" s="119"/>
      <c r="AA326" s="530">
        <f>IFERROR(__xludf.DUMMYFUNCTION("""COMPUTED_VALUE"""),318.0)</f>
        <v>318</v>
      </c>
      <c r="AB326" s="119"/>
      <c r="AC326" s="119"/>
      <c r="AD326" s="119"/>
      <c r="AE326" s="119"/>
      <c r="AF326" s="119"/>
      <c r="AG326" s="555" t="str">
        <f t="shared" si="8"/>
        <v>  ---&gt;     ---&gt;   </v>
      </c>
      <c r="AH326" s="16"/>
      <c r="AI326" s="439"/>
      <c r="AJ326" s="439"/>
      <c r="AK326" s="439"/>
    </row>
    <row r="327" ht="18.75" customHeight="1">
      <c r="A327" s="439"/>
      <c r="B327" s="546"/>
      <c r="C327" s="547"/>
      <c r="D327" s="446">
        <f>IF(C327=0,0,(VLOOKUP(C327,'PO MTRL'!$B$9:$S1518,2,0)))</f>
        <v>0</v>
      </c>
      <c r="E327" s="548" t="str">
        <f>IF(C327="","",(VLOOKUP(C327,'PO MTRL'!$B$9:$S1518,3,0)))</f>
        <v/>
      </c>
      <c r="F327" s="549">
        <f>IF(C327=0,0,(VLOOKUP(C327,'PO MTRL'!$B$9:$S1518,4,0)))</f>
        <v>0</v>
      </c>
      <c r="G327" s="444"/>
      <c r="H327" s="550">
        <f>IF(C327=0,0,(VLOOKUP(C327,'PO MTRL'!$B$9:$S1518,6,0)))</f>
        <v>0</v>
      </c>
      <c r="I327" s="446">
        <f>IF(C327=0,0,(VLOOKUP(C327,'PO MTRL'!$B$9:$S1518,7,0)))</f>
        <v>0</v>
      </c>
      <c r="J327" s="551">
        <f>IF(C327=0,0,(VLOOKUP(C327,'PO MTRL'!$B$9:$S1518,8,0)))</f>
        <v>0</v>
      </c>
      <c r="K327" s="559"/>
      <c r="L327" s="448">
        <f t="shared" si="1"/>
        <v>0</v>
      </c>
      <c r="M327" s="551">
        <f t="shared" si="2"/>
        <v>0</v>
      </c>
      <c r="N327" s="449">
        <f t="shared" si="3"/>
        <v>0</v>
      </c>
      <c r="O327" s="551">
        <f>IF(H327=0,0,(VLOOKUP(H327,'PO MTRL'!$G$9:$S1518,5,0)))</f>
        <v>0</v>
      </c>
      <c r="P327" s="551">
        <f>IF(H327=0,0,(VLOOKUP(H327,'PO MTRL'!$G$9:$S1518,7,0)))</f>
        <v>0</v>
      </c>
      <c r="Q327" s="551">
        <f t="shared" si="4"/>
        <v>0</v>
      </c>
      <c r="R327" s="551">
        <f t="shared" si="5"/>
        <v>0</v>
      </c>
      <c r="S327" s="550">
        <f>IF(C327=0,0,(VLOOKUP(C327,'PO MTRL'!$B$9:$S1518,17,0)))</f>
        <v>0</v>
      </c>
      <c r="T327" s="553"/>
      <c r="U327" s="554">
        <f>IF(C327=0,0,(VLOOKUP(C327,'PO MTRL'!$B$9:$S1518,18,0)))</f>
        <v>0</v>
      </c>
      <c r="V327" s="16"/>
      <c r="W327" s="119" t="str">
        <f t="shared" si="6"/>
        <v/>
      </c>
      <c r="X327" s="564">
        <f t="shared" si="7"/>
        <v>0</v>
      </c>
      <c r="Y327" s="119"/>
      <c r="Z327" s="119"/>
      <c r="AA327" s="530">
        <f>IFERROR(__xludf.DUMMYFUNCTION("""COMPUTED_VALUE"""),319.0)</f>
        <v>319</v>
      </c>
      <c r="AB327" s="119"/>
      <c r="AC327" s="119"/>
      <c r="AD327" s="119"/>
      <c r="AE327" s="119"/>
      <c r="AF327" s="119"/>
      <c r="AG327" s="555" t="str">
        <f t="shared" si="8"/>
        <v>  ---&gt;     ---&gt;   </v>
      </c>
      <c r="AH327" s="16"/>
      <c r="AI327" s="439"/>
      <c r="AJ327" s="439"/>
      <c r="AK327" s="439"/>
    </row>
    <row r="328" ht="18.75" customHeight="1">
      <c r="A328" s="439"/>
      <c r="B328" s="546"/>
      <c r="C328" s="547"/>
      <c r="D328" s="446">
        <f>IF(C328=0,0,(VLOOKUP(C328,'PO MTRL'!$B$9:$S1518,2,0)))</f>
        <v>0</v>
      </c>
      <c r="E328" s="548" t="str">
        <f>IF(C328="","",(VLOOKUP(C328,'PO MTRL'!$B$9:$S1518,3,0)))</f>
        <v/>
      </c>
      <c r="F328" s="549">
        <f>IF(C328=0,0,(VLOOKUP(C328,'PO MTRL'!$B$9:$S1518,4,0)))</f>
        <v>0</v>
      </c>
      <c r="G328" s="444"/>
      <c r="H328" s="550">
        <f>IF(C328=0,0,(VLOOKUP(C328,'PO MTRL'!$B$9:$S1518,6,0)))</f>
        <v>0</v>
      </c>
      <c r="I328" s="446">
        <f>IF(C328=0,0,(VLOOKUP(C328,'PO MTRL'!$B$9:$S1518,7,0)))</f>
        <v>0</v>
      </c>
      <c r="J328" s="551">
        <f>IF(C328=0,0,(VLOOKUP(C328,'PO MTRL'!$B$9:$S1518,8,0)))</f>
        <v>0</v>
      </c>
      <c r="K328" s="559"/>
      <c r="L328" s="448">
        <f t="shared" si="1"/>
        <v>0</v>
      </c>
      <c r="M328" s="551">
        <f t="shared" si="2"/>
        <v>0</v>
      </c>
      <c r="N328" s="449">
        <f t="shared" si="3"/>
        <v>0</v>
      </c>
      <c r="O328" s="551">
        <f>IF(H328=0,0,(VLOOKUP(H328,'PO MTRL'!$G$9:$S1518,5,0)))</f>
        <v>0</v>
      </c>
      <c r="P328" s="551">
        <f>IF(H328=0,0,(VLOOKUP(H328,'PO MTRL'!$G$9:$S1518,7,0)))</f>
        <v>0</v>
      </c>
      <c r="Q328" s="551">
        <f t="shared" si="4"/>
        <v>0</v>
      </c>
      <c r="R328" s="551">
        <f t="shared" si="5"/>
        <v>0</v>
      </c>
      <c r="S328" s="550">
        <f>IF(C328=0,0,(VLOOKUP(C328,'PO MTRL'!$B$9:$S1518,17,0)))</f>
        <v>0</v>
      </c>
      <c r="T328" s="553"/>
      <c r="U328" s="554">
        <f>IF(C328=0,0,(VLOOKUP(C328,'PO MTRL'!$B$9:$S1518,18,0)))</f>
        <v>0</v>
      </c>
      <c r="V328" s="16"/>
      <c r="W328" s="119" t="str">
        <f t="shared" si="6"/>
        <v/>
      </c>
      <c r="X328" s="564">
        <f t="shared" si="7"/>
        <v>0</v>
      </c>
      <c r="Y328" s="119"/>
      <c r="Z328" s="119"/>
      <c r="AA328" s="530">
        <f>IFERROR(__xludf.DUMMYFUNCTION("""COMPUTED_VALUE"""),320.0)</f>
        <v>320</v>
      </c>
      <c r="AB328" s="119"/>
      <c r="AC328" s="119"/>
      <c r="AD328" s="119"/>
      <c r="AE328" s="119"/>
      <c r="AF328" s="119"/>
      <c r="AG328" s="555" t="str">
        <f t="shared" si="8"/>
        <v>  ---&gt;     ---&gt;   </v>
      </c>
      <c r="AH328" s="16"/>
      <c r="AI328" s="439"/>
      <c r="AJ328" s="439"/>
      <c r="AK328" s="439"/>
    </row>
    <row r="329" ht="18.75" customHeight="1">
      <c r="A329" s="439"/>
      <c r="B329" s="546"/>
      <c r="C329" s="547"/>
      <c r="D329" s="446">
        <f>IF(C329=0,0,(VLOOKUP(C329,'PO MTRL'!$B$9:$S1518,2,0)))</f>
        <v>0</v>
      </c>
      <c r="E329" s="548" t="str">
        <f>IF(C329="","",(VLOOKUP(C329,'PO MTRL'!$B$9:$S1518,3,0)))</f>
        <v/>
      </c>
      <c r="F329" s="549">
        <f>IF(C329=0,0,(VLOOKUP(C329,'PO MTRL'!$B$9:$S1518,4,0)))</f>
        <v>0</v>
      </c>
      <c r="G329" s="444"/>
      <c r="H329" s="550">
        <f>IF(C329=0,0,(VLOOKUP(C329,'PO MTRL'!$B$9:$S1518,6,0)))</f>
        <v>0</v>
      </c>
      <c r="I329" s="446">
        <f>IF(C329=0,0,(VLOOKUP(C329,'PO MTRL'!$B$9:$S1518,7,0)))</f>
        <v>0</v>
      </c>
      <c r="J329" s="551">
        <f>IF(C329=0,0,(VLOOKUP(C329,'PO MTRL'!$B$9:$S1518,8,0)))</f>
        <v>0</v>
      </c>
      <c r="K329" s="559"/>
      <c r="L329" s="448">
        <f t="shared" si="1"/>
        <v>0</v>
      </c>
      <c r="M329" s="551">
        <f t="shared" si="2"/>
        <v>0</v>
      </c>
      <c r="N329" s="449">
        <f t="shared" si="3"/>
        <v>0</v>
      </c>
      <c r="O329" s="551">
        <f>IF(H329=0,0,(VLOOKUP(H329,'PO MTRL'!$G$9:$S1518,5,0)))</f>
        <v>0</v>
      </c>
      <c r="P329" s="551">
        <f>IF(H329=0,0,(VLOOKUP(H329,'PO MTRL'!$G$9:$S1518,7,0)))</f>
        <v>0</v>
      </c>
      <c r="Q329" s="551">
        <f t="shared" si="4"/>
        <v>0</v>
      </c>
      <c r="R329" s="551">
        <f t="shared" si="5"/>
        <v>0</v>
      </c>
      <c r="S329" s="550">
        <f>IF(C329=0,0,(VLOOKUP(C329,'PO MTRL'!$B$9:$S1518,17,0)))</f>
        <v>0</v>
      </c>
      <c r="T329" s="553"/>
      <c r="U329" s="554">
        <f>IF(C329=0,0,(VLOOKUP(C329,'PO MTRL'!$B$9:$S1518,18,0)))</f>
        <v>0</v>
      </c>
      <c r="V329" s="16"/>
      <c r="W329" s="119" t="str">
        <f t="shared" si="6"/>
        <v/>
      </c>
      <c r="X329" s="564">
        <f t="shared" si="7"/>
        <v>0</v>
      </c>
      <c r="Y329" s="119"/>
      <c r="Z329" s="119"/>
      <c r="AA329" s="530">
        <f>IFERROR(__xludf.DUMMYFUNCTION("""COMPUTED_VALUE"""),321.0)</f>
        <v>321</v>
      </c>
      <c r="AB329" s="119"/>
      <c r="AC329" s="119"/>
      <c r="AD329" s="119"/>
      <c r="AE329" s="119"/>
      <c r="AF329" s="119"/>
      <c r="AG329" s="555" t="str">
        <f t="shared" si="8"/>
        <v>  ---&gt;     ---&gt;   </v>
      </c>
      <c r="AH329" s="16"/>
      <c r="AI329" s="439"/>
      <c r="AJ329" s="439"/>
      <c r="AK329" s="439"/>
    </row>
    <row r="330" ht="18.75" customHeight="1">
      <c r="A330" s="439"/>
      <c r="B330" s="546"/>
      <c r="C330" s="547"/>
      <c r="D330" s="446">
        <f>IF(C330=0,0,(VLOOKUP(C330,'PO MTRL'!$B$9:$S1518,2,0)))</f>
        <v>0</v>
      </c>
      <c r="E330" s="548" t="str">
        <f>IF(C330="","",(VLOOKUP(C330,'PO MTRL'!$B$9:$S1518,3,0)))</f>
        <v/>
      </c>
      <c r="F330" s="549">
        <f>IF(C330=0,0,(VLOOKUP(C330,'PO MTRL'!$B$9:$S1518,4,0)))</f>
        <v>0</v>
      </c>
      <c r="G330" s="444"/>
      <c r="H330" s="550">
        <f>IF(C330=0,0,(VLOOKUP(C330,'PO MTRL'!$B$9:$S1518,6,0)))</f>
        <v>0</v>
      </c>
      <c r="I330" s="446">
        <f>IF(C330=0,0,(VLOOKUP(C330,'PO MTRL'!$B$9:$S1518,7,0)))</f>
        <v>0</v>
      </c>
      <c r="J330" s="551">
        <f>IF(C330=0,0,(VLOOKUP(C330,'PO MTRL'!$B$9:$S1518,8,0)))</f>
        <v>0</v>
      </c>
      <c r="K330" s="559"/>
      <c r="L330" s="448">
        <f t="shared" si="1"/>
        <v>0</v>
      </c>
      <c r="M330" s="551">
        <f t="shared" si="2"/>
        <v>0</v>
      </c>
      <c r="N330" s="449">
        <f t="shared" si="3"/>
        <v>0</v>
      </c>
      <c r="O330" s="551">
        <f>IF(H330=0,0,(VLOOKUP(H330,'PO MTRL'!$G$9:$S1518,5,0)))</f>
        <v>0</v>
      </c>
      <c r="P330" s="551">
        <f>IF(H330=0,0,(VLOOKUP(H330,'PO MTRL'!$G$9:$S1518,7,0)))</f>
        <v>0</v>
      </c>
      <c r="Q330" s="551">
        <f t="shared" si="4"/>
        <v>0</v>
      </c>
      <c r="R330" s="551">
        <f t="shared" si="5"/>
        <v>0</v>
      </c>
      <c r="S330" s="550">
        <f>IF(C330=0,0,(VLOOKUP(C330,'PO MTRL'!$B$9:$S1518,17,0)))</f>
        <v>0</v>
      </c>
      <c r="T330" s="553"/>
      <c r="U330" s="554">
        <f>IF(C330=0,0,(VLOOKUP(C330,'PO MTRL'!$B$9:$S1518,18,0)))</f>
        <v>0</v>
      </c>
      <c r="V330" s="16"/>
      <c r="W330" s="119" t="str">
        <f t="shared" si="6"/>
        <v/>
      </c>
      <c r="X330" s="564">
        <f t="shared" si="7"/>
        <v>0</v>
      </c>
      <c r="Y330" s="119"/>
      <c r="Z330" s="119"/>
      <c r="AA330" s="530">
        <f>IFERROR(__xludf.DUMMYFUNCTION("""COMPUTED_VALUE"""),322.0)</f>
        <v>322</v>
      </c>
      <c r="AB330" s="119"/>
      <c r="AC330" s="119"/>
      <c r="AD330" s="119"/>
      <c r="AE330" s="119"/>
      <c r="AF330" s="119"/>
      <c r="AG330" s="555" t="str">
        <f t="shared" si="8"/>
        <v>  ---&gt;     ---&gt;   </v>
      </c>
      <c r="AH330" s="16"/>
      <c r="AI330" s="439"/>
      <c r="AJ330" s="439"/>
      <c r="AK330" s="439"/>
    </row>
    <row r="331" ht="18.75" customHeight="1">
      <c r="A331" s="439"/>
      <c r="B331" s="546"/>
      <c r="C331" s="547"/>
      <c r="D331" s="446">
        <f>IF(C331=0,0,(VLOOKUP(C331,'PO MTRL'!$B$9:$S1518,2,0)))</f>
        <v>0</v>
      </c>
      <c r="E331" s="548" t="str">
        <f>IF(C331="","",(VLOOKUP(C331,'PO MTRL'!$B$9:$S1518,3,0)))</f>
        <v/>
      </c>
      <c r="F331" s="549">
        <f>IF(C331=0,0,(VLOOKUP(C331,'PO MTRL'!$B$9:$S1518,4,0)))</f>
        <v>0</v>
      </c>
      <c r="G331" s="444"/>
      <c r="H331" s="550">
        <f>IF(C331=0,0,(VLOOKUP(C331,'PO MTRL'!$B$9:$S1518,6,0)))</f>
        <v>0</v>
      </c>
      <c r="I331" s="446">
        <f>IF(C331=0,0,(VLOOKUP(C331,'PO MTRL'!$B$9:$S1518,7,0)))</f>
        <v>0</v>
      </c>
      <c r="J331" s="551">
        <f>IF(C331=0,0,(VLOOKUP(C331,'PO MTRL'!$B$9:$S1518,8,0)))</f>
        <v>0</v>
      </c>
      <c r="K331" s="559"/>
      <c r="L331" s="448">
        <f t="shared" si="1"/>
        <v>0</v>
      </c>
      <c r="M331" s="551">
        <f t="shared" si="2"/>
        <v>0</v>
      </c>
      <c r="N331" s="449">
        <f t="shared" si="3"/>
        <v>0</v>
      </c>
      <c r="O331" s="551">
        <f>IF(H331=0,0,(VLOOKUP(H331,'PO MTRL'!$G$9:$S1518,5,0)))</f>
        <v>0</v>
      </c>
      <c r="P331" s="551">
        <f>IF(H331=0,0,(VLOOKUP(H331,'PO MTRL'!$G$9:$S1518,7,0)))</f>
        <v>0</v>
      </c>
      <c r="Q331" s="551">
        <f t="shared" si="4"/>
        <v>0</v>
      </c>
      <c r="R331" s="551">
        <f t="shared" si="5"/>
        <v>0</v>
      </c>
      <c r="S331" s="550">
        <f>IF(C331=0,0,(VLOOKUP(C331,'PO MTRL'!$B$9:$S1518,17,0)))</f>
        <v>0</v>
      </c>
      <c r="T331" s="553"/>
      <c r="U331" s="554">
        <f>IF(C331=0,0,(VLOOKUP(C331,'PO MTRL'!$B$9:$S1518,18,0)))</f>
        <v>0</v>
      </c>
      <c r="V331" s="16"/>
      <c r="W331" s="119" t="str">
        <f t="shared" si="6"/>
        <v/>
      </c>
      <c r="X331" s="564">
        <f t="shared" si="7"/>
        <v>0</v>
      </c>
      <c r="Y331" s="119"/>
      <c r="Z331" s="119"/>
      <c r="AA331" s="530">
        <f>IFERROR(__xludf.DUMMYFUNCTION("""COMPUTED_VALUE"""),323.0)</f>
        <v>323</v>
      </c>
      <c r="AB331" s="119"/>
      <c r="AC331" s="119"/>
      <c r="AD331" s="119"/>
      <c r="AE331" s="119"/>
      <c r="AF331" s="119"/>
      <c r="AG331" s="555" t="str">
        <f t="shared" si="8"/>
        <v>  ---&gt;     ---&gt;   </v>
      </c>
      <c r="AH331" s="16"/>
      <c r="AI331" s="439"/>
      <c r="AJ331" s="439"/>
      <c r="AK331" s="439"/>
    </row>
    <row r="332" ht="18.75" customHeight="1">
      <c r="A332" s="439"/>
      <c r="B332" s="546"/>
      <c r="C332" s="547"/>
      <c r="D332" s="446">
        <f>IF(C332=0,0,(VLOOKUP(C332,'PO MTRL'!$B$9:$S1518,2,0)))</f>
        <v>0</v>
      </c>
      <c r="E332" s="548" t="str">
        <f>IF(C332="","",(VLOOKUP(C332,'PO MTRL'!$B$9:$S1518,3,0)))</f>
        <v/>
      </c>
      <c r="F332" s="549">
        <f>IF(C332=0,0,(VLOOKUP(C332,'PO MTRL'!$B$9:$S1518,4,0)))</f>
        <v>0</v>
      </c>
      <c r="G332" s="444"/>
      <c r="H332" s="550">
        <f>IF(C332=0,0,(VLOOKUP(C332,'PO MTRL'!$B$9:$S1518,6,0)))</f>
        <v>0</v>
      </c>
      <c r="I332" s="446">
        <f>IF(C332=0,0,(VLOOKUP(C332,'PO MTRL'!$B$9:$S1518,7,0)))</f>
        <v>0</v>
      </c>
      <c r="J332" s="551">
        <f>IF(C332=0,0,(VLOOKUP(C332,'PO MTRL'!$B$9:$S1518,8,0)))</f>
        <v>0</v>
      </c>
      <c r="K332" s="559"/>
      <c r="L332" s="448">
        <f t="shared" si="1"/>
        <v>0</v>
      </c>
      <c r="M332" s="551">
        <f t="shared" si="2"/>
        <v>0</v>
      </c>
      <c r="N332" s="449">
        <f t="shared" si="3"/>
        <v>0</v>
      </c>
      <c r="O332" s="551">
        <f>IF(H332=0,0,(VLOOKUP(H332,'PO MTRL'!$G$9:$S1518,5,0)))</f>
        <v>0</v>
      </c>
      <c r="P332" s="551">
        <f>IF(H332=0,0,(VLOOKUP(H332,'PO MTRL'!$G$9:$S1518,7,0)))</f>
        <v>0</v>
      </c>
      <c r="Q332" s="551">
        <f t="shared" si="4"/>
        <v>0</v>
      </c>
      <c r="R332" s="551">
        <f t="shared" si="5"/>
        <v>0</v>
      </c>
      <c r="S332" s="550">
        <f>IF(C332=0,0,(VLOOKUP(C332,'PO MTRL'!$B$9:$S1518,17,0)))</f>
        <v>0</v>
      </c>
      <c r="T332" s="553"/>
      <c r="U332" s="554">
        <f>IF(C332=0,0,(VLOOKUP(C332,'PO MTRL'!$B$9:$S1518,18,0)))</f>
        <v>0</v>
      </c>
      <c r="V332" s="16"/>
      <c r="W332" s="119" t="str">
        <f t="shared" si="6"/>
        <v/>
      </c>
      <c r="X332" s="564">
        <f t="shared" si="7"/>
        <v>0</v>
      </c>
      <c r="Y332" s="119"/>
      <c r="Z332" s="119"/>
      <c r="AA332" s="530">
        <f>IFERROR(__xludf.DUMMYFUNCTION("""COMPUTED_VALUE"""),324.0)</f>
        <v>324</v>
      </c>
      <c r="AB332" s="119"/>
      <c r="AC332" s="119"/>
      <c r="AD332" s="119"/>
      <c r="AE332" s="119"/>
      <c r="AF332" s="119"/>
      <c r="AG332" s="555" t="str">
        <f t="shared" si="8"/>
        <v>  ---&gt;     ---&gt;   </v>
      </c>
      <c r="AH332" s="16"/>
      <c r="AI332" s="439"/>
      <c r="AJ332" s="439"/>
      <c r="AK332" s="439"/>
    </row>
    <row r="333" ht="18.75" customHeight="1">
      <c r="A333" s="439"/>
      <c r="B333" s="546"/>
      <c r="C333" s="547"/>
      <c r="D333" s="446">
        <f>IF(C333=0,0,(VLOOKUP(C333,'PO MTRL'!$B$9:$S1518,2,0)))</f>
        <v>0</v>
      </c>
      <c r="E333" s="548" t="str">
        <f>IF(C333="","",(VLOOKUP(C333,'PO MTRL'!$B$9:$S1518,3,0)))</f>
        <v/>
      </c>
      <c r="F333" s="549">
        <f>IF(C333=0,0,(VLOOKUP(C333,'PO MTRL'!$B$9:$S1518,4,0)))</f>
        <v>0</v>
      </c>
      <c r="G333" s="444"/>
      <c r="H333" s="550">
        <f>IF(C333=0,0,(VLOOKUP(C333,'PO MTRL'!$B$9:$S1518,6,0)))</f>
        <v>0</v>
      </c>
      <c r="I333" s="446">
        <f>IF(C333=0,0,(VLOOKUP(C333,'PO MTRL'!$B$9:$S1518,7,0)))</f>
        <v>0</v>
      </c>
      <c r="J333" s="551">
        <f>IF(C333=0,0,(VLOOKUP(C333,'PO MTRL'!$B$9:$S1518,8,0)))</f>
        <v>0</v>
      </c>
      <c r="K333" s="559"/>
      <c r="L333" s="448">
        <f t="shared" si="1"/>
        <v>0</v>
      </c>
      <c r="M333" s="551">
        <f t="shared" si="2"/>
        <v>0</v>
      </c>
      <c r="N333" s="449">
        <f t="shared" si="3"/>
        <v>0</v>
      </c>
      <c r="O333" s="551">
        <f>IF(H333=0,0,(VLOOKUP(H333,'PO MTRL'!$G$9:$S1518,5,0)))</f>
        <v>0</v>
      </c>
      <c r="P333" s="551">
        <f>IF(H333=0,0,(VLOOKUP(H333,'PO MTRL'!$G$9:$S1518,7,0)))</f>
        <v>0</v>
      </c>
      <c r="Q333" s="551">
        <f t="shared" si="4"/>
        <v>0</v>
      </c>
      <c r="R333" s="551">
        <f t="shared" si="5"/>
        <v>0</v>
      </c>
      <c r="S333" s="550">
        <f>IF(C333=0,0,(VLOOKUP(C333,'PO MTRL'!$B$9:$S1518,17,0)))</f>
        <v>0</v>
      </c>
      <c r="T333" s="553"/>
      <c r="U333" s="554">
        <f>IF(C333=0,0,(VLOOKUP(C333,'PO MTRL'!$B$9:$S1518,18,0)))</f>
        <v>0</v>
      </c>
      <c r="V333" s="16"/>
      <c r="W333" s="119" t="str">
        <f t="shared" si="6"/>
        <v/>
      </c>
      <c r="X333" s="564">
        <f t="shared" si="7"/>
        <v>0</v>
      </c>
      <c r="Y333" s="119"/>
      <c r="Z333" s="119"/>
      <c r="AA333" s="530">
        <f>IFERROR(__xludf.DUMMYFUNCTION("""COMPUTED_VALUE"""),325.0)</f>
        <v>325</v>
      </c>
      <c r="AB333" s="119"/>
      <c r="AC333" s="119"/>
      <c r="AD333" s="119"/>
      <c r="AE333" s="119"/>
      <c r="AF333" s="119"/>
      <c r="AG333" s="555" t="str">
        <f t="shared" si="8"/>
        <v>  ---&gt;     ---&gt;   </v>
      </c>
      <c r="AH333" s="16"/>
      <c r="AI333" s="439"/>
      <c r="AJ333" s="439"/>
      <c r="AK333" s="439"/>
    </row>
    <row r="334" ht="18.75" customHeight="1">
      <c r="A334" s="439"/>
      <c r="B334" s="546"/>
      <c r="C334" s="547"/>
      <c r="D334" s="446">
        <f>IF(C334=0,0,(VLOOKUP(C334,'PO MTRL'!$B$9:$S1518,2,0)))</f>
        <v>0</v>
      </c>
      <c r="E334" s="548" t="str">
        <f>IF(C334="","",(VLOOKUP(C334,'PO MTRL'!$B$9:$S1518,3,0)))</f>
        <v/>
      </c>
      <c r="F334" s="549">
        <f>IF(C334=0,0,(VLOOKUP(C334,'PO MTRL'!$B$9:$S1518,4,0)))</f>
        <v>0</v>
      </c>
      <c r="G334" s="444"/>
      <c r="H334" s="550">
        <f>IF(C334=0,0,(VLOOKUP(C334,'PO MTRL'!$B$9:$S1518,6,0)))</f>
        <v>0</v>
      </c>
      <c r="I334" s="446">
        <f>IF(C334=0,0,(VLOOKUP(C334,'PO MTRL'!$B$9:$S1518,7,0)))</f>
        <v>0</v>
      </c>
      <c r="J334" s="551">
        <f>IF(C334=0,0,(VLOOKUP(C334,'PO MTRL'!$B$9:$S1518,8,0)))</f>
        <v>0</v>
      </c>
      <c r="K334" s="559"/>
      <c r="L334" s="448">
        <f t="shared" si="1"/>
        <v>0</v>
      </c>
      <c r="M334" s="551">
        <f t="shared" si="2"/>
        <v>0</v>
      </c>
      <c r="N334" s="449">
        <f t="shared" si="3"/>
        <v>0</v>
      </c>
      <c r="O334" s="551">
        <f>IF(H334=0,0,(VLOOKUP(H334,'PO MTRL'!$G$9:$S1518,5,0)))</f>
        <v>0</v>
      </c>
      <c r="P334" s="551">
        <f>IF(H334=0,0,(VLOOKUP(H334,'PO MTRL'!$G$9:$S1518,7,0)))</f>
        <v>0</v>
      </c>
      <c r="Q334" s="551">
        <f t="shared" si="4"/>
        <v>0</v>
      </c>
      <c r="R334" s="551">
        <f t="shared" si="5"/>
        <v>0</v>
      </c>
      <c r="S334" s="550">
        <f>IF(C334=0,0,(VLOOKUP(C334,'PO MTRL'!$B$9:$S1518,17,0)))</f>
        <v>0</v>
      </c>
      <c r="T334" s="553"/>
      <c r="U334" s="554">
        <f>IF(C334=0,0,(VLOOKUP(C334,'PO MTRL'!$B$9:$S1518,18,0)))</f>
        <v>0</v>
      </c>
      <c r="V334" s="16"/>
      <c r="W334" s="119" t="str">
        <f t="shared" si="6"/>
        <v/>
      </c>
      <c r="X334" s="564">
        <f t="shared" si="7"/>
        <v>0</v>
      </c>
      <c r="Y334" s="119"/>
      <c r="Z334" s="119"/>
      <c r="AA334" s="530">
        <f>IFERROR(__xludf.DUMMYFUNCTION("""COMPUTED_VALUE"""),326.0)</f>
        <v>326</v>
      </c>
      <c r="AB334" s="119"/>
      <c r="AC334" s="119"/>
      <c r="AD334" s="119"/>
      <c r="AE334" s="119"/>
      <c r="AF334" s="119"/>
      <c r="AG334" s="555" t="str">
        <f t="shared" si="8"/>
        <v>  ---&gt;     ---&gt;   </v>
      </c>
      <c r="AH334" s="16"/>
      <c r="AI334" s="439"/>
      <c r="AJ334" s="439"/>
      <c r="AK334" s="439"/>
    </row>
    <row r="335" ht="18.75" customHeight="1">
      <c r="A335" s="439"/>
      <c r="B335" s="546"/>
      <c r="C335" s="547"/>
      <c r="D335" s="446">
        <f>IF(C335=0,0,(VLOOKUP(C335,'PO MTRL'!$B$9:$S1518,2,0)))</f>
        <v>0</v>
      </c>
      <c r="E335" s="548" t="str">
        <f>IF(C335="","",(VLOOKUP(C335,'PO MTRL'!$B$9:$S1518,3,0)))</f>
        <v/>
      </c>
      <c r="F335" s="549">
        <f>IF(C335=0,0,(VLOOKUP(C335,'PO MTRL'!$B$9:$S1518,4,0)))</f>
        <v>0</v>
      </c>
      <c r="G335" s="444"/>
      <c r="H335" s="550">
        <f>IF(C335=0,0,(VLOOKUP(C335,'PO MTRL'!$B$9:$S1518,6,0)))</f>
        <v>0</v>
      </c>
      <c r="I335" s="446">
        <f>IF(C335=0,0,(VLOOKUP(C335,'PO MTRL'!$B$9:$S1518,7,0)))</f>
        <v>0</v>
      </c>
      <c r="J335" s="551">
        <f>IF(C335=0,0,(VLOOKUP(C335,'PO MTRL'!$B$9:$S1518,8,0)))</f>
        <v>0</v>
      </c>
      <c r="K335" s="559"/>
      <c r="L335" s="448">
        <f t="shared" si="1"/>
        <v>0</v>
      </c>
      <c r="M335" s="551">
        <f t="shared" si="2"/>
        <v>0</v>
      </c>
      <c r="N335" s="449">
        <f t="shared" si="3"/>
        <v>0</v>
      </c>
      <c r="O335" s="551">
        <f>IF(H335=0,0,(VLOOKUP(H335,'PO MTRL'!$G$9:$S1518,5,0)))</f>
        <v>0</v>
      </c>
      <c r="P335" s="551">
        <f>IF(H335=0,0,(VLOOKUP(H335,'PO MTRL'!$G$9:$S1518,7,0)))</f>
        <v>0</v>
      </c>
      <c r="Q335" s="551">
        <f t="shared" si="4"/>
        <v>0</v>
      </c>
      <c r="R335" s="551">
        <f t="shared" si="5"/>
        <v>0</v>
      </c>
      <c r="S335" s="550">
        <f>IF(C335=0,0,(VLOOKUP(C335,'PO MTRL'!$B$9:$S1518,17,0)))</f>
        <v>0</v>
      </c>
      <c r="T335" s="553"/>
      <c r="U335" s="554">
        <f>IF(C335=0,0,(VLOOKUP(C335,'PO MTRL'!$B$9:$S1518,18,0)))</f>
        <v>0</v>
      </c>
      <c r="V335" s="16"/>
      <c r="W335" s="119" t="str">
        <f t="shared" si="6"/>
        <v/>
      </c>
      <c r="X335" s="564">
        <f t="shared" si="7"/>
        <v>0</v>
      </c>
      <c r="Y335" s="119"/>
      <c r="Z335" s="119"/>
      <c r="AA335" s="530">
        <f>IFERROR(__xludf.DUMMYFUNCTION("""COMPUTED_VALUE"""),327.0)</f>
        <v>327</v>
      </c>
      <c r="AB335" s="119"/>
      <c r="AC335" s="119"/>
      <c r="AD335" s="119"/>
      <c r="AE335" s="119"/>
      <c r="AF335" s="119"/>
      <c r="AG335" s="555" t="str">
        <f t="shared" si="8"/>
        <v>  ---&gt;     ---&gt;   </v>
      </c>
      <c r="AH335" s="16"/>
      <c r="AI335" s="439"/>
      <c r="AJ335" s="439"/>
      <c r="AK335" s="439"/>
    </row>
    <row r="336" ht="18.75" customHeight="1">
      <c r="A336" s="439"/>
      <c r="B336" s="546"/>
      <c r="C336" s="547"/>
      <c r="D336" s="446">
        <f>IF(C336=0,0,(VLOOKUP(C336,'PO MTRL'!$B$9:$S1518,2,0)))</f>
        <v>0</v>
      </c>
      <c r="E336" s="548" t="str">
        <f>IF(C336="","",(VLOOKUP(C336,'PO MTRL'!$B$9:$S1518,3,0)))</f>
        <v/>
      </c>
      <c r="F336" s="549">
        <f>IF(C336=0,0,(VLOOKUP(C336,'PO MTRL'!$B$9:$S1518,4,0)))</f>
        <v>0</v>
      </c>
      <c r="G336" s="444"/>
      <c r="H336" s="550">
        <f>IF(C336=0,0,(VLOOKUP(C336,'PO MTRL'!$B$9:$S1518,6,0)))</f>
        <v>0</v>
      </c>
      <c r="I336" s="446">
        <f>IF(C336=0,0,(VLOOKUP(C336,'PO MTRL'!$B$9:$S1518,7,0)))</f>
        <v>0</v>
      </c>
      <c r="J336" s="551">
        <f>IF(C336=0,0,(VLOOKUP(C336,'PO MTRL'!$B$9:$S1518,8,0)))</f>
        <v>0</v>
      </c>
      <c r="K336" s="559"/>
      <c r="L336" s="448">
        <f t="shared" si="1"/>
        <v>0</v>
      </c>
      <c r="M336" s="551">
        <f t="shared" si="2"/>
        <v>0</v>
      </c>
      <c r="N336" s="449">
        <f t="shared" si="3"/>
        <v>0</v>
      </c>
      <c r="O336" s="551">
        <f>IF(H336=0,0,(VLOOKUP(H336,'PO MTRL'!$G$9:$S1518,5,0)))</f>
        <v>0</v>
      </c>
      <c r="P336" s="551">
        <f>IF(H336=0,0,(VLOOKUP(H336,'PO MTRL'!$G$9:$S1518,7,0)))</f>
        <v>0</v>
      </c>
      <c r="Q336" s="551">
        <f t="shared" si="4"/>
        <v>0</v>
      </c>
      <c r="R336" s="551">
        <f t="shared" si="5"/>
        <v>0</v>
      </c>
      <c r="S336" s="550">
        <f>IF(C336=0,0,(VLOOKUP(C336,'PO MTRL'!$B$9:$S1518,17,0)))</f>
        <v>0</v>
      </c>
      <c r="T336" s="553"/>
      <c r="U336" s="554">
        <f>IF(C336=0,0,(VLOOKUP(C336,'PO MTRL'!$B$9:$S1518,18,0)))</f>
        <v>0</v>
      </c>
      <c r="V336" s="16"/>
      <c r="W336" s="119" t="str">
        <f t="shared" si="6"/>
        <v/>
      </c>
      <c r="X336" s="564">
        <f t="shared" si="7"/>
        <v>0</v>
      </c>
      <c r="Y336" s="119"/>
      <c r="Z336" s="119"/>
      <c r="AA336" s="530">
        <f>IFERROR(__xludf.DUMMYFUNCTION("""COMPUTED_VALUE"""),328.0)</f>
        <v>328</v>
      </c>
      <c r="AB336" s="119"/>
      <c r="AC336" s="119"/>
      <c r="AD336" s="119"/>
      <c r="AE336" s="119"/>
      <c r="AF336" s="119"/>
      <c r="AG336" s="555" t="str">
        <f t="shared" si="8"/>
        <v>  ---&gt;     ---&gt;   </v>
      </c>
      <c r="AH336" s="16"/>
      <c r="AI336" s="439"/>
      <c r="AJ336" s="439"/>
      <c r="AK336" s="439"/>
    </row>
    <row r="337" ht="18.75" customHeight="1">
      <c r="A337" s="439"/>
      <c r="B337" s="546"/>
      <c r="C337" s="547"/>
      <c r="D337" s="446">
        <f>IF(C337=0,0,(VLOOKUP(C337,'PO MTRL'!$B$9:$S1518,2,0)))</f>
        <v>0</v>
      </c>
      <c r="E337" s="548" t="str">
        <f>IF(C337="","",(VLOOKUP(C337,'PO MTRL'!$B$9:$S1518,3,0)))</f>
        <v/>
      </c>
      <c r="F337" s="549">
        <f>IF(C337=0,0,(VLOOKUP(C337,'PO MTRL'!$B$9:$S1518,4,0)))</f>
        <v>0</v>
      </c>
      <c r="G337" s="444"/>
      <c r="H337" s="550">
        <f>IF(C337=0,0,(VLOOKUP(C337,'PO MTRL'!$B$9:$S1518,6,0)))</f>
        <v>0</v>
      </c>
      <c r="I337" s="446">
        <f>IF(C337=0,0,(VLOOKUP(C337,'PO MTRL'!$B$9:$S1518,7,0)))</f>
        <v>0</v>
      </c>
      <c r="J337" s="551">
        <f>IF(C337=0,0,(VLOOKUP(C337,'PO MTRL'!$B$9:$S1518,8,0)))</f>
        <v>0</v>
      </c>
      <c r="K337" s="559"/>
      <c r="L337" s="448">
        <f t="shared" si="1"/>
        <v>0</v>
      </c>
      <c r="M337" s="551">
        <f t="shared" si="2"/>
        <v>0</v>
      </c>
      <c r="N337" s="449">
        <f t="shared" si="3"/>
        <v>0</v>
      </c>
      <c r="O337" s="551">
        <f>IF(H337=0,0,(VLOOKUP(H337,'PO MTRL'!$G$9:$S1518,5,0)))</f>
        <v>0</v>
      </c>
      <c r="P337" s="551">
        <f>IF(H337=0,0,(VLOOKUP(H337,'PO MTRL'!$G$9:$S1518,7,0)))</f>
        <v>0</v>
      </c>
      <c r="Q337" s="551">
        <f t="shared" si="4"/>
        <v>0</v>
      </c>
      <c r="R337" s="551">
        <f t="shared" si="5"/>
        <v>0</v>
      </c>
      <c r="S337" s="550">
        <f>IF(C337=0,0,(VLOOKUP(C337,'PO MTRL'!$B$9:$S1518,17,0)))</f>
        <v>0</v>
      </c>
      <c r="T337" s="553"/>
      <c r="U337" s="554">
        <f>IF(C337=0,0,(VLOOKUP(C337,'PO MTRL'!$B$9:$S1518,18,0)))</f>
        <v>0</v>
      </c>
      <c r="V337" s="16"/>
      <c r="W337" s="119" t="str">
        <f t="shared" si="6"/>
        <v/>
      </c>
      <c r="X337" s="564">
        <f t="shared" si="7"/>
        <v>0</v>
      </c>
      <c r="Y337" s="119"/>
      <c r="Z337" s="119"/>
      <c r="AA337" s="530">
        <f>IFERROR(__xludf.DUMMYFUNCTION("""COMPUTED_VALUE"""),329.0)</f>
        <v>329</v>
      </c>
      <c r="AB337" s="119"/>
      <c r="AC337" s="119"/>
      <c r="AD337" s="119"/>
      <c r="AE337" s="119"/>
      <c r="AF337" s="119"/>
      <c r="AG337" s="555" t="str">
        <f t="shared" si="8"/>
        <v>  ---&gt;     ---&gt;   </v>
      </c>
      <c r="AH337" s="16"/>
      <c r="AI337" s="439"/>
      <c r="AJ337" s="439"/>
      <c r="AK337" s="439"/>
    </row>
    <row r="338" ht="18.75" customHeight="1">
      <c r="A338" s="439"/>
      <c r="B338" s="546"/>
      <c r="C338" s="547"/>
      <c r="D338" s="446">
        <f>IF(C338=0,0,(VLOOKUP(C338,'PO MTRL'!$B$9:$S1518,2,0)))</f>
        <v>0</v>
      </c>
      <c r="E338" s="548" t="str">
        <f>IF(C338="","",(VLOOKUP(C338,'PO MTRL'!$B$9:$S1518,3,0)))</f>
        <v/>
      </c>
      <c r="F338" s="549">
        <f>IF(C338=0,0,(VLOOKUP(C338,'PO MTRL'!$B$9:$S1518,4,0)))</f>
        <v>0</v>
      </c>
      <c r="G338" s="444"/>
      <c r="H338" s="550">
        <f>IF(C338=0,0,(VLOOKUP(C338,'PO MTRL'!$B$9:$S1518,6,0)))</f>
        <v>0</v>
      </c>
      <c r="I338" s="446">
        <f>IF(C338=0,0,(VLOOKUP(C338,'PO MTRL'!$B$9:$S1518,7,0)))</f>
        <v>0</v>
      </c>
      <c r="J338" s="551">
        <f>IF(C338=0,0,(VLOOKUP(C338,'PO MTRL'!$B$9:$S1518,8,0)))</f>
        <v>0</v>
      </c>
      <c r="K338" s="559"/>
      <c r="L338" s="448">
        <f t="shared" si="1"/>
        <v>0</v>
      </c>
      <c r="M338" s="551">
        <f t="shared" si="2"/>
        <v>0</v>
      </c>
      <c r="N338" s="449">
        <f t="shared" si="3"/>
        <v>0</v>
      </c>
      <c r="O338" s="551">
        <f>IF(H338=0,0,(VLOOKUP(H338,'PO MTRL'!$G$9:$S1518,5,0)))</f>
        <v>0</v>
      </c>
      <c r="P338" s="551">
        <f>IF(H338=0,0,(VLOOKUP(H338,'PO MTRL'!$G$9:$S1518,7,0)))</f>
        <v>0</v>
      </c>
      <c r="Q338" s="551">
        <f t="shared" si="4"/>
        <v>0</v>
      </c>
      <c r="R338" s="551">
        <f t="shared" si="5"/>
        <v>0</v>
      </c>
      <c r="S338" s="550">
        <f>IF(C338=0,0,(VLOOKUP(C338,'PO MTRL'!$B$9:$S1518,17,0)))</f>
        <v>0</v>
      </c>
      <c r="T338" s="553"/>
      <c r="U338" s="554">
        <f>IF(C338=0,0,(VLOOKUP(C338,'PO MTRL'!$B$9:$S1518,18,0)))</f>
        <v>0</v>
      </c>
      <c r="V338" s="16"/>
      <c r="W338" s="119" t="str">
        <f t="shared" si="6"/>
        <v/>
      </c>
      <c r="X338" s="564">
        <f t="shared" si="7"/>
        <v>0</v>
      </c>
      <c r="Y338" s="119"/>
      <c r="Z338" s="119"/>
      <c r="AA338" s="530">
        <f>IFERROR(__xludf.DUMMYFUNCTION("""COMPUTED_VALUE"""),330.0)</f>
        <v>330</v>
      </c>
      <c r="AB338" s="119"/>
      <c r="AC338" s="119"/>
      <c r="AD338" s="119"/>
      <c r="AE338" s="119"/>
      <c r="AF338" s="119"/>
      <c r="AG338" s="555" t="str">
        <f t="shared" si="8"/>
        <v>  ---&gt;     ---&gt;   </v>
      </c>
      <c r="AH338" s="16"/>
      <c r="AI338" s="439"/>
      <c r="AJ338" s="439"/>
      <c r="AK338" s="439"/>
    </row>
    <row r="339" ht="18.75" customHeight="1">
      <c r="A339" s="439"/>
      <c r="B339" s="546"/>
      <c r="C339" s="547"/>
      <c r="D339" s="446">
        <f>IF(C339=0,0,(VLOOKUP(C339,'PO MTRL'!$B$9:$S1518,2,0)))</f>
        <v>0</v>
      </c>
      <c r="E339" s="548" t="str">
        <f>IF(C339="","",(VLOOKUP(C339,'PO MTRL'!$B$9:$S1518,3,0)))</f>
        <v/>
      </c>
      <c r="F339" s="549">
        <f>IF(C339=0,0,(VLOOKUP(C339,'PO MTRL'!$B$9:$S1518,4,0)))</f>
        <v>0</v>
      </c>
      <c r="G339" s="444"/>
      <c r="H339" s="550">
        <f>IF(C339=0,0,(VLOOKUP(C339,'PO MTRL'!$B$9:$S1518,6,0)))</f>
        <v>0</v>
      </c>
      <c r="I339" s="446">
        <f>IF(C339=0,0,(VLOOKUP(C339,'PO MTRL'!$B$9:$S1518,7,0)))</f>
        <v>0</v>
      </c>
      <c r="J339" s="551">
        <f>IF(C339=0,0,(VLOOKUP(C339,'PO MTRL'!$B$9:$S1518,8,0)))</f>
        <v>0</v>
      </c>
      <c r="K339" s="559"/>
      <c r="L339" s="448">
        <f t="shared" si="1"/>
        <v>0</v>
      </c>
      <c r="M339" s="551">
        <f t="shared" si="2"/>
        <v>0</v>
      </c>
      <c r="N339" s="449">
        <f t="shared" si="3"/>
        <v>0</v>
      </c>
      <c r="O339" s="551">
        <f>IF(H339=0,0,(VLOOKUP(H339,'PO MTRL'!$G$9:$S1518,5,0)))</f>
        <v>0</v>
      </c>
      <c r="P339" s="551">
        <f>IF(H339=0,0,(VLOOKUP(H339,'PO MTRL'!$G$9:$S1518,7,0)))</f>
        <v>0</v>
      </c>
      <c r="Q339" s="551">
        <f t="shared" si="4"/>
        <v>0</v>
      </c>
      <c r="R339" s="551">
        <f t="shared" si="5"/>
        <v>0</v>
      </c>
      <c r="S339" s="550">
        <f>IF(C339=0,0,(VLOOKUP(C339,'PO MTRL'!$B$9:$S1518,17,0)))</f>
        <v>0</v>
      </c>
      <c r="T339" s="553"/>
      <c r="U339" s="554">
        <f>IF(C339=0,0,(VLOOKUP(C339,'PO MTRL'!$B$9:$S1518,18,0)))</f>
        <v>0</v>
      </c>
      <c r="V339" s="16"/>
      <c r="W339" s="119" t="str">
        <f t="shared" si="6"/>
        <v/>
      </c>
      <c r="X339" s="564">
        <f t="shared" si="7"/>
        <v>0</v>
      </c>
      <c r="Y339" s="119"/>
      <c r="Z339" s="119"/>
      <c r="AA339" s="530">
        <f>IFERROR(__xludf.DUMMYFUNCTION("""COMPUTED_VALUE"""),331.0)</f>
        <v>331</v>
      </c>
      <c r="AB339" s="119"/>
      <c r="AC339" s="119"/>
      <c r="AD339" s="119"/>
      <c r="AE339" s="119"/>
      <c r="AF339" s="119"/>
      <c r="AG339" s="555" t="str">
        <f t="shared" si="8"/>
        <v>  ---&gt;     ---&gt;   </v>
      </c>
      <c r="AH339" s="16"/>
      <c r="AI339" s="439"/>
      <c r="AJ339" s="439"/>
      <c r="AK339" s="439"/>
    </row>
    <row r="340" ht="18.75" customHeight="1">
      <c r="A340" s="439"/>
      <c r="B340" s="546"/>
      <c r="C340" s="547"/>
      <c r="D340" s="446">
        <f>IF(C340=0,0,(VLOOKUP(C340,'PO MTRL'!$B$9:$S1518,2,0)))</f>
        <v>0</v>
      </c>
      <c r="E340" s="548" t="str">
        <f>IF(C340="","",(VLOOKUP(C340,'PO MTRL'!$B$9:$S1518,3,0)))</f>
        <v/>
      </c>
      <c r="F340" s="549">
        <f>IF(C340=0,0,(VLOOKUP(C340,'PO MTRL'!$B$9:$S1518,4,0)))</f>
        <v>0</v>
      </c>
      <c r="G340" s="444"/>
      <c r="H340" s="550">
        <f>IF(C340=0,0,(VLOOKUP(C340,'PO MTRL'!$B$9:$S1518,6,0)))</f>
        <v>0</v>
      </c>
      <c r="I340" s="446">
        <f>IF(C340=0,0,(VLOOKUP(C340,'PO MTRL'!$B$9:$S1518,7,0)))</f>
        <v>0</v>
      </c>
      <c r="J340" s="551">
        <f>IF(C340=0,0,(VLOOKUP(C340,'PO MTRL'!$B$9:$S1518,8,0)))</f>
        <v>0</v>
      </c>
      <c r="K340" s="559"/>
      <c r="L340" s="448">
        <f t="shared" si="1"/>
        <v>0</v>
      </c>
      <c r="M340" s="551">
        <f t="shared" si="2"/>
        <v>0</v>
      </c>
      <c r="N340" s="449">
        <f t="shared" si="3"/>
        <v>0</v>
      </c>
      <c r="O340" s="551">
        <f>IF(H340=0,0,(VLOOKUP(H340,'PO MTRL'!$G$9:$S1518,5,0)))</f>
        <v>0</v>
      </c>
      <c r="P340" s="551">
        <f>IF(H340=0,0,(VLOOKUP(H340,'PO MTRL'!$G$9:$S1518,7,0)))</f>
        <v>0</v>
      </c>
      <c r="Q340" s="551">
        <f t="shared" si="4"/>
        <v>0</v>
      </c>
      <c r="R340" s="551">
        <f t="shared" si="5"/>
        <v>0</v>
      </c>
      <c r="S340" s="550">
        <f>IF(C340=0,0,(VLOOKUP(C340,'PO MTRL'!$B$9:$S1518,17,0)))</f>
        <v>0</v>
      </c>
      <c r="T340" s="553"/>
      <c r="U340" s="554">
        <f>IF(C340=0,0,(VLOOKUP(C340,'PO MTRL'!$B$9:$S1518,18,0)))</f>
        <v>0</v>
      </c>
      <c r="V340" s="16"/>
      <c r="W340" s="119" t="str">
        <f t="shared" si="6"/>
        <v/>
      </c>
      <c r="X340" s="564">
        <f t="shared" si="7"/>
        <v>0</v>
      </c>
      <c r="Y340" s="119"/>
      <c r="Z340" s="119"/>
      <c r="AA340" s="530">
        <f>IFERROR(__xludf.DUMMYFUNCTION("""COMPUTED_VALUE"""),332.0)</f>
        <v>332</v>
      </c>
      <c r="AB340" s="119"/>
      <c r="AC340" s="119"/>
      <c r="AD340" s="119"/>
      <c r="AE340" s="119"/>
      <c r="AF340" s="119"/>
      <c r="AG340" s="555" t="str">
        <f t="shared" si="8"/>
        <v>  ---&gt;     ---&gt;   </v>
      </c>
      <c r="AH340" s="16"/>
      <c r="AI340" s="439"/>
      <c r="AJ340" s="439"/>
      <c r="AK340" s="439"/>
    </row>
    <row r="341" ht="18.75" customHeight="1">
      <c r="A341" s="439"/>
      <c r="B341" s="546"/>
      <c r="C341" s="547"/>
      <c r="D341" s="446">
        <f>IF(C341=0,0,(VLOOKUP(C341,'PO MTRL'!$B$9:$S1518,2,0)))</f>
        <v>0</v>
      </c>
      <c r="E341" s="548" t="str">
        <f>IF(C341="","",(VLOOKUP(C341,'PO MTRL'!$B$9:$S1518,3,0)))</f>
        <v/>
      </c>
      <c r="F341" s="549">
        <f>IF(C341=0,0,(VLOOKUP(C341,'PO MTRL'!$B$9:$S1518,4,0)))</f>
        <v>0</v>
      </c>
      <c r="G341" s="444"/>
      <c r="H341" s="550">
        <f>IF(C341=0,0,(VLOOKUP(C341,'PO MTRL'!$B$9:$S1518,6,0)))</f>
        <v>0</v>
      </c>
      <c r="I341" s="446">
        <f>IF(C341=0,0,(VLOOKUP(C341,'PO MTRL'!$B$9:$S1518,7,0)))</f>
        <v>0</v>
      </c>
      <c r="J341" s="551">
        <f>IF(C341=0,0,(VLOOKUP(C341,'PO MTRL'!$B$9:$S1518,8,0)))</f>
        <v>0</v>
      </c>
      <c r="K341" s="559"/>
      <c r="L341" s="448">
        <f t="shared" si="1"/>
        <v>0</v>
      </c>
      <c r="M341" s="551">
        <f t="shared" si="2"/>
        <v>0</v>
      </c>
      <c r="N341" s="449">
        <f t="shared" si="3"/>
        <v>0</v>
      </c>
      <c r="O341" s="551">
        <f>IF(H341=0,0,(VLOOKUP(H341,'PO MTRL'!$G$9:$S1518,5,0)))</f>
        <v>0</v>
      </c>
      <c r="P341" s="551">
        <f>IF(H341=0,0,(VLOOKUP(H341,'PO MTRL'!$G$9:$S1518,7,0)))</f>
        <v>0</v>
      </c>
      <c r="Q341" s="551">
        <f t="shared" si="4"/>
        <v>0</v>
      </c>
      <c r="R341" s="551">
        <f t="shared" si="5"/>
        <v>0</v>
      </c>
      <c r="S341" s="550">
        <f>IF(C341=0,0,(VLOOKUP(C341,'PO MTRL'!$B$9:$S1518,17,0)))</f>
        <v>0</v>
      </c>
      <c r="T341" s="553"/>
      <c r="U341" s="554">
        <f>IF(C341=0,0,(VLOOKUP(C341,'PO MTRL'!$B$9:$S1518,18,0)))</f>
        <v>0</v>
      </c>
      <c r="V341" s="16"/>
      <c r="W341" s="119" t="str">
        <f t="shared" si="6"/>
        <v/>
      </c>
      <c r="X341" s="564">
        <f t="shared" si="7"/>
        <v>0</v>
      </c>
      <c r="Y341" s="119"/>
      <c r="Z341" s="119"/>
      <c r="AA341" s="530">
        <f>IFERROR(__xludf.DUMMYFUNCTION("""COMPUTED_VALUE"""),333.0)</f>
        <v>333</v>
      </c>
      <c r="AB341" s="119"/>
      <c r="AC341" s="119"/>
      <c r="AD341" s="119"/>
      <c r="AE341" s="119"/>
      <c r="AF341" s="119"/>
      <c r="AG341" s="555" t="str">
        <f t="shared" si="8"/>
        <v>  ---&gt;     ---&gt;   </v>
      </c>
      <c r="AH341" s="16"/>
      <c r="AI341" s="439"/>
      <c r="AJ341" s="439"/>
      <c r="AK341" s="439"/>
    </row>
    <row r="342" ht="18.75" customHeight="1">
      <c r="A342" s="439"/>
      <c r="B342" s="546"/>
      <c r="C342" s="547"/>
      <c r="D342" s="446">
        <f>IF(C342=0,0,(VLOOKUP(C342,'PO MTRL'!$B$9:$S1518,2,0)))</f>
        <v>0</v>
      </c>
      <c r="E342" s="548" t="str">
        <f>IF(C342="","",(VLOOKUP(C342,'PO MTRL'!$B$9:$S1518,3,0)))</f>
        <v/>
      </c>
      <c r="F342" s="549">
        <f>IF(C342=0,0,(VLOOKUP(C342,'PO MTRL'!$B$9:$S1518,4,0)))</f>
        <v>0</v>
      </c>
      <c r="G342" s="444"/>
      <c r="H342" s="550">
        <f>IF(C342=0,0,(VLOOKUP(C342,'PO MTRL'!$B$9:$S1518,6,0)))</f>
        <v>0</v>
      </c>
      <c r="I342" s="446">
        <f>IF(C342=0,0,(VLOOKUP(C342,'PO MTRL'!$B$9:$S1518,7,0)))</f>
        <v>0</v>
      </c>
      <c r="J342" s="551">
        <f>IF(C342=0,0,(VLOOKUP(C342,'PO MTRL'!$B$9:$S1518,8,0)))</f>
        <v>0</v>
      </c>
      <c r="K342" s="559"/>
      <c r="L342" s="448">
        <f t="shared" si="1"/>
        <v>0</v>
      </c>
      <c r="M342" s="551">
        <f t="shared" si="2"/>
        <v>0</v>
      </c>
      <c r="N342" s="449">
        <f t="shared" si="3"/>
        <v>0</v>
      </c>
      <c r="O342" s="551">
        <f>IF(H342=0,0,(VLOOKUP(H342,'PO MTRL'!$G$9:$S1518,5,0)))</f>
        <v>0</v>
      </c>
      <c r="P342" s="551">
        <f>IF(H342=0,0,(VLOOKUP(H342,'PO MTRL'!$G$9:$S1518,7,0)))</f>
        <v>0</v>
      </c>
      <c r="Q342" s="551">
        <f t="shared" si="4"/>
        <v>0</v>
      </c>
      <c r="R342" s="551">
        <f t="shared" si="5"/>
        <v>0</v>
      </c>
      <c r="S342" s="550">
        <f>IF(C342=0,0,(VLOOKUP(C342,'PO MTRL'!$B$9:$S1518,17,0)))</f>
        <v>0</v>
      </c>
      <c r="T342" s="553"/>
      <c r="U342" s="554">
        <f>IF(C342=0,0,(VLOOKUP(C342,'PO MTRL'!$B$9:$S1518,18,0)))</f>
        <v>0</v>
      </c>
      <c r="V342" s="16"/>
      <c r="W342" s="119" t="str">
        <f t="shared" si="6"/>
        <v/>
      </c>
      <c r="X342" s="564">
        <f t="shared" si="7"/>
        <v>0</v>
      </c>
      <c r="Y342" s="119"/>
      <c r="Z342" s="119"/>
      <c r="AA342" s="530">
        <f>IFERROR(__xludf.DUMMYFUNCTION("""COMPUTED_VALUE"""),334.0)</f>
        <v>334</v>
      </c>
      <c r="AB342" s="119"/>
      <c r="AC342" s="119"/>
      <c r="AD342" s="119"/>
      <c r="AE342" s="119"/>
      <c r="AF342" s="119"/>
      <c r="AG342" s="555" t="str">
        <f t="shared" si="8"/>
        <v>  ---&gt;     ---&gt;   </v>
      </c>
      <c r="AH342" s="16"/>
      <c r="AI342" s="439"/>
      <c r="AJ342" s="439"/>
      <c r="AK342" s="439"/>
    </row>
    <row r="343" ht="18.75" customHeight="1">
      <c r="A343" s="439"/>
      <c r="B343" s="546"/>
      <c r="C343" s="547"/>
      <c r="D343" s="446">
        <f>IF(C343=0,0,(VLOOKUP(C343,'PO MTRL'!$B$9:$S1518,2,0)))</f>
        <v>0</v>
      </c>
      <c r="E343" s="548" t="str">
        <f>IF(C343="","",(VLOOKUP(C343,'PO MTRL'!$B$9:$S1518,3,0)))</f>
        <v/>
      </c>
      <c r="F343" s="549">
        <f>IF(C343=0,0,(VLOOKUP(C343,'PO MTRL'!$B$9:$S1518,4,0)))</f>
        <v>0</v>
      </c>
      <c r="G343" s="444"/>
      <c r="H343" s="550">
        <f>IF(C343=0,0,(VLOOKUP(C343,'PO MTRL'!$B$9:$S1518,6,0)))</f>
        <v>0</v>
      </c>
      <c r="I343" s="446">
        <f>IF(C343=0,0,(VLOOKUP(C343,'PO MTRL'!$B$9:$S1518,7,0)))</f>
        <v>0</v>
      </c>
      <c r="J343" s="551">
        <f>IF(C343=0,0,(VLOOKUP(C343,'PO MTRL'!$B$9:$S1518,8,0)))</f>
        <v>0</v>
      </c>
      <c r="K343" s="559"/>
      <c r="L343" s="448">
        <f t="shared" si="1"/>
        <v>0</v>
      </c>
      <c r="M343" s="551">
        <f t="shared" si="2"/>
        <v>0</v>
      </c>
      <c r="N343" s="449">
        <f t="shared" si="3"/>
        <v>0</v>
      </c>
      <c r="O343" s="551">
        <f>IF(H343=0,0,(VLOOKUP(H343,'PO MTRL'!$G$9:$S1518,5,0)))</f>
        <v>0</v>
      </c>
      <c r="P343" s="551">
        <f>IF(H343=0,0,(VLOOKUP(H343,'PO MTRL'!$G$9:$S1518,7,0)))</f>
        <v>0</v>
      </c>
      <c r="Q343" s="551">
        <f t="shared" si="4"/>
        <v>0</v>
      </c>
      <c r="R343" s="551">
        <f t="shared" si="5"/>
        <v>0</v>
      </c>
      <c r="S343" s="550">
        <f>IF(C343=0,0,(VLOOKUP(C343,'PO MTRL'!$B$9:$S1518,17,0)))</f>
        <v>0</v>
      </c>
      <c r="T343" s="553"/>
      <c r="U343" s="554">
        <f>IF(C343=0,0,(VLOOKUP(C343,'PO MTRL'!$B$9:$S1518,18,0)))</f>
        <v>0</v>
      </c>
      <c r="V343" s="16"/>
      <c r="W343" s="119" t="str">
        <f t="shared" si="6"/>
        <v/>
      </c>
      <c r="X343" s="564">
        <f t="shared" si="7"/>
        <v>0</v>
      </c>
      <c r="Y343" s="119"/>
      <c r="Z343" s="119"/>
      <c r="AA343" s="530">
        <f>IFERROR(__xludf.DUMMYFUNCTION("""COMPUTED_VALUE"""),335.0)</f>
        <v>335</v>
      </c>
      <c r="AB343" s="119"/>
      <c r="AC343" s="119"/>
      <c r="AD343" s="119"/>
      <c r="AE343" s="119"/>
      <c r="AF343" s="119"/>
      <c r="AG343" s="555" t="str">
        <f t="shared" si="8"/>
        <v>  ---&gt;     ---&gt;   </v>
      </c>
      <c r="AH343" s="16"/>
      <c r="AI343" s="439"/>
      <c r="AJ343" s="439"/>
      <c r="AK343" s="439"/>
    </row>
    <row r="344" ht="18.75" customHeight="1">
      <c r="A344" s="439"/>
      <c r="B344" s="546"/>
      <c r="C344" s="547"/>
      <c r="D344" s="446">
        <f>IF(C344=0,0,(VLOOKUP(C344,'PO MTRL'!$B$9:$S1518,2,0)))</f>
        <v>0</v>
      </c>
      <c r="E344" s="548" t="str">
        <f>IF(C344="","",(VLOOKUP(C344,'PO MTRL'!$B$9:$S1518,3,0)))</f>
        <v/>
      </c>
      <c r="F344" s="549">
        <f>IF(C344=0,0,(VLOOKUP(C344,'PO MTRL'!$B$9:$S1518,4,0)))</f>
        <v>0</v>
      </c>
      <c r="G344" s="444"/>
      <c r="H344" s="550">
        <f>IF(C344=0,0,(VLOOKUP(C344,'PO MTRL'!$B$9:$S1518,6,0)))</f>
        <v>0</v>
      </c>
      <c r="I344" s="446">
        <f>IF(C344=0,0,(VLOOKUP(C344,'PO MTRL'!$B$9:$S1518,7,0)))</f>
        <v>0</v>
      </c>
      <c r="J344" s="551">
        <f>IF(C344=0,0,(VLOOKUP(C344,'PO MTRL'!$B$9:$S1518,8,0)))</f>
        <v>0</v>
      </c>
      <c r="K344" s="559"/>
      <c r="L344" s="448">
        <f t="shared" si="1"/>
        <v>0</v>
      </c>
      <c r="M344" s="551">
        <f t="shared" si="2"/>
        <v>0</v>
      </c>
      <c r="N344" s="449">
        <f t="shared" si="3"/>
        <v>0</v>
      </c>
      <c r="O344" s="551">
        <f>IF(H344=0,0,(VLOOKUP(H344,'PO MTRL'!$G$9:$S1518,5,0)))</f>
        <v>0</v>
      </c>
      <c r="P344" s="551">
        <f>IF(H344=0,0,(VLOOKUP(H344,'PO MTRL'!$G$9:$S1518,7,0)))</f>
        <v>0</v>
      </c>
      <c r="Q344" s="551">
        <f t="shared" si="4"/>
        <v>0</v>
      </c>
      <c r="R344" s="551">
        <f t="shared" si="5"/>
        <v>0</v>
      </c>
      <c r="S344" s="550">
        <f>IF(C344=0,0,(VLOOKUP(C344,'PO MTRL'!$B$9:$S1518,17,0)))</f>
        <v>0</v>
      </c>
      <c r="T344" s="553"/>
      <c r="U344" s="554">
        <f>IF(C344=0,0,(VLOOKUP(C344,'PO MTRL'!$B$9:$S1518,18,0)))</f>
        <v>0</v>
      </c>
      <c r="V344" s="16"/>
      <c r="W344" s="119" t="str">
        <f t="shared" si="6"/>
        <v/>
      </c>
      <c r="X344" s="564">
        <f t="shared" si="7"/>
        <v>0</v>
      </c>
      <c r="Y344" s="119"/>
      <c r="Z344" s="119"/>
      <c r="AA344" s="530">
        <f>IFERROR(__xludf.DUMMYFUNCTION("""COMPUTED_VALUE"""),336.0)</f>
        <v>336</v>
      </c>
      <c r="AB344" s="119"/>
      <c r="AC344" s="119"/>
      <c r="AD344" s="119"/>
      <c r="AE344" s="119"/>
      <c r="AF344" s="119"/>
      <c r="AG344" s="555" t="str">
        <f t="shared" si="8"/>
        <v>  ---&gt;     ---&gt;   </v>
      </c>
      <c r="AH344" s="16"/>
      <c r="AI344" s="439"/>
      <c r="AJ344" s="439"/>
      <c r="AK344" s="439"/>
    </row>
    <row r="345" ht="18.75" customHeight="1">
      <c r="A345" s="439"/>
      <c r="B345" s="546"/>
      <c r="C345" s="547"/>
      <c r="D345" s="446">
        <f>IF(C345=0,0,(VLOOKUP(C345,'PO MTRL'!$B$9:$S1518,2,0)))</f>
        <v>0</v>
      </c>
      <c r="E345" s="548" t="str">
        <f>IF(C345="","",(VLOOKUP(C345,'PO MTRL'!$B$9:$S1518,3,0)))</f>
        <v/>
      </c>
      <c r="F345" s="549">
        <f>IF(C345=0,0,(VLOOKUP(C345,'PO MTRL'!$B$9:$S1518,4,0)))</f>
        <v>0</v>
      </c>
      <c r="G345" s="444"/>
      <c r="H345" s="550">
        <f>IF(C345=0,0,(VLOOKUP(C345,'PO MTRL'!$B$9:$S1518,6,0)))</f>
        <v>0</v>
      </c>
      <c r="I345" s="446">
        <f>IF(C345=0,0,(VLOOKUP(C345,'PO MTRL'!$B$9:$S1518,7,0)))</f>
        <v>0</v>
      </c>
      <c r="J345" s="551">
        <f>IF(C345=0,0,(VLOOKUP(C345,'PO MTRL'!$B$9:$S1518,8,0)))</f>
        <v>0</v>
      </c>
      <c r="K345" s="559"/>
      <c r="L345" s="448">
        <f t="shared" si="1"/>
        <v>0</v>
      </c>
      <c r="M345" s="551">
        <f t="shared" si="2"/>
        <v>0</v>
      </c>
      <c r="N345" s="449">
        <f t="shared" si="3"/>
        <v>0</v>
      </c>
      <c r="O345" s="551">
        <f>IF(H345=0,0,(VLOOKUP(H345,'PO MTRL'!$G$9:$S1518,5,0)))</f>
        <v>0</v>
      </c>
      <c r="P345" s="551">
        <f>IF(H345=0,0,(VLOOKUP(H345,'PO MTRL'!$G$9:$S1518,7,0)))</f>
        <v>0</v>
      </c>
      <c r="Q345" s="551">
        <f t="shared" si="4"/>
        <v>0</v>
      </c>
      <c r="R345" s="551">
        <f t="shared" si="5"/>
        <v>0</v>
      </c>
      <c r="S345" s="550">
        <f>IF(C345=0,0,(VLOOKUP(C345,'PO MTRL'!$B$9:$S1518,17,0)))</f>
        <v>0</v>
      </c>
      <c r="T345" s="553"/>
      <c r="U345" s="554">
        <f>IF(C345=0,0,(VLOOKUP(C345,'PO MTRL'!$B$9:$S1518,18,0)))</f>
        <v>0</v>
      </c>
      <c r="V345" s="16"/>
      <c r="W345" s="119" t="str">
        <f t="shared" si="6"/>
        <v/>
      </c>
      <c r="X345" s="564">
        <f t="shared" si="7"/>
        <v>0</v>
      </c>
      <c r="Y345" s="119"/>
      <c r="Z345" s="119"/>
      <c r="AA345" s="530">
        <f>IFERROR(__xludf.DUMMYFUNCTION("""COMPUTED_VALUE"""),337.0)</f>
        <v>337</v>
      </c>
      <c r="AB345" s="119"/>
      <c r="AC345" s="119"/>
      <c r="AD345" s="119"/>
      <c r="AE345" s="119"/>
      <c r="AF345" s="119"/>
      <c r="AG345" s="555" t="str">
        <f t="shared" si="8"/>
        <v>  ---&gt;     ---&gt;   </v>
      </c>
      <c r="AH345" s="16"/>
      <c r="AI345" s="439"/>
      <c r="AJ345" s="439"/>
      <c r="AK345" s="439"/>
    </row>
    <row r="346" ht="18.75" customHeight="1">
      <c r="A346" s="439"/>
      <c r="B346" s="546"/>
      <c r="C346" s="547"/>
      <c r="D346" s="446">
        <f>IF(C346=0,0,(VLOOKUP(C346,'PO MTRL'!$B$9:$S1518,2,0)))</f>
        <v>0</v>
      </c>
      <c r="E346" s="548" t="str">
        <f>IF(C346="","",(VLOOKUP(C346,'PO MTRL'!$B$9:$S1518,3,0)))</f>
        <v/>
      </c>
      <c r="F346" s="549">
        <f>IF(C346=0,0,(VLOOKUP(C346,'PO MTRL'!$B$9:$S1518,4,0)))</f>
        <v>0</v>
      </c>
      <c r="G346" s="444"/>
      <c r="H346" s="550">
        <f>IF(C346=0,0,(VLOOKUP(C346,'PO MTRL'!$B$9:$S1518,6,0)))</f>
        <v>0</v>
      </c>
      <c r="I346" s="446">
        <f>IF(C346=0,0,(VLOOKUP(C346,'PO MTRL'!$B$9:$S1518,7,0)))</f>
        <v>0</v>
      </c>
      <c r="J346" s="551">
        <f>IF(C346=0,0,(VLOOKUP(C346,'PO MTRL'!$B$9:$S1518,8,0)))</f>
        <v>0</v>
      </c>
      <c r="K346" s="559"/>
      <c r="L346" s="448">
        <f t="shared" si="1"/>
        <v>0</v>
      </c>
      <c r="M346" s="551">
        <f t="shared" si="2"/>
        <v>0</v>
      </c>
      <c r="N346" s="449">
        <f t="shared" si="3"/>
        <v>0</v>
      </c>
      <c r="O346" s="551">
        <f>IF(H346=0,0,(VLOOKUP(H346,'PO MTRL'!$G$9:$S1518,5,0)))</f>
        <v>0</v>
      </c>
      <c r="P346" s="551">
        <f>IF(H346=0,0,(VLOOKUP(H346,'PO MTRL'!$G$9:$S1518,7,0)))</f>
        <v>0</v>
      </c>
      <c r="Q346" s="551">
        <f t="shared" si="4"/>
        <v>0</v>
      </c>
      <c r="R346" s="551">
        <f t="shared" si="5"/>
        <v>0</v>
      </c>
      <c r="S346" s="550">
        <f>IF(C346=0,0,(VLOOKUP(C346,'PO MTRL'!$B$9:$S1518,17,0)))</f>
        <v>0</v>
      </c>
      <c r="T346" s="553"/>
      <c r="U346" s="554">
        <f>IF(C346=0,0,(VLOOKUP(C346,'PO MTRL'!$B$9:$S1518,18,0)))</f>
        <v>0</v>
      </c>
      <c r="V346" s="16"/>
      <c r="W346" s="119" t="str">
        <f t="shared" si="6"/>
        <v/>
      </c>
      <c r="X346" s="564">
        <f t="shared" si="7"/>
        <v>0</v>
      </c>
      <c r="Y346" s="119"/>
      <c r="Z346" s="119"/>
      <c r="AA346" s="530">
        <f>IFERROR(__xludf.DUMMYFUNCTION("""COMPUTED_VALUE"""),338.0)</f>
        <v>338</v>
      </c>
      <c r="AB346" s="119"/>
      <c r="AC346" s="119"/>
      <c r="AD346" s="119"/>
      <c r="AE346" s="119"/>
      <c r="AF346" s="119"/>
      <c r="AG346" s="555" t="str">
        <f t="shared" si="8"/>
        <v>  ---&gt;     ---&gt;   </v>
      </c>
      <c r="AH346" s="16"/>
      <c r="AI346" s="439"/>
      <c r="AJ346" s="439"/>
      <c r="AK346" s="439"/>
    </row>
    <row r="347" ht="18.75" customHeight="1">
      <c r="A347" s="439"/>
      <c r="B347" s="546"/>
      <c r="C347" s="547"/>
      <c r="D347" s="446">
        <f>IF(C347=0,0,(VLOOKUP(C347,'PO MTRL'!$B$9:$S1518,2,0)))</f>
        <v>0</v>
      </c>
      <c r="E347" s="548" t="str">
        <f>IF(C347="","",(VLOOKUP(C347,'PO MTRL'!$B$9:$S1518,3,0)))</f>
        <v/>
      </c>
      <c r="F347" s="549">
        <f>IF(C347=0,0,(VLOOKUP(C347,'PO MTRL'!$B$9:$S1518,4,0)))</f>
        <v>0</v>
      </c>
      <c r="G347" s="444"/>
      <c r="H347" s="550">
        <f>IF(C347=0,0,(VLOOKUP(C347,'PO MTRL'!$B$9:$S1518,6,0)))</f>
        <v>0</v>
      </c>
      <c r="I347" s="446">
        <f>IF(C347=0,0,(VLOOKUP(C347,'PO MTRL'!$B$9:$S1518,7,0)))</f>
        <v>0</v>
      </c>
      <c r="J347" s="551">
        <f>IF(C347=0,0,(VLOOKUP(C347,'PO MTRL'!$B$9:$S1518,8,0)))</f>
        <v>0</v>
      </c>
      <c r="K347" s="559"/>
      <c r="L347" s="448">
        <f t="shared" si="1"/>
        <v>0</v>
      </c>
      <c r="M347" s="551">
        <f t="shared" si="2"/>
        <v>0</v>
      </c>
      <c r="N347" s="449">
        <f t="shared" si="3"/>
        <v>0</v>
      </c>
      <c r="O347" s="551">
        <f>IF(H347=0,0,(VLOOKUP(H347,'PO MTRL'!$G$9:$S1518,5,0)))</f>
        <v>0</v>
      </c>
      <c r="P347" s="551">
        <f>IF(H347=0,0,(VLOOKUP(H347,'PO MTRL'!$G$9:$S1518,7,0)))</f>
        <v>0</v>
      </c>
      <c r="Q347" s="551">
        <f t="shared" si="4"/>
        <v>0</v>
      </c>
      <c r="R347" s="551">
        <f t="shared" si="5"/>
        <v>0</v>
      </c>
      <c r="S347" s="550">
        <f>IF(C347=0,0,(VLOOKUP(C347,'PO MTRL'!$B$9:$S1518,17,0)))</f>
        <v>0</v>
      </c>
      <c r="T347" s="553"/>
      <c r="U347" s="554">
        <f>IF(C347=0,0,(VLOOKUP(C347,'PO MTRL'!$B$9:$S1518,18,0)))</f>
        <v>0</v>
      </c>
      <c r="V347" s="16"/>
      <c r="W347" s="119" t="str">
        <f t="shared" si="6"/>
        <v/>
      </c>
      <c r="X347" s="564">
        <f t="shared" si="7"/>
        <v>0</v>
      </c>
      <c r="Y347" s="119"/>
      <c r="Z347" s="119"/>
      <c r="AA347" s="530">
        <f>IFERROR(__xludf.DUMMYFUNCTION("""COMPUTED_VALUE"""),339.0)</f>
        <v>339</v>
      </c>
      <c r="AB347" s="119"/>
      <c r="AC347" s="119"/>
      <c r="AD347" s="119"/>
      <c r="AE347" s="119"/>
      <c r="AF347" s="119"/>
      <c r="AG347" s="555" t="str">
        <f t="shared" si="8"/>
        <v>  ---&gt;     ---&gt;   </v>
      </c>
      <c r="AH347" s="16"/>
      <c r="AI347" s="439"/>
      <c r="AJ347" s="439"/>
      <c r="AK347" s="439"/>
    </row>
    <row r="348" ht="18.75" customHeight="1">
      <c r="A348" s="439"/>
      <c r="B348" s="546"/>
      <c r="C348" s="547"/>
      <c r="D348" s="446">
        <f>IF(C348=0,0,(VLOOKUP(C348,'PO MTRL'!$B$9:$S1518,2,0)))</f>
        <v>0</v>
      </c>
      <c r="E348" s="548" t="str">
        <f>IF(C348="","",(VLOOKUP(C348,'PO MTRL'!$B$9:$S1518,3,0)))</f>
        <v/>
      </c>
      <c r="F348" s="549">
        <f>IF(C348=0,0,(VLOOKUP(C348,'PO MTRL'!$B$9:$S1518,4,0)))</f>
        <v>0</v>
      </c>
      <c r="G348" s="444"/>
      <c r="H348" s="550">
        <f>IF(C348=0,0,(VLOOKUP(C348,'PO MTRL'!$B$9:$S1518,6,0)))</f>
        <v>0</v>
      </c>
      <c r="I348" s="446">
        <f>IF(C348=0,0,(VLOOKUP(C348,'PO MTRL'!$B$9:$S1518,7,0)))</f>
        <v>0</v>
      </c>
      <c r="J348" s="551">
        <f>IF(C348=0,0,(VLOOKUP(C348,'PO MTRL'!$B$9:$S1518,8,0)))</f>
        <v>0</v>
      </c>
      <c r="K348" s="559"/>
      <c r="L348" s="448">
        <f t="shared" si="1"/>
        <v>0</v>
      </c>
      <c r="M348" s="551">
        <f t="shared" si="2"/>
        <v>0</v>
      </c>
      <c r="N348" s="449">
        <f t="shared" si="3"/>
        <v>0</v>
      </c>
      <c r="O348" s="551">
        <f>IF(H348=0,0,(VLOOKUP(H348,'PO MTRL'!$G$9:$S1518,5,0)))</f>
        <v>0</v>
      </c>
      <c r="P348" s="551">
        <f>IF(H348=0,0,(VLOOKUP(H348,'PO MTRL'!$G$9:$S1518,7,0)))</f>
        <v>0</v>
      </c>
      <c r="Q348" s="551">
        <f t="shared" si="4"/>
        <v>0</v>
      </c>
      <c r="R348" s="551">
        <f t="shared" si="5"/>
        <v>0</v>
      </c>
      <c r="S348" s="550">
        <f>IF(C348=0,0,(VLOOKUP(C348,'PO MTRL'!$B$9:$S1518,17,0)))</f>
        <v>0</v>
      </c>
      <c r="T348" s="553"/>
      <c r="U348" s="554">
        <f>IF(C348=0,0,(VLOOKUP(C348,'PO MTRL'!$B$9:$S1518,18,0)))</f>
        <v>0</v>
      </c>
      <c r="V348" s="16"/>
      <c r="W348" s="119" t="str">
        <f t="shared" si="6"/>
        <v/>
      </c>
      <c r="X348" s="564">
        <f t="shared" si="7"/>
        <v>0</v>
      </c>
      <c r="Y348" s="119"/>
      <c r="Z348" s="119"/>
      <c r="AA348" s="530">
        <f>IFERROR(__xludf.DUMMYFUNCTION("""COMPUTED_VALUE"""),340.0)</f>
        <v>340</v>
      </c>
      <c r="AB348" s="119"/>
      <c r="AC348" s="119"/>
      <c r="AD348" s="119"/>
      <c r="AE348" s="119"/>
      <c r="AF348" s="119"/>
      <c r="AG348" s="555" t="str">
        <f t="shared" si="8"/>
        <v>  ---&gt;     ---&gt;   </v>
      </c>
      <c r="AH348" s="16"/>
      <c r="AI348" s="439"/>
      <c r="AJ348" s="439"/>
      <c r="AK348" s="439"/>
    </row>
    <row r="349" ht="18.75" customHeight="1">
      <c r="A349" s="439"/>
      <c r="B349" s="546"/>
      <c r="C349" s="547"/>
      <c r="D349" s="446">
        <f>IF(C349=0,0,(VLOOKUP(C349,'PO MTRL'!$B$9:$S1518,2,0)))</f>
        <v>0</v>
      </c>
      <c r="E349" s="548" t="str">
        <f>IF(C349="","",(VLOOKUP(C349,'PO MTRL'!$B$9:$S1518,3,0)))</f>
        <v/>
      </c>
      <c r="F349" s="549">
        <f>IF(C349=0,0,(VLOOKUP(C349,'PO MTRL'!$B$9:$S1518,4,0)))</f>
        <v>0</v>
      </c>
      <c r="G349" s="444"/>
      <c r="H349" s="550">
        <f>IF(C349=0,0,(VLOOKUP(C349,'PO MTRL'!$B$9:$S1518,6,0)))</f>
        <v>0</v>
      </c>
      <c r="I349" s="446">
        <f>IF(C349=0,0,(VLOOKUP(C349,'PO MTRL'!$B$9:$S1518,7,0)))</f>
        <v>0</v>
      </c>
      <c r="J349" s="551">
        <f>IF(C349=0,0,(VLOOKUP(C349,'PO MTRL'!$B$9:$S1518,8,0)))</f>
        <v>0</v>
      </c>
      <c r="K349" s="559"/>
      <c r="L349" s="448">
        <f t="shared" si="1"/>
        <v>0</v>
      </c>
      <c r="M349" s="551">
        <f t="shared" si="2"/>
        <v>0</v>
      </c>
      <c r="N349" s="449">
        <f t="shared" si="3"/>
        <v>0</v>
      </c>
      <c r="O349" s="551">
        <f>IF(H349=0,0,(VLOOKUP(H349,'PO MTRL'!$G$9:$S1518,5,0)))</f>
        <v>0</v>
      </c>
      <c r="P349" s="551">
        <f>IF(H349=0,0,(VLOOKUP(H349,'PO MTRL'!$G$9:$S1518,7,0)))</f>
        <v>0</v>
      </c>
      <c r="Q349" s="551">
        <f t="shared" si="4"/>
        <v>0</v>
      </c>
      <c r="R349" s="551">
        <f t="shared" si="5"/>
        <v>0</v>
      </c>
      <c r="S349" s="550">
        <f>IF(C349=0,0,(VLOOKUP(C349,'PO MTRL'!$B$9:$S1518,17,0)))</f>
        <v>0</v>
      </c>
      <c r="T349" s="553"/>
      <c r="U349" s="554">
        <f>IF(C349=0,0,(VLOOKUP(C349,'PO MTRL'!$B$9:$S1518,18,0)))</f>
        <v>0</v>
      </c>
      <c r="V349" s="16"/>
      <c r="W349" s="119" t="str">
        <f t="shared" si="6"/>
        <v/>
      </c>
      <c r="X349" s="564">
        <f t="shared" si="7"/>
        <v>0</v>
      </c>
      <c r="Y349" s="119"/>
      <c r="Z349" s="119"/>
      <c r="AA349" s="530">
        <f>IFERROR(__xludf.DUMMYFUNCTION("""COMPUTED_VALUE"""),341.0)</f>
        <v>341</v>
      </c>
      <c r="AB349" s="119"/>
      <c r="AC349" s="119"/>
      <c r="AD349" s="119"/>
      <c r="AE349" s="119"/>
      <c r="AF349" s="119"/>
      <c r="AG349" s="555" t="str">
        <f t="shared" si="8"/>
        <v>  ---&gt;     ---&gt;   </v>
      </c>
      <c r="AH349" s="16"/>
      <c r="AI349" s="439"/>
      <c r="AJ349" s="439"/>
      <c r="AK349" s="439"/>
    </row>
    <row r="350" ht="18.75" customHeight="1">
      <c r="A350" s="439"/>
      <c r="B350" s="546"/>
      <c r="C350" s="547"/>
      <c r="D350" s="446">
        <f>IF(C350=0,0,(VLOOKUP(C350,'PO MTRL'!$B$9:$S1518,2,0)))</f>
        <v>0</v>
      </c>
      <c r="E350" s="548" t="str">
        <f>IF(C350="","",(VLOOKUP(C350,'PO MTRL'!$B$9:$S1518,3,0)))</f>
        <v/>
      </c>
      <c r="F350" s="549">
        <f>IF(C350=0,0,(VLOOKUP(C350,'PO MTRL'!$B$9:$S1518,4,0)))</f>
        <v>0</v>
      </c>
      <c r="G350" s="444"/>
      <c r="H350" s="550">
        <f>IF(C350=0,0,(VLOOKUP(C350,'PO MTRL'!$B$9:$S1518,6,0)))</f>
        <v>0</v>
      </c>
      <c r="I350" s="446">
        <f>IF(C350=0,0,(VLOOKUP(C350,'PO MTRL'!$B$9:$S1518,7,0)))</f>
        <v>0</v>
      </c>
      <c r="J350" s="551">
        <f>IF(C350=0,0,(VLOOKUP(C350,'PO MTRL'!$B$9:$S1518,8,0)))</f>
        <v>0</v>
      </c>
      <c r="K350" s="559"/>
      <c r="L350" s="448">
        <f t="shared" si="1"/>
        <v>0</v>
      </c>
      <c r="M350" s="551">
        <f t="shared" si="2"/>
        <v>0</v>
      </c>
      <c r="N350" s="449">
        <f t="shared" si="3"/>
        <v>0</v>
      </c>
      <c r="O350" s="551">
        <f>IF(H350=0,0,(VLOOKUP(H350,'PO MTRL'!$G$9:$S1518,5,0)))</f>
        <v>0</v>
      </c>
      <c r="P350" s="551">
        <f>IF(H350=0,0,(VLOOKUP(H350,'PO MTRL'!$G$9:$S1518,7,0)))</f>
        <v>0</v>
      </c>
      <c r="Q350" s="551">
        <f t="shared" si="4"/>
        <v>0</v>
      </c>
      <c r="R350" s="551">
        <f t="shared" si="5"/>
        <v>0</v>
      </c>
      <c r="S350" s="550">
        <f>IF(C350=0,0,(VLOOKUP(C350,'PO MTRL'!$B$9:$S1518,17,0)))</f>
        <v>0</v>
      </c>
      <c r="T350" s="553"/>
      <c r="U350" s="554">
        <f>IF(C350=0,0,(VLOOKUP(C350,'PO MTRL'!$B$9:$S1518,18,0)))</f>
        <v>0</v>
      </c>
      <c r="V350" s="16"/>
      <c r="W350" s="119" t="str">
        <f t="shared" si="6"/>
        <v/>
      </c>
      <c r="X350" s="564">
        <f t="shared" si="7"/>
        <v>0</v>
      </c>
      <c r="Y350" s="119"/>
      <c r="Z350" s="119"/>
      <c r="AA350" s="530">
        <f>IFERROR(__xludf.DUMMYFUNCTION("""COMPUTED_VALUE"""),342.0)</f>
        <v>342</v>
      </c>
      <c r="AB350" s="119"/>
      <c r="AC350" s="119"/>
      <c r="AD350" s="119"/>
      <c r="AE350" s="119"/>
      <c r="AF350" s="119"/>
      <c r="AG350" s="555" t="str">
        <f t="shared" si="8"/>
        <v>  ---&gt;     ---&gt;   </v>
      </c>
      <c r="AH350" s="16"/>
      <c r="AI350" s="439"/>
      <c r="AJ350" s="439"/>
      <c r="AK350" s="439"/>
    </row>
    <row r="351" ht="18.75" customHeight="1">
      <c r="A351" s="439"/>
      <c r="B351" s="546"/>
      <c r="C351" s="547"/>
      <c r="D351" s="446">
        <f>IF(C351=0,0,(VLOOKUP(C351,'PO MTRL'!$B$9:$S1518,2,0)))</f>
        <v>0</v>
      </c>
      <c r="E351" s="548" t="str">
        <f>IF(C351="","",(VLOOKUP(C351,'PO MTRL'!$B$9:$S1518,3,0)))</f>
        <v/>
      </c>
      <c r="F351" s="549">
        <f>IF(C351=0,0,(VLOOKUP(C351,'PO MTRL'!$B$9:$S1518,4,0)))</f>
        <v>0</v>
      </c>
      <c r="G351" s="444"/>
      <c r="H351" s="550">
        <f>IF(C351=0,0,(VLOOKUP(C351,'PO MTRL'!$B$9:$S1518,6,0)))</f>
        <v>0</v>
      </c>
      <c r="I351" s="446">
        <f>IF(C351=0,0,(VLOOKUP(C351,'PO MTRL'!$B$9:$S1518,7,0)))</f>
        <v>0</v>
      </c>
      <c r="J351" s="551">
        <f>IF(C351=0,0,(VLOOKUP(C351,'PO MTRL'!$B$9:$S1518,8,0)))</f>
        <v>0</v>
      </c>
      <c r="K351" s="559"/>
      <c r="L351" s="448">
        <f t="shared" si="1"/>
        <v>0</v>
      </c>
      <c r="M351" s="551">
        <f t="shared" si="2"/>
        <v>0</v>
      </c>
      <c r="N351" s="449">
        <f t="shared" si="3"/>
        <v>0</v>
      </c>
      <c r="O351" s="551">
        <f>IF(H351=0,0,(VLOOKUP(H351,'PO MTRL'!$G$9:$S1518,5,0)))</f>
        <v>0</v>
      </c>
      <c r="P351" s="551">
        <f>IF(H351=0,0,(VLOOKUP(H351,'PO MTRL'!$G$9:$S1518,7,0)))</f>
        <v>0</v>
      </c>
      <c r="Q351" s="551">
        <f t="shared" si="4"/>
        <v>0</v>
      </c>
      <c r="R351" s="551">
        <f t="shared" si="5"/>
        <v>0</v>
      </c>
      <c r="S351" s="550">
        <f>IF(C351=0,0,(VLOOKUP(C351,'PO MTRL'!$B$9:$S1518,17,0)))</f>
        <v>0</v>
      </c>
      <c r="T351" s="553"/>
      <c r="U351" s="554">
        <f>IF(C351=0,0,(VLOOKUP(C351,'PO MTRL'!$B$9:$S1518,18,0)))</f>
        <v>0</v>
      </c>
      <c r="V351" s="16"/>
      <c r="W351" s="119" t="str">
        <f t="shared" si="6"/>
        <v/>
      </c>
      <c r="X351" s="564">
        <f t="shared" si="7"/>
        <v>0</v>
      </c>
      <c r="Y351" s="119"/>
      <c r="Z351" s="119"/>
      <c r="AA351" s="530">
        <f>IFERROR(__xludf.DUMMYFUNCTION("""COMPUTED_VALUE"""),343.0)</f>
        <v>343</v>
      </c>
      <c r="AB351" s="119"/>
      <c r="AC351" s="119"/>
      <c r="AD351" s="119"/>
      <c r="AE351" s="119"/>
      <c r="AF351" s="119"/>
      <c r="AG351" s="555" t="str">
        <f t="shared" si="8"/>
        <v>  ---&gt;     ---&gt;   </v>
      </c>
      <c r="AH351" s="16"/>
      <c r="AI351" s="439"/>
      <c r="AJ351" s="439"/>
      <c r="AK351" s="439"/>
    </row>
    <row r="352" ht="18.75" customHeight="1">
      <c r="A352" s="439"/>
      <c r="B352" s="546"/>
      <c r="C352" s="547"/>
      <c r="D352" s="446">
        <f>IF(C352=0,0,(VLOOKUP(C352,'PO MTRL'!$B$9:$S1518,2,0)))</f>
        <v>0</v>
      </c>
      <c r="E352" s="548" t="str">
        <f>IF(C352="","",(VLOOKUP(C352,'PO MTRL'!$B$9:$S1518,3,0)))</f>
        <v/>
      </c>
      <c r="F352" s="549">
        <f>IF(C352=0,0,(VLOOKUP(C352,'PO MTRL'!$B$9:$S1518,4,0)))</f>
        <v>0</v>
      </c>
      <c r="G352" s="444"/>
      <c r="H352" s="550">
        <f>IF(C352=0,0,(VLOOKUP(C352,'PO MTRL'!$B$9:$S1518,6,0)))</f>
        <v>0</v>
      </c>
      <c r="I352" s="446">
        <f>IF(C352=0,0,(VLOOKUP(C352,'PO MTRL'!$B$9:$S1518,7,0)))</f>
        <v>0</v>
      </c>
      <c r="J352" s="551">
        <f>IF(C352=0,0,(VLOOKUP(C352,'PO MTRL'!$B$9:$S1518,8,0)))</f>
        <v>0</v>
      </c>
      <c r="K352" s="559"/>
      <c r="L352" s="448">
        <f t="shared" si="1"/>
        <v>0</v>
      </c>
      <c r="M352" s="551">
        <f t="shared" si="2"/>
        <v>0</v>
      </c>
      <c r="N352" s="449">
        <f t="shared" si="3"/>
        <v>0</v>
      </c>
      <c r="O352" s="551">
        <f>IF(H352=0,0,(VLOOKUP(H352,'PO MTRL'!$G$9:$S1518,5,0)))</f>
        <v>0</v>
      </c>
      <c r="P352" s="551">
        <f>IF(H352=0,0,(VLOOKUP(H352,'PO MTRL'!$G$9:$S1518,7,0)))</f>
        <v>0</v>
      </c>
      <c r="Q352" s="551">
        <f t="shared" si="4"/>
        <v>0</v>
      </c>
      <c r="R352" s="551">
        <f t="shared" si="5"/>
        <v>0</v>
      </c>
      <c r="S352" s="550">
        <f>IF(C352=0,0,(VLOOKUP(C352,'PO MTRL'!$B$9:$S1518,17,0)))</f>
        <v>0</v>
      </c>
      <c r="T352" s="553"/>
      <c r="U352" s="554">
        <f>IF(C352=0,0,(VLOOKUP(C352,'PO MTRL'!$B$9:$S1518,18,0)))</f>
        <v>0</v>
      </c>
      <c r="V352" s="16"/>
      <c r="W352" s="119" t="str">
        <f t="shared" si="6"/>
        <v/>
      </c>
      <c r="X352" s="564">
        <f t="shared" si="7"/>
        <v>0</v>
      </c>
      <c r="Y352" s="119"/>
      <c r="Z352" s="119"/>
      <c r="AA352" s="530">
        <f>IFERROR(__xludf.DUMMYFUNCTION("""COMPUTED_VALUE"""),344.0)</f>
        <v>344</v>
      </c>
      <c r="AB352" s="119"/>
      <c r="AC352" s="119"/>
      <c r="AD352" s="119"/>
      <c r="AE352" s="119"/>
      <c r="AF352" s="119"/>
      <c r="AG352" s="555" t="str">
        <f t="shared" si="8"/>
        <v>  ---&gt;     ---&gt;   </v>
      </c>
      <c r="AH352" s="16"/>
      <c r="AI352" s="439"/>
      <c r="AJ352" s="439"/>
      <c r="AK352" s="439"/>
    </row>
    <row r="353" ht="18.75" customHeight="1">
      <c r="A353" s="439"/>
      <c r="B353" s="546"/>
      <c r="C353" s="547"/>
      <c r="D353" s="446">
        <f>IF(C353=0,0,(VLOOKUP(C353,'PO MTRL'!$B$9:$S1518,2,0)))</f>
        <v>0</v>
      </c>
      <c r="E353" s="548" t="str">
        <f>IF(C353="","",(VLOOKUP(C353,'PO MTRL'!$B$9:$S1518,3,0)))</f>
        <v/>
      </c>
      <c r="F353" s="549">
        <f>IF(C353=0,0,(VLOOKUP(C353,'PO MTRL'!$B$9:$S1518,4,0)))</f>
        <v>0</v>
      </c>
      <c r="G353" s="444"/>
      <c r="H353" s="550">
        <f>IF(C353=0,0,(VLOOKUP(C353,'PO MTRL'!$B$9:$S1518,6,0)))</f>
        <v>0</v>
      </c>
      <c r="I353" s="446">
        <f>IF(C353=0,0,(VLOOKUP(C353,'PO MTRL'!$B$9:$S1518,7,0)))</f>
        <v>0</v>
      </c>
      <c r="J353" s="551">
        <f>IF(C353=0,0,(VLOOKUP(C353,'PO MTRL'!$B$9:$S1518,8,0)))</f>
        <v>0</v>
      </c>
      <c r="K353" s="559"/>
      <c r="L353" s="448">
        <f t="shared" si="1"/>
        <v>0</v>
      </c>
      <c r="M353" s="551">
        <f t="shared" si="2"/>
        <v>0</v>
      </c>
      <c r="N353" s="449">
        <f t="shared" si="3"/>
        <v>0</v>
      </c>
      <c r="O353" s="551">
        <f>IF(H353=0,0,(VLOOKUP(H353,'PO MTRL'!$G$9:$S1518,5,0)))</f>
        <v>0</v>
      </c>
      <c r="P353" s="551">
        <f>IF(H353=0,0,(VLOOKUP(H353,'PO MTRL'!$G$9:$S1518,7,0)))</f>
        <v>0</v>
      </c>
      <c r="Q353" s="551">
        <f t="shared" si="4"/>
        <v>0</v>
      </c>
      <c r="R353" s="551">
        <f t="shared" si="5"/>
        <v>0</v>
      </c>
      <c r="S353" s="550">
        <f>IF(C353=0,0,(VLOOKUP(C353,'PO MTRL'!$B$9:$S1518,17,0)))</f>
        <v>0</v>
      </c>
      <c r="T353" s="553"/>
      <c r="U353" s="554">
        <f>IF(C353=0,0,(VLOOKUP(C353,'PO MTRL'!$B$9:$S1518,18,0)))</f>
        <v>0</v>
      </c>
      <c r="V353" s="16"/>
      <c r="W353" s="119" t="str">
        <f t="shared" si="6"/>
        <v/>
      </c>
      <c r="X353" s="564">
        <f t="shared" si="7"/>
        <v>0</v>
      </c>
      <c r="Y353" s="119"/>
      <c r="Z353" s="119"/>
      <c r="AA353" s="530">
        <f>IFERROR(__xludf.DUMMYFUNCTION("""COMPUTED_VALUE"""),345.0)</f>
        <v>345</v>
      </c>
      <c r="AB353" s="119"/>
      <c r="AC353" s="119"/>
      <c r="AD353" s="119"/>
      <c r="AE353" s="119"/>
      <c r="AF353" s="119"/>
      <c r="AG353" s="555" t="str">
        <f t="shared" si="8"/>
        <v>  ---&gt;     ---&gt;   </v>
      </c>
      <c r="AH353" s="16"/>
      <c r="AI353" s="439"/>
      <c r="AJ353" s="439"/>
      <c r="AK353" s="439"/>
    </row>
    <row r="354" ht="18.75" customHeight="1">
      <c r="A354" s="439"/>
      <c r="B354" s="546"/>
      <c r="C354" s="547"/>
      <c r="D354" s="446">
        <f>IF(C354=0,0,(VLOOKUP(C354,'PO MTRL'!$B$9:$S1518,2,0)))</f>
        <v>0</v>
      </c>
      <c r="E354" s="548" t="str">
        <f>IF(C354="","",(VLOOKUP(C354,'PO MTRL'!$B$9:$S1518,3,0)))</f>
        <v/>
      </c>
      <c r="F354" s="549">
        <f>IF(C354=0,0,(VLOOKUP(C354,'PO MTRL'!$B$9:$S1518,4,0)))</f>
        <v>0</v>
      </c>
      <c r="G354" s="444"/>
      <c r="H354" s="550">
        <f>IF(C354=0,0,(VLOOKUP(C354,'PO MTRL'!$B$9:$S1518,6,0)))</f>
        <v>0</v>
      </c>
      <c r="I354" s="446">
        <f>IF(C354=0,0,(VLOOKUP(C354,'PO MTRL'!$B$9:$S1518,7,0)))</f>
        <v>0</v>
      </c>
      <c r="J354" s="551">
        <f>IF(C354=0,0,(VLOOKUP(C354,'PO MTRL'!$B$9:$S1518,8,0)))</f>
        <v>0</v>
      </c>
      <c r="K354" s="559"/>
      <c r="L354" s="448">
        <f t="shared" si="1"/>
        <v>0</v>
      </c>
      <c r="M354" s="551">
        <f t="shared" si="2"/>
        <v>0</v>
      </c>
      <c r="N354" s="449">
        <f t="shared" si="3"/>
        <v>0</v>
      </c>
      <c r="O354" s="551">
        <f>IF(H354=0,0,(VLOOKUP(H354,'PO MTRL'!$G$9:$S1518,5,0)))</f>
        <v>0</v>
      </c>
      <c r="P354" s="551">
        <f>IF(H354=0,0,(VLOOKUP(H354,'PO MTRL'!$G$9:$S1518,7,0)))</f>
        <v>0</v>
      </c>
      <c r="Q354" s="551">
        <f t="shared" si="4"/>
        <v>0</v>
      </c>
      <c r="R354" s="551">
        <f t="shared" si="5"/>
        <v>0</v>
      </c>
      <c r="S354" s="550">
        <f>IF(C354=0,0,(VLOOKUP(C354,'PO MTRL'!$B$9:$S1518,17,0)))</f>
        <v>0</v>
      </c>
      <c r="T354" s="553"/>
      <c r="U354" s="554">
        <f>IF(C354=0,0,(VLOOKUP(C354,'PO MTRL'!$B$9:$S1518,18,0)))</f>
        <v>0</v>
      </c>
      <c r="V354" s="16"/>
      <c r="W354" s="119" t="str">
        <f t="shared" si="6"/>
        <v/>
      </c>
      <c r="X354" s="564">
        <f t="shared" si="7"/>
        <v>0</v>
      </c>
      <c r="Y354" s="119"/>
      <c r="Z354" s="119"/>
      <c r="AA354" s="530">
        <f>IFERROR(__xludf.DUMMYFUNCTION("""COMPUTED_VALUE"""),346.0)</f>
        <v>346</v>
      </c>
      <c r="AB354" s="119"/>
      <c r="AC354" s="119"/>
      <c r="AD354" s="119"/>
      <c r="AE354" s="119"/>
      <c r="AF354" s="119"/>
      <c r="AG354" s="555" t="str">
        <f t="shared" si="8"/>
        <v>  ---&gt;     ---&gt;   </v>
      </c>
      <c r="AH354" s="16"/>
      <c r="AI354" s="439"/>
      <c r="AJ354" s="439"/>
      <c r="AK354" s="439"/>
    </row>
    <row r="355" ht="18.75" customHeight="1">
      <c r="A355" s="439"/>
      <c r="B355" s="546"/>
      <c r="C355" s="547"/>
      <c r="D355" s="446">
        <f>IF(C355=0,0,(VLOOKUP(C355,'PO MTRL'!$B$9:$S1518,2,0)))</f>
        <v>0</v>
      </c>
      <c r="E355" s="548" t="str">
        <f>IF(C355="","",(VLOOKUP(C355,'PO MTRL'!$B$9:$S1518,3,0)))</f>
        <v/>
      </c>
      <c r="F355" s="549">
        <f>IF(C355=0,0,(VLOOKUP(C355,'PO MTRL'!$B$9:$S1518,4,0)))</f>
        <v>0</v>
      </c>
      <c r="G355" s="444"/>
      <c r="H355" s="550">
        <f>IF(C355=0,0,(VLOOKUP(C355,'PO MTRL'!$B$9:$S1518,6,0)))</f>
        <v>0</v>
      </c>
      <c r="I355" s="446">
        <f>IF(C355=0,0,(VLOOKUP(C355,'PO MTRL'!$B$9:$S1518,7,0)))</f>
        <v>0</v>
      </c>
      <c r="J355" s="551">
        <f>IF(C355=0,0,(VLOOKUP(C355,'PO MTRL'!$B$9:$S1518,8,0)))</f>
        <v>0</v>
      </c>
      <c r="K355" s="559"/>
      <c r="L355" s="448">
        <f t="shared" si="1"/>
        <v>0</v>
      </c>
      <c r="M355" s="551">
        <f t="shared" si="2"/>
        <v>0</v>
      </c>
      <c r="N355" s="449">
        <f t="shared" si="3"/>
        <v>0</v>
      </c>
      <c r="O355" s="551">
        <f>IF(H355=0,0,(VLOOKUP(H355,'PO MTRL'!$G$9:$S1518,5,0)))</f>
        <v>0</v>
      </c>
      <c r="P355" s="551">
        <f>IF(H355=0,0,(VLOOKUP(H355,'PO MTRL'!$G$9:$S1518,7,0)))</f>
        <v>0</v>
      </c>
      <c r="Q355" s="551">
        <f t="shared" si="4"/>
        <v>0</v>
      </c>
      <c r="R355" s="551">
        <f t="shared" si="5"/>
        <v>0</v>
      </c>
      <c r="S355" s="550">
        <f>IF(C355=0,0,(VLOOKUP(C355,'PO MTRL'!$B$9:$S1518,17,0)))</f>
        <v>0</v>
      </c>
      <c r="T355" s="553"/>
      <c r="U355" s="554">
        <f>IF(C355=0,0,(VLOOKUP(C355,'PO MTRL'!$B$9:$S1518,18,0)))</f>
        <v>0</v>
      </c>
      <c r="V355" s="16"/>
      <c r="W355" s="119" t="str">
        <f t="shared" si="6"/>
        <v/>
      </c>
      <c r="X355" s="564">
        <f t="shared" si="7"/>
        <v>0</v>
      </c>
      <c r="Y355" s="119"/>
      <c r="Z355" s="119"/>
      <c r="AA355" s="530">
        <f>IFERROR(__xludf.DUMMYFUNCTION("""COMPUTED_VALUE"""),347.0)</f>
        <v>347</v>
      </c>
      <c r="AB355" s="119"/>
      <c r="AC355" s="119"/>
      <c r="AD355" s="119"/>
      <c r="AE355" s="119"/>
      <c r="AF355" s="119"/>
      <c r="AG355" s="555" t="str">
        <f t="shared" si="8"/>
        <v>  ---&gt;     ---&gt;   </v>
      </c>
      <c r="AH355" s="16"/>
      <c r="AI355" s="439"/>
      <c r="AJ355" s="439"/>
      <c r="AK355" s="439"/>
    </row>
    <row r="356" ht="18.75" customHeight="1">
      <c r="A356" s="439"/>
      <c r="B356" s="546"/>
      <c r="C356" s="547"/>
      <c r="D356" s="446">
        <f>IF(C356=0,0,(VLOOKUP(C356,'PO MTRL'!$B$9:$S1518,2,0)))</f>
        <v>0</v>
      </c>
      <c r="E356" s="548" t="str">
        <f>IF(C356="","",(VLOOKUP(C356,'PO MTRL'!$B$9:$S1518,3,0)))</f>
        <v/>
      </c>
      <c r="F356" s="549">
        <f>IF(C356=0,0,(VLOOKUP(C356,'PO MTRL'!$B$9:$S1518,4,0)))</f>
        <v>0</v>
      </c>
      <c r="G356" s="444"/>
      <c r="H356" s="550">
        <f>IF(C356=0,0,(VLOOKUP(C356,'PO MTRL'!$B$9:$S1518,6,0)))</f>
        <v>0</v>
      </c>
      <c r="I356" s="446">
        <f>IF(C356=0,0,(VLOOKUP(C356,'PO MTRL'!$B$9:$S1518,7,0)))</f>
        <v>0</v>
      </c>
      <c r="J356" s="551">
        <f>IF(C356=0,0,(VLOOKUP(C356,'PO MTRL'!$B$9:$S1518,8,0)))</f>
        <v>0</v>
      </c>
      <c r="K356" s="559"/>
      <c r="L356" s="448">
        <f t="shared" si="1"/>
        <v>0</v>
      </c>
      <c r="M356" s="551">
        <f t="shared" si="2"/>
        <v>0</v>
      </c>
      <c r="N356" s="449">
        <f t="shared" si="3"/>
        <v>0</v>
      </c>
      <c r="O356" s="551">
        <f>IF(H356=0,0,(VLOOKUP(H356,'PO MTRL'!$G$9:$S1518,5,0)))</f>
        <v>0</v>
      </c>
      <c r="P356" s="551">
        <f>IF(H356=0,0,(VLOOKUP(H356,'PO MTRL'!$G$9:$S1518,7,0)))</f>
        <v>0</v>
      </c>
      <c r="Q356" s="551">
        <f t="shared" si="4"/>
        <v>0</v>
      </c>
      <c r="R356" s="551">
        <f t="shared" si="5"/>
        <v>0</v>
      </c>
      <c r="S356" s="550">
        <f>IF(C356=0,0,(VLOOKUP(C356,'PO MTRL'!$B$9:$S1518,17,0)))</f>
        <v>0</v>
      </c>
      <c r="T356" s="553"/>
      <c r="U356" s="554">
        <f>IF(C356=0,0,(VLOOKUP(C356,'PO MTRL'!$B$9:$S1518,18,0)))</f>
        <v>0</v>
      </c>
      <c r="V356" s="16"/>
      <c r="W356" s="119" t="str">
        <f t="shared" si="6"/>
        <v/>
      </c>
      <c r="X356" s="564">
        <f t="shared" si="7"/>
        <v>0</v>
      </c>
      <c r="Y356" s="119"/>
      <c r="Z356" s="119"/>
      <c r="AA356" s="530">
        <f>IFERROR(__xludf.DUMMYFUNCTION("""COMPUTED_VALUE"""),348.0)</f>
        <v>348</v>
      </c>
      <c r="AB356" s="119"/>
      <c r="AC356" s="119"/>
      <c r="AD356" s="119"/>
      <c r="AE356" s="119"/>
      <c r="AF356" s="119"/>
      <c r="AG356" s="555" t="str">
        <f t="shared" si="8"/>
        <v>  ---&gt;     ---&gt;   </v>
      </c>
      <c r="AH356" s="16"/>
      <c r="AI356" s="439"/>
      <c r="AJ356" s="439"/>
      <c r="AK356" s="439"/>
    </row>
    <row r="357" ht="18.75" customHeight="1">
      <c r="A357" s="439"/>
      <c r="B357" s="546"/>
      <c r="C357" s="547"/>
      <c r="D357" s="446">
        <f>IF(C357=0,0,(VLOOKUP(C357,'PO MTRL'!$B$9:$S1518,2,0)))</f>
        <v>0</v>
      </c>
      <c r="E357" s="548" t="str">
        <f>IF(C357="","",(VLOOKUP(C357,'PO MTRL'!$B$9:$S1518,3,0)))</f>
        <v/>
      </c>
      <c r="F357" s="549">
        <f>IF(C357=0,0,(VLOOKUP(C357,'PO MTRL'!$B$9:$S1518,4,0)))</f>
        <v>0</v>
      </c>
      <c r="G357" s="444"/>
      <c r="H357" s="550">
        <f>IF(C357=0,0,(VLOOKUP(C357,'PO MTRL'!$B$9:$S1518,6,0)))</f>
        <v>0</v>
      </c>
      <c r="I357" s="446">
        <f>IF(C357=0,0,(VLOOKUP(C357,'PO MTRL'!$B$9:$S1518,7,0)))</f>
        <v>0</v>
      </c>
      <c r="J357" s="551">
        <f>IF(C357=0,0,(VLOOKUP(C357,'PO MTRL'!$B$9:$S1518,8,0)))</f>
        <v>0</v>
      </c>
      <c r="K357" s="559"/>
      <c r="L357" s="448">
        <f t="shared" si="1"/>
        <v>0</v>
      </c>
      <c r="M357" s="551">
        <f t="shared" si="2"/>
        <v>0</v>
      </c>
      <c r="N357" s="449">
        <f t="shared" si="3"/>
        <v>0</v>
      </c>
      <c r="O357" s="551">
        <f>IF(H357=0,0,(VLOOKUP(H357,'PO MTRL'!$G$9:$S1518,5,0)))</f>
        <v>0</v>
      </c>
      <c r="P357" s="551">
        <f>IF(H357=0,0,(VLOOKUP(H357,'PO MTRL'!$G$9:$S1518,7,0)))</f>
        <v>0</v>
      </c>
      <c r="Q357" s="551">
        <f t="shared" si="4"/>
        <v>0</v>
      </c>
      <c r="R357" s="551">
        <f t="shared" si="5"/>
        <v>0</v>
      </c>
      <c r="S357" s="550">
        <f>IF(C357=0,0,(VLOOKUP(C357,'PO MTRL'!$B$9:$S1518,17,0)))</f>
        <v>0</v>
      </c>
      <c r="T357" s="553"/>
      <c r="U357" s="554">
        <f>IF(C357=0,0,(VLOOKUP(C357,'PO MTRL'!$B$9:$S1518,18,0)))</f>
        <v>0</v>
      </c>
      <c r="V357" s="16"/>
      <c r="W357" s="119" t="str">
        <f t="shared" si="6"/>
        <v/>
      </c>
      <c r="X357" s="564">
        <f t="shared" si="7"/>
        <v>0</v>
      </c>
      <c r="Y357" s="119"/>
      <c r="Z357" s="119"/>
      <c r="AA357" s="530">
        <f>IFERROR(__xludf.DUMMYFUNCTION("""COMPUTED_VALUE"""),349.0)</f>
        <v>349</v>
      </c>
      <c r="AB357" s="119"/>
      <c r="AC357" s="119"/>
      <c r="AD357" s="119"/>
      <c r="AE357" s="119"/>
      <c r="AF357" s="119"/>
      <c r="AG357" s="555" t="str">
        <f t="shared" si="8"/>
        <v>  ---&gt;     ---&gt;   </v>
      </c>
      <c r="AH357" s="16"/>
      <c r="AI357" s="439"/>
      <c r="AJ357" s="439"/>
      <c r="AK357" s="439"/>
    </row>
    <row r="358" ht="18.75" customHeight="1">
      <c r="A358" s="439"/>
      <c r="B358" s="546"/>
      <c r="C358" s="547"/>
      <c r="D358" s="446">
        <f>IF(C358=0,0,(VLOOKUP(C358,'PO MTRL'!$B$9:$S1518,2,0)))</f>
        <v>0</v>
      </c>
      <c r="E358" s="548" t="str">
        <f>IF(C358="","",(VLOOKUP(C358,'PO MTRL'!$B$9:$S1518,3,0)))</f>
        <v/>
      </c>
      <c r="F358" s="549">
        <f>IF(C358=0,0,(VLOOKUP(C358,'PO MTRL'!$B$9:$S1518,4,0)))</f>
        <v>0</v>
      </c>
      <c r="G358" s="444"/>
      <c r="H358" s="550">
        <f>IF(C358=0,0,(VLOOKUP(C358,'PO MTRL'!$B$9:$S1518,6,0)))</f>
        <v>0</v>
      </c>
      <c r="I358" s="446">
        <f>IF(C358=0,0,(VLOOKUP(C358,'PO MTRL'!$B$9:$S1518,7,0)))</f>
        <v>0</v>
      </c>
      <c r="J358" s="551">
        <f>IF(C358=0,0,(VLOOKUP(C358,'PO MTRL'!$B$9:$S1518,8,0)))</f>
        <v>0</v>
      </c>
      <c r="K358" s="559"/>
      <c r="L358" s="448">
        <f t="shared" si="1"/>
        <v>0</v>
      </c>
      <c r="M358" s="551">
        <f t="shared" si="2"/>
        <v>0</v>
      </c>
      <c r="N358" s="449">
        <f t="shared" si="3"/>
        <v>0</v>
      </c>
      <c r="O358" s="551">
        <f>IF(H358=0,0,(VLOOKUP(H358,'PO MTRL'!$G$9:$S1518,5,0)))</f>
        <v>0</v>
      </c>
      <c r="P358" s="551">
        <f>IF(H358=0,0,(VLOOKUP(H358,'PO MTRL'!$G$9:$S1518,7,0)))</f>
        <v>0</v>
      </c>
      <c r="Q358" s="551">
        <f t="shared" si="4"/>
        <v>0</v>
      </c>
      <c r="R358" s="551">
        <f t="shared" si="5"/>
        <v>0</v>
      </c>
      <c r="S358" s="550">
        <f>IF(C358=0,0,(VLOOKUP(C358,'PO MTRL'!$B$9:$S1518,17,0)))</f>
        <v>0</v>
      </c>
      <c r="T358" s="553"/>
      <c r="U358" s="554">
        <f>IF(C358=0,0,(VLOOKUP(C358,'PO MTRL'!$B$9:$S1518,18,0)))</f>
        <v>0</v>
      </c>
      <c r="V358" s="16"/>
      <c r="W358" s="119" t="str">
        <f t="shared" si="6"/>
        <v/>
      </c>
      <c r="X358" s="564">
        <f t="shared" si="7"/>
        <v>0</v>
      </c>
      <c r="Y358" s="119"/>
      <c r="Z358" s="119"/>
      <c r="AA358" s="530">
        <f>IFERROR(__xludf.DUMMYFUNCTION("""COMPUTED_VALUE"""),350.0)</f>
        <v>350</v>
      </c>
      <c r="AB358" s="119"/>
      <c r="AC358" s="119"/>
      <c r="AD358" s="119"/>
      <c r="AE358" s="119"/>
      <c r="AF358" s="119"/>
      <c r="AG358" s="555" t="str">
        <f t="shared" si="8"/>
        <v>  ---&gt;     ---&gt;   </v>
      </c>
      <c r="AH358" s="16"/>
      <c r="AI358" s="439"/>
      <c r="AJ358" s="439"/>
      <c r="AK358" s="439"/>
    </row>
    <row r="359" ht="18.75" customHeight="1">
      <c r="A359" s="439"/>
      <c r="B359" s="546"/>
      <c r="C359" s="547"/>
      <c r="D359" s="446">
        <f>IF(C359=0,0,(VLOOKUP(C359,'PO MTRL'!$B$9:$S1518,2,0)))</f>
        <v>0</v>
      </c>
      <c r="E359" s="548" t="str">
        <f>IF(C359="","",(VLOOKUP(C359,'PO MTRL'!$B$9:$S1518,3,0)))</f>
        <v/>
      </c>
      <c r="F359" s="549">
        <f>IF(C359=0,0,(VLOOKUP(C359,'PO MTRL'!$B$9:$S1518,4,0)))</f>
        <v>0</v>
      </c>
      <c r="G359" s="444"/>
      <c r="H359" s="550">
        <f>IF(C359=0,0,(VLOOKUP(C359,'PO MTRL'!$B$9:$S1518,6,0)))</f>
        <v>0</v>
      </c>
      <c r="I359" s="446">
        <f>IF(C359=0,0,(VLOOKUP(C359,'PO MTRL'!$B$9:$S1518,7,0)))</f>
        <v>0</v>
      </c>
      <c r="J359" s="551">
        <f>IF(C359=0,0,(VLOOKUP(C359,'PO MTRL'!$B$9:$S1518,8,0)))</f>
        <v>0</v>
      </c>
      <c r="K359" s="559"/>
      <c r="L359" s="448">
        <f t="shared" si="1"/>
        <v>0</v>
      </c>
      <c r="M359" s="551">
        <f t="shared" si="2"/>
        <v>0</v>
      </c>
      <c r="N359" s="449">
        <f t="shared" si="3"/>
        <v>0</v>
      </c>
      <c r="O359" s="551">
        <f>IF(H359=0,0,(VLOOKUP(H359,'PO MTRL'!$G$9:$S1518,5,0)))</f>
        <v>0</v>
      </c>
      <c r="P359" s="551">
        <f>IF(H359=0,0,(VLOOKUP(H359,'PO MTRL'!$G$9:$S1518,7,0)))</f>
        <v>0</v>
      </c>
      <c r="Q359" s="551">
        <f t="shared" si="4"/>
        <v>0</v>
      </c>
      <c r="R359" s="551">
        <f t="shared" si="5"/>
        <v>0</v>
      </c>
      <c r="S359" s="550">
        <f>IF(C359=0,0,(VLOOKUP(C359,'PO MTRL'!$B$9:$S1518,17,0)))</f>
        <v>0</v>
      </c>
      <c r="T359" s="553"/>
      <c r="U359" s="554">
        <f>IF(C359=0,0,(VLOOKUP(C359,'PO MTRL'!$B$9:$S1518,18,0)))</f>
        <v>0</v>
      </c>
      <c r="V359" s="16"/>
      <c r="W359" s="119" t="str">
        <f t="shared" si="6"/>
        <v/>
      </c>
      <c r="X359" s="564">
        <f t="shared" si="7"/>
        <v>0</v>
      </c>
      <c r="Y359" s="119"/>
      <c r="Z359" s="119"/>
      <c r="AA359" s="530">
        <f>IFERROR(__xludf.DUMMYFUNCTION("""COMPUTED_VALUE"""),351.0)</f>
        <v>351</v>
      </c>
      <c r="AB359" s="119"/>
      <c r="AC359" s="119"/>
      <c r="AD359" s="119"/>
      <c r="AE359" s="119"/>
      <c r="AF359" s="119"/>
      <c r="AG359" s="555" t="str">
        <f t="shared" si="8"/>
        <v>  ---&gt;     ---&gt;   </v>
      </c>
      <c r="AH359" s="16"/>
      <c r="AI359" s="439"/>
      <c r="AJ359" s="439"/>
      <c r="AK359" s="439"/>
    </row>
    <row r="360" ht="18.75" customHeight="1">
      <c r="A360" s="439"/>
      <c r="B360" s="546"/>
      <c r="C360" s="547"/>
      <c r="D360" s="446">
        <f>IF(C360=0,0,(VLOOKUP(C360,'PO MTRL'!$B$9:$S1518,2,0)))</f>
        <v>0</v>
      </c>
      <c r="E360" s="548" t="str">
        <f>IF(C360="","",(VLOOKUP(C360,'PO MTRL'!$B$9:$S1518,3,0)))</f>
        <v/>
      </c>
      <c r="F360" s="549">
        <f>IF(C360=0,0,(VLOOKUP(C360,'PO MTRL'!$B$9:$S1518,4,0)))</f>
        <v>0</v>
      </c>
      <c r="G360" s="444"/>
      <c r="H360" s="550">
        <f>IF(C360=0,0,(VLOOKUP(C360,'PO MTRL'!$B$9:$S1518,6,0)))</f>
        <v>0</v>
      </c>
      <c r="I360" s="446">
        <f>IF(C360=0,0,(VLOOKUP(C360,'PO MTRL'!$B$9:$S1518,7,0)))</f>
        <v>0</v>
      </c>
      <c r="J360" s="551">
        <f>IF(C360=0,0,(VLOOKUP(C360,'PO MTRL'!$B$9:$S1518,8,0)))</f>
        <v>0</v>
      </c>
      <c r="K360" s="559"/>
      <c r="L360" s="448">
        <f t="shared" si="1"/>
        <v>0</v>
      </c>
      <c r="M360" s="551">
        <f t="shared" si="2"/>
        <v>0</v>
      </c>
      <c r="N360" s="449">
        <f t="shared" si="3"/>
        <v>0</v>
      </c>
      <c r="O360" s="551">
        <f>IF(H360=0,0,(VLOOKUP(H360,'PO MTRL'!$G$9:$S1518,5,0)))</f>
        <v>0</v>
      </c>
      <c r="P360" s="551">
        <f>IF(H360=0,0,(VLOOKUP(H360,'PO MTRL'!$G$9:$S1518,7,0)))</f>
        <v>0</v>
      </c>
      <c r="Q360" s="551">
        <f t="shared" si="4"/>
        <v>0</v>
      </c>
      <c r="R360" s="551">
        <f t="shared" si="5"/>
        <v>0</v>
      </c>
      <c r="S360" s="550">
        <f>IF(C360=0,0,(VLOOKUP(C360,'PO MTRL'!$B$9:$S1518,17,0)))</f>
        <v>0</v>
      </c>
      <c r="T360" s="553"/>
      <c r="U360" s="554">
        <f>IF(C360=0,0,(VLOOKUP(C360,'PO MTRL'!$B$9:$S1518,18,0)))</f>
        <v>0</v>
      </c>
      <c r="V360" s="16"/>
      <c r="W360" s="119" t="str">
        <f t="shared" si="6"/>
        <v/>
      </c>
      <c r="X360" s="564">
        <f t="shared" si="7"/>
        <v>0</v>
      </c>
      <c r="Y360" s="119"/>
      <c r="Z360" s="119"/>
      <c r="AA360" s="530">
        <f>IFERROR(__xludf.DUMMYFUNCTION("""COMPUTED_VALUE"""),352.0)</f>
        <v>352</v>
      </c>
      <c r="AB360" s="119"/>
      <c r="AC360" s="119"/>
      <c r="AD360" s="119"/>
      <c r="AE360" s="119"/>
      <c r="AF360" s="119"/>
      <c r="AG360" s="555" t="str">
        <f t="shared" si="8"/>
        <v>  ---&gt;     ---&gt;   </v>
      </c>
      <c r="AH360" s="16"/>
      <c r="AI360" s="439"/>
      <c r="AJ360" s="439"/>
      <c r="AK360" s="439"/>
    </row>
    <row r="361" ht="18.75" customHeight="1">
      <c r="A361" s="439"/>
      <c r="B361" s="546"/>
      <c r="C361" s="547"/>
      <c r="D361" s="446">
        <f>IF(C361=0,0,(VLOOKUP(C361,'PO MTRL'!$B$9:$S1518,2,0)))</f>
        <v>0</v>
      </c>
      <c r="E361" s="548" t="str">
        <f>IF(C361="","",(VLOOKUP(C361,'PO MTRL'!$B$9:$S1518,3,0)))</f>
        <v/>
      </c>
      <c r="F361" s="549">
        <f>IF(C361=0,0,(VLOOKUP(C361,'PO MTRL'!$B$9:$S1518,4,0)))</f>
        <v>0</v>
      </c>
      <c r="G361" s="444"/>
      <c r="H361" s="550">
        <f>IF(C361=0,0,(VLOOKUP(C361,'PO MTRL'!$B$9:$S1518,6,0)))</f>
        <v>0</v>
      </c>
      <c r="I361" s="446">
        <f>IF(C361=0,0,(VLOOKUP(C361,'PO MTRL'!$B$9:$S1518,7,0)))</f>
        <v>0</v>
      </c>
      <c r="J361" s="551">
        <f>IF(C361=0,0,(VLOOKUP(C361,'PO MTRL'!$B$9:$S1518,8,0)))</f>
        <v>0</v>
      </c>
      <c r="K361" s="559"/>
      <c r="L361" s="448">
        <f t="shared" si="1"/>
        <v>0</v>
      </c>
      <c r="M361" s="551">
        <f t="shared" si="2"/>
        <v>0</v>
      </c>
      <c r="N361" s="449">
        <f t="shared" si="3"/>
        <v>0</v>
      </c>
      <c r="O361" s="551">
        <f>IF(H361=0,0,(VLOOKUP(H361,'PO MTRL'!$G$9:$S1518,5,0)))</f>
        <v>0</v>
      </c>
      <c r="P361" s="551">
        <f>IF(H361=0,0,(VLOOKUP(H361,'PO MTRL'!$G$9:$S1518,7,0)))</f>
        <v>0</v>
      </c>
      <c r="Q361" s="551">
        <f t="shared" si="4"/>
        <v>0</v>
      </c>
      <c r="R361" s="551">
        <f t="shared" si="5"/>
        <v>0</v>
      </c>
      <c r="S361" s="550">
        <f>IF(C361=0,0,(VLOOKUP(C361,'PO MTRL'!$B$9:$S1518,17,0)))</f>
        <v>0</v>
      </c>
      <c r="T361" s="553"/>
      <c r="U361" s="554">
        <f>IF(C361=0,0,(VLOOKUP(C361,'PO MTRL'!$B$9:$S1518,18,0)))</f>
        <v>0</v>
      </c>
      <c r="V361" s="16"/>
      <c r="W361" s="119" t="str">
        <f t="shared" si="6"/>
        <v/>
      </c>
      <c r="X361" s="564">
        <f t="shared" si="7"/>
        <v>0</v>
      </c>
      <c r="Y361" s="119"/>
      <c r="Z361" s="119"/>
      <c r="AA361" s="530">
        <f>IFERROR(__xludf.DUMMYFUNCTION("""COMPUTED_VALUE"""),353.0)</f>
        <v>353</v>
      </c>
      <c r="AB361" s="119"/>
      <c r="AC361" s="119"/>
      <c r="AD361" s="119"/>
      <c r="AE361" s="119"/>
      <c r="AF361" s="119"/>
      <c r="AG361" s="555" t="str">
        <f t="shared" si="8"/>
        <v>  ---&gt;     ---&gt;   </v>
      </c>
      <c r="AH361" s="16"/>
      <c r="AI361" s="439"/>
      <c r="AJ361" s="439"/>
      <c r="AK361" s="439"/>
    </row>
    <row r="362" ht="18.75" customHeight="1">
      <c r="A362" s="439"/>
      <c r="B362" s="546"/>
      <c r="C362" s="547"/>
      <c r="D362" s="446">
        <f>IF(C362=0,0,(VLOOKUP(C362,'PO MTRL'!$B$9:$S1518,2,0)))</f>
        <v>0</v>
      </c>
      <c r="E362" s="548" t="str">
        <f>IF(C362="","",(VLOOKUP(C362,'PO MTRL'!$B$9:$S1518,3,0)))</f>
        <v/>
      </c>
      <c r="F362" s="549">
        <f>IF(C362=0,0,(VLOOKUP(C362,'PO MTRL'!$B$9:$S1518,4,0)))</f>
        <v>0</v>
      </c>
      <c r="G362" s="444"/>
      <c r="H362" s="550">
        <f>IF(C362=0,0,(VLOOKUP(C362,'PO MTRL'!$B$9:$S1518,6,0)))</f>
        <v>0</v>
      </c>
      <c r="I362" s="446">
        <f>IF(C362=0,0,(VLOOKUP(C362,'PO MTRL'!$B$9:$S1518,7,0)))</f>
        <v>0</v>
      </c>
      <c r="J362" s="551">
        <f>IF(C362=0,0,(VLOOKUP(C362,'PO MTRL'!$B$9:$S1518,8,0)))</f>
        <v>0</v>
      </c>
      <c r="K362" s="559"/>
      <c r="L362" s="448">
        <f t="shared" si="1"/>
        <v>0</v>
      </c>
      <c r="M362" s="551">
        <f t="shared" si="2"/>
        <v>0</v>
      </c>
      <c r="N362" s="449">
        <f t="shared" si="3"/>
        <v>0</v>
      </c>
      <c r="O362" s="551">
        <f>IF(H362=0,0,(VLOOKUP(H362,'PO MTRL'!$G$9:$S1518,5,0)))</f>
        <v>0</v>
      </c>
      <c r="P362" s="551">
        <f>IF(H362=0,0,(VLOOKUP(H362,'PO MTRL'!$G$9:$S1518,7,0)))</f>
        <v>0</v>
      </c>
      <c r="Q362" s="551">
        <f t="shared" si="4"/>
        <v>0</v>
      </c>
      <c r="R362" s="551">
        <f t="shared" si="5"/>
        <v>0</v>
      </c>
      <c r="S362" s="550">
        <f>IF(C362=0,0,(VLOOKUP(C362,'PO MTRL'!$B$9:$S1518,17,0)))</f>
        <v>0</v>
      </c>
      <c r="T362" s="553"/>
      <c r="U362" s="554">
        <f>IF(C362=0,0,(VLOOKUP(C362,'PO MTRL'!$B$9:$S1518,18,0)))</f>
        <v>0</v>
      </c>
      <c r="V362" s="16"/>
      <c r="W362" s="119" t="str">
        <f t="shared" si="6"/>
        <v/>
      </c>
      <c r="X362" s="564">
        <f t="shared" si="7"/>
        <v>0</v>
      </c>
      <c r="Y362" s="119"/>
      <c r="Z362" s="119"/>
      <c r="AA362" s="530">
        <f>IFERROR(__xludf.DUMMYFUNCTION("""COMPUTED_VALUE"""),354.0)</f>
        <v>354</v>
      </c>
      <c r="AB362" s="119"/>
      <c r="AC362" s="119"/>
      <c r="AD362" s="119"/>
      <c r="AE362" s="119"/>
      <c r="AF362" s="119"/>
      <c r="AG362" s="555" t="str">
        <f t="shared" si="8"/>
        <v>  ---&gt;     ---&gt;   </v>
      </c>
      <c r="AH362" s="16"/>
      <c r="AI362" s="439"/>
      <c r="AJ362" s="439"/>
      <c r="AK362" s="439"/>
    </row>
    <row r="363" ht="18.75" customHeight="1">
      <c r="A363" s="439"/>
      <c r="B363" s="546"/>
      <c r="C363" s="547"/>
      <c r="D363" s="446">
        <f>IF(C363=0,0,(VLOOKUP(C363,'PO MTRL'!$B$9:$S1518,2,0)))</f>
        <v>0</v>
      </c>
      <c r="E363" s="548" t="str">
        <f>IF(C363="","",(VLOOKUP(C363,'PO MTRL'!$B$9:$S1518,3,0)))</f>
        <v/>
      </c>
      <c r="F363" s="549">
        <f>IF(C363=0,0,(VLOOKUP(C363,'PO MTRL'!$B$9:$S1518,4,0)))</f>
        <v>0</v>
      </c>
      <c r="G363" s="444"/>
      <c r="H363" s="550">
        <f>IF(C363=0,0,(VLOOKUP(C363,'PO MTRL'!$B$9:$S1518,6,0)))</f>
        <v>0</v>
      </c>
      <c r="I363" s="446">
        <f>IF(C363=0,0,(VLOOKUP(C363,'PO MTRL'!$B$9:$S1518,7,0)))</f>
        <v>0</v>
      </c>
      <c r="J363" s="551">
        <f>IF(C363=0,0,(VLOOKUP(C363,'PO MTRL'!$B$9:$S1518,8,0)))</f>
        <v>0</v>
      </c>
      <c r="K363" s="559"/>
      <c r="L363" s="448">
        <f t="shared" si="1"/>
        <v>0</v>
      </c>
      <c r="M363" s="551">
        <f t="shared" si="2"/>
        <v>0</v>
      </c>
      <c r="N363" s="449">
        <f t="shared" si="3"/>
        <v>0</v>
      </c>
      <c r="O363" s="551">
        <f>IF(H363=0,0,(VLOOKUP(H363,'PO MTRL'!$G$9:$S1518,5,0)))</f>
        <v>0</v>
      </c>
      <c r="P363" s="551">
        <f>IF(H363=0,0,(VLOOKUP(H363,'PO MTRL'!$G$9:$S1518,7,0)))</f>
        <v>0</v>
      </c>
      <c r="Q363" s="551">
        <f t="shared" si="4"/>
        <v>0</v>
      </c>
      <c r="R363" s="551">
        <f t="shared" si="5"/>
        <v>0</v>
      </c>
      <c r="S363" s="550">
        <f>IF(C363=0,0,(VLOOKUP(C363,'PO MTRL'!$B$9:$S1518,17,0)))</f>
        <v>0</v>
      </c>
      <c r="T363" s="553"/>
      <c r="U363" s="554">
        <f>IF(C363=0,0,(VLOOKUP(C363,'PO MTRL'!$B$9:$S1518,18,0)))</f>
        <v>0</v>
      </c>
      <c r="V363" s="16"/>
      <c r="W363" s="119" t="str">
        <f t="shared" si="6"/>
        <v/>
      </c>
      <c r="X363" s="564">
        <f t="shared" si="7"/>
        <v>0</v>
      </c>
      <c r="Y363" s="119"/>
      <c r="Z363" s="119"/>
      <c r="AA363" s="530">
        <f>IFERROR(__xludf.DUMMYFUNCTION("""COMPUTED_VALUE"""),355.0)</f>
        <v>355</v>
      </c>
      <c r="AB363" s="119"/>
      <c r="AC363" s="119"/>
      <c r="AD363" s="119"/>
      <c r="AE363" s="119"/>
      <c r="AF363" s="119"/>
      <c r="AG363" s="555" t="str">
        <f t="shared" si="8"/>
        <v>  ---&gt;     ---&gt;   </v>
      </c>
      <c r="AH363" s="16"/>
      <c r="AI363" s="439"/>
      <c r="AJ363" s="439"/>
      <c r="AK363" s="439"/>
    </row>
    <row r="364" ht="18.75" customHeight="1">
      <c r="A364" s="439"/>
      <c r="B364" s="546"/>
      <c r="C364" s="547"/>
      <c r="D364" s="446">
        <f>IF(C364=0,0,(VLOOKUP(C364,'PO MTRL'!$B$9:$S1518,2,0)))</f>
        <v>0</v>
      </c>
      <c r="E364" s="548" t="str">
        <f>IF(C364="","",(VLOOKUP(C364,'PO MTRL'!$B$9:$S1518,3,0)))</f>
        <v/>
      </c>
      <c r="F364" s="549">
        <f>IF(C364=0,0,(VLOOKUP(C364,'PO MTRL'!$B$9:$S1518,4,0)))</f>
        <v>0</v>
      </c>
      <c r="G364" s="444"/>
      <c r="H364" s="550">
        <f>IF(C364=0,0,(VLOOKUP(C364,'PO MTRL'!$B$9:$S1518,6,0)))</f>
        <v>0</v>
      </c>
      <c r="I364" s="446">
        <f>IF(C364=0,0,(VLOOKUP(C364,'PO MTRL'!$B$9:$S1518,7,0)))</f>
        <v>0</v>
      </c>
      <c r="J364" s="551">
        <f>IF(C364=0,0,(VLOOKUP(C364,'PO MTRL'!$B$9:$S1518,8,0)))</f>
        <v>0</v>
      </c>
      <c r="K364" s="559"/>
      <c r="L364" s="448">
        <f t="shared" si="1"/>
        <v>0</v>
      </c>
      <c r="M364" s="551">
        <f t="shared" si="2"/>
        <v>0</v>
      </c>
      <c r="N364" s="449">
        <f t="shared" si="3"/>
        <v>0</v>
      </c>
      <c r="O364" s="551">
        <f>IF(H364=0,0,(VLOOKUP(H364,'PO MTRL'!$G$9:$S1518,5,0)))</f>
        <v>0</v>
      </c>
      <c r="P364" s="551">
        <f>IF(H364=0,0,(VLOOKUP(H364,'PO MTRL'!$G$9:$S1518,7,0)))</f>
        <v>0</v>
      </c>
      <c r="Q364" s="551">
        <f t="shared" si="4"/>
        <v>0</v>
      </c>
      <c r="R364" s="551">
        <f t="shared" si="5"/>
        <v>0</v>
      </c>
      <c r="S364" s="550">
        <f>IF(C364=0,0,(VLOOKUP(C364,'PO MTRL'!$B$9:$S1518,17,0)))</f>
        <v>0</v>
      </c>
      <c r="T364" s="553"/>
      <c r="U364" s="554">
        <f>IF(C364=0,0,(VLOOKUP(C364,'PO MTRL'!$B$9:$S1518,18,0)))</f>
        <v>0</v>
      </c>
      <c r="V364" s="16"/>
      <c r="W364" s="119" t="str">
        <f t="shared" si="6"/>
        <v/>
      </c>
      <c r="X364" s="564">
        <f t="shared" si="7"/>
        <v>0</v>
      </c>
      <c r="Y364" s="119"/>
      <c r="Z364" s="119"/>
      <c r="AA364" s="530">
        <f>IFERROR(__xludf.DUMMYFUNCTION("""COMPUTED_VALUE"""),356.0)</f>
        <v>356</v>
      </c>
      <c r="AB364" s="119"/>
      <c r="AC364" s="119"/>
      <c r="AD364" s="119"/>
      <c r="AE364" s="119"/>
      <c r="AF364" s="119"/>
      <c r="AG364" s="555" t="str">
        <f t="shared" si="8"/>
        <v>  ---&gt;     ---&gt;   </v>
      </c>
      <c r="AH364" s="16"/>
      <c r="AI364" s="439"/>
      <c r="AJ364" s="439"/>
      <c r="AK364" s="439"/>
    </row>
    <row r="365" ht="18.75" customHeight="1">
      <c r="A365" s="439"/>
      <c r="B365" s="546"/>
      <c r="C365" s="547"/>
      <c r="D365" s="446">
        <f>IF(C365=0,0,(VLOOKUP(C365,'PO MTRL'!$B$9:$S1518,2,0)))</f>
        <v>0</v>
      </c>
      <c r="E365" s="548" t="str">
        <f>IF(C365="","",(VLOOKUP(C365,'PO MTRL'!$B$9:$S1518,3,0)))</f>
        <v/>
      </c>
      <c r="F365" s="549">
        <f>IF(C365=0,0,(VLOOKUP(C365,'PO MTRL'!$B$9:$S1518,4,0)))</f>
        <v>0</v>
      </c>
      <c r="G365" s="444"/>
      <c r="H365" s="550">
        <f>IF(C365=0,0,(VLOOKUP(C365,'PO MTRL'!$B$9:$S1518,6,0)))</f>
        <v>0</v>
      </c>
      <c r="I365" s="446">
        <f>IF(C365=0,0,(VLOOKUP(C365,'PO MTRL'!$B$9:$S1518,7,0)))</f>
        <v>0</v>
      </c>
      <c r="J365" s="551">
        <f>IF(C365=0,0,(VLOOKUP(C365,'PO MTRL'!$B$9:$S1518,8,0)))</f>
        <v>0</v>
      </c>
      <c r="K365" s="559"/>
      <c r="L365" s="448">
        <f t="shared" si="1"/>
        <v>0</v>
      </c>
      <c r="M365" s="551">
        <f t="shared" si="2"/>
        <v>0</v>
      </c>
      <c r="N365" s="449">
        <f t="shared" si="3"/>
        <v>0</v>
      </c>
      <c r="O365" s="551">
        <f>IF(H365=0,0,(VLOOKUP(H365,'PO MTRL'!$G$9:$S1518,5,0)))</f>
        <v>0</v>
      </c>
      <c r="P365" s="551">
        <f>IF(H365=0,0,(VLOOKUP(H365,'PO MTRL'!$G$9:$S1518,7,0)))</f>
        <v>0</v>
      </c>
      <c r="Q365" s="551">
        <f t="shared" si="4"/>
        <v>0</v>
      </c>
      <c r="R365" s="551">
        <f t="shared" si="5"/>
        <v>0</v>
      </c>
      <c r="S365" s="550">
        <f>IF(C365=0,0,(VLOOKUP(C365,'PO MTRL'!$B$9:$S1518,17,0)))</f>
        <v>0</v>
      </c>
      <c r="T365" s="553"/>
      <c r="U365" s="554">
        <f>IF(C365=0,0,(VLOOKUP(C365,'PO MTRL'!$B$9:$S1518,18,0)))</f>
        <v>0</v>
      </c>
      <c r="V365" s="16"/>
      <c r="W365" s="119" t="str">
        <f t="shared" si="6"/>
        <v/>
      </c>
      <c r="X365" s="564">
        <f t="shared" si="7"/>
        <v>0</v>
      </c>
      <c r="Y365" s="119"/>
      <c r="Z365" s="119"/>
      <c r="AA365" s="530">
        <f>IFERROR(__xludf.DUMMYFUNCTION("""COMPUTED_VALUE"""),357.0)</f>
        <v>357</v>
      </c>
      <c r="AB365" s="119"/>
      <c r="AC365" s="119"/>
      <c r="AD365" s="119"/>
      <c r="AE365" s="119"/>
      <c r="AF365" s="119"/>
      <c r="AG365" s="555" t="str">
        <f t="shared" si="8"/>
        <v>  ---&gt;     ---&gt;   </v>
      </c>
      <c r="AH365" s="16"/>
      <c r="AI365" s="439"/>
      <c r="AJ365" s="439"/>
      <c r="AK365" s="439"/>
    </row>
    <row r="366" ht="18.75" customHeight="1">
      <c r="A366" s="439"/>
      <c r="B366" s="546"/>
      <c r="C366" s="547"/>
      <c r="D366" s="446">
        <f>IF(C366=0,0,(VLOOKUP(C366,'PO MTRL'!$B$9:$S1518,2,0)))</f>
        <v>0</v>
      </c>
      <c r="E366" s="548" t="str">
        <f>IF(C366="","",(VLOOKUP(C366,'PO MTRL'!$B$9:$S1518,3,0)))</f>
        <v/>
      </c>
      <c r="F366" s="549">
        <f>IF(C366=0,0,(VLOOKUP(C366,'PO MTRL'!$B$9:$S1518,4,0)))</f>
        <v>0</v>
      </c>
      <c r="G366" s="444"/>
      <c r="H366" s="550">
        <f>IF(C366=0,0,(VLOOKUP(C366,'PO MTRL'!$B$9:$S1518,6,0)))</f>
        <v>0</v>
      </c>
      <c r="I366" s="446">
        <f>IF(C366=0,0,(VLOOKUP(C366,'PO MTRL'!$B$9:$S1518,7,0)))</f>
        <v>0</v>
      </c>
      <c r="J366" s="551">
        <f>IF(C366=0,0,(VLOOKUP(C366,'PO MTRL'!$B$9:$S1518,8,0)))</f>
        <v>0</v>
      </c>
      <c r="K366" s="559"/>
      <c r="L366" s="448">
        <f t="shared" si="1"/>
        <v>0</v>
      </c>
      <c r="M366" s="551">
        <f t="shared" si="2"/>
        <v>0</v>
      </c>
      <c r="N366" s="449">
        <f t="shared" si="3"/>
        <v>0</v>
      </c>
      <c r="O366" s="551">
        <f>IF(H366=0,0,(VLOOKUP(H366,'PO MTRL'!$G$9:$S1518,5,0)))</f>
        <v>0</v>
      </c>
      <c r="P366" s="551">
        <f>IF(H366=0,0,(VLOOKUP(H366,'PO MTRL'!$G$9:$S1518,7,0)))</f>
        <v>0</v>
      </c>
      <c r="Q366" s="551">
        <f t="shared" si="4"/>
        <v>0</v>
      </c>
      <c r="R366" s="551">
        <f t="shared" si="5"/>
        <v>0</v>
      </c>
      <c r="S366" s="550">
        <f>IF(C366=0,0,(VLOOKUP(C366,'PO MTRL'!$B$9:$S1518,17,0)))</f>
        <v>0</v>
      </c>
      <c r="T366" s="553"/>
      <c r="U366" s="554">
        <f>IF(C366=0,0,(VLOOKUP(C366,'PO MTRL'!$B$9:$S1518,18,0)))</f>
        <v>0</v>
      </c>
      <c r="V366" s="16"/>
      <c r="W366" s="119" t="str">
        <f t="shared" si="6"/>
        <v/>
      </c>
      <c r="X366" s="564">
        <f t="shared" si="7"/>
        <v>0</v>
      </c>
      <c r="Y366" s="119"/>
      <c r="Z366" s="119"/>
      <c r="AA366" s="530">
        <f>IFERROR(__xludf.DUMMYFUNCTION("""COMPUTED_VALUE"""),358.0)</f>
        <v>358</v>
      </c>
      <c r="AB366" s="119"/>
      <c r="AC366" s="119"/>
      <c r="AD366" s="119"/>
      <c r="AE366" s="119"/>
      <c r="AF366" s="119"/>
      <c r="AG366" s="555" t="str">
        <f t="shared" si="8"/>
        <v>  ---&gt;     ---&gt;   </v>
      </c>
      <c r="AH366" s="16"/>
      <c r="AI366" s="439"/>
      <c r="AJ366" s="439"/>
      <c r="AK366" s="439"/>
    </row>
    <row r="367" ht="18.75" customHeight="1">
      <c r="A367" s="439"/>
      <c r="B367" s="546"/>
      <c r="C367" s="547"/>
      <c r="D367" s="446">
        <f>IF(C367=0,0,(VLOOKUP(C367,'PO MTRL'!$B$9:$S1518,2,0)))</f>
        <v>0</v>
      </c>
      <c r="E367" s="548" t="str">
        <f>IF(C367="","",(VLOOKUP(C367,'PO MTRL'!$B$9:$S1518,3,0)))</f>
        <v/>
      </c>
      <c r="F367" s="549">
        <f>IF(C367=0,0,(VLOOKUP(C367,'PO MTRL'!$B$9:$S1518,4,0)))</f>
        <v>0</v>
      </c>
      <c r="G367" s="444"/>
      <c r="H367" s="550">
        <f>IF(C367=0,0,(VLOOKUP(C367,'PO MTRL'!$B$9:$S1518,6,0)))</f>
        <v>0</v>
      </c>
      <c r="I367" s="446">
        <f>IF(C367=0,0,(VLOOKUP(C367,'PO MTRL'!$B$9:$S1518,7,0)))</f>
        <v>0</v>
      </c>
      <c r="J367" s="551">
        <f>IF(C367=0,0,(VLOOKUP(C367,'PO MTRL'!$B$9:$S1518,8,0)))</f>
        <v>0</v>
      </c>
      <c r="K367" s="559"/>
      <c r="L367" s="448">
        <f t="shared" si="1"/>
        <v>0</v>
      </c>
      <c r="M367" s="551">
        <f t="shared" si="2"/>
        <v>0</v>
      </c>
      <c r="N367" s="449">
        <f t="shared" si="3"/>
        <v>0</v>
      </c>
      <c r="O367" s="551">
        <f>IF(H367=0,0,(VLOOKUP(H367,'PO MTRL'!$G$9:$S1518,5,0)))</f>
        <v>0</v>
      </c>
      <c r="P367" s="551">
        <f>IF(H367=0,0,(VLOOKUP(H367,'PO MTRL'!$G$9:$S1518,7,0)))</f>
        <v>0</v>
      </c>
      <c r="Q367" s="551">
        <f t="shared" si="4"/>
        <v>0</v>
      </c>
      <c r="R367" s="551">
        <f t="shared" si="5"/>
        <v>0</v>
      </c>
      <c r="S367" s="550">
        <f>IF(C367=0,0,(VLOOKUP(C367,'PO MTRL'!$B$9:$S1518,17,0)))</f>
        <v>0</v>
      </c>
      <c r="T367" s="553"/>
      <c r="U367" s="554">
        <f>IF(C367=0,0,(VLOOKUP(C367,'PO MTRL'!$B$9:$S1518,18,0)))</f>
        <v>0</v>
      </c>
      <c r="V367" s="16"/>
      <c r="W367" s="119" t="str">
        <f t="shared" si="6"/>
        <v/>
      </c>
      <c r="X367" s="564">
        <f t="shared" si="7"/>
        <v>0</v>
      </c>
      <c r="Y367" s="119"/>
      <c r="Z367" s="119"/>
      <c r="AA367" s="530">
        <f>IFERROR(__xludf.DUMMYFUNCTION("""COMPUTED_VALUE"""),359.0)</f>
        <v>359</v>
      </c>
      <c r="AB367" s="119"/>
      <c r="AC367" s="119"/>
      <c r="AD367" s="119"/>
      <c r="AE367" s="119"/>
      <c r="AF367" s="119"/>
      <c r="AG367" s="555" t="str">
        <f t="shared" si="8"/>
        <v>  ---&gt;     ---&gt;   </v>
      </c>
      <c r="AH367" s="16"/>
      <c r="AI367" s="439"/>
      <c r="AJ367" s="439"/>
      <c r="AK367" s="439"/>
    </row>
    <row r="368" ht="18.75" customHeight="1">
      <c r="A368" s="439"/>
      <c r="B368" s="546"/>
      <c r="C368" s="547"/>
      <c r="D368" s="446">
        <f>IF(C368=0,0,(VLOOKUP(C368,'PO MTRL'!$B$9:$S1518,2,0)))</f>
        <v>0</v>
      </c>
      <c r="E368" s="548" t="str">
        <f>IF(C368="","",(VLOOKUP(C368,'PO MTRL'!$B$9:$S1518,3,0)))</f>
        <v/>
      </c>
      <c r="F368" s="549">
        <f>IF(C368=0,0,(VLOOKUP(C368,'PO MTRL'!$B$9:$S1518,4,0)))</f>
        <v>0</v>
      </c>
      <c r="G368" s="444"/>
      <c r="H368" s="550">
        <f>IF(C368=0,0,(VLOOKUP(C368,'PO MTRL'!$B$9:$S1518,6,0)))</f>
        <v>0</v>
      </c>
      <c r="I368" s="446">
        <f>IF(C368=0,0,(VLOOKUP(C368,'PO MTRL'!$B$9:$S1518,7,0)))</f>
        <v>0</v>
      </c>
      <c r="J368" s="551">
        <f>IF(C368=0,0,(VLOOKUP(C368,'PO MTRL'!$B$9:$S1518,8,0)))</f>
        <v>0</v>
      </c>
      <c r="K368" s="559"/>
      <c r="L368" s="448">
        <f t="shared" si="1"/>
        <v>0</v>
      </c>
      <c r="M368" s="551">
        <f t="shared" si="2"/>
        <v>0</v>
      </c>
      <c r="N368" s="449">
        <f t="shared" si="3"/>
        <v>0</v>
      </c>
      <c r="O368" s="551">
        <f>IF(H368=0,0,(VLOOKUP(H368,'PO MTRL'!$G$9:$S1518,5,0)))</f>
        <v>0</v>
      </c>
      <c r="P368" s="551">
        <f>IF(H368=0,0,(VLOOKUP(H368,'PO MTRL'!$G$9:$S1518,7,0)))</f>
        <v>0</v>
      </c>
      <c r="Q368" s="551">
        <f t="shared" si="4"/>
        <v>0</v>
      </c>
      <c r="R368" s="551">
        <f t="shared" si="5"/>
        <v>0</v>
      </c>
      <c r="S368" s="550">
        <f>IF(C368=0,0,(VLOOKUP(C368,'PO MTRL'!$B$9:$S1518,17,0)))</f>
        <v>0</v>
      </c>
      <c r="T368" s="553"/>
      <c r="U368" s="554">
        <f>IF(C368=0,0,(VLOOKUP(C368,'PO MTRL'!$B$9:$S1518,18,0)))</f>
        <v>0</v>
      </c>
      <c r="V368" s="16"/>
      <c r="W368" s="119" t="str">
        <f t="shared" si="6"/>
        <v/>
      </c>
      <c r="X368" s="564">
        <f t="shared" si="7"/>
        <v>0</v>
      </c>
      <c r="Y368" s="119"/>
      <c r="Z368" s="119"/>
      <c r="AA368" s="530">
        <f>IFERROR(__xludf.DUMMYFUNCTION("""COMPUTED_VALUE"""),360.0)</f>
        <v>360</v>
      </c>
      <c r="AB368" s="119"/>
      <c r="AC368" s="119"/>
      <c r="AD368" s="119"/>
      <c r="AE368" s="119"/>
      <c r="AF368" s="119"/>
      <c r="AG368" s="555" t="str">
        <f t="shared" si="8"/>
        <v>  ---&gt;     ---&gt;   </v>
      </c>
      <c r="AH368" s="16"/>
      <c r="AI368" s="439"/>
      <c r="AJ368" s="439"/>
      <c r="AK368" s="439"/>
    </row>
    <row r="369" ht="18.75" customHeight="1">
      <c r="A369" s="439"/>
      <c r="B369" s="546"/>
      <c r="C369" s="547"/>
      <c r="D369" s="446">
        <f>IF(C369=0,0,(VLOOKUP(C369,'PO MTRL'!$B$9:$S1518,2,0)))</f>
        <v>0</v>
      </c>
      <c r="E369" s="548" t="str">
        <f>IF(C369="","",(VLOOKUP(C369,'PO MTRL'!$B$9:$S1518,3,0)))</f>
        <v/>
      </c>
      <c r="F369" s="549">
        <f>IF(C369=0,0,(VLOOKUP(C369,'PO MTRL'!$B$9:$S1518,4,0)))</f>
        <v>0</v>
      </c>
      <c r="G369" s="444"/>
      <c r="H369" s="550">
        <f>IF(C369=0,0,(VLOOKUP(C369,'PO MTRL'!$B$9:$S1518,6,0)))</f>
        <v>0</v>
      </c>
      <c r="I369" s="446">
        <f>IF(C369=0,0,(VLOOKUP(C369,'PO MTRL'!$B$9:$S1518,7,0)))</f>
        <v>0</v>
      </c>
      <c r="J369" s="551">
        <f>IF(C369=0,0,(VLOOKUP(C369,'PO MTRL'!$B$9:$S1518,8,0)))</f>
        <v>0</v>
      </c>
      <c r="K369" s="559"/>
      <c r="L369" s="448">
        <f t="shared" si="1"/>
        <v>0</v>
      </c>
      <c r="M369" s="551">
        <f t="shared" si="2"/>
        <v>0</v>
      </c>
      <c r="N369" s="449">
        <f t="shared" si="3"/>
        <v>0</v>
      </c>
      <c r="O369" s="551">
        <f>IF(H369=0,0,(VLOOKUP(H369,'PO MTRL'!$G$9:$S1518,5,0)))</f>
        <v>0</v>
      </c>
      <c r="P369" s="551">
        <f>IF(H369=0,0,(VLOOKUP(H369,'PO MTRL'!$G$9:$S1518,7,0)))</f>
        <v>0</v>
      </c>
      <c r="Q369" s="551">
        <f t="shared" si="4"/>
        <v>0</v>
      </c>
      <c r="R369" s="551">
        <f t="shared" si="5"/>
        <v>0</v>
      </c>
      <c r="S369" s="550">
        <f>IF(C369=0,0,(VLOOKUP(C369,'PO MTRL'!$B$9:$S1518,17,0)))</f>
        <v>0</v>
      </c>
      <c r="T369" s="553"/>
      <c r="U369" s="554">
        <f>IF(C369=0,0,(VLOOKUP(C369,'PO MTRL'!$B$9:$S1518,18,0)))</f>
        <v>0</v>
      </c>
      <c r="V369" s="16"/>
      <c r="W369" s="119" t="str">
        <f t="shared" si="6"/>
        <v/>
      </c>
      <c r="X369" s="564">
        <f t="shared" si="7"/>
        <v>0</v>
      </c>
      <c r="Y369" s="119"/>
      <c r="Z369" s="119"/>
      <c r="AA369" s="530">
        <f>IFERROR(__xludf.DUMMYFUNCTION("""COMPUTED_VALUE"""),361.0)</f>
        <v>361</v>
      </c>
      <c r="AB369" s="119"/>
      <c r="AC369" s="119"/>
      <c r="AD369" s="119"/>
      <c r="AE369" s="119"/>
      <c r="AF369" s="119"/>
      <c r="AG369" s="555" t="str">
        <f t="shared" si="8"/>
        <v>  ---&gt;     ---&gt;   </v>
      </c>
      <c r="AH369" s="16"/>
      <c r="AI369" s="439"/>
      <c r="AJ369" s="439"/>
      <c r="AK369" s="439"/>
    </row>
    <row r="370" ht="18.75" customHeight="1">
      <c r="A370" s="439"/>
      <c r="B370" s="546"/>
      <c r="C370" s="547"/>
      <c r="D370" s="446">
        <f>IF(C370=0,0,(VLOOKUP(C370,'PO MTRL'!$B$9:$S1518,2,0)))</f>
        <v>0</v>
      </c>
      <c r="E370" s="548" t="str">
        <f>IF(C370="","",(VLOOKUP(C370,'PO MTRL'!$B$9:$S1518,3,0)))</f>
        <v/>
      </c>
      <c r="F370" s="549">
        <f>IF(C370=0,0,(VLOOKUP(C370,'PO MTRL'!$B$9:$S1518,4,0)))</f>
        <v>0</v>
      </c>
      <c r="G370" s="444"/>
      <c r="H370" s="550">
        <f>IF(C370=0,0,(VLOOKUP(C370,'PO MTRL'!$B$9:$S1518,6,0)))</f>
        <v>0</v>
      </c>
      <c r="I370" s="446">
        <f>IF(C370=0,0,(VLOOKUP(C370,'PO MTRL'!$B$9:$S1518,7,0)))</f>
        <v>0</v>
      </c>
      <c r="J370" s="551">
        <f>IF(C370=0,0,(VLOOKUP(C370,'PO MTRL'!$B$9:$S1518,8,0)))</f>
        <v>0</v>
      </c>
      <c r="K370" s="559"/>
      <c r="L370" s="448">
        <f t="shared" si="1"/>
        <v>0</v>
      </c>
      <c r="M370" s="551">
        <f t="shared" si="2"/>
        <v>0</v>
      </c>
      <c r="N370" s="449">
        <f t="shared" si="3"/>
        <v>0</v>
      </c>
      <c r="O370" s="551">
        <f>IF(H370=0,0,(VLOOKUP(H370,'PO MTRL'!$G$9:$S1518,5,0)))</f>
        <v>0</v>
      </c>
      <c r="P370" s="551">
        <f>IF(H370=0,0,(VLOOKUP(H370,'PO MTRL'!$G$9:$S1518,7,0)))</f>
        <v>0</v>
      </c>
      <c r="Q370" s="551">
        <f t="shared" si="4"/>
        <v>0</v>
      </c>
      <c r="R370" s="551">
        <f t="shared" si="5"/>
        <v>0</v>
      </c>
      <c r="S370" s="550">
        <f>IF(C370=0,0,(VLOOKUP(C370,'PO MTRL'!$B$9:$S1518,17,0)))</f>
        <v>0</v>
      </c>
      <c r="T370" s="553"/>
      <c r="U370" s="554">
        <f>IF(C370=0,0,(VLOOKUP(C370,'PO MTRL'!$B$9:$S1518,18,0)))</f>
        <v>0</v>
      </c>
      <c r="V370" s="16"/>
      <c r="W370" s="119" t="str">
        <f t="shared" si="6"/>
        <v/>
      </c>
      <c r="X370" s="564">
        <f t="shared" si="7"/>
        <v>0</v>
      </c>
      <c r="Y370" s="119"/>
      <c r="Z370" s="119"/>
      <c r="AA370" s="530">
        <f>IFERROR(__xludf.DUMMYFUNCTION("""COMPUTED_VALUE"""),362.0)</f>
        <v>362</v>
      </c>
      <c r="AB370" s="119"/>
      <c r="AC370" s="119"/>
      <c r="AD370" s="119"/>
      <c r="AE370" s="119"/>
      <c r="AF370" s="119"/>
      <c r="AG370" s="555" t="str">
        <f t="shared" si="8"/>
        <v>  ---&gt;     ---&gt;   </v>
      </c>
      <c r="AH370" s="16"/>
      <c r="AI370" s="439"/>
      <c r="AJ370" s="439"/>
      <c r="AK370" s="439"/>
    </row>
    <row r="371" ht="18.75" customHeight="1">
      <c r="A371" s="439"/>
      <c r="B371" s="546"/>
      <c r="C371" s="547"/>
      <c r="D371" s="446">
        <f>IF(C371=0,0,(VLOOKUP(C371,'PO MTRL'!$B$9:$S1518,2,0)))</f>
        <v>0</v>
      </c>
      <c r="E371" s="548" t="str">
        <f>IF(C371="","",(VLOOKUP(C371,'PO MTRL'!$B$9:$S1518,3,0)))</f>
        <v/>
      </c>
      <c r="F371" s="549">
        <f>IF(C371=0,0,(VLOOKUP(C371,'PO MTRL'!$B$9:$S1518,4,0)))</f>
        <v>0</v>
      </c>
      <c r="G371" s="444"/>
      <c r="H371" s="550">
        <f>IF(C371=0,0,(VLOOKUP(C371,'PO MTRL'!$B$9:$S1518,6,0)))</f>
        <v>0</v>
      </c>
      <c r="I371" s="446">
        <f>IF(C371=0,0,(VLOOKUP(C371,'PO MTRL'!$B$9:$S1518,7,0)))</f>
        <v>0</v>
      </c>
      <c r="J371" s="551">
        <f>IF(C371=0,0,(VLOOKUP(C371,'PO MTRL'!$B$9:$S1518,8,0)))</f>
        <v>0</v>
      </c>
      <c r="K371" s="559"/>
      <c r="L371" s="448">
        <f t="shared" si="1"/>
        <v>0</v>
      </c>
      <c r="M371" s="551">
        <f t="shared" si="2"/>
        <v>0</v>
      </c>
      <c r="N371" s="449">
        <f t="shared" si="3"/>
        <v>0</v>
      </c>
      <c r="O371" s="551">
        <f>IF(H371=0,0,(VLOOKUP(H371,'PO MTRL'!$G$9:$S1518,5,0)))</f>
        <v>0</v>
      </c>
      <c r="P371" s="551">
        <f>IF(H371=0,0,(VLOOKUP(H371,'PO MTRL'!$G$9:$S1518,7,0)))</f>
        <v>0</v>
      </c>
      <c r="Q371" s="551">
        <f t="shared" si="4"/>
        <v>0</v>
      </c>
      <c r="R371" s="551">
        <f t="shared" si="5"/>
        <v>0</v>
      </c>
      <c r="S371" s="550">
        <f>IF(C371=0,0,(VLOOKUP(C371,'PO MTRL'!$B$9:$S1518,17,0)))</f>
        <v>0</v>
      </c>
      <c r="T371" s="553"/>
      <c r="U371" s="554">
        <f>IF(C371=0,0,(VLOOKUP(C371,'PO MTRL'!$B$9:$S1518,18,0)))</f>
        <v>0</v>
      </c>
      <c r="V371" s="16"/>
      <c r="W371" s="119" t="str">
        <f t="shared" si="6"/>
        <v/>
      </c>
      <c r="X371" s="564">
        <f t="shared" si="7"/>
        <v>0</v>
      </c>
      <c r="Y371" s="119"/>
      <c r="Z371" s="119"/>
      <c r="AA371" s="530">
        <f>IFERROR(__xludf.DUMMYFUNCTION("""COMPUTED_VALUE"""),363.0)</f>
        <v>363</v>
      </c>
      <c r="AB371" s="119"/>
      <c r="AC371" s="119"/>
      <c r="AD371" s="119"/>
      <c r="AE371" s="119"/>
      <c r="AF371" s="119"/>
      <c r="AG371" s="555" t="str">
        <f t="shared" si="8"/>
        <v>  ---&gt;     ---&gt;   </v>
      </c>
      <c r="AH371" s="16"/>
      <c r="AI371" s="439"/>
      <c r="AJ371" s="439"/>
      <c r="AK371" s="439"/>
    </row>
    <row r="372" ht="18.75" customHeight="1">
      <c r="A372" s="439"/>
      <c r="B372" s="546"/>
      <c r="C372" s="547"/>
      <c r="D372" s="446">
        <f>IF(C372=0,0,(VLOOKUP(C372,'PO MTRL'!$B$9:$S1518,2,0)))</f>
        <v>0</v>
      </c>
      <c r="E372" s="548" t="str">
        <f>IF(C372="","",(VLOOKUP(C372,'PO MTRL'!$B$9:$S1518,3,0)))</f>
        <v/>
      </c>
      <c r="F372" s="549">
        <f>IF(C372=0,0,(VLOOKUP(C372,'PO MTRL'!$B$9:$S1518,4,0)))</f>
        <v>0</v>
      </c>
      <c r="G372" s="444"/>
      <c r="H372" s="550">
        <f>IF(C372=0,0,(VLOOKUP(C372,'PO MTRL'!$B$9:$S1518,6,0)))</f>
        <v>0</v>
      </c>
      <c r="I372" s="446">
        <f>IF(C372=0,0,(VLOOKUP(C372,'PO MTRL'!$B$9:$S1518,7,0)))</f>
        <v>0</v>
      </c>
      <c r="J372" s="551">
        <f>IF(C372=0,0,(VLOOKUP(C372,'PO MTRL'!$B$9:$S1518,8,0)))</f>
        <v>0</v>
      </c>
      <c r="K372" s="559"/>
      <c r="L372" s="448">
        <f t="shared" si="1"/>
        <v>0</v>
      </c>
      <c r="M372" s="551">
        <f t="shared" si="2"/>
        <v>0</v>
      </c>
      <c r="N372" s="449">
        <f t="shared" si="3"/>
        <v>0</v>
      </c>
      <c r="O372" s="551">
        <f>IF(H372=0,0,(VLOOKUP(H372,'PO MTRL'!$G$9:$S1518,5,0)))</f>
        <v>0</v>
      </c>
      <c r="P372" s="551">
        <f>IF(H372=0,0,(VLOOKUP(H372,'PO MTRL'!$G$9:$S1518,7,0)))</f>
        <v>0</v>
      </c>
      <c r="Q372" s="551">
        <f t="shared" si="4"/>
        <v>0</v>
      </c>
      <c r="R372" s="551">
        <f t="shared" si="5"/>
        <v>0</v>
      </c>
      <c r="S372" s="550">
        <f>IF(C372=0,0,(VLOOKUP(C372,'PO MTRL'!$B$9:$S1518,17,0)))</f>
        <v>0</v>
      </c>
      <c r="T372" s="553"/>
      <c r="U372" s="554">
        <f>IF(C372=0,0,(VLOOKUP(C372,'PO MTRL'!$B$9:$S1518,18,0)))</f>
        <v>0</v>
      </c>
      <c r="V372" s="16"/>
      <c r="W372" s="119" t="str">
        <f t="shared" si="6"/>
        <v/>
      </c>
      <c r="X372" s="564">
        <f t="shared" si="7"/>
        <v>0</v>
      </c>
      <c r="Y372" s="119"/>
      <c r="Z372" s="119"/>
      <c r="AA372" s="530">
        <f>IFERROR(__xludf.DUMMYFUNCTION("""COMPUTED_VALUE"""),364.0)</f>
        <v>364</v>
      </c>
      <c r="AB372" s="119"/>
      <c r="AC372" s="119"/>
      <c r="AD372" s="119"/>
      <c r="AE372" s="119"/>
      <c r="AF372" s="119"/>
      <c r="AG372" s="555" t="str">
        <f t="shared" si="8"/>
        <v>  ---&gt;     ---&gt;   </v>
      </c>
      <c r="AH372" s="16"/>
      <c r="AI372" s="439"/>
      <c r="AJ372" s="439"/>
      <c r="AK372" s="439"/>
    </row>
    <row r="373" ht="18.75" customHeight="1">
      <c r="A373" s="439"/>
      <c r="B373" s="546"/>
      <c r="C373" s="547"/>
      <c r="D373" s="446">
        <f>IF(C373=0,0,(VLOOKUP(C373,'PO MTRL'!$B$9:$S1518,2,0)))</f>
        <v>0</v>
      </c>
      <c r="E373" s="548" t="str">
        <f>IF(C373="","",(VLOOKUP(C373,'PO MTRL'!$B$9:$S1518,3,0)))</f>
        <v/>
      </c>
      <c r="F373" s="549">
        <f>IF(C373=0,0,(VLOOKUP(C373,'PO MTRL'!$B$9:$S1518,4,0)))</f>
        <v>0</v>
      </c>
      <c r="G373" s="444"/>
      <c r="H373" s="550">
        <f>IF(C373=0,0,(VLOOKUP(C373,'PO MTRL'!$B$9:$S1518,6,0)))</f>
        <v>0</v>
      </c>
      <c r="I373" s="446">
        <f>IF(C373=0,0,(VLOOKUP(C373,'PO MTRL'!$B$9:$S1518,7,0)))</f>
        <v>0</v>
      </c>
      <c r="J373" s="551">
        <f>IF(C373=0,0,(VLOOKUP(C373,'PO MTRL'!$B$9:$S1518,8,0)))</f>
        <v>0</v>
      </c>
      <c r="K373" s="559"/>
      <c r="L373" s="448">
        <f t="shared" si="1"/>
        <v>0</v>
      </c>
      <c r="M373" s="551">
        <f t="shared" si="2"/>
        <v>0</v>
      </c>
      <c r="N373" s="449">
        <f t="shared" si="3"/>
        <v>0</v>
      </c>
      <c r="O373" s="551">
        <f>IF(H373=0,0,(VLOOKUP(H373,'PO MTRL'!$G$9:$S1518,5,0)))</f>
        <v>0</v>
      </c>
      <c r="P373" s="551">
        <f>IF(H373=0,0,(VLOOKUP(H373,'PO MTRL'!$G$9:$S1518,7,0)))</f>
        <v>0</v>
      </c>
      <c r="Q373" s="551">
        <f t="shared" si="4"/>
        <v>0</v>
      </c>
      <c r="R373" s="551">
        <f t="shared" si="5"/>
        <v>0</v>
      </c>
      <c r="S373" s="550">
        <f>IF(C373=0,0,(VLOOKUP(C373,'PO MTRL'!$B$9:$S1518,17,0)))</f>
        <v>0</v>
      </c>
      <c r="T373" s="553"/>
      <c r="U373" s="554">
        <f>IF(C373=0,0,(VLOOKUP(C373,'PO MTRL'!$B$9:$S1518,18,0)))</f>
        <v>0</v>
      </c>
      <c r="V373" s="16"/>
      <c r="W373" s="119" t="str">
        <f t="shared" si="6"/>
        <v/>
      </c>
      <c r="X373" s="564">
        <f t="shared" si="7"/>
        <v>0</v>
      </c>
      <c r="Y373" s="119"/>
      <c r="Z373" s="119"/>
      <c r="AA373" s="530">
        <f>IFERROR(__xludf.DUMMYFUNCTION("""COMPUTED_VALUE"""),365.0)</f>
        <v>365</v>
      </c>
      <c r="AB373" s="119"/>
      <c r="AC373" s="119"/>
      <c r="AD373" s="119"/>
      <c r="AE373" s="119"/>
      <c r="AF373" s="119"/>
      <c r="AG373" s="555" t="str">
        <f t="shared" si="8"/>
        <v>  ---&gt;     ---&gt;   </v>
      </c>
      <c r="AH373" s="16"/>
      <c r="AI373" s="439"/>
      <c r="AJ373" s="439"/>
      <c r="AK373" s="439"/>
    </row>
    <row r="374" ht="18.75" customHeight="1">
      <c r="A374" s="439"/>
      <c r="B374" s="546"/>
      <c r="C374" s="547"/>
      <c r="D374" s="446">
        <f>IF(C374=0,0,(VLOOKUP(C374,'PO MTRL'!$B$9:$S1518,2,0)))</f>
        <v>0</v>
      </c>
      <c r="E374" s="548" t="str">
        <f>IF(C374="","",(VLOOKUP(C374,'PO MTRL'!$B$9:$S1518,3,0)))</f>
        <v/>
      </c>
      <c r="F374" s="549">
        <f>IF(C374=0,0,(VLOOKUP(C374,'PO MTRL'!$B$9:$S1518,4,0)))</f>
        <v>0</v>
      </c>
      <c r="G374" s="444"/>
      <c r="H374" s="550">
        <f>IF(C374=0,0,(VLOOKUP(C374,'PO MTRL'!$B$9:$S1518,6,0)))</f>
        <v>0</v>
      </c>
      <c r="I374" s="446">
        <f>IF(C374=0,0,(VLOOKUP(C374,'PO MTRL'!$B$9:$S1518,7,0)))</f>
        <v>0</v>
      </c>
      <c r="J374" s="551">
        <f>IF(C374=0,0,(VLOOKUP(C374,'PO MTRL'!$B$9:$S1518,8,0)))</f>
        <v>0</v>
      </c>
      <c r="K374" s="559"/>
      <c r="L374" s="448">
        <f t="shared" si="1"/>
        <v>0</v>
      </c>
      <c r="M374" s="551">
        <f t="shared" si="2"/>
        <v>0</v>
      </c>
      <c r="N374" s="449">
        <f t="shared" si="3"/>
        <v>0</v>
      </c>
      <c r="O374" s="551">
        <f>IF(H374=0,0,(VLOOKUP(H374,'PO MTRL'!$G$9:$S1518,5,0)))</f>
        <v>0</v>
      </c>
      <c r="P374" s="551">
        <f>IF(H374=0,0,(VLOOKUP(H374,'PO MTRL'!$G$9:$S1518,7,0)))</f>
        <v>0</v>
      </c>
      <c r="Q374" s="551">
        <f t="shared" si="4"/>
        <v>0</v>
      </c>
      <c r="R374" s="551">
        <f t="shared" si="5"/>
        <v>0</v>
      </c>
      <c r="S374" s="550">
        <f>IF(C374=0,0,(VLOOKUP(C374,'PO MTRL'!$B$9:$S1518,17,0)))</f>
        <v>0</v>
      </c>
      <c r="T374" s="553"/>
      <c r="U374" s="554">
        <f>IF(C374=0,0,(VLOOKUP(C374,'PO MTRL'!$B$9:$S1518,18,0)))</f>
        <v>0</v>
      </c>
      <c r="V374" s="16"/>
      <c r="W374" s="119" t="str">
        <f t="shared" si="6"/>
        <v/>
      </c>
      <c r="X374" s="564">
        <f t="shared" si="7"/>
        <v>0</v>
      </c>
      <c r="Y374" s="119"/>
      <c r="Z374" s="119"/>
      <c r="AA374" s="530">
        <f>IFERROR(__xludf.DUMMYFUNCTION("""COMPUTED_VALUE"""),366.0)</f>
        <v>366</v>
      </c>
      <c r="AB374" s="119"/>
      <c r="AC374" s="119"/>
      <c r="AD374" s="119"/>
      <c r="AE374" s="119"/>
      <c r="AF374" s="119"/>
      <c r="AG374" s="555" t="str">
        <f t="shared" si="8"/>
        <v>  ---&gt;     ---&gt;   </v>
      </c>
      <c r="AH374" s="16"/>
      <c r="AI374" s="439"/>
      <c r="AJ374" s="439"/>
      <c r="AK374" s="439"/>
    </row>
    <row r="375" ht="18.75" customHeight="1">
      <c r="A375" s="439"/>
      <c r="B375" s="546"/>
      <c r="C375" s="547"/>
      <c r="D375" s="446">
        <f>IF(C375=0,0,(VLOOKUP(C375,'PO MTRL'!$B$9:$S1518,2,0)))</f>
        <v>0</v>
      </c>
      <c r="E375" s="548" t="str">
        <f>IF(C375="","",(VLOOKUP(C375,'PO MTRL'!$B$9:$S1518,3,0)))</f>
        <v/>
      </c>
      <c r="F375" s="549">
        <f>IF(C375=0,0,(VLOOKUP(C375,'PO MTRL'!$B$9:$S1518,4,0)))</f>
        <v>0</v>
      </c>
      <c r="G375" s="444"/>
      <c r="H375" s="550">
        <f>IF(C375=0,0,(VLOOKUP(C375,'PO MTRL'!$B$9:$S1518,6,0)))</f>
        <v>0</v>
      </c>
      <c r="I375" s="446">
        <f>IF(C375=0,0,(VLOOKUP(C375,'PO MTRL'!$B$9:$S1518,7,0)))</f>
        <v>0</v>
      </c>
      <c r="J375" s="551">
        <f>IF(C375=0,0,(VLOOKUP(C375,'PO MTRL'!$B$9:$S1518,8,0)))</f>
        <v>0</v>
      </c>
      <c r="K375" s="559"/>
      <c r="L375" s="448">
        <f t="shared" si="1"/>
        <v>0</v>
      </c>
      <c r="M375" s="551">
        <f t="shared" si="2"/>
        <v>0</v>
      </c>
      <c r="N375" s="449">
        <f t="shared" si="3"/>
        <v>0</v>
      </c>
      <c r="O375" s="551">
        <f>IF(H375=0,0,(VLOOKUP(H375,'PO MTRL'!$G$9:$S1518,5,0)))</f>
        <v>0</v>
      </c>
      <c r="P375" s="551">
        <f>IF(H375=0,0,(VLOOKUP(H375,'PO MTRL'!$G$9:$S1518,7,0)))</f>
        <v>0</v>
      </c>
      <c r="Q375" s="551">
        <f t="shared" si="4"/>
        <v>0</v>
      </c>
      <c r="R375" s="551">
        <f t="shared" si="5"/>
        <v>0</v>
      </c>
      <c r="S375" s="550">
        <f>IF(C375=0,0,(VLOOKUP(C375,'PO MTRL'!$B$9:$S1518,17,0)))</f>
        <v>0</v>
      </c>
      <c r="T375" s="553"/>
      <c r="U375" s="554">
        <f>IF(C375=0,0,(VLOOKUP(C375,'PO MTRL'!$B$9:$S1518,18,0)))</f>
        <v>0</v>
      </c>
      <c r="V375" s="16"/>
      <c r="W375" s="119" t="str">
        <f t="shared" si="6"/>
        <v/>
      </c>
      <c r="X375" s="564">
        <f t="shared" si="7"/>
        <v>0</v>
      </c>
      <c r="Y375" s="119"/>
      <c r="Z375" s="119"/>
      <c r="AA375" s="530">
        <f>IFERROR(__xludf.DUMMYFUNCTION("""COMPUTED_VALUE"""),367.0)</f>
        <v>367</v>
      </c>
      <c r="AB375" s="119"/>
      <c r="AC375" s="119"/>
      <c r="AD375" s="119"/>
      <c r="AE375" s="119"/>
      <c r="AF375" s="119"/>
      <c r="AG375" s="555" t="str">
        <f t="shared" si="8"/>
        <v>  ---&gt;     ---&gt;   </v>
      </c>
      <c r="AH375" s="16"/>
      <c r="AI375" s="439"/>
      <c r="AJ375" s="439"/>
      <c r="AK375" s="439"/>
    </row>
    <row r="376" ht="18.75" customHeight="1">
      <c r="A376" s="439"/>
      <c r="B376" s="546"/>
      <c r="C376" s="547"/>
      <c r="D376" s="446">
        <f>IF(C376=0,0,(VLOOKUP(C376,'PO MTRL'!$B$9:$S1518,2,0)))</f>
        <v>0</v>
      </c>
      <c r="E376" s="548" t="str">
        <f>IF(C376="","",(VLOOKUP(C376,'PO MTRL'!$B$9:$S1518,3,0)))</f>
        <v/>
      </c>
      <c r="F376" s="549">
        <f>IF(C376=0,0,(VLOOKUP(C376,'PO MTRL'!$B$9:$S1518,4,0)))</f>
        <v>0</v>
      </c>
      <c r="G376" s="444"/>
      <c r="H376" s="550">
        <f>IF(C376=0,0,(VLOOKUP(C376,'PO MTRL'!$B$9:$S1518,6,0)))</f>
        <v>0</v>
      </c>
      <c r="I376" s="446">
        <f>IF(C376=0,0,(VLOOKUP(C376,'PO MTRL'!$B$9:$S1518,7,0)))</f>
        <v>0</v>
      </c>
      <c r="J376" s="551">
        <f>IF(C376=0,0,(VLOOKUP(C376,'PO MTRL'!$B$9:$S1518,8,0)))</f>
        <v>0</v>
      </c>
      <c r="K376" s="559"/>
      <c r="L376" s="448">
        <f t="shared" si="1"/>
        <v>0</v>
      </c>
      <c r="M376" s="551">
        <f t="shared" si="2"/>
        <v>0</v>
      </c>
      <c r="N376" s="449">
        <f t="shared" si="3"/>
        <v>0</v>
      </c>
      <c r="O376" s="551">
        <f>IF(H376=0,0,(VLOOKUP(H376,'PO MTRL'!$G$9:$S1518,5,0)))</f>
        <v>0</v>
      </c>
      <c r="P376" s="551">
        <f>IF(H376=0,0,(VLOOKUP(H376,'PO MTRL'!$G$9:$S1518,7,0)))</f>
        <v>0</v>
      </c>
      <c r="Q376" s="551">
        <f t="shared" si="4"/>
        <v>0</v>
      </c>
      <c r="R376" s="551">
        <f t="shared" si="5"/>
        <v>0</v>
      </c>
      <c r="S376" s="550">
        <f>IF(C376=0,0,(VLOOKUP(C376,'PO MTRL'!$B$9:$S1518,17,0)))</f>
        <v>0</v>
      </c>
      <c r="T376" s="553"/>
      <c r="U376" s="554">
        <f>IF(C376=0,0,(VLOOKUP(C376,'PO MTRL'!$B$9:$S1518,18,0)))</f>
        <v>0</v>
      </c>
      <c r="V376" s="16"/>
      <c r="W376" s="119" t="str">
        <f t="shared" si="6"/>
        <v/>
      </c>
      <c r="X376" s="564">
        <f t="shared" si="7"/>
        <v>0</v>
      </c>
      <c r="Y376" s="119"/>
      <c r="Z376" s="119"/>
      <c r="AA376" s="530">
        <f>IFERROR(__xludf.DUMMYFUNCTION("""COMPUTED_VALUE"""),368.0)</f>
        <v>368</v>
      </c>
      <c r="AB376" s="119"/>
      <c r="AC376" s="119"/>
      <c r="AD376" s="119"/>
      <c r="AE376" s="119"/>
      <c r="AF376" s="119"/>
      <c r="AG376" s="555" t="str">
        <f t="shared" si="8"/>
        <v>  ---&gt;     ---&gt;   </v>
      </c>
      <c r="AH376" s="16"/>
      <c r="AI376" s="439"/>
      <c r="AJ376" s="439"/>
      <c r="AK376" s="439"/>
    </row>
    <row r="377" ht="18.75" customHeight="1">
      <c r="A377" s="439"/>
      <c r="B377" s="546"/>
      <c r="C377" s="547"/>
      <c r="D377" s="446">
        <f>IF(C377=0,0,(VLOOKUP(C377,'PO MTRL'!$B$9:$S1518,2,0)))</f>
        <v>0</v>
      </c>
      <c r="E377" s="548" t="str">
        <f>IF(C377="","",(VLOOKUP(C377,'PO MTRL'!$B$9:$S1518,3,0)))</f>
        <v/>
      </c>
      <c r="F377" s="549">
        <f>IF(C377=0,0,(VLOOKUP(C377,'PO MTRL'!$B$9:$S1518,4,0)))</f>
        <v>0</v>
      </c>
      <c r="G377" s="444"/>
      <c r="H377" s="550">
        <f>IF(C377=0,0,(VLOOKUP(C377,'PO MTRL'!$B$9:$S1518,6,0)))</f>
        <v>0</v>
      </c>
      <c r="I377" s="446">
        <f>IF(C377=0,0,(VLOOKUP(C377,'PO MTRL'!$B$9:$S1518,7,0)))</f>
        <v>0</v>
      </c>
      <c r="J377" s="551">
        <f>IF(C377=0,0,(VLOOKUP(C377,'PO MTRL'!$B$9:$S1518,8,0)))</f>
        <v>0</v>
      </c>
      <c r="K377" s="559"/>
      <c r="L377" s="448">
        <f t="shared" si="1"/>
        <v>0</v>
      </c>
      <c r="M377" s="551">
        <f t="shared" si="2"/>
        <v>0</v>
      </c>
      <c r="N377" s="449">
        <f t="shared" si="3"/>
        <v>0</v>
      </c>
      <c r="O377" s="551">
        <f>IF(H377=0,0,(VLOOKUP(H377,'PO MTRL'!$G$9:$S1518,5,0)))</f>
        <v>0</v>
      </c>
      <c r="P377" s="551">
        <f>IF(H377=0,0,(VLOOKUP(H377,'PO MTRL'!$G$9:$S1518,7,0)))</f>
        <v>0</v>
      </c>
      <c r="Q377" s="551">
        <f t="shared" si="4"/>
        <v>0</v>
      </c>
      <c r="R377" s="551">
        <f t="shared" si="5"/>
        <v>0</v>
      </c>
      <c r="S377" s="550">
        <f>IF(C377=0,0,(VLOOKUP(C377,'PO MTRL'!$B$9:$S1518,17,0)))</f>
        <v>0</v>
      </c>
      <c r="T377" s="553"/>
      <c r="U377" s="554">
        <f>IF(C377=0,0,(VLOOKUP(C377,'PO MTRL'!$B$9:$S1518,18,0)))</f>
        <v>0</v>
      </c>
      <c r="V377" s="16"/>
      <c r="W377" s="119" t="str">
        <f t="shared" si="6"/>
        <v/>
      </c>
      <c r="X377" s="564">
        <f t="shared" si="7"/>
        <v>0</v>
      </c>
      <c r="Y377" s="119"/>
      <c r="Z377" s="119"/>
      <c r="AA377" s="530">
        <f>IFERROR(__xludf.DUMMYFUNCTION("""COMPUTED_VALUE"""),369.0)</f>
        <v>369</v>
      </c>
      <c r="AB377" s="119"/>
      <c r="AC377" s="119"/>
      <c r="AD377" s="119"/>
      <c r="AE377" s="119"/>
      <c r="AF377" s="119"/>
      <c r="AG377" s="555" t="str">
        <f t="shared" si="8"/>
        <v>  ---&gt;     ---&gt;   </v>
      </c>
      <c r="AH377" s="16"/>
      <c r="AI377" s="439"/>
      <c r="AJ377" s="439"/>
      <c r="AK377" s="439"/>
    </row>
    <row r="378" ht="18.75" customHeight="1">
      <c r="A378" s="439"/>
      <c r="B378" s="546"/>
      <c r="C378" s="547"/>
      <c r="D378" s="446">
        <f>IF(C378=0,0,(VLOOKUP(C378,'PO MTRL'!$B$9:$S1518,2,0)))</f>
        <v>0</v>
      </c>
      <c r="E378" s="548" t="str">
        <f>IF(C378="","",(VLOOKUP(C378,'PO MTRL'!$B$9:$S1518,3,0)))</f>
        <v/>
      </c>
      <c r="F378" s="549">
        <f>IF(C378=0,0,(VLOOKUP(C378,'PO MTRL'!$B$9:$S1518,4,0)))</f>
        <v>0</v>
      </c>
      <c r="G378" s="444"/>
      <c r="H378" s="550">
        <f>IF(C378=0,0,(VLOOKUP(C378,'PO MTRL'!$B$9:$S1518,6,0)))</f>
        <v>0</v>
      </c>
      <c r="I378" s="446">
        <f>IF(C378=0,0,(VLOOKUP(C378,'PO MTRL'!$B$9:$S1518,7,0)))</f>
        <v>0</v>
      </c>
      <c r="J378" s="551">
        <f>IF(C378=0,0,(VLOOKUP(C378,'PO MTRL'!$B$9:$S1518,8,0)))</f>
        <v>0</v>
      </c>
      <c r="K378" s="559"/>
      <c r="L378" s="448">
        <f t="shared" si="1"/>
        <v>0</v>
      </c>
      <c r="M378" s="551">
        <f t="shared" si="2"/>
        <v>0</v>
      </c>
      <c r="N378" s="449">
        <f t="shared" si="3"/>
        <v>0</v>
      </c>
      <c r="O378" s="551">
        <f>IF(H378=0,0,(VLOOKUP(H378,'PO MTRL'!$G$9:$S1518,5,0)))</f>
        <v>0</v>
      </c>
      <c r="P378" s="551">
        <f>IF(H378=0,0,(VLOOKUP(H378,'PO MTRL'!$G$9:$S1518,7,0)))</f>
        <v>0</v>
      </c>
      <c r="Q378" s="551">
        <f t="shared" si="4"/>
        <v>0</v>
      </c>
      <c r="R378" s="551">
        <f t="shared" si="5"/>
        <v>0</v>
      </c>
      <c r="S378" s="550">
        <f>IF(C378=0,0,(VLOOKUP(C378,'PO MTRL'!$B$9:$S1518,17,0)))</f>
        <v>0</v>
      </c>
      <c r="T378" s="553"/>
      <c r="U378" s="554">
        <f>IF(C378=0,0,(VLOOKUP(C378,'PO MTRL'!$B$9:$S1518,18,0)))</f>
        <v>0</v>
      </c>
      <c r="V378" s="16"/>
      <c r="W378" s="119" t="str">
        <f t="shared" si="6"/>
        <v/>
      </c>
      <c r="X378" s="564">
        <f t="shared" si="7"/>
        <v>0</v>
      </c>
      <c r="Y378" s="119"/>
      <c r="Z378" s="119"/>
      <c r="AA378" s="530">
        <f>IFERROR(__xludf.DUMMYFUNCTION("""COMPUTED_VALUE"""),370.0)</f>
        <v>370</v>
      </c>
      <c r="AB378" s="119"/>
      <c r="AC378" s="119"/>
      <c r="AD378" s="119"/>
      <c r="AE378" s="119"/>
      <c r="AF378" s="119"/>
      <c r="AG378" s="555" t="str">
        <f t="shared" si="8"/>
        <v>  ---&gt;     ---&gt;   </v>
      </c>
      <c r="AH378" s="16"/>
      <c r="AI378" s="439"/>
      <c r="AJ378" s="439"/>
      <c r="AK378" s="439"/>
    </row>
    <row r="379" ht="18.75" customHeight="1">
      <c r="A379" s="439"/>
      <c r="B379" s="546"/>
      <c r="C379" s="547"/>
      <c r="D379" s="446">
        <f>IF(C379=0,0,(VLOOKUP(C379,'PO MTRL'!$B$9:$S1518,2,0)))</f>
        <v>0</v>
      </c>
      <c r="E379" s="548" t="str">
        <f>IF(C379="","",(VLOOKUP(C379,'PO MTRL'!$B$9:$S1518,3,0)))</f>
        <v/>
      </c>
      <c r="F379" s="549">
        <f>IF(C379=0,0,(VLOOKUP(C379,'PO MTRL'!$B$9:$S1518,4,0)))</f>
        <v>0</v>
      </c>
      <c r="G379" s="444"/>
      <c r="H379" s="550">
        <f>IF(C379=0,0,(VLOOKUP(C379,'PO MTRL'!$B$9:$S1518,6,0)))</f>
        <v>0</v>
      </c>
      <c r="I379" s="446">
        <f>IF(C379=0,0,(VLOOKUP(C379,'PO MTRL'!$B$9:$S1518,7,0)))</f>
        <v>0</v>
      </c>
      <c r="J379" s="551">
        <f>IF(C379=0,0,(VLOOKUP(C379,'PO MTRL'!$B$9:$S1518,8,0)))</f>
        <v>0</v>
      </c>
      <c r="K379" s="559"/>
      <c r="L379" s="448">
        <f t="shared" si="1"/>
        <v>0</v>
      </c>
      <c r="M379" s="551">
        <f t="shared" si="2"/>
        <v>0</v>
      </c>
      <c r="N379" s="449">
        <f t="shared" si="3"/>
        <v>0</v>
      </c>
      <c r="O379" s="551">
        <f>IF(H379=0,0,(VLOOKUP(H379,'PO MTRL'!$G$9:$S1518,5,0)))</f>
        <v>0</v>
      </c>
      <c r="P379" s="551">
        <f>IF(H379=0,0,(VLOOKUP(H379,'PO MTRL'!$G$9:$S1518,7,0)))</f>
        <v>0</v>
      </c>
      <c r="Q379" s="551">
        <f t="shared" si="4"/>
        <v>0</v>
      </c>
      <c r="R379" s="551">
        <f t="shared" si="5"/>
        <v>0</v>
      </c>
      <c r="S379" s="550">
        <f>IF(C379=0,0,(VLOOKUP(C379,'PO MTRL'!$B$9:$S1518,17,0)))</f>
        <v>0</v>
      </c>
      <c r="T379" s="553"/>
      <c r="U379" s="554">
        <f>IF(C379=0,0,(VLOOKUP(C379,'PO MTRL'!$B$9:$S1518,18,0)))</f>
        <v>0</v>
      </c>
      <c r="V379" s="16"/>
      <c r="W379" s="119" t="str">
        <f t="shared" si="6"/>
        <v/>
      </c>
      <c r="X379" s="564">
        <f t="shared" si="7"/>
        <v>0</v>
      </c>
      <c r="Y379" s="119"/>
      <c r="Z379" s="119"/>
      <c r="AA379" s="530">
        <f>IFERROR(__xludf.DUMMYFUNCTION("""COMPUTED_VALUE"""),371.0)</f>
        <v>371</v>
      </c>
      <c r="AB379" s="119"/>
      <c r="AC379" s="119"/>
      <c r="AD379" s="119"/>
      <c r="AE379" s="119"/>
      <c r="AF379" s="119"/>
      <c r="AG379" s="555" t="str">
        <f t="shared" si="8"/>
        <v>  ---&gt;     ---&gt;   </v>
      </c>
      <c r="AH379" s="16"/>
      <c r="AI379" s="439"/>
      <c r="AJ379" s="439"/>
      <c r="AK379" s="439"/>
    </row>
    <row r="380" ht="18.75" customHeight="1">
      <c r="A380" s="439"/>
      <c r="B380" s="546"/>
      <c r="C380" s="547"/>
      <c r="D380" s="446">
        <f>IF(C380=0,0,(VLOOKUP(C380,'PO MTRL'!$B$9:$S1518,2,0)))</f>
        <v>0</v>
      </c>
      <c r="E380" s="548" t="str">
        <f>IF(C380="","",(VLOOKUP(C380,'PO MTRL'!$B$9:$S1518,3,0)))</f>
        <v/>
      </c>
      <c r="F380" s="549">
        <f>IF(C380=0,0,(VLOOKUP(C380,'PO MTRL'!$B$9:$S1518,4,0)))</f>
        <v>0</v>
      </c>
      <c r="G380" s="444"/>
      <c r="H380" s="550">
        <f>IF(C380=0,0,(VLOOKUP(C380,'PO MTRL'!$B$9:$S1518,6,0)))</f>
        <v>0</v>
      </c>
      <c r="I380" s="446">
        <f>IF(C380=0,0,(VLOOKUP(C380,'PO MTRL'!$B$9:$S1518,7,0)))</f>
        <v>0</v>
      </c>
      <c r="J380" s="551">
        <f>IF(C380=0,0,(VLOOKUP(C380,'PO MTRL'!$B$9:$S1518,8,0)))</f>
        <v>0</v>
      </c>
      <c r="K380" s="559"/>
      <c r="L380" s="448">
        <f t="shared" si="1"/>
        <v>0</v>
      </c>
      <c r="M380" s="551">
        <f t="shared" si="2"/>
        <v>0</v>
      </c>
      <c r="N380" s="449">
        <f t="shared" si="3"/>
        <v>0</v>
      </c>
      <c r="O380" s="551">
        <f>IF(H380=0,0,(VLOOKUP(H380,'PO MTRL'!$G$9:$S1518,5,0)))</f>
        <v>0</v>
      </c>
      <c r="P380" s="551">
        <f>IF(H380=0,0,(VLOOKUP(H380,'PO MTRL'!$G$9:$S1518,7,0)))</f>
        <v>0</v>
      </c>
      <c r="Q380" s="551">
        <f t="shared" si="4"/>
        <v>0</v>
      </c>
      <c r="R380" s="551">
        <f t="shared" si="5"/>
        <v>0</v>
      </c>
      <c r="S380" s="550">
        <f>IF(C380=0,0,(VLOOKUP(C380,'PO MTRL'!$B$9:$S1518,17,0)))</f>
        <v>0</v>
      </c>
      <c r="T380" s="553"/>
      <c r="U380" s="554">
        <f>IF(C380=0,0,(VLOOKUP(C380,'PO MTRL'!$B$9:$S1518,18,0)))</f>
        <v>0</v>
      </c>
      <c r="V380" s="16"/>
      <c r="W380" s="119" t="str">
        <f t="shared" si="6"/>
        <v/>
      </c>
      <c r="X380" s="564">
        <f t="shared" si="7"/>
        <v>0</v>
      </c>
      <c r="Y380" s="119"/>
      <c r="Z380" s="119"/>
      <c r="AA380" s="530">
        <f>IFERROR(__xludf.DUMMYFUNCTION("""COMPUTED_VALUE"""),372.0)</f>
        <v>372</v>
      </c>
      <c r="AB380" s="119"/>
      <c r="AC380" s="119"/>
      <c r="AD380" s="119"/>
      <c r="AE380" s="119"/>
      <c r="AF380" s="119"/>
      <c r="AG380" s="555" t="str">
        <f t="shared" si="8"/>
        <v>  ---&gt;     ---&gt;   </v>
      </c>
      <c r="AH380" s="16"/>
      <c r="AI380" s="439"/>
      <c r="AJ380" s="439"/>
      <c r="AK380" s="439"/>
    </row>
    <row r="381" ht="18.75" customHeight="1">
      <c r="A381" s="439"/>
      <c r="B381" s="546"/>
      <c r="C381" s="547"/>
      <c r="D381" s="446">
        <f>IF(C381=0,0,(VLOOKUP(C381,'PO MTRL'!$B$9:$S1518,2,0)))</f>
        <v>0</v>
      </c>
      <c r="E381" s="548" t="str">
        <f>IF(C381="","",(VLOOKUP(C381,'PO MTRL'!$B$9:$S1518,3,0)))</f>
        <v/>
      </c>
      <c r="F381" s="549">
        <f>IF(C381=0,0,(VLOOKUP(C381,'PO MTRL'!$B$9:$S1518,4,0)))</f>
        <v>0</v>
      </c>
      <c r="G381" s="444"/>
      <c r="H381" s="550">
        <f>IF(C381=0,0,(VLOOKUP(C381,'PO MTRL'!$B$9:$S1518,6,0)))</f>
        <v>0</v>
      </c>
      <c r="I381" s="446">
        <f>IF(C381=0,0,(VLOOKUP(C381,'PO MTRL'!$B$9:$S1518,7,0)))</f>
        <v>0</v>
      </c>
      <c r="J381" s="551">
        <f>IF(C381=0,0,(VLOOKUP(C381,'PO MTRL'!$B$9:$S1518,8,0)))</f>
        <v>0</v>
      </c>
      <c r="K381" s="559"/>
      <c r="L381" s="448">
        <f t="shared" si="1"/>
        <v>0</v>
      </c>
      <c r="M381" s="551">
        <f t="shared" si="2"/>
        <v>0</v>
      </c>
      <c r="N381" s="449">
        <f t="shared" si="3"/>
        <v>0</v>
      </c>
      <c r="O381" s="551">
        <f>IF(H381=0,0,(VLOOKUP(H381,'PO MTRL'!$G$9:$S1518,5,0)))</f>
        <v>0</v>
      </c>
      <c r="P381" s="551">
        <f>IF(H381=0,0,(VLOOKUP(H381,'PO MTRL'!$G$9:$S1518,7,0)))</f>
        <v>0</v>
      </c>
      <c r="Q381" s="551">
        <f t="shared" si="4"/>
        <v>0</v>
      </c>
      <c r="R381" s="551">
        <f t="shared" si="5"/>
        <v>0</v>
      </c>
      <c r="S381" s="550">
        <f>IF(C381=0,0,(VLOOKUP(C381,'PO MTRL'!$B$9:$S1518,17,0)))</f>
        <v>0</v>
      </c>
      <c r="T381" s="553"/>
      <c r="U381" s="554">
        <f>IF(C381=0,0,(VLOOKUP(C381,'PO MTRL'!$B$9:$S1518,18,0)))</f>
        <v>0</v>
      </c>
      <c r="V381" s="16"/>
      <c r="W381" s="119" t="str">
        <f t="shared" si="6"/>
        <v/>
      </c>
      <c r="X381" s="564">
        <f t="shared" si="7"/>
        <v>0</v>
      </c>
      <c r="Y381" s="119"/>
      <c r="Z381" s="119"/>
      <c r="AA381" s="530">
        <f>IFERROR(__xludf.DUMMYFUNCTION("""COMPUTED_VALUE"""),373.0)</f>
        <v>373</v>
      </c>
      <c r="AB381" s="119"/>
      <c r="AC381" s="119"/>
      <c r="AD381" s="119"/>
      <c r="AE381" s="119"/>
      <c r="AF381" s="119"/>
      <c r="AG381" s="555" t="str">
        <f t="shared" si="8"/>
        <v>  ---&gt;     ---&gt;   </v>
      </c>
      <c r="AH381" s="16"/>
      <c r="AI381" s="439"/>
      <c r="AJ381" s="439"/>
      <c r="AK381" s="439"/>
    </row>
    <row r="382" ht="18.75" customHeight="1">
      <c r="A382" s="439"/>
      <c r="B382" s="546"/>
      <c r="C382" s="547"/>
      <c r="D382" s="446">
        <f>IF(C382=0,0,(VLOOKUP(C382,'PO MTRL'!$B$9:$S1518,2,0)))</f>
        <v>0</v>
      </c>
      <c r="E382" s="548" t="str">
        <f>IF(C382="","",(VLOOKUP(C382,'PO MTRL'!$B$9:$S1518,3,0)))</f>
        <v/>
      </c>
      <c r="F382" s="549">
        <f>IF(C382=0,0,(VLOOKUP(C382,'PO MTRL'!$B$9:$S1518,4,0)))</f>
        <v>0</v>
      </c>
      <c r="G382" s="444"/>
      <c r="H382" s="550">
        <f>IF(C382=0,0,(VLOOKUP(C382,'PO MTRL'!$B$9:$S1518,6,0)))</f>
        <v>0</v>
      </c>
      <c r="I382" s="446">
        <f>IF(C382=0,0,(VLOOKUP(C382,'PO MTRL'!$B$9:$S1518,7,0)))</f>
        <v>0</v>
      </c>
      <c r="J382" s="551">
        <f>IF(C382=0,0,(VLOOKUP(C382,'PO MTRL'!$B$9:$S1518,8,0)))</f>
        <v>0</v>
      </c>
      <c r="K382" s="559"/>
      <c r="L382" s="448">
        <f t="shared" si="1"/>
        <v>0</v>
      </c>
      <c r="M382" s="551">
        <f t="shared" si="2"/>
        <v>0</v>
      </c>
      <c r="N382" s="449">
        <f t="shared" si="3"/>
        <v>0</v>
      </c>
      <c r="O382" s="551">
        <f>IF(H382=0,0,(VLOOKUP(H382,'PO MTRL'!$G$9:$S1518,5,0)))</f>
        <v>0</v>
      </c>
      <c r="P382" s="551">
        <f>IF(H382=0,0,(VLOOKUP(H382,'PO MTRL'!$G$9:$S1518,7,0)))</f>
        <v>0</v>
      </c>
      <c r="Q382" s="551">
        <f t="shared" si="4"/>
        <v>0</v>
      </c>
      <c r="R382" s="551">
        <f t="shared" si="5"/>
        <v>0</v>
      </c>
      <c r="S382" s="550">
        <f>IF(C382=0,0,(VLOOKUP(C382,'PO MTRL'!$B$9:$S1518,17,0)))</f>
        <v>0</v>
      </c>
      <c r="T382" s="553"/>
      <c r="U382" s="554">
        <f>IF(C382=0,0,(VLOOKUP(C382,'PO MTRL'!$B$9:$S1518,18,0)))</f>
        <v>0</v>
      </c>
      <c r="V382" s="16"/>
      <c r="W382" s="119" t="str">
        <f t="shared" si="6"/>
        <v/>
      </c>
      <c r="X382" s="564">
        <f t="shared" si="7"/>
        <v>0</v>
      </c>
      <c r="Y382" s="119"/>
      <c r="Z382" s="119"/>
      <c r="AA382" s="530">
        <f>IFERROR(__xludf.DUMMYFUNCTION("""COMPUTED_VALUE"""),374.0)</f>
        <v>374</v>
      </c>
      <c r="AB382" s="119"/>
      <c r="AC382" s="119"/>
      <c r="AD382" s="119"/>
      <c r="AE382" s="119"/>
      <c r="AF382" s="119"/>
      <c r="AG382" s="555" t="str">
        <f t="shared" si="8"/>
        <v>  ---&gt;     ---&gt;   </v>
      </c>
      <c r="AH382" s="16"/>
      <c r="AI382" s="439"/>
      <c r="AJ382" s="439"/>
      <c r="AK382" s="439"/>
    </row>
    <row r="383" ht="18.75" customHeight="1">
      <c r="A383" s="439"/>
      <c r="B383" s="546"/>
      <c r="C383" s="547"/>
      <c r="D383" s="446">
        <f>IF(C383=0,0,(VLOOKUP(C383,'PO MTRL'!$B$9:$S1518,2,0)))</f>
        <v>0</v>
      </c>
      <c r="E383" s="548" t="str">
        <f>IF(C383="","",(VLOOKUP(C383,'PO MTRL'!$B$9:$S1518,3,0)))</f>
        <v/>
      </c>
      <c r="F383" s="549">
        <f>IF(C383=0,0,(VLOOKUP(C383,'PO MTRL'!$B$9:$S1518,4,0)))</f>
        <v>0</v>
      </c>
      <c r="G383" s="444"/>
      <c r="H383" s="550">
        <f>IF(C383=0,0,(VLOOKUP(C383,'PO MTRL'!$B$9:$S1518,6,0)))</f>
        <v>0</v>
      </c>
      <c r="I383" s="446">
        <f>IF(C383=0,0,(VLOOKUP(C383,'PO MTRL'!$B$9:$S1518,7,0)))</f>
        <v>0</v>
      </c>
      <c r="J383" s="551">
        <f>IF(C383=0,0,(VLOOKUP(C383,'PO MTRL'!$B$9:$S1518,8,0)))</f>
        <v>0</v>
      </c>
      <c r="K383" s="559"/>
      <c r="L383" s="448">
        <f t="shared" si="1"/>
        <v>0</v>
      </c>
      <c r="M383" s="551">
        <f t="shared" si="2"/>
        <v>0</v>
      </c>
      <c r="N383" s="449">
        <f t="shared" si="3"/>
        <v>0</v>
      </c>
      <c r="O383" s="551">
        <f>IF(H383=0,0,(VLOOKUP(H383,'PO MTRL'!$G$9:$S1518,5,0)))</f>
        <v>0</v>
      </c>
      <c r="P383" s="551">
        <f>IF(H383=0,0,(VLOOKUP(H383,'PO MTRL'!$G$9:$S1518,7,0)))</f>
        <v>0</v>
      </c>
      <c r="Q383" s="551">
        <f t="shared" si="4"/>
        <v>0</v>
      </c>
      <c r="R383" s="551">
        <f t="shared" si="5"/>
        <v>0</v>
      </c>
      <c r="S383" s="550">
        <f>IF(C383=0,0,(VLOOKUP(C383,'PO MTRL'!$B$9:$S1518,17,0)))</f>
        <v>0</v>
      </c>
      <c r="T383" s="553"/>
      <c r="U383" s="554">
        <f>IF(C383=0,0,(VLOOKUP(C383,'PO MTRL'!$B$9:$S1518,18,0)))</f>
        <v>0</v>
      </c>
      <c r="V383" s="16"/>
      <c r="W383" s="119" t="str">
        <f t="shared" si="6"/>
        <v/>
      </c>
      <c r="X383" s="564">
        <f t="shared" si="7"/>
        <v>0</v>
      </c>
      <c r="Y383" s="119"/>
      <c r="Z383" s="119"/>
      <c r="AA383" s="530">
        <f>IFERROR(__xludf.DUMMYFUNCTION("""COMPUTED_VALUE"""),375.0)</f>
        <v>375</v>
      </c>
      <c r="AB383" s="119"/>
      <c r="AC383" s="119"/>
      <c r="AD383" s="119"/>
      <c r="AE383" s="119"/>
      <c r="AF383" s="119"/>
      <c r="AG383" s="555" t="str">
        <f t="shared" si="8"/>
        <v>  ---&gt;     ---&gt;   </v>
      </c>
      <c r="AH383" s="16"/>
      <c r="AI383" s="439"/>
      <c r="AJ383" s="439"/>
      <c r="AK383" s="439"/>
    </row>
    <row r="384" ht="18.75" customHeight="1">
      <c r="A384" s="439"/>
      <c r="B384" s="546"/>
      <c r="C384" s="547"/>
      <c r="D384" s="446">
        <f>IF(C384=0,0,(VLOOKUP(C384,'PO MTRL'!$B$9:$S1518,2,0)))</f>
        <v>0</v>
      </c>
      <c r="E384" s="548" t="str">
        <f>IF(C384="","",(VLOOKUP(C384,'PO MTRL'!$B$9:$S1518,3,0)))</f>
        <v/>
      </c>
      <c r="F384" s="549">
        <f>IF(C384=0,0,(VLOOKUP(C384,'PO MTRL'!$B$9:$S1518,4,0)))</f>
        <v>0</v>
      </c>
      <c r="G384" s="444"/>
      <c r="H384" s="550">
        <f>IF(C384=0,0,(VLOOKUP(C384,'PO MTRL'!$B$9:$S1518,6,0)))</f>
        <v>0</v>
      </c>
      <c r="I384" s="446">
        <f>IF(C384=0,0,(VLOOKUP(C384,'PO MTRL'!$B$9:$S1518,7,0)))</f>
        <v>0</v>
      </c>
      <c r="J384" s="551">
        <f>IF(C384=0,0,(VLOOKUP(C384,'PO MTRL'!$B$9:$S1518,8,0)))</f>
        <v>0</v>
      </c>
      <c r="K384" s="559"/>
      <c r="L384" s="448">
        <f t="shared" si="1"/>
        <v>0</v>
      </c>
      <c r="M384" s="551">
        <f t="shared" si="2"/>
        <v>0</v>
      </c>
      <c r="N384" s="449">
        <f t="shared" si="3"/>
        <v>0</v>
      </c>
      <c r="O384" s="551">
        <f>IF(H384=0,0,(VLOOKUP(H384,'PO MTRL'!$G$9:$S1518,5,0)))</f>
        <v>0</v>
      </c>
      <c r="P384" s="551">
        <f>IF(H384=0,0,(VLOOKUP(H384,'PO MTRL'!$G$9:$S1518,7,0)))</f>
        <v>0</v>
      </c>
      <c r="Q384" s="551">
        <f t="shared" si="4"/>
        <v>0</v>
      </c>
      <c r="R384" s="551">
        <f t="shared" si="5"/>
        <v>0</v>
      </c>
      <c r="S384" s="550">
        <f>IF(C384=0,0,(VLOOKUP(C384,'PO MTRL'!$B$9:$S1518,17,0)))</f>
        <v>0</v>
      </c>
      <c r="T384" s="553"/>
      <c r="U384" s="554">
        <f>IF(C384=0,0,(VLOOKUP(C384,'PO MTRL'!$B$9:$S1518,18,0)))</f>
        <v>0</v>
      </c>
      <c r="V384" s="16"/>
      <c r="W384" s="119" t="str">
        <f t="shared" si="6"/>
        <v/>
      </c>
      <c r="X384" s="564">
        <f t="shared" si="7"/>
        <v>0</v>
      </c>
      <c r="Y384" s="119"/>
      <c r="Z384" s="119"/>
      <c r="AA384" s="530">
        <f>IFERROR(__xludf.DUMMYFUNCTION("""COMPUTED_VALUE"""),376.0)</f>
        <v>376</v>
      </c>
      <c r="AB384" s="119"/>
      <c r="AC384" s="119"/>
      <c r="AD384" s="119"/>
      <c r="AE384" s="119"/>
      <c r="AF384" s="119"/>
      <c r="AG384" s="555" t="str">
        <f t="shared" si="8"/>
        <v>  ---&gt;     ---&gt;   </v>
      </c>
      <c r="AH384" s="16"/>
      <c r="AI384" s="439"/>
      <c r="AJ384" s="439"/>
      <c r="AK384" s="439"/>
    </row>
    <row r="385" ht="18.75" customHeight="1">
      <c r="A385" s="439"/>
      <c r="B385" s="546"/>
      <c r="C385" s="547"/>
      <c r="D385" s="446">
        <f>IF(C385=0,0,(VLOOKUP(C385,'PO MTRL'!$B$9:$S1518,2,0)))</f>
        <v>0</v>
      </c>
      <c r="E385" s="548" t="str">
        <f>IF(C385="","",(VLOOKUP(C385,'PO MTRL'!$B$9:$S1518,3,0)))</f>
        <v/>
      </c>
      <c r="F385" s="549">
        <f>IF(C385=0,0,(VLOOKUP(C385,'PO MTRL'!$B$9:$S1518,4,0)))</f>
        <v>0</v>
      </c>
      <c r="G385" s="444"/>
      <c r="H385" s="550">
        <f>IF(C385=0,0,(VLOOKUP(C385,'PO MTRL'!$B$9:$S1518,6,0)))</f>
        <v>0</v>
      </c>
      <c r="I385" s="446">
        <f>IF(C385=0,0,(VLOOKUP(C385,'PO MTRL'!$B$9:$S1518,7,0)))</f>
        <v>0</v>
      </c>
      <c r="J385" s="551">
        <f>IF(C385=0,0,(VLOOKUP(C385,'PO MTRL'!$B$9:$S1518,8,0)))</f>
        <v>0</v>
      </c>
      <c r="K385" s="559"/>
      <c r="L385" s="448">
        <f t="shared" si="1"/>
        <v>0</v>
      </c>
      <c r="M385" s="551">
        <f t="shared" si="2"/>
        <v>0</v>
      </c>
      <c r="N385" s="449">
        <f t="shared" si="3"/>
        <v>0</v>
      </c>
      <c r="O385" s="551">
        <f>IF(H385=0,0,(VLOOKUP(H385,'PO MTRL'!$G$9:$S1518,5,0)))</f>
        <v>0</v>
      </c>
      <c r="P385" s="551">
        <f>IF(H385=0,0,(VLOOKUP(H385,'PO MTRL'!$G$9:$S1518,7,0)))</f>
        <v>0</v>
      </c>
      <c r="Q385" s="551">
        <f t="shared" si="4"/>
        <v>0</v>
      </c>
      <c r="R385" s="551">
        <f t="shared" si="5"/>
        <v>0</v>
      </c>
      <c r="S385" s="550">
        <f>IF(C385=0,0,(VLOOKUP(C385,'PO MTRL'!$B$9:$S1518,17,0)))</f>
        <v>0</v>
      </c>
      <c r="T385" s="553"/>
      <c r="U385" s="554">
        <f>IF(C385=0,0,(VLOOKUP(C385,'PO MTRL'!$B$9:$S1518,18,0)))</f>
        <v>0</v>
      </c>
      <c r="V385" s="16"/>
      <c r="W385" s="119" t="str">
        <f t="shared" si="6"/>
        <v/>
      </c>
      <c r="X385" s="564">
        <f t="shared" si="7"/>
        <v>0</v>
      </c>
      <c r="Y385" s="119"/>
      <c r="Z385" s="119"/>
      <c r="AA385" s="530">
        <f>IFERROR(__xludf.DUMMYFUNCTION("""COMPUTED_VALUE"""),377.0)</f>
        <v>377</v>
      </c>
      <c r="AB385" s="119"/>
      <c r="AC385" s="119"/>
      <c r="AD385" s="119"/>
      <c r="AE385" s="119"/>
      <c r="AF385" s="119"/>
      <c r="AG385" s="555" t="str">
        <f t="shared" si="8"/>
        <v>  ---&gt;     ---&gt;   </v>
      </c>
      <c r="AH385" s="16"/>
      <c r="AI385" s="439"/>
      <c r="AJ385" s="439"/>
      <c r="AK385" s="439"/>
    </row>
    <row r="386" ht="18.75" customHeight="1">
      <c r="A386" s="439"/>
      <c r="B386" s="546"/>
      <c r="C386" s="547"/>
      <c r="D386" s="446">
        <f>IF(C386=0,0,(VLOOKUP(C386,'PO MTRL'!$B$9:$S1518,2,0)))</f>
        <v>0</v>
      </c>
      <c r="E386" s="548" t="str">
        <f>IF(C386="","",(VLOOKUP(C386,'PO MTRL'!$B$9:$S1518,3,0)))</f>
        <v/>
      </c>
      <c r="F386" s="549">
        <f>IF(C386=0,0,(VLOOKUP(C386,'PO MTRL'!$B$9:$S1518,4,0)))</f>
        <v>0</v>
      </c>
      <c r="G386" s="444"/>
      <c r="H386" s="550">
        <f>IF(C386=0,0,(VLOOKUP(C386,'PO MTRL'!$B$9:$S1518,6,0)))</f>
        <v>0</v>
      </c>
      <c r="I386" s="446">
        <f>IF(C386=0,0,(VLOOKUP(C386,'PO MTRL'!$B$9:$S1518,7,0)))</f>
        <v>0</v>
      </c>
      <c r="J386" s="551">
        <f>IF(C386=0,0,(VLOOKUP(C386,'PO MTRL'!$B$9:$S1518,8,0)))</f>
        <v>0</v>
      </c>
      <c r="K386" s="559"/>
      <c r="L386" s="448">
        <f t="shared" si="1"/>
        <v>0</v>
      </c>
      <c r="M386" s="551">
        <f t="shared" si="2"/>
        <v>0</v>
      </c>
      <c r="N386" s="449">
        <f t="shared" si="3"/>
        <v>0</v>
      </c>
      <c r="O386" s="551">
        <f>IF(H386=0,0,(VLOOKUP(H386,'PO MTRL'!$G$9:$S1518,5,0)))</f>
        <v>0</v>
      </c>
      <c r="P386" s="551">
        <f>IF(H386=0,0,(VLOOKUP(H386,'PO MTRL'!$G$9:$S1518,7,0)))</f>
        <v>0</v>
      </c>
      <c r="Q386" s="551">
        <f t="shared" si="4"/>
        <v>0</v>
      </c>
      <c r="R386" s="551">
        <f t="shared" si="5"/>
        <v>0</v>
      </c>
      <c r="S386" s="550">
        <f>IF(C386=0,0,(VLOOKUP(C386,'PO MTRL'!$B$9:$S1518,17,0)))</f>
        <v>0</v>
      </c>
      <c r="T386" s="553"/>
      <c r="U386" s="554">
        <f>IF(C386=0,0,(VLOOKUP(C386,'PO MTRL'!$B$9:$S1518,18,0)))</f>
        <v>0</v>
      </c>
      <c r="V386" s="16"/>
      <c r="W386" s="119" t="str">
        <f t="shared" si="6"/>
        <v/>
      </c>
      <c r="X386" s="564">
        <f t="shared" si="7"/>
        <v>0</v>
      </c>
      <c r="Y386" s="119"/>
      <c r="Z386" s="119"/>
      <c r="AA386" s="530">
        <f>IFERROR(__xludf.DUMMYFUNCTION("""COMPUTED_VALUE"""),378.0)</f>
        <v>378</v>
      </c>
      <c r="AB386" s="119"/>
      <c r="AC386" s="119"/>
      <c r="AD386" s="119"/>
      <c r="AE386" s="119"/>
      <c r="AF386" s="119"/>
      <c r="AG386" s="555" t="str">
        <f t="shared" si="8"/>
        <v>  ---&gt;     ---&gt;   </v>
      </c>
      <c r="AH386" s="16"/>
      <c r="AI386" s="439"/>
      <c r="AJ386" s="439"/>
      <c r="AK386" s="439"/>
    </row>
    <row r="387" ht="18.75" customHeight="1">
      <c r="A387" s="439"/>
      <c r="B387" s="546"/>
      <c r="C387" s="547"/>
      <c r="D387" s="446">
        <f>IF(C387=0,0,(VLOOKUP(C387,'PO MTRL'!$B$9:$S1518,2,0)))</f>
        <v>0</v>
      </c>
      <c r="E387" s="548" t="str">
        <f>IF(C387="","",(VLOOKUP(C387,'PO MTRL'!$B$9:$S1518,3,0)))</f>
        <v/>
      </c>
      <c r="F387" s="549">
        <f>IF(C387=0,0,(VLOOKUP(C387,'PO MTRL'!$B$9:$S1518,4,0)))</f>
        <v>0</v>
      </c>
      <c r="G387" s="444"/>
      <c r="H387" s="550">
        <f>IF(C387=0,0,(VLOOKUP(C387,'PO MTRL'!$B$9:$S1518,6,0)))</f>
        <v>0</v>
      </c>
      <c r="I387" s="446">
        <f>IF(C387=0,0,(VLOOKUP(C387,'PO MTRL'!$B$9:$S1518,7,0)))</f>
        <v>0</v>
      </c>
      <c r="J387" s="551">
        <f>IF(C387=0,0,(VLOOKUP(C387,'PO MTRL'!$B$9:$S1518,8,0)))</f>
        <v>0</v>
      </c>
      <c r="K387" s="559"/>
      <c r="L387" s="448">
        <f t="shared" si="1"/>
        <v>0</v>
      </c>
      <c r="M387" s="551">
        <f t="shared" si="2"/>
        <v>0</v>
      </c>
      <c r="N387" s="449">
        <f t="shared" si="3"/>
        <v>0</v>
      </c>
      <c r="O387" s="551">
        <f>IF(H387=0,0,(VLOOKUP(H387,'PO MTRL'!$G$9:$S1518,5,0)))</f>
        <v>0</v>
      </c>
      <c r="P387" s="551">
        <f>IF(H387=0,0,(VLOOKUP(H387,'PO MTRL'!$G$9:$S1518,7,0)))</f>
        <v>0</v>
      </c>
      <c r="Q387" s="551">
        <f t="shared" si="4"/>
        <v>0</v>
      </c>
      <c r="R387" s="551">
        <f t="shared" si="5"/>
        <v>0</v>
      </c>
      <c r="S387" s="550">
        <f>IF(C387=0,0,(VLOOKUP(C387,'PO MTRL'!$B$9:$S1518,17,0)))</f>
        <v>0</v>
      </c>
      <c r="T387" s="553"/>
      <c r="U387" s="554">
        <f>IF(C387=0,0,(VLOOKUP(C387,'PO MTRL'!$B$9:$S1518,18,0)))</f>
        <v>0</v>
      </c>
      <c r="V387" s="16"/>
      <c r="W387" s="119" t="str">
        <f t="shared" si="6"/>
        <v/>
      </c>
      <c r="X387" s="564">
        <f t="shared" si="7"/>
        <v>0</v>
      </c>
      <c r="Y387" s="119"/>
      <c r="Z387" s="119"/>
      <c r="AA387" s="530">
        <f>IFERROR(__xludf.DUMMYFUNCTION("""COMPUTED_VALUE"""),379.0)</f>
        <v>379</v>
      </c>
      <c r="AB387" s="119"/>
      <c r="AC387" s="119"/>
      <c r="AD387" s="119"/>
      <c r="AE387" s="119"/>
      <c r="AF387" s="119"/>
      <c r="AG387" s="555" t="str">
        <f t="shared" si="8"/>
        <v>  ---&gt;     ---&gt;   </v>
      </c>
      <c r="AH387" s="16"/>
      <c r="AI387" s="439"/>
      <c r="AJ387" s="439"/>
      <c r="AK387" s="439"/>
    </row>
    <row r="388" ht="18.75" customHeight="1">
      <c r="A388" s="439"/>
      <c r="B388" s="546"/>
      <c r="C388" s="547"/>
      <c r="D388" s="446">
        <f>IF(C388=0,0,(VLOOKUP(C388,'PO MTRL'!$B$9:$S1518,2,0)))</f>
        <v>0</v>
      </c>
      <c r="E388" s="548" t="str">
        <f>IF(C388="","",(VLOOKUP(C388,'PO MTRL'!$B$9:$S1518,3,0)))</f>
        <v/>
      </c>
      <c r="F388" s="549">
        <f>IF(C388=0,0,(VLOOKUP(C388,'PO MTRL'!$B$9:$S1518,4,0)))</f>
        <v>0</v>
      </c>
      <c r="G388" s="444"/>
      <c r="H388" s="550">
        <f>IF(C388=0,0,(VLOOKUP(C388,'PO MTRL'!$B$9:$S1518,6,0)))</f>
        <v>0</v>
      </c>
      <c r="I388" s="446">
        <f>IF(C388=0,0,(VLOOKUP(C388,'PO MTRL'!$B$9:$S1518,7,0)))</f>
        <v>0</v>
      </c>
      <c r="J388" s="551">
        <f>IF(C388=0,0,(VLOOKUP(C388,'PO MTRL'!$B$9:$S1518,8,0)))</f>
        <v>0</v>
      </c>
      <c r="K388" s="559"/>
      <c r="L388" s="448">
        <f t="shared" si="1"/>
        <v>0</v>
      </c>
      <c r="M388" s="551">
        <f t="shared" si="2"/>
        <v>0</v>
      </c>
      <c r="N388" s="449">
        <f t="shared" si="3"/>
        <v>0</v>
      </c>
      <c r="O388" s="551">
        <f>IF(H388=0,0,(VLOOKUP(H388,'PO MTRL'!$G$9:$S1518,5,0)))</f>
        <v>0</v>
      </c>
      <c r="P388" s="551">
        <f>IF(H388=0,0,(VLOOKUP(H388,'PO MTRL'!$G$9:$S1518,7,0)))</f>
        <v>0</v>
      </c>
      <c r="Q388" s="551">
        <f t="shared" si="4"/>
        <v>0</v>
      </c>
      <c r="R388" s="551">
        <f t="shared" si="5"/>
        <v>0</v>
      </c>
      <c r="S388" s="550">
        <f>IF(C388=0,0,(VLOOKUP(C388,'PO MTRL'!$B$9:$S1518,17,0)))</f>
        <v>0</v>
      </c>
      <c r="T388" s="553"/>
      <c r="U388" s="554">
        <f>IF(C388=0,0,(VLOOKUP(C388,'PO MTRL'!$B$9:$S1518,18,0)))</f>
        <v>0</v>
      </c>
      <c r="V388" s="16"/>
      <c r="W388" s="119" t="str">
        <f t="shared" si="6"/>
        <v/>
      </c>
      <c r="X388" s="564">
        <f t="shared" si="7"/>
        <v>0</v>
      </c>
      <c r="Y388" s="119"/>
      <c r="Z388" s="119"/>
      <c r="AA388" s="530">
        <f>IFERROR(__xludf.DUMMYFUNCTION("""COMPUTED_VALUE"""),380.0)</f>
        <v>380</v>
      </c>
      <c r="AB388" s="119"/>
      <c r="AC388" s="119"/>
      <c r="AD388" s="119"/>
      <c r="AE388" s="119"/>
      <c r="AF388" s="119"/>
      <c r="AG388" s="555" t="str">
        <f t="shared" si="8"/>
        <v>  ---&gt;     ---&gt;   </v>
      </c>
      <c r="AH388" s="16"/>
      <c r="AI388" s="439"/>
      <c r="AJ388" s="439"/>
      <c r="AK388" s="439"/>
    </row>
    <row r="389" ht="18.75" customHeight="1">
      <c r="A389" s="439"/>
      <c r="B389" s="546"/>
      <c r="C389" s="547"/>
      <c r="D389" s="446">
        <f>IF(C389=0,0,(VLOOKUP(C389,'PO MTRL'!$B$9:$S1518,2,0)))</f>
        <v>0</v>
      </c>
      <c r="E389" s="548" t="str">
        <f>IF(C389="","",(VLOOKUP(C389,'PO MTRL'!$B$9:$S1518,3,0)))</f>
        <v/>
      </c>
      <c r="F389" s="549">
        <f>IF(C389=0,0,(VLOOKUP(C389,'PO MTRL'!$B$9:$S1518,4,0)))</f>
        <v>0</v>
      </c>
      <c r="G389" s="444"/>
      <c r="H389" s="550">
        <f>IF(C389=0,0,(VLOOKUP(C389,'PO MTRL'!$B$9:$S1518,6,0)))</f>
        <v>0</v>
      </c>
      <c r="I389" s="446">
        <f>IF(C389=0,0,(VLOOKUP(C389,'PO MTRL'!$B$9:$S1518,7,0)))</f>
        <v>0</v>
      </c>
      <c r="J389" s="551">
        <f>IF(C389=0,0,(VLOOKUP(C389,'PO MTRL'!$B$9:$S1518,8,0)))</f>
        <v>0</v>
      </c>
      <c r="K389" s="559"/>
      <c r="L389" s="448">
        <f t="shared" si="1"/>
        <v>0</v>
      </c>
      <c r="M389" s="551">
        <f t="shared" si="2"/>
        <v>0</v>
      </c>
      <c r="N389" s="449">
        <f t="shared" si="3"/>
        <v>0</v>
      </c>
      <c r="O389" s="551">
        <f>IF(H389=0,0,(VLOOKUP(H389,'PO MTRL'!$G$9:$S1518,5,0)))</f>
        <v>0</v>
      </c>
      <c r="P389" s="551">
        <f>IF(H389=0,0,(VLOOKUP(H389,'PO MTRL'!$G$9:$S1518,7,0)))</f>
        <v>0</v>
      </c>
      <c r="Q389" s="551">
        <f t="shared" si="4"/>
        <v>0</v>
      </c>
      <c r="R389" s="551">
        <f t="shared" si="5"/>
        <v>0</v>
      </c>
      <c r="S389" s="550">
        <f>IF(C389=0,0,(VLOOKUP(C389,'PO MTRL'!$B$9:$S1518,17,0)))</f>
        <v>0</v>
      </c>
      <c r="T389" s="553"/>
      <c r="U389" s="554">
        <f>IF(C389=0,0,(VLOOKUP(C389,'PO MTRL'!$B$9:$S1518,18,0)))</f>
        <v>0</v>
      </c>
      <c r="V389" s="16"/>
      <c r="W389" s="119" t="str">
        <f t="shared" si="6"/>
        <v/>
      </c>
      <c r="X389" s="564">
        <f t="shared" si="7"/>
        <v>0</v>
      </c>
      <c r="Y389" s="119"/>
      <c r="Z389" s="119"/>
      <c r="AA389" s="530">
        <f>IFERROR(__xludf.DUMMYFUNCTION("""COMPUTED_VALUE"""),381.0)</f>
        <v>381</v>
      </c>
      <c r="AB389" s="119"/>
      <c r="AC389" s="119"/>
      <c r="AD389" s="119"/>
      <c r="AE389" s="119"/>
      <c r="AF389" s="119"/>
      <c r="AG389" s="555" t="str">
        <f t="shared" si="8"/>
        <v>  ---&gt;     ---&gt;   </v>
      </c>
      <c r="AH389" s="16"/>
      <c r="AI389" s="439"/>
      <c r="AJ389" s="439"/>
      <c r="AK389" s="439"/>
    </row>
    <row r="390" ht="18.75" customHeight="1">
      <c r="A390" s="439"/>
      <c r="B390" s="546"/>
      <c r="C390" s="547"/>
      <c r="D390" s="446">
        <f>IF(C390=0,0,(VLOOKUP(C390,'PO MTRL'!$B$9:$S1518,2,0)))</f>
        <v>0</v>
      </c>
      <c r="E390" s="548" t="str">
        <f>IF(C390="","",(VLOOKUP(C390,'PO MTRL'!$B$9:$S1518,3,0)))</f>
        <v/>
      </c>
      <c r="F390" s="549">
        <f>IF(C390=0,0,(VLOOKUP(C390,'PO MTRL'!$B$9:$S1518,4,0)))</f>
        <v>0</v>
      </c>
      <c r="G390" s="444"/>
      <c r="H390" s="550">
        <f>IF(C390=0,0,(VLOOKUP(C390,'PO MTRL'!$B$9:$S1518,6,0)))</f>
        <v>0</v>
      </c>
      <c r="I390" s="446">
        <f>IF(C390=0,0,(VLOOKUP(C390,'PO MTRL'!$B$9:$S1518,7,0)))</f>
        <v>0</v>
      </c>
      <c r="J390" s="551">
        <f>IF(C390=0,0,(VLOOKUP(C390,'PO MTRL'!$B$9:$S1518,8,0)))</f>
        <v>0</v>
      </c>
      <c r="K390" s="559"/>
      <c r="L390" s="448">
        <f t="shared" si="1"/>
        <v>0</v>
      </c>
      <c r="M390" s="551">
        <f t="shared" si="2"/>
        <v>0</v>
      </c>
      <c r="N390" s="449">
        <f t="shared" si="3"/>
        <v>0</v>
      </c>
      <c r="O390" s="551">
        <f>IF(H390=0,0,(VLOOKUP(H390,'PO MTRL'!$G$9:$S1518,5,0)))</f>
        <v>0</v>
      </c>
      <c r="P390" s="551">
        <f>IF(H390=0,0,(VLOOKUP(H390,'PO MTRL'!$G$9:$S1518,7,0)))</f>
        <v>0</v>
      </c>
      <c r="Q390" s="551">
        <f t="shared" si="4"/>
        <v>0</v>
      </c>
      <c r="R390" s="551">
        <f t="shared" si="5"/>
        <v>0</v>
      </c>
      <c r="S390" s="550">
        <f>IF(C390=0,0,(VLOOKUP(C390,'PO MTRL'!$B$9:$S1518,17,0)))</f>
        <v>0</v>
      </c>
      <c r="T390" s="553"/>
      <c r="U390" s="554">
        <f>IF(C390=0,0,(VLOOKUP(C390,'PO MTRL'!$B$9:$S1518,18,0)))</f>
        <v>0</v>
      </c>
      <c r="V390" s="16"/>
      <c r="W390" s="119" t="str">
        <f t="shared" si="6"/>
        <v/>
      </c>
      <c r="X390" s="564">
        <f t="shared" si="7"/>
        <v>0</v>
      </c>
      <c r="Y390" s="119"/>
      <c r="Z390" s="119"/>
      <c r="AA390" s="530">
        <f>IFERROR(__xludf.DUMMYFUNCTION("""COMPUTED_VALUE"""),382.0)</f>
        <v>382</v>
      </c>
      <c r="AB390" s="119"/>
      <c r="AC390" s="119"/>
      <c r="AD390" s="119"/>
      <c r="AE390" s="119"/>
      <c r="AF390" s="119"/>
      <c r="AG390" s="555" t="str">
        <f t="shared" si="8"/>
        <v>  ---&gt;     ---&gt;   </v>
      </c>
      <c r="AH390" s="16"/>
      <c r="AI390" s="439"/>
      <c r="AJ390" s="439"/>
      <c r="AK390" s="439"/>
    </row>
    <row r="391" ht="18.75" customHeight="1">
      <c r="A391" s="439"/>
      <c r="B391" s="546"/>
      <c r="C391" s="547"/>
      <c r="D391" s="446">
        <f>IF(C391=0,0,(VLOOKUP(C391,'PO MTRL'!$B$9:$S1518,2,0)))</f>
        <v>0</v>
      </c>
      <c r="E391" s="548" t="str">
        <f>IF(C391="","",(VLOOKUP(C391,'PO MTRL'!$B$9:$S1518,3,0)))</f>
        <v/>
      </c>
      <c r="F391" s="549">
        <f>IF(C391=0,0,(VLOOKUP(C391,'PO MTRL'!$B$9:$S1518,4,0)))</f>
        <v>0</v>
      </c>
      <c r="G391" s="444"/>
      <c r="H391" s="550">
        <f>IF(C391=0,0,(VLOOKUP(C391,'PO MTRL'!$B$9:$S1518,6,0)))</f>
        <v>0</v>
      </c>
      <c r="I391" s="446">
        <f>IF(C391=0,0,(VLOOKUP(C391,'PO MTRL'!$B$9:$S1518,7,0)))</f>
        <v>0</v>
      </c>
      <c r="J391" s="551">
        <f>IF(C391=0,0,(VLOOKUP(C391,'PO MTRL'!$B$9:$S1518,8,0)))</f>
        <v>0</v>
      </c>
      <c r="K391" s="559"/>
      <c r="L391" s="448">
        <f t="shared" si="1"/>
        <v>0</v>
      </c>
      <c r="M391" s="551">
        <f t="shared" si="2"/>
        <v>0</v>
      </c>
      <c r="N391" s="449">
        <f t="shared" si="3"/>
        <v>0</v>
      </c>
      <c r="O391" s="551">
        <f>IF(H391=0,0,(VLOOKUP(H391,'PO MTRL'!$G$9:$S1518,5,0)))</f>
        <v>0</v>
      </c>
      <c r="P391" s="551">
        <f>IF(H391=0,0,(VLOOKUP(H391,'PO MTRL'!$G$9:$S1518,7,0)))</f>
        <v>0</v>
      </c>
      <c r="Q391" s="551">
        <f t="shared" si="4"/>
        <v>0</v>
      </c>
      <c r="R391" s="551">
        <f t="shared" si="5"/>
        <v>0</v>
      </c>
      <c r="S391" s="550">
        <f>IF(C391=0,0,(VLOOKUP(C391,'PO MTRL'!$B$9:$S1518,17,0)))</f>
        <v>0</v>
      </c>
      <c r="T391" s="553"/>
      <c r="U391" s="554">
        <f>IF(C391=0,0,(VLOOKUP(C391,'PO MTRL'!$B$9:$S1518,18,0)))</f>
        <v>0</v>
      </c>
      <c r="V391" s="16"/>
      <c r="W391" s="119" t="str">
        <f t="shared" si="6"/>
        <v/>
      </c>
      <c r="X391" s="564">
        <f t="shared" si="7"/>
        <v>0</v>
      </c>
      <c r="Y391" s="119"/>
      <c r="Z391" s="119"/>
      <c r="AA391" s="530">
        <f>IFERROR(__xludf.DUMMYFUNCTION("""COMPUTED_VALUE"""),383.0)</f>
        <v>383</v>
      </c>
      <c r="AB391" s="119"/>
      <c r="AC391" s="119"/>
      <c r="AD391" s="119"/>
      <c r="AE391" s="119"/>
      <c r="AF391" s="119"/>
      <c r="AG391" s="555" t="str">
        <f t="shared" si="8"/>
        <v>  ---&gt;     ---&gt;   </v>
      </c>
      <c r="AH391" s="16"/>
      <c r="AI391" s="439"/>
      <c r="AJ391" s="439"/>
      <c r="AK391" s="439"/>
    </row>
    <row r="392" ht="18.75" customHeight="1">
      <c r="A392" s="439"/>
      <c r="B392" s="546"/>
      <c r="C392" s="547"/>
      <c r="D392" s="446">
        <f>IF(C392=0,0,(VLOOKUP(C392,'PO MTRL'!$B$9:$S1518,2,0)))</f>
        <v>0</v>
      </c>
      <c r="E392" s="548" t="str">
        <f>IF(C392="","",(VLOOKUP(C392,'PO MTRL'!$B$9:$S1518,3,0)))</f>
        <v/>
      </c>
      <c r="F392" s="549">
        <f>IF(C392=0,0,(VLOOKUP(C392,'PO MTRL'!$B$9:$S1518,4,0)))</f>
        <v>0</v>
      </c>
      <c r="G392" s="444"/>
      <c r="H392" s="550">
        <f>IF(C392=0,0,(VLOOKUP(C392,'PO MTRL'!$B$9:$S1518,6,0)))</f>
        <v>0</v>
      </c>
      <c r="I392" s="446">
        <f>IF(C392=0,0,(VLOOKUP(C392,'PO MTRL'!$B$9:$S1518,7,0)))</f>
        <v>0</v>
      </c>
      <c r="J392" s="551">
        <f>IF(C392=0,0,(VLOOKUP(C392,'PO MTRL'!$B$9:$S1518,8,0)))</f>
        <v>0</v>
      </c>
      <c r="K392" s="559"/>
      <c r="L392" s="448">
        <f t="shared" si="1"/>
        <v>0</v>
      </c>
      <c r="M392" s="551">
        <f t="shared" si="2"/>
        <v>0</v>
      </c>
      <c r="N392" s="449">
        <f t="shared" si="3"/>
        <v>0</v>
      </c>
      <c r="O392" s="551">
        <f>IF(H392=0,0,(VLOOKUP(H392,'PO MTRL'!$G$9:$S1518,5,0)))</f>
        <v>0</v>
      </c>
      <c r="P392" s="551">
        <f>IF(H392=0,0,(VLOOKUP(H392,'PO MTRL'!$G$9:$S1518,7,0)))</f>
        <v>0</v>
      </c>
      <c r="Q392" s="551">
        <f t="shared" si="4"/>
        <v>0</v>
      </c>
      <c r="R392" s="551">
        <f t="shared" si="5"/>
        <v>0</v>
      </c>
      <c r="S392" s="550">
        <f>IF(C392=0,0,(VLOOKUP(C392,'PO MTRL'!$B$9:$S1518,17,0)))</f>
        <v>0</v>
      </c>
      <c r="T392" s="553"/>
      <c r="U392" s="554">
        <f>IF(C392=0,0,(VLOOKUP(C392,'PO MTRL'!$B$9:$S1518,18,0)))</f>
        <v>0</v>
      </c>
      <c r="V392" s="16"/>
      <c r="W392" s="119" t="str">
        <f t="shared" si="6"/>
        <v/>
      </c>
      <c r="X392" s="564">
        <f t="shared" si="7"/>
        <v>0</v>
      </c>
      <c r="Y392" s="119"/>
      <c r="Z392" s="119"/>
      <c r="AA392" s="530">
        <f>IFERROR(__xludf.DUMMYFUNCTION("""COMPUTED_VALUE"""),384.0)</f>
        <v>384</v>
      </c>
      <c r="AB392" s="119"/>
      <c r="AC392" s="119"/>
      <c r="AD392" s="119"/>
      <c r="AE392" s="119"/>
      <c r="AF392" s="119"/>
      <c r="AG392" s="555" t="str">
        <f t="shared" si="8"/>
        <v>  ---&gt;     ---&gt;   </v>
      </c>
      <c r="AH392" s="16"/>
      <c r="AI392" s="439"/>
      <c r="AJ392" s="439"/>
      <c r="AK392" s="439"/>
    </row>
    <row r="393" ht="18.75" customHeight="1">
      <c r="A393" s="439"/>
      <c r="B393" s="546"/>
      <c r="C393" s="547"/>
      <c r="D393" s="446">
        <f>IF(C393=0,0,(VLOOKUP(C393,'PO MTRL'!$B$9:$S1518,2,0)))</f>
        <v>0</v>
      </c>
      <c r="E393" s="548" t="str">
        <f>IF(C393="","",(VLOOKUP(C393,'PO MTRL'!$B$9:$S1518,3,0)))</f>
        <v/>
      </c>
      <c r="F393" s="549">
        <f>IF(C393=0,0,(VLOOKUP(C393,'PO MTRL'!$B$9:$S1518,4,0)))</f>
        <v>0</v>
      </c>
      <c r="G393" s="444"/>
      <c r="H393" s="550">
        <f>IF(C393=0,0,(VLOOKUP(C393,'PO MTRL'!$B$9:$S1518,6,0)))</f>
        <v>0</v>
      </c>
      <c r="I393" s="446">
        <f>IF(C393=0,0,(VLOOKUP(C393,'PO MTRL'!$B$9:$S1518,7,0)))</f>
        <v>0</v>
      </c>
      <c r="J393" s="551">
        <f>IF(C393=0,0,(VLOOKUP(C393,'PO MTRL'!$B$9:$S1518,8,0)))</f>
        <v>0</v>
      </c>
      <c r="K393" s="559"/>
      <c r="L393" s="448">
        <f t="shared" si="1"/>
        <v>0</v>
      </c>
      <c r="M393" s="551">
        <f t="shared" si="2"/>
        <v>0</v>
      </c>
      <c r="N393" s="449">
        <f t="shared" si="3"/>
        <v>0</v>
      </c>
      <c r="O393" s="551">
        <f>IF(H393=0,0,(VLOOKUP(H393,'PO MTRL'!$G$9:$S1518,5,0)))</f>
        <v>0</v>
      </c>
      <c r="P393" s="551">
        <f>IF(H393=0,0,(VLOOKUP(H393,'PO MTRL'!$G$9:$S1518,7,0)))</f>
        <v>0</v>
      </c>
      <c r="Q393" s="551">
        <f t="shared" si="4"/>
        <v>0</v>
      </c>
      <c r="R393" s="551">
        <f t="shared" si="5"/>
        <v>0</v>
      </c>
      <c r="S393" s="550">
        <f>IF(C393=0,0,(VLOOKUP(C393,'PO MTRL'!$B$9:$S1518,17,0)))</f>
        <v>0</v>
      </c>
      <c r="T393" s="553"/>
      <c r="U393" s="554">
        <f>IF(C393=0,0,(VLOOKUP(C393,'PO MTRL'!$B$9:$S1518,18,0)))</f>
        <v>0</v>
      </c>
      <c r="V393" s="16"/>
      <c r="W393" s="119" t="str">
        <f t="shared" si="6"/>
        <v/>
      </c>
      <c r="X393" s="564">
        <f t="shared" si="7"/>
        <v>0</v>
      </c>
      <c r="Y393" s="119"/>
      <c r="Z393" s="119"/>
      <c r="AA393" s="530">
        <f>IFERROR(__xludf.DUMMYFUNCTION("""COMPUTED_VALUE"""),385.0)</f>
        <v>385</v>
      </c>
      <c r="AB393" s="119"/>
      <c r="AC393" s="119"/>
      <c r="AD393" s="119"/>
      <c r="AE393" s="119"/>
      <c r="AF393" s="119"/>
      <c r="AG393" s="555" t="str">
        <f t="shared" si="8"/>
        <v>  ---&gt;     ---&gt;   </v>
      </c>
      <c r="AH393" s="16"/>
      <c r="AI393" s="439"/>
      <c r="AJ393" s="439"/>
      <c r="AK393" s="439"/>
    </row>
    <row r="394" ht="18.75" customHeight="1">
      <c r="A394" s="439"/>
      <c r="B394" s="546"/>
      <c r="C394" s="547"/>
      <c r="D394" s="446">
        <f>IF(C394=0,0,(VLOOKUP(C394,'PO MTRL'!$B$9:$S1518,2,0)))</f>
        <v>0</v>
      </c>
      <c r="E394" s="548" t="str">
        <f>IF(C394="","",(VLOOKUP(C394,'PO MTRL'!$B$9:$S1518,3,0)))</f>
        <v/>
      </c>
      <c r="F394" s="549">
        <f>IF(C394=0,0,(VLOOKUP(C394,'PO MTRL'!$B$9:$S1518,4,0)))</f>
        <v>0</v>
      </c>
      <c r="G394" s="444"/>
      <c r="H394" s="550">
        <f>IF(C394=0,0,(VLOOKUP(C394,'PO MTRL'!$B$9:$S1518,6,0)))</f>
        <v>0</v>
      </c>
      <c r="I394" s="446">
        <f>IF(C394=0,0,(VLOOKUP(C394,'PO MTRL'!$B$9:$S1518,7,0)))</f>
        <v>0</v>
      </c>
      <c r="J394" s="551">
        <f>IF(C394=0,0,(VLOOKUP(C394,'PO MTRL'!$B$9:$S1518,8,0)))</f>
        <v>0</v>
      </c>
      <c r="K394" s="559"/>
      <c r="L394" s="448">
        <f t="shared" si="1"/>
        <v>0</v>
      </c>
      <c r="M394" s="551">
        <f t="shared" si="2"/>
        <v>0</v>
      </c>
      <c r="N394" s="449">
        <f t="shared" si="3"/>
        <v>0</v>
      </c>
      <c r="O394" s="551">
        <f>IF(H394=0,0,(VLOOKUP(H394,'PO MTRL'!$G$9:$S1518,5,0)))</f>
        <v>0</v>
      </c>
      <c r="P394" s="551">
        <f>IF(H394=0,0,(VLOOKUP(H394,'PO MTRL'!$G$9:$S1518,7,0)))</f>
        <v>0</v>
      </c>
      <c r="Q394" s="551">
        <f t="shared" si="4"/>
        <v>0</v>
      </c>
      <c r="R394" s="551">
        <f t="shared" si="5"/>
        <v>0</v>
      </c>
      <c r="S394" s="550">
        <f>IF(C394=0,0,(VLOOKUP(C394,'PO MTRL'!$B$9:$S1518,17,0)))</f>
        <v>0</v>
      </c>
      <c r="T394" s="553"/>
      <c r="U394" s="554">
        <f>IF(C394=0,0,(VLOOKUP(C394,'PO MTRL'!$B$9:$S1518,18,0)))</f>
        <v>0</v>
      </c>
      <c r="V394" s="16"/>
      <c r="W394" s="119" t="str">
        <f t="shared" si="6"/>
        <v/>
      </c>
      <c r="X394" s="564">
        <f t="shared" si="7"/>
        <v>0</v>
      </c>
      <c r="Y394" s="119"/>
      <c r="Z394" s="119"/>
      <c r="AA394" s="530">
        <f>IFERROR(__xludf.DUMMYFUNCTION("""COMPUTED_VALUE"""),386.0)</f>
        <v>386</v>
      </c>
      <c r="AB394" s="119"/>
      <c r="AC394" s="119"/>
      <c r="AD394" s="119"/>
      <c r="AE394" s="119"/>
      <c r="AF394" s="119"/>
      <c r="AG394" s="555" t="str">
        <f t="shared" si="8"/>
        <v>  ---&gt;     ---&gt;   </v>
      </c>
      <c r="AH394" s="16"/>
      <c r="AI394" s="439"/>
      <c r="AJ394" s="439"/>
      <c r="AK394" s="439"/>
    </row>
    <row r="395" ht="18.75" customHeight="1">
      <c r="A395" s="439"/>
      <c r="B395" s="546"/>
      <c r="C395" s="547"/>
      <c r="D395" s="446">
        <f>IF(C395=0,0,(VLOOKUP(C395,'PO MTRL'!$B$9:$S1518,2,0)))</f>
        <v>0</v>
      </c>
      <c r="E395" s="548" t="str">
        <f>IF(C395="","",(VLOOKUP(C395,'PO MTRL'!$B$9:$S1518,3,0)))</f>
        <v/>
      </c>
      <c r="F395" s="549">
        <f>IF(C395=0,0,(VLOOKUP(C395,'PO MTRL'!$B$9:$S1518,4,0)))</f>
        <v>0</v>
      </c>
      <c r="G395" s="444"/>
      <c r="H395" s="550">
        <f>IF(C395=0,0,(VLOOKUP(C395,'PO MTRL'!$B$9:$S1518,6,0)))</f>
        <v>0</v>
      </c>
      <c r="I395" s="446">
        <f>IF(C395=0,0,(VLOOKUP(C395,'PO MTRL'!$B$9:$S1518,7,0)))</f>
        <v>0</v>
      </c>
      <c r="J395" s="551">
        <f>IF(C395=0,0,(VLOOKUP(C395,'PO MTRL'!$B$9:$S1518,8,0)))</f>
        <v>0</v>
      </c>
      <c r="K395" s="559"/>
      <c r="L395" s="448">
        <f t="shared" si="1"/>
        <v>0</v>
      </c>
      <c r="M395" s="551">
        <f t="shared" si="2"/>
        <v>0</v>
      </c>
      <c r="N395" s="449">
        <f t="shared" si="3"/>
        <v>0</v>
      </c>
      <c r="O395" s="551">
        <f>IF(H395=0,0,(VLOOKUP(H395,'PO MTRL'!$G$9:$S1518,5,0)))</f>
        <v>0</v>
      </c>
      <c r="P395" s="551">
        <f>IF(H395=0,0,(VLOOKUP(H395,'PO MTRL'!$G$9:$S1518,7,0)))</f>
        <v>0</v>
      </c>
      <c r="Q395" s="551">
        <f t="shared" si="4"/>
        <v>0</v>
      </c>
      <c r="R395" s="551">
        <f t="shared" si="5"/>
        <v>0</v>
      </c>
      <c r="S395" s="550">
        <f>IF(C395=0,0,(VLOOKUP(C395,'PO MTRL'!$B$9:$S1518,17,0)))</f>
        <v>0</v>
      </c>
      <c r="T395" s="553"/>
      <c r="U395" s="554">
        <f>IF(C395=0,0,(VLOOKUP(C395,'PO MTRL'!$B$9:$S1518,18,0)))</f>
        <v>0</v>
      </c>
      <c r="V395" s="16"/>
      <c r="W395" s="119" t="str">
        <f t="shared" si="6"/>
        <v/>
      </c>
      <c r="X395" s="564">
        <f t="shared" si="7"/>
        <v>0</v>
      </c>
      <c r="Y395" s="119"/>
      <c r="Z395" s="119"/>
      <c r="AA395" s="530">
        <f>IFERROR(__xludf.DUMMYFUNCTION("""COMPUTED_VALUE"""),387.0)</f>
        <v>387</v>
      </c>
      <c r="AB395" s="119"/>
      <c r="AC395" s="119"/>
      <c r="AD395" s="119"/>
      <c r="AE395" s="119"/>
      <c r="AF395" s="119"/>
      <c r="AG395" s="555" t="str">
        <f t="shared" si="8"/>
        <v>  ---&gt;     ---&gt;   </v>
      </c>
      <c r="AH395" s="16"/>
      <c r="AI395" s="439"/>
      <c r="AJ395" s="439"/>
      <c r="AK395" s="439"/>
    </row>
    <row r="396" ht="18.75" customHeight="1">
      <c r="A396" s="439"/>
      <c r="B396" s="546"/>
      <c r="C396" s="547"/>
      <c r="D396" s="446">
        <f>IF(C396=0,0,(VLOOKUP(C396,'PO MTRL'!$B$9:$S1518,2,0)))</f>
        <v>0</v>
      </c>
      <c r="E396" s="548" t="str">
        <f>IF(C396="","",(VLOOKUP(C396,'PO MTRL'!$B$9:$S1518,3,0)))</f>
        <v/>
      </c>
      <c r="F396" s="549">
        <f>IF(C396=0,0,(VLOOKUP(C396,'PO MTRL'!$B$9:$S1518,4,0)))</f>
        <v>0</v>
      </c>
      <c r="G396" s="444"/>
      <c r="H396" s="550">
        <f>IF(C396=0,0,(VLOOKUP(C396,'PO MTRL'!$B$9:$S1518,6,0)))</f>
        <v>0</v>
      </c>
      <c r="I396" s="446">
        <f>IF(C396=0,0,(VLOOKUP(C396,'PO MTRL'!$B$9:$S1518,7,0)))</f>
        <v>0</v>
      </c>
      <c r="J396" s="551">
        <f>IF(C396=0,0,(VLOOKUP(C396,'PO MTRL'!$B$9:$S1518,8,0)))</f>
        <v>0</v>
      </c>
      <c r="K396" s="559"/>
      <c r="L396" s="448">
        <f t="shared" si="1"/>
        <v>0</v>
      </c>
      <c r="M396" s="551">
        <f t="shared" si="2"/>
        <v>0</v>
      </c>
      <c r="N396" s="449">
        <f t="shared" si="3"/>
        <v>0</v>
      </c>
      <c r="O396" s="551">
        <f>IF(H396=0,0,(VLOOKUP(H396,'PO MTRL'!$G$9:$S1518,5,0)))</f>
        <v>0</v>
      </c>
      <c r="P396" s="551">
        <f>IF(H396=0,0,(VLOOKUP(H396,'PO MTRL'!$G$9:$S1518,7,0)))</f>
        <v>0</v>
      </c>
      <c r="Q396" s="551">
        <f t="shared" si="4"/>
        <v>0</v>
      </c>
      <c r="R396" s="551">
        <f t="shared" si="5"/>
        <v>0</v>
      </c>
      <c r="S396" s="550">
        <f>IF(C396=0,0,(VLOOKUP(C396,'PO MTRL'!$B$9:$S1518,17,0)))</f>
        <v>0</v>
      </c>
      <c r="T396" s="553"/>
      <c r="U396" s="554">
        <f>IF(C396=0,0,(VLOOKUP(C396,'PO MTRL'!$B$9:$S1518,18,0)))</f>
        <v>0</v>
      </c>
      <c r="V396" s="16"/>
      <c r="W396" s="119" t="str">
        <f t="shared" si="6"/>
        <v/>
      </c>
      <c r="X396" s="564">
        <f t="shared" si="7"/>
        <v>0</v>
      </c>
      <c r="Y396" s="119"/>
      <c r="Z396" s="119"/>
      <c r="AA396" s="530">
        <f>IFERROR(__xludf.DUMMYFUNCTION("""COMPUTED_VALUE"""),388.0)</f>
        <v>388</v>
      </c>
      <c r="AB396" s="119"/>
      <c r="AC396" s="119"/>
      <c r="AD396" s="119"/>
      <c r="AE396" s="119"/>
      <c r="AF396" s="119"/>
      <c r="AG396" s="555" t="str">
        <f t="shared" si="8"/>
        <v>  ---&gt;     ---&gt;   </v>
      </c>
      <c r="AH396" s="16"/>
      <c r="AI396" s="439"/>
      <c r="AJ396" s="439"/>
      <c r="AK396" s="439"/>
    </row>
    <row r="397" ht="18.75" customHeight="1">
      <c r="A397" s="439"/>
      <c r="B397" s="546"/>
      <c r="C397" s="547"/>
      <c r="D397" s="446">
        <f>IF(C397=0,0,(VLOOKUP(C397,'PO MTRL'!$B$9:$S1518,2,0)))</f>
        <v>0</v>
      </c>
      <c r="E397" s="548" t="str">
        <f>IF(C397="","",(VLOOKUP(C397,'PO MTRL'!$B$9:$S1518,3,0)))</f>
        <v/>
      </c>
      <c r="F397" s="549">
        <f>IF(C397=0,0,(VLOOKUP(C397,'PO MTRL'!$B$9:$S1518,4,0)))</f>
        <v>0</v>
      </c>
      <c r="G397" s="444"/>
      <c r="H397" s="550">
        <f>IF(C397=0,0,(VLOOKUP(C397,'PO MTRL'!$B$9:$S1518,6,0)))</f>
        <v>0</v>
      </c>
      <c r="I397" s="446">
        <f>IF(C397=0,0,(VLOOKUP(C397,'PO MTRL'!$B$9:$S1518,7,0)))</f>
        <v>0</v>
      </c>
      <c r="J397" s="551">
        <f>IF(C397=0,0,(VLOOKUP(C397,'PO MTRL'!$B$9:$S1518,8,0)))</f>
        <v>0</v>
      </c>
      <c r="K397" s="559"/>
      <c r="L397" s="448">
        <f t="shared" si="1"/>
        <v>0</v>
      </c>
      <c r="M397" s="551">
        <f t="shared" si="2"/>
        <v>0</v>
      </c>
      <c r="N397" s="449">
        <f t="shared" si="3"/>
        <v>0</v>
      </c>
      <c r="O397" s="551">
        <f>IF(H397=0,0,(VLOOKUP(H397,'PO MTRL'!$G$9:$S1518,5,0)))</f>
        <v>0</v>
      </c>
      <c r="P397" s="551">
        <f>IF(H397=0,0,(VLOOKUP(H397,'PO MTRL'!$G$9:$S1518,7,0)))</f>
        <v>0</v>
      </c>
      <c r="Q397" s="551">
        <f t="shared" si="4"/>
        <v>0</v>
      </c>
      <c r="R397" s="551">
        <f t="shared" si="5"/>
        <v>0</v>
      </c>
      <c r="S397" s="550">
        <f>IF(C397=0,0,(VLOOKUP(C397,'PO MTRL'!$B$9:$S1518,17,0)))</f>
        <v>0</v>
      </c>
      <c r="T397" s="553"/>
      <c r="U397" s="554">
        <f>IF(C397=0,0,(VLOOKUP(C397,'PO MTRL'!$B$9:$S1518,18,0)))</f>
        <v>0</v>
      </c>
      <c r="V397" s="16"/>
      <c r="W397" s="119" t="str">
        <f t="shared" si="6"/>
        <v/>
      </c>
      <c r="X397" s="564">
        <f t="shared" si="7"/>
        <v>0</v>
      </c>
      <c r="Y397" s="119"/>
      <c r="Z397" s="119"/>
      <c r="AA397" s="530">
        <f>IFERROR(__xludf.DUMMYFUNCTION("""COMPUTED_VALUE"""),389.0)</f>
        <v>389</v>
      </c>
      <c r="AB397" s="119"/>
      <c r="AC397" s="119"/>
      <c r="AD397" s="119"/>
      <c r="AE397" s="119"/>
      <c r="AF397" s="119"/>
      <c r="AG397" s="555" t="str">
        <f t="shared" si="8"/>
        <v>  ---&gt;     ---&gt;   </v>
      </c>
      <c r="AH397" s="16"/>
      <c r="AI397" s="439"/>
      <c r="AJ397" s="439"/>
      <c r="AK397" s="439"/>
    </row>
    <row r="398" ht="18.75" customHeight="1">
      <c r="A398" s="439"/>
      <c r="B398" s="546"/>
      <c r="C398" s="547"/>
      <c r="D398" s="446">
        <f>IF(C398=0,0,(VLOOKUP(C398,'PO MTRL'!$B$9:$S1518,2,0)))</f>
        <v>0</v>
      </c>
      <c r="E398" s="548" t="str">
        <f>IF(C398="","",(VLOOKUP(C398,'PO MTRL'!$B$9:$S1518,3,0)))</f>
        <v/>
      </c>
      <c r="F398" s="549">
        <f>IF(C398=0,0,(VLOOKUP(C398,'PO MTRL'!$B$9:$S1518,4,0)))</f>
        <v>0</v>
      </c>
      <c r="G398" s="444"/>
      <c r="H398" s="550">
        <f>IF(C398=0,0,(VLOOKUP(C398,'PO MTRL'!$B$9:$S1518,6,0)))</f>
        <v>0</v>
      </c>
      <c r="I398" s="446">
        <f>IF(C398=0,0,(VLOOKUP(C398,'PO MTRL'!$B$9:$S1518,7,0)))</f>
        <v>0</v>
      </c>
      <c r="J398" s="551">
        <f>IF(C398=0,0,(VLOOKUP(C398,'PO MTRL'!$B$9:$S1518,8,0)))</f>
        <v>0</v>
      </c>
      <c r="K398" s="559"/>
      <c r="L398" s="448">
        <f t="shared" si="1"/>
        <v>0</v>
      </c>
      <c r="M398" s="551">
        <f t="shared" si="2"/>
        <v>0</v>
      </c>
      <c r="N398" s="449">
        <f t="shared" si="3"/>
        <v>0</v>
      </c>
      <c r="O398" s="551">
        <f>IF(H398=0,0,(VLOOKUP(H398,'PO MTRL'!$G$9:$S1518,5,0)))</f>
        <v>0</v>
      </c>
      <c r="P398" s="551">
        <f>IF(H398=0,0,(VLOOKUP(H398,'PO MTRL'!$G$9:$S1518,7,0)))</f>
        <v>0</v>
      </c>
      <c r="Q398" s="551">
        <f t="shared" si="4"/>
        <v>0</v>
      </c>
      <c r="R398" s="551">
        <f t="shared" si="5"/>
        <v>0</v>
      </c>
      <c r="S398" s="550">
        <f>IF(C398=0,0,(VLOOKUP(C398,'PO MTRL'!$B$9:$S1518,17,0)))</f>
        <v>0</v>
      </c>
      <c r="T398" s="553"/>
      <c r="U398" s="554">
        <f>IF(C398=0,0,(VLOOKUP(C398,'PO MTRL'!$B$9:$S1518,18,0)))</f>
        <v>0</v>
      </c>
      <c r="V398" s="16"/>
      <c r="W398" s="119" t="str">
        <f t="shared" si="6"/>
        <v/>
      </c>
      <c r="X398" s="564">
        <f t="shared" si="7"/>
        <v>0</v>
      </c>
      <c r="Y398" s="119"/>
      <c r="Z398" s="119"/>
      <c r="AA398" s="530">
        <f>IFERROR(__xludf.DUMMYFUNCTION("""COMPUTED_VALUE"""),390.0)</f>
        <v>390</v>
      </c>
      <c r="AB398" s="119"/>
      <c r="AC398" s="119"/>
      <c r="AD398" s="119"/>
      <c r="AE398" s="119"/>
      <c r="AF398" s="119"/>
      <c r="AG398" s="555" t="str">
        <f t="shared" si="8"/>
        <v>  ---&gt;     ---&gt;   </v>
      </c>
      <c r="AH398" s="16"/>
      <c r="AI398" s="439"/>
      <c r="AJ398" s="439"/>
      <c r="AK398" s="439"/>
    </row>
    <row r="399" ht="18.75" customHeight="1">
      <c r="A399" s="439"/>
      <c r="B399" s="546"/>
      <c r="C399" s="547"/>
      <c r="D399" s="446">
        <f>IF(C399=0,0,(VLOOKUP(C399,'PO MTRL'!$B$9:$S1518,2,0)))</f>
        <v>0</v>
      </c>
      <c r="E399" s="548" t="str">
        <f>IF(C399="","",(VLOOKUP(C399,'PO MTRL'!$B$9:$S1518,3,0)))</f>
        <v/>
      </c>
      <c r="F399" s="549">
        <f>IF(C399=0,0,(VLOOKUP(C399,'PO MTRL'!$B$9:$S1518,4,0)))</f>
        <v>0</v>
      </c>
      <c r="G399" s="444"/>
      <c r="H399" s="550">
        <f>IF(C399=0,0,(VLOOKUP(C399,'PO MTRL'!$B$9:$S1518,6,0)))</f>
        <v>0</v>
      </c>
      <c r="I399" s="446">
        <f>IF(C399=0,0,(VLOOKUP(C399,'PO MTRL'!$B$9:$S1518,7,0)))</f>
        <v>0</v>
      </c>
      <c r="J399" s="551">
        <f>IF(C399=0,0,(VLOOKUP(C399,'PO MTRL'!$B$9:$S1518,8,0)))</f>
        <v>0</v>
      </c>
      <c r="K399" s="559"/>
      <c r="L399" s="448">
        <f t="shared" si="1"/>
        <v>0</v>
      </c>
      <c r="M399" s="551">
        <f t="shared" si="2"/>
        <v>0</v>
      </c>
      <c r="N399" s="449">
        <f t="shared" si="3"/>
        <v>0</v>
      </c>
      <c r="O399" s="551">
        <f>IF(H399=0,0,(VLOOKUP(H399,'PO MTRL'!$G$9:$S1518,5,0)))</f>
        <v>0</v>
      </c>
      <c r="P399" s="551">
        <f>IF(H399=0,0,(VLOOKUP(H399,'PO MTRL'!$G$9:$S1518,7,0)))</f>
        <v>0</v>
      </c>
      <c r="Q399" s="551">
        <f t="shared" si="4"/>
        <v>0</v>
      </c>
      <c r="R399" s="551">
        <f t="shared" si="5"/>
        <v>0</v>
      </c>
      <c r="S399" s="550">
        <f>IF(C399=0,0,(VLOOKUP(C399,'PO MTRL'!$B$9:$S1518,17,0)))</f>
        <v>0</v>
      </c>
      <c r="T399" s="553"/>
      <c r="U399" s="554">
        <f>IF(C399=0,0,(VLOOKUP(C399,'PO MTRL'!$B$9:$S1518,18,0)))</f>
        <v>0</v>
      </c>
      <c r="V399" s="16"/>
      <c r="W399" s="119" t="str">
        <f t="shared" si="6"/>
        <v/>
      </c>
      <c r="X399" s="564">
        <f t="shared" si="7"/>
        <v>0</v>
      </c>
      <c r="Y399" s="119"/>
      <c r="Z399" s="119"/>
      <c r="AA399" s="530">
        <f>IFERROR(__xludf.DUMMYFUNCTION("""COMPUTED_VALUE"""),391.0)</f>
        <v>391</v>
      </c>
      <c r="AB399" s="119"/>
      <c r="AC399" s="119"/>
      <c r="AD399" s="119"/>
      <c r="AE399" s="119"/>
      <c r="AF399" s="119"/>
      <c r="AG399" s="555" t="str">
        <f t="shared" si="8"/>
        <v>  ---&gt;     ---&gt;   </v>
      </c>
      <c r="AH399" s="16"/>
      <c r="AI399" s="439"/>
      <c r="AJ399" s="439"/>
      <c r="AK399" s="439"/>
    </row>
    <row r="400" ht="18.75" customHeight="1">
      <c r="A400" s="439"/>
      <c r="B400" s="546"/>
      <c r="C400" s="547"/>
      <c r="D400" s="446">
        <f>IF(C400=0,0,(VLOOKUP(C400,'PO MTRL'!$B$9:$S1518,2,0)))</f>
        <v>0</v>
      </c>
      <c r="E400" s="548" t="str">
        <f>IF(C400="","",(VLOOKUP(C400,'PO MTRL'!$B$9:$S1518,3,0)))</f>
        <v/>
      </c>
      <c r="F400" s="549">
        <f>IF(C400=0,0,(VLOOKUP(C400,'PO MTRL'!$B$9:$S1518,4,0)))</f>
        <v>0</v>
      </c>
      <c r="G400" s="444"/>
      <c r="H400" s="550">
        <f>IF(C400=0,0,(VLOOKUP(C400,'PO MTRL'!$B$9:$S1518,6,0)))</f>
        <v>0</v>
      </c>
      <c r="I400" s="446">
        <f>IF(C400=0,0,(VLOOKUP(C400,'PO MTRL'!$B$9:$S1518,7,0)))</f>
        <v>0</v>
      </c>
      <c r="J400" s="551">
        <f>IF(C400=0,0,(VLOOKUP(C400,'PO MTRL'!$B$9:$S1518,8,0)))</f>
        <v>0</v>
      </c>
      <c r="K400" s="559"/>
      <c r="L400" s="448">
        <f t="shared" si="1"/>
        <v>0</v>
      </c>
      <c r="M400" s="551">
        <f t="shared" si="2"/>
        <v>0</v>
      </c>
      <c r="N400" s="449">
        <f t="shared" si="3"/>
        <v>0</v>
      </c>
      <c r="O400" s="551">
        <f>IF(H400=0,0,(VLOOKUP(H400,'PO MTRL'!$G$9:$S1518,5,0)))</f>
        <v>0</v>
      </c>
      <c r="P400" s="551">
        <f>IF(H400=0,0,(VLOOKUP(H400,'PO MTRL'!$G$9:$S1518,7,0)))</f>
        <v>0</v>
      </c>
      <c r="Q400" s="551">
        <f t="shared" si="4"/>
        <v>0</v>
      </c>
      <c r="R400" s="551">
        <f t="shared" si="5"/>
        <v>0</v>
      </c>
      <c r="S400" s="550">
        <f>IF(C400=0,0,(VLOOKUP(C400,'PO MTRL'!$B$9:$S1518,17,0)))</f>
        <v>0</v>
      </c>
      <c r="T400" s="553"/>
      <c r="U400" s="554">
        <f>IF(C400=0,0,(VLOOKUP(C400,'PO MTRL'!$B$9:$S1518,18,0)))</f>
        <v>0</v>
      </c>
      <c r="V400" s="16"/>
      <c r="W400" s="119" t="str">
        <f t="shared" si="6"/>
        <v/>
      </c>
      <c r="X400" s="564">
        <f t="shared" si="7"/>
        <v>0</v>
      </c>
      <c r="Y400" s="119"/>
      <c r="Z400" s="119"/>
      <c r="AA400" s="530">
        <f>IFERROR(__xludf.DUMMYFUNCTION("""COMPUTED_VALUE"""),392.0)</f>
        <v>392</v>
      </c>
      <c r="AB400" s="119"/>
      <c r="AC400" s="119"/>
      <c r="AD400" s="119"/>
      <c r="AE400" s="119"/>
      <c r="AF400" s="119"/>
      <c r="AG400" s="555" t="str">
        <f t="shared" si="8"/>
        <v>  ---&gt;     ---&gt;   </v>
      </c>
      <c r="AH400" s="16"/>
      <c r="AI400" s="439"/>
      <c r="AJ400" s="439"/>
      <c r="AK400" s="439"/>
    </row>
    <row r="401" ht="18.75" customHeight="1">
      <c r="A401" s="439"/>
      <c r="B401" s="546"/>
      <c r="C401" s="547"/>
      <c r="D401" s="446">
        <f>IF(C401=0,0,(VLOOKUP(C401,'PO MTRL'!$B$9:$S1518,2,0)))</f>
        <v>0</v>
      </c>
      <c r="E401" s="548" t="str">
        <f>IF(C401="","",(VLOOKUP(C401,'PO MTRL'!$B$9:$S1518,3,0)))</f>
        <v/>
      </c>
      <c r="F401" s="549">
        <f>IF(C401=0,0,(VLOOKUP(C401,'PO MTRL'!$B$9:$S1518,4,0)))</f>
        <v>0</v>
      </c>
      <c r="G401" s="444"/>
      <c r="H401" s="550">
        <f>IF(C401=0,0,(VLOOKUP(C401,'PO MTRL'!$B$9:$S1518,6,0)))</f>
        <v>0</v>
      </c>
      <c r="I401" s="446">
        <f>IF(C401=0,0,(VLOOKUP(C401,'PO MTRL'!$B$9:$S1518,7,0)))</f>
        <v>0</v>
      </c>
      <c r="J401" s="551">
        <f>IF(C401=0,0,(VLOOKUP(C401,'PO MTRL'!$B$9:$S1518,8,0)))</f>
        <v>0</v>
      </c>
      <c r="K401" s="559"/>
      <c r="L401" s="448">
        <f t="shared" si="1"/>
        <v>0</v>
      </c>
      <c r="M401" s="551">
        <f t="shared" si="2"/>
        <v>0</v>
      </c>
      <c r="N401" s="449">
        <f t="shared" si="3"/>
        <v>0</v>
      </c>
      <c r="O401" s="551">
        <f>IF(H401=0,0,(VLOOKUP(H401,'PO MTRL'!$G$9:$S1518,5,0)))</f>
        <v>0</v>
      </c>
      <c r="P401" s="551">
        <f>IF(H401=0,0,(VLOOKUP(H401,'PO MTRL'!$G$9:$S1518,7,0)))</f>
        <v>0</v>
      </c>
      <c r="Q401" s="551">
        <f t="shared" si="4"/>
        <v>0</v>
      </c>
      <c r="R401" s="551">
        <f t="shared" si="5"/>
        <v>0</v>
      </c>
      <c r="S401" s="550">
        <f>IF(C401=0,0,(VLOOKUP(C401,'PO MTRL'!$B$9:$S1518,17,0)))</f>
        <v>0</v>
      </c>
      <c r="T401" s="553"/>
      <c r="U401" s="554">
        <f>IF(C401=0,0,(VLOOKUP(C401,'PO MTRL'!$B$9:$S1518,18,0)))</f>
        <v>0</v>
      </c>
      <c r="V401" s="16"/>
      <c r="W401" s="119" t="str">
        <f t="shared" si="6"/>
        <v/>
      </c>
      <c r="X401" s="564">
        <f t="shared" si="7"/>
        <v>0</v>
      </c>
      <c r="Y401" s="119"/>
      <c r="Z401" s="119"/>
      <c r="AA401" s="530">
        <f>IFERROR(__xludf.DUMMYFUNCTION("""COMPUTED_VALUE"""),393.0)</f>
        <v>393</v>
      </c>
      <c r="AB401" s="119"/>
      <c r="AC401" s="119"/>
      <c r="AD401" s="119"/>
      <c r="AE401" s="119"/>
      <c r="AF401" s="119"/>
      <c r="AG401" s="555" t="str">
        <f t="shared" si="8"/>
        <v>  ---&gt;     ---&gt;   </v>
      </c>
      <c r="AH401" s="16"/>
      <c r="AI401" s="439"/>
      <c r="AJ401" s="439"/>
      <c r="AK401" s="439"/>
    </row>
    <row r="402" ht="18.75" customHeight="1">
      <c r="A402" s="439"/>
      <c r="B402" s="546"/>
      <c r="C402" s="547"/>
      <c r="D402" s="446">
        <f>IF(C402=0,0,(VLOOKUP(C402,'PO MTRL'!$B$9:$S1518,2,0)))</f>
        <v>0</v>
      </c>
      <c r="E402" s="548" t="str">
        <f>IF(C402="","",(VLOOKUP(C402,'PO MTRL'!$B$9:$S1518,3,0)))</f>
        <v/>
      </c>
      <c r="F402" s="549">
        <f>IF(C402=0,0,(VLOOKUP(C402,'PO MTRL'!$B$9:$S1518,4,0)))</f>
        <v>0</v>
      </c>
      <c r="G402" s="444"/>
      <c r="H402" s="550">
        <f>IF(C402=0,0,(VLOOKUP(C402,'PO MTRL'!$B$9:$S1518,6,0)))</f>
        <v>0</v>
      </c>
      <c r="I402" s="446">
        <f>IF(C402=0,0,(VLOOKUP(C402,'PO MTRL'!$B$9:$S1518,7,0)))</f>
        <v>0</v>
      </c>
      <c r="J402" s="551">
        <f>IF(C402=0,0,(VLOOKUP(C402,'PO MTRL'!$B$9:$S1518,8,0)))</f>
        <v>0</v>
      </c>
      <c r="K402" s="559"/>
      <c r="L402" s="448">
        <f t="shared" si="1"/>
        <v>0</v>
      </c>
      <c r="M402" s="551">
        <f t="shared" si="2"/>
        <v>0</v>
      </c>
      <c r="N402" s="449">
        <f t="shared" si="3"/>
        <v>0</v>
      </c>
      <c r="O402" s="551">
        <f>IF(H402=0,0,(VLOOKUP(H402,'PO MTRL'!$G$9:$S1518,5,0)))</f>
        <v>0</v>
      </c>
      <c r="P402" s="551">
        <f>IF(H402=0,0,(VLOOKUP(H402,'PO MTRL'!$G$9:$S1518,7,0)))</f>
        <v>0</v>
      </c>
      <c r="Q402" s="551">
        <f t="shared" si="4"/>
        <v>0</v>
      </c>
      <c r="R402" s="551">
        <f t="shared" si="5"/>
        <v>0</v>
      </c>
      <c r="S402" s="550">
        <f>IF(C402=0,0,(VLOOKUP(C402,'PO MTRL'!$B$9:$S1518,17,0)))</f>
        <v>0</v>
      </c>
      <c r="T402" s="553"/>
      <c r="U402" s="554">
        <f>IF(C402=0,0,(VLOOKUP(C402,'PO MTRL'!$B$9:$S1518,18,0)))</f>
        <v>0</v>
      </c>
      <c r="V402" s="16"/>
      <c r="W402" s="119" t="str">
        <f t="shared" si="6"/>
        <v/>
      </c>
      <c r="X402" s="564">
        <f t="shared" si="7"/>
        <v>0</v>
      </c>
      <c r="Y402" s="119"/>
      <c r="Z402" s="119"/>
      <c r="AA402" s="530">
        <f>IFERROR(__xludf.DUMMYFUNCTION("""COMPUTED_VALUE"""),394.0)</f>
        <v>394</v>
      </c>
      <c r="AB402" s="119"/>
      <c r="AC402" s="119"/>
      <c r="AD402" s="119"/>
      <c r="AE402" s="119"/>
      <c r="AF402" s="119"/>
      <c r="AG402" s="555" t="str">
        <f t="shared" si="8"/>
        <v>  ---&gt;     ---&gt;   </v>
      </c>
      <c r="AH402" s="16"/>
      <c r="AI402" s="439"/>
      <c r="AJ402" s="439"/>
      <c r="AK402" s="439"/>
    </row>
    <row r="403" ht="18.75" customHeight="1">
      <c r="A403" s="439"/>
      <c r="B403" s="546"/>
      <c r="C403" s="547"/>
      <c r="D403" s="446">
        <f>IF(C403=0,0,(VLOOKUP(C403,'PO MTRL'!$B$9:$S1518,2,0)))</f>
        <v>0</v>
      </c>
      <c r="E403" s="548" t="str">
        <f>IF(C403="","",(VLOOKUP(C403,'PO MTRL'!$B$9:$S1518,3,0)))</f>
        <v/>
      </c>
      <c r="F403" s="549">
        <f>IF(C403=0,0,(VLOOKUP(C403,'PO MTRL'!$B$9:$S1518,4,0)))</f>
        <v>0</v>
      </c>
      <c r="G403" s="444"/>
      <c r="H403" s="550">
        <f>IF(C403=0,0,(VLOOKUP(C403,'PO MTRL'!$B$9:$S1518,6,0)))</f>
        <v>0</v>
      </c>
      <c r="I403" s="446">
        <f>IF(C403=0,0,(VLOOKUP(C403,'PO MTRL'!$B$9:$S1518,7,0)))</f>
        <v>0</v>
      </c>
      <c r="J403" s="551">
        <f>IF(C403=0,0,(VLOOKUP(C403,'PO MTRL'!$B$9:$S1518,8,0)))</f>
        <v>0</v>
      </c>
      <c r="K403" s="559"/>
      <c r="L403" s="448">
        <f t="shared" si="1"/>
        <v>0</v>
      </c>
      <c r="M403" s="551">
        <f t="shared" si="2"/>
        <v>0</v>
      </c>
      <c r="N403" s="449">
        <f t="shared" si="3"/>
        <v>0</v>
      </c>
      <c r="O403" s="551">
        <f>IF(H403=0,0,(VLOOKUP(H403,'PO MTRL'!$G$9:$S1518,5,0)))</f>
        <v>0</v>
      </c>
      <c r="P403" s="551">
        <f>IF(H403=0,0,(VLOOKUP(H403,'PO MTRL'!$G$9:$S1518,7,0)))</f>
        <v>0</v>
      </c>
      <c r="Q403" s="551">
        <f t="shared" si="4"/>
        <v>0</v>
      </c>
      <c r="R403" s="551">
        <f t="shared" si="5"/>
        <v>0</v>
      </c>
      <c r="S403" s="550">
        <f>IF(C403=0,0,(VLOOKUP(C403,'PO MTRL'!$B$9:$S1518,17,0)))</f>
        <v>0</v>
      </c>
      <c r="T403" s="553"/>
      <c r="U403" s="554">
        <f>IF(C403=0,0,(VLOOKUP(C403,'PO MTRL'!$B$9:$S1518,18,0)))</f>
        <v>0</v>
      </c>
      <c r="V403" s="16"/>
      <c r="W403" s="119" t="str">
        <f t="shared" si="6"/>
        <v/>
      </c>
      <c r="X403" s="564">
        <f t="shared" si="7"/>
        <v>0</v>
      </c>
      <c r="Y403" s="119"/>
      <c r="Z403" s="119"/>
      <c r="AA403" s="530">
        <f>IFERROR(__xludf.DUMMYFUNCTION("""COMPUTED_VALUE"""),395.0)</f>
        <v>395</v>
      </c>
      <c r="AB403" s="119"/>
      <c r="AC403" s="119"/>
      <c r="AD403" s="119"/>
      <c r="AE403" s="119"/>
      <c r="AF403" s="119"/>
      <c r="AG403" s="555" t="str">
        <f t="shared" si="8"/>
        <v>  ---&gt;     ---&gt;   </v>
      </c>
      <c r="AH403" s="16"/>
      <c r="AI403" s="439"/>
      <c r="AJ403" s="439"/>
      <c r="AK403" s="439"/>
    </row>
    <row r="404" ht="18.75" customHeight="1">
      <c r="A404" s="439"/>
      <c r="B404" s="546"/>
      <c r="C404" s="547"/>
      <c r="D404" s="446">
        <f>IF(C404=0,0,(VLOOKUP(C404,'PO MTRL'!$B$9:$S1518,2,0)))</f>
        <v>0</v>
      </c>
      <c r="E404" s="548" t="str">
        <f>IF(C404="","",(VLOOKUP(C404,'PO MTRL'!$B$9:$S1518,3,0)))</f>
        <v/>
      </c>
      <c r="F404" s="549">
        <f>IF(C404=0,0,(VLOOKUP(C404,'PO MTRL'!$B$9:$S1518,4,0)))</f>
        <v>0</v>
      </c>
      <c r="G404" s="444"/>
      <c r="H404" s="550">
        <f>IF(C404=0,0,(VLOOKUP(C404,'PO MTRL'!$B$9:$S1518,6,0)))</f>
        <v>0</v>
      </c>
      <c r="I404" s="446">
        <f>IF(C404=0,0,(VLOOKUP(C404,'PO MTRL'!$B$9:$S1518,7,0)))</f>
        <v>0</v>
      </c>
      <c r="J404" s="551">
        <f>IF(C404=0,0,(VLOOKUP(C404,'PO MTRL'!$B$9:$S1518,8,0)))</f>
        <v>0</v>
      </c>
      <c r="K404" s="559"/>
      <c r="L404" s="448">
        <f t="shared" si="1"/>
        <v>0</v>
      </c>
      <c r="M404" s="551">
        <f t="shared" si="2"/>
        <v>0</v>
      </c>
      <c r="N404" s="449">
        <f t="shared" si="3"/>
        <v>0</v>
      </c>
      <c r="O404" s="551">
        <f>IF(H404=0,0,(VLOOKUP(H404,'PO MTRL'!$G$9:$S1518,5,0)))</f>
        <v>0</v>
      </c>
      <c r="P404" s="551">
        <f>IF(H404=0,0,(VLOOKUP(H404,'PO MTRL'!$G$9:$S1518,7,0)))</f>
        <v>0</v>
      </c>
      <c r="Q404" s="551">
        <f t="shared" si="4"/>
        <v>0</v>
      </c>
      <c r="R404" s="551">
        <f t="shared" si="5"/>
        <v>0</v>
      </c>
      <c r="S404" s="550">
        <f>IF(C404=0,0,(VLOOKUP(C404,'PO MTRL'!$B$9:$S1518,17,0)))</f>
        <v>0</v>
      </c>
      <c r="T404" s="553"/>
      <c r="U404" s="554">
        <f>IF(C404=0,0,(VLOOKUP(C404,'PO MTRL'!$B$9:$S1518,18,0)))</f>
        <v>0</v>
      </c>
      <c r="V404" s="16"/>
      <c r="W404" s="119" t="str">
        <f t="shared" si="6"/>
        <v/>
      </c>
      <c r="X404" s="564">
        <f t="shared" si="7"/>
        <v>0</v>
      </c>
      <c r="Y404" s="119"/>
      <c r="Z404" s="119"/>
      <c r="AA404" s="530">
        <f>IFERROR(__xludf.DUMMYFUNCTION("""COMPUTED_VALUE"""),396.0)</f>
        <v>396</v>
      </c>
      <c r="AB404" s="119"/>
      <c r="AC404" s="119"/>
      <c r="AD404" s="119"/>
      <c r="AE404" s="119"/>
      <c r="AF404" s="119"/>
      <c r="AG404" s="555" t="str">
        <f t="shared" si="8"/>
        <v>  ---&gt;     ---&gt;   </v>
      </c>
      <c r="AH404" s="16"/>
      <c r="AI404" s="439"/>
      <c r="AJ404" s="439"/>
      <c r="AK404" s="439"/>
    </row>
    <row r="405" ht="18.75" customHeight="1">
      <c r="A405" s="439"/>
      <c r="B405" s="546"/>
      <c r="C405" s="547"/>
      <c r="D405" s="446">
        <f>IF(C405=0,0,(VLOOKUP(C405,'PO MTRL'!$B$9:$S1518,2,0)))</f>
        <v>0</v>
      </c>
      <c r="E405" s="548" t="str">
        <f>IF(C405="","",(VLOOKUP(C405,'PO MTRL'!$B$9:$S1518,3,0)))</f>
        <v/>
      </c>
      <c r="F405" s="549">
        <f>IF(C405=0,0,(VLOOKUP(C405,'PO MTRL'!$B$9:$S1518,4,0)))</f>
        <v>0</v>
      </c>
      <c r="G405" s="444"/>
      <c r="H405" s="550">
        <f>IF(C405=0,0,(VLOOKUP(C405,'PO MTRL'!$B$9:$S1518,6,0)))</f>
        <v>0</v>
      </c>
      <c r="I405" s="446">
        <f>IF(C405=0,0,(VLOOKUP(C405,'PO MTRL'!$B$9:$S1518,7,0)))</f>
        <v>0</v>
      </c>
      <c r="J405" s="551">
        <f>IF(C405=0,0,(VLOOKUP(C405,'PO MTRL'!$B$9:$S1518,8,0)))</f>
        <v>0</v>
      </c>
      <c r="K405" s="559"/>
      <c r="L405" s="448">
        <f t="shared" si="1"/>
        <v>0</v>
      </c>
      <c r="M405" s="551">
        <f t="shared" si="2"/>
        <v>0</v>
      </c>
      <c r="N405" s="449">
        <f t="shared" si="3"/>
        <v>0</v>
      </c>
      <c r="O405" s="551">
        <f>IF(H405=0,0,(VLOOKUP(H405,'PO MTRL'!$G$9:$S1518,5,0)))</f>
        <v>0</v>
      </c>
      <c r="P405" s="551">
        <f>IF(H405=0,0,(VLOOKUP(H405,'PO MTRL'!$G$9:$S1518,7,0)))</f>
        <v>0</v>
      </c>
      <c r="Q405" s="551">
        <f t="shared" si="4"/>
        <v>0</v>
      </c>
      <c r="R405" s="551">
        <f t="shared" si="5"/>
        <v>0</v>
      </c>
      <c r="S405" s="550">
        <f>IF(C405=0,0,(VLOOKUP(C405,'PO MTRL'!$B$9:$S1518,17,0)))</f>
        <v>0</v>
      </c>
      <c r="T405" s="553"/>
      <c r="U405" s="554">
        <f>IF(C405=0,0,(VLOOKUP(C405,'PO MTRL'!$B$9:$S1518,18,0)))</f>
        <v>0</v>
      </c>
      <c r="V405" s="16"/>
      <c r="W405" s="119" t="str">
        <f t="shared" si="6"/>
        <v/>
      </c>
      <c r="X405" s="564">
        <f t="shared" si="7"/>
        <v>0</v>
      </c>
      <c r="Y405" s="119"/>
      <c r="Z405" s="119"/>
      <c r="AA405" s="530">
        <f>IFERROR(__xludf.DUMMYFUNCTION("""COMPUTED_VALUE"""),397.0)</f>
        <v>397</v>
      </c>
      <c r="AB405" s="119"/>
      <c r="AC405" s="119"/>
      <c r="AD405" s="119"/>
      <c r="AE405" s="119"/>
      <c r="AF405" s="119"/>
      <c r="AG405" s="555" t="str">
        <f t="shared" si="8"/>
        <v>  ---&gt;     ---&gt;   </v>
      </c>
      <c r="AH405" s="16"/>
      <c r="AI405" s="439"/>
      <c r="AJ405" s="439"/>
      <c r="AK405" s="439"/>
    </row>
    <row r="406" ht="18.75" customHeight="1">
      <c r="A406" s="439"/>
      <c r="B406" s="546"/>
      <c r="C406" s="547"/>
      <c r="D406" s="446">
        <f>IF(C406=0,0,(VLOOKUP(C406,'PO MTRL'!$B$9:$S1518,2,0)))</f>
        <v>0</v>
      </c>
      <c r="E406" s="548" t="str">
        <f>IF(C406="","",(VLOOKUP(C406,'PO MTRL'!$B$9:$S1518,3,0)))</f>
        <v/>
      </c>
      <c r="F406" s="549">
        <f>IF(C406=0,0,(VLOOKUP(C406,'PO MTRL'!$B$9:$S1518,4,0)))</f>
        <v>0</v>
      </c>
      <c r="G406" s="444"/>
      <c r="H406" s="550">
        <f>IF(C406=0,0,(VLOOKUP(C406,'PO MTRL'!$B$9:$S1518,6,0)))</f>
        <v>0</v>
      </c>
      <c r="I406" s="446">
        <f>IF(C406=0,0,(VLOOKUP(C406,'PO MTRL'!$B$9:$S1518,7,0)))</f>
        <v>0</v>
      </c>
      <c r="J406" s="551">
        <f>IF(C406=0,0,(VLOOKUP(C406,'PO MTRL'!$B$9:$S1518,8,0)))</f>
        <v>0</v>
      </c>
      <c r="K406" s="559"/>
      <c r="L406" s="448">
        <f t="shared" si="1"/>
        <v>0</v>
      </c>
      <c r="M406" s="551">
        <f t="shared" si="2"/>
        <v>0</v>
      </c>
      <c r="N406" s="449">
        <f t="shared" si="3"/>
        <v>0</v>
      </c>
      <c r="O406" s="551">
        <f>IF(H406=0,0,(VLOOKUP(H406,'PO MTRL'!$G$9:$S1518,5,0)))</f>
        <v>0</v>
      </c>
      <c r="P406" s="551">
        <f>IF(H406=0,0,(VLOOKUP(H406,'PO MTRL'!$G$9:$S1518,7,0)))</f>
        <v>0</v>
      </c>
      <c r="Q406" s="551">
        <f t="shared" si="4"/>
        <v>0</v>
      </c>
      <c r="R406" s="551">
        <f t="shared" si="5"/>
        <v>0</v>
      </c>
      <c r="S406" s="550">
        <f>IF(C406=0,0,(VLOOKUP(C406,'PO MTRL'!$B$9:$S1518,17,0)))</f>
        <v>0</v>
      </c>
      <c r="T406" s="553"/>
      <c r="U406" s="554">
        <f>IF(C406=0,0,(VLOOKUP(C406,'PO MTRL'!$B$9:$S1518,18,0)))</f>
        <v>0</v>
      </c>
      <c r="V406" s="16"/>
      <c r="W406" s="119" t="str">
        <f t="shared" si="6"/>
        <v/>
      </c>
      <c r="X406" s="564">
        <f t="shared" si="7"/>
        <v>0</v>
      </c>
      <c r="Y406" s="119"/>
      <c r="Z406" s="119"/>
      <c r="AA406" s="530">
        <f>IFERROR(__xludf.DUMMYFUNCTION("""COMPUTED_VALUE"""),398.0)</f>
        <v>398</v>
      </c>
      <c r="AB406" s="119"/>
      <c r="AC406" s="119"/>
      <c r="AD406" s="119"/>
      <c r="AE406" s="119"/>
      <c r="AF406" s="119"/>
      <c r="AG406" s="555" t="str">
        <f t="shared" si="8"/>
        <v>  ---&gt;     ---&gt;   </v>
      </c>
      <c r="AH406" s="16"/>
      <c r="AI406" s="439"/>
      <c r="AJ406" s="439"/>
      <c r="AK406" s="439"/>
    </row>
    <row r="407" ht="18.75" customHeight="1">
      <c r="A407" s="439"/>
      <c r="B407" s="546"/>
      <c r="C407" s="547"/>
      <c r="D407" s="446">
        <f>IF(C407=0,0,(VLOOKUP(C407,'PO MTRL'!$B$9:$S1518,2,0)))</f>
        <v>0</v>
      </c>
      <c r="E407" s="548" t="str">
        <f>IF(C407="","",(VLOOKUP(C407,'PO MTRL'!$B$9:$S1518,3,0)))</f>
        <v/>
      </c>
      <c r="F407" s="549">
        <f>IF(C407=0,0,(VLOOKUP(C407,'PO MTRL'!$B$9:$S1518,4,0)))</f>
        <v>0</v>
      </c>
      <c r="G407" s="444"/>
      <c r="H407" s="550">
        <f>IF(C407=0,0,(VLOOKUP(C407,'PO MTRL'!$B$9:$S1518,6,0)))</f>
        <v>0</v>
      </c>
      <c r="I407" s="446">
        <f>IF(C407=0,0,(VLOOKUP(C407,'PO MTRL'!$B$9:$S1518,7,0)))</f>
        <v>0</v>
      </c>
      <c r="J407" s="551">
        <f>IF(C407=0,0,(VLOOKUP(C407,'PO MTRL'!$B$9:$S1518,8,0)))</f>
        <v>0</v>
      </c>
      <c r="K407" s="559"/>
      <c r="L407" s="448">
        <f t="shared" si="1"/>
        <v>0</v>
      </c>
      <c r="M407" s="551">
        <f t="shared" si="2"/>
        <v>0</v>
      </c>
      <c r="N407" s="449">
        <f t="shared" si="3"/>
        <v>0</v>
      </c>
      <c r="O407" s="551">
        <f>IF(H407=0,0,(VLOOKUP(H407,'PO MTRL'!$G$9:$S1518,5,0)))</f>
        <v>0</v>
      </c>
      <c r="P407" s="551">
        <f>IF(H407=0,0,(VLOOKUP(H407,'PO MTRL'!$G$9:$S1518,7,0)))</f>
        <v>0</v>
      </c>
      <c r="Q407" s="551">
        <f t="shared" si="4"/>
        <v>0</v>
      </c>
      <c r="R407" s="551">
        <f t="shared" si="5"/>
        <v>0</v>
      </c>
      <c r="S407" s="550">
        <f>IF(C407=0,0,(VLOOKUP(C407,'PO MTRL'!$B$9:$S1518,17,0)))</f>
        <v>0</v>
      </c>
      <c r="T407" s="553"/>
      <c r="U407" s="554">
        <f>IF(C407=0,0,(VLOOKUP(C407,'PO MTRL'!$B$9:$S1518,18,0)))</f>
        <v>0</v>
      </c>
      <c r="V407" s="16"/>
      <c r="W407" s="119" t="str">
        <f t="shared" si="6"/>
        <v/>
      </c>
      <c r="X407" s="564">
        <f t="shared" si="7"/>
        <v>0</v>
      </c>
      <c r="Y407" s="119"/>
      <c r="Z407" s="119"/>
      <c r="AA407" s="530">
        <f>IFERROR(__xludf.DUMMYFUNCTION("""COMPUTED_VALUE"""),399.0)</f>
        <v>399</v>
      </c>
      <c r="AB407" s="119"/>
      <c r="AC407" s="119"/>
      <c r="AD407" s="119"/>
      <c r="AE407" s="119"/>
      <c r="AF407" s="119"/>
      <c r="AG407" s="555" t="str">
        <f t="shared" si="8"/>
        <v>  ---&gt;     ---&gt;   </v>
      </c>
      <c r="AH407" s="16"/>
      <c r="AI407" s="439"/>
      <c r="AJ407" s="439"/>
      <c r="AK407" s="439"/>
    </row>
    <row r="408" ht="18.75" customHeight="1">
      <c r="A408" s="439"/>
      <c r="B408" s="546"/>
      <c r="C408" s="547"/>
      <c r="D408" s="446">
        <f>IF(C408=0,0,(VLOOKUP(C408,'PO MTRL'!$B$9:$S1518,2,0)))</f>
        <v>0</v>
      </c>
      <c r="E408" s="548" t="str">
        <f>IF(C408="","",(VLOOKUP(C408,'PO MTRL'!$B$9:$S1518,3,0)))</f>
        <v/>
      </c>
      <c r="F408" s="549">
        <f>IF(C408=0,0,(VLOOKUP(C408,'PO MTRL'!$B$9:$S1518,4,0)))</f>
        <v>0</v>
      </c>
      <c r="G408" s="444"/>
      <c r="H408" s="550">
        <f>IF(C408=0,0,(VLOOKUP(C408,'PO MTRL'!$B$9:$S1518,6,0)))</f>
        <v>0</v>
      </c>
      <c r="I408" s="446">
        <f>IF(C408=0,0,(VLOOKUP(C408,'PO MTRL'!$B$9:$S1518,7,0)))</f>
        <v>0</v>
      </c>
      <c r="J408" s="551">
        <f>IF(C408=0,0,(VLOOKUP(C408,'PO MTRL'!$B$9:$S1518,8,0)))</f>
        <v>0</v>
      </c>
      <c r="K408" s="559"/>
      <c r="L408" s="448">
        <f t="shared" si="1"/>
        <v>0</v>
      </c>
      <c r="M408" s="551">
        <f t="shared" si="2"/>
        <v>0</v>
      </c>
      <c r="N408" s="449">
        <f t="shared" si="3"/>
        <v>0</v>
      </c>
      <c r="O408" s="551">
        <f>IF(H408=0,0,(VLOOKUP(H408,'PO MTRL'!$G$9:$S1518,5,0)))</f>
        <v>0</v>
      </c>
      <c r="P408" s="551">
        <f>IF(H408=0,0,(VLOOKUP(H408,'PO MTRL'!$G$9:$S1518,7,0)))</f>
        <v>0</v>
      </c>
      <c r="Q408" s="551">
        <f t="shared" si="4"/>
        <v>0</v>
      </c>
      <c r="R408" s="551">
        <f t="shared" si="5"/>
        <v>0</v>
      </c>
      <c r="S408" s="550">
        <f>IF(C408=0,0,(VLOOKUP(C408,'PO MTRL'!$B$9:$S1518,17,0)))</f>
        <v>0</v>
      </c>
      <c r="T408" s="553"/>
      <c r="U408" s="554">
        <f>IF(C408=0,0,(VLOOKUP(C408,'PO MTRL'!$B$9:$S1518,18,0)))</f>
        <v>0</v>
      </c>
      <c r="V408" s="16"/>
      <c r="W408" s="119" t="str">
        <f t="shared" si="6"/>
        <v/>
      </c>
      <c r="X408" s="564">
        <f t="shared" si="7"/>
        <v>0</v>
      </c>
      <c r="Y408" s="119"/>
      <c r="Z408" s="119"/>
      <c r="AA408" s="530">
        <f>IFERROR(__xludf.DUMMYFUNCTION("""COMPUTED_VALUE"""),400.0)</f>
        <v>400</v>
      </c>
      <c r="AB408" s="119"/>
      <c r="AC408" s="119"/>
      <c r="AD408" s="119"/>
      <c r="AE408" s="119"/>
      <c r="AF408" s="119"/>
      <c r="AG408" s="555" t="str">
        <f t="shared" si="8"/>
        <v>  ---&gt;     ---&gt;   </v>
      </c>
      <c r="AH408" s="16"/>
      <c r="AI408" s="439"/>
      <c r="AJ408" s="439"/>
      <c r="AK408" s="439"/>
    </row>
    <row r="409" ht="18.75" customHeight="1">
      <c r="A409" s="439"/>
      <c r="B409" s="546"/>
      <c r="C409" s="547"/>
      <c r="D409" s="446">
        <f>IF(C409=0,0,(VLOOKUP(C409,'PO MTRL'!$B$9:$S1518,2,0)))</f>
        <v>0</v>
      </c>
      <c r="E409" s="548" t="str">
        <f>IF(C409="","",(VLOOKUP(C409,'PO MTRL'!$B$9:$S1518,3,0)))</f>
        <v/>
      </c>
      <c r="F409" s="549">
        <f>IF(C409=0,0,(VLOOKUP(C409,'PO MTRL'!$B$9:$S1518,4,0)))</f>
        <v>0</v>
      </c>
      <c r="G409" s="444"/>
      <c r="H409" s="550">
        <f>IF(C409=0,0,(VLOOKUP(C409,'PO MTRL'!$B$9:$S1518,6,0)))</f>
        <v>0</v>
      </c>
      <c r="I409" s="446">
        <f>IF(C409=0,0,(VLOOKUP(C409,'PO MTRL'!$B$9:$S1518,7,0)))</f>
        <v>0</v>
      </c>
      <c r="J409" s="551">
        <f>IF(C409=0,0,(VLOOKUP(C409,'PO MTRL'!$B$9:$S1518,8,0)))</f>
        <v>0</v>
      </c>
      <c r="K409" s="559"/>
      <c r="L409" s="448">
        <f t="shared" si="1"/>
        <v>0</v>
      </c>
      <c r="M409" s="551">
        <f t="shared" si="2"/>
        <v>0</v>
      </c>
      <c r="N409" s="449">
        <f t="shared" si="3"/>
        <v>0</v>
      </c>
      <c r="O409" s="551">
        <f>IF(H409=0,0,(VLOOKUP(H409,'PO MTRL'!$G$9:$S1518,5,0)))</f>
        <v>0</v>
      </c>
      <c r="P409" s="551">
        <f>IF(H409=0,0,(VLOOKUP(H409,'PO MTRL'!$G$9:$S1518,7,0)))</f>
        <v>0</v>
      </c>
      <c r="Q409" s="551">
        <f t="shared" si="4"/>
        <v>0</v>
      </c>
      <c r="R409" s="551">
        <f t="shared" si="5"/>
        <v>0</v>
      </c>
      <c r="S409" s="550">
        <f>IF(C409=0,0,(VLOOKUP(C409,'PO MTRL'!$B$9:$S1518,17,0)))</f>
        <v>0</v>
      </c>
      <c r="T409" s="553"/>
      <c r="U409" s="554">
        <f>IF(C409=0,0,(VLOOKUP(C409,'PO MTRL'!$B$9:$S1518,18,0)))</f>
        <v>0</v>
      </c>
      <c r="V409" s="16"/>
      <c r="W409" s="119" t="str">
        <f t="shared" si="6"/>
        <v/>
      </c>
      <c r="X409" s="564">
        <f t="shared" si="7"/>
        <v>0</v>
      </c>
      <c r="Y409" s="119"/>
      <c r="Z409" s="119"/>
      <c r="AA409" s="530">
        <f>IFERROR(__xludf.DUMMYFUNCTION("""COMPUTED_VALUE"""),401.0)</f>
        <v>401</v>
      </c>
      <c r="AB409" s="119"/>
      <c r="AC409" s="119"/>
      <c r="AD409" s="119"/>
      <c r="AE409" s="119"/>
      <c r="AF409" s="119"/>
      <c r="AG409" s="555" t="str">
        <f t="shared" si="8"/>
        <v>  ---&gt;     ---&gt;   </v>
      </c>
      <c r="AH409" s="16"/>
      <c r="AI409" s="439"/>
      <c r="AJ409" s="439"/>
      <c r="AK409" s="439"/>
    </row>
    <row r="410" ht="18.75" customHeight="1">
      <c r="A410" s="439"/>
      <c r="B410" s="546"/>
      <c r="C410" s="547"/>
      <c r="D410" s="446">
        <f>IF(C410=0,0,(VLOOKUP(C410,'PO MTRL'!$B$9:$S1518,2,0)))</f>
        <v>0</v>
      </c>
      <c r="E410" s="548" t="str">
        <f>IF(C410="","",(VLOOKUP(C410,'PO MTRL'!$B$9:$S1518,3,0)))</f>
        <v/>
      </c>
      <c r="F410" s="549">
        <f>IF(C410=0,0,(VLOOKUP(C410,'PO MTRL'!$B$9:$S1518,4,0)))</f>
        <v>0</v>
      </c>
      <c r="G410" s="444"/>
      <c r="H410" s="550">
        <f>IF(C410=0,0,(VLOOKUP(C410,'PO MTRL'!$B$9:$S1518,6,0)))</f>
        <v>0</v>
      </c>
      <c r="I410" s="446">
        <f>IF(C410=0,0,(VLOOKUP(C410,'PO MTRL'!$B$9:$S1518,7,0)))</f>
        <v>0</v>
      </c>
      <c r="J410" s="551">
        <f>IF(C410=0,0,(VLOOKUP(C410,'PO MTRL'!$B$9:$S1518,8,0)))</f>
        <v>0</v>
      </c>
      <c r="K410" s="559"/>
      <c r="L410" s="448">
        <f t="shared" si="1"/>
        <v>0</v>
      </c>
      <c r="M410" s="551">
        <f t="shared" si="2"/>
        <v>0</v>
      </c>
      <c r="N410" s="449">
        <f t="shared" si="3"/>
        <v>0</v>
      </c>
      <c r="O410" s="551">
        <f>IF(H410=0,0,(VLOOKUP(H410,'PO MTRL'!$G$9:$S1518,5,0)))</f>
        <v>0</v>
      </c>
      <c r="P410" s="551">
        <f>IF(H410=0,0,(VLOOKUP(H410,'PO MTRL'!$G$9:$S1518,7,0)))</f>
        <v>0</v>
      </c>
      <c r="Q410" s="551">
        <f t="shared" si="4"/>
        <v>0</v>
      </c>
      <c r="R410" s="551">
        <f t="shared" si="5"/>
        <v>0</v>
      </c>
      <c r="S410" s="550">
        <f>IF(C410=0,0,(VLOOKUP(C410,'PO MTRL'!$B$9:$S1518,17,0)))</f>
        <v>0</v>
      </c>
      <c r="T410" s="553"/>
      <c r="U410" s="554">
        <f>IF(C410=0,0,(VLOOKUP(C410,'PO MTRL'!$B$9:$S1518,18,0)))</f>
        <v>0</v>
      </c>
      <c r="V410" s="16"/>
      <c r="W410" s="119" t="str">
        <f t="shared" si="6"/>
        <v/>
      </c>
      <c r="X410" s="564">
        <f t="shared" si="7"/>
        <v>0</v>
      </c>
      <c r="Y410" s="119"/>
      <c r="Z410" s="119"/>
      <c r="AA410" s="530">
        <f>IFERROR(__xludf.DUMMYFUNCTION("""COMPUTED_VALUE"""),402.0)</f>
        <v>402</v>
      </c>
      <c r="AB410" s="119"/>
      <c r="AC410" s="119"/>
      <c r="AD410" s="119"/>
      <c r="AE410" s="119"/>
      <c r="AF410" s="119"/>
      <c r="AG410" s="555" t="str">
        <f t="shared" si="8"/>
        <v>  ---&gt;     ---&gt;   </v>
      </c>
      <c r="AH410" s="16"/>
      <c r="AI410" s="439"/>
      <c r="AJ410" s="439"/>
      <c r="AK410" s="439"/>
    </row>
    <row r="411" ht="18.75" customHeight="1">
      <c r="A411" s="439"/>
      <c r="B411" s="546"/>
      <c r="C411" s="547"/>
      <c r="D411" s="446">
        <f>IF(C411=0,0,(VLOOKUP(C411,'PO MTRL'!$B$9:$S1518,2,0)))</f>
        <v>0</v>
      </c>
      <c r="E411" s="548" t="str">
        <f>IF(C411="","",(VLOOKUP(C411,'PO MTRL'!$B$9:$S1518,3,0)))</f>
        <v/>
      </c>
      <c r="F411" s="549">
        <f>IF(C411=0,0,(VLOOKUP(C411,'PO MTRL'!$B$9:$S1518,4,0)))</f>
        <v>0</v>
      </c>
      <c r="G411" s="444"/>
      <c r="H411" s="550">
        <f>IF(C411=0,0,(VLOOKUP(C411,'PO MTRL'!$B$9:$S1518,6,0)))</f>
        <v>0</v>
      </c>
      <c r="I411" s="446">
        <f>IF(C411=0,0,(VLOOKUP(C411,'PO MTRL'!$B$9:$S1518,7,0)))</f>
        <v>0</v>
      </c>
      <c r="J411" s="551">
        <f>IF(C411=0,0,(VLOOKUP(C411,'PO MTRL'!$B$9:$S1518,8,0)))</f>
        <v>0</v>
      </c>
      <c r="K411" s="559"/>
      <c r="L411" s="448">
        <f t="shared" si="1"/>
        <v>0</v>
      </c>
      <c r="M411" s="551">
        <f t="shared" si="2"/>
        <v>0</v>
      </c>
      <c r="N411" s="449">
        <f t="shared" si="3"/>
        <v>0</v>
      </c>
      <c r="O411" s="551">
        <f>IF(H411=0,0,(VLOOKUP(H411,'PO MTRL'!$G$9:$S1518,5,0)))</f>
        <v>0</v>
      </c>
      <c r="P411" s="551">
        <f>IF(H411=0,0,(VLOOKUP(H411,'PO MTRL'!$G$9:$S1518,7,0)))</f>
        <v>0</v>
      </c>
      <c r="Q411" s="551">
        <f t="shared" si="4"/>
        <v>0</v>
      </c>
      <c r="R411" s="551">
        <f t="shared" si="5"/>
        <v>0</v>
      </c>
      <c r="S411" s="550">
        <f>IF(C411=0,0,(VLOOKUP(C411,'PO MTRL'!$B$9:$S1518,17,0)))</f>
        <v>0</v>
      </c>
      <c r="T411" s="553"/>
      <c r="U411" s="554">
        <f>IF(C411=0,0,(VLOOKUP(C411,'PO MTRL'!$B$9:$S1518,18,0)))</f>
        <v>0</v>
      </c>
      <c r="V411" s="16"/>
      <c r="W411" s="119" t="str">
        <f t="shared" si="6"/>
        <v/>
      </c>
      <c r="X411" s="564">
        <f t="shared" si="7"/>
        <v>0</v>
      </c>
      <c r="Y411" s="119"/>
      <c r="Z411" s="119"/>
      <c r="AA411" s="530">
        <f>IFERROR(__xludf.DUMMYFUNCTION("""COMPUTED_VALUE"""),403.0)</f>
        <v>403</v>
      </c>
      <c r="AB411" s="119"/>
      <c r="AC411" s="119"/>
      <c r="AD411" s="119"/>
      <c r="AE411" s="119"/>
      <c r="AF411" s="119"/>
      <c r="AG411" s="555" t="str">
        <f t="shared" si="8"/>
        <v>  ---&gt;     ---&gt;   </v>
      </c>
      <c r="AH411" s="16"/>
      <c r="AI411" s="439"/>
      <c r="AJ411" s="439"/>
      <c r="AK411" s="439"/>
    </row>
    <row r="412" ht="18.75" customHeight="1">
      <c r="A412" s="439"/>
      <c r="B412" s="546"/>
      <c r="C412" s="547"/>
      <c r="D412" s="446">
        <f>IF(C412=0,0,(VLOOKUP(C412,'PO MTRL'!$B$9:$S1518,2,0)))</f>
        <v>0</v>
      </c>
      <c r="E412" s="548" t="str">
        <f>IF(C412="","",(VLOOKUP(C412,'PO MTRL'!$B$9:$S1518,3,0)))</f>
        <v/>
      </c>
      <c r="F412" s="549">
        <f>IF(C412=0,0,(VLOOKUP(C412,'PO MTRL'!$B$9:$S1518,4,0)))</f>
        <v>0</v>
      </c>
      <c r="G412" s="444"/>
      <c r="H412" s="550">
        <f>IF(C412=0,0,(VLOOKUP(C412,'PO MTRL'!$B$9:$S1518,6,0)))</f>
        <v>0</v>
      </c>
      <c r="I412" s="446">
        <f>IF(C412=0,0,(VLOOKUP(C412,'PO MTRL'!$B$9:$S1518,7,0)))</f>
        <v>0</v>
      </c>
      <c r="J412" s="551">
        <f>IF(C412=0,0,(VLOOKUP(C412,'PO MTRL'!$B$9:$S1518,8,0)))</f>
        <v>0</v>
      </c>
      <c r="K412" s="559"/>
      <c r="L412" s="448">
        <f t="shared" si="1"/>
        <v>0</v>
      </c>
      <c r="M412" s="551">
        <f t="shared" si="2"/>
        <v>0</v>
      </c>
      <c r="N412" s="449">
        <f t="shared" si="3"/>
        <v>0</v>
      </c>
      <c r="O412" s="551">
        <f>IF(H412=0,0,(VLOOKUP(H412,'PO MTRL'!$G$9:$S1518,5,0)))</f>
        <v>0</v>
      </c>
      <c r="P412" s="551">
        <f>IF(H412=0,0,(VLOOKUP(H412,'PO MTRL'!$G$9:$S1518,7,0)))</f>
        <v>0</v>
      </c>
      <c r="Q412" s="551">
        <f t="shared" si="4"/>
        <v>0</v>
      </c>
      <c r="R412" s="551">
        <f t="shared" si="5"/>
        <v>0</v>
      </c>
      <c r="S412" s="550">
        <f>IF(C412=0,0,(VLOOKUP(C412,'PO MTRL'!$B$9:$S1518,17,0)))</f>
        <v>0</v>
      </c>
      <c r="T412" s="553"/>
      <c r="U412" s="554">
        <f>IF(C412=0,0,(VLOOKUP(C412,'PO MTRL'!$B$9:$S1518,18,0)))</f>
        <v>0</v>
      </c>
      <c r="V412" s="16"/>
      <c r="W412" s="119" t="str">
        <f t="shared" si="6"/>
        <v/>
      </c>
      <c r="X412" s="564">
        <f t="shared" si="7"/>
        <v>0</v>
      </c>
      <c r="Y412" s="119"/>
      <c r="Z412" s="119"/>
      <c r="AA412" s="530">
        <f>IFERROR(__xludf.DUMMYFUNCTION("""COMPUTED_VALUE"""),404.0)</f>
        <v>404</v>
      </c>
      <c r="AB412" s="119"/>
      <c r="AC412" s="119"/>
      <c r="AD412" s="119"/>
      <c r="AE412" s="119"/>
      <c r="AF412" s="119"/>
      <c r="AG412" s="555" t="str">
        <f t="shared" si="8"/>
        <v>  ---&gt;     ---&gt;   </v>
      </c>
      <c r="AH412" s="16"/>
      <c r="AI412" s="439"/>
      <c r="AJ412" s="439"/>
      <c r="AK412" s="439"/>
    </row>
    <row r="413" ht="18.75" customHeight="1">
      <c r="A413" s="439"/>
      <c r="B413" s="546"/>
      <c r="C413" s="547"/>
      <c r="D413" s="446">
        <f>IF(C413=0,0,(VLOOKUP(C413,'PO MTRL'!$B$9:$S1518,2,0)))</f>
        <v>0</v>
      </c>
      <c r="E413" s="548" t="str">
        <f>IF(C413="","",(VLOOKUP(C413,'PO MTRL'!$B$9:$S1518,3,0)))</f>
        <v/>
      </c>
      <c r="F413" s="549">
        <f>IF(C413=0,0,(VLOOKUP(C413,'PO MTRL'!$B$9:$S1518,4,0)))</f>
        <v>0</v>
      </c>
      <c r="G413" s="444"/>
      <c r="H413" s="550">
        <f>IF(C413=0,0,(VLOOKUP(C413,'PO MTRL'!$B$9:$S1518,6,0)))</f>
        <v>0</v>
      </c>
      <c r="I413" s="446">
        <f>IF(C413=0,0,(VLOOKUP(C413,'PO MTRL'!$B$9:$S1518,7,0)))</f>
        <v>0</v>
      </c>
      <c r="J413" s="551">
        <f>IF(C413=0,0,(VLOOKUP(C413,'PO MTRL'!$B$9:$S1518,8,0)))</f>
        <v>0</v>
      </c>
      <c r="K413" s="559"/>
      <c r="L413" s="448">
        <f t="shared" si="1"/>
        <v>0</v>
      </c>
      <c r="M413" s="551">
        <f t="shared" si="2"/>
        <v>0</v>
      </c>
      <c r="N413" s="449">
        <f t="shared" si="3"/>
        <v>0</v>
      </c>
      <c r="O413" s="551">
        <f>IF(H413=0,0,(VLOOKUP(H413,'PO MTRL'!$G$9:$S1518,5,0)))</f>
        <v>0</v>
      </c>
      <c r="P413" s="551">
        <f>IF(H413=0,0,(VLOOKUP(H413,'PO MTRL'!$G$9:$S1518,7,0)))</f>
        <v>0</v>
      </c>
      <c r="Q413" s="551">
        <f t="shared" si="4"/>
        <v>0</v>
      </c>
      <c r="R413" s="551">
        <f t="shared" si="5"/>
        <v>0</v>
      </c>
      <c r="S413" s="550">
        <f>IF(C413=0,0,(VLOOKUP(C413,'PO MTRL'!$B$9:$S1518,17,0)))</f>
        <v>0</v>
      </c>
      <c r="T413" s="553"/>
      <c r="U413" s="554">
        <f>IF(C413=0,0,(VLOOKUP(C413,'PO MTRL'!$B$9:$S1518,18,0)))</f>
        <v>0</v>
      </c>
      <c r="V413" s="16"/>
      <c r="W413" s="119" t="str">
        <f t="shared" si="6"/>
        <v/>
      </c>
      <c r="X413" s="564">
        <f t="shared" si="7"/>
        <v>0</v>
      </c>
      <c r="Y413" s="119"/>
      <c r="Z413" s="119"/>
      <c r="AA413" s="530">
        <f>IFERROR(__xludf.DUMMYFUNCTION("""COMPUTED_VALUE"""),405.0)</f>
        <v>405</v>
      </c>
      <c r="AB413" s="119"/>
      <c r="AC413" s="119"/>
      <c r="AD413" s="119"/>
      <c r="AE413" s="119"/>
      <c r="AF413" s="119"/>
      <c r="AG413" s="555" t="str">
        <f t="shared" si="8"/>
        <v>  ---&gt;     ---&gt;   </v>
      </c>
      <c r="AH413" s="16"/>
      <c r="AI413" s="439"/>
      <c r="AJ413" s="439"/>
      <c r="AK413" s="439"/>
    </row>
    <row r="414" ht="18.75" customHeight="1">
      <c r="A414" s="439"/>
      <c r="B414" s="546"/>
      <c r="C414" s="547"/>
      <c r="D414" s="446">
        <f>IF(C414=0,0,(VLOOKUP(C414,'PO MTRL'!$B$9:$S1518,2,0)))</f>
        <v>0</v>
      </c>
      <c r="E414" s="548" t="str">
        <f>IF(C414="","",(VLOOKUP(C414,'PO MTRL'!$B$9:$S1518,3,0)))</f>
        <v/>
      </c>
      <c r="F414" s="549">
        <f>IF(C414=0,0,(VLOOKUP(C414,'PO MTRL'!$B$9:$S1518,4,0)))</f>
        <v>0</v>
      </c>
      <c r="G414" s="444"/>
      <c r="H414" s="550">
        <f>IF(C414=0,0,(VLOOKUP(C414,'PO MTRL'!$B$9:$S1518,6,0)))</f>
        <v>0</v>
      </c>
      <c r="I414" s="446">
        <f>IF(C414=0,0,(VLOOKUP(C414,'PO MTRL'!$B$9:$S1518,7,0)))</f>
        <v>0</v>
      </c>
      <c r="J414" s="551">
        <f>IF(C414=0,0,(VLOOKUP(C414,'PO MTRL'!$B$9:$S1518,8,0)))</f>
        <v>0</v>
      </c>
      <c r="K414" s="559"/>
      <c r="L414" s="448">
        <f t="shared" si="1"/>
        <v>0</v>
      </c>
      <c r="M414" s="551">
        <f t="shared" si="2"/>
        <v>0</v>
      </c>
      <c r="N414" s="449">
        <f t="shared" si="3"/>
        <v>0</v>
      </c>
      <c r="O414" s="551">
        <f>IF(H414=0,0,(VLOOKUP(H414,'PO MTRL'!$G$9:$S1518,5,0)))</f>
        <v>0</v>
      </c>
      <c r="P414" s="551">
        <f>IF(H414=0,0,(VLOOKUP(H414,'PO MTRL'!$G$9:$S1518,7,0)))</f>
        <v>0</v>
      </c>
      <c r="Q414" s="551">
        <f t="shared" si="4"/>
        <v>0</v>
      </c>
      <c r="R414" s="551">
        <f t="shared" si="5"/>
        <v>0</v>
      </c>
      <c r="S414" s="550">
        <f>IF(C414=0,0,(VLOOKUP(C414,'PO MTRL'!$B$9:$S1518,17,0)))</f>
        <v>0</v>
      </c>
      <c r="T414" s="553"/>
      <c r="U414" s="554">
        <f>IF(C414=0,0,(VLOOKUP(C414,'PO MTRL'!$B$9:$S1518,18,0)))</f>
        <v>0</v>
      </c>
      <c r="V414" s="16"/>
      <c r="W414" s="119" t="str">
        <f t="shared" si="6"/>
        <v/>
      </c>
      <c r="X414" s="564">
        <f t="shared" si="7"/>
        <v>0</v>
      </c>
      <c r="Y414" s="119"/>
      <c r="Z414" s="119"/>
      <c r="AA414" s="530">
        <f>IFERROR(__xludf.DUMMYFUNCTION("""COMPUTED_VALUE"""),406.0)</f>
        <v>406</v>
      </c>
      <c r="AB414" s="119"/>
      <c r="AC414" s="119"/>
      <c r="AD414" s="119"/>
      <c r="AE414" s="119"/>
      <c r="AF414" s="119"/>
      <c r="AG414" s="555" t="str">
        <f t="shared" si="8"/>
        <v>  ---&gt;     ---&gt;   </v>
      </c>
      <c r="AH414" s="16"/>
      <c r="AI414" s="439"/>
      <c r="AJ414" s="439"/>
      <c r="AK414" s="439"/>
    </row>
    <row r="415" ht="18.75" customHeight="1">
      <c r="A415" s="439"/>
      <c r="B415" s="546"/>
      <c r="C415" s="547"/>
      <c r="D415" s="446">
        <f>IF(C415=0,0,(VLOOKUP(C415,'PO MTRL'!$B$9:$S1518,2,0)))</f>
        <v>0</v>
      </c>
      <c r="E415" s="548" t="str">
        <f>IF(C415="","",(VLOOKUP(C415,'PO MTRL'!$B$9:$S1518,3,0)))</f>
        <v/>
      </c>
      <c r="F415" s="549">
        <f>IF(C415=0,0,(VLOOKUP(C415,'PO MTRL'!$B$9:$S1518,4,0)))</f>
        <v>0</v>
      </c>
      <c r="G415" s="444"/>
      <c r="H415" s="550">
        <f>IF(C415=0,0,(VLOOKUP(C415,'PO MTRL'!$B$9:$S1518,6,0)))</f>
        <v>0</v>
      </c>
      <c r="I415" s="446">
        <f>IF(C415=0,0,(VLOOKUP(C415,'PO MTRL'!$B$9:$S1518,7,0)))</f>
        <v>0</v>
      </c>
      <c r="J415" s="551">
        <f>IF(C415=0,0,(VLOOKUP(C415,'PO MTRL'!$B$9:$S1518,8,0)))</f>
        <v>0</v>
      </c>
      <c r="K415" s="559"/>
      <c r="L415" s="448">
        <f t="shared" si="1"/>
        <v>0</v>
      </c>
      <c r="M415" s="551">
        <f t="shared" si="2"/>
        <v>0</v>
      </c>
      <c r="N415" s="449">
        <f t="shared" si="3"/>
        <v>0</v>
      </c>
      <c r="O415" s="551">
        <f>IF(H415=0,0,(VLOOKUP(H415,'PO MTRL'!$G$9:$S1518,5,0)))</f>
        <v>0</v>
      </c>
      <c r="P415" s="551">
        <f>IF(H415=0,0,(VLOOKUP(H415,'PO MTRL'!$G$9:$S1518,7,0)))</f>
        <v>0</v>
      </c>
      <c r="Q415" s="551">
        <f t="shared" si="4"/>
        <v>0</v>
      </c>
      <c r="R415" s="551">
        <f t="shared" si="5"/>
        <v>0</v>
      </c>
      <c r="S415" s="550">
        <f>IF(C415=0,0,(VLOOKUP(C415,'PO MTRL'!$B$9:$S1518,17,0)))</f>
        <v>0</v>
      </c>
      <c r="T415" s="553"/>
      <c r="U415" s="554">
        <f>IF(C415=0,0,(VLOOKUP(C415,'PO MTRL'!$B$9:$S1518,18,0)))</f>
        <v>0</v>
      </c>
      <c r="V415" s="16"/>
      <c r="W415" s="119" t="str">
        <f t="shared" si="6"/>
        <v/>
      </c>
      <c r="X415" s="564">
        <f t="shared" si="7"/>
        <v>0</v>
      </c>
      <c r="Y415" s="119"/>
      <c r="Z415" s="119"/>
      <c r="AA415" s="530">
        <f>IFERROR(__xludf.DUMMYFUNCTION("""COMPUTED_VALUE"""),407.0)</f>
        <v>407</v>
      </c>
      <c r="AB415" s="119"/>
      <c r="AC415" s="119"/>
      <c r="AD415" s="119"/>
      <c r="AE415" s="119"/>
      <c r="AF415" s="119"/>
      <c r="AG415" s="555" t="str">
        <f t="shared" si="8"/>
        <v>  ---&gt;     ---&gt;   </v>
      </c>
      <c r="AH415" s="16"/>
      <c r="AI415" s="439"/>
      <c r="AJ415" s="439"/>
      <c r="AK415" s="439"/>
    </row>
    <row r="416" ht="18.75" customHeight="1">
      <c r="A416" s="439"/>
      <c r="B416" s="546"/>
      <c r="C416" s="547"/>
      <c r="D416" s="446">
        <f>IF(C416=0,0,(VLOOKUP(C416,'PO MTRL'!$B$9:$S1518,2,0)))</f>
        <v>0</v>
      </c>
      <c r="E416" s="548" t="str">
        <f>IF(C416="","",(VLOOKUP(C416,'PO MTRL'!$B$9:$S1518,3,0)))</f>
        <v/>
      </c>
      <c r="F416" s="549">
        <f>IF(C416=0,0,(VLOOKUP(C416,'PO MTRL'!$B$9:$S1518,4,0)))</f>
        <v>0</v>
      </c>
      <c r="G416" s="444"/>
      <c r="H416" s="550">
        <f>IF(C416=0,0,(VLOOKUP(C416,'PO MTRL'!$B$9:$S1518,6,0)))</f>
        <v>0</v>
      </c>
      <c r="I416" s="446">
        <f>IF(C416=0,0,(VLOOKUP(C416,'PO MTRL'!$B$9:$S1518,7,0)))</f>
        <v>0</v>
      </c>
      <c r="J416" s="551">
        <f>IF(C416=0,0,(VLOOKUP(C416,'PO MTRL'!$B$9:$S1518,8,0)))</f>
        <v>0</v>
      </c>
      <c r="K416" s="559"/>
      <c r="L416" s="448">
        <f t="shared" si="1"/>
        <v>0</v>
      </c>
      <c r="M416" s="551">
        <f t="shared" si="2"/>
        <v>0</v>
      </c>
      <c r="N416" s="449">
        <f t="shared" si="3"/>
        <v>0</v>
      </c>
      <c r="O416" s="551">
        <f>IF(H416=0,0,(VLOOKUP(H416,'PO MTRL'!$G$9:$S1518,5,0)))</f>
        <v>0</v>
      </c>
      <c r="P416" s="551">
        <f>IF(H416=0,0,(VLOOKUP(H416,'PO MTRL'!$G$9:$S1518,7,0)))</f>
        <v>0</v>
      </c>
      <c r="Q416" s="551">
        <f t="shared" si="4"/>
        <v>0</v>
      </c>
      <c r="R416" s="551">
        <f t="shared" si="5"/>
        <v>0</v>
      </c>
      <c r="S416" s="550">
        <f>IF(C416=0,0,(VLOOKUP(C416,'PO MTRL'!$B$9:$S1518,17,0)))</f>
        <v>0</v>
      </c>
      <c r="T416" s="553"/>
      <c r="U416" s="554">
        <f>IF(C416=0,0,(VLOOKUP(C416,'PO MTRL'!$B$9:$S1518,18,0)))</f>
        <v>0</v>
      </c>
      <c r="V416" s="16"/>
      <c r="W416" s="119" t="str">
        <f t="shared" si="6"/>
        <v/>
      </c>
      <c r="X416" s="564">
        <f t="shared" si="7"/>
        <v>0</v>
      </c>
      <c r="Y416" s="119"/>
      <c r="Z416" s="119"/>
      <c r="AA416" s="530">
        <f>IFERROR(__xludf.DUMMYFUNCTION("""COMPUTED_VALUE"""),408.0)</f>
        <v>408</v>
      </c>
      <c r="AB416" s="119"/>
      <c r="AC416" s="119"/>
      <c r="AD416" s="119"/>
      <c r="AE416" s="119"/>
      <c r="AF416" s="119"/>
      <c r="AG416" s="555" t="str">
        <f t="shared" si="8"/>
        <v>  ---&gt;     ---&gt;   </v>
      </c>
      <c r="AH416" s="16"/>
      <c r="AI416" s="439"/>
      <c r="AJ416" s="439"/>
      <c r="AK416" s="439"/>
    </row>
    <row r="417" ht="18.75" customHeight="1">
      <c r="A417" s="439"/>
      <c r="B417" s="546"/>
      <c r="C417" s="547"/>
      <c r="D417" s="446">
        <f>IF(C417=0,0,(VLOOKUP(C417,'PO MTRL'!$B$9:$S1518,2,0)))</f>
        <v>0</v>
      </c>
      <c r="E417" s="548" t="str">
        <f>IF(C417="","",(VLOOKUP(C417,'PO MTRL'!$B$9:$S1518,3,0)))</f>
        <v/>
      </c>
      <c r="F417" s="549">
        <f>IF(C417=0,0,(VLOOKUP(C417,'PO MTRL'!$B$9:$S1518,4,0)))</f>
        <v>0</v>
      </c>
      <c r="G417" s="444"/>
      <c r="H417" s="550">
        <f>IF(C417=0,0,(VLOOKUP(C417,'PO MTRL'!$B$9:$S1518,6,0)))</f>
        <v>0</v>
      </c>
      <c r="I417" s="446">
        <f>IF(C417=0,0,(VLOOKUP(C417,'PO MTRL'!$B$9:$S1518,7,0)))</f>
        <v>0</v>
      </c>
      <c r="J417" s="551">
        <f>IF(C417=0,0,(VLOOKUP(C417,'PO MTRL'!$B$9:$S1518,8,0)))</f>
        <v>0</v>
      </c>
      <c r="K417" s="559"/>
      <c r="L417" s="448">
        <f t="shared" si="1"/>
        <v>0</v>
      </c>
      <c r="M417" s="551">
        <f t="shared" si="2"/>
        <v>0</v>
      </c>
      <c r="N417" s="449">
        <f t="shared" si="3"/>
        <v>0</v>
      </c>
      <c r="O417" s="551">
        <f>IF(H417=0,0,(VLOOKUP(H417,'PO MTRL'!$G$9:$S1518,5,0)))</f>
        <v>0</v>
      </c>
      <c r="P417" s="551">
        <f>IF(H417=0,0,(VLOOKUP(H417,'PO MTRL'!$G$9:$S1518,7,0)))</f>
        <v>0</v>
      </c>
      <c r="Q417" s="551">
        <f t="shared" si="4"/>
        <v>0</v>
      </c>
      <c r="R417" s="551">
        <f t="shared" si="5"/>
        <v>0</v>
      </c>
      <c r="S417" s="550">
        <f>IF(C417=0,0,(VLOOKUP(C417,'PO MTRL'!$B$9:$S1518,17,0)))</f>
        <v>0</v>
      </c>
      <c r="T417" s="553"/>
      <c r="U417" s="554">
        <f>IF(C417=0,0,(VLOOKUP(C417,'PO MTRL'!$B$9:$S1518,18,0)))</f>
        <v>0</v>
      </c>
      <c r="V417" s="16"/>
      <c r="W417" s="119" t="str">
        <f t="shared" si="6"/>
        <v/>
      </c>
      <c r="X417" s="564">
        <f t="shared" si="7"/>
        <v>0</v>
      </c>
      <c r="Y417" s="119"/>
      <c r="Z417" s="119"/>
      <c r="AA417" s="530">
        <f>IFERROR(__xludf.DUMMYFUNCTION("""COMPUTED_VALUE"""),409.0)</f>
        <v>409</v>
      </c>
      <c r="AB417" s="119"/>
      <c r="AC417" s="119"/>
      <c r="AD417" s="119"/>
      <c r="AE417" s="119"/>
      <c r="AF417" s="119"/>
      <c r="AG417" s="555" t="str">
        <f t="shared" si="8"/>
        <v>  ---&gt;     ---&gt;   </v>
      </c>
      <c r="AH417" s="16"/>
      <c r="AI417" s="439"/>
      <c r="AJ417" s="439"/>
      <c r="AK417" s="439"/>
    </row>
    <row r="418" ht="18.75" customHeight="1">
      <c r="A418" s="439"/>
      <c r="B418" s="546"/>
      <c r="C418" s="547"/>
      <c r="D418" s="446">
        <f>IF(C418=0,0,(VLOOKUP(C418,'PO MTRL'!$B$9:$S1518,2,0)))</f>
        <v>0</v>
      </c>
      <c r="E418" s="548" t="str">
        <f>IF(C418="","",(VLOOKUP(C418,'PO MTRL'!$B$9:$S1518,3,0)))</f>
        <v/>
      </c>
      <c r="F418" s="549">
        <f>IF(C418=0,0,(VLOOKUP(C418,'PO MTRL'!$B$9:$S1518,4,0)))</f>
        <v>0</v>
      </c>
      <c r="G418" s="444"/>
      <c r="H418" s="550">
        <f>IF(C418=0,0,(VLOOKUP(C418,'PO MTRL'!$B$9:$S1518,6,0)))</f>
        <v>0</v>
      </c>
      <c r="I418" s="446">
        <f>IF(C418=0,0,(VLOOKUP(C418,'PO MTRL'!$B$9:$S1518,7,0)))</f>
        <v>0</v>
      </c>
      <c r="J418" s="551">
        <f>IF(C418=0,0,(VLOOKUP(C418,'PO MTRL'!$B$9:$S1518,8,0)))</f>
        <v>0</v>
      </c>
      <c r="K418" s="559"/>
      <c r="L418" s="448">
        <f t="shared" si="1"/>
        <v>0</v>
      </c>
      <c r="M418" s="551">
        <f t="shared" si="2"/>
        <v>0</v>
      </c>
      <c r="N418" s="449">
        <f t="shared" si="3"/>
        <v>0</v>
      </c>
      <c r="O418" s="551">
        <f>IF(H418=0,0,(VLOOKUP(H418,'PO MTRL'!$G$9:$S1518,5,0)))</f>
        <v>0</v>
      </c>
      <c r="P418" s="551">
        <f>IF(H418=0,0,(VLOOKUP(H418,'PO MTRL'!$G$9:$S1518,7,0)))</f>
        <v>0</v>
      </c>
      <c r="Q418" s="551">
        <f t="shared" si="4"/>
        <v>0</v>
      </c>
      <c r="R418" s="551">
        <f t="shared" si="5"/>
        <v>0</v>
      </c>
      <c r="S418" s="550">
        <f>IF(C418=0,0,(VLOOKUP(C418,'PO MTRL'!$B$9:$S1518,17,0)))</f>
        <v>0</v>
      </c>
      <c r="T418" s="553"/>
      <c r="U418" s="554">
        <f>IF(C418=0,0,(VLOOKUP(C418,'PO MTRL'!$B$9:$S1518,18,0)))</f>
        <v>0</v>
      </c>
      <c r="V418" s="16"/>
      <c r="W418" s="119" t="str">
        <f t="shared" si="6"/>
        <v/>
      </c>
      <c r="X418" s="564">
        <f t="shared" si="7"/>
        <v>0</v>
      </c>
      <c r="Y418" s="119"/>
      <c r="Z418" s="119"/>
      <c r="AA418" s="530">
        <f>IFERROR(__xludf.DUMMYFUNCTION("""COMPUTED_VALUE"""),410.0)</f>
        <v>410</v>
      </c>
      <c r="AB418" s="119"/>
      <c r="AC418" s="119"/>
      <c r="AD418" s="119"/>
      <c r="AE418" s="119"/>
      <c r="AF418" s="119"/>
      <c r="AG418" s="555" t="str">
        <f t="shared" si="8"/>
        <v>  ---&gt;     ---&gt;   </v>
      </c>
      <c r="AH418" s="16"/>
      <c r="AI418" s="439"/>
      <c r="AJ418" s="439"/>
      <c r="AK418" s="439"/>
    </row>
    <row r="419" ht="18.75" customHeight="1">
      <c r="A419" s="439"/>
      <c r="B419" s="546"/>
      <c r="C419" s="547"/>
      <c r="D419" s="446">
        <f>IF(C419=0,0,(VLOOKUP(C419,'PO MTRL'!$B$9:$S1518,2,0)))</f>
        <v>0</v>
      </c>
      <c r="E419" s="548" t="str">
        <f>IF(C419="","",(VLOOKUP(C419,'PO MTRL'!$B$9:$S1518,3,0)))</f>
        <v/>
      </c>
      <c r="F419" s="549">
        <f>IF(C419=0,0,(VLOOKUP(C419,'PO MTRL'!$B$9:$S1518,4,0)))</f>
        <v>0</v>
      </c>
      <c r="G419" s="444"/>
      <c r="H419" s="550">
        <f>IF(C419=0,0,(VLOOKUP(C419,'PO MTRL'!$B$9:$S1518,6,0)))</f>
        <v>0</v>
      </c>
      <c r="I419" s="446">
        <f>IF(C419=0,0,(VLOOKUP(C419,'PO MTRL'!$B$9:$S1518,7,0)))</f>
        <v>0</v>
      </c>
      <c r="J419" s="551">
        <f>IF(C419=0,0,(VLOOKUP(C419,'PO MTRL'!$B$9:$S1518,8,0)))</f>
        <v>0</v>
      </c>
      <c r="K419" s="559"/>
      <c r="L419" s="448">
        <f t="shared" si="1"/>
        <v>0</v>
      </c>
      <c r="M419" s="551">
        <f t="shared" si="2"/>
        <v>0</v>
      </c>
      <c r="N419" s="449">
        <f t="shared" si="3"/>
        <v>0</v>
      </c>
      <c r="O419" s="551">
        <f>IF(H419=0,0,(VLOOKUP(H419,'PO MTRL'!$G$9:$S1518,5,0)))</f>
        <v>0</v>
      </c>
      <c r="P419" s="551">
        <f>IF(H419=0,0,(VLOOKUP(H419,'PO MTRL'!$G$9:$S1518,7,0)))</f>
        <v>0</v>
      </c>
      <c r="Q419" s="551">
        <f t="shared" si="4"/>
        <v>0</v>
      </c>
      <c r="R419" s="551">
        <f t="shared" si="5"/>
        <v>0</v>
      </c>
      <c r="S419" s="550">
        <f>IF(C419=0,0,(VLOOKUP(C419,'PO MTRL'!$B$9:$S1518,17,0)))</f>
        <v>0</v>
      </c>
      <c r="T419" s="553"/>
      <c r="U419" s="554">
        <f>IF(C419=0,0,(VLOOKUP(C419,'PO MTRL'!$B$9:$S1518,18,0)))</f>
        <v>0</v>
      </c>
      <c r="V419" s="16"/>
      <c r="W419" s="119" t="str">
        <f t="shared" si="6"/>
        <v/>
      </c>
      <c r="X419" s="564">
        <f t="shared" si="7"/>
        <v>0</v>
      </c>
      <c r="Y419" s="119"/>
      <c r="Z419" s="119"/>
      <c r="AA419" s="530">
        <f>IFERROR(__xludf.DUMMYFUNCTION("""COMPUTED_VALUE"""),411.0)</f>
        <v>411</v>
      </c>
      <c r="AB419" s="119"/>
      <c r="AC419" s="119"/>
      <c r="AD419" s="119"/>
      <c r="AE419" s="119"/>
      <c r="AF419" s="119"/>
      <c r="AG419" s="555" t="str">
        <f t="shared" si="8"/>
        <v>  ---&gt;     ---&gt;   </v>
      </c>
      <c r="AH419" s="16"/>
      <c r="AI419" s="439"/>
      <c r="AJ419" s="439"/>
      <c r="AK419" s="439"/>
    </row>
    <row r="420" ht="18.75" customHeight="1">
      <c r="A420" s="439"/>
      <c r="B420" s="546"/>
      <c r="C420" s="547"/>
      <c r="D420" s="446">
        <f>IF(C420=0,0,(VLOOKUP(C420,'PO MTRL'!$B$9:$S1518,2,0)))</f>
        <v>0</v>
      </c>
      <c r="E420" s="548" t="str">
        <f>IF(C420="","",(VLOOKUP(C420,'PO MTRL'!$B$9:$S1518,3,0)))</f>
        <v/>
      </c>
      <c r="F420" s="549">
        <f>IF(C420=0,0,(VLOOKUP(C420,'PO MTRL'!$B$9:$S1518,4,0)))</f>
        <v>0</v>
      </c>
      <c r="G420" s="444"/>
      <c r="H420" s="550">
        <f>IF(C420=0,0,(VLOOKUP(C420,'PO MTRL'!$B$9:$S1518,6,0)))</f>
        <v>0</v>
      </c>
      <c r="I420" s="446">
        <f>IF(C420=0,0,(VLOOKUP(C420,'PO MTRL'!$B$9:$S1518,7,0)))</f>
        <v>0</v>
      </c>
      <c r="J420" s="551">
        <f>IF(C420=0,0,(VLOOKUP(C420,'PO MTRL'!$B$9:$S1518,8,0)))</f>
        <v>0</v>
      </c>
      <c r="K420" s="559"/>
      <c r="L420" s="448">
        <f t="shared" si="1"/>
        <v>0</v>
      </c>
      <c r="M420" s="551">
        <f t="shared" si="2"/>
        <v>0</v>
      </c>
      <c r="N420" s="449">
        <f t="shared" si="3"/>
        <v>0</v>
      </c>
      <c r="O420" s="551">
        <f>IF(H420=0,0,(VLOOKUP(H420,'PO MTRL'!$G$9:$S1518,5,0)))</f>
        <v>0</v>
      </c>
      <c r="P420" s="551">
        <f>IF(H420=0,0,(VLOOKUP(H420,'PO MTRL'!$G$9:$S1518,7,0)))</f>
        <v>0</v>
      </c>
      <c r="Q420" s="551">
        <f t="shared" si="4"/>
        <v>0</v>
      </c>
      <c r="R420" s="551">
        <f t="shared" si="5"/>
        <v>0</v>
      </c>
      <c r="S420" s="550">
        <f>IF(C420=0,0,(VLOOKUP(C420,'PO MTRL'!$B$9:$S1518,17,0)))</f>
        <v>0</v>
      </c>
      <c r="T420" s="553"/>
      <c r="U420" s="554">
        <f>IF(C420=0,0,(VLOOKUP(C420,'PO MTRL'!$B$9:$S1518,18,0)))</f>
        <v>0</v>
      </c>
      <c r="V420" s="16"/>
      <c r="W420" s="119" t="str">
        <f t="shared" si="6"/>
        <v/>
      </c>
      <c r="X420" s="564">
        <f t="shared" si="7"/>
        <v>0</v>
      </c>
      <c r="Y420" s="119"/>
      <c r="Z420" s="119"/>
      <c r="AA420" s="530">
        <f>IFERROR(__xludf.DUMMYFUNCTION("""COMPUTED_VALUE"""),412.0)</f>
        <v>412</v>
      </c>
      <c r="AB420" s="119"/>
      <c r="AC420" s="119"/>
      <c r="AD420" s="119"/>
      <c r="AE420" s="119"/>
      <c r="AF420" s="119"/>
      <c r="AG420" s="555" t="str">
        <f t="shared" si="8"/>
        <v>  ---&gt;     ---&gt;   </v>
      </c>
      <c r="AH420" s="16"/>
      <c r="AI420" s="439"/>
      <c r="AJ420" s="439"/>
      <c r="AK420" s="439"/>
    </row>
    <row r="421" ht="18.75" customHeight="1">
      <c r="A421" s="439"/>
      <c r="B421" s="546"/>
      <c r="C421" s="547"/>
      <c r="D421" s="446">
        <f>IF(C421=0,0,(VLOOKUP(C421,'PO MTRL'!$B$9:$S1518,2,0)))</f>
        <v>0</v>
      </c>
      <c r="E421" s="548" t="str">
        <f>IF(C421="","",(VLOOKUP(C421,'PO MTRL'!$B$9:$S1518,3,0)))</f>
        <v/>
      </c>
      <c r="F421" s="549">
        <f>IF(C421=0,0,(VLOOKUP(C421,'PO MTRL'!$B$9:$S1518,4,0)))</f>
        <v>0</v>
      </c>
      <c r="G421" s="444"/>
      <c r="H421" s="550">
        <f>IF(C421=0,0,(VLOOKUP(C421,'PO MTRL'!$B$9:$S1518,6,0)))</f>
        <v>0</v>
      </c>
      <c r="I421" s="446">
        <f>IF(C421=0,0,(VLOOKUP(C421,'PO MTRL'!$B$9:$S1518,7,0)))</f>
        <v>0</v>
      </c>
      <c r="J421" s="551">
        <f>IF(C421=0,0,(VLOOKUP(C421,'PO MTRL'!$B$9:$S1518,8,0)))</f>
        <v>0</v>
      </c>
      <c r="K421" s="559"/>
      <c r="L421" s="448">
        <f t="shared" si="1"/>
        <v>0</v>
      </c>
      <c r="M421" s="551">
        <f t="shared" si="2"/>
        <v>0</v>
      </c>
      <c r="N421" s="449">
        <f t="shared" si="3"/>
        <v>0</v>
      </c>
      <c r="O421" s="551">
        <f>IF(H421=0,0,(VLOOKUP(H421,'PO MTRL'!$G$9:$S1518,5,0)))</f>
        <v>0</v>
      </c>
      <c r="P421" s="551">
        <f>IF(H421=0,0,(VLOOKUP(H421,'PO MTRL'!$G$9:$S1518,7,0)))</f>
        <v>0</v>
      </c>
      <c r="Q421" s="551">
        <f t="shared" si="4"/>
        <v>0</v>
      </c>
      <c r="R421" s="551">
        <f t="shared" si="5"/>
        <v>0</v>
      </c>
      <c r="S421" s="550">
        <f>IF(C421=0,0,(VLOOKUP(C421,'PO MTRL'!$B$9:$S1518,17,0)))</f>
        <v>0</v>
      </c>
      <c r="T421" s="553"/>
      <c r="U421" s="554">
        <f>IF(C421=0,0,(VLOOKUP(C421,'PO MTRL'!$B$9:$S1518,18,0)))</f>
        <v>0</v>
      </c>
      <c r="V421" s="16"/>
      <c r="W421" s="119" t="str">
        <f t="shared" si="6"/>
        <v/>
      </c>
      <c r="X421" s="564">
        <f t="shared" si="7"/>
        <v>0</v>
      </c>
      <c r="Y421" s="119"/>
      <c r="Z421" s="119"/>
      <c r="AA421" s="530">
        <f>IFERROR(__xludf.DUMMYFUNCTION("""COMPUTED_VALUE"""),413.0)</f>
        <v>413</v>
      </c>
      <c r="AB421" s="119"/>
      <c r="AC421" s="119"/>
      <c r="AD421" s="119"/>
      <c r="AE421" s="119"/>
      <c r="AF421" s="119"/>
      <c r="AG421" s="555" t="str">
        <f t="shared" si="8"/>
        <v>  ---&gt;     ---&gt;   </v>
      </c>
      <c r="AH421" s="16"/>
      <c r="AI421" s="439"/>
      <c r="AJ421" s="439"/>
      <c r="AK421" s="439"/>
    </row>
    <row r="422" ht="18.75" customHeight="1">
      <c r="A422" s="439"/>
      <c r="B422" s="546"/>
      <c r="C422" s="547"/>
      <c r="D422" s="446">
        <f>IF(C422=0,0,(VLOOKUP(C422,'PO MTRL'!$B$9:$S1518,2,0)))</f>
        <v>0</v>
      </c>
      <c r="E422" s="548" t="str">
        <f>IF(C422="","",(VLOOKUP(C422,'PO MTRL'!$B$9:$S1518,3,0)))</f>
        <v/>
      </c>
      <c r="F422" s="549">
        <f>IF(C422=0,0,(VLOOKUP(C422,'PO MTRL'!$B$9:$S1518,4,0)))</f>
        <v>0</v>
      </c>
      <c r="G422" s="444"/>
      <c r="H422" s="550">
        <f>IF(C422=0,0,(VLOOKUP(C422,'PO MTRL'!$B$9:$S1518,6,0)))</f>
        <v>0</v>
      </c>
      <c r="I422" s="446">
        <f>IF(C422=0,0,(VLOOKUP(C422,'PO MTRL'!$B$9:$S1518,7,0)))</f>
        <v>0</v>
      </c>
      <c r="J422" s="551">
        <f>IF(C422=0,0,(VLOOKUP(C422,'PO MTRL'!$B$9:$S1518,8,0)))</f>
        <v>0</v>
      </c>
      <c r="K422" s="559"/>
      <c r="L422" s="448">
        <f t="shared" si="1"/>
        <v>0</v>
      </c>
      <c r="M422" s="551">
        <f t="shared" si="2"/>
        <v>0</v>
      </c>
      <c r="N422" s="449">
        <f t="shared" si="3"/>
        <v>0</v>
      </c>
      <c r="O422" s="551">
        <f>IF(H422=0,0,(VLOOKUP(H422,'PO MTRL'!$G$9:$S1518,5,0)))</f>
        <v>0</v>
      </c>
      <c r="P422" s="551">
        <f>IF(H422=0,0,(VLOOKUP(H422,'PO MTRL'!$G$9:$S1518,7,0)))</f>
        <v>0</v>
      </c>
      <c r="Q422" s="551">
        <f t="shared" si="4"/>
        <v>0</v>
      </c>
      <c r="R422" s="551">
        <f t="shared" si="5"/>
        <v>0</v>
      </c>
      <c r="S422" s="550">
        <f>IF(C422=0,0,(VLOOKUP(C422,'PO MTRL'!$B$9:$S1518,17,0)))</f>
        <v>0</v>
      </c>
      <c r="T422" s="553"/>
      <c r="U422" s="554">
        <f>IF(C422=0,0,(VLOOKUP(C422,'PO MTRL'!$B$9:$S1518,18,0)))</f>
        <v>0</v>
      </c>
      <c r="V422" s="16"/>
      <c r="W422" s="119" t="str">
        <f t="shared" si="6"/>
        <v/>
      </c>
      <c r="X422" s="564">
        <f t="shared" si="7"/>
        <v>0</v>
      </c>
      <c r="Y422" s="119"/>
      <c r="Z422" s="119"/>
      <c r="AA422" s="530">
        <f>IFERROR(__xludf.DUMMYFUNCTION("""COMPUTED_VALUE"""),414.0)</f>
        <v>414</v>
      </c>
      <c r="AB422" s="119"/>
      <c r="AC422" s="119"/>
      <c r="AD422" s="119"/>
      <c r="AE422" s="119"/>
      <c r="AF422" s="119"/>
      <c r="AG422" s="555" t="str">
        <f t="shared" si="8"/>
        <v>  ---&gt;     ---&gt;   </v>
      </c>
      <c r="AH422" s="16"/>
      <c r="AI422" s="439"/>
      <c r="AJ422" s="439"/>
      <c r="AK422" s="439"/>
    </row>
    <row r="423" ht="18.75" customHeight="1">
      <c r="A423" s="439"/>
      <c r="B423" s="546"/>
      <c r="C423" s="547"/>
      <c r="D423" s="446">
        <f>IF(C423=0,0,(VLOOKUP(C423,'PO MTRL'!$B$9:$S1518,2,0)))</f>
        <v>0</v>
      </c>
      <c r="E423" s="548" t="str">
        <f>IF(C423="","",(VLOOKUP(C423,'PO MTRL'!$B$9:$S1518,3,0)))</f>
        <v/>
      </c>
      <c r="F423" s="549">
        <f>IF(C423=0,0,(VLOOKUP(C423,'PO MTRL'!$B$9:$S1518,4,0)))</f>
        <v>0</v>
      </c>
      <c r="G423" s="444"/>
      <c r="H423" s="550">
        <f>IF(C423=0,0,(VLOOKUP(C423,'PO MTRL'!$B$9:$S1518,6,0)))</f>
        <v>0</v>
      </c>
      <c r="I423" s="446">
        <f>IF(C423=0,0,(VLOOKUP(C423,'PO MTRL'!$B$9:$S1518,7,0)))</f>
        <v>0</v>
      </c>
      <c r="J423" s="551">
        <f>IF(C423=0,0,(VLOOKUP(C423,'PO MTRL'!$B$9:$S1518,8,0)))</f>
        <v>0</v>
      </c>
      <c r="K423" s="559"/>
      <c r="L423" s="448">
        <f t="shared" si="1"/>
        <v>0</v>
      </c>
      <c r="M423" s="551">
        <f t="shared" si="2"/>
        <v>0</v>
      </c>
      <c r="N423" s="449">
        <f t="shared" si="3"/>
        <v>0</v>
      </c>
      <c r="O423" s="551">
        <f>IF(H423=0,0,(VLOOKUP(H423,'PO MTRL'!$G$9:$S1518,5,0)))</f>
        <v>0</v>
      </c>
      <c r="P423" s="551">
        <f>IF(H423=0,0,(VLOOKUP(H423,'PO MTRL'!$G$9:$S1518,7,0)))</f>
        <v>0</v>
      </c>
      <c r="Q423" s="551">
        <f t="shared" si="4"/>
        <v>0</v>
      </c>
      <c r="R423" s="551">
        <f t="shared" si="5"/>
        <v>0</v>
      </c>
      <c r="S423" s="550">
        <f>IF(C423=0,0,(VLOOKUP(C423,'PO MTRL'!$B$9:$S1518,17,0)))</f>
        <v>0</v>
      </c>
      <c r="T423" s="553"/>
      <c r="U423" s="554">
        <f>IF(C423=0,0,(VLOOKUP(C423,'PO MTRL'!$B$9:$S1518,18,0)))</f>
        <v>0</v>
      </c>
      <c r="V423" s="16"/>
      <c r="W423" s="119" t="str">
        <f t="shared" si="6"/>
        <v/>
      </c>
      <c r="X423" s="564">
        <f t="shared" si="7"/>
        <v>0</v>
      </c>
      <c r="Y423" s="119"/>
      <c r="Z423" s="119"/>
      <c r="AA423" s="530">
        <f>IFERROR(__xludf.DUMMYFUNCTION("""COMPUTED_VALUE"""),415.0)</f>
        <v>415</v>
      </c>
      <c r="AB423" s="119"/>
      <c r="AC423" s="119"/>
      <c r="AD423" s="119"/>
      <c r="AE423" s="119"/>
      <c r="AF423" s="119"/>
      <c r="AG423" s="555" t="str">
        <f t="shared" si="8"/>
        <v>  ---&gt;     ---&gt;   </v>
      </c>
      <c r="AH423" s="16"/>
      <c r="AI423" s="439"/>
      <c r="AJ423" s="439"/>
      <c r="AK423" s="439"/>
    </row>
    <row r="424" ht="18.75" customHeight="1">
      <c r="A424" s="439"/>
      <c r="B424" s="546"/>
      <c r="C424" s="547"/>
      <c r="D424" s="446">
        <f>IF(C424=0,0,(VLOOKUP(C424,'PO MTRL'!$B$9:$S1518,2,0)))</f>
        <v>0</v>
      </c>
      <c r="E424" s="548" t="str">
        <f>IF(C424="","",(VLOOKUP(C424,'PO MTRL'!$B$9:$S1518,3,0)))</f>
        <v/>
      </c>
      <c r="F424" s="549">
        <f>IF(C424=0,0,(VLOOKUP(C424,'PO MTRL'!$B$9:$S1518,4,0)))</f>
        <v>0</v>
      </c>
      <c r="G424" s="444"/>
      <c r="H424" s="550">
        <f>IF(C424=0,0,(VLOOKUP(C424,'PO MTRL'!$B$9:$S1518,6,0)))</f>
        <v>0</v>
      </c>
      <c r="I424" s="446">
        <f>IF(C424=0,0,(VLOOKUP(C424,'PO MTRL'!$B$9:$S1518,7,0)))</f>
        <v>0</v>
      </c>
      <c r="J424" s="551">
        <f>IF(C424=0,0,(VLOOKUP(C424,'PO MTRL'!$B$9:$S1518,8,0)))</f>
        <v>0</v>
      </c>
      <c r="K424" s="559"/>
      <c r="L424" s="448">
        <f t="shared" si="1"/>
        <v>0</v>
      </c>
      <c r="M424" s="551">
        <f t="shared" si="2"/>
        <v>0</v>
      </c>
      <c r="N424" s="449">
        <f t="shared" si="3"/>
        <v>0</v>
      </c>
      <c r="O424" s="551">
        <f>IF(H424=0,0,(VLOOKUP(H424,'PO MTRL'!$G$9:$S1518,5,0)))</f>
        <v>0</v>
      </c>
      <c r="P424" s="551">
        <f>IF(H424=0,0,(VLOOKUP(H424,'PO MTRL'!$G$9:$S1518,7,0)))</f>
        <v>0</v>
      </c>
      <c r="Q424" s="551">
        <f t="shared" si="4"/>
        <v>0</v>
      </c>
      <c r="R424" s="551">
        <f t="shared" si="5"/>
        <v>0</v>
      </c>
      <c r="S424" s="550">
        <f>IF(C424=0,0,(VLOOKUP(C424,'PO MTRL'!$B$9:$S1518,17,0)))</f>
        <v>0</v>
      </c>
      <c r="T424" s="553"/>
      <c r="U424" s="554">
        <f>IF(C424=0,0,(VLOOKUP(C424,'PO MTRL'!$B$9:$S1518,18,0)))</f>
        <v>0</v>
      </c>
      <c r="V424" s="16"/>
      <c r="W424" s="119" t="str">
        <f t="shared" si="6"/>
        <v/>
      </c>
      <c r="X424" s="564">
        <f t="shared" si="7"/>
        <v>0</v>
      </c>
      <c r="Y424" s="119"/>
      <c r="Z424" s="119"/>
      <c r="AA424" s="530">
        <f>IFERROR(__xludf.DUMMYFUNCTION("""COMPUTED_VALUE"""),416.0)</f>
        <v>416</v>
      </c>
      <c r="AB424" s="119"/>
      <c r="AC424" s="119"/>
      <c r="AD424" s="119"/>
      <c r="AE424" s="119"/>
      <c r="AF424" s="119"/>
      <c r="AG424" s="555" t="str">
        <f t="shared" si="8"/>
        <v>  ---&gt;     ---&gt;   </v>
      </c>
      <c r="AH424" s="16"/>
      <c r="AI424" s="439"/>
      <c r="AJ424" s="439"/>
      <c r="AK424" s="439"/>
    </row>
    <row r="425" ht="18.75" customHeight="1">
      <c r="A425" s="439"/>
      <c r="B425" s="546"/>
      <c r="C425" s="547"/>
      <c r="D425" s="446">
        <f>IF(C425=0,0,(VLOOKUP(C425,'PO MTRL'!$B$9:$S1518,2,0)))</f>
        <v>0</v>
      </c>
      <c r="E425" s="548" t="str">
        <f>IF(C425="","",(VLOOKUP(C425,'PO MTRL'!$B$9:$S1518,3,0)))</f>
        <v/>
      </c>
      <c r="F425" s="549">
        <f>IF(C425=0,0,(VLOOKUP(C425,'PO MTRL'!$B$9:$S1518,4,0)))</f>
        <v>0</v>
      </c>
      <c r="G425" s="444"/>
      <c r="H425" s="550">
        <f>IF(C425=0,0,(VLOOKUP(C425,'PO MTRL'!$B$9:$S1518,6,0)))</f>
        <v>0</v>
      </c>
      <c r="I425" s="446">
        <f>IF(C425=0,0,(VLOOKUP(C425,'PO MTRL'!$B$9:$S1518,7,0)))</f>
        <v>0</v>
      </c>
      <c r="J425" s="551">
        <f>IF(C425=0,0,(VLOOKUP(C425,'PO MTRL'!$B$9:$S1518,8,0)))</f>
        <v>0</v>
      </c>
      <c r="K425" s="559"/>
      <c r="L425" s="448">
        <f t="shared" si="1"/>
        <v>0</v>
      </c>
      <c r="M425" s="551">
        <f t="shared" si="2"/>
        <v>0</v>
      </c>
      <c r="N425" s="449">
        <f t="shared" si="3"/>
        <v>0</v>
      </c>
      <c r="O425" s="551">
        <f>IF(H425=0,0,(VLOOKUP(H425,'PO MTRL'!$G$9:$S1518,5,0)))</f>
        <v>0</v>
      </c>
      <c r="P425" s="551">
        <f>IF(H425=0,0,(VLOOKUP(H425,'PO MTRL'!$G$9:$S1518,7,0)))</f>
        <v>0</v>
      </c>
      <c r="Q425" s="551">
        <f t="shared" si="4"/>
        <v>0</v>
      </c>
      <c r="R425" s="551">
        <f t="shared" si="5"/>
        <v>0</v>
      </c>
      <c r="S425" s="550">
        <f>IF(C425=0,0,(VLOOKUP(C425,'PO MTRL'!$B$9:$S1518,17,0)))</f>
        <v>0</v>
      </c>
      <c r="T425" s="553"/>
      <c r="U425" s="554">
        <f>IF(C425=0,0,(VLOOKUP(C425,'PO MTRL'!$B$9:$S1518,18,0)))</f>
        <v>0</v>
      </c>
      <c r="V425" s="16"/>
      <c r="W425" s="119" t="str">
        <f t="shared" si="6"/>
        <v/>
      </c>
      <c r="X425" s="564">
        <f t="shared" si="7"/>
        <v>0</v>
      </c>
      <c r="Y425" s="119"/>
      <c r="Z425" s="119"/>
      <c r="AA425" s="530">
        <f>IFERROR(__xludf.DUMMYFUNCTION("""COMPUTED_VALUE"""),417.0)</f>
        <v>417</v>
      </c>
      <c r="AB425" s="119"/>
      <c r="AC425" s="119"/>
      <c r="AD425" s="119"/>
      <c r="AE425" s="119"/>
      <c r="AF425" s="119"/>
      <c r="AG425" s="555" t="str">
        <f t="shared" si="8"/>
        <v>  ---&gt;     ---&gt;   </v>
      </c>
      <c r="AH425" s="16"/>
      <c r="AI425" s="439"/>
      <c r="AJ425" s="439"/>
      <c r="AK425" s="439"/>
    </row>
    <row r="426" ht="18.75" customHeight="1">
      <c r="A426" s="439"/>
      <c r="B426" s="546"/>
      <c r="C426" s="547"/>
      <c r="D426" s="446">
        <f>IF(C426=0,0,(VLOOKUP(C426,'PO MTRL'!$B$9:$S1518,2,0)))</f>
        <v>0</v>
      </c>
      <c r="E426" s="548" t="str">
        <f>IF(C426="","",(VLOOKUP(C426,'PO MTRL'!$B$9:$S1518,3,0)))</f>
        <v/>
      </c>
      <c r="F426" s="549">
        <f>IF(C426=0,0,(VLOOKUP(C426,'PO MTRL'!$B$9:$S1518,4,0)))</f>
        <v>0</v>
      </c>
      <c r="G426" s="444"/>
      <c r="H426" s="550">
        <f>IF(C426=0,0,(VLOOKUP(C426,'PO MTRL'!$B$9:$S1518,6,0)))</f>
        <v>0</v>
      </c>
      <c r="I426" s="446">
        <f>IF(C426=0,0,(VLOOKUP(C426,'PO MTRL'!$B$9:$S1518,7,0)))</f>
        <v>0</v>
      </c>
      <c r="J426" s="551">
        <f>IF(C426=0,0,(VLOOKUP(C426,'PO MTRL'!$B$9:$S1518,8,0)))</f>
        <v>0</v>
      </c>
      <c r="K426" s="559"/>
      <c r="L426" s="448">
        <f t="shared" si="1"/>
        <v>0</v>
      </c>
      <c r="M426" s="551">
        <f t="shared" si="2"/>
        <v>0</v>
      </c>
      <c r="N426" s="449">
        <f t="shared" si="3"/>
        <v>0</v>
      </c>
      <c r="O426" s="551">
        <f>IF(H426=0,0,(VLOOKUP(H426,'PO MTRL'!$G$9:$S1518,5,0)))</f>
        <v>0</v>
      </c>
      <c r="P426" s="551">
        <f>IF(H426=0,0,(VLOOKUP(H426,'PO MTRL'!$G$9:$S1518,7,0)))</f>
        <v>0</v>
      </c>
      <c r="Q426" s="551">
        <f t="shared" si="4"/>
        <v>0</v>
      </c>
      <c r="R426" s="551">
        <f t="shared" si="5"/>
        <v>0</v>
      </c>
      <c r="S426" s="550">
        <f>IF(C426=0,0,(VLOOKUP(C426,'PO MTRL'!$B$9:$S1518,17,0)))</f>
        <v>0</v>
      </c>
      <c r="T426" s="553"/>
      <c r="U426" s="554">
        <f>IF(C426=0,0,(VLOOKUP(C426,'PO MTRL'!$B$9:$S1518,18,0)))</f>
        <v>0</v>
      </c>
      <c r="V426" s="16"/>
      <c r="W426" s="119" t="str">
        <f t="shared" si="6"/>
        <v/>
      </c>
      <c r="X426" s="564">
        <f t="shared" si="7"/>
        <v>0</v>
      </c>
      <c r="Y426" s="119"/>
      <c r="Z426" s="119"/>
      <c r="AA426" s="530">
        <f>IFERROR(__xludf.DUMMYFUNCTION("""COMPUTED_VALUE"""),418.0)</f>
        <v>418</v>
      </c>
      <c r="AB426" s="119"/>
      <c r="AC426" s="119"/>
      <c r="AD426" s="119"/>
      <c r="AE426" s="119"/>
      <c r="AF426" s="119"/>
      <c r="AG426" s="555" t="str">
        <f t="shared" si="8"/>
        <v>  ---&gt;     ---&gt;   </v>
      </c>
      <c r="AH426" s="16"/>
      <c r="AI426" s="439"/>
      <c r="AJ426" s="439"/>
      <c r="AK426" s="439"/>
    </row>
    <row r="427" ht="18.75" customHeight="1">
      <c r="A427" s="439"/>
      <c r="B427" s="546"/>
      <c r="C427" s="547"/>
      <c r="D427" s="446">
        <f>IF(C427=0,0,(VLOOKUP(C427,'PO MTRL'!$B$9:$S1518,2,0)))</f>
        <v>0</v>
      </c>
      <c r="E427" s="548" t="str">
        <f>IF(C427="","",(VLOOKUP(C427,'PO MTRL'!$B$9:$S1518,3,0)))</f>
        <v/>
      </c>
      <c r="F427" s="549">
        <f>IF(C427=0,0,(VLOOKUP(C427,'PO MTRL'!$B$9:$S1518,4,0)))</f>
        <v>0</v>
      </c>
      <c r="G427" s="444"/>
      <c r="H427" s="550">
        <f>IF(C427=0,0,(VLOOKUP(C427,'PO MTRL'!$B$9:$S1518,6,0)))</f>
        <v>0</v>
      </c>
      <c r="I427" s="446">
        <f>IF(C427=0,0,(VLOOKUP(C427,'PO MTRL'!$B$9:$S1518,7,0)))</f>
        <v>0</v>
      </c>
      <c r="J427" s="551">
        <f>IF(C427=0,0,(VLOOKUP(C427,'PO MTRL'!$B$9:$S1518,8,0)))</f>
        <v>0</v>
      </c>
      <c r="K427" s="559"/>
      <c r="L427" s="448">
        <f t="shared" si="1"/>
        <v>0</v>
      </c>
      <c r="M427" s="551">
        <f t="shared" si="2"/>
        <v>0</v>
      </c>
      <c r="N427" s="449">
        <f t="shared" si="3"/>
        <v>0</v>
      </c>
      <c r="O427" s="551">
        <f>IF(H427=0,0,(VLOOKUP(H427,'PO MTRL'!$G$9:$S1518,5,0)))</f>
        <v>0</v>
      </c>
      <c r="P427" s="551">
        <f>IF(H427=0,0,(VLOOKUP(H427,'PO MTRL'!$G$9:$S1518,7,0)))</f>
        <v>0</v>
      </c>
      <c r="Q427" s="551">
        <f t="shared" si="4"/>
        <v>0</v>
      </c>
      <c r="R427" s="551">
        <f t="shared" si="5"/>
        <v>0</v>
      </c>
      <c r="S427" s="550">
        <f>IF(C427=0,0,(VLOOKUP(C427,'PO MTRL'!$B$9:$S1518,17,0)))</f>
        <v>0</v>
      </c>
      <c r="T427" s="553"/>
      <c r="U427" s="554">
        <f>IF(C427=0,0,(VLOOKUP(C427,'PO MTRL'!$B$9:$S1518,18,0)))</f>
        <v>0</v>
      </c>
      <c r="V427" s="16"/>
      <c r="W427" s="119" t="str">
        <f t="shared" si="6"/>
        <v/>
      </c>
      <c r="X427" s="564">
        <f t="shared" si="7"/>
        <v>0</v>
      </c>
      <c r="Y427" s="119"/>
      <c r="Z427" s="119"/>
      <c r="AA427" s="530">
        <f>IFERROR(__xludf.DUMMYFUNCTION("""COMPUTED_VALUE"""),419.0)</f>
        <v>419</v>
      </c>
      <c r="AB427" s="119"/>
      <c r="AC427" s="119"/>
      <c r="AD427" s="119"/>
      <c r="AE427" s="119"/>
      <c r="AF427" s="119"/>
      <c r="AG427" s="555" t="str">
        <f t="shared" si="8"/>
        <v>  ---&gt;     ---&gt;   </v>
      </c>
      <c r="AH427" s="16"/>
      <c r="AI427" s="439"/>
      <c r="AJ427" s="439"/>
      <c r="AK427" s="439"/>
    </row>
    <row r="428" ht="18.75" customHeight="1">
      <c r="A428" s="439"/>
      <c r="B428" s="546"/>
      <c r="C428" s="547"/>
      <c r="D428" s="446">
        <f>IF(C428=0,0,(VLOOKUP(C428,'PO MTRL'!$B$9:$S1518,2,0)))</f>
        <v>0</v>
      </c>
      <c r="E428" s="548" t="str">
        <f>IF(C428="","",(VLOOKUP(C428,'PO MTRL'!$B$9:$S1518,3,0)))</f>
        <v/>
      </c>
      <c r="F428" s="549">
        <f>IF(C428=0,0,(VLOOKUP(C428,'PO MTRL'!$B$9:$S1518,4,0)))</f>
        <v>0</v>
      </c>
      <c r="G428" s="444"/>
      <c r="H428" s="550">
        <f>IF(C428=0,0,(VLOOKUP(C428,'PO MTRL'!$B$9:$S1518,6,0)))</f>
        <v>0</v>
      </c>
      <c r="I428" s="446">
        <f>IF(C428=0,0,(VLOOKUP(C428,'PO MTRL'!$B$9:$S1518,7,0)))</f>
        <v>0</v>
      </c>
      <c r="J428" s="551">
        <f>IF(C428=0,0,(VLOOKUP(C428,'PO MTRL'!$B$9:$S1518,8,0)))</f>
        <v>0</v>
      </c>
      <c r="K428" s="559"/>
      <c r="L428" s="448">
        <f t="shared" si="1"/>
        <v>0</v>
      </c>
      <c r="M428" s="551">
        <f t="shared" si="2"/>
        <v>0</v>
      </c>
      <c r="N428" s="449">
        <f t="shared" si="3"/>
        <v>0</v>
      </c>
      <c r="O428" s="551">
        <f>IF(H428=0,0,(VLOOKUP(H428,'PO MTRL'!$G$9:$S1518,5,0)))</f>
        <v>0</v>
      </c>
      <c r="P428" s="551">
        <f>IF(H428=0,0,(VLOOKUP(H428,'PO MTRL'!$G$9:$S1518,7,0)))</f>
        <v>0</v>
      </c>
      <c r="Q428" s="551">
        <f t="shared" si="4"/>
        <v>0</v>
      </c>
      <c r="R428" s="551">
        <f t="shared" si="5"/>
        <v>0</v>
      </c>
      <c r="S428" s="550">
        <f>IF(C428=0,0,(VLOOKUP(C428,'PO MTRL'!$B$9:$S1518,17,0)))</f>
        <v>0</v>
      </c>
      <c r="T428" s="553"/>
      <c r="U428" s="554">
        <f>IF(C428=0,0,(VLOOKUP(C428,'PO MTRL'!$B$9:$S1518,18,0)))</f>
        <v>0</v>
      </c>
      <c r="V428" s="16"/>
      <c r="W428" s="119" t="str">
        <f t="shared" si="6"/>
        <v/>
      </c>
      <c r="X428" s="564">
        <f t="shared" si="7"/>
        <v>0</v>
      </c>
      <c r="Y428" s="119"/>
      <c r="Z428" s="119"/>
      <c r="AA428" s="530">
        <f>IFERROR(__xludf.DUMMYFUNCTION("""COMPUTED_VALUE"""),420.0)</f>
        <v>420</v>
      </c>
      <c r="AB428" s="119"/>
      <c r="AC428" s="119"/>
      <c r="AD428" s="119"/>
      <c r="AE428" s="119"/>
      <c r="AF428" s="119"/>
      <c r="AG428" s="555" t="str">
        <f t="shared" si="8"/>
        <v>  ---&gt;     ---&gt;   </v>
      </c>
      <c r="AH428" s="16"/>
      <c r="AI428" s="439"/>
      <c r="AJ428" s="439"/>
      <c r="AK428" s="439"/>
    </row>
    <row r="429" ht="18.75" customHeight="1">
      <c r="A429" s="439"/>
      <c r="B429" s="546"/>
      <c r="C429" s="547"/>
      <c r="D429" s="446">
        <f>IF(C429=0,0,(VLOOKUP(C429,'PO MTRL'!$B$9:$S1518,2,0)))</f>
        <v>0</v>
      </c>
      <c r="E429" s="548" t="str">
        <f>IF(C429="","",(VLOOKUP(C429,'PO MTRL'!$B$9:$S1518,3,0)))</f>
        <v/>
      </c>
      <c r="F429" s="549">
        <f>IF(C429=0,0,(VLOOKUP(C429,'PO MTRL'!$B$9:$S1518,4,0)))</f>
        <v>0</v>
      </c>
      <c r="G429" s="444"/>
      <c r="H429" s="550">
        <f>IF(C429=0,0,(VLOOKUP(C429,'PO MTRL'!$B$9:$S1518,6,0)))</f>
        <v>0</v>
      </c>
      <c r="I429" s="446">
        <f>IF(C429=0,0,(VLOOKUP(C429,'PO MTRL'!$B$9:$S1518,7,0)))</f>
        <v>0</v>
      </c>
      <c r="J429" s="551">
        <f>IF(C429=0,0,(VLOOKUP(C429,'PO MTRL'!$B$9:$S1518,8,0)))</f>
        <v>0</v>
      </c>
      <c r="K429" s="559"/>
      <c r="L429" s="448">
        <f t="shared" si="1"/>
        <v>0</v>
      </c>
      <c r="M429" s="551">
        <f t="shared" si="2"/>
        <v>0</v>
      </c>
      <c r="N429" s="449">
        <f t="shared" si="3"/>
        <v>0</v>
      </c>
      <c r="O429" s="551">
        <f>IF(H429=0,0,(VLOOKUP(H429,'PO MTRL'!$G$9:$S1518,5,0)))</f>
        <v>0</v>
      </c>
      <c r="P429" s="551">
        <f>IF(H429=0,0,(VLOOKUP(H429,'PO MTRL'!$G$9:$S1518,7,0)))</f>
        <v>0</v>
      </c>
      <c r="Q429" s="551">
        <f t="shared" si="4"/>
        <v>0</v>
      </c>
      <c r="R429" s="551">
        <f t="shared" si="5"/>
        <v>0</v>
      </c>
      <c r="S429" s="550">
        <f>IF(C429=0,0,(VLOOKUP(C429,'PO MTRL'!$B$9:$S1518,17,0)))</f>
        <v>0</v>
      </c>
      <c r="T429" s="553"/>
      <c r="U429" s="554">
        <f>IF(C429=0,0,(VLOOKUP(C429,'PO MTRL'!$B$9:$S1518,18,0)))</f>
        <v>0</v>
      </c>
      <c r="V429" s="16"/>
      <c r="W429" s="119" t="str">
        <f t="shared" si="6"/>
        <v/>
      </c>
      <c r="X429" s="564">
        <f t="shared" si="7"/>
        <v>0</v>
      </c>
      <c r="Y429" s="119"/>
      <c r="Z429" s="119"/>
      <c r="AA429" s="530">
        <f>IFERROR(__xludf.DUMMYFUNCTION("""COMPUTED_VALUE"""),421.0)</f>
        <v>421</v>
      </c>
      <c r="AB429" s="119"/>
      <c r="AC429" s="119"/>
      <c r="AD429" s="119"/>
      <c r="AE429" s="119"/>
      <c r="AF429" s="119"/>
      <c r="AG429" s="555" t="str">
        <f t="shared" si="8"/>
        <v>  ---&gt;     ---&gt;   </v>
      </c>
      <c r="AH429" s="16"/>
      <c r="AI429" s="439"/>
      <c r="AJ429" s="439"/>
      <c r="AK429" s="439"/>
    </row>
    <row r="430" ht="18.75" customHeight="1">
      <c r="A430" s="439"/>
      <c r="B430" s="546"/>
      <c r="C430" s="547"/>
      <c r="D430" s="446">
        <f>IF(C430=0,0,(VLOOKUP(C430,'PO MTRL'!$B$9:$S1518,2,0)))</f>
        <v>0</v>
      </c>
      <c r="E430" s="548" t="str">
        <f>IF(C430="","",(VLOOKUP(C430,'PO MTRL'!$B$9:$S1518,3,0)))</f>
        <v/>
      </c>
      <c r="F430" s="549">
        <f>IF(C430=0,0,(VLOOKUP(C430,'PO MTRL'!$B$9:$S1518,4,0)))</f>
        <v>0</v>
      </c>
      <c r="G430" s="444"/>
      <c r="H430" s="550">
        <f>IF(C430=0,0,(VLOOKUP(C430,'PO MTRL'!$B$9:$S1518,6,0)))</f>
        <v>0</v>
      </c>
      <c r="I430" s="446">
        <f>IF(C430=0,0,(VLOOKUP(C430,'PO MTRL'!$B$9:$S1518,7,0)))</f>
        <v>0</v>
      </c>
      <c r="J430" s="551">
        <f>IF(C430=0,0,(VLOOKUP(C430,'PO MTRL'!$B$9:$S1518,8,0)))</f>
        <v>0</v>
      </c>
      <c r="K430" s="559"/>
      <c r="L430" s="448">
        <f t="shared" si="1"/>
        <v>0</v>
      </c>
      <c r="M430" s="551">
        <f t="shared" si="2"/>
        <v>0</v>
      </c>
      <c r="N430" s="449">
        <f t="shared" si="3"/>
        <v>0</v>
      </c>
      <c r="O430" s="551">
        <f>IF(H430=0,0,(VLOOKUP(H430,'PO MTRL'!$G$9:$S1518,5,0)))</f>
        <v>0</v>
      </c>
      <c r="P430" s="551">
        <f>IF(H430=0,0,(VLOOKUP(H430,'PO MTRL'!$G$9:$S1518,7,0)))</f>
        <v>0</v>
      </c>
      <c r="Q430" s="551">
        <f t="shared" si="4"/>
        <v>0</v>
      </c>
      <c r="R430" s="551">
        <f t="shared" si="5"/>
        <v>0</v>
      </c>
      <c r="S430" s="550">
        <f>IF(C430=0,0,(VLOOKUP(C430,'PO MTRL'!$B$9:$S1518,17,0)))</f>
        <v>0</v>
      </c>
      <c r="T430" s="553"/>
      <c r="U430" s="554">
        <f>IF(C430=0,0,(VLOOKUP(C430,'PO MTRL'!$B$9:$S1518,18,0)))</f>
        <v>0</v>
      </c>
      <c r="V430" s="16"/>
      <c r="W430" s="119" t="str">
        <f t="shared" si="6"/>
        <v/>
      </c>
      <c r="X430" s="564">
        <f t="shared" si="7"/>
        <v>0</v>
      </c>
      <c r="Y430" s="119"/>
      <c r="Z430" s="119"/>
      <c r="AA430" s="530">
        <f>IFERROR(__xludf.DUMMYFUNCTION("""COMPUTED_VALUE"""),422.0)</f>
        <v>422</v>
      </c>
      <c r="AB430" s="119"/>
      <c r="AC430" s="119"/>
      <c r="AD430" s="119"/>
      <c r="AE430" s="119"/>
      <c r="AF430" s="119"/>
      <c r="AG430" s="555" t="str">
        <f t="shared" si="8"/>
        <v>  ---&gt;     ---&gt;   </v>
      </c>
      <c r="AH430" s="16"/>
      <c r="AI430" s="439"/>
      <c r="AJ430" s="439"/>
      <c r="AK430" s="439"/>
    </row>
    <row r="431" ht="18.75" customHeight="1">
      <c r="A431" s="439"/>
      <c r="B431" s="546"/>
      <c r="C431" s="547"/>
      <c r="D431" s="446">
        <f>IF(C431=0,0,(VLOOKUP(C431,'PO MTRL'!$B$9:$S1518,2,0)))</f>
        <v>0</v>
      </c>
      <c r="E431" s="548" t="str">
        <f>IF(C431="","",(VLOOKUP(C431,'PO MTRL'!$B$9:$S1518,3,0)))</f>
        <v/>
      </c>
      <c r="F431" s="549">
        <f>IF(C431=0,0,(VLOOKUP(C431,'PO MTRL'!$B$9:$S1518,4,0)))</f>
        <v>0</v>
      </c>
      <c r="G431" s="444"/>
      <c r="H431" s="550">
        <f>IF(C431=0,0,(VLOOKUP(C431,'PO MTRL'!$B$9:$S1518,6,0)))</f>
        <v>0</v>
      </c>
      <c r="I431" s="446">
        <f>IF(C431=0,0,(VLOOKUP(C431,'PO MTRL'!$B$9:$S1518,7,0)))</f>
        <v>0</v>
      </c>
      <c r="J431" s="551">
        <f>IF(C431=0,0,(VLOOKUP(C431,'PO MTRL'!$B$9:$S1518,8,0)))</f>
        <v>0</v>
      </c>
      <c r="K431" s="559"/>
      <c r="L431" s="448">
        <f t="shared" si="1"/>
        <v>0</v>
      </c>
      <c r="M431" s="551">
        <f t="shared" si="2"/>
        <v>0</v>
      </c>
      <c r="N431" s="449">
        <f t="shared" si="3"/>
        <v>0</v>
      </c>
      <c r="O431" s="551">
        <f>IF(H431=0,0,(VLOOKUP(H431,'PO MTRL'!$G$9:$S1518,5,0)))</f>
        <v>0</v>
      </c>
      <c r="P431" s="551">
        <f>IF(H431=0,0,(VLOOKUP(H431,'PO MTRL'!$G$9:$S1518,7,0)))</f>
        <v>0</v>
      </c>
      <c r="Q431" s="551">
        <f t="shared" si="4"/>
        <v>0</v>
      </c>
      <c r="R431" s="551">
        <f t="shared" si="5"/>
        <v>0</v>
      </c>
      <c r="S431" s="550">
        <f>IF(C431=0,0,(VLOOKUP(C431,'PO MTRL'!$B$9:$S1518,17,0)))</f>
        <v>0</v>
      </c>
      <c r="T431" s="553"/>
      <c r="U431" s="554">
        <f>IF(C431=0,0,(VLOOKUP(C431,'PO MTRL'!$B$9:$S1518,18,0)))</f>
        <v>0</v>
      </c>
      <c r="V431" s="16"/>
      <c r="W431" s="119" t="str">
        <f t="shared" si="6"/>
        <v/>
      </c>
      <c r="X431" s="564">
        <f t="shared" si="7"/>
        <v>0</v>
      </c>
      <c r="Y431" s="119"/>
      <c r="Z431" s="119"/>
      <c r="AA431" s="530">
        <f>IFERROR(__xludf.DUMMYFUNCTION("""COMPUTED_VALUE"""),423.0)</f>
        <v>423</v>
      </c>
      <c r="AB431" s="119"/>
      <c r="AC431" s="119"/>
      <c r="AD431" s="119"/>
      <c r="AE431" s="119"/>
      <c r="AF431" s="119"/>
      <c r="AG431" s="555" t="str">
        <f t="shared" si="8"/>
        <v>  ---&gt;     ---&gt;   </v>
      </c>
      <c r="AH431" s="16"/>
      <c r="AI431" s="439"/>
      <c r="AJ431" s="439"/>
      <c r="AK431" s="439"/>
    </row>
    <row r="432" ht="18.75" customHeight="1">
      <c r="A432" s="439"/>
      <c r="B432" s="546"/>
      <c r="C432" s="547"/>
      <c r="D432" s="446">
        <f>IF(C432=0,0,(VLOOKUP(C432,'PO MTRL'!$B$9:$S1518,2,0)))</f>
        <v>0</v>
      </c>
      <c r="E432" s="548" t="str">
        <f>IF(C432="","",(VLOOKUP(C432,'PO MTRL'!$B$9:$S1518,3,0)))</f>
        <v/>
      </c>
      <c r="F432" s="549">
        <f>IF(C432=0,0,(VLOOKUP(C432,'PO MTRL'!$B$9:$S1518,4,0)))</f>
        <v>0</v>
      </c>
      <c r="G432" s="444"/>
      <c r="H432" s="550">
        <f>IF(C432=0,0,(VLOOKUP(C432,'PO MTRL'!$B$9:$S1518,6,0)))</f>
        <v>0</v>
      </c>
      <c r="I432" s="446">
        <f>IF(C432=0,0,(VLOOKUP(C432,'PO MTRL'!$B$9:$S1518,7,0)))</f>
        <v>0</v>
      </c>
      <c r="J432" s="551">
        <f>IF(C432=0,0,(VLOOKUP(C432,'PO MTRL'!$B$9:$S1518,8,0)))</f>
        <v>0</v>
      </c>
      <c r="K432" s="559"/>
      <c r="L432" s="448">
        <f t="shared" si="1"/>
        <v>0</v>
      </c>
      <c r="M432" s="551">
        <f t="shared" si="2"/>
        <v>0</v>
      </c>
      <c r="N432" s="449">
        <f t="shared" si="3"/>
        <v>0</v>
      </c>
      <c r="O432" s="551">
        <f>IF(H432=0,0,(VLOOKUP(H432,'PO MTRL'!$G$9:$S1518,5,0)))</f>
        <v>0</v>
      </c>
      <c r="P432" s="551">
        <f>IF(H432=0,0,(VLOOKUP(H432,'PO MTRL'!$G$9:$S1518,7,0)))</f>
        <v>0</v>
      </c>
      <c r="Q432" s="551">
        <f t="shared" si="4"/>
        <v>0</v>
      </c>
      <c r="R432" s="551">
        <f t="shared" si="5"/>
        <v>0</v>
      </c>
      <c r="S432" s="550">
        <f>IF(C432=0,0,(VLOOKUP(C432,'PO MTRL'!$B$9:$S1518,17,0)))</f>
        <v>0</v>
      </c>
      <c r="T432" s="553"/>
      <c r="U432" s="554">
        <f>IF(C432=0,0,(VLOOKUP(C432,'PO MTRL'!$B$9:$S1518,18,0)))</f>
        <v>0</v>
      </c>
      <c r="V432" s="16"/>
      <c r="W432" s="119" t="str">
        <f t="shared" si="6"/>
        <v/>
      </c>
      <c r="X432" s="564">
        <f t="shared" si="7"/>
        <v>0</v>
      </c>
      <c r="Y432" s="119"/>
      <c r="Z432" s="119"/>
      <c r="AA432" s="530">
        <f>IFERROR(__xludf.DUMMYFUNCTION("""COMPUTED_VALUE"""),424.0)</f>
        <v>424</v>
      </c>
      <c r="AB432" s="119"/>
      <c r="AC432" s="119"/>
      <c r="AD432" s="119"/>
      <c r="AE432" s="119"/>
      <c r="AF432" s="119"/>
      <c r="AG432" s="555" t="str">
        <f t="shared" si="8"/>
        <v>  ---&gt;     ---&gt;   </v>
      </c>
      <c r="AH432" s="16"/>
      <c r="AI432" s="439"/>
      <c r="AJ432" s="439"/>
      <c r="AK432" s="439"/>
    </row>
    <row r="433" ht="18.75" customHeight="1">
      <c r="A433" s="439"/>
      <c r="B433" s="546"/>
      <c r="C433" s="547"/>
      <c r="D433" s="446">
        <f>IF(C433=0,0,(VLOOKUP(C433,'PO MTRL'!$B$9:$S1518,2,0)))</f>
        <v>0</v>
      </c>
      <c r="E433" s="548" t="str">
        <f>IF(C433="","",(VLOOKUP(C433,'PO MTRL'!$B$9:$S1518,3,0)))</f>
        <v/>
      </c>
      <c r="F433" s="549">
        <f>IF(C433=0,0,(VLOOKUP(C433,'PO MTRL'!$B$9:$S1518,4,0)))</f>
        <v>0</v>
      </c>
      <c r="G433" s="444"/>
      <c r="H433" s="550">
        <f>IF(C433=0,0,(VLOOKUP(C433,'PO MTRL'!$B$9:$S1518,6,0)))</f>
        <v>0</v>
      </c>
      <c r="I433" s="446">
        <f>IF(C433=0,0,(VLOOKUP(C433,'PO MTRL'!$B$9:$S1518,7,0)))</f>
        <v>0</v>
      </c>
      <c r="J433" s="551">
        <f>IF(C433=0,0,(VLOOKUP(C433,'PO MTRL'!$B$9:$S1518,8,0)))</f>
        <v>0</v>
      </c>
      <c r="K433" s="559"/>
      <c r="L433" s="448">
        <f t="shared" si="1"/>
        <v>0</v>
      </c>
      <c r="M433" s="551">
        <f t="shared" si="2"/>
        <v>0</v>
      </c>
      <c r="N433" s="449">
        <f t="shared" si="3"/>
        <v>0</v>
      </c>
      <c r="O433" s="551">
        <f>IF(H433=0,0,(VLOOKUP(H433,'PO MTRL'!$G$9:$S1518,5,0)))</f>
        <v>0</v>
      </c>
      <c r="P433" s="551">
        <f>IF(H433=0,0,(VLOOKUP(H433,'PO MTRL'!$G$9:$S1518,7,0)))</f>
        <v>0</v>
      </c>
      <c r="Q433" s="551">
        <f t="shared" si="4"/>
        <v>0</v>
      </c>
      <c r="R433" s="551">
        <f t="shared" si="5"/>
        <v>0</v>
      </c>
      <c r="S433" s="550">
        <f>IF(C433=0,0,(VLOOKUP(C433,'PO MTRL'!$B$9:$S1518,17,0)))</f>
        <v>0</v>
      </c>
      <c r="T433" s="553"/>
      <c r="U433" s="554">
        <f>IF(C433=0,0,(VLOOKUP(C433,'PO MTRL'!$B$9:$S1518,18,0)))</f>
        <v>0</v>
      </c>
      <c r="V433" s="16"/>
      <c r="W433" s="119" t="str">
        <f t="shared" si="6"/>
        <v/>
      </c>
      <c r="X433" s="564">
        <f t="shared" si="7"/>
        <v>0</v>
      </c>
      <c r="Y433" s="119"/>
      <c r="Z433" s="119"/>
      <c r="AA433" s="530">
        <f>IFERROR(__xludf.DUMMYFUNCTION("""COMPUTED_VALUE"""),425.0)</f>
        <v>425</v>
      </c>
      <c r="AB433" s="119"/>
      <c r="AC433" s="119"/>
      <c r="AD433" s="119"/>
      <c r="AE433" s="119"/>
      <c r="AF433" s="119"/>
      <c r="AG433" s="555" t="str">
        <f t="shared" si="8"/>
        <v>  ---&gt;     ---&gt;   </v>
      </c>
      <c r="AH433" s="16"/>
      <c r="AI433" s="439"/>
      <c r="AJ433" s="439"/>
      <c r="AK433" s="439"/>
    </row>
    <row r="434" ht="18.75" customHeight="1">
      <c r="A434" s="439"/>
      <c r="B434" s="546"/>
      <c r="C434" s="547"/>
      <c r="D434" s="446">
        <f>IF(C434=0,0,(VLOOKUP(C434,'PO MTRL'!$B$9:$S1518,2,0)))</f>
        <v>0</v>
      </c>
      <c r="E434" s="548" t="str">
        <f>IF(C434="","",(VLOOKUP(C434,'PO MTRL'!$B$9:$S1518,3,0)))</f>
        <v/>
      </c>
      <c r="F434" s="549">
        <f>IF(C434=0,0,(VLOOKUP(C434,'PO MTRL'!$B$9:$S1518,4,0)))</f>
        <v>0</v>
      </c>
      <c r="G434" s="444"/>
      <c r="H434" s="550">
        <f>IF(C434=0,0,(VLOOKUP(C434,'PO MTRL'!$B$9:$S1518,6,0)))</f>
        <v>0</v>
      </c>
      <c r="I434" s="446">
        <f>IF(C434=0,0,(VLOOKUP(C434,'PO MTRL'!$B$9:$S1518,7,0)))</f>
        <v>0</v>
      </c>
      <c r="J434" s="551">
        <f>IF(C434=0,0,(VLOOKUP(C434,'PO MTRL'!$B$9:$S1518,8,0)))</f>
        <v>0</v>
      </c>
      <c r="K434" s="559"/>
      <c r="L434" s="448">
        <f t="shared" si="1"/>
        <v>0</v>
      </c>
      <c r="M434" s="551">
        <f t="shared" si="2"/>
        <v>0</v>
      </c>
      <c r="N434" s="449">
        <f t="shared" si="3"/>
        <v>0</v>
      </c>
      <c r="O434" s="551">
        <f>IF(H434=0,0,(VLOOKUP(H434,'PO MTRL'!$G$9:$S1518,5,0)))</f>
        <v>0</v>
      </c>
      <c r="P434" s="551">
        <f>IF(H434=0,0,(VLOOKUP(H434,'PO MTRL'!$G$9:$S1518,7,0)))</f>
        <v>0</v>
      </c>
      <c r="Q434" s="551">
        <f t="shared" si="4"/>
        <v>0</v>
      </c>
      <c r="R434" s="551">
        <f t="shared" si="5"/>
        <v>0</v>
      </c>
      <c r="S434" s="550">
        <f>IF(C434=0,0,(VLOOKUP(C434,'PO MTRL'!$B$9:$S1518,17,0)))</f>
        <v>0</v>
      </c>
      <c r="T434" s="553"/>
      <c r="U434" s="554">
        <f>IF(C434=0,0,(VLOOKUP(C434,'PO MTRL'!$B$9:$S1518,18,0)))</f>
        <v>0</v>
      </c>
      <c r="V434" s="16"/>
      <c r="W434" s="119" t="str">
        <f t="shared" si="6"/>
        <v/>
      </c>
      <c r="X434" s="564">
        <f t="shared" si="7"/>
        <v>0</v>
      </c>
      <c r="Y434" s="119"/>
      <c r="Z434" s="119"/>
      <c r="AA434" s="530">
        <f>IFERROR(__xludf.DUMMYFUNCTION("""COMPUTED_VALUE"""),426.0)</f>
        <v>426</v>
      </c>
      <c r="AB434" s="119"/>
      <c r="AC434" s="119"/>
      <c r="AD434" s="119"/>
      <c r="AE434" s="119"/>
      <c r="AF434" s="119"/>
      <c r="AG434" s="555" t="str">
        <f t="shared" si="8"/>
        <v>  ---&gt;     ---&gt;   </v>
      </c>
      <c r="AH434" s="16"/>
      <c r="AI434" s="439"/>
      <c r="AJ434" s="439"/>
      <c r="AK434" s="439"/>
    </row>
    <row r="435" ht="18.75" customHeight="1">
      <c r="A435" s="439"/>
      <c r="B435" s="546"/>
      <c r="C435" s="547"/>
      <c r="D435" s="446">
        <f>IF(C435=0,0,(VLOOKUP(C435,'PO MTRL'!$B$9:$S1518,2,0)))</f>
        <v>0</v>
      </c>
      <c r="E435" s="548" t="str">
        <f>IF(C435="","",(VLOOKUP(C435,'PO MTRL'!$B$9:$S1518,3,0)))</f>
        <v/>
      </c>
      <c r="F435" s="549">
        <f>IF(C435=0,0,(VLOOKUP(C435,'PO MTRL'!$B$9:$S1518,4,0)))</f>
        <v>0</v>
      </c>
      <c r="G435" s="444"/>
      <c r="H435" s="550">
        <f>IF(C435=0,0,(VLOOKUP(C435,'PO MTRL'!$B$9:$S1518,6,0)))</f>
        <v>0</v>
      </c>
      <c r="I435" s="446">
        <f>IF(C435=0,0,(VLOOKUP(C435,'PO MTRL'!$B$9:$S1518,7,0)))</f>
        <v>0</v>
      </c>
      <c r="J435" s="551">
        <f>IF(C435=0,0,(VLOOKUP(C435,'PO MTRL'!$B$9:$S1518,8,0)))</f>
        <v>0</v>
      </c>
      <c r="K435" s="559"/>
      <c r="L435" s="448">
        <f t="shared" si="1"/>
        <v>0</v>
      </c>
      <c r="M435" s="551">
        <f t="shared" si="2"/>
        <v>0</v>
      </c>
      <c r="N435" s="449">
        <f t="shared" si="3"/>
        <v>0</v>
      </c>
      <c r="O435" s="551">
        <f>IF(H435=0,0,(VLOOKUP(H435,'PO MTRL'!$G$9:$S1518,5,0)))</f>
        <v>0</v>
      </c>
      <c r="P435" s="551">
        <f>IF(H435=0,0,(VLOOKUP(H435,'PO MTRL'!$G$9:$S1518,7,0)))</f>
        <v>0</v>
      </c>
      <c r="Q435" s="551">
        <f t="shared" si="4"/>
        <v>0</v>
      </c>
      <c r="R435" s="551">
        <f t="shared" si="5"/>
        <v>0</v>
      </c>
      <c r="S435" s="550">
        <f>IF(C435=0,0,(VLOOKUP(C435,'PO MTRL'!$B$9:$S1518,17,0)))</f>
        <v>0</v>
      </c>
      <c r="T435" s="553"/>
      <c r="U435" s="554">
        <f>IF(C435=0,0,(VLOOKUP(C435,'PO MTRL'!$B$9:$S1518,18,0)))</f>
        <v>0</v>
      </c>
      <c r="V435" s="16"/>
      <c r="W435" s="119" t="str">
        <f t="shared" si="6"/>
        <v/>
      </c>
      <c r="X435" s="564">
        <f t="shared" si="7"/>
        <v>0</v>
      </c>
      <c r="Y435" s="119"/>
      <c r="Z435" s="119"/>
      <c r="AA435" s="530">
        <f>IFERROR(__xludf.DUMMYFUNCTION("""COMPUTED_VALUE"""),427.0)</f>
        <v>427</v>
      </c>
      <c r="AB435" s="119"/>
      <c r="AC435" s="119"/>
      <c r="AD435" s="119"/>
      <c r="AE435" s="119"/>
      <c r="AF435" s="119"/>
      <c r="AG435" s="555" t="str">
        <f t="shared" si="8"/>
        <v>  ---&gt;     ---&gt;   </v>
      </c>
      <c r="AH435" s="16"/>
      <c r="AI435" s="439"/>
      <c r="AJ435" s="439"/>
      <c r="AK435" s="439"/>
    </row>
    <row r="436" ht="18.75" customHeight="1">
      <c r="A436" s="439"/>
      <c r="B436" s="546"/>
      <c r="C436" s="547"/>
      <c r="D436" s="446">
        <f>IF(C436=0,0,(VLOOKUP(C436,'PO MTRL'!$B$9:$S1518,2,0)))</f>
        <v>0</v>
      </c>
      <c r="E436" s="548" t="str">
        <f>IF(C436="","",(VLOOKUP(C436,'PO MTRL'!$B$9:$S1518,3,0)))</f>
        <v/>
      </c>
      <c r="F436" s="549">
        <f>IF(C436=0,0,(VLOOKUP(C436,'PO MTRL'!$B$9:$S1518,4,0)))</f>
        <v>0</v>
      </c>
      <c r="G436" s="444"/>
      <c r="H436" s="550">
        <f>IF(C436=0,0,(VLOOKUP(C436,'PO MTRL'!$B$9:$S1518,6,0)))</f>
        <v>0</v>
      </c>
      <c r="I436" s="446">
        <f>IF(C436=0,0,(VLOOKUP(C436,'PO MTRL'!$B$9:$S1518,7,0)))</f>
        <v>0</v>
      </c>
      <c r="J436" s="551">
        <f>IF(C436=0,0,(VLOOKUP(C436,'PO MTRL'!$B$9:$S1518,8,0)))</f>
        <v>0</v>
      </c>
      <c r="K436" s="559"/>
      <c r="L436" s="448">
        <f t="shared" si="1"/>
        <v>0</v>
      </c>
      <c r="M436" s="551">
        <f t="shared" si="2"/>
        <v>0</v>
      </c>
      <c r="N436" s="449">
        <f t="shared" si="3"/>
        <v>0</v>
      </c>
      <c r="O436" s="551">
        <f>IF(H436=0,0,(VLOOKUP(H436,'PO MTRL'!$G$9:$S1518,5,0)))</f>
        <v>0</v>
      </c>
      <c r="P436" s="551">
        <f>IF(H436=0,0,(VLOOKUP(H436,'PO MTRL'!$G$9:$S1518,7,0)))</f>
        <v>0</v>
      </c>
      <c r="Q436" s="551">
        <f t="shared" si="4"/>
        <v>0</v>
      </c>
      <c r="R436" s="551">
        <f t="shared" si="5"/>
        <v>0</v>
      </c>
      <c r="S436" s="550">
        <f>IF(C436=0,0,(VLOOKUP(C436,'PO MTRL'!$B$9:$S1518,17,0)))</f>
        <v>0</v>
      </c>
      <c r="T436" s="553"/>
      <c r="U436" s="554">
        <f>IF(C436=0,0,(VLOOKUP(C436,'PO MTRL'!$B$9:$S1518,18,0)))</f>
        <v>0</v>
      </c>
      <c r="V436" s="16"/>
      <c r="W436" s="119" t="str">
        <f t="shared" si="6"/>
        <v/>
      </c>
      <c r="X436" s="564">
        <f t="shared" si="7"/>
        <v>0</v>
      </c>
      <c r="Y436" s="119"/>
      <c r="Z436" s="119"/>
      <c r="AA436" s="530">
        <f>IFERROR(__xludf.DUMMYFUNCTION("""COMPUTED_VALUE"""),428.0)</f>
        <v>428</v>
      </c>
      <c r="AB436" s="119"/>
      <c r="AC436" s="119"/>
      <c r="AD436" s="119"/>
      <c r="AE436" s="119"/>
      <c r="AF436" s="119"/>
      <c r="AG436" s="555" t="str">
        <f t="shared" si="8"/>
        <v>  ---&gt;     ---&gt;   </v>
      </c>
      <c r="AH436" s="16"/>
      <c r="AI436" s="439"/>
      <c r="AJ436" s="439"/>
      <c r="AK436" s="439"/>
    </row>
    <row r="437" ht="18.75" customHeight="1">
      <c r="A437" s="439"/>
      <c r="B437" s="546"/>
      <c r="C437" s="547"/>
      <c r="D437" s="446">
        <f>IF(C437=0,0,(VLOOKUP(C437,'PO MTRL'!$B$9:$S1518,2,0)))</f>
        <v>0</v>
      </c>
      <c r="E437" s="548" t="str">
        <f>IF(C437="","",(VLOOKUP(C437,'PO MTRL'!$B$9:$S1518,3,0)))</f>
        <v/>
      </c>
      <c r="F437" s="549">
        <f>IF(C437=0,0,(VLOOKUP(C437,'PO MTRL'!$B$9:$S1518,4,0)))</f>
        <v>0</v>
      </c>
      <c r="G437" s="444"/>
      <c r="H437" s="550">
        <f>IF(C437=0,0,(VLOOKUP(C437,'PO MTRL'!$B$9:$S1518,6,0)))</f>
        <v>0</v>
      </c>
      <c r="I437" s="446">
        <f>IF(C437=0,0,(VLOOKUP(C437,'PO MTRL'!$B$9:$S1518,7,0)))</f>
        <v>0</v>
      </c>
      <c r="J437" s="551">
        <f>IF(C437=0,0,(VLOOKUP(C437,'PO MTRL'!$B$9:$S1518,8,0)))</f>
        <v>0</v>
      </c>
      <c r="K437" s="559"/>
      <c r="L437" s="448">
        <f t="shared" si="1"/>
        <v>0</v>
      </c>
      <c r="M437" s="551">
        <f t="shared" si="2"/>
        <v>0</v>
      </c>
      <c r="N437" s="449">
        <f t="shared" si="3"/>
        <v>0</v>
      </c>
      <c r="O437" s="551">
        <f>IF(H437=0,0,(VLOOKUP(H437,'PO MTRL'!$G$9:$S1518,5,0)))</f>
        <v>0</v>
      </c>
      <c r="P437" s="551">
        <f>IF(H437=0,0,(VLOOKUP(H437,'PO MTRL'!$G$9:$S1518,7,0)))</f>
        <v>0</v>
      </c>
      <c r="Q437" s="551">
        <f t="shared" si="4"/>
        <v>0</v>
      </c>
      <c r="R437" s="551">
        <f t="shared" si="5"/>
        <v>0</v>
      </c>
      <c r="S437" s="550">
        <f>IF(C437=0,0,(VLOOKUP(C437,'PO MTRL'!$B$9:$S1518,17,0)))</f>
        <v>0</v>
      </c>
      <c r="T437" s="553"/>
      <c r="U437" s="554">
        <f>IF(C437=0,0,(VLOOKUP(C437,'PO MTRL'!$B$9:$S1518,18,0)))</f>
        <v>0</v>
      </c>
      <c r="V437" s="16"/>
      <c r="W437" s="119" t="str">
        <f t="shared" si="6"/>
        <v/>
      </c>
      <c r="X437" s="564">
        <f t="shared" si="7"/>
        <v>0</v>
      </c>
      <c r="Y437" s="119"/>
      <c r="Z437" s="119"/>
      <c r="AA437" s="530">
        <f>IFERROR(__xludf.DUMMYFUNCTION("""COMPUTED_VALUE"""),429.0)</f>
        <v>429</v>
      </c>
      <c r="AB437" s="119"/>
      <c r="AC437" s="119"/>
      <c r="AD437" s="119"/>
      <c r="AE437" s="119"/>
      <c r="AF437" s="119"/>
      <c r="AG437" s="555" t="str">
        <f t="shared" si="8"/>
        <v>  ---&gt;     ---&gt;   </v>
      </c>
      <c r="AH437" s="16"/>
      <c r="AI437" s="439"/>
      <c r="AJ437" s="439"/>
      <c r="AK437" s="439"/>
    </row>
    <row r="438" ht="18.75" customHeight="1">
      <c r="A438" s="439"/>
      <c r="B438" s="546"/>
      <c r="C438" s="547"/>
      <c r="D438" s="446">
        <f>IF(C438=0,0,(VLOOKUP(C438,'PO MTRL'!$B$9:$S1518,2,0)))</f>
        <v>0</v>
      </c>
      <c r="E438" s="548" t="str">
        <f>IF(C438="","",(VLOOKUP(C438,'PO MTRL'!$B$9:$S1518,3,0)))</f>
        <v/>
      </c>
      <c r="F438" s="549">
        <f>IF(C438=0,0,(VLOOKUP(C438,'PO MTRL'!$B$9:$S1518,4,0)))</f>
        <v>0</v>
      </c>
      <c r="G438" s="444"/>
      <c r="H438" s="550">
        <f>IF(C438=0,0,(VLOOKUP(C438,'PO MTRL'!$B$9:$S1518,6,0)))</f>
        <v>0</v>
      </c>
      <c r="I438" s="446">
        <f>IF(C438=0,0,(VLOOKUP(C438,'PO MTRL'!$B$9:$S1518,7,0)))</f>
        <v>0</v>
      </c>
      <c r="J438" s="551">
        <f>IF(C438=0,0,(VLOOKUP(C438,'PO MTRL'!$B$9:$S1518,8,0)))</f>
        <v>0</v>
      </c>
      <c r="K438" s="559"/>
      <c r="L438" s="448">
        <f t="shared" si="1"/>
        <v>0</v>
      </c>
      <c r="M438" s="551">
        <f t="shared" si="2"/>
        <v>0</v>
      </c>
      <c r="N438" s="449">
        <f t="shared" si="3"/>
        <v>0</v>
      </c>
      <c r="O438" s="551">
        <f>IF(H438=0,0,(VLOOKUP(H438,'PO MTRL'!$G$9:$S1518,5,0)))</f>
        <v>0</v>
      </c>
      <c r="P438" s="551">
        <f>IF(H438=0,0,(VLOOKUP(H438,'PO MTRL'!$G$9:$S1518,7,0)))</f>
        <v>0</v>
      </c>
      <c r="Q438" s="551">
        <f t="shared" si="4"/>
        <v>0</v>
      </c>
      <c r="R438" s="551">
        <f t="shared" si="5"/>
        <v>0</v>
      </c>
      <c r="S438" s="550">
        <f>IF(C438=0,0,(VLOOKUP(C438,'PO MTRL'!$B$9:$S1518,17,0)))</f>
        <v>0</v>
      </c>
      <c r="T438" s="553"/>
      <c r="U438" s="554">
        <f>IF(C438=0,0,(VLOOKUP(C438,'PO MTRL'!$B$9:$S1518,18,0)))</f>
        <v>0</v>
      </c>
      <c r="V438" s="16"/>
      <c r="W438" s="119" t="str">
        <f t="shared" si="6"/>
        <v/>
      </c>
      <c r="X438" s="564">
        <f t="shared" si="7"/>
        <v>0</v>
      </c>
      <c r="Y438" s="119"/>
      <c r="Z438" s="119"/>
      <c r="AA438" s="530">
        <f>IFERROR(__xludf.DUMMYFUNCTION("""COMPUTED_VALUE"""),430.0)</f>
        <v>430</v>
      </c>
      <c r="AB438" s="119"/>
      <c r="AC438" s="119"/>
      <c r="AD438" s="119"/>
      <c r="AE438" s="119"/>
      <c r="AF438" s="119"/>
      <c r="AG438" s="555" t="str">
        <f t="shared" si="8"/>
        <v>  ---&gt;     ---&gt;   </v>
      </c>
      <c r="AH438" s="16"/>
      <c r="AI438" s="439"/>
      <c r="AJ438" s="439"/>
      <c r="AK438" s="439"/>
    </row>
    <row r="439" ht="18.75" customHeight="1">
      <c r="A439" s="439"/>
      <c r="B439" s="546"/>
      <c r="C439" s="547"/>
      <c r="D439" s="446">
        <f>IF(C439=0,0,(VLOOKUP(C439,'PO MTRL'!$B$9:$S1518,2,0)))</f>
        <v>0</v>
      </c>
      <c r="E439" s="548" t="str">
        <f>IF(C439="","",(VLOOKUP(C439,'PO MTRL'!$B$9:$S1518,3,0)))</f>
        <v/>
      </c>
      <c r="F439" s="549">
        <f>IF(C439=0,0,(VLOOKUP(C439,'PO MTRL'!$B$9:$S1518,4,0)))</f>
        <v>0</v>
      </c>
      <c r="G439" s="444"/>
      <c r="H439" s="550">
        <f>IF(C439=0,0,(VLOOKUP(C439,'PO MTRL'!$B$9:$S1518,6,0)))</f>
        <v>0</v>
      </c>
      <c r="I439" s="446">
        <f>IF(C439=0,0,(VLOOKUP(C439,'PO MTRL'!$B$9:$S1518,7,0)))</f>
        <v>0</v>
      </c>
      <c r="J439" s="551">
        <f>IF(C439=0,0,(VLOOKUP(C439,'PO MTRL'!$B$9:$S1518,8,0)))</f>
        <v>0</v>
      </c>
      <c r="K439" s="559"/>
      <c r="L439" s="448">
        <f t="shared" si="1"/>
        <v>0</v>
      </c>
      <c r="M439" s="551">
        <f t="shared" si="2"/>
        <v>0</v>
      </c>
      <c r="N439" s="449">
        <f t="shared" si="3"/>
        <v>0</v>
      </c>
      <c r="O439" s="551">
        <f>IF(H439=0,0,(VLOOKUP(H439,'PO MTRL'!$G$9:$S1518,5,0)))</f>
        <v>0</v>
      </c>
      <c r="P439" s="551">
        <f>IF(H439=0,0,(VLOOKUP(H439,'PO MTRL'!$G$9:$S1518,7,0)))</f>
        <v>0</v>
      </c>
      <c r="Q439" s="551">
        <f t="shared" si="4"/>
        <v>0</v>
      </c>
      <c r="R439" s="551">
        <f t="shared" si="5"/>
        <v>0</v>
      </c>
      <c r="S439" s="550">
        <f>IF(C439=0,0,(VLOOKUP(C439,'PO MTRL'!$B$9:$S1518,17,0)))</f>
        <v>0</v>
      </c>
      <c r="T439" s="553"/>
      <c r="U439" s="554">
        <f>IF(C439=0,0,(VLOOKUP(C439,'PO MTRL'!$B$9:$S1518,18,0)))</f>
        <v>0</v>
      </c>
      <c r="V439" s="16"/>
      <c r="W439" s="119" t="str">
        <f t="shared" si="6"/>
        <v/>
      </c>
      <c r="X439" s="564">
        <f t="shared" si="7"/>
        <v>0</v>
      </c>
      <c r="Y439" s="119"/>
      <c r="Z439" s="119"/>
      <c r="AA439" s="530">
        <f>IFERROR(__xludf.DUMMYFUNCTION("""COMPUTED_VALUE"""),431.0)</f>
        <v>431</v>
      </c>
      <c r="AB439" s="119"/>
      <c r="AC439" s="119"/>
      <c r="AD439" s="119"/>
      <c r="AE439" s="119"/>
      <c r="AF439" s="119"/>
      <c r="AG439" s="555" t="str">
        <f t="shared" si="8"/>
        <v>  ---&gt;     ---&gt;   </v>
      </c>
      <c r="AH439" s="16"/>
      <c r="AI439" s="439"/>
      <c r="AJ439" s="439"/>
      <c r="AK439" s="439"/>
    </row>
    <row r="440" ht="18.75" customHeight="1">
      <c r="A440" s="439"/>
      <c r="B440" s="546"/>
      <c r="C440" s="547"/>
      <c r="D440" s="446">
        <f>IF(C440=0,0,(VLOOKUP(C440,'PO MTRL'!$B$9:$S1518,2,0)))</f>
        <v>0</v>
      </c>
      <c r="E440" s="548" t="str">
        <f>IF(C440="","",(VLOOKUP(C440,'PO MTRL'!$B$9:$S1518,3,0)))</f>
        <v/>
      </c>
      <c r="F440" s="549">
        <f>IF(C440=0,0,(VLOOKUP(C440,'PO MTRL'!$B$9:$S1518,4,0)))</f>
        <v>0</v>
      </c>
      <c r="G440" s="444"/>
      <c r="H440" s="550">
        <f>IF(C440=0,0,(VLOOKUP(C440,'PO MTRL'!$B$9:$S1518,6,0)))</f>
        <v>0</v>
      </c>
      <c r="I440" s="446">
        <f>IF(C440=0,0,(VLOOKUP(C440,'PO MTRL'!$B$9:$S1518,7,0)))</f>
        <v>0</v>
      </c>
      <c r="J440" s="551">
        <f>IF(C440=0,0,(VLOOKUP(C440,'PO MTRL'!$B$9:$S1518,8,0)))</f>
        <v>0</v>
      </c>
      <c r="K440" s="559"/>
      <c r="L440" s="448">
        <f t="shared" si="1"/>
        <v>0</v>
      </c>
      <c r="M440" s="551">
        <f t="shared" si="2"/>
        <v>0</v>
      </c>
      <c r="N440" s="449">
        <f t="shared" si="3"/>
        <v>0</v>
      </c>
      <c r="O440" s="551">
        <f>IF(H440=0,0,(VLOOKUP(H440,'PO MTRL'!$G$9:$S1518,5,0)))</f>
        <v>0</v>
      </c>
      <c r="P440" s="551">
        <f>IF(H440=0,0,(VLOOKUP(H440,'PO MTRL'!$G$9:$S1518,7,0)))</f>
        <v>0</v>
      </c>
      <c r="Q440" s="551">
        <f t="shared" si="4"/>
        <v>0</v>
      </c>
      <c r="R440" s="551">
        <f t="shared" si="5"/>
        <v>0</v>
      </c>
      <c r="S440" s="550">
        <f>IF(C440=0,0,(VLOOKUP(C440,'PO MTRL'!$B$9:$S1518,17,0)))</f>
        <v>0</v>
      </c>
      <c r="T440" s="553"/>
      <c r="U440" s="554">
        <f>IF(C440=0,0,(VLOOKUP(C440,'PO MTRL'!$B$9:$S1518,18,0)))</f>
        <v>0</v>
      </c>
      <c r="V440" s="16"/>
      <c r="W440" s="119" t="str">
        <f t="shared" si="6"/>
        <v/>
      </c>
      <c r="X440" s="564">
        <f t="shared" si="7"/>
        <v>0</v>
      </c>
      <c r="Y440" s="119"/>
      <c r="Z440" s="119"/>
      <c r="AA440" s="530">
        <f>IFERROR(__xludf.DUMMYFUNCTION("""COMPUTED_VALUE"""),432.0)</f>
        <v>432</v>
      </c>
      <c r="AB440" s="119"/>
      <c r="AC440" s="119"/>
      <c r="AD440" s="119"/>
      <c r="AE440" s="119"/>
      <c r="AF440" s="119"/>
      <c r="AG440" s="555" t="str">
        <f t="shared" si="8"/>
        <v>  ---&gt;     ---&gt;   </v>
      </c>
      <c r="AH440" s="16"/>
      <c r="AI440" s="439"/>
      <c r="AJ440" s="439"/>
      <c r="AK440" s="439"/>
    </row>
    <row r="441" ht="18.75" customHeight="1">
      <c r="A441" s="439"/>
      <c r="B441" s="546"/>
      <c r="C441" s="547"/>
      <c r="D441" s="446">
        <f>IF(C441=0,0,(VLOOKUP(C441,'PO MTRL'!$B$9:$S1518,2,0)))</f>
        <v>0</v>
      </c>
      <c r="E441" s="548" t="str">
        <f>IF(C441="","",(VLOOKUP(C441,'PO MTRL'!$B$9:$S1518,3,0)))</f>
        <v/>
      </c>
      <c r="F441" s="549">
        <f>IF(C441=0,0,(VLOOKUP(C441,'PO MTRL'!$B$9:$S1518,4,0)))</f>
        <v>0</v>
      </c>
      <c r="G441" s="444"/>
      <c r="H441" s="550">
        <f>IF(C441=0,0,(VLOOKUP(C441,'PO MTRL'!$B$9:$S1518,6,0)))</f>
        <v>0</v>
      </c>
      <c r="I441" s="446">
        <f>IF(C441=0,0,(VLOOKUP(C441,'PO MTRL'!$B$9:$S1518,7,0)))</f>
        <v>0</v>
      </c>
      <c r="J441" s="551">
        <f>IF(C441=0,0,(VLOOKUP(C441,'PO MTRL'!$B$9:$S1518,8,0)))</f>
        <v>0</v>
      </c>
      <c r="K441" s="559"/>
      <c r="L441" s="448">
        <f t="shared" si="1"/>
        <v>0</v>
      </c>
      <c r="M441" s="551">
        <f t="shared" si="2"/>
        <v>0</v>
      </c>
      <c r="N441" s="449">
        <f t="shared" si="3"/>
        <v>0</v>
      </c>
      <c r="O441" s="551">
        <f>IF(H441=0,0,(VLOOKUP(H441,'PO MTRL'!$G$9:$S1518,5,0)))</f>
        <v>0</v>
      </c>
      <c r="P441" s="551">
        <f>IF(H441=0,0,(VLOOKUP(H441,'PO MTRL'!$G$9:$S1518,7,0)))</f>
        <v>0</v>
      </c>
      <c r="Q441" s="551">
        <f t="shared" si="4"/>
        <v>0</v>
      </c>
      <c r="R441" s="551">
        <f t="shared" si="5"/>
        <v>0</v>
      </c>
      <c r="S441" s="550">
        <f>IF(C441=0,0,(VLOOKUP(C441,'PO MTRL'!$B$9:$S1518,17,0)))</f>
        <v>0</v>
      </c>
      <c r="T441" s="553"/>
      <c r="U441" s="554">
        <f>IF(C441=0,0,(VLOOKUP(C441,'PO MTRL'!$B$9:$S1518,18,0)))</f>
        <v>0</v>
      </c>
      <c r="V441" s="16"/>
      <c r="W441" s="119" t="str">
        <f t="shared" si="6"/>
        <v/>
      </c>
      <c r="X441" s="564">
        <f t="shared" si="7"/>
        <v>0</v>
      </c>
      <c r="Y441" s="119"/>
      <c r="Z441" s="119"/>
      <c r="AA441" s="530">
        <f>IFERROR(__xludf.DUMMYFUNCTION("""COMPUTED_VALUE"""),433.0)</f>
        <v>433</v>
      </c>
      <c r="AB441" s="119"/>
      <c r="AC441" s="119"/>
      <c r="AD441" s="119"/>
      <c r="AE441" s="119"/>
      <c r="AF441" s="119"/>
      <c r="AG441" s="555" t="str">
        <f t="shared" si="8"/>
        <v>  ---&gt;     ---&gt;   </v>
      </c>
      <c r="AH441" s="16"/>
      <c r="AI441" s="439"/>
      <c r="AJ441" s="439"/>
      <c r="AK441" s="439"/>
    </row>
    <row r="442" ht="18.75" customHeight="1">
      <c r="A442" s="439"/>
      <c r="B442" s="546"/>
      <c r="C442" s="547"/>
      <c r="D442" s="446">
        <f>IF(C442=0,0,(VLOOKUP(C442,'PO MTRL'!$B$9:$S1518,2,0)))</f>
        <v>0</v>
      </c>
      <c r="E442" s="548" t="str">
        <f>IF(C442="","",(VLOOKUP(C442,'PO MTRL'!$B$9:$S1518,3,0)))</f>
        <v/>
      </c>
      <c r="F442" s="549">
        <f>IF(C442=0,0,(VLOOKUP(C442,'PO MTRL'!$B$9:$S1518,4,0)))</f>
        <v>0</v>
      </c>
      <c r="G442" s="444"/>
      <c r="H442" s="550">
        <f>IF(C442=0,0,(VLOOKUP(C442,'PO MTRL'!$B$9:$S1518,6,0)))</f>
        <v>0</v>
      </c>
      <c r="I442" s="446">
        <f>IF(C442=0,0,(VLOOKUP(C442,'PO MTRL'!$B$9:$S1518,7,0)))</f>
        <v>0</v>
      </c>
      <c r="J442" s="551">
        <f>IF(C442=0,0,(VLOOKUP(C442,'PO MTRL'!$B$9:$S1518,8,0)))</f>
        <v>0</v>
      </c>
      <c r="K442" s="559"/>
      <c r="L442" s="448">
        <f t="shared" si="1"/>
        <v>0</v>
      </c>
      <c r="M442" s="551">
        <f t="shared" si="2"/>
        <v>0</v>
      </c>
      <c r="N442" s="449">
        <f t="shared" si="3"/>
        <v>0</v>
      </c>
      <c r="O442" s="551">
        <f>IF(H442=0,0,(VLOOKUP(H442,'PO MTRL'!$G$9:$S1518,5,0)))</f>
        <v>0</v>
      </c>
      <c r="P442" s="551">
        <f>IF(H442=0,0,(VLOOKUP(H442,'PO MTRL'!$G$9:$S1518,7,0)))</f>
        <v>0</v>
      </c>
      <c r="Q442" s="551">
        <f t="shared" si="4"/>
        <v>0</v>
      </c>
      <c r="R442" s="551">
        <f t="shared" si="5"/>
        <v>0</v>
      </c>
      <c r="S442" s="550">
        <f>IF(C442=0,0,(VLOOKUP(C442,'PO MTRL'!$B$9:$S1518,17,0)))</f>
        <v>0</v>
      </c>
      <c r="T442" s="553"/>
      <c r="U442" s="554">
        <f>IF(C442=0,0,(VLOOKUP(C442,'PO MTRL'!$B$9:$S1518,18,0)))</f>
        <v>0</v>
      </c>
      <c r="V442" s="16"/>
      <c r="W442" s="119" t="str">
        <f t="shared" si="6"/>
        <v/>
      </c>
      <c r="X442" s="564">
        <f t="shared" si="7"/>
        <v>0</v>
      </c>
      <c r="Y442" s="119"/>
      <c r="Z442" s="119"/>
      <c r="AA442" s="530">
        <f>IFERROR(__xludf.DUMMYFUNCTION("""COMPUTED_VALUE"""),434.0)</f>
        <v>434</v>
      </c>
      <c r="AB442" s="119"/>
      <c r="AC442" s="119"/>
      <c r="AD442" s="119"/>
      <c r="AE442" s="119"/>
      <c r="AF442" s="119"/>
      <c r="AG442" s="555" t="str">
        <f t="shared" si="8"/>
        <v>  ---&gt;     ---&gt;   </v>
      </c>
      <c r="AH442" s="16"/>
      <c r="AI442" s="439"/>
      <c r="AJ442" s="439"/>
      <c r="AK442" s="439"/>
    </row>
    <row r="443" ht="18.75" customHeight="1">
      <c r="A443" s="439"/>
      <c r="B443" s="546"/>
      <c r="C443" s="547"/>
      <c r="D443" s="446">
        <f>IF(C443=0,0,(VLOOKUP(C443,'PO MTRL'!$B$9:$S1518,2,0)))</f>
        <v>0</v>
      </c>
      <c r="E443" s="548" t="str">
        <f>IF(C443="","",(VLOOKUP(C443,'PO MTRL'!$B$9:$S1518,3,0)))</f>
        <v/>
      </c>
      <c r="F443" s="549">
        <f>IF(C443=0,0,(VLOOKUP(C443,'PO MTRL'!$B$9:$S1518,4,0)))</f>
        <v>0</v>
      </c>
      <c r="G443" s="444"/>
      <c r="H443" s="550">
        <f>IF(C443=0,0,(VLOOKUP(C443,'PO MTRL'!$B$9:$S1518,6,0)))</f>
        <v>0</v>
      </c>
      <c r="I443" s="446">
        <f>IF(C443=0,0,(VLOOKUP(C443,'PO MTRL'!$B$9:$S1518,7,0)))</f>
        <v>0</v>
      </c>
      <c r="J443" s="551">
        <f>IF(C443=0,0,(VLOOKUP(C443,'PO MTRL'!$B$9:$S1518,8,0)))</f>
        <v>0</v>
      </c>
      <c r="K443" s="559"/>
      <c r="L443" s="448">
        <f t="shared" si="1"/>
        <v>0</v>
      </c>
      <c r="M443" s="551">
        <f t="shared" si="2"/>
        <v>0</v>
      </c>
      <c r="N443" s="449">
        <f t="shared" si="3"/>
        <v>0</v>
      </c>
      <c r="O443" s="551">
        <f>IF(H443=0,0,(VLOOKUP(H443,'PO MTRL'!$G$9:$S1518,5,0)))</f>
        <v>0</v>
      </c>
      <c r="P443" s="551">
        <f>IF(H443=0,0,(VLOOKUP(H443,'PO MTRL'!$G$9:$S1518,7,0)))</f>
        <v>0</v>
      </c>
      <c r="Q443" s="551">
        <f t="shared" si="4"/>
        <v>0</v>
      </c>
      <c r="R443" s="551">
        <f t="shared" si="5"/>
        <v>0</v>
      </c>
      <c r="S443" s="550">
        <f>IF(C443=0,0,(VLOOKUP(C443,'PO MTRL'!$B$9:$S1518,17,0)))</f>
        <v>0</v>
      </c>
      <c r="T443" s="553"/>
      <c r="U443" s="554">
        <f>IF(C443=0,0,(VLOOKUP(C443,'PO MTRL'!$B$9:$S1518,18,0)))</f>
        <v>0</v>
      </c>
      <c r="V443" s="16"/>
      <c r="W443" s="119" t="str">
        <f t="shared" si="6"/>
        <v/>
      </c>
      <c r="X443" s="564">
        <f t="shared" si="7"/>
        <v>0</v>
      </c>
      <c r="Y443" s="119"/>
      <c r="Z443" s="119"/>
      <c r="AA443" s="530">
        <f>IFERROR(__xludf.DUMMYFUNCTION("""COMPUTED_VALUE"""),435.0)</f>
        <v>435</v>
      </c>
      <c r="AB443" s="119"/>
      <c r="AC443" s="119"/>
      <c r="AD443" s="119"/>
      <c r="AE443" s="119"/>
      <c r="AF443" s="119"/>
      <c r="AG443" s="555" t="str">
        <f t="shared" si="8"/>
        <v>  ---&gt;     ---&gt;   </v>
      </c>
      <c r="AH443" s="16"/>
      <c r="AI443" s="439"/>
      <c r="AJ443" s="439"/>
      <c r="AK443" s="439"/>
    </row>
    <row r="444" ht="18.75" customHeight="1">
      <c r="A444" s="439"/>
      <c r="B444" s="546"/>
      <c r="C444" s="547"/>
      <c r="D444" s="446">
        <f>IF(C444=0,0,(VLOOKUP(C444,'PO MTRL'!$B$9:$S1518,2,0)))</f>
        <v>0</v>
      </c>
      <c r="E444" s="548" t="str">
        <f>IF(C444="","",(VLOOKUP(C444,'PO MTRL'!$B$9:$S1518,3,0)))</f>
        <v/>
      </c>
      <c r="F444" s="549">
        <f>IF(C444=0,0,(VLOOKUP(C444,'PO MTRL'!$B$9:$S1518,4,0)))</f>
        <v>0</v>
      </c>
      <c r="G444" s="444"/>
      <c r="H444" s="550">
        <f>IF(C444=0,0,(VLOOKUP(C444,'PO MTRL'!$B$9:$S1518,6,0)))</f>
        <v>0</v>
      </c>
      <c r="I444" s="446">
        <f>IF(C444=0,0,(VLOOKUP(C444,'PO MTRL'!$B$9:$S1518,7,0)))</f>
        <v>0</v>
      </c>
      <c r="J444" s="551">
        <f>IF(C444=0,0,(VLOOKUP(C444,'PO MTRL'!$B$9:$S1518,8,0)))</f>
        <v>0</v>
      </c>
      <c r="K444" s="559"/>
      <c r="L444" s="448">
        <f t="shared" si="1"/>
        <v>0</v>
      </c>
      <c r="M444" s="551">
        <f t="shared" si="2"/>
        <v>0</v>
      </c>
      <c r="N444" s="449">
        <f t="shared" si="3"/>
        <v>0</v>
      </c>
      <c r="O444" s="551">
        <f>IF(H444=0,0,(VLOOKUP(H444,'PO MTRL'!$G$9:$S1518,5,0)))</f>
        <v>0</v>
      </c>
      <c r="P444" s="551">
        <f>IF(H444=0,0,(VLOOKUP(H444,'PO MTRL'!$G$9:$S1518,7,0)))</f>
        <v>0</v>
      </c>
      <c r="Q444" s="551">
        <f t="shared" si="4"/>
        <v>0</v>
      </c>
      <c r="R444" s="551">
        <f t="shared" si="5"/>
        <v>0</v>
      </c>
      <c r="S444" s="550">
        <f>IF(C444=0,0,(VLOOKUP(C444,'PO MTRL'!$B$9:$S1518,17,0)))</f>
        <v>0</v>
      </c>
      <c r="T444" s="553"/>
      <c r="U444" s="554">
        <f>IF(C444=0,0,(VLOOKUP(C444,'PO MTRL'!$B$9:$S1518,18,0)))</f>
        <v>0</v>
      </c>
      <c r="V444" s="16"/>
      <c r="W444" s="119" t="str">
        <f t="shared" si="6"/>
        <v/>
      </c>
      <c r="X444" s="564">
        <f t="shared" si="7"/>
        <v>0</v>
      </c>
      <c r="Y444" s="119"/>
      <c r="Z444" s="119"/>
      <c r="AA444" s="530">
        <f>IFERROR(__xludf.DUMMYFUNCTION("""COMPUTED_VALUE"""),436.0)</f>
        <v>436</v>
      </c>
      <c r="AB444" s="119"/>
      <c r="AC444" s="119"/>
      <c r="AD444" s="119"/>
      <c r="AE444" s="119"/>
      <c r="AF444" s="119"/>
      <c r="AG444" s="555" t="str">
        <f t="shared" si="8"/>
        <v>  ---&gt;     ---&gt;   </v>
      </c>
      <c r="AH444" s="16"/>
      <c r="AI444" s="439"/>
      <c r="AJ444" s="439"/>
      <c r="AK444" s="439"/>
    </row>
    <row r="445" ht="18.75" customHeight="1">
      <c r="A445" s="439"/>
      <c r="B445" s="546"/>
      <c r="C445" s="547"/>
      <c r="D445" s="446">
        <f>IF(C445=0,0,(VLOOKUP(C445,'PO MTRL'!$B$9:$S1518,2,0)))</f>
        <v>0</v>
      </c>
      <c r="E445" s="548" t="str">
        <f>IF(C445="","",(VLOOKUP(C445,'PO MTRL'!$B$9:$S1518,3,0)))</f>
        <v/>
      </c>
      <c r="F445" s="549">
        <f>IF(C445=0,0,(VLOOKUP(C445,'PO MTRL'!$B$9:$S1518,4,0)))</f>
        <v>0</v>
      </c>
      <c r="G445" s="444"/>
      <c r="H445" s="550">
        <f>IF(C445=0,0,(VLOOKUP(C445,'PO MTRL'!$B$9:$S1518,6,0)))</f>
        <v>0</v>
      </c>
      <c r="I445" s="446">
        <f>IF(C445=0,0,(VLOOKUP(C445,'PO MTRL'!$B$9:$S1518,7,0)))</f>
        <v>0</v>
      </c>
      <c r="J445" s="551">
        <f>IF(C445=0,0,(VLOOKUP(C445,'PO MTRL'!$B$9:$S1518,8,0)))</f>
        <v>0</v>
      </c>
      <c r="K445" s="559"/>
      <c r="L445" s="448">
        <f t="shared" si="1"/>
        <v>0</v>
      </c>
      <c r="M445" s="551">
        <f t="shared" si="2"/>
        <v>0</v>
      </c>
      <c r="N445" s="449">
        <f t="shared" si="3"/>
        <v>0</v>
      </c>
      <c r="O445" s="551">
        <f>IF(H445=0,0,(VLOOKUP(H445,'PO MTRL'!$G$9:$S1518,5,0)))</f>
        <v>0</v>
      </c>
      <c r="P445" s="551">
        <f>IF(H445=0,0,(VLOOKUP(H445,'PO MTRL'!$G$9:$S1518,7,0)))</f>
        <v>0</v>
      </c>
      <c r="Q445" s="551">
        <f t="shared" si="4"/>
        <v>0</v>
      </c>
      <c r="R445" s="551">
        <f t="shared" si="5"/>
        <v>0</v>
      </c>
      <c r="S445" s="550">
        <f>IF(C445=0,0,(VLOOKUP(C445,'PO MTRL'!$B$9:$S1518,17,0)))</f>
        <v>0</v>
      </c>
      <c r="T445" s="553"/>
      <c r="U445" s="554">
        <f>IF(C445=0,0,(VLOOKUP(C445,'PO MTRL'!$B$9:$S1518,18,0)))</f>
        <v>0</v>
      </c>
      <c r="V445" s="16"/>
      <c r="W445" s="119" t="str">
        <f t="shared" si="6"/>
        <v/>
      </c>
      <c r="X445" s="564">
        <f t="shared" si="7"/>
        <v>0</v>
      </c>
      <c r="Y445" s="119"/>
      <c r="Z445" s="119"/>
      <c r="AA445" s="530">
        <f>IFERROR(__xludf.DUMMYFUNCTION("""COMPUTED_VALUE"""),437.0)</f>
        <v>437</v>
      </c>
      <c r="AB445" s="119"/>
      <c r="AC445" s="119"/>
      <c r="AD445" s="119"/>
      <c r="AE445" s="119"/>
      <c r="AF445" s="119"/>
      <c r="AG445" s="555" t="str">
        <f t="shared" si="8"/>
        <v>  ---&gt;     ---&gt;   </v>
      </c>
      <c r="AH445" s="16"/>
      <c r="AI445" s="439"/>
      <c r="AJ445" s="439"/>
      <c r="AK445" s="439"/>
    </row>
    <row r="446" ht="18.75" customHeight="1">
      <c r="A446" s="439"/>
      <c r="B446" s="546"/>
      <c r="C446" s="547"/>
      <c r="D446" s="446">
        <f>IF(C446=0,0,(VLOOKUP(C446,'PO MTRL'!$B$9:$S1518,2,0)))</f>
        <v>0</v>
      </c>
      <c r="E446" s="548" t="str">
        <f>IF(C446="","",(VLOOKUP(C446,'PO MTRL'!$B$9:$S1518,3,0)))</f>
        <v/>
      </c>
      <c r="F446" s="549">
        <f>IF(C446=0,0,(VLOOKUP(C446,'PO MTRL'!$B$9:$S1518,4,0)))</f>
        <v>0</v>
      </c>
      <c r="G446" s="444"/>
      <c r="H446" s="550">
        <f>IF(C446=0,0,(VLOOKUP(C446,'PO MTRL'!$B$9:$S1518,6,0)))</f>
        <v>0</v>
      </c>
      <c r="I446" s="446">
        <f>IF(C446=0,0,(VLOOKUP(C446,'PO MTRL'!$B$9:$S1518,7,0)))</f>
        <v>0</v>
      </c>
      <c r="J446" s="551">
        <f>IF(C446=0,0,(VLOOKUP(C446,'PO MTRL'!$B$9:$S1518,8,0)))</f>
        <v>0</v>
      </c>
      <c r="K446" s="559"/>
      <c r="L446" s="448">
        <f t="shared" si="1"/>
        <v>0</v>
      </c>
      <c r="M446" s="551">
        <f t="shared" si="2"/>
        <v>0</v>
      </c>
      <c r="N446" s="449">
        <f t="shared" si="3"/>
        <v>0</v>
      </c>
      <c r="O446" s="551">
        <f>IF(H446=0,0,(VLOOKUP(H446,'PO MTRL'!$G$9:$S1518,5,0)))</f>
        <v>0</v>
      </c>
      <c r="P446" s="551">
        <f>IF(H446=0,0,(VLOOKUP(H446,'PO MTRL'!$G$9:$S1518,7,0)))</f>
        <v>0</v>
      </c>
      <c r="Q446" s="551">
        <f t="shared" si="4"/>
        <v>0</v>
      </c>
      <c r="R446" s="551">
        <f t="shared" si="5"/>
        <v>0</v>
      </c>
      <c r="S446" s="550">
        <f>IF(C446=0,0,(VLOOKUP(C446,'PO MTRL'!$B$9:$S1518,17,0)))</f>
        <v>0</v>
      </c>
      <c r="T446" s="553"/>
      <c r="U446" s="554">
        <f>IF(C446=0,0,(VLOOKUP(C446,'PO MTRL'!$B$9:$S1518,18,0)))</f>
        <v>0</v>
      </c>
      <c r="V446" s="16"/>
      <c r="W446" s="119" t="str">
        <f t="shared" si="6"/>
        <v/>
      </c>
      <c r="X446" s="564">
        <f t="shared" si="7"/>
        <v>0</v>
      </c>
      <c r="Y446" s="119"/>
      <c r="Z446" s="119"/>
      <c r="AA446" s="530">
        <f>IFERROR(__xludf.DUMMYFUNCTION("""COMPUTED_VALUE"""),438.0)</f>
        <v>438</v>
      </c>
      <c r="AB446" s="119"/>
      <c r="AC446" s="119"/>
      <c r="AD446" s="119"/>
      <c r="AE446" s="119"/>
      <c r="AF446" s="119"/>
      <c r="AG446" s="555" t="str">
        <f t="shared" si="8"/>
        <v>  ---&gt;     ---&gt;   </v>
      </c>
      <c r="AH446" s="16"/>
      <c r="AI446" s="439"/>
      <c r="AJ446" s="439"/>
      <c r="AK446" s="439"/>
    </row>
    <row r="447" ht="18.75" customHeight="1">
      <c r="A447" s="439"/>
      <c r="B447" s="546"/>
      <c r="C447" s="547"/>
      <c r="D447" s="446">
        <f>IF(C447=0,0,(VLOOKUP(C447,'PO MTRL'!$B$9:$S1518,2,0)))</f>
        <v>0</v>
      </c>
      <c r="E447" s="548" t="str">
        <f>IF(C447="","",(VLOOKUP(C447,'PO MTRL'!$B$9:$S1518,3,0)))</f>
        <v/>
      </c>
      <c r="F447" s="549">
        <f>IF(C447=0,0,(VLOOKUP(C447,'PO MTRL'!$B$9:$S1518,4,0)))</f>
        <v>0</v>
      </c>
      <c r="G447" s="444"/>
      <c r="H447" s="550">
        <f>IF(C447=0,0,(VLOOKUP(C447,'PO MTRL'!$B$9:$S1518,6,0)))</f>
        <v>0</v>
      </c>
      <c r="I447" s="446">
        <f>IF(C447=0,0,(VLOOKUP(C447,'PO MTRL'!$B$9:$S1518,7,0)))</f>
        <v>0</v>
      </c>
      <c r="J447" s="551">
        <f>IF(C447=0,0,(VLOOKUP(C447,'PO MTRL'!$B$9:$S1518,8,0)))</f>
        <v>0</v>
      </c>
      <c r="K447" s="559"/>
      <c r="L447" s="448">
        <f t="shared" si="1"/>
        <v>0</v>
      </c>
      <c r="M447" s="551">
        <f t="shared" si="2"/>
        <v>0</v>
      </c>
      <c r="N447" s="449">
        <f t="shared" si="3"/>
        <v>0</v>
      </c>
      <c r="O447" s="551">
        <f>IF(H447=0,0,(VLOOKUP(H447,'PO MTRL'!$G$9:$S1518,5,0)))</f>
        <v>0</v>
      </c>
      <c r="P447" s="551">
        <f>IF(H447=0,0,(VLOOKUP(H447,'PO MTRL'!$G$9:$S1518,7,0)))</f>
        <v>0</v>
      </c>
      <c r="Q447" s="551">
        <f t="shared" si="4"/>
        <v>0</v>
      </c>
      <c r="R447" s="551">
        <f t="shared" si="5"/>
        <v>0</v>
      </c>
      <c r="S447" s="550">
        <f>IF(C447=0,0,(VLOOKUP(C447,'PO MTRL'!$B$9:$S1518,17,0)))</f>
        <v>0</v>
      </c>
      <c r="T447" s="553"/>
      <c r="U447" s="554">
        <f>IF(C447=0,0,(VLOOKUP(C447,'PO MTRL'!$B$9:$S1518,18,0)))</f>
        <v>0</v>
      </c>
      <c r="V447" s="16"/>
      <c r="W447" s="119" t="str">
        <f t="shared" si="6"/>
        <v/>
      </c>
      <c r="X447" s="564">
        <f t="shared" si="7"/>
        <v>0</v>
      </c>
      <c r="Y447" s="119"/>
      <c r="Z447" s="119"/>
      <c r="AA447" s="530">
        <f>IFERROR(__xludf.DUMMYFUNCTION("""COMPUTED_VALUE"""),439.0)</f>
        <v>439</v>
      </c>
      <c r="AB447" s="119"/>
      <c r="AC447" s="119"/>
      <c r="AD447" s="119"/>
      <c r="AE447" s="119"/>
      <c r="AF447" s="119"/>
      <c r="AG447" s="555" t="str">
        <f t="shared" si="8"/>
        <v>  ---&gt;     ---&gt;   </v>
      </c>
      <c r="AH447" s="16"/>
      <c r="AI447" s="439"/>
      <c r="AJ447" s="439"/>
      <c r="AK447" s="439"/>
    </row>
    <row r="448" ht="18.75" customHeight="1">
      <c r="A448" s="439"/>
      <c r="B448" s="546"/>
      <c r="C448" s="547"/>
      <c r="D448" s="446">
        <f>IF(C448=0,0,(VLOOKUP(C448,'PO MTRL'!$B$9:$S1518,2,0)))</f>
        <v>0</v>
      </c>
      <c r="E448" s="548" t="str">
        <f>IF(C448="","",(VLOOKUP(C448,'PO MTRL'!$B$9:$S1518,3,0)))</f>
        <v/>
      </c>
      <c r="F448" s="549">
        <f>IF(C448=0,0,(VLOOKUP(C448,'PO MTRL'!$B$9:$S1518,4,0)))</f>
        <v>0</v>
      </c>
      <c r="G448" s="444"/>
      <c r="H448" s="550">
        <f>IF(C448=0,0,(VLOOKUP(C448,'PO MTRL'!$B$9:$S1518,6,0)))</f>
        <v>0</v>
      </c>
      <c r="I448" s="446">
        <f>IF(C448=0,0,(VLOOKUP(C448,'PO MTRL'!$B$9:$S1518,7,0)))</f>
        <v>0</v>
      </c>
      <c r="J448" s="551">
        <f>IF(C448=0,0,(VLOOKUP(C448,'PO MTRL'!$B$9:$S1518,8,0)))</f>
        <v>0</v>
      </c>
      <c r="K448" s="559"/>
      <c r="L448" s="448">
        <f t="shared" si="1"/>
        <v>0</v>
      </c>
      <c r="M448" s="551">
        <f t="shared" si="2"/>
        <v>0</v>
      </c>
      <c r="N448" s="449">
        <f t="shared" si="3"/>
        <v>0</v>
      </c>
      <c r="O448" s="551">
        <f>IF(H448=0,0,(VLOOKUP(H448,'PO MTRL'!$G$9:$S1518,5,0)))</f>
        <v>0</v>
      </c>
      <c r="P448" s="551">
        <f>IF(H448=0,0,(VLOOKUP(H448,'PO MTRL'!$G$9:$S1518,7,0)))</f>
        <v>0</v>
      </c>
      <c r="Q448" s="551">
        <f t="shared" si="4"/>
        <v>0</v>
      </c>
      <c r="R448" s="551">
        <f t="shared" si="5"/>
        <v>0</v>
      </c>
      <c r="S448" s="550">
        <f>IF(C448=0,0,(VLOOKUP(C448,'PO MTRL'!$B$9:$S1518,17,0)))</f>
        <v>0</v>
      </c>
      <c r="T448" s="553"/>
      <c r="U448" s="554">
        <f>IF(C448=0,0,(VLOOKUP(C448,'PO MTRL'!$B$9:$S1518,18,0)))</f>
        <v>0</v>
      </c>
      <c r="V448" s="16"/>
      <c r="W448" s="119" t="str">
        <f t="shared" si="6"/>
        <v/>
      </c>
      <c r="X448" s="564">
        <f t="shared" si="7"/>
        <v>0</v>
      </c>
      <c r="Y448" s="119"/>
      <c r="Z448" s="119"/>
      <c r="AA448" s="530">
        <f>IFERROR(__xludf.DUMMYFUNCTION("""COMPUTED_VALUE"""),440.0)</f>
        <v>440</v>
      </c>
      <c r="AB448" s="119"/>
      <c r="AC448" s="119"/>
      <c r="AD448" s="119"/>
      <c r="AE448" s="119"/>
      <c r="AF448" s="119"/>
      <c r="AG448" s="555" t="str">
        <f t="shared" si="8"/>
        <v>  ---&gt;     ---&gt;   </v>
      </c>
      <c r="AH448" s="16"/>
      <c r="AI448" s="439"/>
      <c r="AJ448" s="439"/>
      <c r="AK448" s="439"/>
    </row>
    <row r="449" ht="18.75" customHeight="1">
      <c r="A449" s="439"/>
      <c r="B449" s="546"/>
      <c r="C449" s="547"/>
      <c r="D449" s="446">
        <f>IF(C449=0,0,(VLOOKUP(C449,'PO MTRL'!$B$9:$S1518,2,0)))</f>
        <v>0</v>
      </c>
      <c r="E449" s="548" t="str">
        <f>IF(C449="","",(VLOOKUP(C449,'PO MTRL'!$B$9:$S1518,3,0)))</f>
        <v/>
      </c>
      <c r="F449" s="549">
        <f>IF(C449=0,0,(VLOOKUP(C449,'PO MTRL'!$B$9:$S1518,4,0)))</f>
        <v>0</v>
      </c>
      <c r="G449" s="444"/>
      <c r="H449" s="550">
        <f>IF(C449=0,0,(VLOOKUP(C449,'PO MTRL'!$B$9:$S1518,6,0)))</f>
        <v>0</v>
      </c>
      <c r="I449" s="446">
        <f>IF(C449=0,0,(VLOOKUP(C449,'PO MTRL'!$B$9:$S1518,7,0)))</f>
        <v>0</v>
      </c>
      <c r="J449" s="551">
        <f>IF(C449=0,0,(VLOOKUP(C449,'PO MTRL'!$B$9:$S1518,8,0)))</f>
        <v>0</v>
      </c>
      <c r="K449" s="559"/>
      <c r="L449" s="448">
        <f t="shared" si="1"/>
        <v>0</v>
      </c>
      <c r="M449" s="551">
        <f t="shared" si="2"/>
        <v>0</v>
      </c>
      <c r="N449" s="449">
        <f t="shared" si="3"/>
        <v>0</v>
      </c>
      <c r="O449" s="551">
        <f>IF(H449=0,0,(VLOOKUP(H449,'PO MTRL'!$G$9:$S1518,5,0)))</f>
        <v>0</v>
      </c>
      <c r="P449" s="551">
        <f>IF(H449=0,0,(VLOOKUP(H449,'PO MTRL'!$G$9:$S1518,7,0)))</f>
        <v>0</v>
      </c>
      <c r="Q449" s="551">
        <f t="shared" si="4"/>
        <v>0</v>
      </c>
      <c r="R449" s="551">
        <f t="shared" si="5"/>
        <v>0</v>
      </c>
      <c r="S449" s="550">
        <f>IF(C449=0,0,(VLOOKUP(C449,'PO MTRL'!$B$9:$S1518,17,0)))</f>
        <v>0</v>
      </c>
      <c r="T449" s="553"/>
      <c r="U449" s="554">
        <f>IF(C449=0,0,(VLOOKUP(C449,'PO MTRL'!$B$9:$S1518,18,0)))</f>
        <v>0</v>
      </c>
      <c r="V449" s="16"/>
      <c r="W449" s="119" t="str">
        <f t="shared" si="6"/>
        <v/>
      </c>
      <c r="X449" s="564">
        <f t="shared" si="7"/>
        <v>0</v>
      </c>
      <c r="Y449" s="119"/>
      <c r="Z449" s="119"/>
      <c r="AA449" s="530">
        <f>IFERROR(__xludf.DUMMYFUNCTION("""COMPUTED_VALUE"""),441.0)</f>
        <v>441</v>
      </c>
      <c r="AB449" s="119"/>
      <c r="AC449" s="119"/>
      <c r="AD449" s="119"/>
      <c r="AE449" s="119"/>
      <c r="AF449" s="119"/>
      <c r="AG449" s="555" t="str">
        <f t="shared" si="8"/>
        <v>  ---&gt;     ---&gt;   </v>
      </c>
      <c r="AH449" s="16"/>
      <c r="AI449" s="439"/>
      <c r="AJ449" s="439"/>
      <c r="AK449" s="439"/>
    </row>
    <row r="450" ht="18.75" customHeight="1">
      <c r="A450" s="439"/>
      <c r="B450" s="546"/>
      <c r="C450" s="547"/>
      <c r="D450" s="446">
        <f>IF(C450=0,0,(VLOOKUP(C450,'PO MTRL'!$B$9:$S1518,2,0)))</f>
        <v>0</v>
      </c>
      <c r="E450" s="548" t="str">
        <f>IF(C450="","",(VLOOKUP(C450,'PO MTRL'!$B$9:$S1518,3,0)))</f>
        <v/>
      </c>
      <c r="F450" s="549">
        <f>IF(C450=0,0,(VLOOKUP(C450,'PO MTRL'!$B$9:$S1518,4,0)))</f>
        <v>0</v>
      </c>
      <c r="G450" s="444"/>
      <c r="H450" s="550">
        <f>IF(C450=0,0,(VLOOKUP(C450,'PO MTRL'!$B$9:$S1518,6,0)))</f>
        <v>0</v>
      </c>
      <c r="I450" s="446">
        <f>IF(C450=0,0,(VLOOKUP(C450,'PO MTRL'!$B$9:$S1518,7,0)))</f>
        <v>0</v>
      </c>
      <c r="J450" s="551">
        <f>IF(C450=0,0,(VLOOKUP(C450,'PO MTRL'!$B$9:$S1518,8,0)))</f>
        <v>0</v>
      </c>
      <c r="K450" s="559"/>
      <c r="L450" s="448">
        <f t="shared" si="1"/>
        <v>0</v>
      </c>
      <c r="M450" s="551">
        <f t="shared" si="2"/>
        <v>0</v>
      </c>
      <c r="N450" s="449">
        <f t="shared" si="3"/>
        <v>0</v>
      </c>
      <c r="O450" s="551">
        <f>IF(H450=0,0,(VLOOKUP(H450,'PO MTRL'!$G$9:$S1518,5,0)))</f>
        <v>0</v>
      </c>
      <c r="P450" s="551">
        <f>IF(H450=0,0,(VLOOKUP(H450,'PO MTRL'!$G$9:$S1518,7,0)))</f>
        <v>0</v>
      </c>
      <c r="Q450" s="551">
        <f t="shared" si="4"/>
        <v>0</v>
      </c>
      <c r="R450" s="551">
        <f t="shared" si="5"/>
        <v>0</v>
      </c>
      <c r="S450" s="550">
        <f>IF(C450=0,0,(VLOOKUP(C450,'PO MTRL'!$B$9:$S1518,17,0)))</f>
        <v>0</v>
      </c>
      <c r="T450" s="553"/>
      <c r="U450" s="554">
        <f>IF(C450=0,0,(VLOOKUP(C450,'PO MTRL'!$B$9:$S1518,18,0)))</f>
        <v>0</v>
      </c>
      <c r="V450" s="16"/>
      <c r="W450" s="119" t="str">
        <f t="shared" si="6"/>
        <v/>
      </c>
      <c r="X450" s="564">
        <f t="shared" si="7"/>
        <v>0</v>
      </c>
      <c r="Y450" s="119"/>
      <c r="Z450" s="119"/>
      <c r="AA450" s="530">
        <f>IFERROR(__xludf.DUMMYFUNCTION("""COMPUTED_VALUE"""),442.0)</f>
        <v>442</v>
      </c>
      <c r="AB450" s="119"/>
      <c r="AC450" s="119"/>
      <c r="AD450" s="119"/>
      <c r="AE450" s="119"/>
      <c r="AF450" s="119"/>
      <c r="AG450" s="555" t="str">
        <f t="shared" si="8"/>
        <v>  ---&gt;     ---&gt;   </v>
      </c>
      <c r="AH450" s="16"/>
      <c r="AI450" s="439"/>
      <c r="AJ450" s="439"/>
      <c r="AK450" s="439"/>
    </row>
    <row r="451" ht="18.75" customHeight="1">
      <c r="A451" s="439"/>
      <c r="B451" s="546"/>
      <c r="C451" s="547"/>
      <c r="D451" s="446">
        <f>IF(C451=0,0,(VLOOKUP(C451,'PO MTRL'!$B$9:$S1518,2,0)))</f>
        <v>0</v>
      </c>
      <c r="E451" s="548" t="str">
        <f>IF(C451="","",(VLOOKUP(C451,'PO MTRL'!$B$9:$S1518,3,0)))</f>
        <v/>
      </c>
      <c r="F451" s="549">
        <f>IF(C451=0,0,(VLOOKUP(C451,'PO MTRL'!$B$9:$S1518,4,0)))</f>
        <v>0</v>
      </c>
      <c r="G451" s="444"/>
      <c r="H451" s="550">
        <f>IF(C451=0,0,(VLOOKUP(C451,'PO MTRL'!$B$9:$S1518,6,0)))</f>
        <v>0</v>
      </c>
      <c r="I451" s="446">
        <f>IF(C451=0,0,(VLOOKUP(C451,'PO MTRL'!$B$9:$S1518,7,0)))</f>
        <v>0</v>
      </c>
      <c r="J451" s="551">
        <f>IF(C451=0,0,(VLOOKUP(C451,'PO MTRL'!$B$9:$S1518,8,0)))</f>
        <v>0</v>
      </c>
      <c r="K451" s="559"/>
      <c r="L451" s="448">
        <f t="shared" si="1"/>
        <v>0</v>
      </c>
      <c r="M451" s="551">
        <f t="shared" si="2"/>
        <v>0</v>
      </c>
      <c r="N451" s="449">
        <f t="shared" si="3"/>
        <v>0</v>
      </c>
      <c r="O451" s="551">
        <f>IF(H451=0,0,(VLOOKUP(H451,'PO MTRL'!$G$9:$S1518,5,0)))</f>
        <v>0</v>
      </c>
      <c r="P451" s="551">
        <f>IF(H451=0,0,(VLOOKUP(H451,'PO MTRL'!$G$9:$S1518,7,0)))</f>
        <v>0</v>
      </c>
      <c r="Q451" s="551">
        <f t="shared" si="4"/>
        <v>0</v>
      </c>
      <c r="R451" s="551">
        <f t="shared" si="5"/>
        <v>0</v>
      </c>
      <c r="S451" s="550">
        <f>IF(C451=0,0,(VLOOKUP(C451,'PO MTRL'!$B$9:$S1518,17,0)))</f>
        <v>0</v>
      </c>
      <c r="T451" s="553"/>
      <c r="U451" s="554">
        <f>IF(C451=0,0,(VLOOKUP(C451,'PO MTRL'!$B$9:$S1518,18,0)))</f>
        <v>0</v>
      </c>
      <c r="V451" s="16"/>
      <c r="W451" s="119" t="str">
        <f t="shared" si="6"/>
        <v/>
      </c>
      <c r="X451" s="564">
        <f t="shared" si="7"/>
        <v>0</v>
      </c>
      <c r="Y451" s="119"/>
      <c r="Z451" s="119"/>
      <c r="AA451" s="530">
        <f>IFERROR(__xludf.DUMMYFUNCTION("""COMPUTED_VALUE"""),443.0)</f>
        <v>443</v>
      </c>
      <c r="AB451" s="119"/>
      <c r="AC451" s="119"/>
      <c r="AD451" s="119"/>
      <c r="AE451" s="119"/>
      <c r="AF451" s="119"/>
      <c r="AG451" s="555" t="str">
        <f t="shared" si="8"/>
        <v>  ---&gt;     ---&gt;   </v>
      </c>
      <c r="AH451" s="16"/>
      <c r="AI451" s="439"/>
      <c r="AJ451" s="439"/>
      <c r="AK451" s="439"/>
    </row>
    <row r="452" ht="18.75" customHeight="1">
      <c r="A452" s="439"/>
      <c r="B452" s="546"/>
      <c r="C452" s="547"/>
      <c r="D452" s="446">
        <f>IF(C452=0,0,(VLOOKUP(C452,'PO MTRL'!$B$9:$S1518,2,0)))</f>
        <v>0</v>
      </c>
      <c r="E452" s="548" t="str">
        <f>IF(C452="","",(VLOOKUP(C452,'PO MTRL'!$B$9:$S1518,3,0)))</f>
        <v/>
      </c>
      <c r="F452" s="549">
        <f>IF(C452=0,0,(VLOOKUP(C452,'PO MTRL'!$B$9:$S1518,4,0)))</f>
        <v>0</v>
      </c>
      <c r="G452" s="444"/>
      <c r="H452" s="550">
        <f>IF(C452=0,0,(VLOOKUP(C452,'PO MTRL'!$B$9:$S1518,6,0)))</f>
        <v>0</v>
      </c>
      <c r="I452" s="446">
        <f>IF(C452=0,0,(VLOOKUP(C452,'PO MTRL'!$B$9:$S1518,7,0)))</f>
        <v>0</v>
      </c>
      <c r="J452" s="551">
        <f>IF(C452=0,0,(VLOOKUP(C452,'PO MTRL'!$B$9:$S1518,8,0)))</f>
        <v>0</v>
      </c>
      <c r="K452" s="559"/>
      <c r="L452" s="448">
        <f t="shared" si="1"/>
        <v>0</v>
      </c>
      <c r="M452" s="551">
        <f t="shared" si="2"/>
        <v>0</v>
      </c>
      <c r="N452" s="449">
        <f t="shared" si="3"/>
        <v>0</v>
      </c>
      <c r="O452" s="551">
        <f>IF(H452=0,0,(VLOOKUP(H452,'PO MTRL'!$G$9:$S1518,5,0)))</f>
        <v>0</v>
      </c>
      <c r="P452" s="551">
        <f>IF(H452=0,0,(VLOOKUP(H452,'PO MTRL'!$G$9:$S1518,7,0)))</f>
        <v>0</v>
      </c>
      <c r="Q452" s="551">
        <f t="shared" si="4"/>
        <v>0</v>
      </c>
      <c r="R452" s="551">
        <f t="shared" si="5"/>
        <v>0</v>
      </c>
      <c r="S452" s="550">
        <f>IF(C452=0,0,(VLOOKUP(C452,'PO MTRL'!$B$9:$S1518,17,0)))</f>
        <v>0</v>
      </c>
      <c r="T452" s="553"/>
      <c r="U452" s="554">
        <f>IF(C452=0,0,(VLOOKUP(C452,'PO MTRL'!$B$9:$S1518,18,0)))</f>
        <v>0</v>
      </c>
      <c r="V452" s="16"/>
      <c r="W452" s="119" t="str">
        <f t="shared" si="6"/>
        <v/>
      </c>
      <c r="X452" s="564">
        <f t="shared" si="7"/>
        <v>0</v>
      </c>
      <c r="Y452" s="119"/>
      <c r="Z452" s="119"/>
      <c r="AA452" s="530">
        <f>IFERROR(__xludf.DUMMYFUNCTION("""COMPUTED_VALUE"""),444.0)</f>
        <v>444</v>
      </c>
      <c r="AB452" s="119"/>
      <c r="AC452" s="119"/>
      <c r="AD452" s="119"/>
      <c r="AE452" s="119"/>
      <c r="AF452" s="119"/>
      <c r="AG452" s="555" t="str">
        <f t="shared" si="8"/>
        <v>  ---&gt;     ---&gt;   </v>
      </c>
      <c r="AH452" s="16"/>
      <c r="AI452" s="439"/>
      <c r="AJ452" s="439"/>
      <c r="AK452" s="439"/>
    </row>
    <row r="453" ht="18.75" customHeight="1">
      <c r="A453" s="439"/>
      <c r="B453" s="546"/>
      <c r="C453" s="547"/>
      <c r="D453" s="446">
        <f>IF(C453=0,0,(VLOOKUP(C453,'PO MTRL'!$B$9:$S1518,2,0)))</f>
        <v>0</v>
      </c>
      <c r="E453" s="548" t="str">
        <f>IF(C453="","",(VLOOKUP(C453,'PO MTRL'!$B$9:$S1518,3,0)))</f>
        <v/>
      </c>
      <c r="F453" s="549">
        <f>IF(C453=0,0,(VLOOKUP(C453,'PO MTRL'!$B$9:$S1518,4,0)))</f>
        <v>0</v>
      </c>
      <c r="G453" s="444"/>
      <c r="H453" s="550">
        <f>IF(C453=0,0,(VLOOKUP(C453,'PO MTRL'!$B$9:$S1518,6,0)))</f>
        <v>0</v>
      </c>
      <c r="I453" s="446">
        <f>IF(C453=0,0,(VLOOKUP(C453,'PO MTRL'!$B$9:$S1518,7,0)))</f>
        <v>0</v>
      </c>
      <c r="J453" s="551">
        <f>IF(C453=0,0,(VLOOKUP(C453,'PO MTRL'!$B$9:$S1518,8,0)))</f>
        <v>0</v>
      </c>
      <c r="K453" s="559"/>
      <c r="L453" s="448">
        <f t="shared" si="1"/>
        <v>0</v>
      </c>
      <c r="M453" s="551">
        <f t="shared" si="2"/>
        <v>0</v>
      </c>
      <c r="N453" s="449">
        <f t="shared" si="3"/>
        <v>0</v>
      </c>
      <c r="O453" s="551">
        <f>IF(H453=0,0,(VLOOKUP(H453,'PO MTRL'!$G$9:$S1518,5,0)))</f>
        <v>0</v>
      </c>
      <c r="P453" s="551">
        <f>IF(H453=0,0,(VLOOKUP(H453,'PO MTRL'!$G$9:$S1518,7,0)))</f>
        <v>0</v>
      </c>
      <c r="Q453" s="551">
        <f t="shared" si="4"/>
        <v>0</v>
      </c>
      <c r="R453" s="551">
        <f t="shared" si="5"/>
        <v>0</v>
      </c>
      <c r="S453" s="550">
        <f>IF(C453=0,0,(VLOOKUP(C453,'PO MTRL'!$B$9:$S1518,17,0)))</f>
        <v>0</v>
      </c>
      <c r="T453" s="553"/>
      <c r="U453" s="554">
        <f>IF(C453=0,0,(VLOOKUP(C453,'PO MTRL'!$B$9:$S1518,18,0)))</f>
        <v>0</v>
      </c>
      <c r="V453" s="16"/>
      <c r="W453" s="119" t="str">
        <f t="shared" si="6"/>
        <v/>
      </c>
      <c r="X453" s="564">
        <f t="shared" si="7"/>
        <v>0</v>
      </c>
      <c r="Y453" s="119"/>
      <c r="Z453" s="119"/>
      <c r="AA453" s="530">
        <f>IFERROR(__xludf.DUMMYFUNCTION("""COMPUTED_VALUE"""),445.0)</f>
        <v>445</v>
      </c>
      <c r="AB453" s="119"/>
      <c r="AC453" s="119"/>
      <c r="AD453" s="119"/>
      <c r="AE453" s="119"/>
      <c r="AF453" s="119"/>
      <c r="AG453" s="555" t="str">
        <f t="shared" si="8"/>
        <v>  ---&gt;     ---&gt;   </v>
      </c>
      <c r="AH453" s="16"/>
      <c r="AI453" s="439"/>
      <c r="AJ453" s="439"/>
      <c r="AK453" s="439"/>
    </row>
    <row r="454" ht="18.75" customHeight="1">
      <c r="A454" s="439"/>
      <c r="B454" s="546"/>
      <c r="C454" s="547"/>
      <c r="D454" s="446">
        <f>IF(C454=0,0,(VLOOKUP(C454,'PO MTRL'!$B$9:$S1518,2,0)))</f>
        <v>0</v>
      </c>
      <c r="E454" s="548" t="str">
        <f>IF(C454="","",(VLOOKUP(C454,'PO MTRL'!$B$9:$S1518,3,0)))</f>
        <v/>
      </c>
      <c r="F454" s="549">
        <f>IF(C454=0,0,(VLOOKUP(C454,'PO MTRL'!$B$9:$S1518,4,0)))</f>
        <v>0</v>
      </c>
      <c r="G454" s="444"/>
      <c r="H454" s="550">
        <f>IF(C454=0,0,(VLOOKUP(C454,'PO MTRL'!$B$9:$S1518,6,0)))</f>
        <v>0</v>
      </c>
      <c r="I454" s="446">
        <f>IF(C454=0,0,(VLOOKUP(C454,'PO MTRL'!$B$9:$S1518,7,0)))</f>
        <v>0</v>
      </c>
      <c r="J454" s="551">
        <f>IF(C454=0,0,(VLOOKUP(C454,'PO MTRL'!$B$9:$S1518,8,0)))</f>
        <v>0</v>
      </c>
      <c r="K454" s="559"/>
      <c r="L454" s="448">
        <f t="shared" si="1"/>
        <v>0</v>
      </c>
      <c r="M454" s="551">
        <f t="shared" si="2"/>
        <v>0</v>
      </c>
      <c r="N454" s="449">
        <f t="shared" si="3"/>
        <v>0</v>
      </c>
      <c r="O454" s="551">
        <f>IF(H454=0,0,(VLOOKUP(H454,'PO MTRL'!$G$9:$S1518,5,0)))</f>
        <v>0</v>
      </c>
      <c r="P454" s="551">
        <f>IF(H454=0,0,(VLOOKUP(H454,'PO MTRL'!$G$9:$S1518,7,0)))</f>
        <v>0</v>
      </c>
      <c r="Q454" s="551">
        <f t="shared" si="4"/>
        <v>0</v>
      </c>
      <c r="R454" s="551">
        <f t="shared" si="5"/>
        <v>0</v>
      </c>
      <c r="S454" s="550">
        <f>IF(C454=0,0,(VLOOKUP(C454,'PO MTRL'!$B$9:$S1518,17,0)))</f>
        <v>0</v>
      </c>
      <c r="T454" s="553"/>
      <c r="U454" s="554">
        <f>IF(C454=0,0,(VLOOKUP(C454,'PO MTRL'!$B$9:$S1518,18,0)))</f>
        <v>0</v>
      </c>
      <c r="V454" s="16"/>
      <c r="W454" s="119" t="str">
        <f t="shared" si="6"/>
        <v/>
      </c>
      <c r="X454" s="564">
        <f t="shared" si="7"/>
        <v>0</v>
      </c>
      <c r="Y454" s="119"/>
      <c r="Z454" s="119"/>
      <c r="AA454" s="530">
        <f>IFERROR(__xludf.DUMMYFUNCTION("""COMPUTED_VALUE"""),446.0)</f>
        <v>446</v>
      </c>
      <c r="AB454" s="119"/>
      <c r="AC454" s="119"/>
      <c r="AD454" s="119"/>
      <c r="AE454" s="119"/>
      <c r="AF454" s="119"/>
      <c r="AG454" s="555" t="str">
        <f t="shared" si="8"/>
        <v>  ---&gt;     ---&gt;   </v>
      </c>
      <c r="AH454" s="16"/>
      <c r="AI454" s="439"/>
      <c r="AJ454" s="439"/>
      <c r="AK454" s="439"/>
    </row>
    <row r="455" ht="18.75" customHeight="1">
      <c r="A455" s="439"/>
      <c r="B455" s="546"/>
      <c r="C455" s="547"/>
      <c r="D455" s="446">
        <f>IF(C455=0,0,(VLOOKUP(C455,'PO MTRL'!$B$9:$S1518,2,0)))</f>
        <v>0</v>
      </c>
      <c r="E455" s="548" t="str">
        <f>IF(C455="","",(VLOOKUP(C455,'PO MTRL'!$B$9:$S1518,3,0)))</f>
        <v/>
      </c>
      <c r="F455" s="549">
        <f>IF(C455=0,0,(VLOOKUP(C455,'PO MTRL'!$B$9:$S1518,4,0)))</f>
        <v>0</v>
      </c>
      <c r="G455" s="444"/>
      <c r="H455" s="550">
        <f>IF(C455=0,0,(VLOOKUP(C455,'PO MTRL'!$B$9:$S1518,6,0)))</f>
        <v>0</v>
      </c>
      <c r="I455" s="446">
        <f>IF(C455=0,0,(VLOOKUP(C455,'PO MTRL'!$B$9:$S1518,7,0)))</f>
        <v>0</v>
      </c>
      <c r="J455" s="551">
        <f>IF(C455=0,0,(VLOOKUP(C455,'PO MTRL'!$B$9:$S1518,8,0)))</f>
        <v>0</v>
      </c>
      <c r="K455" s="559"/>
      <c r="L455" s="448">
        <f t="shared" si="1"/>
        <v>0</v>
      </c>
      <c r="M455" s="551">
        <f t="shared" si="2"/>
        <v>0</v>
      </c>
      <c r="N455" s="449">
        <f t="shared" si="3"/>
        <v>0</v>
      </c>
      <c r="O455" s="551">
        <f>IF(H455=0,0,(VLOOKUP(H455,'PO MTRL'!$G$9:$S1518,5,0)))</f>
        <v>0</v>
      </c>
      <c r="P455" s="551">
        <f>IF(H455=0,0,(VLOOKUP(H455,'PO MTRL'!$G$9:$S1518,7,0)))</f>
        <v>0</v>
      </c>
      <c r="Q455" s="551">
        <f t="shared" si="4"/>
        <v>0</v>
      </c>
      <c r="R455" s="551">
        <f t="shared" si="5"/>
        <v>0</v>
      </c>
      <c r="S455" s="550">
        <f>IF(C455=0,0,(VLOOKUP(C455,'PO MTRL'!$B$9:$S1518,17,0)))</f>
        <v>0</v>
      </c>
      <c r="T455" s="553"/>
      <c r="U455" s="554">
        <f>IF(C455=0,0,(VLOOKUP(C455,'PO MTRL'!$B$9:$S1518,18,0)))</f>
        <v>0</v>
      </c>
      <c r="V455" s="16"/>
      <c r="W455" s="119" t="str">
        <f t="shared" si="6"/>
        <v/>
      </c>
      <c r="X455" s="564">
        <f t="shared" si="7"/>
        <v>0</v>
      </c>
      <c r="Y455" s="119"/>
      <c r="Z455" s="119"/>
      <c r="AA455" s="530">
        <f>IFERROR(__xludf.DUMMYFUNCTION("""COMPUTED_VALUE"""),447.0)</f>
        <v>447</v>
      </c>
      <c r="AB455" s="119"/>
      <c r="AC455" s="119"/>
      <c r="AD455" s="119"/>
      <c r="AE455" s="119"/>
      <c r="AF455" s="119"/>
      <c r="AG455" s="555" t="str">
        <f t="shared" si="8"/>
        <v>  ---&gt;     ---&gt;   </v>
      </c>
      <c r="AH455" s="16"/>
      <c r="AI455" s="439"/>
      <c r="AJ455" s="439"/>
      <c r="AK455" s="439"/>
    </row>
    <row r="456" ht="18.75" customHeight="1">
      <c r="A456" s="439"/>
      <c r="B456" s="546"/>
      <c r="C456" s="547"/>
      <c r="D456" s="446">
        <f>IF(C456=0,0,(VLOOKUP(C456,'PO MTRL'!$B$9:$S1518,2,0)))</f>
        <v>0</v>
      </c>
      <c r="E456" s="548" t="str">
        <f>IF(C456="","",(VLOOKUP(C456,'PO MTRL'!$B$9:$S1518,3,0)))</f>
        <v/>
      </c>
      <c r="F456" s="549">
        <f>IF(C456=0,0,(VLOOKUP(C456,'PO MTRL'!$B$9:$S1518,4,0)))</f>
        <v>0</v>
      </c>
      <c r="G456" s="444"/>
      <c r="H456" s="550">
        <f>IF(C456=0,0,(VLOOKUP(C456,'PO MTRL'!$B$9:$S1518,6,0)))</f>
        <v>0</v>
      </c>
      <c r="I456" s="446">
        <f>IF(C456=0,0,(VLOOKUP(C456,'PO MTRL'!$B$9:$S1518,7,0)))</f>
        <v>0</v>
      </c>
      <c r="J456" s="551">
        <f>IF(C456=0,0,(VLOOKUP(C456,'PO MTRL'!$B$9:$S1518,8,0)))</f>
        <v>0</v>
      </c>
      <c r="K456" s="559"/>
      <c r="L456" s="448">
        <f t="shared" si="1"/>
        <v>0</v>
      </c>
      <c r="M456" s="551">
        <f t="shared" si="2"/>
        <v>0</v>
      </c>
      <c r="N456" s="449">
        <f t="shared" si="3"/>
        <v>0</v>
      </c>
      <c r="O456" s="551">
        <f>IF(H456=0,0,(VLOOKUP(H456,'PO MTRL'!$G$9:$S1518,5,0)))</f>
        <v>0</v>
      </c>
      <c r="P456" s="551">
        <f>IF(H456=0,0,(VLOOKUP(H456,'PO MTRL'!$G$9:$S1518,7,0)))</f>
        <v>0</v>
      </c>
      <c r="Q456" s="551">
        <f t="shared" si="4"/>
        <v>0</v>
      </c>
      <c r="R456" s="551">
        <f t="shared" si="5"/>
        <v>0</v>
      </c>
      <c r="S456" s="550">
        <f>IF(C456=0,0,(VLOOKUP(C456,'PO MTRL'!$B$9:$S1518,17,0)))</f>
        <v>0</v>
      </c>
      <c r="T456" s="553"/>
      <c r="U456" s="554">
        <f>IF(C456=0,0,(VLOOKUP(C456,'PO MTRL'!$B$9:$S1518,18,0)))</f>
        <v>0</v>
      </c>
      <c r="V456" s="16"/>
      <c r="W456" s="119" t="str">
        <f t="shared" si="6"/>
        <v/>
      </c>
      <c r="X456" s="564">
        <f t="shared" si="7"/>
        <v>0</v>
      </c>
      <c r="Y456" s="119"/>
      <c r="Z456" s="119"/>
      <c r="AA456" s="530">
        <f>IFERROR(__xludf.DUMMYFUNCTION("""COMPUTED_VALUE"""),448.0)</f>
        <v>448</v>
      </c>
      <c r="AB456" s="119"/>
      <c r="AC456" s="119"/>
      <c r="AD456" s="119"/>
      <c r="AE456" s="119"/>
      <c r="AF456" s="119"/>
      <c r="AG456" s="555" t="str">
        <f t="shared" si="8"/>
        <v>  ---&gt;     ---&gt;   </v>
      </c>
      <c r="AH456" s="16"/>
      <c r="AI456" s="439"/>
      <c r="AJ456" s="439"/>
      <c r="AK456" s="439"/>
    </row>
    <row r="457" ht="18.75" customHeight="1">
      <c r="A457" s="439"/>
      <c r="B457" s="546"/>
      <c r="C457" s="547"/>
      <c r="D457" s="446">
        <f>IF(C457=0,0,(VLOOKUP(C457,'PO MTRL'!$B$9:$S1518,2,0)))</f>
        <v>0</v>
      </c>
      <c r="E457" s="548" t="str">
        <f>IF(C457="","",(VLOOKUP(C457,'PO MTRL'!$B$9:$S1518,3,0)))</f>
        <v/>
      </c>
      <c r="F457" s="549">
        <f>IF(C457=0,0,(VLOOKUP(C457,'PO MTRL'!$B$9:$S1518,4,0)))</f>
        <v>0</v>
      </c>
      <c r="G457" s="444"/>
      <c r="H457" s="550">
        <f>IF(C457=0,0,(VLOOKUP(C457,'PO MTRL'!$B$9:$S1518,6,0)))</f>
        <v>0</v>
      </c>
      <c r="I457" s="446">
        <f>IF(C457=0,0,(VLOOKUP(C457,'PO MTRL'!$B$9:$S1518,7,0)))</f>
        <v>0</v>
      </c>
      <c r="J457" s="551">
        <f>IF(C457=0,0,(VLOOKUP(C457,'PO MTRL'!$B$9:$S1518,8,0)))</f>
        <v>0</v>
      </c>
      <c r="K457" s="559"/>
      <c r="L457" s="448">
        <f t="shared" si="1"/>
        <v>0</v>
      </c>
      <c r="M457" s="551">
        <f t="shared" si="2"/>
        <v>0</v>
      </c>
      <c r="N457" s="449">
        <f t="shared" si="3"/>
        <v>0</v>
      </c>
      <c r="O457" s="551">
        <f>IF(H457=0,0,(VLOOKUP(H457,'PO MTRL'!$G$9:$S1518,5,0)))</f>
        <v>0</v>
      </c>
      <c r="P457" s="551">
        <f>IF(H457=0,0,(VLOOKUP(H457,'PO MTRL'!$G$9:$S1518,7,0)))</f>
        <v>0</v>
      </c>
      <c r="Q457" s="551">
        <f t="shared" si="4"/>
        <v>0</v>
      </c>
      <c r="R457" s="551">
        <f t="shared" si="5"/>
        <v>0</v>
      </c>
      <c r="S457" s="550">
        <f>IF(C457=0,0,(VLOOKUP(C457,'PO MTRL'!$B$9:$S1518,17,0)))</f>
        <v>0</v>
      </c>
      <c r="T457" s="553"/>
      <c r="U457" s="554">
        <f>IF(C457=0,0,(VLOOKUP(C457,'PO MTRL'!$B$9:$S1518,18,0)))</f>
        <v>0</v>
      </c>
      <c r="V457" s="16"/>
      <c r="W457" s="119" t="str">
        <f t="shared" si="6"/>
        <v/>
      </c>
      <c r="X457" s="564">
        <f t="shared" si="7"/>
        <v>0</v>
      </c>
      <c r="Y457" s="119"/>
      <c r="Z457" s="119"/>
      <c r="AA457" s="530">
        <f>IFERROR(__xludf.DUMMYFUNCTION("""COMPUTED_VALUE"""),449.0)</f>
        <v>449</v>
      </c>
      <c r="AB457" s="119"/>
      <c r="AC457" s="119"/>
      <c r="AD457" s="119"/>
      <c r="AE457" s="119"/>
      <c r="AF457" s="119"/>
      <c r="AG457" s="555" t="str">
        <f t="shared" si="8"/>
        <v>  ---&gt;     ---&gt;   </v>
      </c>
      <c r="AH457" s="16"/>
      <c r="AI457" s="439"/>
      <c r="AJ457" s="439"/>
      <c r="AK457" s="439"/>
    </row>
    <row r="458" ht="18.75" customHeight="1">
      <c r="A458" s="439"/>
      <c r="B458" s="546"/>
      <c r="C458" s="547"/>
      <c r="D458" s="446">
        <f>IF(C458=0,0,(VLOOKUP(C458,'PO MTRL'!$B$9:$S1518,2,0)))</f>
        <v>0</v>
      </c>
      <c r="E458" s="548" t="str">
        <f>IF(C458="","",(VLOOKUP(C458,'PO MTRL'!$B$9:$S1518,3,0)))</f>
        <v/>
      </c>
      <c r="F458" s="549">
        <f>IF(C458=0,0,(VLOOKUP(C458,'PO MTRL'!$B$9:$S1518,4,0)))</f>
        <v>0</v>
      </c>
      <c r="G458" s="444"/>
      <c r="H458" s="550">
        <f>IF(C458=0,0,(VLOOKUP(C458,'PO MTRL'!$B$9:$S1518,6,0)))</f>
        <v>0</v>
      </c>
      <c r="I458" s="446">
        <f>IF(C458=0,0,(VLOOKUP(C458,'PO MTRL'!$B$9:$S1518,7,0)))</f>
        <v>0</v>
      </c>
      <c r="J458" s="551">
        <f>IF(C458=0,0,(VLOOKUP(C458,'PO MTRL'!$B$9:$S1518,8,0)))</f>
        <v>0</v>
      </c>
      <c r="K458" s="559"/>
      <c r="L458" s="448">
        <f t="shared" si="1"/>
        <v>0</v>
      </c>
      <c r="M458" s="551">
        <f t="shared" si="2"/>
        <v>0</v>
      </c>
      <c r="N458" s="449">
        <f t="shared" si="3"/>
        <v>0</v>
      </c>
      <c r="O458" s="551">
        <f>IF(H458=0,0,(VLOOKUP(H458,'PO MTRL'!$G$9:$S1518,5,0)))</f>
        <v>0</v>
      </c>
      <c r="P458" s="551">
        <f>IF(H458=0,0,(VLOOKUP(H458,'PO MTRL'!$G$9:$S1518,7,0)))</f>
        <v>0</v>
      </c>
      <c r="Q458" s="551">
        <f t="shared" si="4"/>
        <v>0</v>
      </c>
      <c r="R458" s="551">
        <f t="shared" si="5"/>
        <v>0</v>
      </c>
      <c r="S458" s="550">
        <f>IF(C458=0,0,(VLOOKUP(C458,'PO MTRL'!$B$9:$S1518,17,0)))</f>
        <v>0</v>
      </c>
      <c r="T458" s="553"/>
      <c r="U458" s="554">
        <f>IF(C458=0,0,(VLOOKUP(C458,'PO MTRL'!$B$9:$S1518,18,0)))</f>
        <v>0</v>
      </c>
      <c r="V458" s="16"/>
      <c r="W458" s="119" t="str">
        <f t="shared" si="6"/>
        <v/>
      </c>
      <c r="X458" s="564">
        <f t="shared" si="7"/>
        <v>0</v>
      </c>
      <c r="Y458" s="119"/>
      <c r="Z458" s="119"/>
      <c r="AA458" s="530">
        <f>IFERROR(__xludf.DUMMYFUNCTION("""COMPUTED_VALUE"""),450.0)</f>
        <v>450</v>
      </c>
      <c r="AB458" s="119"/>
      <c r="AC458" s="119"/>
      <c r="AD458" s="119"/>
      <c r="AE458" s="119"/>
      <c r="AF458" s="119"/>
      <c r="AG458" s="555" t="str">
        <f t="shared" si="8"/>
        <v>  ---&gt;     ---&gt;   </v>
      </c>
      <c r="AH458" s="16"/>
      <c r="AI458" s="439"/>
      <c r="AJ458" s="439"/>
      <c r="AK458" s="439"/>
    </row>
    <row r="459" ht="18.75" customHeight="1">
      <c r="A459" s="439"/>
      <c r="B459" s="546"/>
      <c r="C459" s="547"/>
      <c r="D459" s="446">
        <f>IF(C459=0,0,(VLOOKUP(C459,'PO MTRL'!$B$9:$S1518,2,0)))</f>
        <v>0</v>
      </c>
      <c r="E459" s="548" t="str">
        <f>IF(C459="","",(VLOOKUP(C459,'PO MTRL'!$B$9:$S1518,3,0)))</f>
        <v/>
      </c>
      <c r="F459" s="549">
        <f>IF(C459=0,0,(VLOOKUP(C459,'PO MTRL'!$B$9:$S1518,4,0)))</f>
        <v>0</v>
      </c>
      <c r="G459" s="444"/>
      <c r="H459" s="550">
        <f>IF(C459=0,0,(VLOOKUP(C459,'PO MTRL'!$B$9:$S1518,6,0)))</f>
        <v>0</v>
      </c>
      <c r="I459" s="446">
        <f>IF(C459=0,0,(VLOOKUP(C459,'PO MTRL'!$B$9:$S1518,7,0)))</f>
        <v>0</v>
      </c>
      <c r="J459" s="551">
        <f>IF(C459=0,0,(VLOOKUP(C459,'PO MTRL'!$B$9:$S1518,8,0)))</f>
        <v>0</v>
      </c>
      <c r="K459" s="559"/>
      <c r="L459" s="448">
        <f t="shared" si="1"/>
        <v>0</v>
      </c>
      <c r="M459" s="551">
        <f t="shared" si="2"/>
        <v>0</v>
      </c>
      <c r="N459" s="449">
        <f t="shared" si="3"/>
        <v>0</v>
      </c>
      <c r="O459" s="551">
        <f>IF(H459=0,0,(VLOOKUP(H459,'PO MTRL'!$G$9:$S1518,5,0)))</f>
        <v>0</v>
      </c>
      <c r="P459" s="551">
        <f>IF(H459=0,0,(VLOOKUP(H459,'PO MTRL'!$G$9:$S1518,7,0)))</f>
        <v>0</v>
      </c>
      <c r="Q459" s="551">
        <f t="shared" si="4"/>
        <v>0</v>
      </c>
      <c r="R459" s="551">
        <f t="shared" si="5"/>
        <v>0</v>
      </c>
      <c r="S459" s="550">
        <f>IF(C459=0,0,(VLOOKUP(C459,'PO MTRL'!$B$9:$S1518,17,0)))</f>
        <v>0</v>
      </c>
      <c r="T459" s="553"/>
      <c r="U459" s="554">
        <f>IF(C459=0,0,(VLOOKUP(C459,'PO MTRL'!$B$9:$S1518,18,0)))</f>
        <v>0</v>
      </c>
      <c r="V459" s="16"/>
      <c r="W459" s="119" t="str">
        <f t="shared" si="6"/>
        <v/>
      </c>
      <c r="X459" s="564">
        <f t="shared" si="7"/>
        <v>0</v>
      </c>
      <c r="Y459" s="119"/>
      <c r="Z459" s="119"/>
      <c r="AA459" s="530">
        <f>IFERROR(__xludf.DUMMYFUNCTION("""COMPUTED_VALUE"""),451.0)</f>
        <v>451</v>
      </c>
      <c r="AB459" s="119"/>
      <c r="AC459" s="119"/>
      <c r="AD459" s="119"/>
      <c r="AE459" s="119"/>
      <c r="AF459" s="119"/>
      <c r="AG459" s="555" t="str">
        <f t="shared" si="8"/>
        <v>  ---&gt;     ---&gt;   </v>
      </c>
      <c r="AH459" s="16"/>
      <c r="AI459" s="439"/>
      <c r="AJ459" s="439"/>
      <c r="AK459" s="439"/>
    </row>
    <row r="460" ht="18.75" customHeight="1">
      <c r="A460" s="439"/>
      <c r="B460" s="546"/>
      <c r="C460" s="547"/>
      <c r="D460" s="446">
        <f>IF(C460=0,0,(VLOOKUP(C460,'PO MTRL'!$B$9:$S1518,2,0)))</f>
        <v>0</v>
      </c>
      <c r="E460" s="548" t="str">
        <f>IF(C460="","",(VLOOKUP(C460,'PO MTRL'!$B$9:$S1518,3,0)))</f>
        <v/>
      </c>
      <c r="F460" s="549">
        <f>IF(C460=0,0,(VLOOKUP(C460,'PO MTRL'!$B$9:$S1518,4,0)))</f>
        <v>0</v>
      </c>
      <c r="G460" s="444"/>
      <c r="H460" s="550">
        <f>IF(C460=0,0,(VLOOKUP(C460,'PO MTRL'!$B$9:$S1518,6,0)))</f>
        <v>0</v>
      </c>
      <c r="I460" s="446">
        <f>IF(C460=0,0,(VLOOKUP(C460,'PO MTRL'!$B$9:$S1518,7,0)))</f>
        <v>0</v>
      </c>
      <c r="J460" s="551">
        <f>IF(C460=0,0,(VLOOKUP(C460,'PO MTRL'!$B$9:$S1518,8,0)))</f>
        <v>0</v>
      </c>
      <c r="K460" s="559"/>
      <c r="L460" s="448">
        <f t="shared" si="1"/>
        <v>0</v>
      </c>
      <c r="M460" s="551">
        <f t="shared" si="2"/>
        <v>0</v>
      </c>
      <c r="N460" s="449">
        <f t="shared" si="3"/>
        <v>0</v>
      </c>
      <c r="O460" s="551">
        <f>IF(H460=0,0,(VLOOKUP(H460,'PO MTRL'!$G$9:$S1518,5,0)))</f>
        <v>0</v>
      </c>
      <c r="P460" s="551">
        <f>IF(H460=0,0,(VLOOKUP(H460,'PO MTRL'!$G$9:$S1518,7,0)))</f>
        <v>0</v>
      </c>
      <c r="Q460" s="551">
        <f t="shared" si="4"/>
        <v>0</v>
      </c>
      <c r="R460" s="551">
        <f t="shared" si="5"/>
        <v>0</v>
      </c>
      <c r="S460" s="550">
        <f>IF(C460=0,0,(VLOOKUP(C460,'PO MTRL'!$B$9:$S1518,17,0)))</f>
        <v>0</v>
      </c>
      <c r="T460" s="553"/>
      <c r="U460" s="554">
        <f>IF(C460=0,0,(VLOOKUP(C460,'PO MTRL'!$B$9:$S1518,18,0)))</f>
        <v>0</v>
      </c>
      <c r="V460" s="16"/>
      <c r="W460" s="119" t="str">
        <f t="shared" si="6"/>
        <v/>
      </c>
      <c r="X460" s="564">
        <f t="shared" si="7"/>
        <v>0</v>
      </c>
      <c r="Y460" s="119"/>
      <c r="Z460" s="119"/>
      <c r="AA460" s="530">
        <f>IFERROR(__xludf.DUMMYFUNCTION("""COMPUTED_VALUE"""),452.0)</f>
        <v>452</v>
      </c>
      <c r="AB460" s="119"/>
      <c r="AC460" s="119"/>
      <c r="AD460" s="119"/>
      <c r="AE460" s="119"/>
      <c r="AF460" s="119"/>
      <c r="AG460" s="555" t="str">
        <f t="shared" si="8"/>
        <v>  ---&gt;     ---&gt;   </v>
      </c>
      <c r="AH460" s="16"/>
      <c r="AI460" s="439"/>
      <c r="AJ460" s="439"/>
      <c r="AK460" s="439"/>
    </row>
    <row r="461" ht="18.75" customHeight="1">
      <c r="A461" s="439"/>
      <c r="B461" s="546"/>
      <c r="C461" s="547"/>
      <c r="D461" s="446">
        <f>IF(C461=0,0,(VLOOKUP(C461,'PO MTRL'!$B$9:$S1518,2,0)))</f>
        <v>0</v>
      </c>
      <c r="E461" s="548" t="str">
        <f>IF(C461="","",(VLOOKUP(C461,'PO MTRL'!$B$9:$S1518,3,0)))</f>
        <v/>
      </c>
      <c r="F461" s="549">
        <f>IF(C461=0,0,(VLOOKUP(C461,'PO MTRL'!$B$9:$S1518,4,0)))</f>
        <v>0</v>
      </c>
      <c r="G461" s="444"/>
      <c r="H461" s="550">
        <f>IF(C461=0,0,(VLOOKUP(C461,'PO MTRL'!$B$9:$S1518,6,0)))</f>
        <v>0</v>
      </c>
      <c r="I461" s="446">
        <f>IF(C461=0,0,(VLOOKUP(C461,'PO MTRL'!$B$9:$S1518,7,0)))</f>
        <v>0</v>
      </c>
      <c r="J461" s="551">
        <f>IF(C461=0,0,(VLOOKUP(C461,'PO MTRL'!$B$9:$S1518,8,0)))</f>
        <v>0</v>
      </c>
      <c r="K461" s="559"/>
      <c r="L461" s="448">
        <f t="shared" si="1"/>
        <v>0</v>
      </c>
      <c r="M461" s="551">
        <f t="shared" si="2"/>
        <v>0</v>
      </c>
      <c r="N461" s="449">
        <f t="shared" si="3"/>
        <v>0</v>
      </c>
      <c r="O461" s="551">
        <f>IF(H461=0,0,(VLOOKUP(H461,'PO MTRL'!$G$9:$S1518,5,0)))</f>
        <v>0</v>
      </c>
      <c r="P461" s="551">
        <f>IF(H461=0,0,(VLOOKUP(H461,'PO MTRL'!$G$9:$S1518,7,0)))</f>
        <v>0</v>
      </c>
      <c r="Q461" s="551">
        <f t="shared" si="4"/>
        <v>0</v>
      </c>
      <c r="R461" s="551">
        <f t="shared" si="5"/>
        <v>0</v>
      </c>
      <c r="S461" s="550">
        <f>IF(C461=0,0,(VLOOKUP(C461,'PO MTRL'!$B$9:$S1518,17,0)))</f>
        <v>0</v>
      </c>
      <c r="T461" s="553"/>
      <c r="U461" s="554">
        <f>IF(C461=0,0,(VLOOKUP(C461,'PO MTRL'!$B$9:$S1518,18,0)))</f>
        <v>0</v>
      </c>
      <c r="V461" s="16"/>
      <c r="W461" s="119" t="str">
        <f t="shared" si="6"/>
        <v/>
      </c>
      <c r="X461" s="564">
        <f t="shared" si="7"/>
        <v>0</v>
      </c>
      <c r="Y461" s="119"/>
      <c r="Z461" s="119"/>
      <c r="AA461" s="530">
        <f>IFERROR(__xludf.DUMMYFUNCTION("""COMPUTED_VALUE"""),453.0)</f>
        <v>453</v>
      </c>
      <c r="AB461" s="119"/>
      <c r="AC461" s="119"/>
      <c r="AD461" s="119"/>
      <c r="AE461" s="119"/>
      <c r="AF461" s="119"/>
      <c r="AG461" s="555" t="str">
        <f t="shared" si="8"/>
        <v>  ---&gt;     ---&gt;   </v>
      </c>
      <c r="AH461" s="16"/>
      <c r="AI461" s="439"/>
      <c r="AJ461" s="439"/>
      <c r="AK461" s="439"/>
    </row>
    <row r="462" ht="18.75" customHeight="1">
      <c r="A462" s="439"/>
      <c r="B462" s="546"/>
      <c r="C462" s="547"/>
      <c r="D462" s="446">
        <f>IF(C462=0,0,(VLOOKUP(C462,'PO MTRL'!$B$9:$S1518,2,0)))</f>
        <v>0</v>
      </c>
      <c r="E462" s="548" t="str">
        <f>IF(C462="","",(VLOOKUP(C462,'PO MTRL'!$B$9:$S1518,3,0)))</f>
        <v/>
      </c>
      <c r="F462" s="549">
        <f>IF(C462=0,0,(VLOOKUP(C462,'PO MTRL'!$B$9:$S1518,4,0)))</f>
        <v>0</v>
      </c>
      <c r="G462" s="444"/>
      <c r="H462" s="550">
        <f>IF(C462=0,0,(VLOOKUP(C462,'PO MTRL'!$B$9:$S1518,6,0)))</f>
        <v>0</v>
      </c>
      <c r="I462" s="446">
        <f>IF(C462=0,0,(VLOOKUP(C462,'PO MTRL'!$B$9:$S1518,7,0)))</f>
        <v>0</v>
      </c>
      <c r="J462" s="551">
        <f>IF(C462=0,0,(VLOOKUP(C462,'PO MTRL'!$B$9:$S1518,8,0)))</f>
        <v>0</v>
      </c>
      <c r="K462" s="559"/>
      <c r="L462" s="448">
        <f t="shared" si="1"/>
        <v>0</v>
      </c>
      <c r="M462" s="551">
        <f t="shared" si="2"/>
        <v>0</v>
      </c>
      <c r="N462" s="449">
        <f t="shared" si="3"/>
        <v>0</v>
      </c>
      <c r="O462" s="551">
        <f>IF(H462=0,0,(VLOOKUP(H462,'PO MTRL'!$G$9:$S1518,5,0)))</f>
        <v>0</v>
      </c>
      <c r="P462" s="551">
        <f>IF(H462=0,0,(VLOOKUP(H462,'PO MTRL'!$G$9:$S1518,7,0)))</f>
        <v>0</v>
      </c>
      <c r="Q462" s="551">
        <f t="shared" si="4"/>
        <v>0</v>
      </c>
      <c r="R462" s="551">
        <f t="shared" si="5"/>
        <v>0</v>
      </c>
      <c r="S462" s="550">
        <f>IF(C462=0,0,(VLOOKUP(C462,'PO MTRL'!$B$9:$S1518,17,0)))</f>
        <v>0</v>
      </c>
      <c r="T462" s="553"/>
      <c r="U462" s="554">
        <f>IF(C462=0,0,(VLOOKUP(C462,'PO MTRL'!$B$9:$S1518,18,0)))</f>
        <v>0</v>
      </c>
      <c r="V462" s="16"/>
      <c r="W462" s="119" t="str">
        <f t="shared" si="6"/>
        <v/>
      </c>
      <c r="X462" s="564">
        <f t="shared" si="7"/>
        <v>0</v>
      </c>
      <c r="Y462" s="119"/>
      <c r="Z462" s="119"/>
      <c r="AA462" s="530">
        <f>IFERROR(__xludf.DUMMYFUNCTION("""COMPUTED_VALUE"""),454.0)</f>
        <v>454</v>
      </c>
      <c r="AB462" s="119"/>
      <c r="AC462" s="119"/>
      <c r="AD462" s="119"/>
      <c r="AE462" s="119"/>
      <c r="AF462" s="119"/>
      <c r="AG462" s="555" t="str">
        <f t="shared" si="8"/>
        <v>  ---&gt;     ---&gt;   </v>
      </c>
      <c r="AH462" s="16"/>
      <c r="AI462" s="439"/>
      <c r="AJ462" s="439"/>
      <c r="AK462" s="439"/>
    </row>
    <row r="463" ht="18.75" customHeight="1">
      <c r="A463" s="439"/>
      <c r="B463" s="546"/>
      <c r="C463" s="547"/>
      <c r="D463" s="446">
        <f>IF(C463=0,0,(VLOOKUP(C463,'PO MTRL'!$B$9:$S1518,2,0)))</f>
        <v>0</v>
      </c>
      <c r="E463" s="548" t="str">
        <f>IF(C463="","",(VLOOKUP(C463,'PO MTRL'!$B$9:$S1518,3,0)))</f>
        <v/>
      </c>
      <c r="F463" s="549">
        <f>IF(C463=0,0,(VLOOKUP(C463,'PO MTRL'!$B$9:$S1518,4,0)))</f>
        <v>0</v>
      </c>
      <c r="G463" s="444"/>
      <c r="H463" s="550">
        <f>IF(C463=0,0,(VLOOKUP(C463,'PO MTRL'!$B$9:$S1518,6,0)))</f>
        <v>0</v>
      </c>
      <c r="I463" s="446">
        <f>IF(C463=0,0,(VLOOKUP(C463,'PO MTRL'!$B$9:$S1518,7,0)))</f>
        <v>0</v>
      </c>
      <c r="J463" s="551">
        <f>IF(C463=0,0,(VLOOKUP(C463,'PO MTRL'!$B$9:$S1518,8,0)))</f>
        <v>0</v>
      </c>
      <c r="K463" s="559"/>
      <c r="L463" s="448">
        <f t="shared" si="1"/>
        <v>0</v>
      </c>
      <c r="M463" s="551">
        <f t="shared" si="2"/>
        <v>0</v>
      </c>
      <c r="N463" s="449">
        <f t="shared" si="3"/>
        <v>0</v>
      </c>
      <c r="O463" s="551">
        <f>IF(H463=0,0,(VLOOKUP(H463,'PO MTRL'!$G$9:$S1518,5,0)))</f>
        <v>0</v>
      </c>
      <c r="P463" s="551">
        <f>IF(H463=0,0,(VLOOKUP(H463,'PO MTRL'!$G$9:$S1518,7,0)))</f>
        <v>0</v>
      </c>
      <c r="Q463" s="551">
        <f t="shared" si="4"/>
        <v>0</v>
      </c>
      <c r="R463" s="551">
        <f t="shared" si="5"/>
        <v>0</v>
      </c>
      <c r="S463" s="550">
        <f>IF(C463=0,0,(VLOOKUP(C463,'PO MTRL'!$B$9:$S1518,17,0)))</f>
        <v>0</v>
      </c>
      <c r="T463" s="553"/>
      <c r="U463" s="554">
        <f>IF(C463=0,0,(VLOOKUP(C463,'PO MTRL'!$B$9:$S1518,18,0)))</f>
        <v>0</v>
      </c>
      <c r="V463" s="16"/>
      <c r="W463" s="119" t="str">
        <f t="shared" si="6"/>
        <v/>
      </c>
      <c r="X463" s="564">
        <f t="shared" si="7"/>
        <v>0</v>
      </c>
      <c r="Y463" s="119"/>
      <c r="Z463" s="119"/>
      <c r="AA463" s="530">
        <f>IFERROR(__xludf.DUMMYFUNCTION("""COMPUTED_VALUE"""),455.0)</f>
        <v>455</v>
      </c>
      <c r="AB463" s="119"/>
      <c r="AC463" s="119"/>
      <c r="AD463" s="119"/>
      <c r="AE463" s="119"/>
      <c r="AF463" s="119"/>
      <c r="AG463" s="555" t="str">
        <f t="shared" si="8"/>
        <v>  ---&gt;     ---&gt;   </v>
      </c>
      <c r="AH463" s="16"/>
      <c r="AI463" s="439"/>
      <c r="AJ463" s="439"/>
      <c r="AK463" s="439"/>
    </row>
    <row r="464" ht="18.75" customHeight="1">
      <c r="A464" s="439"/>
      <c r="B464" s="546"/>
      <c r="C464" s="547"/>
      <c r="D464" s="446">
        <f>IF(C464=0,0,(VLOOKUP(C464,'PO MTRL'!$B$9:$S1518,2,0)))</f>
        <v>0</v>
      </c>
      <c r="E464" s="548" t="str">
        <f>IF(C464="","",(VLOOKUP(C464,'PO MTRL'!$B$9:$S1518,3,0)))</f>
        <v/>
      </c>
      <c r="F464" s="549">
        <f>IF(C464=0,0,(VLOOKUP(C464,'PO MTRL'!$B$9:$S1518,4,0)))</f>
        <v>0</v>
      </c>
      <c r="G464" s="444"/>
      <c r="H464" s="550">
        <f>IF(C464=0,0,(VLOOKUP(C464,'PO MTRL'!$B$9:$S1518,6,0)))</f>
        <v>0</v>
      </c>
      <c r="I464" s="446">
        <f>IF(C464=0,0,(VLOOKUP(C464,'PO MTRL'!$B$9:$S1518,7,0)))</f>
        <v>0</v>
      </c>
      <c r="J464" s="551">
        <f>IF(C464=0,0,(VLOOKUP(C464,'PO MTRL'!$B$9:$S1518,8,0)))</f>
        <v>0</v>
      </c>
      <c r="K464" s="559"/>
      <c r="L464" s="448">
        <f t="shared" si="1"/>
        <v>0</v>
      </c>
      <c r="M464" s="551">
        <f t="shared" si="2"/>
        <v>0</v>
      </c>
      <c r="N464" s="449">
        <f t="shared" si="3"/>
        <v>0</v>
      </c>
      <c r="O464" s="551">
        <f>IF(H464=0,0,(VLOOKUP(H464,'PO MTRL'!$G$9:$S1518,5,0)))</f>
        <v>0</v>
      </c>
      <c r="P464" s="551">
        <f>IF(H464=0,0,(VLOOKUP(H464,'PO MTRL'!$G$9:$S1518,7,0)))</f>
        <v>0</v>
      </c>
      <c r="Q464" s="551">
        <f t="shared" si="4"/>
        <v>0</v>
      </c>
      <c r="R464" s="551">
        <f t="shared" si="5"/>
        <v>0</v>
      </c>
      <c r="S464" s="550">
        <f>IF(C464=0,0,(VLOOKUP(C464,'PO MTRL'!$B$9:$S1518,17,0)))</f>
        <v>0</v>
      </c>
      <c r="T464" s="553"/>
      <c r="U464" s="554">
        <f>IF(C464=0,0,(VLOOKUP(C464,'PO MTRL'!$B$9:$S1518,18,0)))</f>
        <v>0</v>
      </c>
      <c r="V464" s="16"/>
      <c r="W464" s="119" t="str">
        <f t="shared" si="6"/>
        <v/>
      </c>
      <c r="X464" s="564">
        <f t="shared" si="7"/>
        <v>0</v>
      </c>
      <c r="Y464" s="119"/>
      <c r="Z464" s="119"/>
      <c r="AA464" s="530">
        <f>IFERROR(__xludf.DUMMYFUNCTION("""COMPUTED_VALUE"""),456.0)</f>
        <v>456</v>
      </c>
      <c r="AB464" s="119"/>
      <c r="AC464" s="119"/>
      <c r="AD464" s="119"/>
      <c r="AE464" s="119"/>
      <c r="AF464" s="119"/>
      <c r="AG464" s="555" t="str">
        <f t="shared" si="8"/>
        <v>  ---&gt;     ---&gt;   </v>
      </c>
      <c r="AH464" s="16"/>
      <c r="AI464" s="439"/>
      <c r="AJ464" s="439"/>
      <c r="AK464" s="439"/>
    </row>
    <row r="465" ht="18.75" customHeight="1">
      <c r="A465" s="439"/>
      <c r="B465" s="546"/>
      <c r="C465" s="547"/>
      <c r="D465" s="446">
        <f>IF(C465=0,0,(VLOOKUP(C465,'PO MTRL'!$B$9:$S1518,2,0)))</f>
        <v>0</v>
      </c>
      <c r="E465" s="548" t="str">
        <f>IF(C465="","",(VLOOKUP(C465,'PO MTRL'!$B$9:$S1518,3,0)))</f>
        <v/>
      </c>
      <c r="F465" s="549">
        <f>IF(C465=0,0,(VLOOKUP(C465,'PO MTRL'!$B$9:$S1518,4,0)))</f>
        <v>0</v>
      </c>
      <c r="G465" s="444"/>
      <c r="H465" s="550">
        <f>IF(C465=0,0,(VLOOKUP(C465,'PO MTRL'!$B$9:$S1518,6,0)))</f>
        <v>0</v>
      </c>
      <c r="I465" s="446">
        <f>IF(C465=0,0,(VLOOKUP(C465,'PO MTRL'!$B$9:$S1518,7,0)))</f>
        <v>0</v>
      </c>
      <c r="J465" s="551">
        <f>IF(C465=0,0,(VLOOKUP(C465,'PO MTRL'!$B$9:$S1518,8,0)))</f>
        <v>0</v>
      </c>
      <c r="K465" s="559"/>
      <c r="L465" s="448">
        <f t="shared" si="1"/>
        <v>0</v>
      </c>
      <c r="M465" s="551">
        <f t="shared" si="2"/>
        <v>0</v>
      </c>
      <c r="N465" s="449">
        <f t="shared" si="3"/>
        <v>0</v>
      </c>
      <c r="O465" s="551">
        <f>IF(H465=0,0,(VLOOKUP(H465,'PO MTRL'!$G$9:$S1518,5,0)))</f>
        <v>0</v>
      </c>
      <c r="P465" s="551">
        <f>IF(H465=0,0,(VLOOKUP(H465,'PO MTRL'!$G$9:$S1518,7,0)))</f>
        <v>0</v>
      </c>
      <c r="Q465" s="551">
        <f t="shared" si="4"/>
        <v>0</v>
      </c>
      <c r="R465" s="551">
        <f t="shared" si="5"/>
        <v>0</v>
      </c>
      <c r="S465" s="550">
        <f>IF(C465=0,0,(VLOOKUP(C465,'PO MTRL'!$B$9:$S1518,17,0)))</f>
        <v>0</v>
      </c>
      <c r="T465" s="553"/>
      <c r="U465" s="554">
        <f>IF(C465=0,0,(VLOOKUP(C465,'PO MTRL'!$B$9:$S1518,18,0)))</f>
        <v>0</v>
      </c>
      <c r="V465" s="16"/>
      <c r="W465" s="119" t="str">
        <f t="shared" si="6"/>
        <v/>
      </c>
      <c r="X465" s="564">
        <f t="shared" si="7"/>
        <v>0</v>
      </c>
      <c r="Y465" s="119"/>
      <c r="Z465" s="119"/>
      <c r="AA465" s="530">
        <f>IFERROR(__xludf.DUMMYFUNCTION("""COMPUTED_VALUE"""),457.0)</f>
        <v>457</v>
      </c>
      <c r="AB465" s="119"/>
      <c r="AC465" s="119"/>
      <c r="AD465" s="119"/>
      <c r="AE465" s="119"/>
      <c r="AF465" s="119"/>
      <c r="AG465" s="555" t="str">
        <f t="shared" si="8"/>
        <v>  ---&gt;     ---&gt;   </v>
      </c>
      <c r="AH465" s="16"/>
      <c r="AI465" s="439"/>
      <c r="AJ465" s="439"/>
      <c r="AK465" s="439"/>
    </row>
    <row r="466" ht="18.75" customHeight="1">
      <c r="A466" s="439"/>
      <c r="B466" s="546"/>
      <c r="C466" s="547"/>
      <c r="D466" s="446">
        <f>IF(C466=0,0,(VLOOKUP(C466,'PO MTRL'!$B$9:$S1518,2,0)))</f>
        <v>0</v>
      </c>
      <c r="E466" s="548" t="str">
        <f>IF(C466="","",(VLOOKUP(C466,'PO MTRL'!$B$9:$S1518,3,0)))</f>
        <v/>
      </c>
      <c r="F466" s="549">
        <f>IF(C466=0,0,(VLOOKUP(C466,'PO MTRL'!$B$9:$S1518,4,0)))</f>
        <v>0</v>
      </c>
      <c r="G466" s="444"/>
      <c r="H466" s="550">
        <f>IF(C466=0,0,(VLOOKUP(C466,'PO MTRL'!$B$9:$S1518,6,0)))</f>
        <v>0</v>
      </c>
      <c r="I466" s="446">
        <f>IF(C466=0,0,(VLOOKUP(C466,'PO MTRL'!$B$9:$S1518,7,0)))</f>
        <v>0</v>
      </c>
      <c r="J466" s="551">
        <f>IF(C466=0,0,(VLOOKUP(C466,'PO MTRL'!$B$9:$S1518,8,0)))</f>
        <v>0</v>
      </c>
      <c r="K466" s="559"/>
      <c r="L466" s="448">
        <f t="shared" si="1"/>
        <v>0</v>
      </c>
      <c r="M466" s="551">
        <f t="shared" si="2"/>
        <v>0</v>
      </c>
      <c r="N466" s="449">
        <f t="shared" si="3"/>
        <v>0</v>
      </c>
      <c r="O466" s="551">
        <f>IF(H466=0,0,(VLOOKUP(H466,'PO MTRL'!$G$9:$S1518,5,0)))</f>
        <v>0</v>
      </c>
      <c r="P466" s="551">
        <f>IF(H466=0,0,(VLOOKUP(H466,'PO MTRL'!$G$9:$S1518,7,0)))</f>
        <v>0</v>
      </c>
      <c r="Q466" s="551">
        <f t="shared" si="4"/>
        <v>0</v>
      </c>
      <c r="R466" s="551">
        <f t="shared" si="5"/>
        <v>0</v>
      </c>
      <c r="S466" s="550">
        <f>IF(C466=0,0,(VLOOKUP(C466,'PO MTRL'!$B$9:$S1518,17,0)))</f>
        <v>0</v>
      </c>
      <c r="T466" s="553"/>
      <c r="U466" s="554">
        <f>IF(C466=0,0,(VLOOKUP(C466,'PO MTRL'!$B$9:$S1518,18,0)))</f>
        <v>0</v>
      </c>
      <c r="V466" s="16"/>
      <c r="W466" s="119" t="str">
        <f t="shared" si="6"/>
        <v/>
      </c>
      <c r="X466" s="564">
        <f t="shared" si="7"/>
        <v>0</v>
      </c>
      <c r="Y466" s="119"/>
      <c r="Z466" s="119"/>
      <c r="AA466" s="530">
        <f>IFERROR(__xludf.DUMMYFUNCTION("""COMPUTED_VALUE"""),458.0)</f>
        <v>458</v>
      </c>
      <c r="AB466" s="119"/>
      <c r="AC466" s="119"/>
      <c r="AD466" s="119"/>
      <c r="AE466" s="119"/>
      <c r="AF466" s="119"/>
      <c r="AG466" s="555" t="str">
        <f t="shared" si="8"/>
        <v>  ---&gt;     ---&gt;   </v>
      </c>
      <c r="AH466" s="16"/>
      <c r="AI466" s="439"/>
      <c r="AJ466" s="439"/>
      <c r="AK466" s="439"/>
    </row>
    <row r="467" ht="18.75" customHeight="1">
      <c r="A467" s="439"/>
      <c r="B467" s="546"/>
      <c r="C467" s="547"/>
      <c r="D467" s="446">
        <f>IF(C467=0,0,(VLOOKUP(C467,'PO MTRL'!$B$9:$S1518,2,0)))</f>
        <v>0</v>
      </c>
      <c r="E467" s="548" t="str">
        <f>IF(C467="","",(VLOOKUP(C467,'PO MTRL'!$B$9:$S1518,3,0)))</f>
        <v/>
      </c>
      <c r="F467" s="549">
        <f>IF(C467=0,0,(VLOOKUP(C467,'PO MTRL'!$B$9:$S1518,4,0)))</f>
        <v>0</v>
      </c>
      <c r="G467" s="444"/>
      <c r="H467" s="550">
        <f>IF(C467=0,0,(VLOOKUP(C467,'PO MTRL'!$B$9:$S1518,6,0)))</f>
        <v>0</v>
      </c>
      <c r="I467" s="446">
        <f>IF(C467=0,0,(VLOOKUP(C467,'PO MTRL'!$B$9:$S1518,7,0)))</f>
        <v>0</v>
      </c>
      <c r="J467" s="551">
        <f>IF(C467=0,0,(VLOOKUP(C467,'PO MTRL'!$B$9:$S1518,8,0)))</f>
        <v>0</v>
      </c>
      <c r="K467" s="559"/>
      <c r="L467" s="448">
        <f t="shared" si="1"/>
        <v>0</v>
      </c>
      <c r="M467" s="551">
        <f t="shared" si="2"/>
        <v>0</v>
      </c>
      <c r="N467" s="449">
        <f t="shared" si="3"/>
        <v>0</v>
      </c>
      <c r="O467" s="551">
        <f>IF(H467=0,0,(VLOOKUP(H467,'PO MTRL'!$G$9:$S1518,5,0)))</f>
        <v>0</v>
      </c>
      <c r="P467" s="551">
        <f>IF(H467=0,0,(VLOOKUP(H467,'PO MTRL'!$G$9:$S1518,7,0)))</f>
        <v>0</v>
      </c>
      <c r="Q467" s="551">
        <f t="shared" si="4"/>
        <v>0</v>
      </c>
      <c r="R467" s="551">
        <f t="shared" si="5"/>
        <v>0</v>
      </c>
      <c r="S467" s="550">
        <f>IF(C467=0,0,(VLOOKUP(C467,'PO MTRL'!$B$9:$S1518,17,0)))</f>
        <v>0</v>
      </c>
      <c r="T467" s="553"/>
      <c r="U467" s="554">
        <f>IF(C467=0,0,(VLOOKUP(C467,'PO MTRL'!$B$9:$S1518,18,0)))</f>
        <v>0</v>
      </c>
      <c r="V467" s="16"/>
      <c r="W467" s="119" t="str">
        <f t="shared" si="6"/>
        <v/>
      </c>
      <c r="X467" s="564">
        <f t="shared" si="7"/>
        <v>0</v>
      </c>
      <c r="Y467" s="119"/>
      <c r="Z467" s="119"/>
      <c r="AA467" s="530">
        <f>IFERROR(__xludf.DUMMYFUNCTION("""COMPUTED_VALUE"""),459.0)</f>
        <v>459</v>
      </c>
      <c r="AB467" s="119"/>
      <c r="AC467" s="119"/>
      <c r="AD467" s="119"/>
      <c r="AE467" s="119"/>
      <c r="AF467" s="119"/>
      <c r="AG467" s="555" t="str">
        <f t="shared" si="8"/>
        <v>  ---&gt;     ---&gt;   </v>
      </c>
      <c r="AH467" s="16"/>
      <c r="AI467" s="439"/>
      <c r="AJ467" s="439"/>
      <c r="AK467" s="439"/>
    </row>
    <row r="468" ht="18.75" customHeight="1">
      <c r="A468" s="439"/>
      <c r="B468" s="546"/>
      <c r="C468" s="547"/>
      <c r="D468" s="446">
        <f>IF(C468=0,0,(VLOOKUP(C468,'PO MTRL'!$B$9:$S1518,2,0)))</f>
        <v>0</v>
      </c>
      <c r="E468" s="548" t="str">
        <f>IF(C468="","",(VLOOKUP(C468,'PO MTRL'!$B$9:$S1518,3,0)))</f>
        <v/>
      </c>
      <c r="F468" s="549">
        <f>IF(C468=0,0,(VLOOKUP(C468,'PO MTRL'!$B$9:$S1518,4,0)))</f>
        <v>0</v>
      </c>
      <c r="G468" s="444"/>
      <c r="H468" s="550">
        <f>IF(C468=0,0,(VLOOKUP(C468,'PO MTRL'!$B$9:$S1518,6,0)))</f>
        <v>0</v>
      </c>
      <c r="I468" s="446">
        <f>IF(C468=0,0,(VLOOKUP(C468,'PO MTRL'!$B$9:$S1518,7,0)))</f>
        <v>0</v>
      </c>
      <c r="J468" s="551">
        <f>IF(C468=0,0,(VLOOKUP(C468,'PO MTRL'!$B$9:$S1518,8,0)))</f>
        <v>0</v>
      </c>
      <c r="K468" s="559"/>
      <c r="L468" s="448">
        <f t="shared" si="1"/>
        <v>0</v>
      </c>
      <c r="M468" s="551">
        <f t="shared" si="2"/>
        <v>0</v>
      </c>
      <c r="N468" s="449">
        <f t="shared" si="3"/>
        <v>0</v>
      </c>
      <c r="O468" s="551">
        <f>IF(H468=0,0,(VLOOKUP(H468,'PO MTRL'!$G$9:$S1518,5,0)))</f>
        <v>0</v>
      </c>
      <c r="P468" s="551">
        <f>IF(H468=0,0,(VLOOKUP(H468,'PO MTRL'!$G$9:$S1518,7,0)))</f>
        <v>0</v>
      </c>
      <c r="Q468" s="551">
        <f t="shared" si="4"/>
        <v>0</v>
      </c>
      <c r="R468" s="551">
        <f t="shared" si="5"/>
        <v>0</v>
      </c>
      <c r="S468" s="550">
        <f>IF(C468=0,0,(VLOOKUP(C468,'PO MTRL'!$B$9:$S1518,17,0)))</f>
        <v>0</v>
      </c>
      <c r="T468" s="553"/>
      <c r="U468" s="554">
        <f>IF(C468=0,0,(VLOOKUP(C468,'PO MTRL'!$B$9:$S1518,18,0)))</f>
        <v>0</v>
      </c>
      <c r="V468" s="16"/>
      <c r="W468" s="119" t="str">
        <f t="shared" si="6"/>
        <v/>
      </c>
      <c r="X468" s="564">
        <f t="shared" si="7"/>
        <v>0</v>
      </c>
      <c r="Y468" s="119"/>
      <c r="Z468" s="119"/>
      <c r="AA468" s="530">
        <f>IFERROR(__xludf.DUMMYFUNCTION("""COMPUTED_VALUE"""),460.0)</f>
        <v>460</v>
      </c>
      <c r="AB468" s="119"/>
      <c r="AC468" s="119"/>
      <c r="AD468" s="119"/>
      <c r="AE468" s="119"/>
      <c r="AF468" s="119"/>
      <c r="AG468" s="555" t="str">
        <f t="shared" si="8"/>
        <v>  ---&gt;     ---&gt;   </v>
      </c>
      <c r="AH468" s="16"/>
      <c r="AI468" s="439"/>
      <c r="AJ468" s="439"/>
      <c r="AK468" s="439"/>
    </row>
    <row r="469" ht="18.75" customHeight="1">
      <c r="A469" s="439"/>
      <c r="B469" s="546"/>
      <c r="C469" s="547"/>
      <c r="D469" s="446">
        <f>IF(C469=0,0,(VLOOKUP(C469,'PO MTRL'!$B$9:$S1518,2,0)))</f>
        <v>0</v>
      </c>
      <c r="E469" s="548" t="str">
        <f>IF(C469="","",(VLOOKUP(C469,'PO MTRL'!$B$9:$S1518,3,0)))</f>
        <v/>
      </c>
      <c r="F469" s="549">
        <f>IF(C469=0,0,(VLOOKUP(C469,'PO MTRL'!$B$9:$S1518,4,0)))</f>
        <v>0</v>
      </c>
      <c r="G469" s="444"/>
      <c r="H469" s="550">
        <f>IF(C469=0,0,(VLOOKUP(C469,'PO MTRL'!$B$9:$S1518,6,0)))</f>
        <v>0</v>
      </c>
      <c r="I469" s="446">
        <f>IF(C469=0,0,(VLOOKUP(C469,'PO MTRL'!$B$9:$S1518,7,0)))</f>
        <v>0</v>
      </c>
      <c r="J469" s="551">
        <f>IF(C469=0,0,(VLOOKUP(C469,'PO MTRL'!$B$9:$S1518,8,0)))</f>
        <v>0</v>
      </c>
      <c r="K469" s="559"/>
      <c r="L469" s="448">
        <f t="shared" si="1"/>
        <v>0</v>
      </c>
      <c r="M469" s="551">
        <f t="shared" si="2"/>
        <v>0</v>
      </c>
      <c r="N469" s="449">
        <f t="shared" si="3"/>
        <v>0</v>
      </c>
      <c r="O469" s="551">
        <f>IF(H469=0,0,(VLOOKUP(H469,'PO MTRL'!$G$9:$S1518,5,0)))</f>
        <v>0</v>
      </c>
      <c r="P469" s="551">
        <f>IF(H469=0,0,(VLOOKUP(H469,'PO MTRL'!$G$9:$S1518,7,0)))</f>
        <v>0</v>
      </c>
      <c r="Q469" s="551">
        <f t="shared" si="4"/>
        <v>0</v>
      </c>
      <c r="R469" s="551">
        <f t="shared" si="5"/>
        <v>0</v>
      </c>
      <c r="S469" s="550">
        <f>IF(C469=0,0,(VLOOKUP(C469,'PO MTRL'!$B$9:$S1518,17,0)))</f>
        <v>0</v>
      </c>
      <c r="T469" s="553"/>
      <c r="U469" s="554">
        <f>IF(C469=0,0,(VLOOKUP(C469,'PO MTRL'!$B$9:$S1518,18,0)))</f>
        <v>0</v>
      </c>
      <c r="V469" s="16"/>
      <c r="W469" s="119" t="str">
        <f t="shared" si="6"/>
        <v/>
      </c>
      <c r="X469" s="564">
        <f t="shared" si="7"/>
        <v>0</v>
      </c>
      <c r="Y469" s="119"/>
      <c r="Z469" s="119"/>
      <c r="AA469" s="530">
        <f>IFERROR(__xludf.DUMMYFUNCTION("""COMPUTED_VALUE"""),461.0)</f>
        <v>461</v>
      </c>
      <c r="AB469" s="119"/>
      <c r="AC469" s="119"/>
      <c r="AD469" s="119"/>
      <c r="AE469" s="119"/>
      <c r="AF469" s="119"/>
      <c r="AG469" s="555" t="str">
        <f t="shared" si="8"/>
        <v>  ---&gt;     ---&gt;   </v>
      </c>
      <c r="AH469" s="16"/>
      <c r="AI469" s="439"/>
      <c r="AJ469" s="439"/>
      <c r="AK469" s="439"/>
    </row>
    <row r="470" ht="18.75" customHeight="1">
      <c r="A470" s="439"/>
      <c r="B470" s="546"/>
      <c r="C470" s="547"/>
      <c r="D470" s="446">
        <f>IF(C470=0,0,(VLOOKUP(C470,'PO MTRL'!$B$9:$S1518,2,0)))</f>
        <v>0</v>
      </c>
      <c r="E470" s="548" t="str">
        <f>IF(C470="","",(VLOOKUP(C470,'PO MTRL'!$B$9:$S1518,3,0)))</f>
        <v/>
      </c>
      <c r="F470" s="549">
        <f>IF(C470=0,0,(VLOOKUP(C470,'PO MTRL'!$B$9:$S1518,4,0)))</f>
        <v>0</v>
      </c>
      <c r="G470" s="444"/>
      <c r="H470" s="550">
        <f>IF(C470=0,0,(VLOOKUP(C470,'PO MTRL'!$B$9:$S1518,6,0)))</f>
        <v>0</v>
      </c>
      <c r="I470" s="446">
        <f>IF(C470=0,0,(VLOOKUP(C470,'PO MTRL'!$B$9:$S1518,7,0)))</f>
        <v>0</v>
      </c>
      <c r="J470" s="551">
        <f>IF(C470=0,0,(VLOOKUP(C470,'PO MTRL'!$B$9:$S1518,8,0)))</f>
        <v>0</v>
      </c>
      <c r="K470" s="559"/>
      <c r="L470" s="448">
        <f t="shared" si="1"/>
        <v>0</v>
      </c>
      <c r="M470" s="551">
        <f t="shared" si="2"/>
        <v>0</v>
      </c>
      <c r="N470" s="449">
        <f t="shared" si="3"/>
        <v>0</v>
      </c>
      <c r="O470" s="551">
        <f>IF(H470=0,0,(VLOOKUP(H470,'PO MTRL'!$G$9:$S1518,5,0)))</f>
        <v>0</v>
      </c>
      <c r="P470" s="551">
        <f>IF(H470=0,0,(VLOOKUP(H470,'PO MTRL'!$G$9:$S1518,7,0)))</f>
        <v>0</v>
      </c>
      <c r="Q470" s="551">
        <f t="shared" si="4"/>
        <v>0</v>
      </c>
      <c r="R470" s="551">
        <f t="shared" si="5"/>
        <v>0</v>
      </c>
      <c r="S470" s="550">
        <f>IF(C470=0,0,(VLOOKUP(C470,'PO MTRL'!$B$9:$S1518,17,0)))</f>
        <v>0</v>
      </c>
      <c r="T470" s="553"/>
      <c r="U470" s="554">
        <f>IF(C470=0,0,(VLOOKUP(C470,'PO MTRL'!$B$9:$S1518,18,0)))</f>
        <v>0</v>
      </c>
      <c r="V470" s="16"/>
      <c r="W470" s="119" t="str">
        <f t="shared" si="6"/>
        <v/>
      </c>
      <c r="X470" s="564">
        <f t="shared" si="7"/>
        <v>0</v>
      </c>
      <c r="Y470" s="119"/>
      <c r="Z470" s="119"/>
      <c r="AA470" s="530">
        <f>IFERROR(__xludf.DUMMYFUNCTION("""COMPUTED_VALUE"""),462.0)</f>
        <v>462</v>
      </c>
      <c r="AB470" s="119"/>
      <c r="AC470" s="119"/>
      <c r="AD470" s="119"/>
      <c r="AE470" s="119"/>
      <c r="AF470" s="119"/>
      <c r="AG470" s="555" t="str">
        <f t="shared" si="8"/>
        <v>  ---&gt;     ---&gt;   </v>
      </c>
      <c r="AH470" s="16"/>
      <c r="AI470" s="439"/>
      <c r="AJ470" s="439"/>
      <c r="AK470" s="439"/>
    </row>
    <row r="471" ht="18.75" customHeight="1">
      <c r="A471" s="439"/>
      <c r="B471" s="546"/>
      <c r="C471" s="547"/>
      <c r="D471" s="446">
        <f>IF(C471=0,0,(VLOOKUP(C471,'PO MTRL'!$B$9:$S1518,2,0)))</f>
        <v>0</v>
      </c>
      <c r="E471" s="548" t="str">
        <f>IF(C471="","",(VLOOKUP(C471,'PO MTRL'!$B$9:$S1518,3,0)))</f>
        <v/>
      </c>
      <c r="F471" s="549">
        <f>IF(C471=0,0,(VLOOKUP(C471,'PO MTRL'!$B$9:$S1518,4,0)))</f>
        <v>0</v>
      </c>
      <c r="G471" s="444"/>
      <c r="H471" s="550">
        <f>IF(C471=0,0,(VLOOKUP(C471,'PO MTRL'!$B$9:$S1518,6,0)))</f>
        <v>0</v>
      </c>
      <c r="I471" s="446">
        <f>IF(C471=0,0,(VLOOKUP(C471,'PO MTRL'!$B$9:$S1518,7,0)))</f>
        <v>0</v>
      </c>
      <c r="J471" s="551">
        <f>IF(C471=0,0,(VLOOKUP(C471,'PO MTRL'!$B$9:$S1518,8,0)))</f>
        <v>0</v>
      </c>
      <c r="K471" s="559"/>
      <c r="L471" s="448">
        <f t="shared" si="1"/>
        <v>0</v>
      </c>
      <c r="M471" s="551">
        <f t="shared" si="2"/>
        <v>0</v>
      </c>
      <c r="N471" s="449">
        <f t="shared" si="3"/>
        <v>0</v>
      </c>
      <c r="O471" s="551">
        <f>IF(H471=0,0,(VLOOKUP(H471,'PO MTRL'!$G$9:$S1518,5,0)))</f>
        <v>0</v>
      </c>
      <c r="P471" s="551">
        <f>IF(H471=0,0,(VLOOKUP(H471,'PO MTRL'!$G$9:$S1518,7,0)))</f>
        <v>0</v>
      </c>
      <c r="Q471" s="551">
        <f t="shared" si="4"/>
        <v>0</v>
      </c>
      <c r="R471" s="551">
        <f t="shared" si="5"/>
        <v>0</v>
      </c>
      <c r="S471" s="550">
        <f>IF(C471=0,0,(VLOOKUP(C471,'PO MTRL'!$B$9:$S1518,17,0)))</f>
        <v>0</v>
      </c>
      <c r="T471" s="553"/>
      <c r="U471" s="554">
        <f>IF(C471=0,0,(VLOOKUP(C471,'PO MTRL'!$B$9:$S1518,18,0)))</f>
        <v>0</v>
      </c>
      <c r="V471" s="16"/>
      <c r="W471" s="119" t="str">
        <f t="shared" si="6"/>
        <v/>
      </c>
      <c r="X471" s="564">
        <f t="shared" si="7"/>
        <v>0</v>
      </c>
      <c r="Y471" s="119"/>
      <c r="Z471" s="119"/>
      <c r="AA471" s="530">
        <f>IFERROR(__xludf.DUMMYFUNCTION("""COMPUTED_VALUE"""),463.0)</f>
        <v>463</v>
      </c>
      <c r="AB471" s="119"/>
      <c r="AC471" s="119"/>
      <c r="AD471" s="119"/>
      <c r="AE471" s="119"/>
      <c r="AF471" s="119"/>
      <c r="AG471" s="555" t="str">
        <f t="shared" si="8"/>
        <v>  ---&gt;     ---&gt;   </v>
      </c>
      <c r="AH471" s="16"/>
      <c r="AI471" s="439"/>
      <c r="AJ471" s="439"/>
      <c r="AK471" s="439"/>
    </row>
    <row r="472" ht="18.75" customHeight="1">
      <c r="A472" s="439"/>
      <c r="B472" s="546"/>
      <c r="C472" s="547"/>
      <c r="D472" s="446">
        <f>IF(C472=0,0,(VLOOKUP(C472,'PO MTRL'!$B$9:$S1518,2,0)))</f>
        <v>0</v>
      </c>
      <c r="E472" s="548" t="str">
        <f>IF(C472="","",(VLOOKUP(C472,'PO MTRL'!$B$9:$S1518,3,0)))</f>
        <v/>
      </c>
      <c r="F472" s="549">
        <f>IF(C472=0,0,(VLOOKUP(C472,'PO MTRL'!$B$9:$S1518,4,0)))</f>
        <v>0</v>
      </c>
      <c r="G472" s="444"/>
      <c r="H472" s="550">
        <f>IF(C472=0,0,(VLOOKUP(C472,'PO MTRL'!$B$9:$S1518,6,0)))</f>
        <v>0</v>
      </c>
      <c r="I472" s="446">
        <f>IF(C472=0,0,(VLOOKUP(C472,'PO MTRL'!$B$9:$S1518,7,0)))</f>
        <v>0</v>
      </c>
      <c r="J472" s="551">
        <f>IF(C472=0,0,(VLOOKUP(C472,'PO MTRL'!$B$9:$S1518,8,0)))</f>
        <v>0</v>
      </c>
      <c r="K472" s="559"/>
      <c r="L472" s="448">
        <f t="shared" si="1"/>
        <v>0</v>
      </c>
      <c r="M472" s="551">
        <f t="shared" si="2"/>
        <v>0</v>
      </c>
      <c r="N472" s="449">
        <f t="shared" si="3"/>
        <v>0</v>
      </c>
      <c r="O472" s="551">
        <f>IF(H472=0,0,(VLOOKUP(H472,'PO MTRL'!$G$9:$S1518,5,0)))</f>
        <v>0</v>
      </c>
      <c r="P472" s="551">
        <f>IF(H472=0,0,(VLOOKUP(H472,'PO MTRL'!$G$9:$S1518,7,0)))</f>
        <v>0</v>
      </c>
      <c r="Q472" s="551">
        <f t="shared" si="4"/>
        <v>0</v>
      </c>
      <c r="R472" s="551">
        <f t="shared" si="5"/>
        <v>0</v>
      </c>
      <c r="S472" s="550">
        <f>IF(C472=0,0,(VLOOKUP(C472,'PO MTRL'!$B$9:$S1518,17,0)))</f>
        <v>0</v>
      </c>
      <c r="T472" s="553"/>
      <c r="U472" s="554">
        <f>IF(C472=0,0,(VLOOKUP(C472,'PO MTRL'!$B$9:$S1518,18,0)))</f>
        <v>0</v>
      </c>
      <c r="V472" s="16"/>
      <c r="W472" s="119" t="str">
        <f t="shared" si="6"/>
        <v/>
      </c>
      <c r="X472" s="564">
        <f t="shared" si="7"/>
        <v>0</v>
      </c>
      <c r="Y472" s="119"/>
      <c r="Z472" s="119"/>
      <c r="AA472" s="530">
        <f>IFERROR(__xludf.DUMMYFUNCTION("""COMPUTED_VALUE"""),464.0)</f>
        <v>464</v>
      </c>
      <c r="AB472" s="119"/>
      <c r="AC472" s="119"/>
      <c r="AD472" s="119"/>
      <c r="AE472" s="119"/>
      <c r="AF472" s="119"/>
      <c r="AG472" s="555" t="str">
        <f t="shared" si="8"/>
        <v>  ---&gt;     ---&gt;   </v>
      </c>
      <c r="AH472" s="16"/>
      <c r="AI472" s="439"/>
      <c r="AJ472" s="439"/>
      <c r="AK472" s="439"/>
    </row>
    <row r="473" ht="18.75" customHeight="1">
      <c r="A473" s="439"/>
      <c r="B473" s="546"/>
      <c r="C473" s="547"/>
      <c r="D473" s="446">
        <f>IF(C473=0,0,(VLOOKUP(C473,'PO MTRL'!$B$9:$S1518,2,0)))</f>
        <v>0</v>
      </c>
      <c r="E473" s="548" t="str">
        <f>IF(C473="","",(VLOOKUP(C473,'PO MTRL'!$B$9:$S1518,3,0)))</f>
        <v/>
      </c>
      <c r="F473" s="549">
        <f>IF(C473=0,0,(VLOOKUP(C473,'PO MTRL'!$B$9:$S1518,4,0)))</f>
        <v>0</v>
      </c>
      <c r="G473" s="444"/>
      <c r="H473" s="550">
        <f>IF(C473=0,0,(VLOOKUP(C473,'PO MTRL'!$B$9:$S1518,6,0)))</f>
        <v>0</v>
      </c>
      <c r="I473" s="446">
        <f>IF(C473=0,0,(VLOOKUP(C473,'PO MTRL'!$B$9:$S1518,7,0)))</f>
        <v>0</v>
      </c>
      <c r="J473" s="551">
        <f>IF(C473=0,0,(VLOOKUP(C473,'PO MTRL'!$B$9:$S1518,8,0)))</f>
        <v>0</v>
      </c>
      <c r="K473" s="559"/>
      <c r="L473" s="448">
        <f t="shared" si="1"/>
        <v>0</v>
      </c>
      <c r="M473" s="551">
        <f t="shared" si="2"/>
        <v>0</v>
      </c>
      <c r="N473" s="449">
        <f t="shared" si="3"/>
        <v>0</v>
      </c>
      <c r="O473" s="551">
        <f>IF(H473=0,0,(VLOOKUP(H473,'PO MTRL'!$G$9:$S1518,5,0)))</f>
        <v>0</v>
      </c>
      <c r="P473" s="551">
        <f>IF(H473=0,0,(VLOOKUP(H473,'PO MTRL'!$G$9:$S1518,7,0)))</f>
        <v>0</v>
      </c>
      <c r="Q473" s="551">
        <f t="shared" si="4"/>
        <v>0</v>
      </c>
      <c r="R473" s="551">
        <f t="shared" si="5"/>
        <v>0</v>
      </c>
      <c r="S473" s="550">
        <f>IF(C473=0,0,(VLOOKUP(C473,'PO MTRL'!$B$9:$S1518,17,0)))</f>
        <v>0</v>
      </c>
      <c r="T473" s="553"/>
      <c r="U473" s="554">
        <f>IF(C473=0,0,(VLOOKUP(C473,'PO MTRL'!$B$9:$S1518,18,0)))</f>
        <v>0</v>
      </c>
      <c r="V473" s="16"/>
      <c r="W473" s="119" t="str">
        <f t="shared" si="6"/>
        <v/>
      </c>
      <c r="X473" s="564">
        <f t="shared" si="7"/>
        <v>0</v>
      </c>
      <c r="Y473" s="119"/>
      <c r="Z473" s="119"/>
      <c r="AA473" s="530">
        <f>IFERROR(__xludf.DUMMYFUNCTION("""COMPUTED_VALUE"""),465.0)</f>
        <v>465</v>
      </c>
      <c r="AB473" s="119"/>
      <c r="AC473" s="119"/>
      <c r="AD473" s="119"/>
      <c r="AE473" s="119"/>
      <c r="AF473" s="119"/>
      <c r="AG473" s="555" t="str">
        <f t="shared" si="8"/>
        <v>  ---&gt;     ---&gt;   </v>
      </c>
      <c r="AH473" s="16"/>
      <c r="AI473" s="439"/>
      <c r="AJ473" s="439"/>
      <c r="AK473" s="439"/>
    </row>
    <row r="474" ht="18.75" customHeight="1">
      <c r="A474" s="439"/>
      <c r="B474" s="546"/>
      <c r="C474" s="547"/>
      <c r="D474" s="446">
        <f>IF(C474=0,0,(VLOOKUP(C474,'PO MTRL'!$B$9:$S1518,2,0)))</f>
        <v>0</v>
      </c>
      <c r="E474" s="548" t="str">
        <f>IF(C474="","",(VLOOKUP(C474,'PO MTRL'!$B$9:$S1518,3,0)))</f>
        <v/>
      </c>
      <c r="F474" s="549">
        <f>IF(C474=0,0,(VLOOKUP(C474,'PO MTRL'!$B$9:$S1518,4,0)))</f>
        <v>0</v>
      </c>
      <c r="G474" s="444"/>
      <c r="H474" s="550">
        <f>IF(C474=0,0,(VLOOKUP(C474,'PO MTRL'!$B$9:$S1518,6,0)))</f>
        <v>0</v>
      </c>
      <c r="I474" s="446">
        <f>IF(C474=0,0,(VLOOKUP(C474,'PO MTRL'!$B$9:$S1518,7,0)))</f>
        <v>0</v>
      </c>
      <c r="J474" s="551">
        <f>IF(C474=0,0,(VLOOKUP(C474,'PO MTRL'!$B$9:$S1518,8,0)))</f>
        <v>0</v>
      </c>
      <c r="K474" s="559"/>
      <c r="L474" s="448">
        <f t="shared" si="1"/>
        <v>0</v>
      </c>
      <c r="M474" s="551">
        <f t="shared" si="2"/>
        <v>0</v>
      </c>
      <c r="N474" s="449">
        <f t="shared" si="3"/>
        <v>0</v>
      </c>
      <c r="O474" s="551">
        <f>IF(H474=0,0,(VLOOKUP(H474,'PO MTRL'!$G$9:$S1518,5,0)))</f>
        <v>0</v>
      </c>
      <c r="P474" s="551">
        <f>IF(H474=0,0,(VLOOKUP(H474,'PO MTRL'!$G$9:$S1518,7,0)))</f>
        <v>0</v>
      </c>
      <c r="Q474" s="551">
        <f t="shared" si="4"/>
        <v>0</v>
      </c>
      <c r="R474" s="551">
        <f t="shared" si="5"/>
        <v>0</v>
      </c>
      <c r="S474" s="550">
        <f>IF(C474=0,0,(VLOOKUP(C474,'PO MTRL'!$B$9:$S1518,17,0)))</f>
        <v>0</v>
      </c>
      <c r="T474" s="553"/>
      <c r="U474" s="554">
        <f>IF(C474=0,0,(VLOOKUP(C474,'PO MTRL'!$B$9:$S1518,18,0)))</f>
        <v>0</v>
      </c>
      <c r="V474" s="16"/>
      <c r="W474" s="119" t="str">
        <f t="shared" si="6"/>
        <v/>
      </c>
      <c r="X474" s="564">
        <f t="shared" si="7"/>
        <v>0</v>
      </c>
      <c r="Y474" s="119"/>
      <c r="Z474" s="119"/>
      <c r="AA474" s="530">
        <f>IFERROR(__xludf.DUMMYFUNCTION("""COMPUTED_VALUE"""),466.0)</f>
        <v>466</v>
      </c>
      <c r="AB474" s="119"/>
      <c r="AC474" s="119"/>
      <c r="AD474" s="119"/>
      <c r="AE474" s="119"/>
      <c r="AF474" s="119"/>
      <c r="AG474" s="555" t="str">
        <f t="shared" si="8"/>
        <v>  ---&gt;     ---&gt;   </v>
      </c>
      <c r="AH474" s="16"/>
      <c r="AI474" s="439"/>
      <c r="AJ474" s="439"/>
      <c r="AK474" s="439"/>
    </row>
    <row r="475" ht="18.75" customHeight="1">
      <c r="A475" s="439"/>
      <c r="B475" s="546"/>
      <c r="C475" s="547"/>
      <c r="D475" s="446">
        <f>IF(C475=0,0,(VLOOKUP(C475,'PO MTRL'!$B$9:$S1518,2,0)))</f>
        <v>0</v>
      </c>
      <c r="E475" s="548" t="str">
        <f>IF(C475="","",(VLOOKUP(C475,'PO MTRL'!$B$9:$S1518,3,0)))</f>
        <v/>
      </c>
      <c r="F475" s="549">
        <f>IF(C475=0,0,(VLOOKUP(C475,'PO MTRL'!$B$9:$S1518,4,0)))</f>
        <v>0</v>
      </c>
      <c r="G475" s="444"/>
      <c r="H475" s="550">
        <f>IF(C475=0,0,(VLOOKUP(C475,'PO MTRL'!$B$9:$S1518,6,0)))</f>
        <v>0</v>
      </c>
      <c r="I475" s="446">
        <f>IF(C475=0,0,(VLOOKUP(C475,'PO MTRL'!$B$9:$S1518,7,0)))</f>
        <v>0</v>
      </c>
      <c r="J475" s="551">
        <f>IF(C475=0,0,(VLOOKUP(C475,'PO MTRL'!$B$9:$S1518,8,0)))</f>
        <v>0</v>
      </c>
      <c r="K475" s="559"/>
      <c r="L475" s="448">
        <f t="shared" si="1"/>
        <v>0</v>
      </c>
      <c r="M475" s="551">
        <f t="shared" si="2"/>
        <v>0</v>
      </c>
      <c r="N475" s="449">
        <f t="shared" si="3"/>
        <v>0</v>
      </c>
      <c r="O475" s="551">
        <f>IF(H475=0,0,(VLOOKUP(H475,'PO MTRL'!$G$9:$S1518,5,0)))</f>
        <v>0</v>
      </c>
      <c r="P475" s="551">
        <f>IF(H475=0,0,(VLOOKUP(H475,'PO MTRL'!$G$9:$S1518,7,0)))</f>
        <v>0</v>
      </c>
      <c r="Q475" s="551">
        <f t="shared" si="4"/>
        <v>0</v>
      </c>
      <c r="R475" s="551">
        <f t="shared" si="5"/>
        <v>0</v>
      </c>
      <c r="S475" s="550">
        <f>IF(C475=0,0,(VLOOKUP(C475,'PO MTRL'!$B$9:$S1518,17,0)))</f>
        <v>0</v>
      </c>
      <c r="T475" s="553"/>
      <c r="U475" s="554">
        <f>IF(C475=0,0,(VLOOKUP(C475,'PO MTRL'!$B$9:$S1518,18,0)))</f>
        <v>0</v>
      </c>
      <c r="V475" s="16"/>
      <c r="W475" s="119" t="str">
        <f t="shared" si="6"/>
        <v/>
      </c>
      <c r="X475" s="564">
        <f t="shared" si="7"/>
        <v>0</v>
      </c>
      <c r="Y475" s="119"/>
      <c r="Z475" s="119"/>
      <c r="AA475" s="530">
        <f>IFERROR(__xludf.DUMMYFUNCTION("""COMPUTED_VALUE"""),467.0)</f>
        <v>467</v>
      </c>
      <c r="AB475" s="119"/>
      <c r="AC475" s="119"/>
      <c r="AD475" s="119"/>
      <c r="AE475" s="119"/>
      <c r="AF475" s="119"/>
      <c r="AG475" s="555" t="str">
        <f t="shared" si="8"/>
        <v>  ---&gt;     ---&gt;   </v>
      </c>
      <c r="AH475" s="16"/>
      <c r="AI475" s="439"/>
      <c r="AJ475" s="439"/>
      <c r="AK475" s="439"/>
    </row>
    <row r="476" ht="18.75" customHeight="1">
      <c r="A476" s="439"/>
      <c r="B476" s="546"/>
      <c r="C476" s="547"/>
      <c r="D476" s="446">
        <f>IF(C476=0,0,(VLOOKUP(C476,'PO MTRL'!$B$9:$S1518,2,0)))</f>
        <v>0</v>
      </c>
      <c r="E476" s="548" t="str">
        <f>IF(C476="","",(VLOOKUP(C476,'PO MTRL'!$B$9:$S1518,3,0)))</f>
        <v/>
      </c>
      <c r="F476" s="549">
        <f>IF(C476=0,0,(VLOOKUP(C476,'PO MTRL'!$B$9:$S1518,4,0)))</f>
        <v>0</v>
      </c>
      <c r="G476" s="444"/>
      <c r="H476" s="550">
        <f>IF(C476=0,0,(VLOOKUP(C476,'PO MTRL'!$B$9:$S1518,6,0)))</f>
        <v>0</v>
      </c>
      <c r="I476" s="446">
        <f>IF(C476=0,0,(VLOOKUP(C476,'PO MTRL'!$B$9:$S1518,7,0)))</f>
        <v>0</v>
      </c>
      <c r="J476" s="551">
        <f>IF(C476=0,0,(VLOOKUP(C476,'PO MTRL'!$B$9:$S1518,8,0)))</f>
        <v>0</v>
      </c>
      <c r="K476" s="559"/>
      <c r="L476" s="448">
        <f t="shared" si="1"/>
        <v>0</v>
      </c>
      <c r="M476" s="551">
        <f t="shared" si="2"/>
        <v>0</v>
      </c>
      <c r="N476" s="449">
        <f t="shared" si="3"/>
        <v>0</v>
      </c>
      <c r="O476" s="551">
        <f>IF(H476=0,0,(VLOOKUP(H476,'PO MTRL'!$G$9:$S1518,5,0)))</f>
        <v>0</v>
      </c>
      <c r="P476" s="551">
        <f>IF(H476=0,0,(VLOOKUP(H476,'PO MTRL'!$G$9:$S1518,7,0)))</f>
        <v>0</v>
      </c>
      <c r="Q476" s="551">
        <f t="shared" si="4"/>
        <v>0</v>
      </c>
      <c r="R476" s="551">
        <f t="shared" si="5"/>
        <v>0</v>
      </c>
      <c r="S476" s="550">
        <f>IF(C476=0,0,(VLOOKUP(C476,'PO MTRL'!$B$9:$S1518,17,0)))</f>
        <v>0</v>
      </c>
      <c r="T476" s="553"/>
      <c r="U476" s="554">
        <f>IF(C476=0,0,(VLOOKUP(C476,'PO MTRL'!$B$9:$S1518,18,0)))</f>
        <v>0</v>
      </c>
      <c r="V476" s="16"/>
      <c r="W476" s="119" t="str">
        <f t="shared" si="6"/>
        <v/>
      </c>
      <c r="X476" s="564">
        <f t="shared" si="7"/>
        <v>0</v>
      </c>
      <c r="Y476" s="119"/>
      <c r="Z476" s="119"/>
      <c r="AA476" s="530">
        <f>IFERROR(__xludf.DUMMYFUNCTION("""COMPUTED_VALUE"""),468.0)</f>
        <v>468</v>
      </c>
      <c r="AB476" s="119"/>
      <c r="AC476" s="119"/>
      <c r="AD476" s="119"/>
      <c r="AE476" s="119"/>
      <c r="AF476" s="119"/>
      <c r="AG476" s="555" t="str">
        <f t="shared" si="8"/>
        <v>  ---&gt;     ---&gt;   </v>
      </c>
      <c r="AH476" s="16"/>
      <c r="AI476" s="439"/>
      <c r="AJ476" s="439"/>
      <c r="AK476" s="439"/>
    </row>
    <row r="477" ht="18.75" customHeight="1">
      <c r="A477" s="439"/>
      <c r="B477" s="546"/>
      <c r="C477" s="547"/>
      <c r="D477" s="446">
        <f>IF(C477=0,0,(VLOOKUP(C477,'PO MTRL'!$B$9:$S1518,2,0)))</f>
        <v>0</v>
      </c>
      <c r="E477" s="548" t="str">
        <f>IF(C477="","",(VLOOKUP(C477,'PO MTRL'!$B$9:$S1518,3,0)))</f>
        <v/>
      </c>
      <c r="F477" s="549">
        <f>IF(C477=0,0,(VLOOKUP(C477,'PO MTRL'!$B$9:$S1518,4,0)))</f>
        <v>0</v>
      </c>
      <c r="G477" s="444"/>
      <c r="H477" s="550">
        <f>IF(C477=0,0,(VLOOKUP(C477,'PO MTRL'!$B$9:$S1518,6,0)))</f>
        <v>0</v>
      </c>
      <c r="I477" s="446">
        <f>IF(C477=0,0,(VLOOKUP(C477,'PO MTRL'!$B$9:$S1518,7,0)))</f>
        <v>0</v>
      </c>
      <c r="J477" s="551">
        <f>IF(C477=0,0,(VLOOKUP(C477,'PO MTRL'!$B$9:$S1518,8,0)))</f>
        <v>0</v>
      </c>
      <c r="K477" s="559"/>
      <c r="L477" s="448">
        <f t="shared" si="1"/>
        <v>0</v>
      </c>
      <c r="M477" s="551">
        <f t="shared" si="2"/>
        <v>0</v>
      </c>
      <c r="N477" s="449">
        <f t="shared" si="3"/>
        <v>0</v>
      </c>
      <c r="O477" s="551">
        <f>IF(H477=0,0,(VLOOKUP(H477,'PO MTRL'!$G$9:$S1518,5,0)))</f>
        <v>0</v>
      </c>
      <c r="P477" s="551">
        <f>IF(H477=0,0,(VLOOKUP(H477,'PO MTRL'!$G$9:$S1518,7,0)))</f>
        <v>0</v>
      </c>
      <c r="Q477" s="551">
        <f t="shared" si="4"/>
        <v>0</v>
      </c>
      <c r="R477" s="551">
        <f t="shared" si="5"/>
        <v>0</v>
      </c>
      <c r="S477" s="550">
        <f>IF(C477=0,0,(VLOOKUP(C477,'PO MTRL'!$B$9:$S1518,17,0)))</f>
        <v>0</v>
      </c>
      <c r="T477" s="553"/>
      <c r="U477" s="554">
        <f>IF(C477=0,0,(VLOOKUP(C477,'PO MTRL'!$B$9:$S1518,18,0)))</f>
        <v>0</v>
      </c>
      <c r="V477" s="16"/>
      <c r="W477" s="119" t="str">
        <f t="shared" si="6"/>
        <v/>
      </c>
      <c r="X477" s="564">
        <f t="shared" si="7"/>
        <v>0</v>
      </c>
      <c r="Y477" s="119"/>
      <c r="Z477" s="119"/>
      <c r="AA477" s="530">
        <f>IFERROR(__xludf.DUMMYFUNCTION("""COMPUTED_VALUE"""),469.0)</f>
        <v>469</v>
      </c>
      <c r="AB477" s="119"/>
      <c r="AC477" s="119"/>
      <c r="AD477" s="119"/>
      <c r="AE477" s="119"/>
      <c r="AF477" s="119"/>
      <c r="AG477" s="555" t="str">
        <f t="shared" si="8"/>
        <v>  ---&gt;     ---&gt;   </v>
      </c>
      <c r="AH477" s="16"/>
      <c r="AI477" s="439"/>
      <c r="AJ477" s="439"/>
      <c r="AK477" s="439"/>
    </row>
    <row r="478" ht="18.75" customHeight="1">
      <c r="A478" s="439"/>
      <c r="B478" s="546"/>
      <c r="C478" s="547"/>
      <c r="D478" s="446">
        <f>IF(C478=0,0,(VLOOKUP(C478,'PO MTRL'!$B$9:$S1518,2,0)))</f>
        <v>0</v>
      </c>
      <c r="E478" s="548" t="str">
        <f>IF(C478="","",(VLOOKUP(C478,'PO MTRL'!$B$9:$S1518,3,0)))</f>
        <v/>
      </c>
      <c r="F478" s="549">
        <f>IF(C478=0,0,(VLOOKUP(C478,'PO MTRL'!$B$9:$S1518,4,0)))</f>
        <v>0</v>
      </c>
      <c r="G478" s="444"/>
      <c r="H478" s="550">
        <f>IF(C478=0,0,(VLOOKUP(C478,'PO MTRL'!$B$9:$S1518,6,0)))</f>
        <v>0</v>
      </c>
      <c r="I478" s="446">
        <f>IF(C478=0,0,(VLOOKUP(C478,'PO MTRL'!$B$9:$S1518,7,0)))</f>
        <v>0</v>
      </c>
      <c r="J478" s="551">
        <f>IF(C478=0,0,(VLOOKUP(C478,'PO MTRL'!$B$9:$S1518,8,0)))</f>
        <v>0</v>
      </c>
      <c r="K478" s="559"/>
      <c r="L478" s="448">
        <f t="shared" si="1"/>
        <v>0</v>
      </c>
      <c r="M478" s="551">
        <f t="shared" si="2"/>
        <v>0</v>
      </c>
      <c r="N478" s="449">
        <f t="shared" si="3"/>
        <v>0</v>
      </c>
      <c r="O478" s="551">
        <f>IF(H478=0,0,(VLOOKUP(H478,'PO MTRL'!$G$9:$S1518,5,0)))</f>
        <v>0</v>
      </c>
      <c r="P478" s="551">
        <f>IF(H478=0,0,(VLOOKUP(H478,'PO MTRL'!$G$9:$S1518,7,0)))</f>
        <v>0</v>
      </c>
      <c r="Q478" s="551">
        <f t="shared" si="4"/>
        <v>0</v>
      </c>
      <c r="R478" s="551">
        <f t="shared" si="5"/>
        <v>0</v>
      </c>
      <c r="S478" s="550">
        <f>IF(C478=0,0,(VLOOKUP(C478,'PO MTRL'!$B$9:$S1518,17,0)))</f>
        <v>0</v>
      </c>
      <c r="T478" s="553"/>
      <c r="U478" s="554">
        <f>IF(C478=0,0,(VLOOKUP(C478,'PO MTRL'!$B$9:$S1518,18,0)))</f>
        <v>0</v>
      </c>
      <c r="V478" s="16"/>
      <c r="W478" s="119" t="str">
        <f t="shared" si="6"/>
        <v/>
      </c>
      <c r="X478" s="564">
        <f t="shared" si="7"/>
        <v>0</v>
      </c>
      <c r="Y478" s="119"/>
      <c r="Z478" s="119"/>
      <c r="AA478" s="530">
        <f>IFERROR(__xludf.DUMMYFUNCTION("""COMPUTED_VALUE"""),470.0)</f>
        <v>470</v>
      </c>
      <c r="AB478" s="119"/>
      <c r="AC478" s="119"/>
      <c r="AD478" s="119"/>
      <c r="AE478" s="119"/>
      <c r="AF478" s="119"/>
      <c r="AG478" s="555" t="str">
        <f t="shared" si="8"/>
        <v>  ---&gt;     ---&gt;   </v>
      </c>
      <c r="AH478" s="16"/>
      <c r="AI478" s="439"/>
      <c r="AJ478" s="439"/>
      <c r="AK478" s="439"/>
    </row>
    <row r="479" ht="18.75" customHeight="1">
      <c r="A479" s="439"/>
      <c r="B479" s="546"/>
      <c r="C479" s="547"/>
      <c r="D479" s="446">
        <f>IF(C479=0,0,(VLOOKUP(C479,'PO MTRL'!$B$9:$S1518,2,0)))</f>
        <v>0</v>
      </c>
      <c r="E479" s="548" t="str">
        <f>IF(C479="","",(VLOOKUP(C479,'PO MTRL'!$B$9:$S1518,3,0)))</f>
        <v/>
      </c>
      <c r="F479" s="549">
        <f>IF(C479=0,0,(VLOOKUP(C479,'PO MTRL'!$B$9:$S1518,4,0)))</f>
        <v>0</v>
      </c>
      <c r="G479" s="444"/>
      <c r="H479" s="550">
        <f>IF(C479=0,0,(VLOOKUP(C479,'PO MTRL'!$B$9:$S1518,6,0)))</f>
        <v>0</v>
      </c>
      <c r="I479" s="446">
        <f>IF(C479=0,0,(VLOOKUP(C479,'PO MTRL'!$B$9:$S1518,7,0)))</f>
        <v>0</v>
      </c>
      <c r="J479" s="551">
        <f>IF(C479=0,0,(VLOOKUP(C479,'PO MTRL'!$B$9:$S1518,8,0)))</f>
        <v>0</v>
      </c>
      <c r="K479" s="559"/>
      <c r="L479" s="448">
        <f t="shared" si="1"/>
        <v>0</v>
      </c>
      <c r="M479" s="551">
        <f t="shared" si="2"/>
        <v>0</v>
      </c>
      <c r="N479" s="449">
        <f t="shared" si="3"/>
        <v>0</v>
      </c>
      <c r="O479" s="551">
        <f>IF(H479=0,0,(VLOOKUP(H479,'PO MTRL'!$G$9:$S1518,5,0)))</f>
        <v>0</v>
      </c>
      <c r="P479" s="551">
        <f>IF(H479=0,0,(VLOOKUP(H479,'PO MTRL'!$G$9:$S1518,7,0)))</f>
        <v>0</v>
      </c>
      <c r="Q479" s="551">
        <f t="shared" si="4"/>
        <v>0</v>
      </c>
      <c r="R479" s="551">
        <f t="shared" si="5"/>
        <v>0</v>
      </c>
      <c r="S479" s="550">
        <f>IF(C479=0,0,(VLOOKUP(C479,'PO MTRL'!$B$9:$S1518,17,0)))</f>
        <v>0</v>
      </c>
      <c r="T479" s="553"/>
      <c r="U479" s="554">
        <f>IF(C479=0,0,(VLOOKUP(C479,'PO MTRL'!$B$9:$S1518,18,0)))</f>
        <v>0</v>
      </c>
      <c r="V479" s="16"/>
      <c r="W479" s="119" t="str">
        <f t="shared" si="6"/>
        <v/>
      </c>
      <c r="X479" s="564">
        <f t="shared" si="7"/>
        <v>0</v>
      </c>
      <c r="Y479" s="119"/>
      <c r="Z479" s="119"/>
      <c r="AA479" s="530">
        <f>IFERROR(__xludf.DUMMYFUNCTION("""COMPUTED_VALUE"""),471.0)</f>
        <v>471</v>
      </c>
      <c r="AB479" s="119"/>
      <c r="AC479" s="119"/>
      <c r="AD479" s="119"/>
      <c r="AE479" s="119"/>
      <c r="AF479" s="119"/>
      <c r="AG479" s="555" t="str">
        <f t="shared" si="8"/>
        <v>  ---&gt;     ---&gt;   </v>
      </c>
      <c r="AH479" s="16"/>
      <c r="AI479" s="439"/>
      <c r="AJ479" s="439"/>
      <c r="AK479" s="439"/>
    </row>
    <row r="480" ht="18.75" customHeight="1">
      <c r="A480" s="439"/>
      <c r="B480" s="546"/>
      <c r="C480" s="547"/>
      <c r="D480" s="446">
        <f>IF(C480=0,0,(VLOOKUP(C480,'PO MTRL'!$B$9:$S1518,2,0)))</f>
        <v>0</v>
      </c>
      <c r="E480" s="548" t="str">
        <f>IF(C480="","",(VLOOKUP(C480,'PO MTRL'!$B$9:$S1518,3,0)))</f>
        <v/>
      </c>
      <c r="F480" s="549">
        <f>IF(C480=0,0,(VLOOKUP(C480,'PO MTRL'!$B$9:$S1518,4,0)))</f>
        <v>0</v>
      </c>
      <c r="G480" s="444"/>
      <c r="H480" s="550">
        <f>IF(C480=0,0,(VLOOKUP(C480,'PO MTRL'!$B$9:$S1518,6,0)))</f>
        <v>0</v>
      </c>
      <c r="I480" s="446">
        <f>IF(C480=0,0,(VLOOKUP(C480,'PO MTRL'!$B$9:$S1518,7,0)))</f>
        <v>0</v>
      </c>
      <c r="J480" s="551">
        <f>IF(C480=0,0,(VLOOKUP(C480,'PO MTRL'!$B$9:$S1518,8,0)))</f>
        <v>0</v>
      </c>
      <c r="K480" s="559"/>
      <c r="L480" s="448">
        <f t="shared" si="1"/>
        <v>0</v>
      </c>
      <c r="M480" s="551">
        <f t="shared" si="2"/>
        <v>0</v>
      </c>
      <c r="N480" s="449">
        <f t="shared" si="3"/>
        <v>0</v>
      </c>
      <c r="O480" s="551">
        <f>IF(H480=0,0,(VLOOKUP(H480,'PO MTRL'!$G$9:$S1518,5,0)))</f>
        <v>0</v>
      </c>
      <c r="P480" s="551">
        <f>IF(H480=0,0,(VLOOKUP(H480,'PO MTRL'!$G$9:$S1518,7,0)))</f>
        <v>0</v>
      </c>
      <c r="Q480" s="551">
        <f t="shared" si="4"/>
        <v>0</v>
      </c>
      <c r="R480" s="551">
        <f t="shared" si="5"/>
        <v>0</v>
      </c>
      <c r="S480" s="550">
        <f>IF(C480=0,0,(VLOOKUP(C480,'PO MTRL'!$B$9:$S1518,17,0)))</f>
        <v>0</v>
      </c>
      <c r="T480" s="553"/>
      <c r="U480" s="554">
        <f>IF(C480=0,0,(VLOOKUP(C480,'PO MTRL'!$B$9:$S1518,18,0)))</f>
        <v>0</v>
      </c>
      <c r="V480" s="16"/>
      <c r="W480" s="119" t="str">
        <f t="shared" si="6"/>
        <v/>
      </c>
      <c r="X480" s="564">
        <f t="shared" si="7"/>
        <v>0</v>
      </c>
      <c r="Y480" s="119"/>
      <c r="Z480" s="119"/>
      <c r="AA480" s="530">
        <f>IFERROR(__xludf.DUMMYFUNCTION("""COMPUTED_VALUE"""),472.0)</f>
        <v>472</v>
      </c>
      <c r="AB480" s="119"/>
      <c r="AC480" s="119"/>
      <c r="AD480" s="119"/>
      <c r="AE480" s="119"/>
      <c r="AF480" s="119"/>
      <c r="AG480" s="555" t="str">
        <f t="shared" si="8"/>
        <v>  ---&gt;     ---&gt;   </v>
      </c>
      <c r="AH480" s="16"/>
      <c r="AI480" s="439"/>
      <c r="AJ480" s="439"/>
      <c r="AK480" s="439"/>
    </row>
    <row r="481" ht="18.75" customHeight="1">
      <c r="A481" s="439"/>
      <c r="B481" s="546"/>
      <c r="C481" s="547"/>
      <c r="D481" s="446">
        <f>IF(C481=0,0,(VLOOKUP(C481,'PO MTRL'!$B$9:$S1518,2,0)))</f>
        <v>0</v>
      </c>
      <c r="E481" s="548" t="str">
        <f>IF(C481="","",(VLOOKUP(C481,'PO MTRL'!$B$9:$S1518,3,0)))</f>
        <v/>
      </c>
      <c r="F481" s="549">
        <f>IF(C481=0,0,(VLOOKUP(C481,'PO MTRL'!$B$9:$S1518,4,0)))</f>
        <v>0</v>
      </c>
      <c r="G481" s="444"/>
      <c r="H481" s="550">
        <f>IF(C481=0,0,(VLOOKUP(C481,'PO MTRL'!$B$9:$S1518,6,0)))</f>
        <v>0</v>
      </c>
      <c r="I481" s="446">
        <f>IF(C481=0,0,(VLOOKUP(C481,'PO MTRL'!$B$9:$S1518,7,0)))</f>
        <v>0</v>
      </c>
      <c r="J481" s="551">
        <f>IF(C481=0,0,(VLOOKUP(C481,'PO MTRL'!$B$9:$S1518,8,0)))</f>
        <v>0</v>
      </c>
      <c r="K481" s="559"/>
      <c r="L481" s="448">
        <f t="shared" si="1"/>
        <v>0</v>
      </c>
      <c r="M481" s="551">
        <f t="shared" si="2"/>
        <v>0</v>
      </c>
      <c r="N481" s="449">
        <f t="shared" si="3"/>
        <v>0</v>
      </c>
      <c r="O481" s="551">
        <f>IF(H481=0,0,(VLOOKUP(H481,'PO MTRL'!$G$9:$S1518,5,0)))</f>
        <v>0</v>
      </c>
      <c r="P481" s="551">
        <f>IF(H481=0,0,(VLOOKUP(H481,'PO MTRL'!$G$9:$S1518,7,0)))</f>
        <v>0</v>
      </c>
      <c r="Q481" s="551">
        <f t="shared" si="4"/>
        <v>0</v>
      </c>
      <c r="R481" s="551">
        <f t="shared" si="5"/>
        <v>0</v>
      </c>
      <c r="S481" s="550">
        <f>IF(C481=0,0,(VLOOKUP(C481,'PO MTRL'!$B$9:$S1518,17,0)))</f>
        <v>0</v>
      </c>
      <c r="T481" s="553"/>
      <c r="U481" s="554">
        <f>IF(C481=0,0,(VLOOKUP(C481,'PO MTRL'!$B$9:$S1518,18,0)))</f>
        <v>0</v>
      </c>
      <c r="V481" s="16"/>
      <c r="W481" s="119" t="str">
        <f t="shared" si="6"/>
        <v/>
      </c>
      <c r="X481" s="564">
        <f t="shared" si="7"/>
        <v>0</v>
      </c>
      <c r="Y481" s="119"/>
      <c r="Z481" s="119"/>
      <c r="AA481" s="530">
        <f>IFERROR(__xludf.DUMMYFUNCTION("""COMPUTED_VALUE"""),473.0)</f>
        <v>473</v>
      </c>
      <c r="AB481" s="119"/>
      <c r="AC481" s="119"/>
      <c r="AD481" s="119"/>
      <c r="AE481" s="119"/>
      <c r="AF481" s="119"/>
      <c r="AG481" s="555" t="str">
        <f t="shared" si="8"/>
        <v>  ---&gt;     ---&gt;   </v>
      </c>
      <c r="AH481" s="16"/>
      <c r="AI481" s="439"/>
      <c r="AJ481" s="439"/>
      <c r="AK481" s="439"/>
    </row>
    <row r="482" ht="18.75" customHeight="1">
      <c r="A482" s="439"/>
      <c r="B482" s="546"/>
      <c r="C482" s="547"/>
      <c r="D482" s="446">
        <f>IF(C482=0,0,(VLOOKUP(C482,'PO MTRL'!$B$9:$S1518,2,0)))</f>
        <v>0</v>
      </c>
      <c r="E482" s="548" t="str">
        <f>IF(C482="","",(VLOOKUP(C482,'PO MTRL'!$B$9:$S1518,3,0)))</f>
        <v/>
      </c>
      <c r="F482" s="549">
        <f>IF(C482=0,0,(VLOOKUP(C482,'PO MTRL'!$B$9:$S1518,4,0)))</f>
        <v>0</v>
      </c>
      <c r="G482" s="444"/>
      <c r="H482" s="550">
        <f>IF(C482=0,0,(VLOOKUP(C482,'PO MTRL'!$B$9:$S1518,6,0)))</f>
        <v>0</v>
      </c>
      <c r="I482" s="446">
        <f>IF(C482=0,0,(VLOOKUP(C482,'PO MTRL'!$B$9:$S1518,7,0)))</f>
        <v>0</v>
      </c>
      <c r="J482" s="551">
        <f>IF(C482=0,0,(VLOOKUP(C482,'PO MTRL'!$B$9:$S1518,8,0)))</f>
        <v>0</v>
      </c>
      <c r="K482" s="559"/>
      <c r="L482" s="448">
        <f t="shared" si="1"/>
        <v>0</v>
      </c>
      <c r="M482" s="551">
        <f t="shared" si="2"/>
        <v>0</v>
      </c>
      <c r="N482" s="449">
        <f t="shared" si="3"/>
        <v>0</v>
      </c>
      <c r="O482" s="551">
        <f>IF(H482=0,0,(VLOOKUP(H482,'PO MTRL'!$G$9:$S1518,5,0)))</f>
        <v>0</v>
      </c>
      <c r="P482" s="551">
        <f>IF(H482=0,0,(VLOOKUP(H482,'PO MTRL'!$G$9:$S1518,7,0)))</f>
        <v>0</v>
      </c>
      <c r="Q482" s="551">
        <f t="shared" si="4"/>
        <v>0</v>
      </c>
      <c r="R482" s="551">
        <f t="shared" si="5"/>
        <v>0</v>
      </c>
      <c r="S482" s="550">
        <f>IF(C482=0,0,(VLOOKUP(C482,'PO MTRL'!$B$9:$S1518,17,0)))</f>
        <v>0</v>
      </c>
      <c r="T482" s="553"/>
      <c r="U482" s="554">
        <f>IF(C482=0,0,(VLOOKUP(C482,'PO MTRL'!$B$9:$S1518,18,0)))</f>
        <v>0</v>
      </c>
      <c r="V482" s="16"/>
      <c r="W482" s="119" t="str">
        <f t="shared" si="6"/>
        <v/>
      </c>
      <c r="X482" s="564">
        <f t="shared" si="7"/>
        <v>0</v>
      </c>
      <c r="Y482" s="119"/>
      <c r="Z482" s="119"/>
      <c r="AA482" s="530">
        <f>IFERROR(__xludf.DUMMYFUNCTION("""COMPUTED_VALUE"""),474.0)</f>
        <v>474</v>
      </c>
      <c r="AB482" s="119"/>
      <c r="AC482" s="119"/>
      <c r="AD482" s="119"/>
      <c r="AE482" s="119"/>
      <c r="AF482" s="119"/>
      <c r="AG482" s="555" t="str">
        <f t="shared" si="8"/>
        <v>  ---&gt;     ---&gt;   </v>
      </c>
      <c r="AH482" s="16"/>
      <c r="AI482" s="439"/>
      <c r="AJ482" s="439"/>
      <c r="AK482" s="439"/>
    </row>
    <row r="483" ht="18.75" customHeight="1">
      <c r="A483" s="439"/>
      <c r="B483" s="546"/>
      <c r="C483" s="547"/>
      <c r="D483" s="446">
        <f>IF(C483=0,0,(VLOOKUP(C483,'PO MTRL'!$B$9:$S1518,2,0)))</f>
        <v>0</v>
      </c>
      <c r="E483" s="548" t="str">
        <f>IF(C483="","",(VLOOKUP(C483,'PO MTRL'!$B$9:$S1518,3,0)))</f>
        <v/>
      </c>
      <c r="F483" s="549">
        <f>IF(C483=0,0,(VLOOKUP(C483,'PO MTRL'!$B$9:$S1518,4,0)))</f>
        <v>0</v>
      </c>
      <c r="G483" s="444"/>
      <c r="H483" s="550">
        <f>IF(C483=0,0,(VLOOKUP(C483,'PO MTRL'!$B$9:$S1518,6,0)))</f>
        <v>0</v>
      </c>
      <c r="I483" s="446">
        <f>IF(C483=0,0,(VLOOKUP(C483,'PO MTRL'!$B$9:$S1518,7,0)))</f>
        <v>0</v>
      </c>
      <c r="J483" s="551">
        <f>IF(C483=0,0,(VLOOKUP(C483,'PO MTRL'!$B$9:$S1518,8,0)))</f>
        <v>0</v>
      </c>
      <c r="K483" s="559"/>
      <c r="L483" s="448">
        <f t="shared" si="1"/>
        <v>0</v>
      </c>
      <c r="M483" s="551">
        <f t="shared" si="2"/>
        <v>0</v>
      </c>
      <c r="N483" s="449">
        <f t="shared" si="3"/>
        <v>0</v>
      </c>
      <c r="O483" s="551">
        <f>IF(H483=0,0,(VLOOKUP(H483,'PO MTRL'!$G$9:$S1518,5,0)))</f>
        <v>0</v>
      </c>
      <c r="P483" s="551">
        <f>IF(H483=0,0,(VLOOKUP(H483,'PO MTRL'!$G$9:$S1518,7,0)))</f>
        <v>0</v>
      </c>
      <c r="Q483" s="551">
        <f t="shared" si="4"/>
        <v>0</v>
      </c>
      <c r="R483" s="551">
        <f t="shared" si="5"/>
        <v>0</v>
      </c>
      <c r="S483" s="550">
        <f>IF(C483=0,0,(VLOOKUP(C483,'PO MTRL'!$B$9:$S1518,17,0)))</f>
        <v>0</v>
      </c>
      <c r="T483" s="553"/>
      <c r="U483" s="554">
        <f>IF(C483=0,0,(VLOOKUP(C483,'PO MTRL'!$B$9:$S1518,18,0)))</f>
        <v>0</v>
      </c>
      <c r="V483" s="16"/>
      <c r="W483" s="119" t="str">
        <f t="shared" si="6"/>
        <v/>
      </c>
      <c r="X483" s="564">
        <f t="shared" si="7"/>
        <v>0</v>
      </c>
      <c r="Y483" s="119"/>
      <c r="Z483" s="119"/>
      <c r="AA483" s="530">
        <f>IFERROR(__xludf.DUMMYFUNCTION("""COMPUTED_VALUE"""),475.0)</f>
        <v>475</v>
      </c>
      <c r="AB483" s="119"/>
      <c r="AC483" s="119"/>
      <c r="AD483" s="119"/>
      <c r="AE483" s="119"/>
      <c r="AF483" s="119"/>
      <c r="AG483" s="555" t="str">
        <f t="shared" si="8"/>
        <v>  ---&gt;     ---&gt;   </v>
      </c>
      <c r="AH483" s="16"/>
      <c r="AI483" s="439"/>
      <c r="AJ483" s="439"/>
      <c r="AK483" s="439"/>
    </row>
    <row r="484" ht="18.75" customHeight="1">
      <c r="A484" s="439"/>
      <c r="B484" s="546"/>
      <c r="C484" s="547"/>
      <c r="D484" s="446">
        <f>IF(C484=0,0,(VLOOKUP(C484,'PO MTRL'!$B$9:$S1518,2,0)))</f>
        <v>0</v>
      </c>
      <c r="E484" s="548" t="str">
        <f>IF(C484="","",(VLOOKUP(C484,'PO MTRL'!$B$9:$S1518,3,0)))</f>
        <v/>
      </c>
      <c r="F484" s="549">
        <f>IF(C484=0,0,(VLOOKUP(C484,'PO MTRL'!$B$9:$S1518,4,0)))</f>
        <v>0</v>
      </c>
      <c r="G484" s="444"/>
      <c r="H484" s="550">
        <f>IF(C484=0,0,(VLOOKUP(C484,'PO MTRL'!$B$9:$S1518,6,0)))</f>
        <v>0</v>
      </c>
      <c r="I484" s="446">
        <f>IF(C484=0,0,(VLOOKUP(C484,'PO MTRL'!$B$9:$S1518,7,0)))</f>
        <v>0</v>
      </c>
      <c r="J484" s="551">
        <f>IF(C484=0,0,(VLOOKUP(C484,'PO MTRL'!$B$9:$S1518,8,0)))</f>
        <v>0</v>
      </c>
      <c r="K484" s="559"/>
      <c r="L484" s="448">
        <f t="shared" si="1"/>
        <v>0</v>
      </c>
      <c r="M484" s="551">
        <f t="shared" si="2"/>
        <v>0</v>
      </c>
      <c r="N484" s="449">
        <f t="shared" si="3"/>
        <v>0</v>
      </c>
      <c r="O484" s="551">
        <f>IF(H484=0,0,(VLOOKUP(H484,'PO MTRL'!$G$9:$S1518,5,0)))</f>
        <v>0</v>
      </c>
      <c r="P484" s="551">
        <f>IF(H484=0,0,(VLOOKUP(H484,'PO MTRL'!$G$9:$S1518,7,0)))</f>
        <v>0</v>
      </c>
      <c r="Q484" s="551">
        <f t="shared" si="4"/>
        <v>0</v>
      </c>
      <c r="R484" s="551">
        <f t="shared" si="5"/>
        <v>0</v>
      </c>
      <c r="S484" s="550">
        <f>IF(C484=0,0,(VLOOKUP(C484,'PO MTRL'!$B$9:$S1518,17,0)))</f>
        <v>0</v>
      </c>
      <c r="T484" s="553"/>
      <c r="U484" s="554">
        <f>IF(C484=0,0,(VLOOKUP(C484,'PO MTRL'!$B$9:$S1518,18,0)))</f>
        <v>0</v>
      </c>
      <c r="V484" s="16"/>
      <c r="W484" s="119" t="str">
        <f t="shared" si="6"/>
        <v/>
      </c>
      <c r="X484" s="564">
        <f t="shared" si="7"/>
        <v>0</v>
      </c>
      <c r="Y484" s="119"/>
      <c r="Z484" s="119"/>
      <c r="AA484" s="530">
        <f>IFERROR(__xludf.DUMMYFUNCTION("""COMPUTED_VALUE"""),476.0)</f>
        <v>476</v>
      </c>
      <c r="AB484" s="119"/>
      <c r="AC484" s="119"/>
      <c r="AD484" s="119"/>
      <c r="AE484" s="119"/>
      <c r="AF484" s="119"/>
      <c r="AG484" s="555" t="str">
        <f t="shared" si="8"/>
        <v>  ---&gt;     ---&gt;   </v>
      </c>
      <c r="AH484" s="16"/>
      <c r="AI484" s="439"/>
      <c r="AJ484" s="439"/>
      <c r="AK484" s="439"/>
    </row>
    <row r="485" ht="18.75" customHeight="1">
      <c r="A485" s="439"/>
      <c r="B485" s="546"/>
      <c r="C485" s="547"/>
      <c r="D485" s="446">
        <f>IF(C485=0,0,(VLOOKUP(C485,'PO MTRL'!$B$9:$S1518,2,0)))</f>
        <v>0</v>
      </c>
      <c r="E485" s="548" t="str">
        <f>IF(C485="","",(VLOOKUP(C485,'PO MTRL'!$B$9:$S1518,3,0)))</f>
        <v/>
      </c>
      <c r="F485" s="549">
        <f>IF(C485=0,0,(VLOOKUP(C485,'PO MTRL'!$B$9:$S1518,4,0)))</f>
        <v>0</v>
      </c>
      <c r="G485" s="444"/>
      <c r="H485" s="550">
        <f>IF(C485=0,0,(VLOOKUP(C485,'PO MTRL'!$B$9:$S1518,6,0)))</f>
        <v>0</v>
      </c>
      <c r="I485" s="446">
        <f>IF(C485=0,0,(VLOOKUP(C485,'PO MTRL'!$B$9:$S1518,7,0)))</f>
        <v>0</v>
      </c>
      <c r="J485" s="551">
        <f>IF(C485=0,0,(VLOOKUP(C485,'PO MTRL'!$B$9:$S1518,8,0)))</f>
        <v>0</v>
      </c>
      <c r="K485" s="559"/>
      <c r="L485" s="448">
        <f t="shared" si="1"/>
        <v>0</v>
      </c>
      <c r="M485" s="551">
        <f t="shared" si="2"/>
        <v>0</v>
      </c>
      <c r="N485" s="449">
        <f t="shared" si="3"/>
        <v>0</v>
      </c>
      <c r="O485" s="551">
        <f>IF(H485=0,0,(VLOOKUP(H485,'PO MTRL'!$G$9:$S1518,5,0)))</f>
        <v>0</v>
      </c>
      <c r="P485" s="551">
        <f>IF(H485=0,0,(VLOOKUP(H485,'PO MTRL'!$G$9:$S1518,7,0)))</f>
        <v>0</v>
      </c>
      <c r="Q485" s="551">
        <f t="shared" si="4"/>
        <v>0</v>
      </c>
      <c r="R485" s="551">
        <f t="shared" si="5"/>
        <v>0</v>
      </c>
      <c r="S485" s="550">
        <f>IF(C485=0,0,(VLOOKUP(C485,'PO MTRL'!$B$9:$S1518,17,0)))</f>
        <v>0</v>
      </c>
      <c r="T485" s="553"/>
      <c r="U485" s="554">
        <f>IF(C485=0,0,(VLOOKUP(C485,'PO MTRL'!$B$9:$S1518,18,0)))</f>
        <v>0</v>
      </c>
      <c r="V485" s="16"/>
      <c r="W485" s="119" t="str">
        <f t="shared" si="6"/>
        <v/>
      </c>
      <c r="X485" s="564">
        <f t="shared" si="7"/>
        <v>0</v>
      </c>
      <c r="Y485" s="119"/>
      <c r="Z485" s="119"/>
      <c r="AA485" s="530">
        <f>IFERROR(__xludf.DUMMYFUNCTION("""COMPUTED_VALUE"""),477.0)</f>
        <v>477</v>
      </c>
      <c r="AB485" s="119"/>
      <c r="AC485" s="119"/>
      <c r="AD485" s="119"/>
      <c r="AE485" s="119"/>
      <c r="AF485" s="119"/>
      <c r="AG485" s="555" t="str">
        <f t="shared" si="8"/>
        <v>  ---&gt;     ---&gt;   </v>
      </c>
      <c r="AH485" s="16"/>
      <c r="AI485" s="439"/>
      <c r="AJ485" s="439"/>
      <c r="AK485" s="439"/>
    </row>
    <row r="486" ht="18.75" customHeight="1">
      <c r="A486" s="439"/>
      <c r="B486" s="546"/>
      <c r="C486" s="547"/>
      <c r="D486" s="446">
        <f>IF(C486=0,0,(VLOOKUP(C486,'PO MTRL'!$B$9:$S1518,2,0)))</f>
        <v>0</v>
      </c>
      <c r="E486" s="548" t="str">
        <f>IF(C486="","",(VLOOKUP(C486,'PO MTRL'!$B$9:$S1518,3,0)))</f>
        <v/>
      </c>
      <c r="F486" s="549">
        <f>IF(C486=0,0,(VLOOKUP(C486,'PO MTRL'!$B$9:$S1518,4,0)))</f>
        <v>0</v>
      </c>
      <c r="G486" s="444"/>
      <c r="H486" s="550">
        <f>IF(C486=0,0,(VLOOKUP(C486,'PO MTRL'!$B$9:$S1518,6,0)))</f>
        <v>0</v>
      </c>
      <c r="I486" s="446">
        <f>IF(C486=0,0,(VLOOKUP(C486,'PO MTRL'!$B$9:$S1518,7,0)))</f>
        <v>0</v>
      </c>
      <c r="J486" s="551">
        <f>IF(C486=0,0,(VLOOKUP(C486,'PO MTRL'!$B$9:$S1518,8,0)))</f>
        <v>0</v>
      </c>
      <c r="K486" s="559"/>
      <c r="L486" s="448">
        <f t="shared" si="1"/>
        <v>0</v>
      </c>
      <c r="M486" s="551">
        <f t="shared" si="2"/>
        <v>0</v>
      </c>
      <c r="N486" s="449">
        <f t="shared" si="3"/>
        <v>0</v>
      </c>
      <c r="O486" s="551">
        <f>IF(H486=0,0,(VLOOKUP(H486,'PO MTRL'!$G$9:$S1518,5,0)))</f>
        <v>0</v>
      </c>
      <c r="P486" s="551">
        <f>IF(H486=0,0,(VLOOKUP(H486,'PO MTRL'!$G$9:$S1518,7,0)))</f>
        <v>0</v>
      </c>
      <c r="Q486" s="551">
        <f t="shared" si="4"/>
        <v>0</v>
      </c>
      <c r="R486" s="551">
        <f t="shared" si="5"/>
        <v>0</v>
      </c>
      <c r="S486" s="550">
        <f>IF(C486=0,0,(VLOOKUP(C486,'PO MTRL'!$B$9:$S1518,17,0)))</f>
        <v>0</v>
      </c>
      <c r="T486" s="553"/>
      <c r="U486" s="554">
        <f>IF(C486=0,0,(VLOOKUP(C486,'PO MTRL'!$B$9:$S1518,18,0)))</f>
        <v>0</v>
      </c>
      <c r="V486" s="16"/>
      <c r="W486" s="119" t="str">
        <f t="shared" si="6"/>
        <v/>
      </c>
      <c r="X486" s="564">
        <f t="shared" si="7"/>
        <v>0</v>
      </c>
      <c r="Y486" s="119"/>
      <c r="Z486" s="119"/>
      <c r="AA486" s="530">
        <f>IFERROR(__xludf.DUMMYFUNCTION("""COMPUTED_VALUE"""),478.0)</f>
        <v>478</v>
      </c>
      <c r="AB486" s="119"/>
      <c r="AC486" s="119"/>
      <c r="AD486" s="119"/>
      <c r="AE486" s="119"/>
      <c r="AF486" s="119"/>
      <c r="AG486" s="555" t="str">
        <f t="shared" si="8"/>
        <v>  ---&gt;     ---&gt;   </v>
      </c>
      <c r="AH486" s="16"/>
      <c r="AI486" s="439"/>
      <c r="AJ486" s="439"/>
      <c r="AK486" s="439"/>
    </row>
    <row r="487" ht="18.75" customHeight="1">
      <c r="A487" s="439"/>
      <c r="B487" s="546"/>
      <c r="C487" s="547"/>
      <c r="D487" s="446">
        <f>IF(C487=0,0,(VLOOKUP(C487,'PO MTRL'!$B$9:$S1518,2,0)))</f>
        <v>0</v>
      </c>
      <c r="E487" s="548" t="str">
        <f>IF(C487="","",(VLOOKUP(C487,'PO MTRL'!$B$9:$S1518,3,0)))</f>
        <v/>
      </c>
      <c r="F487" s="549">
        <f>IF(C487=0,0,(VLOOKUP(C487,'PO MTRL'!$B$9:$S1518,4,0)))</f>
        <v>0</v>
      </c>
      <c r="G487" s="444"/>
      <c r="H487" s="550">
        <f>IF(C487=0,0,(VLOOKUP(C487,'PO MTRL'!$B$9:$S1518,6,0)))</f>
        <v>0</v>
      </c>
      <c r="I487" s="446">
        <f>IF(C487=0,0,(VLOOKUP(C487,'PO MTRL'!$B$9:$S1518,7,0)))</f>
        <v>0</v>
      </c>
      <c r="J487" s="551">
        <f>IF(C487=0,0,(VLOOKUP(C487,'PO MTRL'!$B$9:$S1518,8,0)))</f>
        <v>0</v>
      </c>
      <c r="K487" s="559"/>
      <c r="L487" s="448">
        <f t="shared" si="1"/>
        <v>0</v>
      </c>
      <c r="M487" s="551">
        <f t="shared" si="2"/>
        <v>0</v>
      </c>
      <c r="N487" s="449">
        <f t="shared" si="3"/>
        <v>0</v>
      </c>
      <c r="O487" s="551">
        <f>IF(H487=0,0,(VLOOKUP(H487,'PO MTRL'!$G$9:$S1518,5,0)))</f>
        <v>0</v>
      </c>
      <c r="P487" s="551">
        <f>IF(H487=0,0,(VLOOKUP(H487,'PO MTRL'!$G$9:$S1518,7,0)))</f>
        <v>0</v>
      </c>
      <c r="Q487" s="551">
        <f t="shared" si="4"/>
        <v>0</v>
      </c>
      <c r="R487" s="551">
        <f t="shared" si="5"/>
        <v>0</v>
      </c>
      <c r="S487" s="550">
        <f>IF(C487=0,0,(VLOOKUP(C487,'PO MTRL'!$B$9:$S1518,17,0)))</f>
        <v>0</v>
      </c>
      <c r="T487" s="553"/>
      <c r="U487" s="554">
        <f>IF(C487=0,0,(VLOOKUP(C487,'PO MTRL'!$B$9:$S1518,18,0)))</f>
        <v>0</v>
      </c>
      <c r="V487" s="16"/>
      <c r="W487" s="119" t="str">
        <f t="shared" si="6"/>
        <v/>
      </c>
      <c r="X487" s="564">
        <f t="shared" si="7"/>
        <v>0</v>
      </c>
      <c r="Y487" s="119"/>
      <c r="Z487" s="119"/>
      <c r="AA487" s="530">
        <f>IFERROR(__xludf.DUMMYFUNCTION("""COMPUTED_VALUE"""),479.0)</f>
        <v>479</v>
      </c>
      <c r="AB487" s="119"/>
      <c r="AC487" s="119"/>
      <c r="AD487" s="119"/>
      <c r="AE487" s="119"/>
      <c r="AF487" s="119"/>
      <c r="AG487" s="555" t="str">
        <f t="shared" si="8"/>
        <v>  ---&gt;     ---&gt;   </v>
      </c>
      <c r="AH487" s="16"/>
      <c r="AI487" s="439"/>
      <c r="AJ487" s="439"/>
      <c r="AK487" s="439"/>
    </row>
    <row r="488" ht="18.75" customHeight="1">
      <c r="A488" s="439"/>
      <c r="B488" s="546"/>
      <c r="C488" s="547"/>
      <c r="D488" s="446">
        <f>IF(C488=0,0,(VLOOKUP(C488,'PO MTRL'!$B$9:$S1518,2,0)))</f>
        <v>0</v>
      </c>
      <c r="E488" s="548" t="str">
        <f>IF(C488="","",(VLOOKUP(C488,'PO MTRL'!$B$9:$S1518,3,0)))</f>
        <v/>
      </c>
      <c r="F488" s="549">
        <f>IF(C488=0,0,(VLOOKUP(C488,'PO MTRL'!$B$9:$S1518,4,0)))</f>
        <v>0</v>
      </c>
      <c r="G488" s="444"/>
      <c r="H488" s="550">
        <f>IF(C488=0,0,(VLOOKUP(C488,'PO MTRL'!$B$9:$S1518,6,0)))</f>
        <v>0</v>
      </c>
      <c r="I488" s="446">
        <f>IF(C488=0,0,(VLOOKUP(C488,'PO MTRL'!$B$9:$S1518,7,0)))</f>
        <v>0</v>
      </c>
      <c r="J488" s="551">
        <f>IF(C488=0,0,(VLOOKUP(C488,'PO MTRL'!$B$9:$S1518,8,0)))</f>
        <v>0</v>
      </c>
      <c r="K488" s="559"/>
      <c r="L488" s="448">
        <f t="shared" si="1"/>
        <v>0</v>
      </c>
      <c r="M488" s="551">
        <f t="shared" si="2"/>
        <v>0</v>
      </c>
      <c r="N488" s="449">
        <f t="shared" si="3"/>
        <v>0</v>
      </c>
      <c r="O488" s="551">
        <f>IF(H488=0,0,(VLOOKUP(H488,'PO MTRL'!$G$9:$S1518,5,0)))</f>
        <v>0</v>
      </c>
      <c r="P488" s="551">
        <f>IF(H488=0,0,(VLOOKUP(H488,'PO MTRL'!$G$9:$S1518,7,0)))</f>
        <v>0</v>
      </c>
      <c r="Q488" s="551">
        <f t="shared" si="4"/>
        <v>0</v>
      </c>
      <c r="R488" s="551">
        <f t="shared" si="5"/>
        <v>0</v>
      </c>
      <c r="S488" s="550">
        <f>IF(C488=0,0,(VLOOKUP(C488,'PO MTRL'!$B$9:$S1518,17,0)))</f>
        <v>0</v>
      </c>
      <c r="T488" s="553"/>
      <c r="U488" s="554">
        <f>IF(C488=0,0,(VLOOKUP(C488,'PO MTRL'!$B$9:$S1518,18,0)))</f>
        <v>0</v>
      </c>
      <c r="V488" s="16"/>
      <c r="W488" s="119" t="str">
        <f t="shared" si="6"/>
        <v/>
      </c>
      <c r="X488" s="564">
        <f t="shared" si="7"/>
        <v>0</v>
      </c>
      <c r="Y488" s="119"/>
      <c r="Z488" s="119"/>
      <c r="AA488" s="530">
        <f>IFERROR(__xludf.DUMMYFUNCTION("""COMPUTED_VALUE"""),480.0)</f>
        <v>480</v>
      </c>
      <c r="AB488" s="119"/>
      <c r="AC488" s="119"/>
      <c r="AD488" s="119"/>
      <c r="AE488" s="119"/>
      <c r="AF488" s="119"/>
      <c r="AG488" s="555" t="str">
        <f t="shared" si="8"/>
        <v>  ---&gt;     ---&gt;   </v>
      </c>
      <c r="AH488" s="16"/>
      <c r="AI488" s="439"/>
      <c r="AJ488" s="439"/>
      <c r="AK488" s="439"/>
    </row>
    <row r="489" ht="18.75" customHeight="1">
      <c r="A489" s="439"/>
      <c r="B489" s="546"/>
      <c r="C489" s="547"/>
      <c r="D489" s="446">
        <f>IF(C489=0,0,(VLOOKUP(C489,'PO MTRL'!$B$9:$S1518,2,0)))</f>
        <v>0</v>
      </c>
      <c r="E489" s="548" t="str">
        <f>IF(C489="","",(VLOOKUP(C489,'PO MTRL'!$B$9:$S1518,3,0)))</f>
        <v/>
      </c>
      <c r="F489" s="549">
        <f>IF(C489=0,0,(VLOOKUP(C489,'PO MTRL'!$B$9:$S1518,4,0)))</f>
        <v>0</v>
      </c>
      <c r="G489" s="444"/>
      <c r="H489" s="550">
        <f>IF(C489=0,0,(VLOOKUP(C489,'PO MTRL'!$B$9:$S1518,6,0)))</f>
        <v>0</v>
      </c>
      <c r="I489" s="446">
        <f>IF(C489=0,0,(VLOOKUP(C489,'PO MTRL'!$B$9:$S1518,7,0)))</f>
        <v>0</v>
      </c>
      <c r="J489" s="551">
        <f>IF(C489=0,0,(VLOOKUP(C489,'PO MTRL'!$B$9:$S1518,8,0)))</f>
        <v>0</v>
      </c>
      <c r="K489" s="559"/>
      <c r="L489" s="448">
        <f t="shared" si="1"/>
        <v>0</v>
      </c>
      <c r="M489" s="551">
        <f t="shared" si="2"/>
        <v>0</v>
      </c>
      <c r="N489" s="449">
        <f t="shared" si="3"/>
        <v>0</v>
      </c>
      <c r="O489" s="551">
        <f>IF(H489=0,0,(VLOOKUP(H489,'PO MTRL'!$G$9:$S1518,5,0)))</f>
        <v>0</v>
      </c>
      <c r="P489" s="551">
        <f>IF(H489=0,0,(VLOOKUP(H489,'PO MTRL'!$G$9:$S1518,7,0)))</f>
        <v>0</v>
      </c>
      <c r="Q489" s="551">
        <f t="shared" si="4"/>
        <v>0</v>
      </c>
      <c r="R489" s="551">
        <f t="shared" si="5"/>
        <v>0</v>
      </c>
      <c r="S489" s="550">
        <f>IF(C489=0,0,(VLOOKUP(C489,'PO MTRL'!$B$9:$S1518,17,0)))</f>
        <v>0</v>
      </c>
      <c r="T489" s="553"/>
      <c r="U489" s="554">
        <f>IF(C489=0,0,(VLOOKUP(C489,'PO MTRL'!$B$9:$S1518,18,0)))</f>
        <v>0</v>
      </c>
      <c r="V489" s="16"/>
      <c r="W489" s="119" t="str">
        <f t="shared" si="6"/>
        <v/>
      </c>
      <c r="X489" s="564">
        <f t="shared" si="7"/>
        <v>0</v>
      </c>
      <c r="Y489" s="119"/>
      <c r="Z489" s="119"/>
      <c r="AA489" s="530">
        <f>IFERROR(__xludf.DUMMYFUNCTION("""COMPUTED_VALUE"""),481.0)</f>
        <v>481</v>
      </c>
      <c r="AB489" s="119"/>
      <c r="AC489" s="119"/>
      <c r="AD489" s="119"/>
      <c r="AE489" s="119"/>
      <c r="AF489" s="119"/>
      <c r="AG489" s="555" t="str">
        <f t="shared" si="8"/>
        <v>  ---&gt;     ---&gt;   </v>
      </c>
      <c r="AH489" s="16"/>
      <c r="AI489" s="439"/>
      <c r="AJ489" s="439"/>
      <c r="AK489" s="439"/>
    </row>
    <row r="490" ht="18.75" customHeight="1">
      <c r="A490" s="439"/>
      <c r="B490" s="546"/>
      <c r="C490" s="547"/>
      <c r="D490" s="446">
        <f>IF(C490=0,0,(VLOOKUP(C490,'PO MTRL'!$B$9:$S1518,2,0)))</f>
        <v>0</v>
      </c>
      <c r="E490" s="548" t="str">
        <f>IF(C490="","",(VLOOKUP(C490,'PO MTRL'!$B$9:$S1518,3,0)))</f>
        <v/>
      </c>
      <c r="F490" s="549">
        <f>IF(C490=0,0,(VLOOKUP(C490,'PO MTRL'!$B$9:$S1518,4,0)))</f>
        <v>0</v>
      </c>
      <c r="G490" s="444"/>
      <c r="H490" s="550">
        <f>IF(C490=0,0,(VLOOKUP(C490,'PO MTRL'!$B$9:$S1518,6,0)))</f>
        <v>0</v>
      </c>
      <c r="I490" s="446">
        <f>IF(C490=0,0,(VLOOKUP(C490,'PO MTRL'!$B$9:$S1518,7,0)))</f>
        <v>0</v>
      </c>
      <c r="J490" s="551">
        <f>IF(C490=0,0,(VLOOKUP(C490,'PO MTRL'!$B$9:$S1518,8,0)))</f>
        <v>0</v>
      </c>
      <c r="K490" s="559"/>
      <c r="L490" s="448">
        <f t="shared" si="1"/>
        <v>0</v>
      </c>
      <c r="M490" s="551">
        <f t="shared" si="2"/>
        <v>0</v>
      </c>
      <c r="N490" s="449">
        <f t="shared" si="3"/>
        <v>0</v>
      </c>
      <c r="O490" s="551">
        <f>IF(H490=0,0,(VLOOKUP(H490,'PO MTRL'!$G$9:$S1518,5,0)))</f>
        <v>0</v>
      </c>
      <c r="P490" s="551">
        <f>IF(H490=0,0,(VLOOKUP(H490,'PO MTRL'!$G$9:$S1518,7,0)))</f>
        <v>0</v>
      </c>
      <c r="Q490" s="551">
        <f t="shared" si="4"/>
        <v>0</v>
      </c>
      <c r="R490" s="551">
        <f t="shared" si="5"/>
        <v>0</v>
      </c>
      <c r="S490" s="550">
        <f>IF(C490=0,0,(VLOOKUP(C490,'PO MTRL'!$B$9:$S1518,17,0)))</f>
        <v>0</v>
      </c>
      <c r="T490" s="553"/>
      <c r="U490" s="554">
        <f>IF(C490=0,0,(VLOOKUP(C490,'PO MTRL'!$B$9:$S1518,18,0)))</f>
        <v>0</v>
      </c>
      <c r="V490" s="16"/>
      <c r="W490" s="119" t="str">
        <f t="shared" si="6"/>
        <v/>
      </c>
      <c r="X490" s="564">
        <f t="shared" si="7"/>
        <v>0</v>
      </c>
      <c r="Y490" s="119"/>
      <c r="Z490" s="119"/>
      <c r="AA490" s="530">
        <f>IFERROR(__xludf.DUMMYFUNCTION("""COMPUTED_VALUE"""),482.0)</f>
        <v>482</v>
      </c>
      <c r="AB490" s="119"/>
      <c r="AC490" s="119"/>
      <c r="AD490" s="119"/>
      <c r="AE490" s="119"/>
      <c r="AF490" s="119"/>
      <c r="AG490" s="555" t="str">
        <f t="shared" si="8"/>
        <v>  ---&gt;     ---&gt;   </v>
      </c>
      <c r="AH490" s="16"/>
      <c r="AI490" s="439"/>
      <c r="AJ490" s="439"/>
      <c r="AK490" s="439"/>
    </row>
    <row r="491" ht="18.75" customHeight="1">
      <c r="A491" s="439"/>
      <c r="B491" s="546"/>
      <c r="C491" s="547"/>
      <c r="D491" s="446">
        <f>IF(C491=0,0,(VLOOKUP(C491,'PO MTRL'!$B$9:$S1518,2,0)))</f>
        <v>0</v>
      </c>
      <c r="E491" s="548" t="str">
        <f>IF(C491="","",(VLOOKUP(C491,'PO MTRL'!$B$9:$S1518,3,0)))</f>
        <v/>
      </c>
      <c r="F491" s="549">
        <f>IF(C491=0,0,(VLOOKUP(C491,'PO MTRL'!$B$9:$S1518,4,0)))</f>
        <v>0</v>
      </c>
      <c r="G491" s="444"/>
      <c r="H491" s="550">
        <f>IF(C491=0,0,(VLOOKUP(C491,'PO MTRL'!$B$9:$S1518,6,0)))</f>
        <v>0</v>
      </c>
      <c r="I491" s="446">
        <f>IF(C491=0,0,(VLOOKUP(C491,'PO MTRL'!$B$9:$S1518,7,0)))</f>
        <v>0</v>
      </c>
      <c r="J491" s="551">
        <f>IF(C491=0,0,(VLOOKUP(C491,'PO MTRL'!$B$9:$S1518,8,0)))</f>
        <v>0</v>
      </c>
      <c r="K491" s="559"/>
      <c r="L491" s="448">
        <f t="shared" si="1"/>
        <v>0</v>
      </c>
      <c r="M491" s="551">
        <f t="shared" si="2"/>
        <v>0</v>
      </c>
      <c r="N491" s="449">
        <f t="shared" si="3"/>
        <v>0</v>
      </c>
      <c r="O491" s="551">
        <f>IF(H491=0,0,(VLOOKUP(H491,'PO MTRL'!$G$9:$S1518,5,0)))</f>
        <v>0</v>
      </c>
      <c r="P491" s="551">
        <f>IF(H491=0,0,(VLOOKUP(H491,'PO MTRL'!$G$9:$S1518,7,0)))</f>
        <v>0</v>
      </c>
      <c r="Q491" s="551">
        <f t="shared" si="4"/>
        <v>0</v>
      </c>
      <c r="R491" s="551">
        <f t="shared" si="5"/>
        <v>0</v>
      </c>
      <c r="S491" s="550">
        <f>IF(C491=0,0,(VLOOKUP(C491,'PO MTRL'!$B$9:$S1518,17,0)))</f>
        <v>0</v>
      </c>
      <c r="T491" s="553"/>
      <c r="U491" s="554">
        <f>IF(C491=0,0,(VLOOKUP(C491,'PO MTRL'!$B$9:$S1518,18,0)))</f>
        <v>0</v>
      </c>
      <c r="V491" s="16"/>
      <c r="W491" s="119" t="str">
        <f t="shared" si="6"/>
        <v/>
      </c>
      <c r="X491" s="564">
        <f t="shared" si="7"/>
        <v>0</v>
      </c>
      <c r="Y491" s="119"/>
      <c r="Z491" s="119"/>
      <c r="AA491" s="530">
        <f>IFERROR(__xludf.DUMMYFUNCTION("""COMPUTED_VALUE"""),483.0)</f>
        <v>483</v>
      </c>
      <c r="AB491" s="119"/>
      <c r="AC491" s="119"/>
      <c r="AD491" s="119"/>
      <c r="AE491" s="119"/>
      <c r="AF491" s="119"/>
      <c r="AG491" s="555" t="str">
        <f t="shared" si="8"/>
        <v>  ---&gt;     ---&gt;   </v>
      </c>
      <c r="AH491" s="16"/>
      <c r="AI491" s="439"/>
      <c r="AJ491" s="439"/>
      <c r="AK491" s="439"/>
    </row>
    <row r="492" ht="18.75" customHeight="1">
      <c r="A492" s="439"/>
      <c r="B492" s="546"/>
      <c r="C492" s="547"/>
      <c r="D492" s="446">
        <f>IF(C492=0,0,(VLOOKUP(C492,'PO MTRL'!$B$9:$S1518,2,0)))</f>
        <v>0</v>
      </c>
      <c r="E492" s="548" t="str">
        <f>IF(C492="","",(VLOOKUP(C492,'PO MTRL'!$B$9:$S1518,3,0)))</f>
        <v/>
      </c>
      <c r="F492" s="549">
        <f>IF(C492=0,0,(VLOOKUP(C492,'PO MTRL'!$B$9:$S1518,4,0)))</f>
        <v>0</v>
      </c>
      <c r="G492" s="444"/>
      <c r="H492" s="550">
        <f>IF(C492=0,0,(VLOOKUP(C492,'PO MTRL'!$B$9:$S1518,6,0)))</f>
        <v>0</v>
      </c>
      <c r="I492" s="446">
        <f>IF(C492=0,0,(VLOOKUP(C492,'PO MTRL'!$B$9:$S1518,7,0)))</f>
        <v>0</v>
      </c>
      <c r="J492" s="551">
        <f>IF(C492=0,0,(VLOOKUP(C492,'PO MTRL'!$B$9:$S1518,8,0)))</f>
        <v>0</v>
      </c>
      <c r="K492" s="559"/>
      <c r="L492" s="448">
        <f t="shared" si="1"/>
        <v>0</v>
      </c>
      <c r="M492" s="551">
        <f t="shared" si="2"/>
        <v>0</v>
      </c>
      <c r="N492" s="449">
        <f t="shared" si="3"/>
        <v>0</v>
      </c>
      <c r="O492" s="551">
        <f>IF(H492=0,0,(VLOOKUP(H492,'PO MTRL'!$G$9:$S1518,5,0)))</f>
        <v>0</v>
      </c>
      <c r="P492" s="551">
        <f>IF(H492=0,0,(VLOOKUP(H492,'PO MTRL'!$G$9:$S1518,7,0)))</f>
        <v>0</v>
      </c>
      <c r="Q492" s="551">
        <f t="shared" si="4"/>
        <v>0</v>
      </c>
      <c r="R492" s="551">
        <f t="shared" si="5"/>
        <v>0</v>
      </c>
      <c r="S492" s="550">
        <f>IF(C492=0,0,(VLOOKUP(C492,'PO MTRL'!$B$9:$S1518,17,0)))</f>
        <v>0</v>
      </c>
      <c r="T492" s="553"/>
      <c r="U492" s="554">
        <f>IF(C492=0,0,(VLOOKUP(C492,'PO MTRL'!$B$9:$S1518,18,0)))</f>
        <v>0</v>
      </c>
      <c r="V492" s="16"/>
      <c r="W492" s="119" t="str">
        <f t="shared" si="6"/>
        <v/>
      </c>
      <c r="X492" s="564">
        <f t="shared" si="7"/>
        <v>0</v>
      </c>
      <c r="Y492" s="119"/>
      <c r="Z492" s="119"/>
      <c r="AA492" s="530">
        <f>IFERROR(__xludf.DUMMYFUNCTION("""COMPUTED_VALUE"""),484.0)</f>
        <v>484</v>
      </c>
      <c r="AB492" s="119"/>
      <c r="AC492" s="119"/>
      <c r="AD492" s="119"/>
      <c r="AE492" s="119"/>
      <c r="AF492" s="119"/>
      <c r="AG492" s="555" t="str">
        <f t="shared" si="8"/>
        <v>  ---&gt;     ---&gt;   </v>
      </c>
      <c r="AH492" s="16"/>
      <c r="AI492" s="439"/>
      <c r="AJ492" s="439"/>
      <c r="AK492" s="439"/>
    </row>
    <row r="493" ht="18.75" customHeight="1">
      <c r="A493" s="439"/>
      <c r="B493" s="546"/>
      <c r="C493" s="547"/>
      <c r="D493" s="446">
        <f>IF(C493=0,0,(VLOOKUP(C493,'PO MTRL'!$B$9:$S1518,2,0)))</f>
        <v>0</v>
      </c>
      <c r="E493" s="548" t="str">
        <f>IF(C493="","",(VLOOKUP(C493,'PO MTRL'!$B$9:$S1518,3,0)))</f>
        <v/>
      </c>
      <c r="F493" s="549">
        <f>IF(C493=0,0,(VLOOKUP(C493,'PO MTRL'!$B$9:$S1518,4,0)))</f>
        <v>0</v>
      </c>
      <c r="G493" s="444"/>
      <c r="H493" s="550">
        <f>IF(C493=0,0,(VLOOKUP(C493,'PO MTRL'!$B$9:$S1518,6,0)))</f>
        <v>0</v>
      </c>
      <c r="I493" s="446">
        <f>IF(C493=0,0,(VLOOKUP(C493,'PO MTRL'!$B$9:$S1518,7,0)))</f>
        <v>0</v>
      </c>
      <c r="J493" s="551">
        <f>IF(C493=0,0,(VLOOKUP(C493,'PO MTRL'!$B$9:$S1518,8,0)))</f>
        <v>0</v>
      </c>
      <c r="K493" s="559"/>
      <c r="L493" s="448">
        <f t="shared" si="1"/>
        <v>0</v>
      </c>
      <c r="M493" s="551">
        <f t="shared" si="2"/>
        <v>0</v>
      </c>
      <c r="N493" s="449">
        <f t="shared" si="3"/>
        <v>0</v>
      </c>
      <c r="O493" s="551">
        <f>IF(H493=0,0,(VLOOKUP(H493,'PO MTRL'!$G$9:$S1518,5,0)))</f>
        <v>0</v>
      </c>
      <c r="P493" s="551">
        <f>IF(H493=0,0,(VLOOKUP(H493,'PO MTRL'!$G$9:$S1518,7,0)))</f>
        <v>0</v>
      </c>
      <c r="Q493" s="551">
        <f t="shared" si="4"/>
        <v>0</v>
      </c>
      <c r="R493" s="551">
        <f t="shared" si="5"/>
        <v>0</v>
      </c>
      <c r="S493" s="550">
        <f>IF(C493=0,0,(VLOOKUP(C493,'PO MTRL'!$B$9:$S1518,17,0)))</f>
        <v>0</v>
      </c>
      <c r="T493" s="553"/>
      <c r="U493" s="554">
        <f>IF(C493=0,0,(VLOOKUP(C493,'PO MTRL'!$B$9:$S1518,18,0)))</f>
        <v>0</v>
      </c>
      <c r="V493" s="16"/>
      <c r="W493" s="119" t="str">
        <f t="shared" si="6"/>
        <v/>
      </c>
      <c r="X493" s="564">
        <f t="shared" si="7"/>
        <v>0</v>
      </c>
      <c r="Y493" s="119"/>
      <c r="Z493" s="119"/>
      <c r="AA493" s="530">
        <f>IFERROR(__xludf.DUMMYFUNCTION("""COMPUTED_VALUE"""),485.0)</f>
        <v>485</v>
      </c>
      <c r="AB493" s="119"/>
      <c r="AC493" s="119"/>
      <c r="AD493" s="119"/>
      <c r="AE493" s="119"/>
      <c r="AF493" s="119"/>
      <c r="AG493" s="555" t="str">
        <f t="shared" si="8"/>
        <v>  ---&gt;     ---&gt;   </v>
      </c>
      <c r="AH493" s="16"/>
      <c r="AI493" s="439"/>
      <c r="AJ493" s="439"/>
      <c r="AK493" s="439"/>
    </row>
    <row r="494" ht="18.75" customHeight="1">
      <c r="A494" s="439"/>
      <c r="B494" s="546"/>
      <c r="C494" s="547"/>
      <c r="D494" s="446">
        <f>IF(C494=0,0,(VLOOKUP(C494,'PO MTRL'!$B$9:$S1518,2,0)))</f>
        <v>0</v>
      </c>
      <c r="E494" s="548" t="str">
        <f>IF(C494="","",(VLOOKUP(C494,'PO MTRL'!$B$9:$S1518,3,0)))</f>
        <v/>
      </c>
      <c r="F494" s="549">
        <f>IF(C494=0,0,(VLOOKUP(C494,'PO MTRL'!$B$9:$S1518,4,0)))</f>
        <v>0</v>
      </c>
      <c r="G494" s="444"/>
      <c r="H494" s="550">
        <f>IF(C494=0,0,(VLOOKUP(C494,'PO MTRL'!$B$9:$S1518,6,0)))</f>
        <v>0</v>
      </c>
      <c r="I494" s="446">
        <f>IF(C494=0,0,(VLOOKUP(C494,'PO MTRL'!$B$9:$S1518,7,0)))</f>
        <v>0</v>
      </c>
      <c r="J494" s="551">
        <f>IF(C494=0,0,(VLOOKUP(C494,'PO MTRL'!$B$9:$S1518,8,0)))</f>
        <v>0</v>
      </c>
      <c r="K494" s="559"/>
      <c r="L494" s="448">
        <f t="shared" si="1"/>
        <v>0</v>
      </c>
      <c r="M494" s="551">
        <f t="shared" si="2"/>
        <v>0</v>
      </c>
      <c r="N494" s="449">
        <f t="shared" si="3"/>
        <v>0</v>
      </c>
      <c r="O494" s="551">
        <f>IF(H494=0,0,(VLOOKUP(H494,'PO MTRL'!$G$9:$S1518,5,0)))</f>
        <v>0</v>
      </c>
      <c r="P494" s="551">
        <f>IF(H494=0,0,(VLOOKUP(H494,'PO MTRL'!$G$9:$S1518,7,0)))</f>
        <v>0</v>
      </c>
      <c r="Q494" s="551">
        <f t="shared" si="4"/>
        <v>0</v>
      </c>
      <c r="R494" s="551">
        <f t="shared" si="5"/>
        <v>0</v>
      </c>
      <c r="S494" s="550">
        <f>IF(C494=0,0,(VLOOKUP(C494,'PO MTRL'!$B$9:$S1518,17,0)))</f>
        <v>0</v>
      </c>
      <c r="T494" s="553"/>
      <c r="U494" s="554">
        <f>IF(C494=0,0,(VLOOKUP(C494,'PO MTRL'!$B$9:$S1518,18,0)))</f>
        <v>0</v>
      </c>
      <c r="V494" s="16"/>
      <c r="W494" s="119" t="str">
        <f t="shared" si="6"/>
        <v/>
      </c>
      <c r="X494" s="564">
        <f t="shared" si="7"/>
        <v>0</v>
      </c>
      <c r="Y494" s="119"/>
      <c r="Z494" s="119"/>
      <c r="AA494" s="530">
        <f>IFERROR(__xludf.DUMMYFUNCTION("""COMPUTED_VALUE"""),486.0)</f>
        <v>486</v>
      </c>
      <c r="AB494" s="119"/>
      <c r="AC494" s="119"/>
      <c r="AD494" s="119"/>
      <c r="AE494" s="119"/>
      <c r="AF494" s="119"/>
      <c r="AG494" s="555" t="str">
        <f t="shared" si="8"/>
        <v>  ---&gt;     ---&gt;   </v>
      </c>
      <c r="AH494" s="16"/>
      <c r="AI494" s="439"/>
      <c r="AJ494" s="439"/>
      <c r="AK494" s="439"/>
    </row>
    <row r="495" ht="18.75" customHeight="1">
      <c r="A495" s="439"/>
      <c r="B495" s="546"/>
      <c r="C495" s="547"/>
      <c r="D495" s="446">
        <f>IF(C495=0,0,(VLOOKUP(C495,'PO MTRL'!$B$9:$S1518,2,0)))</f>
        <v>0</v>
      </c>
      <c r="E495" s="548" t="str">
        <f>IF(C495="","",(VLOOKUP(C495,'PO MTRL'!$B$9:$S1518,3,0)))</f>
        <v/>
      </c>
      <c r="F495" s="549">
        <f>IF(C495=0,0,(VLOOKUP(C495,'PO MTRL'!$B$9:$S1518,4,0)))</f>
        <v>0</v>
      </c>
      <c r="G495" s="444"/>
      <c r="H495" s="550">
        <f>IF(C495=0,0,(VLOOKUP(C495,'PO MTRL'!$B$9:$S1518,6,0)))</f>
        <v>0</v>
      </c>
      <c r="I495" s="446">
        <f>IF(C495=0,0,(VLOOKUP(C495,'PO MTRL'!$B$9:$S1518,7,0)))</f>
        <v>0</v>
      </c>
      <c r="J495" s="551">
        <f>IF(C495=0,0,(VLOOKUP(C495,'PO MTRL'!$B$9:$S1518,8,0)))</f>
        <v>0</v>
      </c>
      <c r="K495" s="559"/>
      <c r="L495" s="448">
        <f t="shared" si="1"/>
        <v>0</v>
      </c>
      <c r="M495" s="551">
        <f t="shared" si="2"/>
        <v>0</v>
      </c>
      <c r="N495" s="449">
        <f t="shared" si="3"/>
        <v>0</v>
      </c>
      <c r="O495" s="551">
        <f>IF(H495=0,0,(VLOOKUP(H495,'PO MTRL'!$G$9:$S1518,5,0)))</f>
        <v>0</v>
      </c>
      <c r="P495" s="551">
        <f>IF(H495=0,0,(VLOOKUP(H495,'PO MTRL'!$G$9:$S1518,7,0)))</f>
        <v>0</v>
      </c>
      <c r="Q495" s="551">
        <f t="shared" si="4"/>
        <v>0</v>
      </c>
      <c r="R495" s="551">
        <f t="shared" si="5"/>
        <v>0</v>
      </c>
      <c r="S495" s="550">
        <f>IF(C495=0,0,(VLOOKUP(C495,'PO MTRL'!$B$9:$S1518,17,0)))</f>
        <v>0</v>
      </c>
      <c r="T495" s="553"/>
      <c r="U495" s="554">
        <f>IF(C495=0,0,(VLOOKUP(C495,'PO MTRL'!$B$9:$S1518,18,0)))</f>
        <v>0</v>
      </c>
      <c r="V495" s="16"/>
      <c r="W495" s="119" t="str">
        <f t="shared" si="6"/>
        <v/>
      </c>
      <c r="X495" s="564">
        <f t="shared" si="7"/>
        <v>0</v>
      </c>
      <c r="Y495" s="119"/>
      <c r="Z495" s="119"/>
      <c r="AA495" s="530">
        <f>IFERROR(__xludf.DUMMYFUNCTION("""COMPUTED_VALUE"""),487.0)</f>
        <v>487</v>
      </c>
      <c r="AB495" s="119"/>
      <c r="AC495" s="119"/>
      <c r="AD495" s="119"/>
      <c r="AE495" s="119"/>
      <c r="AF495" s="119"/>
      <c r="AG495" s="555" t="str">
        <f t="shared" si="8"/>
        <v>  ---&gt;     ---&gt;   </v>
      </c>
      <c r="AH495" s="16"/>
      <c r="AI495" s="439"/>
      <c r="AJ495" s="439"/>
      <c r="AK495" s="439"/>
    </row>
    <row r="496" ht="18.75" customHeight="1">
      <c r="A496" s="439"/>
      <c r="B496" s="546"/>
      <c r="C496" s="547"/>
      <c r="D496" s="446">
        <f>IF(C496=0,0,(VLOOKUP(C496,'PO MTRL'!$B$9:$S1518,2,0)))</f>
        <v>0</v>
      </c>
      <c r="E496" s="548" t="str">
        <f>IF(C496="","",(VLOOKUP(C496,'PO MTRL'!$B$9:$S1518,3,0)))</f>
        <v/>
      </c>
      <c r="F496" s="549">
        <f>IF(C496=0,0,(VLOOKUP(C496,'PO MTRL'!$B$9:$S1518,4,0)))</f>
        <v>0</v>
      </c>
      <c r="G496" s="444"/>
      <c r="H496" s="550">
        <f>IF(C496=0,0,(VLOOKUP(C496,'PO MTRL'!$B$9:$S1518,6,0)))</f>
        <v>0</v>
      </c>
      <c r="I496" s="446">
        <f>IF(C496=0,0,(VLOOKUP(C496,'PO MTRL'!$B$9:$S1518,7,0)))</f>
        <v>0</v>
      </c>
      <c r="J496" s="551">
        <f>IF(C496=0,0,(VLOOKUP(C496,'PO MTRL'!$B$9:$S1518,8,0)))</f>
        <v>0</v>
      </c>
      <c r="K496" s="559"/>
      <c r="L496" s="448">
        <f t="shared" si="1"/>
        <v>0</v>
      </c>
      <c r="M496" s="551">
        <f t="shared" si="2"/>
        <v>0</v>
      </c>
      <c r="N496" s="449">
        <f t="shared" si="3"/>
        <v>0</v>
      </c>
      <c r="O496" s="551">
        <f>IF(H496=0,0,(VLOOKUP(H496,'PO MTRL'!$G$9:$S1518,5,0)))</f>
        <v>0</v>
      </c>
      <c r="P496" s="551">
        <f>IF(H496=0,0,(VLOOKUP(H496,'PO MTRL'!$G$9:$S1518,7,0)))</f>
        <v>0</v>
      </c>
      <c r="Q496" s="551">
        <f t="shared" si="4"/>
        <v>0</v>
      </c>
      <c r="R496" s="551">
        <f t="shared" si="5"/>
        <v>0</v>
      </c>
      <c r="S496" s="550">
        <f>IF(C496=0,0,(VLOOKUP(C496,'PO MTRL'!$B$9:$S1518,17,0)))</f>
        <v>0</v>
      </c>
      <c r="T496" s="553"/>
      <c r="U496" s="554">
        <f>IF(C496=0,0,(VLOOKUP(C496,'PO MTRL'!$B$9:$S1518,18,0)))</f>
        <v>0</v>
      </c>
      <c r="V496" s="16"/>
      <c r="W496" s="119" t="str">
        <f t="shared" si="6"/>
        <v/>
      </c>
      <c r="X496" s="564">
        <f t="shared" si="7"/>
        <v>0</v>
      </c>
      <c r="Y496" s="119"/>
      <c r="Z496" s="119"/>
      <c r="AA496" s="530">
        <f>IFERROR(__xludf.DUMMYFUNCTION("""COMPUTED_VALUE"""),488.0)</f>
        <v>488</v>
      </c>
      <c r="AB496" s="119"/>
      <c r="AC496" s="119"/>
      <c r="AD496" s="119"/>
      <c r="AE496" s="119"/>
      <c r="AF496" s="119"/>
      <c r="AG496" s="555" t="str">
        <f t="shared" si="8"/>
        <v>  ---&gt;     ---&gt;   </v>
      </c>
      <c r="AH496" s="16"/>
      <c r="AI496" s="439"/>
      <c r="AJ496" s="439"/>
      <c r="AK496" s="439"/>
    </row>
    <row r="497" ht="18.75" customHeight="1">
      <c r="A497" s="439"/>
      <c r="B497" s="546"/>
      <c r="C497" s="547"/>
      <c r="D497" s="446">
        <f>IF(C497=0,0,(VLOOKUP(C497,'PO MTRL'!$B$9:$S1518,2,0)))</f>
        <v>0</v>
      </c>
      <c r="E497" s="548" t="str">
        <f>IF(C497="","",(VLOOKUP(C497,'PO MTRL'!$B$9:$S1518,3,0)))</f>
        <v/>
      </c>
      <c r="F497" s="549">
        <f>IF(C497=0,0,(VLOOKUP(C497,'PO MTRL'!$B$9:$S1518,4,0)))</f>
        <v>0</v>
      </c>
      <c r="G497" s="444"/>
      <c r="H497" s="550">
        <f>IF(C497=0,0,(VLOOKUP(C497,'PO MTRL'!$B$9:$S1518,6,0)))</f>
        <v>0</v>
      </c>
      <c r="I497" s="446">
        <f>IF(C497=0,0,(VLOOKUP(C497,'PO MTRL'!$B$9:$S1518,7,0)))</f>
        <v>0</v>
      </c>
      <c r="J497" s="551">
        <f>IF(C497=0,0,(VLOOKUP(C497,'PO MTRL'!$B$9:$S1518,8,0)))</f>
        <v>0</v>
      </c>
      <c r="K497" s="559"/>
      <c r="L497" s="448">
        <f t="shared" si="1"/>
        <v>0</v>
      </c>
      <c r="M497" s="551">
        <f t="shared" si="2"/>
        <v>0</v>
      </c>
      <c r="N497" s="449">
        <f t="shared" si="3"/>
        <v>0</v>
      </c>
      <c r="O497" s="551">
        <f>IF(H497=0,0,(VLOOKUP(H497,'PO MTRL'!$G$9:$S1518,5,0)))</f>
        <v>0</v>
      </c>
      <c r="P497" s="551">
        <f>IF(H497=0,0,(VLOOKUP(H497,'PO MTRL'!$G$9:$S1518,7,0)))</f>
        <v>0</v>
      </c>
      <c r="Q497" s="551">
        <f t="shared" si="4"/>
        <v>0</v>
      </c>
      <c r="R497" s="551">
        <f t="shared" si="5"/>
        <v>0</v>
      </c>
      <c r="S497" s="550">
        <f>IF(C497=0,0,(VLOOKUP(C497,'PO MTRL'!$B$9:$S1518,17,0)))</f>
        <v>0</v>
      </c>
      <c r="T497" s="553"/>
      <c r="U497" s="554">
        <f>IF(C497=0,0,(VLOOKUP(C497,'PO MTRL'!$B$9:$S1518,18,0)))</f>
        <v>0</v>
      </c>
      <c r="V497" s="16"/>
      <c r="W497" s="119" t="str">
        <f t="shared" si="6"/>
        <v/>
      </c>
      <c r="X497" s="564">
        <f t="shared" si="7"/>
        <v>0</v>
      </c>
      <c r="Y497" s="119"/>
      <c r="Z497" s="119"/>
      <c r="AA497" s="530">
        <f>IFERROR(__xludf.DUMMYFUNCTION("""COMPUTED_VALUE"""),489.0)</f>
        <v>489</v>
      </c>
      <c r="AB497" s="119"/>
      <c r="AC497" s="119"/>
      <c r="AD497" s="119"/>
      <c r="AE497" s="119"/>
      <c r="AF497" s="119"/>
      <c r="AG497" s="555" t="str">
        <f t="shared" si="8"/>
        <v>  ---&gt;     ---&gt;   </v>
      </c>
      <c r="AH497" s="16"/>
      <c r="AI497" s="439"/>
      <c r="AJ497" s="439"/>
      <c r="AK497" s="439"/>
    </row>
    <row r="498" ht="18.75" customHeight="1">
      <c r="A498" s="439"/>
      <c r="B498" s="546"/>
      <c r="C498" s="547"/>
      <c r="D498" s="446">
        <f>IF(C498=0,0,(VLOOKUP(C498,'PO MTRL'!$B$9:$S1518,2,0)))</f>
        <v>0</v>
      </c>
      <c r="E498" s="548" t="str">
        <f>IF(C498="","",(VLOOKUP(C498,'PO MTRL'!$B$9:$S1518,3,0)))</f>
        <v/>
      </c>
      <c r="F498" s="549">
        <f>IF(C498=0,0,(VLOOKUP(C498,'PO MTRL'!$B$9:$S1518,4,0)))</f>
        <v>0</v>
      </c>
      <c r="G498" s="444"/>
      <c r="H498" s="550">
        <f>IF(C498=0,0,(VLOOKUP(C498,'PO MTRL'!$B$9:$S1518,6,0)))</f>
        <v>0</v>
      </c>
      <c r="I498" s="446">
        <f>IF(C498=0,0,(VLOOKUP(C498,'PO MTRL'!$B$9:$S1518,7,0)))</f>
        <v>0</v>
      </c>
      <c r="J498" s="551">
        <f>IF(C498=0,0,(VLOOKUP(C498,'PO MTRL'!$B$9:$S1518,8,0)))</f>
        <v>0</v>
      </c>
      <c r="K498" s="559"/>
      <c r="L498" s="448">
        <f t="shared" si="1"/>
        <v>0</v>
      </c>
      <c r="M498" s="551">
        <f t="shared" si="2"/>
        <v>0</v>
      </c>
      <c r="N498" s="449">
        <f t="shared" si="3"/>
        <v>0</v>
      </c>
      <c r="O498" s="551">
        <f>IF(H498=0,0,(VLOOKUP(H498,'PO MTRL'!$G$9:$S1518,5,0)))</f>
        <v>0</v>
      </c>
      <c r="P498" s="551">
        <f>IF(H498=0,0,(VLOOKUP(H498,'PO MTRL'!$G$9:$S1518,7,0)))</f>
        <v>0</v>
      </c>
      <c r="Q498" s="551">
        <f t="shared" si="4"/>
        <v>0</v>
      </c>
      <c r="R498" s="551">
        <f t="shared" si="5"/>
        <v>0</v>
      </c>
      <c r="S498" s="550">
        <f>IF(C498=0,0,(VLOOKUP(C498,'PO MTRL'!$B$9:$S1518,17,0)))</f>
        <v>0</v>
      </c>
      <c r="T498" s="553"/>
      <c r="U498" s="554">
        <f>IF(C498=0,0,(VLOOKUP(C498,'PO MTRL'!$B$9:$S1518,18,0)))</f>
        <v>0</v>
      </c>
      <c r="V498" s="16"/>
      <c r="W498" s="119" t="str">
        <f t="shared" si="6"/>
        <v/>
      </c>
      <c r="X498" s="564">
        <f t="shared" si="7"/>
        <v>0</v>
      </c>
      <c r="Y498" s="119"/>
      <c r="Z498" s="119"/>
      <c r="AA498" s="530">
        <f>IFERROR(__xludf.DUMMYFUNCTION("""COMPUTED_VALUE"""),490.0)</f>
        <v>490</v>
      </c>
      <c r="AB498" s="119"/>
      <c r="AC498" s="119"/>
      <c r="AD498" s="119"/>
      <c r="AE498" s="119"/>
      <c r="AF498" s="119"/>
      <c r="AG498" s="555" t="str">
        <f t="shared" si="8"/>
        <v>  ---&gt;     ---&gt;   </v>
      </c>
      <c r="AH498" s="16"/>
      <c r="AI498" s="439"/>
      <c r="AJ498" s="439"/>
      <c r="AK498" s="439"/>
    </row>
    <row r="499" ht="18.75" customHeight="1">
      <c r="A499" s="439"/>
      <c r="B499" s="546"/>
      <c r="C499" s="547"/>
      <c r="D499" s="446">
        <f>IF(C499=0,0,(VLOOKUP(C499,'PO MTRL'!$B$9:$S1518,2,0)))</f>
        <v>0</v>
      </c>
      <c r="E499" s="548" t="str">
        <f>IF(C499="","",(VLOOKUP(C499,'PO MTRL'!$B$9:$S1518,3,0)))</f>
        <v/>
      </c>
      <c r="F499" s="549">
        <f>IF(C499=0,0,(VLOOKUP(C499,'PO MTRL'!$B$9:$S1518,4,0)))</f>
        <v>0</v>
      </c>
      <c r="G499" s="444"/>
      <c r="H499" s="550">
        <f>IF(C499=0,0,(VLOOKUP(C499,'PO MTRL'!$B$9:$S1518,6,0)))</f>
        <v>0</v>
      </c>
      <c r="I499" s="446">
        <f>IF(C499=0,0,(VLOOKUP(C499,'PO MTRL'!$B$9:$S1518,7,0)))</f>
        <v>0</v>
      </c>
      <c r="J499" s="551">
        <f>IF(C499=0,0,(VLOOKUP(C499,'PO MTRL'!$B$9:$S1518,8,0)))</f>
        <v>0</v>
      </c>
      <c r="K499" s="559"/>
      <c r="L499" s="448">
        <f t="shared" si="1"/>
        <v>0</v>
      </c>
      <c r="M499" s="551">
        <f t="shared" si="2"/>
        <v>0</v>
      </c>
      <c r="N499" s="449">
        <f t="shared" si="3"/>
        <v>0</v>
      </c>
      <c r="O499" s="551">
        <f>IF(H499=0,0,(VLOOKUP(H499,'PO MTRL'!$G$9:$S1518,5,0)))</f>
        <v>0</v>
      </c>
      <c r="P499" s="551">
        <f>IF(H499=0,0,(VLOOKUP(H499,'PO MTRL'!$G$9:$S1518,7,0)))</f>
        <v>0</v>
      </c>
      <c r="Q499" s="551">
        <f t="shared" si="4"/>
        <v>0</v>
      </c>
      <c r="R499" s="551">
        <f t="shared" si="5"/>
        <v>0</v>
      </c>
      <c r="S499" s="550">
        <f>IF(C499=0,0,(VLOOKUP(C499,'PO MTRL'!$B$9:$S1518,17,0)))</f>
        <v>0</v>
      </c>
      <c r="T499" s="553"/>
      <c r="U499" s="554">
        <f>IF(C499=0,0,(VLOOKUP(C499,'PO MTRL'!$B$9:$S1518,18,0)))</f>
        <v>0</v>
      </c>
      <c r="V499" s="16"/>
      <c r="W499" s="119" t="str">
        <f t="shared" si="6"/>
        <v/>
      </c>
      <c r="X499" s="564">
        <f t="shared" si="7"/>
        <v>0</v>
      </c>
      <c r="Y499" s="119"/>
      <c r="Z499" s="119"/>
      <c r="AA499" s="530">
        <f>IFERROR(__xludf.DUMMYFUNCTION("""COMPUTED_VALUE"""),491.0)</f>
        <v>491</v>
      </c>
      <c r="AB499" s="119"/>
      <c r="AC499" s="119"/>
      <c r="AD499" s="119"/>
      <c r="AE499" s="119"/>
      <c r="AF499" s="119"/>
      <c r="AG499" s="555" t="str">
        <f t="shared" si="8"/>
        <v>  ---&gt;     ---&gt;   </v>
      </c>
      <c r="AH499" s="16"/>
      <c r="AI499" s="439"/>
      <c r="AJ499" s="439"/>
      <c r="AK499" s="439"/>
    </row>
    <row r="500" ht="18.75" customHeight="1">
      <c r="A500" s="439"/>
      <c r="B500" s="546"/>
      <c r="C500" s="547"/>
      <c r="D500" s="446">
        <f>IF(C500=0,0,(VLOOKUP(C500,'PO MTRL'!$B$9:$S1518,2,0)))</f>
        <v>0</v>
      </c>
      <c r="E500" s="548" t="str">
        <f>IF(C500="","",(VLOOKUP(C500,'PO MTRL'!$B$9:$S1518,3,0)))</f>
        <v/>
      </c>
      <c r="F500" s="549">
        <f>IF(C500=0,0,(VLOOKUP(C500,'PO MTRL'!$B$9:$S1518,4,0)))</f>
        <v>0</v>
      </c>
      <c r="G500" s="444"/>
      <c r="H500" s="550">
        <f>IF(C500=0,0,(VLOOKUP(C500,'PO MTRL'!$B$9:$S1518,6,0)))</f>
        <v>0</v>
      </c>
      <c r="I500" s="446">
        <f>IF(C500=0,0,(VLOOKUP(C500,'PO MTRL'!$B$9:$S1518,7,0)))</f>
        <v>0</v>
      </c>
      <c r="J500" s="551">
        <f>IF(C500=0,0,(VLOOKUP(C500,'PO MTRL'!$B$9:$S1518,8,0)))</f>
        <v>0</v>
      </c>
      <c r="K500" s="559"/>
      <c r="L500" s="448">
        <f t="shared" si="1"/>
        <v>0</v>
      </c>
      <c r="M500" s="551">
        <f t="shared" si="2"/>
        <v>0</v>
      </c>
      <c r="N500" s="449">
        <f t="shared" si="3"/>
        <v>0</v>
      </c>
      <c r="O500" s="551">
        <f>IF(H500=0,0,(VLOOKUP(H500,'PO MTRL'!$G$9:$S1518,5,0)))</f>
        <v>0</v>
      </c>
      <c r="P500" s="551">
        <f>IF(H500=0,0,(VLOOKUP(H500,'PO MTRL'!$G$9:$S1518,7,0)))</f>
        <v>0</v>
      </c>
      <c r="Q500" s="551">
        <f t="shared" si="4"/>
        <v>0</v>
      </c>
      <c r="R500" s="551">
        <f t="shared" si="5"/>
        <v>0</v>
      </c>
      <c r="S500" s="550">
        <f>IF(C500=0,0,(VLOOKUP(C500,'PO MTRL'!$B$9:$S1518,17,0)))</f>
        <v>0</v>
      </c>
      <c r="T500" s="553"/>
      <c r="U500" s="554">
        <f>IF(C500=0,0,(VLOOKUP(C500,'PO MTRL'!$B$9:$S1518,18,0)))</f>
        <v>0</v>
      </c>
      <c r="V500" s="16"/>
      <c r="W500" s="119" t="str">
        <f t="shared" si="6"/>
        <v/>
      </c>
      <c r="X500" s="564">
        <f t="shared" si="7"/>
        <v>0</v>
      </c>
      <c r="Y500" s="119"/>
      <c r="Z500" s="119"/>
      <c r="AA500" s="530">
        <f>IFERROR(__xludf.DUMMYFUNCTION("""COMPUTED_VALUE"""),492.0)</f>
        <v>492</v>
      </c>
      <c r="AB500" s="119"/>
      <c r="AC500" s="119"/>
      <c r="AD500" s="119"/>
      <c r="AE500" s="119"/>
      <c r="AF500" s="119"/>
      <c r="AG500" s="555" t="str">
        <f t="shared" si="8"/>
        <v>  ---&gt;     ---&gt;   </v>
      </c>
      <c r="AH500" s="16"/>
      <c r="AI500" s="439"/>
      <c r="AJ500" s="439"/>
      <c r="AK500" s="439"/>
    </row>
    <row r="501" ht="18.75" customHeight="1">
      <c r="A501" s="439"/>
      <c r="B501" s="546"/>
      <c r="C501" s="547"/>
      <c r="D501" s="446">
        <f>IF(C501=0,0,(VLOOKUP(C501,'PO MTRL'!$B$9:$S1518,2,0)))</f>
        <v>0</v>
      </c>
      <c r="E501" s="548" t="str">
        <f>IF(C501="","",(VLOOKUP(C501,'PO MTRL'!$B$9:$S1518,3,0)))</f>
        <v/>
      </c>
      <c r="F501" s="549">
        <f>IF(C501=0,0,(VLOOKUP(C501,'PO MTRL'!$B$9:$S1518,4,0)))</f>
        <v>0</v>
      </c>
      <c r="G501" s="444"/>
      <c r="H501" s="550">
        <f>IF(C501=0,0,(VLOOKUP(C501,'PO MTRL'!$B$9:$S1518,6,0)))</f>
        <v>0</v>
      </c>
      <c r="I501" s="446">
        <f>IF(C501=0,0,(VLOOKUP(C501,'PO MTRL'!$B$9:$S1518,7,0)))</f>
        <v>0</v>
      </c>
      <c r="J501" s="551">
        <f>IF(C501=0,0,(VLOOKUP(C501,'PO MTRL'!$B$9:$S1518,8,0)))</f>
        <v>0</v>
      </c>
      <c r="K501" s="559"/>
      <c r="L501" s="448">
        <f t="shared" si="1"/>
        <v>0</v>
      </c>
      <c r="M501" s="551">
        <f t="shared" si="2"/>
        <v>0</v>
      </c>
      <c r="N501" s="449">
        <f t="shared" si="3"/>
        <v>0</v>
      </c>
      <c r="O501" s="551">
        <f>IF(H501=0,0,(VLOOKUP(H501,'PO MTRL'!$G$9:$S1518,5,0)))</f>
        <v>0</v>
      </c>
      <c r="P501" s="551">
        <f>IF(H501=0,0,(VLOOKUP(H501,'PO MTRL'!$G$9:$S1518,7,0)))</f>
        <v>0</v>
      </c>
      <c r="Q501" s="551">
        <f t="shared" si="4"/>
        <v>0</v>
      </c>
      <c r="R501" s="551">
        <f t="shared" si="5"/>
        <v>0</v>
      </c>
      <c r="S501" s="550">
        <f>IF(C501=0,0,(VLOOKUP(C501,'PO MTRL'!$B$9:$S1518,17,0)))</f>
        <v>0</v>
      </c>
      <c r="T501" s="553"/>
      <c r="U501" s="554">
        <f>IF(C501=0,0,(VLOOKUP(C501,'PO MTRL'!$B$9:$S1518,18,0)))</f>
        <v>0</v>
      </c>
      <c r="V501" s="16"/>
      <c r="W501" s="119" t="str">
        <f t="shared" si="6"/>
        <v/>
      </c>
      <c r="X501" s="564">
        <f t="shared" si="7"/>
        <v>0</v>
      </c>
      <c r="Y501" s="119"/>
      <c r="Z501" s="119"/>
      <c r="AA501" s="119"/>
      <c r="AB501" s="119"/>
      <c r="AC501" s="119"/>
      <c r="AD501" s="119"/>
      <c r="AE501" s="119"/>
      <c r="AF501" s="119"/>
      <c r="AG501" s="119"/>
      <c r="AH501" s="16"/>
      <c r="AI501" s="439"/>
      <c r="AJ501" s="439"/>
      <c r="AK501" s="439"/>
    </row>
    <row r="502" ht="18.75" customHeight="1">
      <c r="A502" s="439"/>
      <c r="B502" s="565"/>
      <c r="C502" s="566"/>
      <c r="D502" s="567"/>
      <c r="E502" s="567"/>
      <c r="F502" s="567"/>
      <c r="G502" s="524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8"/>
      <c r="U502" s="569"/>
      <c r="V502" s="16"/>
      <c r="W502" s="119" t="str">
        <f t="shared" si="6"/>
        <v/>
      </c>
      <c r="X502" s="119" t="str">
        <f t="shared" ref="X502:X503" si="9">C502</f>
        <v/>
      </c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6"/>
      <c r="AI502" s="439"/>
      <c r="AJ502" s="439"/>
      <c r="AK502" s="439"/>
    </row>
    <row r="503" ht="18.75" customHeight="1">
      <c r="A503" s="439"/>
      <c r="B503" s="570"/>
      <c r="C503" s="484"/>
      <c r="D503" s="485"/>
      <c r="E503" s="485"/>
      <c r="F503" s="485"/>
      <c r="G503" s="485" t="s">
        <v>55</v>
      </c>
      <c r="H503" s="485"/>
      <c r="I503" s="485"/>
      <c r="J503" s="485"/>
      <c r="K503" s="485"/>
      <c r="L503" s="485"/>
      <c r="M503" s="485"/>
      <c r="N503" s="485"/>
      <c r="O503" s="485"/>
      <c r="P503" s="485"/>
      <c r="Q503" s="485"/>
      <c r="R503" s="485"/>
      <c r="S503" s="485"/>
      <c r="T503" s="571"/>
      <c r="U503" s="488"/>
      <c r="V503" s="16"/>
      <c r="W503" s="119" t="str">
        <f t="shared" si="6"/>
        <v/>
      </c>
      <c r="X503" s="119" t="str">
        <f t="shared" si="9"/>
        <v/>
      </c>
      <c r="Y503" s="119"/>
      <c r="Z503" s="119"/>
      <c r="AA503" s="119"/>
      <c r="AB503" s="119"/>
      <c r="AC503" s="119"/>
      <c r="AD503" s="119"/>
      <c r="AE503" s="119"/>
      <c r="AF503" s="119"/>
      <c r="AG503" s="119"/>
      <c r="AH503" s="16"/>
      <c r="AI503" s="439"/>
      <c r="AJ503" s="439"/>
      <c r="AK503" s="439"/>
    </row>
    <row r="504" ht="18.75" customHeight="1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264"/>
      <c r="U504" s="439"/>
      <c r="V504" s="16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6"/>
      <c r="AI504" s="439"/>
      <c r="AJ504" s="439"/>
      <c r="AK504" s="439"/>
    </row>
    <row r="505" ht="18.75" customHeight="1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264"/>
      <c r="U505" s="439"/>
      <c r="V505" s="16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  <c r="AH505" s="16"/>
      <c r="AI505" s="439"/>
      <c r="AJ505" s="439"/>
      <c r="AK505" s="439"/>
    </row>
    <row r="506" ht="18.75" customHeight="1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264"/>
      <c r="U506" s="439"/>
      <c r="V506" s="16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6"/>
      <c r="AI506" s="439"/>
      <c r="AJ506" s="439"/>
      <c r="AK506" s="439"/>
    </row>
    <row r="507" ht="18.75" customHeight="1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264"/>
      <c r="U507" s="439"/>
      <c r="V507" s="16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6"/>
      <c r="AI507" s="439"/>
      <c r="AJ507" s="439"/>
      <c r="AK507" s="439"/>
    </row>
    <row r="508" ht="18.75" customHeight="1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264"/>
      <c r="U508" s="439"/>
      <c r="V508" s="16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  <c r="AH508" s="16"/>
      <c r="AI508" s="439"/>
      <c r="AJ508" s="439"/>
      <c r="AK508" s="439"/>
    </row>
    <row r="509" ht="18.75" customHeight="1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264"/>
      <c r="U509" s="439"/>
      <c r="V509" s="16"/>
      <c r="W509" s="119"/>
      <c r="X509" s="119"/>
      <c r="Y509" s="119"/>
      <c r="Z509" s="119"/>
      <c r="AA509" s="530" t="str">
        <f>IFERROR(__xludf.DUMMYFUNCTION("""COMPUTED_VALUE"""),"LINK DRI: PO (PENGADAAN MATERIAL DI LAPANGAN)-----&gt; MASUK SUMDA BAHAN")</f>
        <v>LINK DRI: PO (PENGADAAN MATERIAL DI LAPANGAN)-----&gt; MASUK SUMDA BAHAN</v>
      </c>
      <c r="AB509" s="119"/>
      <c r="AC509" s="119"/>
      <c r="AD509" s="119"/>
      <c r="AE509" s="119"/>
      <c r="AF509" s="119"/>
      <c r="AG509" s="119"/>
      <c r="AH509" s="16"/>
      <c r="AI509" s="439"/>
      <c r="AJ509" s="439"/>
      <c r="AK509" s="439"/>
    </row>
    <row r="510" ht="18.75" customHeight="1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264"/>
      <c r="U510" s="439"/>
      <c r="V510" s="16"/>
      <c r="W510" s="119"/>
      <c r="X510" s="119"/>
      <c r="Y510" s="119"/>
      <c r="Z510" s="119"/>
      <c r="AA510" s="530" t="str">
        <f>IFERROR(__xludf.DUMMYFUNCTION("""COMPUTED_VALUE"""),"(SEL DIPROTECK !!!)")</f>
        <v>(SEL DIPROTECK !!!)</v>
      </c>
      <c r="AB510" s="119"/>
      <c r="AC510" s="119"/>
      <c r="AD510" s="119"/>
      <c r="AE510" s="119"/>
      <c r="AF510" s="119"/>
      <c r="AG510" s="119"/>
      <c r="AH510" s="16"/>
      <c r="AI510" s="439"/>
      <c r="AJ510" s="439"/>
      <c r="AK510" s="439"/>
    </row>
    <row r="511" ht="18.75" customHeight="1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264"/>
      <c r="U511" s="439"/>
      <c r="V511" s="16"/>
      <c r="W511" s="119"/>
      <c r="X511" s="119"/>
      <c r="Y511" s="119"/>
      <c r="Z511" s="119"/>
      <c r="AA511" s="119" t="str">
        <f>IFERROR(__xludf.DUMMYFUNCTION("""COMPUTED_VALUE"""),"KONTROL PO MATERIAL")</f>
        <v>KONTROL PO MATERIAL</v>
      </c>
      <c r="AB511" s="119"/>
      <c r="AC511" s="119"/>
      <c r="AD511" s="119"/>
      <c r="AE511" s="119"/>
      <c r="AF511" s="119"/>
      <c r="AG511" s="119"/>
      <c r="AH511" s="16"/>
      <c r="AI511" s="439"/>
      <c r="AJ511" s="439"/>
      <c r="AK511" s="439"/>
    </row>
    <row r="512" ht="18.75" customHeight="1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264"/>
      <c r="U512" s="439"/>
      <c r="V512" s="16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  <c r="AH512" s="16"/>
      <c r="AI512" s="439"/>
      <c r="AJ512" s="439"/>
      <c r="AK512" s="439"/>
    </row>
    <row r="513" ht="18.75" customHeight="1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264"/>
      <c r="U513" s="439"/>
      <c r="V513" s="16"/>
      <c r="W513" s="119"/>
      <c r="X513" s="119"/>
      <c r="Y513" s="119"/>
      <c r="Z513" s="119"/>
      <c r="AA513" s="119"/>
      <c r="AB513" s="119" t="str">
        <f>IFERROR(__xludf.DUMMYFUNCTION("""COMPUTED_VALUE"""),"PIC: LOGISTIK DIVISI")</f>
        <v>PIC: LOGISTIK DIVISI</v>
      </c>
      <c r="AC513" s="119"/>
      <c r="AD513" s="119"/>
      <c r="AE513" s="119"/>
      <c r="AF513" s="119"/>
      <c r="AG513" s="119"/>
      <c r="AH513" s="16"/>
      <c r="AI513" s="439"/>
      <c r="AJ513" s="439"/>
      <c r="AK513" s="439"/>
    </row>
    <row r="514" ht="18.75" customHeight="1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264"/>
      <c r="U514" s="439"/>
      <c r="V514" s="16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6"/>
      <c r="AI514" s="439"/>
      <c r="AJ514" s="439"/>
      <c r="AK514" s="439"/>
    </row>
    <row r="515" ht="18.75" customHeight="1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264"/>
      <c r="U515" s="439"/>
      <c r="V515" s="16"/>
      <c r="W515" s="119"/>
      <c r="X515" s="119"/>
      <c r="Y515" s="119"/>
      <c r="Z515" s="119"/>
      <c r="AA515" s="119" t="str">
        <f>IFERROR(__xludf.DUMMYFUNCTION("""COMPUTED_VALUE"""),"NOMOR")</f>
        <v>NOMOR</v>
      </c>
      <c r="AB515" s="119" t="str">
        <f>IFERROR(__xludf.DUMMYFUNCTION("""COMPUTED_VALUE"""),"JENIS MATERIAL")</f>
        <v>JENIS MATERIAL</v>
      </c>
      <c r="AC515" s="530" t="str">
        <f>IFERROR(__xludf.DUMMYFUNCTION("""COMPUTED_VALUE"""),"NOMOR")</f>
        <v>NOMOR</v>
      </c>
      <c r="AD515" s="119"/>
      <c r="AE515" s="119"/>
      <c r="AF515" s="119"/>
      <c r="AG515" s="119"/>
      <c r="AH515" s="16"/>
      <c r="AI515" s="439"/>
      <c r="AJ515" s="439"/>
      <c r="AK515" s="439"/>
    </row>
    <row r="516" ht="18.75" customHeight="1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264"/>
      <c r="U516" s="439"/>
      <c r="V516" s="16"/>
      <c r="W516" s="119"/>
      <c r="X516" s="119"/>
      <c r="Y516" s="119"/>
      <c r="Z516" s="119"/>
      <c r="AA516" s="119" t="str">
        <f>IFERROR(__xludf.DUMMYFUNCTION("""COMPUTED_VALUE"""),"URUT PO")</f>
        <v>URUT PO</v>
      </c>
      <c r="AB516" s="119"/>
      <c r="AC516" s="530" t="str">
        <f>IFERROR(__xludf.DUMMYFUNCTION("""COMPUTED_VALUE"""),"PO")</f>
        <v>PO</v>
      </c>
      <c r="AD516" s="119"/>
      <c r="AE516" s="119"/>
      <c r="AF516" s="119"/>
      <c r="AG516" s="119"/>
      <c r="AH516" s="16"/>
      <c r="AI516" s="439"/>
      <c r="AJ516" s="439"/>
      <c r="AK516" s="439"/>
    </row>
    <row r="517" ht="18.75" customHeight="1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264"/>
      <c r="U517" s="439"/>
      <c r="V517" s="16"/>
      <c r="W517" s="119"/>
      <c r="X517" s="119"/>
      <c r="Y517" s="119"/>
      <c r="Z517" s="119"/>
      <c r="AA517" s="119" t="str">
        <f>IFERROR(__xludf.DUMMYFUNCTION("""COMPUTED_VALUE"""),"A")</f>
        <v>A</v>
      </c>
      <c r="AB517" s="119" t="str">
        <f>IFERROR(__xludf.DUMMYFUNCTION("""COMPUTED_VALUE"""),"E")</f>
        <v>E</v>
      </c>
      <c r="AC517" s="530" t="str">
        <f>IFERROR(__xludf.DUMMYFUNCTION("""COMPUTED_VALUE"""),"B")</f>
        <v>B</v>
      </c>
      <c r="AD517" s="119"/>
      <c r="AE517" s="119"/>
      <c r="AF517" s="119"/>
      <c r="AG517" s="119"/>
      <c r="AH517" s="16"/>
      <c r="AI517" s="439"/>
      <c r="AJ517" s="439"/>
      <c r="AK517" s="439"/>
    </row>
    <row r="518" ht="18.75" customHeight="1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264"/>
      <c r="U518" s="439"/>
      <c r="V518" s="16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  <c r="AH518" s="16"/>
      <c r="AI518" s="439"/>
      <c r="AJ518" s="439"/>
      <c r="AK518" s="439"/>
    </row>
    <row r="519" ht="18.75" customHeight="1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264"/>
      <c r="U519" s="439"/>
      <c r="V519" s="16"/>
      <c r="W519" s="119"/>
      <c r="X519" s="119"/>
      <c r="Y519" s="119"/>
      <c r="Z519" s="119"/>
      <c r="AA519" s="530">
        <f>IFERROR(__xludf.DUMMYFUNCTION("""COMPUTED_VALUE"""),1000.0)</f>
        <v>1000</v>
      </c>
      <c r="AB519" s="165" t="str">
        <f>IFERROR(__xludf.DUMMYFUNCTION("""COMPUTED_VALUE""")," Kayu 5/7 ")</f>
        <v>Kayu 5/7</v>
      </c>
      <c r="AC519" s="560" t="str">
        <f>IFERROR(__xludf.DUMMYFUNCTION("""COMPUTED_VALUE""")," PO5 ")</f>
        <v>PO5</v>
      </c>
      <c r="AD519" s="119"/>
      <c r="AE519" s="119"/>
      <c r="AF519" s="119"/>
      <c r="AG519" s="119"/>
      <c r="AH519" s="16"/>
      <c r="AI519" s="439"/>
      <c r="AJ519" s="439"/>
      <c r="AK519" s="439"/>
    </row>
    <row r="520" ht="18.75" customHeight="1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264"/>
      <c r="U520" s="439"/>
      <c r="V520" s="16"/>
      <c r="W520" s="119"/>
      <c r="X520" s="119"/>
      <c r="Y520" s="119"/>
      <c r="Z520" s="119"/>
      <c r="AA520" s="530">
        <f>IFERROR(__xludf.DUMMYFUNCTION("""COMPUTED_VALUE"""),1001.0)</f>
        <v>1001</v>
      </c>
      <c r="AB520" s="165" t="str">
        <f>IFERROR(__xludf.DUMMYFUNCTION("""COMPUTED_VALUE""")," Paku ")</f>
        <v>Paku</v>
      </c>
      <c r="AC520" s="560" t="str">
        <f>IFERROR(__xludf.DUMMYFUNCTION("""COMPUTED_VALUE""")," PO5 ")</f>
        <v>PO5</v>
      </c>
      <c r="AD520" s="119"/>
      <c r="AE520" s="119"/>
      <c r="AF520" s="119"/>
      <c r="AG520" s="119"/>
      <c r="AH520" s="16"/>
      <c r="AI520" s="439"/>
      <c r="AJ520" s="439"/>
      <c r="AK520" s="439"/>
    </row>
    <row r="521" ht="18.75" customHeight="1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264"/>
      <c r="U521" s="439"/>
      <c r="V521" s="16"/>
      <c r="W521" s="119"/>
      <c r="X521" s="119"/>
      <c r="Y521" s="119"/>
      <c r="Z521" s="119"/>
      <c r="AA521" s="530">
        <f>IFERROR(__xludf.DUMMYFUNCTION("""COMPUTED_VALUE"""),1002.0)</f>
        <v>1002</v>
      </c>
      <c r="AB521" s="165" t="str">
        <f>IFERROR(__xludf.DUMMYFUNCTION("""COMPUTED_VALUE""")," Concrete Mixer Beton ")</f>
        <v>Concrete Mixer Beton</v>
      </c>
      <c r="AC521" s="560" t="str">
        <f>IFERROR(__xludf.DUMMYFUNCTION("""COMPUTED_VALUE""")," PO6 ")</f>
        <v>PO6</v>
      </c>
      <c r="AD521" s="119"/>
      <c r="AE521" s="119"/>
      <c r="AF521" s="119"/>
      <c r="AG521" s="119"/>
      <c r="AH521" s="16"/>
      <c r="AI521" s="439"/>
      <c r="AJ521" s="439"/>
      <c r="AK521" s="439"/>
    </row>
    <row r="522" ht="18.75" customHeight="1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264"/>
      <c r="U522" s="439"/>
      <c r="V522" s="16"/>
      <c r="W522" s="119"/>
      <c r="X522" s="119"/>
      <c r="Y522" s="119"/>
      <c r="Z522" s="119"/>
      <c r="AA522" s="530">
        <f>IFERROR(__xludf.DUMMYFUNCTION("""COMPUTED_VALUE"""),1003.0)</f>
        <v>1003</v>
      </c>
      <c r="AB522" s="165" t="str">
        <f>IFERROR(__xludf.DUMMYFUNCTION("""COMPUTED_VALUE""")," Mesin gerinda tangan ")</f>
        <v>Mesin gerinda tangan</v>
      </c>
      <c r="AC522" s="560" t="str">
        <f>IFERROR(__xludf.DUMMYFUNCTION("""COMPUTED_VALUE""")," PO6 ")</f>
        <v>PO6</v>
      </c>
      <c r="AD522" s="119"/>
      <c r="AE522" s="119"/>
      <c r="AF522" s="119"/>
      <c r="AG522" s="119"/>
      <c r="AH522" s="16"/>
      <c r="AI522" s="439"/>
      <c r="AJ522" s="439"/>
      <c r="AK522" s="439"/>
    </row>
    <row r="523" ht="18.75" customHeight="1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264"/>
      <c r="U523" s="439"/>
      <c r="V523" s="16"/>
      <c r="W523" s="119"/>
      <c r="X523" s="119"/>
      <c r="Y523" s="119"/>
      <c r="Z523" s="119"/>
      <c r="AA523" s="530">
        <f>IFERROR(__xludf.DUMMYFUNCTION("""COMPUTED_VALUE"""),1004.0)</f>
        <v>1004</v>
      </c>
      <c r="AB523" s="165" t="str">
        <f>IFERROR(__xludf.DUMMYFUNCTION("""COMPUTED_VALUE""")," Rubber Cone ")</f>
        <v>Rubber Cone</v>
      </c>
      <c r="AC523" s="560" t="str">
        <f>IFERROR(__xludf.DUMMYFUNCTION("""COMPUTED_VALUE""")," PO6 ")</f>
        <v>PO6</v>
      </c>
      <c r="AD523" s="119"/>
      <c r="AE523" s="119"/>
      <c r="AF523" s="119"/>
      <c r="AG523" s="119"/>
      <c r="AH523" s="16"/>
      <c r="AI523" s="439"/>
      <c r="AJ523" s="439"/>
      <c r="AK523" s="439"/>
    </row>
    <row r="524" ht="18.75" customHeight="1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264"/>
      <c r="U524" s="439"/>
      <c r="V524" s="16"/>
      <c r="W524" s="119"/>
      <c r="X524" s="119"/>
      <c r="Y524" s="119"/>
      <c r="Z524" s="119"/>
      <c r="AA524" s="530">
        <f>IFERROR(__xludf.DUMMYFUNCTION("""COMPUTED_VALUE"""),1005.0)</f>
        <v>1005</v>
      </c>
      <c r="AB524" s="119"/>
      <c r="AC524" s="119"/>
      <c r="AD524" s="119"/>
      <c r="AE524" s="119"/>
      <c r="AF524" s="119"/>
      <c r="AG524" s="119"/>
      <c r="AH524" s="16"/>
      <c r="AI524" s="439"/>
      <c r="AJ524" s="439"/>
      <c r="AK524" s="439"/>
    </row>
    <row r="525" ht="18.75" customHeight="1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264"/>
      <c r="U525" s="439"/>
      <c r="V525" s="16"/>
      <c r="W525" s="119"/>
      <c r="X525" s="119"/>
      <c r="Y525" s="119"/>
      <c r="Z525" s="119"/>
      <c r="AA525" s="530">
        <f>IFERROR(__xludf.DUMMYFUNCTION("""COMPUTED_VALUE"""),1006.0)</f>
        <v>1006</v>
      </c>
      <c r="AB525" s="119"/>
      <c r="AC525" s="119"/>
      <c r="AD525" s="119"/>
      <c r="AE525" s="119"/>
      <c r="AF525" s="119"/>
      <c r="AG525" s="119"/>
      <c r="AH525" s="16"/>
      <c r="AI525" s="439"/>
      <c r="AJ525" s="439"/>
      <c r="AK525" s="439"/>
    </row>
    <row r="526" ht="18.75" customHeight="1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264"/>
      <c r="U526" s="439"/>
      <c r="V526" s="16"/>
      <c r="W526" s="119"/>
      <c r="X526" s="119"/>
      <c r="Y526" s="119"/>
      <c r="Z526" s="119"/>
      <c r="AA526" s="530">
        <f>IFERROR(__xludf.DUMMYFUNCTION("""COMPUTED_VALUE"""),1007.0)</f>
        <v>1007</v>
      </c>
      <c r="AB526" s="119"/>
      <c r="AC526" s="119"/>
      <c r="AD526" s="119"/>
      <c r="AE526" s="119"/>
      <c r="AF526" s="119"/>
      <c r="AG526" s="119"/>
      <c r="AH526" s="16"/>
      <c r="AI526" s="439"/>
      <c r="AJ526" s="439"/>
      <c r="AK526" s="439"/>
    </row>
    <row r="527" ht="18.75" customHeight="1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264"/>
      <c r="U527" s="439"/>
      <c r="V527" s="16"/>
      <c r="W527" s="119"/>
      <c r="X527" s="119"/>
      <c r="Y527" s="119"/>
      <c r="Z527" s="119"/>
      <c r="AA527" s="530">
        <f>IFERROR(__xludf.DUMMYFUNCTION("""COMPUTED_VALUE"""),1008.0)</f>
        <v>1008</v>
      </c>
      <c r="AB527" s="119"/>
      <c r="AC527" s="119"/>
      <c r="AD527" s="119"/>
      <c r="AE527" s="119"/>
      <c r="AF527" s="119"/>
      <c r="AG527" s="119"/>
      <c r="AH527" s="16"/>
      <c r="AI527" s="439"/>
      <c r="AJ527" s="439"/>
      <c r="AK527" s="439"/>
    </row>
    <row r="528" ht="18.75" customHeight="1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264"/>
      <c r="U528" s="439"/>
      <c r="V528" s="16"/>
      <c r="W528" s="119"/>
      <c r="X528" s="119"/>
      <c r="Y528" s="119"/>
      <c r="Z528" s="119"/>
      <c r="AA528" s="530">
        <f>IFERROR(__xludf.DUMMYFUNCTION("""COMPUTED_VALUE"""),1009.0)</f>
        <v>1009</v>
      </c>
      <c r="AB528" s="119"/>
      <c r="AC528" s="119"/>
      <c r="AD528" s="119"/>
      <c r="AE528" s="119"/>
      <c r="AF528" s="119"/>
      <c r="AG528" s="119"/>
      <c r="AH528" s="16"/>
      <c r="AI528" s="439"/>
      <c r="AJ528" s="439"/>
      <c r="AK528" s="439"/>
    </row>
    <row r="529" ht="18.75" customHeight="1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264"/>
      <c r="U529" s="439"/>
      <c r="V529" s="16"/>
      <c r="W529" s="119"/>
      <c r="X529" s="119"/>
      <c r="Y529" s="119"/>
      <c r="Z529" s="119"/>
      <c r="AA529" s="530">
        <f>IFERROR(__xludf.DUMMYFUNCTION("""COMPUTED_VALUE"""),1010.0)</f>
        <v>1010</v>
      </c>
      <c r="AB529" s="119"/>
      <c r="AC529" s="119"/>
      <c r="AD529" s="119"/>
      <c r="AE529" s="119"/>
      <c r="AF529" s="119"/>
      <c r="AG529" s="119"/>
      <c r="AH529" s="16"/>
      <c r="AI529" s="439"/>
      <c r="AJ529" s="439"/>
      <c r="AK529" s="439"/>
    </row>
    <row r="530" ht="18.75" customHeight="1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264"/>
      <c r="U530" s="439"/>
      <c r="V530" s="16"/>
      <c r="W530" s="119"/>
      <c r="X530" s="119"/>
      <c r="Y530" s="119"/>
      <c r="Z530" s="119"/>
      <c r="AA530" s="530">
        <f>IFERROR(__xludf.DUMMYFUNCTION("""COMPUTED_VALUE"""),1011.0)</f>
        <v>1011</v>
      </c>
      <c r="AB530" s="119"/>
      <c r="AC530" s="119"/>
      <c r="AD530" s="119"/>
      <c r="AE530" s="119"/>
      <c r="AF530" s="119"/>
      <c r="AG530" s="119"/>
      <c r="AH530" s="16"/>
      <c r="AI530" s="439"/>
      <c r="AJ530" s="439"/>
      <c r="AK530" s="439"/>
    </row>
    <row r="531" ht="18.75" customHeight="1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264"/>
      <c r="U531" s="439"/>
      <c r="V531" s="16"/>
      <c r="W531" s="119"/>
      <c r="X531" s="119"/>
      <c r="Y531" s="119"/>
      <c r="Z531" s="119"/>
      <c r="AA531" s="530">
        <f>IFERROR(__xludf.DUMMYFUNCTION("""COMPUTED_VALUE"""),1012.0)</f>
        <v>1012</v>
      </c>
      <c r="AB531" s="119"/>
      <c r="AC531" s="119"/>
      <c r="AD531" s="119"/>
      <c r="AE531" s="119"/>
      <c r="AF531" s="119"/>
      <c r="AG531" s="119"/>
      <c r="AH531" s="16"/>
      <c r="AI531" s="439"/>
      <c r="AJ531" s="439"/>
      <c r="AK531" s="439"/>
    </row>
    <row r="532" ht="18.75" customHeight="1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264"/>
      <c r="U532" s="439"/>
      <c r="V532" s="16"/>
      <c r="W532" s="119"/>
      <c r="X532" s="119"/>
      <c r="Y532" s="119"/>
      <c r="Z532" s="119"/>
      <c r="AA532" s="530">
        <f>IFERROR(__xludf.DUMMYFUNCTION("""COMPUTED_VALUE"""),1013.0)</f>
        <v>1013</v>
      </c>
      <c r="AB532" s="119"/>
      <c r="AC532" s="119"/>
      <c r="AD532" s="119"/>
      <c r="AE532" s="119"/>
      <c r="AF532" s="119"/>
      <c r="AG532" s="119"/>
      <c r="AH532" s="16"/>
      <c r="AI532" s="439"/>
      <c r="AJ532" s="439"/>
      <c r="AK532" s="439"/>
    </row>
    <row r="533" ht="18.75" customHeight="1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264"/>
      <c r="U533" s="439"/>
      <c r="V533" s="16"/>
      <c r="W533" s="119"/>
      <c r="X533" s="119"/>
      <c r="Y533" s="119"/>
      <c r="Z533" s="119"/>
      <c r="AA533" s="530">
        <f>IFERROR(__xludf.DUMMYFUNCTION("""COMPUTED_VALUE"""),1014.0)</f>
        <v>1014</v>
      </c>
      <c r="AB533" s="119"/>
      <c r="AC533" s="119"/>
      <c r="AD533" s="119"/>
      <c r="AE533" s="119"/>
      <c r="AF533" s="119"/>
      <c r="AG533" s="119"/>
      <c r="AH533" s="16"/>
      <c r="AI533" s="439"/>
      <c r="AJ533" s="439"/>
      <c r="AK533" s="439"/>
    </row>
    <row r="534" ht="18.75" customHeight="1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264"/>
      <c r="U534" s="439"/>
      <c r="V534" s="16"/>
      <c r="W534" s="119"/>
      <c r="X534" s="119"/>
      <c r="Y534" s="119"/>
      <c r="Z534" s="119"/>
      <c r="AA534" s="530">
        <f>IFERROR(__xludf.DUMMYFUNCTION("""COMPUTED_VALUE"""),1015.0)</f>
        <v>1015</v>
      </c>
      <c r="AB534" s="119"/>
      <c r="AC534" s="119"/>
      <c r="AD534" s="119"/>
      <c r="AE534" s="119"/>
      <c r="AF534" s="119"/>
      <c r="AG534" s="119"/>
      <c r="AH534" s="16"/>
      <c r="AI534" s="439"/>
      <c r="AJ534" s="439"/>
      <c r="AK534" s="439"/>
    </row>
    <row r="535" ht="18.75" customHeight="1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264"/>
      <c r="U535" s="439"/>
      <c r="V535" s="16"/>
      <c r="W535" s="119"/>
      <c r="X535" s="119"/>
      <c r="Y535" s="119"/>
      <c r="Z535" s="119"/>
      <c r="AA535" s="530">
        <f>IFERROR(__xludf.DUMMYFUNCTION("""COMPUTED_VALUE"""),1016.0)</f>
        <v>1016</v>
      </c>
      <c r="AB535" s="119"/>
      <c r="AC535" s="119"/>
      <c r="AD535" s="119"/>
      <c r="AE535" s="119"/>
      <c r="AF535" s="119"/>
      <c r="AG535" s="119"/>
      <c r="AH535" s="16"/>
      <c r="AI535" s="439"/>
      <c r="AJ535" s="439"/>
      <c r="AK535" s="439"/>
    </row>
    <row r="536" ht="18.75" customHeight="1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264"/>
      <c r="U536" s="439"/>
      <c r="V536" s="16"/>
      <c r="W536" s="119"/>
      <c r="X536" s="119"/>
      <c r="Y536" s="119"/>
      <c r="Z536" s="119"/>
      <c r="AA536" s="530">
        <f>IFERROR(__xludf.DUMMYFUNCTION("""COMPUTED_VALUE"""),1017.0)</f>
        <v>1017</v>
      </c>
      <c r="AB536" s="119"/>
      <c r="AC536" s="119"/>
      <c r="AD536" s="119"/>
      <c r="AE536" s="119"/>
      <c r="AF536" s="119"/>
      <c r="AG536" s="119"/>
      <c r="AH536" s="16"/>
      <c r="AI536" s="439"/>
      <c r="AJ536" s="439"/>
      <c r="AK536" s="439"/>
    </row>
    <row r="537" ht="18.75" customHeight="1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264"/>
      <c r="U537" s="439"/>
      <c r="V537" s="16"/>
      <c r="W537" s="119"/>
      <c r="X537" s="119"/>
      <c r="Y537" s="119"/>
      <c r="Z537" s="119"/>
      <c r="AA537" s="530">
        <f>IFERROR(__xludf.DUMMYFUNCTION("""COMPUTED_VALUE"""),1018.0)</f>
        <v>1018</v>
      </c>
      <c r="AB537" s="119"/>
      <c r="AC537" s="119"/>
      <c r="AD537" s="119"/>
      <c r="AE537" s="119"/>
      <c r="AF537" s="119"/>
      <c r="AG537" s="119"/>
      <c r="AH537" s="16"/>
      <c r="AI537" s="439"/>
      <c r="AJ537" s="439"/>
      <c r="AK537" s="439"/>
    </row>
    <row r="538" ht="18.75" customHeight="1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264"/>
      <c r="U538" s="439"/>
      <c r="V538" s="16"/>
      <c r="W538" s="119"/>
      <c r="X538" s="119"/>
      <c r="Y538" s="119"/>
      <c r="Z538" s="119"/>
      <c r="AA538" s="530">
        <f>IFERROR(__xludf.DUMMYFUNCTION("""COMPUTED_VALUE"""),1019.0)</f>
        <v>1019</v>
      </c>
      <c r="AB538" s="119"/>
      <c r="AC538" s="119"/>
      <c r="AD538" s="119"/>
      <c r="AE538" s="119"/>
      <c r="AF538" s="119"/>
      <c r="AG538" s="119"/>
      <c r="AH538" s="16"/>
      <c r="AI538" s="439"/>
      <c r="AJ538" s="439"/>
      <c r="AK538" s="439"/>
    </row>
    <row r="539" ht="18.75" customHeight="1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264"/>
      <c r="U539" s="439"/>
      <c r="V539" s="16"/>
      <c r="W539" s="119"/>
      <c r="X539" s="119"/>
      <c r="Y539" s="119"/>
      <c r="Z539" s="119"/>
      <c r="AA539" s="530">
        <f>IFERROR(__xludf.DUMMYFUNCTION("""COMPUTED_VALUE"""),1020.0)</f>
        <v>1020</v>
      </c>
      <c r="AB539" s="119"/>
      <c r="AC539" s="119"/>
      <c r="AD539" s="119"/>
      <c r="AE539" s="119"/>
      <c r="AF539" s="119"/>
      <c r="AG539" s="119"/>
      <c r="AH539" s="16"/>
      <c r="AI539" s="439"/>
      <c r="AJ539" s="439"/>
      <c r="AK539" s="439"/>
    </row>
    <row r="540" ht="18.75" customHeight="1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264"/>
      <c r="U540" s="439"/>
      <c r="V540" s="16"/>
      <c r="W540" s="119"/>
      <c r="X540" s="119"/>
      <c r="Y540" s="119"/>
      <c r="Z540" s="119"/>
      <c r="AA540" s="530">
        <f>IFERROR(__xludf.DUMMYFUNCTION("""COMPUTED_VALUE"""),1021.0)</f>
        <v>1021</v>
      </c>
      <c r="AB540" s="119"/>
      <c r="AC540" s="119"/>
      <c r="AD540" s="119"/>
      <c r="AE540" s="119"/>
      <c r="AF540" s="119"/>
      <c r="AG540" s="119"/>
      <c r="AH540" s="16"/>
      <c r="AI540" s="439"/>
      <c r="AJ540" s="439"/>
      <c r="AK540" s="439"/>
    </row>
    <row r="541" ht="18.75" customHeight="1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264"/>
      <c r="U541" s="439"/>
      <c r="V541" s="16"/>
      <c r="W541" s="119"/>
      <c r="X541" s="119"/>
      <c r="Y541" s="119"/>
      <c r="Z541" s="119"/>
      <c r="AA541" s="530">
        <f>IFERROR(__xludf.DUMMYFUNCTION("""COMPUTED_VALUE"""),1022.0)</f>
        <v>1022</v>
      </c>
      <c r="AB541" s="119"/>
      <c r="AC541" s="119"/>
      <c r="AD541" s="119"/>
      <c r="AE541" s="119"/>
      <c r="AF541" s="119"/>
      <c r="AG541" s="119"/>
      <c r="AH541" s="16"/>
      <c r="AI541" s="439"/>
      <c r="AJ541" s="439"/>
      <c r="AK541" s="439"/>
    </row>
    <row r="542" ht="18.75" customHeight="1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264"/>
      <c r="U542" s="439"/>
      <c r="V542" s="16"/>
      <c r="W542" s="119"/>
      <c r="X542" s="119"/>
      <c r="Y542" s="119"/>
      <c r="Z542" s="119"/>
      <c r="AA542" s="530">
        <f>IFERROR(__xludf.DUMMYFUNCTION("""COMPUTED_VALUE"""),1023.0)</f>
        <v>1023</v>
      </c>
      <c r="AB542" s="119"/>
      <c r="AC542" s="119"/>
      <c r="AD542" s="119"/>
      <c r="AE542" s="119"/>
      <c r="AF542" s="119"/>
      <c r="AG542" s="119"/>
      <c r="AH542" s="16"/>
      <c r="AI542" s="439"/>
      <c r="AJ542" s="439"/>
      <c r="AK542" s="439"/>
    </row>
    <row r="543" ht="18.75" customHeight="1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264"/>
      <c r="U543" s="439"/>
      <c r="V543" s="16"/>
      <c r="W543" s="119"/>
      <c r="X543" s="119"/>
      <c r="Y543" s="119"/>
      <c r="Z543" s="119"/>
      <c r="AA543" s="530">
        <f>IFERROR(__xludf.DUMMYFUNCTION("""COMPUTED_VALUE"""),1024.0)</f>
        <v>1024</v>
      </c>
      <c r="AB543" s="119"/>
      <c r="AC543" s="119"/>
      <c r="AD543" s="119"/>
      <c r="AE543" s="119"/>
      <c r="AF543" s="119"/>
      <c r="AG543" s="119"/>
      <c r="AH543" s="16"/>
      <c r="AI543" s="439"/>
      <c r="AJ543" s="439"/>
      <c r="AK543" s="439"/>
    </row>
    <row r="544" ht="18.75" customHeight="1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264"/>
      <c r="U544" s="439"/>
      <c r="V544" s="16"/>
      <c r="W544" s="119"/>
      <c r="X544" s="119"/>
      <c r="Y544" s="119"/>
      <c r="Z544" s="119"/>
      <c r="AA544" s="530">
        <f>IFERROR(__xludf.DUMMYFUNCTION("""COMPUTED_VALUE"""),1025.0)</f>
        <v>1025</v>
      </c>
      <c r="AB544" s="119"/>
      <c r="AC544" s="119"/>
      <c r="AD544" s="119"/>
      <c r="AE544" s="119"/>
      <c r="AF544" s="119"/>
      <c r="AG544" s="119"/>
      <c r="AH544" s="16"/>
      <c r="AI544" s="439"/>
      <c r="AJ544" s="439"/>
      <c r="AK544" s="439"/>
    </row>
    <row r="545" ht="18.75" customHeight="1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264"/>
      <c r="U545" s="439"/>
      <c r="V545" s="16"/>
      <c r="W545" s="119"/>
      <c r="X545" s="119"/>
      <c r="Y545" s="119"/>
      <c r="Z545" s="119"/>
      <c r="AA545" s="530">
        <f>IFERROR(__xludf.DUMMYFUNCTION("""COMPUTED_VALUE"""),1026.0)</f>
        <v>1026</v>
      </c>
      <c r="AB545" s="119"/>
      <c r="AC545" s="119"/>
      <c r="AD545" s="119"/>
      <c r="AE545" s="119"/>
      <c r="AF545" s="119"/>
      <c r="AG545" s="119"/>
      <c r="AH545" s="16"/>
      <c r="AI545" s="439"/>
      <c r="AJ545" s="439"/>
      <c r="AK545" s="439"/>
    </row>
    <row r="546" ht="18.75" customHeight="1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264"/>
      <c r="U546" s="439"/>
      <c r="V546" s="16"/>
      <c r="W546" s="119"/>
      <c r="X546" s="119"/>
      <c r="Y546" s="119"/>
      <c r="Z546" s="119"/>
      <c r="AA546" s="530">
        <f>IFERROR(__xludf.DUMMYFUNCTION("""COMPUTED_VALUE"""),1027.0)</f>
        <v>1027</v>
      </c>
      <c r="AB546" s="119"/>
      <c r="AC546" s="119"/>
      <c r="AD546" s="119"/>
      <c r="AE546" s="119"/>
      <c r="AF546" s="119"/>
      <c r="AG546" s="119"/>
      <c r="AH546" s="16"/>
      <c r="AI546" s="439"/>
      <c r="AJ546" s="439"/>
      <c r="AK546" s="439"/>
    </row>
    <row r="547" ht="18.75" customHeight="1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264"/>
      <c r="U547" s="439"/>
      <c r="V547" s="16"/>
      <c r="W547" s="119"/>
      <c r="X547" s="119"/>
      <c r="Y547" s="119"/>
      <c r="Z547" s="119"/>
      <c r="AA547" s="530">
        <f>IFERROR(__xludf.DUMMYFUNCTION("""COMPUTED_VALUE"""),1028.0)</f>
        <v>1028</v>
      </c>
      <c r="AB547" s="119"/>
      <c r="AC547" s="119"/>
      <c r="AD547" s="119"/>
      <c r="AE547" s="119"/>
      <c r="AF547" s="119"/>
      <c r="AG547" s="119"/>
      <c r="AH547" s="16"/>
      <c r="AI547" s="439"/>
      <c r="AJ547" s="439"/>
      <c r="AK547" s="439"/>
    </row>
    <row r="548" ht="18.75" customHeight="1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264"/>
      <c r="U548" s="439"/>
      <c r="V548" s="16"/>
      <c r="W548" s="119"/>
      <c r="X548" s="119"/>
      <c r="Y548" s="119"/>
      <c r="Z548" s="119"/>
      <c r="AA548" s="530">
        <f>IFERROR(__xludf.DUMMYFUNCTION("""COMPUTED_VALUE"""),1029.0)</f>
        <v>1029</v>
      </c>
      <c r="AB548" s="119"/>
      <c r="AC548" s="119"/>
      <c r="AD548" s="119"/>
      <c r="AE548" s="119"/>
      <c r="AF548" s="119"/>
      <c r="AG548" s="119"/>
      <c r="AH548" s="16"/>
      <c r="AI548" s="439"/>
      <c r="AJ548" s="439"/>
      <c r="AK548" s="439"/>
    </row>
    <row r="549" ht="18.75" customHeight="1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264"/>
      <c r="U549" s="439"/>
      <c r="V549" s="16"/>
      <c r="W549" s="119"/>
      <c r="X549" s="119"/>
      <c r="Y549" s="119"/>
      <c r="Z549" s="119"/>
      <c r="AA549" s="530">
        <f>IFERROR(__xludf.DUMMYFUNCTION("""COMPUTED_VALUE"""),1030.0)</f>
        <v>1030</v>
      </c>
      <c r="AB549" s="119"/>
      <c r="AC549" s="119"/>
      <c r="AD549" s="119"/>
      <c r="AE549" s="119"/>
      <c r="AF549" s="119"/>
      <c r="AG549" s="119"/>
      <c r="AH549" s="16"/>
      <c r="AI549" s="439"/>
      <c r="AJ549" s="439"/>
      <c r="AK549" s="439"/>
    </row>
    <row r="550" ht="18.75" customHeight="1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264"/>
      <c r="U550" s="439"/>
      <c r="V550" s="16"/>
      <c r="W550" s="119"/>
      <c r="X550" s="119"/>
      <c r="Y550" s="119"/>
      <c r="Z550" s="119"/>
      <c r="AA550" s="530">
        <f>IFERROR(__xludf.DUMMYFUNCTION("""COMPUTED_VALUE"""),1031.0)</f>
        <v>1031</v>
      </c>
      <c r="AB550" s="119"/>
      <c r="AC550" s="119"/>
      <c r="AD550" s="119"/>
      <c r="AE550" s="119"/>
      <c r="AF550" s="119"/>
      <c r="AG550" s="119"/>
      <c r="AH550" s="16"/>
      <c r="AI550" s="439"/>
      <c r="AJ550" s="439"/>
      <c r="AK550" s="439"/>
    </row>
    <row r="551" ht="18.75" customHeight="1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264"/>
      <c r="U551" s="439"/>
      <c r="V551" s="16"/>
      <c r="W551" s="119"/>
      <c r="X551" s="119"/>
      <c r="Y551" s="119"/>
      <c r="Z551" s="119"/>
      <c r="AA551" s="530">
        <f>IFERROR(__xludf.DUMMYFUNCTION("""COMPUTED_VALUE"""),1032.0)</f>
        <v>1032</v>
      </c>
      <c r="AB551" s="119"/>
      <c r="AC551" s="119"/>
      <c r="AD551" s="119"/>
      <c r="AE551" s="119"/>
      <c r="AF551" s="119"/>
      <c r="AG551" s="119"/>
      <c r="AH551" s="16"/>
      <c r="AI551" s="439"/>
      <c r="AJ551" s="439"/>
      <c r="AK551" s="439"/>
    </row>
    <row r="552" ht="18.75" customHeight="1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264"/>
      <c r="U552" s="439"/>
      <c r="V552" s="16"/>
      <c r="W552" s="119"/>
      <c r="X552" s="119"/>
      <c r="Y552" s="119"/>
      <c r="Z552" s="119"/>
      <c r="AA552" s="530">
        <f>IFERROR(__xludf.DUMMYFUNCTION("""COMPUTED_VALUE"""),1033.0)</f>
        <v>1033</v>
      </c>
      <c r="AB552" s="119"/>
      <c r="AC552" s="119"/>
      <c r="AD552" s="119"/>
      <c r="AE552" s="119"/>
      <c r="AF552" s="119"/>
      <c r="AG552" s="119"/>
      <c r="AH552" s="16"/>
      <c r="AI552" s="439"/>
      <c r="AJ552" s="439"/>
      <c r="AK552" s="439"/>
    </row>
    <row r="553" ht="18.75" customHeight="1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264"/>
      <c r="U553" s="439"/>
      <c r="V553" s="16"/>
      <c r="W553" s="119"/>
      <c r="X553" s="119"/>
      <c r="Y553" s="119"/>
      <c r="Z553" s="119"/>
      <c r="AA553" s="530">
        <f>IFERROR(__xludf.DUMMYFUNCTION("""COMPUTED_VALUE"""),1034.0)</f>
        <v>1034</v>
      </c>
      <c r="AB553" s="119"/>
      <c r="AC553" s="119"/>
      <c r="AD553" s="119"/>
      <c r="AE553" s="119"/>
      <c r="AF553" s="119"/>
      <c r="AG553" s="119"/>
      <c r="AH553" s="16"/>
      <c r="AI553" s="439"/>
      <c r="AJ553" s="439"/>
      <c r="AK553" s="439"/>
    </row>
    <row r="554" ht="18.75" customHeight="1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264"/>
      <c r="U554" s="439"/>
      <c r="V554" s="16"/>
      <c r="W554" s="119"/>
      <c r="X554" s="119"/>
      <c r="Y554" s="119"/>
      <c r="Z554" s="119"/>
      <c r="AA554" s="530">
        <f>IFERROR(__xludf.DUMMYFUNCTION("""COMPUTED_VALUE"""),1035.0)</f>
        <v>1035</v>
      </c>
      <c r="AB554" s="119"/>
      <c r="AC554" s="119"/>
      <c r="AD554" s="119"/>
      <c r="AE554" s="119"/>
      <c r="AF554" s="119"/>
      <c r="AG554" s="119"/>
      <c r="AH554" s="16"/>
      <c r="AI554" s="439"/>
      <c r="AJ554" s="439"/>
      <c r="AK554" s="439"/>
    </row>
    <row r="555" ht="18.75" customHeight="1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264"/>
      <c r="U555" s="439"/>
      <c r="V555" s="16"/>
      <c r="W555" s="119"/>
      <c r="X555" s="119"/>
      <c r="Y555" s="119"/>
      <c r="Z555" s="119"/>
      <c r="AA555" s="530">
        <f>IFERROR(__xludf.DUMMYFUNCTION("""COMPUTED_VALUE"""),1036.0)</f>
        <v>1036</v>
      </c>
      <c r="AB555" s="119"/>
      <c r="AC555" s="119"/>
      <c r="AD555" s="119"/>
      <c r="AE555" s="119"/>
      <c r="AF555" s="119"/>
      <c r="AG555" s="119"/>
      <c r="AH555" s="16"/>
      <c r="AI555" s="439"/>
      <c r="AJ555" s="439"/>
      <c r="AK555" s="439"/>
    </row>
    <row r="556" ht="18.75" customHeight="1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264"/>
      <c r="U556" s="439"/>
      <c r="V556" s="16"/>
      <c r="W556" s="119"/>
      <c r="X556" s="119"/>
      <c r="Y556" s="119"/>
      <c r="Z556" s="119"/>
      <c r="AA556" s="530">
        <f>IFERROR(__xludf.DUMMYFUNCTION("""COMPUTED_VALUE"""),1037.0)</f>
        <v>1037</v>
      </c>
      <c r="AB556" s="119"/>
      <c r="AC556" s="119"/>
      <c r="AD556" s="119"/>
      <c r="AE556" s="119"/>
      <c r="AF556" s="119"/>
      <c r="AG556" s="119"/>
      <c r="AH556" s="16"/>
      <c r="AI556" s="439"/>
      <c r="AJ556" s="439"/>
      <c r="AK556" s="439"/>
    </row>
    <row r="557" ht="18.75" customHeight="1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264"/>
      <c r="U557" s="439"/>
      <c r="V557" s="16"/>
      <c r="W557" s="119"/>
      <c r="X557" s="119"/>
      <c r="Y557" s="119"/>
      <c r="Z557" s="119"/>
      <c r="AA557" s="530">
        <f>IFERROR(__xludf.DUMMYFUNCTION("""COMPUTED_VALUE"""),1038.0)</f>
        <v>1038</v>
      </c>
      <c r="AB557" s="119"/>
      <c r="AC557" s="119"/>
      <c r="AD557" s="119"/>
      <c r="AE557" s="119"/>
      <c r="AF557" s="119"/>
      <c r="AG557" s="119"/>
      <c r="AH557" s="16"/>
      <c r="AI557" s="439"/>
      <c r="AJ557" s="439"/>
      <c r="AK557" s="439"/>
    </row>
    <row r="558" ht="18.75" customHeight="1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264"/>
      <c r="U558" s="439"/>
      <c r="V558" s="16"/>
      <c r="W558" s="119"/>
      <c r="X558" s="119"/>
      <c r="Y558" s="119"/>
      <c r="Z558" s="119"/>
      <c r="AA558" s="530">
        <f>IFERROR(__xludf.DUMMYFUNCTION("""COMPUTED_VALUE"""),1039.0)</f>
        <v>1039</v>
      </c>
      <c r="AB558" s="119"/>
      <c r="AC558" s="119"/>
      <c r="AD558" s="119"/>
      <c r="AE558" s="119"/>
      <c r="AF558" s="119"/>
      <c r="AG558" s="119"/>
      <c r="AH558" s="16"/>
      <c r="AI558" s="439"/>
      <c r="AJ558" s="439"/>
      <c r="AK558" s="439"/>
    </row>
    <row r="559" ht="18.75" customHeight="1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264"/>
      <c r="U559" s="439"/>
      <c r="V559" s="16"/>
      <c r="W559" s="119"/>
      <c r="X559" s="119"/>
      <c r="Y559" s="119"/>
      <c r="Z559" s="119"/>
      <c r="AA559" s="530">
        <f>IFERROR(__xludf.DUMMYFUNCTION("""COMPUTED_VALUE"""),1040.0)</f>
        <v>1040</v>
      </c>
      <c r="AB559" s="119"/>
      <c r="AC559" s="119"/>
      <c r="AD559" s="119"/>
      <c r="AE559" s="119"/>
      <c r="AF559" s="119"/>
      <c r="AG559" s="119"/>
      <c r="AH559" s="16"/>
      <c r="AI559" s="439"/>
      <c r="AJ559" s="439"/>
      <c r="AK559" s="439"/>
    </row>
    <row r="560" ht="18.75" customHeight="1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264"/>
      <c r="U560" s="439"/>
      <c r="V560" s="16"/>
      <c r="W560" s="119"/>
      <c r="X560" s="119"/>
      <c r="Y560" s="119"/>
      <c r="Z560" s="119"/>
      <c r="AA560" s="530">
        <f>IFERROR(__xludf.DUMMYFUNCTION("""COMPUTED_VALUE"""),1041.0)</f>
        <v>1041</v>
      </c>
      <c r="AB560" s="119"/>
      <c r="AC560" s="119"/>
      <c r="AD560" s="119"/>
      <c r="AE560" s="119"/>
      <c r="AF560" s="119"/>
      <c r="AG560" s="119"/>
      <c r="AH560" s="16"/>
      <c r="AI560" s="439"/>
      <c r="AJ560" s="439"/>
      <c r="AK560" s="439"/>
    </row>
    <row r="561" ht="18.75" customHeight="1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264"/>
      <c r="U561" s="439"/>
      <c r="V561" s="16"/>
      <c r="W561" s="119"/>
      <c r="X561" s="119"/>
      <c r="Y561" s="119"/>
      <c r="Z561" s="119"/>
      <c r="AA561" s="530">
        <f>IFERROR(__xludf.DUMMYFUNCTION("""COMPUTED_VALUE"""),1042.0)</f>
        <v>1042</v>
      </c>
      <c r="AB561" s="119"/>
      <c r="AC561" s="119"/>
      <c r="AD561" s="119"/>
      <c r="AE561" s="119"/>
      <c r="AF561" s="119"/>
      <c r="AG561" s="119"/>
      <c r="AH561" s="16"/>
      <c r="AI561" s="439"/>
      <c r="AJ561" s="439"/>
      <c r="AK561" s="439"/>
    </row>
    <row r="562" ht="18.75" customHeight="1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264"/>
      <c r="U562" s="439"/>
      <c r="V562" s="16"/>
      <c r="W562" s="119"/>
      <c r="X562" s="119"/>
      <c r="Y562" s="119"/>
      <c r="Z562" s="119"/>
      <c r="AA562" s="530">
        <f>IFERROR(__xludf.DUMMYFUNCTION("""COMPUTED_VALUE"""),1043.0)</f>
        <v>1043</v>
      </c>
      <c r="AB562" s="119"/>
      <c r="AC562" s="119"/>
      <c r="AD562" s="119"/>
      <c r="AE562" s="119"/>
      <c r="AF562" s="119"/>
      <c r="AG562" s="119"/>
      <c r="AH562" s="16"/>
      <c r="AI562" s="439"/>
      <c r="AJ562" s="439"/>
      <c r="AK562" s="439"/>
    </row>
    <row r="563" ht="18.75" customHeight="1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264"/>
      <c r="U563" s="439"/>
      <c r="V563" s="16"/>
      <c r="W563" s="119"/>
      <c r="X563" s="119"/>
      <c r="Y563" s="119"/>
      <c r="Z563" s="119"/>
      <c r="AA563" s="530">
        <f>IFERROR(__xludf.DUMMYFUNCTION("""COMPUTED_VALUE"""),1044.0)</f>
        <v>1044</v>
      </c>
      <c r="AB563" s="119"/>
      <c r="AC563" s="119"/>
      <c r="AD563" s="119"/>
      <c r="AE563" s="119"/>
      <c r="AF563" s="119"/>
      <c r="AG563" s="119"/>
      <c r="AH563" s="16"/>
      <c r="AI563" s="439"/>
      <c r="AJ563" s="439"/>
      <c r="AK563" s="439"/>
    </row>
    <row r="564" ht="18.75" customHeight="1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264"/>
      <c r="U564" s="439"/>
      <c r="V564" s="16"/>
      <c r="W564" s="119"/>
      <c r="X564" s="119"/>
      <c r="Y564" s="119"/>
      <c r="Z564" s="119"/>
      <c r="AA564" s="530">
        <f>IFERROR(__xludf.DUMMYFUNCTION("""COMPUTED_VALUE"""),1045.0)</f>
        <v>1045</v>
      </c>
      <c r="AB564" s="119"/>
      <c r="AC564" s="119"/>
      <c r="AD564" s="119"/>
      <c r="AE564" s="119"/>
      <c r="AF564" s="119"/>
      <c r="AG564" s="119"/>
      <c r="AH564" s="16"/>
      <c r="AI564" s="439"/>
      <c r="AJ564" s="439"/>
      <c r="AK564" s="439"/>
    </row>
    <row r="565" ht="18.75" customHeight="1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264"/>
      <c r="U565" s="439"/>
      <c r="V565" s="16"/>
      <c r="W565" s="119"/>
      <c r="X565" s="119"/>
      <c r="Y565" s="119"/>
      <c r="Z565" s="119"/>
      <c r="AA565" s="530">
        <f>IFERROR(__xludf.DUMMYFUNCTION("""COMPUTED_VALUE"""),1046.0)</f>
        <v>1046</v>
      </c>
      <c r="AB565" s="119"/>
      <c r="AC565" s="119"/>
      <c r="AD565" s="119"/>
      <c r="AE565" s="119"/>
      <c r="AF565" s="119"/>
      <c r="AG565" s="119"/>
      <c r="AH565" s="16"/>
      <c r="AI565" s="439"/>
      <c r="AJ565" s="439"/>
      <c r="AK565" s="439"/>
    </row>
    <row r="566" ht="18.75" customHeight="1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264"/>
      <c r="U566" s="439"/>
      <c r="V566" s="16"/>
      <c r="W566" s="119"/>
      <c r="X566" s="119"/>
      <c r="Y566" s="119"/>
      <c r="Z566" s="119"/>
      <c r="AA566" s="530">
        <f>IFERROR(__xludf.DUMMYFUNCTION("""COMPUTED_VALUE"""),1047.0)</f>
        <v>1047</v>
      </c>
      <c r="AB566" s="119"/>
      <c r="AC566" s="119"/>
      <c r="AD566" s="119"/>
      <c r="AE566" s="119"/>
      <c r="AF566" s="119"/>
      <c r="AG566" s="119"/>
      <c r="AH566" s="16"/>
      <c r="AI566" s="439"/>
      <c r="AJ566" s="439"/>
      <c r="AK566" s="439"/>
    </row>
    <row r="567" ht="18.75" customHeight="1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264"/>
      <c r="U567" s="439"/>
      <c r="V567" s="16"/>
      <c r="W567" s="119"/>
      <c r="X567" s="119"/>
      <c r="Y567" s="119"/>
      <c r="Z567" s="119"/>
      <c r="AA567" s="530">
        <f>IFERROR(__xludf.DUMMYFUNCTION("""COMPUTED_VALUE"""),1048.0)</f>
        <v>1048</v>
      </c>
      <c r="AB567" s="119"/>
      <c r="AC567" s="119"/>
      <c r="AD567" s="119"/>
      <c r="AE567" s="119"/>
      <c r="AF567" s="119"/>
      <c r="AG567" s="119"/>
      <c r="AH567" s="16"/>
      <c r="AI567" s="439"/>
      <c r="AJ567" s="439"/>
      <c r="AK567" s="439"/>
    </row>
    <row r="568" ht="18.75" customHeight="1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264"/>
      <c r="U568" s="439"/>
      <c r="V568" s="16"/>
      <c r="W568" s="119"/>
      <c r="X568" s="119"/>
      <c r="Y568" s="119"/>
      <c r="Z568" s="119"/>
      <c r="AA568" s="530">
        <f>IFERROR(__xludf.DUMMYFUNCTION("""COMPUTED_VALUE"""),1049.0)</f>
        <v>1049</v>
      </c>
      <c r="AB568" s="119"/>
      <c r="AC568" s="119"/>
      <c r="AD568" s="119"/>
      <c r="AE568" s="119"/>
      <c r="AF568" s="119"/>
      <c r="AG568" s="119"/>
      <c r="AH568" s="16"/>
      <c r="AI568" s="439"/>
      <c r="AJ568" s="439"/>
      <c r="AK568" s="439"/>
    </row>
    <row r="569" ht="18.75" customHeight="1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264"/>
      <c r="U569" s="439"/>
      <c r="V569" s="16"/>
      <c r="W569" s="119"/>
      <c r="X569" s="119"/>
      <c r="Y569" s="119"/>
      <c r="Z569" s="119"/>
      <c r="AA569" s="530">
        <f>IFERROR(__xludf.DUMMYFUNCTION("""COMPUTED_VALUE"""),1050.0)</f>
        <v>1050</v>
      </c>
      <c r="AB569" s="119"/>
      <c r="AC569" s="119"/>
      <c r="AD569" s="119"/>
      <c r="AE569" s="119"/>
      <c r="AF569" s="119"/>
      <c r="AG569" s="119"/>
      <c r="AH569" s="16"/>
      <c r="AI569" s="439"/>
      <c r="AJ569" s="439"/>
      <c r="AK569" s="439"/>
    </row>
    <row r="570" ht="18.75" customHeight="1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264"/>
      <c r="U570" s="439"/>
      <c r="V570" s="16"/>
      <c r="W570" s="119"/>
      <c r="X570" s="119"/>
      <c r="Y570" s="119"/>
      <c r="Z570" s="119"/>
      <c r="AA570" s="530">
        <f>IFERROR(__xludf.DUMMYFUNCTION("""COMPUTED_VALUE"""),1051.0)</f>
        <v>1051</v>
      </c>
      <c r="AB570" s="119"/>
      <c r="AC570" s="119"/>
      <c r="AD570" s="119"/>
      <c r="AE570" s="119"/>
      <c r="AF570" s="119"/>
      <c r="AG570" s="119"/>
      <c r="AH570" s="16"/>
      <c r="AI570" s="439"/>
      <c r="AJ570" s="439"/>
      <c r="AK570" s="439"/>
    </row>
    <row r="571" ht="18.75" customHeight="1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264"/>
      <c r="U571" s="439"/>
      <c r="V571" s="16"/>
      <c r="W571" s="119"/>
      <c r="X571" s="119"/>
      <c r="Y571" s="119"/>
      <c r="Z571" s="119"/>
      <c r="AA571" s="530">
        <f>IFERROR(__xludf.DUMMYFUNCTION("""COMPUTED_VALUE"""),1052.0)</f>
        <v>1052</v>
      </c>
      <c r="AB571" s="119"/>
      <c r="AC571" s="119"/>
      <c r="AD571" s="119"/>
      <c r="AE571" s="119"/>
      <c r="AF571" s="119"/>
      <c r="AG571" s="119"/>
      <c r="AH571" s="16"/>
      <c r="AI571" s="439"/>
      <c r="AJ571" s="439"/>
      <c r="AK571" s="439"/>
    </row>
    <row r="572" ht="18.75" customHeight="1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264"/>
      <c r="U572" s="439"/>
      <c r="V572" s="16"/>
      <c r="W572" s="119"/>
      <c r="X572" s="119"/>
      <c r="Y572" s="119"/>
      <c r="Z572" s="119"/>
      <c r="AA572" s="530">
        <f>IFERROR(__xludf.DUMMYFUNCTION("""COMPUTED_VALUE"""),1053.0)</f>
        <v>1053</v>
      </c>
      <c r="AB572" s="119"/>
      <c r="AC572" s="119"/>
      <c r="AD572" s="119"/>
      <c r="AE572" s="119"/>
      <c r="AF572" s="119"/>
      <c r="AG572" s="119"/>
      <c r="AH572" s="16"/>
      <c r="AI572" s="439"/>
      <c r="AJ572" s="439"/>
      <c r="AK572" s="439"/>
    </row>
    <row r="573" ht="18.75" customHeight="1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264"/>
      <c r="U573" s="439"/>
      <c r="V573" s="16"/>
      <c r="W573" s="119"/>
      <c r="X573" s="119"/>
      <c r="Y573" s="119"/>
      <c r="Z573" s="119"/>
      <c r="AA573" s="530">
        <f>IFERROR(__xludf.DUMMYFUNCTION("""COMPUTED_VALUE"""),1054.0)</f>
        <v>1054</v>
      </c>
      <c r="AB573" s="119"/>
      <c r="AC573" s="119"/>
      <c r="AD573" s="119"/>
      <c r="AE573" s="119"/>
      <c r="AF573" s="119"/>
      <c r="AG573" s="119"/>
      <c r="AH573" s="16"/>
      <c r="AI573" s="439"/>
      <c r="AJ573" s="439"/>
      <c r="AK573" s="439"/>
    </row>
    <row r="574" ht="18.75" customHeight="1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264"/>
      <c r="U574" s="439"/>
      <c r="V574" s="16"/>
      <c r="W574" s="119"/>
      <c r="X574" s="119"/>
      <c r="Y574" s="119"/>
      <c r="Z574" s="119"/>
      <c r="AA574" s="530">
        <f>IFERROR(__xludf.DUMMYFUNCTION("""COMPUTED_VALUE"""),1055.0)</f>
        <v>1055</v>
      </c>
      <c r="AB574" s="119"/>
      <c r="AC574" s="119"/>
      <c r="AD574" s="119"/>
      <c r="AE574" s="119"/>
      <c r="AF574" s="119"/>
      <c r="AG574" s="119"/>
      <c r="AH574" s="16"/>
      <c r="AI574" s="439"/>
      <c r="AJ574" s="439"/>
      <c r="AK574" s="439"/>
    </row>
    <row r="575" ht="18.75" customHeight="1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264"/>
      <c r="U575" s="439"/>
      <c r="V575" s="16"/>
      <c r="W575" s="119"/>
      <c r="X575" s="119"/>
      <c r="Y575" s="119"/>
      <c r="Z575" s="119"/>
      <c r="AA575" s="530">
        <f>IFERROR(__xludf.DUMMYFUNCTION("""COMPUTED_VALUE"""),1056.0)</f>
        <v>1056</v>
      </c>
      <c r="AB575" s="119"/>
      <c r="AC575" s="119"/>
      <c r="AD575" s="119"/>
      <c r="AE575" s="119"/>
      <c r="AF575" s="119"/>
      <c r="AG575" s="119"/>
      <c r="AH575" s="16"/>
      <c r="AI575" s="439"/>
      <c r="AJ575" s="439"/>
      <c r="AK575" s="439"/>
    </row>
    <row r="576" ht="18.75" customHeight="1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264"/>
      <c r="U576" s="439"/>
      <c r="V576" s="16"/>
      <c r="W576" s="119"/>
      <c r="X576" s="119"/>
      <c r="Y576" s="119"/>
      <c r="Z576" s="119"/>
      <c r="AA576" s="530">
        <f>IFERROR(__xludf.DUMMYFUNCTION("""COMPUTED_VALUE"""),1057.0)</f>
        <v>1057</v>
      </c>
      <c r="AB576" s="119"/>
      <c r="AC576" s="119"/>
      <c r="AD576" s="119"/>
      <c r="AE576" s="119"/>
      <c r="AF576" s="119"/>
      <c r="AG576" s="119"/>
      <c r="AH576" s="16"/>
      <c r="AI576" s="439"/>
      <c r="AJ576" s="439"/>
      <c r="AK576" s="439"/>
    </row>
    <row r="577" ht="18.75" customHeight="1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264"/>
      <c r="U577" s="439"/>
      <c r="V577" s="16"/>
      <c r="W577" s="119"/>
      <c r="X577" s="119"/>
      <c r="Y577" s="119"/>
      <c r="Z577" s="119"/>
      <c r="AA577" s="530">
        <f>IFERROR(__xludf.DUMMYFUNCTION("""COMPUTED_VALUE"""),1058.0)</f>
        <v>1058</v>
      </c>
      <c r="AB577" s="119"/>
      <c r="AC577" s="119"/>
      <c r="AD577" s="119"/>
      <c r="AE577" s="119"/>
      <c r="AF577" s="119"/>
      <c r="AG577" s="119"/>
      <c r="AH577" s="16"/>
      <c r="AI577" s="439"/>
      <c r="AJ577" s="439"/>
      <c r="AK577" s="439"/>
    </row>
    <row r="578" ht="18.75" customHeight="1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264"/>
      <c r="U578" s="439"/>
      <c r="V578" s="16"/>
      <c r="W578" s="119"/>
      <c r="X578" s="119"/>
      <c r="Y578" s="119"/>
      <c r="Z578" s="119"/>
      <c r="AA578" s="530">
        <f>IFERROR(__xludf.DUMMYFUNCTION("""COMPUTED_VALUE"""),1059.0)</f>
        <v>1059</v>
      </c>
      <c r="AB578" s="119"/>
      <c r="AC578" s="119"/>
      <c r="AD578" s="119"/>
      <c r="AE578" s="119"/>
      <c r="AF578" s="119"/>
      <c r="AG578" s="119"/>
      <c r="AH578" s="16"/>
      <c r="AI578" s="439"/>
      <c r="AJ578" s="439"/>
      <c r="AK578" s="439"/>
    </row>
    <row r="579" ht="18.75" customHeight="1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264"/>
      <c r="U579" s="439"/>
      <c r="V579" s="16"/>
      <c r="W579" s="119"/>
      <c r="X579" s="119"/>
      <c r="Y579" s="119"/>
      <c r="Z579" s="119"/>
      <c r="AA579" s="530">
        <f>IFERROR(__xludf.DUMMYFUNCTION("""COMPUTED_VALUE"""),1060.0)</f>
        <v>1060</v>
      </c>
      <c r="AB579" s="119"/>
      <c r="AC579" s="119"/>
      <c r="AD579" s="119"/>
      <c r="AE579" s="119"/>
      <c r="AF579" s="119"/>
      <c r="AG579" s="119"/>
      <c r="AH579" s="16"/>
      <c r="AI579" s="439"/>
      <c r="AJ579" s="439"/>
      <c r="AK579" s="439"/>
    </row>
    <row r="580" ht="18.75" customHeight="1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264"/>
      <c r="U580" s="439"/>
      <c r="V580" s="16"/>
      <c r="W580" s="119"/>
      <c r="X580" s="119"/>
      <c r="Y580" s="119"/>
      <c r="Z580" s="119"/>
      <c r="AA580" s="530">
        <f>IFERROR(__xludf.DUMMYFUNCTION("""COMPUTED_VALUE"""),1061.0)</f>
        <v>1061</v>
      </c>
      <c r="AB580" s="119"/>
      <c r="AC580" s="119"/>
      <c r="AD580" s="119"/>
      <c r="AE580" s="119"/>
      <c r="AF580" s="119"/>
      <c r="AG580" s="119"/>
      <c r="AH580" s="16"/>
      <c r="AI580" s="439"/>
      <c r="AJ580" s="439"/>
      <c r="AK580" s="439"/>
    </row>
    <row r="581" ht="18.75" customHeight="1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264"/>
      <c r="U581" s="439"/>
      <c r="V581" s="16"/>
      <c r="W581" s="119"/>
      <c r="X581" s="119"/>
      <c r="Y581" s="119"/>
      <c r="Z581" s="119"/>
      <c r="AA581" s="530">
        <f>IFERROR(__xludf.DUMMYFUNCTION("""COMPUTED_VALUE"""),1062.0)</f>
        <v>1062</v>
      </c>
      <c r="AB581" s="119"/>
      <c r="AC581" s="119"/>
      <c r="AD581" s="119"/>
      <c r="AE581" s="119"/>
      <c r="AF581" s="119"/>
      <c r="AG581" s="119"/>
      <c r="AH581" s="16"/>
      <c r="AI581" s="439"/>
      <c r="AJ581" s="439"/>
      <c r="AK581" s="439"/>
    </row>
    <row r="582" ht="18.75" customHeight="1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264"/>
      <c r="U582" s="439"/>
      <c r="V582" s="16"/>
      <c r="W582" s="119"/>
      <c r="X582" s="119"/>
      <c r="Y582" s="119"/>
      <c r="Z582" s="119"/>
      <c r="AA582" s="530">
        <f>IFERROR(__xludf.DUMMYFUNCTION("""COMPUTED_VALUE"""),1063.0)</f>
        <v>1063</v>
      </c>
      <c r="AB582" s="119"/>
      <c r="AC582" s="119"/>
      <c r="AD582" s="119"/>
      <c r="AE582" s="119"/>
      <c r="AF582" s="119"/>
      <c r="AG582" s="119"/>
      <c r="AH582" s="16"/>
      <c r="AI582" s="439"/>
      <c r="AJ582" s="439"/>
      <c r="AK582" s="439"/>
    </row>
    <row r="583" ht="18.75" customHeight="1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264"/>
      <c r="U583" s="439"/>
      <c r="V583" s="16"/>
      <c r="W583" s="119"/>
      <c r="X583" s="119"/>
      <c r="Y583" s="119"/>
      <c r="Z583" s="119"/>
      <c r="AA583" s="530">
        <f>IFERROR(__xludf.DUMMYFUNCTION("""COMPUTED_VALUE"""),1064.0)</f>
        <v>1064</v>
      </c>
      <c r="AB583" s="119"/>
      <c r="AC583" s="119"/>
      <c r="AD583" s="119"/>
      <c r="AE583" s="119"/>
      <c r="AF583" s="119"/>
      <c r="AG583" s="119"/>
      <c r="AH583" s="16"/>
      <c r="AI583" s="439"/>
      <c r="AJ583" s="439"/>
      <c r="AK583" s="439"/>
    </row>
    <row r="584" ht="18.75" customHeight="1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264"/>
      <c r="U584" s="439"/>
      <c r="V584" s="16"/>
      <c r="W584" s="119"/>
      <c r="X584" s="119"/>
      <c r="Y584" s="119"/>
      <c r="Z584" s="119"/>
      <c r="AA584" s="530">
        <f>IFERROR(__xludf.DUMMYFUNCTION("""COMPUTED_VALUE"""),1065.0)</f>
        <v>1065</v>
      </c>
      <c r="AB584" s="119"/>
      <c r="AC584" s="119"/>
      <c r="AD584" s="119"/>
      <c r="AE584" s="119"/>
      <c r="AF584" s="119"/>
      <c r="AG584" s="119"/>
      <c r="AH584" s="16"/>
      <c r="AI584" s="439"/>
      <c r="AJ584" s="439"/>
      <c r="AK584" s="439"/>
    </row>
    <row r="585" ht="18.75" customHeight="1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264"/>
      <c r="U585" s="439"/>
      <c r="V585" s="16"/>
      <c r="W585" s="119"/>
      <c r="X585" s="119"/>
      <c r="Y585" s="119"/>
      <c r="Z585" s="119"/>
      <c r="AA585" s="530">
        <f>IFERROR(__xludf.DUMMYFUNCTION("""COMPUTED_VALUE"""),1066.0)</f>
        <v>1066</v>
      </c>
      <c r="AB585" s="119"/>
      <c r="AC585" s="119"/>
      <c r="AD585" s="119"/>
      <c r="AE585" s="119"/>
      <c r="AF585" s="119"/>
      <c r="AG585" s="119"/>
      <c r="AH585" s="16"/>
      <c r="AI585" s="439"/>
      <c r="AJ585" s="439"/>
      <c r="AK585" s="439"/>
    </row>
    <row r="586" ht="18.75" customHeight="1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264"/>
      <c r="U586" s="439"/>
      <c r="V586" s="16"/>
      <c r="W586" s="119"/>
      <c r="X586" s="119"/>
      <c r="Y586" s="119"/>
      <c r="Z586" s="119"/>
      <c r="AA586" s="530">
        <f>IFERROR(__xludf.DUMMYFUNCTION("""COMPUTED_VALUE"""),1067.0)</f>
        <v>1067</v>
      </c>
      <c r="AB586" s="119"/>
      <c r="AC586" s="119"/>
      <c r="AD586" s="119"/>
      <c r="AE586" s="119"/>
      <c r="AF586" s="119"/>
      <c r="AG586" s="119"/>
      <c r="AH586" s="16"/>
      <c r="AI586" s="439"/>
      <c r="AJ586" s="439"/>
      <c r="AK586" s="439"/>
    </row>
    <row r="587" ht="18.75" customHeight="1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264"/>
      <c r="U587" s="439"/>
      <c r="V587" s="16"/>
      <c r="W587" s="119"/>
      <c r="X587" s="119"/>
      <c r="Y587" s="119"/>
      <c r="Z587" s="119"/>
      <c r="AA587" s="530">
        <f>IFERROR(__xludf.DUMMYFUNCTION("""COMPUTED_VALUE"""),1068.0)</f>
        <v>1068</v>
      </c>
      <c r="AB587" s="119"/>
      <c r="AC587" s="119"/>
      <c r="AD587" s="119"/>
      <c r="AE587" s="119"/>
      <c r="AF587" s="119"/>
      <c r="AG587" s="119"/>
      <c r="AH587" s="16"/>
      <c r="AI587" s="439"/>
      <c r="AJ587" s="439"/>
      <c r="AK587" s="439"/>
    </row>
    <row r="588" ht="18.75" customHeight="1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264"/>
      <c r="U588" s="439"/>
      <c r="V588" s="16"/>
      <c r="W588" s="119"/>
      <c r="X588" s="119"/>
      <c r="Y588" s="119"/>
      <c r="Z588" s="119"/>
      <c r="AA588" s="530">
        <f>IFERROR(__xludf.DUMMYFUNCTION("""COMPUTED_VALUE"""),1069.0)</f>
        <v>1069</v>
      </c>
      <c r="AB588" s="119"/>
      <c r="AC588" s="119"/>
      <c r="AD588" s="119"/>
      <c r="AE588" s="119"/>
      <c r="AF588" s="119"/>
      <c r="AG588" s="119"/>
      <c r="AH588" s="16"/>
      <c r="AI588" s="439"/>
      <c r="AJ588" s="439"/>
      <c r="AK588" s="439"/>
    </row>
    <row r="589" ht="18.75" customHeight="1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264"/>
      <c r="U589" s="439"/>
      <c r="V589" s="16"/>
      <c r="W589" s="119"/>
      <c r="X589" s="119"/>
      <c r="Y589" s="119"/>
      <c r="Z589" s="119"/>
      <c r="AA589" s="530">
        <f>IFERROR(__xludf.DUMMYFUNCTION("""COMPUTED_VALUE"""),1070.0)</f>
        <v>1070</v>
      </c>
      <c r="AB589" s="119"/>
      <c r="AC589" s="119"/>
      <c r="AD589" s="119"/>
      <c r="AE589" s="119"/>
      <c r="AF589" s="119"/>
      <c r="AG589" s="119"/>
      <c r="AH589" s="16"/>
      <c r="AI589" s="439"/>
      <c r="AJ589" s="439"/>
      <c r="AK589" s="439"/>
    </row>
    <row r="590" ht="18.75" customHeight="1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264"/>
      <c r="U590" s="439"/>
      <c r="V590" s="16"/>
      <c r="W590" s="119"/>
      <c r="X590" s="119"/>
      <c r="Y590" s="119"/>
      <c r="Z590" s="119"/>
      <c r="AA590" s="530">
        <f>IFERROR(__xludf.DUMMYFUNCTION("""COMPUTED_VALUE"""),1071.0)</f>
        <v>1071</v>
      </c>
      <c r="AB590" s="119"/>
      <c r="AC590" s="119"/>
      <c r="AD590" s="119"/>
      <c r="AE590" s="119"/>
      <c r="AF590" s="119"/>
      <c r="AG590" s="119"/>
      <c r="AH590" s="16"/>
      <c r="AI590" s="439"/>
      <c r="AJ590" s="439"/>
      <c r="AK590" s="439"/>
    </row>
    <row r="591" ht="18.75" customHeight="1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264"/>
      <c r="U591" s="439"/>
      <c r="V591" s="16"/>
      <c r="W591" s="119"/>
      <c r="X591" s="119"/>
      <c r="Y591" s="119"/>
      <c r="Z591" s="119"/>
      <c r="AA591" s="530">
        <f>IFERROR(__xludf.DUMMYFUNCTION("""COMPUTED_VALUE"""),1072.0)</f>
        <v>1072</v>
      </c>
      <c r="AB591" s="119"/>
      <c r="AC591" s="119"/>
      <c r="AD591" s="119"/>
      <c r="AE591" s="119"/>
      <c r="AF591" s="119"/>
      <c r="AG591" s="119"/>
      <c r="AH591" s="16"/>
      <c r="AI591" s="439"/>
      <c r="AJ591" s="439"/>
      <c r="AK591" s="439"/>
    </row>
    <row r="592" ht="18.75" customHeight="1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264"/>
      <c r="U592" s="439"/>
      <c r="V592" s="16"/>
      <c r="W592" s="119"/>
      <c r="X592" s="119"/>
      <c r="Y592" s="119"/>
      <c r="Z592" s="119"/>
      <c r="AA592" s="530">
        <f>IFERROR(__xludf.DUMMYFUNCTION("""COMPUTED_VALUE"""),1073.0)</f>
        <v>1073</v>
      </c>
      <c r="AB592" s="119"/>
      <c r="AC592" s="119"/>
      <c r="AD592" s="119"/>
      <c r="AE592" s="119"/>
      <c r="AF592" s="119"/>
      <c r="AG592" s="119"/>
      <c r="AH592" s="16"/>
      <c r="AI592" s="439"/>
      <c r="AJ592" s="439"/>
      <c r="AK592" s="439"/>
    </row>
    <row r="593" ht="18.75" customHeight="1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264"/>
      <c r="U593" s="439"/>
      <c r="V593" s="16"/>
      <c r="W593" s="119"/>
      <c r="X593" s="119"/>
      <c r="Y593" s="119"/>
      <c r="Z593" s="119"/>
      <c r="AA593" s="530">
        <f>IFERROR(__xludf.DUMMYFUNCTION("""COMPUTED_VALUE"""),1074.0)</f>
        <v>1074</v>
      </c>
      <c r="AB593" s="119"/>
      <c r="AC593" s="119"/>
      <c r="AD593" s="119"/>
      <c r="AE593" s="119"/>
      <c r="AF593" s="119"/>
      <c r="AG593" s="119"/>
      <c r="AH593" s="16"/>
      <c r="AI593" s="439"/>
      <c r="AJ593" s="439"/>
      <c r="AK593" s="439"/>
    </row>
    <row r="594" ht="18.75" customHeight="1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264"/>
      <c r="U594" s="439"/>
      <c r="V594" s="16"/>
      <c r="W594" s="119"/>
      <c r="X594" s="119"/>
      <c r="Y594" s="119"/>
      <c r="Z594" s="119"/>
      <c r="AA594" s="530">
        <f>IFERROR(__xludf.DUMMYFUNCTION("""COMPUTED_VALUE"""),1075.0)</f>
        <v>1075</v>
      </c>
      <c r="AB594" s="119"/>
      <c r="AC594" s="119"/>
      <c r="AD594" s="119"/>
      <c r="AE594" s="119"/>
      <c r="AF594" s="119"/>
      <c r="AG594" s="119"/>
      <c r="AH594" s="16"/>
      <c r="AI594" s="439"/>
      <c r="AJ594" s="439"/>
      <c r="AK594" s="439"/>
    </row>
    <row r="595" ht="18.75" customHeight="1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264"/>
      <c r="U595" s="439"/>
      <c r="V595" s="16"/>
      <c r="W595" s="119"/>
      <c r="X595" s="119"/>
      <c r="Y595" s="119"/>
      <c r="Z595" s="119"/>
      <c r="AA595" s="530">
        <f>IFERROR(__xludf.DUMMYFUNCTION("""COMPUTED_VALUE"""),1076.0)</f>
        <v>1076</v>
      </c>
      <c r="AB595" s="119"/>
      <c r="AC595" s="119"/>
      <c r="AD595" s="119"/>
      <c r="AE595" s="119"/>
      <c r="AF595" s="119"/>
      <c r="AG595" s="119"/>
      <c r="AH595" s="16"/>
      <c r="AI595" s="439"/>
      <c r="AJ595" s="439"/>
      <c r="AK595" s="439"/>
    </row>
    <row r="596" ht="18.75" customHeight="1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264"/>
      <c r="U596" s="439"/>
      <c r="V596" s="16"/>
      <c r="W596" s="119"/>
      <c r="X596" s="119"/>
      <c r="Y596" s="119"/>
      <c r="Z596" s="119"/>
      <c r="AA596" s="530">
        <f>IFERROR(__xludf.DUMMYFUNCTION("""COMPUTED_VALUE"""),1077.0)</f>
        <v>1077</v>
      </c>
      <c r="AB596" s="119"/>
      <c r="AC596" s="119"/>
      <c r="AD596" s="119"/>
      <c r="AE596" s="119"/>
      <c r="AF596" s="119"/>
      <c r="AG596" s="119"/>
      <c r="AH596" s="16"/>
      <c r="AI596" s="439"/>
      <c r="AJ596" s="439"/>
      <c r="AK596" s="439"/>
    </row>
    <row r="597" ht="18.75" customHeight="1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264"/>
      <c r="U597" s="439"/>
      <c r="V597" s="16"/>
      <c r="W597" s="119"/>
      <c r="X597" s="119"/>
      <c r="Y597" s="119"/>
      <c r="Z597" s="119"/>
      <c r="AA597" s="530">
        <f>IFERROR(__xludf.DUMMYFUNCTION("""COMPUTED_VALUE"""),1078.0)</f>
        <v>1078</v>
      </c>
      <c r="AB597" s="119"/>
      <c r="AC597" s="119"/>
      <c r="AD597" s="119"/>
      <c r="AE597" s="119"/>
      <c r="AF597" s="119"/>
      <c r="AG597" s="119"/>
      <c r="AH597" s="16"/>
      <c r="AI597" s="439"/>
      <c r="AJ597" s="439"/>
      <c r="AK597" s="439"/>
    </row>
    <row r="598" ht="18.75" customHeight="1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264"/>
      <c r="U598" s="439"/>
      <c r="V598" s="16"/>
      <c r="W598" s="119"/>
      <c r="X598" s="119"/>
      <c r="Y598" s="119"/>
      <c r="Z598" s="119"/>
      <c r="AA598" s="530">
        <f>IFERROR(__xludf.DUMMYFUNCTION("""COMPUTED_VALUE"""),1079.0)</f>
        <v>1079</v>
      </c>
      <c r="AB598" s="119"/>
      <c r="AC598" s="119"/>
      <c r="AD598" s="119"/>
      <c r="AE598" s="119"/>
      <c r="AF598" s="119"/>
      <c r="AG598" s="119"/>
      <c r="AH598" s="16"/>
      <c r="AI598" s="439"/>
      <c r="AJ598" s="439"/>
      <c r="AK598" s="439"/>
    </row>
    <row r="599" ht="18.75" customHeight="1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264"/>
      <c r="U599" s="439"/>
      <c r="V599" s="16"/>
      <c r="W599" s="119"/>
      <c r="X599" s="119"/>
      <c r="Y599" s="119"/>
      <c r="Z599" s="119"/>
      <c r="AA599" s="530">
        <f>IFERROR(__xludf.DUMMYFUNCTION("""COMPUTED_VALUE"""),1080.0)</f>
        <v>1080</v>
      </c>
      <c r="AB599" s="119"/>
      <c r="AC599" s="119"/>
      <c r="AD599" s="119"/>
      <c r="AE599" s="119"/>
      <c r="AF599" s="119"/>
      <c r="AG599" s="119"/>
      <c r="AH599" s="16"/>
      <c r="AI599" s="439"/>
      <c r="AJ599" s="439"/>
      <c r="AK599" s="439"/>
    </row>
    <row r="600" ht="18.75" customHeight="1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264"/>
      <c r="U600" s="439"/>
      <c r="V600" s="16"/>
      <c r="W600" s="119"/>
      <c r="X600" s="119"/>
      <c r="Y600" s="119"/>
      <c r="Z600" s="119"/>
      <c r="AA600" s="530">
        <f>IFERROR(__xludf.DUMMYFUNCTION("""COMPUTED_VALUE"""),1081.0)</f>
        <v>1081</v>
      </c>
      <c r="AB600" s="119"/>
      <c r="AC600" s="119"/>
      <c r="AD600" s="119"/>
      <c r="AE600" s="119"/>
      <c r="AF600" s="119"/>
      <c r="AG600" s="119"/>
      <c r="AH600" s="16"/>
      <c r="AI600" s="439"/>
      <c r="AJ600" s="439"/>
      <c r="AK600" s="439"/>
    </row>
    <row r="601" ht="18.75" customHeight="1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264"/>
      <c r="U601" s="439"/>
      <c r="V601" s="16"/>
      <c r="W601" s="119"/>
      <c r="X601" s="119"/>
      <c r="Y601" s="119"/>
      <c r="Z601" s="119"/>
      <c r="AA601" s="530">
        <f>IFERROR(__xludf.DUMMYFUNCTION("""COMPUTED_VALUE"""),1082.0)</f>
        <v>1082</v>
      </c>
      <c r="AB601" s="119"/>
      <c r="AC601" s="119"/>
      <c r="AD601" s="119"/>
      <c r="AE601" s="119"/>
      <c r="AF601" s="119"/>
      <c r="AG601" s="119"/>
      <c r="AH601" s="16"/>
      <c r="AI601" s="439"/>
      <c r="AJ601" s="439"/>
      <c r="AK601" s="439"/>
    </row>
    <row r="602" ht="18.75" customHeight="1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264"/>
      <c r="U602" s="439"/>
      <c r="V602" s="16"/>
      <c r="W602" s="119"/>
      <c r="X602" s="119"/>
      <c r="Y602" s="119"/>
      <c r="Z602" s="119"/>
      <c r="AA602" s="530">
        <f>IFERROR(__xludf.DUMMYFUNCTION("""COMPUTED_VALUE"""),1083.0)</f>
        <v>1083</v>
      </c>
      <c r="AB602" s="119"/>
      <c r="AC602" s="119"/>
      <c r="AD602" s="119"/>
      <c r="AE602" s="119"/>
      <c r="AF602" s="119"/>
      <c r="AG602" s="119"/>
      <c r="AH602" s="16"/>
      <c r="AI602" s="439"/>
      <c r="AJ602" s="439"/>
      <c r="AK602" s="439"/>
    </row>
    <row r="603" ht="18.75" customHeight="1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264"/>
      <c r="U603" s="439"/>
      <c r="V603" s="16"/>
      <c r="W603" s="119"/>
      <c r="X603" s="119"/>
      <c r="Y603" s="119"/>
      <c r="Z603" s="119"/>
      <c r="AA603" s="530">
        <f>IFERROR(__xludf.DUMMYFUNCTION("""COMPUTED_VALUE"""),1084.0)</f>
        <v>1084</v>
      </c>
      <c r="AB603" s="119"/>
      <c r="AC603" s="119"/>
      <c r="AD603" s="119"/>
      <c r="AE603" s="119"/>
      <c r="AF603" s="119"/>
      <c r="AG603" s="119"/>
      <c r="AH603" s="16"/>
      <c r="AI603" s="439"/>
      <c r="AJ603" s="439"/>
      <c r="AK603" s="439"/>
    </row>
    <row r="604" ht="18.75" customHeight="1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264"/>
      <c r="U604" s="439"/>
      <c r="V604" s="16"/>
      <c r="W604" s="119"/>
      <c r="X604" s="119"/>
      <c r="Y604" s="119"/>
      <c r="Z604" s="119"/>
      <c r="AA604" s="530">
        <f>IFERROR(__xludf.DUMMYFUNCTION("""COMPUTED_VALUE"""),1085.0)</f>
        <v>1085</v>
      </c>
      <c r="AB604" s="119"/>
      <c r="AC604" s="119"/>
      <c r="AD604" s="119"/>
      <c r="AE604" s="119"/>
      <c r="AF604" s="119"/>
      <c r="AG604" s="119"/>
      <c r="AH604" s="16"/>
      <c r="AI604" s="439"/>
      <c r="AJ604" s="439"/>
      <c r="AK604" s="439"/>
    </row>
    <row r="605" ht="18.75" customHeight="1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264"/>
      <c r="U605" s="439"/>
      <c r="V605" s="16"/>
      <c r="W605" s="119"/>
      <c r="X605" s="119"/>
      <c r="Y605" s="119"/>
      <c r="Z605" s="119"/>
      <c r="AA605" s="530">
        <f>IFERROR(__xludf.DUMMYFUNCTION("""COMPUTED_VALUE"""),1086.0)</f>
        <v>1086</v>
      </c>
      <c r="AB605" s="119"/>
      <c r="AC605" s="119"/>
      <c r="AD605" s="119"/>
      <c r="AE605" s="119"/>
      <c r="AF605" s="119"/>
      <c r="AG605" s="119"/>
      <c r="AH605" s="16"/>
      <c r="AI605" s="439"/>
      <c r="AJ605" s="439"/>
      <c r="AK605" s="439"/>
    </row>
    <row r="606" ht="18.75" customHeight="1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264"/>
      <c r="U606" s="439"/>
      <c r="V606" s="16"/>
      <c r="W606" s="119"/>
      <c r="X606" s="119"/>
      <c r="Y606" s="119"/>
      <c r="Z606" s="119"/>
      <c r="AA606" s="530">
        <f>IFERROR(__xludf.DUMMYFUNCTION("""COMPUTED_VALUE"""),1087.0)</f>
        <v>1087</v>
      </c>
      <c r="AB606" s="119"/>
      <c r="AC606" s="119"/>
      <c r="AD606" s="119"/>
      <c r="AE606" s="119"/>
      <c r="AF606" s="119"/>
      <c r="AG606" s="119"/>
      <c r="AH606" s="16"/>
      <c r="AI606" s="439"/>
      <c r="AJ606" s="439"/>
      <c r="AK606" s="439"/>
    </row>
    <row r="607" ht="18.75" customHeight="1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264"/>
      <c r="U607" s="439"/>
      <c r="V607" s="16"/>
      <c r="W607" s="119"/>
      <c r="X607" s="119"/>
      <c r="Y607" s="119"/>
      <c r="Z607" s="119"/>
      <c r="AA607" s="530">
        <f>IFERROR(__xludf.DUMMYFUNCTION("""COMPUTED_VALUE"""),1088.0)</f>
        <v>1088</v>
      </c>
      <c r="AB607" s="119"/>
      <c r="AC607" s="119"/>
      <c r="AD607" s="119"/>
      <c r="AE607" s="119"/>
      <c r="AF607" s="119"/>
      <c r="AG607" s="119"/>
      <c r="AH607" s="16"/>
      <c r="AI607" s="439"/>
      <c r="AJ607" s="439"/>
      <c r="AK607" s="439"/>
    </row>
    <row r="608" ht="18.75" customHeight="1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264"/>
      <c r="U608" s="439"/>
      <c r="V608" s="16"/>
      <c r="W608" s="119"/>
      <c r="X608" s="119"/>
      <c r="Y608" s="119"/>
      <c r="Z608" s="119"/>
      <c r="AA608" s="530">
        <f>IFERROR(__xludf.DUMMYFUNCTION("""COMPUTED_VALUE"""),1089.0)</f>
        <v>1089</v>
      </c>
      <c r="AB608" s="119"/>
      <c r="AC608" s="119"/>
      <c r="AD608" s="119"/>
      <c r="AE608" s="119"/>
      <c r="AF608" s="119"/>
      <c r="AG608" s="119"/>
      <c r="AH608" s="16"/>
      <c r="AI608" s="439"/>
      <c r="AJ608" s="439"/>
      <c r="AK608" s="439"/>
    </row>
    <row r="609" ht="18.75" customHeight="1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264"/>
      <c r="U609" s="439"/>
      <c r="V609" s="16"/>
      <c r="W609" s="119"/>
      <c r="X609" s="119"/>
      <c r="Y609" s="119"/>
      <c r="Z609" s="119"/>
      <c r="AA609" s="530">
        <f>IFERROR(__xludf.DUMMYFUNCTION("""COMPUTED_VALUE"""),1090.0)</f>
        <v>1090</v>
      </c>
      <c r="AB609" s="119"/>
      <c r="AC609" s="119"/>
      <c r="AD609" s="119"/>
      <c r="AE609" s="119"/>
      <c r="AF609" s="119"/>
      <c r="AG609" s="119"/>
      <c r="AH609" s="16"/>
      <c r="AI609" s="439"/>
      <c r="AJ609" s="439"/>
      <c r="AK609" s="439"/>
    </row>
    <row r="610" ht="18.75" customHeight="1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264"/>
      <c r="U610" s="439"/>
      <c r="V610" s="16"/>
      <c r="W610" s="119"/>
      <c r="X610" s="119"/>
      <c r="Y610" s="119"/>
      <c r="Z610" s="119"/>
      <c r="AA610" s="530">
        <f>IFERROR(__xludf.DUMMYFUNCTION("""COMPUTED_VALUE"""),1091.0)</f>
        <v>1091</v>
      </c>
      <c r="AB610" s="119"/>
      <c r="AC610" s="119"/>
      <c r="AD610" s="119"/>
      <c r="AE610" s="119"/>
      <c r="AF610" s="119"/>
      <c r="AG610" s="119"/>
      <c r="AH610" s="16"/>
      <c r="AI610" s="439"/>
      <c r="AJ610" s="439"/>
      <c r="AK610" s="439"/>
    </row>
    <row r="611" ht="18.75" customHeight="1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264"/>
      <c r="U611" s="439"/>
      <c r="V611" s="16"/>
      <c r="W611" s="119"/>
      <c r="X611" s="119"/>
      <c r="Y611" s="119"/>
      <c r="Z611" s="119"/>
      <c r="AA611" s="530">
        <f>IFERROR(__xludf.DUMMYFUNCTION("""COMPUTED_VALUE"""),1092.0)</f>
        <v>1092</v>
      </c>
      <c r="AB611" s="119"/>
      <c r="AC611" s="119"/>
      <c r="AD611" s="119"/>
      <c r="AE611" s="119"/>
      <c r="AF611" s="119"/>
      <c r="AG611" s="119"/>
      <c r="AH611" s="16"/>
      <c r="AI611" s="439"/>
      <c r="AJ611" s="439"/>
      <c r="AK611" s="439"/>
    </row>
    <row r="612" ht="18.75" customHeight="1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264"/>
      <c r="U612" s="439"/>
      <c r="V612" s="16"/>
      <c r="W612" s="119"/>
      <c r="X612" s="119"/>
      <c r="Y612" s="119"/>
      <c r="Z612" s="119"/>
      <c r="AA612" s="530">
        <f>IFERROR(__xludf.DUMMYFUNCTION("""COMPUTED_VALUE"""),1093.0)</f>
        <v>1093</v>
      </c>
      <c r="AB612" s="119"/>
      <c r="AC612" s="119"/>
      <c r="AD612" s="119"/>
      <c r="AE612" s="119"/>
      <c r="AF612" s="119"/>
      <c r="AG612" s="119"/>
      <c r="AH612" s="16"/>
      <c r="AI612" s="439"/>
      <c r="AJ612" s="439"/>
      <c r="AK612" s="439"/>
    </row>
    <row r="613" ht="18.75" customHeight="1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264"/>
      <c r="U613" s="439"/>
      <c r="V613" s="16"/>
      <c r="W613" s="119"/>
      <c r="X613" s="119"/>
      <c r="Y613" s="119"/>
      <c r="Z613" s="119"/>
      <c r="AA613" s="530">
        <f>IFERROR(__xludf.DUMMYFUNCTION("""COMPUTED_VALUE"""),1094.0)</f>
        <v>1094</v>
      </c>
      <c r="AB613" s="119"/>
      <c r="AC613" s="119"/>
      <c r="AD613" s="119"/>
      <c r="AE613" s="119"/>
      <c r="AF613" s="119"/>
      <c r="AG613" s="119"/>
      <c r="AH613" s="16"/>
      <c r="AI613" s="439"/>
      <c r="AJ613" s="439"/>
      <c r="AK613" s="439"/>
    </row>
    <row r="614" ht="18.75" customHeight="1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264"/>
      <c r="U614" s="439"/>
      <c r="V614" s="16"/>
      <c r="W614" s="119"/>
      <c r="X614" s="119"/>
      <c r="Y614" s="119"/>
      <c r="Z614" s="119"/>
      <c r="AA614" s="530">
        <f>IFERROR(__xludf.DUMMYFUNCTION("""COMPUTED_VALUE"""),1095.0)</f>
        <v>1095</v>
      </c>
      <c r="AB614" s="119"/>
      <c r="AC614" s="119"/>
      <c r="AD614" s="119"/>
      <c r="AE614" s="119"/>
      <c r="AF614" s="119"/>
      <c r="AG614" s="119"/>
      <c r="AH614" s="16"/>
      <c r="AI614" s="439"/>
      <c r="AJ614" s="439"/>
      <c r="AK614" s="439"/>
    </row>
    <row r="615" ht="18.75" customHeight="1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264"/>
      <c r="U615" s="439"/>
      <c r="V615" s="16"/>
      <c r="W615" s="119"/>
      <c r="X615" s="119"/>
      <c r="Y615" s="119"/>
      <c r="Z615" s="119"/>
      <c r="AA615" s="530">
        <f>IFERROR(__xludf.DUMMYFUNCTION("""COMPUTED_VALUE"""),1096.0)</f>
        <v>1096</v>
      </c>
      <c r="AB615" s="119"/>
      <c r="AC615" s="119"/>
      <c r="AD615" s="119"/>
      <c r="AE615" s="119"/>
      <c r="AF615" s="119"/>
      <c r="AG615" s="119"/>
      <c r="AH615" s="16"/>
      <c r="AI615" s="439"/>
      <c r="AJ615" s="439"/>
      <c r="AK615" s="439"/>
    </row>
    <row r="616" ht="18.75" customHeight="1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264"/>
      <c r="U616" s="439"/>
      <c r="V616" s="16"/>
      <c r="W616" s="119"/>
      <c r="X616" s="119"/>
      <c r="Y616" s="119"/>
      <c r="Z616" s="119"/>
      <c r="AA616" s="530">
        <f>IFERROR(__xludf.DUMMYFUNCTION("""COMPUTED_VALUE"""),1097.0)</f>
        <v>1097</v>
      </c>
      <c r="AB616" s="119"/>
      <c r="AC616" s="119"/>
      <c r="AD616" s="119"/>
      <c r="AE616" s="119"/>
      <c r="AF616" s="119"/>
      <c r="AG616" s="119"/>
      <c r="AH616" s="16"/>
      <c r="AI616" s="439"/>
      <c r="AJ616" s="439"/>
      <c r="AK616" s="439"/>
    </row>
    <row r="617" ht="18.75" customHeight="1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264"/>
      <c r="U617" s="439"/>
      <c r="V617" s="16"/>
      <c r="W617" s="119"/>
      <c r="X617" s="119"/>
      <c r="Y617" s="119"/>
      <c r="Z617" s="119"/>
      <c r="AA617" s="530">
        <f>IFERROR(__xludf.DUMMYFUNCTION("""COMPUTED_VALUE"""),1098.0)</f>
        <v>1098</v>
      </c>
      <c r="AB617" s="119"/>
      <c r="AC617" s="119"/>
      <c r="AD617" s="119"/>
      <c r="AE617" s="119"/>
      <c r="AF617" s="119"/>
      <c r="AG617" s="119"/>
      <c r="AH617" s="16"/>
      <c r="AI617" s="439"/>
      <c r="AJ617" s="439"/>
      <c r="AK617" s="439"/>
    </row>
    <row r="618" ht="18.75" customHeight="1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264"/>
      <c r="U618" s="439"/>
      <c r="V618" s="16"/>
      <c r="W618" s="119"/>
      <c r="X618" s="119"/>
      <c r="Y618" s="119"/>
      <c r="Z618" s="119"/>
      <c r="AA618" s="530">
        <f>IFERROR(__xludf.DUMMYFUNCTION("""COMPUTED_VALUE"""),1099.0)</f>
        <v>1099</v>
      </c>
      <c r="AB618" s="119"/>
      <c r="AC618" s="119"/>
      <c r="AD618" s="119"/>
      <c r="AE618" s="119"/>
      <c r="AF618" s="119"/>
      <c r="AG618" s="119"/>
      <c r="AH618" s="16"/>
      <c r="AI618" s="439"/>
      <c r="AJ618" s="439"/>
      <c r="AK618" s="439"/>
    </row>
    <row r="619" ht="18.75" customHeight="1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264"/>
      <c r="U619" s="439"/>
      <c r="V619" s="16"/>
      <c r="W619" s="119"/>
      <c r="X619" s="119"/>
      <c r="Y619" s="119"/>
      <c r="Z619" s="119"/>
      <c r="AA619" s="530">
        <f>IFERROR(__xludf.DUMMYFUNCTION("""COMPUTED_VALUE"""),1100.0)</f>
        <v>1100</v>
      </c>
      <c r="AB619" s="119"/>
      <c r="AC619" s="119"/>
      <c r="AD619" s="119"/>
      <c r="AE619" s="119"/>
      <c r="AF619" s="119"/>
      <c r="AG619" s="119"/>
      <c r="AH619" s="16"/>
      <c r="AI619" s="439"/>
      <c r="AJ619" s="439"/>
      <c r="AK619" s="439"/>
    </row>
    <row r="620" ht="18.75" customHeight="1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264"/>
      <c r="U620" s="439"/>
      <c r="V620" s="16"/>
      <c r="W620" s="119"/>
      <c r="X620" s="119"/>
      <c r="Y620" s="119"/>
      <c r="Z620" s="119"/>
      <c r="AA620" s="530">
        <f>IFERROR(__xludf.DUMMYFUNCTION("""COMPUTED_VALUE"""),1101.0)</f>
        <v>1101</v>
      </c>
      <c r="AB620" s="119"/>
      <c r="AC620" s="119"/>
      <c r="AD620" s="119"/>
      <c r="AE620" s="119"/>
      <c r="AF620" s="119"/>
      <c r="AG620" s="119"/>
      <c r="AH620" s="16"/>
      <c r="AI620" s="439"/>
      <c r="AJ620" s="439"/>
      <c r="AK620" s="439"/>
    </row>
    <row r="621" ht="18.75" customHeight="1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264"/>
      <c r="U621" s="439"/>
      <c r="V621" s="16"/>
      <c r="W621" s="119"/>
      <c r="X621" s="119"/>
      <c r="Y621" s="119"/>
      <c r="Z621" s="119"/>
      <c r="AA621" s="530">
        <f>IFERROR(__xludf.DUMMYFUNCTION("""COMPUTED_VALUE"""),1102.0)</f>
        <v>1102</v>
      </c>
      <c r="AB621" s="119"/>
      <c r="AC621" s="119"/>
      <c r="AD621" s="119"/>
      <c r="AE621" s="119"/>
      <c r="AF621" s="119"/>
      <c r="AG621" s="119"/>
      <c r="AH621" s="16"/>
      <c r="AI621" s="439"/>
      <c r="AJ621" s="439"/>
      <c r="AK621" s="439"/>
    </row>
    <row r="622" ht="18.75" customHeight="1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264"/>
      <c r="U622" s="439"/>
      <c r="V622" s="16"/>
      <c r="W622" s="119"/>
      <c r="X622" s="119"/>
      <c r="Y622" s="119"/>
      <c r="Z622" s="119"/>
      <c r="AA622" s="530">
        <f>IFERROR(__xludf.DUMMYFUNCTION("""COMPUTED_VALUE"""),1103.0)</f>
        <v>1103</v>
      </c>
      <c r="AB622" s="119"/>
      <c r="AC622" s="119"/>
      <c r="AD622" s="119"/>
      <c r="AE622" s="119"/>
      <c r="AF622" s="119"/>
      <c r="AG622" s="119"/>
      <c r="AH622" s="16"/>
      <c r="AI622" s="439"/>
      <c r="AJ622" s="439"/>
      <c r="AK622" s="439"/>
    </row>
    <row r="623" ht="18.75" customHeight="1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264"/>
      <c r="U623" s="439"/>
      <c r="V623" s="16"/>
      <c r="W623" s="119"/>
      <c r="X623" s="119"/>
      <c r="Y623" s="119"/>
      <c r="Z623" s="119"/>
      <c r="AA623" s="530">
        <f>IFERROR(__xludf.DUMMYFUNCTION("""COMPUTED_VALUE"""),1104.0)</f>
        <v>1104</v>
      </c>
      <c r="AB623" s="119"/>
      <c r="AC623" s="119"/>
      <c r="AD623" s="119"/>
      <c r="AE623" s="119"/>
      <c r="AF623" s="119"/>
      <c r="AG623" s="119"/>
      <c r="AH623" s="16"/>
      <c r="AI623" s="439"/>
      <c r="AJ623" s="439"/>
      <c r="AK623" s="439"/>
    </row>
    <row r="624" ht="18.75" customHeight="1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264"/>
      <c r="U624" s="439"/>
      <c r="V624" s="16"/>
      <c r="W624" s="119"/>
      <c r="X624" s="119"/>
      <c r="Y624" s="119"/>
      <c r="Z624" s="119"/>
      <c r="AA624" s="530">
        <f>IFERROR(__xludf.DUMMYFUNCTION("""COMPUTED_VALUE"""),1105.0)</f>
        <v>1105</v>
      </c>
      <c r="AB624" s="119"/>
      <c r="AC624" s="119"/>
      <c r="AD624" s="119"/>
      <c r="AE624" s="119"/>
      <c r="AF624" s="119"/>
      <c r="AG624" s="119"/>
      <c r="AH624" s="16"/>
      <c r="AI624" s="439"/>
      <c r="AJ624" s="439"/>
      <c r="AK624" s="439"/>
    </row>
    <row r="625" ht="18.75" customHeight="1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264"/>
      <c r="U625" s="439"/>
      <c r="V625" s="16"/>
      <c r="W625" s="119"/>
      <c r="X625" s="119"/>
      <c r="Y625" s="119"/>
      <c r="Z625" s="119"/>
      <c r="AA625" s="530">
        <f>IFERROR(__xludf.DUMMYFUNCTION("""COMPUTED_VALUE"""),1106.0)</f>
        <v>1106</v>
      </c>
      <c r="AB625" s="119"/>
      <c r="AC625" s="119"/>
      <c r="AD625" s="119"/>
      <c r="AE625" s="119"/>
      <c r="AF625" s="119"/>
      <c r="AG625" s="119"/>
      <c r="AH625" s="16"/>
      <c r="AI625" s="439"/>
      <c r="AJ625" s="439"/>
      <c r="AK625" s="439"/>
    </row>
    <row r="626" ht="18.75" customHeight="1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264"/>
      <c r="U626" s="439"/>
      <c r="V626" s="16"/>
      <c r="W626" s="119"/>
      <c r="X626" s="119"/>
      <c r="Y626" s="119"/>
      <c r="Z626" s="119"/>
      <c r="AA626" s="530">
        <f>IFERROR(__xludf.DUMMYFUNCTION("""COMPUTED_VALUE"""),1107.0)</f>
        <v>1107</v>
      </c>
      <c r="AB626" s="119"/>
      <c r="AC626" s="119"/>
      <c r="AD626" s="119"/>
      <c r="AE626" s="119"/>
      <c r="AF626" s="119"/>
      <c r="AG626" s="119"/>
      <c r="AH626" s="16"/>
      <c r="AI626" s="439"/>
      <c r="AJ626" s="439"/>
      <c r="AK626" s="439"/>
    </row>
    <row r="627" ht="18.75" customHeight="1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264"/>
      <c r="U627" s="439"/>
      <c r="V627" s="16"/>
      <c r="W627" s="119"/>
      <c r="X627" s="119"/>
      <c r="Y627" s="119"/>
      <c r="Z627" s="119"/>
      <c r="AA627" s="530">
        <f>IFERROR(__xludf.DUMMYFUNCTION("""COMPUTED_VALUE"""),1108.0)</f>
        <v>1108</v>
      </c>
      <c r="AB627" s="119"/>
      <c r="AC627" s="119"/>
      <c r="AD627" s="119"/>
      <c r="AE627" s="119"/>
      <c r="AF627" s="119"/>
      <c r="AG627" s="119"/>
      <c r="AH627" s="16"/>
      <c r="AI627" s="439"/>
      <c r="AJ627" s="439"/>
      <c r="AK627" s="439"/>
    </row>
    <row r="628" ht="18.75" customHeight="1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264"/>
      <c r="U628" s="439"/>
      <c r="V628" s="16"/>
      <c r="W628" s="119"/>
      <c r="X628" s="119"/>
      <c r="Y628" s="119"/>
      <c r="Z628" s="119"/>
      <c r="AA628" s="530">
        <f>IFERROR(__xludf.DUMMYFUNCTION("""COMPUTED_VALUE"""),1109.0)</f>
        <v>1109</v>
      </c>
      <c r="AB628" s="119"/>
      <c r="AC628" s="119"/>
      <c r="AD628" s="119"/>
      <c r="AE628" s="119"/>
      <c r="AF628" s="119"/>
      <c r="AG628" s="119"/>
      <c r="AH628" s="16"/>
      <c r="AI628" s="439"/>
      <c r="AJ628" s="439"/>
      <c r="AK628" s="439"/>
    </row>
    <row r="629" ht="18.75" customHeight="1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264"/>
      <c r="U629" s="439"/>
      <c r="V629" s="16"/>
      <c r="W629" s="119"/>
      <c r="X629" s="119"/>
      <c r="Y629" s="119"/>
      <c r="Z629" s="119"/>
      <c r="AA629" s="530">
        <f>IFERROR(__xludf.DUMMYFUNCTION("""COMPUTED_VALUE"""),1110.0)</f>
        <v>1110</v>
      </c>
      <c r="AB629" s="119"/>
      <c r="AC629" s="119"/>
      <c r="AD629" s="119"/>
      <c r="AE629" s="119"/>
      <c r="AF629" s="119"/>
      <c r="AG629" s="119"/>
      <c r="AH629" s="16"/>
      <c r="AI629" s="439"/>
      <c r="AJ629" s="439"/>
      <c r="AK629" s="439"/>
    </row>
    <row r="630" ht="18.75" customHeight="1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264"/>
      <c r="U630" s="439"/>
      <c r="V630" s="16"/>
      <c r="W630" s="119"/>
      <c r="X630" s="119"/>
      <c r="Y630" s="119"/>
      <c r="Z630" s="119"/>
      <c r="AA630" s="530">
        <f>IFERROR(__xludf.DUMMYFUNCTION("""COMPUTED_VALUE"""),1111.0)</f>
        <v>1111</v>
      </c>
      <c r="AB630" s="119"/>
      <c r="AC630" s="119"/>
      <c r="AD630" s="119"/>
      <c r="AE630" s="119"/>
      <c r="AF630" s="119"/>
      <c r="AG630" s="119"/>
      <c r="AH630" s="16"/>
      <c r="AI630" s="439"/>
      <c r="AJ630" s="439"/>
      <c r="AK630" s="439"/>
    </row>
    <row r="631" ht="18.75" customHeight="1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264"/>
      <c r="U631" s="439"/>
      <c r="V631" s="16"/>
      <c r="W631" s="119"/>
      <c r="X631" s="119"/>
      <c r="Y631" s="119"/>
      <c r="Z631" s="119"/>
      <c r="AA631" s="530">
        <f>IFERROR(__xludf.DUMMYFUNCTION("""COMPUTED_VALUE"""),1112.0)</f>
        <v>1112</v>
      </c>
      <c r="AB631" s="119"/>
      <c r="AC631" s="119"/>
      <c r="AD631" s="119"/>
      <c r="AE631" s="119"/>
      <c r="AF631" s="119"/>
      <c r="AG631" s="119"/>
      <c r="AH631" s="16"/>
      <c r="AI631" s="439"/>
      <c r="AJ631" s="439"/>
      <c r="AK631" s="439"/>
    </row>
    <row r="632" ht="18.75" customHeight="1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264"/>
      <c r="U632" s="439"/>
      <c r="V632" s="16"/>
      <c r="W632" s="119"/>
      <c r="X632" s="119"/>
      <c r="Y632" s="119"/>
      <c r="Z632" s="119"/>
      <c r="AA632" s="530">
        <f>IFERROR(__xludf.DUMMYFUNCTION("""COMPUTED_VALUE"""),1113.0)</f>
        <v>1113</v>
      </c>
      <c r="AB632" s="119"/>
      <c r="AC632" s="119"/>
      <c r="AD632" s="119"/>
      <c r="AE632" s="119"/>
      <c r="AF632" s="119"/>
      <c r="AG632" s="119"/>
      <c r="AH632" s="16"/>
      <c r="AI632" s="439"/>
      <c r="AJ632" s="439"/>
      <c r="AK632" s="439"/>
    </row>
    <row r="633" ht="18.75" customHeight="1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264"/>
      <c r="U633" s="439"/>
      <c r="V633" s="16"/>
      <c r="W633" s="119"/>
      <c r="X633" s="119"/>
      <c r="Y633" s="119"/>
      <c r="Z633" s="119"/>
      <c r="AA633" s="530">
        <f>IFERROR(__xludf.DUMMYFUNCTION("""COMPUTED_VALUE"""),1114.0)</f>
        <v>1114</v>
      </c>
      <c r="AB633" s="119"/>
      <c r="AC633" s="119"/>
      <c r="AD633" s="119"/>
      <c r="AE633" s="119"/>
      <c r="AF633" s="119"/>
      <c r="AG633" s="119"/>
      <c r="AH633" s="16"/>
      <c r="AI633" s="439"/>
      <c r="AJ633" s="439"/>
      <c r="AK633" s="439"/>
    </row>
    <row r="634" ht="18.75" customHeight="1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264"/>
      <c r="U634" s="439"/>
      <c r="V634" s="16"/>
      <c r="W634" s="119"/>
      <c r="X634" s="119"/>
      <c r="Y634" s="119"/>
      <c r="Z634" s="119"/>
      <c r="AA634" s="530">
        <f>IFERROR(__xludf.DUMMYFUNCTION("""COMPUTED_VALUE"""),1115.0)</f>
        <v>1115</v>
      </c>
      <c r="AB634" s="119"/>
      <c r="AC634" s="119"/>
      <c r="AD634" s="119"/>
      <c r="AE634" s="119"/>
      <c r="AF634" s="119"/>
      <c r="AG634" s="119"/>
      <c r="AH634" s="16"/>
      <c r="AI634" s="439"/>
      <c r="AJ634" s="439"/>
      <c r="AK634" s="439"/>
    </row>
    <row r="635" ht="18.75" customHeight="1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264"/>
      <c r="U635" s="439"/>
      <c r="V635" s="16"/>
      <c r="W635" s="119"/>
      <c r="X635" s="119"/>
      <c r="Y635" s="119"/>
      <c r="Z635" s="119"/>
      <c r="AA635" s="530">
        <f>IFERROR(__xludf.DUMMYFUNCTION("""COMPUTED_VALUE"""),1116.0)</f>
        <v>1116</v>
      </c>
      <c r="AB635" s="119"/>
      <c r="AC635" s="119"/>
      <c r="AD635" s="119"/>
      <c r="AE635" s="119"/>
      <c r="AF635" s="119"/>
      <c r="AG635" s="119"/>
      <c r="AH635" s="16"/>
      <c r="AI635" s="439"/>
      <c r="AJ635" s="439"/>
      <c r="AK635" s="439"/>
    </row>
    <row r="636" ht="18.75" customHeight="1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264"/>
      <c r="U636" s="439"/>
      <c r="V636" s="16"/>
      <c r="W636" s="119"/>
      <c r="X636" s="119"/>
      <c r="Y636" s="119"/>
      <c r="Z636" s="119"/>
      <c r="AA636" s="530">
        <f>IFERROR(__xludf.DUMMYFUNCTION("""COMPUTED_VALUE"""),1117.0)</f>
        <v>1117</v>
      </c>
      <c r="AB636" s="119"/>
      <c r="AC636" s="119"/>
      <c r="AD636" s="119"/>
      <c r="AE636" s="119"/>
      <c r="AF636" s="119"/>
      <c r="AG636" s="119"/>
      <c r="AH636" s="16"/>
      <c r="AI636" s="439"/>
      <c r="AJ636" s="439"/>
      <c r="AK636" s="439"/>
    </row>
    <row r="637" ht="18.75" customHeight="1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264"/>
      <c r="U637" s="439"/>
      <c r="V637" s="16"/>
      <c r="W637" s="119"/>
      <c r="X637" s="119"/>
      <c r="Y637" s="119"/>
      <c r="Z637" s="119"/>
      <c r="AA637" s="530">
        <f>IFERROR(__xludf.DUMMYFUNCTION("""COMPUTED_VALUE"""),1118.0)</f>
        <v>1118</v>
      </c>
      <c r="AB637" s="119"/>
      <c r="AC637" s="119"/>
      <c r="AD637" s="119"/>
      <c r="AE637" s="119"/>
      <c r="AF637" s="119"/>
      <c r="AG637" s="119"/>
      <c r="AH637" s="16"/>
      <c r="AI637" s="439"/>
      <c r="AJ637" s="439"/>
      <c r="AK637" s="439"/>
    </row>
    <row r="638" ht="18.75" customHeight="1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264"/>
      <c r="U638" s="439"/>
      <c r="V638" s="16"/>
      <c r="W638" s="119"/>
      <c r="X638" s="119"/>
      <c r="Y638" s="119"/>
      <c r="Z638" s="119"/>
      <c r="AA638" s="530">
        <f>IFERROR(__xludf.DUMMYFUNCTION("""COMPUTED_VALUE"""),1119.0)</f>
        <v>1119</v>
      </c>
      <c r="AB638" s="119"/>
      <c r="AC638" s="119"/>
      <c r="AD638" s="119"/>
      <c r="AE638" s="119"/>
      <c r="AF638" s="119"/>
      <c r="AG638" s="119"/>
      <c r="AH638" s="16"/>
      <c r="AI638" s="439"/>
      <c r="AJ638" s="439"/>
      <c r="AK638" s="439"/>
    </row>
    <row r="639" ht="18.75" customHeight="1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264"/>
      <c r="U639" s="439"/>
      <c r="V639" s="16"/>
      <c r="W639" s="119"/>
      <c r="X639" s="119"/>
      <c r="Y639" s="119"/>
      <c r="Z639" s="119"/>
      <c r="AA639" s="530">
        <f>IFERROR(__xludf.DUMMYFUNCTION("""COMPUTED_VALUE"""),1120.0)</f>
        <v>1120</v>
      </c>
      <c r="AB639" s="119"/>
      <c r="AC639" s="119"/>
      <c r="AD639" s="119"/>
      <c r="AE639" s="119"/>
      <c r="AF639" s="119"/>
      <c r="AG639" s="119"/>
      <c r="AH639" s="16"/>
      <c r="AI639" s="439"/>
      <c r="AJ639" s="439"/>
      <c r="AK639" s="439"/>
    </row>
    <row r="640" ht="18.75" customHeight="1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264"/>
      <c r="U640" s="439"/>
      <c r="V640" s="16"/>
      <c r="W640" s="119"/>
      <c r="X640" s="119"/>
      <c r="Y640" s="119"/>
      <c r="Z640" s="119"/>
      <c r="AA640" s="530">
        <f>IFERROR(__xludf.DUMMYFUNCTION("""COMPUTED_VALUE"""),1121.0)</f>
        <v>1121</v>
      </c>
      <c r="AB640" s="119"/>
      <c r="AC640" s="119"/>
      <c r="AD640" s="119"/>
      <c r="AE640" s="119"/>
      <c r="AF640" s="119"/>
      <c r="AG640" s="119"/>
      <c r="AH640" s="16"/>
      <c r="AI640" s="439"/>
      <c r="AJ640" s="439"/>
      <c r="AK640" s="439"/>
    </row>
    <row r="641" ht="18.75" customHeight="1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264"/>
      <c r="U641" s="439"/>
      <c r="V641" s="16"/>
      <c r="W641" s="119"/>
      <c r="X641" s="119"/>
      <c r="Y641" s="119"/>
      <c r="Z641" s="119"/>
      <c r="AA641" s="530">
        <f>IFERROR(__xludf.DUMMYFUNCTION("""COMPUTED_VALUE"""),1122.0)</f>
        <v>1122</v>
      </c>
      <c r="AB641" s="119"/>
      <c r="AC641" s="119"/>
      <c r="AD641" s="119"/>
      <c r="AE641" s="119"/>
      <c r="AF641" s="119"/>
      <c r="AG641" s="119"/>
      <c r="AH641" s="16"/>
      <c r="AI641" s="439"/>
      <c r="AJ641" s="439"/>
      <c r="AK641" s="439"/>
    </row>
    <row r="642" ht="18.75" customHeight="1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264"/>
      <c r="U642" s="439"/>
      <c r="V642" s="16"/>
      <c r="W642" s="119"/>
      <c r="X642" s="119"/>
      <c r="Y642" s="119"/>
      <c r="Z642" s="119"/>
      <c r="AA642" s="530">
        <f>IFERROR(__xludf.DUMMYFUNCTION("""COMPUTED_VALUE"""),1123.0)</f>
        <v>1123</v>
      </c>
      <c r="AB642" s="119"/>
      <c r="AC642" s="119"/>
      <c r="AD642" s="119"/>
      <c r="AE642" s="119"/>
      <c r="AF642" s="119"/>
      <c r="AG642" s="119"/>
      <c r="AH642" s="16"/>
      <c r="AI642" s="439"/>
      <c r="AJ642" s="439"/>
      <c r="AK642" s="439"/>
    </row>
    <row r="643" ht="18.75" customHeight="1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264"/>
      <c r="U643" s="439"/>
      <c r="V643" s="16"/>
      <c r="W643" s="119"/>
      <c r="X643" s="119"/>
      <c r="Y643" s="119"/>
      <c r="Z643" s="119"/>
      <c r="AA643" s="530">
        <f>IFERROR(__xludf.DUMMYFUNCTION("""COMPUTED_VALUE"""),1124.0)</f>
        <v>1124</v>
      </c>
      <c r="AB643" s="119"/>
      <c r="AC643" s="119"/>
      <c r="AD643" s="119"/>
      <c r="AE643" s="119"/>
      <c r="AF643" s="119"/>
      <c r="AG643" s="119"/>
      <c r="AH643" s="16"/>
      <c r="AI643" s="439"/>
      <c r="AJ643" s="439"/>
      <c r="AK643" s="439"/>
    </row>
    <row r="644" ht="18.75" customHeight="1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264"/>
      <c r="U644" s="439"/>
      <c r="V644" s="16"/>
      <c r="W644" s="119"/>
      <c r="X644" s="119"/>
      <c r="Y644" s="119"/>
      <c r="Z644" s="119"/>
      <c r="AA644" s="530">
        <f>IFERROR(__xludf.DUMMYFUNCTION("""COMPUTED_VALUE"""),1125.0)</f>
        <v>1125</v>
      </c>
      <c r="AB644" s="119"/>
      <c r="AC644" s="119"/>
      <c r="AD644" s="119"/>
      <c r="AE644" s="119"/>
      <c r="AF644" s="119"/>
      <c r="AG644" s="119"/>
      <c r="AH644" s="16"/>
      <c r="AI644" s="439"/>
      <c r="AJ644" s="439"/>
      <c r="AK644" s="439"/>
    </row>
    <row r="645" ht="18.75" customHeight="1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264"/>
      <c r="U645" s="439"/>
      <c r="V645" s="16"/>
      <c r="W645" s="119"/>
      <c r="X645" s="119"/>
      <c r="Y645" s="119"/>
      <c r="Z645" s="119"/>
      <c r="AA645" s="530">
        <f>IFERROR(__xludf.DUMMYFUNCTION("""COMPUTED_VALUE"""),1126.0)</f>
        <v>1126</v>
      </c>
      <c r="AB645" s="119"/>
      <c r="AC645" s="119"/>
      <c r="AD645" s="119"/>
      <c r="AE645" s="119"/>
      <c r="AF645" s="119"/>
      <c r="AG645" s="119"/>
      <c r="AH645" s="16"/>
      <c r="AI645" s="439"/>
      <c r="AJ645" s="439"/>
      <c r="AK645" s="439"/>
    </row>
    <row r="646" ht="18.75" customHeight="1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264"/>
      <c r="U646" s="439"/>
      <c r="V646" s="16"/>
      <c r="W646" s="119"/>
      <c r="X646" s="119"/>
      <c r="Y646" s="119"/>
      <c r="Z646" s="119"/>
      <c r="AA646" s="530">
        <f>IFERROR(__xludf.DUMMYFUNCTION("""COMPUTED_VALUE"""),1127.0)</f>
        <v>1127</v>
      </c>
      <c r="AB646" s="119"/>
      <c r="AC646" s="119"/>
      <c r="AD646" s="119"/>
      <c r="AE646" s="119"/>
      <c r="AF646" s="119"/>
      <c r="AG646" s="119"/>
      <c r="AH646" s="16"/>
      <c r="AI646" s="439"/>
      <c r="AJ646" s="439"/>
      <c r="AK646" s="439"/>
    </row>
    <row r="647" ht="18.75" customHeight="1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264"/>
      <c r="U647" s="439"/>
      <c r="V647" s="16"/>
      <c r="W647" s="119"/>
      <c r="X647" s="119"/>
      <c r="Y647" s="119"/>
      <c r="Z647" s="119"/>
      <c r="AA647" s="530">
        <f>IFERROR(__xludf.DUMMYFUNCTION("""COMPUTED_VALUE"""),1128.0)</f>
        <v>1128</v>
      </c>
      <c r="AB647" s="119"/>
      <c r="AC647" s="119"/>
      <c r="AD647" s="119"/>
      <c r="AE647" s="119"/>
      <c r="AF647" s="119"/>
      <c r="AG647" s="119"/>
      <c r="AH647" s="16"/>
      <c r="AI647" s="439"/>
      <c r="AJ647" s="439"/>
      <c r="AK647" s="439"/>
    </row>
    <row r="648" ht="18.75" customHeight="1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264"/>
      <c r="U648" s="439"/>
      <c r="V648" s="16"/>
      <c r="W648" s="119"/>
      <c r="X648" s="119"/>
      <c r="Y648" s="119"/>
      <c r="Z648" s="119"/>
      <c r="AA648" s="530">
        <f>IFERROR(__xludf.DUMMYFUNCTION("""COMPUTED_VALUE"""),1129.0)</f>
        <v>1129</v>
      </c>
      <c r="AB648" s="119"/>
      <c r="AC648" s="119"/>
      <c r="AD648" s="119"/>
      <c r="AE648" s="119"/>
      <c r="AF648" s="119"/>
      <c r="AG648" s="119"/>
      <c r="AH648" s="16"/>
      <c r="AI648" s="439"/>
      <c r="AJ648" s="439"/>
      <c r="AK648" s="439"/>
    </row>
    <row r="649" ht="18.75" customHeight="1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264"/>
      <c r="U649" s="439"/>
      <c r="V649" s="16"/>
      <c r="W649" s="119"/>
      <c r="X649" s="119"/>
      <c r="Y649" s="119"/>
      <c r="Z649" s="119"/>
      <c r="AA649" s="530">
        <f>IFERROR(__xludf.DUMMYFUNCTION("""COMPUTED_VALUE"""),1130.0)</f>
        <v>1130</v>
      </c>
      <c r="AB649" s="119"/>
      <c r="AC649" s="119"/>
      <c r="AD649" s="119"/>
      <c r="AE649" s="119"/>
      <c r="AF649" s="119"/>
      <c r="AG649" s="119"/>
      <c r="AH649" s="16"/>
      <c r="AI649" s="439"/>
      <c r="AJ649" s="439"/>
      <c r="AK649" s="439"/>
    </row>
    <row r="650" ht="18.75" customHeight="1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264"/>
      <c r="U650" s="439"/>
      <c r="V650" s="16"/>
      <c r="W650" s="119"/>
      <c r="X650" s="119"/>
      <c r="Y650" s="119"/>
      <c r="Z650" s="119"/>
      <c r="AA650" s="530">
        <f>IFERROR(__xludf.DUMMYFUNCTION("""COMPUTED_VALUE"""),1131.0)</f>
        <v>1131</v>
      </c>
      <c r="AB650" s="119"/>
      <c r="AC650" s="119"/>
      <c r="AD650" s="119"/>
      <c r="AE650" s="119"/>
      <c r="AF650" s="119"/>
      <c r="AG650" s="119"/>
      <c r="AH650" s="16"/>
      <c r="AI650" s="439"/>
      <c r="AJ650" s="439"/>
      <c r="AK650" s="439"/>
    </row>
    <row r="651" ht="18.75" customHeight="1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264"/>
      <c r="U651" s="439"/>
      <c r="V651" s="16"/>
      <c r="W651" s="119"/>
      <c r="X651" s="119"/>
      <c r="Y651" s="119"/>
      <c r="Z651" s="119"/>
      <c r="AA651" s="530">
        <f>IFERROR(__xludf.DUMMYFUNCTION("""COMPUTED_VALUE"""),1132.0)</f>
        <v>1132</v>
      </c>
      <c r="AB651" s="119"/>
      <c r="AC651" s="119"/>
      <c r="AD651" s="119"/>
      <c r="AE651" s="119"/>
      <c r="AF651" s="119"/>
      <c r="AG651" s="119"/>
      <c r="AH651" s="16"/>
      <c r="AI651" s="439"/>
      <c r="AJ651" s="439"/>
      <c r="AK651" s="439"/>
    </row>
    <row r="652" ht="18.75" customHeight="1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264"/>
      <c r="U652" s="439"/>
      <c r="V652" s="16"/>
      <c r="W652" s="119"/>
      <c r="X652" s="119"/>
      <c r="Y652" s="119"/>
      <c r="Z652" s="119"/>
      <c r="AA652" s="530">
        <f>IFERROR(__xludf.DUMMYFUNCTION("""COMPUTED_VALUE"""),1133.0)</f>
        <v>1133</v>
      </c>
      <c r="AB652" s="119"/>
      <c r="AC652" s="119"/>
      <c r="AD652" s="119"/>
      <c r="AE652" s="119"/>
      <c r="AF652" s="119"/>
      <c r="AG652" s="119"/>
      <c r="AH652" s="16"/>
      <c r="AI652" s="439"/>
      <c r="AJ652" s="439"/>
      <c r="AK652" s="439"/>
    </row>
    <row r="653" ht="18.75" customHeight="1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264"/>
      <c r="U653" s="439"/>
      <c r="V653" s="16"/>
      <c r="W653" s="119"/>
      <c r="X653" s="119"/>
      <c r="Y653" s="119"/>
      <c r="Z653" s="119"/>
      <c r="AA653" s="530">
        <f>IFERROR(__xludf.DUMMYFUNCTION("""COMPUTED_VALUE"""),1134.0)</f>
        <v>1134</v>
      </c>
      <c r="AB653" s="119"/>
      <c r="AC653" s="119"/>
      <c r="AD653" s="119"/>
      <c r="AE653" s="119"/>
      <c r="AF653" s="119"/>
      <c r="AG653" s="119"/>
      <c r="AH653" s="16"/>
      <c r="AI653" s="439"/>
      <c r="AJ653" s="439"/>
      <c r="AK653" s="439"/>
    </row>
    <row r="654" ht="18.75" customHeight="1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264"/>
      <c r="U654" s="439"/>
      <c r="V654" s="16"/>
      <c r="W654" s="119"/>
      <c r="X654" s="119"/>
      <c r="Y654" s="119"/>
      <c r="Z654" s="119"/>
      <c r="AA654" s="530">
        <f>IFERROR(__xludf.DUMMYFUNCTION("""COMPUTED_VALUE"""),1135.0)</f>
        <v>1135</v>
      </c>
      <c r="AB654" s="119"/>
      <c r="AC654" s="119"/>
      <c r="AD654" s="119"/>
      <c r="AE654" s="119"/>
      <c r="AF654" s="119"/>
      <c r="AG654" s="119"/>
      <c r="AH654" s="16"/>
      <c r="AI654" s="439"/>
      <c r="AJ654" s="439"/>
      <c r="AK654" s="439"/>
    </row>
    <row r="655" ht="18.75" customHeight="1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264"/>
      <c r="U655" s="439"/>
      <c r="V655" s="16"/>
      <c r="W655" s="119"/>
      <c r="X655" s="119"/>
      <c r="Y655" s="119"/>
      <c r="Z655" s="119"/>
      <c r="AA655" s="530">
        <f>IFERROR(__xludf.DUMMYFUNCTION("""COMPUTED_VALUE"""),1136.0)</f>
        <v>1136</v>
      </c>
      <c r="AB655" s="119"/>
      <c r="AC655" s="119"/>
      <c r="AD655" s="119"/>
      <c r="AE655" s="119"/>
      <c r="AF655" s="119"/>
      <c r="AG655" s="119"/>
      <c r="AH655" s="16"/>
      <c r="AI655" s="439"/>
      <c r="AJ655" s="439"/>
      <c r="AK655" s="439"/>
    </row>
    <row r="656" ht="18.75" customHeight="1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264"/>
      <c r="U656" s="439"/>
      <c r="V656" s="16"/>
      <c r="W656" s="119"/>
      <c r="X656" s="119"/>
      <c r="Y656" s="119"/>
      <c r="Z656" s="119"/>
      <c r="AA656" s="530">
        <f>IFERROR(__xludf.DUMMYFUNCTION("""COMPUTED_VALUE"""),1137.0)</f>
        <v>1137</v>
      </c>
      <c r="AB656" s="119"/>
      <c r="AC656" s="119"/>
      <c r="AD656" s="119"/>
      <c r="AE656" s="119"/>
      <c r="AF656" s="119"/>
      <c r="AG656" s="119"/>
      <c r="AH656" s="16"/>
      <c r="AI656" s="439"/>
      <c r="AJ656" s="439"/>
      <c r="AK656" s="439"/>
    </row>
    <row r="657" ht="18.75" customHeight="1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264"/>
      <c r="U657" s="439"/>
      <c r="V657" s="16"/>
      <c r="W657" s="119"/>
      <c r="X657" s="119"/>
      <c r="Y657" s="119"/>
      <c r="Z657" s="119"/>
      <c r="AA657" s="530">
        <f>IFERROR(__xludf.DUMMYFUNCTION("""COMPUTED_VALUE"""),1138.0)</f>
        <v>1138</v>
      </c>
      <c r="AB657" s="119"/>
      <c r="AC657" s="119"/>
      <c r="AD657" s="119"/>
      <c r="AE657" s="119"/>
      <c r="AF657" s="119"/>
      <c r="AG657" s="119"/>
      <c r="AH657" s="16"/>
      <c r="AI657" s="439"/>
      <c r="AJ657" s="439"/>
      <c r="AK657" s="439"/>
    </row>
    <row r="658" ht="18.75" customHeight="1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264"/>
      <c r="U658" s="439"/>
      <c r="V658" s="16"/>
      <c r="W658" s="119"/>
      <c r="X658" s="119"/>
      <c r="Y658" s="119"/>
      <c r="Z658" s="119"/>
      <c r="AA658" s="530">
        <f>IFERROR(__xludf.DUMMYFUNCTION("""COMPUTED_VALUE"""),1139.0)</f>
        <v>1139</v>
      </c>
      <c r="AB658" s="119"/>
      <c r="AC658" s="119"/>
      <c r="AD658" s="119"/>
      <c r="AE658" s="119"/>
      <c r="AF658" s="119"/>
      <c r="AG658" s="119"/>
      <c r="AH658" s="16"/>
      <c r="AI658" s="439"/>
      <c r="AJ658" s="439"/>
      <c r="AK658" s="439"/>
    </row>
    <row r="659" ht="18.75" customHeight="1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264"/>
      <c r="U659" s="439"/>
      <c r="V659" s="16"/>
      <c r="W659" s="119"/>
      <c r="X659" s="119"/>
      <c r="Y659" s="119"/>
      <c r="Z659" s="119"/>
      <c r="AA659" s="530">
        <f>IFERROR(__xludf.DUMMYFUNCTION("""COMPUTED_VALUE"""),1140.0)</f>
        <v>1140</v>
      </c>
      <c r="AB659" s="119"/>
      <c r="AC659" s="119"/>
      <c r="AD659" s="119"/>
      <c r="AE659" s="119"/>
      <c r="AF659" s="119"/>
      <c r="AG659" s="119"/>
      <c r="AH659" s="16"/>
      <c r="AI659" s="439"/>
      <c r="AJ659" s="439"/>
      <c r="AK659" s="439"/>
    </row>
    <row r="660" ht="18.75" customHeight="1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264"/>
      <c r="U660" s="439"/>
      <c r="V660" s="16"/>
      <c r="W660" s="119"/>
      <c r="X660" s="119"/>
      <c r="Y660" s="119"/>
      <c r="Z660" s="119"/>
      <c r="AA660" s="530">
        <f>IFERROR(__xludf.DUMMYFUNCTION("""COMPUTED_VALUE"""),1141.0)</f>
        <v>1141</v>
      </c>
      <c r="AB660" s="119"/>
      <c r="AC660" s="119"/>
      <c r="AD660" s="119"/>
      <c r="AE660" s="119"/>
      <c r="AF660" s="119"/>
      <c r="AG660" s="119"/>
      <c r="AH660" s="16"/>
      <c r="AI660" s="439"/>
      <c r="AJ660" s="439"/>
      <c r="AK660" s="439"/>
    </row>
    <row r="661" ht="18.75" customHeight="1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264"/>
      <c r="U661" s="439"/>
      <c r="V661" s="16"/>
      <c r="W661" s="119"/>
      <c r="X661" s="119"/>
      <c r="Y661" s="119"/>
      <c r="Z661" s="119"/>
      <c r="AA661" s="530">
        <f>IFERROR(__xludf.DUMMYFUNCTION("""COMPUTED_VALUE"""),1142.0)</f>
        <v>1142</v>
      </c>
      <c r="AB661" s="119"/>
      <c r="AC661" s="119"/>
      <c r="AD661" s="119"/>
      <c r="AE661" s="119"/>
      <c r="AF661" s="119"/>
      <c r="AG661" s="119"/>
      <c r="AH661" s="16"/>
      <c r="AI661" s="439"/>
      <c r="AJ661" s="439"/>
      <c r="AK661" s="439"/>
    </row>
    <row r="662" ht="18.75" customHeight="1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264"/>
      <c r="U662" s="439"/>
      <c r="V662" s="16"/>
      <c r="W662" s="119"/>
      <c r="X662" s="119"/>
      <c r="Y662" s="119"/>
      <c r="Z662" s="119"/>
      <c r="AA662" s="530">
        <f>IFERROR(__xludf.DUMMYFUNCTION("""COMPUTED_VALUE"""),1143.0)</f>
        <v>1143</v>
      </c>
      <c r="AB662" s="119"/>
      <c r="AC662" s="119"/>
      <c r="AD662" s="119"/>
      <c r="AE662" s="119"/>
      <c r="AF662" s="119"/>
      <c r="AG662" s="119"/>
      <c r="AH662" s="16"/>
      <c r="AI662" s="439"/>
      <c r="AJ662" s="439"/>
      <c r="AK662" s="439"/>
    </row>
    <row r="663" ht="18.75" customHeight="1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264"/>
      <c r="U663" s="439"/>
      <c r="V663" s="16"/>
      <c r="W663" s="119"/>
      <c r="X663" s="119"/>
      <c r="Y663" s="119"/>
      <c r="Z663" s="119"/>
      <c r="AA663" s="530">
        <f>IFERROR(__xludf.DUMMYFUNCTION("""COMPUTED_VALUE"""),1144.0)</f>
        <v>1144</v>
      </c>
      <c r="AB663" s="119"/>
      <c r="AC663" s="119"/>
      <c r="AD663" s="119"/>
      <c r="AE663" s="119"/>
      <c r="AF663" s="119"/>
      <c r="AG663" s="119"/>
      <c r="AH663" s="16"/>
      <c r="AI663" s="439"/>
      <c r="AJ663" s="439"/>
      <c r="AK663" s="439"/>
    </row>
    <row r="664" ht="18.75" customHeight="1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264"/>
      <c r="U664" s="439"/>
      <c r="V664" s="16"/>
      <c r="W664" s="119"/>
      <c r="X664" s="119"/>
      <c r="Y664" s="119"/>
      <c r="Z664" s="119"/>
      <c r="AA664" s="530">
        <f>IFERROR(__xludf.DUMMYFUNCTION("""COMPUTED_VALUE"""),1145.0)</f>
        <v>1145</v>
      </c>
      <c r="AB664" s="119"/>
      <c r="AC664" s="119"/>
      <c r="AD664" s="119"/>
      <c r="AE664" s="119"/>
      <c r="AF664" s="119"/>
      <c r="AG664" s="119"/>
      <c r="AH664" s="16"/>
      <c r="AI664" s="439"/>
      <c r="AJ664" s="439"/>
      <c r="AK664" s="439"/>
    </row>
    <row r="665" ht="18.75" customHeight="1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264"/>
      <c r="U665" s="439"/>
      <c r="V665" s="16"/>
      <c r="W665" s="119"/>
      <c r="X665" s="119"/>
      <c r="Y665" s="119"/>
      <c r="Z665" s="119"/>
      <c r="AA665" s="530">
        <f>IFERROR(__xludf.DUMMYFUNCTION("""COMPUTED_VALUE"""),1146.0)</f>
        <v>1146</v>
      </c>
      <c r="AB665" s="119"/>
      <c r="AC665" s="119"/>
      <c r="AD665" s="119"/>
      <c r="AE665" s="119"/>
      <c r="AF665" s="119"/>
      <c r="AG665" s="119"/>
      <c r="AH665" s="16"/>
      <c r="AI665" s="439"/>
      <c r="AJ665" s="439"/>
      <c r="AK665" s="439"/>
    </row>
    <row r="666" ht="18.75" customHeight="1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264"/>
      <c r="U666" s="439"/>
      <c r="V666" s="16"/>
      <c r="W666" s="119"/>
      <c r="X666" s="119"/>
      <c r="Y666" s="119"/>
      <c r="Z666" s="119"/>
      <c r="AA666" s="530">
        <f>IFERROR(__xludf.DUMMYFUNCTION("""COMPUTED_VALUE"""),1147.0)</f>
        <v>1147</v>
      </c>
      <c r="AB666" s="119"/>
      <c r="AC666" s="119"/>
      <c r="AD666" s="119"/>
      <c r="AE666" s="119"/>
      <c r="AF666" s="119"/>
      <c r="AG666" s="119"/>
      <c r="AH666" s="16"/>
      <c r="AI666" s="439"/>
      <c r="AJ666" s="439"/>
      <c r="AK666" s="439"/>
    </row>
    <row r="667" ht="18.75" customHeight="1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264"/>
      <c r="U667" s="439"/>
      <c r="V667" s="16"/>
      <c r="W667" s="119"/>
      <c r="X667" s="119"/>
      <c r="Y667" s="119"/>
      <c r="Z667" s="119"/>
      <c r="AA667" s="530">
        <f>IFERROR(__xludf.DUMMYFUNCTION("""COMPUTED_VALUE"""),1148.0)</f>
        <v>1148</v>
      </c>
      <c r="AB667" s="119"/>
      <c r="AC667" s="119"/>
      <c r="AD667" s="119"/>
      <c r="AE667" s="119"/>
      <c r="AF667" s="119"/>
      <c r="AG667" s="119"/>
      <c r="AH667" s="16"/>
      <c r="AI667" s="439"/>
      <c r="AJ667" s="439"/>
      <c r="AK667" s="439"/>
    </row>
    <row r="668" ht="18.75" customHeight="1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264"/>
      <c r="U668" s="439"/>
      <c r="V668" s="16"/>
      <c r="W668" s="119"/>
      <c r="X668" s="119"/>
      <c r="Y668" s="119"/>
      <c r="Z668" s="119"/>
      <c r="AA668" s="530">
        <f>IFERROR(__xludf.DUMMYFUNCTION("""COMPUTED_VALUE"""),1149.0)</f>
        <v>1149</v>
      </c>
      <c r="AB668" s="119"/>
      <c r="AC668" s="119"/>
      <c r="AD668" s="119"/>
      <c r="AE668" s="119"/>
      <c r="AF668" s="119"/>
      <c r="AG668" s="119"/>
      <c r="AH668" s="16"/>
      <c r="AI668" s="439"/>
      <c r="AJ668" s="439"/>
      <c r="AK668" s="439"/>
    </row>
    <row r="669" ht="18.75" customHeight="1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264"/>
      <c r="U669" s="439"/>
      <c r="V669" s="16"/>
      <c r="W669" s="119"/>
      <c r="X669" s="119"/>
      <c r="Y669" s="119"/>
      <c r="Z669" s="119"/>
      <c r="AA669" s="530">
        <f>IFERROR(__xludf.DUMMYFUNCTION("""COMPUTED_VALUE"""),1150.0)</f>
        <v>1150</v>
      </c>
      <c r="AB669" s="119"/>
      <c r="AC669" s="119"/>
      <c r="AD669" s="119"/>
      <c r="AE669" s="119"/>
      <c r="AF669" s="119"/>
      <c r="AG669" s="119"/>
      <c r="AH669" s="16"/>
      <c r="AI669" s="439"/>
      <c r="AJ669" s="439"/>
      <c r="AK669" s="439"/>
    </row>
    <row r="670" ht="18.75" customHeight="1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264"/>
      <c r="U670" s="439"/>
      <c r="V670" s="16"/>
      <c r="W670" s="119"/>
      <c r="X670" s="119"/>
      <c r="Y670" s="119"/>
      <c r="Z670" s="119"/>
      <c r="AA670" s="530">
        <f>IFERROR(__xludf.DUMMYFUNCTION("""COMPUTED_VALUE"""),1151.0)</f>
        <v>1151</v>
      </c>
      <c r="AB670" s="119"/>
      <c r="AC670" s="119"/>
      <c r="AD670" s="119"/>
      <c r="AE670" s="119"/>
      <c r="AF670" s="119"/>
      <c r="AG670" s="119"/>
      <c r="AH670" s="16"/>
      <c r="AI670" s="439"/>
      <c r="AJ670" s="439"/>
      <c r="AK670" s="439"/>
    </row>
    <row r="671" ht="18.75" customHeight="1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264"/>
      <c r="U671" s="439"/>
      <c r="V671" s="16"/>
      <c r="W671" s="119"/>
      <c r="X671" s="119"/>
      <c r="Y671" s="119"/>
      <c r="Z671" s="119"/>
      <c r="AA671" s="530">
        <f>IFERROR(__xludf.DUMMYFUNCTION("""COMPUTED_VALUE"""),1152.0)</f>
        <v>1152</v>
      </c>
      <c r="AB671" s="119"/>
      <c r="AC671" s="119"/>
      <c r="AD671" s="119"/>
      <c r="AE671" s="119"/>
      <c r="AF671" s="119"/>
      <c r="AG671" s="119"/>
      <c r="AH671" s="16"/>
      <c r="AI671" s="439"/>
      <c r="AJ671" s="439"/>
      <c r="AK671" s="439"/>
    </row>
    <row r="672" ht="18.75" customHeight="1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264"/>
      <c r="U672" s="439"/>
      <c r="V672" s="16"/>
      <c r="W672" s="119"/>
      <c r="X672" s="119"/>
      <c r="Y672" s="119"/>
      <c r="Z672" s="119"/>
      <c r="AA672" s="530">
        <f>IFERROR(__xludf.DUMMYFUNCTION("""COMPUTED_VALUE"""),1153.0)</f>
        <v>1153</v>
      </c>
      <c r="AB672" s="119"/>
      <c r="AC672" s="119"/>
      <c r="AD672" s="119"/>
      <c r="AE672" s="119"/>
      <c r="AF672" s="119"/>
      <c r="AG672" s="119"/>
      <c r="AH672" s="16"/>
      <c r="AI672" s="439"/>
      <c r="AJ672" s="439"/>
      <c r="AK672" s="439"/>
    </row>
    <row r="673" ht="18.75" customHeight="1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264"/>
      <c r="U673" s="439"/>
      <c r="V673" s="16"/>
      <c r="W673" s="119"/>
      <c r="X673" s="119"/>
      <c r="Y673" s="119"/>
      <c r="Z673" s="119"/>
      <c r="AA673" s="530">
        <f>IFERROR(__xludf.DUMMYFUNCTION("""COMPUTED_VALUE"""),1154.0)</f>
        <v>1154</v>
      </c>
      <c r="AB673" s="119"/>
      <c r="AC673" s="119"/>
      <c r="AD673" s="119"/>
      <c r="AE673" s="119"/>
      <c r="AF673" s="119"/>
      <c r="AG673" s="119"/>
      <c r="AH673" s="16"/>
      <c r="AI673" s="439"/>
      <c r="AJ673" s="439"/>
      <c r="AK673" s="439"/>
    </row>
    <row r="674" ht="18.75" customHeight="1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264"/>
      <c r="U674" s="439"/>
      <c r="V674" s="16"/>
      <c r="W674" s="119"/>
      <c r="X674" s="119"/>
      <c r="Y674" s="119"/>
      <c r="Z674" s="119"/>
      <c r="AA674" s="530">
        <f>IFERROR(__xludf.DUMMYFUNCTION("""COMPUTED_VALUE"""),1155.0)</f>
        <v>1155</v>
      </c>
      <c r="AB674" s="119"/>
      <c r="AC674" s="119"/>
      <c r="AD674" s="119"/>
      <c r="AE674" s="119"/>
      <c r="AF674" s="119"/>
      <c r="AG674" s="119"/>
      <c r="AH674" s="16"/>
      <c r="AI674" s="439"/>
      <c r="AJ674" s="439"/>
      <c r="AK674" s="439"/>
    </row>
    <row r="675" ht="18.75" customHeight="1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264"/>
      <c r="U675" s="439"/>
      <c r="V675" s="16"/>
      <c r="W675" s="119"/>
      <c r="X675" s="119"/>
      <c r="Y675" s="119"/>
      <c r="Z675" s="119"/>
      <c r="AA675" s="530">
        <f>IFERROR(__xludf.DUMMYFUNCTION("""COMPUTED_VALUE"""),1156.0)</f>
        <v>1156</v>
      </c>
      <c r="AB675" s="119"/>
      <c r="AC675" s="119"/>
      <c r="AD675" s="119"/>
      <c r="AE675" s="119"/>
      <c r="AF675" s="119"/>
      <c r="AG675" s="119"/>
      <c r="AH675" s="16"/>
      <c r="AI675" s="439"/>
      <c r="AJ675" s="439"/>
      <c r="AK675" s="439"/>
    </row>
    <row r="676" ht="18.75" customHeight="1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264"/>
      <c r="U676" s="439"/>
      <c r="V676" s="16"/>
      <c r="W676" s="119"/>
      <c r="X676" s="119"/>
      <c r="Y676" s="119"/>
      <c r="Z676" s="119"/>
      <c r="AA676" s="530">
        <f>IFERROR(__xludf.DUMMYFUNCTION("""COMPUTED_VALUE"""),1157.0)</f>
        <v>1157</v>
      </c>
      <c r="AB676" s="119"/>
      <c r="AC676" s="119"/>
      <c r="AD676" s="119"/>
      <c r="AE676" s="119"/>
      <c r="AF676" s="119"/>
      <c r="AG676" s="119"/>
      <c r="AH676" s="16"/>
      <c r="AI676" s="439"/>
      <c r="AJ676" s="439"/>
      <c r="AK676" s="439"/>
    </row>
    <row r="677" ht="18.75" customHeight="1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264"/>
      <c r="U677" s="439"/>
      <c r="V677" s="16"/>
      <c r="W677" s="119"/>
      <c r="X677" s="119"/>
      <c r="Y677" s="119"/>
      <c r="Z677" s="119"/>
      <c r="AA677" s="530">
        <f>IFERROR(__xludf.DUMMYFUNCTION("""COMPUTED_VALUE"""),1158.0)</f>
        <v>1158</v>
      </c>
      <c r="AB677" s="119"/>
      <c r="AC677" s="119"/>
      <c r="AD677" s="119"/>
      <c r="AE677" s="119"/>
      <c r="AF677" s="119"/>
      <c r="AG677" s="119"/>
      <c r="AH677" s="16"/>
      <c r="AI677" s="439"/>
      <c r="AJ677" s="439"/>
      <c r="AK677" s="439"/>
    </row>
    <row r="678" ht="18.75" customHeight="1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264"/>
      <c r="U678" s="439"/>
      <c r="V678" s="16"/>
      <c r="W678" s="119"/>
      <c r="X678" s="119"/>
      <c r="Y678" s="119"/>
      <c r="Z678" s="119"/>
      <c r="AA678" s="530">
        <f>IFERROR(__xludf.DUMMYFUNCTION("""COMPUTED_VALUE"""),1159.0)</f>
        <v>1159</v>
      </c>
      <c r="AB678" s="119"/>
      <c r="AC678" s="119"/>
      <c r="AD678" s="119"/>
      <c r="AE678" s="119"/>
      <c r="AF678" s="119"/>
      <c r="AG678" s="119"/>
      <c r="AH678" s="16"/>
      <c r="AI678" s="439"/>
      <c r="AJ678" s="439"/>
      <c r="AK678" s="439"/>
    </row>
    <row r="679" ht="18.75" customHeight="1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264"/>
      <c r="U679" s="439"/>
      <c r="V679" s="16"/>
      <c r="W679" s="119"/>
      <c r="X679" s="119"/>
      <c r="Y679" s="119"/>
      <c r="Z679" s="119"/>
      <c r="AA679" s="530">
        <f>IFERROR(__xludf.DUMMYFUNCTION("""COMPUTED_VALUE"""),1160.0)</f>
        <v>1160</v>
      </c>
      <c r="AB679" s="119"/>
      <c r="AC679" s="119"/>
      <c r="AD679" s="119"/>
      <c r="AE679" s="119"/>
      <c r="AF679" s="119"/>
      <c r="AG679" s="119"/>
      <c r="AH679" s="16"/>
      <c r="AI679" s="439"/>
      <c r="AJ679" s="439"/>
      <c r="AK679" s="439"/>
    </row>
    <row r="680" ht="18.75" customHeight="1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264"/>
      <c r="U680" s="439"/>
      <c r="V680" s="16"/>
      <c r="W680" s="119"/>
      <c r="X680" s="119"/>
      <c r="Y680" s="119"/>
      <c r="Z680" s="119"/>
      <c r="AA680" s="530">
        <f>IFERROR(__xludf.DUMMYFUNCTION("""COMPUTED_VALUE"""),1161.0)</f>
        <v>1161</v>
      </c>
      <c r="AB680" s="119"/>
      <c r="AC680" s="119"/>
      <c r="AD680" s="119"/>
      <c r="AE680" s="119"/>
      <c r="AF680" s="119"/>
      <c r="AG680" s="119"/>
      <c r="AH680" s="16"/>
      <c r="AI680" s="439"/>
      <c r="AJ680" s="439"/>
      <c r="AK680" s="439"/>
    </row>
    <row r="681" ht="18.75" customHeight="1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264"/>
      <c r="U681" s="439"/>
      <c r="V681" s="16"/>
      <c r="W681" s="119"/>
      <c r="X681" s="119"/>
      <c r="Y681" s="119"/>
      <c r="Z681" s="119"/>
      <c r="AA681" s="530">
        <f>IFERROR(__xludf.DUMMYFUNCTION("""COMPUTED_VALUE"""),1162.0)</f>
        <v>1162</v>
      </c>
      <c r="AB681" s="119"/>
      <c r="AC681" s="119"/>
      <c r="AD681" s="119"/>
      <c r="AE681" s="119"/>
      <c r="AF681" s="119"/>
      <c r="AG681" s="119"/>
      <c r="AH681" s="16"/>
      <c r="AI681" s="439"/>
      <c r="AJ681" s="439"/>
      <c r="AK681" s="439"/>
    </row>
    <row r="682" ht="18.75" customHeight="1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264"/>
      <c r="U682" s="439"/>
      <c r="V682" s="16"/>
      <c r="W682" s="119"/>
      <c r="X682" s="119"/>
      <c r="Y682" s="119"/>
      <c r="Z682" s="119"/>
      <c r="AA682" s="530">
        <f>IFERROR(__xludf.DUMMYFUNCTION("""COMPUTED_VALUE"""),1163.0)</f>
        <v>1163</v>
      </c>
      <c r="AB682" s="119"/>
      <c r="AC682" s="119"/>
      <c r="AD682" s="119"/>
      <c r="AE682" s="119"/>
      <c r="AF682" s="119"/>
      <c r="AG682" s="119"/>
      <c r="AH682" s="16"/>
      <c r="AI682" s="439"/>
      <c r="AJ682" s="439"/>
      <c r="AK682" s="439"/>
    </row>
    <row r="683" ht="18.75" customHeight="1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264"/>
      <c r="U683" s="439"/>
      <c r="V683" s="16"/>
      <c r="W683" s="119"/>
      <c r="X683" s="119"/>
      <c r="Y683" s="119"/>
      <c r="Z683" s="119"/>
      <c r="AA683" s="530">
        <f>IFERROR(__xludf.DUMMYFUNCTION("""COMPUTED_VALUE"""),1164.0)</f>
        <v>1164</v>
      </c>
      <c r="AB683" s="119"/>
      <c r="AC683" s="119"/>
      <c r="AD683" s="119"/>
      <c r="AE683" s="119"/>
      <c r="AF683" s="119"/>
      <c r="AG683" s="119"/>
      <c r="AH683" s="16"/>
      <c r="AI683" s="439"/>
      <c r="AJ683" s="439"/>
      <c r="AK683" s="439"/>
    </row>
    <row r="684" ht="18.75" customHeight="1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264"/>
      <c r="U684" s="439"/>
      <c r="V684" s="16"/>
      <c r="W684" s="119"/>
      <c r="X684" s="119"/>
      <c r="Y684" s="119"/>
      <c r="Z684" s="119"/>
      <c r="AA684" s="530">
        <f>IFERROR(__xludf.DUMMYFUNCTION("""COMPUTED_VALUE"""),1165.0)</f>
        <v>1165</v>
      </c>
      <c r="AB684" s="119"/>
      <c r="AC684" s="119"/>
      <c r="AD684" s="119"/>
      <c r="AE684" s="119"/>
      <c r="AF684" s="119"/>
      <c r="AG684" s="119"/>
      <c r="AH684" s="16"/>
      <c r="AI684" s="439"/>
      <c r="AJ684" s="439"/>
      <c r="AK684" s="439"/>
    </row>
    <row r="685" ht="18.75" customHeight="1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264"/>
      <c r="U685" s="439"/>
      <c r="V685" s="16"/>
      <c r="W685" s="119"/>
      <c r="X685" s="119"/>
      <c r="Y685" s="119"/>
      <c r="Z685" s="119"/>
      <c r="AA685" s="530">
        <f>IFERROR(__xludf.DUMMYFUNCTION("""COMPUTED_VALUE"""),1166.0)</f>
        <v>1166</v>
      </c>
      <c r="AB685" s="119"/>
      <c r="AC685" s="119"/>
      <c r="AD685" s="119"/>
      <c r="AE685" s="119"/>
      <c r="AF685" s="119"/>
      <c r="AG685" s="119"/>
      <c r="AH685" s="16"/>
      <c r="AI685" s="439"/>
      <c r="AJ685" s="439"/>
      <c r="AK685" s="439"/>
    </row>
    <row r="686" ht="18.75" customHeight="1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264"/>
      <c r="U686" s="439"/>
      <c r="V686" s="16"/>
      <c r="W686" s="119"/>
      <c r="X686" s="119"/>
      <c r="Y686" s="119"/>
      <c r="Z686" s="119"/>
      <c r="AA686" s="530">
        <f>IFERROR(__xludf.DUMMYFUNCTION("""COMPUTED_VALUE"""),1167.0)</f>
        <v>1167</v>
      </c>
      <c r="AB686" s="119"/>
      <c r="AC686" s="119"/>
      <c r="AD686" s="119"/>
      <c r="AE686" s="119"/>
      <c r="AF686" s="119"/>
      <c r="AG686" s="119"/>
      <c r="AH686" s="16"/>
      <c r="AI686" s="439"/>
      <c r="AJ686" s="439"/>
      <c r="AK686" s="439"/>
    </row>
    <row r="687" ht="18.75" customHeight="1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264"/>
      <c r="U687" s="439"/>
      <c r="V687" s="16"/>
      <c r="W687" s="119"/>
      <c r="X687" s="119"/>
      <c r="Y687" s="119"/>
      <c r="Z687" s="119"/>
      <c r="AA687" s="530">
        <f>IFERROR(__xludf.DUMMYFUNCTION("""COMPUTED_VALUE"""),1168.0)</f>
        <v>1168</v>
      </c>
      <c r="AB687" s="119"/>
      <c r="AC687" s="119"/>
      <c r="AD687" s="119"/>
      <c r="AE687" s="119"/>
      <c r="AF687" s="119"/>
      <c r="AG687" s="119"/>
      <c r="AH687" s="16"/>
      <c r="AI687" s="439"/>
      <c r="AJ687" s="439"/>
      <c r="AK687" s="439"/>
    </row>
    <row r="688" ht="18.75" customHeight="1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264"/>
      <c r="U688" s="439"/>
      <c r="V688" s="16"/>
      <c r="W688" s="119"/>
      <c r="X688" s="119"/>
      <c r="Y688" s="119"/>
      <c r="Z688" s="119"/>
      <c r="AA688" s="530">
        <f>IFERROR(__xludf.DUMMYFUNCTION("""COMPUTED_VALUE"""),1169.0)</f>
        <v>1169</v>
      </c>
      <c r="AB688" s="119"/>
      <c r="AC688" s="119"/>
      <c r="AD688" s="119"/>
      <c r="AE688" s="119"/>
      <c r="AF688" s="119"/>
      <c r="AG688" s="119"/>
      <c r="AH688" s="16"/>
      <c r="AI688" s="439"/>
      <c r="AJ688" s="439"/>
      <c r="AK688" s="439"/>
    </row>
    <row r="689" ht="18.75" customHeight="1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264"/>
      <c r="U689" s="439"/>
      <c r="V689" s="16"/>
      <c r="W689" s="119"/>
      <c r="X689" s="119"/>
      <c r="Y689" s="119"/>
      <c r="Z689" s="119"/>
      <c r="AA689" s="530">
        <f>IFERROR(__xludf.DUMMYFUNCTION("""COMPUTED_VALUE"""),1170.0)</f>
        <v>1170</v>
      </c>
      <c r="AB689" s="119"/>
      <c r="AC689" s="119"/>
      <c r="AD689" s="119"/>
      <c r="AE689" s="119"/>
      <c r="AF689" s="119"/>
      <c r="AG689" s="119"/>
      <c r="AH689" s="16"/>
      <c r="AI689" s="439"/>
      <c r="AJ689" s="439"/>
      <c r="AK689" s="439"/>
    </row>
    <row r="690" ht="18.75" customHeight="1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264"/>
      <c r="U690" s="439"/>
      <c r="V690" s="16"/>
      <c r="W690" s="119"/>
      <c r="X690" s="119"/>
      <c r="Y690" s="119"/>
      <c r="Z690" s="119"/>
      <c r="AA690" s="530">
        <f>IFERROR(__xludf.DUMMYFUNCTION("""COMPUTED_VALUE"""),1171.0)</f>
        <v>1171</v>
      </c>
      <c r="AB690" s="119"/>
      <c r="AC690" s="119"/>
      <c r="AD690" s="119"/>
      <c r="AE690" s="119"/>
      <c r="AF690" s="119"/>
      <c r="AG690" s="119"/>
      <c r="AH690" s="16"/>
      <c r="AI690" s="439"/>
      <c r="AJ690" s="439"/>
      <c r="AK690" s="439"/>
    </row>
    <row r="691" ht="18.75" customHeight="1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264"/>
      <c r="U691" s="439"/>
      <c r="V691" s="16"/>
      <c r="W691" s="119"/>
      <c r="X691" s="119"/>
      <c r="Y691" s="119"/>
      <c r="Z691" s="119"/>
      <c r="AA691" s="530">
        <f>IFERROR(__xludf.DUMMYFUNCTION("""COMPUTED_VALUE"""),1172.0)</f>
        <v>1172</v>
      </c>
      <c r="AB691" s="119"/>
      <c r="AC691" s="119"/>
      <c r="AD691" s="119"/>
      <c r="AE691" s="119"/>
      <c r="AF691" s="119"/>
      <c r="AG691" s="119"/>
      <c r="AH691" s="16"/>
      <c r="AI691" s="439"/>
      <c r="AJ691" s="439"/>
      <c r="AK691" s="439"/>
    </row>
    <row r="692" ht="18.75" customHeight="1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264"/>
      <c r="U692" s="439"/>
      <c r="V692" s="16"/>
      <c r="W692" s="119"/>
      <c r="X692" s="119"/>
      <c r="Y692" s="119"/>
      <c r="Z692" s="119"/>
      <c r="AA692" s="530">
        <f>IFERROR(__xludf.DUMMYFUNCTION("""COMPUTED_VALUE"""),1173.0)</f>
        <v>1173</v>
      </c>
      <c r="AB692" s="119"/>
      <c r="AC692" s="119"/>
      <c r="AD692" s="119"/>
      <c r="AE692" s="119"/>
      <c r="AF692" s="119"/>
      <c r="AG692" s="119"/>
      <c r="AH692" s="16"/>
      <c r="AI692" s="439"/>
      <c r="AJ692" s="439"/>
      <c r="AK692" s="439"/>
    </row>
    <row r="693" ht="18.75" customHeight="1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264"/>
      <c r="U693" s="439"/>
      <c r="V693" s="16"/>
      <c r="W693" s="119"/>
      <c r="X693" s="119"/>
      <c r="Y693" s="119"/>
      <c r="Z693" s="119"/>
      <c r="AA693" s="530">
        <f>IFERROR(__xludf.DUMMYFUNCTION("""COMPUTED_VALUE"""),1174.0)</f>
        <v>1174</v>
      </c>
      <c r="AB693" s="119"/>
      <c r="AC693" s="119"/>
      <c r="AD693" s="119"/>
      <c r="AE693" s="119"/>
      <c r="AF693" s="119"/>
      <c r="AG693" s="119"/>
      <c r="AH693" s="16"/>
      <c r="AI693" s="439"/>
      <c r="AJ693" s="439"/>
      <c r="AK693" s="439"/>
    </row>
    <row r="694" ht="18.75" customHeight="1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264"/>
      <c r="U694" s="439"/>
      <c r="V694" s="16"/>
      <c r="W694" s="119"/>
      <c r="X694" s="119"/>
      <c r="Y694" s="119"/>
      <c r="Z694" s="119"/>
      <c r="AA694" s="530">
        <f>IFERROR(__xludf.DUMMYFUNCTION("""COMPUTED_VALUE"""),1175.0)</f>
        <v>1175</v>
      </c>
      <c r="AB694" s="119"/>
      <c r="AC694" s="119"/>
      <c r="AD694" s="119"/>
      <c r="AE694" s="119"/>
      <c r="AF694" s="119"/>
      <c r="AG694" s="119"/>
      <c r="AH694" s="16"/>
      <c r="AI694" s="439"/>
      <c r="AJ694" s="439"/>
      <c r="AK694" s="439"/>
    </row>
    <row r="695" ht="18.75" customHeight="1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264"/>
      <c r="U695" s="439"/>
      <c r="V695" s="16"/>
      <c r="W695" s="119"/>
      <c r="X695" s="119"/>
      <c r="Y695" s="119"/>
      <c r="Z695" s="119"/>
      <c r="AA695" s="530">
        <f>IFERROR(__xludf.DUMMYFUNCTION("""COMPUTED_VALUE"""),1176.0)</f>
        <v>1176</v>
      </c>
      <c r="AB695" s="119"/>
      <c r="AC695" s="119"/>
      <c r="AD695" s="119"/>
      <c r="AE695" s="119"/>
      <c r="AF695" s="119"/>
      <c r="AG695" s="119"/>
      <c r="AH695" s="16"/>
      <c r="AI695" s="439"/>
      <c r="AJ695" s="439"/>
      <c r="AK695" s="439"/>
    </row>
    <row r="696" ht="18.75" customHeight="1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264"/>
      <c r="U696" s="439"/>
      <c r="V696" s="16"/>
      <c r="W696" s="119"/>
      <c r="X696" s="119"/>
      <c r="Y696" s="119"/>
      <c r="Z696" s="119"/>
      <c r="AA696" s="530">
        <f>IFERROR(__xludf.DUMMYFUNCTION("""COMPUTED_VALUE"""),1177.0)</f>
        <v>1177</v>
      </c>
      <c r="AB696" s="119"/>
      <c r="AC696" s="119"/>
      <c r="AD696" s="119"/>
      <c r="AE696" s="119"/>
      <c r="AF696" s="119"/>
      <c r="AG696" s="119"/>
      <c r="AH696" s="16"/>
      <c r="AI696" s="439"/>
      <c r="AJ696" s="439"/>
      <c r="AK696" s="439"/>
    </row>
    <row r="697" ht="18.75" customHeight="1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264"/>
      <c r="U697" s="439"/>
      <c r="V697" s="16"/>
      <c r="W697" s="119"/>
      <c r="X697" s="119"/>
      <c r="Y697" s="119"/>
      <c r="Z697" s="119"/>
      <c r="AA697" s="530">
        <f>IFERROR(__xludf.DUMMYFUNCTION("""COMPUTED_VALUE"""),1178.0)</f>
        <v>1178</v>
      </c>
      <c r="AB697" s="119"/>
      <c r="AC697" s="119"/>
      <c r="AD697" s="119"/>
      <c r="AE697" s="119"/>
      <c r="AF697" s="119"/>
      <c r="AG697" s="119"/>
      <c r="AH697" s="16"/>
      <c r="AI697" s="439"/>
      <c r="AJ697" s="439"/>
      <c r="AK697" s="439"/>
    </row>
    <row r="698" ht="18.75" customHeight="1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264"/>
      <c r="U698" s="439"/>
      <c r="V698" s="16"/>
      <c r="W698" s="119"/>
      <c r="X698" s="119"/>
      <c r="Y698" s="119"/>
      <c r="Z698" s="119"/>
      <c r="AA698" s="530">
        <f>IFERROR(__xludf.DUMMYFUNCTION("""COMPUTED_VALUE"""),1179.0)</f>
        <v>1179</v>
      </c>
      <c r="AB698" s="119"/>
      <c r="AC698" s="119"/>
      <c r="AD698" s="119"/>
      <c r="AE698" s="119"/>
      <c r="AF698" s="119"/>
      <c r="AG698" s="119"/>
      <c r="AH698" s="16"/>
      <c r="AI698" s="439"/>
      <c r="AJ698" s="439"/>
      <c r="AK698" s="439"/>
    </row>
    <row r="699" ht="18.75" customHeight="1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264"/>
      <c r="U699" s="439"/>
      <c r="V699" s="16"/>
      <c r="W699" s="119"/>
      <c r="X699" s="119"/>
      <c r="Y699" s="119"/>
      <c r="Z699" s="119"/>
      <c r="AA699" s="530">
        <f>IFERROR(__xludf.DUMMYFUNCTION("""COMPUTED_VALUE"""),1180.0)</f>
        <v>1180</v>
      </c>
      <c r="AB699" s="119"/>
      <c r="AC699" s="119"/>
      <c r="AD699" s="119"/>
      <c r="AE699" s="119"/>
      <c r="AF699" s="119"/>
      <c r="AG699" s="119"/>
      <c r="AH699" s="16"/>
      <c r="AI699" s="439"/>
      <c r="AJ699" s="439"/>
      <c r="AK699" s="439"/>
    </row>
    <row r="700" ht="18.75" customHeight="1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264"/>
      <c r="U700" s="439"/>
      <c r="V700" s="16"/>
      <c r="W700" s="119"/>
      <c r="X700" s="119"/>
      <c r="Y700" s="119"/>
      <c r="Z700" s="119"/>
      <c r="AA700" s="530">
        <f>IFERROR(__xludf.DUMMYFUNCTION("""COMPUTED_VALUE"""),1181.0)</f>
        <v>1181</v>
      </c>
      <c r="AB700" s="119"/>
      <c r="AC700" s="119"/>
      <c r="AD700" s="119"/>
      <c r="AE700" s="119"/>
      <c r="AF700" s="119"/>
      <c r="AG700" s="119"/>
      <c r="AH700" s="16"/>
      <c r="AI700" s="439"/>
      <c r="AJ700" s="439"/>
      <c r="AK700" s="439"/>
    </row>
    <row r="701" ht="18.75" customHeight="1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264"/>
      <c r="U701" s="439"/>
      <c r="V701" s="16"/>
      <c r="W701" s="119"/>
      <c r="X701" s="119"/>
      <c r="Y701" s="119"/>
      <c r="Z701" s="119"/>
      <c r="AA701" s="530">
        <f>IFERROR(__xludf.DUMMYFUNCTION("""COMPUTED_VALUE"""),1182.0)</f>
        <v>1182</v>
      </c>
      <c r="AB701" s="119"/>
      <c r="AC701" s="119"/>
      <c r="AD701" s="119"/>
      <c r="AE701" s="119"/>
      <c r="AF701" s="119"/>
      <c r="AG701" s="119"/>
      <c r="AH701" s="16"/>
      <c r="AI701" s="439"/>
      <c r="AJ701" s="439"/>
      <c r="AK701" s="439"/>
    </row>
    <row r="702" ht="18.75" customHeight="1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264"/>
      <c r="U702" s="439"/>
      <c r="V702" s="16"/>
      <c r="W702" s="119"/>
      <c r="X702" s="119"/>
      <c r="Y702" s="119"/>
      <c r="Z702" s="119"/>
      <c r="AA702" s="530">
        <f>IFERROR(__xludf.DUMMYFUNCTION("""COMPUTED_VALUE"""),1183.0)</f>
        <v>1183</v>
      </c>
      <c r="AB702" s="119"/>
      <c r="AC702" s="119"/>
      <c r="AD702" s="119"/>
      <c r="AE702" s="119"/>
      <c r="AF702" s="119"/>
      <c r="AG702" s="119"/>
      <c r="AH702" s="16"/>
      <c r="AI702" s="439"/>
      <c r="AJ702" s="439"/>
      <c r="AK702" s="439"/>
    </row>
    <row r="703" ht="18.75" customHeight="1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264"/>
      <c r="U703" s="439"/>
      <c r="V703" s="16"/>
      <c r="W703" s="119"/>
      <c r="X703" s="119"/>
      <c r="Y703" s="119"/>
      <c r="Z703" s="119"/>
      <c r="AA703" s="530">
        <f>IFERROR(__xludf.DUMMYFUNCTION("""COMPUTED_VALUE"""),1184.0)</f>
        <v>1184</v>
      </c>
      <c r="AB703" s="119"/>
      <c r="AC703" s="119"/>
      <c r="AD703" s="119"/>
      <c r="AE703" s="119"/>
      <c r="AF703" s="119"/>
      <c r="AG703" s="119"/>
      <c r="AH703" s="16"/>
      <c r="AI703" s="439"/>
      <c r="AJ703" s="439"/>
      <c r="AK703" s="439"/>
    </row>
    <row r="704" ht="18.75" customHeight="1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264"/>
      <c r="U704" s="439"/>
      <c r="V704" s="16"/>
      <c r="W704" s="119"/>
      <c r="X704" s="119"/>
      <c r="Y704" s="119"/>
      <c r="Z704" s="119"/>
      <c r="AA704" s="530">
        <f>IFERROR(__xludf.DUMMYFUNCTION("""COMPUTED_VALUE"""),1185.0)</f>
        <v>1185</v>
      </c>
      <c r="AB704" s="119"/>
      <c r="AC704" s="119"/>
      <c r="AD704" s="119"/>
      <c r="AE704" s="119"/>
      <c r="AF704" s="119"/>
      <c r="AG704" s="119"/>
      <c r="AH704" s="16"/>
      <c r="AI704" s="439"/>
      <c r="AJ704" s="439"/>
      <c r="AK704" s="439"/>
    </row>
    <row r="705" ht="18.75" customHeight="1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264"/>
      <c r="U705" s="439"/>
      <c r="V705" s="16"/>
      <c r="W705" s="119"/>
      <c r="X705" s="119"/>
      <c r="Y705" s="119"/>
      <c r="Z705" s="119"/>
      <c r="AA705" s="530">
        <f>IFERROR(__xludf.DUMMYFUNCTION("""COMPUTED_VALUE"""),1186.0)</f>
        <v>1186</v>
      </c>
      <c r="AB705" s="119"/>
      <c r="AC705" s="119"/>
      <c r="AD705" s="119"/>
      <c r="AE705" s="119"/>
      <c r="AF705" s="119"/>
      <c r="AG705" s="119"/>
      <c r="AH705" s="16"/>
      <c r="AI705" s="439"/>
      <c r="AJ705" s="439"/>
      <c r="AK705" s="439"/>
    </row>
    <row r="706" ht="18.75" customHeight="1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264"/>
      <c r="U706" s="439"/>
      <c r="V706" s="16"/>
      <c r="W706" s="119"/>
      <c r="X706" s="119"/>
      <c r="Y706" s="119"/>
      <c r="Z706" s="119"/>
      <c r="AA706" s="530">
        <f>IFERROR(__xludf.DUMMYFUNCTION("""COMPUTED_VALUE"""),1187.0)</f>
        <v>1187</v>
      </c>
      <c r="AB706" s="119"/>
      <c r="AC706" s="119"/>
      <c r="AD706" s="119"/>
      <c r="AE706" s="119"/>
      <c r="AF706" s="119"/>
      <c r="AG706" s="119"/>
      <c r="AH706" s="16"/>
      <c r="AI706" s="439"/>
      <c r="AJ706" s="439"/>
      <c r="AK706" s="439"/>
    </row>
    <row r="707" ht="18.75" customHeight="1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264"/>
      <c r="U707" s="439"/>
      <c r="V707" s="16"/>
      <c r="W707" s="119"/>
      <c r="X707" s="119"/>
      <c r="Y707" s="119"/>
      <c r="Z707" s="119"/>
      <c r="AA707" s="530">
        <f>IFERROR(__xludf.DUMMYFUNCTION("""COMPUTED_VALUE"""),1188.0)</f>
        <v>1188</v>
      </c>
      <c r="AB707" s="119"/>
      <c r="AC707" s="119"/>
      <c r="AD707" s="119"/>
      <c r="AE707" s="119"/>
      <c r="AF707" s="119"/>
      <c r="AG707" s="119"/>
      <c r="AH707" s="16"/>
      <c r="AI707" s="439"/>
      <c r="AJ707" s="439"/>
      <c r="AK707" s="439"/>
    </row>
    <row r="708" ht="18.75" customHeight="1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264"/>
      <c r="U708" s="439"/>
      <c r="V708" s="16"/>
      <c r="W708" s="119"/>
      <c r="X708" s="119"/>
      <c r="Y708" s="119"/>
      <c r="Z708" s="119"/>
      <c r="AA708" s="530">
        <f>IFERROR(__xludf.DUMMYFUNCTION("""COMPUTED_VALUE"""),1189.0)</f>
        <v>1189</v>
      </c>
      <c r="AB708" s="119"/>
      <c r="AC708" s="119"/>
      <c r="AD708" s="119"/>
      <c r="AE708" s="119"/>
      <c r="AF708" s="119"/>
      <c r="AG708" s="119"/>
      <c r="AH708" s="16"/>
      <c r="AI708" s="439"/>
      <c r="AJ708" s="439"/>
      <c r="AK708" s="439"/>
    </row>
    <row r="709" ht="18.75" customHeight="1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264"/>
      <c r="U709" s="439"/>
      <c r="V709" s="16"/>
      <c r="W709" s="119"/>
      <c r="X709" s="119"/>
      <c r="Y709" s="119"/>
      <c r="Z709" s="119"/>
      <c r="AA709" s="530">
        <f>IFERROR(__xludf.DUMMYFUNCTION("""COMPUTED_VALUE"""),1190.0)</f>
        <v>1190</v>
      </c>
      <c r="AB709" s="119"/>
      <c r="AC709" s="119"/>
      <c r="AD709" s="119"/>
      <c r="AE709" s="119"/>
      <c r="AF709" s="119"/>
      <c r="AG709" s="119"/>
      <c r="AH709" s="16"/>
      <c r="AI709" s="439"/>
      <c r="AJ709" s="439"/>
      <c r="AK709" s="439"/>
    </row>
    <row r="710" ht="18.75" customHeight="1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264"/>
      <c r="U710" s="439"/>
      <c r="V710" s="16"/>
      <c r="W710" s="119"/>
      <c r="X710" s="119"/>
      <c r="Y710" s="119"/>
      <c r="Z710" s="119"/>
      <c r="AA710" s="530">
        <f>IFERROR(__xludf.DUMMYFUNCTION("""COMPUTED_VALUE"""),1191.0)</f>
        <v>1191</v>
      </c>
      <c r="AB710" s="119"/>
      <c r="AC710" s="119"/>
      <c r="AD710" s="119"/>
      <c r="AE710" s="119"/>
      <c r="AF710" s="119"/>
      <c r="AG710" s="119"/>
      <c r="AH710" s="16"/>
      <c r="AI710" s="439"/>
      <c r="AJ710" s="439"/>
      <c r="AK710" s="439"/>
    </row>
    <row r="711" ht="18.75" customHeight="1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264"/>
      <c r="U711" s="439"/>
      <c r="V711" s="16"/>
      <c r="W711" s="119"/>
      <c r="X711" s="119"/>
      <c r="Y711" s="119"/>
      <c r="Z711" s="119"/>
      <c r="AA711" s="530">
        <f>IFERROR(__xludf.DUMMYFUNCTION("""COMPUTED_VALUE"""),1192.0)</f>
        <v>1192</v>
      </c>
      <c r="AB711" s="119"/>
      <c r="AC711" s="119"/>
      <c r="AD711" s="119"/>
      <c r="AE711" s="119"/>
      <c r="AF711" s="119"/>
      <c r="AG711" s="119"/>
      <c r="AH711" s="16"/>
      <c r="AI711" s="439"/>
      <c r="AJ711" s="439"/>
      <c r="AK711" s="439"/>
    </row>
    <row r="712" ht="18.75" customHeight="1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264"/>
      <c r="U712" s="439"/>
      <c r="V712" s="16"/>
      <c r="W712" s="119"/>
      <c r="X712" s="119"/>
      <c r="Y712" s="119"/>
      <c r="Z712" s="119"/>
      <c r="AA712" s="530">
        <f>IFERROR(__xludf.DUMMYFUNCTION("""COMPUTED_VALUE"""),1193.0)</f>
        <v>1193</v>
      </c>
      <c r="AB712" s="119"/>
      <c r="AC712" s="119"/>
      <c r="AD712" s="119"/>
      <c r="AE712" s="119"/>
      <c r="AF712" s="119"/>
      <c r="AG712" s="119"/>
      <c r="AH712" s="16"/>
      <c r="AI712" s="439"/>
      <c r="AJ712" s="439"/>
      <c r="AK712" s="439"/>
    </row>
    <row r="713" ht="18.75" customHeight="1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264"/>
      <c r="U713" s="439"/>
      <c r="V713" s="16"/>
      <c r="W713" s="119"/>
      <c r="X713" s="119"/>
      <c r="Y713" s="119"/>
      <c r="Z713" s="119"/>
      <c r="AA713" s="530">
        <f>IFERROR(__xludf.DUMMYFUNCTION("""COMPUTED_VALUE"""),1194.0)</f>
        <v>1194</v>
      </c>
      <c r="AB713" s="119"/>
      <c r="AC713" s="119"/>
      <c r="AD713" s="119"/>
      <c r="AE713" s="119"/>
      <c r="AF713" s="119"/>
      <c r="AG713" s="119"/>
      <c r="AH713" s="16"/>
      <c r="AI713" s="439"/>
      <c r="AJ713" s="439"/>
      <c r="AK713" s="439"/>
    </row>
    <row r="714" ht="18.75" customHeight="1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264"/>
      <c r="U714" s="439"/>
      <c r="V714" s="16"/>
      <c r="W714" s="119"/>
      <c r="X714" s="119"/>
      <c r="Y714" s="119"/>
      <c r="Z714" s="119"/>
      <c r="AA714" s="530">
        <f>IFERROR(__xludf.DUMMYFUNCTION("""COMPUTED_VALUE"""),1195.0)</f>
        <v>1195</v>
      </c>
      <c r="AB714" s="119"/>
      <c r="AC714" s="119"/>
      <c r="AD714" s="119"/>
      <c r="AE714" s="119"/>
      <c r="AF714" s="119"/>
      <c r="AG714" s="119"/>
      <c r="AH714" s="16"/>
      <c r="AI714" s="439"/>
      <c r="AJ714" s="439"/>
      <c r="AK714" s="439"/>
    </row>
    <row r="715" ht="18.75" customHeight="1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264"/>
      <c r="U715" s="439"/>
      <c r="V715" s="16"/>
      <c r="W715" s="119"/>
      <c r="X715" s="119"/>
      <c r="Y715" s="119"/>
      <c r="Z715" s="119"/>
      <c r="AA715" s="530">
        <f>IFERROR(__xludf.DUMMYFUNCTION("""COMPUTED_VALUE"""),1196.0)</f>
        <v>1196</v>
      </c>
      <c r="AB715" s="119"/>
      <c r="AC715" s="119"/>
      <c r="AD715" s="119"/>
      <c r="AE715" s="119"/>
      <c r="AF715" s="119"/>
      <c r="AG715" s="119"/>
      <c r="AH715" s="16"/>
      <c r="AI715" s="439"/>
      <c r="AJ715" s="439"/>
      <c r="AK715" s="439"/>
    </row>
    <row r="716" ht="18.75" customHeight="1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264"/>
      <c r="U716" s="439"/>
      <c r="V716" s="16"/>
      <c r="W716" s="119"/>
      <c r="X716" s="119"/>
      <c r="Y716" s="119"/>
      <c r="Z716" s="119"/>
      <c r="AA716" s="530">
        <f>IFERROR(__xludf.DUMMYFUNCTION("""COMPUTED_VALUE"""),1197.0)</f>
        <v>1197</v>
      </c>
      <c r="AB716" s="119"/>
      <c r="AC716" s="119"/>
      <c r="AD716" s="119"/>
      <c r="AE716" s="119"/>
      <c r="AF716" s="119"/>
      <c r="AG716" s="119"/>
      <c r="AH716" s="16"/>
      <c r="AI716" s="439"/>
      <c r="AJ716" s="439"/>
      <c r="AK716" s="439"/>
    </row>
    <row r="717" ht="18.75" customHeight="1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264"/>
      <c r="U717" s="439"/>
      <c r="V717" s="16"/>
      <c r="W717" s="119"/>
      <c r="X717" s="119"/>
      <c r="Y717" s="119"/>
      <c r="Z717" s="119"/>
      <c r="AA717" s="530">
        <f>IFERROR(__xludf.DUMMYFUNCTION("""COMPUTED_VALUE"""),1198.0)</f>
        <v>1198</v>
      </c>
      <c r="AB717" s="119"/>
      <c r="AC717" s="119"/>
      <c r="AD717" s="119"/>
      <c r="AE717" s="119"/>
      <c r="AF717" s="119"/>
      <c r="AG717" s="119"/>
      <c r="AH717" s="16"/>
      <c r="AI717" s="439"/>
      <c r="AJ717" s="439"/>
      <c r="AK717" s="439"/>
    </row>
    <row r="718" ht="18.75" customHeight="1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264"/>
      <c r="U718" s="439"/>
      <c r="V718" s="16"/>
      <c r="W718" s="119"/>
      <c r="X718" s="119"/>
      <c r="Y718" s="119"/>
      <c r="Z718" s="119"/>
      <c r="AA718" s="530">
        <f>IFERROR(__xludf.DUMMYFUNCTION("""COMPUTED_VALUE"""),1199.0)</f>
        <v>1199</v>
      </c>
      <c r="AB718" s="119"/>
      <c r="AC718" s="119"/>
      <c r="AD718" s="119"/>
      <c r="AE718" s="119"/>
      <c r="AF718" s="119"/>
      <c r="AG718" s="119"/>
      <c r="AH718" s="16"/>
      <c r="AI718" s="439"/>
      <c r="AJ718" s="439"/>
      <c r="AK718" s="439"/>
    </row>
    <row r="719" ht="18.75" customHeight="1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264"/>
      <c r="U719" s="439"/>
      <c r="V719" s="16"/>
      <c r="W719" s="119"/>
      <c r="X719" s="119"/>
      <c r="Y719" s="119"/>
      <c r="Z719" s="119"/>
      <c r="AA719" s="530">
        <f>IFERROR(__xludf.DUMMYFUNCTION("""COMPUTED_VALUE"""),1200.0)</f>
        <v>1200</v>
      </c>
      <c r="AB719" s="119"/>
      <c r="AC719" s="119"/>
      <c r="AD719" s="119"/>
      <c r="AE719" s="119"/>
      <c r="AF719" s="119"/>
      <c r="AG719" s="119"/>
      <c r="AH719" s="16"/>
      <c r="AI719" s="439"/>
      <c r="AJ719" s="439"/>
      <c r="AK719" s="439"/>
    </row>
    <row r="720" ht="18.75" customHeight="1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264"/>
      <c r="U720" s="439"/>
      <c r="V720" s="16"/>
      <c r="W720" s="119"/>
      <c r="X720" s="119"/>
      <c r="Y720" s="119"/>
      <c r="Z720" s="119"/>
      <c r="AA720" s="530">
        <f>IFERROR(__xludf.DUMMYFUNCTION("""COMPUTED_VALUE"""),1201.0)</f>
        <v>1201</v>
      </c>
      <c r="AB720" s="119"/>
      <c r="AC720" s="119"/>
      <c r="AD720" s="119"/>
      <c r="AE720" s="119"/>
      <c r="AF720" s="119"/>
      <c r="AG720" s="119"/>
      <c r="AH720" s="16"/>
      <c r="AI720" s="439"/>
      <c r="AJ720" s="439"/>
      <c r="AK720" s="439"/>
    </row>
    <row r="721" ht="18.75" customHeight="1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264"/>
      <c r="U721" s="439"/>
      <c r="V721" s="16"/>
      <c r="W721" s="119"/>
      <c r="X721" s="119"/>
      <c r="Y721" s="119"/>
      <c r="Z721" s="119"/>
      <c r="AA721" s="530">
        <f>IFERROR(__xludf.DUMMYFUNCTION("""COMPUTED_VALUE"""),1202.0)</f>
        <v>1202</v>
      </c>
      <c r="AB721" s="119"/>
      <c r="AC721" s="119"/>
      <c r="AD721" s="119"/>
      <c r="AE721" s="119"/>
      <c r="AF721" s="119"/>
      <c r="AG721" s="119"/>
      <c r="AH721" s="16"/>
      <c r="AI721" s="439"/>
      <c r="AJ721" s="439"/>
      <c r="AK721" s="439"/>
    </row>
    <row r="722" ht="18.75" customHeight="1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264"/>
      <c r="U722" s="439"/>
      <c r="V722" s="16"/>
      <c r="W722" s="119"/>
      <c r="X722" s="119"/>
      <c r="Y722" s="119"/>
      <c r="Z722" s="119"/>
      <c r="AA722" s="530">
        <f>IFERROR(__xludf.DUMMYFUNCTION("""COMPUTED_VALUE"""),1203.0)</f>
        <v>1203</v>
      </c>
      <c r="AB722" s="119"/>
      <c r="AC722" s="119"/>
      <c r="AD722" s="119"/>
      <c r="AE722" s="119"/>
      <c r="AF722" s="119"/>
      <c r="AG722" s="119"/>
      <c r="AH722" s="16"/>
      <c r="AI722" s="439"/>
      <c r="AJ722" s="439"/>
      <c r="AK722" s="439"/>
    </row>
    <row r="723" ht="18.75" customHeight="1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264"/>
      <c r="U723" s="439"/>
      <c r="V723" s="16"/>
      <c r="W723" s="119"/>
      <c r="X723" s="119"/>
      <c r="Y723" s="119"/>
      <c r="Z723" s="119"/>
      <c r="AA723" s="530">
        <f>IFERROR(__xludf.DUMMYFUNCTION("""COMPUTED_VALUE"""),1204.0)</f>
        <v>1204</v>
      </c>
      <c r="AB723" s="119"/>
      <c r="AC723" s="119"/>
      <c r="AD723" s="119"/>
      <c r="AE723" s="119"/>
      <c r="AF723" s="119"/>
      <c r="AG723" s="119"/>
      <c r="AH723" s="16"/>
      <c r="AI723" s="439"/>
      <c r="AJ723" s="439"/>
      <c r="AK723" s="439"/>
    </row>
    <row r="724" ht="18.75" customHeight="1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264"/>
      <c r="U724" s="439"/>
      <c r="V724" s="16"/>
      <c r="W724" s="119"/>
      <c r="X724" s="119"/>
      <c r="Y724" s="119"/>
      <c r="Z724" s="119"/>
      <c r="AA724" s="530">
        <f>IFERROR(__xludf.DUMMYFUNCTION("""COMPUTED_VALUE"""),1205.0)</f>
        <v>1205</v>
      </c>
      <c r="AB724" s="119"/>
      <c r="AC724" s="119"/>
      <c r="AD724" s="119"/>
      <c r="AE724" s="119"/>
      <c r="AF724" s="119"/>
      <c r="AG724" s="119"/>
      <c r="AH724" s="16"/>
      <c r="AI724" s="439"/>
      <c r="AJ724" s="439"/>
      <c r="AK724" s="439"/>
    </row>
    <row r="725" ht="18.75" customHeight="1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264"/>
      <c r="U725" s="439"/>
      <c r="V725" s="16"/>
      <c r="W725" s="119"/>
      <c r="X725" s="119"/>
      <c r="Y725" s="119"/>
      <c r="Z725" s="119"/>
      <c r="AA725" s="530">
        <f>IFERROR(__xludf.DUMMYFUNCTION("""COMPUTED_VALUE"""),1206.0)</f>
        <v>1206</v>
      </c>
      <c r="AB725" s="119"/>
      <c r="AC725" s="119"/>
      <c r="AD725" s="119"/>
      <c r="AE725" s="119"/>
      <c r="AF725" s="119"/>
      <c r="AG725" s="119"/>
      <c r="AH725" s="16"/>
      <c r="AI725" s="439"/>
      <c r="AJ725" s="439"/>
      <c r="AK725" s="439"/>
    </row>
    <row r="726" ht="18.75" customHeight="1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264"/>
      <c r="U726" s="439"/>
      <c r="V726" s="16"/>
      <c r="W726" s="119"/>
      <c r="X726" s="119"/>
      <c r="Y726" s="119"/>
      <c r="Z726" s="119"/>
      <c r="AA726" s="530">
        <f>IFERROR(__xludf.DUMMYFUNCTION("""COMPUTED_VALUE"""),1207.0)</f>
        <v>1207</v>
      </c>
      <c r="AB726" s="119"/>
      <c r="AC726" s="119"/>
      <c r="AD726" s="119"/>
      <c r="AE726" s="119"/>
      <c r="AF726" s="119"/>
      <c r="AG726" s="119"/>
      <c r="AH726" s="16"/>
      <c r="AI726" s="439"/>
      <c r="AJ726" s="439"/>
      <c r="AK726" s="439"/>
    </row>
    <row r="727" ht="18.75" customHeight="1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264"/>
      <c r="U727" s="439"/>
      <c r="V727" s="16"/>
      <c r="W727" s="119"/>
      <c r="X727" s="119"/>
      <c r="Y727" s="119"/>
      <c r="Z727" s="119"/>
      <c r="AA727" s="530">
        <f>IFERROR(__xludf.DUMMYFUNCTION("""COMPUTED_VALUE"""),1208.0)</f>
        <v>1208</v>
      </c>
      <c r="AB727" s="119"/>
      <c r="AC727" s="119"/>
      <c r="AD727" s="119"/>
      <c r="AE727" s="119"/>
      <c r="AF727" s="119"/>
      <c r="AG727" s="119"/>
      <c r="AH727" s="16"/>
      <c r="AI727" s="439"/>
      <c r="AJ727" s="439"/>
      <c r="AK727" s="439"/>
    </row>
    <row r="728" ht="18.75" customHeight="1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264"/>
      <c r="U728" s="439"/>
      <c r="V728" s="16"/>
      <c r="W728" s="119"/>
      <c r="X728" s="119"/>
      <c r="Y728" s="119"/>
      <c r="Z728" s="119"/>
      <c r="AA728" s="530">
        <f>IFERROR(__xludf.DUMMYFUNCTION("""COMPUTED_VALUE"""),1209.0)</f>
        <v>1209</v>
      </c>
      <c r="AB728" s="119"/>
      <c r="AC728" s="119"/>
      <c r="AD728" s="119"/>
      <c r="AE728" s="119"/>
      <c r="AF728" s="119"/>
      <c r="AG728" s="119"/>
      <c r="AH728" s="16"/>
      <c r="AI728" s="439"/>
      <c r="AJ728" s="439"/>
      <c r="AK728" s="439"/>
    </row>
    <row r="729" ht="18.75" customHeight="1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264"/>
      <c r="U729" s="439"/>
      <c r="V729" s="16"/>
      <c r="W729" s="119"/>
      <c r="X729" s="119"/>
      <c r="Y729" s="119"/>
      <c r="Z729" s="119"/>
      <c r="AA729" s="530">
        <f>IFERROR(__xludf.DUMMYFUNCTION("""COMPUTED_VALUE"""),1210.0)</f>
        <v>1210</v>
      </c>
      <c r="AB729" s="119"/>
      <c r="AC729" s="119"/>
      <c r="AD729" s="119"/>
      <c r="AE729" s="119"/>
      <c r="AF729" s="119"/>
      <c r="AG729" s="119"/>
      <c r="AH729" s="16"/>
      <c r="AI729" s="439"/>
      <c r="AJ729" s="439"/>
      <c r="AK729" s="439"/>
    </row>
    <row r="730" ht="18.75" customHeight="1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264"/>
      <c r="U730" s="439"/>
      <c r="V730" s="16"/>
      <c r="W730" s="119"/>
      <c r="X730" s="119"/>
      <c r="Y730" s="119"/>
      <c r="Z730" s="119"/>
      <c r="AA730" s="530">
        <f>IFERROR(__xludf.DUMMYFUNCTION("""COMPUTED_VALUE"""),1211.0)</f>
        <v>1211</v>
      </c>
      <c r="AB730" s="119"/>
      <c r="AC730" s="119"/>
      <c r="AD730" s="119"/>
      <c r="AE730" s="119"/>
      <c r="AF730" s="119"/>
      <c r="AG730" s="119"/>
      <c r="AH730" s="16"/>
      <c r="AI730" s="439"/>
      <c r="AJ730" s="439"/>
      <c r="AK730" s="439"/>
    </row>
    <row r="731" ht="18.75" customHeight="1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264"/>
      <c r="U731" s="439"/>
      <c r="V731" s="16"/>
      <c r="W731" s="119"/>
      <c r="X731" s="119"/>
      <c r="Y731" s="119"/>
      <c r="Z731" s="119"/>
      <c r="AA731" s="530">
        <f>IFERROR(__xludf.DUMMYFUNCTION("""COMPUTED_VALUE"""),1212.0)</f>
        <v>1212</v>
      </c>
      <c r="AB731" s="119"/>
      <c r="AC731" s="119"/>
      <c r="AD731" s="119"/>
      <c r="AE731" s="119"/>
      <c r="AF731" s="119"/>
      <c r="AG731" s="119"/>
      <c r="AH731" s="16"/>
      <c r="AI731" s="439"/>
      <c r="AJ731" s="439"/>
      <c r="AK731" s="439"/>
    </row>
    <row r="732" ht="18.75" customHeight="1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264"/>
      <c r="U732" s="439"/>
      <c r="V732" s="16"/>
      <c r="W732" s="119"/>
      <c r="X732" s="119"/>
      <c r="Y732" s="119"/>
      <c r="Z732" s="119"/>
      <c r="AA732" s="530">
        <f>IFERROR(__xludf.DUMMYFUNCTION("""COMPUTED_VALUE"""),1213.0)</f>
        <v>1213</v>
      </c>
      <c r="AB732" s="119"/>
      <c r="AC732" s="119"/>
      <c r="AD732" s="119"/>
      <c r="AE732" s="119"/>
      <c r="AF732" s="119"/>
      <c r="AG732" s="119"/>
      <c r="AH732" s="16"/>
      <c r="AI732" s="439"/>
      <c r="AJ732" s="439"/>
      <c r="AK732" s="439"/>
    </row>
    <row r="733" ht="18.75" customHeight="1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264"/>
      <c r="U733" s="439"/>
      <c r="V733" s="16"/>
      <c r="W733" s="119"/>
      <c r="X733" s="119"/>
      <c r="Y733" s="119"/>
      <c r="Z733" s="119"/>
      <c r="AA733" s="530">
        <f>IFERROR(__xludf.DUMMYFUNCTION("""COMPUTED_VALUE"""),1214.0)</f>
        <v>1214</v>
      </c>
      <c r="AB733" s="119"/>
      <c r="AC733" s="119"/>
      <c r="AD733" s="119"/>
      <c r="AE733" s="119"/>
      <c r="AF733" s="119"/>
      <c r="AG733" s="119"/>
      <c r="AH733" s="16"/>
      <c r="AI733" s="439"/>
      <c r="AJ733" s="439"/>
      <c r="AK733" s="439"/>
    </row>
    <row r="734" ht="18.75" customHeight="1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264"/>
      <c r="U734" s="439"/>
      <c r="V734" s="16"/>
      <c r="W734" s="119"/>
      <c r="X734" s="119"/>
      <c r="Y734" s="119"/>
      <c r="Z734" s="119"/>
      <c r="AA734" s="530">
        <f>IFERROR(__xludf.DUMMYFUNCTION("""COMPUTED_VALUE"""),1215.0)</f>
        <v>1215</v>
      </c>
      <c r="AB734" s="119"/>
      <c r="AC734" s="119"/>
      <c r="AD734" s="119"/>
      <c r="AE734" s="119"/>
      <c r="AF734" s="119"/>
      <c r="AG734" s="119"/>
      <c r="AH734" s="16"/>
      <c r="AI734" s="439"/>
      <c r="AJ734" s="439"/>
      <c r="AK734" s="439"/>
    </row>
    <row r="735" ht="18.75" customHeight="1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264"/>
      <c r="U735" s="439"/>
      <c r="V735" s="16"/>
      <c r="W735" s="119"/>
      <c r="X735" s="119"/>
      <c r="Y735" s="119"/>
      <c r="Z735" s="119"/>
      <c r="AA735" s="530">
        <f>IFERROR(__xludf.DUMMYFUNCTION("""COMPUTED_VALUE"""),1216.0)</f>
        <v>1216</v>
      </c>
      <c r="AB735" s="119"/>
      <c r="AC735" s="119"/>
      <c r="AD735" s="119"/>
      <c r="AE735" s="119"/>
      <c r="AF735" s="119"/>
      <c r="AG735" s="119"/>
      <c r="AH735" s="16"/>
      <c r="AI735" s="439"/>
      <c r="AJ735" s="439"/>
      <c r="AK735" s="439"/>
    </row>
    <row r="736" ht="18.75" customHeight="1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264"/>
      <c r="U736" s="439"/>
      <c r="V736" s="16"/>
      <c r="W736" s="119"/>
      <c r="X736" s="119"/>
      <c r="Y736" s="119"/>
      <c r="Z736" s="119"/>
      <c r="AA736" s="530">
        <f>IFERROR(__xludf.DUMMYFUNCTION("""COMPUTED_VALUE"""),1217.0)</f>
        <v>1217</v>
      </c>
      <c r="AB736" s="119"/>
      <c r="AC736" s="119"/>
      <c r="AD736" s="119"/>
      <c r="AE736" s="119"/>
      <c r="AF736" s="119"/>
      <c r="AG736" s="119"/>
      <c r="AH736" s="16"/>
      <c r="AI736" s="439"/>
      <c r="AJ736" s="439"/>
      <c r="AK736" s="439"/>
    </row>
    <row r="737" ht="18.75" customHeight="1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264"/>
      <c r="U737" s="439"/>
      <c r="V737" s="16"/>
      <c r="W737" s="119"/>
      <c r="X737" s="119"/>
      <c r="Y737" s="119"/>
      <c r="Z737" s="119"/>
      <c r="AA737" s="530">
        <f>IFERROR(__xludf.DUMMYFUNCTION("""COMPUTED_VALUE"""),1218.0)</f>
        <v>1218</v>
      </c>
      <c r="AB737" s="119"/>
      <c r="AC737" s="119"/>
      <c r="AD737" s="119"/>
      <c r="AE737" s="119"/>
      <c r="AF737" s="119"/>
      <c r="AG737" s="119"/>
      <c r="AH737" s="16"/>
      <c r="AI737" s="439"/>
      <c r="AJ737" s="439"/>
      <c r="AK737" s="439"/>
    </row>
    <row r="738" ht="18.75" customHeight="1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264"/>
      <c r="U738" s="439"/>
      <c r="V738" s="16"/>
      <c r="W738" s="119"/>
      <c r="X738" s="119"/>
      <c r="Y738" s="119"/>
      <c r="Z738" s="119"/>
      <c r="AA738" s="530">
        <f>IFERROR(__xludf.DUMMYFUNCTION("""COMPUTED_VALUE"""),1219.0)</f>
        <v>1219</v>
      </c>
      <c r="AB738" s="119"/>
      <c r="AC738" s="119"/>
      <c r="AD738" s="119"/>
      <c r="AE738" s="119"/>
      <c r="AF738" s="119"/>
      <c r="AG738" s="119"/>
      <c r="AH738" s="16"/>
      <c r="AI738" s="439"/>
      <c r="AJ738" s="439"/>
      <c r="AK738" s="439"/>
    </row>
    <row r="739" ht="18.75" customHeight="1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264"/>
      <c r="U739" s="439"/>
      <c r="V739" s="16"/>
      <c r="W739" s="119"/>
      <c r="X739" s="119"/>
      <c r="Y739" s="119"/>
      <c r="Z739" s="119"/>
      <c r="AA739" s="530">
        <f>IFERROR(__xludf.DUMMYFUNCTION("""COMPUTED_VALUE"""),1220.0)</f>
        <v>1220</v>
      </c>
      <c r="AB739" s="119"/>
      <c r="AC739" s="119"/>
      <c r="AD739" s="119"/>
      <c r="AE739" s="119"/>
      <c r="AF739" s="119"/>
      <c r="AG739" s="119"/>
      <c r="AH739" s="16"/>
      <c r="AI739" s="439"/>
      <c r="AJ739" s="439"/>
      <c r="AK739" s="439"/>
    </row>
    <row r="740" ht="18.75" customHeight="1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264"/>
      <c r="U740" s="439"/>
      <c r="V740" s="16"/>
      <c r="W740" s="119"/>
      <c r="X740" s="119"/>
      <c r="Y740" s="119"/>
      <c r="Z740" s="119"/>
      <c r="AA740" s="530">
        <f>IFERROR(__xludf.DUMMYFUNCTION("""COMPUTED_VALUE"""),1221.0)</f>
        <v>1221</v>
      </c>
      <c r="AB740" s="119"/>
      <c r="AC740" s="119"/>
      <c r="AD740" s="119"/>
      <c r="AE740" s="119"/>
      <c r="AF740" s="119"/>
      <c r="AG740" s="119"/>
      <c r="AH740" s="16"/>
      <c r="AI740" s="439"/>
      <c r="AJ740" s="439"/>
      <c r="AK740" s="439"/>
    </row>
    <row r="741" ht="18.75" customHeight="1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264"/>
      <c r="U741" s="439"/>
      <c r="V741" s="16"/>
      <c r="W741" s="119"/>
      <c r="X741" s="119"/>
      <c r="Y741" s="119"/>
      <c r="Z741" s="119"/>
      <c r="AA741" s="530">
        <f>IFERROR(__xludf.DUMMYFUNCTION("""COMPUTED_VALUE"""),1222.0)</f>
        <v>1222</v>
      </c>
      <c r="AB741" s="119"/>
      <c r="AC741" s="119"/>
      <c r="AD741" s="119"/>
      <c r="AE741" s="119"/>
      <c r="AF741" s="119"/>
      <c r="AG741" s="119"/>
      <c r="AH741" s="16"/>
      <c r="AI741" s="439"/>
      <c r="AJ741" s="439"/>
      <c r="AK741" s="439"/>
    </row>
    <row r="742" ht="18.75" customHeight="1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264"/>
      <c r="U742" s="439"/>
      <c r="V742" s="16"/>
      <c r="W742" s="119"/>
      <c r="X742" s="119"/>
      <c r="Y742" s="119"/>
      <c r="Z742" s="119"/>
      <c r="AA742" s="530">
        <f>IFERROR(__xludf.DUMMYFUNCTION("""COMPUTED_VALUE"""),1223.0)</f>
        <v>1223</v>
      </c>
      <c r="AB742" s="119"/>
      <c r="AC742" s="119"/>
      <c r="AD742" s="119"/>
      <c r="AE742" s="119"/>
      <c r="AF742" s="119"/>
      <c r="AG742" s="119"/>
      <c r="AH742" s="16"/>
      <c r="AI742" s="439"/>
      <c r="AJ742" s="439"/>
      <c r="AK742" s="439"/>
    </row>
    <row r="743" ht="18.75" customHeight="1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264"/>
      <c r="U743" s="439"/>
      <c r="V743" s="16"/>
      <c r="W743" s="119"/>
      <c r="X743" s="119"/>
      <c r="Y743" s="119"/>
      <c r="Z743" s="119"/>
      <c r="AA743" s="530">
        <f>IFERROR(__xludf.DUMMYFUNCTION("""COMPUTED_VALUE"""),1224.0)</f>
        <v>1224</v>
      </c>
      <c r="AB743" s="119"/>
      <c r="AC743" s="119"/>
      <c r="AD743" s="119"/>
      <c r="AE743" s="119"/>
      <c r="AF743" s="119"/>
      <c r="AG743" s="119"/>
      <c r="AH743" s="16"/>
      <c r="AI743" s="439"/>
      <c r="AJ743" s="439"/>
      <c r="AK743" s="439"/>
    </row>
    <row r="744" ht="18.75" customHeight="1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264"/>
      <c r="U744" s="439"/>
      <c r="V744" s="16"/>
      <c r="W744" s="119"/>
      <c r="X744" s="119"/>
      <c r="Y744" s="119"/>
      <c r="Z744" s="119"/>
      <c r="AA744" s="530">
        <f>IFERROR(__xludf.DUMMYFUNCTION("""COMPUTED_VALUE"""),1225.0)</f>
        <v>1225</v>
      </c>
      <c r="AB744" s="119"/>
      <c r="AC744" s="119"/>
      <c r="AD744" s="119"/>
      <c r="AE744" s="119"/>
      <c r="AF744" s="119"/>
      <c r="AG744" s="119"/>
      <c r="AH744" s="16"/>
      <c r="AI744" s="439"/>
      <c r="AJ744" s="439"/>
      <c r="AK744" s="439"/>
    </row>
    <row r="745" ht="18.75" customHeight="1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264"/>
      <c r="U745" s="439"/>
      <c r="V745" s="16"/>
      <c r="W745" s="119"/>
      <c r="X745" s="119"/>
      <c r="Y745" s="119"/>
      <c r="Z745" s="119"/>
      <c r="AA745" s="530">
        <f>IFERROR(__xludf.DUMMYFUNCTION("""COMPUTED_VALUE"""),1226.0)</f>
        <v>1226</v>
      </c>
      <c r="AB745" s="119"/>
      <c r="AC745" s="119"/>
      <c r="AD745" s="119"/>
      <c r="AE745" s="119"/>
      <c r="AF745" s="119"/>
      <c r="AG745" s="119"/>
      <c r="AH745" s="16"/>
      <c r="AI745" s="439"/>
      <c r="AJ745" s="439"/>
      <c r="AK745" s="439"/>
    </row>
    <row r="746" ht="18.75" customHeight="1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264"/>
      <c r="U746" s="439"/>
      <c r="V746" s="16"/>
      <c r="W746" s="119"/>
      <c r="X746" s="119"/>
      <c r="Y746" s="119"/>
      <c r="Z746" s="119"/>
      <c r="AA746" s="530">
        <f>IFERROR(__xludf.DUMMYFUNCTION("""COMPUTED_VALUE"""),1227.0)</f>
        <v>1227</v>
      </c>
      <c r="AB746" s="119"/>
      <c r="AC746" s="119"/>
      <c r="AD746" s="119"/>
      <c r="AE746" s="119"/>
      <c r="AF746" s="119"/>
      <c r="AG746" s="119"/>
      <c r="AH746" s="16"/>
      <c r="AI746" s="439"/>
      <c r="AJ746" s="439"/>
      <c r="AK746" s="439"/>
    </row>
    <row r="747" ht="18.75" customHeight="1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264"/>
      <c r="U747" s="439"/>
      <c r="V747" s="16"/>
      <c r="W747" s="119"/>
      <c r="X747" s="119"/>
      <c r="Y747" s="119"/>
      <c r="Z747" s="119"/>
      <c r="AA747" s="530">
        <f>IFERROR(__xludf.DUMMYFUNCTION("""COMPUTED_VALUE"""),1228.0)</f>
        <v>1228</v>
      </c>
      <c r="AB747" s="119"/>
      <c r="AC747" s="119"/>
      <c r="AD747" s="119"/>
      <c r="AE747" s="119"/>
      <c r="AF747" s="119"/>
      <c r="AG747" s="119"/>
      <c r="AH747" s="16"/>
      <c r="AI747" s="439"/>
      <c r="AJ747" s="439"/>
      <c r="AK747" s="439"/>
    </row>
    <row r="748" ht="18.75" customHeight="1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264"/>
      <c r="U748" s="439"/>
      <c r="V748" s="16"/>
      <c r="W748" s="119"/>
      <c r="X748" s="119"/>
      <c r="Y748" s="119"/>
      <c r="Z748" s="119"/>
      <c r="AA748" s="530">
        <f>IFERROR(__xludf.DUMMYFUNCTION("""COMPUTED_VALUE"""),1229.0)</f>
        <v>1229</v>
      </c>
      <c r="AB748" s="119"/>
      <c r="AC748" s="119"/>
      <c r="AD748" s="119"/>
      <c r="AE748" s="119"/>
      <c r="AF748" s="119"/>
      <c r="AG748" s="119"/>
      <c r="AH748" s="16"/>
      <c r="AI748" s="439"/>
      <c r="AJ748" s="439"/>
      <c r="AK748" s="439"/>
    </row>
    <row r="749" ht="18.75" customHeight="1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264"/>
      <c r="U749" s="439"/>
      <c r="V749" s="16"/>
      <c r="W749" s="119"/>
      <c r="X749" s="119"/>
      <c r="Y749" s="119"/>
      <c r="Z749" s="119"/>
      <c r="AA749" s="530">
        <f>IFERROR(__xludf.DUMMYFUNCTION("""COMPUTED_VALUE"""),1230.0)</f>
        <v>1230</v>
      </c>
      <c r="AB749" s="119"/>
      <c r="AC749" s="119"/>
      <c r="AD749" s="119"/>
      <c r="AE749" s="119"/>
      <c r="AF749" s="119"/>
      <c r="AG749" s="119"/>
      <c r="AH749" s="16"/>
      <c r="AI749" s="439"/>
      <c r="AJ749" s="439"/>
      <c r="AK749" s="439"/>
    </row>
    <row r="750" ht="18.75" customHeight="1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264"/>
      <c r="U750" s="439"/>
      <c r="V750" s="16"/>
      <c r="W750" s="119"/>
      <c r="X750" s="119"/>
      <c r="Y750" s="119"/>
      <c r="Z750" s="119"/>
      <c r="AA750" s="530">
        <f>IFERROR(__xludf.DUMMYFUNCTION("""COMPUTED_VALUE"""),1231.0)</f>
        <v>1231</v>
      </c>
      <c r="AB750" s="119"/>
      <c r="AC750" s="119"/>
      <c r="AD750" s="119"/>
      <c r="AE750" s="119"/>
      <c r="AF750" s="119"/>
      <c r="AG750" s="119"/>
      <c r="AH750" s="16"/>
      <c r="AI750" s="439"/>
      <c r="AJ750" s="439"/>
      <c r="AK750" s="439"/>
    </row>
    <row r="751" ht="18.75" customHeight="1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264"/>
      <c r="U751" s="439"/>
      <c r="V751" s="16"/>
      <c r="W751" s="119"/>
      <c r="X751" s="119"/>
      <c r="Y751" s="119"/>
      <c r="Z751" s="119"/>
      <c r="AA751" s="530">
        <f>IFERROR(__xludf.DUMMYFUNCTION("""COMPUTED_VALUE"""),1232.0)</f>
        <v>1232</v>
      </c>
      <c r="AB751" s="119"/>
      <c r="AC751" s="119"/>
      <c r="AD751" s="119"/>
      <c r="AE751" s="119"/>
      <c r="AF751" s="119"/>
      <c r="AG751" s="119"/>
      <c r="AH751" s="16"/>
      <c r="AI751" s="439"/>
      <c r="AJ751" s="439"/>
      <c r="AK751" s="439"/>
    </row>
    <row r="752" ht="18.75" customHeight="1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264"/>
      <c r="U752" s="439"/>
      <c r="V752" s="16"/>
      <c r="W752" s="119"/>
      <c r="X752" s="119"/>
      <c r="Y752" s="119"/>
      <c r="Z752" s="119"/>
      <c r="AA752" s="530">
        <f>IFERROR(__xludf.DUMMYFUNCTION("""COMPUTED_VALUE"""),1233.0)</f>
        <v>1233</v>
      </c>
      <c r="AB752" s="119"/>
      <c r="AC752" s="119"/>
      <c r="AD752" s="119"/>
      <c r="AE752" s="119"/>
      <c r="AF752" s="119"/>
      <c r="AG752" s="119"/>
      <c r="AH752" s="16"/>
      <c r="AI752" s="439"/>
      <c r="AJ752" s="439"/>
      <c r="AK752" s="439"/>
    </row>
    <row r="753" ht="18.75" customHeight="1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264"/>
      <c r="U753" s="439"/>
      <c r="V753" s="16"/>
      <c r="W753" s="119"/>
      <c r="X753" s="119"/>
      <c r="Y753" s="119"/>
      <c r="Z753" s="119"/>
      <c r="AA753" s="530">
        <f>IFERROR(__xludf.DUMMYFUNCTION("""COMPUTED_VALUE"""),1234.0)</f>
        <v>1234</v>
      </c>
      <c r="AB753" s="119"/>
      <c r="AC753" s="119"/>
      <c r="AD753" s="119"/>
      <c r="AE753" s="119"/>
      <c r="AF753" s="119"/>
      <c r="AG753" s="119"/>
      <c r="AH753" s="16"/>
      <c r="AI753" s="439"/>
      <c r="AJ753" s="439"/>
      <c r="AK753" s="439"/>
    </row>
    <row r="754" ht="18.75" customHeight="1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264"/>
      <c r="U754" s="439"/>
      <c r="V754" s="16"/>
      <c r="W754" s="119"/>
      <c r="X754" s="119"/>
      <c r="Y754" s="119"/>
      <c r="Z754" s="119"/>
      <c r="AA754" s="530">
        <f>IFERROR(__xludf.DUMMYFUNCTION("""COMPUTED_VALUE"""),1235.0)</f>
        <v>1235</v>
      </c>
      <c r="AB754" s="119"/>
      <c r="AC754" s="119"/>
      <c r="AD754" s="119"/>
      <c r="AE754" s="119"/>
      <c r="AF754" s="119"/>
      <c r="AG754" s="119"/>
      <c r="AH754" s="16"/>
      <c r="AI754" s="439"/>
      <c r="AJ754" s="439"/>
      <c r="AK754" s="439"/>
    </row>
    <row r="755" ht="18.75" customHeight="1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264"/>
      <c r="U755" s="439"/>
      <c r="V755" s="16"/>
      <c r="W755" s="119"/>
      <c r="X755" s="119"/>
      <c r="Y755" s="119"/>
      <c r="Z755" s="119"/>
      <c r="AA755" s="530">
        <f>IFERROR(__xludf.DUMMYFUNCTION("""COMPUTED_VALUE"""),1236.0)</f>
        <v>1236</v>
      </c>
      <c r="AB755" s="119"/>
      <c r="AC755" s="119"/>
      <c r="AD755" s="119"/>
      <c r="AE755" s="119"/>
      <c r="AF755" s="119"/>
      <c r="AG755" s="119"/>
      <c r="AH755" s="16"/>
      <c r="AI755" s="439"/>
      <c r="AJ755" s="439"/>
      <c r="AK755" s="439"/>
    </row>
    <row r="756" ht="18.75" customHeight="1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264"/>
      <c r="U756" s="439"/>
      <c r="V756" s="16"/>
      <c r="W756" s="119"/>
      <c r="X756" s="119"/>
      <c r="Y756" s="119"/>
      <c r="Z756" s="119"/>
      <c r="AA756" s="530">
        <f>IFERROR(__xludf.DUMMYFUNCTION("""COMPUTED_VALUE"""),1237.0)</f>
        <v>1237</v>
      </c>
      <c r="AB756" s="119"/>
      <c r="AC756" s="119"/>
      <c r="AD756" s="119"/>
      <c r="AE756" s="119"/>
      <c r="AF756" s="119"/>
      <c r="AG756" s="119"/>
      <c r="AH756" s="16"/>
      <c r="AI756" s="439"/>
      <c r="AJ756" s="439"/>
      <c r="AK756" s="439"/>
    </row>
    <row r="757" ht="18.75" customHeight="1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264"/>
      <c r="U757" s="439"/>
      <c r="V757" s="16"/>
      <c r="W757" s="119"/>
      <c r="X757" s="119"/>
      <c r="Y757" s="119"/>
      <c r="Z757" s="119"/>
      <c r="AA757" s="530">
        <f>IFERROR(__xludf.DUMMYFUNCTION("""COMPUTED_VALUE"""),1238.0)</f>
        <v>1238</v>
      </c>
      <c r="AB757" s="119"/>
      <c r="AC757" s="119"/>
      <c r="AD757" s="119"/>
      <c r="AE757" s="119"/>
      <c r="AF757" s="119"/>
      <c r="AG757" s="119"/>
      <c r="AH757" s="16"/>
      <c r="AI757" s="439"/>
      <c r="AJ757" s="439"/>
      <c r="AK757" s="439"/>
    </row>
    <row r="758" ht="18.75" customHeight="1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264"/>
      <c r="U758" s="439"/>
      <c r="V758" s="16"/>
      <c r="W758" s="119"/>
      <c r="X758" s="119"/>
      <c r="Y758" s="119"/>
      <c r="Z758" s="119"/>
      <c r="AA758" s="530">
        <f>IFERROR(__xludf.DUMMYFUNCTION("""COMPUTED_VALUE"""),1239.0)</f>
        <v>1239</v>
      </c>
      <c r="AB758" s="119"/>
      <c r="AC758" s="119"/>
      <c r="AD758" s="119"/>
      <c r="AE758" s="119"/>
      <c r="AF758" s="119"/>
      <c r="AG758" s="119"/>
      <c r="AH758" s="16"/>
      <c r="AI758" s="439"/>
      <c r="AJ758" s="439"/>
      <c r="AK758" s="439"/>
    </row>
    <row r="759" ht="18.75" customHeight="1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264"/>
      <c r="U759" s="439"/>
      <c r="V759" s="16"/>
      <c r="W759" s="119"/>
      <c r="X759" s="119"/>
      <c r="Y759" s="119"/>
      <c r="Z759" s="119"/>
      <c r="AA759" s="530">
        <f>IFERROR(__xludf.DUMMYFUNCTION("""COMPUTED_VALUE"""),1240.0)</f>
        <v>1240</v>
      </c>
      <c r="AB759" s="119"/>
      <c r="AC759" s="119"/>
      <c r="AD759" s="119"/>
      <c r="AE759" s="119"/>
      <c r="AF759" s="119"/>
      <c r="AG759" s="119"/>
      <c r="AH759" s="16"/>
      <c r="AI759" s="439"/>
      <c r="AJ759" s="439"/>
      <c r="AK759" s="439"/>
    </row>
    <row r="760" ht="18.75" customHeight="1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264"/>
      <c r="U760" s="439"/>
      <c r="V760" s="16"/>
      <c r="W760" s="119"/>
      <c r="X760" s="119"/>
      <c r="Y760" s="119"/>
      <c r="Z760" s="119"/>
      <c r="AA760" s="530">
        <f>IFERROR(__xludf.DUMMYFUNCTION("""COMPUTED_VALUE"""),1241.0)</f>
        <v>1241</v>
      </c>
      <c r="AB760" s="119"/>
      <c r="AC760" s="119"/>
      <c r="AD760" s="119"/>
      <c r="AE760" s="119"/>
      <c r="AF760" s="119"/>
      <c r="AG760" s="119"/>
      <c r="AH760" s="16"/>
      <c r="AI760" s="439"/>
      <c r="AJ760" s="439"/>
      <c r="AK760" s="439"/>
    </row>
    <row r="761" ht="18.75" customHeight="1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264"/>
      <c r="U761" s="439"/>
      <c r="V761" s="16"/>
      <c r="W761" s="119"/>
      <c r="X761" s="119"/>
      <c r="Y761" s="119"/>
      <c r="Z761" s="119"/>
      <c r="AA761" s="530">
        <f>IFERROR(__xludf.DUMMYFUNCTION("""COMPUTED_VALUE"""),1242.0)</f>
        <v>1242</v>
      </c>
      <c r="AB761" s="119"/>
      <c r="AC761" s="119"/>
      <c r="AD761" s="119"/>
      <c r="AE761" s="119"/>
      <c r="AF761" s="119"/>
      <c r="AG761" s="119"/>
      <c r="AH761" s="16"/>
      <c r="AI761" s="439"/>
      <c r="AJ761" s="439"/>
      <c r="AK761" s="439"/>
    </row>
    <row r="762" ht="18.75" customHeight="1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264"/>
      <c r="U762" s="439"/>
      <c r="V762" s="16"/>
      <c r="W762" s="119"/>
      <c r="X762" s="119"/>
      <c r="Y762" s="119"/>
      <c r="Z762" s="119"/>
      <c r="AA762" s="530">
        <f>IFERROR(__xludf.DUMMYFUNCTION("""COMPUTED_VALUE"""),1243.0)</f>
        <v>1243</v>
      </c>
      <c r="AB762" s="119"/>
      <c r="AC762" s="119"/>
      <c r="AD762" s="119"/>
      <c r="AE762" s="119"/>
      <c r="AF762" s="119"/>
      <c r="AG762" s="119"/>
      <c r="AH762" s="16"/>
      <c r="AI762" s="439"/>
      <c r="AJ762" s="439"/>
      <c r="AK762" s="439"/>
    </row>
    <row r="763" ht="18.75" customHeight="1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264"/>
      <c r="U763" s="439"/>
      <c r="V763" s="16"/>
      <c r="W763" s="119"/>
      <c r="X763" s="119"/>
      <c r="Y763" s="119"/>
      <c r="Z763" s="119"/>
      <c r="AA763" s="530">
        <f>IFERROR(__xludf.DUMMYFUNCTION("""COMPUTED_VALUE"""),1244.0)</f>
        <v>1244</v>
      </c>
      <c r="AB763" s="119"/>
      <c r="AC763" s="119"/>
      <c r="AD763" s="119"/>
      <c r="AE763" s="119"/>
      <c r="AF763" s="119"/>
      <c r="AG763" s="119"/>
      <c r="AH763" s="16"/>
      <c r="AI763" s="439"/>
      <c r="AJ763" s="439"/>
      <c r="AK763" s="439"/>
    </row>
    <row r="764" ht="18.75" customHeight="1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264"/>
      <c r="U764" s="439"/>
      <c r="V764" s="16"/>
      <c r="W764" s="119"/>
      <c r="X764" s="119"/>
      <c r="Y764" s="119"/>
      <c r="Z764" s="119"/>
      <c r="AA764" s="530">
        <f>IFERROR(__xludf.DUMMYFUNCTION("""COMPUTED_VALUE"""),1245.0)</f>
        <v>1245</v>
      </c>
      <c r="AB764" s="119"/>
      <c r="AC764" s="119"/>
      <c r="AD764" s="119"/>
      <c r="AE764" s="119"/>
      <c r="AF764" s="119"/>
      <c r="AG764" s="119"/>
      <c r="AH764" s="16"/>
      <c r="AI764" s="439"/>
      <c r="AJ764" s="439"/>
      <c r="AK764" s="439"/>
    </row>
    <row r="765" ht="18.75" customHeight="1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264"/>
      <c r="U765" s="439"/>
      <c r="V765" s="16"/>
      <c r="W765" s="119"/>
      <c r="X765" s="119"/>
      <c r="Y765" s="119"/>
      <c r="Z765" s="119"/>
      <c r="AA765" s="530">
        <f>IFERROR(__xludf.DUMMYFUNCTION("""COMPUTED_VALUE"""),1246.0)</f>
        <v>1246</v>
      </c>
      <c r="AB765" s="119"/>
      <c r="AC765" s="119"/>
      <c r="AD765" s="119"/>
      <c r="AE765" s="119"/>
      <c r="AF765" s="119"/>
      <c r="AG765" s="119"/>
      <c r="AH765" s="16"/>
      <c r="AI765" s="439"/>
      <c r="AJ765" s="439"/>
      <c r="AK765" s="439"/>
    </row>
    <row r="766" ht="18.75" customHeight="1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264"/>
      <c r="U766" s="439"/>
      <c r="V766" s="16"/>
      <c r="W766" s="119"/>
      <c r="X766" s="119"/>
      <c r="Y766" s="119"/>
      <c r="Z766" s="119"/>
      <c r="AA766" s="530">
        <f>IFERROR(__xludf.DUMMYFUNCTION("""COMPUTED_VALUE"""),1247.0)</f>
        <v>1247</v>
      </c>
      <c r="AB766" s="119"/>
      <c r="AC766" s="119"/>
      <c r="AD766" s="119"/>
      <c r="AE766" s="119"/>
      <c r="AF766" s="119"/>
      <c r="AG766" s="119"/>
      <c r="AH766" s="16"/>
      <c r="AI766" s="439"/>
      <c r="AJ766" s="439"/>
      <c r="AK766" s="439"/>
    </row>
    <row r="767" ht="18.75" customHeight="1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264"/>
      <c r="U767" s="439"/>
      <c r="V767" s="16"/>
      <c r="W767" s="119"/>
      <c r="X767" s="119"/>
      <c r="Y767" s="119"/>
      <c r="Z767" s="119"/>
      <c r="AA767" s="530">
        <f>IFERROR(__xludf.DUMMYFUNCTION("""COMPUTED_VALUE"""),1248.0)</f>
        <v>1248</v>
      </c>
      <c r="AB767" s="119"/>
      <c r="AC767" s="119"/>
      <c r="AD767" s="119"/>
      <c r="AE767" s="119"/>
      <c r="AF767" s="119"/>
      <c r="AG767" s="119"/>
      <c r="AH767" s="16"/>
      <c r="AI767" s="439"/>
      <c r="AJ767" s="439"/>
      <c r="AK767" s="439"/>
    </row>
    <row r="768" ht="18.75" customHeight="1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264"/>
      <c r="U768" s="439"/>
      <c r="V768" s="16"/>
      <c r="W768" s="119"/>
      <c r="X768" s="119"/>
      <c r="Y768" s="119"/>
      <c r="Z768" s="119"/>
      <c r="AA768" s="530">
        <f>IFERROR(__xludf.DUMMYFUNCTION("""COMPUTED_VALUE"""),1249.0)</f>
        <v>1249</v>
      </c>
      <c r="AB768" s="119"/>
      <c r="AC768" s="119"/>
      <c r="AD768" s="119"/>
      <c r="AE768" s="119"/>
      <c r="AF768" s="119"/>
      <c r="AG768" s="119"/>
      <c r="AH768" s="16"/>
      <c r="AI768" s="439"/>
      <c r="AJ768" s="439"/>
      <c r="AK768" s="439"/>
    </row>
    <row r="769" ht="18.75" customHeight="1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264"/>
      <c r="U769" s="439"/>
      <c r="V769" s="16"/>
      <c r="W769" s="119"/>
      <c r="X769" s="119"/>
      <c r="Y769" s="119"/>
      <c r="Z769" s="119"/>
      <c r="AA769" s="530">
        <f>IFERROR(__xludf.DUMMYFUNCTION("""COMPUTED_VALUE"""),1250.0)</f>
        <v>1250</v>
      </c>
      <c r="AB769" s="119"/>
      <c r="AC769" s="119"/>
      <c r="AD769" s="119"/>
      <c r="AE769" s="119"/>
      <c r="AF769" s="119"/>
      <c r="AG769" s="119"/>
      <c r="AH769" s="16"/>
      <c r="AI769" s="439"/>
      <c r="AJ769" s="439"/>
      <c r="AK769" s="439"/>
    </row>
    <row r="770" ht="18.75" customHeight="1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264"/>
      <c r="U770" s="439"/>
      <c r="V770" s="16"/>
      <c r="W770" s="119"/>
      <c r="X770" s="119"/>
      <c r="Y770" s="119"/>
      <c r="Z770" s="119"/>
      <c r="AA770" s="530">
        <f>IFERROR(__xludf.DUMMYFUNCTION("""COMPUTED_VALUE"""),1251.0)</f>
        <v>1251</v>
      </c>
      <c r="AB770" s="119"/>
      <c r="AC770" s="119"/>
      <c r="AD770" s="119"/>
      <c r="AE770" s="119"/>
      <c r="AF770" s="119"/>
      <c r="AG770" s="119"/>
      <c r="AH770" s="16"/>
      <c r="AI770" s="439"/>
      <c r="AJ770" s="439"/>
      <c r="AK770" s="439"/>
    </row>
    <row r="771" ht="18.75" customHeight="1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264"/>
      <c r="U771" s="439"/>
      <c r="V771" s="16"/>
      <c r="W771" s="119"/>
      <c r="X771" s="119"/>
      <c r="Y771" s="119"/>
      <c r="Z771" s="119"/>
      <c r="AA771" s="530">
        <f>IFERROR(__xludf.DUMMYFUNCTION("""COMPUTED_VALUE"""),1252.0)</f>
        <v>1252</v>
      </c>
      <c r="AB771" s="119"/>
      <c r="AC771" s="119"/>
      <c r="AD771" s="119"/>
      <c r="AE771" s="119"/>
      <c r="AF771" s="119"/>
      <c r="AG771" s="119"/>
      <c r="AH771" s="16"/>
      <c r="AI771" s="439"/>
      <c r="AJ771" s="439"/>
      <c r="AK771" s="439"/>
    </row>
    <row r="772" ht="18.75" customHeight="1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264"/>
      <c r="U772" s="439"/>
      <c r="V772" s="16"/>
      <c r="W772" s="119"/>
      <c r="X772" s="119"/>
      <c r="Y772" s="119"/>
      <c r="Z772" s="119"/>
      <c r="AA772" s="530">
        <f>IFERROR(__xludf.DUMMYFUNCTION("""COMPUTED_VALUE"""),1253.0)</f>
        <v>1253</v>
      </c>
      <c r="AB772" s="119"/>
      <c r="AC772" s="119"/>
      <c r="AD772" s="119"/>
      <c r="AE772" s="119"/>
      <c r="AF772" s="119"/>
      <c r="AG772" s="119"/>
      <c r="AH772" s="16"/>
      <c r="AI772" s="439"/>
      <c r="AJ772" s="439"/>
      <c r="AK772" s="439"/>
    </row>
    <row r="773" ht="18.75" customHeight="1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264"/>
      <c r="U773" s="439"/>
      <c r="V773" s="16"/>
      <c r="W773" s="119"/>
      <c r="X773" s="119"/>
      <c r="Y773" s="119"/>
      <c r="Z773" s="119"/>
      <c r="AA773" s="530">
        <f>IFERROR(__xludf.DUMMYFUNCTION("""COMPUTED_VALUE"""),1254.0)</f>
        <v>1254</v>
      </c>
      <c r="AB773" s="119"/>
      <c r="AC773" s="119"/>
      <c r="AD773" s="119"/>
      <c r="AE773" s="119"/>
      <c r="AF773" s="119"/>
      <c r="AG773" s="119"/>
      <c r="AH773" s="16"/>
      <c r="AI773" s="439"/>
      <c r="AJ773" s="439"/>
      <c r="AK773" s="439"/>
    </row>
    <row r="774" ht="18.75" customHeight="1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264"/>
      <c r="U774" s="439"/>
      <c r="V774" s="16"/>
      <c r="W774" s="119"/>
      <c r="X774" s="119"/>
      <c r="Y774" s="119"/>
      <c r="Z774" s="119"/>
      <c r="AA774" s="530">
        <f>IFERROR(__xludf.DUMMYFUNCTION("""COMPUTED_VALUE"""),1255.0)</f>
        <v>1255</v>
      </c>
      <c r="AB774" s="119"/>
      <c r="AC774" s="119"/>
      <c r="AD774" s="119"/>
      <c r="AE774" s="119"/>
      <c r="AF774" s="119"/>
      <c r="AG774" s="119"/>
      <c r="AH774" s="16"/>
      <c r="AI774" s="439"/>
      <c r="AJ774" s="439"/>
      <c r="AK774" s="439"/>
    </row>
    <row r="775" ht="18.75" customHeight="1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264"/>
      <c r="U775" s="439"/>
      <c r="V775" s="16"/>
      <c r="W775" s="119"/>
      <c r="X775" s="119"/>
      <c r="Y775" s="119"/>
      <c r="Z775" s="119"/>
      <c r="AA775" s="530">
        <f>IFERROR(__xludf.DUMMYFUNCTION("""COMPUTED_VALUE"""),1256.0)</f>
        <v>1256</v>
      </c>
      <c r="AB775" s="119"/>
      <c r="AC775" s="119"/>
      <c r="AD775" s="119"/>
      <c r="AE775" s="119"/>
      <c r="AF775" s="119"/>
      <c r="AG775" s="119"/>
      <c r="AH775" s="16"/>
      <c r="AI775" s="439"/>
      <c r="AJ775" s="439"/>
      <c r="AK775" s="439"/>
    </row>
    <row r="776" ht="18.75" customHeight="1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264"/>
      <c r="U776" s="439"/>
      <c r="V776" s="16"/>
      <c r="W776" s="119"/>
      <c r="X776" s="119"/>
      <c r="Y776" s="119"/>
      <c r="Z776" s="119"/>
      <c r="AA776" s="530">
        <f>IFERROR(__xludf.DUMMYFUNCTION("""COMPUTED_VALUE"""),1257.0)</f>
        <v>1257</v>
      </c>
      <c r="AB776" s="119"/>
      <c r="AC776" s="119"/>
      <c r="AD776" s="119"/>
      <c r="AE776" s="119"/>
      <c r="AF776" s="119"/>
      <c r="AG776" s="119"/>
      <c r="AH776" s="16"/>
      <c r="AI776" s="439"/>
      <c r="AJ776" s="439"/>
      <c r="AK776" s="439"/>
    </row>
    <row r="777" ht="18.75" customHeight="1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264"/>
      <c r="U777" s="439"/>
      <c r="V777" s="16"/>
      <c r="W777" s="119"/>
      <c r="X777" s="119"/>
      <c r="Y777" s="119"/>
      <c r="Z777" s="119"/>
      <c r="AA777" s="530">
        <f>IFERROR(__xludf.DUMMYFUNCTION("""COMPUTED_VALUE"""),1258.0)</f>
        <v>1258</v>
      </c>
      <c r="AB777" s="119"/>
      <c r="AC777" s="119"/>
      <c r="AD777" s="119"/>
      <c r="AE777" s="119"/>
      <c r="AF777" s="119"/>
      <c r="AG777" s="119"/>
      <c r="AH777" s="16"/>
      <c r="AI777" s="439"/>
      <c r="AJ777" s="439"/>
      <c r="AK777" s="439"/>
    </row>
    <row r="778" ht="18.75" customHeight="1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264"/>
      <c r="U778" s="439"/>
      <c r="V778" s="16"/>
      <c r="W778" s="119"/>
      <c r="X778" s="119"/>
      <c r="Y778" s="119"/>
      <c r="Z778" s="119"/>
      <c r="AA778" s="530">
        <f>IFERROR(__xludf.DUMMYFUNCTION("""COMPUTED_VALUE"""),1259.0)</f>
        <v>1259</v>
      </c>
      <c r="AB778" s="119"/>
      <c r="AC778" s="119"/>
      <c r="AD778" s="119"/>
      <c r="AE778" s="119"/>
      <c r="AF778" s="119"/>
      <c r="AG778" s="119"/>
      <c r="AH778" s="16"/>
      <c r="AI778" s="439"/>
      <c r="AJ778" s="439"/>
      <c r="AK778" s="439"/>
    </row>
    <row r="779" ht="18.75" customHeight="1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264"/>
      <c r="U779" s="439"/>
      <c r="V779" s="16"/>
      <c r="W779" s="119"/>
      <c r="X779" s="119"/>
      <c r="Y779" s="119"/>
      <c r="Z779" s="119"/>
      <c r="AA779" s="530">
        <f>IFERROR(__xludf.DUMMYFUNCTION("""COMPUTED_VALUE"""),1260.0)</f>
        <v>1260</v>
      </c>
      <c r="AB779" s="119"/>
      <c r="AC779" s="119"/>
      <c r="AD779" s="119"/>
      <c r="AE779" s="119"/>
      <c r="AF779" s="119"/>
      <c r="AG779" s="119"/>
      <c r="AH779" s="16"/>
      <c r="AI779" s="439"/>
      <c r="AJ779" s="439"/>
      <c r="AK779" s="439"/>
    </row>
    <row r="780" ht="18.75" customHeight="1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264"/>
      <c r="U780" s="439"/>
      <c r="V780" s="16"/>
      <c r="W780" s="119"/>
      <c r="X780" s="119"/>
      <c r="Y780" s="119"/>
      <c r="Z780" s="119"/>
      <c r="AA780" s="530">
        <f>IFERROR(__xludf.DUMMYFUNCTION("""COMPUTED_VALUE"""),1261.0)</f>
        <v>1261</v>
      </c>
      <c r="AB780" s="119"/>
      <c r="AC780" s="119"/>
      <c r="AD780" s="119"/>
      <c r="AE780" s="119"/>
      <c r="AF780" s="119"/>
      <c r="AG780" s="119"/>
      <c r="AH780" s="16"/>
      <c r="AI780" s="439"/>
      <c r="AJ780" s="439"/>
      <c r="AK780" s="439"/>
    </row>
    <row r="781" ht="18.75" customHeight="1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264"/>
      <c r="U781" s="439"/>
      <c r="V781" s="16"/>
      <c r="W781" s="119"/>
      <c r="X781" s="119"/>
      <c r="Y781" s="119"/>
      <c r="Z781" s="119"/>
      <c r="AA781" s="530">
        <f>IFERROR(__xludf.DUMMYFUNCTION("""COMPUTED_VALUE"""),1262.0)</f>
        <v>1262</v>
      </c>
      <c r="AB781" s="119"/>
      <c r="AC781" s="119"/>
      <c r="AD781" s="119"/>
      <c r="AE781" s="119"/>
      <c r="AF781" s="119"/>
      <c r="AG781" s="119"/>
      <c r="AH781" s="16"/>
      <c r="AI781" s="439"/>
      <c r="AJ781" s="439"/>
      <c r="AK781" s="439"/>
    </row>
    <row r="782" ht="18.75" customHeight="1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264"/>
      <c r="U782" s="439"/>
      <c r="V782" s="16"/>
      <c r="W782" s="119"/>
      <c r="X782" s="119"/>
      <c r="Y782" s="119"/>
      <c r="Z782" s="119"/>
      <c r="AA782" s="530">
        <f>IFERROR(__xludf.DUMMYFUNCTION("""COMPUTED_VALUE"""),1263.0)</f>
        <v>1263</v>
      </c>
      <c r="AB782" s="119"/>
      <c r="AC782" s="119"/>
      <c r="AD782" s="119"/>
      <c r="AE782" s="119"/>
      <c r="AF782" s="119"/>
      <c r="AG782" s="119"/>
      <c r="AH782" s="16"/>
      <c r="AI782" s="439"/>
      <c r="AJ782" s="439"/>
      <c r="AK782" s="439"/>
    </row>
    <row r="783" ht="18.75" customHeight="1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264"/>
      <c r="U783" s="439"/>
      <c r="V783" s="16"/>
      <c r="W783" s="119"/>
      <c r="X783" s="119"/>
      <c r="Y783" s="119"/>
      <c r="Z783" s="119"/>
      <c r="AA783" s="530">
        <f>IFERROR(__xludf.DUMMYFUNCTION("""COMPUTED_VALUE"""),1264.0)</f>
        <v>1264</v>
      </c>
      <c r="AB783" s="119"/>
      <c r="AC783" s="119"/>
      <c r="AD783" s="119"/>
      <c r="AE783" s="119"/>
      <c r="AF783" s="119"/>
      <c r="AG783" s="119"/>
      <c r="AH783" s="16"/>
      <c r="AI783" s="439"/>
      <c r="AJ783" s="439"/>
      <c r="AK783" s="439"/>
    </row>
    <row r="784" ht="18.75" customHeight="1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264"/>
      <c r="U784" s="439"/>
      <c r="V784" s="16"/>
      <c r="W784" s="119"/>
      <c r="X784" s="119"/>
      <c r="Y784" s="119"/>
      <c r="Z784" s="119"/>
      <c r="AA784" s="530">
        <f>IFERROR(__xludf.DUMMYFUNCTION("""COMPUTED_VALUE"""),1265.0)</f>
        <v>1265</v>
      </c>
      <c r="AB784" s="119"/>
      <c r="AC784" s="119"/>
      <c r="AD784" s="119"/>
      <c r="AE784" s="119"/>
      <c r="AF784" s="119"/>
      <c r="AG784" s="119"/>
      <c r="AH784" s="16"/>
      <c r="AI784" s="439"/>
      <c r="AJ784" s="439"/>
      <c r="AK784" s="439"/>
    </row>
    <row r="785" ht="18.75" customHeight="1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264"/>
      <c r="U785" s="439"/>
      <c r="V785" s="16"/>
      <c r="W785" s="119"/>
      <c r="X785" s="119"/>
      <c r="Y785" s="119"/>
      <c r="Z785" s="119"/>
      <c r="AA785" s="530">
        <f>IFERROR(__xludf.DUMMYFUNCTION("""COMPUTED_VALUE"""),1266.0)</f>
        <v>1266</v>
      </c>
      <c r="AB785" s="119"/>
      <c r="AC785" s="119"/>
      <c r="AD785" s="119"/>
      <c r="AE785" s="119"/>
      <c r="AF785" s="119"/>
      <c r="AG785" s="119"/>
      <c r="AH785" s="16"/>
      <c r="AI785" s="439"/>
      <c r="AJ785" s="439"/>
      <c r="AK785" s="439"/>
    </row>
    <row r="786" ht="18.75" customHeight="1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264"/>
      <c r="U786" s="439"/>
      <c r="V786" s="16"/>
      <c r="W786" s="119"/>
      <c r="X786" s="119"/>
      <c r="Y786" s="119"/>
      <c r="Z786" s="119"/>
      <c r="AA786" s="530">
        <f>IFERROR(__xludf.DUMMYFUNCTION("""COMPUTED_VALUE"""),1267.0)</f>
        <v>1267</v>
      </c>
      <c r="AB786" s="119"/>
      <c r="AC786" s="119"/>
      <c r="AD786" s="119"/>
      <c r="AE786" s="119"/>
      <c r="AF786" s="119"/>
      <c r="AG786" s="119"/>
      <c r="AH786" s="16"/>
      <c r="AI786" s="439"/>
      <c r="AJ786" s="439"/>
      <c r="AK786" s="439"/>
    </row>
    <row r="787" ht="18.75" customHeight="1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264"/>
      <c r="U787" s="439"/>
      <c r="V787" s="16"/>
      <c r="W787" s="119"/>
      <c r="X787" s="119"/>
      <c r="Y787" s="119"/>
      <c r="Z787" s="119"/>
      <c r="AA787" s="530">
        <f>IFERROR(__xludf.DUMMYFUNCTION("""COMPUTED_VALUE"""),1268.0)</f>
        <v>1268</v>
      </c>
      <c r="AB787" s="119"/>
      <c r="AC787" s="119"/>
      <c r="AD787" s="119"/>
      <c r="AE787" s="119"/>
      <c r="AF787" s="119"/>
      <c r="AG787" s="119"/>
      <c r="AH787" s="16"/>
      <c r="AI787" s="439"/>
      <c r="AJ787" s="439"/>
      <c r="AK787" s="439"/>
    </row>
    <row r="788" ht="18.75" customHeight="1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264"/>
      <c r="U788" s="439"/>
      <c r="V788" s="16"/>
      <c r="W788" s="119"/>
      <c r="X788" s="119"/>
      <c r="Y788" s="119"/>
      <c r="Z788" s="119"/>
      <c r="AA788" s="530">
        <f>IFERROR(__xludf.DUMMYFUNCTION("""COMPUTED_VALUE"""),1269.0)</f>
        <v>1269</v>
      </c>
      <c r="AB788" s="119"/>
      <c r="AC788" s="119"/>
      <c r="AD788" s="119"/>
      <c r="AE788" s="119"/>
      <c r="AF788" s="119"/>
      <c r="AG788" s="119"/>
      <c r="AH788" s="16"/>
      <c r="AI788" s="439"/>
      <c r="AJ788" s="439"/>
      <c r="AK788" s="439"/>
    </row>
    <row r="789" ht="18.75" customHeight="1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264"/>
      <c r="U789" s="439"/>
      <c r="V789" s="16"/>
      <c r="W789" s="119"/>
      <c r="X789" s="119"/>
      <c r="Y789" s="119"/>
      <c r="Z789" s="119"/>
      <c r="AA789" s="530">
        <f>IFERROR(__xludf.DUMMYFUNCTION("""COMPUTED_VALUE"""),1270.0)</f>
        <v>1270</v>
      </c>
      <c r="AB789" s="119"/>
      <c r="AC789" s="119"/>
      <c r="AD789" s="119"/>
      <c r="AE789" s="119"/>
      <c r="AF789" s="119"/>
      <c r="AG789" s="119"/>
      <c r="AH789" s="16"/>
      <c r="AI789" s="439"/>
      <c r="AJ789" s="439"/>
      <c r="AK789" s="439"/>
    </row>
    <row r="790" ht="18.75" customHeight="1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264"/>
      <c r="U790" s="439"/>
      <c r="V790" s="16"/>
      <c r="W790" s="119"/>
      <c r="X790" s="119"/>
      <c r="Y790" s="119"/>
      <c r="Z790" s="119"/>
      <c r="AA790" s="530">
        <f>IFERROR(__xludf.DUMMYFUNCTION("""COMPUTED_VALUE"""),1271.0)</f>
        <v>1271</v>
      </c>
      <c r="AB790" s="119"/>
      <c r="AC790" s="119"/>
      <c r="AD790" s="119"/>
      <c r="AE790" s="119"/>
      <c r="AF790" s="119"/>
      <c r="AG790" s="119"/>
      <c r="AH790" s="16"/>
      <c r="AI790" s="439"/>
      <c r="AJ790" s="439"/>
      <c r="AK790" s="439"/>
    </row>
    <row r="791" ht="18.75" customHeight="1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264"/>
      <c r="U791" s="439"/>
      <c r="V791" s="16"/>
      <c r="W791" s="119"/>
      <c r="X791" s="119"/>
      <c r="Y791" s="119"/>
      <c r="Z791" s="119"/>
      <c r="AA791" s="530">
        <f>IFERROR(__xludf.DUMMYFUNCTION("""COMPUTED_VALUE"""),1272.0)</f>
        <v>1272</v>
      </c>
      <c r="AB791" s="119"/>
      <c r="AC791" s="119"/>
      <c r="AD791" s="119"/>
      <c r="AE791" s="119"/>
      <c r="AF791" s="119"/>
      <c r="AG791" s="119"/>
      <c r="AH791" s="16"/>
      <c r="AI791" s="439"/>
      <c r="AJ791" s="439"/>
      <c r="AK791" s="439"/>
    </row>
    <row r="792" ht="18.75" customHeight="1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264"/>
      <c r="U792" s="439"/>
      <c r="V792" s="16"/>
      <c r="W792" s="119"/>
      <c r="X792" s="119"/>
      <c r="Y792" s="119"/>
      <c r="Z792" s="119"/>
      <c r="AA792" s="530">
        <f>IFERROR(__xludf.DUMMYFUNCTION("""COMPUTED_VALUE"""),1273.0)</f>
        <v>1273</v>
      </c>
      <c r="AB792" s="119"/>
      <c r="AC792" s="119"/>
      <c r="AD792" s="119"/>
      <c r="AE792" s="119"/>
      <c r="AF792" s="119"/>
      <c r="AG792" s="119"/>
      <c r="AH792" s="16"/>
      <c r="AI792" s="439"/>
      <c r="AJ792" s="439"/>
      <c r="AK792" s="439"/>
    </row>
    <row r="793" ht="18.75" customHeight="1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264"/>
      <c r="U793" s="439"/>
      <c r="V793" s="16"/>
      <c r="W793" s="119"/>
      <c r="X793" s="119"/>
      <c r="Y793" s="119"/>
      <c r="Z793" s="119"/>
      <c r="AA793" s="530">
        <f>IFERROR(__xludf.DUMMYFUNCTION("""COMPUTED_VALUE"""),1274.0)</f>
        <v>1274</v>
      </c>
      <c r="AB793" s="119"/>
      <c r="AC793" s="119"/>
      <c r="AD793" s="119"/>
      <c r="AE793" s="119"/>
      <c r="AF793" s="119"/>
      <c r="AG793" s="119"/>
      <c r="AH793" s="16"/>
      <c r="AI793" s="439"/>
      <c r="AJ793" s="439"/>
      <c r="AK793" s="439"/>
    </row>
    <row r="794" ht="18.75" customHeight="1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264"/>
      <c r="U794" s="439"/>
      <c r="V794" s="16"/>
      <c r="W794" s="119"/>
      <c r="X794" s="119"/>
      <c r="Y794" s="119"/>
      <c r="Z794" s="119"/>
      <c r="AA794" s="530">
        <f>IFERROR(__xludf.DUMMYFUNCTION("""COMPUTED_VALUE"""),1275.0)</f>
        <v>1275</v>
      </c>
      <c r="AB794" s="119"/>
      <c r="AC794" s="119"/>
      <c r="AD794" s="119"/>
      <c r="AE794" s="119"/>
      <c r="AF794" s="119"/>
      <c r="AG794" s="119"/>
      <c r="AH794" s="16"/>
      <c r="AI794" s="439"/>
      <c r="AJ794" s="439"/>
      <c r="AK794" s="439"/>
    </row>
    <row r="795" ht="18.75" customHeight="1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264"/>
      <c r="U795" s="439"/>
      <c r="V795" s="16"/>
      <c r="W795" s="119"/>
      <c r="X795" s="119"/>
      <c r="Y795" s="119"/>
      <c r="Z795" s="119"/>
      <c r="AA795" s="530">
        <f>IFERROR(__xludf.DUMMYFUNCTION("""COMPUTED_VALUE"""),1276.0)</f>
        <v>1276</v>
      </c>
      <c r="AB795" s="119"/>
      <c r="AC795" s="119"/>
      <c r="AD795" s="119"/>
      <c r="AE795" s="119"/>
      <c r="AF795" s="119"/>
      <c r="AG795" s="119"/>
      <c r="AH795" s="16"/>
      <c r="AI795" s="439"/>
      <c r="AJ795" s="439"/>
      <c r="AK795" s="439"/>
    </row>
    <row r="796" ht="18.75" customHeight="1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264"/>
      <c r="U796" s="439"/>
      <c r="V796" s="16"/>
      <c r="W796" s="119"/>
      <c r="X796" s="119"/>
      <c r="Y796" s="119"/>
      <c r="Z796" s="119"/>
      <c r="AA796" s="530">
        <f>IFERROR(__xludf.DUMMYFUNCTION("""COMPUTED_VALUE"""),1277.0)</f>
        <v>1277</v>
      </c>
      <c r="AB796" s="119"/>
      <c r="AC796" s="119"/>
      <c r="AD796" s="119"/>
      <c r="AE796" s="119"/>
      <c r="AF796" s="119"/>
      <c r="AG796" s="119"/>
      <c r="AH796" s="16"/>
      <c r="AI796" s="439"/>
      <c r="AJ796" s="439"/>
      <c r="AK796" s="439"/>
    </row>
    <row r="797" ht="18.75" customHeight="1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264"/>
      <c r="U797" s="439"/>
      <c r="V797" s="16"/>
      <c r="W797" s="119"/>
      <c r="X797" s="119"/>
      <c r="Y797" s="119"/>
      <c r="Z797" s="119"/>
      <c r="AA797" s="530">
        <f>IFERROR(__xludf.DUMMYFUNCTION("""COMPUTED_VALUE"""),1278.0)</f>
        <v>1278</v>
      </c>
      <c r="AB797" s="119"/>
      <c r="AC797" s="119"/>
      <c r="AD797" s="119"/>
      <c r="AE797" s="119"/>
      <c r="AF797" s="119"/>
      <c r="AG797" s="119"/>
      <c r="AH797" s="16"/>
      <c r="AI797" s="439"/>
      <c r="AJ797" s="439"/>
      <c r="AK797" s="439"/>
    </row>
    <row r="798" ht="18.75" customHeight="1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264"/>
      <c r="U798" s="439"/>
      <c r="V798" s="16"/>
      <c r="W798" s="119"/>
      <c r="X798" s="119"/>
      <c r="Y798" s="119"/>
      <c r="Z798" s="119"/>
      <c r="AA798" s="530">
        <f>IFERROR(__xludf.DUMMYFUNCTION("""COMPUTED_VALUE"""),1279.0)</f>
        <v>1279</v>
      </c>
      <c r="AB798" s="119"/>
      <c r="AC798" s="119"/>
      <c r="AD798" s="119"/>
      <c r="AE798" s="119"/>
      <c r="AF798" s="119"/>
      <c r="AG798" s="119"/>
      <c r="AH798" s="16"/>
      <c r="AI798" s="439"/>
      <c r="AJ798" s="439"/>
      <c r="AK798" s="439"/>
    </row>
    <row r="799" ht="18.75" customHeight="1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264"/>
      <c r="U799" s="439"/>
      <c r="V799" s="16"/>
      <c r="W799" s="119"/>
      <c r="X799" s="119"/>
      <c r="Y799" s="119"/>
      <c r="Z799" s="119"/>
      <c r="AA799" s="530">
        <f>IFERROR(__xludf.DUMMYFUNCTION("""COMPUTED_VALUE"""),1280.0)</f>
        <v>1280</v>
      </c>
      <c r="AB799" s="119"/>
      <c r="AC799" s="119"/>
      <c r="AD799" s="119"/>
      <c r="AE799" s="119"/>
      <c r="AF799" s="119"/>
      <c r="AG799" s="119"/>
      <c r="AH799" s="16"/>
      <c r="AI799" s="439"/>
      <c r="AJ799" s="439"/>
      <c r="AK799" s="439"/>
    </row>
    <row r="800" ht="18.75" customHeight="1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264"/>
      <c r="U800" s="439"/>
      <c r="V800" s="16"/>
      <c r="W800" s="119"/>
      <c r="X800" s="119"/>
      <c r="Y800" s="119"/>
      <c r="Z800" s="119"/>
      <c r="AA800" s="530">
        <f>IFERROR(__xludf.DUMMYFUNCTION("""COMPUTED_VALUE"""),1281.0)</f>
        <v>1281</v>
      </c>
      <c r="AB800" s="119"/>
      <c r="AC800" s="119"/>
      <c r="AD800" s="119"/>
      <c r="AE800" s="119"/>
      <c r="AF800" s="119"/>
      <c r="AG800" s="119"/>
      <c r="AH800" s="16"/>
      <c r="AI800" s="439"/>
      <c r="AJ800" s="439"/>
      <c r="AK800" s="439"/>
    </row>
    <row r="801" ht="18.75" customHeight="1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264"/>
      <c r="U801" s="439"/>
      <c r="V801" s="16"/>
      <c r="W801" s="119"/>
      <c r="X801" s="119"/>
      <c r="Y801" s="119"/>
      <c r="Z801" s="119"/>
      <c r="AA801" s="530">
        <f>IFERROR(__xludf.DUMMYFUNCTION("""COMPUTED_VALUE"""),1282.0)</f>
        <v>1282</v>
      </c>
      <c r="AB801" s="119"/>
      <c r="AC801" s="119"/>
      <c r="AD801" s="119"/>
      <c r="AE801" s="119"/>
      <c r="AF801" s="119"/>
      <c r="AG801" s="119"/>
      <c r="AH801" s="16"/>
      <c r="AI801" s="439"/>
      <c r="AJ801" s="439"/>
      <c r="AK801" s="439"/>
    </row>
    <row r="802" ht="18.75" customHeight="1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264"/>
      <c r="U802" s="439"/>
      <c r="V802" s="16"/>
      <c r="W802" s="119"/>
      <c r="X802" s="119"/>
      <c r="Y802" s="119"/>
      <c r="Z802" s="119"/>
      <c r="AA802" s="530">
        <f>IFERROR(__xludf.DUMMYFUNCTION("""COMPUTED_VALUE"""),1283.0)</f>
        <v>1283</v>
      </c>
      <c r="AB802" s="119"/>
      <c r="AC802" s="119"/>
      <c r="AD802" s="119"/>
      <c r="AE802" s="119"/>
      <c r="AF802" s="119"/>
      <c r="AG802" s="119"/>
      <c r="AH802" s="16"/>
      <c r="AI802" s="439"/>
      <c r="AJ802" s="439"/>
      <c r="AK802" s="439"/>
    </row>
    <row r="803" ht="18.75" customHeight="1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264"/>
      <c r="U803" s="439"/>
      <c r="V803" s="16"/>
      <c r="W803" s="119"/>
      <c r="X803" s="119"/>
      <c r="Y803" s="119"/>
      <c r="Z803" s="119"/>
      <c r="AA803" s="530">
        <f>IFERROR(__xludf.DUMMYFUNCTION("""COMPUTED_VALUE"""),1284.0)</f>
        <v>1284</v>
      </c>
      <c r="AB803" s="119"/>
      <c r="AC803" s="119"/>
      <c r="AD803" s="119"/>
      <c r="AE803" s="119"/>
      <c r="AF803" s="119"/>
      <c r="AG803" s="119"/>
      <c r="AH803" s="16"/>
      <c r="AI803" s="439"/>
      <c r="AJ803" s="439"/>
      <c r="AK803" s="439"/>
    </row>
    <row r="804" ht="18.75" customHeight="1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264"/>
      <c r="U804" s="439"/>
      <c r="V804" s="16"/>
      <c r="W804" s="119"/>
      <c r="X804" s="119"/>
      <c r="Y804" s="119"/>
      <c r="Z804" s="119"/>
      <c r="AA804" s="530">
        <f>IFERROR(__xludf.DUMMYFUNCTION("""COMPUTED_VALUE"""),1285.0)</f>
        <v>1285</v>
      </c>
      <c r="AB804" s="119"/>
      <c r="AC804" s="119"/>
      <c r="AD804" s="119"/>
      <c r="AE804" s="119"/>
      <c r="AF804" s="119"/>
      <c r="AG804" s="119"/>
      <c r="AH804" s="16"/>
      <c r="AI804" s="439"/>
      <c r="AJ804" s="439"/>
      <c r="AK804" s="439"/>
    </row>
    <row r="805" ht="18.75" customHeight="1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264"/>
      <c r="U805" s="439"/>
      <c r="V805" s="16"/>
      <c r="W805" s="119"/>
      <c r="X805" s="119"/>
      <c r="Y805" s="119"/>
      <c r="Z805" s="119"/>
      <c r="AA805" s="530">
        <f>IFERROR(__xludf.DUMMYFUNCTION("""COMPUTED_VALUE"""),1286.0)</f>
        <v>1286</v>
      </c>
      <c r="AB805" s="119"/>
      <c r="AC805" s="119"/>
      <c r="AD805" s="119"/>
      <c r="AE805" s="119"/>
      <c r="AF805" s="119"/>
      <c r="AG805" s="119"/>
      <c r="AH805" s="16"/>
      <c r="AI805" s="439"/>
      <c r="AJ805" s="439"/>
      <c r="AK805" s="439"/>
    </row>
    <row r="806" ht="18.75" customHeight="1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264"/>
      <c r="U806" s="439"/>
      <c r="V806" s="16"/>
      <c r="W806" s="119"/>
      <c r="X806" s="119"/>
      <c r="Y806" s="119"/>
      <c r="Z806" s="119"/>
      <c r="AA806" s="530">
        <f>IFERROR(__xludf.DUMMYFUNCTION("""COMPUTED_VALUE"""),1287.0)</f>
        <v>1287</v>
      </c>
      <c r="AB806" s="119"/>
      <c r="AC806" s="119"/>
      <c r="AD806" s="119"/>
      <c r="AE806" s="119"/>
      <c r="AF806" s="119"/>
      <c r="AG806" s="119"/>
      <c r="AH806" s="16"/>
      <c r="AI806" s="439"/>
      <c r="AJ806" s="439"/>
      <c r="AK806" s="439"/>
    </row>
    <row r="807" ht="18.75" customHeight="1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264"/>
      <c r="U807" s="439"/>
      <c r="V807" s="16"/>
      <c r="W807" s="119"/>
      <c r="X807" s="119"/>
      <c r="Y807" s="119"/>
      <c r="Z807" s="119"/>
      <c r="AA807" s="530">
        <f>IFERROR(__xludf.DUMMYFUNCTION("""COMPUTED_VALUE"""),1288.0)</f>
        <v>1288</v>
      </c>
      <c r="AB807" s="119"/>
      <c r="AC807" s="119"/>
      <c r="AD807" s="119"/>
      <c r="AE807" s="119"/>
      <c r="AF807" s="119"/>
      <c r="AG807" s="119"/>
      <c r="AH807" s="16"/>
      <c r="AI807" s="439"/>
      <c r="AJ807" s="439"/>
      <c r="AK807" s="439"/>
    </row>
    <row r="808" ht="18.75" customHeight="1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264"/>
      <c r="U808" s="439"/>
      <c r="V808" s="16"/>
      <c r="W808" s="119"/>
      <c r="X808" s="119"/>
      <c r="Y808" s="119"/>
      <c r="Z808" s="119"/>
      <c r="AA808" s="530">
        <f>IFERROR(__xludf.DUMMYFUNCTION("""COMPUTED_VALUE"""),1289.0)</f>
        <v>1289</v>
      </c>
      <c r="AB808" s="119"/>
      <c r="AC808" s="119"/>
      <c r="AD808" s="119"/>
      <c r="AE808" s="119"/>
      <c r="AF808" s="119"/>
      <c r="AG808" s="119"/>
      <c r="AH808" s="16"/>
      <c r="AI808" s="439"/>
      <c r="AJ808" s="439"/>
      <c r="AK808" s="439"/>
    </row>
    <row r="809" ht="18.75" customHeight="1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264"/>
      <c r="U809" s="439"/>
      <c r="V809" s="16"/>
      <c r="W809" s="119"/>
      <c r="X809" s="119"/>
      <c r="Y809" s="119"/>
      <c r="Z809" s="119"/>
      <c r="AA809" s="530">
        <f>IFERROR(__xludf.DUMMYFUNCTION("""COMPUTED_VALUE"""),1290.0)</f>
        <v>1290</v>
      </c>
      <c r="AB809" s="119"/>
      <c r="AC809" s="119"/>
      <c r="AD809" s="119"/>
      <c r="AE809" s="119"/>
      <c r="AF809" s="119"/>
      <c r="AG809" s="119"/>
      <c r="AH809" s="16"/>
      <c r="AI809" s="439"/>
      <c r="AJ809" s="439"/>
      <c r="AK809" s="439"/>
    </row>
    <row r="810" ht="18.75" customHeight="1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264"/>
      <c r="U810" s="439"/>
      <c r="V810" s="16"/>
      <c r="W810" s="119"/>
      <c r="X810" s="119"/>
      <c r="Y810" s="119"/>
      <c r="Z810" s="119"/>
      <c r="AA810" s="530">
        <f>IFERROR(__xludf.DUMMYFUNCTION("""COMPUTED_VALUE"""),1291.0)</f>
        <v>1291</v>
      </c>
      <c r="AB810" s="119"/>
      <c r="AC810" s="119"/>
      <c r="AD810" s="119"/>
      <c r="AE810" s="119"/>
      <c r="AF810" s="119"/>
      <c r="AG810" s="119"/>
      <c r="AH810" s="16"/>
      <c r="AI810" s="439"/>
      <c r="AJ810" s="439"/>
      <c r="AK810" s="439"/>
    </row>
    <row r="811" ht="18.75" customHeight="1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264"/>
      <c r="U811" s="439"/>
      <c r="V811" s="16"/>
      <c r="W811" s="119"/>
      <c r="X811" s="119"/>
      <c r="Y811" s="119"/>
      <c r="Z811" s="119"/>
      <c r="AA811" s="530">
        <f>IFERROR(__xludf.DUMMYFUNCTION("""COMPUTED_VALUE"""),1292.0)</f>
        <v>1292</v>
      </c>
      <c r="AB811" s="119"/>
      <c r="AC811" s="119"/>
      <c r="AD811" s="119"/>
      <c r="AE811" s="119"/>
      <c r="AF811" s="119"/>
      <c r="AG811" s="119"/>
      <c r="AH811" s="16"/>
      <c r="AI811" s="439"/>
      <c r="AJ811" s="439"/>
      <c r="AK811" s="439"/>
    </row>
    <row r="812" ht="18.75" customHeight="1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264"/>
      <c r="U812" s="439"/>
      <c r="V812" s="16"/>
      <c r="W812" s="119"/>
      <c r="X812" s="119"/>
      <c r="Y812" s="119"/>
      <c r="Z812" s="119"/>
      <c r="AA812" s="530">
        <f>IFERROR(__xludf.DUMMYFUNCTION("""COMPUTED_VALUE"""),1293.0)</f>
        <v>1293</v>
      </c>
      <c r="AB812" s="119"/>
      <c r="AC812" s="119"/>
      <c r="AD812" s="119"/>
      <c r="AE812" s="119"/>
      <c r="AF812" s="119"/>
      <c r="AG812" s="119"/>
      <c r="AH812" s="16"/>
      <c r="AI812" s="439"/>
      <c r="AJ812" s="439"/>
      <c r="AK812" s="439"/>
    </row>
    <row r="813" ht="18.75" customHeight="1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264"/>
      <c r="U813" s="439"/>
      <c r="V813" s="16"/>
      <c r="W813" s="119"/>
      <c r="X813" s="119"/>
      <c r="Y813" s="119"/>
      <c r="Z813" s="119"/>
      <c r="AA813" s="530">
        <f>IFERROR(__xludf.DUMMYFUNCTION("""COMPUTED_VALUE"""),1294.0)</f>
        <v>1294</v>
      </c>
      <c r="AB813" s="119"/>
      <c r="AC813" s="119"/>
      <c r="AD813" s="119"/>
      <c r="AE813" s="119"/>
      <c r="AF813" s="119"/>
      <c r="AG813" s="119"/>
      <c r="AH813" s="16"/>
      <c r="AI813" s="439"/>
      <c r="AJ813" s="439"/>
      <c r="AK813" s="439"/>
    </row>
    <row r="814" ht="18.75" customHeight="1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264"/>
      <c r="U814" s="439"/>
      <c r="V814" s="16"/>
      <c r="W814" s="119"/>
      <c r="X814" s="119"/>
      <c r="Y814" s="119"/>
      <c r="Z814" s="119"/>
      <c r="AA814" s="530">
        <f>IFERROR(__xludf.DUMMYFUNCTION("""COMPUTED_VALUE"""),1295.0)</f>
        <v>1295</v>
      </c>
      <c r="AB814" s="119"/>
      <c r="AC814" s="119"/>
      <c r="AD814" s="119"/>
      <c r="AE814" s="119"/>
      <c r="AF814" s="119"/>
      <c r="AG814" s="119"/>
      <c r="AH814" s="16"/>
      <c r="AI814" s="439"/>
      <c r="AJ814" s="439"/>
      <c r="AK814" s="439"/>
    </row>
    <row r="815" ht="18.75" customHeight="1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264"/>
      <c r="U815" s="439"/>
      <c r="V815" s="16"/>
      <c r="W815" s="119"/>
      <c r="X815" s="119"/>
      <c r="Y815" s="119"/>
      <c r="Z815" s="119"/>
      <c r="AA815" s="530">
        <f>IFERROR(__xludf.DUMMYFUNCTION("""COMPUTED_VALUE"""),1296.0)</f>
        <v>1296</v>
      </c>
      <c r="AB815" s="119"/>
      <c r="AC815" s="119"/>
      <c r="AD815" s="119"/>
      <c r="AE815" s="119"/>
      <c r="AF815" s="119"/>
      <c r="AG815" s="119"/>
      <c r="AH815" s="16"/>
      <c r="AI815" s="439"/>
      <c r="AJ815" s="439"/>
      <c r="AK815" s="439"/>
    </row>
    <row r="816" ht="18.75" customHeight="1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264"/>
      <c r="U816" s="439"/>
      <c r="V816" s="16"/>
      <c r="W816" s="119"/>
      <c r="X816" s="119"/>
      <c r="Y816" s="119"/>
      <c r="Z816" s="119"/>
      <c r="AA816" s="530">
        <f>IFERROR(__xludf.DUMMYFUNCTION("""COMPUTED_VALUE"""),1297.0)</f>
        <v>1297</v>
      </c>
      <c r="AB816" s="119"/>
      <c r="AC816" s="119"/>
      <c r="AD816" s="119"/>
      <c r="AE816" s="119"/>
      <c r="AF816" s="119"/>
      <c r="AG816" s="119"/>
      <c r="AH816" s="16"/>
      <c r="AI816" s="439"/>
      <c r="AJ816" s="439"/>
      <c r="AK816" s="439"/>
    </row>
    <row r="817" ht="18.75" customHeight="1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264"/>
      <c r="U817" s="439"/>
      <c r="V817" s="16"/>
      <c r="W817" s="119"/>
      <c r="X817" s="119"/>
      <c r="Y817" s="119"/>
      <c r="Z817" s="119"/>
      <c r="AA817" s="530">
        <f>IFERROR(__xludf.DUMMYFUNCTION("""COMPUTED_VALUE"""),1298.0)</f>
        <v>1298</v>
      </c>
      <c r="AB817" s="119"/>
      <c r="AC817" s="119"/>
      <c r="AD817" s="119"/>
      <c r="AE817" s="119"/>
      <c r="AF817" s="119"/>
      <c r="AG817" s="119"/>
      <c r="AH817" s="16"/>
      <c r="AI817" s="439"/>
      <c r="AJ817" s="439"/>
      <c r="AK817" s="439"/>
    </row>
    <row r="818" ht="18.75" customHeight="1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264"/>
      <c r="U818" s="439"/>
      <c r="V818" s="16"/>
      <c r="W818" s="119"/>
      <c r="X818" s="119"/>
      <c r="Y818" s="119"/>
      <c r="Z818" s="119"/>
      <c r="AA818" s="530">
        <f>IFERROR(__xludf.DUMMYFUNCTION("""COMPUTED_VALUE"""),1299.0)</f>
        <v>1299</v>
      </c>
      <c r="AB818" s="119"/>
      <c r="AC818" s="119"/>
      <c r="AD818" s="119"/>
      <c r="AE818" s="119"/>
      <c r="AF818" s="119"/>
      <c r="AG818" s="119"/>
      <c r="AH818" s="16"/>
      <c r="AI818" s="439"/>
      <c r="AJ818" s="439"/>
      <c r="AK818" s="439"/>
    </row>
    <row r="819" ht="18.75" customHeight="1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264"/>
      <c r="U819" s="439"/>
      <c r="V819" s="16"/>
      <c r="W819" s="119"/>
      <c r="X819" s="119"/>
      <c r="Y819" s="119"/>
      <c r="Z819" s="119"/>
      <c r="AA819" s="530">
        <f>IFERROR(__xludf.DUMMYFUNCTION("""COMPUTED_VALUE"""),1300.0)</f>
        <v>1300</v>
      </c>
      <c r="AB819" s="119"/>
      <c r="AC819" s="119"/>
      <c r="AD819" s="119"/>
      <c r="AE819" s="119"/>
      <c r="AF819" s="119"/>
      <c r="AG819" s="119"/>
      <c r="AH819" s="16"/>
      <c r="AI819" s="439"/>
      <c r="AJ819" s="439"/>
      <c r="AK819" s="439"/>
    </row>
    <row r="820" ht="18.75" customHeight="1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264"/>
      <c r="U820" s="439"/>
      <c r="V820" s="16"/>
      <c r="W820" s="119"/>
      <c r="X820" s="119"/>
      <c r="Y820" s="119"/>
      <c r="Z820" s="119"/>
      <c r="AA820" s="530">
        <f>IFERROR(__xludf.DUMMYFUNCTION("""COMPUTED_VALUE"""),1301.0)</f>
        <v>1301</v>
      </c>
      <c r="AB820" s="119"/>
      <c r="AC820" s="119"/>
      <c r="AD820" s="119"/>
      <c r="AE820" s="119"/>
      <c r="AF820" s="119"/>
      <c r="AG820" s="119"/>
      <c r="AH820" s="16"/>
      <c r="AI820" s="439"/>
      <c r="AJ820" s="439"/>
      <c r="AK820" s="439"/>
    </row>
    <row r="821" ht="18.75" customHeight="1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264"/>
      <c r="U821" s="439"/>
      <c r="V821" s="16"/>
      <c r="W821" s="119"/>
      <c r="X821" s="119"/>
      <c r="Y821" s="119"/>
      <c r="Z821" s="119"/>
      <c r="AA821" s="530">
        <f>IFERROR(__xludf.DUMMYFUNCTION("""COMPUTED_VALUE"""),1302.0)</f>
        <v>1302</v>
      </c>
      <c r="AB821" s="119"/>
      <c r="AC821" s="119"/>
      <c r="AD821" s="119"/>
      <c r="AE821" s="119"/>
      <c r="AF821" s="119"/>
      <c r="AG821" s="119"/>
      <c r="AH821" s="16"/>
      <c r="AI821" s="439"/>
      <c r="AJ821" s="439"/>
      <c r="AK821" s="439"/>
    </row>
    <row r="822" ht="18.75" customHeight="1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264"/>
      <c r="U822" s="439"/>
      <c r="V822" s="16"/>
      <c r="W822" s="119"/>
      <c r="X822" s="119"/>
      <c r="Y822" s="119"/>
      <c r="Z822" s="119"/>
      <c r="AA822" s="530">
        <f>IFERROR(__xludf.DUMMYFUNCTION("""COMPUTED_VALUE"""),1303.0)</f>
        <v>1303</v>
      </c>
      <c r="AB822" s="119"/>
      <c r="AC822" s="119"/>
      <c r="AD822" s="119"/>
      <c r="AE822" s="119"/>
      <c r="AF822" s="119"/>
      <c r="AG822" s="119"/>
      <c r="AH822" s="16"/>
      <c r="AI822" s="439"/>
      <c r="AJ822" s="439"/>
      <c r="AK822" s="439"/>
    </row>
    <row r="823" ht="18.75" customHeight="1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264"/>
      <c r="U823" s="439"/>
      <c r="V823" s="16"/>
      <c r="W823" s="119"/>
      <c r="X823" s="119"/>
      <c r="Y823" s="119"/>
      <c r="Z823" s="119"/>
      <c r="AA823" s="530">
        <f>IFERROR(__xludf.DUMMYFUNCTION("""COMPUTED_VALUE"""),1304.0)</f>
        <v>1304</v>
      </c>
      <c r="AB823" s="119"/>
      <c r="AC823" s="119"/>
      <c r="AD823" s="119"/>
      <c r="AE823" s="119"/>
      <c r="AF823" s="119"/>
      <c r="AG823" s="119"/>
      <c r="AH823" s="16"/>
      <c r="AI823" s="439"/>
      <c r="AJ823" s="439"/>
      <c r="AK823" s="439"/>
    </row>
    <row r="824" ht="18.75" customHeight="1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264"/>
      <c r="U824" s="439"/>
      <c r="V824" s="16"/>
      <c r="W824" s="119"/>
      <c r="X824" s="119"/>
      <c r="Y824" s="119"/>
      <c r="Z824" s="119"/>
      <c r="AA824" s="530">
        <f>IFERROR(__xludf.DUMMYFUNCTION("""COMPUTED_VALUE"""),1305.0)</f>
        <v>1305</v>
      </c>
      <c r="AB824" s="119"/>
      <c r="AC824" s="119"/>
      <c r="AD824" s="119"/>
      <c r="AE824" s="119"/>
      <c r="AF824" s="119"/>
      <c r="AG824" s="119"/>
      <c r="AH824" s="16"/>
      <c r="AI824" s="439"/>
      <c r="AJ824" s="439"/>
      <c r="AK824" s="439"/>
    </row>
    <row r="825" ht="18.75" customHeight="1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264"/>
      <c r="U825" s="439"/>
      <c r="V825" s="16"/>
      <c r="W825" s="119"/>
      <c r="X825" s="119"/>
      <c r="Y825" s="119"/>
      <c r="Z825" s="119"/>
      <c r="AA825" s="530">
        <f>IFERROR(__xludf.DUMMYFUNCTION("""COMPUTED_VALUE"""),1306.0)</f>
        <v>1306</v>
      </c>
      <c r="AB825" s="119"/>
      <c r="AC825" s="119"/>
      <c r="AD825" s="119"/>
      <c r="AE825" s="119"/>
      <c r="AF825" s="119"/>
      <c r="AG825" s="119"/>
      <c r="AH825" s="16"/>
      <c r="AI825" s="439"/>
      <c r="AJ825" s="439"/>
      <c r="AK825" s="439"/>
    </row>
    <row r="826" ht="18.75" customHeight="1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264"/>
      <c r="U826" s="439"/>
      <c r="V826" s="16"/>
      <c r="W826" s="119"/>
      <c r="X826" s="119"/>
      <c r="Y826" s="119"/>
      <c r="Z826" s="119"/>
      <c r="AA826" s="530">
        <f>IFERROR(__xludf.DUMMYFUNCTION("""COMPUTED_VALUE"""),1307.0)</f>
        <v>1307</v>
      </c>
      <c r="AB826" s="119"/>
      <c r="AC826" s="119"/>
      <c r="AD826" s="119"/>
      <c r="AE826" s="119"/>
      <c r="AF826" s="119"/>
      <c r="AG826" s="119"/>
      <c r="AH826" s="16"/>
      <c r="AI826" s="439"/>
      <c r="AJ826" s="439"/>
      <c r="AK826" s="439"/>
    </row>
    <row r="827" ht="18.75" customHeight="1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264"/>
      <c r="U827" s="439"/>
      <c r="V827" s="16"/>
      <c r="W827" s="119"/>
      <c r="X827" s="119"/>
      <c r="Y827" s="119"/>
      <c r="Z827" s="119"/>
      <c r="AA827" s="530">
        <f>IFERROR(__xludf.DUMMYFUNCTION("""COMPUTED_VALUE"""),1308.0)</f>
        <v>1308</v>
      </c>
      <c r="AB827" s="119"/>
      <c r="AC827" s="119"/>
      <c r="AD827" s="119"/>
      <c r="AE827" s="119"/>
      <c r="AF827" s="119"/>
      <c r="AG827" s="119"/>
      <c r="AH827" s="16"/>
      <c r="AI827" s="439"/>
      <c r="AJ827" s="439"/>
      <c r="AK827" s="439"/>
    </row>
    <row r="828" ht="18.75" customHeight="1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264"/>
      <c r="U828" s="439"/>
      <c r="V828" s="16"/>
      <c r="W828" s="119"/>
      <c r="X828" s="119"/>
      <c r="Y828" s="119"/>
      <c r="Z828" s="119"/>
      <c r="AA828" s="530">
        <f>IFERROR(__xludf.DUMMYFUNCTION("""COMPUTED_VALUE"""),1309.0)</f>
        <v>1309</v>
      </c>
      <c r="AB828" s="119"/>
      <c r="AC828" s="119"/>
      <c r="AD828" s="119"/>
      <c r="AE828" s="119"/>
      <c r="AF828" s="119"/>
      <c r="AG828" s="119"/>
      <c r="AH828" s="16"/>
      <c r="AI828" s="439"/>
      <c r="AJ828" s="439"/>
      <c r="AK828" s="439"/>
    </row>
    <row r="829" ht="18.75" customHeight="1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264"/>
      <c r="U829" s="439"/>
      <c r="V829" s="16"/>
      <c r="W829" s="119"/>
      <c r="X829" s="119"/>
      <c r="Y829" s="119"/>
      <c r="Z829" s="119"/>
      <c r="AA829" s="530">
        <f>IFERROR(__xludf.DUMMYFUNCTION("""COMPUTED_VALUE"""),1310.0)</f>
        <v>1310</v>
      </c>
      <c r="AB829" s="119"/>
      <c r="AC829" s="119"/>
      <c r="AD829" s="119"/>
      <c r="AE829" s="119"/>
      <c r="AF829" s="119"/>
      <c r="AG829" s="119"/>
      <c r="AH829" s="16"/>
      <c r="AI829" s="439"/>
      <c r="AJ829" s="439"/>
      <c r="AK829" s="439"/>
    </row>
    <row r="830" ht="18.75" customHeight="1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264"/>
      <c r="U830" s="439"/>
      <c r="V830" s="16"/>
      <c r="W830" s="119"/>
      <c r="X830" s="119"/>
      <c r="Y830" s="119"/>
      <c r="Z830" s="119"/>
      <c r="AA830" s="530">
        <f>IFERROR(__xludf.DUMMYFUNCTION("""COMPUTED_VALUE"""),1311.0)</f>
        <v>1311</v>
      </c>
      <c r="AB830" s="119"/>
      <c r="AC830" s="119"/>
      <c r="AD830" s="119"/>
      <c r="AE830" s="119"/>
      <c r="AF830" s="119"/>
      <c r="AG830" s="119"/>
      <c r="AH830" s="16"/>
      <c r="AI830" s="439"/>
      <c r="AJ830" s="439"/>
      <c r="AK830" s="439"/>
    </row>
    <row r="831" ht="18.75" customHeight="1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264"/>
      <c r="U831" s="439"/>
      <c r="V831" s="16"/>
      <c r="W831" s="119"/>
      <c r="X831" s="119"/>
      <c r="Y831" s="119"/>
      <c r="Z831" s="119"/>
      <c r="AA831" s="530">
        <f>IFERROR(__xludf.DUMMYFUNCTION("""COMPUTED_VALUE"""),1312.0)</f>
        <v>1312</v>
      </c>
      <c r="AB831" s="119"/>
      <c r="AC831" s="119"/>
      <c r="AD831" s="119"/>
      <c r="AE831" s="119"/>
      <c r="AF831" s="119"/>
      <c r="AG831" s="119"/>
      <c r="AH831" s="16"/>
      <c r="AI831" s="439"/>
      <c r="AJ831" s="439"/>
      <c r="AK831" s="439"/>
    </row>
    <row r="832" ht="18.75" customHeight="1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264"/>
      <c r="U832" s="439"/>
      <c r="V832" s="16"/>
      <c r="W832" s="119"/>
      <c r="X832" s="119"/>
      <c r="Y832" s="119"/>
      <c r="Z832" s="119"/>
      <c r="AA832" s="530">
        <f>IFERROR(__xludf.DUMMYFUNCTION("""COMPUTED_VALUE"""),1313.0)</f>
        <v>1313</v>
      </c>
      <c r="AB832" s="119"/>
      <c r="AC832" s="119"/>
      <c r="AD832" s="119"/>
      <c r="AE832" s="119"/>
      <c r="AF832" s="119"/>
      <c r="AG832" s="119"/>
      <c r="AH832" s="16"/>
      <c r="AI832" s="439"/>
      <c r="AJ832" s="439"/>
      <c r="AK832" s="439"/>
    </row>
    <row r="833" ht="18.75" customHeight="1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264"/>
      <c r="U833" s="439"/>
      <c r="V833" s="16"/>
      <c r="W833" s="119"/>
      <c r="X833" s="119"/>
      <c r="Y833" s="119"/>
      <c r="Z833" s="119"/>
      <c r="AA833" s="530">
        <f>IFERROR(__xludf.DUMMYFUNCTION("""COMPUTED_VALUE"""),1314.0)</f>
        <v>1314</v>
      </c>
      <c r="AB833" s="119"/>
      <c r="AC833" s="119"/>
      <c r="AD833" s="119"/>
      <c r="AE833" s="119"/>
      <c r="AF833" s="119"/>
      <c r="AG833" s="119"/>
      <c r="AH833" s="16"/>
      <c r="AI833" s="439"/>
      <c r="AJ833" s="439"/>
      <c r="AK833" s="439"/>
    </row>
    <row r="834" ht="18.75" customHeight="1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264"/>
      <c r="U834" s="439"/>
      <c r="V834" s="16"/>
      <c r="W834" s="119"/>
      <c r="X834" s="119"/>
      <c r="Y834" s="119"/>
      <c r="Z834" s="119"/>
      <c r="AA834" s="530">
        <f>IFERROR(__xludf.DUMMYFUNCTION("""COMPUTED_VALUE"""),1315.0)</f>
        <v>1315</v>
      </c>
      <c r="AB834" s="119"/>
      <c r="AC834" s="119"/>
      <c r="AD834" s="119"/>
      <c r="AE834" s="119"/>
      <c r="AF834" s="119"/>
      <c r="AG834" s="119"/>
      <c r="AH834" s="16"/>
      <c r="AI834" s="439"/>
      <c r="AJ834" s="439"/>
      <c r="AK834" s="439"/>
    </row>
    <row r="835" ht="18.75" customHeight="1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264"/>
      <c r="U835" s="439"/>
      <c r="V835" s="16"/>
      <c r="W835" s="119"/>
      <c r="X835" s="119"/>
      <c r="Y835" s="119"/>
      <c r="Z835" s="119"/>
      <c r="AA835" s="530">
        <f>IFERROR(__xludf.DUMMYFUNCTION("""COMPUTED_VALUE"""),1316.0)</f>
        <v>1316</v>
      </c>
      <c r="AB835" s="119"/>
      <c r="AC835" s="119"/>
      <c r="AD835" s="119"/>
      <c r="AE835" s="119"/>
      <c r="AF835" s="119"/>
      <c r="AG835" s="119"/>
      <c r="AH835" s="16"/>
      <c r="AI835" s="439"/>
      <c r="AJ835" s="439"/>
      <c r="AK835" s="439"/>
    </row>
    <row r="836" ht="18.75" customHeight="1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264"/>
      <c r="U836" s="439"/>
      <c r="V836" s="16"/>
      <c r="W836" s="119"/>
      <c r="X836" s="119"/>
      <c r="Y836" s="119"/>
      <c r="Z836" s="119"/>
      <c r="AA836" s="530">
        <f>IFERROR(__xludf.DUMMYFUNCTION("""COMPUTED_VALUE"""),1317.0)</f>
        <v>1317</v>
      </c>
      <c r="AB836" s="119"/>
      <c r="AC836" s="119"/>
      <c r="AD836" s="119"/>
      <c r="AE836" s="119"/>
      <c r="AF836" s="119"/>
      <c r="AG836" s="119"/>
      <c r="AH836" s="16"/>
      <c r="AI836" s="439"/>
      <c r="AJ836" s="439"/>
      <c r="AK836" s="439"/>
    </row>
    <row r="837" ht="18.75" customHeight="1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264"/>
      <c r="U837" s="439"/>
      <c r="V837" s="16"/>
      <c r="W837" s="119"/>
      <c r="X837" s="119"/>
      <c r="Y837" s="119"/>
      <c r="Z837" s="119"/>
      <c r="AA837" s="530">
        <f>IFERROR(__xludf.DUMMYFUNCTION("""COMPUTED_VALUE"""),1318.0)</f>
        <v>1318</v>
      </c>
      <c r="AB837" s="119"/>
      <c r="AC837" s="119"/>
      <c r="AD837" s="119"/>
      <c r="AE837" s="119"/>
      <c r="AF837" s="119"/>
      <c r="AG837" s="119"/>
      <c r="AH837" s="16"/>
      <c r="AI837" s="439"/>
      <c r="AJ837" s="439"/>
      <c r="AK837" s="439"/>
    </row>
    <row r="838" ht="18.75" customHeight="1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264"/>
      <c r="U838" s="439"/>
      <c r="V838" s="16"/>
      <c r="W838" s="119"/>
      <c r="X838" s="119"/>
      <c r="Y838" s="119"/>
      <c r="Z838" s="119"/>
      <c r="AA838" s="530">
        <f>IFERROR(__xludf.DUMMYFUNCTION("""COMPUTED_VALUE"""),1319.0)</f>
        <v>1319</v>
      </c>
      <c r="AB838" s="119"/>
      <c r="AC838" s="119"/>
      <c r="AD838" s="119"/>
      <c r="AE838" s="119"/>
      <c r="AF838" s="119"/>
      <c r="AG838" s="119"/>
      <c r="AH838" s="16"/>
      <c r="AI838" s="439"/>
      <c r="AJ838" s="439"/>
      <c r="AK838" s="439"/>
    </row>
    <row r="839" ht="18.75" customHeight="1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264"/>
      <c r="U839" s="439"/>
      <c r="V839" s="16"/>
      <c r="W839" s="119"/>
      <c r="X839" s="119"/>
      <c r="Y839" s="119"/>
      <c r="Z839" s="119"/>
      <c r="AA839" s="530">
        <f>IFERROR(__xludf.DUMMYFUNCTION("""COMPUTED_VALUE"""),1320.0)</f>
        <v>1320</v>
      </c>
      <c r="AB839" s="119"/>
      <c r="AC839" s="119"/>
      <c r="AD839" s="119"/>
      <c r="AE839" s="119"/>
      <c r="AF839" s="119"/>
      <c r="AG839" s="119"/>
      <c r="AH839" s="16"/>
      <c r="AI839" s="439"/>
      <c r="AJ839" s="439"/>
      <c r="AK839" s="439"/>
    </row>
    <row r="840" ht="18.75" customHeight="1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264"/>
      <c r="U840" s="439"/>
      <c r="V840" s="16"/>
      <c r="W840" s="119"/>
      <c r="X840" s="119"/>
      <c r="Y840" s="119"/>
      <c r="Z840" s="119"/>
      <c r="AA840" s="530">
        <f>IFERROR(__xludf.DUMMYFUNCTION("""COMPUTED_VALUE"""),1321.0)</f>
        <v>1321</v>
      </c>
      <c r="AB840" s="119"/>
      <c r="AC840" s="119"/>
      <c r="AD840" s="119"/>
      <c r="AE840" s="119"/>
      <c r="AF840" s="119"/>
      <c r="AG840" s="119"/>
      <c r="AH840" s="16"/>
      <c r="AI840" s="439"/>
      <c r="AJ840" s="439"/>
      <c r="AK840" s="439"/>
    </row>
    <row r="841" ht="18.75" customHeight="1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264"/>
      <c r="U841" s="439"/>
      <c r="V841" s="16"/>
      <c r="W841" s="119"/>
      <c r="X841" s="119"/>
      <c r="Y841" s="119"/>
      <c r="Z841" s="119"/>
      <c r="AA841" s="530">
        <f>IFERROR(__xludf.DUMMYFUNCTION("""COMPUTED_VALUE"""),1322.0)</f>
        <v>1322</v>
      </c>
      <c r="AB841" s="119"/>
      <c r="AC841" s="119"/>
      <c r="AD841" s="119"/>
      <c r="AE841" s="119"/>
      <c r="AF841" s="119"/>
      <c r="AG841" s="119"/>
      <c r="AH841" s="16"/>
      <c r="AI841" s="439"/>
      <c r="AJ841" s="439"/>
      <c r="AK841" s="439"/>
    </row>
    <row r="842" ht="18.75" customHeight="1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264"/>
      <c r="U842" s="439"/>
      <c r="V842" s="16"/>
      <c r="W842" s="119"/>
      <c r="X842" s="119"/>
      <c r="Y842" s="119"/>
      <c r="Z842" s="119"/>
      <c r="AA842" s="530">
        <f>IFERROR(__xludf.DUMMYFUNCTION("""COMPUTED_VALUE"""),1323.0)</f>
        <v>1323</v>
      </c>
      <c r="AB842" s="119"/>
      <c r="AC842" s="119"/>
      <c r="AD842" s="119"/>
      <c r="AE842" s="119"/>
      <c r="AF842" s="119"/>
      <c r="AG842" s="119"/>
      <c r="AH842" s="16"/>
      <c r="AI842" s="439"/>
      <c r="AJ842" s="439"/>
      <c r="AK842" s="439"/>
    </row>
    <row r="843" ht="18.75" customHeight="1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264"/>
      <c r="U843" s="439"/>
      <c r="V843" s="16"/>
      <c r="W843" s="119"/>
      <c r="X843" s="119"/>
      <c r="Y843" s="119"/>
      <c r="Z843" s="119"/>
      <c r="AA843" s="530">
        <f>IFERROR(__xludf.DUMMYFUNCTION("""COMPUTED_VALUE"""),1324.0)</f>
        <v>1324</v>
      </c>
      <c r="AB843" s="119"/>
      <c r="AC843" s="119"/>
      <c r="AD843" s="119"/>
      <c r="AE843" s="119"/>
      <c r="AF843" s="119"/>
      <c r="AG843" s="119"/>
      <c r="AH843" s="16"/>
      <c r="AI843" s="439"/>
      <c r="AJ843" s="439"/>
      <c r="AK843" s="439"/>
    </row>
    <row r="844" ht="18.75" customHeight="1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264"/>
      <c r="U844" s="439"/>
      <c r="V844" s="16"/>
      <c r="W844" s="119"/>
      <c r="X844" s="119"/>
      <c r="Y844" s="119"/>
      <c r="Z844" s="119"/>
      <c r="AA844" s="530">
        <f>IFERROR(__xludf.DUMMYFUNCTION("""COMPUTED_VALUE"""),1325.0)</f>
        <v>1325</v>
      </c>
      <c r="AB844" s="119"/>
      <c r="AC844" s="119"/>
      <c r="AD844" s="119"/>
      <c r="AE844" s="119"/>
      <c r="AF844" s="119"/>
      <c r="AG844" s="119"/>
      <c r="AH844" s="16"/>
      <c r="AI844" s="439"/>
      <c r="AJ844" s="439"/>
      <c r="AK844" s="439"/>
    </row>
    <row r="845" ht="18.75" customHeight="1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264"/>
      <c r="U845" s="439"/>
      <c r="V845" s="16"/>
      <c r="W845" s="119"/>
      <c r="X845" s="119"/>
      <c r="Y845" s="119"/>
      <c r="Z845" s="119"/>
      <c r="AA845" s="530">
        <f>IFERROR(__xludf.DUMMYFUNCTION("""COMPUTED_VALUE"""),1326.0)</f>
        <v>1326</v>
      </c>
      <c r="AB845" s="119"/>
      <c r="AC845" s="119"/>
      <c r="AD845" s="119"/>
      <c r="AE845" s="119"/>
      <c r="AF845" s="119"/>
      <c r="AG845" s="119"/>
      <c r="AH845" s="16"/>
      <c r="AI845" s="439"/>
      <c r="AJ845" s="439"/>
      <c r="AK845" s="439"/>
    </row>
    <row r="846" ht="18.75" customHeight="1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264"/>
      <c r="U846" s="439"/>
      <c r="V846" s="16"/>
      <c r="W846" s="119"/>
      <c r="X846" s="119"/>
      <c r="Y846" s="119"/>
      <c r="Z846" s="119"/>
      <c r="AA846" s="530">
        <f>IFERROR(__xludf.DUMMYFUNCTION("""COMPUTED_VALUE"""),1327.0)</f>
        <v>1327</v>
      </c>
      <c r="AB846" s="119"/>
      <c r="AC846" s="119"/>
      <c r="AD846" s="119"/>
      <c r="AE846" s="119"/>
      <c r="AF846" s="119"/>
      <c r="AG846" s="119"/>
      <c r="AH846" s="16"/>
      <c r="AI846" s="439"/>
      <c r="AJ846" s="439"/>
      <c r="AK846" s="439"/>
    </row>
    <row r="847" ht="18.75" customHeight="1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264"/>
      <c r="U847" s="439"/>
      <c r="V847" s="16"/>
      <c r="W847" s="119"/>
      <c r="X847" s="119"/>
      <c r="Y847" s="119"/>
      <c r="Z847" s="119"/>
      <c r="AA847" s="530">
        <f>IFERROR(__xludf.DUMMYFUNCTION("""COMPUTED_VALUE"""),1328.0)</f>
        <v>1328</v>
      </c>
      <c r="AB847" s="119"/>
      <c r="AC847" s="119"/>
      <c r="AD847" s="119"/>
      <c r="AE847" s="119"/>
      <c r="AF847" s="119"/>
      <c r="AG847" s="119"/>
      <c r="AH847" s="16"/>
      <c r="AI847" s="439"/>
      <c r="AJ847" s="439"/>
      <c r="AK847" s="439"/>
    </row>
    <row r="848" ht="18.75" customHeight="1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264"/>
      <c r="U848" s="439"/>
      <c r="V848" s="16"/>
      <c r="W848" s="119"/>
      <c r="X848" s="119"/>
      <c r="Y848" s="119"/>
      <c r="Z848" s="119"/>
      <c r="AA848" s="530">
        <f>IFERROR(__xludf.DUMMYFUNCTION("""COMPUTED_VALUE"""),1329.0)</f>
        <v>1329</v>
      </c>
      <c r="AB848" s="119"/>
      <c r="AC848" s="119"/>
      <c r="AD848" s="119"/>
      <c r="AE848" s="119"/>
      <c r="AF848" s="119"/>
      <c r="AG848" s="119"/>
      <c r="AH848" s="16"/>
      <c r="AI848" s="439"/>
      <c r="AJ848" s="439"/>
      <c r="AK848" s="439"/>
    </row>
    <row r="849" ht="18.75" customHeight="1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264"/>
      <c r="U849" s="439"/>
      <c r="V849" s="16"/>
      <c r="W849" s="119"/>
      <c r="X849" s="119"/>
      <c r="Y849" s="119"/>
      <c r="Z849" s="119"/>
      <c r="AA849" s="530">
        <f>IFERROR(__xludf.DUMMYFUNCTION("""COMPUTED_VALUE"""),1330.0)</f>
        <v>1330</v>
      </c>
      <c r="AB849" s="119"/>
      <c r="AC849" s="119"/>
      <c r="AD849" s="119"/>
      <c r="AE849" s="119"/>
      <c r="AF849" s="119"/>
      <c r="AG849" s="119"/>
      <c r="AH849" s="16"/>
      <c r="AI849" s="439"/>
      <c r="AJ849" s="439"/>
      <c r="AK849" s="439"/>
    </row>
    <row r="850" ht="18.75" customHeight="1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264"/>
      <c r="U850" s="439"/>
      <c r="V850" s="16"/>
      <c r="W850" s="119"/>
      <c r="X850" s="119"/>
      <c r="Y850" s="119"/>
      <c r="Z850" s="119"/>
      <c r="AA850" s="530">
        <f>IFERROR(__xludf.DUMMYFUNCTION("""COMPUTED_VALUE"""),1331.0)</f>
        <v>1331</v>
      </c>
      <c r="AB850" s="119"/>
      <c r="AC850" s="119"/>
      <c r="AD850" s="119"/>
      <c r="AE850" s="119"/>
      <c r="AF850" s="119"/>
      <c r="AG850" s="119"/>
      <c r="AH850" s="16"/>
      <c r="AI850" s="439"/>
      <c r="AJ850" s="439"/>
      <c r="AK850" s="439"/>
    </row>
    <row r="851" ht="18.75" customHeight="1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264"/>
      <c r="U851" s="439"/>
      <c r="V851" s="16"/>
      <c r="W851" s="119"/>
      <c r="X851" s="119"/>
      <c r="Y851" s="119"/>
      <c r="Z851" s="119"/>
      <c r="AA851" s="530">
        <f>IFERROR(__xludf.DUMMYFUNCTION("""COMPUTED_VALUE"""),1332.0)</f>
        <v>1332</v>
      </c>
      <c r="AB851" s="119"/>
      <c r="AC851" s="119"/>
      <c r="AD851" s="119"/>
      <c r="AE851" s="119"/>
      <c r="AF851" s="119"/>
      <c r="AG851" s="119"/>
      <c r="AH851" s="16"/>
      <c r="AI851" s="439"/>
      <c r="AJ851" s="439"/>
      <c r="AK851" s="439"/>
    </row>
    <row r="852" ht="18.75" customHeight="1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264"/>
      <c r="U852" s="439"/>
      <c r="V852" s="16"/>
      <c r="W852" s="119"/>
      <c r="X852" s="119"/>
      <c r="Y852" s="119"/>
      <c r="Z852" s="119"/>
      <c r="AA852" s="530">
        <f>IFERROR(__xludf.DUMMYFUNCTION("""COMPUTED_VALUE"""),1333.0)</f>
        <v>1333</v>
      </c>
      <c r="AB852" s="119"/>
      <c r="AC852" s="119"/>
      <c r="AD852" s="119"/>
      <c r="AE852" s="119"/>
      <c r="AF852" s="119"/>
      <c r="AG852" s="119"/>
      <c r="AH852" s="16"/>
      <c r="AI852" s="439"/>
      <c r="AJ852" s="439"/>
      <c r="AK852" s="439"/>
    </row>
    <row r="853" ht="18.75" customHeight="1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264"/>
      <c r="U853" s="439"/>
      <c r="V853" s="16"/>
      <c r="W853" s="119"/>
      <c r="X853" s="119"/>
      <c r="Y853" s="119"/>
      <c r="Z853" s="119"/>
      <c r="AA853" s="530">
        <f>IFERROR(__xludf.DUMMYFUNCTION("""COMPUTED_VALUE"""),1334.0)</f>
        <v>1334</v>
      </c>
      <c r="AB853" s="119"/>
      <c r="AC853" s="119"/>
      <c r="AD853" s="119"/>
      <c r="AE853" s="119"/>
      <c r="AF853" s="119"/>
      <c r="AG853" s="119"/>
      <c r="AH853" s="16"/>
      <c r="AI853" s="439"/>
      <c r="AJ853" s="439"/>
      <c r="AK853" s="439"/>
    </row>
    <row r="854" ht="18.75" customHeight="1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264"/>
      <c r="U854" s="439"/>
      <c r="V854" s="16"/>
      <c r="W854" s="119"/>
      <c r="X854" s="119"/>
      <c r="Y854" s="119"/>
      <c r="Z854" s="119"/>
      <c r="AA854" s="530">
        <f>IFERROR(__xludf.DUMMYFUNCTION("""COMPUTED_VALUE"""),1335.0)</f>
        <v>1335</v>
      </c>
      <c r="AB854" s="119"/>
      <c r="AC854" s="119"/>
      <c r="AD854" s="119"/>
      <c r="AE854" s="119"/>
      <c r="AF854" s="119"/>
      <c r="AG854" s="119"/>
      <c r="AH854" s="16"/>
      <c r="AI854" s="439"/>
      <c r="AJ854" s="439"/>
      <c r="AK854" s="439"/>
    </row>
    <row r="855" ht="18.75" customHeight="1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264"/>
      <c r="U855" s="439"/>
      <c r="V855" s="16"/>
      <c r="W855" s="119"/>
      <c r="X855" s="119"/>
      <c r="Y855" s="119"/>
      <c r="Z855" s="119"/>
      <c r="AA855" s="530">
        <f>IFERROR(__xludf.DUMMYFUNCTION("""COMPUTED_VALUE"""),1336.0)</f>
        <v>1336</v>
      </c>
      <c r="AB855" s="119"/>
      <c r="AC855" s="119"/>
      <c r="AD855" s="119"/>
      <c r="AE855" s="119"/>
      <c r="AF855" s="119"/>
      <c r="AG855" s="119"/>
      <c r="AH855" s="16"/>
      <c r="AI855" s="439"/>
      <c r="AJ855" s="439"/>
      <c r="AK855" s="439"/>
    </row>
    <row r="856" ht="18.75" customHeight="1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264"/>
      <c r="U856" s="439"/>
      <c r="V856" s="16"/>
      <c r="W856" s="119"/>
      <c r="X856" s="119"/>
      <c r="Y856" s="119"/>
      <c r="Z856" s="119"/>
      <c r="AA856" s="530">
        <f>IFERROR(__xludf.DUMMYFUNCTION("""COMPUTED_VALUE"""),1337.0)</f>
        <v>1337</v>
      </c>
      <c r="AB856" s="119"/>
      <c r="AC856" s="119"/>
      <c r="AD856" s="119"/>
      <c r="AE856" s="119"/>
      <c r="AF856" s="119"/>
      <c r="AG856" s="119"/>
      <c r="AH856" s="16"/>
      <c r="AI856" s="439"/>
      <c r="AJ856" s="439"/>
      <c r="AK856" s="439"/>
    </row>
    <row r="857" ht="18.75" customHeight="1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264"/>
      <c r="U857" s="439"/>
      <c r="V857" s="16"/>
      <c r="W857" s="119"/>
      <c r="X857" s="119"/>
      <c r="Y857" s="119"/>
      <c r="Z857" s="119"/>
      <c r="AA857" s="530">
        <f>IFERROR(__xludf.DUMMYFUNCTION("""COMPUTED_VALUE"""),1338.0)</f>
        <v>1338</v>
      </c>
      <c r="AB857" s="119"/>
      <c r="AC857" s="119"/>
      <c r="AD857" s="119"/>
      <c r="AE857" s="119"/>
      <c r="AF857" s="119"/>
      <c r="AG857" s="119"/>
      <c r="AH857" s="16"/>
      <c r="AI857" s="439"/>
      <c r="AJ857" s="439"/>
      <c r="AK857" s="439"/>
    </row>
    <row r="858" ht="18.75" customHeight="1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264"/>
      <c r="U858" s="439"/>
      <c r="V858" s="16"/>
      <c r="W858" s="119"/>
      <c r="X858" s="119"/>
      <c r="Y858" s="119"/>
      <c r="Z858" s="119"/>
      <c r="AA858" s="530">
        <f>IFERROR(__xludf.DUMMYFUNCTION("""COMPUTED_VALUE"""),1339.0)</f>
        <v>1339</v>
      </c>
      <c r="AB858" s="119"/>
      <c r="AC858" s="119"/>
      <c r="AD858" s="119"/>
      <c r="AE858" s="119"/>
      <c r="AF858" s="119"/>
      <c r="AG858" s="119"/>
      <c r="AH858" s="16"/>
      <c r="AI858" s="439"/>
      <c r="AJ858" s="439"/>
      <c r="AK858" s="439"/>
    </row>
    <row r="859" ht="18.75" customHeight="1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264"/>
      <c r="U859" s="439"/>
      <c r="V859" s="16"/>
      <c r="W859" s="119"/>
      <c r="X859" s="119"/>
      <c r="Y859" s="119"/>
      <c r="Z859" s="119"/>
      <c r="AA859" s="530">
        <f>IFERROR(__xludf.DUMMYFUNCTION("""COMPUTED_VALUE"""),1340.0)</f>
        <v>1340</v>
      </c>
      <c r="AB859" s="119"/>
      <c r="AC859" s="119"/>
      <c r="AD859" s="119"/>
      <c r="AE859" s="119"/>
      <c r="AF859" s="119"/>
      <c r="AG859" s="119"/>
      <c r="AH859" s="16"/>
      <c r="AI859" s="439"/>
      <c r="AJ859" s="439"/>
      <c r="AK859" s="439"/>
    </row>
    <row r="860" ht="18.75" customHeight="1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264"/>
      <c r="U860" s="439"/>
      <c r="V860" s="16"/>
      <c r="W860" s="119"/>
      <c r="X860" s="119"/>
      <c r="Y860" s="119"/>
      <c r="Z860" s="119"/>
      <c r="AA860" s="530">
        <f>IFERROR(__xludf.DUMMYFUNCTION("""COMPUTED_VALUE"""),1341.0)</f>
        <v>1341</v>
      </c>
      <c r="AB860" s="119"/>
      <c r="AC860" s="119"/>
      <c r="AD860" s="119"/>
      <c r="AE860" s="119"/>
      <c r="AF860" s="119"/>
      <c r="AG860" s="119"/>
      <c r="AH860" s="16"/>
      <c r="AI860" s="439"/>
      <c r="AJ860" s="439"/>
      <c r="AK860" s="439"/>
    </row>
    <row r="861" ht="18.75" customHeight="1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264"/>
      <c r="U861" s="439"/>
      <c r="V861" s="16"/>
      <c r="W861" s="119"/>
      <c r="X861" s="119"/>
      <c r="Y861" s="119"/>
      <c r="Z861" s="119"/>
      <c r="AA861" s="530">
        <f>IFERROR(__xludf.DUMMYFUNCTION("""COMPUTED_VALUE"""),1342.0)</f>
        <v>1342</v>
      </c>
      <c r="AB861" s="119"/>
      <c r="AC861" s="119"/>
      <c r="AD861" s="119"/>
      <c r="AE861" s="119"/>
      <c r="AF861" s="119"/>
      <c r="AG861" s="119"/>
      <c r="AH861" s="16"/>
      <c r="AI861" s="439"/>
      <c r="AJ861" s="439"/>
      <c r="AK861" s="439"/>
    </row>
    <row r="862" ht="18.75" customHeight="1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264"/>
      <c r="U862" s="439"/>
      <c r="V862" s="16"/>
      <c r="W862" s="119"/>
      <c r="X862" s="119"/>
      <c r="Y862" s="119"/>
      <c r="Z862" s="119"/>
      <c r="AA862" s="530">
        <f>IFERROR(__xludf.DUMMYFUNCTION("""COMPUTED_VALUE"""),1343.0)</f>
        <v>1343</v>
      </c>
      <c r="AB862" s="119"/>
      <c r="AC862" s="119"/>
      <c r="AD862" s="119"/>
      <c r="AE862" s="119"/>
      <c r="AF862" s="119"/>
      <c r="AG862" s="119"/>
      <c r="AH862" s="16"/>
      <c r="AI862" s="439"/>
      <c r="AJ862" s="439"/>
      <c r="AK862" s="439"/>
    </row>
    <row r="863" ht="18.75" customHeight="1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264"/>
      <c r="U863" s="439"/>
      <c r="V863" s="16"/>
      <c r="W863" s="119"/>
      <c r="X863" s="119"/>
      <c r="Y863" s="119"/>
      <c r="Z863" s="119"/>
      <c r="AA863" s="530">
        <f>IFERROR(__xludf.DUMMYFUNCTION("""COMPUTED_VALUE"""),1344.0)</f>
        <v>1344</v>
      </c>
      <c r="AB863" s="119"/>
      <c r="AC863" s="119"/>
      <c r="AD863" s="119"/>
      <c r="AE863" s="119"/>
      <c r="AF863" s="119"/>
      <c r="AG863" s="119"/>
      <c r="AH863" s="16"/>
      <c r="AI863" s="439"/>
      <c r="AJ863" s="439"/>
      <c r="AK863" s="439"/>
    </row>
    <row r="864" ht="18.75" customHeight="1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264"/>
      <c r="U864" s="439"/>
      <c r="V864" s="16"/>
      <c r="W864" s="119"/>
      <c r="X864" s="119"/>
      <c r="Y864" s="119"/>
      <c r="Z864" s="119"/>
      <c r="AA864" s="530">
        <f>IFERROR(__xludf.DUMMYFUNCTION("""COMPUTED_VALUE"""),1345.0)</f>
        <v>1345</v>
      </c>
      <c r="AB864" s="119"/>
      <c r="AC864" s="119"/>
      <c r="AD864" s="119"/>
      <c r="AE864" s="119"/>
      <c r="AF864" s="119"/>
      <c r="AG864" s="119"/>
      <c r="AH864" s="16"/>
      <c r="AI864" s="439"/>
      <c r="AJ864" s="439"/>
      <c r="AK864" s="439"/>
    </row>
    <row r="865" ht="18.75" customHeight="1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264"/>
      <c r="U865" s="439"/>
      <c r="V865" s="16"/>
      <c r="W865" s="119"/>
      <c r="X865" s="119"/>
      <c r="Y865" s="119"/>
      <c r="Z865" s="119"/>
      <c r="AA865" s="530">
        <f>IFERROR(__xludf.DUMMYFUNCTION("""COMPUTED_VALUE"""),1346.0)</f>
        <v>1346</v>
      </c>
      <c r="AB865" s="119"/>
      <c r="AC865" s="119"/>
      <c r="AD865" s="119"/>
      <c r="AE865" s="119"/>
      <c r="AF865" s="119"/>
      <c r="AG865" s="119"/>
      <c r="AH865" s="16"/>
      <c r="AI865" s="439"/>
      <c r="AJ865" s="439"/>
      <c r="AK865" s="439"/>
    </row>
    <row r="866" ht="18.75" customHeight="1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264"/>
      <c r="U866" s="439"/>
      <c r="V866" s="16"/>
      <c r="W866" s="119"/>
      <c r="X866" s="119"/>
      <c r="Y866" s="119"/>
      <c r="Z866" s="119"/>
      <c r="AA866" s="530">
        <f>IFERROR(__xludf.DUMMYFUNCTION("""COMPUTED_VALUE"""),1347.0)</f>
        <v>1347</v>
      </c>
      <c r="AB866" s="119"/>
      <c r="AC866" s="119"/>
      <c r="AD866" s="119"/>
      <c r="AE866" s="119"/>
      <c r="AF866" s="119"/>
      <c r="AG866" s="119"/>
      <c r="AH866" s="16"/>
      <c r="AI866" s="439"/>
      <c r="AJ866" s="439"/>
      <c r="AK866" s="439"/>
    </row>
    <row r="867" ht="18.75" customHeight="1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264"/>
      <c r="U867" s="439"/>
      <c r="V867" s="16"/>
      <c r="W867" s="119"/>
      <c r="X867" s="119"/>
      <c r="Y867" s="119"/>
      <c r="Z867" s="119"/>
      <c r="AA867" s="530">
        <f>IFERROR(__xludf.DUMMYFUNCTION("""COMPUTED_VALUE"""),1348.0)</f>
        <v>1348</v>
      </c>
      <c r="AB867" s="119"/>
      <c r="AC867" s="119"/>
      <c r="AD867" s="119"/>
      <c r="AE867" s="119"/>
      <c r="AF867" s="119"/>
      <c r="AG867" s="119"/>
      <c r="AH867" s="16"/>
      <c r="AI867" s="439"/>
      <c r="AJ867" s="439"/>
      <c r="AK867" s="439"/>
    </row>
    <row r="868" ht="18.75" customHeight="1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264"/>
      <c r="U868" s="439"/>
      <c r="V868" s="16"/>
      <c r="W868" s="119"/>
      <c r="X868" s="119"/>
      <c r="Y868" s="119"/>
      <c r="Z868" s="119"/>
      <c r="AA868" s="530">
        <f>IFERROR(__xludf.DUMMYFUNCTION("""COMPUTED_VALUE"""),1349.0)</f>
        <v>1349</v>
      </c>
      <c r="AB868" s="119"/>
      <c r="AC868" s="119"/>
      <c r="AD868" s="119"/>
      <c r="AE868" s="119"/>
      <c r="AF868" s="119"/>
      <c r="AG868" s="119"/>
      <c r="AH868" s="16"/>
      <c r="AI868" s="439"/>
      <c r="AJ868" s="439"/>
      <c r="AK868" s="439"/>
    </row>
    <row r="869" ht="18.75" customHeight="1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264"/>
      <c r="U869" s="439"/>
      <c r="V869" s="16"/>
      <c r="W869" s="119"/>
      <c r="X869" s="119"/>
      <c r="Y869" s="119"/>
      <c r="Z869" s="119"/>
      <c r="AA869" s="530">
        <f>IFERROR(__xludf.DUMMYFUNCTION("""COMPUTED_VALUE"""),1350.0)</f>
        <v>1350</v>
      </c>
      <c r="AB869" s="119"/>
      <c r="AC869" s="119"/>
      <c r="AD869" s="119"/>
      <c r="AE869" s="119"/>
      <c r="AF869" s="119"/>
      <c r="AG869" s="119"/>
      <c r="AH869" s="16"/>
      <c r="AI869" s="439"/>
      <c r="AJ869" s="439"/>
      <c r="AK869" s="439"/>
    </row>
    <row r="870" ht="18.75" customHeight="1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264"/>
      <c r="U870" s="439"/>
      <c r="V870" s="16"/>
      <c r="W870" s="119"/>
      <c r="X870" s="119"/>
      <c r="Y870" s="119"/>
      <c r="Z870" s="119"/>
      <c r="AA870" s="530">
        <f>IFERROR(__xludf.DUMMYFUNCTION("""COMPUTED_VALUE"""),1351.0)</f>
        <v>1351</v>
      </c>
      <c r="AB870" s="119"/>
      <c r="AC870" s="119"/>
      <c r="AD870" s="119"/>
      <c r="AE870" s="119"/>
      <c r="AF870" s="119"/>
      <c r="AG870" s="119"/>
      <c r="AH870" s="16"/>
      <c r="AI870" s="439"/>
      <c r="AJ870" s="439"/>
      <c r="AK870" s="439"/>
    </row>
    <row r="871" ht="18.75" customHeight="1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264"/>
      <c r="U871" s="439"/>
      <c r="V871" s="16"/>
      <c r="W871" s="119"/>
      <c r="X871" s="119"/>
      <c r="Y871" s="119"/>
      <c r="Z871" s="119"/>
      <c r="AA871" s="530">
        <f>IFERROR(__xludf.DUMMYFUNCTION("""COMPUTED_VALUE"""),1352.0)</f>
        <v>1352</v>
      </c>
      <c r="AB871" s="119"/>
      <c r="AC871" s="119"/>
      <c r="AD871" s="119"/>
      <c r="AE871" s="119"/>
      <c r="AF871" s="119"/>
      <c r="AG871" s="119"/>
      <c r="AH871" s="16"/>
      <c r="AI871" s="439"/>
      <c r="AJ871" s="439"/>
      <c r="AK871" s="439"/>
    </row>
    <row r="872" ht="18.75" customHeight="1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264"/>
      <c r="U872" s="439"/>
      <c r="V872" s="16"/>
      <c r="W872" s="119"/>
      <c r="X872" s="119"/>
      <c r="Y872" s="119"/>
      <c r="Z872" s="119"/>
      <c r="AA872" s="530">
        <f>IFERROR(__xludf.DUMMYFUNCTION("""COMPUTED_VALUE"""),1353.0)</f>
        <v>1353</v>
      </c>
      <c r="AB872" s="119"/>
      <c r="AC872" s="119"/>
      <c r="AD872" s="119"/>
      <c r="AE872" s="119"/>
      <c r="AF872" s="119"/>
      <c r="AG872" s="119"/>
      <c r="AH872" s="16"/>
      <c r="AI872" s="439"/>
      <c r="AJ872" s="439"/>
      <c r="AK872" s="439"/>
    </row>
    <row r="873" ht="18.75" customHeight="1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264"/>
      <c r="U873" s="439"/>
      <c r="V873" s="16"/>
      <c r="W873" s="119"/>
      <c r="X873" s="119"/>
      <c r="Y873" s="119"/>
      <c r="Z873" s="119"/>
      <c r="AA873" s="530">
        <f>IFERROR(__xludf.DUMMYFUNCTION("""COMPUTED_VALUE"""),1354.0)</f>
        <v>1354</v>
      </c>
      <c r="AB873" s="119"/>
      <c r="AC873" s="119"/>
      <c r="AD873" s="119"/>
      <c r="AE873" s="119"/>
      <c r="AF873" s="119"/>
      <c r="AG873" s="119"/>
      <c r="AH873" s="16"/>
      <c r="AI873" s="439"/>
      <c r="AJ873" s="439"/>
      <c r="AK873" s="439"/>
    </row>
    <row r="874" ht="18.75" customHeight="1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264"/>
      <c r="U874" s="439"/>
      <c r="V874" s="16"/>
      <c r="W874" s="119"/>
      <c r="X874" s="119"/>
      <c r="Y874" s="119"/>
      <c r="Z874" s="119"/>
      <c r="AA874" s="530">
        <f>IFERROR(__xludf.DUMMYFUNCTION("""COMPUTED_VALUE"""),1355.0)</f>
        <v>1355</v>
      </c>
      <c r="AB874" s="119"/>
      <c r="AC874" s="119"/>
      <c r="AD874" s="119"/>
      <c r="AE874" s="119"/>
      <c r="AF874" s="119"/>
      <c r="AG874" s="119"/>
      <c r="AH874" s="16"/>
      <c r="AI874" s="439"/>
      <c r="AJ874" s="439"/>
      <c r="AK874" s="439"/>
    </row>
    <row r="875" ht="18.75" customHeight="1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264"/>
      <c r="U875" s="439"/>
      <c r="V875" s="16"/>
      <c r="W875" s="119"/>
      <c r="X875" s="119"/>
      <c r="Y875" s="119"/>
      <c r="Z875" s="119"/>
      <c r="AA875" s="530">
        <f>IFERROR(__xludf.DUMMYFUNCTION("""COMPUTED_VALUE"""),1356.0)</f>
        <v>1356</v>
      </c>
      <c r="AB875" s="119"/>
      <c r="AC875" s="119"/>
      <c r="AD875" s="119"/>
      <c r="AE875" s="119"/>
      <c r="AF875" s="119"/>
      <c r="AG875" s="119"/>
      <c r="AH875" s="16"/>
      <c r="AI875" s="439"/>
      <c r="AJ875" s="439"/>
      <c r="AK875" s="439"/>
    </row>
    <row r="876" ht="18.75" customHeight="1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264"/>
      <c r="U876" s="439"/>
      <c r="V876" s="16"/>
      <c r="W876" s="119"/>
      <c r="X876" s="119"/>
      <c r="Y876" s="119"/>
      <c r="Z876" s="119"/>
      <c r="AA876" s="530">
        <f>IFERROR(__xludf.DUMMYFUNCTION("""COMPUTED_VALUE"""),1357.0)</f>
        <v>1357</v>
      </c>
      <c r="AB876" s="119"/>
      <c r="AC876" s="119"/>
      <c r="AD876" s="119"/>
      <c r="AE876" s="119"/>
      <c r="AF876" s="119"/>
      <c r="AG876" s="119"/>
      <c r="AH876" s="16"/>
      <c r="AI876" s="439"/>
      <c r="AJ876" s="439"/>
      <c r="AK876" s="439"/>
    </row>
    <row r="877" ht="18.75" customHeight="1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264"/>
      <c r="U877" s="439"/>
      <c r="V877" s="16"/>
      <c r="W877" s="119"/>
      <c r="X877" s="119"/>
      <c r="Y877" s="119"/>
      <c r="Z877" s="119"/>
      <c r="AA877" s="530">
        <f>IFERROR(__xludf.DUMMYFUNCTION("""COMPUTED_VALUE"""),1358.0)</f>
        <v>1358</v>
      </c>
      <c r="AB877" s="119"/>
      <c r="AC877" s="119"/>
      <c r="AD877" s="119"/>
      <c r="AE877" s="119"/>
      <c r="AF877" s="119"/>
      <c r="AG877" s="119"/>
      <c r="AH877" s="16"/>
      <c r="AI877" s="439"/>
      <c r="AJ877" s="439"/>
      <c r="AK877" s="439"/>
    </row>
    <row r="878" ht="18.75" customHeight="1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264"/>
      <c r="U878" s="439"/>
      <c r="V878" s="16"/>
      <c r="W878" s="119"/>
      <c r="X878" s="119"/>
      <c r="Y878" s="119"/>
      <c r="Z878" s="119"/>
      <c r="AA878" s="530">
        <f>IFERROR(__xludf.DUMMYFUNCTION("""COMPUTED_VALUE"""),1359.0)</f>
        <v>1359</v>
      </c>
      <c r="AB878" s="119"/>
      <c r="AC878" s="119"/>
      <c r="AD878" s="119"/>
      <c r="AE878" s="119"/>
      <c r="AF878" s="119"/>
      <c r="AG878" s="119"/>
      <c r="AH878" s="16"/>
      <c r="AI878" s="439"/>
      <c r="AJ878" s="439"/>
      <c r="AK878" s="439"/>
    </row>
    <row r="879" ht="18.75" customHeight="1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264"/>
      <c r="U879" s="439"/>
      <c r="V879" s="16"/>
      <c r="W879" s="119"/>
      <c r="X879" s="119"/>
      <c r="Y879" s="119"/>
      <c r="Z879" s="119"/>
      <c r="AA879" s="530">
        <f>IFERROR(__xludf.DUMMYFUNCTION("""COMPUTED_VALUE"""),1360.0)</f>
        <v>1360</v>
      </c>
      <c r="AB879" s="119"/>
      <c r="AC879" s="119"/>
      <c r="AD879" s="119"/>
      <c r="AE879" s="119"/>
      <c r="AF879" s="119"/>
      <c r="AG879" s="119"/>
      <c r="AH879" s="16"/>
      <c r="AI879" s="439"/>
      <c r="AJ879" s="439"/>
      <c r="AK879" s="439"/>
    </row>
    <row r="880" ht="18.75" customHeight="1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264"/>
      <c r="U880" s="439"/>
      <c r="V880" s="16"/>
      <c r="W880" s="119"/>
      <c r="X880" s="119"/>
      <c r="Y880" s="119"/>
      <c r="Z880" s="119"/>
      <c r="AA880" s="530">
        <f>IFERROR(__xludf.DUMMYFUNCTION("""COMPUTED_VALUE"""),1361.0)</f>
        <v>1361</v>
      </c>
      <c r="AB880" s="119"/>
      <c r="AC880" s="119"/>
      <c r="AD880" s="119"/>
      <c r="AE880" s="119"/>
      <c r="AF880" s="119"/>
      <c r="AG880" s="119"/>
      <c r="AH880" s="16"/>
      <c r="AI880" s="439"/>
      <c r="AJ880" s="439"/>
      <c r="AK880" s="439"/>
    </row>
    <row r="881" ht="18.75" customHeight="1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264"/>
      <c r="U881" s="439"/>
      <c r="V881" s="16"/>
      <c r="W881" s="119"/>
      <c r="X881" s="119"/>
      <c r="Y881" s="119"/>
      <c r="Z881" s="119"/>
      <c r="AA881" s="530">
        <f>IFERROR(__xludf.DUMMYFUNCTION("""COMPUTED_VALUE"""),1362.0)</f>
        <v>1362</v>
      </c>
      <c r="AB881" s="119"/>
      <c r="AC881" s="119"/>
      <c r="AD881" s="119"/>
      <c r="AE881" s="119"/>
      <c r="AF881" s="119"/>
      <c r="AG881" s="119"/>
      <c r="AH881" s="16"/>
      <c r="AI881" s="439"/>
      <c r="AJ881" s="439"/>
      <c r="AK881" s="439"/>
    </row>
    <row r="882" ht="18.75" customHeight="1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264"/>
      <c r="U882" s="439"/>
      <c r="V882" s="16"/>
      <c r="W882" s="119"/>
      <c r="X882" s="119"/>
      <c r="Y882" s="119"/>
      <c r="Z882" s="119"/>
      <c r="AA882" s="530">
        <f>IFERROR(__xludf.DUMMYFUNCTION("""COMPUTED_VALUE"""),1363.0)</f>
        <v>1363</v>
      </c>
      <c r="AB882" s="119"/>
      <c r="AC882" s="119"/>
      <c r="AD882" s="119"/>
      <c r="AE882" s="119"/>
      <c r="AF882" s="119"/>
      <c r="AG882" s="119"/>
      <c r="AH882" s="16"/>
      <c r="AI882" s="439"/>
      <c r="AJ882" s="439"/>
      <c r="AK882" s="439"/>
    </row>
    <row r="883" ht="18.75" customHeight="1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264"/>
      <c r="U883" s="439"/>
      <c r="V883" s="16"/>
      <c r="W883" s="119"/>
      <c r="X883" s="119"/>
      <c r="Y883" s="119"/>
      <c r="Z883" s="119"/>
      <c r="AA883" s="530">
        <f>IFERROR(__xludf.DUMMYFUNCTION("""COMPUTED_VALUE"""),1364.0)</f>
        <v>1364</v>
      </c>
      <c r="AB883" s="119"/>
      <c r="AC883" s="119"/>
      <c r="AD883" s="119"/>
      <c r="AE883" s="119"/>
      <c r="AF883" s="119"/>
      <c r="AG883" s="119"/>
      <c r="AH883" s="16"/>
      <c r="AI883" s="439"/>
      <c r="AJ883" s="439"/>
      <c r="AK883" s="439"/>
    </row>
    <row r="884" ht="18.75" customHeight="1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264"/>
      <c r="U884" s="439"/>
      <c r="V884" s="16"/>
      <c r="W884" s="119"/>
      <c r="X884" s="119"/>
      <c r="Y884" s="119"/>
      <c r="Z884" s="119"/>
      <c r="AA884" s="530">
        <f>IFERROR(__xludf.DUMMYFUNCTION("""COMPUTED_VALUE"""),1365.0)</f>
        <v>1365</v>
      </c>
      <c r="AB884" s="119"/>
      <c r="AC884" s="119"/>
      <c r="AD884" s="119"/>
      <c r="AE884" s="119"/>
      <c r="AF884" s="119"/>
      <c r="AG884" s="119"/>
      <c r="AH884" s="16"/>
      <c r="AI884" s="439"/>
      <c r="AJ884" s="439"/>
      <c r="AK884" s="439"/>
    </row>
    <row r="885" ht="18.75" customHeight="1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264"/>
      <c r="U885" s="439"/>
      <c r="V885" s="16"/>
      <c r="W885" s="119"/>
      <c r="X885" s="119"/>
      <c r="Y885" s="119"/>
      <c r="Z885" s="119"/>
      <c r="AA885" s="530">
        <f>IFERROR(__xludf.DUMMYFUNCTION("""COMPUTED_VALUE"""),1366.0)</f>
        <v>1366</v>
      </c>
      <c r="AB885" s="119"/>
      <c r="AC885" s="119"/>
      <c r="AD885" s="119"/>
      <c r="AE885" s="119"/>
      <c r="AF885" s="119"/>
      <c r="AG885" s="119"/>
      <c r="AH885" s="16"/>
      <c r="AI885" s="439"/>
      <c r="AJ885" s="439"/>
      <c r="AK885" s="439"/>
    </row>
    <row r="886" ht="18.75" customHeight="1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264"/>
      <c r="U886" s="439"/>
      <c r="V886" s="16"/>
      <c r="W886" s="119"/>
      <c r="X886" s="119"/>
      <c r="Y886" s="119"/>
      <c r="Z886" s="119"/>
      <c r="AA886" s="530">
        <f>IFERROR(__xludf.DUMMYFUNCTION("""COMPUTED_VALUE"""),1367.0)</f>
        <v>1367</v>
      </c>
      <c r="AB886" s="119"/>
      <c r="AC886" s="119"/>
      <c r="AD886" s="119"/>
      <c r="AE886" s="119"/>
      <c r="AF886" s="119"/>
      <c r="AG886" s="119"/>
      <c r="AH886" s="16"/>
      <c r="AI886" s="439"/>
      <c r="AJ886" s="439"/>
      <c r="AK886" s="439"/>
    </row>
    <row r="887" ht="18.75" customHeight="1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264"/>
      <c r="U887" s="439"/>
      <c r="V887" s="16"/>
      <c r="W887" s="119"/>
      <c r="X887" s="119"/>
      <c r="Y887" s="119"/>
      <c r="Z887" s="119"/>
      <c r="AA887" s="530">
        <f>IFERROR(__xludf.DUMMYFUNCTION("""COMPUTED_VALUE"""),1368.0)</f>
        <v>1368</v>
      </c>
      <c r="AB887" s="119"/>
      <c r="AC887" s="119"/>
      <c r="AD887" s="119"/>
      <c r="AE887" s="119"/>
      <c r="AF887" s="119"/>
      <c r="AG887" s="119"/>
      <c r="AH887" s="16"/>
      <c r="AI887" s="439"/>
      <c r="AJ887" s="439"/>
      <c r="AK887" s="439"/>
    </row>
    <row r="888" ht="18.75" customHeight="1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264"/>
      <c r="U888" s="439"/>
      <c r="V888" s="16"/>
      <c r="W888" s="119"/>
      <c r="X888" s="119"/>
      <c r="Y888" s="119"/>
      <c r="Z888" s="119"/>
      <c r="AA888" s="530">
        <f>IFERROR(__xludf.DUMMYFUNCTION("""COMPUTED_VALUE"""),1369.0)</f>
        <v>1369</v>
      </c>
      <c r="AB888" s="119"/>
      <c r="AC888" s="119"/>
      <c r="AD888" s="119"/>
      <c r="AE888" s="119"/>
      <c r="AF888" s="119"/>
      <c r="AG888" s="119"/>
      <c r="AH888" s="16"/>
      <c r="AI888" s="439"/>
      <c r="AJ888" s="439"/>
      <c r="AK888" s="439"/>
    </row>
    <row r="889" ht="18.75" customHeight="1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264"/>
      <c r="U889" s="439"/>
      <c r="V889" s="16"/>
      <c r="W889" s="119"/>
      <c r="X889" s="119"/>
      <c r="Y889" s="119"/>
      <c r="Z889" s="119"/>
      <c r="AA889" s="530">
        <f>IFERROR(__xludf.DUMMYFUNCTION("""COMPUTED_VALUE"""),1370.0)</f>
        <v>1370</v>
      </c>
      <c r="AB889" s="119"/>
      <c r="AC889" s="119"/>
      <c r="AD889" s="119"/>
      <c r="AE889" s="119"/>
      <c r="AF889" s="119"/>
      <c r="AG889" s="119"/>
      <c r="AH889" s="16"/>
      <c r="AI889" s="439"/>
      <c r="AJ889" s="439"/>
      <c r="AK889" s="439"/>
    </row>
    <row r="890" ht="18.75" customHeight="1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264"/>
      <c r="U890" s="439"/>
      <c r="V890" s="16"/>
      <c r="W890" s="119"/>
      <c r="X890" s="119"/>
      <c r="Y890" s="119"/>
      <c r="Z890" s="119"/>
      <c r="AA890" s="530">
        <f>IFERROR(__xludf.DUMMYFUNCTION("""COMPUTED_VALUE"""),1371.0)</f>
        <v>1371</v>
      </c>
      <c r="AB890" s="119"/>
      <c r="AC890" s="119"/>
      <c r="AD890" s="119"/>
      <c r="AE890" s="119"/>
      <c r="AF890" s="119"/>
      <c r="AG890" s="119"/>
      <c r="AH890" s="16"/>
      <c r="AI890" s="439"/>
      <c r="AJ890" s="439"/>
      <c r="AK890" s="439"/>
    </row>
    <row r="891" ht="18.75" customHeight="1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264"/>
      <c r="U891" s="439"/>
      <c r="V891" s="16"/>
      <c r="W891" s="119"/>
      <c r="X891" s="119"/>
      <c r="Y891" s="119"/>
      <c r="Z891" s="119"/>
      <c r="AA891" s="530">
        <f>IFERROR(__xludf.DUMMYFUNCTION("""COMPUTED_VALUE"""),1372.0)</f>
        <v>1372</v>
      </c>
      <c r="AB891" s="119"/>
      <c r="AC891" s="119"/>
      <c r="AD891" s="119"/>
      <c r="AE891" s="119"/>
      <c r="AF891" s="119"/>
      <c r="AG891" s="119"/>
      <c r="AH891" s="16"/>
      <c r="AI891" s="439"/>
      <c r="AJ891" s="439"/>
      <c r="AK891" s="439"/>
    </row>
    <row r="892" ht="18.75" customHeight="1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264"/>
      <c r="U892" s="439"/>
      <c r="V892" s="16"/>
      <c r="W892" s="119"/>
      <c r="X892" s="119"/>
      <c r="Y892" s="119"/>
      <c r="Z892" s="119"/>
      <c r="AA892" s="530">
        <f>IFERROR(__xludf.DUMMYFUNCTION("""COMPUTED_VALUE"""),1373.0)</f>
        <v>1373</v>
      </c>
      <c r="AB892" s="119"/>
      <c r="AC892" s="119"/>
      <c r="AD892" s="119"/>
      <c r="AE892" s="119"/>
      <c r="AF892" s="119"/>
      <c r="AG892" s="119"/>
      <c r="AH892" s="16"/>
      <c r="AI892" s="439"/>
      <c r="AJ892" s="439"/>
      <c r="AK892" s="439"/>
    </row>
    <row r="893" ht="18.75" customHeight="1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264"/>
      <c r="U893" s="439"/>
      <c r="V893" s="16"/>
      <c r="W893" s="119"/>
      <c r="X893" s="119"/>
      <c r="Y893" s="119"/>
      <c r="Z893" s="119"/>
      <c r="AA893" s="530">
        <f>IFERROR(__xludf.DUMMYFUNCTION("""COMPUTED_VALUE"""),1374.0)</f>
        <v>1374</v>
      </c>
      <c r="AB893" s="119"/>
      <c r="AC893" s="119"/>
      <c r="AD893" s="119"/>
      <c r="AE893" s="119"/>
      <c r="AF893" s="119"/>
      <c r="AG893" s="119"/>
      <c r="AH893" s="16"/>
      <c r="AI893" s="439"/>
      <c r="AJ893" s="439"/>
      <c r="AK893" s="439"/>
    </row>
    <row r="894" ht="18.75" customHeight="1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264"/>
      <c r="U894" s="439"/>
      <c r="V894" s="16"/>
      <c r="W894" s="119"/>
      <c r="X894" s="119"/>
      <c r="Y894" s="119"/>
      <c r="Z894" s="119"/>
      <c r="AA894" s="530">
        <f>IFERROR(__xludf.DUMMYFUNCTION("""COMPUTED_VALUE"""),1375.0)</f>
        <v>1375</v>
      </c>
      <c r="AB894" s="119"/>
      <c r="AC894" s="119"/>
      <c r="AD894" s="119"/>
      <c r="AE894" s="119"/>
      <c r="AF894" s="119"/>
      <c r="AG894" s="119"/>
      <c r="AH894" s="16"/>
      <c r="AI894" s="439"/>
      <c r="AJ894" s="439"/>
      <c r="AK894" s="439"/>
    </row>
    <row r="895" ht="18.75" customHeight="1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264"/>
      <c r="U895" s="439"/>
      <c r="V895" s="16"/>
      <c r="W895" s="119"/>
      <c r="X895" s="119"/>
      <c r="Y895" s="119"/>
      <c r="Z895" s="119"/>
      <c r="AA895" s="530">
        <f>IFERROR(__xludf.DUMMYFUNCTION("""COMPUTED_VALUE"""),1376.0)</f>
        <v>1376</v>
      </c>
      <c r="AB895" s="119"/>
      <c r="AC895" s="119"/>
      <c r="AD895" s="119"/>
      <c r="AE895" s="119"/>
      <c r="AF895" s="119"/>
      <c r="AG895" s="119"/>
      <c r="AH895" s="16"/>
      <c r="AI895" s="439"/>
      <c r="AJ895" s="439"/>
      <c r="AK895" s="439"/>
    </row>
    <row r="896" ht="18.75" customHeight="1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264"/>
      <c r="U896" s="439"/>
      <c r="V896" s="16"/>
      <c r="W896" s="119"/>
      <c r="X896" s="119"/>
      <c r="Y896" s="119"/>
      <c r="Z896" s="119"/>
      <c r="AA896" s="530">
        <f>IFERROR(__xludf.DUMMYFUNCTION("""COMPUTED_VALUE"""),1377.0)</f>
        <v>1377</v>
      </c>
      <c r="AB896" s="119"/>
      <c r="AC896" s="119"/>
      <c r="AD896" s="119"/>
      <c r="AE896" s="119"/>
      <c r="AF896" s="119"/>
      <c r="AG896" s="119"/>
      <c r="AH896" s="16"/>
      <c r="AI896" s="439"/>
      <c r="AJ896" s="439"/>
      <c r="AK896" s="439"/>
    </row>
    <row r="897" ht="18.75" customHeight="1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264"/>
      <c r="U897" s="439"/>
      <c r="V897" s="16"/>
      <c r="W897" s="119"/>
      <c r="X897" s="119"/>
      <c r="Y897" s="119"/>
      <c r="Z897" s="119"/>
      <c r="AA897" s="530">
        <f>IFERROR(__xludf.DUMMYFUNCTION("""COMPUTED_VALUE"""),1378.0)</f>
        <v>1378</v>
      </c>
      <c r="AB897" s="119"/>
      <c r="AC897" s="119"/>
      <c r="AD897" s="119"/>
      <c r="AE897" s="119"/>
      <c r="AF897" s="119"/>
      <c r="AG897" s="119"/>
      <c r="AH897" s="16"/>
      <c r="AI897" s="439"/>
      <c r="AJ897" s="439"/>
      <c r="AK897" s="439"/>
    </row>
    <row r="898" ht="18.75" customHeight="1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264"/>
      <c r="U898" s="439"/>
      <c r="V898" s="16"/>
      <c r="W898" s="119"/>
      <c r="X898" s="119"/>
      <c r="Y898" s="119"/>
      <c r="Z898" s="119"/>
      <c r="AA898" s="530">
        <f>IFERROR(__xludf.DUMMYFUNCTION("""COMPUTED_VALUE"""),1379.0)</f>
        <v>1379</v>
      </c>
      <c r="AB898" s="119"/>
      <c r="AC898" s="119"/>
      <c r="AD898" s="119"/>
      <c r="AE898" s="119"/>
      <c r="AF898" s="119"/>
      <c r="AG898" s="119"/>
      <c r="AH898" s="16"/>
      <c r="AI898" s="439"/>
      <c r="AJ898" s="439"/>
      <c r="AK898" s="439"/>
    </row>
    <row r="899" ht="18.75" customHeight="1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264"/>
      <c r="U899" s="439"/>
      <c r="V899" s="16"/>
      <c r="W899" s="119"/>
      <c r="X899" s="119"/>
      <c r="Y899" s="119"/>
      <c r="Z899" s="119"/>
      <c r="AA899" s="530">
        <f>IFERROR(__xludf.DUMMYFUNCTION("""COMPUTED_VALUE"""),1380.0)</f>
        <v>1380</v>
      </c>
      <c r="AB899" s="119"/>
      <c r="AC899" s="119"/>
      <c r="AD899" s="119"/>
      <c r="AE899" s="119"/>
      <c r="AF899" s="119"/>
      <c r="AG899" s="119"/>
      <c r="AH899" s="16"/>
      <c r="AI899" s="439"/>
      <c r="AJ899" s="439"/>
      <c r="AK899" s="439"/>
    </row>
    <row r="900" ht="18.75" customHeight="1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264"/>
      <c r="U900" s="439"/>
      <c r="V900" s="16"/>
      <c r="W900" s="119"/>
      <c r="X900" s="119"/>
      <c r="Y900" s="119"/>
      <c r="Z900" s="119"/>
      <c r="AA900" s="530">
        <f>IFERROR(__xludf.DUMMYFUNCTION("""COMPUTED_VALUE"""),1381.0)</f>
        <v>1381</v>
      </c>
      <c r="AB900" s="119"/>
      <c r="AC900" s="119"/>
      <c r="AD900" s="119"/>
      <c r="AE900" s="119"/>
      <c r="AF900" s="119"/>
      <c r="AG900" s="119"/>
      <c r="AH900" s="16"/>
      <c r="AI900" s="439"/>
      <c r="AJ900" s="439"/>
      <c r="AK900" s="439"/>
    </row>
    <row r="901" ht="18.75" customHeight="1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264"/>
      <c r="U901" s="439"/>
      <c r="V901" s="16"/>
      <c r="W901" s="119"/>
      <c r="X901" s="119"/>
      <c r="Y901" s="119"/>
      <c r="Z901" s="119"/>
      <c r="AA901" s="530">
        <f>IFERROR(__xludf.DUMMYFUNCTION("""COMPUTED_VALUE"""),1382.0)</f>
        <v>1382</v>
      </c>
      <c r="AB901" s="119"/>
      <c r="AC901" s="119"/>
      <c r="AD901" s="119"/>
      <c r="AE901" s="119"/>
      <c r="AF901" s="119"/>
      <c r="AG901" s="119"/>
      <c r="AH901" s="16"/>
      <c r="AI901" s="439"/>
      <c r="AJ901" s="439"/>
      <c r="AK901" s="439"/>
    </row>
    <row r="902" ht="18.75" customHeight="1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264"/>
      <c r="U902" s="439"/>
      <c r="V902" s="16"/>
      <c r="W902" s="119"/>
      <c r="X902" s="119"/>
      <c r="Y902" s="119"/>
      <c r="Z902" s="119"/>
      <c r="AA902" s="530">
        <f>IFERROR(__xludf.DUMMYFUNCTION("""COMPUTED_VALUE"""),1383.0)</f>
        <v>1383</v>
      </c>
      <c r="AB902" s="119"/>
      <c r="AC902" s="119"/>
      <c r="AD902" s="119"/>
      <c r="AE902" s="119"/>
      <c r="AF902" s="119"/>
      <c r="AG902" s="119"/>
      <c r="AH902" s="16"/>
      <c r="AI902" s="439"/>
      <c r="AJ902" s="439"/>
      <c r="AK902" s="439"/>
    </row>
    <row r="903" ht="18.75" customHeight="1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264"/>
      <c r="U903" s="439"/>
      <c r="V903" s="16"/>
      <c r="W903" s="119"/>
      <c r="X903" s="119"/>
      <c r="Y903" s="119"/>
      <c r="Z903" s="119"/>
      <c r="AA903" s="530">
        <f>IFERROR(__xludf.DUMMYFUNCTION("""COMPUTED_VALUE"""),1384.0)</f>
        <v>1384</v>
      </c>
      <c r="AB903" s="119"/>
      <c r="AC903" s="119"/>
      <c r="AD903" s="119"/>
      <c r="AE903" s="119"/>
      <c r="AF903" s="119"/>
      <c r="AG903" s="119"/>
      <c r="AH903" s="16"/>
      <c r="AI903" s="439"/>
      <c r="AJ903" s="439"/>
      <c r="AK903" s="439"/>
    </row>
    <row r="904" ht="18.75" customHeight="1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264"/>
      <c r="U904" s="439"/>
      <c r="V904" s="16"/>
      <c r="W904" s="119"/>
      <c r="X904" s="119"/>
      <c r="Y904" s="119"/>
      <c r="Z904" s="119"/>
      <c r="AA904" s="530">
        <f>IFERROR(__xludf.DUMMYFUNCTION("""COMPUTED_VALUE"""),1385.0)</f>
        <v>1385</v>
      </c>
      <c r="AB904" s="119"/>
      <c r="AC904" s="119"/>
      <c r="AD904" s="119"/>
      <c r="AE904" s="119"/>
      <c r="AF904" s="119"/>
      <c r="AG904" s="119"/>
      <c r="AH904" s="16"/>
      <c r="AI904" s="439"/>
      <c r="AJ904" s="439"/>
      <c r="AK904" s="439"/>
    </row>
    <row r="905" ht="18.75" customHeight="1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264"/>
      <c r="U905" s="439"/>
      <c r="V905" s="16"/>
      <c r="W905" s="119"/>
      <c r="X905" s="119"/>
      <c r="Y905" s="119"/>
      <c r="Z905" s="119"/>
      <c r="AA905" s="530">
        <f>IFERROR(__xludf.DUMMYFUNCTION("""COMPUTED_VALUE"""),1386.0)</f>
        <v>1386</v>
      </c>
      <c r="AB905" s="119"/>
      <c r="AC905" s="119"/>
      <c r="AD905" s="119"/>
      <c r="AE905" s="119"/>
      <c r="AF905" s="119"/>
      <c r="AG905" s="119"/>
      <c r="AH905" s="16"/>
      <c r="AI905" s="439"/>
      <c r="AJ905" s="439"/>
      <c r="AK905" s="439"/>
    </row>
    <row r="906" ht="18.75" customHeight="1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264"/>
      <c r="U906" s="439"/>
      <c r="V906" s="16"/>
      <c r="W906" s="119"/>
      <c r="X906" s="119"/>
      <c r="Y906" s="119"/>
      <c r="Z906" s="119"/>
      <c r="AA906" s="530">
        <f>IFERROR(__xludf.DUMMYFUNCTION("""COMPUTED_VALUE"""),1387.0)</f>
        <v>1387</v>
      </c>
      <c r="AB906" s="119"/>
      <c r="AC906" s="119"/>
      <c r="AD906" s="119"/>
      <c r="AE906" s="119"/>
      <c r="AF906" s="119"/>
      <c r="AG906" s="119"/>
      <c r="AH906" s="16"/>
      <c r="AI906" s="439"/>
      <c r="AJ906" s="439"/>
      <c r="AK906" s="439"/>
    </row>
    <row r="907" ht="18.75" customHeight="1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264"/>
      <c r="U907" s="439"/>
      <c r="V907" s="16"/>
      <c r="W907" s="119"/>
      <c r="X907" s="119"/>
      <c r="Y907" s="119"/>
      <c r="Z907" s="119"/>
      <c r="AA907" s="530">
        <f>IFERROR(__xludf.DUMMYFUNCTION("""COMPUTED_VALUE"""),1388.0)</f>
        <v>1388</v>
      </c>
      <c r="AB907" s="119"/>
      <c r="AC907" s="119"/>
      <c r="AD907" s="119"/>
      <c r="AE907" s="119"/>
      <c r="AF907" s="119"/>
      <c r="AG907" s="119"/>
      <c r="AH907" s="16"/>
      <c r="AI907" s="439"/>
      <c r="AJ907" s="439"/>
      <c r="AK907" s="439"/>
    </row>
    <row r="908" ht="18.75" customHeight="1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264"/>
      <c r="U908" s="439"/>
      <c r="V908" s="16"/>
      <c r="W908" s="119"/>
      <c r="X908" s="119"/>
      <c r="Y908" s="119"/>
      <c r="Z908" s="119"/>
      <c r="AA908" s="530">
        <f>IFERROR(__xludf.DUMMYFUNCTION("""COMPUTED_VALUE"""),1389.0)</f>
        <v>1389</v>
      </c>
      <c r="AB908" s="119"/>
      <c r="AC908" s="119"/>
      <c r="AD908" s="119"/>
      <c r="AE908" s="119"/>
      <c r="AF908" s="119"/>
      <c r="AG908" s="119"/>
      <c r="AH908" s="16"/>
      <c r="AI908" s="439"/>
      <c r="AJ908" s="439"/>
      <c r="AK908" s="439"/>
    </row>
    <row r="909" ht="18.75" customHeight="1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264"/>
      <c r="U909" s="439"/>
      <c r="V909" s="16"/>
      <c r="W909" s="119"/>
      <c r="X909" s="119"/>
      <c r="Y909" s="119"/>
      <c r="Z909" s="119"/>
      <c r="AA909" s="530">
        <f>IFERROR(__xludf.DUMMYFUNCTION("""COMPUTED_VALUE"""),1390.0)</f>
        <v>1390</v>
      </c>
      <c r="AB909" s="119"/>
      <c r="AC909" s="119"/>
      <c r="AD909" s="119"/>
      <c r="AE909" s="119"/>
      <c r="AF909" s="119"/>
      <c r="AG909" s="119"/>
      <c r="AH909" s="16"/>
      <c r="AI909" s="439"/>
      <c r="AJ909" s="439"/>
      <c r="AK909" s="439"/>
    </row>
    <row r="910" ht="18.75" customHeight="1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264"/>
      <c r="U910" s="439"/>
      <c r="V910" s="16"/>
      <c r="W910" s="119"/>
      <c r="X910" s="119"/>
      <c r="Y910" s="119"/>
      <c r="Z910" s="119"/>
      <c r="AA910" s="530">
        <f>IFERROR(__xludf.DUMMYFUNCTION("""COMPUTED_VALUE"""),1391.0)</f>
        <v>1391</v>
      </c>
      <c r="AB910" s="119"/>
      <c r="AC910" s="119"/>
      <c r="AD910" s="119"/>
      <c r="AE910" s="119"/>
      <c r="AF910" s="119"/>
      <c r="AG910" s="119"/>
      <c r="AH910" s="16"/>
      <c r="AI910" s="439"/>
      <c r="AJ910" s="439"/>
      <c r="AK910" s="439"/>
    </row>
    <row r="911" ht="18.75" customHeight="1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264"/>
      <c r="U911" s="439"/>
      <c r="V911" s="16"/>
      <c r="W911" s="119"/>
      <c r="X911" s="119"/>
      <c r="Y911" s="119"/>
      <c r="Z911" s="119"/>
      <c r="AA911" s="530">
        <f>IFERROR(__xludf.DUMMYFUNCTION("""COMPUTED_VALUE"""),1392.0)</f>
        <v>1392</v>
      </c>
      <c r="AB911" s="119"/>
      <c r="AC911" s="119"/>
      <c r="AD911" s="119"/>
      <c r="AE911" s="119"/>
      <c r="AF911" s="119"/>
      <c r="AG911" s="119"/>
      <c r="AH911" s="16"/>
      <c r="AI911" s="439"/>
      <c r="AJ911" s="439"/>
      <c r="AK911" s="439"/>
    </row>
    <row r="912" ht="18.75" customHeight="1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264"/>
      <c r="U912" s="439"/>
      <c r="V912" s="16"/>
      <c r="W912" s="119"/>
      <c r="X912" s="119"/>
      <c r="Y912" s="119"/>
      <c r="Z912" s="119"/>
      <c r="AA912" s="530">
        <f>IFERROR(__xludf.DUMMYFUNCTION("""COMPUTED_VALUE"""),1393.0)</f>
        <v>1393</v>
      </c>
      <c r="AB912" s="119"/>
      <c r="AC912" s="119"/>
      <c r="AD912" s="119"/>
      <c r="AE912" s="119"/>
      <c r="AF912" s="119"/>
      <c r="AG912" s="119"/>
      <c r="AH912" s="16"/>
      <c r="AI912" s="439"/>
      <c r="AJ912" s="439"/>
      <c r="AK912" s="439"/>
    </row>
    <row r="913" ht="18.75" customHeight="1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264"/>
      <c r="U913" s="439"/>
      <c r="V913" s="16"/>
      <c r="W913" s="119"/>
      <c r="X913" s="119"/>
      <c r="Y913" s="119"/>
      <c r="Z913" s="119"/>
      <c r="AA913" s="530">
        <f>IFERROR(__xludf.DUMMYFUNCTION("""COMPUTED_VALUE"""),1394.0)</f>
        <v>1394</v>
      </c>
      <c r="AB913" s="119"/>
      <c r="AC913" s="119"/>
      <c r="AD913" s="119"/>
      <c r="AE913" s="119"/>
      <c r="AF913" s="119"/>
      <c r="AG913" s="119"/>
      <c r="AH913" s="16"/>
      <c r="AI913" s="439"/>
      <c r="AJ913" s="439"/>
      <c r="AK913" s="439"/>
    </row>
    <row r="914" ht="18.75" customHeight="1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264"/>
      <c r="U914" s="439"/>
      <c r="V914" s="16"/>
      <c r="W914" s="119"/>
      <c r="X914" s="119"/>
      <c r="Y914" s="119"/>
      <c r="Z914" s="119"/>
      <c r="AA914" s="530">
        <f>IFERROR(__xludf.DUMMYFUNCTION("""COMPUTED_VALUE"""),1395.0)</f>
        <v>1395</v>
      </c>
      <c r="AB914" s="119"/>
      <c r="AC914" s="119"/>
      <c r="AD914" s="119"/>
      <c r="AE914" s="119"/>
      <c r="AF914" s="119"/>
      <c r="AG914" s="119"/>
      <c r="AH914" s="16"/>
      <c r="AI914" s="439"/>
      <c r="AJ914" s="439"/>
      <c r="AK914" s="439"/>
    </row>
    <row r="915" ht="18.75" customHeight="1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264"/>
      <c r="U915" s="439"/>
      <c r="V915" s="16"/>
      <c r="W915" s="119"/>
      <c r="X915" s="119"/>
      <c r="Y915" s="119"/>
      <c r="Z915" s="119"/>
      <c r="AA915" s="530">
        <f>IFERROR(__xludf.DUMMYFUNCTION("""COMPUTED_VALUE"""),1396.0)</f>
        <v>1396</v>
      </c>
      <c r="AB915" s="119"/>
      <c r="AC915" s="119"/>
      <c r="AD915" s="119"/>
      <c r="AE915" s="119"/>
      <c r="AF915" s="119"/>
      <c r="AG915" s="119"/>
      <c r="AH915" s="16"/>
      <c r="AI915" s="439"/>
      <c r="AJ915" s="439"/>
      <c r="AK915" s="439"/>
    </row>
    <row r="916" ht="18.75" customHeight="1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264"/>
      <c r="U916" s="439"/>
      <c r="V916" s="16"/>
      <c r="W916" s="119"/>
      <c r="X916" s="119"/>
      <c r="Y916" s="119"/>
      <c r="Z916" s="119"/>
      <c r="AA916" s="530">
        <f>IFERROR(__xludf.DUMMYFUNCTION("""COMPUTED_VALUE"""),1397.0)</f>
        <v>1397</v>
      </c>
      <c r="AB916" s="119"/>
      <c r="AC916" s="119"/>
      <c r="AD916" s="119"/>
      <c r="AE916" s="119"/>
      <c r="AF916" s="119"/>
      <c r="AG916" s="119"/>
      <c r="AH916" s="16"/>
      <c r="AI916" s="439"/>
      <c r="AJ916" s="439"/>
      <c r="AK916" s="439"/>
    </row>
    <row r="917" ht="18.75" customHeight="1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264"/>
      <c r="U917" s="439"/>
      <c r="V917" s="16"/>
      <c r="W917" s="119"/>
      <c r="X917" s="119"/>
      <c r="Y917" s="119"/>
      <c r="Z917" s="119"/>
      <c r="AA917" s="530">
        <f>IFERROR(__xludf.DUMMYFUNCTION("""COMPUTED_VALUE"""),1398.0)</f>
        <v>1398</v>
      </c>
      <c r="AB917" s="119"/>
      <c r="AC917" s="119"/>
      <c r="AD917" s="119"/>
      <c r="AE917" s="119"/>
      <c r="AF917" s="119"/>
      <c r="AG917" s="119"/>
      <c r="AH917" s="16"/>
      <c r="AI917" s="439"/>
      <c r="AJ917" s="439"/>
      <c r="AK917" s="439"/>
    </row>
    <row r="918" ht="18.75" customHeight="1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264"/>
      <c r="U918" s="439"/>
      <c r="V918" s="16"/>
      <c r="W918" s="119"/>
      <c r="X918" s="119"/>
      <c r="Y918" s="119"/>
      <c r="Z918" s="119"/>
      <c r="AA918" s="530">
        <f>IFERROR(__xludf.DUMMYFUNCTION("""COMPUTED_VALUE"""),1399.0)</f>
        <v>1399</v>
      </c>
      <c r="AB918" s="119"/>
      <c r="AC918" s="119"/>
      <c r="AD918" s="119"/>
      <c r="AE918" s="119"/>
      <c r="AF918" s="119"/>
      <c r="AG918" s="119"/>
      <c r="AH918" s="16"/>
      <c r="AI918" s="439"/>
      <c r="AJ918" s="439"/>
      <c r="AK918" s="439"/>
    </row>
    <row r="919" ht="18.75" customHeight="1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264"/>
      <c r="U919" s="439"/>
      <c r="V919" s="16"/>
      <c r="W919" s="119"/>
      <c r="X919" s="119"/>
      <c r="Y919" s="119"/>
      <c r="Z919" s="119"/>
      <c r="AA919" s="530">
        <f>IFERROR(__xludf.DUMMYFUNCTION("""COMPUTED_VALUE"""),1400.0)</f>
        <v>1400</v>
      </c>
      <c r="AB919" s="119"/>
      <c r="AC919" s="119"/>
      <c r="AD919" s="119"/>
      <c r="AE919" s="119"/>
      <c r="AF919" s="119"/>
      <c r="AG919" s="119"/>
      <c r="AH919" s="16"/>
      <c r="AI919" s="439"/>
      <c r="AJ919" s="439"/>
      <c r="AK919" s="439"/>
    </row>
    <row r="920" ht="18.75" customHeight="1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264"/>
      <c r="U920" s="439"/>
      <c r="V920" s="16"/>
      <c r="W920" s="119"/>
      <c r="X920" s="119"/>
      <c r="Y920" s="119"/>
      <c r="Z920" s="119"/>
      <c r="AA920" s="530">
        <f>IFERROR(__xludf.DUMMYFUNCTION("""COMPUTED_VALUE"""),1401.0)</f>
        <v>1401</v>
      </c>
      <c r="AB920" s="119"/>
      <c r="AC920" s="119"/>
      <c r="AD920" s="119"/>
      <c r="AE920" s="119"/>
      <c r="AF920" s="119"/>
      <c r="AG920" s="119"/>
      <c r="AH920" s="16"/>
      <c r="AI920" s="439"/>
      <c r="AJ920" s="439"/>
      <c r="AK920" s="439"/>
    </row>
    <row r="921" ht="18.75" customHeight="1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264"/>
      <c r="U921" s="439"/>
      <c r="V921" s="16"/>
      <c r="W921" s="119"/>
      <c r="X921" s="119"/>
      <c r="Y921" s="119"/>
      <c r="Z921" s="119"/>
      <c r="AA921" s="530">
        <f>IFERROR(__xludf.DUMMYFUNCTION("""COMPUTED_VALUE"""),1402.0)</f>
        <v>1402</v>
      </c>
      <c r="AB921" s="119"/>
      <c r="AC921" s="119"/>
      <c r="AD921" s="119"/>
      <c r="AE921" s="119"/>
      <c r="AF921" s="119"/>
      <c r="AG921" s="119"/>
      <c r="AH921" s="16"/>
      <c r="AI921" s="439"/>
      <c r="AJ921" s="439"/>
      <c r="AK921" s="439"/>
    </row>
    <row r="922" ht="18.75" customHeight="1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264"/>
      <c r="U922" s="439"/>
      <c r="V922" s="16"/>
      <c r="W922" s="119"/>
      <c r="X922" s="119"/>
      <c r="Y922" s="119"/>
      <c r="Z922" s="119"/>
      <c r="AA922" s="530">
        <f>IFERROR(__xludf.DUMMYFUNCTION("""COMPUTED_VALUE"""),1403.0)</f>
        <v>1403</v>
      </c>
      <c r="AB922" s="119"/>
      <c r="AC922" s="119"/>
      <c r="AD922" s="119"/>
      <c r="AE922" s="119"/>
      <c r="AF922" s="119"/>
      <c r="AG922" s="119"/>
      <c r="AH922" s="16"/>
      <c r="AI922" s="439"/>
      <c r="AJ922" s="439"/>
      <c r="AK922" s="439"/>
    </row>
    <row r="923" ht="18.75" customHeight="1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264"/>
      <c r="U923" s="439"/>
      <c r="V923" s="16"/>
      <c r="W923" s="119"/>
      <c r="X923" s="119"/>
      <c r="Y923" s="119"/>
      <c r="Z923" s="119"/>
      <c r="AA923" s="530">
        <f>IFERROR(__xludf.DUMMYFUNCTION("""COMPUTED_VALUE"""),1404.0)</f>
        <v>1404</v>
      </c>
      <c r="AB923" s="119"/>
      <c r="AC923" s="119"/>
      <c r="AD923" s="119"/>
      <c r="AE923" s="119"/>
      <c r="AF923" s="119"/>
      <c r="AG923" s="119"/>
      <c r="AH923" s="16"/>
      <c r="AI923" s="439"/>
      <c r="AJ923" s="439"/>
      <c r="AK923" s="439"/>
    </row>
    <row r="924" ht="18.75" customHeight="1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264"/>
      <c r="U924" s="439"/>
      <c r="V924" s="16"/>
      <c r="W924" s="119"/>
      <c r="X924" s="119"/>
      <c r="Y924" s="119"/>
      <c r="Z924" s="119"/>
      <c r="AA924" s="530">
        <f>IFERROR(__xludf.DUMMYFUNCTION("""COMPUTED_VALUE"""),1405.0)</f>
        <v>1405</v>
      </c>
      <c r="AB924" s="119"/>
      <c r="AC924" s="119"/>
      <c r="AD924" s="119"/>
      <c r="AE924" s="119"/>
      <c r="AF924" s="119"/>
      <c r="AG924" s="119"/>
      <c r="AH924" s="16"/>
      <c r="AI924" s="439"/>
      <c r="AJ924" s="439"/>
      <c r="AK924" s="439"/>
    </row>
    <row r="925" ht="18.75" customHeight="1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264"/>
      <c r="U925" s="439"/>
      <c r="V925" s="16"/>
      <c r="W925" s="119"/>
      <c r="X925" s="119"/>
      <c r="Y925" s="119"/>
      <c r="Z925" s="119"/>
      <c r="AA925" s="530">
        <f>IFERROR(__xludf.DUMMYFUNCTION("""COMPUTED_VALUE"""),1406.0)</f>
        <v>1406</v>
      </c>
      <c r="AB925" s="119"/>
      <c r="AC925" s="119"/>
      <c r="AD925" s="119"/>
      <c r="AE925" s="119"/>
      <c r="AF925" s="119"/>
      <c r="AG925" s="119"/>
      <c r="AH925" s="16"/>
      <c r="AI925" s="439"/>
      <c r="AJ925" s="439"/>
      <c r="AK925" s="439"/>
    </row>
    <row r="926" ht="18.75" customHeight="1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264"/>
      <c r="U926" s="439"/>
      <c r="V926" s="16"/>
      <c r="W926" s="119"/>
      <c r="X926" s="119"/>
      <c r="Y926" s="119"/>
      <c r="Z926" s="119"/>
      <c r="AA926" s="530">
        <f>IFERROR(__xludf.DUMMYFUNCTION("""COMPUTED_VALUE"""),1407.0)</f>
        <v>1407</v>
      </c>
      <c r="AB926" s="119"/>
      <c r="AC926" s="119"/>
      <c r="AD926" s="119"/>
      <c r="AE926" s="119"/>
      <c r="AF926" s="119"/>
      <c r="AG926" s="119"/>
      <c r="AH926" s="16"/>
      <c r="AI926" s="439"/>
      <c r="AJ926" s="439"/>
      <c r="AK926" s="439"/>
    </row>
    <row r="927" ht="18.75" customHeight="1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264"/>
      <c r="U927" s="439"/>
      <c r="V927" s="16"/>
      <c r="W927" s="119"/>
      <c r="X927" s="119"/>
      <c r="Y927" s="119"/>
      <c r="Z927" s="119"/>
      <c r="AA927" s="530">
        <f>IFERROR(__xludf.DUMMYFUNCTION("""COMPUTED_VALUE"""),1408.0)</f>
        <v>1408</v>
      </c>
      <c r="AB927" s="119"/>
      <c r="AC927" s="119"/>
      <c r="AD927" s="119"/>
      <c r="AE927" s="119"/>
      <c r="AF927" s="119"/>
      <c r="AG927" s="119"/>
      <c r="AH927" s="16"/>
      <c r="AI927" s="439"/>
      <c r="AJ927" s="439"/>
      <c r="AK927" s="439"/>
    </row>
    <row r="928" ht="18.75" customHeight="1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264"/>
      <c r="U928" s="439"/>
      <c r="V928" s="16"/>
      <c r="W928" s="119"/>
      <c r="X928" s="119"/>
      <c r="Y928" s="119"/>
      <c r="Z928" s="119"/>
      <c r="AA928" s="530">
        <f>IFERROR(__xludf.DUMMYFUNCTION("""COMPUTED_VALUE"""),1409.0)</f>
        <v>1409</v>
      </c>
      <c r="AB928" s="119"/>
      <c r="AC928" s="119"/>
      <c r="AD928" s="119"/>
      <c r="AE928" s="119"/>
      <c r="AF928" s="119"/>
      <c r="AG928" s="119"/>
      <c r="AH928" s="16"/>
      <c r="AI928" s="439"/>
      <c r="AJ928" s="439"/>
      <c r="AK928" s="439"/>
    </row>
    <row r="929" ht="18.75" customHeight="1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264"/>
      <c r="U929" s="439"/>
      <c r="V929" s="16"/>
      <c r="W929" s="119"/>
      <c r="X929" s="119"/>
      <c r="Y929" s="119"/>
      <c r="Z929" s="119"/>
      <c r="AA929" s="530">
        <f>IFERROR(__xludf.DUMMYFUNCTION("""COMPUTED_VALUE"""),1410.0)</f>
        <v>1410</v>
      </c>
      <c r="AB929" s="119"/>
      <c r="AC929" s="119"/>
      <c r="AD929" s="119"/>
      <c r="AE929" s="119"/>
      <c r="AF929" s="119"/>
      <c r="AG929" s="119"/>
      <c r="AH929" s="16"/>
      <c r="AI929" s="439"/>
      <c r="AJ929" s="439"/>
      <c r="AK929" s="439"/>
    </row>
    <row r="930" ht="18.75" customHeight="1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264"/>
      <c r="U930" s="439"/>
      <c r="V930" s="16"/>
      <c r="W930" s="119"/>
      <c r="X930" s="119"/>
      <c r="Y930" s="119"/>
      <c r="Z930" s="119"/>
      <c r="AA930" s="530">
        <f>IFERROR(__xludf.DUMMYFUNCTION("""COMPUTED_VALUE"""),1411.0)</f>
        <v>1411</v>
      </c>
      <c r="AB930" s="119"/>
      <c r="AC930" s="119"/>
      <c r="AD930" s="119"/>
      <c r="AE930" s="119"/>
      <c r="AF930" s="119"/>
      <c r="AG930" s="119"/>
      <c r="AH930" s="16"/>
      <c r="AI930" s="439"/>
      <c r="AJ930" s="439"/>
      <c r="AK930" s="439"/>
    </row>
    <row r="931" ht="18.75" customHeight="1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264"/>
      <c r="U931" s="439"/>
      <c r="V931" s="16"/>
      <c r="W931" s="119"/>
      <c r="X931" s="119"/>
      <c r="Y931" s="119"/>
      <c r="Z931" s="119"/>
      <c r="AA931" s="530">
        <f>IFERROR(__xludf.DUMMYFUNCTION("""COMPUTED_VALUE"""),1412.0)</f>
        <v>1412</v>
      </c>
      <c r="AB931" s="119"/>
      <c r="AC931" s="119"/>
      <c r="AD931" s="119"/>
      <c r="AE931" s="119"/>
      <c r="AF931" s="119"/>
      <c r="AG931" s="119"/>
      <c r="AH931" s="16"/>
      <c r="AI931" s="439"/>
      <c r="AJ931" s="439"/>
      <c r="AK931" s="439"/>
    </row>
    <row r="932" ht="18.75" customHeight="1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264"/>
      <c r="U932" s="439"/>
      <c r="V932" s="16"/>
      <c r="W932" s="119"/>
      <c r="X932" s="119"/>
      <c r="Y932" s="119"/>
      <c r="Z932" s="119"/>
      <c r="AA932" s="530">
        <f>IFERROR(__xludf.DUMMYFUNCTION("""COMPUTED_VALUE"""),1413.0)</f>
        <v>1413</v>
      </c>
      <c r="AB932" s="119"/>
      <c r="AC932" s="119"/>
      <c r="AD932" s="119"/>
      <c r="AE932" s="119"/>
      <c r="AF932" s="119"/>
      <c r="AG932" s="119"/>
      <c r="AH932" s="16"/>
      <c r="AI932" s="439"/>
      <c r="AJ932" s="439"/>
      <c r="AK932" s="439"/>
    </row>
    <row r="933" ht="18.75" customHeight="1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264"/>
      <c r="U933" s="439"/>
      <c r="V933" s="16"/>
      <c r="W933" s="119"/>
      <c r="X933" s="119"/>
      <c r="Y933" s="119"/>
      <c r="Z933" s="119"/>
      <c r="AA933" s="530">
        <f>IFERROR(__xludf.DUMMYFUNCTION("""COMPUTED_VALUE"""),1414.0)</f>
        <v>1414</v>
      </c>
      <c r="AB933" s="119"/>
      <c r="AC933" s="119"/>
      <c r="AD933" s="119"/>
      <c r="AE933" s="119"/>
      <c r="AF933" s="119"/>
      <c r="AG933" s="119"/>
      <c r="AH933" s="16"/>
      <c r="AI933" s="439"/>
      <c r="AJ933" s="439"/>
      <c r="AK933" s="439"/>
    </row>
    <row r="934" ht="18.75" customHeight="1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264"/>
      <c r="U934" s="439"/>
      <c r="V934" s="16"/>
      <c r="W934" s="119"/>
      <c r="X934" s="119"/>
      <c r="Y934" s="119"/>
      <c r="Z934" s="119"/>
      <c r="AA934" s="530">
        <f>IFERROR(__xludf.DUMMYFUNCTION("""COMPUTED_VALUE"""),1415.0)</f>
        <v>1415</v>
      </c>
      <c r="AB934" s="119"/>
      <c r="AC934" s="119"/>
      <c r="AD934" s="119"/>
      <c r="AE934" s="119"/>
      <c r="AF934" s="119"/>
      <c r="AG934" s="119"/>
      <c r="AH934" s="16"/>
      <c r="AI934" s="439"/>
      <c r="AJ934" s="439"/>
      <c r="AK934" s="439"/>
    </row>
    <row r="935" ht="18.75" customHeight="1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264"/>
      <c r="U935" s="439"/>
      <c r="V935" s="16"/>
      <c r="W935" s="119"/>
      <c r="X935" s="119"/>
      <c r="Y935" s="119"/>
      <c r="Z935" s="119"/>
      <c r="AA935" s="530">
        <f>IFERROR(__xludf.DUMMYFUNCTION("""COMPUTED_VALUE"""),1416.0)</f>
        <v>1416</v>
      </c>
      <c r="AB935" s="119"/>
      <c r="AC935" s="119"/>
      <c r="AD935" s="119"/>
      <c r="AE935" s="119"/>
      <c r="AF935" s="119"/>
      <c r="AG935" s="119"/>
      <c r="AH935" s="16"/>
      <c r="AI935" s="439"/>
      <c r="AJ935" s="439"/>
      <c r="AK935" s="439"/>
    </row>
    <row r="936" ht="18.75" customHeight="1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264"/>
      <c r="U936" s="439"/>
      <c r="V936" s="16"/>
      <c r="W936" s="119"/>
      <c r="X936" s="119"/>
      <c r="Y936" s="119"/>
      <c r="Z936" s="119"/>
      <c r="AA936" s="530">
        <f>IFERROR(__xludf.DUMMYFUNCTION("""COMPUTED_VALUE"""),1417.0)</f>
        <v>1417</v>
      </c>
      <c r="AB936" s="119"/>
      <c r="AC936" s="119"/>
      <c r="AD936" s="119"/>
      <c r="AE936" s="119"/>
      <c r="AF936" s="119"/>
      <c r="AG936" s="119"/>
      <c r="AH936" s="16"/>
      <c r="AI936" s="439"/>
      <c r="AJ936" s="439"/>
      <c r="AK936" s="439"/>
    </row>
    <row r="937" ht="18.75" customHeight="1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264"/>
      <c r="U937" s="439"/>
      <c r="V937" s="16"/>
      <c r="W937" s="119"/>
      <c r="X937" s="119"/>
      <c r="Y937" s="119"/>
      <c r="Z937" s="119"/>
      <c r="AA937" s="530">
        <f>IFERROR(__xludf.DUMMYFUNCTION("""COMPUTED_VALUE"""),1418.0)</f>
        <v>1418</v>
      </c>
      <c r="AB937" s="119"/>
      <c r="AC937" s="119"/>
      <c r="AD937" s="119"/>
      <c r="AE937" s="119"/>
      <c r="AF937" s="119"/>
      <c r="AG937" s="119"/>
      <c r="AH937" s="16"/>
      <c r="AI937" s="439"/>
      <c r="AJ937" s="439"/>
      <c r="AK937" s="439"/>
    </row>
    <row r="938" ht="18.75" customHeight="1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264"/>
      <c r="U938" s="439"/>
      <c r="V938" s="16"/>
      <c r="W938" s="119"/>
      <c r="X938" s="119"/>
      <c r="Y938" s="119"/>
      <c r="Z938" s="119"/>
      <c r="AA938" s="530">
        <f>IFERROR(__xludf.DUMMYFUNCTION("""COMPUTED_VALUE"""),1419.0)</f>
        <v>1419</v>
      </c>
      <c r="AB938" s="119"/>
      <c r="AC938" s="119"/>
      <c r="AD938" s="119"/>
      <c r="AE938" s="119"/>
      <c r="AF938" s="119"/>
      <c r="AG938" s="119"/>
      <c r="AH938" s="16"/>
      <c r="AI938" s="439"/>
      <c r="AJ938" s="439"/>
      <c r="AK938" s="439"/>
    </row>
    <row r="939" ht="18.75" customHeight="1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264"/>
      <c r="U939" s="439"/>
      <c r="V939" s="16"/>
      <c r="W939" s="119"/>
      <c r="X939" s="119"/>
      <c r="Y939" s="119"/>
      <c r="Z939" s="119"/>
      <c r="AA939" s="530">
        <f>IFERROR(__xludf.DUMMYFUNCTION("""COMPUTED_VALUE"""),1420.0)</f>
        <v>1420</v>
      </c>
      <c r="AB939" s="119"/>
      <c r="AC939" s="119"/>
      <c r="AD939" s="119"/>
      <c r="AE939" s="119"/>
      <c r="AF939" s="119"/>
      <c r="AG939" s="119"/>
      <c r="AH939" s="16"/>
      <c r="AI939" s="439"/>
      <c r="AJ939" s="439"/>
      <c r="AK939" s="439"/>
    </row>
    <row r="940" ht="18.75" customHeight="1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264"/>
      <c r="U940" s="439"/>
      <c r="V940" s="16"/>
      <c r="W940" s="119"/>
      <c r="X940" s="119"/>
      <c r="Y940" s="119"/>
      <c r="Z940" s="119"/>
      <c r="AA940" s="530">
        <f>IFERROR(__xludf.DUMMYFUNCTION("""COMPUTED_VALUE"""),1421.0)</f>
        <v>1421</v>
      </c>
      <c r="AB940" s="119"/>
      <c r="AC940" s="119"/>
      <c r="AD940" s="119"/>
      <c r="AE940" s="119"/>
      <c r="AF940" s="119"/>
      <c r="AG940" s="119"/>
      <c r="AH940" s="16"/>
      <c r="AI940" s="439"/>
      <c r="AJ940" s="439"/>
      <c r="AK940" s="439"/>
    </row>
    <row r="941" ht="18.75" customHeight="1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264"/>
      <c r="U941" s="439"/>
      <c r="V941" s="16"/>
      <c r="W941" s="119"/>
      <c r="X941" s="119"/>
      <c r="Y941" s="119"/>
      <c r="Z941" s="119"/>
      <c r="AA941" s="530">
        <f>IFERROR(__xludf.DUMMYFUNCTION("""COMPUTED_VALUE"""),1422.0)</f>
        <v>1422</v>
      </c>
      <c r="AB941" s="119"/>
      <c r="AC941" s="119"/>
      <c r="AD941" s="119"/>
      <c r="AE941" s="119"/>
      <c r="AF941" s="119"/>
      <c r="AG941" s="119"/>
      <c r="AH941" s="16"/>
      <c r="AI941" s="439"/>
      <c r="AJ941" s="439"/>
      <c r="AK941" s="439"/>
    </row>
    <row r="942" ht="18.75" customHeight="1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264"/>
      <c r="U942" s="439"/>
      <c r="V942" s="16"/>
      <c r="W942" s="119"/>
      <c r="X942" s="119"/>
      <c r="Y942" s="119"/>
      <c r="Z942" s="119"/>
      <c r="AA942" s="530">
        <f>IFERROR(__xludf.DUMMYFUNCTION("""COMPUTED_VALUE"""),1423.0)</f>
        <v>1423</v>
      </c>
      <c r="AB942" s="119"/>
      <c r="AC942" s="119"/>
      <c r="AD942" s="119"/>
      <c r="AE942" s="119"/>
      <c r="AF942" s="119"/>
      <c r="AG942" s="119"/>
      <c r="AH942" s="16"/>
      <c r="AI942" s="439"/>
      <c r="AJ942" s="439"/>
      <c r="AK942" s="439"/>
    </row>
    <row r="943" ht="18.75" customHeight="1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264"/>
      <c r="U943" s="439"/>
      <c r="V943" s="16"/>
      <c r="W943" s="119"/>
      <c r="X943" s="119"/>
      <c r="Y943" s="119"/>
      <c r="Z943" s="119"/>
      <c r="AA943" s="530">
        <f>IFERROR(__xludf.DUMMYFUNCTION("""COMPUTED_VALUE"""),1424.0)</f>
        <v>1424</v>
      </c>
      <c r="AB943" s="119"/>
      <c r="AC943" s="119"/>
      <c r="AD943" s="119"/>
      <c r="AE943" s="119"/>
      <c r="AF943" s="119"/>
      <c r="AG943" s="119"/>
      <c r="AH943" s="16"/>
      <c r="AI943" s="439"/>
      <c r="AJ943" s="439"/>
      <c r="AK943" s="439"/>
    </row>
    <row r="944" ht="18.75" customHeight="1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264"/>
      <c r="U944" s="439"/>
      <c r="V944" s="16"/>
      <c r="W944" s="119"/>
      <c r="X944" s="119"/>
      <c r="Y944" s="119"/>
      <c r="Z944" s="119"/>
      <c r="AA944" s="530">
        <f>IFERROR(__xludf.DUMMYFUNCTION("""COMPUTED_VALUE"""),1425.0)</f>
        <v>1425</v>
      </c>
      <c r="AB944" s="119"/>
      <c r="AC944" s="119"/>
      <c r="AD944" s="119"/>
      <c r="AE944" s="119"/>
      <c r="AF944" s="119"/>
      <c r="AG944" s="119"/>
      <c r="AH944" s="16"/>
      <c r="AI944" s="439"/>
      <c r="AJ944" s="439"/>
      <c r="AK944" s="439"/>
    </row>
    <row r="945" ht="18.75" customHeight="1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264"/>
      <c r="U945" s="439"/>
      <c r="V945" s="16"/>
      <c r="W945" s="119"/>
      <c r="X945" s="119"/>
      <c r="Y945" s="119"/>
      <c r="Z945" s="119"/>
      <c r="AA945" s="530">
        <f>IFERROR(__xludf.DUMMYFUNCTION("""COMPUTED_VALUE"""),1426.0)</f>
        <v>1426</v>
      </c>
      <c r="AB945" s="119"/>
      <c r="AC945" s="119"/>
      <c r="AD945" s="119"/>
      <c r="AE945" s="119"/>
      <c r="AF945" s="119"/>
      <c r="AG945" s="119"/>
      <c r="AH945" s="16"/>
      <c r="AI945" s="439"/>
      <c r="AJ945" s="439"/>
      <c r="AK945" s="439"/>
    </row>
    <row r="946" ht="18.75" customHeight="1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264"/>
      <c r="U946" s="439"/>
      <c r="V946" s="16"/>
      <c r="W946" s="119"/>
      <c r="X946" s="119"/>
      <c r="Y946" s="119"/>
      <c r="Z946" s="119"/>
      <c r="AA946" s="530">
        <f>IFERROR(__xludf.DUMMYFUNCTION("""COMPUTED_VALUE"""),1427.0)</f>
        <v>1427</v>
      </c>
      <c r="AB946" s="119"/>
      <c r="AC946" s="119"/>
      <c r="AD946" s="119"/>
      <c r="AE946" s="119"/>
      <c r="AF946" s="119"/>
      <c r="AG946" s="119"/>
      <c r="AH946" s="16"/>
      <c r="AI946" s="439"/>
      <c r="AJ946" s="439"/>
      <c r="AK946" s="439"/>
    </row>
    <row r="947" ht="18.75" customHeight="1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264"/>
      <c r="U947" s="439"/>
      <c r="V947" s="16"/>
      <c r="W947" s="119"/>
      <c r="X947" s="119"/>
      <c r="Y947" s="119"/>
      <c r="Z947" s="119"/>
      <c r="AA947" s="530">
        <f>IFERROR(__xludf.DUMMYFUNCTION("""COMPUTED_VALUE"""),1428.0)</f>
        <v>1428</v>
      </c>
      <c r="AB947" s="119"/>
      <c r="AC947" s="119"/>
      <c r="AD947" s="119"/>
      <c r="AE947" s="119"/>
      <c r="AF947" s="119"/>
      <c r="AG947" s="119"/>
      <c r="AH947" s="16"/>
      <c r="AI947" s="439"/>
      <c r="AJ947" s="439"/>
      <c r="AK947" s="439"/>
    </row>
    <row r="948" ht="18.75" customHeight="1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264"/>
      <c r="U948" s="439"/>
      <c r="V948" s="16"/>
      <c r="W948" s="119"/>
      <c r="X948" s="119"/>
      <c r="Y948" s="119"/>
      <c r="Z948" s="119"/>
      <c r="AA948" s="530">
        <f>IFERROR(__xludf.DUMMYFUNCTION("""COMPUTED_VALUE"""),1429.0)</f>
        <v>1429</v>
      </c>
      <c r="AB948" s="119"/>
      <c r="AC948" s="119"/>
      <c r="AD948" s="119"/>
      <c r="AE948" s="119"/>
      <c r="AF948" s="119"/>
      <c r="AG948" s="119"/>
      <c r="AH948" s="16"/>
      <c r="AI948" s="439"/>
      <c r="AJ948" s="439"/>
      <c r="AK948" s="439"/>
    </row>
    <row r="949" ht="18.75" customHeight="1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264"/>
      <c r="U949" s="439"/>
      <c r="V949" s="16"/>
      <c r="W949" s="119"/>
      <c r="X949" s="119"/>
      <c r="Y949" s="119"/>
      <c r="Z949" s="119"/>
      <c r="AA949" s="530">
        <f>IFERROR(__xludf.DUMMYFUNCTION("""COMPUTED_VALUE"""),1430.0)</f>
        <v>1430</v>
      </c>
      <c r="AB949" s="119"/>
      <c r="AC949" s="119"/>
      <c r="AD949" s="119"/>
      <c r="AE949" s="119"/>
      <c r="AF949" s="119"/>
      <c r="AG949" s="119"/>
      <c r="AH949" s="16"/>
      <c r="AI949" s="439"/>
      <c r="AJ949" s="439"/>
      <c r="AK949" s="439"/>
    </row>
    <row r="950" ht="18.75" customHeight="1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264"/>
      <c r="U950" s="439"/>
      <c r="V950" s="16"/>
      <c r="W950" s="119"/>
      <c r="X950" s="119"/>
      <c r="Y950" s="119"/>
      <c r="Z950" s="119"/>
      <c r="AA950" s="530">
        <f>IFERROR(__xludf.DUMMYFUNCTION("""COMPUTED_VALUE"""),1431.0)</f>
        <v>1431</v>
      </c>
      <c r="AB950" s="119"/>
      <c r="AC950" s="119"/>
      <c r="AD950" s="119"/>
      <c r="AE950" s="119"/>
      <c r="AF950" s="119"/>
      <c r="AG950" s="119"/>
      <c r="AH950" s="16"/>
      <c r="AI950" s="439"/>
      <c r="AJ950" s="439"/>
      <c r="AK950" s="439"/>
    </row>
    <row r="951" ht="18.75" customHeight="1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264"/>
      <c r="U951" s="439"/>
      <c r="V951" s="16"/>
      <c r="W951" s="119"/>
      <c r="X951" s="119"/>
      <c r="Y951" s="119"/>
      <c r="Z951" s="119"/>
      <c r="AA951" s="530">
        <f>IFERROR(__xludf.DUMMYFUNCTION("""COMPUTED_VALUE"""),1432.0)</f>
        <v>1432</v>
      </c>
      <c r="AB951" s="119"/>
      <c r="AC951" s="119"/>
      <c r="AD951" s="119"/>
      <c r="AE951" s="119"/>
      <c r="AF951" s="119"/>
      <c r="AG951" s="119"/>
      <c r="AH951" s="16"/>
      <c r="AI951" s="439"/>
      <c r="AJ951" s="439"/>
      <c r="AK951" s="439"/>
    </row>
    <row r="952" ht="18.75" customHeight="1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264"/>
      <c r="U952" s="439"/>
      <c r="V952" s="16"/>
      <c r="W952" s="119"/>
      <c r="X952" s="119"/>
      <c r="Y952" s="119"/>
      <c r="Z952" s="119"/>
      <c r="AA952" s="530">
        <f>IFERROR(__xludf.DUMMYFUNCTION("""COMPUTED_VALUE"""),1433.0)</f>
        <v>1433</v>
      </c>
      <c r="AB952" s="119"/>
      <c r="AC952" s="119"/>
      <c r="AD952" s="119"/>
      <c r="AE952" s="119"/>
      <c r="AF952" s="119"/>
      <c r="AG952" s="119"/>
      <c r="AH952" s="16"/>
      <c r="AI952" s="439"/>
      <c r="AJ952" s="439"/>
      <c r="AK952" s="439"/>
    </row>
    <row r="953" ht="18.75" customHeight="1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264"/>
      <c r="U953" s="439"/>
      <c r="V953" s="16"/>
      <c r="W953" s="119"/>
      <c r="X953" s="119"/>
      <c r="Y953" s="119"/>
      <c r="Z953" s="119"/>
      <c r="AA953" s="530">
        <f>IFERROR(__xludf.DUMMYFUNCTION("""COMPUTED_VALUE"""),1434.0)</f>
        <v>1434</v>
      </c>
      <c r="AB953" s="119"/>
      <c r="AC953" s="119"/>
      <c r="AD953" s="119"/>
      <c r="AE953" s="119"/>
      <c r="AF953" s="119"/>
      <c r="AG953" s="119"/>
      <c r="AH953" s="16"/>
      <c r="AI953" s="439"/>
      <c r="AJ953" s="439"/>
      <c r="AK953" s="439"/>
    </row>
    <row r="954" ht="18.75" customHeight="1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264"/>
      <c r="U954" s="439"/>
      <c r="V954" s="16"/>
      <c r="W954" s="119"/>
      <c r="X954" s="119"/>
      <c r="Y954" s="119"/>
      <c r="Z954" s="119"/>
      <c r="AA954" s="530">
        <f>IFERROR(__xludf.DUMMYFUNCTION("""COMPUTED_VALUE"""),1435.0)</f>
        <v>1435</v>
      </c>
      <c r="AB954" s="119"/>
      <c r="AC954" s="119"/>
      <c r="AD954" s="119"/>
      <c r="AE954" s="119"/>
      <c r="AF954" s="119"/>
      <c r="AG954" s="119"/>
      <c r="AH954" s="16"/>
      <c r="AI954" s="439"/>
      <c r="AJ954" s="439"/>
      <c r="AK954" s="439"/>
    </row>
    <row r="955" ht="18.75" customHeight="1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264"/>
      <c r="U955" s="439"/>
      <c r="V955" s="16"/>
      <c r="W955" s="119"/>
      <c r="X955" s="119"/>
      <c r="Y955" s="119"/>
      <c r="Z955" s="119"/>
      <c r="AA955" s="530">
        <f>IFERROR(__xludf.DUMMYFUNCTION("""COMPUTED_VALUE"""),1436.0)</f>
        <v>1436</v>
      </c>
      <c r="AB955" s="119"/>
      <c r="AC955" s="119"/>
      <c r="AD955" s="119"/>
      <c r="AE955" s="119"/>
      <c r="AF955" s="119"/>
      <c r="AG955" s="119"/>
      <c r="AH955" s="16"/>
      <c r="AI955" s="439"/>
      <c r="AJ955" s="439"/>
      <c r="AK955" s="439"/>
    </row>
    <row r="956" ht="18.75" customHeight="1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264"/>
      <c r="U956" s="439"/>
      <c r="V956" s="16"/>
      <c r="W956" s="119"/>
      <c r="X956" s="119"/>
      <c r="Y956" s="119"/>
      <c r="Z956" s="119"/>
      <c r="AA956" s="530">
        <f>IFERROR(__xludf.DUMMYFUNCTION("""COMPUTED_VALUE"""),1437.0)</f>
        <v>1437</v>
      </c>
      <c r="AB956" s="119"/>
      <c r="AC956" s="119"/>
      <c r="AD956" s="119"/>
      <c r="AE956" s="119"/>
      <c r="AF956" s="119"/>
      <c r="AG956" s="119"/>
      <c r="AH956" s="16"/>
      <c r="AI956" s="439"/>
      <c r="AJ956" s="439"/>
      <c r="AK956" s="439"/>
    </row>
    <row r="957" ht="18.75" customHeight="1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264"/>
      <c r="U957" s="439"/>
      <c r="V957" s="16"/>
      <c r="W957" s="119"/>
      <c r="X957" s="119"/>
      <c r="Y957" s="119"/>
      <c r="Z957" s="119"/>
      <c r="AA957" s="530">
        <f>IFERROR(__xludf.DUMMYFUNCTION("""COMPUTED_VALUE"""),1438.0)</f>
        <v>1438</v>
      </c>
      <c r="AB957" s="119"/>
      <c r="AC957" s="119"/>
      <c r="AD957" s="119"/>
      <c r="AE957" s="119"/>
      <c r="AF957" s="119"/>
      <c r="AG957" s="119"/>
      <c r="AH957" s="16"/>
      <c r="AI957" s="439"/>
      <c r="AJ957" s="439"/>
      <c r="AK957" s="439"/>
    </row>
    <row r="958" ht="18.75" customHeight="1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264"/>
      <c r="U958" s="439"/>
      <c r="V958" s="16"/>
      <c r="W958" s="119"/>
      <c r="X958" s="119"/>
      <c r="Y958" s="119"/>
      <c r="Z958" s="119"/>
      <c r="AA958" s="530">
        <f>IFERROR(__xludf.DUMMYFUNCTION("""COMPUTED_VALUE"""),1439.0)</f>
        <v>1439</v>
      </c>
      <c r="AB958" s="119"/>
      <c r="AC958" s="119"/>
      <c r="AD958" s="119"/>
      <c r="AE958" s="119"/>
      <c r="AF958" s="119"/>
      <c r="AG958" s="119"/>
      <c r="AH958" s="16"/>
      <c r="AI958" s="439"/>
      <c r="AJ958" s="439"/>
      <c r="AK958" s="439"/>
    </row>
    <row r="959" ht="18.75" customHeight="1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264"/>
      <c r="U959" s="439"/>
      <c r="V959" s="16"/>
      <c r="W959" s="119"/>
      <c r="X959" s="119"/>
      <c r="Y959" s="119"/>
      <c r="Z959" s="119"/>
      <c r="AA959" s="530">
        <f>IFERROR(__xludf.DUMMYFUNCTION("""COMPUTED_VALUE"""),1440.0)</f>
        <v>1440</v>
      </c>
      <c r="AB959" s="119"/>
      <c r="AC959" s="119"/>
      <c r="AD959" s="119"/>
      <c r="AE959" s="119"/>
      <c r="AF959" s="119"/>
      <c r="AG959" s="119"/>
      <c r="AH959" s="16"/>
      <c r="AI959" s="439"/>
      <c r="AJ959" s="439"/>
      <c r="AK959" s="439"/>
    </row>
    <row r="960" ht="18.75" customHeight="1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264"/>
      <c r="U960" s="439"/>
      <c r="V960" s="16"/>
      <c r="W960" s="119"/>
      <c r="X960" s="119"/>
      <c r="Y960" s="119"/>
      <c r="Z960" s="119"/>
      <c r="AA960" s="530">
        <f>IFERROR(__xludf.DUMMYFUNCTION("""COMPUTED_VALUE"""),1441.0)</f>
        <v>1441</v>
      </c>
      <c r="AB960" s="119"/>
      <c r="AC960" s="119"/>
      <c r="AD960" s="119"/>
      <c r="AE960" s="119"/>
      <c r="AF960" s="119"/>
      <c r="AG960" s="119"/>
      <c r="AH960" s="16"/>
      <c r="AI960" s="439"/>
      <c r="AJ960" s="439"/>
      <c r="AK960" s="439"/>
    </row>
    <row r="961" ht="18.75" customHeight="1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264"/>
      <c r="U961" s="439"/>
      <c r="V961" s="16"/>
      <c r="W961" s="119"/>
      <c r="X961" s="119"/>
      <c r="Y961" s="119"/>
      <c r="Z961" s="119"/>
      <c r="AA961" s="530">
        <f>IFERROR(__xludf.DUMMYFUNCTION("""COMPUTED_VALUE"""),1442.0)</f>
        <v>1442</v>
      </c>
      <c r="AB961" s="119"/>
      <c r="AC961" s="119"/>
      <c r="AD961" s="119"/>
      <c r="AE961" s="119"/>
      <c r="AF961" s="119"/>
      <c r="AG961" s="119"/>
      <c r="AH961" s="16"/>
      <c r="AI961" s="439"/>
      <c r="AJ961" s="439"/>
      <c r="AK961" s="439"/>
    </row>
    <row r="962" ht="18.75" customHeight="1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264"/>
      <c r="U962" s="439"/>
      <c r="V962" s="16"/>
      <c r="W962" s="119"/>
      <c r="X962" s="119"/>
      <c r="Y962" s="119"/>
      <c r="Z962" s="119"/>
      <c r="AA962" s="530">
        <f>IFERROR(__xludf.DUMMYFUNCTION("""COMPUTED_VALUE"""),1443.0)</f>
        <v>1443</v>
      </c>
      <c r="AB962" s="119"/>
      <c r="AC962" s="119"/>
      <c r="AD962" s="119"/>
      <c r="AE962" s="119"/>
      <c r="AF962" s="119"/>
      <c r="AG962" s="119"/>
      <c r="AH962" s="16"/>
      <c r="AI962" s="439"/>
      <c r="AJ962" s="439"/>
      <c r="AK962" s="439"/>
    </row>
    <row r="963" ht="18.75" customHeight="1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264"/>
      <c r="U963" s="439"/>
      <c r="V963" s="16"/>
      <c r="W963" s="119"/>
      <c r="X963" s="119"/>
      <c r="Y963" s="119"/>
      <c r="Z963" s="119"/>
      <c r="AA963" s="530">
        <f>IFERROR(__xludf.DUMMYFUNCTION("""COMPUTED_VALUE"""),1444.0)</f>
        <v>1444</v>
      </c>
      <c r="AB963" s="119"/>
      <c r="AC963" s="119"/>
      <c r="AD963" s="119"/>
      <c r="AE963" s="119"/>
      <c r="AF963" s="119"/>
      <c r="AG963" s="119"/>
      <c r="AH963" s="16"/>
      <c r="AI963" s="439"/>
      <c r="AJ963" s="439"/>
      <c r="AK963" s="439"/>
    </row>
    <row r="964" ht="18.75" customHeight="1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264"/>
      <c r="U964" s="439"/>
      <c r="V964" s="16"/>
      <c r="W964" s="119"/>
      <c r="X964" s="119"/>
      <c r="Y964" s="119"/>
      <c r="Z964" s="119"/>
      <c r="AA964" s="530">
        <f>IFERROR(__xludf.DUMMYFUNCTION("""COMPUTED_VALUE"""),1445.0)</f>
        <v>1445</v>
      </c>
      <c r="AB964" s="119"/>
      <c r="AC964" s="119"/>
      <c r="AD964" s="119"/>
      <c r="AE964" s="119"/>
      <c r="AF964" s="119"/>
      <c r="AG964" s="119"/>
      <c r="AH964" s="16"/>
      <c r="AI964" s="439"/>
      <c r="AJ964" s="439"/>
      <c r="AK964" s="439"/>
    </row>
    <row r="965" ht="18.75" customHeight="1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264"/>
      <c r="U965" s="439"/>
      <c r="V965" s="16"/>
      <c r="W965" s="119"/>
      <c r="X965" s="119"/>
      <c r="Y965" s="119"/>
      <c r="Z965" s="119"/>
      <c r="AA965" s="530">
        <f>IFERROR(__xludf.DUMMYFUNCTION("""COMPUTED_VALUE"""),1446.0)</f>
        <v>1446</v>
      </c>
      <c r="AB965" s="119"/>
      <c r="AC965" s="119"/>
      <c r="AD965" s="119"/>
      <c r="AE965" s="119"/>
      <c r="AF965" s="119"/>
      <c r="AG965" s="119"/>
      <c r="AH965" s="16"/>
      <c r="AI965" s="439"/>
      <c r="AJ965" s="439"/>
      <c r="AK965" s="439"/>
    </row>
    <row r="966" ht="18.75" customHeight="1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264"/>
      <c r="U966" s="439"/>
      <c r="V966" s="16"/>
      <c r="W966" s="119"/>
      <c r="X966" s="119"/>
      <c r="Y966" s="119"/>
      <c r="Z966" s="119"/>
      <c r="AA966" s="530">
        <f>IFERROR(__xludf.DUMMYFUNCTION("""COMPUTED_VALUE"""),1447.0)</f>
        <v>1447</v>
      </c>
      <c r="AB966" s="119"/>
      <c r="AC966" s="119"/>
      <c r="AD966" s="119"/>
      <c r="AE966" s="119"/>
      <c r="AF966" s="119"/>
      <c r="AG966" s="119"/>
      <c r="AH966" s="16"/>
      <c r="AI966" s="439"/>
      <c r="AJ966" s="439"/>
      <c r="AK966" s="439"/>
    </row>
    <row r="967" ht="18.75" customHeight="1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264"/>
      <c r="U967" s="439"/>
      <c r="V967" s="16"/>
      <c r="W967" s="119"/>
      <c r="X967" s="119"/>
      <c r="Y967" s="119"/>
      <c r="Z967" s="119"/>
      <c r="AA967" s="530">
        <f>IFERROR(__xludf.DUMMYFUNCTION("""COMPUTED_VALUE"""),1448.0)</f>
        <v>1448</v>
      </c>
      <c r="AB967" s="119"/>
      <c r="AC967" s="119"/>
      <c r="AD967" s="119"/>
      <c r="AE967" s="119"/>
      <c r="AF967" s="119"/>
      <c r="AG967" s="119"/>
      <c r="AH967" s="16"/>
      <c r="AI967" s="439"/>
      <c r="AJ967" s="439"/>
      <c r="AK967" s="439"/>
    </row>
    <row r="968" ht="18.75" customHeight="1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264"/>
      <c r="U968" s="439"/>
      <c r="V968" s="16"/>
      <c r="W968" s="119"/>
      <c r="X968" s="119"/>
      <c r="Y968" s="119"/>
      <c r="Z968" s="119"/>
      <c r="AA968" s="530">
        <f>IFERROR(__xludf.DUMMYFUNCTION("""COMPUTED_VALUE"""),1449.0)</f>
        <v>1449</v>
      </c>
      <c r="AB968" s="119"/>
      <c r="AC968" s="119"/>
      <c r="AD968" s="119"/>
      <c r="AE968" s="119"/>
      <c r="AF968" s="119"/>
      <c r="AG968" s="119"/>
      <c r="AH968" s="16"/>
      <c r="AI968" s="439"/>
      <c r="AJ968" s="439"/>
      <c r="AK968" s="439"/>
    </row>
    <row r="969" ht="18.75" customHeight="1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264"/>
      <c r="U969" s="439"/>
      <c r="V969" s="16"/>
      <c r="W969" s="119"/>
      <c r="X969" s="119"/>
      <c r="Y969" s="119"/>
      <c r="Z969" s="119"/>
      <c r="AA969" s="530">
        <f>IFERROR(__xludf.DUMMYFUNCTION("""COMPUTED_VALUE"""),1450.0)</f>
        <v>1450</v>
      </c>
      <c r="AB969" s="119"/>
      <c r="AC969" s="119"/>
      <c r="AD969" s="119"/>
      <c r="AE969" s="119"/>
      <c r="AF969" s="119"/>
      <c r="AG969" s="119"/>
      <c r="AH969" s="16"/>
      <c r="AI969" s="439"/>
      <c r="AJ969" s="439"/>
      <c r="AK969" s="439"/>
    </row>
    <row r="970" ht="18.75" customHeight="1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264"/>
      <c r="U970" s="439"/>
      <c r="V970" s="16"/>
      <c r="W970" s="119"/>
      <c r="X970" s="119"/>
      <c r="Y970" s="119"/>
      <c r="Z970" s="119"/>
      <c r="AA970" s="530">
        <f>IFERROR(__xludf.DUMMYFUNCTION("""COMPUTED_VALUE"""),1451.0)</f>
        <v>1451</v>
      </c>
      <c r="AB970" s="119"/>
      <c r="AC970" s="119"/>
      <c r="AD970" s="119"/>
      <c r="AE970" s="119"/>
      <c r="AF970" s="119"/>
      <c r="AG970" s="119"/>
      <c r="AH970" s="16"/>
      <c r="AI970" s="439"/>
      <c r="AJ970" s="439"/>
      <c r="AK970" s="439"/>
    </row>
    <row r="971" ht="18.75" customHeight="1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264"/>
      <c r="U971" s="439"/>
      <c r="V971" s="16"/>
      <c r="W971" s="119"/>
      <c r="X971" s="119"/>
      <c r="Y971" s="119"/>
      <c r="Z971" s="119"/>
      <c r="AA971" s="530">
        <f>IFERROR(__xludf.DUMMYFUNCTION("""COMPUTED_VALUE"""),1452.0)</f>
        <v>1452</v>
      </c>
      <c r="AB971" s="119"/>
      <c r="AC971" s="119"/>
      <c r="AD971" s="119"/>
      <c r="AE971" s="119"/>
      <c r="AF971" s="119"/>
      <c r="AG971" s="119"/>
      <c r="AH971" s="16"/>
      <c r="AI971" s="439"/>
      <c r="AJ971" s="439"/>
      <c r="AK971" s="439"/>
    </row>
    <row r="972" ht="18.75" customHeight="1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264"/>
      <c r="U972" s="439"/>
      <c r="V972" s="16"/>
      <c r="W972" s="119"/>
      <c r="X972" s="119"/>
      <c r="Y972" s="119"/>
      <c r="Z972" s="119"/>
      <c r="AA972" s="530">
        <f>IFERROR(__xludf.DUMMYFUNCTION("""COMPUTED_VALUE"""),1453.0)</f>
        <v>1453</v>
      </c>
      <c r="AB972" s="119"/>
      <c r="AC972" s="119"/>
      <c r="AD972" s="119"/>
      <c r="AE972" s="119"/>
      <c r="AF972" s="119"/>
      <c r="AG972" s="119"/>
      <c r="AH972" s="16"/>
      <c r="AI972" s="439"/>
      <c r="AJ972" s="439"/>
      <c r="AK972" s="439"/>
    </row>
    <row r="973" ht="18.75" customHeight="1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264"/>
      <c r="U973" s="439"/>
      <c r="V973" s="16"/>
      <c r="W973" s="119"/>
      <c r="X973" s="119"/>
      <c r="Y973" s="119"/>
      <c r="Z973" s="119"/>
      <c r="AA973" s="530">
        <f>IFERROR(__xludf.DUMMYFUNCTION("""COMPUTED_VALUE"""),1454.0)</f>
        <v>1454</v>
      </c>
      <c r="AB973" s="119"/>
      <c r="AC973" s="119"/>
      <c r="AD973" s="119"/>
      <c r="AE973" s="119"/>
      <c r="AF973" s="119"/>
      <c r="AG973" s="119"/>
      <c r="AH973" s="16"/>
      <c r="AI973" s="439"/>
      <c r="AJ973" s="439"/>
      <c r="AK973" s="439"/>
    </row>
    <row r="974" ht="18.75" customHeight="1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264"/>
      <c r="U974" s="439"/>
      <c r="V974" s="16"/>
      <c r="W974" s="119"/>
      <c r="X974" s="119"/>
      <c r="Y974" s="119"/>
      <c r="Z974" s="119"/>
      <c r="AA974" s="530">
        <f>IFERROR(__xludf.DUMMYFUNCTION("""COMPUTED_VALUE"""),1455.0)</f>
        <v>1455</v>
      </c>
      <c r="AB974" s="119"/>
      <c r="AC974" s="119"/>
      <c r="AD974" s="119"/>
      <c r="AE974" s="119"/>
      <c r="AF974" s="119"/>
      <c r="AG974" s="119"/>
      <c r="AH974" s="16"/>
      <c r="AI974" s="439"/>
      <c r="AJ974" s="439"/>
      <c r="AK974" s="439"/>
    </row>
    <row r="975" ht="18.75" customHeight="1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264"/>
      <c r="U975" s="439"/>
      <c r="V975" s="16"/>
      <c r="W975" s="119"/>
      <c r="X975" s="119"/>
      <c r="Y975" s="119"/>
      <c r="Z975" s="119"/>
      <c r="AA975" s="530">
        <f>IFERROR(__xludf.DUMMYFUNCTION("""COMPUTED_VALUE"""),1456.0)</f>
        <v>1456</v>
      </c>
      <c r="AB975" s="119"/>
      <c r="AC975" s="119"/>
      <c r="AD975" s="119"/>
      <c r="AE975" s="119"/>
      <c r="AF975" s="119"/>
      <c r="AG975" s="119"/>
      <c r="AH975" s="16"/>
      <c r="AI975" s="439"/>
      <c r="AJ975" s="439"/>
      <c r="AK975" s="439"/>
    </row>
    <row r="976" ht="18.75" customHeight="1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264"/>
      <c r="U976" s="439"/>
      <c r="V976" s="16"/>
      <c r="W976" s="119"/>
      <c r="X976" s="119"/>
      <c r="Y976" s="119"/>
      <c r="Z976" s="119"/>
      <c r="AA976" s="530">
        <f>IFERROR(__xludf.DUMMYFUNCTION("""COMPUTED_VALUE"""),1457.0)</f>
        <v>1457</v>
      </c>
      <c r="AB976" s="119"/>
      <c r="AC976" s="119"/>
      <c r="AD976" s="119"/>
      <c r="AE976" s="119"/>
      <c r="AF976" s="119"/>
      <c r="AG976" s="119"/>
      <c r="AH976" s="16"/>
      <c r="AI976" s="439"/>
      <c r="AJ976" s="439"/>
      <c r="AK976" s="439"/>
    </row>
    <row r="977" ht="18.75" customHeight="1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264"/>
      <c r="U977" s="439"/>
      <c r="V977" s="16"/>
      <c r="W977" s="119"/>
      <c r="X977" s="119"/>
      <c r="Y977" s="119"/>
      <c r="Z977" s="119"/>
      <c r="AA977" s="530">
        <f>IFERROR(__xludf.DUMMYFUNCTION("""COMPUTED_VALUE"""),1458.0)</f>
        <v>1458</v>
      </c>
      <c r="AB977" s="119"/>
      <c r="AC977" s="119"/>
      <c r="AD977" s="119"/>
      <c r="AE977" s="119"/>
      <c r="AF977" s="119"/>
      <c r="AG977" s="119"/>
      <c r="AH977" s="16"/>
      <c r="AI977" s="439"/>
      <c r="AJ977" s="439"/>
      <c r="AK977" s="439"/>
    </row>
    <row r="978" ht="18.75" customHeight="1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264"/>
      <c r="U978" s="439"/>
      <c r="V978" s="16"/>
      <c r="W978" s="119"/>
      <c r="X978" s="119"/>
      <c r="Y978" s="119"/>
      <c r="Z978" s="119"/>
      <c r="AA978" s="530">
        <f>IFERROR(__xludf.DUMMYFUNCTION("""COMPUTED_VALUE"""),1459.0)</f>
        <v>1459</v>
      </c>
      <c r="AB978" s="119"/>
      <c r="AC978" s="119"/>
      <c r="AD978" s="119"/>
      <c r="AE978" s="119"/>
      <c r="AF978" s="119"/>
      <c r="AG978" s="119"/>
      <c r="AH978" s="16"/>
      <c r="AI978" s="439"/>
      <c r="AJ978" s="439"/>
      <c r="AK978" s="439"/>
    </row>
    <row r="979" ht="18.75" customHeight="1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264"/>
      <c r="U979" s="439"/>
      <c r="V979" s="16"/>
      <c r="W979" s="119"/>
      <c r="X979" s="119"/>
      <c r="Y979" s="119"/>
      <c r="Z979" s="119"/>
      <c r="AA979" s="530">
        <f>IFERROR(__xludf.DUMMYFUNCTION("""COMPUTED_VALUE"""),1460.0)</f>
        <v>1460</v>
      </c>
      <c r="AB979" s="119"/>
      <c r="AC979" s="119"/>
      <c r="AD979" s="119"/>
      <c r="AE979" s="119"/>
      <c r="AF979" s="119"/>
      <c r="AG979" s="119"/>
      <c r="AH979" s="16"/>
      <c r="AI979" s="439"/>
      <c r="AJ979" s="439"/>
      <c r="AK979" s="439"/>
    </row>
    <row r="980" ht="18.75" customHeight="1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264"/>
      <c r="U980" s="439"/>
      <c r="V980" s="16"/>
      <c r="W980" s="119"/>
      <c r="X980" s="119"/>
      <c r="Y980" s="119"/>
      <c r="Z980" s="119"/>
      <c r="AA980" s="530">
        <f>IFERROR(__xludf.DUMMYFUNCTION("""COMPUTED_VALUE"""),1461.0)</f>
        <v>1461</v>
      </c>
      <c r="AB980" s="119"/>
      <c r="AC980" s="119"/>
      <c r="AD980" s="119"/>
      <c r="AE980" s="119"/>
      <c r="AF980" s="119"/>
      <c r="AG980" s="119"/>
      <c r="AH980" s="16"/>
      <c r="AI980" s="439"/>
      <c r="AJ980" s="439"/>
      <c r="AK980" s="439"/>
    </row>
    <row r="981" ht="18.75" customHeight="1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264"/>
      <c r="U981" s="439"/>
      <c r="V981" s="16"/>
      <c r="W981" s="119"/>
      <c r="X981" s="119"/>
      <c r="Y981" s="119"/>
      <c r="Z981" s="119"/>
      <c r="AA981" s="530">
        <f>IFERROR(__xludf.DUMMYFUNCTION("""COMPUTED_VALUE"""),1462.0)</f>
        <v>1462</v>
      </c>
      <c r="AB981" s="119"/>
      <c r="AC981" s="119"/>
      <c r="AD981" s="119"/>
      <c r="AE981" s="119"/>
      <c r="AF981" s="119"/>
      <c r="AG981" s="119"/>
      <c r="AH981" s="16"/>
      <c r="AI981" s="439"/>
      <c r="AJ981" s="439"/>
      <c r="AK981" s="439"/>
    </row>
    <row r="982" ht="18.75" customHeight="1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264"/>
      <c r="U982" s="439"/>
      <c r="V982" s="16"/>
      <c r="W982" s="119"/>
      <c r="X982" s="119"/>
      <c r="Y982" s="119"/>
      <c r="Z982" s="119"/>
      <c r="AA982" s="530">
        <f>IFERROR(__xludf.DUMMYFUNCTION("""COMPUTED_VALUE"""),1463.0)</f>
        <v>1463</v>
      </c>
      <c r="AB982" s="119"/>
      <c r="AC982" s="119"/>
      <c r="AD982" s="119"/>
      <c r="AE982" s="119"/>
      <c r="AF982" s="119"/>
      <c r="AG982" s="119"/>
      <c r="AH982" s="16"/>
      <c r="AI982" s="439"/>
      <c r="AJ982" s="439"/>
      <c r="AK982" s="439"/>
    </row>
    <row r="983" ht="18.75" customHeight="1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264"/>
      <c r="U983" s="439"/>
      <c r="V983" s="16"/>
      <c r="W983" s="119"/>
      <c r="X983" s="119"/>
      <c r="Y983" s="119"/>
      <c r="Z983" s="119"/>
      <c r="AA983" s="530">
        <f>IFERROR(__xludf.DUMMYFUNCTION("""COMPUTED_VALUE"""),1464.0)</f>
        <v>1464</v>
      </c>
      <c r="AB983" s="119"/>
      <c r="AC983" s="119"/>
      <c r="AD983" s="119"/>
      <c r="AE983" s="119"/>
      <c r="AF983" s="119"/>
      <c r="AG983" s="119"/>
      <c r="AH983" s="16"/>
      <c r="AI983" s="439"/>
      <c r="AJ983" s="439"/>
      <c r="AK983" s="439"/>
    </row>
    <row r="984" ht="18.75" customHeight="1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264"/>
      <c r="U984" s="439"/>
      <c r="V984" s="16"/>
      <c r="W984" s="119"/>
      <c r="X984" s="119"/>
      <c r="Y984" s="119"/>
      <c r="Z984" s="119"/>
      <c r="AA984" s="530">
        <f>IFERROR(__xludf.DUMMYFUNCTION("""COMPUTED_VALUE"""),1465.0)</f>
        <v>1465</v>
      </c>
      <c r="AB984" s="119"/>
      <c r="AC984" s="119"/>
      <c r="AD984" s="119"/>
      <c r="AE984" s="119"/>
      <c r="AF984" s="119"/>
      <c r="AG984" s="119"/>
      <c r="AH984" s="16"/>
      <c r="AI984" s="439"/>
      <c r="AJ984" s="439"/>
      <c r="AK984" s="439"/>
    </row>
    <row r="985" ht="18.75" customHeight="1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264"/>
      <c r="U985" s="439"/>
      <c r="V985" s="16"/>
      <c r="W985" s="119"/>
      <c r="X985" s="119"/>
      <c r="Y985" s="119"/>
      <c r="Z985" s="119"/>
      <c r="AA985" s="530">
        <f>IFERROR(__xludf.DUMMYFUNCTION("""COMPUTED_VALUE"""),1466.0)</f>
        <v>1466</v>
      </c>
      <c r="AB985" s="119"/>
      <c r="AC985" s="119"/>
      <c r="AD985" s="119"/>
      <c r="AE985" s="119"/>
      <c r="AF985" s="119"/>
      <c r="AG985" s="119"/>
      <c r="AH985" s="16"/>
      <c r="AI985" s="439"/>
      <c r="AJ985" s="439"/>
      <c r="AK985" s="439"/>
    </row>
    <row r="986" ht="18.75" customHeight="1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264"/>
      <c r="U986" s="439"/>
      <c r="V986" s="16"/>
      <c r="W986" s="119"/>
      <c r="X986" s="119"/>
      <c r="Y986" s="119"/>
      <c r="Z986" s="119"/>
      <c r="AA986" s="530">
        <f>IFERROR(__xludf.DUMMYFUNCTION("""COMPUTED_VALUE"""),1467.0)</f>
        <v>1467</v>
      </c>
      <c r="AB986" s="119"/>
      <c r="AC986" s="119"/>
      <c r="AD986" s="119"/>
      <c r="AE986" s="119"/>
      <c r="AF986" s="119"/>
      <c r="AG986" s="119"/>
      <c r="AH986" s="16"/>
      <c r="AI986" s="439"/>
      <c r="AJ986" s="439"/>
      <c r="AK986" s="439"/>
    </row>
    <row r="987" ht="18.75" customHeight="1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264"/>
      <c r="U987" s="439"/>
      <c r="V987" s="16"/>
      <c r="W987" s="119"/>
      <c r="X987" s="119"/>
      <c r="Y987" s="119"/>
      <c r="Z987" s="119"/>
      <c r="AA987" s="530">
        <f>IFERROR(__xludf.DUMMYFUNCTION("""COMPUTED_VALUE"""),1468.0)</f>
        <v>1468</v>
      </c>
      <c r="AB987" s="119"/>
      <c r="AC987" s="119"/>
      <c r="AD987" s="119"/>
      <c r="AE987" s="119"/>
      <c r="AF987" s="119"/>
      <c r="AG987" s="119"/>
      <c r="AH987" s="16"/>
      <c r="AI987" s="439"/>
      <c r="AJ987" s="439"/>
      <c r="AK987" s="439"/>
    </row>
    <row r="988" ht="18.75" customHeight="1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264"/>
      <c r="U988" s="439"/>
      <c r="V988" s="16"/>
      <c r="W988" s="119"/>
      <c r="X988" s="119"/>
      <c r="Y988" s="119"/>
      <c r="Z988" s="119"/>
      <c r="AA988" s="530">
        <f>IFERROR(__xludf.DUMMYFUNCTION("""COMPUTED_VALUE"""),1469.0)</f>
        <v>1469</v>
      </c>
      <c r="AB988" s="119"/>
      <c r="AC988" s="119"/>
      <c r="AD988" s="119"/>
      <c r="AE988" s="119"/>
      <c r="AF988" s="119"/>
      <c r="AG988" s="119"/>
      <c r="AH988" s="16"/>
      <c r="AI988" s="439"/>
      <c r="AJ988" s="439"/>
      <c r="AK988" s="439"/>
    </row>
    <row r="989" ht="18.75" customHeight="1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264"/>
      <c r="U989" s="439"/>
      <c r="V989" s="16"/>
      <c r="W989" s="119"/>
      <c r="X989" s="119"/>
      <c r="Y989" s="119"/>
      <c r="Z989" s="119"/>
      <c r="AA989" s="530">
        <f>IFERROR(__xludf.DUMMYFUNCTION("""COMPUTED_VALUE"""),1470.0)</f>
        <v>1470</v>
      </c>
      <c r="AB989" s="119"/>
      <c r="AC989" s="119"/>
      <c r="AD989" s="119"/>
      <c r="AE989" s="119"/>
      <c r="AF989" s="119"/>
      <c r="AG989" s="119"/>
      <c r="AH989" s="16"/>
      <c r="AI989" s="439"/>
      <c r="AJ989" s="439"/>
      <c r="AK989" s="439"/>
    </row>
    <row r="990" ht="18.75" customHeight="1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264"/>
      <c r="U990" s="439"/>
      <c r="V990" s="16"/>
      <c r="W990" s="119"/>
      <c r="X990" s="119"/>
      <c r="Y990" s="119"/>
      <c r="Z990" s="119"/>
      <c r="AA990" s="530">
        <f>IFERROR(__xludf.DUMMYFUNCTION("""COMPUTED_VALUE"""),1471.0)</f>
        <v>1471</v>
      </c>
      <c r="AB990" s="119"/>
      <c r="AC990" s="119"/>
      <c r="AD990" s="119"/>
      <c r="AE990" s="119"/>
      <c r="AF990" s="119"/>
      <c r="AG990" s="119"/>
      <c r="AH990" s="16"/>
      <c r="AI990" s="439"/>
      <c r="AJ990" s="439"/>
      <c r="AK990" s="439"/>
    </row>
    <row r="991" ht="18.75" customHeight="1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264"/>
      <c r="U991" s="439"/>
      <c r="V991" s="16"/>
      <c r="W991" s="119"/>
      <c r="X991" s="119"/>
      <c r="Y991" s="119"/>
      <c r="Z991" s="119"/>
      <c r="AA991" s="530">
        <f>IFERROR(__xludf.DUMMYFUNCTION("""COMPUTED_VALUE"""),1472.0)</f>
        <v>1472</v>
      </c>
      <c r="AB991" s="119"/>
      <c r="AC991" s="119"/>
      <c r="AD991" s="119"/>
      <c r="AE991" s="119"/>
      <c r="AF991" s="119"/>
      <c r="AG991" s="119"/>
      <c r="AH991" s="16"/>
      <c r="AI991" s="439"/>
      <c r="AJ991" s="439"/>
      <c r="AK991" s="439"/>
    </row>
    <row r="992" ht="18.75" customHeight="1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264"/>
      <c r="U992" s="439"/>
      <c r="V992" s="16"/>
      <c r="W992" s="119"/>
      <c r="X992" s="119"/>
      <c r="Y992" s="119"/>
      <c r="Z992" s="119"/>
      <c r="AA992" s="530">
        <f>IFERROR(__xludf.DUMMYFUNCTION("""COMPUTED_VALUE"""),1473.0)</f>
        <v>1473</v>
      </c>
      <c r="AB992" s="119"/>
      <c r="AC992" s="119"/>
      <c r="AD992" s="119"/>
      <c r="AE992" s="119"/>
      <c r="AF992" s="119"/>
      <c r="AG992" s="119"/>
      <c r="AH992" s="16"/>
      <c r="AI992" s="439"/>
      <c r="AJ992" s="439"/>
      <c r="AK992" s="439"/>
    </row>
    <row r="993" ht="18.75" customHeight="1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264"/>
      <c r="U993" s="439"/>
      <c r="V993" s="16"/>
      <c r="W993" s="119"/>
      <c r="X993" s="119"/>
      <c r="Y993" s="119"/>
      <c r="Z993" s="119"/>
      <c r="AA993" s="530">
        <f>IFERROR(__xludf.DUMMYFUNCTION("""COMPUTED_VALUE"""),1474.0)</f>
        <v>1474</v>
      </c>
      <c r="AB993" s="119"/>
      <c r="AC993" s="119"/>
      <c r="AD993" s="119"/>
      <c r="AE993" s="119"/>
      <c r="AF993" s="119"/>
      <c r="AG993" s="119"/>
      <c r="AH993" s="16"/>
      <c r="AI993" s="439"/>
      <c r="AJ993" s="439"/>
      <c r="AK993" s="439"/>
    </row>
    <row r="994" ht="18.75" customHeight="1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264"/>
      <c r="U994" s="439"/>
      <c r="V994" s="16"/>
      <c r="W994" s="119"/>
      <c r="X994" s="119"/>
      <c r="Y994" s="119"/>
      <c r="Z994" s="119"/>
      <c r="AA994" s="530">
        <f>IFERROR(__xludf.DUMMYFUNCTION("""COMPUTED_VALUE"""),1475.0)</f>
        <v>1475</v>
      </c>
      <c r="AB994" s="119"/>
      <c r="AC994" s="119"/>
      <c r="AD994" s="119"/>
      <c r="AE994" s="119"/>
      <c r="AF994" s="119"/>
      <c r="AG994" s="119"/>
      <c r="AH994" s="16"/>
      <c r="AI994" s="439"/>
      <c r="AJ994" s="439"/>
      <c r="AK994" s="439"/>
    </row>
    <row r="995" ht="18.75" customHeight="1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264"/>
      <c r="U995" s="439"/>
      <c r="V995" s="16"/>
      <c r="W995" s="119"/>
      <c r="X995" s="119"/>
      <c r="Y995" s="119"/>
      <c r="Z995" s="119"/>
      <c r="AA995" s="530">
        <f>IFERROR(__xludf.DUMMYFUNCTION("""COMPUTED_VALUE"""),1476.0)</f>
        <v>1476</v>
      </c>
      <c r="AB995" s="119"/>
      <c r="AC995" s="119"/>
      <c r="AD995" s="119"/>
      <c r="AE995" s="119"/>
      <c r="AF995" s="119"/>
      <c r="AG995" s="119"/>
      <c r="AH995" s="16"/>
      <c r="AI995" s="439"/>
      <c r="AJ995" s="439"/>
      <c r="AK995" s="439"/>
    </row>
    <row r="996" ht="18.75" customHeight="1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264"/>
      <c r="U996" s="439"/>
      <c r="V996" s="16"/>
      <c r="W996" s="119"/>
      <c r="X996" s="119"/>
      <c r="Y996" s="119"/>
      <c r="Z996" s="119"/>
      <c r="AA996" s="530">
        <f>IFERROR(__xludf.DUMMYFUNCTION("""COMPUTED_VALUE"""),1477.0)</f>
        <v>1477</v>
      </c>
      <c r="AB996" s="119"/>
      <c r="AC996" s="119"/>
      <c r="AD996" s="119"/>
      <c r="AE996" s="119"/>
      <c r="AF996" s="119"/>
      <c r="AG996" s="119"/>
      <c r="AH996" s="16"/>
      <c r="AI996" s="439"/>
      <c r="AJ996" s="439"/>
      <c r="AK996" s="439"/>
    </row>
    <row r="997" ht="18.75" customHeight="1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264"/>
      <c r="U997" s="439"/>
      <c r="V997" s="16"/>
      <c r="W997" s="119"/>
      <c r="X997" s="119"/>
      <c r="Y997" s="119"/>
      <c r="Z997" s="119"/>
      <c r="AA997" s="530">
        <f>IFERROR(__xludf.DUMMYFUNCTION("""COMPUTED_VALUE"""),1478.0)</f>
        <v>1478</v>
      </c>
      <c r="AB997" s="119"/>
      <c r="AC997" s="119"/>
      <c r="AD997" s="119"/>
      <c r="AE997" s="119"/>
      <c r="AF997" s="119"/>
      <c r="AG997" s="119"/>
      <c r="AH997" s="16"/>
      <c r="AI997" s="439"/>
      <c r="AJ997" s="439"/>
      <c r="AK997" s="439"/>
    </row>
    <row r="998" ht="18.75" customHeight="1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264"/>
      <c r="U998" s="439"/>
      <c r="V998" s="16"/>
      <c r="W998" s="119"/>
      <c r="X998" s="119"/>
      <c r="Y998" s="119"/>
      <c r="Z998" s="119"/>
      <c r="AA998" s="530">
        <f>IFERROR(__xludf.DUMMYFUNCTION("""COMPUTED_VALUE"""),1479.0)</f>
        <v>1479</v>
      </c>
      <c r="AB998" s="119"/>
      <c r="AC998" s="119"/>
      <c r="AD998" s="119"/>
      <c r="AE998" s="119"/>
      <c r="AF998" s="119"/>
      <c r="AG998" s="119"/>
      <c r="AH998" s="16"/>
      <c r="AI998" s="439"/>
      <c r="AJ998" s="439"/>
      <c r="AK998" s="439"/>
    </row>
    <row r="999" ht="18.75" customHeight="1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264"/>
      <c r="U999" s="439"/>
      <c r="V999" s="16"/>
      <c r="W999" s="119"/>
      <c r="X999" s="119"/>
      <c r="Y999" s="119"/>
      <c r="Z999" s="119"/>
      <c r="AA999" s="530">
        <f>IFERROR(__xludf.DUMMYFUNCTION("""COMPUTED_VALUE"""),1480.0)</f>
        <v>1480</v>
      </c>
      <c r="AB999" s="119"/>
      <c r="AC999" s="119"/>
      <c r="AD999" s="119"/>
      <c r="AE999" s="119"/>
      <c r="AF999" s="119"/>
      <c r="AG999" s="119"/>
      <c r="AH999" s="16"/>
      <c r="AI999" s="439"/>
      <c r="AJ999" s="439"/>
      <c r="AK999" s="439"/>
    </row>
    <row r="1000" ht="18.75" customHeight="1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264"/>
      <c r="U1000" s="439"/>
      <c r="V1000" s="16"/>
      <c r="W1000" s="119"/>
      <c r="X1000" s="119"/>
      <c r="Y1000" s="119"/>
      <c r="Z1000" s="119"/>
      <c r="AA1000" s="530">
        <f>IFERROR(__xludf.DUMMYFUNCTION("""COMPUTED_VALUE"""),1481.0)</f>
        <v>1481</v>
      </c>
      <c r="AB1000" s="119"/>
      <c r="AC1000" s="119"/>
      <c r="AD1000" s="119"/>
      <c r="AE1000" s="119"/>
      <c r="AF1000" s="119"/>
      <c r="AG1000" s="119"/>
      <c r="AH1000" s="16"/>
      <c r="AI1000" s="439"/>
      <c r="AJ1000" s="439"/>
      <c r="AK1000" s="439"/>
    </row>
    <row r="1001" ht="18.75" customHeight="1">
      <c r="A1001" s="439"/>
      <c r="B1001" s="439"/>
      <c r="C1001" s="439"/>
      <c r="D1001" s="439"/>
      <c r="E1001" s="439"/>
      <c r="F1001" s="439"/>
      <c r="G1001" s="439"/>
      <c r="H1001" s="439"/>
      <c r="I1001" s="439"/>
      <c r="J1001" s="439"/>
      <c r="K1001" s="439"/>
      <c r="L1001" s="439"/>
      <c r="M1001" s="439"/>
      <c r="N1001" s="439"/>
      <c r="O1001" s="439"/>
      <c r="P1001" s="439"/>
      <c r="Q1001" s="439"/>
      <c r="R1001" s="439"/>
      <c r="S1001" s="439"/>
      <c r="T1001" s="264"/>
      <c r="U1001" s="439"/>
      <c r="V1001" s="16"/>
      <c r="W1001" s="119"/>
      <c r="X1001" s="119"/>
      <c r="Y1001" s="119"/>
      <c r="Z1001" s="119"/>
      <c r="AA1001" s="530">
        <f>IFERROR(__xludf.DUMMYFUNCTION("""COMPUTED_VALUE"""),1482.0)</f>
        <v>1482</v>
      </c>
      <c r="AB1001" s="119"/>
      <c r="AC1001" s="119"/>
      <c r="AD1001" s="119"/>
      <c r="AE1001" s="119"/>
      <c r="AF1001" s="119"/>
      <c r="AG1001" s="119"/>
      <c r="AH1001" s="16"/>
      <c r="AI1001" s="439"/>
      <c r="AJ1001" s="439"/>
      <c r="AK1001" s="439"/>
    </row>
    <row r="1002" ht="18.75" customHeight="1">
      <c r="A1002" s="439"/>
      <c r="B1002" s="439"/>
      <c r="C1002" s="439"/>
      <c r="D1002" s="439"/>
      <c r="E1002" s="439"/>
      <c r="F1002" s="439"/>
      <c r="G1002" s="439"/>
      <c r="H1002" s="439"/>
      <c r="I1002" s="439"/>
      <c r="J1002" s="439"/>
      <c r="K1002" s="439"/>
      <c r="L1002" s="439"/>
      <c r="M1002" s="439"/>
      <c r="N1002" s="439"/>
      <c r="O1002" s="439"/>
      <c r="P1002" s="439"/>
      <c r="Q1002" s="439"/>
      <c r="R1002" s="439"/>
      <c r="S1002" s="439"/>
      <c r="T1002" s="264"/>
      <c r="U1002" s="439"/>
      <c r="V1002" s="16"/>
      <c r="W1002" s="119"/>
      <c r="X1002" s="119"/>
      <c r="Y1002" s="119"/>
      <c r="Z1002" s="119"/>
      <c r="AA1002" s="530">
        <f>IFERROR(__xludf.DUMMYFUNCTION("""COMPUTED_VALUE"""),1483.0)</f>
        <v>1483</v>
      </c>
      <c r="AB1002" s="119"/>
      <c r="AC1002" s="119"/>
      <c r="AD1002" s="119"/>
      <c r="AE1002" s="119"/>
      <c r="AF1002" s="119"/>
      <c r="AG1002" s="119"/>
      <c r="AH1002" s="16"/>
      <c r="AI1002" s="439"/>
      <c r="AJ1002" s="439"/>
      <c r="AK1002" s="439"/>
    </row>
    <row r="1003" ht="18.75" customHeight="1">
      <c r="A1003" s="439"/>
      <c r="B1003" s="439"/>
      <c r="C1003" s="439"/>
      <c r="D1003" s="439"/>
      <c r="E1003" s="439"/>
      <c r="F1003" s="439"/>
      <c r="G1003" s="439"/>
      <c r="H1003" s="439"/>
      <c r="I1003" s="439"/>
      <c r="J1003" s="439"/>
      <c r="K1003" s="439"/>
      <c r="L1003" s="439"/>
      <c r="M1003" s="439"/>
      <c r="N1003" s="439"/>
      <c r="O1003" s="439"/>
      <c r="P1003" s="439"/>
      <c r="Q1003" s="439"/>
      <c r="R1003" s="439"/>
      <c r="S1003" s="439"/>
      <c r="T1003" s="264"/>
      <c r="U1003" s="439"/>
      <c r="V1003" s="16"/>
      <c r="W1003" s="119"/>
      <c r="X1003" s="119"/>
      <c r="Y1003" s="119"/>
      <c r="Z1003" s="119"/>
      <c r="AA1003" s="530">
        <f>IFERROR(__xludf.DUMMYFUNCTION("""COMPUTED_VALUE"""),1484.0)</f>
        <v>1484</v>
      </c>
      <c r="AB1003" s="119"/>
      <c r="AC1003" s="119"/>
      <c r="AD1003" s="119"/>
      <c r="AE1003" s="119"/>
      <c r="AF1003" s="119"/>
      <c r="AG1003" s="119"/>
      <c r="AH1003" s="16"/>
      <c r="AI1003" s="439"/>
      <c r="AJ1003" s="439"/>
      <c r="AK1003" s="439"/>
    </row>
    <row r="1004" ht="18.75" customHeight="1">
      <c r="A1004" s="439"/>
      <c r="B1004" s="439"/>
      <c r="C1004" s="439"/>
      <c r="D1004" s="439"/>
      <c r="E1004" s="439"/>
      <c r="F1004" s="439"/>
      <c r="G1004" s="439"/>
      <c r="H1004" s="439"/>
      <c r="I1004" s="439"/>
      <c r="J1004" s="439"/>
      <c r="K1004" s="439"/>
      <c r="L1004" s="439"/>
      <c r="M1004" s="439"/>
      <c r="N1004" s="439"/>
      <c r="O1004" s="439"/>
      <c r="P1004" s="439"/>
      <c r="Q1004" s="439"/>
      <c r="R1004" s="439"/>
      <c r="S1004" s="439"/>
      <c r="T1004" s="264"/>
      <c r="U1004" s="439"/>
      <c r="V1004" s="16"/>
      <c r="W1004" s="119"/>
      <c r="X1004" s="119"/>
      <c r="Y1004" s="119"/>
      <c r="Z1004" s="119"/>
      <c r="AA1004" s="530">
        <f>IFERROR(__xludf.DUMMYFUNCTION("""COMPUTED_VALUE"""),1485.0)</f>
        <v>1485</v>
      </c>
      <c r="AB1004" s="119"/>
      <c r="AC1004" s="119"/>
      <c r="AD1004" s="119"/>
      <c r="AE1004" s="119"/>
      <c r="AF1004" s="119"/>
      <c r="AG1004" s="119"/>
      <c r="AH1004" s="16"/>
      <c r="AI1004" s="439"/>
      <c r="AJ1004" s="439"/>
      <c r="AK1004" s="439"/>
    </row>
    <row r="1005" ht="18.75" customHeight="1">
      <c r="A1005" s="439"/>
      <c r="B1005" s="439"/>
      <c r="C1005" s="439"/>
      <c r="D1005" s="439"/>
      <c r="E1005" s="439"/>
      <c r="F1005" s="439"/>
      <c r="G1005" s="439"/>
      <c r="H1005" s="439"/>
      <c r="I1005" s="439"/>
      <c r="J1005" s="439"/>
      <c r="K1005" s="439"/>
      <c r="L1005" s="439"/>
      <c r="M1005" s="439"/>
      <c r="N1005" s="439"/>
      <c r="O1005" s="439"/>
      <c r="P1005" s="439"/>
      <c r="Q1005" s="439"/>
      <c r="R1005" s="439"/>
      <c r="S1005" s="439"/>
      <c r="T1005" s="264"/>
      <c r="U1005" s="439"/>
      <c r="V1005" s="16"/>
      <c r="W1005" s="119"/>
      <c r="X1005" s="119"/>
      <c r="Y1005" s="119"/>
      <c r="Z1005" s="119"/>
      <c r="AA1005" s="530">
        <f>IFERROR(__xludf.DUMMYFUNCTION("""COMPUTED_VALUE"""),1486.0)</f>
        <v>1486</v>
      </c>
      <c r="AB1005" s="119"/>
      <c r="AC1005" s="119"/>
      <c r="AD1005" s="119"/>
      <c r="AE1005" s="119"/>
      <c r="AF1005" s="119"/>
      <c r="AG1005" s="119"/>
      <c r="AH1005" s="16"/>
      <c r="AI1005" s="439"/>
      <c r="AJ1005" s="439"/>
      <c r="AK1005" s="439"/>
    </row>
    <row r="1006" ht="18.75" customHeight="1">
      <c r="A1006" s="439"/>
      <c r="B1006" s="439"/>
      <c r="C1006" s="439"/>
      <c r="D1006" s="439"/>
      <c r="E1006" s="439"/>
      <c r="F1006" s="439"/>
      <c r="G1006" s="439"/>
      <c r="H1006" s="439"/>
      <c r="I1006" s="439"/>
      <c r="J1006" s="439"/>
      <c r="K1006" s="439"/>
      <c r="L1006" s="439"/>
      <c r="M1006" s="439"/>
      <c r="N1006" s="439"/>
      <c r="O1006" s="439"/>
      <c r="P1006" s="439"/>
      <c r="Q1006" s="439"/>
      <c r="R1006" s="439"/>
      <c r="S1006" s="439"/>
      <c r="T1006" s="264"/>
      <c r="U1006" s="439"/>
      <c r="V1006" s="16"/>
      <c r="W1006" s="119"/>
      <c r="X1006" s="119"/>
      <c r="Y1006" s="119"/>
      <c r="Z1006" s="119"/>
      <c r="AA1006" s="530">
        <f>IFERROR(__xludf.DUMMYFUNCTION("""COMPUTED_VALUE"""),1487.0)</f>
        <v>1487</v>
      </c>
      <c r="AB1006" s="119"/>
      <c r="AC1006" s="119"/>
      <c r="AD1006" s="119"/>
      <c r="AE1006" s="119"/>
      <c r="AF1006" s="119"/>
      <c r="AG1006" s="119"/>
      <c r="AH1006" s="16"/>
      <c r="AI1006" s="439"/>
      <c r="AJ1006" s="439"/>
      <c r="AK1006" s="439"/>
    </row>
    <row r="1007" ht="18.75" customHeight="1">
      <c r="A1007" s="439"/>
      <c r="B1007" s="439"/>
      <c r="C1007" s="439"/>
      <c r="D1007" s="439"/>
      <c r="E1007" s="439"/>
      <c r="F1007" s="439"/>
      <c r="G1007" s="439"/>
      <c r="H1007" s="439"/>
      <c r="I1007" s="439"/>
      <c r="J1007" s="439"/>
      <c r="K1007" s="439"/>
      <c r="L1007" s="439"/>
      <c r="M1007" s="439"/>
      <c r="N1007" s="439"/>
      <c r="O1007" s="439"/>
      <c r="P1007" s="439"/>
      <c r="Q1007" s="439"/>
      <c r="R1007" s="439"/>
      <c r="S1007" s="439"/>
      <c r="T1007" s="264"/>
      <c r="U1007" s="439"/>
      <c r="V1007" s="16"/>
      <c r="W1007" s="119"/>
      <c r="X1007" s="119"/>
      <c r="Y1007" s="119"/>
      <c r="Z1007" s="119"/>
      <c r="AA1007" s="530">
        <f>IFERROR(__xludf.DUMMYFUNCTION("""COMPUTED_VALUE"""),1488.0)</f>
        <v>1488</v>
      </c>
      <c r="AB1007" s="119"/>
      <c r="AC1007" s="119"/>
      <c r="AD1007" s="119"/>
      <c r="AE1007" s="119"/>
      <c r="AF1007" s="119"/>
      <c r="AG1007" s="119"/>
      <c r="AH1007" s="16"/>
      <c r="AI1007" s="439"/>
      <c r="AJ1007" s="439"/>
      <c r="AK1007" s="439"/>
    </row>
    <row r="1008" ht="18.75" customHeight="1">
      <c r="A1008" s="439"/>
      <c r="B1008" s="439"/>
      <c r="C1008" s="439"/>
      <c r="D1008" s="439"/>
      <c r="E1008" s="439"/>
      <c r="F1008" s="439"/>
      <c r="G1008" s="439"/>
      <c r="H1008" s="439"/>
      <c r="I1008" s="439"/>
      <c r="J1008" s="439"/>
      <c r="K1008" s="439"/>
      <c r="L1008" s="439"/>
      <c r="M1008" s="439"/>
      <c r="N1008" s="439"/>
      <c r="O1008" s="439"/>
      <c r="P1008" s="439"/>
      <c r="Q1008" s="439"/>
      <c r="R1008" s="439"/>
      <c r="S1008" s="439"/>
      <c r="T1008" s="264"/>
      <c r="U1008" s="439"/>
      <c r="V1008" s="16"/>
      <c r="W1008" s="119"/>
      <c r="X1008" s="119"/>
      <c r="Y1008" s="119"/>
      <c r="Z1008" s="119"/>
      <c r="AA1008" s="530">
        <f>IFERROR(__xludf.DUMMYFUNCTION("""COMPUTED_VALUE"""),1489.0)</f>
        <v>1489</v>
      </c>
      <c r="AB1008" s="119"/>
      <c r="AC1008" s="119"/>
      <c r="AD1008" s="119"/>
      <c r="AE1008" s="119"/>
      <c r="AF1008" s="119"/>
      <c r="AG1008" s="119"/>
      <c r="AH1008" s="16"/>
      <c r="AI1008" s="439"/>
      <c r="AJ1008" s="439"/>
      <c r="AK1008" s="439"/>
    </row>
    <row r="1009" ht="18.75" customHeight="1">
      <c r="A1009" s="439"/>
      <c r="B1009" s="439"/>
      <c r="C1009" s="439"/>
      <c r="D1009" s="439"/>
      <c r="E1009" s="439"/>
      <c r="F1009" s="439"/>
      <c r="G1009" s="439"/>
      <c r="H1009" s="439"/>
      <c r="I1009" s="439"/>
      <c r="J1009" s="439"/>
      <c r="K1009" s="439"/>
      <c r="L1009" s="439"/>
      <c r="M1009" s="439"/>
      <c r="N1009" s="439"/>
      <c r="O1009" s="439"/>
      <c r="P1009" s="439"/>
      <c r="Q1009" s="439"/>
      <c r="R1009" s="439"/>
      <c r="S1009" s="439"/>
      <c r="T1009" s="264"/>
      <c r="U1009" s="439"/>
      <c r="V1009" s="16"/>
      <c r="W1009" s="119"/>
      <c r="X1009" s="119"/>
      <c r="Y1009" s="119"/>
      <c r="Z1009" s="119"/>
      <c r="AA1009" s="530">
        <f>IFERROR(__xludf.DUMMYFUNCTION("""COMPUTED_VALUE"""),1490.0)</f>
        <v>1490</v>
      </c>
      <c r="AB1009" s="119"/>
      <c r="AC1009" s="119"/>
      <c r="AD1009" s="119"/>
      <c r="AE1009" s="119"/>
      <c r="AF1009" s="119"/>
      <c r="AG1009" s="119"/>
      <c r="AH1009" s="16"/>
      <c r="AI1009" s="439"/>
      <c r="AJ1009" s="439"/>
      <c r="AK1009" s="439"/>
    </row>
    <row r="1010" ht="18.75" customHeight="1">
      <c r="A1010" s="439"/>
      <c r="B1010" s="439"/>
      <c r="C1010" s="439"/>
      <c r="D1010" s="439"/>
      <c r="E1010" s="439"/>
      <c r="F1010" s="439"/>
      <c r="G1010" s="439"/>
      <c r="H1010" s="439"/>
      <c r="I1010" s="439"/>
      <c r="J1010" s="439"/>
      <c r="K1010" s="439"/>
      <c r="L1010" s="439"/>
      <c r="M1010" s="439"/>
      <c r="N1010" s="439"/>
      <c r="O1010" s="439"/>
      <c r="P1010" s="439"/>
      <c r="Q1010" s="439"/>
      <c r="R1010" s="439"/>
      <c r="S1010" s="439"/>
      <c r="T1010" s="264"/>
      <c r="U1010" s="439"/>
      <c r="V1010" s="16"/>
      <c r="W1010" s="119"/>
      <c r="X1010" s="119"/>
      <c r="Y1010" s="119"/>
      <c r="Z1010" s="119"/>
      <c r="AA1010" s="530">
        <f>IFERROR(__xludf.DUMMYFUNCTION("""COMPUTED_VALUE"""),1491.0)</f>
        <v>1491</v>
      </c>
      <c r="AB1010" s="119"/>
      <c r="AC1010" s="119"/>
      <c r="AD1010" s="119"/>
      <c r="AE1010" s="119"/>
      <c r="AF1010" s="119"/>
      <c r="AG1010" s="119"/>
      <c r="AH1010" s="16"/>
      <c r="AI1010" s="439"/>
      <c r="AJ1010" s="439"/>
      <c r="AK1010" s="439"/>
    </row>
    <row r="1011" ht="18.75" customHeight="1">
      <c r="A1011" s="439"/>
      <c r="B1011" s="439"/>
      <c r="C1011" s="439"/>
      <c r="D1011" s="439"/>
      <c r="E1011" s="439"/>
      <c r="F1011" s="439"/>
      <c r="G1011" s="439"/>
      <c r="H1011" s="439"/>
      <c r="I1011" s="439"/>
      <c r="J1011" s="439"/>
      <c r="K1011" s="439"/>
      <c r="L1011" s="439"/>
      <c r="M1011" s="439"/>
      <c r="N1011" s="439"/>
      <c r="O1011" s="439"/>
      <c r="P1011" s="439"/>
      <c r="Q1011" s="439"/>
      <c r="R1011" s="439"/>
      <c r="S1011" s="439"/>
      <c r="T1011" s="264"/>
      <c r="U1011" s="439"/>
      <c r="V1011" s="16"/>
      <c r="W1011" s="119"/>
      <c r="X1011" s="119"/>
      <c r="Y1011" s="119"/>
      <c r="Z1011" s="119"/>
      <c r="AA1011" s="119"/>
      <c r="AB1011" s="119"/>
      <c r="AC1011" s="119"/>
      <c r="AD1011" s="119"/>
      <c r="AE1011" s="119"/>
      <c r="AF1011" s="119"/>
      <c r="AG1011" s="119"/>
      <c r="AH1011" s="16"/>
      <c r="AI1011" s="439"/>
      <c r="AJ1011" s="439"/>
      <c r="AK1011" s="439"/>
    </row>
    <row r="1012" ht="18.75" customHeight="1">
      <c r="A1012" s="439"/>
      <c r="B1012" s="439"/>
      <c r="C1012" s="439"/>
      <c r="D1012" s="439"/>
      <c r="E1012" s="439"/>
      <c r="F1012" s="439"/>
      <c r="G1012" s="439"/>
      <c r="H1012" s="439"/>
      <c r="I1012" s="439"/>
      <c r="J1012" s="439"/>
      <c r="K1012" s="439"/>
      <c r="L1012" s="439"/>
      <c r="M1012" s="439"/>
      <c r="N1012" s="439"/>
      <c r="O1012" s="439"/>
      <c r="P1012" s="439"/>
      <c r="Q1012" s="439"/>
      <c r="R1012" s="439"/>
      <c r="S1012" s="439"/>
      <c r="T1012" s="264"/>
      <c r="U1012" s="439"/>
      <c r="V1012" s="16"/>
      <c r="W1012" s="119"/>
      <c r="X1012" s="119"/>
      <c r="Y1012" s="119"/>
      <c r="Z1012" s="119"/>
      <c r="AA1012" s="119"/>
      <c r="AB1012" s="119"/>
      <c r="AC1012" s="119"/>
      <c r="AD1012" s="119"/>
      <c r="AE1012" s="119"/>
      <c r="AF1012" s="119"/>
      <c r="AG1012" s="119"/>
      <c r="AH1012" s="16"/>
      <c r="AI1012" s="439"/>
      <c r="AJ1012" s="439"/>
      <c r="AK1012" s="439"/>
    </row>
    <row r="1013" ht="18.75" customHeight="1">
      <c r="A1013" s="439"/>
      <c r="B1013" s="439"/>
      <c r="C1013" s="439"/>
      <c r="D1013" s="439"/>
      <c r="E1013" s="439"/>
      <c r="F1013" s="439"/>
      <c r="G1013" s="439"/>
      <c r="H1013" s="439"/>
      <c r="I1013" s="439"/>
      <c r="J1013" s="439"/>
      <c r="K1013" s="439"/>
      <c r="L1013" s="439"/>
      <c r="M1013" s="439"/>
      <c r="N1013" s="439"/>
      <c r="O1013" s="439"/>
      <c r="P1013" s="439"/>
      <c r="Q1013" s="439"/>
      <c r="R1013" s="439"/>
      <c r="S1013" s="439"/>
      <c r="T1013" s="264"/>
      <c r="U1013" s="439"/>
      <c r="V1013" s="16"/>
      <c r="W1013" s="119"/>
      <c r="X1013" s="119"/>
      <c r="Y1013" s="119"/>
      <c r="Z1013" s="119"/>
      <c r="AA1013" s="119"/>
      <c r="AB1013" s="119"/>
      <c r="AC1013" s="119"/>
      <c r="AD1013" s="119"/>
      <c r="AE1013" s="119"/>
      <c r="AF1013" s="119"/>
      <c r="AG1013" s="119"/>
      <c r="AH1013" s="16"/>
      <c r="AI1013" s="439"/>
      <c r="AJ1013" s="439"/>
      <c r="AK1013" s="439"/>
    </row>
    <row r="1014" ht="18.75" customHeight="1">
      <c r="A1014" s="439"/>
      <c r="B1014" s="439"/>
      <c r="C1014" s="439"/>
      <c r="D1014" s="439"/>
      <c r="E1014" s="439"/>
      <c r="F1014" s="439"/>
      <c r="G1014" s="439"/>
      <c r="H1014" s="439"/>
      <c r="I1014" s="439"/>
      <c r="J1014" s="439"/>
      <c r="K1014" s="439"/>
      <c r="L1014" s="439"/>
      <c r="M1014" s="439"/>
      <c r="N1014" s="439"/>
      <c r="O1014" s="439"/>
      <c r="P1014" s="439"/>
      <c r="Q1014" s="439"/>
      <c r="R1014" s="439"/>
      <c r="S1014" s="439"/>
      <c r="T1014" s="264"/>
      <c r="U1014" s="439"/>
      <c r="V1014" s="16"/>
      <c r="W1014" s="119"/>
      <c r="X1014" s="119"/>
      <c r="Y1014" s="119"/>
      <c r="Z1014" s="119"/>
      <c r="AA1014" s="119"/>
      <c r="AB1014" s="119"/>
      <c r="AC1014" s="119"/>
      <c r="AD1014" s="119"/>
      <c r="AE1014" s="119"/>
      <c r="AF1014" s="119"/>
      <c r="AG1014" s="119"/>
      <c r="AH1014" s="16"/>
      <c r="AI1014" s="439"/>
      <c r="AJ1014" s="439"/>
      <c r="AK1014" s="439"/>
    </row>
    <row r="1015" ht="18.75" customHeight="1">
      <c r="A1015" s="439"/>
      <c r="B1015" s="439"/>
      <c r="C1015" s="439"/>
      <c r="D1015" s="439"/>
      <c r="E1015" s="439"/>
      <c r="F1015" s="439"/>
      <c r="G1015" s="439"/>
      <c r="H1015" s="439"/>
      <c r="I1015" s="439"/>
      <c r="J1015" s="439"/>
      <c r="K1015" s="439"/>
      <c r="L1015" s="439"/>
      <c r="M1015" s="439"/>
      <c r="N1015" s="439"/>
      <c r="O1015" s="439"/>
      <c r="P1015" s="439"/>
      <c r="Q1015" s="439"/>
      <c r="R1015" s="439"/>
      <c r="S1015" s="439"/>
      <c r="T1015" s="264"/>
      <c r="U1015" s="439"/>
      <c r="V1015" s="16"/>
      <c r="W1015" s="119"/>
      <c r="X1015" s="119"/>
      <c r="Y1015" s="119"/>
      <c r="Z1015" s="119"/>
      <c r="AA1015" s="119"/>
      <c r="AB1015" s="119"/>
      <c r="AC1015" s="119"/>
      <c r="AD1015" s="119"/>
      <c r="AE1015" s="119"/>
      <c r="AF1015" s="119"/>
      <c r="AG1015" s="119"/>
      <c r="AH1015" s="16"/>
      <c r="AI1015" s="439"/>
      <c r="AJ1015" s="439"/>
      <c r="AK1015" s="439"/>
    </row>
    <row r="1016" ht="18.75" customHeight="1">
      <c r="A1016" s="439"/>
      <c r="B1016" s="439"/>
      <c r="C1016" s="439"/>
      <c r="D1016" s="439"/>
      <c r="E1016" s="439"/>
      <c r="F1016" s="439"/>
      <c r="G1016" s="439"/>
      <c r="H1016" s="439"/>
      <c r="I1016" s="439"/>
      <c r="J1016" s="439"/>
      <c r="K1016" s="439"/>
      <c r="L1016" s="439"/>
      <c r="M1016" s="439"/>
      <c r="N1016" s="439"/>
      <c r="O1016" s="439"/>
      <c r="P1016" s="439"/>
      <c r="Q1016" s="439"/>
      <c r="R1016" s="439"/>
      <c r="S1016" s="439"/>
      <c r="T1016" s="264"/>
      <c r="U1016" s="439"/>
      <c r="V1016" s="16"/>
      <c r="W1016" s="119"/>
      <c r="X1016" s="119"/>
      <c r="Y1016" s="119"/>
      <c r="Z1016" s="119"/>
      <c r="AA1016" s="119"/>
      <c r="AB1016" s="119"/>
      <c r="AC1016" s="119"/>
      <c r="AD1016" s="119"/>
      <c r="AE1016" s="119"/>
      <c r="AF1016" s="119"/>
      <c r="AG1016" s="119"/>
      <c r="AH1016" s="16"/>
      <c r="AI1016" s="439"/>
      <c r="AJ1016" s="439"/>
      <c r="AK1016" s="439"/>
    </row>
    <row r="1017" ht="18.75" customHeight="1">
      <c r="A1017" s="439"/>
      <c r="B1017" s="439"/>
      <c r="C1017" s="439"/>
      <c r="D1017" s="439"/>
      <c r="E1017" s="439"/>
      <c r="F1017" s="439"/>
      <c r="G1017" s="439"/>
      <c r="H1017" s="439"/>
      <c r="I1017" s="439"/>
      <c r="J1017" s="439"/>
      <c r="K1017" s="439"/>
      <c r="L1017" s="439"/>
      <c r="M1017" s="439"/>
      <c r="N1017" s="439"/>
      <c r="O1017" s="439"/>
      <c r="P1017" s="439"/>
      <c r="Q1017" s="439"/>
      <c r="R1017" s="439"/>
      <c r="S1017" s="439"/>
      <c r="T1017" s="264"/>
      <c r="U1017" s="439"/>
      <c r="V1017" s="16"/>
      <c r="W1017" s="119"/>
      <c r="X1017" s="119"/>
      <c r="Y1017" s="119"/>
      <c r="Z1017" s="119"/>
      <c r="AA1017" s="119"/>
      <c r="AB1017" s="119"/>
      <c r="AC1017" s="119"/>
      <c r="AD1017" s="119"/>
      <c r="AE1017" s="119"/>
      <c r="AF1017" s="119"/>
      <c r="AG1017" s="119"/>
      <c r="AH1017" s="16"/>
      <c r="AI1017" s="439"/>
      <c r="AJ1017" s="439"/>
      <c r="AK1017" s="439"/>
    </row>
    <row r="1018" ht="18.75" customHeight="1">
      <c r="A1018" s="439"/>
      <c r="B1018" s="439"/>
      <c r="C1018" s="439"/>
      <c r="D1018" s="439"/>
      <c r="E1018" s="439"/>
      <c r="F1018" s="439"/>
      <c r="G1018" s="439"/>
      <c r="H1018" s="439"/>
      <c r="I1018" s="439"/>
      <c r="J1018" s="439"/>
      <c r="K1018" s="439"/>
      <c r="L1018" s="439"/>
      <c r="M1018" s="439"/>
      <c r="N1018" s="439"/>
      <c r="O1018" s="439"/>
      <c r="P1018" s="439"/>
      <c r="Q1018" s="439"/>
      <c r="R1018" s="439"/>
      <c r="S1018" s="439"/>
      <c r="T1018" s="264"/>
      <c r="U1018" s="439"/>
      <c r="V1018" s="16"/>
      <c r="W1018" s="119"/>
      <c r="X1018" s="119"/>
      <c r="Y1018" s="119"/>
      <c r="Z1018" s="119"/>
      <c r="AA1018" s="119"/>
      <c r="AB1018" s="119"/>
      <c r="AC1018" s="119"/>
      <c r="AD1018" s="119"/>
      <c r="AE1018" s="119"/>
      <c r="AF1018" s="119"/>
      <c r="AG1018" s="119"/>
      <c r="AH1018" s="16"/>
      <c r="AI1018" s="439"/>
      <c r="AJ1018" s="439"/>
      <c r="AK1018" s="439"/>
    </row>
    <row r="1019" ht="18.75" customHeight="1">
      <c r="A1019" s="439"/>
      <c r="B1019" s="439"/>
      <c r="C1019" s="439"/>
      <c r="D1019" s="439"/>
      <c r="E1019" s="439"/>
      <c r="F1019" s="439"/>
      <c r="G1019" s="439"/>
      <c r="H1019" s="439"/>
      <c r="I1019" s="439"/>
      <c r="J1019" s="439"/>
      <c r="K1019" s="439"/>
      <c r="L1019" s="439"/>
      <c r="M1019" s="439"/>
      <c r="N1019" s="439"/>
      <c r="O1019" s="439"/>
      <c r="P1019" s="439"/>
      <c r="Q1019" s="439"/>
      <c r="R1019" s="439"/>
      <c r="S1019" s="439"/>
      <c r="T1019" s="264"/>
      <c r="U1019" s="439"/>
      <c r="V1019" s="16"/>
      <c r="W1019" s="119"/>
      <c r="X1019" s="119"/>
      <c r="Y1019" s="119"/>
      <c r="Z1019" s="119"/>
      <c r="AA1019" s="119"/>
      <c r="AB1019" s="119"/>
      <c r="AC1019" s="119"/>
      <c r="AD1019" s="119"/>
      <c r="AE1019" s="119"/>
      <c r="AF1019" s="119"/>
      <c r="AG1019" s="119"/>
      <c r="AH1019" s="16"/>
      <c r="AI1019" s="439"/>
      <c r="AJ1019" s="439"/>
      <c r="AK1019" s="439"/>
    </row>
    <row r="1020" ht="18.75" customHeight="1">
      <c r="A1020" s="439"/>
      <c r="B1020" s="439"/>
      <c r="C1020" s="439"/>
      <c r="D1020" s="439"/>
      <c r="E1020" s="439"/>
      <c r="F1020" s="439"/>
      <c r="G1020" s="439"/>
      <c r="H1020" s="439"/>
      <c r="I1020" s="439"/>
      <c r="J1020" s="439"/>
      <c r="K1020" s="439"/>
      <c r="L1020" s="439"/>
      <c r="M1020" s="439"/>
      <c r="N1020" s="439"/>
      <c r="O1020" s="439"/>
      <c r="P1020" s="439"/>
      <c r="Q1020" s="439"/>
      <c r="R1020" s="439"/>
      <c r="S1020" s="439"/>
      <c r="T1020" s="264"/>
      <c r="U1020" s="439"/>
      <c r="V1020" s="16"/>
      <c r="W1020" s="119"/>
      <c r="X1020" s="119"/>
      <c r="Y1020" s="119"/>
      <c r="Z1020" s="119"/>
      <c r="AA1020" s="119"/>
      <c r="AB1020" s="119"/>
      <c r="AC1020" s="119"/>
      <c r="AD1020" s="119"/>
      <c r="AE1020" s="119"/>
      <c r="AF1020" s="119"/>
      <c r="AG1020" s="119"/>
      <c r="AH1020" s="16"/>
      <c r="AI1020" s="439"/>
      <c r="AJ1020" s="439"/>
      <c r="AK1020" s="439"/>
    </row>
    <row r="1021" ht="18.75" customHeight="1">
      <c r="A1021" s="439"/>
      <c r="B1021" s="439"/>
      <c r="C1021" s="439"/>
      <c r="D1021" s="439"/>
      <c r="E1021" s="439"/>
      <c r="F1021" s="439"/>
      <c r="G1021" s="439"/>
      <c r="H1021" s="439"/>
      <c r="I1021" s="439"/>
      <c r="J1021" s="439"/>
      <c r="K1021" s="439"/>
      <c r="L1021" s="439"/>
      <c r="M1021" s="439"/>
      <c r="N1021" s="439"/>
      <c r="O1021" s="439"/>
      <c r="P1021" s="439"/>
      <c r="Q1021" s="439"/>
      <c r="R1021" s="439"/>
      <c r="S1021" s="439"/>
      <c r="T1021" s="264"/>
      <c r="U1021" s="439"/>
      <c r="V1021" s="16"/>
      <c r="W1021" s="119"/>
      <c r="X1021" s="119"/>
      <c r="Y1021" s="119"/>
      <c r="Z1021" s="119"/>
      <c r="AA1021" s="119"/>
      <c r="AB1021" s="119"/>
      <c r="AC1021" s="119"/>
      <c r="AD1021" s="119"/>
      <c r="AE1021" s="119"/>
      <c r="AF1021" s="119"/>
      <c r="AG1021" s="119"/>
      <c r="AH1021" s="16"/>
      <c r="AI1021" s="439"/>
      <c r="AJ1021" s="439"/>
      <c r="AK1021" s="439"/>
    </row>
    <row r="1022" ht="18.75" customHeight="1">
      <c r="A1022" s="439"/>
      <c r="B1022" s="439"/>
      <c r="C1022" s="439"/>
      <c r="D1022" s="439"/>
      <c r="E1022" s="439"/>
      <c r="F1022" s="439"/>
      <c r="G1022" s="439"/>
      <c r="H1022" s="439"/>
      <c r="I1022" s="439"/>
      <c r="J1022" s="439"/>
      <c r="K1022" s="439"/>
      <c r="L1022" s="439"/>
      <c r="M1022" s="439"/>
      <c r="N1022" s="439"/>
      <c r="O1022" s="439"/>
      <c r="P1022" s="439"/>
      <c r="Q1022" s="439"/>
      <c r="R1022" s="439"/>
      <c r="S1022" s="439"/>
      <c r="T1022" s="264"/>
      <c r="U1022" s="439"/>
      <c r="V1022" s="16"/>
      <c r="W1022" s="119"/>
      <c r="X1022" s="119"/>
      <c r="Y1022" s="119"/>
      <c r="Z1022" s="119"/>
      <c r="AA1022" s="119"/>
      <c r="AB1022" s="119"/>
      <c r="AC1022" s="119"/>
      <c r="AD1022" s="119"/>
      <c r="AE1022" s="119"/>
      <c r="AF1022" s="119"/>
      <c r="AG1022" s="119"/>
      <c r="AH1022" s="16"/>
      <c r="AI1022" s="439"/>
      <c r="AJ1022" s="439"/>
      <c r="AK1022" s="439"/>
    </row>
    <row r="1023" ht="18.75" customHeight="1">
      <c r="A1023" s="439"/>
      <c r="B1023" s="439"/>
      <c r="C1023" s="439"/>
      <c r="D1023" s="439"/>
      <c r="E1023" s="439"/>
      <c r="F1023" s="439"/>
      <c r="G1023" s="439"/>
      <c r="H1023" s="439"/>
      <c r="I1023" s="439"/>
      <c r="J1023" s="439"/>
      <c r="K1023" s="439"/>
      <c r="L1023" s="439"/>
      <c r="M1023" s="439"/>
      <c r="N1023" s="439"/>
      <c r="O1023" s="439"/>
      <c r="P1023" s="439"/>
      <c r="Q1023" s="439"/>
      <c r="R1023" s="439"/>
      <c r="S1023" s="439"/>
      <c r="T1023" s="264"/>
      <c r="U1023" s="439"/>
      <c r="V1023" s="16"/>
      <c r="W1023" s="119"/>
      <c r="X1023" s="119"/>
      <c r="Y1023" s="119"/>
      <c r="Z1023" s="119"/>
      <c r="AA1023" s="119"/>
      <c r="AB1023" s="119"/>
      <c r="AC1023" s="119"/>
      <c r="AD1023" s="119"/>
      <c r="AE1023" s="119"/>
      <c r="AF1023" s="119"/>
      <c r="AG1023" s="119"/>
      <c r="AH1023" s="16"/>
      <c r="AI1023" s="439"/>
      <c r="AJ1023" s="439"/>
      <c r="AK1023" s="439"/>
    </row>
    <row r="1024" ht="18.75" customHeight="1">
      <c r="A1024" s="439"/>
      <c r="B1024" s="439"/>
      <c r="C1024" s="439"/>
      <c r="D1024" s="439"/>
      <c r="E1024" s="439"/>
      <c r="F1024" s="439"/>
      <c r="G1024" s="439"/>
      <c r="H1024" s="439"/>
      <c r="I1024" s="439"/>
      <c r="J1024" s="439"/>
      <c r="K1024" s="439"/>
      <c r="L1024" s="439"/>
      <c r="M1024" s="439"/>
      <c r="N1024" s="439"/>
      <c r="O1024" s="439"/>
      <c r="P1024" s="439"/>
      <c r="Q1024" s="439"/>
      <c r="R1024" s="439"/>
      <c r="S1024" s="439"/>
      <c r="T1024" s="264"/>
      <c r="U1024" s="439"/>
      <c r="V1024" s="16"/>
      <c r="W1024" s="119"/>
      <c r="X1024" s="119"/>
      <c r="Y1024" s="119"/>
      <c r="Z1024" s="119"/>
      <c r="AA1024" s="119"/>
      <c r="AB1024" s="119"/>
      <c r="AC1024" s="119"/>
      <c r="AD1024" s="119"/>
      <c r="AE1024" s="119"/>
      <c r="AF1024" s="119"/>
      <c r="AG1024" s="119"/>
      <c r="AH1024" s="16"/>
      <c r="AI1024" s="439"/>
      <c r="AJ1024" s="439"/>
      <c r="AK1024" s="439"/>
    </row>
    <row r="1025" ht="18.75" customHeight="1">
      <c r="A1025" s="439"/>
      <c r="B1025" s="439"/>
      <c r="C1025" s="439"/>
      <c r="D1025" s="439"/>
      <c r="E1025" s="439"/>
      <c r="F1025" s="439"/>
      <c r="G1025" s="439"/>
      <c r="H1025" s="439"/>
      <c r="I1025" s="439"/>
      <c r="J1025" s="439"/>
      <c r="K1025" s="439"/>
      <c r="L1025" s="439"/>
      <c r="M1025" s="439"/>
      <c r="N1025" s="439"/>
      <c r="O1025" s="439"/>
      <c r="P1025" s="439"/>
      <c r="Q1025" s="439"/>
      <c r="R1025" s="439"/>
      <c r="S1025" s="439"/>
      <c r="T1025" s="264"/>
      <c r="U1025" s="439"/>
      <c r="V1025" s="16"/>
      <c r="W1025" s="119"/>
      <c r="X1025" s="119"/>
      <c r="Y1025" s="119"/>
      <c r="Z1025" s="119"/>
      <c r="AA1025" s="119"/>
      <c r="AB1025" s="119"/>
      <c r="AC1025" s="119"/>
      <c r="AD1025" s="119"/>
      <c r="AE1025" s="119"/>
      <c r="AF1025" s="119"/>
      <c r="AG1025" s="119"/>
      <c r="AH1025" s="16"/>
      <c r="AI1025" s="439"/>
      <c r="AJ1025" s="439"/>
      <c r="AK1025" s="439"/>
    </row>
    <row r="1026" ht="18.75" customHeight="1">
      <c r="A1026" s="439"/>
      <c r="B1026" s="439"/>
      <c r="C1026" s="439"/>
      <c r="D1026" s="439"/>
      <c r="E1026" s="439"/>
      <c r="F1026" s="439"/>
      <c r="G1026" s="439"/>
      <c r="H1026" s="439"/>
      <c r="I1026" s="439"/>
      <c r="J1026" s="439"/>
      <c r="K1026" s="439"/>
      <c r="L1026" s="439"/>
      <c r="M1026" s="439"/>
      <c r="N1026" s="439"/>
      <c r="O1026" s="439"/>
      <c r="P1026" s="439"/>
      <c r="Q1026" s="439"/>
      <c r="R1026" s="439"/>
      <c r="S1026" s="439"/>
      <c r="T1026" s="264"/>
      <c r="U1026" s="439"/>
      <c r="V1026" s="16"/>
      <c r="W1026" s="119"/>
      <c r="X1026" s="119"/>
      <c r="Y1026" s="119"/>
      <c r="Z1026" s="119"/>
      <c r="AA1026" s="119"/>
      <c r="AB1026" s="119"/>
      <c r="AC1026" s="119"/>
      <c r="AD1026" s="119"/>
      <c r="AE1026" s="119"/>
      <c r="AF1026" s="119"/>
      <c r="AG1026" s="119"/>
      <c r="AH1026" s="16"/>
      <c r="AI1026" s="439"/>
      <c r="AJ1026" s="439"/>
      <c r="AK1026" s="439"/>
    </row>
    <row r="1027" ht="18.75" customHeight="1">
      <c r="A1027" s="439"/>
      <c r="B1027" s="439"/>
      <c r="C1027" s="439"/>
      <c r="D1027" s="439"/>
      <c r="E1027" s="439"/>
      <c r="F1027" s="439"/>
      <c r="G1027" s="439"/>
      <c r="H1027" s="439"/>
      <c r="I1027" s="439"/>
      <c r="J1027" s="439"/>
      <c r="K1027" s="439"/>
      <c r="L1027" s="439"/>
      <c r="M1027" s="439"/>
      <c r="N1027" s="439"/>
      <c r="O1027" s="439"/>
      <c r="P1027" s="439"/>
      <c r="Q1027" s="439"/>
      <c r="R1027" s="439"/>
      <c r="S1027" s="439"/>
      <c r="T1027" s="264"/>
      <c r="U1027" s="439"/>
      <c r="V1027" s="16"/>
      <c r="W1027" s="119"/>
      <c r="X1027" s="119"/>
      <c r="Y1027" s="119"/>
      <c r="Z1027" s="119"/>
      <c r="AA1027" s="119"/>
      <c r="AB1027" s="119"/>
      <c r="AC1027" s="119"/>
      <c r="AD1027" s="119"/>
      <c r="AE1027" s="119"/>
      <c r="AF1027" s="119"/>
      <c r="AG1027" s="119"/>
      <c r="AH1027" s="16"/>
      <c r="AI1027" s="439"/>
      <c r="AJ1027" s="439"/>
      <c r="AK1027" s="439"/>
    </row>
    <row r="1028" ht="18.75" customHeight="1">
      <c r="A1028" s="439"/>
      <c r="B1028" s="439"/>
      <c r="C1028" s="439"/>
      <c r="D1028" s="439"/>
      <c r="E1028" s="439"/>
      <c r="F1028" s="439"/>
      <c r="G1028" s="439"/>
      <c r="H1028" s="439"/>
      <c r="I1028" s="439"/>
      <c r="J1028" s="439"/>
      <c r="K1028" s="439"/>
      <c r="L1028" s="439"/>
      <c r="M1028" s="439"/>
      <c r="N1028" s="439"/>
      <c r="O1028" s="439"/>
      <c r="P1028" s="439"/>
      <c r="Q1028" s="439"/>
      <c r="R1028" s="439"/>
      <c r="S1028" s="439"/>
      <c r="T1028" s="264"/>
      <c r="U1028" s="439"/>
      <c r="V1028" s="16"/>
      <c r="W1028" s="119"/>
      <c r="X1028" s="119"/>
      <c r="Y1028" s="119"/>
      <c r="Z1028" s="119"/>
      <c r="AA1028" s="119"/>
      <c r="AB1028" s="119"/>
      <c r="AC1028" s="119"/>
      <c r="AD1028" s="119"/>
      <c r="AE1028" s="119"/>
      <c r="AF1028" s="119"/>
      <c r="AG1028" s="119"/>
      <c r="AH1028" s="16"/>
      <c r="AI1028" s="439"/>
      <c r="AJ1028" s="439"/>
      <c r="AK1028" s="439"/>
    </row>
    <row r="1029" ht="18.75" customHeight="1">
      <c r="A1029" s="439"/>
      <c r="B1029" s="439"/>
      <c r="C1029" s="439"/>
      <c r="D1029" s="439"/>
      <c r="E1029" s="439"/>
      <c r="F1029" s="439"/>
      <c r="G1029" s="439"/>
      <c r="H1029" s="439"/>
      <c r="I1029" s="439"/>
      <c r="J1029" s="439"/>
      <c r="K1029" s="439"/>
      <c r="L1029" s="439"/>
      <c r="M1029" s="439"/>
      <c r="N1029" s="439"/>
      <c r="O1029" s="439"/>
      <c r="P1029" s="439"/>
      <c r="Q1029" s="439"/>
      <c r="R1029" s="439"/>
      <c r="S1029" s="439"/>
      <c r="T1029" s="264"/>
      <c r="U1029" s="439"/>
      <c r="V1029" s="16"/>
      <c r="W1029" s="119"/>
      <c r="X1029" s="119"/>
      <c r="Y1029" s="119"/>
      <c r="Z1029" s="119"/>
      <c r="AA1029" s="119"/>
      <c r="AB1029" s="119"/>
      <c r="AC1029" s="119"/>
      <c r="AD1029" s="119"/>
      <c r="AE1029" s="119"/>
      <c r="AF1029" s="119"/>
      <c r="AG1029" s="119"/>
      <c r="AH1029" s="16"/>
      <c r="AI1029" s="439"/>
      <c r="AJ1029" s="439"/>
      <c r="AK1029" s="439"/>
    </row>
    <row r="1030" ht="18.75" customHeight="1">
      <c r="A1030" s="439"/>
      <c r="B1030" s="439"/>
      <c r="C1030" s="439"/>
      <c r="D1030" s="439"/>
      <c r="E1030" s="439"/>
      <c r="F1030" s="439"/>
      <c r="G1030" s="439"/>
      <c r="H1030" s="439"/>
      <c r="I1030" s="439"/>
      <c r="J1030" s="439"/>
      <c r="K1030" s="439"/>
      <c r="L1030" s="439"/>
      <c r="M1030" s="439"/>
      <c r="N1030" s="439"/>
      <c r="O1030" s="439"/>
      <c r="P1030" s="439"/>
      <c r="Q1030" s="439"/>
      <c r="R1030" s="439"/>
      <c r="S1030" s="439"/>
      <c r="T1030" s="264"/>
      <c r="U1030" s="439"/>
      <c r="V1030" s="16"/>
      <c r="W1030" s="119"/>
      <c r="X1030" s="119"/>
      <c r="Y1030" s="119"/>
      <c r="Z1030" s="119"/>
      <c r="AA1030" s="119"/>
      <c r="AB1030" s="119"/>
      <c r="AC1030" s="119"/>
      <c r="AD1030" s="119"/>
      <c r="AE1030" s="119"/>
      <c r="AF1030" s="119"/>
      <c r="AG1030" s="119"/>
      <c r="AH1030" s="16"/>
      <c r="AI1030" s="439"/>
      <c r="AJ1030" s="439"/>
      <c r="AK1030" s="439"/>
    </row>
    <row r="1031" ht="18.75" customHeight="1">
      <c r="A1031" s="439"/>
      <c r="B1031" s="439"/>
      <c r="C1031" s="439"/>
      <c r="D1031" s="439"/>
      <c r="E1031" s="439"/>
      <c r="F1031" s="439"/>
      <c r="G1031" s="439"/>
      <c r="H1031" s="439"/>
      <c r="I1031" s="439"/>
      <c r="J1031" s="439"/>
      <c r="K1031" s="439"/>
      <c r="L1031" s="439"/>
      <c r="M1031" s="439"/>
      <c r="N1031" s="439"/>
      <c r="O1031" s="439"/>
      <c r="P1031" s="439"/>
      <c r="Q1031" s="439"/>
      <c r="R1031" s="439"/>
      <c r="S1031" s="439"/>
      <c r="T1031" s="264"/>
      <c r="U1031" s="439"/>
      <c r="V1031" s="16"/>
      <c r="W1031" s="119"/>
      <c r="X1031" s="119"/>
      <c r="Y1031" s="119"/>
      <c r="Z1031" s="119"/>
      <c r="AA1031" s="119"/>
      <c r="AB1031" s="119"/>
      <c r="AC1031" s="119"/>
      <c r="AD1031" s="119"/>
      <c r="AE1031" s="119"/>
      <c r="AF1031" s="119"/>
      <c r="AG1031" s="119"/>
      <c r="AH1031" s="16"/>
      <c r="AI1031" s="439"/>
      <c r="AJ1031" s="439"/>
      <c r="AK1031" s="439"/>
    </row>
    <row r="1032" ht="18.75" customHeight="1">
      <c r="A1032" s="439"/>
      <c r="B1032" s="439"/>
      <c r="C1032" s="439"/>
      <c r="D1032" s="439"/>
      <c r="E1032" s="439"/>
      <c r="F1032" s="439"/>
      <c r="G1032" s="439"/>
      <c r="H1032" s="439"/>
      <c r="I1032" s="439"/>
      <c r="J1032" s="439"/>
      <c r="K1032" s="439"/>
      <c r="L1032" s="439"/>
      <c r="M1032" s="439"/>
      <c r="N1032" s="439"/>
      <c r="O1032" s="439"/>
      <c r="P1032" s="439"/>
      <c r="Q1032" s="439"/>
      <c r="R1032" s="439"/>
      <c r="S1032" s="439"/>
      <c r="T1032" s="264"/>
      <c r="U1032" s="439"/>
      <c r="V1032" s="16"/>
      <c r="W1032" s="119"/>
      <c r="X1032" s="119"/>
      <c r="Y1032" s="119"/>
      <c r="Z1032" s="119"/>
      <c r="AA1032" s="119"/>
      <c r="AB1032" s="119"/>
      <c r="AC1032" s="119"/>
      <c r="AD1032" s="119"/>
      <c r="AE1032" s="119"/>
      <c r="AF1032" s="119"/>
      <c r="AG1032" s="119"/>
      <c r="AH1032" s="16"/>
      <c r="AI1032" s="439"/>
      <c r="AJ1032" s="439"/>
      <c r="AK1032" s="439"/>
    </row>
    <row r="1033" ht="18.75" customHeight="1">
      <c r="A1033" s="439"/>
      <c r="B1033" s="439"/>
      <c r="C1033" s="439"/>
      <c r="D1033" s="439"/>
      <c r="E1033" s="439"/>
      <c r="F1033" s="439"/>
      <c r="G1033" s="439"/>
      <c r="H1033" s="439"/>
      <c r="I1033" s="439"/>
      <c r="J1033" s="439"/>
      <c r="K1033" s="439"/>
      <c r="L1033" s="439"/>
      <c r="M1033" s="439"/>
      <c r="N1033" s="439"/>
      <c r="O1033" s="439"/>
      <c r="P1033" s="439"/>
      <c r="Q1033" s="439"/>
      <c r="R1033" s="439"/>
      <c r="S1033" s="439"/>
      <c r="T1033" s="264"/>
      <c r="U1033" s="439"/>
      <c r="V1033" s="16"/>
      <c r="W1033" s="119"/>
      <c r="X1033" s="119"/>
      <c r="Y1033" s="119"/>
      <c r="Z1033" s="119"/>
      <c r="AA1033" s="119"/>
      <c r="AB1033" s="119"/>
      <c r="AC1033" s="119"/>
      <c r="AD1033" s="119"/>
      <c r="AE1033" s="119"/>
      <c r="AF1033" s="119"/>
      <c r="AG1033" s="119"/>
      <c r="AH1033" s="16"/>
      <c r="AI1033" s="439"/>
      <c r="AJ1033" s="439"/>
      <c r="AK1033" s="439"/>
    </row>
    <row r="1034" ht="18.75" customHeight="1">
      <c r="A1034" s="439"/>
      <c r="B1034" s="439"/>
      <c r="C1034" s="439"/>
      <c r="D1034" s="439"/>
      <c r="E1034" s="439"/>
      <c r="F1034" s="439"/>
      <c r="G1034" s="439"/>
      <c r="H1034" s="439"/>
      <c r="I1034" s="439"/>
      <c r="J1034" s="439"/>
      <c r="K1034" s="439"/>
      <c r="L1034" s="439"/>
      <c r="M1034" s="439"/>
      <c r="N1034" s="439"/>
      <c r="O1034" s="439"/>
      <c r="P1034" s="439"/>
      <c r="Q1034" s="439"/>
      <c r="R1034" s="439"/>
      <c r="S1034" s="439"/>
      <c r="T1034" s="264"/>
      <c r="U1034" s="439"/>
      <c r="V1034" s="16"/>
      <c r="W1034" s="119"/>
      <c r="X1034" s="119"/>
      <c r="Y1034" s="119"/>
      <c r="Z1034" s="119"/>
      <c r="AA1034" s="119"/>
      <c r="AB1034" s="119"/>
      <c r="AC1034" s="119"/>
      <c r="AD1034" s="119"/>
      <c r="AE1034" s="119"/>
      <c r="AF1034" s="119"/>
      <c r="AG1034" s="119"/>
      <c r="AH1034" s="16"/>
      <c r="AI1034" s="439"/>
      <c r="AJ1034" s="439"/>
      <c r="AK1034" s="439"/>
    </row>
    <row r="1035" ht="18.75" customHeight="1">
      <c r="A1035" s="439"/>
      <c r="B1035" s="439"/>
      <c r="C1035" s="439"/>
      <c r="D1035" s="439"/>
      <c r="E1035" s="439"/>
      <c r="F1035" s="439"/>
      <c r="G1035" s="439"/>
      <c r="H1035" s="439"/>
      <c r="I1035" s="439"/>
      <c r="J1035" s="439"/>
      <c r="K1035" s="439"/>
      <c r="L1035" s="439"/>
      <c r="M1035" s="439"/>
      <c r="N1035" s="439"/>
      <c r="O1035" s="439"/>
      <c r="P1035" s="439"/>
      <c r="Q1035" s="439"/>
      <c r="R1035" s="439"/>
      <c r="S1035" s="439"/>
      <c r="T1035" s="264"/>
      <c r="U1035" s="439"/>
      <c r="V1035" s="16"/>
      <c r="W1035" s="119"/>
      <c r="X1035" s="119"/>
      <c r="Y1035" s="119"/>
      <c r="Z1035" s="119"/>
      <c r="AA1035" s="119"/>
      <c r="AB1035" s="119"/>
      <c r="AC1035" s="119"/>
      <c r="AD1035" s="119"/>
      <c r="AE1035" s="119"/>
      <c r="AF1035" s="119"/>
      <c r="AG1035" s="119"/>
      <c r="AH1035" s="16"/>
      <c r="AI1035" s="439"/>
      <c r="AJ1035" s="439"/>
      <c r="AK1035" s="439"/>
    </row>
    <row r="1036" ht="18.75" customHeight="1">
      <c r="A1036" s="439"/>
      <c r="B1036" s="439"/>
      <c r="C1036" s="439"/>
      <c r="D1036" s="439"/>
      <c r="E1036" s="439"/>
      <c r="F1036" s="439"/>
      <c r="G1036" s="439"/>
      <c r="H1036" s="439"/>
      <c r="I1036" s="439"/>
      <c r="J1036" s="439"/>
      <c r="K1036" s="439"/>
      <c r="L1036" s="439"/>
      <c r="M1036" s="439"/>
      <c r="N1036" s="439"/>
      <c r="O1036" s="439"/>
      <c r="P1036" s="439"/>
      <c r="Q1036" s="439"/>
      <c r="R1036" s="439"/>
      <c r="S1036" s="439"/>
      <c r="T1036" s="264"/>
      <c r="U1036" s="439"/>
      <c r="V1036" s="16"/>
      <c r="W1036" s="119"/>
      <c r="X1036" s="119"/>
      <c r="Y1036" s="119"/>
      <c r="Z1036" s="119"/>
      <c r="AA1036" s="119"/>
      <c r="AB1036" s="119"/>
      <c r="AC1036" s="119"/>
      <c r="AD1036" s="119"/>
      <c r="AE1036" s="119"/>
      <c r="AF1036" s="119"/>
      <c r="AG1036" s="119"/>
      <c r="AH1036" s="16"/>
      <c r="AI1036" s="439"/>
      <c r="AJ1036" s="439"/>
      <c r="AK1036" s="439"/>
    </row>
    <row r="1037" ht="18.75" customHeight="1">
      <c r="A1037" s="439"/>
      <c r="B1037" s="439"/>
      <c r="C1037" s="439"/>
      <c r="D1037" s="439"/>
      <c r="E1037" s="439"/>
      <c r="F1037" s="439"/>
      <c r="G1037" s="439"/>
      <c r="H1037" s="439"/>
      <c r="I1037" s="439"/>
      <c r="J1037" s="439"/>
      <c r="K1037" s="439"/>
      <c r="L1037" s="439"/>
      <c r="M1037" s="439"/>
      <c r="N1037" s="439"/>
      <c r="O1037" s="439"/>
      <c r="P1037" s="439"/>
      <c r="Q1037" s="439"/>
      <c r="R1037" s="439"/>
      <c r="S1037" s="439"/>
      <c r="T1037" s="264"/>
      <c r="U1037" s="439"/>
      <c r="V1037" s="16"/>
      <c r="W1037" s="119"/>
      <c r="X1037" s="119"/>
      <c r="Y1037" s="119"/>
      <c r="Z1037" s="119"/>
      <c r="AA1037" s="119"/>
      <c r="AB1037" s="119"/>
      <c r="AC1037" s="119"/>
      <c r="AD1037" s="119"/>
      <c r="AE1037" s="119"/>
      <c r="AF1037" s="119"/>
      <c r="AG1037" s="119"/>
      <c r="AH1037" s="16"/>
      <c r="AI1037" s="439"/>
      <c r="AJ1037" s="439"/>
      <c r="AK1037" s="439"/>
    </row>
    <row r="1038" ht="18.75" customHeight="1">
      <c r="A1038" s="439"/>
      <c r="B1038" s="439"/>
      <c r="C1038" s="439"/>
      <c r="D1038" s="439"/>
      <c r="E1038" s="439"/>
      <c r="F1038" s="439"/>
      <c r="G1038" s="439"/>
      <c r="H1038" s="439"/>
      <c r="I1038" s="439"/>
      <c r="J1038" s="439"/>
      <c r="K1038" s="439"/>
      <c r="L1038" s="439"/>
      <c r="M1038" s="439"/>
      <c r="N1038" s="439"/>
      <c r="O1038" s="439"/>
      <c r="P1038" s="439"/>
      <c r="Q1038" s="439"/>
      <c r="R1038" s="439"/>
      <c r="S1038" s="439"/>
      <c r="T1038" s="264"/>
      <c r="U1038" s="439"/>
      <c r="V1038" s="16"/>
      <c r="W1038" s="119"/>
      <c r="X1038" s="119"/>
      <c r="Y1038" s="119"/>
      <c r="Z1038" s="119"/>
      <c r="AA1038" s="119"/>
      <c r="AB1038" s="119"/>
      <c r="AC1038" s="119"/>
      <c r="AD1038" s="119"/>
      <c r="AE1038" s="119"/>
      <c r="AF1038" s="119"/>
      <c r="AG1038" s="119"/>
      <c r="AH1038" s="16"/>
      <c r="AI1038" s="439"/>
      <c r="AJ1038" s="439"/>
      <c r="AK1038" s="439"/>
    </row>
    <row r="1039" ht="18.75" customHeight="1">
      <c r="A1039" s="439"/>
      <c r="B1039" s="439"/>
      <c r="C1039" s="439"/>
      <c r="D1039" s="439"/>
      <c r="E1039" s="439"/>
      <c r="F1039" s="439"/>
      <c r="G1039" s="439"/>
      <c r="H1039" s="439"/>
      <c r="I1039" s="439"/>
      <c r="J1039" s="439"/>
      <c r="K1039" s="439"/>
      <c r="L1039" s="439"/>
      <c r="M1039" s="439"/>
      <c r="N1039" s="439"/>
      <c r="O1039" s="439"/>
      <c r="P1039" s="439"/>
      <c r="Q1039" s="439"/>
      <c r="R1039" s="439"/>
      <c r="S1039" s="439"/>
      <c r="T1039" s="264"/>
      <c r="U1039" s="439"/>
      <c r="V1039" s="16"/>
      <c r="W1039" s="119"/>
      <c r="X1039" s="119"/>
      <c r="Y1039" s="119"/>
      <c r="Z1039" s="119"/>
      <c r="AA1039" s="119"/>
      <c r="AB1039" s="119"/>
      <c r="AC1039" s="119"/>
      <c r="AD1039" s="119"/>
      <c r="AE1039" s="119"/>
      <c r="AF1039" s="119"/>
      <c r="AG1039" s="119"/>
      <c r="AH1039" s="16"/>
      <c r="AI1039" s="439"/>
      <c r="AJ1039" s="439"/>
      <c r="AK1039" s="439"/>
    </row>
    <row r="1040" ht="18.75" customHeight="1">
      <c r="A1040" s="439"/>
      <c r="B1040" s="439"/>
      <c r="C1040" s="439"/>
      <c r="D1040" s="439"/>
      <c r="E1040" s="439"/>
      <c r="F1040" s="439"/>
      <c r="G1040" s="439"/>
      <c r="H1040" s="439"/>
      <c r="I1040" s="439"/>
      <c r="J1040" s="439"/>
      <c r="K1040" s="439"/>
      <c r="L1040" s="439"/>
      <c r="M1040" s="439"/>
      <c r="N1040" s="439"/>
      <c r="O1040" s="439"/>
      <c r="P1040" s="439"/>
      <c r="Q1040" s="439"/>
      <c r="R1040" s="439"/>
      <c r="S1040" s="439"/>
      <c r="T1040" s="264"/>
      <c r="U1040" s="439"/>
      <c r="V1040" s="16"/>
      <c r="W1040" s="119"/>
      <c r="X1040" s="119"/>
      <c r="Y1040" s="119"/>
      <c r="Z1040" s="119"/>
      <c r="AA1040" s="119"/>
      <c r="AB1040" s="119"/>
      <c r="AC1040" s="119"/>
      <c r="AD1040" s="119"/>
      <c r="AE1040" s="119"/>
      <c r="AF1040" s="119"/>
      <c r="AG1040" s="119"/>
      <c r="AH1040" s="16"/>
      <c r="AI1040" s="439"/>
      <c r="AJ1040" s="439"/>
      <c r="AK1040" s="439"/>
    </row>
    <row r="1041" ht="18.75" customHeight="1">
      <c r="A1041" s="439"/>
      <c r="B1041" s="439"/>
      <c r="C1041" s="439"/>
      <c r="D1041" s="439"/>
      <c r="E1041" s="439"/>
      <c r="F1041" s="439"/>
      <c r="G1041" s="439"/>
      <c r="H1041" s="439"/>
      <c r="I1041" s="439"/>
      <c r="J1041" s="439"/>
      <c r="K1041" s="439"/>
      <c r="L1041" s="439"/>
      <c r="M1041" s="439"/>
      <c r="N1041" s="439"/>
      <c r="O1041" s="439"/>
      <c r="P1041" s="439"/>
      <c r="Q1041" s="439"/>
      <c r="R1041" s="439"/>
      <c r="S1041" s="439"/>
      <c r="T1041" s="264"/>
      <c r="U1041" s="439"/>
      <c r="V1041" s="16"/>
      <c r="W1041" s="119"/>
      <c r="X1041" s="119"/>
      <c r="Y1041" s="119"/>
      <c r="Z1041" s="119"/>
      <c r="AA1041" s="119"/>
      <c r="AB1041" s="119"/>
      <c r="AC1041" s="119"/>
      <c r="AD1041" s="119"/>
      <c r="AE1041" s="119"/>
      <c r="AF1041" s="119"/>
      <c r="AG1041" s="119"/>
      <c r="AH1041" s="16"/>
      <c r="AI1041" s="439"/>
      <c r="AJ1041" s="439"/>
      <c r="AK1041" s="439"/>
    </row>
    <row r="1042" ht="18.75" customHeight="1">
      <c r="A1042" s="439"/>
      <c r="B1042" s="439"/>
      <c r="C1042" s="439"/>
      <c r="D1042" s="439"/>
      <c r="E1042" s="439"/>
      <c r="F1042" s="439"/>
      <c r="G1042" s="439"/>
      <c r="H1042" s="439"/>
      <c r="I1042" s="439"/>
      <c r="J1042" s="439"/>
      <c r="K1042" s="439"/>
      <c r="L1042" s="439"/>
      <c r="M1042" s="439"/>
      <c r="N1042" s="439"/>
      <c r="O1042" s="439"/>
      <c r="P1042" s="439"/>
      <c r="Q1042" s="439"/>
      <c r="R1042" s="439"/>
      <c r="S1042" s="439"/>
      <c r="T1042" s="264"/>
      <c r="U1042" s="439"/>
      <c r="V1042" s="16"/>
      <c r="W1042" s="119"/>
      <c r="X1042" s="119"/>
      <c r="Y1042" s="119"/>
      <c r="Z1042" s="119"/>
      <c r="AA1042" s="119"/>
      <c r="AB1042" s="119"/>
      <c r="AC1042" s="119"/>
      <c r="AD1042" s="119"/>
      <c r="AE1042" s="119"/>
      <c r="AF1042" s="119"/>
      <c r="AG1042" s="119"/>
      <c r="AH1042" s="16"/>
      <c r="AI1042" s="439"/>
      <c r="AJ1042" s="439"/>
      <c r="AK1042" s="439"/>
    </row>
    <row r="1043" ht="18.75" customHeight="1">
      <c r="A1043" s="439"/>
      <c r="B1043" s="439"/>
      <c r="C1043" s="439"/>
      <c r="D1043" s="439"/>
      <c r="E1043" s="439"/>
      <c r="F1043" s="439"/>
      <c r="G1043" s="439"/>
      <c r="H1043" s="439"/>
      <c r="I1043" s="439"/>
      <c r="J1043" s="439"/>
      <c r="K1043" s="439"/>
      <c r="L1043" s="439"/>
      <c r="M1043" s="439"/>
      <c r="N1043" s="439"/>
      <c r="O1043" s="439"/>
      <c r="P1043" s="439"/>
      <c r="Q1043" s="439"/>
      <c r="R1043" s="439"/>
      <c r="S1043" s="439"/>
      <c r="T1043" s="264"/>
      <c r="U1043" s="439"/>
      <c r="V1043" s="16"/>
      <c r="W1043" s="119"/>
      <c r="X1043" s="119"/>
      <c r="Y1043" s="119"/>
      <c r="Z1043" s="119"/>
      <c r="AA1043" s="119"/>
      <c r="AB1043" s="119"/>
      <c r="AC1043" s="119"/>
      <c r="AD1043" s="119"/>
      <c r="AE1043" s="119"/>
      <c r="AF1043" s="119"/>
      <c r="AG1043" s="119"/>
      <c r="AH1043" s="16"/>
      <c r="AI1043" s="439"/>
      <c r="AJ1043" s="439"/>
      <c r="AK1043" s="439"/>
    </row>
    <row r="1044" ht="18.75" customHeight="1">
      <c r="A1044" s="439"/>
      <c r="B1044" s="439"/>
      <c r="C1044" s="439"/>
      <c r="D1044" s="439"/>
      <c r="E1044" s="439"/>
      <c r="F1044" s="439"/>
      <c r="G1044" s="439"/>
      <c r="H1044" s="439"/>
      <c r="I1044" s="439"/>
      <c r="J1044" s="439"/>
      <c r="K1044" s="439"/>
      <c r="L1044" s="439"/>
      <c r="M1044" s="439"/>
      <c r="N1044" s="439"/>
      <c r="O1044" s="439"/>
      <c r="P1044" s="439"/>
      <c r="Q1044" s="439"/>
      <c r="R1044" s="439"/>
      <c r="S1044" s="439"/>
      <c r="T1044" s="264"/>
      <c r="U1044" s="439"/>
      <c r="V1044" s="16"/>
      <c r="W1044" s="119"/>
      <c r="X1044" s="119"/>
      <c r="Y1044" s="119"/>
      <c r="Z1044" s="119"/>
      <c r="AA1044" s="119"/>
      <c r="AB1044" s="119"/>
      <c r="AC1044" s="119"/>
      <c r="AD1044" s="119"/>
      <c r="AE1044" s="119"/>
      <c r="AF1044" s="119"/>
      <c r="AG1044" s="119"/>
      <c r="AH1044" s="16"/>
      <c r="AI1044" s="439"/>
      <c r="AJ1044" s="439"/>
      <c r="AK1044" s="439"/>
    </row>
    <row r="1045" ht="18.75" customHeight="1">
      <c r="A1045" s="439"/>
      <c r="B1045" s="439"/>
      <c r="C1045" s="439"/>
      <c r="D1045" s="439"/>
      <c r="E1045" s="439"/>
      <c r="F1045" s="439"/>
      <c r="G1045" s="439"/>
      <c r="H1045" s="439"/>
      <c r="I1045" s="439"/>
      <c r="J1045" s="439"/>
      <c r="K1045" s="439"/>
      <c r="L1045" s="439"/>
      <c r="M1045" s="439"/>
      <c r="N1045" s="439"/>
      <c r="O1045" s="439"/>
      <c r="P1045" s="439"/>
      <c r="Q1045" s="439"/>
      <c r="R1045" s="439"/>
      <c r="S1045" s="439"/>
      <c r="T1045" s="264"/>
      <c r="U1045" s="439"/>
      <c r="V1045" s="16"/>
      <c r="W1045" s="119"/>
      <c r="X1045" s="119"/>
      <c r="Y1045" s="119"/>
      <c r="Z1045" s="119"/>
      <c r="AA1045" s="119"/>
      <c r="AB1045" s="119"/>
      <c r="AC1045" s="119"/>
      <c r="AD1045" s="119"/>
      <c r="AE1045" s="119"/>
      <c r="AF1045" s="119"/>
      <c r="AG1045" s="119"/>
      <c r="AH1045" s="16"/>
      <c r="AI1045" s="439"/>
      <c r="AJ1045" s="439"/>
      <c r="AK1045" s="439"/>
    </row>
    <row r="1046" ht="18.75" customHeight="1">
      <c r="A1046" s="439"/>
      <c r="B1046" s="439"/>
      <c r="C1046" s="439"/>
      <c r="D1046" s="439"/>
      <c r="E1046" s="439"/>
      <c r="F1046" s="439"/>
      <c r="G1046" s="439"/>
      <c r="H1046" s="439"/>
      <c r="I1046" s="439"/>
      <c r="J1046" s="439"/>
      <c r="K1046" s="439"/>
      <c r="L1046" s="439"/>
      <c r="M1046" s="439"/>
      <c r="N1046" s="439"/>
      <c r="O1046" s="439"/>
      <c r="P1046" s="439"/>
      <c r="Q1046" s="439"/>
      <c r="R1046" s="439"/>
      <c r="S1046" s="439"/>
      <c r="T1046" s="264"/>
      <c r="U1046" s="439"/>
      <c r="V1046" s="16"/>
      <c r="W1046" s="119"/>
      <c r="X1046" s="119"/>
      <c r="Y1046" s="119"/>
      <c r="Z1046" s="119"/>
      <c r="AA1046" s="119"/>
      <c r="AB1046" s="119"/>
      <c r="AC1046" s="119"/>
      <c r="AD1046" s="119"/>
      <c r="AE1046" s="119"/>
      <c r="AF1046" s="119"/>
      <c r="AG1046" s="119"/>
      <c r="AH1046" s="16"/>
      <c r="AI1046" s="439"/>
      <c r="AJ1046" s="439"/>
      <c r="AK1046" s="439"/>
    </row>
    <row r="1047" ht="18.75" customHeight="1">
      <c r="A1047" s="439"/>
      <c r="B1047" s="439"/>
      <c r="C1047" s="439"/>
      <c r="D1047" s="439"/>
      <c r="E1047" s="439"/>
      <c r="F1047" s="439"/>
      <c r="G1047" s="439"/>
      <c r="H1047" s="439"/>
      <c r="I1047" s="439"/>
      <c r="J1047" s="439"/>
      <c r="K1047" s="439"/>
      <c r="L1047" s="439"/>
      <c r="M1047" s="439"/>
      <c r="N1047" s="439"/>
      <c r="O1047" s="439"/>
      <c r="P1047" s="439"/>
      <c r="Q1047" s="439"/>
      <c r="R1047" s="439"/>
      <c r="S1047" s="439"/>
      <c r="T1047" s="264"/>
      <c r="U1047" s="439"/>
      <c r="V1047" s="16"/>
      <c r="W1047" s="119"/>
      <c r="X1047" s="119"/>
      <c r="Y1047" s="119"/>
      <c r="Z1047" s="119"/>
      <c r="AA1047" s="119"/>
      <c r="AB1047" s="119"/>
      <c r="AC1047" s="119"/>
      <c r="AD1047" s="119"/>
      <c r="AE1047" s="119"/>
      <c r="AF1047" s="119"/>
      <c r="AG1047" s="119"/>
      <c r="AH1047" s="16"/>
      <c r="AI1047" s="439"/>
      <c r="AJ1047" s="439"/>
      <c r="AK1047" s="439"/>
    </row>
    <row r="1048" ht="18.75" customHeight="1">
      <c r="A1048" s="439"/>
      <c r="B1048" s="439"/>
      <c r="C1048" s="439"/>
      <c r="D1048" s="439"/>
      <c r="E1048" s="439"/>
      <c r="F1048" s="439"/>
      <c r="G1048" s="439"/>
      <c r="H1048" s="439"/>
      <c r="I1048" s="439"/>
      <c r="J1048" s="439"/>
      <c r="K1048" s="439"/>
      <c r="L1048" s="439"/>
      <c r="M1048" s="439"/>
      <c r="N1048" s="439"/>
      <c r="O1048" s="439"/>
      <c r="P1048" s="439"/>
      <c r="Q1048" s="439"/>
      <c r="R1048" s="439"/>
      <c r="S1048" s="439"/>
      <c r="T1048" s="264"/>
      <c r="U1048" s="439"/>
      <c r="V1048" s="16"/>
      <c r="W1048" s="119"/>
      <c r="X1048" s="119"/>
      <c r="Y1048" s="119"/>
      <c r="Z1048" s="119"/>
      <c r="AA1048" s="119"/>
      <c r="AB1048" s="119"/>
      <c r="AC1048" s="119"/>
      <c r="AD1048" s="119"/>
      <c r="AE1048" s="119"/>
      <c r="AF1048" s="119"/>
      <c r="AG1048" s="119"/>
      <c r="AH1048" s="16"/>
      <c r="AI1048" s="439"/>
      <c r="AJ1048" s="439"/>
      <c r="AK1048" s="439"/>
    </row>
    <row r="1049" ht="18.75" customHeight="1">
      <c r="A1049" s="439"/>
      <c r="B1049" s="439"/>
      <c r="C1049" s="439"/>
      <c r="D1049" s="439"/>
      <c r="E1049" s="439"/>
      <c r="F1049" s="439"/>
      <c r="G1049" s="439"/>
      <c r="H1049" s="439"/>
      <c r="I1049" s="439"/>
      <c r="J1049" s="439"/>
      <c r="K1049" s="439"/>
      <c r="L1049" s="439"/>
      <c r="M1049" s="439"/>
      <c r="N1049" s="439"/>
      <c r="O1049" s="439"/>
      <c r="P1049" s="439"/>
      <c r="Q1049" s="439"/>
      <c r="R1049" s="439"/>
      <c r="S1049" s="439"/>
      <c r="T1049" s="264"/>
      <c r="U1049" s="439"/>
      <c r="V1049" s="16"/>
      <c r="W1049" s="119"/>
      <c r="X1049" s="119"/>
      <c r="Y1049" s="119"/>
      <c r="Z1049" s="119"/>
      <c r="AA1049" s="119"/>
      <c r="AB1049" s="119"/>
      <c r="AC1049" s="119"/>
      <c r="AD1049" s="119"/>
      <c r="AE1049" s="119"/>
      <c r="AF1049" s="119"/>
      <c r="AG1049" s="119"/>
      <c r="AH1049" s="16"/>
      <c r="AI1049" s="439"/>
      <c r="AJ1049" s="439"/>
      <c r="AK1049" s="439"/>
    </row>
    <row r="1050" ht="18.75" customHeight="1">
      <c r="A1050" s="439"/>
      <c r="B1050" s="439"/>
      <c r="C1050" s="439"/>
      <c r="D1050" s="439"/>
      <c r="E1050" s="439"/>
      <c r="F1050" s="439"/>
      <c r="G1050" s="439"/>
      <c r="H1050" s="439"/>
      <c r="I1050" s="439"/>
      <c r="J1050" s="439"/>
      <c r="K1050" s="439"/>
      <c r="L1050" s="439"/>
      <c r="M1050" s="439"/>
      <c r="N1050" s="439"/>
      <c r="O1050" s="439"/>
      <c r="P1050" s="439"/>
      <c r="Q1050" s="439"/>
      <c r="R1050" s="439"/>
      <c r="S1050" s="439"/>
      <c r="T1050" s="264"/>
      <c r="U1050" s="439"/>
      <c r="V1050" s="16"/>
      <c r="W1050" s="119"/>
      <c r="X1050" s="119"/>
      <c r="Y1050" s="119"/>
      <c r="Z1050" s="119"/>
      <c r="AA1050" s="119"/>
      <c r="AB1050" s="119"/>
      <c r="AC1050" s="119"/>
      <c r="AD1050" s="119"/>
      <c r="AE1050" s="119"/>
      <c r="AF1050" s="119"/>
      <c r="AG1050" s="119"/>
      <c r="AH1050" s="16"/>
      <c r="AI1050" s="439"/>
      <c r="AJ1050" s="439"/>
      <c r="AK1050" s="439"/>
    </row>
    <row r="1051" ht="18.75" customHeight="1">
      <c r="A1051" s="439"/>
      <c r="B1051" s="439"/>
      <c r="C1051" s="439"/>
      <c r="D1051" s="439"/>
      <c r="E1051" s="439"/>
      <c r="F1051" s="439"/>
      <c r="G1051" s="439"/>
      <c r="H1051" s="439"/>
      <c r="I1051" s="439"/>
      <c r="J1051" s="439"/>
      <c r="K1051" s="439"/>
      <c r="L1051" s="439"/>
      <c r="M1051" s="439"/>
      <c r="N1051" s="439"/>
      <c r="O1051" s="439"/>
      <c r="P1051" s="439"/>
      <c r="Q1051" s="439"/>
      <c r="R1051" s="439"/>
      <c r="S1051" s="439"/>
      <c r="T1051" s="264"/>
      <c r="U1051" s="439"/>
      <c r="V1051" s="16"/>
      <c r="W1051" s="119"/>
      <c r="X1051" s="119"/>
      <c r="Y1051" s="119"/>
      <c r="Z1051" s="119"/>
      <c r="AA1051" s="119"/>
      <c r="AB1051" s="119"/>
      <c r="AC1051" s="119"/>
      <c r="AD1051" s="119"/>
      <c r="AE1051" s="119"/>
      <c r="AF1051" s="119"/>
      <c r="AG1051" s="119"/>
      <c r="AH1051" s="16"/>
      <c r="AI1051" s="439"/>
      <c r="AJ1051" s="439"/>
      <c r="AK1051" s="439"/>
    </row>
    <row r="1052" ht="18.75" customHeight="1">
      <c r="A1052" s="439"/>
      <c r="B1052" s="439"/>
      <c r="C1052" s="439"/>
      <c r="D1052" s="439"/>
      <c r="E1052" s="439"/>
      <c r="F1052" s="439"/>
      <c r="G1052" s="439"/>
      <c r="H1052" s="439"/>
      <c r="I1052" s="439"/>
      <c r="J1052" s="439"/>
      <c r="K1052" s="439"/>
      <c r="L1052" s="439"/>
      <c r="M1052" s="439"/>
      <c r="N1052" s="439"/>
      <c r="O1052" s="439"/>
      <c r="P1052" s="439"/>
      <c r="Q1052" s="439"/>
      <c r="R1052" s="439"/>
      <c r="S1052" s="439"/>
      <c r="T1052" s="264"/>
      <c r="U1052" s="439"/>
      <c r="V1052" s="16"/>
      <c r="W1052" s="119"/>
      <c r="X1052" s="119"/>
      <c r="Y1052" s="119"/>
      <c r="Z1052" s="119"/>
      <c r="AA1052" s="119"/>
      <c r="AB1052" s="119"/>
      <c r="AC1052" s="119"/>
      <c r="AD1052" s="119"/>
      <c r="AE1052" s="119"/>
      <c r="AF1052" s="119"/>
      <c r="AG1052" s="119"/>
      <c r="AH1052" s="16"/>
      <c r="AI1052" s="439"/>
      <c r="AJ1052" s="439"/>
      <c r="AK1052" s="439"/>
    </row>
    <row r="1053" ht="18.75" customHeight="1">
      <c r="A1053" s="439"/>
      <c r="B1053" s="439"/>
      <c r="C1053" s="439"/>
      <c r="D1053" s="439"/>
      <c r="E1053" s="439"/>
      <c r="F1053" s="439"/>
      <c r="G1053" s="439"/>
      <c r="H1053" s="439"/>
      <c r="I1053" s="439"/>
      <c r="J1053" s="439"/>
      <c r="K1053" s="439"/>
      <c r="L1053" s="439"/>
      <c r="M1053" s="439"/>
      <c r="N1053" s="439"/>
      <c r="O1053" s="439"/>
      <c r="P1053" s="439"/>
      <c r="Q1053" s="439"/>
      <c r="R1053" s="439"/>
      <c r="S1053" s="439"/>
      <c r="T1053" s="264"/>
      <c r="U1053" s="439"/>
      <c r="V1053" s="16"/>
      <c r="W1053" s="119"/>
      <c r="X1053" s="119"/>
      <c r="Y1053" s="119"/>
      <c r="Z1053" s="119"/>
      <c r="AA1053" s="119"/>
      <c r="AB1053" s="119"/>
      <c r="AC1053" s="119"/>
      <c r="AD1053" s="119"/>
      <c r="AE1053" s="119"/>
      <c r="AF1053" s="119"/>
      <c r="AG1053" s="119"/>
      <c r="AH1053" s="16"/>
      <c r="AI1053" s="439"/>
      <c r="AJ1053" s="439"/>
      <c r="AK1053" s="439"/>
    </row>
    <row r="1054" ht="18.75" customHeight="1">
      <c r="A1054" s="439"/>
      <c r="B1054" s="439"/>
      <c r="C1054" s="439"/>
      <c r="D1054" s="439"/>
      <c r="E1054" s="439"/>
      <c r="F1054" s="439"/>
      <c r="G1054" s="439"/>
      <c r="H1054" s="439"/>
      <c r="I1054" s="439"/>
      <c r="J1054" s="439"/>
      <c r="K1054" s="439"/>
      <c r="L1054" s="439"/>
      <c r="M1054" s="439"/>
      <c r="N1054" s="439"/>
      <c r="O1054" s="439"/>
      <c r="P1054" s="439"/>
      <c r="Q1054" s="439"/>
      <c r="R1054" s="439"/>
      <c r="S1054" s="439"/>
      <c r="T1054" s="264"/>
      <c r="U1054" s="439"/>
      <c r="V1054" s="16"/>
      <c r="W1054" s="119"/>
      <c r="X1054" s="119"/>
      <c r="Y1054" s="119"/>
      <c r="Z1054" s="119"/>
      <c r="AA1054" s="119"/>
      <c r="AB1054" s="119"/>
      <c r="AC1054" s="119"/>
      <c r="AD1054" s="119"/>
      <c r="AE1054" s="119"/>
      <c r="AF1054" s="119"/>
      <c r="AG1054" s="119"/>
      <c r="AH1054" s="16"/>
      <c r="AI1054" s="439"/>
      <c r="AJ1054" s="439"/>
      <c r="AK1054" s="439"/>
    </row>
    <row r="1055" ht="18.75" customHeight="1">
      <c r="A1055" s="439"/>
      <c r="B1055" s="439"/>
      <c r="C1055" s="439"/>
      <c r="D1055" s="439"/>
      <c r="E1055" s="439"/>
      <c r="F1055" s="439"/>
      <c r="G1055" s="439"/>
      <c r="H1055" s="439"/>
      <c r="I1055" s="439"/>
      <c r="J1055" s="439"/>
      <c r="K1055" s="439"/>
      <c r="L1055" s="439"/>
      <c r="M1055" s="439"/>
      <c r="N1055" s="439"/>
      <c r="O1055" s="439"/>
      <c r="P1055" s="439"/>
      <c r="Q1055" s="439"/>
      <c r="R1055" s="439"/>
      <c r="S1055" s="439"/>
      <c r="T1055" s="264"/>
      <c r="U1055" s="439"/>
      <c r="V1055" s="16"/>
      <c r="W1055" s="119"/>
      <c r="X1055" s="119"/>
      <c r="Y1055" s="119"/>
      <c r="Z1055" s="119"/>
      <c r="AA1055" s="119"/>
      <c r="AB1055" s="119"/>
      <c r="AC1055" s="119"/>
      <c r="AD1055" s="119"/>
      <c r="AE1055" s="119"/>
      <c r="AF1055" s="119"/>
      <c r="AG1055" s="119"/>
      <c r="AH1055" s="16"/>
      <c r="AI1055" s="439"/>
      <c r="AJ1055" s="439"/>
      <c r="AK1055" s="439"/>
    </row>
    <row r="1056" ht="18.75" customHeight="1">
      <c r="A1056" s="439"/>
      <c r="B1056" s="439"/>
      <c r="C1056" s="439"/>
      <c r="D1056" s="439"/>
      <c r="E1056" s="439"/>
      <c r="F1056" s="439"/>
      <c r="G1056" s="439"/>
      <c r="H1056" s="439"/>
      <c r="I1056" s="439"/>
      <c r="J1056" s="439"/>
      <c r="K1056" s="439"/>
      <c r="L1056" s="439"/>
      <c r="M1056" s="439"/>
      <c r="N1056" s="439"/>
      <c r="O1056" s="439"/>
      <c r="P1056" s="439"/>
      <c r="Q1056" s="439"/>
      <c r="R1056" s="439"/>
      <c r="S1056" s="439"/>
      <c r="T1056" s="264"/>
      <c r="U1056" s="439"/>
      <c r="V1056" s="16"/>
      <c r="W1056" s="119"/>
      <c r="X1056" s="119"/>
      <c r="Y1056" s="119"/>
      <c r="Z1056" s="119"/>
      <c r="AA1056" s="119"/>
      <c r="AB1056" s="119"/>
      <c r="AC1056" s="119"/>
      <c r="AD1056" s="119"/>
      <c r="AE1056" s="119"/>
      <c r="AF1056" s="119"/>
      <c r="AG1056" s="119"/>
      <c r="AH1056" s="16"/>
      <c r="AI1056" s="439"/>
      <c r="AJ1056" s="439"/>
      <c r="AK1056" s="439"/>
    </row>
    <row r="1057" ht="18.75" customHeight="1">
      <c r="A1057" s="439"/>
      <c r="B1057" s="439"/>
      <c r="C1057" s="439"/>
      <c r="D1057" s="439"/>
      <c r="E1057" s="439"/>
      <c r="F1057" s="439"/>
      <c r="G1057" s="439"/>
      <c r="H1057" s="439"/>
      <c r="I1057" s="439"/>
      <c r="J1057" s="439"/>
      <c r="K1057" s="439"/>
      <c r="L1057" s="439"/>
      <c r="M1057" s="439"/>
      <c r="N1057" s="439"/>
      <c r="O1057" s="439"/>
      <c r="P1057" s="439"/>
      <c r="Q1057" s="439"/>
      <c r="R1057" s="439"/>
      <c r="S1057" s="439"/>
      <c r="T1057" s="264"/>
      <c r="U1057" s="439"/>
      <c r="V1057" s="16"/>
      <c r="W1057" s="119"/>
      <c r="X1057" s="119"/>
      <c r="Y1057" s="119"/>
      <c r="Z1057" s="119"/>
      <c r="AA1057" s="119"/>
      <c r="AB1057" s="119"/>
      <c r="AC1057" s="119"/>
      <c r="AD1057" s="119"/>
      <c r="AE1057" s="119"/>
      <c r="AF1057" s="119"/>
      <c r="AG1057" s="119"/>
      <c r="AH1057" s="16"/>
      <c r="AI1057" s="439"/>
      <c r="AJ1057" s="439"/>
      <c r="AK1057" s="439"/>
    </row>
    <row r="1058" ht="18.75" customHeight="1">
      <c r="A1058" s="439"/>
      <c r="B1058" s="439"/>
      <c r="C1058" s="439"/>
      <c r="D1058" s="439"/>
      <c r="E1058" s="439"/>
      <c r="F1058" s="439"/>
      <c r="G1058" s="439"/>
      <c r="H1058" s="439"/>
      <c r="I1058" s="439"/>
      <c r="J1058" s="439"/>
      <c r="K1058" s="439"/>
      <c r="L1058" s="439"/>
      <c r="M1058" s="439"/>
      <c r="N1058" s="439"/>
      <c r="O1058" s="439"/>
      <c r="P1058" s="439"/>
      <c r="Q1058" s="439"/>
      <c r="R1058" s="439"/>
      <c r="S1058" s="439"/>
      <c r="T1058" s="264"/>
      <c r="U1058" s="439"/>
      <c r="V1058" s="16"/>
      <c r="W1058" s="119"/>
      <c r="X1058" s="119"/>
      <c r="Y1058" s="119"/>
      <c r="Z1058" s="119"/>
      <c r="AA1058" s="119"/>
      <c r="AB1058" s="119"/>
      <c r="AC1058" s="119"/>
      <c r="AD1058" s="119"/>
      <c r="AE1058" s="119"/>
      <c r="AF1058" s="119"/>
      <c r="AG1058" s="119"/>
      <c r="AH1058" s="16"/>
      <c r="AI1058" s="439"/>
      <c r="AJ1058" s="439"/>
      <c r="AK1058" s="439"/>
    </row>
    <row r="1059" ht="18.75" customHeight="1">
      <c r="A1059" s="439"/>
      <c r="B1059" s="439"/>
      <c r="C1059" s="439"/>
      <c r="D1059" s="439"/>
      <c r="E1059" s="439"/>
      <c r="F1059" s="439"/>
      <c r="G1059" s="439"/>
      <c r="H1059" s="439"/>
      <c r="I1059" s="439"/>
      <c r="J1059" s="439"/>
      <c r="K1059" s="439"/>
      <c r="L1059" s="439"/>
      <c r="M1059" s="439"/>
      <c r="N1059" s="439"/>
      <c r="O1059" s="439"/>
      <c r="P1059" s="439"/>
      <c r="Q1059" s="439"/>
      <c r="R1059" s="439"/>
      <c r="S1059" s="439"/>
      <c r="T1059" s="264"/>
      <c r="U1059" s="439"/>
      <c r="V1059" s="16"/>
      <c r="W1059" s="119"/>
      <c r="X1059" s="119"/>
      <c r="Y1059" s="119"/>
      <c r="Z1059" s="119"/>
      <c r="AA1059" s="119"/>
      <c r="AB1059" s="119"/>
      <c r="AC1059" s="119"/>
      <c r="AD1059" s="119"/>
      <c r="AE1059" s="119"/>
      <c r="AF1059" s="119"/>
      <c r="AG1059" s="119"/>
      <c r="AH1059" s="16"/>
      <c r="AI1059" s="439"/>
      <c r="AJ1059" s="439"/>
      <c r="AK1059" s="439"/>
    </row>
    <row r="1060" ht="18.75" customHeight="1">
      <c r="A1060" s="439"/>
      <c r="B1060" s="439"/>
      <c r="C1060" s="439"/>
      <c r="D1060" s="439"/>
      <c r="E1060" s="439"/>
      <c r="F1060" s="439"/>
      <c r="G1060" s="439"/>
      <c r="H1060" s="439"/>
      <c r="I1060" s="439"/>
      <c r="J1060" s="439"/>
      <c r="K1060" s="439"/>
      <c r="L1060" s="439"/>
      <c r="M1060" s="439"/>
      <c r="N1060" s="439"/>
      <c r="O1060" s="439"/>
      <c r="P1060" s="439"/>
      <c r="Q1060" s="439"/>
      <c r="R1060" s="439"/>
      <c r="S1060" s="439"/>
      <c r="T1060" s="264"/>
      <c r="U1060" s="439"/>
      <c r="V1060" s="16"/>
      <c r="W1060" s="119"/>
      <c r="X1060" s="119"/>
      <c r="Y1060" s="119"/>
      <c r="Z1060" s="119"/>
      <c r="AA1060" s="119"/>
      <c r="AB1060" s="119"/>
      <c r="AC1060" s="119"/>
      <c r="AD1060" s="119"/>
      <c r="AE1060" s="119"/>
      <c r="AF1060" s="119"/>
      <c r="AG1060" s="119"/>
      <c r="AH1060" s="16"/>
      <c r="AI1060" s="439"/>
      <c r="AJ1060" s="439"/>
      <c r="AK1060" s="439"/>
    </row>
    <row r="1061" ht="18.75" customHeight="1">
      <c r="A1061" s="439"/>
      <c r="B1061" s="439"/>
      <c r="C1061" s="439"/>
      <c r="D1061" s="439"/>
      <c r="E1061" s="439"/>
      <c r="F1061" s="439"/>
      <c r="G1061" s="439"/>
      <c r="H1061" s="439"/>
      <c r="I1061" s="439"/>
      <c r="J1061" s="439"/>
      <c r="K1061" s="439"/>
      <c r="L1061" s="439"/>
      <c r="M1061" s="439"/>
      <c r="N1061" s="439"/>
      <c r="O1061" s="439"/>
      <c r="P1061" s="439"/>
      <c r="Q1061" s="439"/>
      <c r="R1061" s="439"/>
      <c r="S1061" s="439"/>
      <c r="T1061" s="264"/>
      <c r="U1061" s="439"/>
      <c r="V1061" s="16"/>
      <c r="W1061" s="119"/>
      <c r="X1061" s="119"/>
      <c r="Y1061" s="119"/>
      <c r="Z1061" s="119"/>
      <c r="AA1061" s="119"/>
      <c r="AB1061" s="119"/>
      <c r="AC1061" s="119"/>
      <c r="AD1061" s="119"/>
      <c r="AE1061" s="119"/>
      <c r="AF1061" s="119"/>
      <c r="AG1061" s="119"/>
      <c r="AH1061" s="16"/>
      <c r="AI1061" s="439"/>
      <c r="AJ1061" s="439"/>
      <c r="AK1061" s="439"/>
    </row>
    <row r="1062" ht="18.75" customHeight="1">
      <c r="A1062" s="439"/>
      <c r="B1062" s="439"/>
      <c r="C1062" s="439"/>
      <c r="D1062" s="439"/>
      <c r="E1062" s="439"/>
      <c r="F1062" s="439"/>
      <c r="G1062" s="439"/>
      <c r="H1062" s="439"/>
      <c r="I1062" s="439"/>
      <c r="J1062" s="439"/>
      <c r="K1062" s="439"/>
      <c r="L1062" s="439"/>
      <c r="M1062" s="439"/>
      <c r="N1062" s="439"/>
      <c r="O1062" s="439"/>
      <c r="P1062" s="439"/>
      <c r="Q1062" s="439"/>
      <c r="R1062" s="439"/>
      <c r="S1062" s="439"/>
      <c r="T1062" s="264"/>
      <c r="U1062" s="439"/>
      <c r="V1062" s="16"/>
      <c r="W1062" s="119"/>
      <c r="X1062" s="119"/>
      <c r="Y1062" s="119"/>
      <c r="Z1062" s="119"/>
      <c r="AA1062" s="119"/>
      <c r="AB1062" s="119"/>
      <c r="AC1062" s="119"/>
      <c r="AD1062" s="119"/>
      <c r="AE1062" s="119"/>
      <c r="AF1062" s="119"/>
      <c r="AG1062" s="119"/>
      <c r="AH1062" s="16"/>
      <c r="AI1062" s="439"/>
      <c r="AJ1062" s="439"/>
      <c r="AK1062" s="439"/>
    </row>
    <row r="1063" ht="18.75" customHeight="1">
      <c r="A1063" s="439"/>
      <c r="B1063" s="439"/>
      <c r="C1063" s="439"/>
      <c r="D1063" s="439"/>
      <c r="E1063" s="439"/>
      <c r="F1063" s="439"/>
      <c r="G1063" s="439"/>
      <c r="H1063" s="439"/>
      <c r="I1063" s="439"/>
      <c r="J1063" s="439"/>
      <c r="K1063" s="439"/>
      <c r="L1063" s="439"/>
      <c r="M1063" s="439"/>
      <c r="N1063" s="439"/>
      <c r="O1063" s="439"/>
      <c r="P1063" s="439"/>
      <c r="Q1063" s="439"/>
      <c r="R1063" s="439"/>
      <c r="S1063" s="439"/>
      <c r="T1063" s="264"/>
      <c r="U1063" s="439"/>
      <c r="V1063" s="16"/>
      <c r="W1063" s="119"/>
      <c r="X1063" s="119"/>
      <c r="Y1063" s="119"/>
      <c r="Z1063" s="119"/>
      <c r="AA1063" s="119"/>
      <c r="AB1063" s="119"/>
      <c r="AC1063" s="119"/>
      <c r="AD1063" s="119"/>
      <c r="AE1063" s="119"/>
      <c r="AF1063" s="119"/>
      <c r="AG1063" s="119"/>
      <c r="AH1063" s="16"/>
      <c r="AI1063" s="439"/>
      <c r="AJ1063" s="439"/>
      <c r="AK1063" s="439"/>
    </row>
    <row r="1064" ht="18.75" customHeight="1">
      <c r="A1064" s="439"/>
      <c r="B1064" s="439"/>
      <c r="C1064" s="439"/>
      <c r="D1064" s="439"/>
      <c r="E1064" s="439"/>
      <c r="F1064" s="439"/>
      <c r="G1064" s="439"/>
      <c r="H1064" s="439"/>
      <c r="I1064" s="439"/>
      <c r="J1064" s="439"/>
      <c r="K1064" s="439"/>
      <c r="L1064" s="439"/>
      <c r="M1064" s="439"/>
      <c r="N1064" s="439"/>
      <c r="O1064" s="439"/>
      <c r="P1064" s="439"/>
      <c r="Q1064" s="439"/>
      <c r="R1064" s="439"/>
      <c r="S1064" s="439"/>
      <c r="T1064" s="264"/>
      <c r="U1064" s="439"/>
      <c r="V1064" s="16"/>
      <c r="W1064" s="119"/>
      <c r="X1064" s="119"/>
      <c r="Y1064" s="119"/>
      <c r="Z1064" s="119"/>
      <c r="AA1064" s="119"/>
      <c r="AB1064" s="119"/>
      <c r="AC1064" s="119"/>
      <c r="AD1064" s="119"/>
      <c r="AE1064" s="119"/>
      <c r="AF1064" s="119"/>
      <c r="AG1064" s="119"/>
      <c r="AH1064" s="16"/>
      <c r="AI1064" s="439"/>
      <c r="AJ1064" s="439"/>
      <c r="AK1064" s="439"/>
    </row>
    <row r="1065" ht="18.75" customHeight="1">
      <c r="A1065" s="439"/>
      <c r="B1065" s="439"/>
      <c r="C1065" s="439"/>
      <c r="D1065" s="439"/>
      <c r="E1065" s="439"/>
      <c r="F1065" s="439"/>
      <c r="G1065" s="439"/>
      <c r="H1065" s="439"/>
      <c r="I1065" s="439"/>
      <c r="J1065" s="439"/>
      <c r="K1065" s="439"/>
      <c r="L1065" s="439"/>
      <c r="M1065" s="439"/>
      <c r="N1065" s="439"/>
      <c r="O1065" s="439"/>
      <c r="P1065" s="439"/>
      <c r="Q1065" s="439"/>
      <c r="R1065" s="439"/>
      <c r="S1065" s="439"/>
      <c r="T1065" s="264"/>
      <c r="U1065" s="439"/>
      <c r="V1065" s="16"/>
      <c r="W1065" s="119"/>
      <c r="X1065" s="119"/>
      <c r="Y1065" s="119"/>
      <c r="Z1065" s="119"/>
      <c r="AA1065" s="119"/>
      <c r="AB1065" s="119"/>
      <c r="AC1065" s="119"/>
      <c r="AD1065" s="119"/>
      <c r="AE1065" s="119"/>
      <c r="AF1065" s="119"/>
      <c r="AG1065" s="119"/>
      <c r="AH1065" s="16"/>
      <c r="AI1065" s="439"/>
      <c r="AJ1065" s="439"/>
      <c r="AK1065" s="439"/>
    </row>
    <row r="1066" ht="18.75" customHeight="1">
      <c r="A1066" s="439"/>
      <c r="B1066" s="439"/>
      <c r="C1066" s="439"/>
      <c r="D1066" s="439"/>
      <c r="E1066" s="439"/>
      <c r="F1066" s="439"/>
      <c r="G1066" s="439"/>
      <c r="H1066" s="439"/>
      <c r="I1066" s="439"/>
      <c r="J1066" s="439"/>
      <c r="K1066" s="439"/>
      <c r="L1066" s="439"/>
      <c r="M1066" s="439"/>
      <c r="N1066" s="439"/>
      <c r="O1066" s="439"/>
      <c r="P1066" s="439"/>
      <c r="Q1066" s="439"/>
      <c r="R1066" s="439"/>
      <c r="S1066" s="439"/>
      <c r="T1066" s="264"/>
      <c r="U1066" s="439"/>
      <c r="V1066" s="16"/>
      <c r="W1066" s="119"/>
      <c r="X1066" s="119"/>
      <c r="Y1066" s="119"/>
      <c r="Z1066" s="119"/>
      <c r="AA1066" s="119"/>
      <c r="AB1066" s="119"/>
      <c r="AC1066" s="119"/>
      <c r="AD1066" s="119"/>
      <c r="AE1066" s="119"/>
      <c r="AF1066" s="119"/>
      <c r="AG1066" s="119"/>
      <c r="AH1066" s="16"/>
      <c r="AI1066" s="439"/>
      <c r="AJ1066" s="439"/>
      <c r="AK1066" s="439"/>
    </row>
    <row r="1067" ht="18.75" customHeight="1">
      <c r="A1067" s="439"/>
      <c r="B1067" s="439"/>
      <c r="C1067" s="439"/>
      <c r="D1067" s="439"/>
      <c r="E1067" s="439"/>
      <c r="F1067" s="439"/>
      <c r="G1067" s="439"/>
      <c r="H1067" s="439"/>
      <c r="I1067" s="439"/>
      <c r="J1067" s="439"/>
      <c r="K1067" s="439"/>
      <c r="L1067" s="439"/>
      <c r="M1067" s="439"/>
      <c r="N1067" s="439"/>
      <c r="O1067" s="439"/>
      <c r="P1067" s="439"/>
      <c r="Q1067" s="439"/>
      <c r="R1067" s="439"/>
      <c r="S1067" s="439"/>
      <c r="T1067" s="264"/>
      <c r="U1067" s="439"/>
      <c r="V1067" s="16"/>
      <c r="W1067" s="119"/>
      <c r="X1067" s="119"/>
      <c r="Y1067" s="119"/>
      <c r="Z1067" s="119"/>
      <c r="AA1067" s="119"/>
      <c r="AB1067" s="119"/>
      <c r="AC1067" s="119"/>
      <c r="AD1067" s="119"/>
      <c r="AE1067" s="119"/>
      <c r="AF1067" s="119"/>
      <c r="AG1067" s="119"/>
      <c r="AH1067" s="16"/>
      <c r="AI1067" s="439"/>
      <c r="AJ1067" s="439"/>
      <c r="AK1067" s="439"/>
    </row>
    <row r="1068" ht="18.75" customHeight="1">
      <c r="A1068" s="439"/>
      <c r="B1068" s="439"/>
      <c r="C1068" s="439"/>
      <c r="D1068" s="439"/>
      <c r="E1068" s="439"/>
      <c r="F1068" s="439"/>
      <c r="G1068" s="439"/>
      <c r="H1068" s="439"/>
      <c r="I1068" s="439"/>
      <c r="J1068" s="439"/>
      <c r="K1068" s="439"/>
      <c r="L1068" s="439"/>
      <c r="M1068" s="439"/>
      <c r="N1068" s="439"/>
      <c r="O1068" s="439"/>
      <c r="P1068" s="439"/>
      <c r="Q1068" s="439"/>
      <c r="R1068" s="439"/>
      <c r="S1068" s="439"/>
      <c r="T1068" s="264"/>
      <c r="U1068" s="439"/>
      <c r="V1068" s="16"/>
      <c r="W1068" s="119"/>
      <c r="X1068" s="119"/>
      <c r="Y1068" s="119"/>
      <c r="Z1068" s="119"/>
      <c r="AA1068" s="119"/>
      <c r="AB1068" s="119"/>
      <c r="AC1068" s="119"/>
      <c r="AD1068" s="119"/>
      <c r="AE1068" s="119"/>
      <c r="AF1068" s="119"/>
      <c r="AG1068" s="119"/>
      <c r="AH1068" s="16"/>
      <c r="AI1068" s="439"/>
      <c r="AJ1068" s="439"/>
      <c r="AK1068" s="439"/>
    </row>
    <row r="1069" ht="18.75" customHeight="1">
      <c r="A1069" s="439"/>
      <c r="B1069" s="439"/>
      <c r="C1069" s="439"/>
      <c r="D1069" s="439"/>
      <c r="E1069" s="439"/>
      <c r="F1069" s="439"/>
      <c r="G1069" s="439"/>
      <c r="H1069" s="439"/>
      <c r="I1069" s="439"/>
      <c r="J1069" s="439"/>
      <c r="K1069" s="439"/>
      <c r="L1069" s="439"/>
      <c r="M1069" s="439"/>
      <c r="N1069" s="439"/>
      <c r="O1069" s="439"/>
      <c r="P1069" s="439"/>
      <c r="Q1069" s="439"/>
      <c r="R1069" s="439"/>
      <c r="S1069" s="439"/>
      <c r="T1069" s="264"/>
      <c r="U1069" s="439"/>
      <c r="V1069" s="16"/>
      <c r="W1069" s="119"/>
      <c r="X1069" s="119"/>
      <c r="Y1069" s="119"/>
      <c r="Z1069" s="119"/>
      <c r="AA1069" s="119"/>
      <c r="AB1069" s="119"/>
      <c r="AC1069" s="119"/>
      <c r="AD1069" s="119"/>
      <c r="AE1069" s="119"/>
      <c r="AF1069" s="119"/>
      <c r="AG1069" s="119"/>
      <c r="AH1069" s="16"/>
      <c r="AI1069" s="439"/>
      <c r="AJ1069" s="439"/>
      <c r="AK1069" s="439"/>
    </row>
    <row r="1070" ht="18.75" customHeight="1">
      <c r="A1070" s="439"/>
      <c r="B1070" s="439"/>
      <c r="C1070" s="439"/>
      <c r="D1070" s="439"/>
      <c r="E1070" s="439"/>
      <c r="F1070" s="439"/>
      <c r="G1070" s="439"/>
      <c r="H1070" s="439"/>
      <c r="I1070" s="439"/>
      <c r="J1070" s="439"/>
      <c r="K1070" s="439"/>
      <c r="L1070" s="439"/>
      <c r="M1070" s="439"/>
      <c r="N1070" s="439"/>
      <c r="O1070" s="439"/>
      <c r="P1070" s="439"/>
      <c r="Q1070" s="439"/>
      <c r="R1070" s="439"/>
      <c r="S1070" s="439"/>
      <c r="T1070" s="264"/>
      <c r="U1070" s="439"/>
      <c r="V1070" s="16"/>
      <c r="W1070" s="119"/>
      <c r="X1070" s="119"/>
      <c r="Y1070" s="119"/>
      <c r="Z1070" s="119"/>
      <c r="AA1070" s="119"/>
      <c r="AB1070" s="119"/>
      <c r="AC1070" s="119"/>
      <c r="AD1070" s="119"/>
      <c r="AE1070" s="119"/>
      <c r="AF1070" s="119"/>
      <c r="AG1070" s="119"/>
      <c r="AH1070" s="16"/>
      <c r="AI1070" s="439"/>
      <c r="AJ1070" s="439"/>
      <c r="AK1070" s="439"/>
    </row>
    <row r="1071" ht="18.75" customHeight="1">
      <c r="A1071" s="439"/>
      <c r="B1071" s="439"/>
      <c r="C1071" s="439"/>
      <c r="D1071" s="439"/>
      <c r="E1071" s="439"/>
      <c r="F1071" s="439"/>
      <c r="G1071" s="439"/>
      <c r="H1071" s="439"/>
      <c r="I1071" s="439"/>
      <c r="J1071" s="439"/>
      <c r="K1071" s="439"/>
      <c r="L1071" s="439"/>
      <c r="M1071" s="439"/>
      <c r="N1071" s="439"/>
      <c r="O1071" s="439"/>
      <c r="P1071" s="439"/>
      <c r="Q1071" s="439"/>
      <c r="R1071" s="439"/>
      <c r="S1071" s="439"/>
      <c r="T1071" s="264"/>
      <c r="U1071" s="439"/>
      <c r="V1071" s="16"/>
      <c r="W1071" s="119"/>
      <c r="X1071" s="119"/>
      <c r="Y1071" s="119"/>
      <c r="Z1071" s="119"/>
      <c r="AA1071" s="119"/>
      <c r="AB1071" s="119"/>
      <c r="AC1071" s="119"/>
      <c r="AD1071" s="119"/>
      <c r="AE1071" s="119"/>
      <c r="AF1071" s="119"/>
      <c r="AG1071" s="119"/>
      <c r="AH1071" s="16"/>
      <c r="AI1071" s="439"/>
      <c r="AJ1071" s="439"/>
      <c r="AK1071" s="439"/>
    </row>
    <row r="1072" ht="18.75" customHeight="1">
      <c r="A1072" s="439"/>
      <c r="B1072" s="439"/>
      <c r="C1072" s="439"/>
      <c r="D1072" s="439"/>
      <c r="E1072" s="439"/>
      <c r="F1072" s="439"/>
      <c r="G1072" s="439"/>
      <c r="H1072" s="439"/>
      <c r="I1072" s="439"/>
      <c r="J1072" s="439"/>
      <c r="K1072" s="439"/>
      <c r="L1072" s="439"/>
      <c r="M1072" s="439"/>
      <c r="N1072" s="439"/>
      <c r="O1072" s="439"/>
      <c r="P1072" s="439"/>
      <c r="Q1072" s="439"/>
      <c r="R1072" s="439"/>
      <c r="S1072" s="439"/>
      <c r="T1072" s="264"/>
      <c r="U1072" s="439"/>
      <c r="V1072" s="16"/>
      <c r="W1072" s="119"/>
      <c r="X1072" s="119"/>
      <c r="Y1072" s="119"/>
      <c r="Z1072" s="119"/>
      <c r="AA1072" s="119"/>
      <c r="AB1072" s="119"/>
      <c r="AC1072" s="119"/>
      <c r="AD1072" s="119"/>
      <c r="AE1072" s="119"/>
      <c r="AF1072" s="119"/>
      <c r="AG1072" s="119"/>
      <c r="AH1072" s="16"/>
      <c r="AI1072" s="439"/>
      <c r="AJ1072" s="439"/>
      <c r="AK1072" s="439"/>
    </row>
    <row r="1073" ht="18.75" customHeight="1">
      <c r="A1073" s="439"/>
      <c r="B1073" s="439"/>
      <c r="C1073" s="439"/>
      <c r="D1073" s="439"/>
      <c r="E1073" s="439"/>
      <c r="F1073" s="439"/>
      <c r="G1073" s="439"/>
      <c r="H1073" s="439"/>
      <c r="I1073" s="439"/>
      <c r="J1073" s="439"/>
      <c r="K1073" s="439"/>
      <c r="L1073" s="439"/>
      <c r="M1073" s="439"/>
      <c r="N1073" s="439"/>
      <c r="O1073" s="439"/>
      <c r="P1073" s="439"/>
      <c r="Q1073" s="439"/>
      <c r="R1073" s="439"/>
      <c r="S1073" s="439"/>
      <c r="T1073" s="264"/>
      <c r="U1073" s="439"/>
      <c r="V1073" s="16"/>
      <c r="W1073" s="119"/>
      <c r="X1073" s="119"/>
      <c r="Y1073" s="119"/>
      <c r="Z1073" s="119"/>
      <c r="AA1073" s="119"/>
      <c r="AB1073" s="119"/>
      <c r="AC1073" s="119"/>
      <c r="AD1073" s="119"/>
      <c r="AE1073" s="119"/>
      <c r="AF1073" s="119"/>
      <c r="AG1073" s="119"/>
      <c r="AH1073" s="16"/>
      <c r="AI1073" s="439"/>
      <c r="AJ1073" s="439"/>
      <c r="AK1073" s="439"/>
    </row>
    <row r="1074" ht="18.75" customHeight="1">
      <c r="A1074" s="439"/>
      <c r="B1074" s="439"/>
      <c r="C1074" s="439"/>
      <c r="D1074" s="439"/>
      <c r="E1074" s="439"/>
      <c r="F1074" s="439"/>
      <c r="G1074" s="439"/>
      <c r="H1074" s="439"/>
      <c r="I1074" s="439"/>
      <c r="J1074" s="439"/>
      <c r="K1074" s="439"/>
      <c r="L1074" s="439"/>
      <c r="M1074" s="439"/>
      <c r="N1074" s="439"/>
      <c r="O1074" s="439"/>
      <c r="P1074" s="439"/>
      <c r="Q1074" s="439"/>
      <c r="R1074" s="439"/>
      <c r="S1074" s="439"/>
      <c r="T1074" s="264"/>
      <c r="U1074" s="439"/>
      <c r="V1074" s="16"/>
      <c r="W1074" s="119"/>
      <c r="X1074" s="119"/>
      <c r="Y1074" s="119"/>
      <c r="Z1074" s="119"/>
      <c r="AA1074" s="119"/>
      <c r="AB1074" s="119"/>
      <c r="AC1074" s="119"/>
      <c r="AD1074" s="119"/>
      <c r="AE1074" s="119"/>
      <c r="AF1074" s="119"/>
      <c r="AG1074" s="119"/>
      <c r="AH1074" s="16"/>
      <c r="AI1074" s="439"/>
      <c r="AJ1074" s="439"/>
      <c r="AK1074" s="439"/>
    </row>
    <row r="1075" ht="18.75" customHeight="1">
      <c r="A1075" s="439"/>
      <c r="B1075" s="439"/>
      <c r="C1075" s="439"/>
      <c r="D1075" s="439"/>
      <c r="E1075" s="439"/>
      <c r="F1075" s="439"/>
      <c r="G1075" s="439"/>
      <c r="H1075" s="439"/>
      <c r="I1075" s="439"/>
      <c r="J1075" s="439"/>
      <c r="K1075" s="439"/>
      <c r="L1075" s="439"/>
      <c r="M1075" s="439"/>
      <c r="N1075" s="439"/>
      <c r="O1075" s="439"/>
      <c r="P1075" s="439"/>
      <c r="Q1075" s="439"/>
      <c r="R1075" s="439"/>
      <c r="S1075" s="439"/>
      <c r="T1075" s="264"/>
      <c r="U1075" s="439"/>
      <c r="V1075" s="16"/>
      <c r="W1075" s="119"/>
      <c r="X1075" s="119"/>
      <c r="Y1075" s="119"/>
      <c r="Z1075" s="119"/>
      <c r="AA1075" s="119"/>
      <c r="AB1075" s="119"/>
      <c r="AC1075" s="119"/>
      <c r="AD1075" s="119"/>
      <c r="AE1075" s="119"/>
      <c r="AF1075" s="119"/>
      <c r="AG1075" s="119"/>
      <c r="AH1075" s="16"/>
      <c r="AI1075" s="439"/>
      <c r="AJ1075" s="439"/>
      <c r="AK1075" s="439"/>
    </row>
    <row r="1076" ht="18.75" customHeight="1">
      <c r="A1076" s="439"/>
      <c r="B1076" s="439"/>
      <c r="C1076" s="439"/>
      <c r="D1076" s="439"/>
      <c r="E1076" s="439"/>
      <c r="F1076" s="439"/>
      <c r="G1076" s="439"/>
      <c r="H1076" s="439"/>
      <c r="I1076" s="439"/>
      <c r="J1076" s="439"/>
      <c r="K1076" s="439"/>
      <c r="L1076" s="439"/>
      <c r="M1076" s="439"/>
      <c r="N1076" s="439"/>
      <c r="O1076" s="439"/>
      <c r="P1076" s="439"/>
      <c r="Q1076" s="439"/>
      <c r="R1076" s="439"/>
      <c r="S1076" s="439"/>
      <c r="T1076" s="264"/>
      <c r="U1076" s="439"/>
      <c r="V1076" s="16"/>
      <c r="W1076" s="119"/>
      <c r="X1076" s="119"/>
      <c r="Y1076" s="119"/>
      <c r="Z1076" s="119"/>
      <c r="AA1076" s="119"/>
      <c r="AB1076" s="119"/>
      <c r="AC1076" s="119"/>
      <c r="AD1076" s="119"/>
      <c r="AE1076" s="119"/>
      <c r="AF1076" s="119"/>
      <c r="AG1076" s="119"/>
      <c r="AH1076" s="16"/>
      <c r="AI1076" s="439"/>
      <c r="AJ1076" s="439"/>
      <c r="AK1076" s="439"/>
    </row>
    <row r="1077" ht="18.75" customHeight="1">
      <c r="A1077" s="439"/>
      <c r="B1077" s="439"/>
      <c r="C1077" s="439"/>
      <c r="D1077" s="439"/>
      <c r="E1077" s="439"/>
      <c r="F1077" s="439"/>
      <c r="G1077" s="439"/>
      <c r="H1077" s="439"/>
      <c r="I1077" s="439"/>
      <c r="J1077" s="439"/>
      <c r="K1077" s="439"/>
      <c r="L1077" s="439"/>
      <c r="M1077" s="439"/>
      <c r="N1077" s="439"/>
      <c r="O1077" s="439"/>
      <c r="P1077" s="439"/>
      <c r="Q1077" s="439"/>
      <c r="R1077" s="439"/>
      <c r="S1077" s="439"/>
      <c r="T1077" s="264"/>
      <c r="U1077" s="439"/>
      <c r="V1077" s="16"/>
      <c r="W1077" s="119"/>
      <c r="X1077" s="119"/>
      <c r="Y1077" s="119"/>
      <c r="Z1077" s="119"/>
      <c r="AA1077" s="119"/>
      <c r="AB1077" s="119"/>
      <c r="AC1077" s="119"/>
      <c r="AD1077" s="119"/>
      <c r="AE1077" s="119"/>
      <c r="AF1077" s="119"/>
      <c r="AG1077" s="119"/>
      <c r="AH1077" s="16"/>
      <c r="AI1077" s="439"/>
      <c r="AJ1077" s="439"/>
      <c r="AK1077" s="439"/>
    </row>
    <row r="1078" ht="18.75" customHeight="1">
      <c r="A1078" s="439"/>
      <c r="B1078" s="439"/>
      <c r="C1078" s="439"/>
      <c r="D1078" s="439"/>
      <c r="E1078" s="439"/>
      <c r="F1078" s="439"/>
      <c r="G1078" s="439"/>
      <c r="H1078" s="439"/>
      <c r="I1078" s="439"/>
      <c r="J1078" s="439"/>
      <c r="K1078" s="439"/>
      <c r="L1078" s="439"/>
      <c r="M1078" s="439"/>
      <c r="N1078" s="439"/>
      <c r="O1078" s="439"/>
      <c r="P1078" s="439"/>
      <c r="Q1078" s="439"/>
      <c r="R1078" s="439"/>
      <c r="S1078" s="439"/>
      <c r="T1078" s="264"/>
      <c r="U1078" s="439"/>
      <c r="V1078" s="16"/>
      <c r="W1078" s="119"/>
      <c r="X1078" s="119"/>
      <c r="Y1078" s="119"/>
      <c r="Z1078" s="119"/>
      <c r="AA1078" s="119"/>
      <c r="AB1078" s="119"/>
      <c r="AC1078" s="119"/>
      <c r="AD1078" s="119"/>
      <c r="AE1078" s="119"/>
      <c r="AF1078" s="119"/>
      <c r="AG1078" s="119"/>
      <c r="AH1078" s="16"/>
      <c r="AI1078" s="439"/>
      <c r="AJ1078" s="439"/>
      <c r="AK1078" s="439"/>
    </row>
    <row r="1079" ht="18.75" customHeight="1">
      <c r="A1079" s="439"/>
      <c r="B1079" s="439"/>
      <c r="C1079" s="439"/>
      <c r="D1079" s="439"/>
      <c r="E1079" s="439"/>
      <c r="F1079" s="439"/>
      <c r="G1079" s="439"/>
      <c r="H1079" s="439"/>
      <c r="I1079" s="439"/>
      <c r="J1079" s="439"/>
      <c r="K1079" s="439"/>
      <c r="L1079" s="439"/>
      <c r="M1079" s="439"/>
      <c r="N1079" s="439"/>
      <c r="O1079" s="439"/>
      <c r="P1079" s="439"/>
      <c r="Q1079" s="439"/>
      <c r="R1079" s="439"/>
      <c r="S1079" s="439"/>
      <c r="T1079" s="264"/>
      <c r="U1079" s="439"/>
      <c r="V1079" s="16"/>
      <c r="W1079" s="119"/>
      <c r="X1079" s="119"/>
      <c r="Y1079" s="119"/>
      <c r="Z1079" s="119"/>
      <c r="AA1079" s="119"/>
      <c r="AB1079" s="119"/>
      <c r="AC1079" s="119"/>
      <c r="AD1079" s="119"/>
      <c r="AE1079" s="119"/>
      <c r="AF1079" s="119"/>
      <c r="AG1079" s="119"/>
      <c r="AH1079" s="16"/>
      <c r="AI1079" s="439"/>
      <c r="AJ1079" s="439"/>
      <c r="AK1079" s="439"/>
    </row>
    <row r="1080" ht="18.75" customHeight="1">
      <c r="A1080" s="439"/>
      <c r="B1080" s="439"/>
      <c r="C1080" s="439"/>
      <c r="D1080" s="439"/>
      <c r="E1080" s="439"/>
      <c r="F1080" s="439"/>
      <c r="G1080" s="439"/>
      <c r="H1080" s="439"/>
      <c r="I1080" s="439"/>
      <c r="J1080" s="439"/>
      <c r="K1080" s="439"/>
      <c r="L1080" s="439"/>
      <c r="M1080" s="439"/>
      <c r="N1080" s="439"/>
      <c r="O1080" s="439"/>
      <c r="P1080" s="439"/>
      <c r="Q1080" s="439"/>
      <c r="R1080" s="439"/>
      <c r="S1080" s="439"/>
      <c r="T1080" s="264"/>
      <c r="U1080" s="439"/>
      <c r="V1080" s="16"/>
      <c r="W1080" s="119"/>
      <c r="X1080" s="119"/>
      <c r="Y1080" s="119"/>
      <c r="Z1080" s="119"/>
      <c r="AA1080" s="119"/>
      <c r="AB1080" s="119"/>
      <c r="AC1080" s="119"/>
      <c r="AD1080" s="119"/>
      <c r="AE1080" s="119"/>
      <c r="AF1080" s="119"/>
      <c r="AG1080" s="119"/>
      <c r="AH1080" s="16"/>
      <c r="AI1080" s="439"/>
      <c r="AJ1080" s="439"/>
      <c r="AK1080" s="439"/>
    </row>
    <row r="1081" ht="18.75" customHeight="1">
      <c r="A1081" s="439"/>
      <c r="B1081" s="439"/>
      <c r="C1081" s="439"/>
      <c r="D1081" s="439"/>
      <c r="E1081" s="439"/>
      <c r="F1081" s="439"/>
      <c r="G1081" s="439"/>
      <c r="H1081" s="439"/>
      <c r="I1081" s="439"/>
      <c r="J1081" s="439"/>
      <c r="K1081" s="439"/>
      <c r="L1081" s="439"/>
      <c r="M1081" s="439"/>
      <c r="N1081" s="439"/>
      <c r="O1081" s="439"/>
      <c r="P1081" s="439"/>
      <c r="Q1081" s="439"/>
      <c r="R1081" s="439"/>
      <c r="S1081" s="439"/>
      <c r="T1081" s="264"/>
      <c r="U1081" s="439"/>
      <c r="V1081" s="16"/>
      <c r="W1081" s="119"/>
      <c r="X1081" s="119"/>
      <c r="Y1081" s="119"/>
      <c r="Z1081" s="119"/>
      <c r="AA1081" s="119"/>
      <c r="AB1081" s="119"/>
      <c r="AC1081" s="119"/>
      <c r="AD1081" s="119"/>
      <c r="AE1081" s="119"/>
      <c r="AF1081" s="119"/>
      <c r="AG1081" s="119"/>
      <c r="AH1081" s="16"/>
      <c r="AI1081" s="439"/>
      <c r="AJ1081" s="439"/>
      <c r="AK1081" s="439"/>
    </row>
    <row r="1082" ht="18.75" customHeight="1">
      <c r="A1082" s="439"/>
      <c r="B1082" s="439"/>
      <c r="C1082" s="439"/>
      <c r="D1082" s="439"/>
      <c r="E1082" s="439"/>
      <c r="F1082" s="439"/>
      <c r="G1082" s="439"/>
      <c r="H1082" s="439"/>
      <c r="I1082" s="439"/>
      <c r="J1082" s="439"/>
      <c r="K1082" s="439"/>
      <c r="L1082" s="439"/>
      <c r="M1082" s="439"/>
      <c r="N1082" s="439"/>
      <c r="O1082" s="439"/>
      <c r="P1082" s="439"/>
      <c r="Q1082" s="439"/>
      <c r="R1082" s="439"/>
      <c r="S1082" s="439"/>
      <c r="T1082" s="264"/>
      <c r="U1082" s="439"/>
      <c r="V1082" s="16"/>
      <c r="W1082" s="119"/>
      <c r="X1082" s="119"/>
      <c r="Y1082" s="119"/>
      <c r="Z1082" s="119"/>
      <c r="AA1082" s="119"/>
      <c r="AB1082" s="119"/>
      <c r="AC1082" s="119"/>
      <c r="AD1082" s="119"/>
      <c r="AE1082" s="119"/>
      <c r="AF1082" s="119"/>
      <c r="AG1082" s="119"/>
      <c r="AH1082" s="16"/>
      <c r="AI1082" s="439"/>
      <c r="AJ1082" s="439"/>
      <c r="AK1082" s="439"/>
    </row>
    <row r="1083" ht="18.75" customHeight="1">
      <c r="A1083" s="439"/>
      <c r="B1083" s="439"/>
      <c r="C1083" s="439"/>
      <c r="D1083" s="439"/>
      <c r="E1083" s="439"/>
      <c r="F1083" s="439"/>
      <c r="G1083" s="439"/>
      <c r="H1083" s="439"/>
      <c r="I1083" s="439"/>
      <c r="J1083" s="439"/>
      <c r="K1083" s="439"/>
      <c r="L1083" s="439"/>
      <c r="M1083" s="439"/>
      <c r="N1083" s="439"/>
      <c r="O1083" s="439"/>
      <c r="P1083" s="439"/>
      <c r="Q1083" s="439"/>
      <c r="R1083" s="439"/>
      <c r="S1083" s="439"/>
      <c r="T1083" s="264"/>
      <c r="U1083" s="439"/>
      <c r="V1083" s="16"/>
      <c r="W1083" s="119"/>
      <c r="X1083" s="119"/>
      <c r="Y1083" s="119"/>
      <c r="Z1083" s="119"/>
      <c r="AA1083" s="119"/>
      <c r="AB1083" s="119"/>
      <c r="AC1083" s="119"/>
      <c r="AD1083" s="119"/>
      <c r="AE1083" s="119"/>
      <c r="AF1083" s="119"/>
      <c r="AG1083" s="119"/>
      <c r="AH1083" s="16"/>
      <c r="AI1083" s="439"/>
      <c r="AJ1083" s="439"/>
      <c r="AK1083" s="439"/>
    </row>
    <row r="1084" ht="18.75" customHeight="1">
      <c r="A1084" s="439"/>
      <c r="B1084" s="439"/>
      <c r="C1084" s="439"/>
      <c r="D1084" s="439"/>
      <c r="E1084" s="439"/>
      <c r="F1084" s="439"/>
      <c r="G1084" s="439"/>
      <c r="H1084" s="439"/>
      <c r="I1084" s="439"/>
      <c r="J1084" s="439"/>
      <c r="K1084" s="439"/>
      <c r="L1084" s="439"/>
      <c r="M1084" s="439"/>
      <c r="N1084" s="439"/>
      <c r="O1084" s="439"/>
      <c r="P1084" s="439"/>
      <c r="Q1084" s="439"/>
      <c r="R1084" s="439"/>
      <c r="S1084" s="439"/>
      <c r="T1084" s="264"/>
      <c r="U1084" s="439"/>
      <c r="V1084" s="16"/>
      <c r="W1084" s="119"/>
      <c r="X1084" s="119"/>
      <c r="Y1084" s="119"/>
      <c r="Z1084" s="119"/>
      <c r="AA1084" s="119"/>
      <c r="AB1084" s="119"/>
      <c r="AC1084" s="119"/>
      <c r="AD1084" s="119"/>
      <c r="AE1084" s="119"/>
      <c r="AF1084" s="119"/>
      <c r="AG1084" s="119"/>
      <c r="AH1084" s="16"/>
      <c r="AI1084" s="439"/>
      <c r="AJ1084" s="439"/>
      <c r="AK1084" s="439"/>
    </row>
    <row r="1085" ht="18.75" customHeight="1">
      <c r="A1085" s="439"/>
      <c r="B1085" s="439"/>
      <c r="C1085" s="439"/>
      <c r="D1085" s="439"/>
      <c r="E1085" s="439"/>
      <c r="F1085" s="439"/>
      <c r="G1085" s="439"/>
      <c r="H1085" s="439"/>
      <c r="I1085" s="439"/>
      <c r="J1085" s="439"/>
      <c r="K1085" s="439"/>
      <c r="L1085" s="439"/>
      <c r="M1085" s="439"/>
      <c r="N1085" s="439"/>
      <c r="O1085" s="439"/>
      <c r="P1085" s="439"/>
      <c r="Q1085" s="439"/>
      <c r="R1085" s="439"/>
      <c r="S1085" s="439"/>
      <c r="T1085" s="264"/>
      <c r="U1085" s="439"/>
      <c r="V1085" s="16"/>
      <c r="W1085" s="119"/>
      <c r="X1085" s="119"/>
      <c r="Y1085" s="119"/>
      <c r="Z1085" s="119"/>
      <c r="AA1085" s="119"/>
      <c r="AB1085" s="119"/>
      <c r="AC1085" s="119"/>
      <c r="AD1085" s="119"/>
      <c r="AE1085" s="119"/>
      <c r="AF1085" s="119"/>
      <c r="AG1085" s="119"/>
      <c r="AH1085" s="16"/>
      <c r="AI1085" s="439"/>
      <c r="AJ1085" s="439"/>
      <c r="AK1085" s="439"/>
    </row>
    <row r="1086" ht="18.75" customHeight="1">
      <c r="A1086" s="439"/>
      <c r="B1086" s="439"/>
      <c r="C1086" s="439"/>
      <c r="D1086" s="439"/>
      <c r="E1086" s="439"/>
      <c r="F1086" s="439"/>
      <c r="G1086" s="439"/>
      <c r="H1086" s="439"/>
      <c r="I1086" s="439"/>
      <c r="J1086" s="439"/>
      <c r="K1086" s="439"/>
      <c r="L1086" s="439"/>
      <c r="M1086" s="439"/>
      <c r="N1086" s="439"/>
      <c r="O1086" s="439"/>
      <c r="P1086" s="439"/>
      <c r="Q1086" s="439"/>
      <c r="R1086" s="439"/>
      <c r="S1086" s="439"/>
      <c r="T1086" s="264"/>
      <c r="U1086" s="439"/>
      <c r="V1086" s="16"/>
      <c r="W1086" s="119"/>
      <c r="X1086" s="119"/>
      <c r="Y1086" s="119"/>
      <c r="Z1086" s="119"/>
      <c r="AA1086" s="119"/>
      <c r="AB1086" s="119"/>
      <c r="AC1086" s="119"/>
      <c r="AD1086" s="119"/>
      <c r="AE1086" s="119"/>
      <c r="AF1086" s="119"/>
      <c r="AG1086" s="119"/>
      <c r="AH1086" s="16"/>
      <c r="AI1086" s="439"/>
      <c r="AJ1086" s="439"/>
      <c r="AK1086" s="439"/>
    </row>
    <row r="1087" ht="18.75" customHeight="1">
      <c r="A1087" s="439"/>
      <c r="B1087" s="439"/>
      <c r="C1087" s="439"/>
      <c r="D1087" s="439"/>
      <c r="E1087" s="439"/>
      <c r="F1087" s="439"/>
      <c r="G1087" s="439"/>
      <c r="H1087" s="439"/>
      <c r="I1087" s="439"/>
      <c r="J1087" s="439"/>
      <c r="K1087" s="439"/>
      <c r="L1087" s="439"/>
      <c r="M1087" s="439"/>
      <c r="N1087" s="439"/>
      <c r="O1087" s="439"/>
      <c r="P1087" s="439"/>
      <c r="Q1087" s="439"/>
      <c r="R1087" s="439"/>
      <c r="S1087" s="439"/>
      <c r="T1087" s="264"/>
      <c r="U1087" s="439"/>
      <c r="V1087" s="16"/>
      <c r="W1087" s="119"/>
      <c r="X1087" s="119"/>
      <c r="Y1087" s="119"/>
      <c r="Z1087" s="119"/>
      <c r="AA1087" s="119"/>
      <c r="AB1087" s="119"/>
      <c r="AC1087" s="119"/>
      <c r="AD1087" s="119"/>
      <c r="AE1087" s="119"/>
      <c r="AF1087" s="119"/>
      <c r="AG1087" s="119"/>
      <c r="AH1087" s="16"/>
      <c r="AI1087" s="439"/>
      <c r="AJ1087" s="439"/>
      <c r="AK1087" s="439"/>
    </row>
    <row r="1088" ht="18.75" customHeight="1">
      <c r="A1088" s="439"/>
      <c r="B1088" s="439"/>
      <c r="C1088" s="439"/>
      <c r="D1088" s="439"/>
      <c r="E1088" s="439"/>
      <c r="F1088" s="439"/>
      <c r="G1088" s="439"/>
      <c r="H1088" s="439"/>
      <c r="I1088" s="439"/>
      <c r="J1088" s="439"/>
      <c r="K1088" s="439"/>
      <c r="L1088" s="439"/>
      <c r="M1088" s="439"/>
      <c r="N1088" s="439"/>
      <c r="O1088" s="439"/>
      <c r="P1088" s="439"/>
      <c r="Q1088" s="439"/>
      <c r="R1088" s="439"/>
      <c r="S1088" s="439"/>
      <c r="T1088" s="264"/>
      <c r="U1088" s="439"/>
      <c r="V1088" s="16"/>
      <c r="W1088" s="119"/>
      <c r="X1088" s="119"/>
      <c r="Y1088" s="119"/>
      <c r="Z1088" s="119"/>
      <c r="AA1088" s="119"/>
      <c r="AB1088" s="119"/>
      <c r="AC1088" s="119"/>
      <c r="AD1088" s="119"/>
      <c r="AE1088" s="119"/>
      <c r="AF1088" s="119"/>
      <c r="AG1088" s="119"/>
      <c r="AH1088" s="16"/>
      <c r="AI1088" s="439"/>
      <c r="AJ1088" s="439"/>
      <c r="AK1088" s="439"/>
    </row>
    <row r="1089" ht="18.75" customHeight="1">
      <c r="A1089" s="439"/>
      <c r="B1089" s="439"/>
      <c r="C1089" s="439"/>
      <c r="D1089" s="439"/>
      <c r="E1089" s="439"/>
      <c r="F1089" s="439"/>
      <c r="G1089" s="439"/>
      <c r="H1089" s="439"/>
      <c r="I1089" s="439"/>
      <c r="J1089" s="439"/>
      <c r="K1089" s="439"/>
      <c r="L1089" s="439"/>
      <c r="M1089" s="439"/>
      <c r="N1089" s="439"/>
      <c r="O1089" s="439"/>
      <c r="P1089" s="439"/>
      <c r="Q1089" s="439"/>
      <c r="R1089" s="439"/>
      <c r="S1089" s="439"/>
      <c r="T1089" s="264"/>
      <c r="U1089" s="439"/>
      <c r="V1089" s="16"/>
      <c r="W1089" s="119"/>
      <c r="X1089" s="119"/>
      <c r="Y1089" s="119"/>
      <c r="Z1089" s="119"/>
      <c r="AA1089" s="119"/>
      <c r="AB1089" s="119"/>
      <c r="AC1089" s="119"/>
      <c r="AD1089" s="119"/>
      <c r="AE1089" s="119"/>
      <c r="AF1089" s="119"/>
      <c r="AG1089" s="119"/>
      <c r="AH1089" s="16"/>
      <c r="AI1089" s="439"/>
      <c r="AJ1089" s="439"/>
      <c r="AK1089" s="439"/>
    </row>
    <row r="1090" ht="18.75" customHeight="1">
      <c r="A1090" s="439"/>
      <c r="B1090" s="439"/>
      <c r="C1090" s="439"/>
      <c r="D1090" s="439"/>
      <c r="E1090" s="439"/>
      <c r="F1090" s="439"/>
      <c r="G1090" s="439"/>
      <c r="H1090" s="439"/>
      <c r="I1090" s="439"/>
      <c r="J1090" s="439"/>
      <c r="K1090" s="439"/>
      <c r="L1090" s="439"/>
      <c r="M1090" s="439"/>
      <c r="N1090" s="439"/>
      <c r="O1090" s="439"/>
      <c r="P1090" s="439"/>
      <c r="Q1090" s="439"/>
      <c r="R1090" s="439"/>
      <c r="S1090" s="439"/>
      <c r="T1090" s="264"/>
      <c r="U1090" s="439"/>
      <c r="V1090" s="16"/>
      <c r="W1090" s="119"/>
      <c r="X1090" s="119"/>
      <c r="Y1090" s="119"/>
      <c r="Z1090" s="119"/>
      <c r="AA1090" s="119"/>
      <c r="AB1090" s="119"/>
      <c r="AC1090" s="119"/>
      <c r="AD1090" s="119"/>
      <c r="AE1090" s="119"/>
      <c r="AF1090" s="119"/>
      <c r="AG1090" s="119"/>
      <c r="AH1090" s="16"/>
      <c r="AI1090" s="439"/>
      <c r="AJ1090" s="439"/>
      <c r="AK1090" s="439"/>
    </row>
    <row r="1091" ht="18.75" customHeight="1">
      <c r="A1091" s="439"/>
      <c r="B1091" s="439"/>
      <c r="C1091" s="439"/>
      <c r="D1091" s="439"/>
      <c r="E1091" s="439"/>
      <c r="F1091" s="439"/>
      <c r="G1091" s="439"/>
      <c r="H1091" s="439"/>
      <c r="I1091" s="439"/>
      <c r="J1091" s="439"/>
      <c r="K1091" s="439"/>
      <c r="L1091" s="439"/>
      <c r="M1091" s="439"/>
      <c r="N1091" s="439"/>
      <c r="O1091" s="439"/>
      <c r="P1091" s="439"/>
      <c r="Q1091" s="439"/>
      <c r="R1091" s="439"/>
      <c r="S1091" s="439"/>
      <c r="T1091" s="264"/>
      <c r="U1091" s="439"/>
      <c r="V1091" s="16"/>
      <c r="W1091" s="119"/>
      <c r="X1091" s="119"/>
      <c r="Y1091" s="119"/>
      <c r="Z1091" s="119"/>
      <c r="AA1091" s="119"/>
      <c r="AB1091" s="119"/>
      <c r="AC1091" s="119"/>
      <c r="AD1091" s="119"/>
      <c r="AE1091" s="119"/>
      <c r="AF1091" s="119"/>
      <c r="AG1091" s="119"/>
      <c r="AH1091" s="16"/>
      <c r="AI1091" s="439"/>
      <c r="AJ1091" s="439"/>
      <c r="AK1091" s="439"/>
    </row>
    <row r="1092" ht="18.75" customHeight="1">
      <c r="A1092" s="439"/>
      <c r="B1092" s="439"/>
      <c r="C1092" s="439"/>
      <c r="D1092" s="439"/>
      <c r="E1092" s="439"/>
      <c r="F1092" s="439"/>
      <c r="G1092" s="439"/>
      <c r="H1092" s="439"/>
      <c r="I1092" s="439"/>
      <c r="J1092" s="439"/>
      <c r="K1092" s="439"/>
      <c r="L1092" s="439"/>
      <c r="M1092" s="439"/>
      <c r="N1092" s="439"/>
      <c r="O1092" s="439"/>
      <c r="P1092" s="439"/>
      <c r="Q1092" s="439"/>
      <c r="R1092" s="439"/>
      <c r="S1092" s="439"/>
      <c r="T1092" s="264"/>
      <c r="U1092" s="439"/>
      <c r="V1092" s="16"/>
      <c r="W1092" s="119"/>
      <c r="X1092" s="119"/>
      <c r="Y1092" s="119"/>
      <c r="Z1092" s="119"/>
      <c r="AA1092" s="119"/>
      <c r="AB1092" s="119"/>
      <c r="AC1092" s="119"/>
      <c r="AD1092" s="119"/>
      <c r="AE1092" s="119"/>
      <c r="AF1092" s="119"/>
      <c r="AG1092" s="119"/>
      <c r="AH1092" s="16"/>
      <c r="AI1092" s="439"/>
      <c r="AJ1092" s="439"/>
      <c r="AK1092" s="439"/>
    </row>
    <row r="1093" ht="18.75" customHeight="1">
      <c r="A1093" s="439"/>
      <c r="B1093" s="439"/>
      <c r="C1093" s="439"/>
      <c r="D1093" s="439"/>
      <c r="E1093" s="439"/>
      <c r="F1093" s="439"/>
      <c r="G1093" s="439"/>
      <c r="H1093" s="439"/>
      <c r="I1093" s="439"/>
      <c r="J1093" s="439"/>
      <c r="K1093" s="439"/>
      <c r="L1093" s="439"/>
      <c r="M1093" s="439"/>
      <c r="N1093" s="439"/>
      <c r="O1093" s="439"/>
      <c r="P1093" s="439"/>
      <c r="Q1093" s="439"/>
      <c r="R1093" s="439"/>
      <c r="S1093" s="439"/>
      <c r="T1093" s="264"/>
      <c r="U1093" s="439"/>
      <c r="V1093" s="16"/>
      <c r="W1093" s="119"/>
      <c r="X1093" s="119"/>
      <c r="Y1093" s="119"/>
      <c r="Z1093" s="119"/>
      <c r="AA1093" s="119"/>
      <c r="AB1093" s="119"/>
      <c r="AC1093" s="119"/>
      <c r="AD1093" s="119"/>
      <c r="AE1093" s="119"/>
      <c r="AF1093" s="119"/>
      <c r="AG1093" s="119"/>
      <c r="AH1093" s="16"/>
      <c r="AI1093" s="439"/>
      <c r="AJ1093" s="439"/>
      <c r="AK1093" s="439"/>
    </row>
    <row r="1094" ht="18.75" customHeight="1">
      <c r="A1094" s="439"/>
      <c r="B1094" s="439"/>
      <c r="C1094" s="439"/>
      <c r="D1094" s="439"/>
      <c r="E1094" s="439"/>
      <c r="F1094" s="439"/>
      <c r="G1094" s="439"/>
      <c r="H1094" s="439"/>
      <c r="I1094" s="439"/>
      <c r="J1094" s="439"/>
      <c r="K1094" s="439"/>
      <c r="L1094" s="439"/>
      <c r="M1094" s="439"/>
      <c r="N1094" s="439"/>
      <c r="O1094" s="439"/>
      <c r="P1094" s="439"/>
      <c r="Q1094" s="439"/>
      <c r="R1094" s="439"/>
      <c r="S1094" s="439"/>
      <c r="T1094" s="264"/>
      <c r="U1094" s="439"/>
      <c r="V1094" s="16"/>
      <c r="W1094" s="119"/>
      <c r="X1094" s="119"/>
      <c r="Y1094" s="119"/>
      <c r="Z1094" s="119"/>
      <c r="AA1094" s="119"/>
      <c r="AB1094" s="119"/>
      <c r="AC1094" s="119"/>
      <c r="AD1094" s="119"/>
      <c r="AE1094" s="119"/>
      <c r="AF1094" s="119"/>
      <c r="AG1094" s="119"/>
      <c r="AH1094" s="16"/>
      <c r="AI1094" s="439"/>
      <c r="AJ1094" s="439"/>
      <c r="AK1094" s="439"/>
    </row>
    <row r="1095" ht="18.75" customHeight="1">
      <c r="A1095" s="439"/>
      <c r="B1095" s="439"/>
      <c r="C1095" s="439"/>
      <c r="D1095" s="439"/>
      <c r="E1095" s="439"/>
      <c r="F1095" s="439"/>
      <c r="G1095" s="439"/>
      <c r="H1095" s="439"/>
      <c r="I1095" s="439"/>
      <c r="J1095" s="439"/>
      <c r="K1095" s="439"/>
      <c r="L1095" s="439"/>
      <c r="M1095" s="439"/>
      <c r="N1095" s="439"/>
      <c r="O1095" s="439"/>
      <c r="P1095" s="439"/>
      <c r="Q1095" s="439"/>
      <c r="R1095" s="439"/>
      <c r="S1095" s="439"/>
      <c r="T1095" s="264"/>
      <c r="U1095" s="439"/>
      <c r="V1095" s="16"/>
      <c r="W1095" s="119"/>
      <c r="X1095" s="119"/>
      <c r="Y1095" s="119"/>
      <c r="Z1095" s="119"/>
      <c r="AA1095" s="119"/>
      <c r="AB1095" s="119"/>
      <c r="AC1095" s="119"/>
      <c r="AD1095" s="119"/>
      <c r="AE1095" s="119"/>
      <c r="AF1095" s="119"/>
      <c r="AG1095" s="119"/>
      <c r="AH1095" s="16"/>
      <c r="AI1095" s="439"/>
      <c r="AJ1095" s="439"/>
      <c r="AK1095" s="439"/>
    </row>
    <row r="1096" ht="18.75" customHeight="1">
      <c r="A1096" s="439"/>
      <c r="B1096" s="439"/>
      <c r="C1096" s="439"/>
      <c r="D1096" s="439"/>
      <c r="E1096" s="439"/>
      <c r="F1096" s="439"/>
      <c r="G1096" s="439"/>
      <c r="H1096" s="439"/>
      <c r="I1096" s="439"/>
      <c r="J1096" s="439"/>
      <c r="K1096" s="439"/>
      <c r="L1096" s="439"/>
      <c r="M1096" s="439"/>
      <c r="N1096" s="439"/>
      <c r="O1096" s="439"/>
      <c r="P1096" s="439"/>
      <c r="Q1096" s="439"/>
      <c r="R1096" s="439"/>
      <c r="S1096" s="439"/>
      <c r="T1096" s="264"/>
      <c r="U1096" s="439"/>
      <c r="V1096" s="16"/>
      <c r="W1096" s="119"/>
      <c r="X1096" s="119"/>
      <c r="Y1096" s="119"/>
      <c r="Z1096" s="119"/>
      <c r="AA1096" s="119"/>
      <c r="AB1096" s="119"/>
      <c r="AC1096" s="119"/>
      <c r="AD1096" s="119"/>
      <c r="AE1096" s="119"/>
      <c r="AF1096" s="119"/>
      <c r="AG1096" s="119"/>
      <c r="AH1096" s="16"/>
      <c r="AI1096" s="439"/>
      <c r="AJ1096" s="439"/>
      <c r="AK1096" s="439"/>
    </row>
    <row r="1097" ht="18.75" customHeight="1">
      <c r="A1097" s="439"/>
      <c r="B1097" s="439"/>
      <c r="C1097" s="439"/>
      <c r="D1097" s="439"/>
      <c r="E1097" s="439"/>
      <c r="F1097" s="439"/>
      <c r="G1097" s="439"/>
      <c r="H1097" s="439"/>
      <c r="I1097" s="439"/>
      <c r="J1097" s="439"/>
      <c r="K1097" s="439"/>
      <c r="L1097" s="439"/>
      <c r="M1097" s="439"/>
      <c r="N1097" s="439"/>
      <c r="O1097" s="439"/>
      <c r="P1097" s="439"/>
      <c r="Q1097" s="439"/>
      <c r="R1097" s="439"/>
      <c r="S1097" s="439"/>
      <c r="T1097" s="264"/>
      <c r="U1097" s="439"/>
      <c r="V1097" s="16"/>
      <c r="W1097" s="119"/>
      <c r="X1097" s="119"/>
      <c r="Y1097" s="119"/>
      <c r="Z1097" s="119"/>
      <c r="AA1097" s="119"/>
      <c r="AB1097" s="119"/>
      <c r="AC1097" s="119"/>
      <c r="AD1097" s="119"/>
      <c r="AE1097" s="119"/>
      <c r="AF1097" s="119"/>
      <c r="AG1097" s="119"/>
      <c r="AH1097" s="16"/>
      <c r="AI1097" s="439"/>
      <c r="AJ1097" s="439"/>
      <c r="AK1097" s="439"/>
    </row>
    <row r="1098" ht="18.75" customHeight="1">
      <c r="A1098" s="439"/>
      <c r="B1098" s="439"/>
      <c r="C1098" s="439"/>
      <c r="D1098" s="439"/>
      <c r="E1098" s="439"/>
      <c r="F1098" s="439"/>
      <c r="G1098" s="439"/>
      <c r="H1098" s="439"/>
      <c r="I1098" s="439"/>
      <c r="J1098" s="439"/>
      <c r="K1098" s="439"/>
      <c r="L1098" s="439"/>
      <c r="M1098" s="439"/>
      <c r="N1098" s="439"/>
      <c r="O1098" s="439"/>
      <c r="P1098" s="439"/>
      <c r="Q1098" s="439"/>
      <c r="R1098" s="439"/>
      <c r="S1098" s="439"/>
      <c r="T1098" s="264"/>
      <c r="U1098" s="439"/>
      <c r="V1098" s="16"/>
      <c r="W1098" s="119"/>
      <c r="X1098" s="119"/>
      <c r="Y1098" s="119"/>
      <c r="Z1098" s="119"/>
      <c r="AA1098" s="119"/>
      <c r="AB1098" s="119"/>
      <c r="AC1098" s="119"/>
      <c r="AD1098" s="119"/>
      <c r="AE1098" s="119"/>
      <c r="AF1098" s="119"/>
      <c r="AG1098" s="119"/>
      <c r="AH1098" s="16"/>
      <c r="AI1098" s="439"/>
      <c r="AJ1098" s="439"/>
      <c r="AK1098" s="439"/>
    </row>
    <row r="1099" ht="18.75" customHeight="1">
      <c r="A1099" s="439"/>
      <c r="B1099" s="439"/>
      <c r="C1099" s="439"/>
      <c r="D1099" s="439"/>
      <c r="E1099" s="439"/>
      <c r="F1099" s="439"/>
      <c r="G1099" s="439"/>
      <c r="H1099" s="439"/>
      <c r="I1099" s="439"/>
      <c r="J1099" s="439"/>
      <c r="K1099" s="439"/>
      <c r="L1099" s="439"/>
      <c r="M1099" s="439"/>
      <c r="N1099" s="439"/>
      <c r="O1099" s="439"/>
      <c r="P1099" s="439"/>
      <c r="Q1099" s="439"/>
      <c r="R1099" s="439"/>
      <c r="S1099" s="439"/>
      <c r="T1099" s="264"/>
      <c r="U1099" s="439"/>
      <c r="V1099" s="16"/>
      <c r="W1099" s="119"/>
      <c r="X1099" s="119"/>
      <c r="Y1099" s="119"/>
      <c r="Z1099" s="119"/>
      <c r="AA1099" s="119"/>
      <c r="AB1099" s="119"/>
      <c r="AC1099" s="119"/>
      <c r="AD1099" s="119"/>
      <c r="AE1099" s="119"/>
      <c r="AF1099" s="119"/>
      <c r="AG1099" s="119"/>
      <c r="AH1099" s="16"/>
      <c r="AI1099" s="439"/>
      <c r="AJ1099" s="439"/>
      <c r="AK1099" s="439"/>
    </row>
    <row r="1100" ht="18.75" customHeight="1">
      <c r="A1100" s="439"/>
      <c r="B1100" s="439"/>
      <c r="C1100" s="439"/>
      <c r="D1100" s="439"/>
      <c r="E1100" s="439"/>
      <c r="F1100" s="439"/>
      <c r="G1100" s="439"/>
      <c r="H1100" s="439"/>
      <c r="I1100" s="439"/>
      <c r="J1100" s="439"/>
      <c r="K1100" s="439"/>
      <c r="L1100" s="439"/>
      <c r="M1100" s="439"/>
      <c r="N1100" s="439"/>
      <c r="O1100" s="439"/>
      <c r="P1100" s="439"/>
      <c r="Q1100" s="439"/>
      <c r="R1100" s="439"/>
      <c r="S1100" s="439"/>
      <c r="T1100" s="264"/>
      <c r="U1100" s="439"/>
      <c r="V1100" s="16"/>
      <c r="W1100" s="119"/>
      <c r="X1100" s="119"/>
      <c r="Y1100" s="119"/>
      <c r="Z1100" s="119"/>
      <c r="AA1100" s="119"/>
      <c r="AB1100" s="119"/>
      <c r="AC1100" s="119"/>
      <c r="AD1100" s="119"/>
      <c r="AE1100" s="119"/>
      <c r="AF1100" s="119"/>
      <c r="AG1100" s="119"/>
      <c r="AH1100" s="16"/>
      <c r="AI1100" s="439"/>
      <c r="AJ1100" s="439"/>
      <c r="AK1100" s="439"/>
    </row>
    <row r="1101" ht="18.75" customHeight="1">
      <c r="A1101" s="439"/>
      <c r="B1101" s="439"/>
      <c r="C1101" s="439"/>
      <c r="D1101" s="439"/>
      <c r="E1101" s="439"/>
      <c r="F1101" s="439"/>
      <c r="G1101" s="439"/>
      <c r="H1101" s="439"/>
      <c r="I1101" s="439"/>
      <c r="J1101" s="439"/>
      <c r="K1101" s="439"/>
      <c r="L1101" s="439"/>
      <c r="M1101" s="439"/>
      <c r="N1101" s="439"/>
      <c r="O1101" s="439"/>
      <c r="P1101" s="439"/>
      <c r="Q1101" s="439"/>
      <c r="R1101" s="439"/>
      <c r="S1101" s="439"/>
      <c r="T1101" s="264"/>
      <c r="U1101" s="439"/>
      <c r="V1101" s="16"/>
      <c r="W1101" s="119"/>
      <c r="X1101" s="119"/>
      <c r="Y1101" s="119"/>
      <c r="Z1101" s="119"/>
      <c r="AA1101" s="119"/>
      <c r="AB1101" s="119"/>
      <c r="AC1101" s="119"/>
      <c r="AD1101" s="119"/>
      <c r="AE1101" s="119"/>
      <c r="AF1101" s="119"/>
      <c r="AG1101" s="119"/>
      <c r="AH1101" s="16"/>
      <c r="AI1101" s="439"/>
      <c r="AJ1101" s="439"/>
      <c r="AK1101" s="439"/>
    </row>
    <row r="1102" ht="18.75" customHeight="1">
      <c r="A1102" s="439"/>
      <c r="B1102" s="439"/>
      <c r="C1102" s="439"/>
      <c r="D1102" s="439"/>
      <c r="E1102" s="439"/>
      <c r="F1102" s="439"/>
      <c r="G1102" s="439"/>
      <c r="H1102" s="439"/>
      <c r="I1102" s="439"/>
      <c r="J1102" s="439"/>
      <c r="K1102" s="439"/>
      <c r="L1102" s="439"/>
      <c r="M1102" s="439"/>
      <c r="N1102" s="439"/>
      <c r="O1102" s="439"/>
      <c r="P1102" s="439"/>
      <c r="Q1102" s="439"/>
      <c r="R1102" s="439"/>
      <c r="S1102" s="439"/>
      <c r="T1102" s="264"/>
      <c r="U1102" s="439"/>
      <c r="V1102" s="16"/>
      <c r="W1102" s="119"/>
      <c r="X1102" s="119"/>
      <c r="Y1102" s="119"/>
      <c r="Z1102" s="119"/>
      <c r="AA1102" s="119"/>
      <c r="AB1102" s="119"/>
      <c r="AC1102" s="119"/>
      <c r="AD1102" s="119"/>
      <c r="AE1102" s="119"/>
      <c r="AF1102" s="119"/>
      <c r="AG1102" s="119"/>
      <c r="AH1102" s="16"/>
      <c r="AI1102" s="439"/>
      <c r="AJ1102" s="439"/>
      <c r="AK1102" s="439"/>
    </row>
    <row r="1103" ht="18.75" customHeight="1">
      <c r="A1103" s="439"/>
      <c r="B1103" s="439"/>
      <c r="C1103" s="439"/>
      <c r="D1103" s="439"/>
      <c r="E1103" s="439"/>
      <c r="F1103" s="439"/>
      <c r="G1103" s="439"/>
      <c r="H1103" s="439"/>
      <c r="I1103" s="439"/>
      <c r="J1103" s="439"/>
      <c r="K1103" s="439"/>
      <c r="L1103" s="439"/>
      <c r="M1103" s="439"/>
      <c r="N1103" s="439"/>
      <c r="O1103" s="439"/>
      <c r="P1103" s="439"/>
      <c r="Q1103" s="439"/>
      <c r="R1103" s="439"/>
      <c r="S1103" s="439"/>
      <c r="T1103" s="264"/>
      <c r="U1103" s="439"/>
      <c r="V1103" s="16"/>
      <c r="W1103" s="119"/>
      <c r="X1103" s="119"/>
      <c r="Y1103" s="119"/>
      <c r="Z1103" s="119"/>
      <c r="AA1103" s="119"/>
      <c r="AB1103" s="119"/>
      <c r="AC1103" s="119"/>
      <c r="AD1103" s="119"/>
      <c r="AE1103" s="119"/>
      <c r="AF1103" s="119"/>
      <c r="AG1103" s="119"/>
      <c r="AH1103" s="16"/>
      <c r="AI1103" s="439"/>
      <c r="AJ1103" s="439"/>
      <c r="AK1103" s="439"/>
    </row>
    <row r="1104" ht="18.75" customHeight="1">
      <c r="A1104" s="439"/>
      <c r="B1104" s="439"/>
      <c r="C1104" s="439"/>
      <c r="D1104" s="439"/>
      <c r="E1104" s="439"/>
      <c r="F1104" s="439"/>
      <c r="G1104" s="439"/>
      <c r="H1104" s="439"/>
      <c r="I1104" s="439"/>
      <c r="J1104" s="439"/>
      <c r="K1104" s="439"/>
      <c r="L1104" s="439"/>
      <c r="M1104" s="439"/>
      <c r="N1104" s="439"/>
      <c r="O1104" s="439"/>
      <c r="P1104" s="439"/>
      <c r="Q1104" s="439"/>
      <c r="R1104" s="439"/>
      <c r="S1104" s="439"/>
      <c r="T1104" s="264"/>
      <c r="U1104" s="439"/>
      <c r="V1104" s="16"/>
      <c r="W1104" s="119"/>
      <c r="X1104" s="119"/>
      <c r="Y1104" s="119"/>
      <c r="Z1104" s="119"/>
      <c r="AA1104" s="119"/>
      <c r="AB1104" s="119"/>
      <c r="AC1104" s="119"/>
      <c r="AD1104" s="119"/>
      <c r="AE1104" s="119"/>
      <c r="AF1104" s="119"/>
      <c r="AG1104" s="119"/>
      <c r="AH1104" s="16"/>
      <c r="AI1104" s="439"/>
      <c r="AJ1104" s="439"/>
      <c r="AK1104" s="439"/>
    </row>
    <row r="1105" ht="18.75" customHeight="1">
      <c r="A1105" s="439"/>
      <c r="B1105" s="439"/>
      <c r="C1105" s="439"/>
      <c r="D1105" s="439"/>
      <c r="E1105" s="439"/>
      <c r="F1105" s="439"/>
      <c r="G1105" s="439"/>
      <c r="H1105" s="439"/>
      <c r="I1105" s="439"/>
      <c r="J1105" s="439"/>
      <c r="K1105" s="439"/>
      <c r="L1105" s="439"/>
      <c r="M1105" s="439"/>
      <c r="N1105" s="439"/>
      <c r="O1105" s="439"/>
      <c r="P1105" s="439"/>
      <c r="Q1105" s="439"/>
      <c r="R1105" s="439"/>
      <c r="S1105" s="439"/>
      <c r="T1105" s="264"/>
      <c r="U1105" s="439"/>
      <c r="V1105" s="16"/>
      <c r="W1105" s="119"/>
      <c r="X1105" s="119"/>
      <c r="Y1105" s="119"/>
      <c r="Z1105" s="119"/>
      <c r="AA1105" s="119"/>
      <c r="AB1105" s="119"/>
      <c r="AC1105" s="119"/>
      <c r="AD1105" s="119"/>
      <c r="AE1105" s="119"/>
      <c r="AF1105" s="119"/>
      <c r="AG1105" s="119"/>
      <c r="AH1105" s="16"/>
      <c r="AI1105" s="439"/>
      <c r="AJ1105" s="439"/>
      <c r="AK1105" s="439"/>
    </row>
    <row r="1106" ht="18.75" customHeight="1">
      <c r="A1106" s="439"/>
      <c r="B1106" s="439"/>
      <c r="C1106" s="439"/>
      <c r="D1106" s="439"/>
      <c r="E1106" s="439"/>
      <c r="F1106" s="439"/>
      <c r="G1106" s="439"/>
      <c r="H1106" s="439"/>
      <c r="I1106" s="439"/>
      <c r="J1106" s="439"/>
      <c r="K1106" s="439"/>
      <c r="L1106" s="439"/>
      <c r="M1106" s="439"/>
      <c r="N1106" s="439"/>
      <c r="O1106" s="439"/>
      <c r="P1106" s="439"/>
      <c r="Q1106" s="439"/>
      <c r="R1106" s="439"/>
      <c r="S1106" s="439"/>
      <c r="T1106" s="264"/>
      <c r="U1106" s="439"/>
      <c r="V1106" s="16"/>
      <c r="W1106" s="119"/>
      <c r="X1106" s="119"/>
      <c r="Y1106" s="119"/>
      <c r="Z1106" s="119"/>
      <c r="AA1106" s="119"/>
      <c r="AB1106" s="119"/>
      <c r="AC1106" s="119"/>
      <c r="AD1106" s="119"/>
      <c r="AE1106" s="119"/>
      <c r="AF1106" s="119"/>
      <c r="AG1106" s="119"/>
      <c r="AH1106" s="16"/>
      <c r="AI1106" s="439"/>
      <c r="AJ1106" s="439"/>
      <c r="AK1106" s="439"/>
    </row>
    <row r="1107" ht="18.75" customHeight="1">
      <c r="A1107" s="439"/>
      <c r="B1107" s="439"/>
      <c r="C1107" s="439"/>
      <c r="D1107" s="439"/>
      <c r="E1107" s="439"/>
      <c r="F1107" s="439"/>
      <c r="G1107" s="439"/>
      <c r="H1107" s="439"/>
      <c r="I1107" s="439"/>
      <c r="J1107" s="439"/>
      <c r="K1107" s="439"/>
      <c r="L1107" s="439"/>
      <c r="M1107" s="439"/>
      <c r="N1107" s="439"/>
      <c r="O1107" s="439"/>
      <c r="P1107" s="439"/>
      <c r="Q1107" s="439"/>
      <c r="R1107" s="439"/>
      <c r="S1107" s="439"/>
      <c r="T1107" s="264"/>
      <c r="U1107" s="439"/>
      <c r="V1107" s="16"/>
      <c r="W1107" s="119"/>
      <c r="X1107" s="119"/>
      <c r="Y1107" s="119"/>
      <c r="Z1107" s="119"/>
      <c r="AA1107" s="119"/>
      <c r="AB1107" s="119"/>
      <c r="AC1107" s="119"/>
      <c r="AD1107" s="119"/>
      <c r="AE1107" s="119"/>
      <c r="AF1107" s="119"/>
      <c r="AG1107" s="119"/>
      <c r="AH1107" s="16"/>
      <c r="AI1107" s="439"/>
      <c r="AJ1107" s="439"/>
      <c r="AK1107" s="439"/>
    </row>
    <row r="1108" ht="18.75" customHeight="1">
      <c r="A1108" s="439"/>
      <c r="B1108" s="439"/>
      <c r="C1108" s="439"/>
      <c r="D1108" s="439"/>
      <c r="E1108" s="439"/>
      <c r="F1108" s="439"/>
      <c r="G1108" s="439"/>
      <c r="H1108" s="439"/>
      <c r="I1108" s="439"/>
      <c r="J1108" s="439"/>
      <c r="K1108" s="439"/>
      <c r="L1108" s="439"/>
      <c r="M1108" s="439"/>
      <c r="N1108" s="439"/>
      <c r="O1108" s="439"/>
      <c r="P1108" s="439"/>
      <c r="Q1108" s="439"/>
      <c r="R1108" s="439"/>
      <c r="S1108" s="439"/>
      <c r="T1108" s="264"/>
      <c r="U1108" s="439"/>
      <c r="V1108" s="16"/>
      <c r="W1108" s="119"/>
      <c r="X1108" s="119"/>
      <c r="Y1108" s="119"/>
      <c r="Z1108" s="119"/>
      <c r="AA1108" s="119"/>
      <c r="AB1108" s="119"/>
      <c r="AC1108" s="119"/>
      <c r="AD1108" s="119"/>
      <c r="AE1108" s="119"/>
      <c r="AF1108" s="119"/>
      <c r="AG1108" s="119"/>
      <c r="AH1108" s="16"/>
      <c r="AI1108" s="439"/>
      <c r="AJ1108" s="439"/>
      <c r="AK1108" s="439"/>
    </row>
    <row r="1109" ht="18.75" customHeight="1">
      <c r="A1109" s="439"/>
      <c r="B1109" s="439"/>
      <c r="C1109" s="439"/>
      <c r="D1109" s="439"/>
      <c r="E1109" s="439"/>
      <c r="F1109" s="439"/>
      <c r="G1109" s="439"/>
      <c r="H1109" s="439"/>
      <c r="I1109" s="439"/>
      <c r="J1109" s="439"/>
      <c r="K1109" s="439"/>
      <c r="L1109" s="439"/>
      <c r="M1109" s="439"/>
      <c r="N1109" s="439"/>
      <c r="O1109" s="439"/>
      <c r="P1109" s="439"/>
      <c r="Q1109" s="439"/>
      <c r="R1109" s="439"/>
      <c r="S1109" s="439"/>
      <c r="T1109" s="264"/>
      <c r="U1109" s="439"/>
      <c r="V1109" s="16"/>
      <c r="W1109" s="119"/>
      <c r="X1109" s="119"/>
      <c r="Y1109" s="119"/>
      <c r="Z1109" s="119"/>
      <c r="AA1109" s="119"/>
      <c r="AB1109" s="119"/>
      <c r="AC1109" s="119"/>
      <c r="AD1109" s="119"/>
      <c r="AE1109" s="119"/>
      <c r="AF1109" s="119"/>
      <c r="AG1109" s="119"/>
      <c r="AH1109" s="16"/>
      <c r="AI1109" s="439"/>
      <c r="AJ1109" s="439"/>
      <c r="AK1109" s="439"/>
    </row>
    <row r="1110" ht="18.75" customHeight="1">
      <c r="A1110" s="439"/>
      <c r="B1110" s="439"/>
      <c r="C1110" s="439"/>
      <c r="D1110" s="439"/>
      <c r="E1110" s="439"/>
      <c r="F1110" s="439"/>
      <c r="G1110" s="439"/>
      <c r="H1110" s="439"/>
      <c r="I1110" s="439"/>
      <c r="J1110" s="439"/>
      <c r="K1110" s="439"/>
      <c r="L1110" s="439"/>
      <c r="M1110" s="439"/>
      <c r="N1110" s="439"/>
      <c r="O1110" s="439"/>
      <c r="P1110" s="439"/>
      <c r="Q1110" s="439"/>
      <c r="R1110" s="439"/>
      <c r="S1110" s="439"/>
      <c r="T1110" s="264"/>
      <c r="U1110" s="439"/>
      <c r="V1110" s="16"/>
      <c r="W1110" s="119"/>
      <c r="X1110" s="119"/>
      <c r="Y1110" s="119"/>
      <c r="Z1110" s="119"/>
      <c r="AA1110" s="119"/>
      <c r="AB1110" s="119"/>
      <c r="AC1110" s="119"/>
      <c r="AD1110" s="119"/>
      <c r="AE1110" s="119"/>
      <c r="AF1110" s="119"/>
      <c r="AG1110" s="119"/>
      <c r="AH1110" s="16"/>
      <c r="AI1110" s="439"/>
      <c r="AJ1110" s="439"/>
      <c r="AK1110" s="439"/>
    </row>
    <row r="1111" ht="18.75" customHeight="1">
      <c r="A1111" s="439"/>
      <c r="B1111" s="439"/>
      <c r="C1111" s="439"/>
      <c r="D1111" s="439"/>
      <c r="E1111" s="439"/>
      <c r="F1111" s="439"/>
      <c r="G1111" s="439"/>
      <c r="H1111" s="439"/>
      <c r="I1111" s="439"/>
      <c r="J1111" s="439"/>
      <c r="K1111" s="439"/>
      <c r="L1111" s="439"/>
      <c r="M1111" s="439"/>
      <c r="N1111" s="439"/>
      <c r="O1111" s="439"/>
      <c r="P1111" s="439"/>
      <c r="Q1111" s="439"/>
      <c r="R1111" s="439"/>
      <c r="S1111" s="439"/>
      <c r="T1111" s="264"/>
      <c r="U1111" s="439"/>
      <c r="V1111" s="16"/>
      <c r="W1111" s="119"/>
      <c r="X1111" s="119"/>
      <c r="Y1111" s="119"/>
      <c r="Z1111" s="119"/>
      <c r="AA1111" s="119"/>
      <c r="AB1111" s="119"/>
      <c r="AC1111" s="119"/>
      <c r="AD1111" s="119"/>
      <c r="AE1111" s="119"/>
      <c r="AF1111" s="119"/>
      <c r="AG1111" s="119"/>
      <c r="AH1111" s="16"/>
      <c r="AI1111" s="439"/>
      <c r="AJ1111" s="439"/>
      <c r="AK1111" s="439"/>
    </row>
    <row r="1112" ht="18.75" customHeight="1">
      <c r="A1112" s="439"/>
      <c r="B1112" s="439"/>
      <c r="C1112" s="439"/>
      <c r="D1112" s="439"/>
      <c r="E1112" s="439"/>
      <c r="F1112" s="439"/>
      <c r="G1112" s="439"/>
      <c r="H1112" s="439"/>
      <c r="I1112" s="439"/>
      <c r="J1112" s="439"/>
      <c r="K1112" s="439"/>
      <c r="L1112" s="439"/>
      <c r="M1112" s="439"/>
      <c r="N1112" s="439"/>
      <c r="O1112" s="439"/>
      <c r="P1112" s="439"/>
      <c r="Q1112" s="439"/>
      <c r="R1112" s="439"/>
      <c r="S1112" s="439"/>
      <c r="T1112" s="264"/>
      <c r="U1112" s="439"/>
      <c r="V1112" s="16"/>
      <c r="W1112" s="119"/>
      <c r="X1112" s="119"/>
      <c r="Y1112" s="119"/>
      <c r="Z1112" s="119"/>
      <c r="AA1112" s="119"/>
      <c r="AB1112" s="119"/>
      <c r="AC1112" s="119"/>
      <c r="AD1112" s="119"/>
      <c r="AE1112" s="119"/>
      <c r="AF1112" s="119"/>
      <c r="AG1112" s="119"/>
      <c r="AH1112" s="16"/>
      <c r="AI1112" s="439"/>
      <c r="AJ1112" s="439"/>
      <c r="AK1112" s="439"/>
    </row>
    <row r="1113" ht="18.75" customHeight="1">
      <c r="A1113" s="439"/>
      <c r="B1113" s="439"/>
      <c r="C1113" s="439"/>
      <c r="D1113" s="439"/>
      <c r="E1113" s="439"/>
      <c r="F1113" s="439"/>
      <c r="G1113" s="439"/>
      <c r="H1113" s="439"/>
      <c r="I1113" s="439"/>
      <c r="J1113" s="439"/>
      <c r="K1113" s="439"/>
      <c r="L1113" s="439"/>
      <c r="M1113" s="439"/>
      <c r="N1113" s="439"/>
      <c r="O1113" s="439"/>
      <c r="P1113" s="439"/>
      <c r="Q1113" s="439"/>
      <c r="R1113" s="439"/>
      <c r="S1113" s="439"/>
      <c r="T1113" s="264"/>
      <c r="U1113" s="439"/>
      <c r="V1113" s="16"/>
      <c r="W1113" s="119"/>
      <c r="X1113" s="119"/>
      <c r="Y1113" s="119"/>
      <c r="Z1113" s="119"/>
      <c r="AA1113" s="119"/>
      <c r="AB1113" s="119"/>
      <c r="AC1113" s="119"/>
      <c r="AD1113" s="119"/>
      <c r="AE1113" s="119"/>
      <c r="AF1113" s="119"/>
      <c r="AG1113" s="119"/>
      <c r="AH1113" s="16"/>
      <c r="AI1113" s="439"/>
      <c r="AJ1113" s="439"/>
      <c r="AK1113" s="439"/>
    </row>
    <row r="1114" ht="18.75" customHeight="1">
      <c r="A1114" s="439"/>
      <c r="B1114" s="439"/>
      <c r="C1114" s="439"/>
      <c r="D1114" s="439"/>
      <c r="E1114" s="439"/>
      <c r="F1114" s="439"/>
      <c r="G1114" s="439"/>
      <c r="H1114" s="439"/>
      <c r="I1114" s="439"/>
      <c r="J1114" s="439"/>
      <c r="K1114" s="439"/>
      <c r="L1114" s="439"/>
      <c r="M1114" s="439"/>
      <c r="N1114" s="439"/>
      <c r="O1114" s="439"/>
      <c r="P1114" s="439"/>
      <c r="Q1114" s="439"/>
      <c r="R1114" s="439"/>
      <c r="S1114" s="439"/>
      <c r="T1114" s="264"/>
      <c r="U1114" s="439"/>
      <c r="V1114" s="16"/>
      <c r="W1114" s="119"/>
      <c r="X1114" s="119"/>
      <c r="Y1114" s="119"/>
      <c r="Z1114" s="119"/>
      <c r="AA1114" s="119"/>
      <c r="AB1114" s="119"/>
      <c r="AC1114" s="119"/>
      <c r="AD1114" s="119"/>
      <c r="AE1114" s="119"/>
      <c r="AF1114" s="119"/>
      <c r="AG1114" s="119"/>
      <c r="AH1114" s="16"/>
      <c r="AI1114" s="439"/>
      <c r="AJ1114" s="439"/>
      <c r="AK1114" s="439"/>
    </row>
    <row r="1115" ht="18.75" customHeight="1">
      <c r="A1115" s="439"/>
      <c r="B1115" s="439"/>
      <c r="C1115" s="439"/>
      <c r="D1115" s="439"/>
      <c r="E1115" s="439"/>
      <c r="F1115" s="439"/>
      <c r="G1115" s="439"/>
      <c r="H1115" s="439"/>
      <c r="I1115" s="439"/>
      <c r="J1115" s="439"/>
      <c r="K1115" s="439"/>
      <c r="L1115" s="439"/>
      <c r="M1115" s="439"/>
      <c r="N1115" s="439"/>
      <c r="O1115" s="439"/>
      <c r="P1115" s="439"/>
      <c r="Q1115" s="439"/>
      <c r="R1115" s="439"/>
      <c r="S1115" s="439"/>
      <c r="T1115" s="264"/>
      <c r="U1115" s="439"/>
      <c r="V1115" s="16"/>
      <c r="W1115" s="119"/>
      <c r="X1115" s="119"/>
      <c r="Y1115" s="119"/>
      <c r="Z1115" s="119"/>
      <c r="AA1115" s="119"/>
      <c r="AB1115" s="119"/>
      <c r="AC1115" s="119"/>
      <c r="AD1115" s="119"/>
      <c r="AE1115" s="119"/>
      <c r="AF1115" s="119"/>
      <c r="AG1115" s="119"/>
      <c r="AH1115" s="16"/>
      <c r="AI1115" s="439"/>
      <c r="AJ1115" s="439"/>
      <c r="AK1115" s="439"/>
    </row>
    <row r="1116" ht="18.75" customHeight="1">
      <c r="A1116" s="439"/>
      <c r="B1116" s="439"/>
      <c r="C1116" s="439"/>
      <c r="D1116" s="439"/>
      <c r="E1116" s="439"/>
      <c r="F1116" s="439"/>
      <c r="G1116" s="439"/>
      <c r="H1116" s="439"/>
      <c r="I1116" s="439"/>
      <c r="J1116" s="439"/>
      <c r="K1116" s="439"/>
      <c r="L1116" s="439"/>
      <c r="M1116" s="439"/>
      <c r="N1116" s="439"/>
      <c r="O1116" s="439"/>
      <c r="P1116" s="439"/>
      <c r="Q1116" s="439"/>
      <c r="R1116" s="439"/>
      <c r="S1116" s="439"/>
      <c r="T1116" s="264"/>
      <c r="U1116" s="439"/>
      <c r="V1116" s="16"/>
      <c r="W1116" s="119"/>
      <c r="X1116" s="119"/>
      <c r="Y1116" s="119"/>
      <c r="Z1116" s="119"/>
      <c r="AA1116" s="119"/>
      <c r="AB1116" s="119"/>
      <c r="AC1116" s="119"/>
      <c r="AD1116" s="119"/>
      <c r="AE1116" s="119"/>
      <c r="AF1116" s="119"/>
      <c r="AG1116" s="119"/>
      <c r="AH1116" s="16"/>
      <c r="AI1116" s="439"/>
      <c r="AJ1116" s="439"/>
      <c r="AK1116" s="439"/>
    </row>
    <row r="1117" ht="18.75" customHeight="1">
      <c r="A1117" s="439"/>
      <c r="B1117" s="439"/>
      <c r="C1117" s="439"/>
      <c r="D1117" s="439"/>
      <c r="E1117" s="439"/>
      <c r="F1117" s="439"/>
      <c r="G1117" s="439"/>
      <c r="H1117" s="439"/>
      <c r="I1117" s="439"/>
      <c r="J1117" s="439"/>
      <c r="K1117" s="439"/>
      <c r="L1117" s="439"/>
      <c r="M1117" s="439"/>
      <c r="N1117" s="439"/>
      <c r="O1117" s="439"/>
      <c r="P1117" s="439"/>
      <c r="Q1117" s="439"/>
      <c r="R1117" s="439"/>
      <c r="S1117" s="439"/>
      <c r="T1117" s="264"/>
      <c r="U1117" s="439"/>
      <c r="V1117" s="16"/>
      <c r="W1117" s="119"/>
      <c r="X1117" s="119"/>
      <c r="Y1117" s="119"/>
      <c r="Z1117" s="119"/>
      <c r="AA1117" s="119"/>
      <c r="AB1117" s="119"/>
      <c r="AC1117" s="119"/>
      <c r="AD1117" s="119"/>
      <c r="AE1117" s="119"/>
      <c r="AF1117" s="119"/>
      <c r="AG1117" s="119"/>
      <c r="AH1117" s="16"/>
      <c r="AI1117" s="439"/>
      <c r="AJ1117" s="439"/>
      <c r="AK1117" s="439"/>
    </row>
    <row r="1118" ht="18.75" customHeight="1">
      <c r="A1118" s="439"/>
      <c r="B1118" s="439"/>
      <c r="C1118" s="439"/>
      <c r="D1118" s="439"/>
      <c r="E1118" s="439"/>
      <c r="F1118" s="439"/>
      <c r="G1118" s="439"/>
      <c r="H1118" s="439"/>
      <c r="I1118" s="439"/>
      <c r="J1118" s="439"/>
      <c r="K1118" s="439"/>
      <c r="L1118" s="439"/>
      <c r="M1118" s="439"/>
      <c r="N1118" s="439"/>
      <c r="O1118" s="439"/>
      <c r="P1118" s="439"/>
      <c r="Q1118" s="439"/>
      <c r="R1118" s="439"/>
      <c r="S1118" s="439"/>
      <c r="T1118" s="264"/>
      <c r="U1118" s="439"/>
      <c r="V1118" s="16"/>
      <c r="W1118" s="119"/>
      <c r="X1118" s="119"/>
      <c r="Y1118" s="119"/>
      <c r="Z1118" s="119"/>
      <c r="AA1118" s="119"/>
      <c r="AB1118" s="119"/>
      <c r="AC1118" s="119"/>
      <c r="AD1118" s="119"/>
      <c r="AE1118" s="119"/>
      <c r="AF1118" s="119"/>
      <c r="AG1118" s="119"/>
      <c r="AH1118" s="16"/>
      <c r="AI1118" s="439"/>
      <c r="AJ1118" s="439"/>
      <c r="AK1118" s="439"/>
    </row>
    <row r="1119" ht="18.75" customHeight="1">
      <c r="A1119" s="439"/>
      <c r="B1119" s="439"/>
      <c r="C1119" s="439"/>
      <c r="D1119" s="439"/>
      <c r="E1119" s="439"/>
      <c r="F1119" s="439"/>
      <c r="G1119" s="439"/>
      <c r="H1119" s="439"/>
      <c r="I1119" s="439"/>
      <c r="J1119" s="439"/>
      <c r="K1119" s="439"/>
      <c r="L1119" s="439"/>
      <c r="M1119" s="439"/>
      <c r="N1119" s="439"/>
      <c r="O1119" s="439"/>
      <c r="P1119" s="439"/>
      <c r="Q1119" s="439"/>
      <c r="R1119" s="439"/>
      <c r="S1119" s="439"/>
      <c r="T1119" s="264"/>
      <c r="U1119" s="439"/>
      <c r="V1119" s="16"/>
      <c r="W1119" s="119"/>
      <c r="X1119" s="119"/>
      <c r="Y1119" s="119"/>
      <c r="Z1119" s="119"/>
      <c r="AA1119" s="119"/>
      <c r="AB1119" s="119"/>
      <c r="AC1119" s="119"/>
      <c r="AD1119" s="119"/>
      <c r="AE1119" s="119"/>
      <c r="AF1119" s="119"/>
      <c r="AG1119" s="119"/>
      <c r="AH1119" s="16"/>
      <c r="AI1119" s="439"/>
      <c r="AJ1119" s="439"/>
      <c r="AK1119" s="439"/>
    </row>
    <row r="1120" ht="18.75" customHeight="1">
      <c r="A1120" s="439"/>
      <c r="B1120" s="439"/>
      <c r="C1120" s="439"/>
      <c r="D1120" s="439"/>
      <c r="E1120" s="439"/>
      <c r="F1120" s="439"/>
      <c r="G1120" s="439"/>
      <c r="H1120" s="439"/>
      <c r="I1120" s="439"/>
      <c r="J1120" s="439"/>
      <c r="K1120" s="439"/>
      <c r="L1120" s="439"/>
      <c r="M1120" s="439"/>
      <c r="N1120" s="439"/>
      <c r="O1120" s="439"/>
      <c r="P1120" s="439"/>
      <c r="Q1120" s="439"/>
      <c r="R1120" s="439"/>
      <c r="S1120" s="439"/>
      <c r="T1120" s="264"/>
      <c r="U1120" s="439"/>
      <c r="V1120" s="16"/>
      <c r="W1120" s="119"/>
      <c r="X1120" s="119"/>
      <c r="Y1120" s="119"/>
      <c r="Z1120" s="119"/>
      <c r="AA1120" s="119"/>
      <c r="AB1120" s="119"/>
      <c r="AC1120" s="119"/>
      <c r="AD1120" s="119"/>
      <c r="AE1120" s="119"/>
      <c r="AF1120" s="119"/>
      <c r="AG1120" s="119"/>
      <c r="AH1120" s="16"/>
      <c r="AI1120" s="439"/>
      <c r="AJ1120" s="439"/>
      <c r="AK1120" s="439"/>
    </row>
    <row r="1121" ht="18.75" customHeight="1">
      <c r="A1121" s="439"/>
      <c r="B1121" s="439"/>
      <c r="C1121" s="439"/>
      <c r="D1121" s="439"/>
      <c r="E1121" s="439"/>
      <c r="F1121" s="439"/>
      <c r="G1121" s="439"/>
      <c r="H1121" s="439"/>
      <c r="I1121" s="439"/>
      <c r="J1121" s="439"/>
      <c r="K1121" s="439"/>
      <c r="L1121" s="439"/>
      <c r="M1121" s="439"/>
      <c r="N1121" s="439"/>
      <c r="O1121" s="439"/>
      <c r="P1121" s="439"/>
      <c r="Q1121" s="439"/>
      <c r="R1121" s="439"/>
      <c r="S1121" s="439"/>
      <c r="T1121" s="264"/>
      <c r="U1121" s="439"/>
      <c r="V1121" s="16"/>
      <c r="W1121" s="119"/>
      <c r="X1121" s="119"/>
      <c r="Y1121" s="119"/>
      <c r="Z1121" s="119"/>
      <c r="AA1121" s="119"/>
      <c r="AB1121" s="119"/>
      <c r="AC1121" s="119"/>
      <c r="AD1121" s="119"/>
      <c r="AE1121" s="119"/>
      <c r="AF1121" s="119"/>
      <c r="AG1121" s="119"/>
      <c r="AH1121" s="16"/>
      <c r="AI1121" s="439"/>
      <c r="AJ1121" s="439"/>
      <c r="AK1121" s="439"/>
    </row>
    <row r="1122" ht="18.75" customHeight="1">
      <c r="A1122" s="439"/>
      <c r="B1122" s="439"/>
      <c r="C1122" s="439"/>
      <c r="D1122" s="439"/>
      <c r="E1122" s="439"/>
      <c r="F1122" s="439"/>
      <c r="G1122" s="439"/>
      <c r="H1122" s="439"/>
      <c r="I1122" s="439"/>
      <c r="J1122" s="439"/>
      <c r="K1122" s="439"/>
      <c r="L1122" s="439"/>
      <c r="M1122" s="439"/>
      <c r="N1122" s="439"/>
      <c r="O1122" s="439"/>
      <c r="P1122" s="439"/>
      <c r="Q1122" s="439"/>
      <c r="R1122" s="439"/>
      <c r="S1122" s="439"/>
      <c r="T1122" s="264"/>
      <c r="U1122" s="439"/>
      <c r="V1122" s="16"/>
      <c r="W1122" s="119"/>
      <c r="X1122" s="119"/>
      <c r="Y1122" s="119"/>
      <c r="Z1122" s="119"/>
      <c r="AA1122" s="119"/>
      <c r="AB1122" s="119"/>
      <c r="AC1122" s="119"/>
      <c r="AD1122" s="119"/>
      <c r="AE1122" s="119"/>
      <c r="AF1122" s="119"/>
      <c r="AG1122" s="119"/>
      <c r="AH1122" s="16"/>
      <c r="AI1122" s="439"/>
      <c r="AJ1122" s="439"/>
      <c r="AK1122" s="439"/>
    </row>
    <row r="1123" ht="18.75" customHeight="1">
      <c r="A1123" s="439"/>
      <c r="B1123" s="439"/>
      <c r="C1123" s="439"/>
      <c r="D1123" s="439"/>
      <c r="E1123" s="439"/>
      <c r="F1123" s="439"/>
      <c r="G1123" s="439"/>
      <c r="H1123" s="439"/>
      <c r="I1123" s="439"/>
      <c r="J1123" s="439"/>
      <c r="K1123" s="439"/>
      <c r="L1123" s="439"/>
      <c r="M1123" s="439"/>
      <c r="N1123" s="439"/>
      <c r="O1123" s="439"/>
      <c r="P1123" s="439"/>
      <c r="Q1123" s="439"/>
      <c r="R1123" s="439"/>
      <c r="S1123" s="439"/>
      <c r="T1123" s="264"/>
      <c r="U1123" s="439"/>
      <c r="V1123" s="16"/>
      <c r="W1123" s="119"/>
      <c r="X1123" s="119"/>
      <c r="Y1123" s="119"/>
      <c r="Z1123" s="119"/>
      <c r="AA1123" s="119"/>
      <c r="AB1123" s="119"/>
      <c r="AC1123" s="119"/>
      <c r="AD1123" s="119"/>
      <c r="AE1123" s="119"/>
      <c r="AF1123" s="119"/>
      <c r="AG1123" s="119"/>
      <c r="AH1123" s="16"/>
      <c r="AI1123" s="439"/>
      <c r="AJ1123" s="439"/>
      <c r="AK1123" s="439"/>
    </row>
    <row r="1124" ht="18.75" customHeight="1">
      <c r="A1124" s="439"/>
      <c r="B1124" s="439"/>
      <c r="C1124" s="439"/>
      <c r="D1124" s="439"/>
      <c r="E1124" s="439"/>
      <c r="F1124" s="439"/>
      <c r="G1124" s="439"/>
      <c r="H1124" s="439"/>
      <c r="I1124" s="439"/>
      <c r="J1124" s="439"/>
      <c r="K1124" s="439"/>
      <c r="L1124" s="439"/>
      <c r="M1124" s="439"/>
      <c r="N1124" s="439"/>
      <c r="O1124" s="439"/>
      <c r="P1124" s="439"/>
      <c r="Q1124" s="439"/>
      <c r="R1124" s="439"/>
      <c r="S1124" s="439"/>
      <c r="T1124" s="264"/>
      <c r="U1124" s="439"/>
      <c r="V1124" s="16"/>
      <c r="W1124" s="119"/>
      <c r="X1124" s="119"/>
      <c r="Y1124" s="119"/>
      <c r="Z1124" s="119"/>
      <c r="AA1124" s="119"/>
      <c r="AB1124" s="119"/>
      <c r="AC1124" s="119"/>
      <c r="AD1124" s="119"/>
      <c r="AE1124" s="119"/>
      <c r="AF1124" s="119"/>
      <c r="AG1124" s="119"/>
      <c r="AH1124" s="16"/>
      <c r="AI1124" s="439"/>
      <c r="AJ1124" s="439"/>
      <c r="AK1124" s="439"/>
    </row>
    <row r="1125" ht="18.75" customHeight="1">
      <c r="A1125" s="439"/>
      <c r="B1125" s="439"/>
      <c r="C1125" s="439"/>
      <c r="D1125" s="439"/>
      <c r="E1125" s="439"/>
      <c r="F1125" s="439"/>
      <c r="G1125" s="439"/>
      <c r="H1125" s="439"/>
      <c r="I1125" s="439"/>
      <c r="J1125" s="439"/>
      <c r="K1125" s="439"/>
      <c r="L1125" s="439"/>
      <c r="M1125" s="439"/>
      <c r="N1125" s="439"/>
      <c r="O1125" s="439"/>
      <c r="P1125" s="439"/>
      <c r="Q1125" s="439"/>
      <c r="R1125" s="439"/>
      <c r="S1125" s="439"/>
      <c r="T1125" s="264"/>
      <c r="U1125" s="439"/>
      <c r="V1125" s="16"/>
      <c r="W1125" s="119"/>
      <c r="X1125" s="119"/>
      <c r="Y1125" s="119"/>
      <c r="Z1125" s="119"/>
      <c r="AA1125" s="119"/>
      <c r="AB1125" s="119"/>
      <c r="AC1125" s="119"/>
      <c r="AD1125" s="119"/>
      <c r="AE1125" s="119"/>
      <c r="AF1125" s="119"/>
      <c r="AG1125" s="119"/>
      <c r="AH1125" s="16"/>
      <c r="AI1125" s="439"/>
      <c r="AJ1125" s="439"/>
      <c r="AK1125" s="439"/>
    </row>
    <row r="1126" ht="18.75" customHeight="1">
      <c r="A1126" s="439"/>
      <c r="B1126" s="439"/>
      <c r="C1126" s="439"/>
      <c r="D1126" s="439"/>
      <c r="E1126" s="439"/>
      <c r="F1126" s="439"/>
      <c r="G1126" s="439"/>
      <c r="H1126" s="439"/>
      <c r="I1126" s="439"/>
      <c r="J1126" s="439"/>
      <c r="K1126" s="439"/>
      <c r="L1126" s="439"/>
      <c r="M1126" s="439"/>
      <c r="N1126" s="439"/>
      <c r="O1126" s="439"/>
      <c r="P1126" s="439"/>
      <c r="Q1126" s="439"/>
      <c r="R1126" s="439"/>
      <c r="S1126" s="439"/>
      <c r="T1126" s="264"/>
      <c r="U1126" s="439"/>
      <c r="V1126" s="16"/>
      <c r="W1126" s="119"/>
      <c r="X1126" s="119"/>
      <c r="Y1126" s="119"/>
      <c r="Z1126" s="119"/>
      <c r="AA1126" s="119"/>
      <c r="AB1126" s="119"/>
      <c r="AC1126" s="119"/>
      <c r="AD1126" s="119"/>
      <c r="AE1126" s="119"/>
      <c r="AF1126" s="119"/>
      <c r="AG1126" s="119"/>
      <c r="AH1126" s="16"/>
      <c r="AI1126" s="439"/>
      <c r="AJ1126" s="439"/>
      <c r="AK1126" s="439"/>
    </row>
    <row r="1127" ht="18.75" customHeight="1">
      <c r="A1127" s="439"/>
      <c r="B1127" s="439"/>
      <c r="C1127" s="439"/>
      <c r="D1127" s="439"/>
      <c r="E1127" s="439"/>
      <c r="F1127" s="439"/>
      <c r="G1127" s="439"/>
      <c r="H1127" s="439"/>
      <c r="I1127" s="439"/>
      <c r="J1127" s="439"/>
      <c r="K1127" s="439"/>
      <c r="L1127" s="439"/>
      <c r="M1127" s="439"/>
      <c r="N1127" s="439"/>
      <c r="O1127" s="439"/>
      <c r="P1127" s="439"/>
      <c r="Q1127" s="439"/>
      <c r="R1127" s="439"/>
      <c r="S1127" s="439"/>
      <c r="T1127" s="264"/>
      <c r="U1127" s="439"/>
      <c r="V1127" s="16"/>
      <c r="W1127" s="119"/>
      <c r="X1127" s="119"/>
      <c r="Y1127" s="119"/>
      <c r="Z1127" s="119"/>
      <c r="AA1127" s="119"/>
      <c r="AB1127" s="119"/>
      <c r="AC1127" s="119"/>
      <c r="AD1127" s="119"/>
      <c r="AE1127" s="119"/>
      <c r="AF1127" s="119"/>
      <c r="AG1127" s="119"/>
      <c r="AH1127" s="16"/>
      <c r="AI1127" s="439"/>
      <c r="AJ1127" s="439"/>
      <c r="AK1127" s="439"/>
    </row>
    <row r="1128" ht="18.75" customHeight="1">
      <c r="A1128" s="439"/>
      <c r="B1128" s="439"/>
      <c r="C1128" s="439"/>
      <c r="D1128" s="439"/>
      <c r="E1128" s="439"/>
      <c r="F1128" s="439"/>
      <c r="G1128" s="439"/>
      <c r="H1128" s="439"/>
      <c r="I1128" s="439"/>
      <c r="J1128" s="439"/>
      <c r="K1128" s="439"/>
      <c r="L1128" s="439"/>
      <c r="M1128" s="439"/>
      <c r="N1128" s="439"/>
      <c r="O1128" s="439"/>
      <c r="P1128" s="439"/>
      <c r="Q1128" s="439"/>
      <c r="R1128" s="439"/>
      <c r="S1128" s="439"/>
      <c r="T1128" s="264"/>
      <c r="U1128" s="439"/>
      <c r="V1128" s="16"/>
      <c r="W1128" s="119"/>
      <c r="X1128" s="119"/>
      <c r="Y1128" s="119"/>
      <c r="Z1128" s="119"/>
      <c r="AA1128" s="119"/>
      <c r="AB1128" s="119"/>
      <c r="AC1128" s="119"/>
      <c r="AD1128" s="119"/>
      <c r="AE1128" s="119"/>
      <c r="AF1128" s="119"/>
      <c r="AG1128" s="119"/>
      <c r="AH1128" s="16"/>
      <c r="AI1128" s="439"/>
      <c r="AJ1128" s="439"/>
      <c r="AK1128" s="439"/>
    </row>
    <row r="1129" ht="18.75" customHeight="1">
      <c r="A1129" s="439"/>
      <c r="B1129" s="439"/>
      <c r="C1129" s="439"/>
      <c r="D1129" s="439"/>
      <c r="E1129" s="439"/>
      <c r="F1129" s="439"/>
      <c r="G1129" s="439"/>
      <c r="H1129" s="439"/>
      <c r="I1129" s="439"/>
      <c r="J1129" s="439"/>
      <c r="K1129" s="439"/>
      <c r="L1129" s="439"/>
      <c r="M1129" s="439"/>
      <c r="N1129" s="439"/>
      <c r="O1129" s="439"/>
      <c r="P1129" s="439"/>
      <c r="Q1129" s="439"/>
      <c r="R1129" s="439"/>
      <c r="S1129" s="439"/>
      <c r="T1129" s="264"/>
      <c r="U1129" s="439"/>
      <c r="V1129" s="16"/>
      <c r="W1129" s="119"/>
      <c r="X1129" s="119"/>
      <c r="Y1129" s="119"/>
      <c r="Z1129" s="119"/>
      <c r="AA1129" s="119"/>
      <c r="AB1129" s="119"/>
      <c r="AC1129" s="119"/>
      <c r="AD1129" s="119"/>
      <c r="AE1129" s="119"/>
      <c r="AF1129" s="119"/>
      <c r="AG1129" s="119"/>
      <c r="AH1129" s="16"/>
      <c r="AI1129" s="439"/>
      <c r="AJ1129" s="439"/>
      <c r="AK1129" s="439"/>
    </row>
    <row r="1130" ht="18.75" customHeight="1">
      <c r="A1130" s="439"/>
      <c r="B1130" s="439"/>
      <c r="C1130" s="439"/>
      <c r="D1130" s="439"/>
      <c r="E1130" s="439"/>
      <c r="F1130" s="439"/>
      <c r="G1130" s="439"/>
      <c r="H1130" s="439"/>
      <c r="I1130" s="439"/>
      <c r="J1130" s="439"/>
      <c r="K1130" s="439"/>
      <c r="L1130" s="439"/>
      <c r="M1130" s="439"/>
      <c r="N1130" s="439"/>
      <c r="O1130" s="439"/>
      <c r="P1130" s="439"/>
      <c r="Q1130" s="439"/>
      <c r="R1130" s="439"/>
      <c r="S1130" s="439"/>
      <c r="T1130" s="264"/>
      <c r="U1130" s="439"/>
      <c r="V1130" s="16"/>
      <c r="W1130" s="119"/>
      <c r="X1130" s="119"/>
      <c r="Y1130" s="119"/>
      <c r="Z1130" s="119"/>
      <c r="AA1130" s="119"/>
      <c r="AB1130" s="119"/>
      <c r="AC1130" s="119"/>
      <c r="AD1130" s="119"/>
      <c r="AE1130" s="119"/>
      <c r="AF1130" s="119"/>
      <c r="AG1130" s="119"/>
      <c r="AH1130" s="16"/>
      <c r="AI1130" s="439"/>
      <c r="AJ1130" s="439"/>
      <c r="AK1130" s="439"/>
    </row>
    <row r="1131" ht="18.75" customHeight="1">
      <c r="A1131" s="439"/>
      <c r="B1131" s="439"/>
      <c r="C1131" s="439"/>
      <c r="D1131" s="439"/>
      <c r="E1131" s="439"/>
      <c r="F1131" s="439"/>
      <c r="G1131" s="439"/>
      <c r="H1131" s="439"/>
      <c r="I1131" s="439"/>
      <c r="J1131" s="439"/>
      <c r="K1131" s="439"/>
      <c r="L1131" s="439"/>
      <c r="M1131" s="439"/>
      <c r="N1131" s="439"/>
      <c r="O1131" s="439"/>
      <c r="P1131" s="439"/>
      <c r="Q1131" s="439"/>
      <c r="R1131" s="439"/>
      <c r="S1131" s="439"/>
      <c r="T1131" s="264"/>
      <c r="U1131" s="439"/>
      <c r="V1131" s="16"/>
      <c r="W1131" s="119"/>
      <c r="X1131" s="119"/>
      <c r="Y1131" s="119"/>
      <c r="Z1131" s="119"/>
      <c r="AA1131" s="119"/>
      <c r="AB1131" s="119"/>
      <c r="AC1131" s="119"/>
      <c r="AD1131" s="119"/>
      <c r="AE1131" s="119"/>
      <c r="AF1131" s="119"/>
      <c r="AG1131" s="119"/>
      <c r="AH1131" s="16"/>
      <c r="AI1131" s="439"/>
      <c r="AJ1131" s="439"/>
      <c r="AK1131" s="439"/>
    </row>
    <row r="1132" ht="18.75" customHeight="1">
      <c r="A1132" s="439"/>
      <c r="B1132" s="439"/>
      <c r="C1132" s="439"/>
      <c r="D1132" s="439"/>
      <c r="E1132" s="439"/>
      <c r="F1132" s="439"/>
      <c r="G1132" s="439"/>
      <c r="H1132" s="439"/>
      <c r="I1132" s="439"/>
      <c r="J1132" s="439"/>
      <c r="K1132" s="439"/>
      <c r="L1132" s="439"/>
      <c r="M1132" s="439"/>
      <c r="N1132" s="439"/>
      <c r="O1132" s="439"/>
      <c r="P1132" s="439"/>
      <c r="Q1132" s="439"/>
      <c r="R1132" s="439"/>
      <c r="S1132" s="439"/>
      <c r="T1132" s="264"/>
      <c r="U1132" s="439"/>
      <c r="V1132" s="16"/>
      <c r="W1132" s="119"/>
      <c r="X1132" s="119"/>
      <c r="Y1132" s="119"/>
      <c r="Z1132" s="119"/>
      <c r="AA1132" s="119"/>
      <c r="AB1132" s="119"/>
      <c r="AC1132" s="119"/>
      <c r="AD1132" s="119"/>
      <c r="AE1132" s="119"/>
      <c r="AF1132" s="119"/>
      <c r="AG1132" s="119"/>
      <c r="AH1132" s="16"/>
      <c r="AI1132" s="439"/>
      <c r="AJ1132" s="439"/>
      <c r="AK1132" s="439"/>
    </row>
    <row r="1133" ht="18.75" customHeight="1">
      <c r="A1133" s="439"/>
      <c r="B1133" s="439"/>
      <c r="C1133" s="439"/>
      <c r="D1133" s="439"/>
      <c r="E1133" s="439"/>
      <c r="F1133" s="439"/>
      <c r="G1133" s="439"/>
      <c r="H1133" s="439"/>
      <c r="I1133" s="439"/>
      <c r="J1133" s="439"/>
      <c r="K1133" s="439"/>
      <c r="L1133" s="439"/>
      <c r="M1133" s="439"/>
      <c r="N1133" s="439"/>
      <c r="O1133" s="439"/>
      <c r="P1133" s="439"/>
      <c r="Q1133" s="439"/>
      <c r="R1133" s="439"/>
      <c r="S1133" s="439"/>
      <c r="T1133" s="264"/>
      <c r="U1133" s="439"/>
      <c r="V1133" s="16"/>
      <c r="W1133" s="119"/>
      <c r="X1133" s="119"/>
      <c r="Y1133" s="119"/>
      <c r="Z1133" s="119"/>
      <c r="AA1133" s="119"/>
      <c r="AB1133" s="119"/>
      <c r="AC1133" s="119"/>
      <c r="AD1133" s="119"/>
      <c r="AE1133" s="119"/>
      <c r="AF1133" s="119"/>
      <c r="AG1133" s="119"/>
      <c r="AH1133" s="16"/>
      <c r="AI1133" s="439"/>
      <c r="AJ1133" s="439"/>
      <c r="AK1133" s="439"/>
    </row>
    <row r="1134" ht="18.75" customHeight="1">
      <c r="A1134" s="439"/>
      <c r="B1134" s="439"/>
      <c r="C1134" s="439"/>
      <c r="D1134" s="439"/>
      <c r="E1134" s="439"/>
      <c r="F1134" s="439"/>
      <c r="G1134" s="439"/>
      <c r="H1134" s="439"/>
      <c r="I1134" s="439"/>
      <c r="J1134" s="439"/>
      <c r="K1134" s="439"/>
      <c r="L1134" s="439"/>
      <c r="M1134" s="439"/>
      <c r="N1134" s="439"/>
      <c r="O1134" s="439"/>
      <c r="P1134" s="439"/>
      <c r="Q1134" s="439"/>
      <c r="R1134" s="439"/>
      <c r="S1134" s="439"/>
      <c r="T1134" s="264"/>
      <c r="U1134" s="439"/>
      <c r="V1134" s="16"/>
      <c r="W1134" s="119"/>
      <c r="X1134" s="119"/>
      <c r="Y1134" s="119"/>
      <c r="Z1134" s="119"/>
      <c r="AA1134" s="119"/>
      <c r="AB1134" s="119"/>
      <c r="AC1134" s="119"/>
      <c r="AD1134" s="119"/>
      <c r="AE1134" s="119"/>
      <c r="AF1134" s="119"/>
      <c r="AG1134" s="119"/>
      <c r="AH1134" s="16"/>
      <c r="AI1134" s="439"/>
      <c r="AJ1134" s="439"/>
      <c r="AK1134" s="439"/>
    </row>
    <row r="1135" ht="18.75" customHeight="1">
      <c r="A1135" s="439"/>
      <c r="B1135" s="439"/>
      <c r="C1135" s="439"/>
      <c r="D1135" s="439"/>
      <c r="E1135" s="439"/>
      <c r="F1135" s="439"/>
      <c r="G1135" s="439"/>
      <c r="H1135" s="439"/>
      <c r="I1135" s="439"/>
      <c r="J1135" s="439"/>
      <c r="K1135" s="439"/>
      <c r="L1135" s="439"/>
      <c r="M1135" s="439"/>
      <c r="N1135" s="439"/>
      <c r="O1135" s="439"/>
      <c r="P1135" s="439"/>
      <c r="Q1135" s="439"/>
      <c r="R1135" s="439"/>
      <c r="S1135" s="439"/>
      <c r="T1135" s="264"/>
      <c r="U1135" s="439"/>
      <c r="V1135" s="16"/>
      <c r="W1135" s="119"/>
      <c r="X1135" s="119"/>
      <c r="Y1135" s="119"/>
      <c r="Z1135" s="119"/>
      <c r="AA1135" s="119"/>
      <c r="AB1135" s="119"/>
      <c r="AC1135" s="119"/>
      <c r="AD1135" s="119"/>
      <c r="AE1135" s="119"/>
      <c r="AF1135" s="119"/>
      <c r="AG1135" s="119"/>
      <c r="AH1135" s="16"/>
      <c r="AI1135" s="439"/>
      <c r="AJ1135" s="439"/>
      <c r="AK1135" s="439"/>
    </row>
    <row r="1136" ht="18.75" customHeight="1">
      <c r="A1136" s="439"/>
      <c r="B1136" s="439"/>
      <c r="C1136" s="439"/>
      <c r="D1136" s="439"/>
      <c r="E1136" s="439"/>
      <c r="F1136" s="439"/>
      <c r="G1136" s="439"/>
      <c r="H1136" s="439"/>
      <c r="I1136" s="439"/>
      <c r="J1136" s="439"/>
      <c r="K1136" s="439"/>
      <c r="L1136" s="439"/>
      <c r="M1136" s="439"/>
      <c r="N1136" s="439"/>
      <c r="O1136" s="439"/>
      <c r="P1136" s="439"/>
      <c r="Q1136" s="439"/>
      <c r="R1136" s="439"/>
      <c r="S1136" s="439"/>
      <c r="T1136" s="264"/>
      <c r="U1136" s="439"/>
      <c r="V1136" s="16"/>
      <c r="W1136" s="119"/>
      <c r="X1136" s="119"/>
      <c r="Y1136" s="119"/>
      <c r="Z1136" s="119"/>
      <c r="AA1136" s="119"/>
      <c r="AB1136" s="119"/>
      <c r="AC1136" s="119"/>
      <c r="AD1136" s="119"/>
      <c r="AE1136" s="119"/>
      <c r="AF1136" s="119"/>
      <c r="AG1136" s="119"/>
      <c r="AH1136" s="16"/>
      <c r="AI1136" s="439"/>
      <c r="AJ1136" s="439"/>
      <c r="AK1136" s="439"/>
    </row>
    <row r="1137" ht="18.75" customHeight="1">
      <c r="A1137" s="439"/>
      <c r="B1137" s="439"/>
      <c r="C1137" s="439"/>
      <c r="D1137" s="439"/>
      <c r="E1137" s="439"/>
      <c r="F1137" s="439"/>
      <c r="G1137" s="439"/>
      <c r="H1137" s="439"/>
      <c r="I1137" s="439"/>
      <c r="J1137" s="439"/>
      <c r="K1137" s="439"/>
      <c r="L1137" s="439"/>
      <c r="M1137" s="439"/>
      <c r="N1137" s="439"/>
      <c r="O1137" s="439"/>
      <c r="P1137" s="439"/>
      <c r="Q1137" s="439"/>
      <c r="R1137" s="439"/>
      <c r="S1137" s="439"/>
      <c r="T1137" s="264"/>
      <c r="U1137" s="439"/>
      <c r="V1137" s="16"/>
      <c r="W1137" s="119"/>
      <c r="X1137" s="119"/>
      <c r="Y1137" s="119"/>
      <c r="Z1137" s="119"/>
      <c r="AA1137" s="119"/>
      <c r="AB1137" s="119"/>
      <c r="AC1137" s="119"/>
      <c r="AD1137" s="119"/>
      <c r="AE1137" s="119"/>
      <c r="AF1137" s="119"/>
      <c r="AG1137" s="119"/>
      <c r="AH1137" s="16"/>
      <c r="AI1137" s="439"/>
      <c r="AJ1137" s="439"/>
      <c r="AK1137" s="439"/>
    </row>
    <row r="1138" ht="18.75" customHeight="1">
      <c r="A1138" s="439"/>
      <c r="B1138" s="439"/>
      <c r="C1138" s="439"/>
      <c r="D1138" s="439"/>
      <c r="E1138" s="439"/>
      <c r="F1138" s="439"/>
      <c r="G1138" s="439"/>
      <c r="H1138" s="439"/>
      <c r="I1138" s="439"/>
      <c r="J1138" s="439"/>
      <c r="K1138" s="439"/>
      <c r="L1138" s="439"/>
      <c r="M1138" s="439"/>
      <c r="N1138" s="439"/>
      <c r="O1138" s="439"/>
      <c r="P1138" s="439"/>
      <c r="Q1138" s="439"/>
      <c r="R1138" s="439"/>
      <c r="S1138" s="439"/>
      <c r="T1138" s="264"/>
      <c r="U1138" s="439"/>
      <c r="V1138" s="16"/>
      <c r="W1138" s="119"/>
      <c r="X1138" s="119"/>
      <c r="Y1138" s="119"/>
      <c r="Z1138" s="119"/>
      <c r="AA1138" s="119"/>
      <c r="AB1138" s="119"/>
      <c r="AC1138" s="119"/>
      <c r="AD1138" s="119"/>
      <c r="AE1138" s="119"/>
      <c r="AF1138" s="119"/>
      <c r="AG1138" s="119"/>
      <c r="AH1138" s="16"/>
      <c r="AI1138" s="439"/>
      <c r="AJ1138" s="439"/>
      <c r="AK1138" s="439"/>
    </row>
    <row r="1139" ht="18.75" customHeight="1">
      <c r="A1139" s="439"/>
      <c r="B1139" s="439"/>
      <c r="C1139" s="439"/>
      <c r="D1139" s="439"/>
      <c r="E1139" s="439"/>
      <c r="F1139" s="439"/>
      <c r="G1139" s="439"/>
      <c r="H1139" s="439"/>
      <c r="I1139" s="439"/>
      <c r="J1139" s="439"/>
      <c r="K1139" s="439"/>
      <c r="L1139" s="439"/>
      <c r="M1139" s="439"/>
      <c r="N1139" s="439"/>
      <c r="O1139" s="439"/>
      <c r="P1139" s="439"/>
      <c r="Q1139" s="439"/>
      <c r="R1139" s="439"/>
      <c r="S1139" s="439"/>
      <c r="T1139" s="264"/>
      <c r="U1139" s="439"/>
      <c r="V1139" s="16"/>
      <c r="W1139" s="119"/>
      <c r="X1139" s="119"/>
      <c r="Y1139" s="119"/>
      <c r="Z1139" s="119"/>
      <c r="AA1139" s="119"/>
      <c r="AB1139" s="119"/>
      <c r="AC1139" s="119"/>
      <c r="AD1139" s="119"/>
      <c r="AE1139" s="119"/>
      <c r="AF1139" s="119"/>
      <c r="AG1139" s="119"/>
      <c r="AH1139" s="16"/>
      <c r="AI1139" s="439"/>
      <c r="AJ1139" s="439"/>
      <c r="AK1139" s="439"/>
    </row>
    <row r="1140" ht="18.75" customHeight="1">
      <c r="A1140" s="439"/>
      <c r="B1140" s="439"/>
      <c r="C1140" s="439"/>
      <c r="D1140" s="439"/>
      <c r="E1140" s="439"/>
      <c r="F1140" s="439"/>
      <c r="G1140" s="439"/>
      <c r="H1140" s="439"/>
      <c r="I1140" s="439"/>
      <c r="J1140" s="439"/>
      <c r="K1140" s="439"/>
      <c r="L1140" s="439"/>
      <c r="M1140" s="439"/>
      <c r="N1140" s="439"/>
      <c r="O1140" s="439"/>
      <c r="P1140" s="439"/>
      <c r="Q1140" s="439"/>
      <c r="R1140" s="439"/>
      <c r="S1140" s="439"/>
      <c r="T1140" s="264"/>
      <c r="U1140" s="439"/>
      <c r="V1140" s="16"/>
      <c r="W1140" s="119"/>
      <c r="X1140" s="119"/>
      <c r="Y1140" s="119"/>
      <c r="Z1140" s="119"/>
      <c r="AA1140" s="119"/>
      <c r="AB1140" s="119"/>
      <c r="AC1140" s="119"/>
      <c r="AD1140" s="119"/>
      <c r="AE1140" s="119"/>
      <c r="AF1140" s="119"/>
      <c r="AG1140" s="119"/>
      <c r="AH1140" s="16"/>
      <c r="AI1140" s="439"/>
      <c r="AJ1140" s="439"/>
      <c r="AK1140" s="439"/>
    </row>
    <row r="1141" ht="18.75" customHeight="1">
      <c r="A1141" s="439"/>
      <c r="B1141" s="439"/>
      <c r="C1141" s="439"/>
      <c r="D1141" s="439"/>
      <c r="E1141" s="439"/>
      <c r="F1141" s="439"/>
      <c r="G1141" s="439"/>
      <c r="H1141" s="439"/>
      <c r="I1141" s="439"/>
      <c r="J1141" s="439"/>
      <c r="K1141" s="439"/>
      <c r="L1141" s="439"/>
      <c r="M1141" s="439"/>
      <c r="N1141" s="439"/>
      <c r="O1141" s="439"/>
      <c r="P1141" s="439"/>
      <c r="Q1141" s="439"/>
      <c r="R1141" s="439"/>
      <c r="S1141" s="439"/>
      <c r="T1141" s="264"/>
      <c r="U1141" s="439"/>
      <c r="V1141" s="16"/>
      <c r="W1141" s="119"/>
      <c r="X1141" s="119"/>
      <c r="Y1141" s="119"/>
      <c r="Z1141" s="119"/>
      <c r="AA1141" s="119"/>
      <c r="AB1141" s="119"/>
      <c r="AC1141" s="119"/>
      <c r="AD1141" s="119"/>
      <c r="AE1141" s="119"/>
      <c r="AF1141" s="119"/>
      <c r="AG1141" s="119"/>
      <c r="AH1141" s="16"/>
      <c r="AI1141" s="439"/>
      <c r="AJ1141" s="439"/>
      <c r="AK1141" s="439"/>
    </row>
    <row r="1142" ht="18.75" customHeight="1">
      <c r="A1142" s="439"/>
      <c r="B1142" s="439"/>
      <c r="C1142" s="439"/>
      <c r="D1142" s="439"/>
      <c r="E1142" s="439"/>
      <c r="F1142" s="439"/>
      <c r="G1142" s="439"/>
      <c r="H1142" s="439"/>
      <c r="I1142" s="439"/>
      <c r="J1142" s="439"/>
      <c r="K1142" s="439"/>
      <c r="L1142" s="439"/>
      <c r="M1142" s="439"/>
      <c r="N1142" s="439"/>
      <c r="O1142" s="439"/>
      <c r="P1142" s="439"/>
      <c r="Q1142" s="439"/>
      <c r="R1142" s="439"/>
      <c r="S1142" s="439"/>
      <c r="T1142" s="264"/>
      <c r="U1142" s="439"/>
      <c r="V1142" s="16"/>
      <c r="W1142" s="119"/>
      <c r="X1142" s="119"/>
      <c r="Y1142" s="119"/>
      <c r="Z1142" s="119"/>
      <c r="AA1142" s="119"/>
      <c r="AB1142" s="119"/>
      <c r="AC1142" s="119"/>
      <c r="AD1142" s="119"/>
      <c r="AE1142" s="119"/>
      <c r="AF1142" s="119"/>
      <c r="AG1142" s="119"/>
      <c r="AH1142" s="16"/>
      <c r="AI1142" s="439"/>
      <c r="AJ1142" s="439"/>
      <c r="AK1142" s="439"/>
    </row>
    <row r="1143" ht="18.75" customHeight="1">
      <c r="A1143" s="439"/>
      <c r="B1143" s="439"/>
      <c r="C1143" s="439"/>
      <c r="D1143" s="439"/>
      <c r="E1143" s="439"/>
      <c r="F1143" s="439"/>
      <c r="G1143" s="439"/>
      <c r="H1143" s="439"/>
      <c r="I1143" s="439"/>
      <c r="J1143" s="439"/>
      <c r="K1143" s="439"/>
      <c r="L1143" s="439"/>
      <c r="M1143" s="439"/>
      <c r="N1143" s="439"/>
      <c r="O1143" s="439"/>
      <c r="P1143" s="439"/>
      <c r="Q1143" s="439"/>
      <c r="R1143" s="439"/>
      <c r="S1143" s="439"/>
      <c r="T1143" s="264"/>
      <c r="U1143" s="439"/>
      <c r="V1143" s="16"/>
      <c r="W1143" s="119"/>
      <c r="X1143" s="119"/>
      <c r="Y1143" s="119"/>
      <c r="Z1143" s="119"/>
      <c r="AA1143" s="119"/>
      <c r="AB1143" s="119"/>
      <c r="AC1143" s="119"/>
      <c r="AD1143" s="119"/>
      <c r="AE1143" s="119"/>
      <c r="AF1143" s="119"/>
      <c r="AG1143" s="119"/>
      <c r="AH1143" s="16"/>
      <c r="AI1143" s="439"/>
      <c r="AJ1143" s="439"/>
      <c r="AK1143" s="439"/>
    </row>
    <row r="1144" ht="18.75" customHeight="1">
      <c r="A1144" s="439"/>
      <c r="B1144" s="439"/>
      <c r="C1144" s="439"/>
      <c r="D1144" s="439"/>
      <c r="E1144" s="439"/>
      <c r="F1144" s="439"/>
      <c r="G1144" s="439"/>
      <c r="H1144" s="439"/>
      <c r="I1144" s="439"/>
      <c r="J1144" s="439"/>
      <c r="K1144" s="439"/>
      <c r="L1144" s="439"/>
      <c r="M1144" s="439"/>
      <c r="N1144" s="439"/>
      <c r="O1144" s="439"/>
      <c r="P1144" s="439"/>
      <c r="Q1144" s="439"/>
      <c r="R1144" s="439"/>
      <c r="S1144" s="439"/>
      <c r="T1144" s="264"/>
      <c r="U1144" s="439"/>
      <c r="V1144" s="16"/>
      <c r="W1144" s="119"/>
      <c r="X1144" s="119"/>
      <c r="Y1144" s="119"/>
      <c r="Z1144" s="119"/>
      <c r="AA1144" s="119"/>
      <c r="AB1144" s="119"/>
      <c r="AC1144" s="119"/>
      <c r="AD1144" s="119"/>
      <c r="AE1144" s="119"/>
      <c r="AF1144" s="119"/>
      <c r="AG1144" s="119"/>
      <c r="AH1144" s="16"/>
      <c r="AI1144" s="439"/>
      <c r="AJ1144" s="439"/>
      <c r="AK1144" s="439"/>
    </row>
    <row r="1145" ht="18.75" customHeight="1">
      <c r="A1145" s="439"/>
      <c r="B1145" s="439"/>
      <c r="C1145" s="439"/>
      <c r="D1145" s="439"/>
      <c r="E1145" s="439"/>
      <c r="F1145" s="439"/>
      <c r="G1145" s="439"/>
      <c r="H1145" s="439"/>
      <c r="I1145" s="439"/>
      <c r="J1145" s="439"/>
      <c r="K1145" s="439"/>
      <c r="L1145" s="439"/>
      <c r="M1145" s="439"/>
      <c r="N1145" s="439"/>
      <c r="O1145" s="439"/>
      <c r="P1145" s="439"/>
      <c r="Q1145" s="439"/>
      <c r="R1145" s="439"/>
      <c r="S1145" s="439"/>
      <c r="T1145" s="264"/>
      <c r="U1145" s="439"/>
      <c r="V1145" s="16"/>
      <c r="W1145" s="119"/>
      <c r="X1145" s="119"/>
      <c r="Y1145" s="119"/>
      <c r="Z1145" s="119"/>
      <c r="AA1145" s="119"/>
      <c r="AB1145" s="119"/>
      <c r="AC1145" s="119"/>
      <c r="AD1145" s="119"/>
      <c r="AE1145" s="119"/>
      <c r="AF1145" s="119"/>
      <c r="AG1145" s="119"/>
      <c r="AH1145" s="16"/>
      <c r="AI1145" s="439"/>
      <c r="AJ1145" s="439"/>
      <c r="AK1145" s="439"/>
    </row>
    <row r="1146" ht="18.75" customHeight="1">
      <c r="A1146" s="439"/>
      <c r="B1146" s="439"/>
      <c r="C1146" s="439"/>
      <c r="D1146" s="439"/>
      <c r="E1146" s="439"/>
      <c r="F1146" s="439"/>
      <c r="G1146" s="439"/>
      <c r="H1146" s="439"/>
      <c r="I1146" s="439"/>
      <c r="J1146" s="439"/>
      <c r="K1146" s="439"/>
      <c r="L1146" s="439"/>
      <c r="M1146" s="439"/>
      <c r="N1146" s="439"/>
      <c r="O1146" s="439"/>
      <c r="P1146" s="439"/>
      <c r="Q1146" s="439"/>
      <c r="R1146" s="439"/>
      <c r="S1146" s="439"/>
      <c r="T1146" s="264"/>
      <c r="U1146" s="439"/>
      <c r="V1146" s="16"/>
      <c r="W1146" s="119"/>
      <c r="X1146" s="119"/>
      <c r="Y1146" s="119"/>
      <c r="Z1146" s="119"/>
      <c r="AA1146" s="119"/>
      <c r="AB1146" s="119"/>
      <c r="AC1146" s="119"/>
      <c r="AD1146" s="119"/>
      <c r="AE1146" s="119"/>
      <c r="AF1146" s="119"/>
      <c r="AG1146" s="119"/>
      <c r="AH1146" s="16"/>
      <c r="AI1146" s="439"/>
      <c r="AJ1146" s="439"/>
      <c r="AK1146" s="439"/>
    </row>
    <row r="1147" ht="18.75" customHeight="1">
      <c r="A1147" s="439"/>
      <c r="B1147" s="439"/>
      <c r="C1147" s="439"/>
      <c r="D1147" s="439"/>
      <c r="E1147" s="439"/>
      <c r="F1147" s="439"/>
      <c r="G1147" s="439"/>
      <c r="H1147" s="439"/>
      <c r="I1147" s="439"/>
      <c r="J1147" s="439"/>
      <c r="K1147" s="439"/>
      <c r="L1147" s="439"/>
      <c r="M1147" s="439"/>
      <c r="N1147" s="439"/>
      <c r="O1147" s="439"/>
      <c r="P1147" s="439"/>
      <c r="Q1147" s="439"/>
      <c r="R1147" s="439"/>
      <c r="S1147" s="439"/>
      <c r="T1147" s="264"/>
      <c r="U1147" s="439"/>
      <c r="V1147" s="16"/>
      <c r="W1147" s="119"/>
      <c r="X1147" s="119"/>
      <c r="Y1147" s="119"/>
      <c r="Z1147" s="119"/>
      <c r="AA1147" s="119"/>
      <c r="AB1147" s="119"/>
      <c r="AC1147" s="119"/>
      <c r="AD1147" s="119"/>
      <c r="AE1147" s="119"/>
      <c r="AF1147" s="119"/>
      <c r="AG1147" s="119"/>
      <c r="AH1147" s="16"/>
      <c r="AI1147" s="439"/>
      <c r="AJ1147" s="439"/>
      <c r="AK1147" s="439"/>
    </row>
    <row r="1148" ht="18.75" customHeight="1">
      <c r="A1148" s="439"/>
      <c r="B1148" s="439"/>
      <c r="C1148" s="439"/>
      <c r="D1148" s="439"/>
      <c r="E1148" s="439"/>
      <c r="F1148" s="439"/>
      <c r="G1148" s="439"/>
      <c r="H1148" s="439"/>
      <c r="I1148" s="439"/>
      <c r="J1148" s="439"/>
      <c r="K1148" s="439"/>
      <c r="L1148" s="439"/>
      <c r="M1148" s="439"/>
      <c r="N1148" s="439"/>
      <c r="O1148" s="439"/>
      <c r="P1148" s="439"/>
      <c r="Q1148" s="439"/>
      <c r="R1148" s="439"/>
      <c r="S1148" s="439"/>
      <c r="T1148" s="264"/>
      <c r="U1148" s="439"/>
      <c r="V1148" s="16"/>
      <c r="W1148" s="119"/>
      <c r="X1148" s="119"/>
      <c r="Y1148" s="119"/>
      <c r="Z1148" s="119"/>
      <c r="AA1148" s="119"/>
      <c r="AB1148" s="119"/>
      <c r="AC1148" s="119"/>
      <c r="AD1148" s="119"/>
      <c r="AE1148" s="119"/>
      <c r="AF1148" s="119"/>
      <c r="AG1148" s="119"/>
      <c r="AH1148" s="16"/>
      <c r="AI1148" s="439"/>
      <c r="AJ1148" s="439"/>
      <c r="AK1148" s="439"/>
    </row>
    <row r="1149" ht="18.75" customHeight="1">
      <c r="A1149" s="439"/>
      <c r="B1149" s="439"/>
      <c r="C1149" s="439"/>
      <c r="D1149" s="439"/>
      <c r="E1149" s="439"/>
      <c r="F1149" s="439"/>
      <c r="G1149" s="439"/>
      <c r="H1149" s="439"/>
      <c r="I1149" s="439"/>
      <c r="J1149" s="439"/>
      <c r="K1149" s="439"/>
      <c r="L1149" s="439"/>
      <c r="M1149" s="439"/>
      <c r="N1149" s="439"/>
      <c r="O1149" s="439"/>
      <c r="P1149" s="439"/>
      <c r="Q1149" s="439"/>
      <c r="R1149" s="439"/>
      <c r="S1149" s="439"/>
      <c r="T1149" s="264"/>
      <c r="U1149" s="439"/>
      <c r="V1149" s="16"/>
      <c r="W1149" s="119"/>
      <c r="X1149" s="119"/>
      <c r="Y1149" s="119"/>
      <c r="Z1149" s="119"/>
      <c r="AA1149" s="119"/>
      <c r="AB1149" s="119"/>
      <c r="AC1149" s="119"/>
      <c r="AD1149" s="119"/>
      <c r="AE1149" s="119"/>
      <c r="AF1149" s="119"/>
      <c r="AG1149" s="119"/>
      <c r="AH1149" s="16"/>
      <c r="AI1149" s="439"/>
      <c r="AJ1149" s="439"/>
      <c r="AK1149" s="439"/>
    </row>
    <row r="1150" ht="18.75" customHeight="1">
      <c r="A1150" s="439"/>
      <c r="B1150" s="439"/>
      <c r="C1150" s="439"/>
      <c r="D1150" s="439"/>
      <c r="E1150" s="439"/>
      <c r="F1150" s="439"/>
      <c r="G1150" s="439"/>
      <c r="H1150" s="439"/>
      <c r="I1150" s="439"/>
      <c r="J1150" s="439"/>
      <c r="K1150" s="439"/>
      <c r="L1150" s="439"/>
      <c r="M1150" s="439"/>
      <c r="N1150" s="439"/>
      <c r="O1150" s="439"/>
      <c r="P1150" s="439"/>
      <c r="Q1150" s="439"/>
      <c r="R1150" s="439"/>
      <c r="S1150" s="439"/>
      <c r="T1150" s="264"/>
      <c r="U1150" s="439"/>
      <c r="V1150" s="16"/>
      <c r="W1150" s="119"/>
      <c r="X1150" s="119"/>
      <c r="Y1150" s="119"/>
      <c r="Z1150" s="119"/>
      <c r="AA1150" s="119"/>
      <c r="AB1150" s="119"/>
      <c r="AC1150" s="119"/>
      <c r="AD1150" s="119"/>
      <c r="AE1150" s="119"/>
      <c r="AF1150" s="119"/>
      <c r="AG1150" s="119"/>
      <c r="AH1150" s="16"/>
      <c r="AI1150" s="439"/>
      <c r="AJ1150" s="439"/>
      <c r="AK1150" s="439"/>
    </row>
    <row r="1151" ht="18.75" customHeight="1">
      <c r="A1151" s="439"/>
      <c r="B1151" s="439"/>
      <c r="C1151" s="439"/>
      <c r="D1151" s="439"/>
      <c r="E1151" s="439"/>
      <c r="F1151" s="439"/>
      <c r="G1151" s="439"/>
      <c r="H1151" s="439"/>
      <c r="I1151" s="439"/>
      <c r="J1151" s="439"/>
      <c r="K1151" s="439"/>
      <c r="L1151" s="439"/>
      <c r="M1151" s="439"/>
      <c r="N1151" s="439"/>
      <c r="O1151" s="439"/>
      <c r="P1151" s="439"/>
      <c r="Q1151" s="439"/>
      <c r="R1151" s="439"/>
      <c r="S1151" s="439"/>
      <c r="T1151" s="264"/>
      <c r="U1151" s="439"/>
      <c r="V1151" s="16"/>
      <c r="W1151" s="119"/>
      <c r="X1151" s="119"/>
      <c r="Y1151" s="119"/>
      <c r="Z1151" s="119"/>
      <c r="AA1151" s="119"/>
      <c r="AB1151" s="119"/>
      <c r="AC1151" s="119"/>
      <c r="AD1151" s="119"/>
      <c r="AE1151" s="119"/>
      <c r="AF1151" s="119"/>
      <c r="AG1151" s="119"/>
      <c r="AH1151" s="16"/>
      <c r="AI1151" s="439"/>
      <c r="AJ1151" s="439"/>
      <c r="AK1151" s="439"/>
    </row>
    <row r="1152" ht="18.75" customHeight="1">
      <c r="A1152" s="439"/>
      <c r="B1152" s="439"/>
      <c r="C1152" s="439"/>
      <c r="D1152" s="439"/>
      <c r="E1152" s="439"/>
      <c r="F1152" s="439"/>
      <c r="G1152" s="439"/>
      <c r="H1152" s="439"/>
      <c r="I1152" s="439"/>
      <c r="J1152" s="439"/>
      <c r="K1152" s="439"/>
      <c r="L1152" s="439"/>
      <c r="M1152" s="439"/>
      <c r="N1152" s="439"/>
      <c r="O1152" s="439"/>
      <c r="P1152" s="439"/>
      <c r="Q1152" s="439"/>
      <c r="R1152" s="439"/>
      <c r="S1152" s="439"/>
      <c r="T1152" s="264"/>
      <c r="U1152" s="439"/>
      <c r="V1152" s="16"/>
      <c r="W1152" s="119"/>
      <c r="X1152" s="119"/>
      <c r="Y1152" s="119"/>
      <c r="Z1152" s="119"/>
      <c r="AA1152" s="119"/>
      <c r="AB1152" s="119"/>
      <c r="AC1152" s="119"/>
      <c r="AD1152" s="119"/>
      <c r="AE1152" s="119"/>
      <c r="AF1152" s="119"/>
      <c r="AG1152" s="119"/>
      <c r="AH1152" s="16"/>
      <c r="AI1152" s="439"/>
      <c r="AJ1152" s="439"/>
      <c r="AK1152" s="439"/>
    </row>
    <row r="1153" ht="18.75" customHeight="1">
      <c r="A1153" s="439"/>
      <c r="B1153" s="439"/>
      <c r="C1153" s="439"/>
      <c r="D1153" s="439"/>
      <c r="E1153" s="439"/>
      <c r="F1153" s="439"/>
      <c r="G1153" s="439"/>
      <c r="H1153" s="439"/>
      <c r="I1153" s="439"/>
      <c r="J1153" s="439"/>
      <c r="K1153" s="439"/>
      <c r="L1153" s="439"/>
      <c r="M1153" s="439"/>
      <c r="N1153" s="439"/>
      <c r="O1153" s="439"/>
      <c r="P1153" s="439"/>
      <c r="Q1153" s="439"/>
      <c r="R1153" s="439"/>
      <c r="S1153" s="439"/>
      <c r="T1153" s="264"/>
      <c r="U1153" s="439"/>
      <c r="V1153" s="16"/>
      <c r="W1153" s="119"/>
      <c r="X1153" s="119"/>
      <c r="Y1153" s="119"/>
      <c r="Z1153" s="119"/>
      <c r="AA1153" s="119"/>
      <c r="AB1153" s="119"/>
      <c r="AC1153" s="119"/>
      <c r="AD1153" s="119"/>
      <c r="AE1153" s="119"/>
      <c r="AF1153" s="119"/>
      <c r="AG1153" s="119"/>
      <c r="AH1153" s="16"/>
      <c r="AI1153" s="439"/>
      <c r="AJ1153" s="439"/>
      <c r="AK1153" s="439"/>
    </row>
    <row r="1154" ht="18.75" customHeight="1">
      <c r="A1154" s="439"/>
      <c r="B1154" s="439"/>
      <c r="C1154" s="439"/>
      <c r="D1154" s="439"/>
      <c r="E1154" s="439"/>
      <c r="F1154" s="439"/>
      <c r="G1154" s="439"/>
      <c r="H1154" s="439"/>
      <c r="I1154" s="439"/>
      <c r="J1154" s="439"/>
      <c r="K1154" s="439"/>
      <c r="L1154" s="439"/>
      <c r="M1154" s="439"/>
      <c r="N1154" s="439"/>
      <c r="O1154" s="439"/>
      <c r="P1154" s="439"/>
      <c r="Q1154" s="439"/>
      <c r="R1154" s="439"/>
      <c r="S1154" s="439"/>
      <c r="T1154" s="264"/>
      <c r="U1154" s="439"/>
      <c r="V1154" s="16"/>
      <c r="W1154" s="119"/>
      <c r="X1154" s="119"/>
      <c r="Y1154" s="119"/>
      <c r="Z1154" s="119"/>
      <c r="AA1154" s="119"/>
      <c r="AB1154" s="119"/>
      <c r="AC1154" s="119"/>
      <c r="AD1154" s="119"/>
      <c r="AE1154" s="119"/>
      <c r="AF1154" s="119"/>
      <c r="AG1154" s="119"/>
      <c r="AH1154" s="16"/>
      <c r="AI1154" s="439"/>
      <c r="AJ1154" s="439"/>
      <c r="AK1154" s="439"/>
    </row>
    <row r="1155" ht="18.75" customHeight="1">
      <c r="A1155" s="439"/>
      <c r="B1155" s="439"/>
      <c r="C1155" s="439"/>
      <c r="D1155" s="439"/>
      <c r="E1155" s="439"/>
      <c r="F1155" s="439"/>
      <c r="G1155" s="439"/>
      <c r="H1155" s="439"/>
      <c r="I1155" s="439"/>
      <c r="J1155" s="439"/>
      <c r="K1155" s="439"/>
      <c r="L1155" s="439"/>
      <c r="M1155" s="439"/>
      <c r="N1155" s="439"/>
      <c r="O1155" s="439"/>
      <c r="P1155" s="439"/>
      <c r="Q1155" s="439"/>
      <c r="R1155" s="439"/>
      <c r="S1155" s="439"/>
      <c r="T1155" s="264"/>
      <c r="U1155" s="439"/>
      <c r="V1155" s="16"/>
      <c r="W1155" s="119"/>
      <c r="X1155" s="119"/>
      <c r="Y1155" s="119"/>
      <c r="Z1155" s="119"/>
      <c r="AA1155" s="119"/>
      <c r="AB1155" s="119"/>
      <c r="AC1155" s="119"/>
      <c r="AD1155" s="119"/>
      <c r="AE1155" s="119"/>
      <c r="AF1155" s="119"/>
      <c r="AG1155" s="119"/>
      <c r="AH1155" s="16"/>
      <c r="AI1155" s="439"/>
      <c r="AJ1155" s="439"/>
      <c r="AK1155" s="439"/>
    </row>
    <row r="1156" ht="18.75" customHeight="1">
      <c r="A1156" s="439"/>
      <c r="B1156" s="439"/>
      <c r="C1156" s="439"/>
      <c r="D1156" s="439"/>
      <c r="E1156" s="439"/>
      <c r="F1156" s="439"/>
      <c r="G1156" s="439"/>
      <c r="H1156" s="439"/>
      <c r="I1156" s="439"/>
      <c r="J1156" s="439"/>
      <c r="K1156" s="439"/>
      <c r="L1156" s="439"/>
      <c r="M1156" s="439"/>
      <c r="N1156" s="439"/>
      <c r="O1156" s="439"/>
      <c r="P1156" s="439"/>
      <c r="Q1156" s="439"/>
      <c r="R1156" s="439"/>
      <c r="S1156" s="439"/>
      <c r="T1156" s="264"/>
      <c r="U1156" s="439"/>
      <c r="V1156" s="16"/>
      <c r="W1156" s="119"/>
      <c r="X1156" s="119"/>
      <c r="Y1156" s="119"/>
      <c r="Z1156" s="119"/>
      <c r="AA1156" s="119"/>
      <c r="AB1156" s="119"/>
      <c r="AC1156" s="119"/>
      <c r="AD1156" s="119"/>
      <c r="AE1156" s="119"/>
      <c r="AF1156" s="119"/>
      <c r="AG1156" s="119"/>
      <c r="AH1156" s="16"/>
      <c r="AI1156" s="439"/>
      <c r="AJ1156" s="439"/>
      <c r="AK1156" s="439"/>
    </row>
    <row r="1157" ht="18.75" customHeight="1">
      <c r="A1157" s="439"/>
      <c r="B1157" s="439"/>
      <c r="C1157" s="439"/>
      <c r="D1157" s="439"/>
      <c r="E1157" s="439"/>
      <c r="F1157" s="439"/>
      <c r="G1157" s="439"/>
      <c r="H1157" s="439"/>
      <c r="I1157" s="439"/>
      <c r="J1157" s="439"/>
      <c r="K1157" s="439"/>
      <c r="L1157" s="439"/>
      <c r="M1157" s="439"/>
      <c r="N1157" s="439"/>
      <c r="O1157" s="439"/>
      <c r="P1157" s="439"/>
      <c r="Q1157" s="439"/>
      <c r="R1157" s="439"/>
      <c r="S1157" s="439"/>
      <c r="T1157" s="264"/>
      <c r="U1157" s="439"/>
      <c r="V1157" s="16"/>
      <c r="W1157" s="119"/>
      <c r="X1157" s="119"/>
      <c r="Y1157" s="119"/>
      <c r="Z1157" s="119"/>
      <c r="AA1157" s="119"/>
      <c r="AB1157" s="119"/>
      <c r="AC1157" s="119"/>
      <c r="AD1157" s="119"/>
      <c r="AE1157" s="119"/>
      <c r="AF1157" s="119"/>
      <c r="AG1157" s="119"/>
      <c r="AH1157" s="16"/>
      <c r="AI1157" s="439"/>
      <c r="AJ1157" s="439"/>
      <c r="AK1157" s="439"/>
    </row>
    <row r="1158" ht="18.75" customHeight="1">
      <c r="A1158" s="439"/>
      <c r="B1158" s="439"/>
      <c r="C1158" s="439"/>
      <c r="D1158" s="439"/>
      <c r="E1158" s="439"/>
      <c r="F1158" s="439"/>
      <c r="G1158" s="439"/>
      <c r="H1158" s="439"/>
      <c r="I1158" s="439"/>
      <c r="J1158" s="439"/>
      <c r="K1158" s="439"/>
      <c r="L1158" s="439"/>
      <c r="M1158" s="439"/>
      <c r="N1158" s="439"/>
      <c r="O1158" s="439"/>
      <c r="P1158" s="439"/>
      <c r="Q1158" s="439"/>
      <c r="R1158" s="439"/>
      <c r="S1158" s="439"/>
      <c r="T1158" s="264"/>
      <c r="U1158" s="439"/>
      <c r="V1158" s="16"/>
      <c r="W1158" s="119"/>
      <c r="X1158" s="119"/>
      <c r="Y1158" s="119"/>
      <c r="Z1158" s="119"/>
      <c r="AA1158" s="119"/>
      <c r="AB1158" s="119"/>
      <c r="AC1158" s="119"/>
      <c r="AD1158" s="119"/>
      <c r="AE1158" s="119"/>
      <c r="AF1158" s="119"/>
      <c r="AG1158" s="119"/>
      <c r="AH1158" s="16"/>
      <c r="AI1158" s="439"/>
      <c r="AJ1158" s="439"/>
      <c r="AK1158" s="439"/>
    </row>
    <row r="1159" ht="18.75" customHeight="1">
      <c r="A1159" s="439"/>
      <c r="B1159" s="439"/>
      <c r="C1159" s="439"/>
      <c r="D1159" s="439"/>
      <c r="E1159" s="439"/>
      <c r="F1159" s="439"/>
      <c r="G1159" s="439"/>
      <c r="H1159" s="439"/>
      <c r="I1159" s="439"/>
      <c r="J1159" s="439"/>
      <c r="K1159" s="439"/>
      <c r="L1159" s="439"/>
      <c r="M1159" s="439"/>
      <c r="N1159" s="439"/>
      <c r="O1159" s="439"/>
      <c r="P1159" s="439"/>
      <c r="Q1159" s="439"/>
      <c r="R1159" s="439"/>
      <c r="S1159" s="439"/>
      <c r="T1159" s="264"/>
      <c r="U1159" s="439"/>
      <c r="V1159" s="16"/>
      <c r="W1159" s="119"/>
      <c r="X1159" s="119"/>
      <c r="Y1159" s="119"/>
      <c r="Z1159" s="119"/>
      <c r="AA1159" s="119"/>
      <c r="AB1159" s="119"/>
      <c r="AC1159" s="119"/>
      <c r="AD1159" s="119"/>
      <c r="AE1159" s="119"/>
      <c r="AF1159" s="119"/>
      <c r="AG1159" s="119"/>
      <c r="AH1159" s="16"/>
      <c r="AI1159" s="439"/>
      <c r="AJ1159" s="439"/>
      <c r="AK1159" s="439"/>
    </row>
    <row r="1160" ht="18.75" customHeight="1">
      <c r="A1160" s="439"/>
      <c r="B1160" s="439"/>
      <c r="C1160" s="439"/>
      <c r="D1160" s="439"/>
      <c r="E1160" s="439"/>
      <c r="F1160" s="439"/>
      <c r="G1160" s="439"/>
      <c r="H1160" s="439"/>
      <c r="I1160" s="439"/>
      <c r="J1160" s="439"/>
      <c r="K1160" s="439"/>
      <c r="L1160" s="439"/>
      <c r="M1160" s="439"/>
      <c r="N1160" s="439"/>
      <c r="O1160" s="439"/>
      <c r="P1160" s="439"/>
      <c r="Q1160" s="439"/>
      <c r="R1160" s="439"/>
      <c r="S1160" s="439"/>
      <c r="T1160" s="264"/>
      <c r="U1160" s="439"/>
      <c r="V1160" s="16"/>
      <c r="W1160" s="119"/>
      <c r="X1160" s="119"/>
      <c r="Y1160" s="119"/>
      <c r="Z1160" s="119"/>
      <c r="AA1160" s="119"/>
      <c r="AB1160" s="119"/>
      <c r="AC1160" s="119"/>
      <c r="AD1160" s="119"/>
      <c r="AE1160" s="119"/>
      <c r="AF1160" s="119"/>
      <c r="AG1160" s="119"/>
      <c r="AH1160" s="16"/>
      <c r="AI1160" s="439"/>
      <c r="AJ1160" s="439"/>
      <c r="AK1160" s="439"/>
    </row>
    <row r="1161" ht="18.75" customHeight="1">
      <c r="A1161" s="439"/>
      <c r="B1161" s="439"/>
      <c r="C1161" s="439"/>
      <c r="D1161" s="439"/>
      <c r="E1161" s="439"/>
      <c r="F1161" s="439"/>
      <c r="G1161" s="439"/>
      <c r="H1161" s="439"/>
      <c r="I1161" s="439"/>
      <c r="J1161" s="439"/>
      <c r="K1161" s="439"/>
      <c r="L1161" s="439"/>
      <c r="M1161" s="439"/>
      <c r="N1161" s="439"/>
      <c r="O1161" s="439"/>
      <c r="P1161" s="439"/>
      <c r="Q1161" s="439"/>
      <c r="R1161" s="439"/>
      <c r="S1161" s="439"/>
      <c r="T1161" s="264"/>
      <c r="U1161" s="439"/>
      <c r="V1161" s="16"/>
      <c r="W1161" s="119"/>
      <c r="X1161" s="119"/>
      <c r="Y1161" s="119"/>
      <c r="Z1161" s="119"/>
      <c r="AA1161" s="119"/>
      <c r="AB1161" s="119"/>
      <c r="AC1161" s="119"/>
      <c r="AD1161" s="119"/>
      <c r="AE1161" s="119"/>
      <c r="AF1161" s="119"/>
      <c r="AG1161" s="119"/>
      <c r="AH1161" s="16"/>
      <c r="AI1161" s="439"/>
      <c r="AJ1161" s="439"/>
      <c r="AK1161" s="439"/>
    </row>
    <row r="1162" ht="18.75" customHeight="1">
      <c r="A1162" s="439"/>
      <c r="B1162" s="439"/>
      <c r="C1162" s="439"/>
      <c r="D1162" s="439"/>
      <c r="E1162" s="439"/>
      <c r="F1162" s="439"/>
      <c r="G1162" s="439"/>
      <c r="H1162" s="439"/>
      <c r="I1162" s="439"/>
      <c r="J1162" s="439"/>
      <c r="K1162" s="439"/>
      <c r="L1162" s="439"/>
      <c r="M1162" s="439"/>
      <c r="N1162" s="439"/>
      <c r="O1162" s="439"/>
      <c r="P1162" s="439"/>
      <c r="Q1162" s="439"/>
      <c r="R1162" s="439"/>
      <c r="S1162" s="439"/>
      <c r="T1162" s="264"/>
      <c r="U1162" s="439"/>
      <c r="V1162" s="16"/>
      <c r="W1162" s="119"/>
      <c r="X1162" s="119"/>
      <c r="Y1162" s="119"/>
      <c r="Z1162" s="119"/>
      <c r="AA1162" s="119"/>
      <c r="AB1162" s="119"/>
      <c r="AC1162" s="119"/>
      <c r="AD1162" s="119"/>
      <c r="AE1162" s="119"/>
      <c r="AF1162" s="119"/>
      <c r="AG1162" s="119"/>
      <c r="AH1162" s="16"/>
      <c r="AI1162" s="439"/>
      <c r="AJ1162" s="439"/>
      <c r="AK1162" s="439"/>
    </row>
    <row r="1163" ht="18.75" customHeight="1">
      <c r="A1163" s="439"/>
      <c r="B1163" s="439"/>
      <c r="C1163" s="439"/>
      <c r="D1163" s="439"/>
      <c r="E1163" s="439"/>
      <c r="F1163" s="439"/>
      <c r="G1163" s="439"/>
      <c r="H1163" s="439"/>
      <c r="I1163" s="439"/>
      <c r="J1163" s="439"/>
      <c r="K1163" s="439"/>
      <c r="L1163" s="439"/>
      <c r="M1163" s="439"/>
      <c r="N1163" s="439"/>
      <c r="O1163" s="439"/>
      <c r="P1163" s="439"/>
      <c r="Q1163" s="439"/>
      <c r="R1163" s="439"/>
      <c r="S1163" s="439"/>
      <c r="T1163" s="264"/>
      <c r="U1163" s="439"/>
      <c r="V1163" s="16"/>
      <c r="W1163" s="119"/>
      <c r="X1163" s="119"/>
      <c r="Y1163" s="119"/>
      <c r="Z1163" s="119"/>
      <c r="AA1163" s="119"/>
      <c r="AB1163" s="119"/>
      <c r="AC1163" s="119"/>
      <c r="AD1163" s="119"/>
      <c r="AE1163" s="119"/>
      <c r="AF1163" s="119"/>
      <c r="AG1163" s="119"/>
      <c r="AH1163" s="16"/>
      <c r="AI1163" s="439"/>
      <c r="AJ1163" s="439"/>
      <c r="AK1163" s="439"/>
    </row>
    <row r="1164" ht="18.75" customHeight="1">
      <c r="A1164" s="439"/>
      <c r="B1164" s="439"/>
      <c r="C1164" s="439"/>
      <c r="D1164" s="439"/>
      <c r="E1164" s="439"/>
      <c r="F1164" s="439"/>
      <c r="G1164" s="439"/>
      <c r="H1164" s="439"/>
      <c r="I1164" s="439"/>
      <c r="J1164" s="439"/>
      <c r="K1164" s="439"/>
      <c r="L1164" s="439"/>
      <c r="M1164" s="439"/>
      <c r="N1164" s="439"/>
      <c r="O1164" s="439"/>
      <c r="P1164" s="439"/>
      <c r="Q1164" s="439"/>
      <c r="R1164" s="439"/>
      <c r="S1164" s="439"/>
      <c r="T1164" s="264"/>
      <c r="U1164" s="439"/>
      <c r="V1164" s="16"/>
      <c r="W1164" s="119"/>
      <c r="X1164" s="119"/>
      <c r="Y1164" s="119"/>
      <c r="Z1164" s="119"/>
      <c r="AA1164" s="119"/>
      <c r="AB1164" s="119"/>
      <c r="AC1164" s="119"/>
      <c r="AD1164" s="119"/>
      <c r="AE1164" s="119"/>
      <c r="AF1164" s="119"/>
      <c r="AG1164" s="119"/>
      <c r="AH1164" s="16"/>
      <c r="AI1164" s="439"/>
      <c r="AJ1164" s="439"/>
      <c r="AK1164" s="439"/>
    </row>
    <row r="1165" ht="18.75" customHeight="1">
      <c r="A1165" s="439"/>
      <c r="B1165" s="439"/>
      <c r="C1165" s="439"/>
      <c r="D1165" s="439"/>
      <c r="E1165" s="439"/>
      <c r="F1165" s="439"/>
      <c r="G1165" s="439"/>
      <c r="H1165" s="439"/>
      <c r="I1165" s="439"/>
      <c r="J1165" s="439"/>
      <c r="K1165" s="439"/>
      <c r="L1165" s="439"/>
      <c r="M1165" s="439"/>
      <c r="N1165" s="439"/>
      <c r="O1165" s="439"/>
      <c r="P1165" s="439"/>
      <c r="Q1165" s="439"/>
      <c r="R1165" s="439"/>
      <c r="S1165" s="439"/>
      <c r="T1165" s="264"/>
      <c r="U1165" s="439"/>
      <c r="V1165" s="16"/>
      <c r="W1165" s="119"/>
      <c r="X1165" s="119"/>
      <c r="Y1165" s="119"/>
      <c r="Z1165" s="119"/>
      <c r="AA1165" s="119"/>
      <c r="AB1165" s="119"/>
      <c r="AC1165" s="119"/>
      <c r="AD1165" s="119"/>
      <c r="AE1165" s="119"/>
      <c r="AF1165" s="119"/>
      <c r="AG1165" s="119"/>
      <c r="AH1165" s="16"/>
      <c r="AI1165" s="439"/>
      <c r="AJ1165" s="439"/>
      <c r="AK1165" s="439"/>
    </row>
    <row r="1166" ht="18.75" customHeight="1">
      <c r="A1166" s="439"/>
      <c r="B1166" s="439"/>
      <c r="C1166" s="439"/>
      <c r="D1166" s="439"/>
      <c r="E1166" s="439"/>
      <c r="F1166" s="439"/>
      <c r="G1166" s="439"/>
      <c r="H1166" s="439"/>
      <c r="I1166" s="439"/>
      <c r="J1166" s="439"/>
      <c r="K1166" s="439"/>
      <c r="L1166" s="439"/>
      <c r="M1166" s="439"/>
      <c r="N1166" s="439"/>
      <c r="O1166" s="439"/>
      <c r="P1166" s="439"/>
      <c r="Q1166" s="439"/>
      <c r="R1166" s="439"/>
      <c r="S1166" s="439"/>
      <c r="T1166" s="264"/>
      <c r="U1166" s="439"/>
      <c r="V1166" s="16"/>
      <c r="W1166" s="119"/>
      <c r="X1166" s="119"/>
      <c r="Y1166" s="119"/>
      <c r="Z1166" s="119"/>
      <c r="AA1166" s="119"/>
      <c r="AB1166" s="119"/>
      <c r="AC1166" s="119"/>
      <c r="AD1166" s="119"/>
      <c r="AE1166" s="119"/>
      <c r="AF1166" s="119"/>
      <c r="AG1166" s="119"/>
      <c r="AH1166" s="16"/>
      <c r="AI1166" s="439"/>
      <c r="AJ1166" s="439"/>
      <c r="AK1166" s="439"/>
    </row>
    <row r="1167" ht="18.75" customHeight="1">
      <c r="A1167" s="439"/>
      <c r="B1167" s="439"/>
      <c r="C1167" s="439"/>
      <c r="D1167" s="439"/>
      <c r="E1167" s="439"/>
      <c r="F1167" s="439"/>
      <c r="G1167" s="439"/>
      <c r="H1167" s="439"/>
      <c r="I1167" s="439"/>
      <c r="J1167" s="439"/>
      <c r="K1167" s="439"/>
      <c r="L1167" s="439"/>
      <c r="M1167" s="439"/>
      <c r="N1167" s="439"/>
      <c r="O1167" s="439"/>
      <c r="P1167" s="439"/>
      <c r="Q1167" s="439"/>
      <c r="R1167" s="439"/>
      <c r="S1167" s="439"/>
      <c r="T1167" s="264"/>
      <c r="U1167" s="439"/>
      <c r="V1167" s="16"/>
      <c r="W1167" s="119"/>
      <c r="X1167" s="119"/>
      <c r="Y1167" s="119"/>
      <c r="Z1167" s="119"/>
      <c r="AA1167" s="119"/>
      <c r="AB1167" s="119"/>
      <c r="AC1167" s="119"/>
      <c r="AD1167" s="119"/>
      <c r="AE1167" s="119"/>
      <c r="AF1167" s="119"/>
      <c r="AG1167" s="119"/>
      <c r="AH1167" s="16"/>
      <c r="AI1167" s="439"/>
      <c r="AJ1167" s="439"/>
      <c r="AK1167" s="439"/>
    </row>
    <row r="1168" ht="18.75" customHeight="1">
      <c r="A1168" s="439"/>
      <c r="B1168" s="439"/>
      <c r="C1168" s="439"/>
      <c r="D1168" s="439"/>
      <c r="E1168" s="439"/>
      <c r="F1168" s="439"/>
      <c r="G1168" s="439"/>
      <c r="H1168" s="439"/>
      <c r="I1168" s="439"/>
      <c r="J1168" s="439"/>
      <c r="K1168" s="439"/>
      <c r="L1168" s="439"/>
      <c r="M1168" s="439"/>
      <c r="N1168" s="439"/>
      <c r="O1168" s="439"/>
      <c r="P1168" s="439"/>
      <c r="Q1168" s="439"/>
      <c r="R1168" s="439"/>
      <c r="S1168" s="439"/>
      <c r="T1168" s="264"/>
      <c r="U1168" s="439"/>
      <c r="V1168" s="16"/>
      <c r="W1168" s="119"/>
      <c r="X1168" s="119"/>
      <c r="Y1168" s="119"/>
      <c r="Z1168" s="119"/>
      <c r="AA1168" s="119"/>
      <c r="AB1168" s="119"/>
      <c r="AC1168" s="119"/>
      <c r="AD1168" s="119"/>
      <c r="AE1168" s="119"/>
      <c r="AF1168" s="119"/>
      <c r="AG1168" s="119"/>
      <c r="AH1168" s="16"/>
      <c r="AI1168" s="439"/>
      <c r="AJ1168" s="439"/>
      <c r="AK1168" s="439"/>
    </row>
    <row r="1169" ht="18.75" customHeight="1">
      <c r="A1169" s="439"/>
      <c r="B1169" s="439"/>
      <c r="C1169" s="439"/>
      <c r="D1169" s="439"/>
      <c r="E1169" s="439"/>
      <c r="F1169" s="439"/>
      <c r="G1169" s="439"/>
      <c r="H1169" s="439"/>
      <c r="I1169" s="439"/>
      <c r="J1169" s="439"/>
      <c r="K1169" s="439"/>
      <c r="L1169" s="439"/>
      <c r="M1169" s="439"/>
      <c r="N1169" s="439"/>
      <c r="O1169" s="439"/>
      <c r="P1169" s="439"/>
      <c r="Q1169" s="439"/>
      <c r="R1169" s="439"/>
      <c r="S1169" s="439"/>
      <c r="T1169" s="264"/>
      <c r="U1169" s="439"/>
      <c r="V1169" s="16"/>
      <c r="W1169" s="119"/>
      <c r="X1169" s="119"/>
      <c r="Y1169" s="119"/>
      <c r="Z1169" s="119"/>
      <c r="AA1169" s="119"/>
      <c r="AB1169" s="119"/>
      <c r="AC1169" s="119"/>
      <c r="AD1169" s="119"/>
      <c r="AE1169" s="119"/>
      <c r="AF1169" s="119"/>
      <c r="AG1169" s="119"/>
      <c r="AH1169" s="16"/>
      <c r="AI1169" s="439"/>
      <c r="AJ1169" s="439"/>
      <c r="AK1169" s="439"/>
    </row>
    <row r="1170" ht="18.75" customHeight="1">
      <c r="A1170" s="439"/>
      <c r="B1170" s="439"/>
      <c r="C1170" s="439"/>
      <c r="D1170" s="439"/>
      <c r="E1170" s="439"/>
      <c r="F1170" s="439"/>
      <c r="G1170" s="439"/>
      <c r="H1170" s="439"/>
      <c r="I1170" s="439"/>
      <c r="J1170" s="439"/>
      <c r="K1170" s="439"/>
      <c r="L1170" s="439"/>
      <c r="M1170" s="439"/>
      <c r="N1170" s="439"/>
      <c r="O1170" s="439"/>
      <c r="P1170" s="439"/>
      <c r="Q1170" s="439"/>
      <c r="R1170" s="439"/>
      <c r="S1170" s="439"/>
      <c r="T1170" s="264"/>
      <c r="U1170" s="439"/>
      <c r="V1170" s="16"/>
      <c r="W1170" s="119"/>
      <c r="X1170" s="119"/>
      <c r="Y1170" s="119"/>
      <c r="Z1170" s="119"/>
      <c r="AA1170" s="119"/>
      <c r="AB1170" s="119"/>
      <c r="AC1170" s="119"/>
      <c r="AD1170" s="119"/>
      <c r="AE1170" s="119"/>
      <c r="AF1170" s="119"/>
      <c r="AG1170" s="119"/>
      <c r="AH1170" s="16"/>
      <c r="AI1170" s="439"/>
      <c r="AJ1170" s="439"/>
      <c r="AK1170" s="439"/>
    </row>
    <row r="1171" ht="18.75" customHeight="1">
      <c r="A1171" s="439"/>
      <c r="B1171" s="439"/>
      <c r="C1171" s="439"/>
      <c r="D1171" s="439"/>
      <c r="E1171" s="439"/>
      <c r="F1171" s="439"/>
      <c r="G1171" s="439"/>
      <c r="H1171" s="439"/>
      <c r="I1171" s="439"/>
      <c r="J1171" s="439"/>
      <c r="K1171" s="439"/>
      <c r="L1171" s="439"/>
      <c r="M1171" s="439"/>
      <c r="N1171" s="439"/>
      <c r="O1171" s="439"/>
      <c r="P1171" s="439"/>
      <c r="Q1171" s="439"/>
      <c r="R1171" s="439"/>
      <c r="S1171" s="439"/>
      <c r="T1171" s="264"/>
      <c r="U1171" s="439"/>
      <c r="V1171" s="16"/>
      <c r="W1171" s="119"/>
      <c r="X1171" s="119"/>
      <c r="Y1171" s="119"/>
      <c r="Z1171" s="119"/>
      <c r="AA1171" s="119"/>
      <c r="AB1171" s="119"/>
      <c r="AC1171" s="119"/>
      <c r="AD1171" s="119"/>
      <c r="AE1171" s="119"/>
      <c r="AF1171" s="119"/>
      <c r="AG1171" s="119"/>
      <c r="AH1171" s="16"/>
      <c r="AI1171" s="439"/>
      <c r="AJ1171" s="439"/>
      <c r="AK1171" s="439"/>
    </row>
    <row r="1172" ht="18.75" customHeight="1">
      <c r="A1172" s="439"/>
      <c r="B1172" s="439"/>
      <c r="C1172" s="439"/>
      <c r="D1172" s="439"/>
      <c r="E1172" s="439"/>
      <c r="F1172" s="439"/>
      <c r="G1172" s="439"/>
      <c r="H1172" s="439"/>
      <c r="I1172" s="439"/>
      <c r="J1172" s="439"/>
      <c r="K1172" s="439"/>
      <c r="L1172" s="439"/>
      <c r="M1172" s="439"/>
      <c r="N1172" s="439"/>
      <c r="O1172" s="439"/>
      <c r="P1172" s="439"/>
      <c r="Q1172" s="439"/>
      <c r="R1172" s="439"/>
      <c r="S1172" s="439"/>
      <c r="T1172" s="264"/>
      <c r="U1172" s="439"/>
      <c r="V1172" s="16"/>
      <c r="W1172" s="119"/>
      <c r="X1172" s="119"/>
      <c r="Y1172" s="119"/>
      <c r="Z1172" s="119"/>
      <c r="AA1172" s="119"/>
      <c r="AB1172" s="119"/>
      <c r="AC1172" s="119"/>
      <c r="AD1172" s="119"/>
      <c r="AE1172" s="119"/>
      <c r="AF1172" s="119"/>
      <c r="AG1172" s="119"/>
      <c r="AH1172" s="16"/>
      <c r="AI1172" s="439"/>
      <c r="AJ1172" s="439"/>
      <c r="AK1172" s="439"/>
    </row>
    <row r="1173" ht="18.75" customHeight="1">
      <c r="A1173" s="439"/>
      <c r="B1173" s="439"/>
      <c r="C1173" s="439"/>
      <c r="D1173" s="439"/>
      <c r="E1173" s="439"/>
      <c r="F1173" s="439"/>
      <c r="G1173" s="439"/>
      <c r="H1173" s="439"/>
      <c r="I1173" s="439"/>
      <c r="J1173" s="439"/>
      <c r="K1173" s="439"/>
      <c r="L1173" s="439"/>
      <c r="M1173" s="439"/>
      <c r="N1173" s="439"/>
      <c r="O1173" s="439"/>
      <c r="P1173" s="439"/>
      <c r="Q1173" s="439"/>
      <c r="R1173" s="439"/>
      <c r="S1173" s="439"/>
      <c r="T1173" s="264"/>
      <c r="U1173" s="439"/>
      <c r="V1173" s="16"/>
      <c r="W1173" s="119"/>
      <c r="X1173" s="119"/>
      <c r="Y1173" s="119"/>
      <c r="Z1173" s="119"/>
      <c r="AA1173" s="119"/>
      <c r="AB1173" s="119"/>
      <c r="AC1173" s="119"/>
      <c r="AD1173" s="119"/>
      <c r="AE1173" s="119"/>
      <c r="AF1173" s="119"/>
      <c r="AG1173" s="119"/>
      <c r="AH1173" s="16"/>
      <c r="AI1173" s="439"/>
      <c r="AJ1173" s="439"/>
      <c r="AK1173" s="439"/>
    </row>
    <row r="1174" ht="18.75" customHeight="1">
      <c r="A1174" s="439"/>
      <c r="B1174" s="439"/>
      <c r="C1174" s="439"/>
      <c r="D1174" s="439"/>
      <c r="E1174" s="439"/>
      <c r="F1174" s="439"/>
      <c r="G1174" s="439"/>
      <c r="H1174" s="439"/>
      <c r="I1174" s="439"/>
      <c r="J1174" s="439"/>
      <c r="K1174" s="439"/>
      <c r="L1174" s="439"/>
      <c r="M1174" s="439"/>
      <c r="N1174" s="439"/>
      <c r="O1174" s="439"/>
      <c r="P1174" s="439"/>
      <c r="Q1174" s="439"/>
      <c r="R1174" s="439"/>
      <c r="S1174" s="439"/>
      <c r="T1174" s="264"/>
      <c r="U1174" s="439"/>
      <c r="V1174" s="16"/>
      <c r="W1174" s="119"/>
      <c r="X1174" s="119"/>
      <c r="Y1174" s="119"/>
      <c r="Z1174" s="119"/>
      <c r="AA1174" s="119"/>
      <c r="AB1174" s="119"/>
      <c r="AC1174" s="119"/>
      <c r="AD1174" s="119"/>
      <c r="AE1174" s="119"/>
      <c r="AF1174" s="119"/>
      <c r="AG1174" s="119"/>
      <c r="AH1174" s="16"/>
      <c r="AI1174" s="439"/>
      <c r="AJ1174" s="439"/>
      <c r="AK1174" s="439"/>
    </row>
    <row r="1175" ht="18.75" customHeight="1">
      <c r="A1175" s="439"/>
      <c r="B1175" s="439"/>
      <c r="C1175" s="439"/>
      <c r="D1175" s="439"/>
      <c r="E1175" s="439"/>
      <c r="F1175" s="439"/>
      <c r="G1175" s="439"/>
      <c r="H1175" s="439"/>
      <c r="I1175" s="439"/>
      <c r="J1175" s="439"/>
      <c r="K1175" s="439"/>
      <c r="L1175" s="439"/>
      <c r="M1175" s="439"/>
      <c r="N1175" s="439"/>
      <c r="O1175" s="439"/>
      <c r="P1175" s="439"/>
      <c r="Q1175" s="439"/>
      <c r="R1175" s="439"/>
      <c r="S1175" s="439"/>
      <c r="T1175" s="264"/>
      <c r="U1175" s="439"/>
      <c r="V1175" s="16"/>
      <c r="W1175" s="119"/>
      <c r="X1175" s="119"/>
      <c r="Y1175" s="119"/>
      <c r="Z1175" s="119"/>
      <c r="AA1175" s="119"/>
      <c r="AB1175" s="119"/>
      <c r="AC1175" s="119"/>
      <c r="AD1175" s="119"/>
      <c r="AE1175" s="119"/>
      <c r="AF1175" s="119"/>
      <c r="AG1175" s="119"/>
      <c r="AH1175" s="16"/>
      <c r="AI1175" s="439"/>
      <c r="AJ1175" s="439"/>
      <c r="AK1175" s="439"/>
    </row>
    <row r="1176" ht="18.75" customHeight="1">
      <c r="A1176" s="439"/>
      <c r="B1176" s="439"/>
      <c r="C1176" s="439"/>
      <c r="D1176" s="439"/>
      <c r="E1176" s="439"/>
      <c r="F1176" s="439"/>
      <c r="G1176" s="439"/>
      <c r="H1176" s="439"/>
      <c r="I1176" s="439"/>
      <c r="J1176" s="439"/>
      <c r="K1176" s="439"/>
      <c r="L1176" s="439"/>
      <c r="M1176" s="439"/>
      <c r="N1176" s="439"/>
      <c r="O1176" s="439"/>
      <c r="P1176" s="439"/>
      <c r="Q1176" s="439"/>
      <c r="R1176" s="439"/>
      <c r="S1176" s="439"/>
      <c r="T1176" s="264"/>
      <c r="U1176" s="439"/>
      <c r="V1176" s="16"/>
      <c r="W1176" s="119"/>
      <c r="X1176" s="119"/>
      <c r="Y1176" s="119"/>
      <c r="Z1176" s="119"/>
      <c r="AA1176" s="119"/>
      <c r="AB1176" s="119"/>
      <c r="AC1176" s="119"/>
      <c r="AD1176" s="119"/>
      <c r="AE1176" s="119"/>
      <c r="AF1176" s="119"/>
      <c r="AG1176" s="119"/>
      <c r="AH1176" s="16"/>
      <c r="AI1176" s="439"/>
      <c r="AJ1176" s="439"/>
      <c r="AK1176" s="439"/>
    </row>
    <row r="1177" ht="18.75" customHeight="1">
      <c r="A1177" s="439"/>
      <c r="B1177" s="439"/>
      <c r="C1177" s="439"/>
      <c r="D1177" s="439"/>
      <c r="E1177" s="439"/>
      <c r="F1177" s="439"/>
      <c r="G1177" s="439"/>
      <c r="H1177" s="439"/>
      <c r="I1177" s="439"/>
      <c r="J1177" s="439"/>
      <c r="K1177" s="439"/>
      <c r="L1177" s="439"/>
      <c r="M1177" s="439"/>
      <c r="N1177" s="439"/>
      <c r="O1177" s="439"/>
      <c r="P1177" s="439"/>
      <c r="Q1177" s="439"/>
      <c r="R1177" s="439"/>
      <c r="S1177" s="439"/>
      <c r="T1177" s="264"/>
      <c r="U1177" s="439"/>
      <c r="V1177" s="16"/>
      <c r="W1177" s="119"/>
      <c r="X1177" s="119"/>
      <c r="Y1177" s="119"/>
      <c r="Z1177" s="119"/>
      <c r="AA1177" s="119"/>
      <c r="AB1177" s="119"/>
      <c r="AC1177" s="119"/>
      <c r="AD1177" s="119"/>
      <c r="AE1177" s="119"/>
      <c r="AF1177" s="119"/>
      <c r="AG1177" s="119"/>
      <c r="AH1177" s="16"/>
      <c r="AI1177" s="439"/>
      <c r="AJ1177" s="439"/>
      <c r="AK1177" s="439"/>
    </row>
    <row r="1178" ht="18.75" customHeight="1">
      <c r="A1178" s="439"/>
      <c r="B1178" s="439"/>
      <c r="C1178" s="439"/>
      <c r="D1178" s="439"/>
      <c r="E1178" s="439"/>
      <c r="F1178" s="439"/>
      <c r="G1178" s="439"/>
      <c r="H1178" s="439"/>
      <c r="I1178" s="439"/>
      <c r="J1178" s="439"/>
      <c r="K1178" s="439"/>
      <c r="L1178" s="439"/>
      <c r="M1178" s="439"/>
      <c r="N1178" s="439"/>
      <c r="O1178" s="439"/>
      <c r="P1178" s="439"/>
      <c r="Q1178" s="439"/>
      <c r="R1178" s="439"/>
      <c r="S1178" s="439"/>
      <c r="T1178" s="264"/>
      <c r="U1178" s="439"/>
      <c r="V1178" s="16"/>
      <c r="W1178" s="119"/>
      <c r="X1178" s="119"/>
      <c r="Y1178" s="119"/>
      <c r="Z1178" s="119"/>
      <c r="AA1178" s="119"/>
      <c r="AB1178" s="119"/>
      <c r="AC1178" s="119"/>
      <c r="AD1178" s="119"/>
      <c r="AE1178" s="119"/>
      <c r="AF1178" s="119"/>
      <c r="AG1178" s="119"/>
      <c r="AH1178" s="16"/>
      <c r="AI1178" s="439"/>
      <c r="AJ1178" s="439"/>
      <c r="AK1178" s="439"/>
    </row>
    <row r="1179" ht="18.75" customHeight="1">
      <c r="A1179" s="439"/>
      <c r="B1179" s="439"/>
      <c r="C1179" s="439"/>
      <c r="D1179" s="439"/>
      <c r="E1179" s="439"/>
      <c r="F1179" s="439"/>
      <c r="G1179" s="439"/>
      <c r="H1179" s="439"/>
      <c r="I1179" s="439"/>
      <c r="J1179" s="439"/>
      <c r="K1179" s="439"/>
      <c r="L1179" s="439"/>
      <c r="M1179" s="439"/>
      <c r="N1179" s="439"/>
      <c r="O1179" s="439"/>
      <c r="P1179" s="439"/>
      <c r="Q1179" s="439"/>
      <c r="R1179" s="439"/>
      <c r="S1179" s="439"/>
      <c r="T1179" s="264"/>
      <c r="U1179" s="439"/>
      <c r="V1179" s="16"/>
      <c r="W1179" s="119"/>
      <c r="X1179" s="119"/>
      <c r="Y1179" s="119"/>
      <c r="Z1179" s="119"/>
      <c r="AA1179" s="119"/>
      <c r="AB1179" s="119"/>
      <c r="AC1179" s="119"/>
      <c r="AD1179" s="119"/>
      <c r="AE1179" s="119"/>
      <c r="AF1179" s="119"/>
      <c r="AG1179" s="119"/>
      <c r="AH1179" s="16"/>
      <c r="AI1179" s="439"/>
      <c r="AJ1179" s="439"/>
      <c r="AK1179" s="439"/>
    </row>
    <row r="1180" ht="18.75" customHeight="1">
      <c r="A1180" s="439"/>
      <c r="B1180" s="439"/>
      <c r="C1180" s="439"/>
      <c r="D1180" s="439"/>
      <c r="E1180" s="439"/>
      <c r="F1180" s="439"/>
      <c r="G1180" s="439"/>
      <c r="H1180" s="439"/>
      <c r="I1180" s="439"/>
      <c r="J1180" s="439"/>
      <c r="K1180" s="439"/>
      <c r="L1180" s="439"/>
      <c r="M1180" s="439"/>
      <c r="N1180" s="439"/>
      <c r="O1180" s="439"/>
      <c r="P1180" s="439"/>
      <c r="Q1180" s="439"/>
      <c r="R1180" s="439"/>
      <c r="S1180" s="439"/>
      <c r="T1180" s="264"/>
      <c r="U1180" s="439"/>
      <c r="V1180" s="16"/>
      <c r="W1180" s="119"/>
      <c r="X1180" s="119"/>
      <c r="Y1180" s="119"/>
      <c r="Z1180" s="119"/>
      <c r="AA1180" s="119"/>
      <c r="AB1180" s="119"/>
      <c r="AC1180" s="119"/>
      <c r="AD1180" s="119"/>
      <c r="AE1180" s="119"/>
      <c r="AF1180" s="119"/>
      <c r="AG1180" s="119"/>
      <c r="AH1180" s="16"/>
      <c r="AI1180" s="439"/>
      <c r="AJ1180" s="439"/>
      <c r="AK1180" s="439"/>
    </row>
    <row r="1181" ht="18.75" customHeight="1">
      <c r="A1181" s="439"/>
      <c r="B1181" s="439"/>
      <c r="C1181" s="439"/>
      <c r="D1181" s="439"/>
      <c r="E1181" s="439"/>
      <c r="F1181" s="439"/>
      <c r="G1181" s="439"/>
      <c r="H1181" s="439"/>
      <c r="I1181" s="439"/>
      <c r="J1181" s="439"/>
      <c r="K1181" s="439"/>
      <c r="L1181" s="439"/>
      <c r="M1181" s="439"/>
      <c r="N1181" s="439"/>
      <c r="O1181" s="439"/>
      <c r="P1181" s="439"/>
      <c r="Q1181" s="439"/>
      <c r="R1181" s="439"/>
      <c r="S1181" s="439"/>
      <c r="T1181" s="264"/>
      <c r="U1181" s="439"/>
      <c r="V1181" s="16"/>
      <c r="W1181" s="119"/>
      <c r="X1181" s="119"/>
      <c r="Y1181" s="119"/>
      <c r="Z1181" s="119"/>
      <c r="AA1181" s="119"/>
      <c r="AB1181" s="119"/>
      <c r="AC1181" s="119"/>
      <c r="AD1181" s="119"/>
      <c r="AE1181" s="119"/>
      <c r="AF1181" s="119"/>
      <c r="AG1181" s="119"/>
      <c r="AH1181" s="16"/>
      <c r="AI1181" s="439"/>
      <c r="AJ1181" s="439"/>
      <c r="AK1181" s="439"/>
    </row>
    <row r="1182" ht="18.75" customHeight="1">
      <c r="A1182" s="439"/>
      <c r="B1182" s="439"/>
      <c r="C1182" s="439"/>
      <c r="D1182" s="439"/>
      <c r="E1182" s="439"/>
      <c r="F1182" s="439"/>
      <c r="G1182" s="439"/>
      <c r="H1182" s="439"/>
      <c r="I1182" s="439"/>
      <c r="J1182" s="439"/>
      <c r="K1182" s="439"/>
      <c r="L1182" s="439"/>
      <c r="M1182" s="439"/>
      <c r="N1182" s="439"/>
      <c r="O1182" s="439"/>
      <c r="P1182" s="439"/>
      <c r="Q1182" s="439"/>
      <c r="R1182" s="439"/>
      <c r="S1182" s="439"/>
      <c r="T1182" s="264"/>
      <c r="U1182" s="439"/>
      <c r="V1182" s="16"/>
      <c r="W1182" s="119"/>
      <c r="X1182" s="119"/>
      <c r="Y1182" s="119"/>
      <c r="Z1182" s="119"/>
      <c r="AA1182" s="119"/>
      <c r="AB1182" s="119"/>
      <c r="AC1182" s="119"/>
      <c r="AD1182" s="119"/>
      <c r="AE1182" s="119"/>
      <c r="AF1182" s="119"/>
      <c r="AG1182" s="119"/>
      <c r="AH1182" s="16"/>
      <c r="AI1182" s="439"/>
      <c r="AJ1182" s="439"/>
      <c r="AK1182" s="439"/>
    </row>
    <row r="1183" ht="18.75" customHeight="1">
      <c r="A1183" s="439"/>
      <c r="B1183" s="439"/>
      <c r="C1183" s="439"/>
      <c r="D1183" s="439"/>
      <c r="E1183" s="439"/>
      <c r="F1183" s="439"/>
      <c r="G1183" s="439"/>
      <c r="H1183" s="439"/>
      <c r="I1183" s="439"/>
      <c r="J1183" s="439"/>
      <c r="K1183" s="439"/>
      <c r="L1183" s="439"/>
      <c r="M1183" s="439"/>
      <c r="N1183" s="439"/>
      <c r="O1183" s="439"/>
      <c r="P1183" s="439"/>
      <c r="Q1183" s="439"/>
      <c r="R1183" s="439"/>
      <c r="S1183" s="439"/>
      <c r="T1183" s="264"/>
      <c r="U1183" s="439"/>
      <c r="V1183" s="16"/>
      <c r="W1183" s="119"/>
      <c r="X1183" s="119"/>
      <c r="Y1183" s="119"/>
      <c r="Z1183" s="119"/>
      <c r="AA1183" s="119"/>
      <c r="AB1183" s="119"/>
      <c r="AC1183" s="119"/>
      <c r="AD1183" s="119"/>
      <c r="AE1183" s="119"/>
      <c r="AF1183" s="119"/>
      <c r="AG1183" s="119"/>
      <c r="AH1183" s="16"/>
      <c r="AI1183" s="439"/>
      <c r="AJ1183" s="439"/>
      <c r="AK1183" s="439"/>
    </row>
    <row r="1184" ht="18.75" customHeight="1">
      <c r="A1184" s="439"/>
      <c r="B1184" s="439"/>
      <c r="C1184" s="439"/>
      <c r="D1184" s="439"/>
      <c r="E1184" s="439"/>
      <c r="F1184" s="439"/>
      <c r="G1184" s="439"/>
      <c r="H1184" s="439"/>
      <c r="I1184" s="439"/>
      <c r="J1184" s="439"/>
      <c r="K1184" s="439"/>
      <c r="L1184" s="439"/>
      <c r="M1184" s="439"/>
      <c r="N1184" s="439"/>
      <c r="O1184" s="439"/>
      <c r="P1184" s="439"/>
      <c r="Q1184" s="439"/>
      <c r="R1184" s="439"/>
      <c r="S1184" s="439"/>
      <c r="T1184" s="264"/>
      <c r="U1184" s="439"/>
      <c r="V1184" s="16"/>
      <c r="W1184" s="119"/>
      <c r="X1184" s="119"/>
      <c r="Y1184" s="119"/>
      <c r="Z1184" s="119"/>
      <c r="AA1184" s="119"/>
      <c r="AB1184" s="119"/>
      <c r="AC1184" s="119"/>
      <c r="AD1184" s="119"/>
      <c r="AE1184" s="119"/>
      <c r="AF1184" s="119"/>
      <c r="AG1184" s="119"/>
      <c r="AH1184" s="16"/>
      <c r="AI1184" s="439"/>
      <c r="AJ1184" s="439"/>
      <c r="AK1184" s="439"/>
    </row>
    <row r="1185" ht="18.75" customHeight="1">
      <c r="A1185" s="439"/>
      <c r="B1185" s="439"/>
      <c r="C1185" s="439"/>
      <c r="D1185" s="439"/>
      <c r="E1185" s="439"/>
      <c r="F1185" s="439"/>
      <c r="G1185" s="439"/>
      <c r="H1185" s="439"/>
      <c r="I1185" s="439"/>
      <c r="J1185" s="439"/>
      <c r="K1185" s="439"/>
      <c r="L1185" s="439"/>
      <c r="M1185" s="439"/>
      <c r="N1185" s="439"/>
      <c r="O1185" s="439"/>
      <c r="P1185" s="439"/>
      <c r="Q1185" s="439"/>
      <c r="R1185" s="439"/>
      <c r="S1185" s="439"/>
      <c r="T1185" s="264"/>
      <c r="U1185" s="439"/>
      <c r="V1185" s="16"/>
      <c r="W1185" s="119"/>
      <c r="X1185" s="119"/>
      <c r="Y1185" s="119"/>
      <c r="Z1185" s="119"/>
      <c r="AA1185" s="119"/>
      <c r="AB1185" s="119"/>
      <c r="AC1185" s="119"/>
      <c r="AD1185" s="119"/>
      <c r="AE1185" s="119"/>
      <c r="AF1185" s="119"/>
      <c r="AG1185" s="119"/>
      <c r="AH1185" s="16"/>
      <c r="AI1185" s="439"/>
      <c r="AJ1185" s="439"/>
      <c r="AK1185" s="439"/>
    </row>
    <row r="1186" ht="18.75" customHeight="1">
      <c r="A1186" s="439"/>
      <c r="B1186" s="439"/>
      <c r="C1186" s="439"/>
      <c r="D1186" s="439"/>
      <c r="E1186" s="439"/>
      <c r="F1186" s="439"/>
      <c r="G1186" s="439"/>
      <c r="H1186" s="439"/>
      <c r="I1186" s="439"/>
      <c r="J1186" s="439"/>
      <c r="K1186" s="439"/>
      <c r="L1186" s="439"/>
      <c r="M1186" s="439"/>
      <c r="N1186" s="439"/>
      <c r="O1186" s="439"/>
      <c r="P1186" s="439"/>
      <c r="Q1186" s="439"/>
      <c r="R1186" s="439"/>
      <c r="S1186" s="439"/>
      <c r="T1186" s="264"/>
      <c r="U1186" s="439"/>
      <c r="V1186" s="16"/>
      <c r="W1186" s="119"/>
      <c r="X1186" s="119"/>
      <c r="Y1186" s="119"/>
      <c r="Z1186" s="119"/>
      <c r="AA1186" s="119"/>
      <c r="AB1186" s="119"/>
      <c r="AC1186" s="119"/>
      <c r="AD1186" s="119"/>
      <c r="AE1186" s="119"/>
      <c r="AF1186" s="119"/>
      <c r="AG1186" s="119"/>
      <c r="AH1186" s="16"/>
      <c r="AI1186" s="439"/>
      <c r="AJ1186" s="439"/>
      <c r="AK1186" s="439"/>
    </row>
    <row r="1187" ht="18.75" customHeight="1">
      <c r="A1187" s="439"/>
      <c r="B1187" s="439"/>
      <c r="C1187" s="439"/>
      <c r="D1187" s="439"/>
      <c r="E1187" s="439"/>
      <c r="F1187" s="439"/>
      <c r="G1187" s="439"/>
      <c r="H1187" s="439"/>
      <c r="I1187" s="439"/>
      <c r="J1187" s="439"/>
      <c r="K1187" s="439"/>
      <c r="L1187" s="439"/>
      <c r="M1187" s="439"/>
      <c r="N1187" s="439"/>
      <c r="O1187" s="439"/>
      <c r="P1187" s="439"/>
      <c r="Q1187" s="439"/>
      <c r="R1187" s="439"/>
      <c r="S1187" s="439"/>
      <c r="T1187" s="264"/>
      <c r="U1187" s="439"/>
      <c r="V1187" s="16"/>
      <c r="W1187" s="119"/>
      <c r="X1187" s="119"/>
      <c r="Y1187" s="119"/>
      <c r="Z1187" s="119"/>
      <c r="AA1187" s="119"/>
      <c r="AB1187" s="119"/>
      <c r="AC1187" s="119"/>
      <c r="AD1187" s="119"/>
      <c r="AE1187" s="119"/>
      <c r="AF1187" s="119"/>
      <c r="AG1187" s="119"/>
      <c r="AH1187" s="16"/>
      <c r="AI1187" s="439"/>
      <c r="AJ1187" s="439"/>
      <c r="AK1187" s="439"/>
    </row>
    <row r="1188" ht="18.75" customHeight="1">
      <c r="A1188" s="439"/>
      <c r="B1188" s="439"/>
      <c r="C1188" s="439"/>
      <c r="D1188" s="439"/>
      <c r="E1188" s="439"/>
      <c r="F1188" s="439"/>
      <c r="G1188" s="439"/>
      <c r="H1188" s="439"/>
      <c r="I1188" s="439"/>
      <c r="J1188" s="439"/>
      <c r="K1188" s="439"/>
      <c r="L1188" s="439"/>
      <c r="M1188" s="439"/>
      <c r="N1188" s="439"/>
      <c r="O1188" s="439"/>
      <c r="P1188" s="439"/>
      <c r="Q1188" s="439"/>
      <c r="R1188" s="439"/>
      <c r="S1188" s="439"/>
      <c r="T1188" s="264"/>
      <c r="U1188" s="439"/>
      <c r="V1188" s="16"/>
      <c r="W1188" s="119"/>
      <c r="X1188" s="119"/>
      <c r="Y1188" s="119"/>
      <c r="Z1188" s="119"/>
      <c r="AA1188" s="119"/>
      <c r="AB1188" s="119"/>
      <c r="AC1188" s="119"/>
      <c r="AD1188" s="119"/>
      <c r="AE1188" s="119"/>
      <c r="AF1188" s="119"/>
      <c r="AG1188" s="119"/>
      <c r="AH1188" s="16"/>
      <c r="AI1188" s="439"/>
      <c r="AJ1188" s="439"/>
      <c r="AK1188" s="439"/>
    </row>
    <row r="1189" ht="18.75" customHeight="1">
      <c r="A1189" s="439"/>
      <c r="B1189" s="439"/>
      <c r="C1189" s="439"/>
      <c r="D1189" s="439"/>
      <c r="E1189" s="439"/>
      <c r="F1189" s="439"/>
      <c r="G1189" s="439"/>
      <c r="H1189" s="439"/>
      <c r="I1189" s="439"/>
      <c r="J1189" s="439"/>
      <c r="K1189" s="439"/>
      <c r="L1189" s="439"/>
      <c r="M1189" s="439"/>
      <c r="N1189" s="439"/>
      <c r="O1189" s="439"/>
      <c r="P1189" s="439"/>
      <c r="Q1189" s="439"/>
      <c r="R1189" s="439"/>
      <c r="S1189" s="439"/>
      <c r="T1189" s="264"/>
      <c r="U1189" s="439"/>
      <c r="V1189" s="16"/>
      <c r="W1189" s="119"/>
      <c r="X1189" s="119"/>
      <c r="Y1189" s="119"/>
      <c r="Z1189" s="119"/>
      <c r="AA1189" s="119"/>
      <c r="AB1189" s="119"/>
      <c r="AC1189" s="119"/>
      <c r="AD1189" s="119"/>
      <c r="AE1189" s="119"/>
      <c r="AF1189" s="119"/>
      <c r="AG1189" s="119"/>
      <c r="AH1189" s="16"/>
      <c r="AI1189" s="439"/>
      <c r="AJ1189" s="439"/>
      <c r="AK1189" s="439"/>
    </row>
    <row r="1190" ht="18.75" customHeight="1">
      <c r="A1190" s="439"/>
      <c r="B1190" s="439"/>
      <c r="C1190" s="439"/>
      <c r="D1190" s="439"/>
      <c r="E1190" s="439"/>
      <c r="F1190" s="439"/>
      <c r="G1190" s="439"/>
      <c r="H1190" s="439"/>
      <c r="I1190" s="439"/>
      <c r="J1190" s="439"/>
      <c r="K1190" s="439"/>
      <c r="L1190" s="439"/>
      <c r="M1190" s="439"/>
      <c r="N1190" s="439"/>
      <c r="O1190" s="439"/>
      <c r="P1190" s="439"/>
      <c r="Q1190" s="439"/>
      <c r="R1190" s="439"/>
      <c r="S1190" s="439"/>
      <c r="T1190" s="264"/>
      <c r="U1190" s="439"/>
      <c r="V1190" s="16"/>
      <c r="W1190" s="119"/>
      <c r="X1190" s="119"/>
      <c r="Y1190" s="119"/>
      <c r="Z1190" s="119"/>
      <c r="AA1190" s="119"/>
      <c r="AB1190" s="119"/>
      <c r="AC1190" s="119"/>
      <c r="AD1190" s="119"/>
      <c r="AE1190" s="119"/>
      <c r="AF1190" s="119"/>
      <c r="AG1190" s="119"/>
      <c r="AH1190" s="16"/>
      <c r="AI1190" s="439"/>
      <c r="AJ1190" s="439"/>
      <c r="AK1190" s="439"/>
    </row>
    <row r="1191" ht="18.75" customHeight="1">
      <c r="A1191" s="439"/>
      <c r="B1191" s="439"/>
      <c r="C1191" s="439"/>
      <c r="D1191" s="439"/>
      <c r="E1191" s="439"/>
      <c r="F1191" s="439"/>
      <c r="G1191" s="439"/>
      <c r="H1191" s="439"/>
      <c r="I1191" s="439"/>
      <c r="J1191" s="439"/>
      <c r="K1191" s="439"/>
      <c r="L1191" s="439"/>
      <c r="M1191" s="439"/>
      <c r="N1191" s="439"/>
      <c r="O1191" s="439"/>
      <c r="P1191" s="439"/>
      <c r="Q1191" s="439"/>
      <c r="R1191" s="439"/>
      <c r="S1191" s="439"/>
      <c r="T1191" s="264"/>
      <c r="U1191" s="439"/>
      <c r="V1191" s="16"/>
      <c r="W1191" s="119"/>
      <c r="X1191" s="119"/>
      <c r="Y1191" s="119"/>
      <c r="Z1191" s="119"/>
      <c r="AA1191" s="119"/>
      <c r="AB1191" s="119"/>
      <c r="AC1191" s="119"/>
      <c r="AD1191" s="119"/>
      <c r="AE1191" s="119"/>
      <c r="AF1191" s="119"/>
      <c r="AG1191" s="119"/>
      <c r="AH1191" s="16"/>
      <c r="AI1191" s="439"/>
      <c r="AJ1191" s="439"/>
      <c r="AK1191" s="439"/>
    </row>
    <row r="1192" ht="18.75" customHeight="1">
      <c r="A1192" s="439"/>
      <c r="B1192" s="439"/>
      <c r="C1192" s="439"/>
      <c r="D1192" s="439"/>
      <c r="E1192" s="439"/>
      <c r="F1192" s="439"/>
      <c r="G1192" s="439"/>
      <c r="H1192" s="439"/>
      <c r="I1192" s="439"/>
      <c r="J1192" s="439"/>
      <c r="K1192" s="439"/>
      <c r="L1192" s="439"/>
      <c r="M1192" s="439"/>
      <c r="N1192" s="439"/>
      <c r="O1192" s="439"/>
      <c r="P1192" s="439"/>
      <c r="Q1192" s="439"/>
      <c r="R1192" s="439"/>
      <c r="S1192" s="439"/>
      <c r="T1192" s="264"/>
      <c r="U1192" s="439"/>
      <c r="V1192" s="16"/>
      <c r="W1192" s="119"/>
      <c r="X1192" s="119"/>
      <c r="Y1192" s="119"/>
      <c r="Z1192" s="119"/>
      <c r="AA1192" s="119"/>
      <c r="AB1192" s="119"/>
      <c r="AC1192" s="119"/>
      <c r="AD1192" s="119"/>
      <c r="AE1192" s="119"/>
      <c r="AF1192" s="119"/>
      <c r="AG1192" s="119"/>
      <c r="AH1192" s="16"/>
      <c r="AI1192" s="439"/>
      <c r="AJ1192" s="439"/>
      <c r="AK1192" s="439"/>
    </row>
    <row r="1193" ht="18.75" customHeight="1">
      <c r="A1193" s="439"/>
      <c r="B1193" s="439"/>
      <c r="C1193" s="439"/>
      <c r="D1193" s="439"/>
      <c r="E1193" s="439"/>
      <c r="F1193" s="439"/>
      <c r="G1193" s="439"/>
      <c r="H1193" s="439"/>
      <c r="I1193" s="439"/>
      <c r="J1193" s="439"/>
      <c r="K1193" s="439"/>
      <c r="L1193" s="439"/>
      <c r="M1193" s="439"/>
      <c r="N1193" s="439"/>
      <c r="O1193" s="439"/>
      <c r="P1193" s="439"/>
      <c r="Q1193" s="439"/>
      <c r="R1193" s="439"/>
      <c r="S1193" s="439"/>
      <c r="T1193" s="264"/>
      <c r="U1193" s="439"/>
      <c r="V1193" s="16"/>
      <c r="W1193" s="119"/>
      <c r="X1193" s="119"/>
      <c r="Y1193" s="119"/>
      <c r="Z1193" s="119"/>
      <c r="AA1193" s="119"/>
      <c r="AB1193" s="119"/>
      <c r="AC1193" s="119"/>
      <c r="AD1193" s="119"/>
      <c r="AE1193" s="119"/>
      <c r="AF1193" s="119"/>
      <c r="AG1193" s="119"/>
      <c r="AH1193" s="16"/>
      <c r="AI1193" s="439"/>
      <c r="AJ1193" s="439"/>
      <c r="AK1193" s="439"/>
    </row>
    <row r="1194" ht="18.75" customHeight="1">
      <c r="A1194" s="439"/>
      <c r="B1194" s="439"/>
      <c r="C1194" s="439"/>
      <c r="D1194" s="439"/>
      <c r="E1194" s="439"/>
      <c r="F1194" s="439"/>
      <c r="G1194" s="439"/>
      <c r="H1194" s="439"/>
      <c r="I1194" s="439"/>
      <c r="J1194" s="439"/>
      <c r="K1194" s="439"/>
      <c r="L1194" s="439"/>
      <c r="M1194" s="439"/>
      <c r="N1194" s="439"/>
      <c r="O1194" s="439"/>
      <c r="P1194" s="439"/>
      <c r="Q1194" s="439"/>
      <c r="R1194" s="439"/>
      <c r="S1194" s="439"/>
      <c r="T1194" s="264"/>
      <c r="U1194" s="439"/>
      <c r="V1194" s="16"/>
      <c r="W1194" s="119"/>
      <c r="X1194" s="119"/>
      <c r="Y1194" s="119"/>
      <c r="Z1194" s="119"/>
      <c r="AA1194" s="119"/>
      <c r="AB1194" s="119"/>
      <c r="AC1194" s="119"/>
      <c r="AD1194" s="119"/>
      <c r="AE1194" s="119"/>
      <c r="AF1194" s="119"/>
      <c r="AG1194" s="119"/>
      <c r="AH1194" s="16"/>
      <c r="AI1194" s="439"/>
      <c r="AJ1194" s="439"/>
      <c r="AK1194" s="439"/>
    </row>
    <row r="1195" ht="18.75" customHeight="1">
      <c r="A1195" s="439"/>
      <c r="B1195" s="439"/>
      <c r="C1195" s="439"/>
      <c r="D1195" s="439"/>
      <c r="E1195" s="439"/>
      <c r="F1195" s="439"/>
      <c r="G1195" s="439"/>
      <c r="H1195" s="439"/>
      <c r="I1195" s="439"/>
      <c r="J1195" s="439"/>
      <c r="K1195" s="439"/>
      <c r="L1195" s="439"/>
      <c r="M1195" s="439"/>
      <c r="N1195" s="439"/>
      <c r="O1195" s="439"/>
      <c r="P1195" s="439"/>
      <c r="Q1195" s="439"/>
      <c r="R1195" s="439"/>
      <c r="S1195" s="439"/>
      <c r="T1195" s="264"/>
      <c r="U1195" s="439"/>
      <c r="V1195" s="16"/>
      <c r="W1195" s="119"/>
      <c r="X1195" s="119"/>
      <c r="Y1195" s="119"/>
      <c r="Z1195" s="119"/>
      <c r="AA1195" s="119"/>
      <c r="AB1195" s="119"/>
      <c r="AC1195" s="119"/>
      <c r="AD1195" s="119"/>
      <c r="AE1195" s="119"/>
      <c r="AF1195" s="119"/>
      <c r="AG1195" s="119"/>
      <c r="AH1195" s="16"/>
      <c r="AI1195" s="439"/>
      <c r="AJ1195" s="439"/>
      <c r="AK1195" s="439"/>
    </row>
    <row r="1196" ht="18.75" customHeight="1">
      <c r="A1196" s="439"/>
      <c r="B1196" s="439"/>
      <c r="C1196" s="439"/>
      <c r="D1196" s="439"/>
      <c r="E1196" s="439"/>
      <c r="F1196" s="439"/>
      <c r="G1196" s="439"/>
      <c r="H1196" s="439"/>
      <c r="I1196" s="439"/>
      <c r="J1196" s="439"/>
      <c r="K1196" s="439"/>
      <c r="L1196" s="439"/>
      <c r="M1196" s="439"/>
      <c r="N1196" s="439"/>
      <c r="O1196" s="439"/>
      <c r="P1196" s="439"/>
      <c r="Q1196" s="439"/>
      <c r="R1196" s="439"/>
      <c r="S1196" s="439"/>
      <c r="T1196" s="264"/>
      <c r="U1196" s="439"/>
      <c r="V1196" s="16"/>
      <c r="W1196" s="119"/>
      <c r="X1196" s="119"/>
      <c r="Y1196" s="119"/>
      <c r="Z1196" s="119"/>
      <c r="AA1196" s="119"/>
      <c r="AB1196" s="119"/>
      <c r="AC1196" s="119"/>
      <c r="AD1196" s="119"/>
      <c r="AE1196" s="119"/>
      <c r="AF1196" s="119"/>
      <c r="AG1196" s="119"/>
      <c r="AH1196" s="16"/>
      <c r="AI1196" s="439"/>
      <c r="AJ1196" s="439"/>
      <c r="AK1196" s="439"/>
    </row>
    <row r="1197" ht="18.75" customHeight="1">
      <c r="A1197" s="439"/>
      <c r="B1197" s="439"/>
      <c r="C1197" s="439"/>
      <c r="D1197" s="439"/>
      <c r="E1197" s="439"/>
      <c r="F1197" s="439"/>
      <c r="G1197" s="439"/>
      <c r="H1197" s="439"/>
      <c r="I1197" s="439"/>
      <c r="J1197" s="439"/>
      <c r="K1197" s="439"/>
      <c r="L1197" s="439"/>
      <c r="M1197" s="439"/>
      <c r="N1197" s="439"/>
      <c r="O1197" s="439"/>
      <c r="P1197" s="439"/>
      <c r="Q1197" s="439"/>
      <c r="R1197" s="439"/>
      <c r="S1197" s="439"/>
      <c r="T1197" s="264"/>
      <c r="U1197" s="439"/>
      <c r="V1197" s="16"/>
      <c r="W1197" s="119"/>
      <c r="X1197" s="119"/>
      <c r="Y1197" s="119"/>
      <c r="Z1197" s="119"/>
      <c r="AA1197" s="119"/>
      <c r="AB1197" s="119"/>
      <c r="AC1197" s="119"/>
      <c r="AD1197" s="119"/>
      <c r="AE1197" s="119"/>
      <c r="AF1197" s="119"/>
      <c r="AG1197" s="119"/>
      <c r="AH1197" s="16"/>
      <c r="AI1197" s="439"/>
      <c r="AJ1197" s="439"/>
      <c r="AK1197" s="439"/>
    </row>
    <row r="1198" ht="18.75" customHeight="1">
      <c r="A1198" s="439"/>
      <c r="B1198" s="439"/>
      <c r="C1198" s="439"/>
      <c r="D1198" s="439"/>
      <c r="E1198" s="439"/>
      <c r="F1198" s="439"/>
      <c r="G1198" s="439"/>
      <c r="H1198" s="439"/>
      <c r="I1198" s="439"/>
      <c r="J1198" s="439"/>
      <c r="K1198" s="439"/>
      <c r="L1198" s="439"/>
      <c r="M1198" s="439"/>
      <c r="N1198" s="439"/>
      <c r="O1198" s="439"/>
      <c r="P1198" s="439"/>
      <c r="Q1198" s="439"/>
      <c r="R1198" s="439"/>
      <c r="S1198" s="439"/>
      <c r="T1198" s="264"/>
      <c r="U1198" s="439"/>
      <c r="V1198" s="16"/>
      <c r="W1198" s="119"/>
      <c r="X1198" s="119"/>
      <c r="Y1198" s="119"/>
      <c r="Z1198" s="119"/>
      <c r="AA1198" s="119"/>
      <c r="AB1198" s="119"/>
      <c r="AC1198" s="119"/>
      <c r="AD1198" s="119"/>
      <c r="AE1198" s="119"/>
      <c r="AF1198" s="119"/>
      <c r="AG1198" s="119"/>
      <c r="AH1198" s="16"/>
      <c r="AI1198" s="439"/>
      <c r="AJ1198" s="439"/>
      <c r="AK1198" s="439"/>
    </row>
    <row r="1199" ht="18.75" customHeight="1">
      <c r="A1199" s="439"/>
      <c r="B1199" s="439"/>
      <c r="C1199" s="439"/>
      <c r="D1199" s="439"/>
      <c r="E1199" s="439"/>
      <c r="F1199" s="439"/>
      <c r="G1199" s="439"/>
      <c r="H1199" s="439"/>
      <c r="I1199" s="439"/>
      <c r="J1199" s="439"/>
      <c r="K1199" s="439"/>
      <c r="L1199" s="439"/>
      <c r="M1199" s="439"/>
      <c r="N1199" s="439"/>
      <c r="O1199" s="439"/>
      <c r="P1199" s="439"/>
      <c r="Q1199" s="439"/>
      <c r="R1199" s="439"/>
      <c r="S1199" s="439"/>
      <c r="T1199" s="264"/>
      <c r="U1199" s="439"/>
      <c r="V1199" s="16"/>
      <c r="W1199" s="119"/>
      <c r="X1199" s="119"/>
      <c r="Y1199" s="119"/>
      <c r="Z1199" s="119"/>
      <c r="AA1199" s="119"/>
      <c r="AB1199" s="119"/>
      <c r="AC1199" s="119"/>
      <c r="AD1199" s="119"/>
      <c r="AE1199" s="119"/>
      <c r="AF1199" s="119"/>
      <c r="AG1199" s="119"/>
      <c r="AH1199" s="16"/>
      <c r="AI1199" s="439"/>
      <c r="AJ1199" s="439"/>
      <c r="AK1199" s="439"/>
    </row>
    <row r="1200" ht="18.75" customHeight="1">
      <c r="A1200" s="439"/>
      <c r="B1200" s="439"/>
      <c r="C1200" s="439"/>
      <c r="D1200" s="439"/>
      <c r="E1200" s="439"/>
      <c r="F1200" s="439"/>
      <c r="G1200" s="439"/>
      <c r="H1200" s="439"/>
      <c r="I1200" s="439"/>
      <c r="J1200" s="439"/>
      <c r="K1200" s="439"/>
      <c r="L1200" s="439"/>
      <c r="M1200" s="439"/>
      <c r="N1200" s="439"/>
      <c r="O1200" s="439"/>
      <c r="P1200" s="439"/>
      <c r="Q1200" s="439"/>
      <c r="R1200" s="439"/>
      <c r="S1200" s="439"/>
      <c r="T1200" s="264"/>
      <c r="U1200" s="439"/>
      <c r="V1200" s="16"/>
      <c r="W1200" s="119"/>
      <c r="X1200" s="119"/>
      <c r="Y1200" s="119"/>
      <c r="Z1200" s="119"/>
      <c r="AA1200" s="119"/>
      <c r="AB1200" s="119"/>
      <c r="AC1200" s="119"/>
      <c r="AD1200" s="119"/>
      <c r="AE1200" s="119"/>
      <c r="AF1200" s="119"/>
      <c r="AG1200" s="119"/>
      <c r="AH1200" s="16"/>
      <c r="AI1200" s="439"/>
      <c r="AJ1200" s="439"/>
      <c r="AK1200" s="439"/>
    </row>
    <row r="1201" ht="18.75" customHeight="1">
      <c r="A1201" s="439"/>
      <c r="B1201" s="439"/>
      <c r="C1201" s="439"/>
      <c r="D1201" s="439"/>
      <c r="E1201" s="439"/>
      <c r="F1201" s="439"/>
      <c r="G1201" s="439"/>
      <c r="H1201" s="439"/>
      <c r="I1201" s="439"/>
      <c r="J1201" s="439"/>
      <c r="K1201" s="439"/>
      <c r="L1201" s="439"/>
      <c r="M1201" s="439"/>
      <c r="N1201" s="439"/>
      <c r="O1201" s="439"/>
      <c r="P1201" s="439"/>
      <c r="Q1201" s="439"/>
      <c r="R1201" s="439"/>
      <c r="S1201" s="439"/>
      <c r="T1201" s="264"/>
      <c r="U1201" s="439"/>
      <c r="V1201" s="16"/>
      <c r="W1201" s="119"/>
      <c r="X1201" s="119"/>
      <c r="Y1201" s="119"/>
      <c r="Z1201" s="119"/>
      <c r="AA1201" s="119"/>
      <c r="AB1201" s="119"/>
      <c r="AC1201" s="119"/>
      <c r="AD1201" s="119"/>
      <c r="AE1201" s="119"/>
      <c r="AF1201" s="119"/>
      <c r="AG1201" s="119"/>
      <c r="AH1201" s="16"/>
      <c r="AI1201" s="439"/>
      <c r="AJ1201" s="439"/>
      <c r="AK1201" s="439"/>
    </row>
    <row r="1202" ht="18.75" customHeight="1">
      <c r="A1202" s="439"/>
      <c r="B1202" s="439"/>
      <c r="C1202" s="439"/>
      <c r="D1202" s="439"/>
      <c r="E1202" s="439"/>
      <c r="F1202" s="439"/>
      <c r="G1202" s="439"/>
      <c r="H1202" s="439"/>
      <c r="I1202" s="439"/>
      <c r="J1202" s="439"/>
      <c r="K1202" s="439"/>
      <c r="L1202" s="439"/>
      <c r="M1202" s="439"/>
      <c r="N1202" s="439"/>
      <c r="O1202" s="439"/>
      <c r="P1202" s="439"/>
      <c r="Q1202" s="439"/>
      <c r="R1202" s="439"/>
      <c r="S1202" s="439"/>
      <c r="T1202" s="264"/>
      <c r="U1202" s="439"/>
      <c r="V1202" s="16"/>
      <c r="W1202" s="119"/>
      <c r="X1202" s="119"/>
      <c r="Y1202" s="119"/>
      <c r="Z1202" s="119"/>
      <c r="AA1202" s="119"/>
      <c r="AB1202" s="119"/>
      <c r="AC1202" s="119"/>
      <c r="AD1202" s="119"/>
      <c r="AE1202" s="119"/>
      <c r="AF1202" s="119"/>
      <c r="AG1202" s="119"/>
      <c r="AH1202" s="16"/>
      <c r="AI1202" s="439"/>
      <c r="AJ1202" s="439"/>
      <c r="AK1202" s="439"/>
    </row>
    <row r="1203" ht="18.75" customHeight="1">
      <c r="A1203" s="439"/>
      <c r="B1203" s="439"/>
      <c r="C1203" s="439"/>
      <c r="D1203" s="439"/>
      <c r="E1203" s="439"/>
      <c r="F1203" s="439"/>
      <c r="G1203" s="439"/>
      <c r="H1203" s="439"/>
      <c r="I1203" s="439"/>
      <c r="J1203" s="439"/>
      <c r="K1203" s="439"/>
      <c r="L1203" s="439"/>
      <c r="M1203" s="439"/>
      <c r="N1203" s="439"/>
      <c r="O1203" s="439"/>
      <c r="P1203" s="439"/>
      <c r="Q1203" s="439"/>
      <c r="R1203" s="439"/>
      <c r="S1203" s="439"/>
      <c r="T1203" s="264"/>
      <c r="U1203" s="439"/>
      <c r="V1203" s="16"/>
      <c r="W1203" s="119"/>
      <c r="X1203" s="119"/>
      <c r="Y1203" s="119"/>
      <c r="Z1203" s="119"/>
      <c r="AA1203" s="119"/>
      <c r="AB1203" s="119"/>
      <c r="AC1203" s="119"/>
      <c r="AD1203" s="119"/>
      <c r="AE1203" s="119"/>
      <c r="AF1203" s="119"/>
      <c r="AG1203" s="119"/>
      <c r="AH1203" s="16"/>
      <c r="AI1203" s="439"/>
      <c r="AJ1203" s="439"/>
      <c r="AK1203" s="439"/>
    </row>
    <row r="1204" ht="18.75" customHeight="1">
      <c r="A1204" s="439"/>
      <c r="B1204" s="439"/>
      <c r="C1204" s="439"/>
      <c r="D1204" s="439"/>
      <c r="E1204" s="439"/>
      <c r="F1204" s="439"/>
      <c r="G1204" s="439"/>
      <c r="H1204" s="439"/>
      <c r="I1204" s="439"/>
      <c r="J1204" s="439"/>
      <c r="K1204" s="439"/>
      <c r="L1204" s="439"/>
      <c r="M1204" s="439"/>
      <c r="N1204" s="439"/>
      <c r="O1204" s="439"/>
      <c r="P1204" s="439"/>
      <c r="Q1204" s="439"/>
      <c r="R1204" s="439"/>
      <c r="S1204" s="439"/>
      <c r="T1204" s="264"/>
      <c r="U1204" s="439"/>
      <c r="V1204" s="16"/>
      <c r="W1204" s="119"/>
      <c r="X1204" s="119"/>
      <c r="Y1204" s="119"/>
      <c r="Z1204" s="119"/>
      <c r="AA1204" s="119"/>
      <c r="AB1204" s="119"/>
      <c r="AC1204" s="119"/>
      <c r="AD1204" s="119"/>
      <c r="AE1204" s="119"/>
      <c r="AF1204" s="119"/>
      <c r="AG1204" s="119"/>
      <c r="AH1204" s="16"/>
      <c r="AI1204" s="439"/>
      <c r="AJ1204" s="439"/>
      <c r="AK1204" s="439"/>
    </row>
    <row r="1205" ht="18.75" customHeight="1">
      <c r="A1205" s="439"/>
      <c r="B1205" s="439"/>
      <c r="C1205" s="439"/>
      <c r="D1205" s="439"/>
      <c r="E1205" s="439"/>
      <c r="F1205" s="439"/>
      <c r="G1205" s="439"/>
      <c r="H1205" s="439"/>
      <c r="I1205" s="439"/>
      <c r="J1205" s="439"/>
      <c r="K1205" s="439"/>
      <c r="L1205" s="439"/>
      <c r="M1205" s="439"/>
      <c r="N1205" s="439"/>
      <c r="O1205" s="439"/>
      <c r="P1205" s="439"/>
      <c r="Q1205" s="439"/>
      <c r="R1205" s="439"/>
      <c r="S1205" s="439"/>
      <c r="T1205" s="264"/>
      <c r="U1205" s="439"/>
      <c r="V1205" s="16"/>
      <c r="W1205" s="119"/>
      <c r="X1205" s="119"/>
      <c r="Y1205" s="119"/>
      <c r="Z1205" s="119"/>
      <c r="AA1205" s="119"/>
      <c r="AB1205" s="119"/>
      <c r="AC1205" s="119"/>
      <c r="AD1205" s="119"/>
      <c r="AE1205" s="119"/>
      <c r="AF1205" s="119"/>
      <c r="AG1205" s="119"/>
      <c r="AH1205" s="16"/>
      <c r="AI1205" s="439"/>
      <c r="AJ1205" s="439"/>
      <c r="AK1205" s="439"/>
    </row>
    <row r="1206" ht="18.75" customHeight="1">
      <c r="A1206" s="439"/>
      <c r="B1206" s="439"/>
      <c r="C1206" s="439"/>
      <c r="D1206" s="439"/>
      <c r="E1206" s="439"/>
      <c r="F1206" s="439"/>
      <c r="G1206" s="439"/>
      <c r="H1206" s="439"/>
      <c r="I1206" s="439"/>
      <c r="J1206" s="439"/>
      <c r="K1206" s="439"/>
      <c r="L1206" s="439"/>
      <c r="M1206" s="439"/>
      <c r="N1206" s="439"/>
      <c r="O1206" s="439"/>
      <c r="P1206" s="439"/>
      <c r="Q1206" s="439"/>
      <c r="R1206" s="439"/>
      <c r="S1206" s="439"/>
      <c r="T1206" s="264"/>
      <c r="U1206" s="439"/>
      <c r="V1206" s="16"/>
      <c r="W1206" s="119"/>
      <c r="X1206" s="119"/>
      <c r="Y1206" s="119"/>
      <c r="Z1206" s="119"/>
      <c r="AA1206" s="119"/>
      <c r="AB1206" s="119"/>
      <c r="AC1206" s="119"/>
      <c r="AD1206" s="119"/>
      <c r="AE1206" s="119"/>
      <c r="AF1206" s="119"/>
      <c r="AG1206" s="119"/>
      <c r="AH1206" s="16"/>
      <c r="AI1206" s="439"/>
      <c r="AJ1206" s="439"/>
      <c r="AK1206" s="439"/>
    </row>
    <row r="1207" ht="18.75" customHeight="1">
      <c r="A1207" s="439"/>
      <c r="B1207" s="439"/>
      <c r="C1207" s="439"/>
      <c r="D1207" s="439"/>
      <c r="E1207" s="439"/>
      <c r="F1207" s="439"/>
      <c r="G1207" s="439"/>
      <c r="H1207" s="439"/>
      <c r="I1207" s="439"/>
      <c r="J1207" s="439"/>
      <c r="K1207" s="439"/>
      <c r="L1207" s="439"/>
      <c r="M1207" s="439"/>
      <c r="N1207" s="439"/>
      <c r="O1207" s="439"/>
      <c r="P1207" s="439"/>
      <c r="Q1207" s="439"/>
      <c r="R1207" s="439"/>
      <c r="S1207" s="439"/>
      <c r="T1207" s="264"/>
      <c r="U1207" s="439"/>
      <c r="V1207" s="16"/>
      <c r="W1207" s="119"/>
      <c r="X1207" s="119"/>
      <c r="Y1207" s="119"/>
      <c r="Z1207" s="119"/>
      <c r="AA1207" s="119"/>
      <c r="AB1207" s="119"/>
      <c r="AC1207" s="119"/>
      <c r="AD1207" s="119"/>
      <c r="AE1207" s="119"/>
      <c r="AF1207" s="119"/>
      <c r="AG1207" s="119"/>
      <c r="AH1207" s="16"/>
      <c r="AI1207" s="439"/>
      <c r="AJ1207" s="439"/>
      <c r="AK1207" s="439"/>
    </row>
    <row r="1208" ht="18.75" customHeight="1">
      <c r="A1208" s="439"/>
      <c r="B1208" s="439"/>
      <c r="C1208" s="439"/>
      <c r="D1208" s="439"/>
      <c r="E1208" s="439"/>
      <c r="F1208" s="439"/>
      <c r="G1208" s="439"/>
      <c r="H1208" s="439"/>
      <c r="I1208" s="439"/>
      <c r="J1208" s="439"/>
      <c r="K1208" s="439"/>
      <c r="L1208" s="439"/>
      <c r="M1208" s="439"/>
      <c r="N1208" s="439"/>
      <c r="O1208" s="439"/>
      <c r="P1208" s="439"/>
      <c r="Q1208" s="439"/>
      <c r="R1208" s="439"/>
      <c r="S1208" s="439"/>
      <c r="T1208" s="264"/>
      <c r="U1208" s="439"/>
      <c r="V1208" s="16"/>
      <c r="W1208" s="119"/>
      <c r="X1208" s="119"/>
      <c r="Y1208" s="119"/>
      <c r="Z1208" s="119"/>
      <c r="AA1208" s="119"/>
      <c r="AB1208" s="119"/>
      <c r="AC1208" s="119"/>
      <c r="AD1208" s="119"/>
      <c r="AE1208" s="119"/>
      <c r="AF1208" s="119"/>
      <c r="AG1208" s="119"/>
      <c r="AH1208" s="16"/>
      <c r="AI1208" s="439"/>
      <c r="AJ1208" s="439"/>
      <c r="AK1208" s="439"/>
    </row>
    <row r="1209" ht="18.75" customHeight="1">
      <c r="A1209" s="439"/>
      <c r="B1209" s="439"/>
      <c r="C1209" s="439"/>
      <c r="D1209" s="439"/>
      <c r="E1209" s="439"/>
      <c r="F1209" s="439"/>
      <c r="G1209" s="439"/>
      <c r="H1209" s="439"/>
      <c r="I1209" s="439"/>
      <c r="J1209" s="439"/>
      <c r="K1209" s="439"/>
      <c r="L1209" s="439"/>
      <c r="M1209" s="439"/>
      <c r="N1209" s="439"/>
      <c r="O1209" s="439"/>
      <c r="P1209" s="439"/>
      <c r="Q1209" s="439"/>
      <c r="R1209" s="439"/>
      <c r="S1209" s="439"/>
      <c r="T1209" s="264"/>
      <c r="U1209" s="439"/>
      <c r="V1209" s="16"/>
      <c r="W1209" s="119"/>
      <c r="X1209" s="119"/>
      <c r="Y1209" s="119"/>
      <c r="Z1209" s="119"/>
      <c r="AA1209" s="119"/>
      <c r="AB1209" s="119"/>
      <c r="AC1209" s="119"/>
      <c r="AD1209" s="119"/>
      <c r="AE1209" s="119"/>
      <c r="AF1209" s="119"/>
      <c r="AG1209" s="119"/>
      <c r="AH1209" s="16"/>
      <c r="AI1209" s="439"/>
      <c r="AJ1209" s="439"/>
      <c r="AK1209" s="439"/>
    </row>
    <row r="1210" ht="18.75" customHeight="1">
      <c r="A1210" s="439"/>
      <c r="B1210" s="439"/>
      <c r="C1210" s="439"/>
      <c r="D1210" s="439"/>
      <c r="E1210" s="439"/>
      <c r="F1210" s="439"/>
      <c r="G1210" s="439"/>
      <c r="H1210" s="439"/>
      <c r="I1210" s="439"/>
      <c r="J1210" s="439"/>
      <c r="K1210" s="439"/>
      <c r="L1210" s="439"/>
      <c r="M1210" s="439"/>
      <c r="N1210" s="439"/>
      <c r="O1210" s="439"/>
      <c r="P1210" s="439"/>
      <c r="Q1210" s="439"/>
      <c r="R1210" s="439"/>
      <c r="S1210" s="439"/>
      <c r="T1210" s="264"/>
      <c r="U1210" s="439"/>
      <c r="V1210" s="16"/>
      <c r="W1210" s="119"/>
      <c r="X1210" s="119"/>
      <c r="Y1210" s="119"/>
      <c r="Z1210" s="119"/>
      <c r="AA1210" s="119"/>
      <c r="AB1210" s="119"/>
      <c r="AC1210" s="119"/>
      <c r="AD1210" s="119"/>
      <c r="AE1210" s="119"/>
      <c r="AF1210" s="119"/>
      <c r="AG1210" s="119"/>
      <c r="AH1210" s="16"/>
      <c r="AI1210" s="439"/>
      <c r="AJ1210" s="439"/>
      <c r="AK1210" s="439"/>
    </row>
    <row r="1211" ht="18.75" customHeight="1">
      <c r="A1211" s="439"/>
      <c r="B1211" s="439"/>
      <c r="C1211" s="439"/>
      <c r="D1211" s="439"/>
      <c r="E1211" s="439"/>
      <c r="F1211" s="439"/>
      <c r="G1211" s="439"/>
      <c r="H1211" s="439"/>
      <c r="I1211" s="439"/>
      <c r="J1211" s="439"/>
      <c r="K1211" s="439"/>
      <c r="L1211" s="439"/>
      <c r="M1211" s="439"/>
      <c r="N1211" s="439"/>
      <c r="O1211" s="439"/>
      <c r="P1211" s="439"/>
      <c r="Q1211" s="439"/>
      <c r="R1211" s="439"/>
      <c r="S1211" s="439"/>
      <c r="T1211" s="264"/>
      <c r="U1211" s="439"/>
      <c r="V1211" s="16"/>
      <c r="W1211" s="119"/>
      <c r="X1211" s="119"/>
      <c r="Y1211" s="119"/>
      <c r="Z1211" s="119"/>
      <c r="AA1211" s="119"/>
      <c r="AB1211" s="119"/>
      <c r="AC1211" s="119"/>
      <c r="AD1211" s="119"/>
      <c r="AE1211" s="119"/>
      <c r="AF1211" s="119"/>
      <c r="AG1211" s="119"/>
      <c r="AH1211" s="16"/>
      <c r="AI1211" s="439"/>
      <c r="AJ1211" s="439"/>
      <c r="AK1211" s="439"/>
    </row>
    <row r="1212" ht="18.75" customHeight="1">
      <c r="A1212" s="439"/>
      <c r="B1212" s="439"/>
      <c r="C1212" s="439"/>
      <c r="D1212" s="439"/>
      <c r="E1212" s="439"/>
      <c r="F1212" s="439"/>
      <c r="G1212" s="439"/>
      <c r="H1212" s="439"/>
      <c r="I1212" s="439"/>
      <c r="J1212" s="439"/>
      <c r="K1212" s="439"/>
      <c r="L1212" s="439"/>
      <c r="M1212" s="439"/>
      <c r="N1212" s="439"/>
      <c r="O1212" s="439"/>
      <c r="P1212" s="439"/>
      <c r="Q1212" s="439"/>
      <c r="R1212" s="439"/>
      <c r="S1212" s="439"/>
      <c r="T1212" s="264"/>
      <c r="U1212" s="439"/>
      <c r="V1212" s="16"/>
      <c r="W1212" s="119"/>
      <c r="X1212" s="119"/>
      <c r="Y1212" s="119"/>
      <c r="Z1212" s="119"/>
      <c r="AA1212" s="119"/>
      <c r="AB1212" s="119"/>
      <c r="AC1212" s="119"/>
      <c r="AD1212" s="119"/>
      <c r="AE1212" s="119"/>
      <c r="AF1212" s="119"/>
      <c r="AG1212" s="119"/>
      <c r="AH1212" s="16"/>
      <c r="AI1212" s="439"/>
      <c r="AJ1212" s="439"/>
      <c r="AK1212" s="439"/>
    </row>
    <row r="1213" ht="18.75" customHeight="1">
      <c r="A1213" s="439"/>
      <c r="B1213" s="439"/>
      <c r="C1213" s="439"/>
      <c r="D1213" s="439"/>
      <c r="E1213" s="439"/>
      <c r="F1213" s="439"/>
      <c r="G1213" s="439"/>
      <c r="H1213" s="439"/>
      <c r="I1213" s="439"/>
      <c r="J1213" s="439"/>
      <c r="K1213" s="439"/>
      <c r="L1213" s="439"/>
      <c r="M1213" s="439"/>
      <c r="N1213" s="439"/>
      <c r="O1213" s="439"/>
      <c r="P1213" s="439"/>
      <c r="Q1213" s="439"/>
      <c r="R1213" s="439"/>
      <c r="S1213" s="439"/>
      <c r="T1213" s="264"/>
      <c r="U1213" s="439"/>
      <c r="V1213" s="16"/>
      <c r="W1213" s="119"/>
      <c r="X1213" s="119"/>
      <c r="Y1213" s="119"/>
      <c r="Z1213" s="119"/>
      <c r="AA1213" s="119"/>
      <c r="AB1213" s="119"/>
      <c r="AC1213" s="119"/>
      <c r="AD1213" s="119"/>
      <c r="AE1213" s="119"/>
      <c r="AF1213" s="119"/>
      <c r="AG1213" s="119"/>
      <c r="AH1213" s="16"/>
      <c r="AI1213" s="439"/>
      <c r="AJ1213" s="439"/>
      <c r="AK1213" s="439"/>
    </row>
    <row r="1214" ht="18.75" customHeight="1">
      <c r="A1214" s="439"/>
      <c r="B1214" s="439"/>
      <c r="C1214" s="439"/>
      <c r="D1214" s="439"/>
      <c r="E1214" s="439"/>
      <c r="F1214" s="439"/>
      <c r="G1214" s="439"/>
      <c r="H1214" s="439"/>
      <c r="I1214" s="439"/>
      <c r="J1214" s="439"/>
      <c r="K1214" s="439"/>
      <c r="L1214" s="439"/>
      <c r="M1214" s="439"/>
      <c r="N1214" s="439"/>
      <c r="O1214" s="439"/>
      <c r="P1214" s="439"/>
      <c r="Q1214" s="439"/>
      <c r="R1214" s="439"/>
      <c r="S1214" s="439"/>
      <c r="T1214" s="264"/>
      <c r="U1214" s="439"/>
      <c r="V1214" s="16"/>
      <c r="W1214" s="119"/>
      <c r="X1214" s="119"/>
      <c r="Y1214" s="119"/>
      <c r="Z1214" s="119"/>
      <c r="AA1214" s="119"/>
      <c r="AB1214" s="119"/>
      <c r="AC1214" s="119"/>
      <c r="AD1214" s="119"/>
      <c r="AE1214" s="119"/>
      <c r="AF1214" s="119"/>
      <c r="AG1214" s="119"/>
      <c r="AH1214" s="16"/>
      <c r="AI1214" s="439"/>
      <c r="AJ1214" s="439"/>
      <c r="AK1214" s="439"/>
    </row>
    <row r="1215" ht="18.75" customHeight="1">
      <c r="A1215" s="439"/>
      <c r="B1215" s="439"/>
      <c r="C1215" s="439"/>
      <c r="D1215" s="439"/>
      <c r="E1215" s="439"/>
      <c r="F1215" s="439"/>
      <c r="G1215" s="439"/>
      <c r="H1215" s="439"/>
      <c r="I1215" s="439"/>
      <c r="J1215" s="439"/>
      <c r="K1215" s="439"/>
      <c r="L1215" s="439"/>
      <c r="M1215" s="439"/>
      <c r="N1215" s="439"/>
      <c r="O1215" s="439"/>
      <c r="P1215" s="439"/>
      <c r="Q1215" s="439"/>
      <c r="R1215" s="439"/>
      <c r="S1215" s="439"/>
      <c r="T1215" s="264"/>
      <c r="U1215" s="439"/>
      <c r="V1215" s="16"/>
      <c r="W1215" s="119"/>
      <c r="X1215" s="119"/>
      <c r="Y1215" s="119"/>
      <c r="Z1215" s="119"/>
      <c r="AA1215" s="119"/>
      <c r="AB1215" s="119"/>
      <c r="AC1215" s="119"/>
      <c r="AD1215" s="119"/>
      <c r="AE1215" s="119"/>
      <c r="AF1215" s="119"/>
      <c r="AG1215" s="119"/>
      <c r="AH1215" s="16"/>
      <c r="AI1215" s="439"/>
      <c r="AJ1215" s="439"/>
      <c r="AK1215" s="439"/>
    </row>
    <row r="1216" ht="18.75" customHeight="1">
      <c r="A1216" s="439"/>
      <c r="B1216" s="439"/>
      <c r="C1216" s="439"/>
      <c r="D1216" s="439"/>
      <c r="E1216" s="439"/>
      <c r="F1216" s="439"/>
      <c r="G1216" s="439"/>
      <c r="H1216" s="439"/>
      <c r="I1216" s="439"/>
      <c r="J1216" s="439"/>
      <c r="K1216" s="439"/>
      <c r="L1216" s="439"/>
      <c r="M1216" s="439"/>
      <c r="N1216" s="439"/>
      <c r="O1216" s="439"/>
      <c r="P1216" s="439"/>
      <c r="Q1216" s="439"/>
      <c r="R1216" s="439"/>
      <c r="S1216" s="439"/>
      <c r="T1216" s="264"/>
      <c r="U1216" s="439"/>
      <c r="V1216" s="16"/>
      <c r="W1216" s="119"/>
      <c r="X1216" s="119"/>
      <c r="Y1216" s="119"/>
      <c r="Z1216" s="119"/>
      <c r="AA1216" s="119"/>
      <c r="AB1216" s="119"/>
      <c r="AC1216" s="119"/>
      <c r="AD1216" s="119"/>
      <c r="AE1216" s="119"/>
      <c r="AF1216" s="119"/>
      <c r="AG1216" s="119"/>
      <c r="AH1216" s="16"/>
      <c r="AI1216" s="439"/>
      <c r="AJ1216" s="439"/>
      <c r="AK1216" s="439"/>
    </row>
    <row r="1217" ht="18.75" customHeight="1">
      <c r="A1217" s="439"/>
      <c r="B1217" s="439"/>
      <c r="C1217" s="439"/>
      <c r="D1217" s="439"/>
      <c r="E1217" s="439"/>
      <c r="F1217" s="439"/>
      <c r="G1217" s="439"/>
      <c r="H1217" s="439"/>
      <c r="I1217" s="439"/>
      <c r="J1217" s="439"/>
      <c r="K1217" s="439"/>
      <c r="L1217" s="439"/>
      <c r="M1217" s="439"/>
      <c r="N1217" s="439"/>
      <c r="O1217" s="439"/>
      <c r="P1217" s="439"/>
      <c r="Q1217" s="439"/>
      <c r="R1217" s="439"/>
      <c r="S1217" s="439"/>
      <c r="T1217" s="264"/>
      <c r="U1217" s="439"/>
      <c r="V1217" s="16"/>
      <c r="W1217" s="119"/>
      <c r="X1217" s="119"/>
      <c r="Y1217" s="119"/>
      <c r="Z1217" s="119"/>
      <c r="AA1217" s="119"/>
      <c r="AB1217" s="119"/>
      <c r="AC1217" s="119"/>
      <c r="AD1217" s="119"/>
      <c r="AE1217" s="119"/>
      <c r="AF1217" s="119"/>
      <c r="AG1217" s="119"/>
      <c r="AH1217" s="16"/>
      <c r="AI1217" s="439"/>
      <c r="AJ1217" s="439"/>
      <c r="AK1217" s="439"/>
    </row>
    <row r="1218" ht="18.75" customHeight="1">
      <c r="A1218" s="439"/>
      <c r="B1218" s="439"/>
      <c r="C1218" s="439"/>
      <c r="D1218" s="439"/>
      <c r="E1218" s="439"/>
      <c r="F1218" s="439"/>
      <c r="G1218" s="439"/>
      <c r="H1218" s="439"/>
      <c r="I1218" s="439"/>
      <c r="J1218" s="439"/>
      <c r="K1218" s="439"/>
      <c r="L1218" s="439"/>
      <c r="M1218" s="439"/>
      <c r="N1218" s="439"/>
      <c r="O1218" s="439"/>
      <c r="P1218" s="439"/>
      <c r="Q1218" s="439"/>
      <c r="R1218" s="439"/>
      <c r="S1218" s="439"/>
      <c r="T1218" s="264"/>
      <c r="U1218" s="439"/>
      <c r="V1218" s="16"/>
      <c r="W1218" s="119"/>
      <c r="X1218" s="119"/>
      <c r="Y1218" s="119"/>
      <c r="Z1218" s="119"/>
      <c r="AA1218" s="119"/>
      <c r="AB1218" s="119"/>
      <c r="AC1218" s="119"/>
      <c r="AD1218" s="119"/>
      <c r="AE1218" s="119"/>
      <c r="AF1218" s="119"/>
      <c r="AG1218" s="119"/>
      <c r="AH1218" s="16"/>
      <c r="AI1218" s="439"/>
      <c r="AJ1218" s="439"/>
      <c r="AK1218" s="439"/>
    </row>
    <row r="1219" ht="18.75" customHeight="1">
      <c r="A1219" s="439"/>
      <c r="B1219" s="439"/>
      <c r="C1219" s="439"/>
      <c r="D1219" s="439"/>
      <c r="E1219" s="439"/>
      <c r="F1219" s="439"/>
      <c r="G1219" s="439"/>
      <c r="H1219" s="439"/>
      <c r="I1219" s="439"/>
      <c r="J1219" s="439"/>
      <c r="K1219" s="439"/>
      <c r="L1219" s="439"/>
      <c r="M1219" s="439"/>
      <c r="N1219" s="439"/>
      <c r="O1219" s="439"/>
      <c r="P1219" s="439"/>
      <c r="Q1219" s="439"/>
      <c r="R1219" s="439"/>
      <c r="S1219" s="439"/>
      <c r="T1219" s="264"/>
      <c r="U1219" s="439"/>
      <c r="V1219" s="16"/>
      <c r="W1219" s="119"/>
      <c r="X1219" s="119"/>
      <c r="Y1219" s="119"/>
      <c r="Z1219" s="119"/>
      <c r="AA1219" s="119"/>
      <c r="AB1219" s="119"/>
      <c r="AC1219" s="119"/>
      <c r="AD1219" s="119"/>
      <c r="AE1219" s="119"/>
      <c r="AF1219" s="119"/>
      <c r="AG1219" s="119"/>
      <c r="AH1219" s="16"/>
      <c r="AI1219" s="439"/>
      <c r="AJ1219" s="439"/>
      <c r="AK1219" s="439"/>
    </row>
    <row r="1220" ht="18.75" customHeight="1">
      <c r="A1220" s="439"/>
      <c r="B1220" s="439"/>
      <c r="C1220" s="439"/>
      <c r="D1220" s="439"/>
      <c r="E1220" s="439"/>
      <c r="F1220" s="439"/>
      <c r="G1220" s="439"/>
      <c r="H1220" s="439"/>
      <c r="I1220" s="439"/>
      <c r="J1220" s="439"/>
      <c r="K1220" s="439"/>
      <c r="L1220" s="439"/>
      <c r="M1220" s="439"/>
      <c r="N1220" s="439"/>
      <c r="O1220" s="439"/>
      <c r="P1220" s="439"/>
      <c r="Q1220" s="439"/>
      <c r="R1220" s="439"/>
      <c r="S1220" s="439"/>
      <c r="T1220" s="264"/>
      <c r="U1220" s="439"/>
      <c r="V1220" s="16"/>
      <c r="W1220" s="119"/>
      <c r="X1220" s="119"/>
      <c r="Y1220" s="119"/>
      <c r="Z1220" s="119"/>
      <c r="AA1220" s="119"/>
      <c r="AB1220" s="119"/>
      <c r="AC1220" s="119"/>
      <c r="AD1220" s="119"/>
      <c r="AE1220" s="119"/>
      <c r="AF1220" s="119"/>
      <c r="AG1220" s="119"/>
      <c r="AH1220" s="16"/>
      <c r="AI1220" s="439"/>
      <c r="AJ1220" s="439"/>
      <c r="AK1220" s="439"/>
    </row>
    <row r="1221" ht="18.75" customHeight="1">
      <c r="A1221" s="439"/>
      <c r="B1221" s="439"/>
      <c r="C1221" s="439"/>
      <c r="D1221" s="439"/>
      <c r="E1221" s="439"/>
      <c r="F1221" s="439"/>
      <c r="G1221" s="439"/>
      <c r="H1221" s="439"/>
      <c r="I1221" s="439"/>
      <c r="J1221" s="439"/>
      <c r="K1221" s="439"/>
      <c r="L1221" s="439"/>
      <c r="M1221" s="439"/>
      <c r="N1221" s="439"/>
      <c r="O1221" s="439"/>
      <c r="P1221" s="439"/>
      <c r="Q1221" s="439"/>
      <c r="R1221" s="439"/>
      <c r="S1221" s="439"/>
      <c r="T1221" s="264"/>
      <c r="U1221" s="439"/>
      <c r="V1221" s="16"/>
      <c r="W1221" s="119"/>
      <c r="X1221" s="119"/>
      <c r="Y1221" s="119"/>
      <c r="Z1221" s="119"/>
      <c r="AA1221" s="119"/>
      <c r="AB1221" s="119"/>
      <c r="AC1221" s="119"/>
      <c r="AD1221" s="119"/>
      <c r="AE1221" s="119"/>
      <c r="AF1221" s="119"/>
      <c r="AG1221" s="119"/>
      <c r="AH1221" s="16"/>
      <c r="AI1221" s="439"/>
      <c r="AJ1221" s="439"/>
      <c r="AK1221" s="439"/>
    </row>
    <row r="1222" ht="18.75" customHeight="1">
      <c r="A1222" s="439"/>
      <c r="B1222" s="439"/>
      <c r="C1222" s="439"/>
      <c r="D1222" s="439"/>
      <c r="E1222" s="439"/>
      <c r="F1222" s="439"/>
      <c r="G1222" s="439"/>
      <c r="H1222" s="439"/>
      <c r="I1222" s="439"/>
      <c r="J1222" s="439"/>
      <c r="K1222" s="439"/>
      <c r="L1222" s="439"/>
      <c r="M1222" s="439"/>
      <c r="N1222" s="439"/>
      <c r="O1222" s="439"/>
      <c r="P1222" s="439"/>
      <c r="Q1222" s="439"/>
      <c r="R1222" s="439"/>
      <c r="S1222" s="439"/>
      <c r="T1222" s="264"/>
      <c r="U1222" s="439"/>
      <c r="V1222" s="16"/>
      <c r="W1222" s="119"/>
      <c r="X1222" s="119"/>
      <c r="Y1222" s="119"/>
      <c r="Z1222" s="119"/>
      <c r="AA1222" s="119"/>
      <c r="AB1222" s="119"/>
      <c r="AC1222" s="119"/>
      <c r="AD1222" s="119"/>
      <c r="AE1222" s="119"/>
      <c r="AF1222" s="119"/>
      <c r="AG1222" s="119"/>
      <c r="AH1222" s="16"/>
      <c r="AI1222" s="439"/>
      <c r="AJ1222" s="439"/>
      <c r="AK1222" s="439"/>
    </row>
    <row r="1223" ht="18.75" customHeight="1">
      <c r="A1223" s="439"/>
      <c r="B1223" s="439"/>
      <c r="C1223" s="439"/>
      <c r="D1223" s="439"/>
      <c r="E1223" s="439"/>
      <c r="F1223" s="439"/>
      <c r="G1223" s="439"/>
      <c r="H1223" s="439"/>
      <c r="I1223" s="439"/>
      <c r="J1223" s="439"/>
      <c r="K1223" s="439"/>
      <c r="L1223" s="439"/>
      <c r="M1223" s="439"/>
      <c r="N1223" s="439"/>
      <c r="O1223" s="439"/>
      <c r="P1223" s="439"/>
      <c r="Q1223" s="439"/>
      <c r="R1223" s="439"/>
      <c r="S1223" s="439"/>
      <c r="T1223" s="264"/>
      <c r="U1223" s="439"/>
      <c r="V1223" s="16"/>
      <c r="W1223" s="119"/>
      <c r="X1223" s="119"/>
      <c r="Y1223" s="119"/>
      <c r="Z1223" s="119"/>
      <c r="AA1223" s="119"/>
      <c r="AB1223" s="119"/>
      <c r="AC1223" s="119"/>
      <c r="AD1223" s="119"/>
      <c r="AE1223" s="119"/>
      <c r="AF1223" s="119"/>
      <c r="AG1223" s="119"/>
      <c r="AH1223" s="16"/>
      <c r="AI1223" s="439"/>
      <c r="AJ1223" s="439"/>
      <c r="AK1223" s="439"/>
    </row>
    <row r="1224" ht="18.75" customHeight="1">
      <c r="A1224" s="439"/>
      <c r="B1224" s="439"/>
      <c r="C1224" s="439"/>
      <c r="D1224" s="439"/>
      <c r="E1224" s="439"/>
      <c r="F1224" s="439"/>
      <c r="G1224" s="439"/>
      <c r="H1224" s="439"/>
      <c r="I1224" s="439"/>
      <c r="J1224" s="439"/>
      <c r="K1224" s="439"/>
      <c r="L1224" s="439"/>
      <c r="M1224" s="439"/>
      <c r="N1224" s="439"/>
      <c r="O1224" s="439"/>
      <c r="P1224" s="439"/>
      <c r="Q1224" s="439"/>
      <c r="R1224" s="439"/>
      <c r="S1224" s="439"/>
      <c r="T1224" s="264"/>
      <c r="U1224" s="439"/>
      <c r="V1224" s="16"/>
      <c r="W1224" s="119"/>
      <c r="X1224" s="119"/>
      <c r="Y1224" s="119"/>
      <c r="Z1224" s="119"/>
      <c r="AA1224" s="119"/>
      <c r="AB1224" s="119"/>
      <c r="AC1224" s="119"/>
      <c r="AD1224" s="119"/>
      <c r="AE1224" s="119"/>
      <c r="AF1224" s="119"/>
      <c r="AG1224" s="119"/>
      <c r="AH1224" s="16"/>
      <c r="AI1224" s="439"/>
      <c r="AJ1224" s="439"/>
      <c r="AK1224" s="439"/>
    </row>
    <row r="1225" ht="18.75" customHeight="1">
      <c r="A1225" s="439"/>
      <c r="B1225" s="439"/>
      <c r="C1225" s="439"/>
      <c r="D1225" s="439"/>
      <c r="E1225" s="439"/>
      <c r="F1225" s="439"/>
      <c r="G1225" s="439"/>
      <c r="H1225" s="439"/>
      <c r="I1225" s="439"/>
      <c r="J1225" s="439"/>
      <c r="K1225" s="439"/>
      <c r="L1225" s="439"/>
      <c r="M1225" s="439"/>
      <c r="N1225" s="439"/>
      <c r="O1225" s="439"/>
      <c r="P1225" s="439"/>
      <c r="Q1225" s="439"/>
      <c r="R1225" s="439"/>
      <c r="S1225" s="439"/>
      <c r="T1225" s="264"/>
      <c r="U1225" s="439"/>
      <c r="V1225" s="16"/>
      <c r="W1225" s="119"/>
      <c r="X1225" s="119"/>
      <c r="Y1225" s="119"/>
      <c r="Z1225" s="119"/>
      <c r="AA1225" s="119"/>
      <c r="AB1225" s="119"/>
      <c r="AC1225" s="119"/>
      <c r="AD1225" s="119"/>
      <c r="AE1225" s="119"/>
      <c r="AF1225" s="119"/>
      <c r="AG1225" s="119"/>
      <c r="AH1225" s="16"/>
      <c r="AI1225" s="439"/>
      <c r="AJ1225" s="439"/>
      <c r="AK1225" s="439"/>
    </row>
    <row r="1226" ht="18.75" customHeight="1">
      <c r="A1226" s="439"/>
      <c r="B1226" s="439"/>
      <c r="C1226" s="439"/>
      <c r="D1226" s="439"/>
      <c r="E1226" s="439"/>
      <c r="F1226" s="439"/>
      <c r="G1226" s="439"/>
      <c r="H1226" s="439"/>
      <c r="I1226" s="439"/>
      <c r="J1226" s="439"/>
      <c r="K1226" s="439"/>
      <c r="L1226" s="439"/>
      <c r="M1226" s="439"/>
      <c r="N1226" s="439"/>
      <c r="O1226" s="439"/>
      <c r="P1226" s="439"/>
      <c r="Q1226" s="439"/>
      <c r="R1226" s="439"/>
      <c r="S1226" s="439"/>
      <c r="T1226" s="264"/>
      <c r="U1226" s="439"/>
      <c r="V1226" s="16"/>
      <c r="W1226" s="119"/>
      <c r="X1226" s="119"/>
      <c r="Y1226" s="119"/>
      <c r="Z1226" s="119"/>
      <c r="AA1226" s="119"/>
      <c r="AB1226" s="119"/>
      <c r="AC1226" s="119"/>
      <c r="AD1226" s="119"/>
      <c r="AE1226" s="119"/>
      <c r="AF1226" s="119"/>
      <c r="AG1226" s="119"/>
      <c r="AH1226" s="16"/>
      <c r="AI1226" s="439"/>
      <c r="AJ1226" s="439"/>
      <c r="AK1226" s="439"/>
    </row>
    <row r="1227" ht="18.75" customHeight="1">
      <c r="A1227" s="439"/>
      <c r="B1227" s="439"/>
      <c r="C1227" s="439"/>
      <c r="D1227" s="439"/>
      <c r="E1227" s="439"/>
      <c r="F1227" s="439"/>
      <c r="G1227" s="439"/>
      <c r="H1227" s="439"/>
      <c r="I1227" s="439"/>
      <c r="J1227" s="439"/>
      <c r="K1227" s="439"/>
      <c r="L1227" s="439"/>
      <c r="M1227" s="439"/>
      <c r="N1227" s="439"/>
      <c r="O1227" s="439"/>
      <c r="P1227" s="439"/>
      <c r="Q1227" s="439"/>
      <c r="R1227" s="439"/>
      <c r="S1227" s="439"/>
      <c r="T1227" s="264"/>
      <c r="U1227" s="439"/>
      <c r="V1227" s="16"/>
      <c r="W1227" s="119"/>
      <c r="X1227" s="119"/>
      <c r="Y1227" s="119"/>
      <c r="Z1227" s="119"/>
      <c r="AA1227" s="119"/>
      <c r="AB1227" s="119"/>
      <c r="AC1227" s="119"/>
      <c r="AD1227" s="119"/>
      <c r="AE1227" s="119"/>
      <c r="AF1227" s="119"/>
      <c r="AG1227" s="119"/>
      <c r="AH1227" s="16"/>
      <c r="AI1227" s="439"/>
      <c r="AJ1227" s="439"/>
      <c r="AK1227" s="439"/>
    </row>
    <row r="1228" ht="18.75" customHeight="1">
      <c r="A1228" s="439"/>
      <c r="B1228" s="439"/>
      <c r="C1228" s="439"/>
      <c r="D1228" s="439"/>
      <c r="E1228" s="439"/>
      <c r="F1228" s="439"/>
      <c r="G1228" s="439"/>
      <c r="H1228" s="439"/>
      <c r="I1228" s="439"/>
      <c r="J1228" s="439"/>
      <c r="K1228" s="439"/>
      <c r="L1228" s="439"/>
      <c r="M1228" s="439"/>
      <c r="N1228" s="439"/>
      <c r="O1228" s="439"/>
      <c r="P1228" s="439"/>
      <c r="Q1228" s="439"/>
      <c r="R1228" s="439"/>
      <c r="S1228" s="439"/>
      <c r="T1228" s="264"/>
      <c r="U1228" s="439"/>
      <c r="V1228" s="16"/>
      <c r="W1228" s="119"/>
      <c r="X1228" s="119"/>
      <c r="Y1228" s="119"/>
      <c r="Z1228" s="119"/>
      <c r="AA1228" s="119"/>
      <c r="AB1228" s="119"/>
      <c r="AC1228" s="119"/>
      <c r="AD1228" s="119"/>
      <c r="AE1228" s="119"/>
      <c r="AF1228" s="119"/>
      <c r="AG1228" s="119"/>
      <c r="AH1228" s="16"/>
      <c r="AI1228" s="439"/>
      <c r="AJ1228" s="439"/>
      <c r="AK1228" s="439"/>
    </row>
    <row r="1229" ht="18.75" customHeight="1">
      <c r="A1229" s="439"/>
      <c r="B1229" s="439"/>
      <c r="C1229" s="439"/>
      <c r="D1229" s="439"/>
      <c r="E1229" s="439"/>
      <c r="F1229" s="439"/>
      <c r="G1229" s="439"/>
      <c r="H1229" s="439"/>
      <c r="I1229" s="439"/>
      <c r="J1229" s="439"/>
      <c r="K1229" s="439"/>
      <c r="L1229" s="439"/>
      <c r="M1229" s="439"/>
      <c r="N1229" s="439"/>
      <c r="O1229" s="439"/>
      <c r="P1229" s="439"/>
      <c r="Q1229" s="439"/>
      <c r="R1229" s="439"/>
      <c r="S1229" s="439"/>
      <c r="T1229" s="264"/>
      <c r="U1229" s="439"/>
      <c r="V1229" s="16"/>
      <c r="W1229" s="119"/>
      <c r="X1229" s="119"/>
      <c r="Y1229" s="119"/>
      <c r="Z1229" s="119"/>
      <c r="AA1229" s="119"/>
      <c r="AB1229" s="119"/>
      <c r="AC1229" s="119"/>
      <c r="AD1229" s="119"/>
      <c r="AE1229" s="119"/>
      <c r="AF1229" s="119"/>
      <c r="AG1229" s="119"/>
      <c r="AH1229" s="16"/>
      <c r="AI1229" s="439"/>
      <c r="AJ1229" s="439"/>
      <c r="AK1229" s="439"/>
    </row>
    <row r="1230" ht="18.75" customHeight="1">
      <c r="A1230" s="439"/>
      <c r="B1230" s="439"/>
      <c r="C1230" s="439"/>
      <c r="D1230" s="439"/>
      <c r="E1230" s="439"/>
      <c r="F1230" s="439"/>
      <c r="G1230" s="439"/>
      <c r="H1230" s="439"/>
      <c r="I1230" s="439"/>
      <c r="J1230" s="439"/>
      <c r="K1230" s="439"/>
      <c r="L1230" s="439"/>
      <c r="M1230" s="439"/>
      <c r="N1230" s="439"/>
      <c r="O1230" s="439"/>
      <c r="P1230" s="439"/>
      <c r="Q1230" s="439"/>
      <c r="R1230" s="439"/>
      <c r="S1230" s="439"/>
      <c r="T1230" s="264"/>
      <c r="U1230" s="439"/>
      <c r="V1230" s="16"/>
      <c r="W1230" s="119"/>
      <c r="X1230" s="119"/>
      <c r="Y1230" s="119"/>
      <c r="Z1230" s="119"/>
      <c r="AA1230" s="119"/>
      <c r="AB1230" s="119"/>
      <c r="AC1230" s="119"/>
      <c r="AD1230" s="119"/>
      <c r="AE1230" s="119"/>
      <c r="AF1230" s="119"/>
      <c r="AG1230" s="119"/>
      <c r="AH1230" s="16"/>
      <c r="AI1230" s="439"/>
      <c r="AJ1230" s="439"/>
      <c r="AK1230" s="439"/>
    </row>
    <row r="1231" ht="18.75" customHeight="1">
      <c r="A1231" s="439"/>
      <c r="B1231" s="439"/>
      <c r="C1231" s="439"/>
      <c r="D1231" s="439"/>
      <c r="E1231" s="439"/>
      <c r="F1231" s="439"/>
      <c r="G1231" s="439"/>
      <c r="H1231" s="439"/>
      <c r="I1231" s="439"/>
      <c r="J1231" s="439"/>
      <c r="K1231" s="439"/>
      <c r="L1231" s="439"/>
      <c r="M1231" s="439"/>
      <c r="N1231" s="439"/>
      <c r="O1231" s="439"/>
      <c r="P1231" s="439"/>
      <c r="Q1231" s="439"/>
      <c r="R1231" s="439"/>
      <c r="S1231" s="439"/>
      <c r="T1231" s="264"/>
      <c r="U1231" s="439"/>
      <c r="V1231" s="16"/>
      <c r="W1231" s="119"/>
      <c r="X1231" s="119"/>
      <c r="Y1231" s="119"/>
      <c r="Z1231" s="119"/>
      <c r="AA1231" s="119"/>
      <c r="AB1231" s="119"/>
      <c r="AC1231" s="119"/>
      <c r="AD1231" s="119"/>
      <c r="AE1231" s="119"/>
      <c r="AF1231" s="119"/>
      <c r="AG1231" s="119"/>
      <c r="AH1231" s="16"/>
      <c r="AI1231" s="439"/>
      <c r="AJ1231" s="439"/>
      <c r="AK1231" s="439"/>
    </row>
    <row r="1232" ht="18.75" customHeight="1">
      <c r="A1232" s="439"/>
      <c r="B1232" s="439"/>
      <c r="C1232" s="439"/>
      <c r="D1232" s="439"/>
      <c r="E1232" s="439"/>
      <c r="F1232" s="439"/>
      <c r="G1232" s="439"/>
      <c r="H1232" s="439"/>
      <c r="I1232" s="439"/>
      <c r="J1232" s="439"/>
      <c r="K1232" s="439"/>
      <c r="L1232" s="439"/>
      <c r="M1232" s="439"/>
      <c r="N1232" s="439"/>
      <c r="O1232" s="439"/>
      <c r="P1232" s="439"/>
      <c r="Q1232" s="439"/>
      <c r="R1232" s="439"/>
      <c r="S1232" s="439"/>
      <c r="T1232" s="264"/>
      <c r="U1232" s="439"/>
      <c r="V1232" s="16"/>
      <c r="W1232" s="119"/>
      <c r="X1232" s="119"/>
      <c r="Y1232" s="119"/>
      <c r="Z1232" s="119"/>
      <c r="AA1232" s="119"/>
      <c r="AB1232" s="119"/>
      <c r="AC1232" s="119"/>
      <c r="AD1232" s="119"/>
      <c r="AE1232" s="119"/>
      <c r="AF1232" s="119"/>
      <c r="AG1232" s="119"/>
      <c r="AH1232" s="16"/>
      <c r="AI1232" s="439"/>
      <c r="AJ1232" s="439"/>
      <c r="AK1232" s="439"/>
    </row>
    <row r="1233" ht="18.75" customHeight="1">
      <c r="A1233" s="439"/>
      <c r="B1233" s="439"/>
      <c r="C1233" s="439"/>
      <c r="D1233" s="439"/>
      <c r="E1233" s="439"/>
      <c r="F1233" s="439"/>
      <c r="G1233" s="439"/>
      <c r="H1233" s="439"/>
      <c r="I1233" s="439"/>
      <c r="J1233" s="439"/>
      <c r="K1233" s="439"/>
      <c r="L1233" s="439"/>
      <c r="M1233" s="439"/>
      <c r="N1233" s="439"/>
      <c r="O1233" s="439"/>
      <c r="P1233" s="439"/>
      <c r="Q1233" s="439"/>
      <c r="R1233" s="439"/>
      <c r="S1233" s="439"/>
      <c r="T1233" s="264"/>
      <c r="U1233" s="439"/>
      <c r="V1233" s="16"/>
      <c r="W1233" s="119"/>
      <c r="X1233" s="119"/>
      <c r="Y1233" s="119"/>
      <c r="Z1233" s="119"/>
      <c r="AA1233" s="119"/>
      <c r="AB1233" s="119"/>
      <c r="AC1233" s="119"/>
      <c r="AD1233" s="119"/>
      <c r="AE1233" s="119"/>
      <c r="AF1233" s="119"/>
      <c r="AG1233" s="119"/>
      <c r="AH1233" s="16"/>
      <c r="AI1233" s="439"/>
      <c r="AJ1233" s="439"/>
      <c r="AK1233" s="439"/>
    </row>
    <row r="1234" ht="18.75" customHeight="1">
      <c r="A1234" s="439"/>
      <c r="B1234" s="439"/>
      <c r="C1234" s="439"/>
      <c r="D1234" s="439"/>
      <c r="E1234" s="439"/>
      <c r="F1234" s="439"/>
      <c r="G1234" s="439"/>
      <c r="H1234" s="439"/>
      <c r="I1234" s="439"/>
      <c r="J1234" s="439"/>
      <c r="K1234" s="439"/>
      <c r="L1234" s="439"/>
      <c r="M1234" s="439"/>
      <c r="N1234" s="439"/>
      <c r="O1234" s="439"/>
      <c r="P1234" s="439"/>
      <c r="Q1234" s="439"/>
      <c r="R1234" s="439"/>
      <c r="S1234" s="439"/>
      <c r="T1234" s="264"/>
      <c r="U1234" s="439"/>
      <c r="V1234" s="16"/>
      <c r="W1234" s="119"/>
      <c r="X1234" s="119"/>
      <c r="Y1234" s="119"/>
      <c r="Z1234" s="119"/>
      <c r="AA1234" s="119"/>
      <c r="AB1234" s="119"/>
      <c r="AC1234" s="119"/>
      <c r="AD1234" s="119"/>
      <c r="AE1234" s="119"/>
      <c r="AF1234" s="119"/>
      <c r="AG1234" s="119"/>
      <c r="AH1234" s="16"/>
      <c r="AI1234" s="439"/>
      <c r="AJ1234" s="439"/>
      <c r="AK1234" s="439"/>
    </row>
    <row r="1235" ht="18.75" customHeight="1">
      <c r="A1235" s="439"/>
      <c r="B1235" s="439"/>
      <c r="C1235" s="439"/>
      <c r="D1235" s="439"/>
      <c r="E1235" s="439"/>
      <c r="F1235" s="439"/>
      <c r="G1235" s="439"/>
      <c r="H1235" s="439"/>
      <c r="I1235" s="439"/>
      <c r="J1235" s="439"/>
      <c r="K1235" s="439"/>
      <c r="L1235" s="439"/>
      <c r="M1235" s="439"/>
      <c r="N1235" s="439"/>
      <c r="O1235" s="439"/>
      <c r="P1235" s="439"/>
      <c r="Q1235" s="439"/>
      <c r="R1235" s="439"/>
      <c r="S1235" s="439"/>
      <c r="T1235" s="264"/>
      <c r="U1235" s="439"/>
      <c r="V1235" s="16"/>
      <c r="W1235" s="119"/>
      <c r="X1235" s="119"/>
      <c r="Y1235" s="119"/>
      <c r="Z1235" s="119"/>
      <c r="AA1235" s="119"/>
      <c r="AB1235" s="119"/>
      <c r="AC1235" s="119"/>
      <c r="AD1235" s="119"/>
      <c r="AE1235" s="119"/>
      <c r="AF1235" s="119"/>
      <c r="AG1235" s="119"/>
      <c r="AH1235" s="16"/>
      <c r="AI1235" s="439"/>
      <c r="AJ1235" s="439"/>
      <c r="AK1235" s="439"/>
    </row>
    <row r="1236" ht="18.75" customHeight="1">
      <c r="A1236" s="439"/>
      <c r="B1236" s="439"/>
      <c r="C1236" s="439"/>
      <c r="D1236" s="439"/>
      <c r="E1236" s="439"/>
      <c r="F1236" s="439"/>
      <c r="G1236" s="439"/>
      <c r="H1236" s="439"/>
      <c r="I1236" s="439"/>
      <c r="J1236" s="439"/>
      <c r="K1236" s="439"/>
      <c r="L1236" s="439"/>
      <c r="M1236" s="439"/>
      <c r="N1236" s="439"/>
      <c r="O1236" s="439"/>
      <c r="P1236" s="439"/>
      <c r="Q1236" s="439"/>
      <c r="R1236" s="439"/>
      <c r="S1236" s="439"/>
      <c r="T1236" s="264"/>
      <c r="U1236" s="439"/>
      <c r="V1236" s="16"/>
      <c r="W1236" s="119"/>
      <c r="X1236" s="119"/>
      <c r="Y1236" s="119"/>
      <c r="Z1236" s="119"/>
      <c r="AA1236" s="119"/>
      <c r="AB1236" s="119"/>
      <c r="AC1236" s="119"/>
      <c r="AD1236" s="119"/>
      <c r="AE1236" s="119"/>
      <c r="AF1236" s="119"/>
      <c r="AG1236" s="119"/>
      <c r="AH1236" s="16"/>
      <c r="AI1236" s="439"/>
      <c r="AJ1236" s="439"/>
      <c r="AK1236" s="439"/>
    </row>
    <row r="1237" ht="18.75" customHeight="1">
      <c r="A1237" s="439"/>
      <c r="B1237" s="439"/>
      <c r="C1237" s="439"/>
      <c r="D1237" s="439"/>
      <c r="E1237" s="439"/>
      <c r="F1237" s="439"/>
      <c r="G1237" s="439"/>
      <c r="H1237" s="439"/>
      <c r="I1237" s="439"/>
      <c r="J1237" s="439"/>
      <c r="K1237" s="439"/>
      <c r="L1237" s="439"/>
      <c r="M1237" s="439"/>
      <c r="N1237" s="439"/>
      <c r="O1237" s="439"/>
      <c r="P1237" s="439"/>
      <c r="Q1237" s="439"/>
      <c r="R1237" s="439"/>
      <c r="S1237" s="439"/>
      <c r="T1237" s="264"/>
      <c r="U1237" s="439"/>
      <c r="V1237" s="16"/>
      <c r="W1237" s="119"/>
      <c r="X1237" s="119"/>
      <c r="Y1237" s="119"/>
      <c r="Z1237" s="119"/>
      <c r="AA1237" s="119"/>
      <c r="AB1237" s="119"/>
      <c r="AC1237" s="119"/>
      <c r="AD1237" s="119"/>
      <c r="AE1237" s="119"/>
      <c r="AF1237" s="119"/>
      <c r="AG1237" s="119"/>
      <c r="AH1237" s="16"/>
      <c r="AI1237" s="439"/>
      <c r="AJ1237" s="439"/>
      <c r="AK1237" s="439"/>
    </row>
    <row r="1238" ht="18.75" customHeight="1">
      <c r="A1238" s="439"/>
      <c r="B1238" s="439"/>
      <c r="C1238" s="439"/>
      <c r="D1238" s="439"/>
      <c r="E1238" s="439"/>
      <c r="F1238" s="439"/>
      <c r="G1238" s="439"/>
      <c r="H1238" s="439"/>
      <c r="I1238" s="439"/>
      <c r="J1238" s="439"/>
      <c r="K1238" s="439"/>
      <c r="L1238" s="439"/>
      <c r="M1238" s="439"/>
      <c r="N1238" s="439"/>
      <c r="O1238" s="439"/>
      <c r="P1238" s="439"/>
      <c r="Q1238" s="439"/>
      <c r="R1238" s="439"/>
      <c r="S1238" s="439"/>
      <c r="T1238" s="264"/>
      <c r="U1238" s="439"/>
      <c r="V1238" s="16"/>
      <c r="W1238" s="119"/>
      <c r="X1238" s="119"/>
      <c r="Y1238" s="119"/>
      <c r="Z1238" s="119"/>
      <c r="AA1238" s="119"/>
      <c r="AB1238" s="119"/>
      <c r="AC1238" s="119"/>
      <c r="AD1238" s="119"/>
      <c r="AE1238" s="119"/>
      <c r="AF1238" s="119"/>
      <c r="AG1238" s="119"/>
      <c r="AH1238" s="16"/>
      <c r="AI1238" s="439"/>
      <c r="AJ1238" s="439"/>
      <c r="AK1238" s="439"/>
    </row>
    <row r="1239" ht="18.75" customHeight="1">
      <c r="A1239" s="439"/>
      <c r="B1239" s="439"/>
      <c r="C1239" s="439"/>
      <c r="D1239" s="439"/>
      <c r="E1239" s="439"/>
      <c r="F1239" s="439"/>
      <c r="G1239" s="439"/>
      <c r="H1239" s="439"/>
      <c r="I1239" s="439"/>
      <c r="J1239" s="439"/>
      <c r="K1239" s="439"/>
      <c r="L1239" s="439"/>
      <c r="M1239" s="439"/>
      <c r="N1239" s="439"/>
      <c r="O1239" s="439"/>
      <c r="P1239" s="439"/>
      <c r="Q1239" s="439"/>
      <c r="R1239" s="439"/>
      <c r="S1239" s="439"/>
      <c r="T1239" s="264"/>
      <c r="U1239" s="439"/>
      <c r="V1239" s="16"/>
      <c r="W1239" s="119"/>
      <c r="X1239" s="119"/>
      <c r="Y1239" s="119"/>
      <c r="Z1239" s="119"/>
      <c r="AA1239" s="119"/>
      <c r="AB1239" s="119"/>
      <c r="AC1239" s="119"/>
      <c r="AD1239" s="119"/>
      <c r="AE1239" s="119"/>
      <c r="AF1239" s="119"/>
      <c r="AG1239" s="119"/>
      <c r="AH1239" s="16"/>
      <c r="AI1239" s="439"/>
      <c r="AJ1239" s="439"/>
      <c r="AK1239" s="439"/>
    </row>
    <row r="1240" ht="18.75" customHeight="1">
      <c r="A1240" s="439"/>
      <c r="B1240" s="439"/>
      <c r="C1240" s="439"/>
      <c r="D1240" s="439"/>
      <c r="E1240" s="439"/>
      <c r="F1240" s="439"/>
      <c r="G1240" s="439"/>
      <c r="H1240" s="439"/>
      <c r="I1240" s="439"/>
      <c r="J1240" s="439"/>
      <c r="K1240" s="439"/>
      <c r="L1240" s="439"/>
      <c r="M1240" s="439"/>
      <c r="N1240" s="439"/>
      <c r="O1240" s="439"/>
      <c r="P1240" s="439"/>
      <c r="Q1240" s="439"/>
      <c r="R1240" s="439"/>
      <c r="S1240" s="439"/>
      <c r="T1240" s="264"/>
      <c r="U1240" s="439"/>
      <c r="V1240" s="16"/>
      <c r="W1240" s="119"/>
      <c r="X1240" s="119"/>
      <c r="Y1240" s="119"/>
      <c r="Z1240" s="119"/>
      <c r="AA1240" s="119"/>
      <c r="AB1240" s="119"/>
      <c r="AC1240" s="119"/>
      <c r="AD1240" s="119"/>
      <c r="AE1240" s="119"/>
      <c r="AF1240" s="119"/>
      <c r="AG1240" s="119"/>
      <c r="AH1240" s="16"/>
      <c r="AI1240" s="439"/>
      <c r="AJ1240" s="439"/>
      <c r="AK1240" s="439"/>
    </row>
    <row r="1241" ht="18.75" customHeight="1">
      <c r="A1241" s="439"/>
      <c r="B1241" s="439"/>
      <c r="C1241" s="439"/>
      <c r="D1241" s="439"/>
      <c r="E1241" s="439"/>
      <c r="F1241" s="439"/>
      <c r="G1241" s="439"/>
      <c r="H1241" s="439"/>
      <c r="I1241" s="439"/>
      <c r="J1241" s="439"/>
      <c r="K1241" s="439"/>
      <c r="L1241" s="439"/>
      <c r="M1241" s="439"/>
      <c r="N1241" s="439"/>
      <c r="O1241" s="439"/>
      <c r="P1241" s="439"/>
      <c r="Q1241" s="439"/>
      <c r="R1241" s="439"/>
      <c r="S1241" s="439"/>
      <c r="T1241" s="264"/>
      <c r="U1241" s="439"/>
      <c r="V1241" s="16"/>
      <c r="W1241" s="119"/>
      <c r="X1241" s="119"/>
      <c r="Y1241" s="119"/>
      <c r="Z1241" s="119"/>
      <c r="AA1241" s="119"/>
      <c r="AB1241" s="119"/>
      <c r="AC1241" s="119"/>
      <c r="AD1241" s="119"/>
      <c r="AE1241" s="119"/>
      <c r="AF1241" s="119"/>
      <c r="AG1241" s="119"/>
      <c r="AH1241" s="16"/>
      <c r="AI1241" s="439"/>
      <c r="AJ1241" s="439"/>
      <c r="AK1241" s="439"/>
    </row>
    <row r="1242" ht="18.75" customHeight="1">
      <c r="A1242" s="439"/>
      <c r="B1242" s="439"/>
      <c r="C1242" s="439"/>
      <c r="D1242" s="439"/>
      <c r="E1242" s="439"/>
      <c r="F1242" s="439"/>
      <c r="G1242" s="439"/>
      <c r="H1242" s="439"/>
      <c r="I1242" s="439"/>
      <c r="J1242" s="439"/>
      <c r="K1242" s="439"/>
      <c r="L1242" s="439"/>
      <c r="M1242" s="439"/>
      <c r="N1242" s="439"/>
      <c r="O1242" s="439"/>
      <c r="P1242" s="439"/>
      <c r="Q1242" s="439"/>
      <c r="R1242" s="439"/>
      <c r="S1242" s="439"/>
      <c r="T1242" s="264"/>
      <c r="U1242" s="439"/>
      <c r="V1242" s="16"/>
      <c r="W1242" s="119"/>
      <c r="X1242" s="119"/>
      <c r="Y1242" s="119"/>
      <c r="Z1242" s="119"/>
      <c r="AA1242" s="119"/>
      <c r="AB1242" s="119"/>
      <c r="AC1242" s="119"/>
      <c r="AD1242" s="119"/>
      <c r="AE1242" s="119"/>
      <c r="AF1242" s="119"/>
      <c r="AG1242" s="119"/>
      <c r="AH1242" s="16"/>
      <c r="AI1242" s="439"/>
      <c r="AJ1242" s="439"/>
      <c r="AK1242" s="439"/>
    </row>
    <row r="1243" ht="18.75" customHeight="1">
      <c r="A1243" s="439"/>
      <c r="B1243" s="439"/>
      <c r="C1243" s="439"/>
      <c r="D1243" s="439"/>
      <c r="E1243" s="439"/>
      <c r="F1243" s="439"/>
      <c r="G1243" s="439"/>
      <c r="H1243" s="439"/>
      <c r="I1243" s="439"/>
      <c r="J1243" s="439"/>
      <c r="K1243" s="439"/>
      <c r="L1243" s="439"/>
      <c r="M1243" s="439"/>
      <c r="N1243" s="439"/>
      <c r="O1243" s="439"/>
      <c r="P1243" s="439"/>
      <c r="Q1243" s="439"/>
      <c r="R1243" s="439"/>
      <c r="S1243" s="439"/>
      <c r="T1243" s="264"/>
      <c r="U1243" s="439"/>
      <c r="V1243" s="16"/>
      <c r="W1243" s="119"/>
      <c r="X1243" s="119"/>
      <c r="Y1243" s="119"/>
      <c r="Z1243" s="119"/>
      <c r="AA1243" s="119"/>
      <c r="AB1243" s="119"/>
      <c r="AC1243" s="119"/>
      <c r="AD1243" s="119"/>
      <c r="AE1243" s="119"/>
      <c r="AF1243" s="119"/>
      <c r="AG1243" s="119"/>
      <c r="AH1243" s="16"/>
      <c r="AI1243" s="439"/>
      <c r="AJ1243" s="439"/>
      <c r="AK1243" s="439"/>
    </row>
    <row r="1244" ht="18.75" customHeight="1">
      <c r="A1244" s="439"/>
      <c r="B1244" s="439"/>
      <c r="C1244" s="439"/>
      <c r="D1244" s="439"/>
      <c r="E1244" s="439"/>
      <c r="F1244" s="439"/>
      <c r="G1244" s="439"/>
      <c r="H1244" s="439"/>
      <c r="I1244" s="439"/>
      <c r="J1244" s="439"/>
      <c r="K1244" s="439"/>
      <c r="L1244" s="439"/>
      <c r="M1244" s="439"/>
      <c r="N1244" s="439"/>
      <c r="O1244" s="439"/>
      <c r="P1244" s="439"/>
      <c r="Q1244" s="439"/>
      <c r="R1244" s="439"/>
      <c r="S1244" s="439"/>
      <c r="T1244" s="264"/>
      <c r="U1244" s="439"/>
      <c r="V1244" s="16"/>
      <c r="W1244" s="119"/>
      <c r="X1244" s="119"/>
      <c r="Y1244" s="119"/>
      <c r="Z1244" s="119"/>
      <c r="AA1244" s="119"/>
      <c r="AB1244" s="119"/>
      <c r="AC1244" s="119"/>
      <c r="AD1244" s="119"/>
      <c r="AE1244" s="119"/>
      <c r="AF1244" s="119"/>
      <c r="AG1244" s="119"/>
      <c r="AH1244" s="16"/>
      <c r="AI1244" s="439"/>
      <c r="AJ1244" s="439"/>
      <c r="AK1244" s="439"/>
    </row>
    <row r="1245" ht="18.75" customHeight="1">
      <c r="A1245" s="439"/>
      <c r="B1245" s="439"/>
      <c r="C1245" s="439"/>
      <c r="D1245" s="439"/>
      <c r="E1245" s="439"/>
      <c r="F1245" s="439"/>
      <c r="G1245" s="439"/>
      <c r="H1245" s="439"/>
      <c r="I1245" s="439"/>
      <c r="J1245" s="439"/>
      <c r="K1245" s="439"/>
      <c r="L1245" s="439"/>
      <c r="M1245" s="439"/>
      <c r="N1245" s="439"/>
      <c r="O1245" s="439"/>
      <c r="P1245" s="439"/>
      <c r="Q1245" s="439"/>
      <c r="R1245" s="439"/>
      <c r="S1245" s="439"/>
      <c r="T1245" s="264"/>
      <c r="U1245" s="439"/>
      <c r="V1245" s="16"/>
      <c r="W1245" s="119"/>
      <c r="X1245" s="119"/>
      <c r="Y1245" s="119"/>
      <c r="Z1245" s="119"/>
      <c r="AA1245" s="119"/>
      <c r="AB1245" s="119"/>
      <c r="AC1245" s="119"/>
      <c r="AD1245" s="119"/>
      <c r="AE1245" s="119"/>
      <c r="AF1245" s="119"/>
      <c r="AG1245" s="119"/>
      <c r="AH1245" s="16"/>
      <c r="AI1245" s="439"/>
      <c r="AJ1245" s="439"/>
      <c r="AK1245" s="439"/>
    </row>
    <row r="1246" ht="18.75" customHeight="1">
      <c r="A1246" s="439"/>
      <c r="B1246" s="439"/>
      <c r="C1246" s="439"/>
      <c r="D1246" s="439"/>
      <c r="E1246" s="439"/>
      <c r="F1246" s="439"/>
      <c r="G1246" s="439"/>
      <c r="H1246" s="439"/>
      <c r="I1246" s="439"/>
      <c r="J1246" s="439"/>
      <c r="K1246" s="439"/>
      <c r="L1246" s="439"/>
      <c r="M1246" s="439"/>
      <c r="N1246" s="439"/>
      <c r="O1246" s="439"/>
      <c r="P1246" s="439"/>
      <c r="Q1246" s="439"/>
      <c r="R1246" s="439"/>
      <c r="S1246" s="439"/>
      <c r="T1246" s="264"/>
      <c r="U1246" s="439"/>
      <c r="V1246" s="16"/>
      <c r="W1246" s="119"/>
      <c r="X1246" s="119"/>
      <c r="Y1246" s="119"/>
      <c r="Z1246" s="119"/>
      <c r="AA1246" s="119"/>
      <c r="AB1246" s="119"/>
      <c r="AC1246" s="119"/>
      <c r="AD1246" s="119"/>
      <c r="AE1246" s="119"/>
      <c r="AF1246" s="119"/>
      <c r="AG1246" s="119"/>
      <c r="AH1246" s="16"/>
      <c r="AI1246" s="439"/>
      <c r="AJ1246" s="439"/>
      <c r="AK1246" s="439"/>
    </row>
    <row r="1247" ht="18.75" customHeight="1">
      <c r="A1247" s="439"/>
      <c r="B1247" s="439"/>
      <c r="C1247" s="439"/>
      <c r="D1247" s="439"/>
      <c r="E1247" s="439"/>
      <c r="F1247" s="439"/>
      <c r="G1247" s="439"/>
      <c r="H1247" s="439"/>
      <c r="I1247" s="439"/>
      <c r="J1247" s="439"/>
      <c r="K1247" s="439"/>
      <c r="L1247" s="439"/>
      <c r="M1247" s="439"/>
      <c r="N1247" s="439"/>
      <c r="O1247" s="439"/>
      <c r="P1247" s="439"/>
      <c r="Q1247" s="439"/>
      <c r="R1247" s="439"/>
      <c r="S1247" s="439"/>
      <c r="T1247" s="264"/>
      <c r="U1247" s="439"/>
      <c r="V1247" s="16"/>
      <c r="W1247" s="119"/>
      <c r="X1247" s="119"/>
      <c r="Y1247" s="119"/>
      <c r="Z1247" s="119"/>
      <c r="AA1247" s="119"/>
      <c r="AB1247" s="119"/>
      <c r="AC1247" s="119"/>
      <c r="AD1247" s="119"/>
      <c r="AE1247" s="119"/>
      <c r="AF1247" s="119"/>
      <c r="AG1247" s="119"/>
      <c r="AH1247" s="16"/>
      <c r="AI1247" s="439"/>
      <c r="AJ1247" s="439"/>
      <c r="AK1247" s="439"/>
    </row>
    <row r="1248" ht="18.75" customHeight="1">
      <c r="A1248" s="439"/>
      <c r="B1248" s="439"/>
      <c r="C1248" s="439"/>
      <c r="D1248" s="439"/>
      <c r="E1248" s="439"/>
      <c r="F1248" s="439"/>
      <c r="G1248" s="439"/>
      <c r="H1248" s="439"/>
      <c r="I1248" s="439"/>
      <c r="J1248" s="439"/>
      <c r="K1248" s="439"/>
      <c r="L1248" s="439"/>
      <c r="M1248" s="439"/>
      <c r="N1248" s="439"/>
      <c r="O1248" s="439"/>
      <c r="P1248" s="439"/>
      <c r="Q1248" s="439"/>
      <c r="R1248" s="439"/>
      <c r="S1248" s="439"/>
      <c r="T1248" s="264"/>
      <c r="U1248" s="439"/>
      <c r="V1248" s="16"/>
      <c r="W1248" s="119"/>
      <c r="X1248" s="119"/>
      <c r="Y1248" s="119"/>
      <c r="Z1248" s="119"/>
      <c r="AA1248" s="119"/>
      <c r="AB1248" s="119"/>
      <c r="AC1248" s="119"/>
      <c r="AD1248" s="119"/>
      <c r="AE1248" s="119"/>
      <c r="AF1248" s="119"/>
      <c r="AG1248" s="119"/>
      <c r="AH1248" s="16"/>
      <c r="AI1248" s="439"/>
      <c r="AJ1248" s="439"/>
      <c r="AK1248" s="439"/>
    </row>
    <row r="1249" ht="18.75" customHeight="1">
      <c r="A1249" s="439"/>
      <c r="B1249" s="439"/>
      <c r="C1249" s="439"/>
      <c r="D1249" s="439"/>
      <c r="E1249" s="439"/>
      <c r="F1249" s="439"/>
      <c r="G1249" s="439"/>
      <c r="H1249" s="439"/>
      <c r="I1249" s="439"/>
      <c r="J1249" s="439"/>
      <c r="K1249" s="439"/>
      <c r="L1249" s="439"/>
      <c r="M1249" s="439"/>
      <c r="N1249" s="439"/>
      <c r="O1249" s="439"/>
      <c r="P1249" s="439"/>
      <c r="Q1249" s="439"/>
      <c r="R1249" s="439"/>
      <c r="S1249" s="439"/>
      <c r="T1249" s="264"/>
      <c r="U1249" s="439"/>
      <c r="V1249" s="16"/>
      <c r="W1249" s="119"/>
      <c r="X1249" s="119"/>
      <c r="Y1249" s="119"/>
      <c r="Z1249" s="119"/>
      <c r="AA1249" s="119"/>
      <c r="AB1249" s="119"/>
      <c r="AC1249" s="119"/>
      <c r="AD1249" s="119"/>
      <c r="AE1249" s="119"/>
      <c r="AF1249" s="119"/>
      <c r="AG1249" s="119"/>
      <c r="AH1249" s="16"/>
      <c r="AI1249" s="439"/>
      <c r="AJ1249" s="439"/>
      <c r="AK1249" s="439"/>
    </row>
    <row r="1250" ht="18.75" customHeight="1">
      <c r="A1250" s="439"/>
      <c r="B1250" s="439"/>
      <c r="C1250" s="439"/>
      <c r="D1250" s="439"/>
      <c r="E1250" s="439"/>
      <c r="F1250" s="439"/>
      <c r="G1250" s="439"/>
      <c r="H1250" s="439"/>
      <c r="I1250" s="439"/>
      <c r="J1250" s="439"/>
      <c r="K1250" s="439"/>
      <c r="L1250" s="439"/>
      <c r="M1250" s="439"/>
      <c r="N1250" s="439"/>
      <c r="O1250" s="439"/>
      <c r="P1250" s="439"/>
      <c r="Q1250" s="439"/>
      <c r="R1250" s="439"/>
      <c r="S1250" s="439"/>
      <c r="T1250" s="264"/>
      <c r="U1250" s="439"/>
      <c r="V1250" s="16"/>
      <c r="W1250" s="119"/>
      <c r="X1250" s="119"/>
      <c r="Y1250" s="119"/>
      <c r="Z1250" s="119"/>
      <c r="AA1250" s="119"/>
      <c r="AB1250" s="119"/>
      <c r="AC1250" s="119"/>
      <c r="AD1250" s="119"/>
      <c r="AE1250" s="119"/>
      <c r="AF1250" s="119"/>
      <c r="AG1250" s="119"/>
      <c r="AH1250" s="16"/>
      <c r="AI1250" s="439"/>
      <c r="AJ1250" s="439"/>
      <c r="AK1250" s="439"/>
    </row>
    <row r="1251" ht="18.75" customHeight="1">
      <c r="A1251" s="439"/>
      <c r="B1251" s="439"/>
      <c r="C1251" s="439"/>
      <c r="D1251" s="439"/>
      <c r="E1251" s="439"/>
      <c r="F1251" s="439"/>
      <c r="G1251" s="439"/>
      <c r="H1251" s="439"/>
      <c r="I1251" s="439"/>
      <c r="J1251" s="439"/>
      <c r="K1251" s="439"/>
      <c r="L1251" s="439"/>
      <c r="M1251" s="439"/>
      <c r="N1251" s="439"/>
      <c r="O1251" s="439"/>
      <c r="P1251" s="439"/>
      <c r="Q1251" s="439"/>
      <c r="R1251" s="439"/>
      <c r="S1251" s="439"/>
      <c r="T1251" s="264"/>
      <c r="U1251" s="439"/>
      <c r="V1251" s="16"/>
      <c r="W1251" s="119"/>
      <c r="X1251" s="119"/>
      <c r="Y1251" s="119"/>
      <c r="Z1251" s="119"/>
      <c r="AA1251" s="119"/>
      <c r="AB1251" s="119"/>
      <c r="AC1251" s="119"/>
      <c r="AD1251" s="119"/>
      <c r="AE1251" s="119"/>
      <c r="AF1251" s="119"/>
      <c r="AG1251" s="119"/>
      <c r="AH1251" s="16"/>
      <c r="AI1251" s="439"/>
      <c r="AJ1251" s="439"/>
      <c r="AK1251" s="439"/>
    </row>
    <row r="1252" ht="18.75" customHeight="1">
      <c r="A1252" s="439"/>
      <c r="B1252" s="439"/>
      <c r="C1252" s="439"/>
      <c r="D1252" s="439"/>
      <c r="E1252" s="439"/>
      <c r="F1252" s="439"/>
      <c r="G1252" s="439"/>
      <c r="H1252" s="439"/>
      <c r="I1252" s="439"/>
      <c r="J1252" s="439"/>
      <c r="K1252" s="439"/>
      <c r="L1252" s="439"/>
      <c r="M1252" s="439"/>
      <c r="N1252" s="439"/>
      <c r="O1252" s="439"/>
      <c r="P1252" s="439"/>
      <c r="Q1252" s="439"/>
      <c r="R1252" s="439"/>
      <c r="S1252" s="439"/>
      <c r="T1252" s="264"/>
      <c r="U1252" s="439"/>
      <c r="V1252" s="16"/>
      <c r="W1252" s="119"/>
      <c r="X1252" s="119"/>
      <c r="Y1252" s="119"/>
      <c r="Z1252" s="119"/>
      <c r="AA1252" s="119"/>
      <c r="AB1252" s="119"/>
      <c r="AC1252" s="119"/>
      <c r="AD1252" s="119"/>
      <c r="AE1252" s="119"/>
      <c r="AF1252" s="119"/>
      <c r="AG1252" s="119"/>
      <c r="AH1252" s="16"/>
      <c r="AI1252" s="439"/>
      <c r="AJ1252" s="439"/>
      <c r="AK1252" s="439"/>
    </row>
    <row r="1253" ht="18.75" customHeight="1">
      <c r="A1253" s="439"/>
      <c r="B1253" s="439"/>
      <c r="C1253" s="439"/>
      <c r="D1253" s="439"/>
      <c r="E1253" s="439"/>
      <c r="F1253" s="439"/>
      <c r="G1253" s="439"/>
      <c r="H1253" s="439"/>
      <c r="I1253" s="439"/>
      <c r="J1253" s="439"/>
      <c r="K1253" s="439"/>
      <c r="L1253" s="439"/>
      <c r="M1253" s="439"/>
      <c r="N1253" s="439"/>
      <c r="O1253" s="439"/>
      <c r="P1253" s="439"/>
      <c r="Q1253" s="439"/>
      <c r="R1253" s="439"/>
      <c r="S1253" s="439"/>
      <c r="T1253" s="264"/>
      <c r="U1253" s="439"/>
      <c r="V1253" s="16"/>
      <c r="W1253" s="119"/>
      <c r="X1253" s="119"/>
      <c r="Y1253" s="119"/>
      <c r="Z1253" s="119"/>
      <c r="AA1253" s="119"/>
      <c r="AB1253" s="119"/>
      <c r="AC1253" s="119"/>
      <c r="AD1253" s="119"/>
      <c r="AE1253" s="119"/>
      <c r="AF1253" s="119"/>
      <c r="AG1253" s="119"/>
      <c r="AH1253" s="16"/>
      <c r="AI1253" s="439"/>
      <c r="AJ1253" s="439"/>
      <c r="AK1253" s="439"/>
    </row>
    <row r="1254" ht="18.75" customHeight="1">
      <c r="A1254" s="439"/>
      <c r="B1254" s="439"/>
      <c r="C1254" s="439"/>
      <c r="D1254" s="439"/>
      <c r="E1254" s="439"/>
      <c r="F1254" s="439"/>
      <c r="G1254" s="439"/>
      <c r="H1254" s="439"/>
      <c r="I1254" s="439"/>
      <c r="J1254" s="439"/>
      <c r="K1254" s="439"/>
      <c r="L1254" s="439"/>
      <c r="M1254" s="439"/>
      <c r="N1254" s="439"/>
      <c r="O1254" s="439"/>
      <c r="P1254" s="439"/>
      <c r="Q1254" s="439"/>
      <c r="R1254" s="439"/>
      <c r="S1254" s="439"/>
      <c r="T1254" s="264"/>
      <c r="U1254" s="439"/>
      <c r="V1254" s="16"/>
      <c r="W1254" s="119"/>
      <c r="X1254" s="119"/>
      <c r="Y1254" s="119"/>
      <c r="Z1254" s="119"/>
      <c r="AA1254" s="119"/>
      <c r="AB1254" s="119"/>
      <c r="AC1254" s="119"/>
      <c r="AD1254" s="119"/>
      <c r="AE1254" s="119"/>
      <c r="AF1254" s="119"/>
      <c r="AG1254" s="119"/>
      <c r="AH1254" s="16"/>
      <c r="AI1254" s="439"/>
      <c r="AJ1254" s="439"/>
      <c r="AK1254" s="439"/>
    </row>
    <row r="1255" ht="18.75" customHeight="1">
      <c r="A1255" s="439"/>
      <c r="B1255" s="439"/>
      <c r="C1255" s="439"/>
      <c r="D1255" s="439"/>
      <c r="E1255" s="439"/>
      <c r="F1255" s="439"/>
      <c r="G1255" s="439"/>
      <c r="H1255" s="439"/>
      <c r="I1255" s="439"/>
      <c r="J1255" s="439"/>
      <c r="K1255" s="439"/>
      <c r="L1255" s="439"/>
      <c r="M1255" s="439"/>
      <c r="N1255" s="439"/>
      <c r="O1255" s="439"/>
      <c r="P1255" s="439"/>
      <c r="Q1255" s="439"/>
      <c r="R1255" s="439"/>
      <c r="S1255" s="439"/>
      <c r="T1255" s="264"/>
      <c r="U1255" s="439"/>
      <c r="V1255" s="16"/>
      <c r="W1255" s="119"/>
      <c r="X1255" s="119"/>
      <c r="Y1255" s="119"/>
      <c r="Z1255" s="119"/>
      <c r="AA1255" s="119"/>
      <c r="AB1255" s="119"/>
      <c r="AC1255" s="119"/>
      <c r="AD1255" s="119"/>
      <c r="AE1255" s="119"/>
      <c r="AF1255" s="119"/>
      <c r="AG1255" s="119"/>
      <c r="AH1255" s="16"/>
      <c r="AI1255" s="439"/>
      <c r="AJ1255" s="439"/>
      <c r="AK1255" s="439"/>
    </row>
    <row r="1256" ht="18.75" customHeight="1">
      <c r="A1256" s="439"/>
      <c r="B1256" s="439"/>
      <c r="C1256" s="439"/>
      <c r="D1256" s="439"/>
      <c r="E1256" s="439"/>
      <c r="F1256" s="439"/>
      <c r="G1256" s="439"/>
      <c r="H1256" s="439"/>
      <c r="I1256" s="439"/>
      <c r="J1256" s="439"/>
      <c r="K1256" s="439"/>
      <c r="L1256" s="439"/>
      <c r="M1256" s="439"/>
      <c r="N1256" s="439"/>
      <c r="O1256" s="439"/>
      <c r="P1256" s="439"/>
      <c r="Q1256" s="439"/>
      <c r="R1256" s="439"/>
      <c r="S1256" s="439"/>
      <c r="T1256" s="264"/>
      <c r="U1256" s="439"/>
      <c r="V1256" s="16"/>
      <c r="W1256" s="119"/>
      <c r="X1256" s="119"/>
      <c r="Y1256" s="119"/>
      <c r="Z1256" s="119"/>
      <c r="AA1256" s="119"/>
      <c r="AB1256" s="119"/>
      <c r="AC1256" s="119"/>
      <c r="AD1256" s="119"/>
      <c r="AE1256" s="119"/>
      <c r="AF1256" s="119"/>
      <c r="AG1256" s="119"/>
      <c r="AH1256" s="16"/>
      <c r="AI1256" s="439"/>
      <c r="AJ1256" s="439"/>
      <c r="AK1256" s="439"/>
    </row>
    <row r="1257" ht="18.75" customHeight="1">
      <c r="A1257" s="439"/>
      <c r="B1257" s="439"/>
      <c r="C1257" s="439"/>
      <c r="D1257" s="439"/>
      <c r="E1257" s="439"/>
      <c r="F1257" s="439"/>
      <c r="G1257" s="439"/>
      <c r="H1257" s="439"/>
      <c r="I1257" s="439"/>
      <c r="J1257" s="439"/>
      <c r="K1257" s="439"/>
      <c r="L1257" s="439"/>
      <c r="M1257" s="439"/>
      <c r="N1257" s="439"/>
      <c r="O1257" s="439"/>
      <c r="P1257" s="439"/>
      <c r="Q1257" s="439"/>
      <c r="R1257" s="439"/>
      <c r="S1257" s="439"/>
      <c r="T1257" s="264"/>
      <c r="U1257" s="439"/>
      <c r="V1257" s="16"/>
      <c r="W1257" s="119"/>
      <c r="X1257" s="119"/>
      <c r="Y1257" s="119"/>
      <c r="Z1257" s="119"/>
      <c r="AA1257" s="119"/>
      <c r="AB1257" s="119"/>
      <c r="AC1257" s="119"/>
      <c r="AD1257" s="119"/>
      <c r="AE1257" s="119"/>
      <c r="AF1257" s="119"/>
      <c r="AG1257" s="119"/>
      <c r="AH1257" s="16"/>
      <c r="AI1257" s="439"/>
      <c r="AJ1257" s="439"/>
      <c r="AK1257" s="439"/>
    </row>
    <row r="1258" ht="18.75" customHeight="1">
      <c r="A1258" s="439"/>
      <c r="B1258" s="439"/>
      <c r="C1258" s="439"/>
      <c r="D1258" s="439"/>
      <c r="E1258" s="439"/>
      <c r="F1258" s="439"/>
      <c r="G1258" s="439"/>
      <c r="H1258" s="439"/>
      <c r="I1258" s="439"/>
      <c r="J1258" s="439"/>
      <c r="K1258" s="439"/>
      <c r="L1258" s="439"/>
      <c r="M1258" s="439"/>
      <c r="N1258" s="439"/>
      <c r="O1258" s="439"/>
      <c r="P1258" s="439"/>
      <c r="Q1258" s="439"/>
      <c r="R1258" s="439"/>
      <c r="S1258" s="439"/>
      <c r="T1258" s="264"/>
      <c r="U1258" s="439"/>
      <c r="V1258" s="16"/>
      <c r="W1258" s="119"/>
      <c r="X1258" s="119"/>
      <c r="Y1258" s="119"/>
      <c r="Z1258" s="119"/>
      <c r="AA1258" s="119"/>
      <c r="AB1258" s="119"/>
      <c r="AC1258" s="119"/>
      <c r="AD1258" s="119"/>
      <c r="AE1258" s="119"/>
      <c r="AF1258" s="119"/>
      <c r="AG1258" s="119"/>
      <c r="AH1258" s="16"/>
      <c r="AI1258" s="439"/>
      <c r="AJ1258" s="439"/>
      <c r="AK1258" s="439"/>
    </row>
    <row r="1259" ht="18.75" customHeight="1">
      <c r="A1259" s="439"/>
      <c r="B1259" s="439"/>
      <c r="C1259" s="439"/>
      <c r="D1259" s="439"/>
      <c r="E1259" s="439"/>
      <c r="F1259" s="439"/>
      <c r="G1259" s="439"/>
      <c r="H1259" s="439"/>
      <c r="I1259" s="439"/>
      <c r="J1259" s="439"/>
      <c r="K1259" s="439"/>
      <c r="L1259" s="439"/>
      <c r="M1259" s="439"/>
      <c r="N1259" s="439"/>
      <c r="O1259" s="439"/>
      <c r="P1259" s="439"/>
      <c r="Q1259" s="439"/>
      <c r="R1259" s="439"/>
      <c r="S1259" s="439"/>
      <c r="T1259" s="264"/>
      <c r="U1259" s="439"/>
      <c r="V1259" s="16"/>
      <c r="W1259" s="119"/>
      <c r="X1259" s="119"/>
      <c r="Y1259" s="119"/>
      <c r="Z1259" s="119"/>
      <c r="AA1259" s="119"/>
      <c r="AB1259" s="119"/>
      <c r="AC1259" s="119"/>
      <c r="AD1259" s="119"/>
      <c r="AE1259" s="119"/>
      <c r="AF1259" s="119"/>
      <c r="AG1259" s="119"/>
      <c r="AH1259" s="16"/>
      <c r="AI1259" s="439"/>
      <c r="AJ1259" s="439"/>
      <c r="AK1259" s="439"/>
    </row>
    <row r="1260" ht="18.75" customHeight="1">
      <c r="A1260" s="439"/>
      <c r="B1260" s="439"/>
      <c r="C1260" s="439"/>
      <c r="D1260" s="439"/>
      <c r="E1260" s="439"/>
      <c r="F1260" s="439"/>
      <c r="G1260" s="439"/>
      <c r="H1260" s="439"/>
      <c r="I1260" s="439"/>
      <c r="J1260" s="439"/>
      <c r="K1260" s="439"/>
      <c r="L1260" s="439"/>
      <c r="M1260" s="439"/>
      <c r="N1260" s="439"/>
      <c r="O1260" s="439"/>
      <c r="P1260" s="439"/>
      <c r="Q1260" s="439"/>
      <c r="R1260" s="439"/>
      <c r="S1260" s="439"/>
      <c r="T1260" s="264"/>
      <c r="U1260" s="439"/>
      <c r="V1260" s="16"/>
      <c r="W1260" s="119"/>
      <c r="X1260" s="119"/>
      <c r="Y1260" s="119"/>
      <c r="Z1260" s="119"/>
      <c r="AA1260" s="119"/>
      <c r="AB1260" s="119"/>
      <c r="AC1260" s="119"/>
      <c r="AD1260" s="119"/>
      <c r="AE1260" s="119"/>
      <c r="AF1260" s="119"/>
      <c r="AG1260" s="119"/>
      <c r="AH1260" s="16"/>
      <c r="AI1260" s="439"/>
      <c r="AJ1260" s="439"/>
      <c r="AK1260" s="439"/>
    </row>
    <row r="1261" ht="18.75" customHeight="1">
      <c r="A1261" s="439"/>
      <c r="B1261" s="439"/>
      <c r="C1261" s="439"/>
      <c r="D1261" s="439"/>
      <c r="E1261" s="439"/>
      <c r="F1261" s="439"/>
      <c r="G1261" s="439"/>
      <c r="H1261" s="439"/>
      <c r="I1261" s="439"/>
      <c r="J1261" s="439"/>
      <c r="K1261" s="439"/>
      <c r="L1261" s="439"/>
      <c r="M1261" s="439"/>
      <c r="N1261" s="439"/>
      <c r="O1261" s="439"/>
      <c r="P1261" s="439"/>
      <c r="Q1261" s="439"/>
      <c r="R1261" s="439"/>
      <c r="S1261" s="439"/>
      <c r="T1261" s="264"/>
      <c r="U1261" s="439"/>
      <c r="V1261" s="16"/>
      <c r="W1261" s="119"/>
      <c r="X1261" s="119"/>
      <c r="Y1261" s="119"/>
      <c r="Z1261" s="119"/>
      <c r="AA1261" s="119"/>
      <c r="AB1261" s="119"/>
      <c r="AC1261" s="119"/>
      <c r="AD1261" s="119"/>
      <c r="AE1261" s="119"/>
      <c r="AF1261" s="119"/>
      <c r="AG1261" s="119"/>
      <c r="AH1261" s="16"/>
      <c r="AI1261" s="439"/>
      <c r="AJ1261" s="439"/>
      <c r="AK1261" s="439"/>
    </row>
    <row r="1262" ht="18.75" customHeight="1">
      <c r="A1262" s="439"/>
      <c r="B1262" s="439"/>
      <c r="C1262" s="439"/>
      <c r="D1262" s="439"/>
      <c r="E1262" s="439"/>
      <c r="F1262" s="439"/>
      <c r="G1262" s="439"/>
      <c r="H1262" s="439"/>
      <c r="I1262" s="439"/>
      <c r="J1262" s="439"/>
      <c r="K1262" s="439"/>
      <c r="L1262" s="439"/>
      <c r="M1262" s="439"/>
      <c r="N1262" s="439"/>
      <c r="O1262" s="439"/>
      <c r="P1262" s="439"/>
      <c r="Q1262" s="439"/>
      <c r="R1262" s="439"/>
      <c r="S1262" s="439"/>
      <c r="T1262" s="264"/>
      <c r="U1262" s="439"/>
      <c r="V1262" s="16"/>
      <c r="W1262" s="119"/>
      <c r="X1262" s="119"/>
      <c r="Y1262" s="119"/>
      <c r="Z1262" s="119"/>
      <c r="AA1262" s="119"/>
      <c r="AB1262" s="119"/>
      <c r="AC1262" s="119"/>
      <c r="AD1262" s="119"/>
      <c r="AE1262" s="119"/>
      <c r="AF1262" s="119"/>
      <c r="AG1262" s="119"/>
      <c r="AH1262" s="16"/>
      <c r="AI1262" s="439"/>
      <c r="AJ1262" s="439"/>
      <c r="AK1262" s="439"/>
    </row>
    <row r="1263" ht="18.75" customHeight="1">
      <c r="A1263" s="439"/>
      <c r="B1263" s="439"/>
      <c r="C1263" s="439"/>
      <c r="D1263" s="439"/>
      <c r="E1263" s="439"/>
      <c r="F1263" s="439"/>
      <c r="G1263" s="439"/>
      <c r="H1263" s="439"/>
      <c r="I1263" s="439"/>
      <c r="J1263" s="439"/>
      <c r="K1263" s="439"/>
      <c r="L1263" s="439"/>
      <c r="M1263" s="439"/>
      <c r="N1263" s="439"/>
      <c r="O1263" s="439"/>
      <c r="P1263" s="439"/>
      <c r="Q1263" s="439"/>
      <c r="R1263" s="439"/>
      <c r="S1263" s="439"/>
      <c r="T1263" s="264"/>
      <c r="U1263" s="439"/>
      <c r="V1263" s="16"/>
      <c r="W1263" s="119"/>
      <c r="X1263" s="119"/>
      <c r="Y1263" s="119"/>
      <c r="Z1263" s="119"/>
      <c r="AA1263" s="119"/>
      <c r="AB1263" s="119"/>
      <c r="AC1263" s="119"/>
      <c r="AD1263" s="119"/>
      <c r="AE1263" s="119"/>
      <c r="AF1263" s="119"/>
      <c r="AG1263" s="119"/>
      <c r="AH1263" s="16"/>
      <c r="AI1263" s="439"/>
      <c r="AJ1263" s="439"/>
      <c r="AK1263" s="439"/>
    </row>
    <row r="1264" ht="18.75" customHeight="1">
      <c r="A1264" s="439"/>
      <c r="B1264" s="439"/>
      <c r="C1264" s="439"/>
      <c r="D1264" s="439"/>
      <c r="E1264" s="439"/>
      <c r="F1264" s="439"/>
      <c r="G1264" s="439"/>
      <c r="H1264" s="439"/>
      <c r="I1264" s="439"/>
      <c r="J1264" s="439"/>
      <c r="K1264" s="439"/>
      <c r="L1264" s="439"/>
      <c r="M1264" s="439"/>
      <c r="N1264" s="439"/>
      <c r="O1264" s="439"/>
      <c r="P1264" s="439"/>
      <c r="Q1264" s="439"/>
      <c r="R1264" s="439"/>
      <c r="S1264" s="439"/>
      <c r="T1264" s="264"/>
      <c r="U1264" s="439"/>
      <c r="V1264" s="16"/>
      <c r="W1264" s="119"/>
      <c r="X1264" s="119"/>
      <c r="Y1264" s="119"/>
      <c r="Z1264" s="119"/>
      <c r="AA1264" s="119"/>
      <c r="AB1264" s="119"/>
      <c r="AC1264" s="119"/>
      <c r="AD1264" s="119"/>
      <c r="AE1264" s="119"/>
      <c r="AF1264" s="119"/>
      <c r="AG1264" s="119"/>
      <c r="AH1264" s="16"/>
      <c r="AI1264" s="439"/>
      <c r="AJ1264" s="439"/>
      <c r="AK1264" s="439"/>
    </row>
    <row r="1265" ht="18.75" customHeight="1">
      <c r="A1265" s="439"/>
      <c r="B1265" s="439"/>
      <c r="C1265" s="439"/>
      <c r="D1265" s="439"/>
      <c r="E1265" s="439"/>
      <c r="F1265" s="439"/>
      <c r="G1265" s="439"/>
      <c r="H1265" s="439"/>
      <c r="I1265" s="439"/>
      <c r="J1265" s="439"/>
      <c r="K1265" s="439"/>
      <c r="L1265" s="439"/>
      <c r="M1265" s="439"/>
      <c r="N1265" s="439"/>
      <c r="O1265" s="439"/>
      <c r="P1265" s="439"/>
      <c r="Q1265" s="439"/>
      <c r="R1265" s="439"/>
      <c r="S1265" s="439"/>
      <c r="T1265" s="264"/>
      <c r="U1265" s="439"/>
      <c r="V1265" s="16"/>
      <c r="W1265" s="119"/>
      <c r="X1265" s="119"/>
      <c r="Y1265" s="119"/>
      <c r="Z1265" s="119"/>
      <c r="AA1265" s="119"/>
      <c r="AB1265" s="119"/>
      <c r="AC1265" s="119"/>
      <c r="AD1265" s="119"/>
      <c r="AE1265" s="119"/>
      <c r="AF1265" s="119"/>
      <c r="AG1265" s="119"/>
      <c r="AH1265" s="16"/>
      <c r="AI1265" s="439"/>
      <c r="AJ1265" s="439"/>
      <c r="AK1265" s="439"/>
    </row>
    <row r="1266" ht="18.75" customHeight="1">
      <c r="A1266" s="439"/>
      <c r="B1266" s="439"/>
      <c r="C1266" s="439"/>
      <c r="D1266" s="439"/>
      <c r="E1266" s="439"/>
      <c r="F1266" s="439"/>
      <c r="G1266" s="439"/>
      <c r="H1266" s="439"/>
      <c r="I1266" s="439"/>
      <c r="J1266" s="439"/>
      <c r="K1266" s="439"/>
      <c r="L1266" s="439"/>
      <c r="M1266" s="439"/>
      <c r="N1266" s="439"/>
      <c r="O1266" s="439"/>
      <c r="P1266" s="439"/>
      <c r="Q1266" s="439"/>
      <c r="R1266" s="439"/>
      <c r="S1266" s="439"/>
      <c r="T1266" s="264"/>
      <c r="U1266" s="439"/>
      <c r="V1266" s="16"/>
      <c r="W1266" s="119"/>
      <c r="X1266" s="119"/>
      <c r="Y1266" s="119"/>
      <c r="Z1266" s="119"/>
      <c r="AA1266" s="119"/>
      <c r="AB1266" s="119"/>
      <c r="AC1266" s="119"/>
      <c r="AD1266" s="119"/>
      <c r="AE1266" s="119"/>
      <c r="AF1266" s="119"/>
      <c r="AG1266" s="119"/>
      <c r="AH1266" s="16"/>
      <c r="AI1266" s="439"/>
      <c r="AJ1266" s="439"/>
      <c r="AK1266" s="439"/>
    </row>
    <row r="1267" ht="18.75" customHeight="1">
      <c r="A1267" s="439"/>
      <c r="B1267" s="439"/>
      <c r="C1267" s="439"/>
      <c r="D1267" s="439"/>
      <c r="E1267" s="439"/>
      <c r="F1267" s="439"/>
      <c r="G1267" s="439"/>
      <c r="H1267" s="439"/>
      <c r="I1267" s="439"/>
      <c r="J1267" s="439"/>
      <c r="K1267" s="439"/>
      <c r="L1267" s="439"/>
      <c r="M1267" s="439"/>
      <c r="N1267" s="439"/>
      <c r="O1267" s="439"/>
      <c r="P1267" s="439"/>
      <c r="Q1267" s="439"/>
      <c r="R1267" s="439"/>
      <c r="S1267" s="439"/>
      <c r="T1267" s="264"/>
      <c r="U1267" s="439"/>
      <c r="V1267" s="16"/>
      <c r="W1267" s="119"/>
      <c r="X1267" s="119"/>
      <c r="Y1267" s="119"/>
      <c r="Z1267" s="119"/>
      <c r="AA1267" s="119"/>
      <c r="AB1267" s="119"/>
      <c r="AC1267" s="119"/>
      <c r="AD1267" s="119"/>
      <c r="AE1267" s="119"/>
      <c r="AF1267" s="119"/>
      <c r="AG1267" s="119"/>
      <c r="AH1267" s="16"/>
      <c r="AI1267" s="439"/>
      <c r="AJ1267" s="439"/>
      <c r="AK1267" s="439"/>
    </row>
    <row r="1268" ht="18.75" customHeight="1">
      <c r="A1268" s="439"/>
      <c r="B1268" s="439"/>
      <c r="C1268" s="439"/>
      <c r="D1268" s="439"/>
      <c r="E1268" s="439"/>
      <c r="F1268" s="439"/>
      <c r="G1268" s="439"/>
      <c r="H1268" s="439"/>
      <c r="I1268" s="439"/>
      <c r="J1268" s="439"/>
      <c r="K1268" s="439"/>
      <c r="L1268" s="439"/>
      <c r="M1268" s="439"/>
      <c r="N1268" s="439"/>
      <c r="O1268" s="439"/>
      <c r="P1268" s="439"/>
      <c r="Q1268" s="439"/>
      <c r="R1268" s="439"/>
      <c r="S1268" s="439"/>
      <c r="T1268" s="264"/>
      <c r="U1268" s="439"/>
      <c r="V1268" s="16"/>
      <c r="W1268" s="119"/>
      <c r="X1268" s="119"/>
      <c r="Y1268" s="119"/>
      <c r="Z1268" s="119"/>
      <c r="AA1268" s="119"/>
      <c r="AB1268" s="119"/>
      <c r="AC1268" s="119"/>
      <c r="AD1268" s="119"/>
      <c r="AE1268" s="119"/>
      <c r="AF1268" s="119"/>
      <c r="AG1268" s="119"/>
      <c r="AH1268" s="16"/>
      <c r="AI1268" s="439"/>
      <c r="AJ1268" s="439"/>
      <c r="AK1268" s="439"/>
    </row>
    <row r="1269" ht="18.75" customHeight="1">
      <c r="A1269" s="439"/>
      <c r="B1269" s="439"/>
      <c r="C1269" s="439"/>
      <c r="D1269" s="439"/>
      <c r="E1269" s="439"/>
      <c r="F1269" s="439"/>
      <c r="G1269" s="439"/>
      <c r="H1269" s="439"/>
      <c r="I1269" s="439"/>
      <c r="J1269" s="439"/>
      <c r="K1269" s="439"/>
      <c r="L1269" s="439"/>
      <c r="M1269" s="439"/>
      <c r="N1269" s="439"/>
      <c r="O1269" s="439"/>
      <c r="P1269" s="439"/>
      <c r="Q1269" s="439"/>
      <c r="R1269" s="439"/>
      <c r="S1269" s="439"/>
      <c r="T1269" s="264"/>
      <c r="U1269" s="439"/>
      <c r="V1269" s="16"/>
      <c r="W1269" s="119"/>
      <c r="X1269" s="119"/>
      <c r="Y1269" s="119"/>
      <c r="Z1269" s="119"/>
      <c r="AA1269" s="119"/>
      <c r="AB1269" s="119"/>
      <c r="AC1269" s="119"/>
      <c r="AD1269" s="119"/>
      <c r="AE1269" s="119"/>
      <c r="AF1269" s="119"/>
      <c r="AG1269" s="119"/>
      <c r="AH1269" s="16"/>
      <c r="AI1269" s="439"/>
      <c r="AJ1269" s="439"/>
      <c r="AK1269" s="439"/>
    </row>
    <row r="1270" ht="18.75" customHeight="1">
      <c r="A1270" s="439"/>
      <c r="B1270" s="439"/>
      <c r="C1270" s="439"/>
      <c r="D1270" s="439"/>
      <c r="E1270" s="439"/>
      <c r="F1270" s="439"/>
      <c r="G1270" s="439"/>
      <c r="H1270" s="439"/>
      <c r="I1270" s="439"/>
      <c r="J1270" s="439"/>
      <c r="K1270" s="439"/>
      <c r="L1270" s="439"/>
      <c r="M1270" s="439"/>
      <c r="N1270" s="439"/>
      <c r="O1270" s="439"/>
      <c r="P1270" s="439"/>
      <c r="Q1270" s="439"/>
      <c r="R1270" s="439"/>
      <c r="S1270" s="439"/>
      <c r="T1270" s="264"/>
      <c r="U1270" s="439"/>
      <c r="V1270" s="16"/>
      <c r="W1270" s="119"/>
      <c r="X1270" s="119"/>
      <c r="Y1270" s="119"/>
      <c r="Z1270" s="119"/>
      <c r="AA1270" s="119"/>
      <c r="AB1270" s="119"/>
      <c r="AC1270" s="119"/>
      <c r="AD1270" s="119"/>
      <c r="AE1270" s="119"/>
      <c r="AF1270" s="119"/>
      <c r="AG1270" s="119"/>
      <c r="AH1270" s="16"/>
      <c r="AI1270" s="439"/>
      <c r="AJ1270" s="439"/>
      <c r="AK1270" s="439"/>
    </row>
    <row r="1271" ht="18.75" customHeight="1">
      <c r="A1271" s="439"/>
      <c r="B1271" s="439"/>
      <c r="C1271" s="439"/>
      <c r="D1271" s="439"/>
      <c r="E1271" s="439"/>
      <c r="F1271" s="439"/>
      <c r="G1271" s="439"/>
      <c r="H1271" s="439"/>
      <c r="I1271" s="439"/>
      <c r="J1271" s="439"/>
      <c r="K1271" s="439"/>
      <c r="L1271" s="439"/>
      <c r="M1271" s="439"/>
      <c r="N1271" s="439"/>
      <c r="O1271" s="439"/>
      <c r="P1271" s="439"/>
      <c r="Q1271" s="439"/>
      <c r="R1271" s="439"/>
      <c r="S1271" s="439"/>
      <c r="T1271" s="264"/>
      <c r="U1271" s="439"/>
      <c r="V1271" s="16"/>
      <c r="W1271" s="119"/>
      <c r="X1271" s="119"/>
      <c r="Y1271" s="119"/>
      <c r="Z1271" s="119"/>
      <c r="AA1271" s="119"/>
      <c r="AB1271" s="119"/>
      <c r="AC1271" s="119"/>
      <c r="AD1271" s="119"/>
      <c r="AE1271" s="119"/>
      <c r="AF1271" s="119"/>
      <c r="AG1271" s="119"/>
      <c r="AH1271" s="16"/>
      <c r="AI1271" s="439"/>
      <c r="AJ1271" s="439"/>
      <c r="AK1271" s="439"/>
    </row>
    <row r="1272" ht="18.75" customHeight="1">
      <c r="A1272" s="439"/>
      <c r="B1272" s="439"/>
      <c r="C1272" s="439"/>
      <c r="D1272" s="439"/>
      <c r="E1272" s="439"/>
      <c r="F1272" s="439"/>
      <c r="G1272" s="439"/>
      <c r="H1272" s="439"/>
      <c r="I1272" s="439"/>
      <c r="J1272" s="439"/>
      <c r="K1272" s="439"/>
      <c r="L1272" s="439"/>
      <c r="M1272" s="439"/>
      <c r="N1272" s="439"/>
      <c r="O1272" s="439"/>
      <c r="P1272" s="439"/>
      <c r="Q1272" s="439"/>
      <c r="R1272" s="439"/>
      <c r="S1272" s="439"/>
      <c r="T1272" s="264"/>
      <c r="U1272" s="439"/>
      <c r="V1272" s="16"/>
      <c r="W1272" s="119"/>
      <c r="X1272" s="119"/>
      <c r="Y1272" s="119"/>
      <c r="Z1272" s="119"/>
      <c r="AA1272" s="119"/>
      <c r="AB1272" s="119"/>
      <c r="AC1272" s="119"/>
      <c r="AD1272" s="119"/>
      <c r="AE1272" s="119"/>
      <c r="AF1272" s="119"/>
      <c r="AG1272" s="119"/>
      <c r="AH1272" s="16"/>
      <c r="AI1272" s="439"/>
      <c r="AJ1272" s="439"/>
      <c r="AK1272" s="439"/>
    </row>
    <row r="1273" ht="18.75" customHeight="1">
      <c r="A1273" s="439"/>
      <c r="B1273" s="439"/>
      <c r="C1273" s="439"/>
      <c r="D1273" s="439"/>
      <c r="E1273" s="439"/>
      <c r="F1273" s="439"/>
      <c r="G1273" s="439"/>
      <c r="H1273" s="439"/>
      <c r="I1273" s="439"/>
      <c r="J1273" s="439"/>
      <c r="K1273" s="439"/>
      <c r="L1273" s="439"/>
      <c r="M1273" s="439"/>
      <c r="N1273" s="439"/>
      <c r="O1273" s="439"/>
      <c r="P1273" s="439"/>
      <c r="Q1273" s="439"/>
      <c r="R1273" s="439"/>
      <c r="S1273" s="439"/>
      <c r="T1273" s="264"/>
      <c r="U1273" s="439"/>
      <c r="V1273" s="16"/>
      <c r="W1273" s="119"/>
      <c r="X1273" s="119"/>
      <c r="Y1273" s="119"/>
      <c r="Z1273" s="119"/>
      <c r="AA1273" s="119"/>
      <c r="AB1273" s="119"/>
      <c r="AC1273" s="119"/>
      <c r="AD1273" s="119"/>
      <c r="AE1273" s="119"/>
      <c r="AF1273" s="119"/>
      <c r="AG1273" s="119"/>
      <c r="AH1273" s="16"/>
      <c r="AI1273" s="439"/>
      <c r="AJ1273" s="439"/>
      <c r="AK1273" s="439"/>
    </row>
    <row r="1274" ht="18.75" customHeight="1">
      <c r="A1274" s="439"/>
      <c r="B1274" s="439"/>
      <c r="C1274" s="439"/>
      <c r="D1274" s="439"/>
      <c r="E1274" s="439"/>
      <c r="F1274" s="439"/>
      <c r="G1274" s="439"/>
      <c r="H1274" s="439"/>
      <c r="I1274" s="439"/>
      <c r="J1274" s="439"/>
      <c r="K1274" s="439"/>
      <c r="L1274" s="439"/>
      <c r="M1274" s="439"/>
      <c r="N1274" s="439"/>
      <c r="O1274" s="439"/>
      <c r="P1274" s="439"/>
      <c r="Q1274" s="439"/>
      <c r="R1274" s="439"/>
      <c r="S1274" s="439"/>
      <c r="T1274" s="264"/>
      <c r="U1274" s="439"/>
      <c r="V1274" s="16"/>
      <c r="W1274" s="119"/>
      <c r="X1274" s="119"/>
      <c r="Y1274" s="119"/>
      <c r="Z1274" s="119"/>
      <c r="AA1274" s="119"/>
      <c r="AB1274" s="119"/>
      <c r="AC1274" s="119"/>
      <c r="AD1274" s="119"/>
      <c r="AE1274" s="119"/>
      <c r="AF1274" s="119"/>
      <c r="AG1274" s="119"/>
      <c r="AH1274" s="16"/>
      <c r="AI1274" s="439"/>
      <c r="AJ1274" s="439"/>
      <c r="AK1274" s="439"/>
    </row>
    <row r="1275" ht="18.75" customHeight="1">
      <c r="A1275" s="439"/>
      <c r="B1275" s="439"/>
      <c r="C1275" s="439"/>
      <c r="D1275" s="439"/>
      <c r="E1275" s="439"/>
      <c r="F1275" s="439"/>
      <c r="G1275" s="439"/>
      <c r="H1275" s="439"/>
      <c r="I1275" s="439"/>
      <c r="J1275" s="439"/>
      <c r="K1275" s="439"/>
      <c r="L1275" s="439"/>
      <c r="M1275" s="439"/>
      <c r="N1275" s="439"/>
      <c r="O1275" s="439"/>
      <c r="P1275" s="439"/>
      <c r="Q1275" s="439"/>
      <c r="R1275" s="439"/>
      <c r="S1275" s="439"/>
      <c r="T1275" s="264"/>
      <c r="U1275" s="439"/>
      <c r="V1275" s="16"/>
      <c r="W1275" s="119"/>
      <c r="X1275" s="119"/>
      <c r="Y1275" s="119"/>
      <c r="Z1275" s="119"/>
      <c r="AA1275" s="119"/>
      <c r="AB1275" s="119"/>
      <c r="AC1275" s="119"/>
      <c r="AD1275" s="119"/>
      <c r="AE1275" s="119"/>
      <c r="AF1275" s="119"/>
      <c r="AG1275" s="119"/>
      <c r="AH1275" s="16"/>
      <c r="AI1275" s="439"/>
      <c r="AJ1275" s="439"/>
      <c r="AK1275" s="439"/>
    </row>
    <row r="1276" ht="18.75" customHeight="1">
      <c r="A1276" s="439"/>
      <c r="B1276" s="439"/>
      <c r="C1276" s="439"/>
      <c r="D1276" s="439"/>
      <c r="E1276" s="439"/>
      <c r="F1276" s="439"/>
      <c r="G1276" s="439"/>
      <c r="H1276" s="439"/>
      <c r="I1276" s="439"/>
      <c r="J1276" s="439"/>
      <c r="K1276" s="439"/>
      <c r="L1276" s="439"/>
      <c r="M1276" s="439"/>
      <c r="N1276" s="439"/>
      <c r="O1276" s="439"/>
      <c r="P1276" s="439"/>
      <c r="Q1276" s="439"/>
      <c r="R1276" s="439"/>
      <c r="S1276" s="439"/>
      <c r="T1276" s="264"/>
      <c r="U1276" s="439"/>
      <c r="V1276" s="16"/>
      <c r="W1276" s="119"/>
      <c r="X1276" s="119"/>
      <c r="Y1276" s="119"/>
      <c r="Z1276" s="119"/>
      <c r="AA1276" s="119"/>
      <c r="AB1276" s="119"/>
      <c r="AC1276" s="119"/>
      <c r="AD1276" s="119"/>
      <c r="AE1276" s="119"/>
      <c r="AF1276" s="119"/>
      <c r="AG1276" s="119"/>
      <c r="AH1276" s="16"/>
      <c r="AI1276" s="439"/>
      <c r="AJ1276" s="439"/>
      <c r="AK1276" s="439"/>
    </row>
    <row r="1277" ht="18.75" customHeight="1">
      <c r="A1277" s="439"/>
      <c r="B1277" s="439"/>
      <c r="C1277" s="439"/>
      <c r="D1277" s="439"/>
      <c r="E1277" s="439"/>
      <c r="F1277" s="439"/>
      <c r="G1277" s="439"/>
      <c r="H1277" s="439"/>
      <c r="I1277" s="439"/>
      <c r="J1277" s="439"/>
      <c r="K1277" s="439"/>
      <c r="L1277" s="439"/>
      <c r="M1277" s="439"/>
      <c r="N1277" s="439"/>
      <c r="O1277" s="439"/>
      <c r="P1277" s="439"/>
      <c r="Q1277" s="439"/>
      <c r="R1277" s="439"/>
      <c r="S1277" s="439"/>
      <c r="T1277" s="264"/>
      <c r="U1277" s="439"/>
      <c r="V1277" s="16"/>
      <c r="W1277" s="119"/>
      <c r="X1277" s="119"/>
      <c r="Y1277" s="119"/>
      <c r="Z1277" s="119"/>
      <c r="AA1277" s="119"/>
      <c r="AB1277" s="119"/>
      <c r="AC1277" s="119"/>
      <c r="AD1277" s="119"/>
      <c r="AE1277" s="119"/>
      <c r="AF1277" s="119"/>
      <c r="AG1277" s="119"/>
      <c r="AH1277" s="16"/>
      <c r="AI1277" s="439"/>
      <c r="AJ1277" s="439"/>
      <c r="AK1277" s="439"/>
    </row>
    <row r="1278" ht="18.75" customHeight="1">
      <c r="A1278" s="439"/>
      <c r="B1278" s="439"/>
      <c r="C1278" s="439"/>
      <c r="D1278" s="439"/>
      <c r="E1278" s="439"/>
      <c r="F1278" s="439"/>
      <c r="G1278" s="439"/>
      <c r="H1278" s="439"/>
      <c r="I1278" s="439"/>
      <c r="J1278" s="439"/>
      <c r="K1278" s="439"/>
      <c r="L1278" s="439"/>
      <c r="M1278" s="439"/>
      <c r="N1278" s="439"/>
      <c r="O1278" s="439"/>
      <c r="P1278" s="439"/>
      <c r="Q1278" s="439"/>
      <c r="R1278" s="439"/>
      <c r="S1278" s="439"/>
      <c r="T1278" s="264"/>
      <c r="U1278" s="439"/>
      <c r="V1278" s="16"/>
      <c r="W1278" s="119"/>
      <c r="X1278" s="119"/>
      <c r="Y1278" s="119"/>
      <c r="Z1278" s="119"/>
      <c r="AA1278" s="119"/>
      <c r="AB1278" s="119"/>
      <c r="AC1278" s="119"/>
      <c r="AD1278" s="119"/>
      <c r="AE1278" s="119"/>
      <c r="AF1278" s="119"/>
      <c r="AG1278" s="119"/>
      <c r="AH1278" s="16"/>
      <c r="AI1278" s="439"/>
      <c r="AJ1278" s="439"/>
      <c r="AK1278" s="439"/>
    </row>
    <row r="1279" ht="18.75" customHeight="1">
      <c r="A1279" s="439"/>
      <c r="B1279" s="439"/>
      <c r="C1279" s="439"/>
      <c r="D1279" s="439"/>
      <c r="E1279" s="439"/>
      <c r="F1279" s="439"/>
      <c r="G1279" s="439"/>
      <c r="H1279" s="439"/>
      <c r="I1279" s="439"/>
      <c r="J1279" s="439"/>
      <c r="K1279" s="439"/>
      <c r="L1279" s="439"/>
      <c r="M1279" s="439"/>
      <c r="N1279" s="439"/>
      <c r="O1279" s="439"/>
      <c r="P1279" s="439"/>
      <c r="Q1279" s="439"/>
      <c r="R1279" s="439"/>
      <c r="S1279" s="439"/>
      <c r="T1279" s="264"/>
      <c r="U1279" s="439"/>
      <c r="V1279" s="16"/>
      <c r="W1279" s="119"/>
      <c r="X1279" s="119"/>
      <c r="Y1279" s="119"/>
      <c r="Z1279" s="119"/>
      <c r="AA1279" s="119"/>
      <c r="AB1279" s="119"/>
      <c r="AC1279" s="119"/>
      <c r="AD1279" s="119"/>
      <c r="AE1279" s="119"/>
      <c r="AF1279" s="119"/>
      <c r="AG1279" s="119"/>
      <c r="AH1279" s="16"/>
      <c r="AI1279" s="439"/>
      <c r="AJ1279" s="439"/>
      <c r="AK1279" s="439"/>
    </row>
    <row r="1280" ht="18.75" customHeight="1">
      <c r="A1280" s="439"/>
      <c r="B1280" s="439"/>
      <c r="C1280" s="439"/>
      <c r="D1280" s="439"/>
      <c r="E1280" s="439"/>
      <c r="F1280" s="439"/>
      <c r="G1280" s="439"/>
      <c r="H1280" s="439"/>
      <c r="I1280" s="439"/>
      <c r="J1280" s="439"/>
      <c r="K1280" s="439"/>
      <c r="L1280" s="439"/>
      <c r="M1280" s="439"/>
      <c r="N1280" s="439"/>
      <c r="O1280" s="439"/>
      <c r="P1280" s="439"/>
      <c r="Q1280" s="439"/>
      <c r="R1280" s="439"/>
      <c r="S1280" s="439"/>
      <c r="T1280" s="264"/>
      <c r="U1280" s="439"/>
      <c r="V1280" s="16"/>
      <c r="W1280" s="119"/>
      <c r="X1280" s="119"/>
      <c r="Y1280" s="119"/>
      <c r="Z1280" s="119"/>
      <c r="AA1280" s="119"/>
      <c r="AB1280" s="119"/>
      <c r="AC1280" s="119"/>
      <c r="AD1280" s="119"/>
      <c r="AE1280" s="119"/>
      <c r="AF1280" s="119"/>
      <c r="AG1280" s="119"/>
      <c r="AH1280" s="16"/>
      <c r="AI1280" s="439"/>
      <c r="AJ1280" s="439"/>
      <c r="AK1280" s="439"/>
    </row>
    <row r="1281" ht="18.75" customHeight="1">
      <c r="A1281" s="439"/>
      <c r="B1281" s="439"/>
      <c r="C1281" s="439"/>
      <c r="D1281" s="439"/>
      <c r="E1281" s="439"/>
      <c r="F1281" s="439"/>
      <c r="G1281" s="439"/>
      <c r="H1281" s="439"/>
      <c r="I1281" s="439"/>
      <c r="J1281" s="439"/>
      <c r="K1281" s="439"/>
      <c r="L1281" s="439"/>
      <c r="M1281" s="439"/>
      <c r="N1281" s="439"/>
      <c r="O1281" s="439"/>
      <c r="P1281" s="439"/>
      <c r="Q1281" s="439"/>
      <c r="R1281" s="439"/>
      <c r="S1281" s="439"/>
      <c r="T1281" s="264"/>
      <c r="U1281" s="439"/>
      <c r="V1281" s="16"/>
      <c r="W1281" s="119"/>
      <c r="X1281" s="119"/>
      <c r="Y1281" s="119"/>
      <c r="Z1281" s="119"/>
      <c r="AA1281" s="119"/>
      <c r="AB1281" s="119"/>
      <c r="AC1281" s="119"/>
      <c r="AD1281" s="119"/>
      <c r="AE1281" s="119"/>
      <c r="AF1281" s="119"/>
      <c r="AG1281" s="119"/>
      <c r="AH1281" s="16"/>
      <c r="AI1281" s="439"/>
      <c r="AJ1281" s="439"/>
      <c r="AK1281" s="439"/>
    </row>
    <row r="1282" ht="18.75" customHeight="1">
      <c r="A1282" s="439"/>
      <c r="B1282" s="439"/>
      <c r="C1282" s="439"/>
      <c r="D1282" s="439"/>
      <c r="E1282" s="439"/>
      <c r="F1282" s="439"/>
      <c r="G1282" s="439"/>
      <c r="H1282" s="439"/>
      <c r="I1282" s="439"/>
      <c r="J1282" s="439"/>
      <c r="K1282" s="439"/>
      <c r="L1282" s="439"/>
      <c r="M1282" s="439"/>
      <c r="N1282" s="439"/>
      <c r="O1282" s="439"/>
      <c r="P1282" s="439"/>
      <c r="Q1282" s="439"/>
      <c r="R1282" s="439"/>
      <c r="S1282" s="439"/>
      <c r="T1282" s="264"/>
      <c r="U1282" s="439"/>
      <c r="V1282" s="16"/>
      <c r="W1282" s="119"/>
      <c r="X1282" s="119"/>
      <c r="Y1282" s="119"/>
      <c r="Z1282" s="119"/>
      <c r="AA1282" s="119"/>
      <c r="AB1282" s="119"/>
      <c r="AC1282" s="119"/>
      <c r="AD1282" s="119"/>
      <c r="AE1282" s="119"/>
      <c r="AF1282" s="119"/>
      <c r="AG1282" s="119"/>
      <c r="AH1282" s="16"/>
      <c r="AI1282" s="439"/>
      <c r="AJ1282" s="439"/>
      <c r="AK1282" s="439"/>
    </row>
    <row r="1283" ht="18.75" customHeight="1">
      <c r="A1283" s="439"/>
      <c r="B1283" s="439"/>
      <c r="C1283" s="439"/>
      <c r="D1283" s="439"/>
      <c r="E1283" s="439"/>
      <c r="F1283" s="439"/>
      <c r="G1283" s="439"/>
      <c r="H1283" s="439"/>
      <c r="I1283" s="439"/>
      <c r="J1283" s="439"/>
      <c r="K1283" s="439"/>
      <c r="L1283" s="439"/>
      <c r="M1283" s="439"/>
      <c r="N1283" s="439"/>
      <c r="O1283" s="439"/>
      <c r="P1283" s="439"/>
      <c r="Q1283" s="439"/>
      <c r="R1283" s="439"/>
      <c r="S1283" s="439"/>
      <c r="T1283" s="264"/>
      <c r="U1283" s="439"/>
      <c r="V1283" s="16"/>
      <c r="W1283" s="119"/>
      <c r="X1283" s="119"/>
      <c r="Y1283" s="119"/>
      <c r="Z1283" s="119"/>
      <c r="AA1283" s="119"/>
      <c r="AB1283" s="119"/>
      <c r="AC1283" s="119"/>
      <c r="AD1283" s="119"/>
      <c r="AE1283" s="119"/>
      <c r="AF1283" s="119"/>
      <c r="AG1283" s="119"/>
      <c r="AH1283" s="16"/>
      <c r="AI1283" s="439"/>
      <c r="AJ1283" s="439"/>
      <c r="AK1283" s="439"/>
    </row>
    <row r="1284" ht="18.75" customHeight="1">
      <c r="A1284" s="439"/>
      <c r="B1284" s="439"/>
      <c r="C1284" s="439"/>
      <c r="D1284" s="439"/>
      <c r="E1284" s="439"/>
      <c r="F1284" s="439"/>
      <c r="G1284" s="439"/>
      <c r="H1284" s="439"/>
      <c r="I1284" s="439"/>
      <c r="J1284" s="439"/>
      <c r="K1284" s="439"/>
      <c r="L1284" s="439"/>
      <c r="M1284" s="439"/>
      <c r="N1284" s="439"/>
      <c r="O1284" s="439"/>
      <c r="P1284" s="439"/>
      <c r="Q1284" s="439"/>
      <c r="R1284" s="439"/>
      <c r="S1284" s="439"/>
      <c r="T1284" s="264"/>
      <c r="U1284" s="439"/>
      <c r="V1284" s="16"/>
      <c r="W1284" s="119"/>
      <c r="X1284" s="119"/>
      <c r="Y1284" s="119"/>
      <c r="Z1284" s="119"/>
      <c r="AA1284" s="119"/>
      <c r="AB1284" s="119"/>
      <c r="AC1284" s="119"/>
      <c r="AD1284" s="119"/>
      <c r="AE1284" s="119"/>
      <c r="AF1284" s="119"/>
      <c r="AG1284" s="119"/>
      <c r="AH1284" s="16"/>
      <c r="AI1284" s="439"/>
      <c r="AJ1284" s="439"/>
      <c r="AK1284" s="439"/>
    </row>
    <row r="1285" ht="18.75" customHeight="1">
      <c r="A1285" s="439"/>
      <c r="B1285" s="439"/>
      <c r="C1285" s="439"/>
      <c r="D1285" s="439"/>
      <c r="E1285" s="439"/>
      <c r="F1285" s="439"/>
      <c r="G1285" s="439"/>
      <c r="H1285" s="439"/>
      <c r="I1285" s="439"/>
      <c r="J1285" s="439"/>
      <c r="K1285" s="439"/>
      <c r="L1285" s="439"/>
      <c r="M1285" s="439"/>
      <c r="N1285" s="439"/>
      <c r="O1285" s="439"/>
      <c r="P1285" s="439"/>
      <c r="Q1285" s="439"/>
      <c r="R1285" s="439"/>
      <c r="S1285" s="439"/>
      <c r="T1285" s="264"/>
      <c r="U1285" s="439"/>
      <c r="V1285" s="16"/>
      <c r="W1285" s="119"/>
      <c r="X1285" s="119"/>
      <c r="Y1285" s="119"/>
      <c r="Z1285" s="119"/>
      <c r="AA1285" s="119"/>
      <c r="AB1285" s="119"/>
      <c r="AC1285" s="119"/>
      <c r="AD1285" s="119"/>
      <c r="AE1285" s="119"/>
      <c r="AF1285" s="119"/>
      <c r="AG1285" s="119"/>
      <c r="AH1285" s="16"/>
      <c r="AI1285" s="439"/>
      <c r="AJ1285" s="439"/>
      <c r="AK1285" s="439"/>
    </row>
    <row r="1286" ht="18.75" customHeight="1">
      <c r="A1286" s="439"/>
      <c r="B1286" s="439"/>
      <c r="C1286" s="439"/>
      <c r="D1286" s="439"/>
      <c r="E1286" s="439"/>
      <c r="F1286" s="439"/>
      <c r="G1286" s="439"/>
      <c r="H1286" s="439"/>
      <c r="I1286" s="439"/>
      <c r="J1286" s="439"/>
      <c r="K1286" s="439"/>
      <c r="L1286" s="439"/>
      <c r="M1286" s="439"/>
      <c r="N1286" s="439"/>
      <c r="O1286" s="439"/>
      <c r="P1286" s="439"/>
      <c r="Q1286" s="439"/>
      <c r="R1286" s="439"/>
      <c r="S1286" s="439"/>
      <c r="T1286" s="264"/>
      <c r="U1286" s="439"/>
      <c r="V1286" s="16"/>
      <c r="W1286" s="119"/>
      <c r="X1286" s="119"/>
      <c r="Y1286" s="119"/>
      <c r="Z1286" s="119"/>
      <c r="AA1286" s="119"/>
      <c r="AB1286" s="119"/>
      <c r="AC1286" s="119"/>
      <c r="AD1286" s="119"/>
      <c r="AE1286" s="119"/>
      <c r="AF1286" s="119"/>
      <c r="AG1286" s="119"/>
      <c r="AH1286" s="16"/>
      <c r="AI1286" s="439"/>
      <c r="AJ1286" s="439"/>
      <c r="AK1286" s="439"/>
    </row>
    <row r="1287" ht="18.75" customHeight="1">
      <c r="A1287" s="439"/>
      <c r="B1287" s="439"/>
      <c r="C1287" s="439"/>
      <c r="D1287" s="439"/>
      <c r="E1287" s="439"/>
      <c r="F1287" s="439"/>
      <c r="G1287" s="439"/>
      <c r="H1287" s="439"/>
      <c r="I1287" s="439"/>
      <c r="J1287" s="439"/>
      <c r="K1287" s="439"/>
      <c r="L1287" s="439"/>
      <c r="M1287" s="439"/>
      <c r="N1287" s="439"/>
      <c r="O1287" s="439"/>
      <c r="P1287" s="439"/>
      <c r="Q1287" s="439"/>
      <c r="R1287" s="439"/>
      <c r="S1287" s="439"/>
      <c r="T1287" s="264"/>
      <c r="U1287" s="439"/>
      <c r="V1287" s="16"/>
      <c r="W1287" s="119"/>
      <c r="X1287" s="119"/>
      <c r="Y1287" s="119"/>
      <c r="Z1287" s="119"/>
      <c r="AA1287" s="119"/>
      <c r="AB1287" s="119"/>
      <c r="AC1287" s="119"/>
      <c r="AD1287" s="119"/>
      <c r="AE1287" s="119"/>
      <c r="AF1287" s="119"/>
      <c r="AG1287" s="119"/>
      <c r="AH1287" s="16"/>
      <c r="AI1287" s="439"/>
      <c r="AJ1287" s="439"/>
      <c r="AK1287" s="439"/>
    </row>
    <row r="1288" ht="18.75" customHeight="1">
      <c r="A1288" s="439"/>
      <c r="B1288" s="439"/>
      <c r="C1288" s="439"/>
      <c r="D1288" s="439"/>
      <c r="E1288" s="439"/>
      <c r="F1288" s="439"/>
      <c r="G1288" s="439"/>
      <c r="H1288" s="439"/>
      <c r="I1288" s="439"/>
      <c r="J1288" s="439"/>
      <c r="K1288" s="439"/>
      <c r="L1288" s="439"/>
      <c r="M1288" s="439"/>
      <c r="N1288" s="439"/>
      <c r="O1288" s="439"/>
      <c r="P1288" s="439"/>
      <c r="Q1288" s="439"/>
      <c r="R1288" s="439"/>
      <c r="S1288" s="439"/>
      <c r="T1288" s="264"/>
      <c r="U1288" s="439"/>
      <c r="V1288" s="16"/>
      <c r="W1288" s="119"/>
      <c r="X1288" s="119"/>
      <c r="Y1288" s="119"/>
      <c r="Z1288" s="119"/>
      <c r="AA1288" s="119"/>
      <c r="AB1288" s="119"/>
      <c r="AC1288" s="119"/>
      <c r="AD1288" s="119"/>
      <c r="AE1288" s="119"/>
      <c r="AF1288" s="119"/>
      <c r="AG1288" s="119"/>
      <c r="AH1288" s="16"/>
      <c r="AI1288" s="439"/>
      <c r="AJ1288" s="439"/>
      <c r="AK1288" s="439"/>
    </row>
    <row r="1289" ht="18.75" customHeight="1">
      <c r="A1289" s="439"/>
      <c r="B1289" s="439"/>
      <c r="C1289" s="439"/>
      <c r="D1289" s="439"/>
      <c r="E1289" s="439"/>
      <c r="F1289" s="439"/>
      <c r="G1289" s="439"/>
      <c r="H1289" s="439"/>
      <c r="I1289" s="439"/>
      <c r="J1289" s="439"/>
      <c r="K1289" s="439"/>
      <c r="L1289" s="439"/>
      <c r="M1289" s="439"/>
      <c r="N1289" s="439"/>
      <c r="O1289" s="439"/>
      <c r="P1289" s="439"/>
      <c r="Q1289" s="439"/>
      <c r="R1289" s="439"/>
      <c r="S1289" s="439"/>
      <c r="T1289" s="264"/>
      <c r="U1289" s="439"/>
      <c r="V1289" s="16"/>
      <c r="W1289" s="119"/>
      <c r="X1289" s="119"/>
      <c r="Y1289" s="119"/>
      <c r="Z1289" s="119"/>
      <c r="AA1289" s="119"/>
      <c r="AB1289" s="119"/>
      <c r="AC1289" s="119"/>
      <c r="AD1289" s="119"/>
      <c r="AE1289" s="119"/>
      <c r="AF1289" s="119"/>
      <c r="AG1289" s="119"/>
      <c r="AH1289" s="16"/>
      <c r="AI1289" s="439"/>
      <c r="AJ1289" s="439"/>
      <c r="AK1289" s="439"/>
    </row>
    <row r="1290" ht="18.75" customHeight="1">
      <c r="A1290" s="439"/>
      <c r="B1290" s="439"/>
      <c r="C1290" s="439"/>
      <c r="D1290" s="439"/>
      <c r="E1290" s="439"/>
      <c r="F1290" s="439"/>
      <c r="G1290" s="439"/>
      <c r="H1290" s="439"/>
      <c r="I1290" s="439"/>
      <c r="J1290" s="439"/>
      <c r="K1290" s="439"/>
      <c r="L1290" s="439"/>
      <c r="M1290" s="439"/>
      <c r="N1290" s="439"/>
      <c r="O1290" s="439"/>
      <c r="P1290" s="439"/>
      <c r="Q1290" s="439"/>
      <c r="R1290" s="439"/>
      <c r="S1290" s="439"/>
      <c r="T1290" s="264"/>
      <c r="U1290" s="439"/>
      <c r="V1290" s="16"/>
      <c r="W1290" s="119"/>
      <c r="X1290" s="119"/>
      <c r="Y1290" s="119"/>
      <c r="Z1290" s="119"/>
      <c r="AA1290" s="119"/>
      <c r="AB1290" s="119"/>
      <c r="AC1290" s="119"/>
      <c r="AD1290" s="119"/>
      <c r="AE1290" s="119"/>
      <c r="AF1290" s="119"/>
      <c r="AG1290" s="119"/>
      <c r="AH1290" s="16"/>
      <c r="AI1290" s="439"/>
      <c r="AJ1290" s="439"/>
      <c r="AK1290" s="439"/>
    </row>
    <row r="1291" ht="18.75" customHeight="1">
      <c r="A1291" s="439"/>
      <c r="B1291" s="439"/>
      <c r="C1291" s="439"/>
      <c r="D1291" s="439"/>
      <c r="E1291" s="439"/>
      <c r="F1291" s="439"/>
      <c r="G1291" s="439"/>
      <c r="H1291" s="439"/>
      <c r="I1291" s="439"/>
      <c r="J1291" s="439"/>
      <c r="K1291" s="439"/>
      <c r="L1291" s="439"/>
      <c r="M1291" s="439"/>
      <c r="N1291" s="439"/>
      <c r="O1291" s="439"/>
      <c r="P1291" s="439"/>
      <c r="Q1291" s="439"/>
      <c r="R1291" s="439"/>
      <c r="S1291" s="439"/>
      <c r="T1291" s="264"/>
      <c r="U1291" s="439"/>
      <c r="V1291" s="16"/>
      <c r="W1291" s="119"/>
      <c r="X1291" s="119"/>
      <c r="Y1291" s="119"/>
      <c r="Z1291" s="119"/>
      <c r="AA1291" s="119"/>
      <c r="AB1291" s="119"/>
      <c r="AC1291" s="119"/>
      <c r="AD1291" s="119"/>
      <c r="AE1291" s="119"/>
      <c r="AF1291" s="119"/>
      <c r="AG1291" s="119"/>
      <c r="AH1291" s="16"/>
      <c r="AI1291" s="439"/>
      <c r="AJ1291" s="439"/>
      <c r="AK1291" s="439"/>
    </row>
    <row r="1292" ht="18.75" customHeight="1">
      <c r="A1292" s="439"/>
      <c r="B1292" s="439"/>
      <c r="C1292" s="439"/>
      <c r="D1292" s="439"/>
      <c r="E1292" s="439"/>
      <c r="F1292" s="439"/>
      <c r="G1292" s="439"/>
      <c r="H1292" s="439"/>
      <c r="I1292" s="439"/>
      <c r="J1292" s="439"/>
      <c r="K1292" s="439"/>
      <c r="L1292" s="439"/>
      <c r="M1292" s="439"/>
      <c r="N1292" s="439"/>
      <c r="O1292" s="439"/>
      <c r="P1292" s="439"/>
      <c r="Q1292" s="439"/>
      <c r="R1292" s="439"/>
      <c r="S1292" s="439"/>
      <c r="T1292" s="264"/>
      <c r="U1292" s="439"/>
      <c r="V1292" s="16"/>
      <c r="W1292" s="119"/>
      <c r="X1292" s="119"/>
      <c r="Y1292" s="119"/>
      <c r="Z1292" s="119"/>
      <c r="AA1292" s="119"/>
      <c r="AB1292" s="119"/>
      <c r="AC1292" s="119"/>
      <c r="AD1292" s="119"/>
      <c r="AE1292" s="119"/>
      <c r="AF1292" s="119"/>
      <c r="AG1292" s="119"/>
      <c r="AH1292" s="16"/>
      <c r="AI1292" s="439"/>
      <c r="AJ1292" s="439"/>
      <c r="AK1292" s="439"/>
    </row>
    <row r="1293" ht="18.75" customHeight="1">
      <c r="A1293" s="439"/>
      <c r="B1293" s="439"/>
      <c r="C1293" s="439"/>
      <c r="D1293" s="439"/>
      <c r="E1293" s="439"/>
      <c r="F1293" s="439"/>
      <c r="G1293" s="439"/>
      <c r="H1293" s="439"/>
      <c r="I1293" s="439"/>
      <c r="J1293" s="439"/>
      <c r="K1293" s="439"/>
      <c r="L1293" s="439"/>
      <c r="M1293" s="439"/>
      <c r="N1293" s="439"/>
      <c r="O1293" s="439"/>
      <c r="P1293" s="439"/>
      <c r="Q1293" s="439"/>
      <c r="R1293" s="439"/>
      <c r="S1293" s="439"/>
      <c r="T1293" s="264"/>
      <c r="U1293" s="439"/>
      <c r="V1293" s="16"/>
      <c r="W1293" s="119"/>
      <c r="X1293" s="119"/>
      <c r="Y1293" s="119"/>
      <c r="Z1293" s="119"/>
      <c r="AA1293" s="119"/>
      <c r="AB1293" s="119"/>
      <c r="AC1293" s="119"/>
      <c r="AD1293" s="119"/>
      <c r="AE1293" s="119"/>
      <c r="AF1293" s="119"/>
      <c r="AG1293" s="119"/>
      <c r="AH1293" s="16"/>
      <c r="AI1293" s="439"/>
      <c r="AJ1293" s="439"/>
      <c r="AK1293" s="439"/>
    </row>
    <row r="1294" ht="18.75" customHeight="1">
      <c r="A1294" s="439"/>
      <c r="B1294" s="439"/>
      <c r="C1294" s="439"/>
      <c r="D1294" s="439"/>
      <c r="E1294" s="439"/>
      <c r="F1294" s="439"/>
      <c r="G1294" s="439"/>
      <c r="H1294" s="439"/>
      <c r="I1294" s="439"/>
      <c r="J1294" s="439"/>
      <c r="K1294" s="439"/>
      <c r="L1294" s="439"/>
      <c r="M1294" s="439"/>
      <c r="N1294" s="439"/>
      <c r="O1294" s="439"/>
      <c r="P1294" s="439"/>
      <c r="Q1294" s="439"/>
      <c r="R1294" s="439"/>
      <c r="S1294" s="439"/>
      <c r="T1294" s="264"/>
      <c r="U1294" s="439"/>
      <c r="V1294" s="16"/>
      <c r="W1294" s="119"/>
      <c r="X1294" s="119"/>
      <c r="Y1294" s="119"/>
      <c r="Z1294" s="119"/>
      <c r="AA1294" s="119"/>
      <c r="AB1294" s="119"/>
      <c r="AC1294" s="119"/>
      <c r="AD1294" s="119"/>
      <c r="AE1294" s="119"/>
      <c r="AF1294" s="119"/>
      <c r="AG1294" s="119"/>
      <c r="AH1294" s="16"/>
      <c r="AI1294" s="439"/>
      <c r="AJ1294" s="439"/>
      <c r="AK1294" s="439"/>
    </row>
    <row r="1295" ht="18.75" customHeight="1">
      <c r="A1295" s="439"/>
      <c r="B1295" s="439"/>
      <c r="C1295" s="439"/>
      <c r="D1295" s="439"/>
      <c r="E1295" s="439"/>
      <c r="F1295" s="439"/>
      <c r="G1295" s="439"/>
      <c r="H1295" s="439"/>
      <c r="I1295" s="439"/>
      <c r="J1295" s="439"/>
      <c r="K1295" s="439"/>
      <c r="L1295" s="439"/>
      <c r="M1295" s="439"/>
      <c r="N1295" s="439"/>
      <c r="O1295" s="439"/>
      <c r="P1295" s="439"/>
      <c r="Q1295" s="439"/>
      <c r="R1295" s="439"/>
      <c r="S1295" s="439"/>
      <c r="T1295" s="264"/>
      <c r="U1295" s="439"/>
      <c r="V1295" s="16"/>
      <c r="W1295" s="119"/>
      <c r="X1295" s="119"/>
      <c r="Y1295" s="119"/>
      <c r="Z1295" s="119"/>
      <c r="AA1295" s="119"/>
      <c r="AB1295" s="119"/>
      <c r="AC1295" s="119"/>
      <c r="AD1295" s="119"/>
      <c r="AE1295" s="119"/>
      <c r="AF1295" s="119"/>
      <c r="AG1295" s="119"/>
      <c r="AH1295" s="16"/>
      <c r="AI1295" s="439"/>
      <c r="AJ1295" s="439"/>
      <c r="AK1295" s="439"/>
    </row>
    <row r="1296" ht="18.75" customHeight="1">
      <c r="A1296" s="439"/>
      <c r="B1296" s="439"/>
      <c r="C1296" s="439"/>
      <c r="D1296" s="439"/>
      <c r="E1296" s="439"/>
      <c r="F1296" s="439"/>
      <c r="G1296" s="439"/>
      <c r="H1296" s="439"/>
      <c r="I1296" s="439"/>
      <c r="J1296" s="439"/>
      <c r="K1296" s="439"/>
      <c r="L1296" s="439"/>
      <c r="M1296" s="439"/>
      <c r="N1296" s="439"/>
      <c r="O1296" s="439"/>
      <c r="P1296" s="439"/>
      <c r="Q1296" s="439"/>
      <c r="R1296" s="439"/>
      <c r="S1296" s="439"/>
      <c r="T1296" s="264"/>
      <c r="U1296" s="439"/>
      <c r="V1296" s="16"/>
      <c r="W1296" s="119"/>
      <c r="X1296" s="119"/>
      <c r="Y1296" s="119"/>
      <c r="Z1296" s="119"/>
      <c r="AA1296" s="119"/>
      <c r="AB1296" s="119"/>
      <c r="AC1296" s="119"/>
      <c r="AD1296" s="119"/>
      <c r="AE1296" s="119"/>
      <c r="AF1296" s="119"/>
      <c r="AG1296" s="119"/>
      <c r="AH1296" s="16"/>
      <c r="AI1296" s="439"/>
      <c r="AJ1296" s="439"/>
      <c r="AK1296" s="439"/>
    </row>
    <row r="1297" ht="18.75" customHeight="1">
      <c r="A1297" s="439"/>
      <c r="B1297" s="439"/>
      <c r="C1297" s="439"/>
      <c r="D1297" s="439"/>
      <c r="E1297" s="439"/>
      <c r="F1297" s="439"/>
      <c r="G1297" s="439"/>
      <c r="H1297" s="439"/>
      <c r="I1297" s="439"/>
      <c r="J1297" s="439"/>
      <c r="K1297" s="439"/>
      <c r="L1297" s="439"/>
      <c r="M1297" s="439"/>
      <c r="N1297" s="439"/>
      <c r="O1297" s="439"/>
      <c r="P1297" s="439"/>
      <c r="Q1297" s="439"/>
      <c r="R1297" s="439"/>
      <c r="S1297" s="439"/>
      <c r="T1297" s="264"/>
      <c r="U1297" s="439"/>
      <c r="V1297" s="16"/>
      <c r="W1297" s="119"/>
      <c r="X1297" s="119"/>
      <c r="Y1297" s="119"/>
      <c r="Z1297" s="119"/>
      <c r="AA1297" s="119"/>
      <c r="AB1297" s="119"/>
      <c r="AC1297" s="119"/>
      <c r="AD1297" s="119"/>
      <c r="AE1297" s="119"/>
      <c r="AF1297" s="119"/>
      <c r="AG1297" s="119"/>
      <c r="AH1297" s="16"/>
      <c r="AI1297" s="439"/>
      <c r="AJ1297" s="439"/>
      <c r="AK1297" s="439"/>
    </row>
    <row r="1298" ht="18.75" customHeight="1">
      <c r="A1298" s="439"/>
      <c r="B1298" s="439"/>
      <c r="C1298" s="439"/>
      <c r="D1298" s="439"/>
      <c r="E1298" s="439"/>
      <c r="F1298" s="439"/>
      <c r="G1298" s="439"/>
      <c r="H1298" s="439"/>
      <c r="I1298" s="439"/>
      <c r="J1298" s="439"/>
      <c r="K1298" s="439"/>
      <c r="L1298" s="439"/>
      <c r="M1298" s="439"/>
      <c r="N1298" s="439"/>
      <c r="O1298" s="439"/>
      <c r="P1298" s="439"/>
      <c r="Q1298" s="439"/>
      <c r="R1298" s="439"/>
      <c r="S1298" s="439"/>
      <c r="T1298" s="264"/>
      <c r="U1298" s="439"/>
      <c r="V1298" s="16"/>
      <c r="W1298" s="119"/>
      <c r="X1298" s="119"/>
      <c r="Y1298" s="119"/>
      <c r="Z1298" s="119"/>
      <c r="AA1298" s="119"/>
      <c r="AB1298" s="119"/>
      <c r="AC1298" s="119"/>
      <c r="AD1298" s="119"/>
      <c r="AE1298" s="119"/>
      <c r="AF1298" s="119"/>
      <c r="AG1298" s="119"/>
      <c r="AH1298" s="16"/>
      <c r="AI1298" s="439"/>
      <c r="AJ1298" s="439"/>
      <c r="AK1298" s="439"/>
    </row>
    <row r="1299" ht="18.75" customHeight="1">
      <c r="A1299" s="439"/>
      <c r="B1299" s="439"/>
      <c r="C1299" s="439"/>
      <c r="D1299" s="439"/>
      <c r="E1299" s="439"/>
      <c r="F1299" s="439"/>
      <c r="G1299" s="439"/>
      <c r="H1299" s="439"/>
      <c r="I1299" s="439"/>
      <c r="J1299" s="439"/>
      <c r="K1299" s="439"/>
      <c r="L1299" s="439"/>
      <c r="M1299" s="439"/>
      <c r="N1299" s="439"/>
      <c r="O1299" s="439"/>
      <c r="P1299" s="439"/>
      <c r="Q1299" s="439"/>
      <c r="R1299" s="439"/>
      <c r="S1299" s="439"/>
      <c r="T1299" s="264"/>
      <c r="U1299" s="439"/>
      <c r="V1299" s="16"/>
      <c r="W1299" s="119"/>
      <c r="X1299" s="119"/>
      <c r="Y1299" s="119"/>
      <c r="Z1299" s="119"/>
      <c r="AA1299" s="119"/>
      <c r="AB1299" s="119"/>
      <c r="AC1299" s="119"/>
      <c r="AD1299" s="119"/>
      <c r="AE1299" s="119"/>
      <c r="AF1299" s="119"/>
      <c r="AG1299" s="119"/>
      <c r="AH1299" s="16"/>
      <c r="AI1299" s="439"/>
      <c r="AJ1299" s="439"/>
      <c r="AK1299" s="439"/>
    </row>
    <row r="1300" ht="18.75" customHeight="1">
      <c r="A1300" s="439"/>
      <c r="B1300" s="439"/>
      <c r="C1300" s="439"/>
      <c r="D1300" s="439"/>
      <c r="E1300" s="439"/>
      <c r="F1300" s="439"/>
      <c r="G1300" s="439"/>
      <c r="H1300" s="439"/>
      <c r="I1300" s="439"/>
      <c r="J1300" s="439"/>
      <c r="K1300" s="439"/>
      <c r="L1300" s="439"/>
      <c r="M1300" s="439"/>
      <c r="N1300" s="439"/>
      <c r="O1300" s="439"/>
      <c r="P1300" s="439"/>
      <c r="Q1300" s="439"/>
      <c r="R1300" s="439"/>
      <c r="S1300" s="439"/>
      <c r="T1300" s="264"/>
      <c r="U1300" s="439"/>
      <c r="V1300" s="16"/>
      <c r="W1300" s="119"/>
      <c r="X1300" s="119"/>
      <c r="Y1300" s="119"/>
      <c r="Z1300" s="119"/>
      <c r="AA1300" s="119"/>
      <c r="AB1300" s="119"/>
      <c r="AC1300" s="119"/>
      <c r="AD1300" s="119"/>
      <c r="AE1300" s="119"/>
      <c r="AF1300" s="119"/>
      <c r="AG1300" s="119"/>
      <c r="AH1300" s="16"/>
      <c r="AI1300" s="439"/>
      <c r="AJ1300" s="439"/>
      <c r="AK1300" s="439"/>
    </row>
    <row r="1301" ht="18.75" customHeight="1">
      <c r="A1301" s="439"/>
      <c r="B1301" s="439"/>
      <c r="C1301" s="439"/>
      <c r="D1301" s="439"/>
      <c r="E1301" s="439"/>
      <c r="F1301" s="439"/>
      <c r="G1301" s="439"/>
      <c r="H1301" s="439"/>
      <c r="I1301" s="439"/>
      <c r="J1301" s="439"/>
      <c r="K1301" s="439"/>
      <c r="L1301" s="439"/>
      <c r="M1301" s="439"/>
      <c r="N1301" s="439"/>
      <c r="O1301" s="439"/>
      <c r="P1301" s="439"/>
      <c r="Q1301" s="439"/>
      <c r="R1301" s="439"/>
      <c r="S1301" s="439"/>
      <c r="T1301" s="264"/>
      <c r="U1301" s="439"/>
      <c r="V1301" s="16"/>
      <c r="W1301" s="119"/>
      <c r="X1301" s="119"/>
      <c r="Y1301" s="119"/>
      <c r="Z1301" s="119"/>
      <c r="AA1301" s="119"/>
      <c r="AB1301" s="119"/>
      <c r="AC1301" s="119"/>
      <c r="AD1301" s="119"/>
      <c r="AE1301" s="119"/>
      <c r="AF1301" s="119"/>
      <c r="AG1301" s="119"/>
      <c r="AH1301" s="16"/>
      <c r="AI1301" s="439"/>
      <c r="AJ1301" s="439"/>
      <c r="AK1301" s="439"/>
    </row>
    <row r="1302" ht="18.75" customHeight="1">
      <c r="A1302" s="439"/>
      <c r="B1302" s="439"/>
      <c r="C1302" s="439"/>
      <c r="D1302" s="439"/>
      <c r="E1302" s="439"/>
      <c r="F1302" s="439"/>
      <c r="G1302" s="439"/>
      <c r="H1302" s="439"/>
      <c r="I1302" s="439"/>
      <c r="J1302" s="439"/>
      <c r="K1302" s="439"/>
      <c r="L1302" s="439"/>
      <c r="M1302" s="439"/>
      <c r="N1302" s="439"/>
      <c r="O1302" s="439"/>
      <c r="P1302" s="439"/>
      <c r="Q1302" s="439"/>
      <c r="R1302" s="439"/>
      <c r="S1302" s="439"/>
      <c r="T1302" s="264"/>
      <c r="U1302" s="439"/>
      <c r="V1302" s="16"/>
      <c r="W1302" s="119"/>
      <c r="X1302" s="119"/>
      <c r="Y1302" s="119"/>
      <c r="Z1302" s="119"/>
      <c r="AA1302" s="119"/>
      <c r="AB1302" s="119"/>
      <c r="AC1302" s="119"/>
      <c r="AD1302" s="119"/>
      <c r="AE1302" s="119"/>
      <c r="AF1302" s="119"/>
      <c r="AG1302" s="119"/>
      <c r="AH1302" s="16"/>
      <c r="AI1302" s="439"/>
      <c r="AJ1302" s="439"/>
      <c r="AK1302" s="439"/>
    </row>
    <row r="1303" ht="18.75" customHeight="1">
      <c r="A1303" s="439"/>
      <c r="B1303" s="439"/>
      <c r="C1303" s="439"/>
      <c r="D1303" s="439"/>
      <c r="E1303" s="439"/>
      <c r="F1303" s="439"/>
      <c r="G1303" s="439"/>
      <c r="H1303" s="439"/>
      <c r="I1303" s="439"/>
      <c r="J1303" s="439"/>
      <c r="K1303" s="439"/>
      <c r="L1303" s="439"/>
      <c r="M1303" s="439"/>
      <c r="N1303" s="439"/>
      <c r="O1303" s="439"/>
      <c r="P1303" s="439"/>
      <c r="Q1303" s="439"/>
      <c r="R1303" s="439"/>
      <c r="S1303" s="439"/>
      <c r="T1303" s="264"/>
      <c r="U1303" s="439"/>
      <c r="V1303" s="16"/>
      <c r="W1303" s="119"/>
      <c r="X1303" s="119"/>
      <c r="Y1303" s="119"/>
      <c r="Z1303" s="119"/>
      <c r="AA1303" s="119"/>
      <c r="AB1303" s="119"/>
      <c r="AC1303" s="119"/>
      <c r="AD1303" s="119"/>
      <c r="AE1303" s="119"/>
      <c r="AF1303" s="119"/>
      <c r="AG1303" s="119"/>
      <c r="AH1303" s="16"/>
      <c r="AI1303" s="439"/>
      <c r="AJ1303" s="439"/>
      <c r="AK1303" s="439"/>
    </row>
    <row r="1304" ht="18.75" customHeight="1">
      <c r="A1304" s="439"/>
      <c r="B1304" s="439"/>
      <c r="C1304" s="439"/>
      <c r="D1304" s="439"/>
      <c r="E1304" s="439"/>
      <c r="F1304" s="439"/>
      <c r="G1304" s="439"/>
      <c r="H1304" s="439"/>
      <c r="I1304" s="439"/>
      <c r="J1304" s="439"/>
      <c r="K1304" s="439"/>
      <c r="L1304" s="439"/>
      <c r="M1304" s="439"/>
      <c r="N1304" s="439"/>
      <c r="O1304" s="439"/>
      <c r="P1304" s="439"/>
      <c r="Q1304" s="439"/>
      <c r="R1304" s="439"/>
      <c r="S1304" s="439"/>
      <c r="T1304" s="264"/>
      <c r="U1304" s="439"/>
      <c r="V1304" s="16"/>
      <c r="W1304" s="119"/>
      <c r="X1304" s="119"/>
      <c r="Y1304" s="119"/>
      <c r="Z1304" s="119"/>
      <c r="AA1304" s="119"/>
      <c r="AB1304" s="119"/>
      <c r="AC1304" s="119"/>
      <c r="AD1304" s="119"/>
      <c r="AE1304" s="119"/>
      <c r="AF1304" s="119"/>
      <c r="AG1304" s="119"/>
      <c r="AH1304" s="16"/>
      <c r="AI1304" s="439"/>
      <c r="AJ1304" s="439"/>
      <c r="AK1304" s="439"/>
    </row>
    <row r="1305" ht="18.75" customHeight="1">
      <c r="A1305" s="439"/>
      <c r="B1305" s="439"/>
      <c r="C1305" s="439"/>
      <c r="D1305" s="439"/>
      <c r="E1305" s="439"/>
      <c r="F1305" s="439"/>
      <c r="G1305" s="439"/>
      <c r="H1305" s="439"/>
      <c r="I1305" s="439"/>
      <c r="J1305" s="439"/>
      <c r="K1305" s="439"/>
      <c r="L1305" s="439"/>
      <c r="M1305" s="439"/>
      <c r="N1305" s="439"/>
      <c r="O1305" s="439"/>
      <c r="P1305" s="439"/>
      <c r="Q1305" s="439"/>
      <c r="R1305" s="439"/>
      <c r="S1305" s="439"/>
      <c r="T1305" s="264"/>
      <c r="U1305" s="439"/>
      <c r="V1305" s="16"/>
      <c r="W1305" s="119"/>
      <c r="X1305" s="119"/>
      <c r="Y1305" s="119"/>
      <c r="Z1305" s="119"/>
      <c r="AA1305" s="119"/>
      <c r="AB1305" s="119"/>
      <c r="AC1305" s="119"/>
      <c r="AD1305" s="119"/>
      <c r="AE1305" s="119"/>
      <c r="AF1305" s="119"/>
      <c r="AG1305" s="119"/>
      <c r="AH1305" s="16"/>
      <c r="AI1305" s="439"/>
      <c r="AJ1305" s="439"/>
      <c r="AK1305" s="439"/>
    </row>
    <row r="1306" ht="18.75" customHeight="1">
      <c r="A1306" s="439"/>
      <c r="B1306" s="439"/>
      <c r="C1306" s="439"/>
      <c r="D1306" s="439"/>
      <c r="E1306" s="439"/>
      <c r="F1306" s="439"/>
      <c r="G1306" s="439"/>
      <c r="H1306" s="439"/>
      <c r="I1306" s="439"/>
      <c r="J1306" s="439"/>
      <c r="K1306" s="439"/>
      <c r="L1306" s="439"/>
      <c r="M1306" s="439"/>
      <c r="N1306" s="439"/>
      <c r="O1306" s="439"/>
      <c r="P1306" s="439"/>
      <c r="Q1306" s="439"/>
      <c r="R1306" s="439"/>
      <c r="S1306" s="439"/>
      <c r="T1306" s="264"/>
      <c r="U1306" s="439"/>
      <c r="V1306" s="16"/>
      <c r="W1306" s="119"/>
      <c r="X1306" s="119"/>
      <c r="Y1306" s="119"/>
      <c r="Z1306" s="119"/>
      <c r="AA1306" s="119"/>
      <c r="AB1306" s="119"/>
      <c r="AC1306" s="119"/>
      <c r="AD1306" s="119"/>
      <c r="AE1306" s="119"/>
      <c r="AF1306" s="119"/>
      <c r="AG1306" s="119"/>
      <c r="AH1306" s="16"/>
      <c r="AI1306" s="439"/>
      <c r="AJ1306" s="439"/>
      <c r="AK1306" s="439"/>
    </row>
    <row r="1307" ht="18.75" customHeight="1">
      <c r="A1307" s="439"/>
      <c r="B1307" s="439"/>
      <c r="C1307" s="439"/>
      <c r="D1307" s="439"/>
      <c r="E1307" s="439"/>
      <c r="F1307" s="439"/>
      <c r="G1307" s="439"/>
      <c r="H1307" s="439"/>
      <c r="I1307" s="439"/>
      <c r="J1307" s="439"/>
      <c r="K1307" s="439"/>
      <c r="L1307" s="439"/>
      <c r="M1307" s="439"/>
      <c r="N1307" s="439"/>
      <c r="O1307" s="439"/>
      <c r="P1307" s="439"/>
      <c r="Q1307" s="439"/>
      <c r="R1307" s="439"/>
      <c r="S1307" s="439"/>
      <c r="T1307" s="264"/>
      <c r="U1307" s="439"/>
      <c r="V1307" s="16"/>
      <c r="W1307" s="119"/>
      <c r="X1307" s="119"/>
      <c r="Y1307" s="119"/>
      <c r="Z1307" s="119"/>
      <c r="AA1307" s="119"/>
      <c r="AB1307" s="119"/>
      <c r="AC1307" s="119"/>
      <c r="AD1307" s="119"/>
      <c r="AE1307" s="119"/>
      <c r="AF1307" s="119"/>
      <c r="AG1307" s="119"/>
      <c r="AH1307" s="16"/>
      <c r="AI1307" s="439"/>
      <c r="AJ1307" s="439"/>
      <c r="AK1307" s="439"/>
    </row>
    <row r="1308" ht="18.75" customHeight="1">
      <c r="A1308" s="439"/>
      <c r="B1308" s="439"/>
      <c r="C1308" s="439"/>
      <c r="D1308" s="439"/>
      <c r="E1308" s="439"/>
      <c r="F1308" s="439"/>
      <c r="G1308" s="439"/>
      <c r="H1308" s="439"/>
      <c r="I1308" s="439"/>
      <c r="J1308" s="439"/>
      <c r="K1308" s="439"/>
      <c r="L1308" s="439"/>
      <c r="M1308" s="439"/>
      <c r="N1308" s="439"/>
      <c r="O1308" s="439"/>
      <c r="P1308" s="439"/>
      <c r="Q1308" s="439"/>
      <c r="R1308" s="439"/>
      <c r="S1308" s="439"/>
      <c r="T1308" s="264"/>
      <c r="U1308" s="439"/>
      <c r="V1308" s="16"/>
      <c r="W1308" s="119"/>
      <c r="X1308" s="119"/>
      <c r="Y1308" s="119"/>
      <c r="Z1308" s="119"/>
      <c r="AA1308" s="119"/>
      <c r="AB1308" s="119"/>
      <c r="AC1308" s="119"/>
      <c r="AD1308" s="119"/>
      <c r="AE1308" s="119"/>
      <c r="AF1308" s="119"/>
      <c r="AG1308" s="119"/>
      <c r="AH1308" s="16"/>
      <c r="AI1308" s="439"/>
      <c r="AJ1308" s="439"/>
      <c r="AK1308" s="439"/>
    </row>
    <row r="1309" ht="18.75" customHeight="1">
      <c r="A1309" s="439"/>
      <c r="B1309" s="439"/>
      <c r="C1309" s="439"/>
      <c r="D1309" s="439"/>
      <c r="E1309" s="439"/>
      <c r="F1309" s="439"/>
      <c r="G1309" s="439"/>
      <c r="H1309" s="439"/>
      <c r="I1309" s="439"/>
      <c r="J1309" s="439"/>
      <c r="K1309" s="439"/>
      <c r="L1309" s="439"/>
      <c r="M1309" s="439"/>
      <c r="N1309" s="439"/>
      <c r="O1309" s="439"/>
      <c r="P1309" s="439"/>
      <c r="Q1309" s="439"/>
      <c r="R1309" s="439"/>
      <c r="S1309" s="439"/>
      <c r="T1309" s="264"/>
      <c r="U1309" s="439"/>
      <c r="V1309" s="16"/>
      <c r="W1309" s="119"/>
      <c r="X1309" s="119"/>
      <c r="Y1309" s="119"/>
      <c r="Z1309" s="119"/>
      <c r="AA1309" s="119"/>
      <c r="AB1309" s="119"/>
      <c r="AC1309" s="119"/>
      <c r="AD1309" s="119"/>
      <c r="AE1309" s="119"/>
      <c r="AF1309" s="119"/>
      <c r="AG1309" s="119"/>
      <c r="AH1309" s="16"/>
      <c r="AI1309" s="439"/>
      <c r="AJ1309" s="439"/>
      <c r="AK1309" s="439"/>
    </row>
    <row r="1310" ht="18.75" customHeight="1">
      <c r="A1310" s="439"/>
      <c r="B1310" s="439"/>
      <c r="C1310" s="439"/>
      <c r="D1310" s="439"/>
      <c r="E1310" s="439"/>
      <c r="F1310" s="439"/>
      <c r="G1310" s="439"/>
      <c r="H1310" s="439"/>
      <c r="I1310" s="439"/>
      <c r="J1310" s="439"/>
      <c r="K1310" s="439"/>
      <c r="L1310" s="439"/>
      <c r="M1310" s="439"/>
      <c r="N1310" s="439"/>
      <c r="O1310" s="439"/>
      <c r="P1310" s="439"/>
      <c r="Q1310" s="439"/>
      <c r="R1310" s="439"/>
      <c r="S1310" s="439"/>
      <c r="T1310" s="264"/>
      <c r="U1310" s="439"/>
      <c r="V1310" s="16"/>
      <c r="W1310" s="119"/>
      <c r="X1310" s="119"/>
      <c r="Y1310" s="119"/>
      <c r="Z1310" s="119"/>
      <c r="AA1310" s="119"/>
      <c r="AB1310" s="119"/>
      <c r="AC1310" s="119"/>
      <c r="AD1310" s="119"/>
      <c r="AE1310" s="119"/>
      <c r="AF1310" s="119"/>
      <c r="AG1310" s="119"/>
      <c r="AH1310" s="16"/>
      <c r="AI1310" s="439"/>
      <c r="AJ1310" s="439"/>
      <c r="AK1310" s="439"/>
    </row>
    <row r="1311" ht="18.75" customHeight="1">
      <c r="A1311" s="439"/>
      <c r="B1311" s="439"/>
      <c r="C1311" s="439"/>
      <c r="D1311" s="439"/>
      <c r="E1311" s="439"/>
      <c r="F1311" s="439"/>
      <c r="G1311" s="439"/>
      <c r="H1311" s="439"/>
      <c r="I1311" s="439"/>
      <c r="J1311" s="439"/>
      <c r="K1311" s="439"/>
      <c r="L1311" s="439"/>
      <c r="M1311" s="439"/>
      <c r="N1311" s="439"/>
      <c r="O1311" s="439"/>
      <c r="P1311" s="439"/>
      <c r="Q1311" s="439"/>
      <c r="R1311" s="439"/>
      <c r="S1311" s="439"/>
      <c r="T1311" s="264"/>
      <c r="U1311" s="439"/>
      <c r="V1311" s="16"/>
      <c r="W1311" s="119"/>
      <c r="X1311" s="119"/>
      <c r="Y1311" s="119"/>
      <c r="Z1311" s="119"/>
      <c r="AA1311" s="119"/>
      <c r="AB1311" s="119"/>
      <c r="AC1311" s="119"/>
      <c r="AD1311" s="119"/>
      <c r="AE1311" s="119"/>
      <c r="AF1311" s="119"/>
      <c r="AG1311" s="119"/>
      <c r="AH1311" s="16"/>
      <c r="AI1311" s="439"/>
      <c r="AJ1311" s="439"/>
      <c r="AK1311" s="439"/>
    </row>
    <row r="1312" ht="18.75" customHeight="1">
      <c r="A1312" s="439"/>
      <c r="B1312" s="439"/>
      <c r="C1312" s="439"/>
      <c r="D1312" s="439"/>
      <c r="E1312" s="439"/>
      <c r="F1312" s="439"/>
      <c r="G1312" s="439"/>
      <c r="H1312" s="439"/>
      <c r="I1312" s="439"/>
      <c r="J1312" s="439"/>
      <c r="K1312" s="439"/>
      <c r="L1312" s="439"/>
      <c r="M1312" s="439"/>
      <c r="N1312" s="439"/>
      <c r="O1312" s="439"/>
      <c r="P1312" s="439"/>
      <c r="Q1312" s="439"/>
      <c r="R1312" s="439"/>
      <c r="S1312" s="439"/>
      <c r="T1312" s="264"/>
      <c r="U1312" s="439"/>
      <c r="V1312" s="16"/>
      <c r="W1312" s="119"/>
      <c r="X1312" s="119"/>
      <c r="Y1312" s="119"/>
      <c r="Z1312" s="119"/>
      <c r="AA1312" s="119"/>
      <c r="AB1312" s="119"/>
      <c r="AC1312" s="119"/>
      <c r="AD1312" s="119"/>
      <c r="AE1312" s="119"/>
      <c r="AF1312" s="119"/>
      <c r="AG1312" s="119"/>
      <c r="AH1312" s="16"/>
      <c r="AI1312" s="439"/>
      <c r="AJ1312" s="439"/>
      <c r="AK1312" s="439"/>
    </row>
    <row r="1313" ht="18.75" customHeight="1">
      <c r="A1313" s="439"/>
      <c r="B1313" s="439"/>
      <c r="C1313" s="439"/>
      <c r="D1313" s="439"/>
      <c r="E1313" s="439"/>
      <c r="F1313" s="439"/>
      <c r="G1313" s="439"/>
      <c r="H1313" s="439"/>
      <c r="I1313" s="439"/>
      <c r="J1313" s="439"/>
      <c r="K1313" s="439"/>
      <c r="L1313" s="439"/>
      <c r="M1313" s="439"/>
      <c r="N1313" s="439"/>
      <c r="O1313" s="439"/>
      <c r="P1313" s="439"/>
      <c r="Q1313" s="439"/>
      <c r="R1313" s="439"/>
      <c r="S1313" s="439"/>
      <c r="T1313" s="264"/>
      <c r="U1313" s="439"/>
      <c r="V1313" s="16"/>
      <c r="W1313" s="119"/>
      <c r="X1313" s="119"/>
      <c r="Y1313" s="119"/>
      <c r="Z1313" s="119"/>
      <c r="AA1313" s="119"/>
      <c r="AB1313" s="119"/>
      <c r="AC1313" s="119"/>
      <c r="AD1313" s="119"/>
      <c r="AE1313" s="119"/>
      <c r="AF1313" s="119"/>
      <c r="AG1313" s="119"/>
      <c r="AH1313" s="16"/>
      <c r="AI1313" s="439"/>
      <c r="AJ1313" s="439"/>
      <c r="AK1313" s="439"/>
    </row>
    <row r="1314" ht="18.75" customHeight="1">
      <c r="A1314" s="439"/>
      <c r="B1314" s="439"/>
      <c r="C1314" s="439"/>
      <c r="D1314" s="439"/>
      <c r="E1314" s="439"/>
      <c r="F1314" s="439"/>
      <c r="G1314" s="439"/>
      <c r="H1314" s="439"/>
      <c r="I1314" s="439"/>
      <c r="J1314" s="439"/>
      <c r="K1314" s="439"/>
      <c r="L1314" s="439"/>
      <c r="M1314" s="439"/>
      <c r="N1314" s="439"/>
      <c r="O1314" s="439"/>
      <c r="P1314" s="439"/>
      <c r="Q1314" s="439"/>
      <c r="R1314" s="439"/>
      <c r="S1314" s="439"/>
      <c r="T1314" s="264"/>
      <c r="U1314" s="439"/>
      <c r="V1314" s="16"/>
      <c r="W1314" s="119"/>
      <c r="X1314" s="119"/>
      <c r="Y1314" s="119"/>
      <c r="Z1314" s="119"/>
      <c r="AA1314" s="119"/>
      <c r="AB1314" s="119"/>
      <c r="AC1314" s="119"/>
      <c r="AD1314" s="119"/>
      <c r="AE1314" s="119"/>
      <c r="AF1314" s="119"/>
      <c r="AG1314" s="119"/>
      <c r="AH1314" s="16"/>
      <c r="AI1314" s="439"/>
      <c r="AJ1314" s="439"/>
      <c r="AK1314" s="439"/>
    </row>
    <row r="1315" ht="18.75" customHeight="1">
      <c r="A1315" s="439"/>
      <c r="B1315" s="439"/>
      <c r="C1315" s="439"/>
      <c r="D1315" s="439"/>
      <c r="E1315" s="439"/>
      <c r="F1315" s="439"/>
      <c r="G1315" s="439"/>
      <c r="H1315" s="439"/>
      <c r="I1315" s="439"/>
      <c r="J1315" s="439"/>
      <c r="K1315" s="439"/>
      <c r="L1315" s="439"/>
      <c r="M1315" s="439"/>
      <c r="N1315" s="439"/>
      <c r="O1315" s="439"/>
      <c r="P1315" s="439"/>
      <c r="Q1315" s="439"/>
      <c r="R1315" s="439"/>
      <c r="S1315" s="439"/>
      <c r="T1315" s="264"/>
      <c r="U1315" s="439"/>
      <c r="V1315" s="16"/>
      <c r="W1315" s="119"/>
      <c r="X1315" s="119"/>
      <c r="Y1315" s="119"/>
      <c r="Z1315" s="119"/>
      <c r="AA1315" s="119"/>
      <c r="AB1315" s="119"/>
      <c r="AC1315" s="119"/>
      <c r="AD1315" s="119"/>
      <c r="AE1315" s="119"/>
      <c r="AF1315" s="119"/>
      <c r="AG1315" s="119"/>
      <c r="AH1315" s="16"/>
      <c r="AI1315" s="439"/>
      <c r="AJ1315" s="439"/>
      <c r="AK1315" s="439"/>
    </row>
    <row r="1316" ht="18.75" customHeight="1">
      <c r="A1316" s="439"/>
      <c r="B1316" s="439"/>
      <c r="C1316" s="439"/>
      <c r="D1316" s="439"/>
      <c r="E1316" s="439"/>
      <c r="F1316" s="439"/>
      <c r="G1316" s="439"/>
      <c r="H1316" s="439"/>
      <c r="I1316" s="439"/>
      <c r="J1316" s="439"/>
      <c r="K1316" s="439"/>
      <c r="L1316" s="439"/>
      <c r="M1316" s="439"/>
      <c r="N1316" s="439"/>
      <c r="O1316" s="439"/>
      <c r="P1316" s="439"/>
      <c r="Q1316" s="439"/>
      <c r="R1316" s="439"/>
      <c r="S1316" s="439"/>
      <c r="T1316" s="264"/>
      <c r="U1316" s="439"/>
      <c r="V1316" s="16"/>
      <c r="W1316" s="119"/>
      <c r="X1316" s="119"/>
      <c r="Y1316" s="119"/>
      <c r="Z1316" s="119"/>
      <c r="AA1316" s="119"/>
      <c r="AB1316" s="119"/>
      <c r="AC1316" s="119"/>
      <c r="AD1316" s="119"/>
      <c r="AE1316" s="119"/>
      <c r="AF1316" s="119"/>
      <c r="AG1316" s="119"/>
      <c r="AH1316" s="16"/>
      <c r="AI1316" s="439"/>
      <c r="AJ1316" s="439"/>
      <c r="AK1316" s="439"/>
    </row>
    <row r="1317" ht="18.75" customHeight="1">
      <c r="A1317" s="439"/>
      <c r="B1317" s="439"/>
      <c r="C1317" s="439"/>
      <c r="D1317" s="439"/>
      <c r="E1317" s="439"/>
      <c r="F1317" s="439"/>
      <c r="G1317" s="439"/>
      <c r="H1317" s="439"/>
      <c r="I1317" s="439"/>
      <c r="J1317" s="439"/>
      <c r="K1317" s="439"/>
      <c r="L1317" s="439"/>
      <c r="M1317" s="439"/>
      <c r="N1317" s="439"/>
      <c r="O1317" s="439"/>
      <c r="P1317" s="439"/>
      <c r="Q1317" s="439"/>
      <c r="R1317" s="439"/>
      <c r="S1317" s="439"/>
      <c r="T1317" s="264"/>
      <c r="U1317" s="439"/>
      <c r="V1317" s="16"/>
      <c r="W1317" s="119"/>
      <c r="X1317" s="119"/>
      <c r="Y1317" s="119"/>
      <c r="Z1317" s="119"/>
      <c r="AA1317" s="119"/>
      <c r="AB1317" s="119"/>
      <c r="AC1317" s="119"/>
      <c r="AD1317" s="119"/>
      <c r="AE1317" s="119"/>
      <c r="AF1317" s="119"/>
      <c r="AG1317" s="119"/>
      <c r="AH1317" s="16"/>
      <c r="AI1317" s="439"/>
      <c r="AJ1317" s="439"/>
      <c r="AK1317" s="439"/>
    </row>
    <row r="1318" ht="18.75" customHeight="1">
      <c r="A1318" s="439"/>
      <c r="B1318" s="439"/>
      <c r="C1318" s="439"/>
      <c r="D1318" s="439"/>
      <c r="E1318" s="439"/>
      <c r="F1318" s="439"/>
      <c r="G1318" s="439"/>
      <c r="H1318" s="439"/>
      <c r="I1318" s="439"/>
      <c r="J1318" s="439"/>
      <c r="K1318" s="439"/>
      <c r="L1318" s="439"/>
      <c r="M1318" s="439"/>
      <c r="N1318" s="439"/>
      <c r="O1318" s="439"/>
      <c r="P1318" s="439"/>
      <c r="Q1318" s="439"/>
      <c r="R1318" s="439"/>
      <c r="S1318" s="439"/>
      <c r="T1318" s="264"/>
      <c r="U1318" s="439"/>
      <c r="V1318" s="16"/>
      <c r="W1318" s="119"/>
      <c r="X1318" s="119"/>
      <c r="Y1318" s="119"/>
      <c r="Z1318" s="119"/>
      <c r="AA1318" s="119"/>
      <c r="AB1318" s="119"/>
      <c r="AC1318" s="119"/>
      <c r="AD1318" s="119"/>
      <c r="AE1318" s="119"/>
      <c r="AF1318" s="119"/>
      <c r="AG1318" s="119"/>
      <c r="AH1318" s="16"/>
      <c r="AI1318" s="439"/>
      <c r="AJ1318" s="439"/>
      <c r="AK1318" s="439"/>
    </row>
    <row r="1319" ht="18.75" customHeight="1">
      <c r="A1319" s="439"/>
      <c r="B1319" s="439"/>
      <c r="C1319" s="439"/>
      <c r="D1319" s="439"/>
      <c r="E1319" s="439"/>
      <c r="F1319" s="439"/>
      <c r="G1319" s="439"/>
      <c r="H1319" s="439"/>
      <c r="I1319" s="439"/>
      <c r="J1319" s="439"/>
      <c r="K1319" s="439"/>
      <c r="L1319" s="439"/>
      <c r="M1319" s="439"/>
      <c r="N1319" s="439"/>
      <c r="O1319" s="439"/>
      <c r="P1319" s="439"/>
      <c r="Q1319" s="439"/>
      <c r="R1319" s="439"/>
      <c r="S1319" s="439"/>
      <c r="T1319" s="264"/>
      <c r="U1319" s="439"/>
      <c r="V1319" s="16"/>
      <c r="W1319" s="119"/>
      <c r="X1319" s="119"/>
      <c r="Y1319" s="119"/>
      <c r="Z1319" s="119"/>
      <c r="AA1319" s="119"/>
      <c r="AB1319" s="119"/>
      <c r="AC1319" s="119"/>
      <c r="AD1319" s="119"/>
      <c r="AE1319" s="119"/>
      <c r="AF1319" s="119"/>
      <c r="AG1319" s="119"/>
      <c r="AH1319" s="16"/>
      <c r="AI1319" s="439"/>
      <c r="AJ1319" s="439"/>
      <c r="AK1319" s="439"/>
    </row>
    <row r="1320" ht="18.75" customHeight="1">
      <c r="A1320" s="439"/>
      <c r="B1320" s="439"/>
      <c r="C1320" s="439"/>
      <c r="D1320" s="439"/>
      <c r="E1320" s="439"/>
      <c r="F1320" s="439"/>
      <c r="G1320" s="439"/>
      <c r="H1320" s="439"/>
      <c r="I1320" s="439"/>
      <c r="J1320" s="439"/>
      <c r="K1320" s="439"/>
      <c r="L1320" s="439"/>
      <c r="M1320" s="439"/>
      <c r="N1320" s="439"/>
      <c r="O1320" s="439"/>
      <c r="P1320" s="439"/>
      <c r="Q1320" s="439"/>
      <c r="R1320" s="439"/>
      <c r="S1320" s="439"/>
      <c r="T1320" s="264"/>
      <c r="U1320" s="439"/>
      <c r="V1320" s="16"/>
      <c r="W1320" s="119"/>
      <c r="X1320" s="119"/>
      <c r="Y1320" s="119"/>
      <c r="Z1320" s="119"/>
      <c r="AA1320" s="119"/>
      <c r="AB1320" s="119"/>
      <c r="AC1320" s="119"/>
      <c r="AD1320" s="119"/>
      <c r="AE1320" s="119"/>
      <c r="AF1320" s="119"/>
      <c r="AG1320" s="119"/>
      <c r="AH1320" s="16"/>
      <c r="AI1320" s="439"/>
      <c r="AJ1320" s="439"/>
      <c r="AK1320" s="439"/>
    </row>
    <row r="1321" ht="18.75" customHeight="1">
      <c r="A1321" s="439"/>
      <c r="B1321" s="439"/>
      <c r="C1321" s="439"/>
      <c r="D1321" s="439"/>
      <c r="E1321" s="439"/>
      <c r="F1321" s="439"/>
      <c r="G1321" s="439"/>
      <c r="H1321" s="439"/>
      <c r="I1321" s="439"/>
      <c r="J1321" s="439"/>
      <c r="K1321" s="439"/>
      <c r="L1321" s="439"/>
      <c r="M1321" s="439"/>
      <c r="N1321" s="439"/>
      <c r="O1321" s="439"/>
      <c r="P1321" s="439"/>
      <c r="Q1321" s="439"/>
      <c r="R1321" s="439"/>
      <c r="S1321" s="439"/>
      <c r="T1321" s="264"/>
      <c r="U1321" s="439"/>
      <c r="V1321" s="16"/>
      <c r="W1321" s="119"/>
      <c r="X1321" s="119"/>
      <c r="Y1321" s="119"/>
      <c r="Z1321" s="119"/>
      <c r="AA1321" s="119"/>
      <c r="AB1321" s="119"/>
      <c r="AC1321" s="119"/>
      <c r="AD1321" s="119"/>
      <c r="AE1321" s="119"/>
      <c r="AF1321" s="119"/>
      <c r="AG1321" s="119"/>
      <c r="AH1321" s="16"/>
      <c r="AI1321" s="439"/>
      <c r="AJ1321" s="439"/>
      <c r="AK1321" s="439"/>
    </row>
    <row r="1322" ht="18.75" customHeight="1">
      <c r="A1322" s="439"/>
      <c r="B1322" s="439"/>
      <c r="C1322" s="439"/>
      <c r="D1322" s="439"/>
      <c r="E1322" s="439"/>
      <c r="F1322" s="439"/>
      <c r="G1322" s="439"/>
      <c r="H1322" s="439"/>
      <c r="I1322" s="439"/>
      <c r="J1322" s="439"/>
      <c r="K1322" s="439"/>
      <c r="L1322" s="439"/>
      <c r="M1322" s="439"/>
      <c r="N1322" s="439"/>
      <c r="O1322" s="439"/>
      <c r="P1322" s="439"/>
      <c r="Q1322" s="439"/>
      <c r="R1322" s="439"/>
      <c r="S1322" s="439"/>
      <c r="T1322" s="264"/>
      <c r="U1322" s="439"/>
      <c r="V1322" s="16"/>
      <c r="W1322" s="119"/>
      <c r="X1322" s="119"/>
      <c r="Y1322" s="119"/>
      <c r="Z1322" s="119"/>
      <c r="AA1322" s="119"/>
      <c r="AB1322" s="119"/>
      <c r="AC1322" s="119"/>
      <c r="AD1322" s="119"/>
      <c r="AE1322" s="119"/>
      <c r="AF1322" s="119"/>
      <c r="AG1322" s="119"/>
      <c r="AH1322" s="16"/>
      <c r="AI1322" s="439"/>
      <c r="AJ1322" s="439"/>
      <c r="AK1322" s="439"/>
    </row>
    <row r="1323" ht="18.75" customHeight="1">
      <c r="A1323" s="439"/>
      <c r="B1323" s="439"/>
      <c r="C1323" s="439"/>
      <c r="D1323" s="439"/>
      <c r="E1323" s="439"/>
      <c r="F1323" s="439"/>
      <c r="G1323" s="439"/>
      <c r="H1323" s="439"/>
      <c r="I1323" s="439"/>
      <c r="J1323" s="439"/>
      <c r="K1323" s="439"/>
      <c r="L1323" s="439"/>
      <c r="M1323" s="439"/>
      <c r="N1323" s="439"/>
      <c r="O1323" s="439"/>
      <c r="P1323" s="439"/>
      <c r="Q1323" s="439"/>
      <c r="R1323" s="439"/>
      <c r="S1323" s="439"/>
      <c r="T1323" s="264"/>
      <c r="U1323" s="439"/>
      <c r="V1323" s="16"/>
      <c r="W1323" s="119"/>
      <c r="X1323" s="119"/>
      <c r="Y1323" s="119"/>
      <c r="Z1323" s="119"/>
      <c r="AA1323" s="119"/>
      <c r="AB1323" s="119"/>
      <c r="AC1323" s="119"/>
      <c r="AD1323" s="119"/>
      <c r="AE1323" s="119"/>
      <c r="AF1323" s="119"/>
      <c r="AG1323" s="119"/>
      <c r="AH1323" s="16"/>
      <c r="AI1323" s="439"/>
      <c r="AJ1323" s="439"/>
      <c r="AK1323" s="439"/>
    </row>
    <row r="1324" ht="18.75" customHeight="1">
      <c r="A1324" s="439"/>
      <c r="B1324" s="439"/>
      <c r="C1324" s="439"/>
      <c r="D1324" s="439"/>
      <c r="E1324" s="439"/>
      <c r="F1324" s="439"/>
      <c r="G1324" s="439"/>
      <c r="H1324" s="439"/>
      <c r="I1324" s="439"/>
      <c r="J1324" s="439"/>
      <c r="K1324" s="439"/>
      <c r="L1324" s="439"/>
      <c r="M1324" s="439"/>
      <c r="N1324" s="439"/>
      <c r="O1324" s="439"/>
      <c r="P1324" s="439"/>
      <c r="Q1324" s="439"/>
      <c r="R1324" s="439"/>
      <c r="S1324" s="439"/>
      <c r="T1324" s="264"/>
      <c r="U1324" s="439"/>
      <c r="V1324" s="16"/>
      <c r="W1324" s="119"/>
      <c r="X1324" s="119"/>
      <c r="Y1324" s="119"/>
      <c r="Z1324" s="119"/>
      <c r="AA1324" s="119"/>
      <c r="AB1324" s="119"/>
      <c r="AC1324" s="119"/>
      <c r="AD1324" s="119"/>
      <c r="AE1324" s="119"/>
      <c r="AF1324" s="119"/>
      <c r="AG1324" s="119"/>
      <c r="AH1324" s="16"/>
      <c r="AI1324" s="439"/>
      <c r="AJ1324" s="439"/>
      <c r="AK1324" s="439"/>
    </row>
    <row r="1325" ht="18.75" customHeight="1">
      <c r="A1325" s="439"/>
      <c r="B1325" s="439"/>
      <c r="C1325" s="439"/>
      <c r="D1325" s="439"/>
      <c r="E1325" s="439"/>
      <c r="F1325" s="439"/>
      <c r="G1325" s="439"/>
      <c r="H1325" s="439"/>
      <c r="I1325" s="439"/>
      <c r="J1325" s="439"/>
      <c r="K1325" s="439"/>
      <c r="L1325" s="439"/>
      <c r="M1325" s="439"/>
      <c r="N1325" s="439"/>
      <c r="O1325" s="439"/>
      <c r="P1325" s="439"/>
      <c r="Q1325" s="439"/>
      <c r="R1325" s="439"/>
      <c r="S1325" s="439"/>
      <c r="T1325" s="264"/>
      <c r="U1325" s="439"/>
      <c r="V1325" s="16"/>
      <c r="W1325" s="119"/>
      <c r="X1325" s="119"/>
      <c r="Y1325" s="119"/>
      <c r="Z1325" s="119"/>
      <c r="AA1325" s="119"/>
      <c r="AB1325" s="119"/>
      <c r="AC1325" s="119"/>
      <c r="AD1325" s="119"/>
      <c r="AE1325" s="119"/>
      <c r="AF1325" s="119"/>
      <c r="AG1325" s="119"/>
      <c r="AH1325" s="16"/>
      <c r="AI1325" s="439"/>
      <c r="AJ1325" s="439"/>
      <c r="AK1325" s="439"/>
    </row>
    <row r="1326" ht="18.75" customHeight="1">
      <c r="A1326" s="439"/>
      <c r="B1326" s="439"/>
      <c r="C1326" s="439"/>
      <c r="D1326" s="439"/>
      <c r="E1326" s="439"/>
      <c r="F1326" s="439"/>
      <c r="G1326" s="439"/>
      <c r="H1326" s="439"/>
      <c r="I1326" s="439"/>
      <c r="J1326" s="439"/>
      <c r="K1326" s="439"/>
      <c r="L1326" s="439"/>
      <c r="M1326" s="439"/>
      <c r="N1326" s="439"/>
      <c r="O1326" s="439"/>
      <c r="P1326" s="439"/>
      <c r="Q1326" s="439"/>
      <c r="R1326" s="439"/>
      <c r="S1326" s="439"/>
      <c r="T1326" s="264"/>
      <c r="U1326" s="439"/>
      <c r="V1326" s="16"/>
      <c r="W1326" s="119"/>
      <c r="X1326" s="119"/>
      <c r="Y1326" s="119"/>
      <c r="Z1326" s="119"/>
      <c r="AA1326" s="119"/>
      <c r="AB1326" s="119"/>
      <c r="AC1326" s="119"/>
      <c r="AD1326" s="119"/>
      <c r="AE1326" s="119"/>
      <c r="AF1326" s="119"/>
      <c r="AG1326" s="119"/>
      <c r="AH1326" s="16"/>
      <c r="AI1326" s="439"/>
      <c r="AJ1326" s="439"/>
      <c r="AK1326" s="439"/>
    </row>
    <row r="1327" ht="18.75" customHeight="1">
      <c r="A1327" s="439"/>
      <c r="B1327" s="439"/>
      <c r="C1327" s="439"/>
      <c r="D1327" s="439"/>
      <c r="E1327" s="439"/>
      <c r="F1327" s="439"/>
      <c r="G1327" s="439"/>
      <c r="H1327" s="439"/>
      <c r="I1327" s="439"/>
      <c r="J1327" s="439"/>
      <c r="K1327" s="439"/>
      <c r="L1327" s="439"/>
      <c r="M1327" s="439"/>
      <c r="N1327" s="439"/>
      <c r="O1327" s="439"/>
      <c r="P1327" s="439"/>
      <c r="Q1327" s="439"/>
      <c r="R1327" s="439"/>
      <c r="S1327" s="439"/>
      <c r="T1327" s="264"/>
      <c r="U1327" s="439"/>
      <c r="V1327" s="16"/>
      <c r="W1327" s="119"/>
      <c r="X1327" s="119"/>
      <c r="Y1327" s="119"/>
      <c r="Z1327" s="119"/>
      <c r="AA1327" s="119"/>
      <c r="AB1327" s="119"/>
      <c r="AC1327" s="119"/>
      <c r="AD1327" s="119"/>
      <c r="AE1327" s="119"/>
      <c r="AF1327" s="119"/>
      <c r="AG1327" s="119"/>
      <c r="AH1327" s="16"/>
      <c r="AI1327" s="439"/>
      <c r="AJ1327" s="439"/>
      <c r="AK1327" s="439"/>
    </row>
    <row r="1328" ht="18.75" customHeight="1">
      <c r="A1328" s="439"/>
      <c r="B1328" s="439"/>
      <c r="C1328" s="439"/>
      <c r="D1328" s="439"/>
      <c r="E1328" s="439"/>
      <c r="F1328" s="439"/>
      <c r="G1328" s="439"/>
      <c r="H1328" s="439"/>
      <c r="I1328" s="439"/>
      <c r="J1328" s="439"/>
      <c r="K1328" s="439"/>
      <c r="L1328" s="439"/>
      <c r="M1328" s="439"/>
      <c r="N1328" s="439"/>
      <c r="O1328" s="439"/>
      <c r="P1328" s="439"/>
      <c r="Q1328" s="439"/>
      <c r="R1328" s="439"/>
      <c r="S1328" s="439"/>
      <c r="T1328" s="264"/>
      <c r="U1328" s="439"/>
      <c r="V1328" s="16"/>
      <c r="W1328" s="119"/>
      <c r="X1328" s="119"/>
      <c r="Y1328" s="119"/>
      <c r="Z1328" s="119"/>
      <c r="AA1328" s="119"/>
      <c r="AB1328" s="119"/>
      <c r="AC1328" s="119"/>
      <c r="AD1328" s="119"/>
      <c r="AE1328" s="119"/>
      <c r="AF1328" s="119"/>
      <c r="AG1328" s="119"/>
      <c r="AH1328" s="16"/>
      <c r="AI1328" s="439"/>
      <c r="AJ1328" s="439"/>
      <c r="AK1328" s="439"/>
    </row>
    <row r="1329" ht="18.75" customHeight="1">
      <c r="A1329" s="439"/>
      <c r="B1329" s="439"/>
      <c r="C1329" s="439"/>
      <c r="D1329" s="439"/>
      <c r="E1329" s="439"/>
      <c r="F1329" s="439"/>
      <c r="G1329" s="439"/>
      <c r="H1329" s="439"/>
      <c r="I1329" s="439"/>
      <c r="J1329" s="439"/>
      <c r="K1329" s="439"/>
      <c r="L1329" s="439"/>
      <c r="M1329" s="439"/>
      <c r="N1329" s="439"/>
      <c r="O1329" s="439"/>
      <c r="P1329" s="439"/>
      <c r="Q1329" s="439"/>
      <c r="R1329" s="439"/>
      <c r="S1329" s="439"/>
      <c r="T1329" s="264"/>
      <c r="U1329" s="439"/>
      <c r="V1329" s="16"/>
      <c r="W1329" s="119"/>
      <c r="X1329" s="119"/>
      <c r="Y1329" s="119"/>
      <c r="Z1329" s="119"/>
      <c r="AA1329" s="119"/>
      <c r="AB1329" s="119"/>
      <c r="AC1329" s="119"/>
      <c r="AD1329" s="119"/>
      <c r="AE1329" s="119"/>
      <c r="AF1329" s="119"/>
      <c r="AG1329" s="119"/>
      <c r="AH1329" s="16"/>
      <c r="AI1329" s="439"/>
      <c r="AJ1329" s="439"/>
      <c r="AK1329" s="439"/>
    </row>
    <row r="1330" ht="18.75" customHeight="1">
      <c r="A1330" s="439"/>
      <c r="B1330" s="439"/>
      <c r="C1330" s="439"/>
      <c r="D1330" s="439"/>
      <c r="E1330" s="439"/>
      <c r="F1330" s="439"/>
      <c r="G1330" s="439"/>
      <c r="H1330" s="439"/>
      <c r="I1330" s="439"/>
      <c r="J1330" s="439"/>
      <c r="K1330" s="439"/>
      <c r="L1330" s="439"/>
      <c r="M1330" s="439"/>
      <c r="N1330" s="439"/>
      <c r="O1330" s="439"/>
      <c r="P1330" s="439"/>
      <c r="Q1330" s="439"/>
      <c r="R1330" s="439"/>
      <c r="S1330" s="439"/>
      <c r="T1330" s="264"/>
      <c r="U1330" s="439"/>
      <c r="V1330" s="16"/>
      <c r="W1330" s="119"/>
      <c r="X1330" s="119"/>
      <c r="Y1330" s="119"/>
      <c r="Z1330" s="119"/>
      <c r="AA1330" s="119"/>
      <c r="AB1330" s="119"/>
      <c r="AC1330" s="119"/>
      <c r="AD1330" s="119"/>
      <c r="AE1330" s="119"/>
      <c r="AF1330" s="119"/>
      <c r="AG1330" s="119"/>
      <c r="AH1330" s="16"/>
      <c r="AI1330" s="439"/>
      <c r="AJ1330" s="439"/>
      <c r="AK1330" s="439"/>
    </row>
    <row r="1331" ht="18.75" customHeight="1">
      <c r="A1331" s="439"/>
      <c r="B1331" s="439"/>
      <c r="C1331" s="439"/>
      <c r="D1331" s="439"/>
      <c r="E1331" s="439"/>
      <c r="F1331" s="439"/>
      <c r="G1331" s="439"/>
      <c r="H1331" s="439"/>
      <c r="I1331" s="439"/>
      <c r="J1331" s="439"/>
      <c r="K1331" s="439"/>
      <c r="L1331" s="439"/>
      <c r="M1331" s="439"/>
      <c r="N1331" s="439"/>
      <c r="O1331" s="439"/>
      <c r="P1331" s="439"/>
      <c r="Q1331" s="439"/>
      <c r="R1331" s="439"/>
      <c r="S1331" s="439"/>
      <c r="T1331" s="264"/>
      <c r="U1331" s="439"/>
      <c r="V1331" s="16"/>
      <c r="W1331" s="119"/>
      <c r="X1331" s="119"/>
      <c r="Y1331" s="119"/>
      <c r="Z1331" s="119"/>
      <c r="AA1331" s="119"/>
      <c r="AB1331" s="119"/>
      <c r="AC1331" s="119"/>
      <c r="AD1331" s="119"/>
      <c r="AE1331" s="119"/>
      <c r="AF1331" s="119"/>
      <c r="AG1331" s="119"/>
      <c r="AH1331" s="16"/>
      <c r="AI1331" s="439"/>
      <c r="AJ1331" s="439"/>
      <c r="AK1331" s="439"/>
    </row>
    <row r="1332" ht="18.75" customHeight="1">
      <c r="A1332" s="439"/>
      <c r="B1332" s="439"/>
      <c r="C1332" s="439"/>
      <c r="D1332" s="439"/>
      <c r="E1332" s="439"/>
      <c r="F1332" s="439"/>
      <c r="G1332" s="439"/>
      <c r="H1332" s="439"/>
      <c r="I1332" s="439"/>
      <c r="J1332" s="439"/>
      <c r="K1332" s="439"/>
      <c r="L1332" s="439"/>
      <c r="M1332" s="439"/>
      <c r="N1332" s="439"/>
      <c r="O1332" s="439"/>
      <c r="P1332" s="439"/>
      <c r="Q1332" s="439"/>
      <c r="R1332" s="439"/>
      <c r="S1332" s="439"/>
      <c r="T1332" s="264"/>
      <c r="U1332" s="439"/>
      <c r="V1332" s="16"/>
      <c r="W1332" s="119"/>
      <c r="X1332" s="119"/>
      <c r="Y1332" s="119"/>
      <c r="Z1332" s="119"/>
      <c r="AA1332" s="119"/>
      <c r="AB1332" s="119"/>
      <c r="AC1332" s="119"/>
      <c r="AD1332" s="119"/>
      <c r="AE1332" s="119"/>
      <c r="AF1332" s="119"/>
      <c r="AG1332" s="119"/>
      <c r="AH1332" s="16"/>
      <c r="AI1332" s="439"/>
      <c r="AJ1332" s="439"/>
      <c r="AK1332" s="439"/>
    </row>
    <row r="1333" ht="18.75" customHeight="1">
      <c r="A1333" s="439"/>
      <c r="B1333" s="439"/>
      <c r="C1333" s="439"/>
      <c r="D1333" s="439"/>
      <c r="E1333" s="439"/>
      <c r="F1333" s="439"/>
      <c r="G1333" s="439"/>
      <c r="H1333" s="439"/>
      <c r="I1333" s="439"/>
      <c r="J1333" s="439"/>
      <c r="K1333" s="439"/>
      <c r="L1333" s="439"/>
      <c r="M1333" s="439"/>
      <c r="N1333" s="439"/>
      <c r="O1333" s="439"/>
      <c r="P1333" s="439"/>
      <c r="Q1333" s="439"/>
      <c r="R1333" s="439"/>
      <c r="S1333" s="439"/>
      <c r="T1333" s="264"/>
      <c r="U1333" s="439"/>
      <c r="V1333" s="16"/>
      <c r="W1333" s="119"/>
      <c r="X1333" s="119"/>
      <c r="Y1333" s="119"/>
      <c r="Z1333" s="119"/>
      <c r="AA1333" s="119"/>
      <c r="AB1333" s="119"/>
      <c r="AC1333" s="119"/>
      <c r="AD1333" s="119"/>
      <c r="AE1333" s="119"/>
      <c r="AF1333" s="119"/>
      <c r="AG1333" s="119"/>
      <c r="AH1333" s="16"/>
      <c r="AI1333" s="439"/>
      <c r="AJ1333" s="439"/>
      <c r="AK1333" s="439"/>
    </row>
    <row r="1334" ht="18.75" customHeight="1">
      <c r="A1334" s="439"/>
      <c r="B1334" s="439"/>
      <c r="C1334" s="439"/>
      <c r="D1334" s="439"/>
      <c r="E1334" s="439"/>
      <c r="F1334" s="439"/>
      <c r="G1334" s="439"/>
      <c r="H1334" s="439"/>
      <c r="I1334" s="439"/>
      <c r="J1334" s="439"/>
      <c r="K1334" s="439"/>
      <c r="L1334" s="439"/>
      <c r="M1334" s="439"/>
      <c r="N1334" s="439"/>
      <c r="O1334" s="439"/>
      <c r="P1334" s="439"/>
      <c r="Q1334" s="439"/>
      <c r="R1334" s="439"/>
      <c r="S1334" s="439"/>
      <c r="T1334" s="264"/>
      <c r="U1334" s="439"/>
      <c r="V1334" s="16"/>
      <c r="W1334" s="119"/>
      <c r="X1334" s="119"/>
      <c r="Y1334" s="119"/>
      <c r="Z1334" s="119"/>
      <c r="AA1334" s="119"/>
      <c r="AB1334" s="119"/>
      <c r="AC1334" s="119"/>
      <c r="AD1334" s="119"/>
      <c r="AE1334" s="119"/>
      <c r="AF1334" s="119"/>
      <c r="AG1334" s="119"/>
      <c r="AH1334" s="16"/>
      <c r="AI1334" s="439"/>
      <c r="AJ1334" s="439"/>
      <c r="AK1334" s="439"/>
    </row>
    <row r="1335" ht="18.75" customHeight="1">
      <c r="A1335" s="439"/>
      <c r="B1335" s="439"/>
      <c r="C1335" s="439"/>
      <c r="D1335" s="439"/>
      <c r="E1335" s="439"/>
      <c r="F1335" s="439"/>
      <c r="G1335" s="439"/>
      <c r="H1335" s="439"/>
      <c r="I1335" s="439"/>
      <c r="J1335" s="439"/>
      <c r="K1335" s="439"/>
      <c r="L1335" s="439"/>
      <c r="M1335" s="439"/>
      <c r="N1335" s="439"/>
      <c r="O1335" s="439"/>
      <c r="P1335" s="439"/>
      <c r="Q1335" s="439"/>
      <c r="R1335" s="439"/>
      <c r="S1335" s="439"/>
      <c r="T1335" s="264"/>
      <c r="U1335" s="439"/>
      <c r="V1335" s="16"/>
      <c r="W1335" s="119"/>
      <c r="X1335" s="119"/>
      <c r="Y1335" s="119"/>
      <c r="Z1335" s="119"/>
      <c r="AA1335" s="119"/>
      <c r="AB1335" s="119"/>
      <c r="AC1335" s="119"/>
      <c r="AD1335" s="119"/>
      <c r="AE1335" s="119"/>
      <c r="AF1335" s="119"/>
      <c r="AG1335" s="119"/>
      <c r="AH1335" s="16"/>
      <c r="AI1335" s="439"/>
      <c r="AJ1335" s="439"/>
      <c r="AK1335" s="439"/>
    </row>
    <row r="1336" ht="18.75" customHeight="1">
      <c r="A1336" s="439"/>
      <c r="B1336" s="439"/>
      <c r="C1336" s="439"/>
      <c r="D1336" s="439"/>
      <c r="E1336" s="439"/>
      <c r="F1336" s="439"/>
      <c r="G1336" s="439"/>
      <c r="H1336" s="439"/>
      <c r="I1336" s="439"/>
      <c r="J1336" s="439"/>
      <c r="K1336" s="439"/>
      <c r="L1336" s="439"/>
      <c r="M1336" s="439"/>
      <c r="N1336" s="439"/>
      <c r="O1336" s="439"/>
      <c r="P1336" s="439"/>
      <c r="Q1336" s="439"/>
      <c r="R1336" s="439"/>
      <c r="S1336" s="439"/>
      <c r="T1336" s="264"/>
      <c r="U1336" s="439"/>
      <c r="V1336" s="16"/>
      <c r="W1336" s="119"/>
      <c r="X1336" s="119"/>
      <c r="Y1336" s="119"/>
      <c r="Z1336" s="119"/>
      <c r="AA1336" s="119"/>
      <c r="AB1336" s="119"/>
      <c r="AC1336" s="119"/>
      <c r="AD1336" s="119"/>
      <c r="AE1336" s="119"/>
      <c r="AF1336" s="119"/>
      <c r="AG1336" s="119"/>
      <c r="AH1336" s="16"/>
      <c r="AI1336" s="439"/>
      <c r="AJ1336" s="439"/>
      <c r="AK1336" s="439"/>
    </row>
    <row r="1337" ht="18.75" customHeight="1">
      <c r="A1337" s="439"/>
      <c r="B1337" s="439"/>
      <c r="C1337" s="439"/>
      <c r="D1337" s="439"/>
      <c r="E1337" s="439"/>
      <c r="F1337" s="439"/>
      <c r="G1337" s="439"/>
      <c r="H1337" s="439"/>
      <c r="I1337" s="439"/>
      <c r="J1337" s="439"/>
      <c r="K1337" s="439"/>
      <c r="L1337" s="439"/>
      <c r="M1337" s="439"/>
      <c r="N1337" s="439"/>
      <c r="O1337" s="439"/>
      <c r="P1337" s="439"/>
      <c r="Q1337" s="439"/>
      <c r="R1337" s="439"/>
      <c r="S1337" s="439"/>
      <c r="T1337" s="264"/>
      <c r="U1337" s="439"/>
      <c r="V1337" s="16"/>
      <c r="W1337" s="119"/>
      <c r="X1337" s="119"/>
      <c r="Y1337" s="119"/>
      <c r="Z1337" s="119"/>
      <c r="AA1337" s="119"/>
      <c r="AB1337" s="119"/>
      <c r="AC1337" s="119"/>
      <c r="AD1337" s="119"/>
      <c r="AE1337" s="119"/>
      <c r="AF1337" s="119"/>
      <c r="AG1337" s="119"/>
      <c r="AH1337" s="16"/>
      <c r="AI1337" s="439"/>
      <c r="AJ1337" s="439"/>
      <c r="AK1337" s="439"/>
    </row>
    <row r="1338" ht="18.75" customHeight="1">
      <c r="A1338" s="439"/>
      <c r="B1338" s="439"/>
      <c r="C1338" s="439"/>
      <c r="D1338" s="439"/>
      <c r="E1338" s="439"/>
      <c r="F1338" s="439"/>
      <c r="G1338" s="439"/>
      <c r="H1338" s="439"/>
      <c r="I1338" s="439"/>
      <c r="J1338" s="439"/>
      <c r="K1338" s="439"/>
      <c r="L1338" s="439"/>
      <c r="M1338" s="439"/>
      <c r="N1338" s="439"/>
      <c r="O1338" s="439"/>
      <c r="P1338" s="439"/>
      <c r="Q1338" s="439"/>
      <c r="R1338" s="439"/>
      <c r="S1338" s="439"/>
      <c r="T1338" s="264"/>
      <c r="U1338" s="439"/>
      <c r="V1338" s="16"/>
      <c r="W1338" s="119"/>
      <c r="X1338" s="119"/>
      <c r="Y1338" s="119"/>
      <c r="Z1338" s="119"/>
      <c r="AA1338" s="119"/>
      <c r="AB1338" s="119"/>
      <c r="AC1338" s="119"/>
      <c r="AD1338" s="119"/>
      <c r="AE1338" s="119"/>
      <c r="AF1338" s="119"/>
      <c r="AG1338" s="119"/>
      <c r="AH1338" s="16"/>
      <c r="AI1338" s="439"/>
      <c r="AJ1338" s="439"/>
      <c r="AK1338" s="439"/>
    </row>
    <row r="1339" ht="18.75" customHeight="1">
      <c r="A1339" s="439"/>
      <c r="B1339" s="439"/>
      <c r="C1339" s="439"/>
      <c r="D1339" s="439"/>
      <c r="E1339" s="439"/>
      <c r="F1339" s="439"/>
      <c r="G1339" s="439"/>
      <c r="H1339" s="439"/>
      <c r="I1339" s="439"/>
      <c r="J1339" s="439"/>
      <c r="K1339" s="439"/>
      <c r="L1339" s="439"/>
      <c r="M1339" s="439"/>
      <c r="N1339" s="439"/>
      <c r="O1339" s="439"/>
      <c r="P1339" s="439"/>
      <c r="Q1339" s="439"/>
      <c r="R1339" s="439"/>
      <c r="S1339" s="439"/>
      <c r="T1339" s="264"/>
      <c r="U1339" s="439"/>
      <c r="V1339" s="16"/>
      <c r="W1339" s="119"/>
      <c r="X1339" s="119"/>
      <c r="Y1339" s="119"/>
      <c r="Z1339" s="119"/>
      <c r="AA1339" s="119"/>
      <c r="AB1339" s="119"/>
      <c r="AC1339" s="119"/>
      <c r="AD1339" s="119"/>
      <c r="AE1339" s="119"/>
      <c r="AF1339" s="119"/>
      <c r="AG1339" s="119"/>
      <c r="AH1339" s="16"/>
      <c r="AI1339" s="439"/>
      <c r="AJ1339" s="439"/>
      <c r="AK1339" s="439"/>
    </row>
    <row r="1340" ht="18.75" customHeight="1">
      <c r="A1340" s="439"/>
      <c r="B1340" s="439"/>
      <c r="C1340" s="439"/>
      <c r="D1340" s="439"/>
      <c r="E1340" s="439"/>
      <c r="F1340" s="439"/>
      <c r="G1340" s="439"/>
      <c r="H1340" s="439"/>
      <c r="I1340" s="439"/>
      <c r="J1340" s="439"/>
      <c r="K1340" s="439"/>
      <c r="L1340" s="439"/>
      <c r="M1340" s="439"/>
      <c r="N1340" s="439"/>
      <c r="O1340" s="439"/>
      <c r="P1340" s="439"/>
      <c r="Q1340" s="439"/>
      <c r="R1340" s="439"/>
      <c r="S1340" s="439"/>
      <c r="T1340" s="264"/>
      <c r="U1340" s="439"/>
      <c r="V1340" s="16"/>
      <c r="W1340" s="119"/>
      <c r="X1340" s="119"/>
      <c r="Y1340" s="119"/>
      <c r="Z1340" s="119"/>
      <c r="AA1340" s="119"/>
      <c r="AB1340" s="119"/>
      <c r="AC1340" s="119"/>
      <c r="AD1340" s="119"/>
      <c r="AE1340" s="119"/>
      <c r="AF1340" s="119"/>
      <c r="AG1340" s="119"/>
      <c r="AH1340" s="16"/>
      <c r="AI1340" s="439"/>
      <c r="AJ1340" s="439"/>
      <c r="AK1340" s="439"/>
    </row>
    <row r="1341" ht="18.75" customHeight="1">
      <c r="A1341" s="439"/>
      <c r="B1341" s="439"/>
      <c r="C1341" s="439"/>
      <c r="D1341" s="439"/>
      <c r="E1341" s="439"/>
      <c r="F1341" s="439"/>
      <c r="G1341" s="439"/>
      <c r="H1341" s="439"/>
      <c r="I1341" s="439"/>
      <c r="J1341" s="439"/>
      <c r="K1341" s="439"/>
      <c r="L1341" s="439"/>
      <c r="M1341" s="439"/>
      <c r="N1341" s="439"/>
      <c r="O1341" s="439"/>
      <c r="P1341" s="439"/>
      <c r="Q1341" s="439"/>
      <c r="R1341" s="439"/>
      <c r="S1341" s="439"/>
      <c r="T1341" s="264"/>
      <c r="U1341" s="439"/>
      <c r="V1341" s="16"/>
      <c r="W1341" s="119"/>
      <c r="X1341" s="119"/>
      <c r="Y1341" s="119"/>
      <c r="Z1341" s="119"/>
      <c r="AA1341" s="119"/>
      <c r="AB1341" s="119"/>
      <c r="AC1341" s="119"/>
      <c r="AD1341" s="119"/>
      <c r="AE1341" s="119"/>
      <c r="AF1341" s="119"/>
      <c r="AG1341" s="119"/>
      <c r="AH1341" s="16"/>
      <c r="AI1341" s="439"/>
      <c r="AJ1341" s="439"/>
      <c r="AK1341" s="439"/>
    </row>
    <row r="1342" ht="18.75" customHeight="1">
      <c r="A1342" s="439"/>
      <c r="B1342" s="439"/>
      <c r="C1342" s="439"/>
      <c r="D1342" s="439"/>
      <c r="E1342" s="439"/>
      <c r="F1342" s="439"/>
      <c r="G1342" s="439"/>
      <c r="H1342" s="439"/>
      <c r="I1342" s="439"/>
      <c r="J1342" s="439"/>
      <c r="K1342" s="439"/>
      <c r="L1342" s="439"/>
      <c r="M1342" s="439"/>
      <c r="N1342" s="439"/>
      <c r="O1342" s="439"/>
      <c r="P1342" s="439"/>
      <c r="Q1342" s="439"/>
      <c r="R1342" s="439"/>
      <c r="S1342" s="439"/>
      <c r="T1342" s="264"/>
      <c r="U1342" s="439"/>
      <c r="V1342" s="16"/>
      <c r="W1342" s="119"/>
      <c r="X1342" s="119"/>
      <c r="Y1342" s="119"/>
      <c r="Z1342" s="119"/>
      <c r="AA1342" s="119"/>
      <c r="AB1342" s="119"/>
      <c r="AC1342" s="119"/>
      <c r="AD1342" s="119"/>
      <c r="AE1342" s="119"/>
      <c r="AF1342" s="119"/>
      <c r="AG1342" s="119"/>
      <c r="AH1342" s="16"/>
      <c r="AI1342" s="439"/>
      <c r="AJ1342" s="439"/>
      <c r="AK1342" s="439"/>
    </row>
    <row r="1343" ht="18.75" customHeight="1">
      <c r="A1343" s="439"/>
      <c r="B1343" s="439"/>
      <c r="C1343" s="439"/>
      <c r="D1343" s="439"/>
      <c r="E1343" s="439"/>
      <c r="F1343" s="439"/>
      <c r="G1343" s="439"/>
      <c r="H1343" s="439"/>
      <c r="I1343" s="439"/>
      <c r="J1343" s="439"/>
      <c r="K1343" s="439"/>
      <c r="L1343" s="439"/>
      <c r="M1343" s="439"/>
      <c r="N1343" s="439"/>
      <c r="O1343" s="439"/>
      <c r="P1343" s="439"/>
      <c r="Q1343" s="439"/>
      <c r="R1343" s="439"/>
      <c r="S1343" s="439"/>
      <c r="T1343" s="264"/>
      <c r="U1343" s="439"/>
      <c r="V1343" s="16"/>
      <c r="W1343" s="119"/>
      <c r="X1343" s="119"/>
      <c r="Y1343" s="119"/>
      <c r="Z1343" s="119"/>
      <c r="AA1343" s="119"/>
      <c r="AB1343" s="119"/>
      <c r="AC1343" s="119"/>
      <c r="AD1343" s="119"/>
      <c r="AE1343" s="119"/>
      <c r="AF1343" s="119"/>
      <c r="AG1343" s="119"/>
      <c r="AH1343" s="16"/>
      <c r="AI1343" s="439"/>
      <c r="AJ1343" s="439"/>
      <c r="AK1343" s="439"/>
    </row>
    <row r="1344" ht="18.75" customHeight="1">
      <c r="A1344" s="439"/>
      <c r="B1344" s="439"/>
      <c r="C1344" s="439"/>
      <c r="D1344" s="439"/>
      <c r="E1344" s="439"/>
      <c r="F1344" s="439"/>
      <c r="G1344" s="439"/>
      <c r="H1344" s="439"/>
      <c r="I1344" s="439"/>
      <c r="J1344" s="439"/>
      <c r="K1344" s="439"/>
      <c r="L1344" s="439"/>
      <c r="M1344" s="439"/>
      <c r="N1344" s="439"/>
      <c r="O1344" s="439"/>
      <c r="P1344" s="439"/>
      <c r="Q1344" s="439"/>
      <c r="R1344" s="439"/>
      <c r="S1344" s="439"/>
      <c r="T1344" s="264"/>
      <c r="U1344" s="439"/>
      <c r="V1344" s="16"/>
      <c r="W1344" s="119"/>
      <c r="X1344" s="119"/>
      <c r="Y1344" s="119"/>
      <c r="Z1344" s="119"/>
      <c r="AA1344" s="119"/>
      <c r="AB1344" s="119"/>
      <c r="AC1344" s="119"/>
      <c r="AD1344" s="119"/>
      <c r="AE1344" s="119"/>
      <c r="AF1344" s="119"/>
      <c r="AG1344" s="119"/>
      <c r="AH1344" s="16"/>
      <c r="AI1344" s="439"/>
      <c r="AJ1344" s="439"/>
      <c r="AK1344" s="439"/>
    </row>
    <row r="1345" ht="18.75" customHeight="1">
      <c r="A1345" s="439"/>
      <c r="B1345" s="439"/>
      <c r="C1345" s="439"/>
      <c r="D1345" s="439"/>
      <c r="E1345" s="439"/>
      <c r="F1345" s="439"/>
      <c r="G1345" s="439"/>
      <c r="H1345" s="439"/>
      <c r="I1345" s="439"/>
      <c r="J1345" s="439"/>
      <c r="K1345" s="439"/>
      <c r="L1345" s="439"/>
      <c r="M1345" s="439"/>
      <c r="N1345" s="439"/>
      <c r="O1345" s="439"/>
      <c r="P1345" s="439"/>
      <c r="Q1345" s="439"/>
      <c r="R1345" s="439"/>
      <c r="S1345" s="439"/>
      <c r="T1345" s="264"/>
      <c r="U1345" s="439"/>
      <c r="V1345" s="16"/>
      <c r="W1345" s="119"/>
      <c r="X1345" s="119"/>
      <c r="Y1345" s="119"/>
      <c r="Z1345" s="119"/>
      <c r="AA1345" s="119"/>
      <c r="AB1345" s="119"/>
      <c r="AC1345" s="119"/>
      <c r="AD1345" s="119"/>
      <c r="AE1345" s="119"/>
      <c r="AF1345" s="119"/>
      <c r="AG1345" s="119"/>
      <c r="AH1345" s="16"/>
      <c r="AI1345" s="439"/>
      <c r="AJ1345" s="439"/>
      <c r="AK1345" s="439"/>
    </row>
    <row r="1346" ht="18.75" customHeight="1">
      <c r="A1346" s="439"/>
      <c r="B1346" s="439"/>
      <c r="C1346" s="439"/>
      <c r="D1346" s="439"/>
      <c r="E1346" s="439"/>
      <c r="F1346" s="439"/>
      <c r="G1346" s="439"/>
      <c r="H1346" s="439"/>
      <c r="I1346" s="439"/>
      <c r="J1346" s="439"/>
      <c r="K1346" s="439"/>
      <c r="L1346" s="439"/>
      <c r="M1346" s="439"/>
      <c r="N1346" s="439"/>
      <c r="O1346" s="439"/>
      <c r="P1346" s="439"/>
      <c r="Q1346" s="439"/>
      <c r="R1346" s="439"/>
      <c r="S1346" s="439"/>
      <c r="T1346" s="264"/>
      <c r="U1346" s="439"/>
      <c r="V1346" s="16"/>
      <c r="W1346" s="119"/>
      <c r="X1346" s="119"/>
      <c r="Y1346" s="119"/>
      <c r="Z1346" s="119"/>
      <c r="AA1346" s="119"/>
      <c r="AB1346" s="119"/>
      <c r="AC1346" s="119"/>
      <c r="AD1346" s="119"/>
      <c r="AE1346" s="119"/>
      <c r="AF1346" s="119"/>
      <c r="AG1346" s="119"/>
      <c r="AH1346" s="16"/>
      <c r="AI1346" s="439"/>
      <c r="AJ1346" s="439"/>
      <c r="AK1346" s="439"/>
    </row>
    <row r="1347" ht="18.75" customHeight="1">
      <c r="A1347" s="439"/>
      <c r="B1347" s="439"/>
      <c r="C1347" s="439"/>
      <c r="D1347" s="439"/>
      <c r="E1347" s="439"/>
      <c r="F1347" s="439"/>
      <c r="G1347" s="439"/>
      <c r="H1347" s="439"/>
      <c r="I1347" s="439"/>
      <c r="J1347" s="439"/>
      <c r="K1347" s="439"/>
      <c r="L1347" s="439"/>
      <c r="M1347" s="439"/>
      <c r="N1347" s="439"/>
      <c r="O1347" s="439"/>
      <c r="P1347" s="439"/>
      <c r="Q1347" s="439"/>
      <c r="R1347" s="439"/>
      <c r="S1347" s="439"/>
      <c r="T1347" s="264"/>
      <c r="U1347" s="439"/>
      <c r="V1347" s="16"/>
      <c r="W1347" s="119"/>
      <c r="X1347" s="119"/>
      <c r="Y1347" s="119"/>
      <c r="Z1347" s="119"/>
      <c r="AA1347" s="119"/>
      <c r="AB1347" s="119"/>
      <c r="AC1347" s="119"/>
      <c r="AD1347" s="119"/>
      <c r="AE1347" s="119"/>
      <c r="AF1347" s="119"/>
      <c r="AG1347" s="119"/>
      <c r="AH1347" s="16"/>
      <c r="AI1347" s="439"/>
      <c r="AJ1347" s="439"/>
      <c r="AK1347" s="439"/>
    </row>
    <row r="1348" ht="18.75" customHeight="1">
      <c r="A1348" s="439"/>
      <c r="B1348" s="439"/>
      <c r="C1348" s="439"/>
      <c r="D1348" s="439"/>
      <c r="E1348" s="439"/>
      <c r="F1348" s="439"/>
      <c r="G1348" s="439"/>
      <c r="H1348" s="439"/>
      <c r="I1348" s="439"/>
      <c r="J1348" s="439"/>
      <c r="K1348" s="439"/>
      <c r="L1348" s="439"/>
      <c r="M1348" s="439"/>
      <c r="N1348" s="439"/>
      <c r="O1348" s="439"/>
      <c r="P1348" s="439"/>
      <c r="Q1348" s="439"/>
      <c r="R1348" s="439"/>
      <c r="S1348" s="439"/>
      <c r="T1348" s="264"/>
      <c r="U1348" s="439"/>
      <c r="V1348" s="16"/>
      <c r="W1348" s="119"/>
      <c r="X1348" s="119"/>
      <c r="Y1348" s="119"/>
      <c r="Z1348" s="119"/>
      <c r="AA1348" s="119"/>
      <c r="AB1348" s="119"/>
      <c r="AC1348" s="119"/>
      <c r="AD1348" s="119"/>
      <c r="AE1348" s="119"/>
      <c r="AF1348" s="119"/>
      <c r="AG1348" s="119"/>
      <c r="AH1348" s="16"/>
      <c r="AI1348" s="439"/>
      <c r="AJ1348" s="439"/>
      <c r="AK1348" s="439"/>
    </row>
    <row r="1349" ht="18.75" customHeight="1">
      <c r="A1349" s="439"/>
      <c r="B1349" s="439"/>
      <c r="C1349" s="439"/>
      <c r="D1349" s="439"/>
      <c r="E1349" s="439"/>
      <c r="F1349" s="439"/>
      <c r="G1349" s="439"/>
      <c r="H1349" s="439"/>
      <c r="I1349" s="439"/>
      <c r="J1349" s="439"/>
      <c r="K1349" s="439"/>
      <c r="L1349" s="439"/>
      <c r="M1349" s="439"/>
      <c r="N1349" s="439"/>
      <c r="O1349" s="439"/>
      <c r="P1349" s="439"/>
      <c r="Q1349" s="439"/>
      <c r="R1349" s="439"/>
      <c r="S1349" s="439"/>
      <c r="T1349" s="264"/>
      <c r="U1349" s="439"/>
      <c r="V1349" s="16"/>
      <c r="W1349" s="119"/>
      <c r="X1349" s="119"/>
      <c r="Y1349" s="119"/>
      <c r="Z1349" s="119"/>
      <c r="AA1349" s="119"/>
      <c r="AB1349" s="119"/>
      <c r="AC1349" s="119"/>
      <c r="AD1349" s="119"/>
      <c r="AE1349" s="119"/>
      <c r="AF1349" s="119"/>
      <c r="AG1349" s="119"/>
      <c r="AH1349" s="16"/>
      <c r="AI1349" s="439"/>
      <c r="AJ1349" s="439"/>
      <c r="AK1349" s="439"/>
    </row>
    <row r="1350" ht="18.75" customHeight="1">
      <c r="A1350" s="439"/>
      <c r="B1350" s="439"/>
      <c r="C1350" s="439"/>
      <c r="D1350" s="439"/>
      <c r="E1350" s="439"/>
      <c r="F1350" s="439"/>
      <c r="G1350" s="439"/>
      <c r="H1350" s="439"/>
      <c r="I1350" s="439"/>
      <c r="J1350" s="439"/>
      <c r="K1350" s="439"/>
      <c r="L1350" s="439"/>
      <c r="M1350" s="439"/>
      <c r="N1350" s="439"/>
      <c r="O1350" s="439"/>
      <c r="P1350" s="439"/>
      <c r="Q1350" s="439"/>
      <c r="R1350" s="439"/>
      <c r="S1350" s="439"/>
      <c r="T1350" s="264"/>
      <c r="U1350" s="439"/>
      <c r="V1350" s="16"/>
      <c r="W1350" s="119"/>
      <c r="X1350" s="119"/>
      <c r="Y1350" s="119"/>
      <c r="Z1350" s="119"/>
      <c r="AA1350" s="119"/>
      <c r="AB1350" s="119"/>
      <c r="AC1350" s="119"/>
      <c r="AD1350" s="119"/>
      <c r="AE1350" s="119"/>
      <c r="AF1350" s="119"/>
      <c r="AG1350" s="119"/>
      <c r="AH1350" s="16"/>
      <c r="AI1350" s="439"/>
      <c r="AJ1350" s="439"/>
      <c r="AK1350" s="439"/>
    </row>
    <row r="1351" ht="18.75" customHeight="1">
      <c r="A1351" s="439"/>
      <c r="B1351" s="439"/>
      <c r="C1351" s="439"/>
      <c r="D1351" s="439"/>
      <c r="E1351" s="439"/>
      <c r="F1351" s="439"/>
      <c r="G1351" s="439"/>
      <c r="H1351" s="439"/>
      <c r="I1351" s="439"/>
      <c r="J1351" s="439"/>
      <c r="K1351" s="439"/>
      <c r="L1351" s="439"/>
      <c r="M1351" s="439"/>
      <c r="N1351" s="439"/>
      <c r="O1351" s="439"/>
      <c r="P1351" s="439"/>
      <c r="Q1351" s="439"/>
      <c r="R1351" s="439"/>
      <c r="S1351" s="439"/>
      <c r="T1351" s="264"/>
      <c r="U1351" s="439"/>
      <c r="V1351" s="16"/>
      <c r="W1351" s="119"/>
      <c r="X1351" s="119"/>
      <c r="Y1351" s="119"/>
      <c r="Z1351" s="119"/>
      <c r="AA1351" s="119"/>
      <c r="AB1351" s="119"/>
      <c r="AC1351" s="119"/>
      <c r="AD1351" s="119"/>
      <c r="AE1351" s="119"/>
      <c r="AF1351" s="119"/>
      <c r="AG1351" s="119"/>
      <c r="AH1351" s="16"/>
      <c r="AI1351" s="439"/>
      <c r="AJ1351" s="439"/>
      <c r="AK1351" s="439"/>
    </row>
    <row r="1352" ht="18.75" customHeight="1">
      <c r="A1352" s="439"/>
      <c r="B1352" s="439"/>
      <c r="C1352" s="439"/>
      <c r="D1352" s="439"/>
      <c r="E1352" s="439"/>
      <c r="F1352" s="439"/>
      <c r="G1352" s="439"/>
      <c r="H1352" s="439"/>
      <c r="I1352" s="439"/>
      <c r="J1352" s="439"/>
      <c r="K1352" s="439"/>
      <c r="L1352" s="439"/>
      <c r="M1352" s="439"/>
      <c r="N1352" s="439"/>
      <c r="O1352" s="439"/>
      <c r="P1352" s="439"/>
      <c r="Q1352" s="439"/>
      <c r="R1352" s="439"/>
      <c r="S1352" s="439"/>
      <c r="T1352" s="264"/>
      <c r="U1352" s="439"/>
      <c r="V1352" s="16"/>
      <c r="W1352" s="119"/>
      <c r="X1352" s="119"/>
      <c r="Y1352" s="119"/>
      <c r="Z1352" s="119"/>
      <c r="AA1352" s="119"/>
      <c r="AB1352" s="119"/>
      <c r="AC1352" s="119"/>
      <c r="AD1352" s="119"/>
      <c r="AE1352" s="119"/>
      <c r="AF1352" s="119"/>
      <c r="AG1352" s="119"/>
      <c r="AH1352" s="16"/>
      <c r="AI1352" s="439"/>
      <c r="AJ1352" s="439"/>
      <c r="AK1352" s="439"/>
    </row>
    <row r="1353" ht="18.75" customHeight="1">
      <c r="A1353" s="439"/>
      <c r="B1353" s="439"/>
      <c r="C1353" s="439"/>
      <c r="D1353" s="439"/>
      <c r="E1353" s="439"/>
      <c r="F1353" s="439"/>
      <c r="G1353" s="439"/>
      <c r="H1353" s="439"/>
      <c r="I1353" s="439"/>
      <c r="J1353" s="439"/>
      <c r="K1353" s="439"/>
      <c r="L1353" s="439"/>
      <c r="M1353" s="439"/>
      <c r="N1353" s="439"/>
      <c r="O1353" s="439"/>
      <c r="P1353" s="439"/>
      <c r="Q1353" s="439"/>
      <c r="R1353" s="439"/>
      <c r="S1353" s="439"/>
      <c r="T1353" s="264"/>
      <c r="U1353" s="439"/>
      <c r="V1353" s="16"/>
      <c r="W1353" s="119"/>
      <c r="X1353" s="119"/>
      <c r="Y1353" s="119"/>
      <c r="Z1353" s="119"/>
      <c r="AA1353" s="119"/>
      <c r="AB1353" s="119"/>
      <c r="AC1353" s="119"/>
      <c r="AD1353" s="119"/>
      <c r="AE1353" s="119"/>
      <c r="AF1353" s="119"/>
      <c r="AG1353" s="119"/>
      <c r="AH1353" s="16"/>
      <c r="AI1353" s="439"/>
      <c r="AJ1353" s="439"/>
      <c r="AK1353" s="439"/>
    </row>
    <row r="1354" ht="18.75" customHeight="1">
      <c r="A1354" s="439"/>
      <c r="B1354" s="439"/>
      <c r="C1354" s="439"/>
      <c r="D1354" s="439"/>
      <c r="E1354" s="439"/>
      <c r="F1354" s="439"/>
      <c r="G1354" s="439"/>
      <c r="H1354" s="439"/>
      <c r="I1354" s="439"/>
      <c r="J1354" s="439"/>
      <c r="K1354" s="439"/>
      <c r="L1354" s="439"/>
      <c r="M1354" s="439"/>
      <c r="N1354" s="439"/>
      <c r="O1354" s="439"/>
      <c r="P1354" s="439"/>
      <c r="Q1354" s="439"/>
      <c r="R1354" s="439"/>
      <c r="S1354" s="439"/>
      <c r="T1354" s="264"/>
      <c r="U1354" s="439"/>
      <c r="V1354" s="16"/>
      <c r="W1354" s="119"/>
      <c r="X1354" s="119"/>
      <c r="Y1354" s="119"/>
      <c r="Z1354" s="119"/>
      <c r="AA1354" s="119"/>
      <c r="AB1354" s="119"/>
      <c r="AC1354" s="119"/>
      <c r="AD1354" s="119"/>
      <c r="AE1354" s="119"/>
      <c r="AF1354" s="119"/>
      <c r="AG1354" s="119"/>
      <c r="AH1354" s="16"/>
      <c r="AI1354" s="439"/>
      <c r="AJ1354" s="439"/>
      <c r="AK1354" s="439"/>
    </row>
    <row r="1355" ht="18.75" customHeight="1">
      <c r="A1355" s="439"/>
      <c r="B1355" s="439"/>
      <c r="C1355" s="439"/>
      <c r="D1355" s="439"/>
      <c r="E1355" s="439"/>
      <c r="F1355" s="439"/>
      <c r="G1355" s="439"/>
      <c r="H1355" s="439"/>
      <c r="I1355" s="439"/>
      <c r="J1355" s="439"/>
      <c r="K1355" s="439"/>
      <c r="L1355" s="439"/>
      <c r="M1355" s="439"/>
      <c r="N1355" s="439"/>
      <c r="O1355" s="439"/>
      <c r="P1355" s="439"/>
      <c r="Q1355" s="439"/>
      <c r="R1355" s="439"/>
      <c r="S1355" s="439"/>
      <c r="T1355" s="264"/>
      <c r="U1355" s="439"/>
      <c r="V1355" s="16"/>
      <c r="W1355" s="119"/>
      <c r="X1355" s="119"/>
      <c r="Y1355" s="119"/>
      <c r="Z1355" s="119"/>
      <c r="AA1355" s="119"/>
      <c r="AB1355" s="119"/>
      <c r="AC1355" s="119"/>
      <c r="AD1355" s="119"/>
      <c r="AE1355" s="119"/>
      <c r="AF1355" s="119"/>
      <c r="AG1355" s="119"/>
      <c r="AH1355" s="16"/>
      <c r="AI1355" s="439"/>
      <c r="AJ1355" s="439"/>
      <c r="AK1355" s="439"/>
    </row>
    <row r="1356" ht="18.75" customHeight="1">
      <c r="A1356" s="439"/>
      <c r="B1356" s="439"/>
      <c r="C1356" s="439"/>
      <c r="D1356" s="439"/>
      <c r="E1356" s="439"/>
      <c r="F1356" s="439"/>
      <c r="G1356" s="439"/>
      <c r="H1356" s="439"/>
      <c r="I1356" s="439"/>
      <c r="J1356" s="439"/>
      <c r="K1356" s="439"/>
      <c r="L1356" s="439"/>
      <c r="M1356" s="439"/>
      <c r="N1356" s="439"/>
      <c r="O1356" s="439"/>
      <c r="P1356" s="439"/>
      <c r="Q1356" s="439"/>
      <c r="R1356" s="439"/>
      <c r="S1356" s="439"/>
      <c r="T1356" s="264"/>
      <c r="U1356" s="439"/>
      <c r="V1356" s="16"/>
      <c r="W1356" s="119"/>
      <c r="X1356" s="119"/>
      <c r="Y1356" s="119"/>
      <c r="Z1356" s="119"/>
      <c r="AA1356" s="119"/>
      <c r="AB1356" s="119"/>
      <c r="AC1356" s="119"/>
      <c r="AD1356" s="119"/>
      <c r="AE1356" s="119"/>
      <c r="AF1356" s="119"/>
      <c r="AG1356" s="119"/>
      <c r="AH1356" s="16"/>
      <c r="AI1356" s="439"/>
      <c r="AJ1356" s="439"/>
      <c r="AK1356" s="439"/>
    </row>
    <row r="1357" ht="18.75" customHeight="1">
      <c r="A1357" s="439"/>
      <c r="B1357" s="439"/>
      <c r="C1357" s="439"/>
      <c r="D1357" s="439"/>
      <c r="E1357" s="439"/>
      <c r="F1357" s="439"/>
      <c r="G1357" s="439"/>
      <c r="H1357" s="439"/>
      <c r="I1357" s="439"/>
      <c r="J1357" s="439"/>
      <c r="K1357" s="439"/>
      <c r="L1357" s="439"/>
      <c r="M1357" s="439"/>
      <c r="N1357" s="439"/>
      <c r="O1357" s="439"/>
      <c r="P1357" s="439"/>
      <c r="Q1357" s="439"/>
      <c r="R1357" s="439"/>
      <c r="S1357" s="439"/>
      <c r="T1357" s="264"/>
      <c r="U1357" s="439"/>
      <c r="V1357" s="16"/>
      <c r="W1357" s="119"/>
      <c r="X1357" s="119"/>
      <c r="Y1357" s="119"/>
      <c r="Z1357" s="119"/>
      <c r="AA1357" s="119"/>
      <c r="AB1357" s="119"/>
      <c r="AC1357" s="119"/>
      <c r="AD1357" s="119"/>
      <c r="AE1357" s="119"/>
      <c r="AF1357" s="119"/>
      <c r="AG1357" s="119"/>
      <c r="AH1357" s="16"/>
      <c r="AI1357" s="439"/>
      <c r="AJ1357" s="439"/>
      <c r="AK1357" s="439"/>
    </row>
    <row r="1358" ht="18.75" customHeight="1">
      <c r="A1358" s="439"/>
      <c r="B1358" s="439"/>
      <c r="C1358" s="439"/>
      <c r="D1358" s="439"/>
      <c r="E1358" s="439"/>
      <c r="F1358" s="439"/>
      <c r="G1358" s="439"/>
      <c r="H1358" s="439"/>
      <c r="I1358" s="439"/>
      <c r="J1358" s="439"/>
      <c r="K1358" s="439"/>
      <c r="L1358" s="439"/>
      <c r="M1358" s="439"/>
      <c r="N1358" s="439"/>
      <c r="O1358" s="439"/>
      <c r="P1358" s="439"/>
      <c r="Q1358" s="439"/>
      <c r="R1358" s="439"/>
      <c r="S1358" s="439"/>
      <c r="T1358" s="264"/>
      <c r="U1358" s="439"/>
      <c r="V1358" s="16"/>
      <c r="W1358" s="119"/>
      <c r="X1358" s="119"/>
      <c r="Y1358" s="119"/>
      <c r="Z1358" s="119"/>
      <c r="AA1358" s="119"/>
      <c r="AB1358" s="119"/>
      <c r="AC1358" s="119"/>
      <c r="AD1358" s="119"/>
      <c r="AE1358" s="119"/>
      <c r="AF1358" s="119"/>
      <c r="AG1358" s="119"/>
      <c r="AH1358" s="16"/>
      <c r="AI1358" s="439"/>
      <c r="AJ1358" s="439"/>
      <c r="AK1358" s="439"/>
    </row>
    <row r="1359" ht="18.75" customHeight="1">
      <c r="A1359" s="439"/>
      <c r="B1359" s="439"/>
      <c r="C1359" s="439"/>
      <c r="D1359" s="439"/>
      <c r="E1359" s="439"/>
      <c r="F1359" s="439"/>
      <c r="G1359" s="439"/>
      <c r="H1359" s="439"/>
      <c r="I1359" s="439"/>
      <c r="J1359" s="439"/>
      <c r="K1359" s="439"/>
      <c r="L1359" s="439"/>
      <c r="M1359" s="439"/>
      <c r="N1359" s="439"/>
      <c r="O1359" s="439"/>
      <c r="P1359" s="439"/>
      <c r="Q1359" s="439"/>
      <c r="R1359" s="439"/>
      <c r="S1359" s="439"/>
      <c r="T1359" s="264"/>
      <c r="U1359" s="439"/>
      <c r="V1359" s="16"/>
      <c r="W1359" s="119"/>
      <c r="X1359" s="119"/>
      <c r="Y1359" s="119"/>
      <c r="Z1359" s="119"/>
      <c r="AA1359" s="119"/>
      <c r="AB1359" s="119"/>
      <c r="AC1359" s="119"/>
      <c r="AD1359" s="119"/>
      <c r="AE1359" s="119"/>
      <c r="AF1359" s="119"/>
      <c r="AG1359" s="119"/>
      <c r="AH1359" s="16"/>
      <c r="AI1359" s="439"/>
      <c r="AJ1359" s="439"/>
      <c r="AK1359" s="439"/>
    </row>
    <row r="1360" ht="18.75" customHeight="1">
      <c r="A1360" s="439"/>
      <c r="B1360" s="439"/>
      <c r="C1360" s="439"/>
      <c r="D1360" s="439"/>
      <c r="E1360" s="439"/>
      <c r="F1360" s="439"/>
      <c r="G1360" s="439"/>
      <c r="H1360" s="439"/>
      <c r="I1360" s="439"/>
      <c r="J1360" s="439"/>
      <c r="K1360" s="439"/>
      <c r="L1360" s="439"/>
      <c r="M1360" s="439"/>
      <c r="N1360" s="439"/>
      <c r="O1360" s="439"/>
      <c r="P1360" s="439"/>
      <c r="Q1360" s="439"/>
      <c r="R1360" s="439"/>
      <c r="S1360" s="439"/>
      <c r="T1360" s="264"/>
      <c r="U1360" s="439"/>
      <c r="V1360" s="16"/>
      <c r="W1360" s="119"/>
      <c r="X1360" s="119"/>
      <c r="Y1360" s="119"/>
      <c r="Z1360" s="119"/>
      <c r="AA1360" s="119"/>
      <c r="AB1360" s="119"/>
      <c r="AC1360" s="119"/>
      <c r="AD1360" s="119"/>
      <c r="AE1360" s="119"/>
      <c r="AF1360" s="119"/>
      <c r="AG1360" s="119"/>
      <c r="AH1360" s="16"/>
      <c r="AI1360" s="439"/>
      <c r="AJ1360" s="439"/>
      <c r="AK1360" s="439"/>
    </row>
    <row r="1361" ht="18.75" customHeight="1">
      <c r="A1361" s="439"/>
      <c r="B1361" s="439"/>
      <c r="C1361" s="439"/>
      <c r="D1361" s="439"/>
      <c r="E1361" s="439"/>
      <c r="F1361" s="439"/>
      <c r="G1361" s="439"/>
      <c r="H1361" s="439"/>
      <c r="I1361" s="439"/>
      <c r="J1361" s="439"/>
      <c r="K1361" s="439"/>
      <c r="L1361" s="439"/>
      <c r="M1361" s="439"/>
      <c r="N1361" s="439"/>
      <c r="O1361" s="439"/>
      <c r="P1361" s="439"/>
      <c r="Q1361" s="439"/>
      <c r="R1361" s="439"/>
      <c r="S1361" s="439"/>
      <c r="T1361" s="264"/>
      <c r="U1361" s="439"/>
      <c r="V1361" s="16"/>
      <c r="W1361" s="119"/>
      <c r="X1361" s="119"/>
      <c r="Y1361" s="119"/>
      <c r="Z1361" s="119"/>
      <c r="AA1361" s="119"/>
      <c r="AB1361" s="119"/>
      <c r="AC1361" s="119"/>
      <c r="AD1361" s="119"/>
      <c r="AE1361" s="119"/>
      <c r="AF1361" s="119"/>
      <c r="AG1361" s="119"/>
      <c r="AH1361" s="16"/>
      <c r="AI1361" s="439"/>
      <c r="AJ1361" s="439"/>
      <c r="AK1361" s="439"/>
    </row>
    <row r="1362" ht="18.75" customHeight="1">
      <c r="A1362" s="439"/>
      <c r="B1362" s="439"/>
      <c r="C1362" s="439"/>
      <c r="D1362" s="439"/>
      <c r="E1362" s="439"/>
      <c r="F1362" s="439"/>
      <c r="G1362" s="439"/>
      <c r="H1362" s="439"/>
      <c r="I1362" s="439"/>
      <c r="J1362" s="439"/>
      <c r="K1362" s="439"/>
      <c r="L1362" s="439"/>
      <c r="M1362" s="439"/>
      <c r="N1362" s="439"/>
      <c r="O1362" s="439"/>
      <c r="P1362" s="439"/>
      <c r="Q1362" s="439"/>
      <c r="R1362" s="439"/>
      <c r="S1362" s="439"/>
      <c r="T1362" s="264"/>
      <c r="U1362" s="439"/>
      <c r="V1362" s="16"/>
      <c r="W1362" s="119"/>
      <c r="X1362" s="119"/>
      <c r="Y1362" s="119"/>
      <c r="Z1362" s="119"/>
      <c r="AA1362" s="119"/>
      <c r="AB1362" s="119"/>
      <c r="AC1362" s="119"/>
      <c r="AD1362" s="119"/>
      <c r="AE1362" s="119"/>
      <c r="AF1362" s="119"/>
      <c r="AG1362" s="119"/>
      <c r="AH1362" s="16"/>
      <c r="AI1362" s="439"/>
      <c r="AJ1362" s="439"/>
      <c r="AK1362" s="439"/>
    </row>
    <row r="1363" ht="18.75" customHeight="1">
      <c r="A1363" s="439"/>
      <c r="B1363" s="439"/>
      <c r="C1363" s="439"/>
      <c r="D1363" s="439"/>
      <c r="E1363" s="439"/>
      <c r="F1363" s="439"/>
      <c r="G1363" s="439"/>
      <c r="H1363" s="439"/>
      <c r="I1363" s="439"/>
      <c r="J1363" s="439"/>
      <c r="K1363" s="439"/>
      <c r="L1363" s="439"/>
      <c r="M1363" s="439"/>
      <c r="N1363" s="439"/>
      <c r="O1363" s="439"/>
      <c r="P1363" s="439"/>
      <c r="Q1363" s="439"/>
      <c r="R1363" s="439"/>
      <c r="S1363" s="439"/>
      <c r="T1363" s="264"/>
      <c r="U1363" s="439"/>
      <c r="V1363" s="16"/>
      <c r="W1363" s="119"/>
      <c r="X1363" s="119"/>
      <c r="Y1363" s="119"/>
      <c r="Z1363" s="119"/>
      <c r="AA1363" s="119"/>
      <c r="AB1363" s="119"/>
      <c r="AC1363" s="119"/>
      <c r="AD1363" s="119"/>
      <c r="AE1363" s="119"/>
      <c r="AF1363" s="119"/>
      <c r="AG1363" s="119"/>
      <c r="AH1363" s="16"/>
      <c r="AI1363" s="439"/>
      <c r="AJ1363" s="439"/>
      <c r="AK1363" s="439"/>
    </row>
    <row r="1364" ht="18.75" customHeight="1">
      <c r="A1364" s="439"/>
      <c r="B1364" s="439"/>
      <c r="C1364" s="439"/>
      <c r="D1364" s="439"/>
      <c r="E1364" s="439"/>
      <c r="F1364" s="439"/>
      <c r="G1364" s="439"/>
      <c r="H1364" s="439"/>
      <c r="I1364" s="439"/>
      <c r="J1364" s="439"/>
      <c r="K1364" s="439"/>
      <c r="L1364" s="439"/>
      <c r="M1364" s="439"/>
      <c r="N1364" s="439"/>
      <c r="O1364" s="439"/>
      <c r="P1364" s="439"/>
      <c r="Q1364" s="439"/>
      <c r="R1364" s="439"/>
      <c r="S1364" s="439"/>
      <c r="T1364" s="264"/>
      <c r="U1364" s="439"/>
      <c r="V1364" s="16"/>
      <c r="W1364" s="119"/>
      <c r="X1364" s="119"/>
      <c r="Y1364" s="119"/>
      <c r="Z1364" s="119"/>
      <c r="AA1364" s="119"/>
      <c r="AB1364" s="119"/>
      <c r="AC1364" s="119"/>
      <c r="AD1364" s="119"/>
      <c r="AE1364" s="119"/>
      <c r="AF1364" s="119"/>
      <c r="AG1364" s="119"/>
      <c r="AH1364" s="16"/>
      <c r="AI1364" s="439"/>
      <c r="AJ1364" s="439"/>
      <c r="AK1364" s="439"/>
    </row>
    <row r="1365" ht="18.75" customHeight="1">
      <c r="A1365" s="439"/>
      <c r="B1365" s="439"/>
      <c r="C1365" s="439"/>
      <c r="D1365" s="439"/>
      <c r="E1365" s="439"/>
      <c r="F1365" s="439"/>
      <c r="G1365" s="439"/>
      <c r="H1365" s="439"/>
      <c r="I1365" s="439"/>
      <c r="J1365" s="439"/>
      <c r="K1365" s="439"/>
      <c r="L1365" s="439"/>
      <c r="M1365" s="439"/>
      <c r="N1365" s="439"/>
      <c r="O1365" s="439"/>
      <c r="P1365" s="439"/>
      <c r="Q1365" s="439"/>
      <c r="R1365" s="439"/>
      <c r="S1365" s="439"/>
      <c r="T1365" s="264"/>
      <c r="U1365" s="439"/>
      <c r="V1365" s="16"/>
      <c r="W1365" s="119"/>
      <c r="X1365" s="119"/>
      <c r="Y1365" s="119"/>
      <c r="Z1365" s="119"/>
      <c r="AA1365" s="119"/>
      <c r="AB1365" s="119"/>
      <c r="AC1365" s="119"/>
      <c r="AD1365" s="119"/>
      <c r="AE1365" s="119"/>
      <c r="AF1365" s="119"/>
      <c r="AG1365" s="119"/>
      <c r="AH1365" s="16"/>
      <c r="AI1365" s="439"/>
      <c r="AJ1365" s="439"/>
      <c r="AK1365" s="439"/>
    </row>
    <row r="1366" ht="18.75" customHeight="1">
      <c r="A1366" s="439"/>
      <c r="B1366" s="439"/>
      <c r="C1366" s="439"/>
      <c r="D1366" s="439"/>
      <c r="E1366" s="439"/>
      <c r="F1366" s="439"/>
      <c r="G1366" s="439"/>
      <c r="H1366" s="439"/>
      <c r="I1366" s="439"/>
      <c r="J1366" s="439"/>
      <c r="K1366" s="439"/>
      <c r="L1366" s="439"/>
      <c r="M1366" s="439"/>
      <c r="N1366" s="439"/>
      <c r="O1366" s="439"/>
      <c r="P1366" s="439"/>
      <c r="Q1366" s="439"/>
      <c r="R1366" s="439"/>
      <c r="S1366" s="439"/>
      <c r="T1366" s="264"/>
      <c r="U1366" s="439"/>
      <c r="V1366" s="16"/>
      <c r="W1366" s="119"/>
      <c r="X1366" s="119"/>
      <c r="Y1366" s="119"/>
      <c r="Z1366" s="119"/>
      <c r="AA1366" s="119"/>
      <c r="AB1366" s="119"/>
      <c r="AC1366" s="119"/>
      <c r="AD1366" s="119"/>
      <c r="AE1366" s="119"/>
      <c r="AF1366" s="119"/>
      <c r="AG1366" s="119"/>
      <c r="AH1366" s="16"/>
      <c r="AI1366" s="439"/>
      <c r="AJ1366" s="439"/>
      <c r="AK1366" s="439"/>
    </row>
    <row r="1367" ht="18.75" customHeight="1">
      <c r="A1367" s="439"/>
      <c r="B1367" s="439"/>
      <c r="C1367" s="439"/>
      <c r="D1367" s="439"/>
      <c r="E1367" s="439"/>
      <c r="F1367" s="439"/>
      <c r="G1367" s="439"/>
      <c r="H1367" s="439"/>
      <c r="I1367" s="439"/>
      <c r="J1367" s="439"/>
      <c r="K1367" s="439"/>
      <c r="L1367" s="439"/>
      <c r="M1367" s="439"/>
      <c r="N1367" s="439"/>
      <c r="O1367" s="439"/>
      <c r="P1367" s="439"/>
      <c r="Q1367" s="439"/>
      <c r="R1367" s="439"/>
      <c r="S1367" s="439"/>
      <c r="T1367" s="264"/>
      <c r="U1367" s="439"/>
      <c r="V1367" s="16"/>
      <c r="W1367" s="119"/>
      <c r="X1367" s="119"/>
      <c r="Y1367" s="119"/>
      <c r="Z1367" s="119"/>
      <c r="AA1367" s="119"/>
      <c r="AB1367" s="119"/>
      <c r="AC1367" s="119"/>
      <c r="AD1367" s="119"/>
      <c r="AE1367" s="119"/>
      <c r="AF1367" s="119"/>
      <c r="AG1367" s="119"/>
      <c r="AH1367" s="16"/>
      <c r="AI1367" s="439"/>
      <c r="AJ1367" s="439"/>
      <c r="AK1367" s="439"/>
    </row>
    <row r="1368" ht="18.75" customHeight="1">
      <c r="A1368" s="439"/>
      <c r="B1368" s="439"/>
      <c r="C1368" s="439"/>
      <c r="D1368" s="439"/>
      <c r="E1368" s="439"/>
      <c r="F1368" s="439"/>
      <c r="G1368" s="439"/>
      <c r="H1368" s="439"/>
      <c r="I1368" s="439"/>
      <c r="J1368" s="439"/>
      <c r="K1368" s="439"/>
      <c r="L1368" s="439"/>
      <c r="M1368" s="439"/>
      <c r="N1368" s="439"/>
      <c r="O1368" s="439"/>
      <c r="P1368" s="439"/>
      <c r="Q1368" s="439"/>
      <c r="R1368" s="439"/>
      <c r="S1368" s="439"/>
      <c r="T1368" s="264"/>
      <c r="U1368" s="439"/>
      <c r="V1368" s="16"/>
      <c r="W1368" s="119"/>
      <c r="X1368" s="119"/>
      <c r="Y1368" s="119"/>
      <c r="Z1368" s="119"/>
      <c r="AA1368" s="119"/>
      <c r="AB1368" s="119"/>
      <c r="AC1368" s="119"/>
      <c r="AD1368" s="119"/>
      <c r="AE1368" s="119"/>
      <c r="AF1368" s="119"/>
      <c r="AG1368" s="119"/>
      <c r="AH1368" s="16"/>
      <c r="AI1368" s="439"/>
      <c r="AJ1368" s="439"/>
      <c r="AK1368" s="439"/>
    </row>
    <row r="1369" ht="18.75" customHeight="1">
      <c r="A1369" s="439"/>
      <c r="B1369" s="439"/>
      <c r="C1369" s="439"/>
      <c r="D1369" s="439"/>
      <c r="E1369" s="439"/>
      <c r="F1369" s="439"/>
      <c r="G1369" s="439"/>
      <c r="H1369" s="439"/>
      <c r="I1369" s="439"/>
      <c r="J1369" s="439"/>
      <c r="K1369" s="439"/>
      <c r="L1369" s="439"/>
      <c r="M1369" s="439"/>
      <c r="N1369" s="439"/>
      <c r="O1369" s="439"/>
      <c r="P1369" s="439"/>
      <c r="Q1369" s="439"/>
      <c r="R1369" s="439"/>
      <c r="S1369" s="439"/>
      <c r="T1369" s="264"/>
      <c r="U1369" s="439"/>
      <c r="V1369" s="16"/>
      <c r="W1369" s="119"/>
      <c r="X1369" s="119"/>
      <c r="Y1369" s="119"/>
      <c r="Z1369" s="119"/>
      <c r="AA1369" s="119"/>
      <c r="AB1369" s="119"/>
      <c r="AC1369" s="119"/>
      <c r="AD1369" s="119"/>
      <c r="AE1369" s="119"/>
      <c r="AF1369" s="119"/>
      <c r="AG1369" s="119"/>
      <c r="AH1369" s="16"/>
      <c r="AI1369" s="439"/>
      <c r="AJ1369" s="439"/>
      <c r="AK1369" s="439"/>
    </row>
    <row r="1370" ht="18.75" customHeight="1">
      <c r="A1370" s="439"/>
      <c r="B1370" s="439"/>
      <c r="C1370" s="439"/>
      <c r="D1370" s="439"/>
      <c r="E1370" s="439"/>
      <c r="F1370" s="439"/>
      <c r="G1370" s="439"/>
      <c r="H1370" s="439"/>
      <c r="I1370" s="439"/>
      <c r="J1370" s="439"/>
      <c r="K1370" s="439"/>
      <c r="L1370" s="439"/>
      <c r="M1370" s="439"/>
      <c r="N1370" s="439"/>
      <c r="O1370" s="439"/>
      <c r="P1370" s="439"/>
      <c r="Q1370" s="439"/>
      <c r="R1370" s="439"/>
      <c r="S1370" s="439"/>
      <c r="T1370" s="264"/>
      <c r="U1370" s="439"/>
      <c r="V1370" s="16"/>
      <c r="W1370" s="119"/>
      <c r="X1370" s="119"/>
      <c r="Y1370" s="119"/>
      <c r="Z1370" s="119"/>
      <c r="AA1370" s="119"/>
      <c r="AB1370" s="119"/>
      <c r="AC1370" s="119"/>
      <c r="AD1370" s="119"/>
      <c r="AE1370" s="119"/>
      <c r="AF1370" s="119"/>
      <c r="AG1370" s="119"/>
      <c r="AH1370" s="16"/>
      <c r="AI1370" s="439"/>
      <c r="AJ1370" s="439"/>
      <c r="AK1370" s="439"/>
    </row>
    <row r="1371" ht="18.75" customHeight="1">
      <c r="A1371" s="439"/>
      <c r="B1371" s="439"/>
      <c r="C1371" s="439"/>
      <c r="D1371" s="439"/>
      <c r="E1371" s="439"/>
      <c r="F1371" s="439"/>
      <c r="G1371" s="439"/>
      <c r="H1371" s="439"/>
      <c r="I1371" s="439"/>
      <c r="J1371" s="439"/>
      <c r="K1371" s="439"/>
      <c r="L1371" s="439"/>
      <c r="M1371" s="439"/>
      <c r="N1371" s="439"/>
      <c r="O1371" s="439"/>
      <c r="P1371" s="439"/>
      <c r="Q1371" s="439"/>
      <c r="R1371" s="439"/>
      <c r="S1371" s="439"/>
      <c r="T1371" s="264"/>
      <c r="U1371" s="439"/>
      <c r="V1371" s="16"/>
      <c r="W1371" s="119"/>
      <c r="X1371" s="119"/>
      <c r="Y1371" s="119"/>
      <c r="Z1371" s="119"/>
      <c r="AA1371" s="119"/>
      <c r="AB1371" s="119"/>
      <c r="AC1371" s="119"/>
      <c r="AD1371" s="119"/>
      <c r="AE1371" s="119"/>
      <c r="AF1371" s="119"/>
      <c r="AG1371" s="119"/>
      <c r="AH1371" s="16"/>
      <c r="AI1371" s="439"/>
      <c r="AJ1371" s="439"/>
      <c r="AK1371" s="439"/>
    </row>
    <row r="1372" ht="18.75" customHeight="1">
      <c r="A1372" s="439"/>
      <c r="B1372" s="439"/>
      <c r="C1372" s="439"/>
      <c r="D1372" s="439"/>
      <c r="E1372" s="439"/>
      <c r="F1372" s="439"/>
      <c r="G1372" s="439"/>
      <c r="H1372" s="439"/>
      <c r="I1372" s="439"/>
      <c r="J1372" s="439"/>
      <c r="K1372" s="439"/>
      <c r="L1372" s="439"/>
      <c r="M1372" s="439"/>
      <c r="N1372" s="439"/>
      <c r="O1372" s="439"/>
      <c r="P1372" s="439"/>
      <c r="Q1372" s="439"/>
      <c r="R1372" s="439"/>
      <c r="S1372" s="439"/>
      <c r="T1372" s="264"/>
      <c r="U1372" s="439"/>
      <c r="V1372" s="16"/>
      <c r="W1372" s="119"/>
      <c r="X1372" s="119"/>
      <c r="Y1372" s="119"/>
      <c r="Z1372" s="119"/>
      <c r="AA1372" s="119"/>
      <c r="AB1372" s="119"/>
      <c r="AC1372" s="119"/>
      <c r="AD1372" s="119"/>
      <c r="AE1372" s="119"/>
      <c r="AF1372" s="119"/>
      <c r="AG1372" s="119"/>
      <c r="AH1372" s="16"/>
      <c r="AI1372" s="439"/>
      <c r="AJ1372" s="439"/>
      <c r="AK1372" s="439"/>
    </row>
    <row r="1373" ht="18.75" customHeight="1">
      <c r="A1373" s="439"/>
      <c r="B1373" s="439"/>
      <c r="C1373" s="439"/>
      <c r="D1373" s="439"/>
      <c r="E1373" s="439"/>
      <c r="F1373" s="439"/>
      <c r="G1373" s="439"/>
      <c r="H1373" s="439"/>
      <c r="I1373" s="439"/>
      <c r="J1373" s="439"/>
      <c r="K1373" s="439"/>
      <c r="L1373" s="439"/>
      <c r="M1373" s="439"/>
      <c r="N1373" s="439"/>
      <c r="O1373" s="439"/>
      <c r="P1373" s="439"/>
      <c r="Q1373" s="439"/>
      <c r="R1373" s="439"/>
      <c r="S1373" s="439"/>
      <c r="T1373" s="264"/>
      <c r="U1373" s="439"/>
      <c r="V1373" s="16"/>
      <c r="W1373" s="119"/>
      <c r="X1373" s="119"/>
      <c r="Y1373" s="119"/>
      <c r="Z1373" s="119"/>
      <c r="AA1373" s="119"/>
      <c r="AB1373" s="119"/>
      <c r="AC1373" s="119"/>
      <c r="AD1373" s="119"/>
      <c r="AE1373" s="119"/>
      <c r="AF1373" s="119"/>
      <c r="AG1373" s="119"/>
      <c r="AH1373" s="16"/>
      <c r="AI1373" s="439"/>
      <c r="AJ1373" s="439"/>
      <c r="AK1373" s="439"/>
    </row>
    <row r="1374" ht="18.75" customHeight="1">
      <c r="A1374" s="439"/>
      <c r="B1374" s="439"/>
      <c r="C1374" s="439"/>
      <c r="D1374" s="439"/>
      <c r="E1374" s="439"/>
      <c r="F1374" s="439"/>
      <c r="G1374" s="439"/>
      <c r="H1374" s="439"/>
      <c r="I1374" s="439"/>
      <c r="J1374" s="439"/>
      <c r="K1374" s="439"/>
      <c r="L1374" s="439"/>
      <c r="M1374" s="439"/>
      <c r="N1374" s="439"/>
      <c r="O1374" s="439"/>
      <c r="P1374" s="439"/>
      <c r="Q1374" s="439"/>
      <c r="R1374" s="439"/>
      <c r="S1374" s="439"/>
      <c r="T1374" s="264"/>
      <c r="U1374" s="439"/>
      <c r="V1374" s="16"/>
      <c r="W1374" s="119"/>
      <c r="X1374" s="119"/>
      <c r="Y1374" s="119"/>
      <c r="Z1374" s="119"/>
      <c r="AA1374" s="119"/>
      <c r="AB1374" s="119"/>
      <c r="AC1374" s="119"/>
      <c r="AD1374" s="119"/>
      <c r="AE1374" s="119"/>
      <c r="AF1374" s="119"/>
      <c r="AG1374" s="119"/>
      <c r="AH1374" s="16"/>
      <c r="AI1374" s="439"/>
      <c r="AJ1374" s="439"/>
      <c r="AK1374" s="439"/>
    </row>
    <row r="1375" ht="18.75" customHeight="1">
      <c r="A1375" s="439"/>
      <c r="B1375" s="439"/>
      <c r="C1375" s="439"/>
      <c r="D1375" s="439"/>
      <c r="E1375" s="439"/>
      <c r="F1375" s="439"/>
      <c r="G1375" s="439"/>
      <c r="H1375" s="439"/>
      <c r="I1375" s="439"/>
      <c r="J1375" s="439"/>
      <c r="K1375" s="439"/>
      <c r="L1375" s="439"/>
      <c r="M1375" s="439"/>
      <c r="N1375" s="439"/>
      <c r="O1375" s="439"/>
      <c r="P1375" s="439"/>
      <c r="Q1375" s="439"/>
      <c r="R1375" s="439"/>
      <c r="S1375" s="439"/>
      <c r="T1375" s="264"/>
      <c r="U1375" s="439"/>
      <c r="V1375" s="16"/>
      <c r="W1375" s="119"/>
      <c r="X1375" s="119"/>
      <c r="Y1375" s="119"/>
      <c r="Z1375" s="119"/>
      <c r="AA1375" s="119"/>
      <c r="AB1375" s="119"/>
      <c r="AC1375" s="119"/>
      <c r="AD1375" s="119"/>
      <c r="AE1375" s="119"/>
      <c r="AF1375" s="119"/>
      <c r="AG1375" s="119"/>
      <c r="AH1375" s="16"/>
      <c r="AI1375" s="439"/>
      <c r="AJ1375" s="439"/>
      <c r="AK1375" s="439"/>
    </row>
    <row r="1376" ht="18.75" customHeight="1">
      <c r="A1376" s="439"/>
      <c r="B1376" s="439"/>
      <c r="C1376" s="439"/>
      <c r="D1376" s="439"/>
      <c r="E1376" s="439"/>
      <c r="F1376" s="439"/>
      <c r="G1376" s="439"/>
      <c r="H1376" s="439"/>
      <c r="I1376" s="439"/>
      <c r="J1376" s="439"/>
      <c r="K1376" s="439"/>
      <c r="L1376" s="439"/>
      <c r="M1376" s="439"/>
      <c r="N1376" s="439"/>
      <c r="O1376" s="439"/>
      <c r="P1376" s="439"/>
      <c r="Q1376" s="439"/>
      <c r="R1376" s="439"/>
      <c r="S1376" s="439"/>
      <c r="T1376" s="264"/>
      <c r="U1376" s="439"/>
      <c r="V1376" s="16"/>
      <c r="W1376" s="119"/>
      <c r="X1376" s="119"/>
      <c r="Y1376" s="119"/>
      <c r="Z1376" s="119"/>
      <c r="AA1376" s="119"/>
      <c r="AB1376" s="119"/>
      <c r="AC1376" s="119"/>
      <c r="AD1376" s="119"/>
      <c r="AE1376" s="119"/>
      <c r="AF1376" s="119"/>
      <c r="AG1376" s="119"/>
      <c r="AH1376" s="16"/>
      <c r="AI1376" s="439"/>
      <c r="AJ1376" s="439"/>
      <c r="AK1376" s="439"/>
    </row>
    <row r="1377" ht="18.75" customHeight="1">
      <c r="A1377" s="439"/>
      <c r="B1377" s="439"/>
      <c r="C1377" s="439"/>
      <c r="D1377" s="439"/>
      <c r="E1377" s="439"/>
      <c r="F1377" s="439"/>
      <c r="G1377" s="439"/>
      <c r="H1377" s="439"/>
      <c r="I1377" s="439"/>
      <c r="J1377" s="439"/>
      <c r="K1377" s="439"/>
      <c r="L1377" s="439"/>
      <c r="M1377" s="439"/>
      <c r="N1377" s="439"/>
      <c r="O1377" s="439"/>
      <c r="P1377" s="439"/>
      <c r="Q1377" s="439"/>
      <c r="R1377" s="439"/>
      <c r="S1377" s="439"/>
      <c r="T1377" s="264"/>
      <c r="U1377" s="439"/>
      <c r="V1377" s="16"/>
      <c r="W1377" s="119"/>
      <c r="X1377" s="119"/>
      <c r="Y1377" s="119"/>
      <c r="Z1377" s="119"/>
      <c r="AA1377" s="119"/>
      <c r="AB1377" s="119"/>
      <c r="AC1377" s="119"/>
      <c r="AD1377" s="119"/>
      <c r="AE1377" s="119"/>
      <c r="AF1377" s="119"/>
      <c r="AG1377" s="119"/>
      <c r="AH1377" s="16"/>
      <c r="AI1377" s="439"/>
      <c r="AJ1377" s="439"/>
      <c r="AK1377" s="439"/>
    </row>
    <row r="1378" ht="18.75" customHeight="1">
      <c r="A1378" s="439"/>
      <c r="B1378" s="439"/>
      <c r="C1378" s="439"/>
      <c r="D1378" s="439"/>
      <c r="E1378" s="439"/>
      <c r="F1378" s="439"/>
      <c r="G1378" s="439"/>
      <c r="H1378" s="439"/>
      <c r="I1378" s="439"/>
      <c r="J1378" s="439"/>
      <c r="K1378" s="439"/>
      <c r="L1378" s="439"/>
      <c r="M1378" s="439"/>
      <c r="N1378" s="439"/>
      <c r="O1378" s="439"/>
      <c r="P1378" s="439"/>
      <c r="Q1378" s="439"/>
      <c r="R1378" s="439"/>
      <c r="S1378" s="439"/>
      <c r="T1378" s="264"/>
      <c r="U1378" s="439"/>
      <c r="V1378" s="16"/>
      <c r="W1378" s="119"/>
      <c r="X1378" s="119"/>
      <c r="Y1378" s="119"/>
      <c r="Z1378" s="119"/>
      <c r="AA1378" s="119"/>
      <c r="AB1378" s="119"/>
      <c r="AC1378" s="119"/>
      <c r="AD1378" s="119"/>
      <c r="AE1378" s="119"/>
      <c r="AF1378" s="119"/>
      <c r="AG1378" s="119"/>
      <c r="AH1378" s="16"/>
      <c r="AI1378" s="439"/>
      <c r="AJ1378" s="439"/>
      <c r="AK1378" s="439"/>
    </row>
    <row r="1379" ht="18.75" customHeight="1">
      <c r="A1379" s="439"/>
      <c r="B1379" s="439"/>
      <c r="C1379" s="439"/>
      <c r="D1379" s="439"/>
      <c r="E1379" s="439"/>
      <c r="F1379" s="439"/>
      <c r="G1379" s="439"/>
      <c r="H1379" s="439"/>
      <c r="I1379" s="439"/>
      <c r="J1379" s="439"/>
      <c r="K1379" s="439"/>
      <c r="L1379" s="439"/>
      <c r="M1379" s="439"/>
      <c r="N1379" s="439"/>
      <c r="O1379" s="439"/>
      <c r="P1379" s="439"/>
      <c r="Q1379" s="439"/>
      <c r="R1379" s="439"/>
      <c r="S1379" s="439"/>
      <c r="T1379" s="264"/>
      <c r="U1379" s="439"/>
      <c r="V1379" s="16"/>
      <c r="W1379" s="119"/>
      <c r="X1379" s="119"/>
      <c r="Y1379" s="119"/>
      <c r="Z1379" s="119"/>
      <c r="AA1379" s="119"/>
      <c r="AB1379" s="119"/>
      <c r="AC1379" s="119"/>
      <c r="AD1379" s="119"/>
      <c r="AE1379" s="119"/>
      <c r="AF1379" s="119"/>
      <c r="AG1379" s="119"/>
      <c r="AH1379" s="16"/>
      <c r="AI1379" s="439"/>
      <c r="AJ1379" s="439"/>
      <c r="AK1379" s="439"/>
    </row>
    <row r="1380" ht="18.75" customHeight="1">
      <c r="A1380" s="439"/>
      <c r="B1380" s="439"/>
      <c r="C1380" s="439"/>
      <c r="D1380" s="439"/>
      <c r="E1380" s="439"/>
      <c r="F1380" s="439"/>
      <c r="G1380" s="439"/>
      <c r="H1380" s="439"/>
      <c r="I1380" s="439"/>
      <c r="J1380" s="439"/>
      <c r="K1380" s="439"/>
      <c r="L1380" s="439"/>
      <c r="M1380" s="439"/>
      <c r="N1380" s="439"/>
      <c r="O1380" s="439"/>
      <c r="P1380" s="439"/>
      <c r="Q1380" s="439"/>
      <c r="R1380" s="439"/>
      <c r="S1380" s="439"/>
      <c r="T1380" s="264"/>
      <c r="U1380" s="439"/>
      <c r="V1380" s="16"/>
      <c r="W1380" s="119"/>
      <c r="X1380" s="119"/>
      <c r="Y1380" s="119"/>
      <c r="Z1380" s="119"/>
      <c r="AA1380" s="119"/>
      <c r="AB1380" s="119"/>
      <c r="AC1380" s="119"/>
      <c r="AD1380" s="119"/>
      <c r="AE1380" s="119"/>
      <c r="AF1380" s="119"/>
      <c r="AG1380" s="119"/>
      <c r="AH1380" s="16"/>
      <c r="AI1380" s="439"/>
      <c r="AJ1380" s="439"/>
      <c r="AK1380" s="439"/>
    </row>
    <row r="1381" ht="18.75" customHeight="1">
      <c r="A1381" s="439"/>
      <c r="B1381" s="439"/>
      <c r="C1381" s="439"/>
      <c r="D1381" s="439"/>
      <c r="E1381" s="439"/>
      <c r="F1381" s="439"/>
      <c r="G1381" s="439"/>
      <c r="H1381" s="439"/>
      <c r="I1381" s="439"/>
      <c r="J1381" s="439"/>
      <c r="K1381" s="439"/>
      <c r="L1381" s="439"/>
      <c r="M1381" s="439"/>
      <c r="N1381" s="439"/>
      <c r="O1381" s="439"/>
      <c r="P1381" s="439"/>
      <c r="Q1381" s="439"/>
      <c r="R1381" s="439"/>
      <c r="S1381" s="439"/>
      <c r="T1381" s="264"/>
      <c r="U1381" s="439"/>
      <c r="V1381" s="16"/>
      <c r="W1381" s="119"/>
      <c r="X1381" s="119"/>
      <c r="Y1381" s="119"/>
      <c r="Z1381" s="119"/>
      <c r="AA1381" s="119"/>
      <c r="AB1381" s="119"/>
      <c r="AC1381" s="119"/>
      <c r="AD1381" s="119"/>
      <c r="AE1381" s="119"/>
      <c r="AF1381" s="119"/>
      <c r="AG1381" s="119"/>
      <c r="AH1381" s="16"/>
      <c r="AI1381" s="439"/>
      <c r="AJ1381" s="439"/>
      <c r="AK1381" s="439"/>
    </row>
    <row r="1382" ht="18.75" customHeight="1">
      <c r="A1382" s="439"/>
      <c r="B1382" s="439"/>
      <c r="C1382" s="439"/>
      <c r="D1382" s="439"/>
      <c r="E1382" s="439"/>
      <c r="F1382" s="439"/>
      <c r="G1382" s="439"/>
      <c r="H1382" s="439"/>
      <c r="I1382" s="439"/>
      <c r="J1382" s="439"/>
      <c r="K1382" s="439"/>
      <c r="L1382" s="439"/>
      <c r="M1382" s="439"/>
      <c r="N1382" s="439"/>
      <c r="O1382" s="439"/>
      <c r="P1382" s="439"/>
      <c r="Q1382" s="439"/>
      <c r="R1382" s="439"/>
      <c r="S1382" s="439"/>
      <c r="T1382" s="264"/>
      <c r="U1382" s="439"/>
      <c r="V1382" s="16"/>
      <c r="W1382" s="119"/>
      <c r="X1382" s="119"/>
      <c r="Y1382" s="119"/>
      <c r="Z1382" s="119"/>
      <c r="AA1382" s="119"/>
      <c r="AB1382" s="119"/>
      <c r="AC1382" s="119"/>
      <c r="AD1382" s="119"/>
      <c r="AE1382" s="119"/>
      <c r="AF1382" s="119"/>
      <c r="AG1382" s="119"/>
      <c r="AH1382" s="16"/>
      <c r="AI1382" s="439"/>
      <c r="AJ1382" s="439"/>
      <c r="AK1382" s="439"/>
    </row>
    <row r="1383" ht="18.75" customHeight="1">
      <c r="A1383" s="439"/>
      <c r="B1383" s="439"/>
      <c r="C1383" s="439"/>
      <c r="D1383" s="439"/>
      <c r="E1383" s="439"/>
      <c r="F1383" s="439"/>
      <c r="G1383" s="439"/>
      <c r="H1383" s="439"/>
      <c r="I1383" s="439"/>
      <c r="J1383" s="439"/>
      <c r="K1383" s="439"/>
      <c r="L1383" s="439"/>
      <c r="M1383" s="439"/>
      <c r="N1383" s="439"/>
      <c r="O1383" s="439"/>
      <c r="P1383" s="439"/>
      <c r="Q1383" s="439"/>
      <c r="R1383" s="439"/>
      <c r="S1383" s="439"/>
      <c r="T1383" s="264"/>
      <c r="U1383" s="439"/>
      <c r="V1383" s="16"/>
      <c r="W1383" s="119"/>
      <c r="X1383" s="119"/>
      <c r="Y1383" s="119"/>
      <c r="Z1383" s="119"/>
      <c r="AA1383" s="119"/>
      <c r="AB1383" s="119"/>
      <c r="AC1383" s="119"/>
      <c r="AD1383" s="119"/>
      <c r="AE1383" s="119"/>
      <c r="AF1383" s="119"/>
      <c r="AG1383" s="119"/>
      <c r="AH1383" s="16"/>
      <c r="AI1383" s="439"/>
      <c r="AJ1383" s="439"/>
      <c r="AK1383" s="439"/>
    </row>
    <row r="1384" ht="18.75" customHeight="1">
      <c r="A1384" s="439"/>
      <c r="B1384" s="439"/>
      <c r="C1384" s="439"/>
      <c r="D1384" s="439"/>
      <c r="E1384" s="439"/>
      <c r="F1384" s="439"/>
      <c r="G1384" s="439"/>
      <c r="H1384" s="439"/>
      <c r="I1384" s="439"/>
      <c r="J1384" s="439"/>
      <c r="K1384" s="439"/>
      <c r="L1384" s="439"/>
      <c r="M1384" s="439"/>
      <c r="N1384" s="439"/>
      <c r="O1384" s="439"/>
      <c r="P1384" s="439"/>
      <c r="Q1384" s="439"/>
      <c r="R1384" s="439"/>
      <c r="S1384" s="439"/>
      <c r="T1384" s="264"/>
      <c r="U1384" s="439"/>
      <c r="V1384" s="16"/>
      <c r="W1384" s="119"/>
      <c r="X1384" s="119"/>
      <c r="Y1384" s="119"/>
      <c r="Z1384" s="119"/>
      <c r="AA1384" s="119"/>
      <c r="AB1384" s="119"/>
      <c r="AC1384" s="119"/>
      <c r="AD1384" s="119"/>
      <c r="AE1384" s="119"/>
      <c r="AF1384" s="119"/>
      <c r="AG1384" s="119"/>
      <c r="AH1384" s="16"/>
      <c r="AI1384" s="439"/>
      <c r="AJ1384" s="439"/>
      <c r="AK1384" s="439"/>
    </row>
    <row r="1385" ht="18.75" customHeight="1">
      <c r="A1385" s="439"/>
      <c r="B1385" s="439"/>
      <c r="C1385" s="439"/>
      <c r="D1385" s="439"/>
      <c r="E1385" s="439"/>
      <c r="F1385" s="439"/>
      <c r="G1385" s="439"/>
      <c r="H1385" s="439"/>
      <c r="I1385" s="439"/>
      <c r="J1385" s="439"/>
      <c r="K1385" s="439"/>
      <c r="L1385" s="439"/>
      <c r="M1385" s="439"/>
      <c r="N1385" s="439"/>
      <c r="O1385" s="439"/>
      <c r="P1385" s="439"/>
      <c r="Q1385" s="439"/>
      <c r="R1385" s="439"/>
      <c r="S1385" s="439"/>
      <c r="T1385" s="264"/>
      <c r="U1385" s="439"/>
      <c r="V1385" s="16"/>
      <c r="W1385" s="119"/>
      <c r="X1385" s="119"/>
      <c r="Y1385" s="119"/>
      <c r="Z1385" s="119"/>
      <c r="AA1385" s="119"/>
      <c r="AB1385" s="119"/>
      <c r="AC1385" s="119"/>
      <c r="AD1385" s="119"/>
      <c r="AE1385" s="119"/>
      <c r="AF1385" s="119"/>
      <c r="AG1385" s="119"/>
      <c r="AH1385" s="16"/>
      <c r="AI1385" s="439"/>
      <c r="AJ1385" s="439"/>
      <c r="AK1385" s="439"/>
    </row>
    <row r="1386" ht="18.75" customHeight="1">
      <c r="A1386" s="439"/>
      <c r="B1386" s="439"/>
      <c r="C1386" s="439"/>
      <c r="D1386" s="439"/>
      <c r="E1386" s="439"/>
      <c r="F1386" s="439"/>
      <c r="G1386" s="439"/>
      <c r="H1386" s="439"/>
      <c r="I1386" s="439"/>
      <c r="J1386" s="439"/>
      <c r="K1386" s="439"/>
      <c r="L1386" s="439"/>
      <c r="M1386" s="439"/>
      <c r="N1386" s="439"/>
      <c r="O1386" s="439"/>
      <c r="P1386" s="439"/>
      <c r="Q1386" s="439"/>
      <c r="R1386" s="439"/>
      <c r="S1386" s="439"/>
      <c r="T1386" s="264"/>
      <c r="U1386" s="439"/>
      <c r="V1386" s="16"/>
      <c r="W1386" s="119"/>
      <c r="X1386" s="119"/>
      <c r="Y1386" s="119"/>
      <c r="Z1386" s="119"/>
      <c r="AA1386" s="119"/>
      <c r="AB1386" s="119"/>
      <c r="AC1386" s="119"/>
      <c r="AD1386" s="119"/>
      <c r="AE1386" s="119"/>
      <c r="AF1386" s="119"/>
      <c r="AG1386" s="119"/>
      <c r="AH1386" s="16"/>
      <c r="AI1386" s="439"/>
      <c r="AJ1386" s="439"/>
      <c r="AK1386" s="439"/>
    </row>
    <row r="1387" ht="18.75" customHeight="1">
      <c r="A1387" s="439"/>
      <c r="B1387" s="439"/>
      <c r="C1387" s="439"/>
      <c r="D1387" s="439"/>
      <c r="E1387" s="439"/>
      <c r="F1387" s="439"/>
      <c r="G1387" s="439"/>
      <c r="H1387" s="439"/>
      <c r="I1387" s="439"/>
      <c r="J1387" s="439"/>
      <c r="K1387" s="439"/>
      <c r="L1387" s="439"/>
      <c r="M1387" s="439"/>
      <c r="N1387" s="439"/>
      <c r="O1387" s="439"/>
      <c r="P1387" s="439"/>
      <c r="Q1387" s="439"/>
      <c r="R1387" s="439"/>
      <c r="S1387" s="439"/>
      <c r="T1387" s="264"/>
      <c r="U1387" s="439"/>
      <c r="V1387" s="16"/>
      <c r="W1387" s="119"/>
      <c r="X1387" s="119"/>
      <c r="Y1387" s="119"/>
      <c r="Z1387" s="119"/>
      <c r="AA1387" s="119"/>
      <c r="AB1387" s="119"/>
      <c r="AC1387" s="119"/>
      <c r="AD1387" s="119"/>
      <c r="AE1387" s="119"/>
      <c r="AF1387" s="119"/>
      <c r="AG1387" s="119"/>
      <c r="AH1387" s="16"/>
      <c r="AI1387" s="439"/>
      <c r="AJ1387" s="439"/>
      <c r="AK1387" s="439"/>
    </row>
    <row r="1388" ht="18.75" customHeight="1">
      <c r="A1388" s="439"/>
      <c r="B1388" s="439"/>
      <c r="C1388" s="439"/>
      <c r="D1388" s="439"/>
      <c r="E1388" s="439"/>
      <c r="F1388" s="439"/>
      <c r="G1388" s="439"/>
      <c r="H1388" s="439"/>
      <c r="I1388" s="439"/>
      <c r="J1388" s="439"/>
      <c r="K1388" s="439"/>
      <c r="L1388" s="439"/>
      <c r="M1388" s="439"/>
      <c r="N1388" s="439"/>
      <c r="O1388" s="439"/>
      <c r="P1388" s="439"/>
      <c r="Q1388" s="439"/>
      <c r="R1388" s="439"/>
      <c r="S1388" s="439"/>
      <c r="T1388" s="264"/>
      <c r="U1388" s="439"/>
      <c r="V1388" s="16"/>
      <c r="W1388" s="119"/>
      <c r="X1388" s="119"/>
      <c r="Y1388" s="119"/>
      <c r="Z1388" s="119"/>
      <c r="AA1388" s="119"/>
      <c r="AB1388" s="119"/>
      <c r="AC1388" s="119"/>
      <c r="AD1388" s="119"/>
      <c r="AE1388" s="119"/>
      <c r="AF1388" s="119"/>
      <c r="AG1388" s="119"/>
      <c r="AH1388" s="16"/>
      <c r="AI1388" s="439"/>
      <c r="AJ1388" s="439"/>
      <c r="AK1388" s="439"/>
    </row>
    <row r="1389" ht="18.75" customHeight="1">
      <c r="A1389" s="439"/>
      <c r="B1389" s="439"/>
      <c r="C1389" s="439"/>
      <c r="D1389" s="439"/>
      <c r="E1389" s="439"/>
      <c r="F1389" s="439"/>
      <c r="G1389" s="439"/>
      <c r="H1389" s="439"/>
      <c r="I1389" s="439"/>
      <c r="J1389" s="439"/>
      <c r="K1389" s="439"/>
      <c r="L1389" s="439"/>
      <c r="M1389" s="439"/>
      <c r="N1389" s="439"/>
      <c r="O1389" s="439"/>
      <c r="P1389" s="439"/>
      <c r="Q1389" s="439"/>
      <c r="R1389" s="439"/>
      <c r="S1389" s="439"/>
      <c r="T1389" s="264"/>
      <c r="U1389" s="439"/>
      <c r="V1389" s="16"/>
      <c r="W1389" s="119"/>
      <c r="X1389" s="119"/>
      <c r="Y1389" s="119"/>
      <c r="Z1389" s="119"/>
      <c r="AA1389" s="119"/>
      <c r="AB1389" s="119"/>
      <c r="AC1389" s="119"/>
      <c r="AD1389" s="119"/>
      <c r="AE1389" s="119"/>
      <c r="AF1389" s="119"/>
      <c r="AG1389" s="119"/>
      <c r="AH1389" s="16"/>
      <c r="AI1389" s="439"/>
      <c r="AJ1389" s="439"/>
      <c r="AK1389" s="439"/>
    </row>
    <row r="1390" ht="18.75" customHeight="1">
      <c r="A1390" s="439"/>
      <c r="B1390" s="439"/>
      <c r="C1390" s="439"/>
      <c r="D1390" s="439"/>
      <c r="E1390" s="439"/>
      <c r="F1390" s="439"/>
      <c r="G1390" s="439"/>
      <c r="H1390" s="439"/>
      <c r="I1390" s="439"/>
      <c r="J1390" s="439"/>
      <c r="K1390" s="439"/>
      <c r="L1390" s="439"/>
      <c r="M1390" s="439"/>
      <c r="N1390" s="439"/>
      <c r="O1390" s="439"/>
      <c r="P1390" s="439"/>
      <c r="Q1390" s="439"/>
      <c r="R1390" s="439"/>
      <c r="S1390" s="439"/>
      <c r="T1390" s="264"/>
      <c r="U1390" s="439"/>
      <c r="V1390" s="16"/>
      <c r="W1390" s="119"/>
      <c r="X1390" s="119"/>
      <c r="Y1390" s="119"/>
      <c r="Z1390" s="119"/>
      <c r="AA1390" s="119"/>
      <c r="AB1390" s="119"/>
      <c r="AC1390" s="119"/>
      <c r="AD1390" s="119"/>
      <c r="AE1390" s="119"/>
      <c r="AF1390" s="119"/>
      <c r="AG1390" s="119"/>
      <c r="AH1390" s="16"/>
      <c r="AI1390" s="439"/>
      <c r="AJ1390" s="439"/>
      <c r="AK1390" s="439"/>
    </row>
    <row r="1391" ht="18.75" customHeight="1">
      <c r="A1391" s="439"/>
      <c r="B1391" s="439"/>
      <c r="C1391" s="439"/>
      <c r="D1391" s="439"/>
      <c r="E1391" s="439"/>
      <c r="F1391" s="439"/>
      <c r="G1391" s="439"/>
      <c r="H1391" s="439"/>
      <c r="I1391" s="439"/>
      <c r="J1391" s="439"/>
      <c r="K1391" s="439"/>
      <c r="L1391" s="439"/>
      <c r="M1391" s="439"/>
      <c r="N1391" s="439"/>
      <c r="O1391" s="439"/>
      <c r="P1391" s="439"/>
      <c r="Q1391" s="439"/>
      <c r="R1391" s="439"/>
      <c r="S1391" s="439"/>
      <c r="T1391" s="264"/>
      <c r="U1391" s="439"/>
      <c r="V1391" s="16"/>
      <c r="W1391" s="119"/>
      <c r="X1391" s="119"/>
      <c r="Y1391" s="119"/>
      <c r="Z1391" s="119"/>
      <c r="AA1391" s="119"/>
      <c r="AB1391" s="119"/>
      <c r="AC1391" s="119"/>
      <c r="AD1391" s="119"/>
      <c r="AE1391" s="119"/>
      <c r="AF1391" s="119"/>
      <c r="AG1391" s="119"/>
      <c r="AH1391" s="16"/>
      <c r="AI1391" s="439"/>
      <c r="AJ1391" s="439"/>
      <c r="AK1391" s="439"/>
    </row>
    <row r="1392" ht="18.75" customHeight="1">
      <c r="A1392" s="439"/>
      <c r="B1392" s="439"/>
      <c r="C1392" s="439"/>
      <c r="D1392" s="439"/>
      <c r="E1392" s="439"/>
      <c r="F1392" s="439"/>
      <c r="G1392" s="439"/>
      <c r="H1392" s="439"/>
      <c r="I1392" s="439"/>
      <c r="J1392" s="439"/>
      <c r="K1392" s="439"/>
      <c r="L1392" s="439"/>
      <c r="M1392" s="439"/>
      <c r="N1392" s="439"/>
      <c r="O1392" s="439"/>
      <c r="P1392" s="439"/>
      <c r="Q1392" s="439"/>
      <c r="R1392" s="439"/>
      <c r="S1392" s="439"/>
      <c r="T1392" s="264"/>
      <c r="U1392" s="439"/>
      <c r="V1392" s="16"/>
      <c r="W1392" s="119"/>
      <c r="X1392" s="119"/>
      <c r="Y1392" s="119"/>
      <c r="Z1392" s="119"/>
      <c r="AA1392" s="119"/>
      <c r="AB1392" s="119"/>
      <c r="AC1392" s="119"/>
      <c r="AD1392" s="119"/>
      <c r="AE1392" s="119"/>
      <c r="AF1392" s="119"/>
      <c r="AG1392" s="119"/>
      <c r="AH1392" s="16"/>
      <c r="AI1392" s="439"/>
      <c r="AJ1392" s="439"/>
      <c r="AK1392" s="439"/>
    </row>
    <row r="1393" ht="18.75" customHeight="1">
      <c r="A1393" s="439"/>
      <c r="B1393" s="439"/>
      <c r="C1393" s="439"/>
      <c r="D1393" s="439"/>
      <c r="E1393" s="439"/>
      <c r="F1393" s="439"/>
      <c r="G1393" s="439"/>
      <c r="H1393" s="439"/>
      <c r="I1393" s="439"/>
      <c r="J1393" s="439"/>
      <c r="K1393" s="439"/>
      <c r="L1393" s="439"/>
      <c r="M1393" s="439"/>
      <c r="N1393" s="439"/>
      <c r="O1393" s="439"/>
      <c r="P1393" s="439"/>
      <c r="Q1393" s="439"/>
      <c r="R1393" s="439"/>
      <c r="S1393" s="439"/>
      <c r="T1393" s="264"/>
      <c r="U1393" s="439"/>
      <c r="V1393" s="16"/>
      <c r="W1393" s="119"/>
      <c r="X1393" s="119"/>
      <c r="Y1393" s="119"/>
      <c r="Z1393" s="119"/>
      <c r="AA1393" s="119"/>
      <c r="AB1393" s="119"/>
      <c r="AC1393" s="119"/>
      <c r="AD1393" s="119"/>
      <c r="AE1393" s="119"/>
      <c r="AF1393" s="119"/>
      <c r="AG1393" s="119"/>
      <c r="AH1393" s="16"/>
      <c r="AI1393" s="439"/>
      <c r="AJ1393" s="439"/>
      <c r="AK1393" s="439"/>
    </row>
    <row r="1394" ht="18.75" customHeight="1">
      <c r="A1394" s="439"/>
      <c r="B1394" s="439"/>
      <c r="C1394" s="439"/>
      <c r="D1394" s="439"/>
      <c r="E1394" s="439"/>
      <c r="F1394" s="439"/>
      <c r="G1394" s="439"/>
      <c r="H1394" s="439"/>
      <c r="I1394" s="439"/>
      <c r="J1394" s="439"/>
      <c r="K1394" s="439"/>
      <c r="L1394" s="439"/>
      <c r="M1394" s="439"/>
      <c r="N1394" s="439"/>
      <c r="O1394" s="439"/>
      <c r="P1394" s="439"/>
      <c r="Q1394" s="439"/>
      <c r="R1394" s="439"/>
      <c r="S1394" s="439"/>
      <c r="T1394" s="264"/>
      <c r="U1394" s="439"/>
      <c r="V1394" s="16"/>
      <c r="W1394" s="119"/>
      <c r="X1394" s="119"/>
      <c r="Y1394" s="119"/>
      <c r="Z1394" s="119"/>
      <c r="AA1394" s="119"/>
      <c r="AB1394" s="119"/>
      <c r="AC1394" s="119"/>
      <c r="AD1394" s="119"/>
      <c r="AE1394" s="119"/>
      <c r="AF1394" s="119"/>
      <c r="AG1394" s="119"/>
      <c r="AH1394" s="16"/>
      <c r="AI1394" s="439"/>
      <c r="AJ1394" s="439"/>
      <c r="AK1394" s="439"/>
    </row>
    <row r="1395" ht="18.75" customHeight="1">
      <c r="A1395" s="439"/>
      <c r="B1395" s="439"/>
      <c r="C1395" s="439"/>
      <c r="D1395" s="439"/>
      <c r="E1395" s="439"/>
      <c r="F1395" s="439"/>
      <c r="G1395" s="439"/>
      <c r="H1395" s="439"/>
      <c r="I1395" s="439"/>
      <c r="J1395" s="439"/>
      <c r="K1395" s="439"/>
      <c r="L1395" s="439"/>
      <c r="M1395" s="439"/>
      <c r="N1395" s="439"/>
      <c r="O1395" s="439"/>
      <c r="P1395" s="439"/>
      <c r="Q1395" s="439"/>
      <c r="R1395" s="439"/>
      <c r="S1395" s="439"/>
      <c r="T1395" s="264"/>
      <c r="U1395" s="439"/>
      <c r="V1395" s="16"/>
      <c r="W1395" s="119"/>
      <c r="X1395" s="119"/>
      <c r="Y1395" s="119"/>
      <c r="Z1395" s="119"/>
      <c r="AA1395" s="119"/>
      <c r="AB1395" s="119"/>
      <c r="AC1395" s="119"/>
      <c r="AD1395" s="119"/>
      <c r="AE1395" s="119"/>
      <c r="AF1395" s="119"/>
      <c r="AG1395" s="119"/>
      <c r="AH1395" s="16"/>
      <c r="AI1395" s="439"/>
      <c r="AJ1395" s="439"/>
      <c r="AK1395" s="439"/>
    </row>
    <row r="1396" ht="18.75" customHeight="1">
      <c r="A1396" s="439"/>
      <c r="B1396" s="439"/>
      <c r="C1396" s="439"/>
      <c r="D1396" s="439"/>
      <c r="E1396" s="439"/>
      <c r="F1396" s="439"/>
      <c r="G1396" s="439"/>
      <c r="H1396" s="439"/>
      <c r="I1396" s="439"/>
      <c r="J1396" s="439"/>
      <c r="K1396" s="439"/>
      <c r="L1396" s="439"/>
      <c r="M1396" s="439"/>
      <c r="N1396" s="439"/>
      <c r="O1396" s="439"/>
      <c r="P1396" s="439"/>
      <c r="Q1396" s="439"/>
      <c r="R1396" s="439"/>
      <c r="S1396" s="439"/>
      <c r="T1396" s="264"/>
      <c r="U1396" s="439"/>
      <c r="V1396" s="16"/>
      <c r="W1396" s="119"/>
      <c r="X1396" s="119"/>
      <c r="Y1396" s="119"/>
      <c r="Z1396" s="119"/>
      <c r="AA1396" s="119"/>
      <c r="AB1396" s="119"/>
      <c r="AC1396" s="119"/>
      <c r="AD1396" s="119"/>
      <c r="AE1396" s="119"/>
      <c r="AF1396" s="119"/>
      <c r="AG1396" s="119"/>
      <c r="AH1396" s="16"/>
      <c r="AI1396" s="439"/>
      <c r="AJ1396" s="439"/>
      <c r="AK1396" s="439"/>
    </row>
    <row r="1397" ht="18.75" customHeight="1">
      <c r="A1397" s="439"/>
      <c r="B1397" s="439"/>
      <c r="C1397" s="439"/>
      <c r="D1397" s="439"/>
      <c r="E1397" s="439"/>
      <c r="F1397" s="439"/>
      <c r="G1397" s="439"/>
      <c r="H1397" s="439"/>
      <c r="I1397" s="439"/>
      <c r="J1397" s="439"/>
      <c r="K1397" s="439"/>
      <c r="L1397" s="439"/>
      <c r="M1397" s="439"/>
      <c r="N1397" s="439"/>
      <c r="O1397" s="439"/>
      <c r="P1397" s="439"/>
      <c r="Q1397" s="439"/>
      <c r="R1397" s="439"/>
      <c r="S1397" s="439"/>
      <c r="T1397" s="264"/>
      <c r="U1397" s="439"/>
      <c r="V1397" s="16"/>
      <c r="W1397" s="119"/>
      <c r="X1397" s="119"/>
      <c r="Y1397" s="119"/>
      <c r="Z1397" s="119"/>
      <c r="AA1397" s="119"/>
      <c r="AB1397" s="119"/>
      <c r="AC1397" s="119"/>
      <c r="AD1397" s="119"/>
      <c r="AE1397" s="119"/>
      <c r="AF1397" s="119"/>
      <c r="AG1397" s="119"/>
      <c r="AH1397" s="16"/>
      <c r="AI1397" s="439"/>
      <c r="AJ1397" s="439"/>
      <c r="AK1397" s="439"/>
    </row>
    <row r="1398" ht="18.75" customHeight="1">
      <c r="A1398" s="439"/>
      <c r="B1398" s="439"/>
      <c r="C1398" s="439"/>
      <c r="D1398" s="439"/>
      <c r="E1398" s="439"/>
      <c r="F1398" s="439"/>
      <c r="G1398" s="439"/>
      <c r="H1398" s="439"/>
      <c r="I1398" s="439"/>
      <c r="J1398" s="439"/>
      <c r="K1398" s="439"/>
      <c r="L1398" s="439"/>
      <c r="M1398" s="439"/>
      <c r="N1398" s="439"/>
      <c r="O1398" s="439"/>
      <c r="P1398" s="439"/>
      <c r="Q1398" s="439"/>
      <c r="R1398" s="439"/>
      <c r="S1398" s="439"/>
      <c r="T1398" s="264"/>
      <c r="U1398" s="439"/>
      <c r="V1398" s="16"/>
      <c r="W1398" s="119"/>
      <c r="X1398" s="119"/>
      <c r="Y1398" s="119"/>
      <c r="Z1398" s="119"/>
      <c r="AA1398" s="119"/>
      <c r="AB1398" s="119"/>
      <c r="AC1398" s="119"/>
      <c r="AD1398" s="119"/>
      <c r="AE1398" s="119"/>
      <c r="AF1398" s="119"/>
      <c r="AG1398" s="119"/>
      <c r="AH1398" s="16"/>
      <c r="AI1398" s="439"/>
      <c r="AJ1398" s="439"/>
      <c r="AK1398" s="439"/>
    </row>
    <row r="1399" ht="18.75" customHeight="1">
      <c r="A1399" s="439"/>
      <c r="B1399" s="439"/>
      <c r="C1399" s="439"/>
      <c r="D1399" s="439"/>
      <c r="E1399" s="439"/>
      <c r="F1399" s="439"/>
      <c r="G1399" s="439"/>
      <c r="H1399" s="439"/>
      <c r="I1399" s="439"/>
      <c r="J1399" s="439"/>
      <c r="K1399" s="439"/>
      <c r="L1399" s="439"/>
      <c r="M1399" s="439"/>
      <c r="N1399" s="439"/>
      <c r="O1399" s="439"/>
      <c r="P1399" s="439"/>
      <c r="Q1399" s="439"/>
      <c r="R1399" s="439"/>
      <c r="S1399" s="439"/>
      <c r="T1399" s="264"/>
      <c r="U1399" s="439"/>
      <c r="V1399" s="16"/>
      <c r="W1399" s="119"/>
      <c r="X1399" s="119"/>
      <c r="Y1399" s="119"/>
      <c r="Z1399" s="119"/>
      <c r="AA1399" s="119"/>
      <c r="AB1399" s="119"/>
      <c r="AC1399" s="119"/>
      <c r="AD1399" s="119"/>
      <c r="AE1399" s="119"/>
      <c r="AF1399" s="119"/>
      <c r="AG1399" s="119"/>
      <c r="AH1399" s="16"/>
      <c r="AI1399" s="439"/>
      <c r="AJ1399" s="439"/>
      <c r="AK1399" s="439"/>
    </row>
    <row r="1400" ht="18.75" customHeight="1">
      <c r="A1400" s="439"/>
      <c r="B1400" s="439"/>
      <c r="C1400" s="439"/>
      <c r="D1400" s="439"/>
      <c r="E1400" s="439"/>
      <c r="F1400" s="439"/>
      <c r="G1400" s="439"/>
      <c r="H1400" s="439"/>
      <c r="I1400" s="439"/>
      <c r="J1400" s="439"/>
      <c r="K1400" s="439"/>
      <c r="L1400" s="439"/>
      <c r="M1400" s="439"/>
      <c r="N1400" s="439"/>
      <c r="O1400" s="439"/>
      <c r="P1400" s="439"/>
      <c r="Q1400" s="439"/>
      <c r="R1400" s="439"/>
      <c r="S1400" s="439"/>
      <c r="T1400" s="264"/>
      <c r="U1400" s="439"/>
      <c r="V1400" s="16"/>
      <c r="W1400" s="119"/>
      <c r="X1400" s="119"/>
      <c r="Y1400" s="119"/>
      <c r="Z1400" s="119"/>
      <c r="AA1400" s="119"/>
      <c r="AB1400" s="119"/>
      <c r="AC1400" s="119"/>
      <c r="AD1400" s="119"/>
      <c r="AE1400" s="119"/>
      <c r="AF1400" s="119"/>
      <c r="AG1400" s="119"/>
      <c r="AH1400" s="16"/>
      <c r="AI1400" s="439"/>
      <c r="AJ1400" s="439"/>
      <c r="AK1400" s="439"/>
    </row>
    <row r="1401" ht="18.75" customHeight="1">
      <c r="A1401" s="439"/>
      <c r="B1401" s="439"/>
      <c r="C1401" s="439"/>
      <c r="D1401" s="439"/>
      <c r="E1401" s="439"/>
      <c r="F1401" s="439"/>
      <c r="G1401" s="439"/>
      <c r="H1401" s="439"/>
      <c r="I1401" s="439"/>
      <c r="J1401" s="439"/>
      <c r="K1401" s="439"/>
      <c r="L1401" s="439"/>
      <c r="M1401" s="439"/>
      <c r="N1401" s="439"/>
      <c r="O1401" s="439"/>
      <c r="P1401" s="439"/>
      <c r="Q1401" s="439"/>
      <c r="R1401" s="439"/>
      <c r="S1401" s="439"/>
      <c r="T1401" s="264"/>
      <c r="U1401" s="439"/>
      <c r="V1401" s="16"/>
      <c r="W1401" s="119"/>
      <c r="X1401" s="119"/>
      <c r="Y1401" s="119"/>
      <c r="Z1401" s="119"/>
      <c r="AA1401" s="119"/>
      <c r="AB1401" s="119"/>
      <c r="AC1401" s="119"/>
      <c r="AD1401" s="119"/>
      <c r="AE1401" s="119"/>
      <c r="AF1401" s="119"/>
      <c r="AG1401" s="119"/>
      <c r="AH1401" s="16"/>
      <c r="AI1401" s="439"/>
      <c r="AJ1401" s="439"/>
      <c r="AK1401" s="439"/>
    </row>
    <row r="1402" ht="18.75" customHeight="1">
      <c r="A1402" s="439"/>
      <c r="B1402" s="439"/>
      <c r="C1402" s="439"/>
      <c r="D1402" s="439"/>
      <c r="E1402" s="439"/>
      <c r="F1402" s="439"/>
      <c r="G1402" s="439"/>
      <c r="H1402" s="439"/>
      <c r="I1402" s="439"/>
      <c r="J1402" s="439"/>
      <c r="K1402" s="439"/>
      <c r="L1402" s="439"/>
      <c r="M1402" s="439"/>
      <c r="N1402" s="439"/>
      <c r="O1402" s="439"/>
      <c r="P1402" s="439"/>
      <c r="Q1402" s="439"/>
      <c r="R1402" s="439"/>
      <c r="S1402" s="439"/>
      <c r="T1402" s="264"/>
      <c r="U1402" s="439"/>
      <c r="V1402" s="16"/>
      <c r="W1402" s="119"/>
      <c r="X1402" s="119"/>
      <c r="Y1402" s="119"/>
      <c r="Z1402" s="119"/>
      <c r="AA1402" s="119"/>
      <c r="AB1402" s="119"/>
      <c r="AC1402" s="119"/>
      <c r="AD1402" s="119"/>
      <c r="AE1402" s="119"/>
      <c r="AF1402" s="119"/>
      <c r="AG1402" s="119"/>
      <c r="AH1402" s="16"/>
      <c r="AI1402" s="439"/>
      <c r="AJ1402" s="439"/>
      <c r="AK1402" s="439"/>
    </row>
    <row r="1403" ht="18.75" customHeight="1">
      <c r="A1403" s="439"/>
      <c r="B1403" s="439"/>
      <c r="C1403" s="439"/>
      <c r="D1403" s="439"/>
      <c r="E1403" s="439"/>
      <c r="F1403" s="439"/>
      <c r="G1403" s="439"/>
      <c r="H1403" s="439"/>
      <c r="I1403" s="439"/>
      <c r="J1403" s="439"/>
      <c r="K1403" s="439"/>
      <c r="L1403" s="439"/>
      <c r="M1403" s="439"/>
      <c r="N1403" s="439"/>
      <c r="O1403" s="439"/>
      <c r="P1403" s="439"/>
      <c r="Q1403" s="439"/>
      <c r="R1403" s="439"/>
      <c r="S1403" s="439"/>
      <c r="T1403" s="264"/>
      <c r="U1403" s="439"/>
      <c r="V1403" s="16"/>
      <c r="W1403" s="119"/>
      <c r="X1403" s="119"/>
      <c r="Y1403" s="119"/>
      <c r="Z1403" s="119"/>
      <c r="AA1403" s="119"/>
      <c r="AB1403" s="119"/>
      <c r="AC1403" s="119"/>
      <c r="AD1403" s="119"/>
      <c r="AE1403" s="119"/>
      <c r="AF1403" s="119"/>
      <c r="AG1403" s="119"/>
      <c r="AH1403" s="16"/>
      <c r="AI1403" s="439"/>
      <c r="AJ1403" s="439"/>
      <c r="AK1403" s="439"/>
    </row>
    <row r="1404" ht="18.75" customHeight="1">
      <c r="A1404" s="439"/>
      <c r="B1404" s="439"/>
      <c r="C1404" s="439"/>
      <c r="D1404" s="439"/>
      <c r="E1404" s="439"/>
      <c r="F1404" s="439"/>
      <c r="G1404" s="439"/>
      <c r="H1404" s="439"/>
      <c r="I1404" s="439"/>
      <c r="J1404" s="439"/>
      <c r="K1404" s="439"/>
      <c r="L1404" s="439"/>
      <c r="M1404" s="439"/>
      <c r="N1404" s="439"/>
      <c r="O1404" s="439"/>
      <c r="P1404" s="439"/>
      <c r="Q1404" s="439"/>
      <c r="R1404" s="439"/>
      <c r="S1404" s="439"/>
      <c r="T1404" s="264"/>
      <c r="U1404" s="439"/>
      <c r="V1404" s="16"/>
      <c r="W1404" s="119"/>
      <c r="X1404" s="119"/>
      <c r="Y1404" s="119"/>
      <c r="Z1404" s="119"/>
      <c r="AA1404" s="119"/>
      <c r="AB1404" s="119"/>
      <c r="AC1404" s="119"/>
      <c r="AD1404" s="119"/>
      <c r="AE1404" s="119"/>
      <c r="AF1404" s="119"/>
      <c r="AG1404" s="119"/>
      <c r="AH1404" s="16"/>
      <c r="AI1404" s="439"/>
      <c r="AJ1404" s="439"/>
      <c r="AK1404" s="439"/>
    </row>
    <row r="1405" ht="18.75" customHeight="1">
      <c r="A1405" s="439"/>
      <c r="B1405" s="439"/>
      <c r="C1405" s="439"/>
      <c r="D1405" s="439"/>
      <c r="E1405" s="439"/>
      <c r="F1405" s="439"/>
      <c r="G1405" s="439"/>
      <c r="H1405" s="439"/>
      <c r="I1405" s="439"/>
      <c r="J1405" s="439"/>
      <c r="K1405" s="439"/>
      <c r="L1405" s="439"/>
      <c r="M1405" s="439"/>
      <c r="N1405" s="439"/>
      <c r="O1405" s="439"/>
      <c r="P1405" s="439"/>
      <c r="Q1405" s="439"/>
      <c r="R1405" s="439"/>
      <c r="S1405" s="439"/>
      <c r="T1405" s="264"/>
      <c r="U1405" s="439"/>
      <c r="V1405" s="16"/>
      <c r="W1405" s="119"/>
      <c r="X1405" s="119"/>
      <c r="Y1405" s="119"/>
      <c r="Z1405" s="119"/>
      <c r="AA1405" s="119"/>
      <c r="AB1405" s="119"/>
      <c r="AC1405" s="119"/>
      <c r="AD1405" s="119"/>
      <c r="AE1405" s="119"/>
      <c r="AF1405" s="119"/>
      <c r="AG1405" s="119"/>
      <c r="AH1405" s="16"/>
      <c r="AI1405" s="439"/>
      <c r="AJ1405" s="439"/>
      <c r="AK1405" s="439"/>
    </row>
    <row r="1406" ht="18.75" customHeight="1">
      <c r="A1406" s="439"/>
      <c r="B1406" s="439"/>
      <c r="C1406" s="439"/>
      <c r="D1406" s="439"/>
      <c r="E1406" s="439"/>
      <c r="F1406" s="439"/>
      <c r="G1406" s="439"/>
      <c r="H1406" s="439"/>
      <c r="I1406" s="439"/>
      <c r="J1406" s="439"/>
      <c r="K1406" s="439"/>
      <c r="L1406" s="439"/>
      <c r="M1406" s="439"/>
      <c r="N1406" s="439"/>
      <c r="O1406" s="439"/>
      <c r="P1406" s="439"/>
      <c r="Q1406" s="439"/>
      <c r="R1406" s="439"/>
      <c r="S1406" s="439"/>
      <c r="T1406" s="264"/>
      <c r="U1406" s="439"/>
      <c r="V1406" s="16"/>
      <c r="W1406" s="119"/>
      <c r="X1406" s="119"/>
      <c r="Y1406" s="119"/>
      <c r="Z1406" s="119"/>
      <c r="AA1406" s="119"/>
      <c r="AB1406" s="119"/>
      <c r="AC1406" s="119"/>
      <c r="AD1406" s="119"/>
      <c r="AE1406" s="119"/>
      <c r="AF1406" s="119"/>
      <c r="AG1406" s="119"/>
      <c r="AH1406" s="16"/>
      <c r="AI1406" s="439"/>
      <c r="AJ1406" s="439"/>
      <c r="AK1406" s="439"/>
    </row>
    <row r="1407" ht="18.75" customHeight="1">
      <c r="A1407" s="439"/>
      <c r="B1407" s="439"/>
      <c r="C1407" s="439"/>
      <c r="D1407" s="439"/>
      <c r="E1407" s="439"/>
      <c r="F1407" s="439"/>
      <c r="G1407" s="439"/>
      <c r="H1407" s="439"/>
      <c r="I1407" s="439"/>
      <c r="J1407" s="439"/>
      <c r="K1407" s="439"/>
      <c r="L1407" s="439"/>
      <c r="M1407" s="439"/>
      <c r="N1407" s="439"/>
      <c r="O1407" s="439"/>
      <c r="P1407" s="439"/>
      <c r="Q1407" s="439"/>
      <c r="R1407" s="439"/>
      <c r="S1407" s="439"/>
      <c r="T1407" s="264"/>
      <c r="U1407" s="439"/>
      <c r="V1407" s="16"/>
      <c r="W1407" s="119"/>
      <c r="X1407" s="119"/>
      <c r="Y1407" s="119"/>
      <c r="Z1407" s="119"/>
      <c r="AA1407" s="119"/>
      <c r="AB1407" s="119"/>
      <c r="AC1407" s="119"/>
      <c r="AD1407" s="119"/>
      <c r="AE1407" s="119"/>
      <c r="AF1407" s="119"/>
      <c r="AG1407" s="119"/>
      <c r="AH1407" s="16"/>
      <c r="AI1407" s="439"/>
      <c r="AJ1407" s="439"/>
      <c r="AK1407" s="439"/>
    </row>
    <row r="1408" ht="18.75" customHeight="1">
      <c r="A1408" s="439"/>
      <c r="B1408" s="439"/>
      <c r="C1408" s="439"/>
      <c r="D1408" s="439"/>
      <c r="E1408" s="439"/>
      <c r="F1408" s="439"/>
      <c r="G1408" s="439"/>
      <c r="H1408" s="439"/>
      <c r="I1408" s="439"/>
      <c r="J1408" s="439"/>
      <c r="K1408" s="439"/>
      <c r="L1408" s="439"/>
      <c r="M1408" s="439"/>
      <c r="N1408" s="439"/>
      <c r="O1408" s="439"/>
      <c r="P1408" s="439"/>
      <c r="Q1408" s="439"/>
      <c r="R1408" s="439"/>
      <c r="S1408" s="439"/>
      <c r="T1408" s="264"/>
      <c r="U1408" s="439"/>
      <c r="V1408" s="16"/>
      <c r="W1408" s="119"/>
      <c r="X1408" s="119"/>
      <c r="Y1408" s="119"/>
      <c r="Z1408" s="119"/>
      <c r="AA1408" s="119"/>
      <c r="AB1408" s="119"/>
      <c r="AC1408" s="119"/>
      <c r="AD1408" s="119"/>
      <c r="AE1408" s="119"/>
      <c r="AF1408" s="119"/>
      <c r="AG1408" s="119"/>
      <c r="AH1408" s="16"/>
      <c r="AI1408" s="439"/>
      <c r="AJ1408" s="439"/>
      <c r="AK1408" s="439"/>
    </row>
    <row r="1409" ht="18.75" customHeight="1">
      <c r="A1409" s="439"/>
      <c r="B1409" s="439"/>
      <c r="C1409" s="439"/>
      <c r="D1409" s="439"/>
      <c r="E1409" s="439"/>
      <c r="F1409" s="439"/>
      <c r="G1409" s="439"/>
      <c r="H1409" s="439"/>
      <c r="I1409" s="439"/>
      <c r="J1409" s="439"/>
      <c r="K1409" s="439"/>
      <c r="L1409" s="439"/>
      <c r="M1409" s="439"/>
      <c r="N1409" s="439"/>
      <c r="O1409" s="439"/>
      <c r="P1409" s="439"/>
      <c r="Q1409" s="439"/>
      <c r="R1409" s="439"/>
      <c r="S1409" s="439"/>
      <c r="T1409" s="264"/>
      <c r="U1409" s="439"/>
      <c r="V1409" s="16"/>
      <c r="W1409" s="119"/>
      <c r="X1409" s="119"/>
      <c r="Y1409" s="119"/>
      <c r="Z1409" s="119"/>
      <c r="AA1409" s="119"/>
      <c r="AB1409" s="119"/>
      <c r="AC1409" s="119"/>
      <c r="AD1409" s="119"/>
      <c r="AE1409" s="119"/>
      <c r="AF1409" s="119"/>
      <c r="AG1409" s="119"/>
      <c r="AH1409" s="16"/>
      <c r="AI1409" s="439"/>
      <c r="AJ1409" s="439"/>
      <c r="AK1409" s="439"/>
    </row>
    <row r="1410" ht="18.75" customHeight="1">
      <c r="A1410" s="439"/>
      <c r="B1410" s="439"/>
      <c r="C1410" s="439"/>
      <c r="D1410" s="439"/>
      <c r="E1410" s="439"/>
      <c r="F1410" s="439"/>
      <c r="G1410" s="439"/>
      <c r="H1410" s="439"/>
      <c r="I1410" s="439"/>
      <c r="J1410" s="439"/>
      <c r="K1410" s="439"/>
      <c r="L1410" s="439"/>
      <c r="M1410" s="439"/>
      <c r="N1410" s="439"/>
      <c r="O1410" s="439"/>
      <c r="P1410" s="439"/>
      <c r="Q1410" s="439"/>
      <c r="R1410" s="439"/>
      <c r="S1410" s="439"/>
      <c r="T1410" s="264"/>
      <c r="U1410" s="439"/>
      <c r="V1410" s="16"/>
      <c r="W1410" s="119"/>
      <c r="X1410" s="119"/>
      <c r="Y1410" s="119"/>
      <c r="Z1410" s="119"/>
      <c r="AA1410" s="119"/>
      <c r="AB1410" s="119"/>
      <c r="AC1410" s="119"/>
      <c r="AD1410" s="119"/>
      <c r="AE1410" s="119"/>
      <c r="AF1410" s="119"/>
      <c r="AG1410" s="119"/>
      <c r="AH1410" s="16"/>
      <c r="AI1410" s="439"/>
      <c r="AJ1410" s="439"/>
      <c r="AK1410" s="439"/>
    </row>
    <row r="1411" ht="18.75" customHeight="1">
      <c r="A1411" s="439"/>
      <c r="B1411" s="439"/>
      <c r="C1411" s="439"/>
      <c r="D1411" s="439"/>
      <c r="E1411" s="439"/>
      <c r="F1411" s="439"/>
      <c r="G1411" s="439"/>
      <c r="H1411" s="439"/>
      <c r="I1411" s="439"/>
      <c r="J1411" s="439"/>
      <c r="K1411" s="439"/>
      <c r="L1411" s="439"/>
      <c r="M1411" s="439"/>
      <c r="N1411" s="439"/>
      <c r="O1411" s="439"/>
      <c r="P1411" s="439"/>
      <c r="Q1411" s="439"/>
      <c r="R1411" s="439"/>
      <c r="S1411" s="439"/>
      <c r="T1411" s="264"/>
      <c r="U1411" s="439"/>
      <c r="V1411" s="16"/>
      <c r="W1411" s="119"/>
      <c r="X1411" s="119"/>
      <c r="Y1411" s="119"/>
      <c r="Z1411" s="119"/>
      <c r="AA1411" s="119"/>
      <c r="AB1411" s="119"/>
      <c r="AC1411" s="119"/>
      <c r="AD1411" s="119"/>
      <c r="AE1411" s="119"/>
      <c r="AF1411" s="119"/>
      <c r="AG1411" s="119"/>
      <c r="AH1411" s="16"/>
      <c r="AI1411" s="439"/>
      <c r="AJ1411" s="439"/>
      <c r="AK1411" s="439"/>
    </row>
    <row r="1412" ht="18.75" customHeight="1">
      <c r="A1412" s="439"/>
      <c r="B1412" s="439"/>
      <c r="C1412" s="439"/>
      <c r="D1412" s="439"/>
      <c r="E1412" s="439"/>
      <c r="F1412" s="439"/>
      <c r="G1412" s="439"/>
      <c r="H1412" s="439"/>
      <c r="I1412" s="439"/>
      <c r="J1412" s="439"/>
      <c r="K1412" s="439"/>
      <c r="L1412" s="439"/>
      <c r="M1412" s="439"/>
      <c r="N1412" s="439"/>
      <c r="O1412" s="439"/>
      <c r="P1412" s="439"/>
      <c r="Q1412" s="439"/>
      <c r="R1412" s="439"/>
      <c r="S1412" s="439"/>
      <c r="T1412" s="264"/>
      <c r="U1412" s="439"/>
      <c r="V1412" s="16"/>
      <c r="W1412" s="119"/>
      <c r="X1412" s="119"/>
      <c r="Y1412" s="119"/>
      <c r="Z1412" s="119"/>
      <c r="AA1412" s="119"/>
      <c r="AB1412" s="119"/>
      <c r="AC1412" s="119"/>
      <c r="AD1412" s="119"/>
      <c r="AE1412" s="119"/>
      <c r="AF1412" s="119"/>
      <c r="AG1412" s="119"/>
      <c r="AH1412" s="16"/>
      <c r="AI1412" s="439"/>
      <c r="AJ1412" s="439"/>
      <c r="AK1412" s="439"/>
    </row>
    <row r="1413" ht="18.75" customHeight="1">
      <c r="A1413" s="439"/>
      <c r="B1413" s="439"/>
      <c r="C1413" s="439"/>
      <c r="D1413" s="439"/>
      <c r="E1413" s="439"/>
      <c r="F1413" s="439"/>
      <c r="G1413" s="439"/>
      <c r="H1413" s="439"/>
      <c r="I1413" s="439"/>
      <c r="J1413" s="439"/>
      <c r="K1413" s="439"/>
      <c r="L1413" s="439"/>
      <c r="M1413" s="439"/>
      <c r="N1413" s="439"/>
      <c r="O1413" s="439"/>
      <c r="P1413" s="439"/>
      <c r="Q1413" s="439"/>
      <c r="R1413" s="439"/>
      <c r="S1413" s="439"/>
      <c r="T1413" s="264"/>
      <c r="U1413" s="439"/>
      <c r="V1413" s="16"/>
      <c r="W1413" s="119"/>
      <c r="X1413" s="119"/>
      <c r="Y1413" s="119"/>
      <c r="Z1413" s="119"/>
      <c r="AA1413" s="119"/>
      <c r="AB1413" s="119"/>
      <c r="AC1413" s="119"/>
      <c r="AD1413" s="119"/>
      <c r="AE1413" s="119"/>
      <c r="AF1413" s="119"/>
      <c r="AG1413" s="119"/>
      <c r="AH1413" s="16"/>
      <c r="AI1413" s="439"/>
      <c r="AJ1413" s="439"/>
      <c r="AK1413" s="439"/>
    </row>
    <row r="1414" ht="18.75" customHeight="1">
      <c r="A1414" s="439"/>
      <c r="B1414" s="439"/>
      <c r="C1414" s="439"/>
      <c r="D1414" s="439"/>
      <c r="E1414" s="439"/>
      <c r="F1414" s="439"/>
      <c r="G1414" s="439"/>
      <c r="H1414" s="439"/>
      <c r="I1414" s="439"/>
      <c r="J1414" s="439"/>
      <c r="K1414" s="439"/>
      <c r="L1414" s="439"/>
      <c r="M1414" s="439"/>
      <c r="N1414" s="439"/>
      <c r="O1414" s="439"/>
      <c r="P1414" s="439"/>
      <c r="Q1414" s="439"/>
      <c r="R1414" s="439"/>
      <c r="S1414" s="439"/>
      <c r="T1414" s="264"/>
      <c r="U1414" s="439"/>
      <c r="V1414" s="16"/>
      <c r="W1414" s="119"/>
      <c r="X1414" s="119"/>
      <c r="Y1414" s="119"/>
      <c r="Z1414" s="119"/>
      <c r="AA1414" s="119"/>
      <c r="AB1414" s="119"/>
      <c r="AC1414" s="119"/>
      <c r="AD1414" s="119"/>
      <c r="AE1414" s="119"/>
      <c r="AF1414" s="119"/>
      <c r="AG1414" s="119"/>
      <c r="AH1414" s="16"/>
      <c r="AI1414" s="439"/>
      <c r="AJ1414" s="439"/>
      <c r="AK1414" s="439"/>
    </row>
    <row r="1415" ht="18.75" customHeight="1">
      <c r="A1415" s="439"/>
      <c r="B1415" s="439"/>
      <c r="C1415" s="439"/>
      <c r="D1415" s="439"/>
      <c r="E1415" s="439"/>
      <c r="F1415" s="439"/>
      <c r="G1415" s="439"/>
      <c r="H1415" s="439"/>
      <c r="I1415" s="439"/>
      <c r="J1415" s="439"/>
      <c r="K1415" s="439"/>
      <c r="L1415" s="439"/>
      <c r="M1415" s="439"/>
      <c r="N1415" s="439"/>
      <c r="O1415" s="439"/>
      <c r="P1415" s="439"/>
      <c r="Q1415" s="439"/>
      <c r="R1415" s="439"/>
      <c r="S1415" s="439"/>
      <c r="T1415" s="264"/>
      <c r="U1415" s="439"/>
      <c r="V1415" s="16"/>
      <c r="W1415" s="119"/>
      <c r="X1415" s="119"/>
      <c r="Y1415" s="119"/>
      <c r="Z1415" s="119"/>
      <c r="AA1415" s="119"/>
      <c r="AB1415" s="119"/>
      <c r="AC1415" s="119"/>
      <c r="AD1415" s="119"/>
      <c r="AE1415" s="119"/>
      <c r="AF1415" s="119"/>
      <c r="AG1415" s="119"/>
      <c r="AH1415" s="16"/>
      <c r="AI1415" s="439"/>
      <c r="AJ1415" s="439"/>
      <c r="AK1415" s="439"/>
    </row>
    <row r="1416" ht="18.75" customHeight="1">
      <c r="A1416" s="439"/>
      <c r="B1416" s="439"/>
      <c r="C1416" s="439"/>
      <c r="D1416" s="439"/>
      <c r="E1416" s="439"/>
      <c r="F1416" s="439"/>
      <c r="G1416" s="439"/>
      <c r="H1416" s="439"/>
      <c r="I1416" s="439"/>
      <c r="J1416" s="439"/>
      <c r="K1416" s="439"/>
      <c r="L1416" s="439"/>
      <c r="M1416" s="439"/>
      <c r="N1416" s="439"/>
      <c r="O1416" s="439"/>
      <c r="P1416" s="439"/>
      <c r="Q1416" s="439"/>
      <c r="R1416" s="439"/>
      <c r="S1416" s="439"/>
      <c r="T1416" s="264"/>
      <c r="U1416" s="439"/>
      <c r="V1416" s="16"/>
      <c r="W1416" s="119"/>
      <c r="X1416" s="119"/>
      <c r="Y1416" s="119"/>
      <c r="Z1416" s="119"/>
      <c r="AA1416" s="119"/>
      <c r="AB1416" s="119"/>
      <c r="AC1416" s="119"/>
      <c r="AD1416" s="119"/>
      <c r="AE1416" s="119"/>
      <c r="AF1416" s="119"/>
      <c r="AG1416" s="119"/>
      <c r="AH1416" s="16"/>
      <c r="AI1416" s="439"/>
      <c r="AJ1416" s="439"/>
      <c r="AK1416" s="439"/>
    </row>
    <row r="1417" ht="18.75" customHeight="1">
      <c r="A1417" s="439"/>
      <c r="B1417" s="439"/>
      <c r="C1417" s="439"/>
      <c r="D1417" s="439"/>
      <c r="E1417" s="439"/>
      <c r="F1417" s="439"/>
      <c r="G1417" s="439"/>
      <c r="H1417" s="439"/>
      <c r="I1417" s="439"/>
      <c r="J1417" s="439"/>
      <c r="K1417" s="439"/>
      <c r="L1417" s="439"/>
      <c r="M1417" s="439"/>
      <c r="N1417" s="439"/>
      <c r="O1417" s="439"/>
      <c r="P1417" s="439"/>
      <c r="Q1417" s="439"/>
      <c r="R1417" s="439"/>
      <c r="S1417" s="439"/>
      <c r="T1417" s="264"/>
      <c r="U1417" s="439"/>
      <c r="V1417" s="16"/>
      <c r="W1417" s="119"/>
      <c r="X1417" s="119"/>
      <c r="Y1417" s="119"/>
      <c r="Z1417" s="119"/>
      <c r="AA1417" s="119"/>
      <c r="AB1417" s="119"/>
      <c r="AC1417" s="119"/>
      <c r="AD1417" s="119"/>
      <c r="AE1417" s="119"/>
      <c r="AF1417" s="119"/>
      <c r="AG1417" s="119"/>
      <c r="AH1417" s="16"/>
      <c r="AI1417" s="439"/>
      <c r="AJ1417" s="439"/>
      <c r="AK1417" s="439"/>
    </row>
    <row r="1418" ht="18.75" customHeight="1">
      <c r="A1418" s="439"/>
      <c r="B1418" s="439"/>
      <c r="C1418" s="439"/>
      <c r="D1418" s="439"/>
      <c r="E1418" s="439"/>
      <c r="F1418" s="439"/>
      <c r="G1418" s="439"/>
      <c r="H1418" s="439"/>
      <c r="I1418" s="439"/>
      <c r="J1418" s="439"/>
      <c r="K1418" s="439"/>
      <c r="L1418" s="439"/>
      <c r="M1418" s="439"/>
      <c r="N1418" s="439"/>
      <c r="O1418" s="439"/>
      <c r="P1418" s="439"/>
      <c r="Q1418" s="439"/>
      <c r="R1418" s="439"/>
      <c r="S1418" s="439"/>
      <c r="T1418" s="264"/>
      <c r="U1418" s="439"/>
      <c r="V1418" s="16"/>
      <c r="W1418" s="119"/>
      <c r="X1418" s="119"/>
      <c r="Y1418" s="119"/>
      <c r="Z1418" s="119"/>
      <c r="AA1418" s="119"/>
      <c r="AB1418" s="119"/>
      <c r="AC1418" s="119"/>
      <c r="AD1418" s="119"/>
      <c r="AE1418" s="119"/>
      <c r="AF1418" s="119"/>
      <c r="AG1418" s="119"/>
      <c r="AH1418" s="16"/>
      <c r="AI1418" s="439"/>
      <c r="AJ1418" s="439"/>
      <c r="AK1418" s="439"/>
    </row>
    <row r="1419" ht="18.75" customHeight="1">
      <c r="A1419" s="439"/>
      <c r="B1419" s="439"/>
      <c r="C1419" s="439"/>
      <c r="D1419" s="439"/>
      <c r="E1419" s="439"/>
      <c r="F1419" s="439"/>
      <c r="G1419" s="439"/>
      <c r="H1419" s="439"/>
      <c r="I1419" s="439"/>
      <c r="J1419" s="439"/>
      <c r="K1419" s="439"/>
      <c r="L1419" s="439"/>
      <c r="M1419" s="439"/>
      <c r="N1419" s="439"/>
      <c r="O1419" s="439"/>
      <c r="P1419" s="439"/>
      <c r="Q1419" s="439"/>
      <c r="R1419" s="439"/>
      <c r="S1419" s="439"/>
      <c r="T1419" s="264"/>
      <c r="U1419" s="439"/>
      <c r="V1419" s="16"/>
      <c r="W1419" s="119"/>
      <c r="X1419" s="119"/>
      <c r="Y1419" s="119"/>
      <c r="Z1419" s="119"/>
      <c r="AA1419" s="119"/>
      <c r="AB1419" s="119"/>
      <c r="AC1419" s="119"/>
      <c r="AD1419" s="119"/>
      <c r="AE1419" s="119"/>
      <c r="AF1419" s="119"/>
      <c r="AG1419" s="119"/>
      <c r="AH1419" s="16"/>
      <c r="AI1419" s="439"/>
      <c r="AJ1419" s="439"/>
      <c r="AK1419" s="439"/>
    </row>
    <row r="1420" ht="18.75" customHeight="1">
      <c r="A1420" s="439"/>
      <c r="B1420" s="439"/>
      <c r="C1420" s="439"/>
      <c r="D1420" s="439"/>
      <c r="E1420" s="439"/>
      <c r="F1420" s="439"/>
      <c r="G1420" s="439"/>
      <c r="H1420" s="439"/>
      <c r="I1420" s="439"/>
      <c r="J1420" s="439"/>
      <c r="K1420" s="439"/>
      <c r="L1420" s="439"/>
      <c r="M1420" s="439"/>
      <c r="N1420" s="439"/>
      <c r="O1420" s="439"/>
      <c r="P1420" s="439"/>
      <c r="Q1420" s="439"/>
      <c r="R1420" s="439"/>
      <c r="S1420" s="439"/>
      <c r="T1420" s="264"/>
      <c r="U1420" s="439"/>
      <c r="V1420" s="16"/>
      <c r="W1420" s="119"/>
      <c r="X1420" s="119"/>
      <c r="Y1420" s="119"/>
      <c r="Z1420" s="119"/>
      <c r="AA1420" s="119"/>
      <c r="AB1420" s="119"/>
      <c r="AC1420" s="119"/>
      <c r="AD1420" s="119"/>
      <c r="AE1420" s="119"/>
      <c r="AF1420" s="119"/>
      <c r="AG1420" s="119"/>
      <c r="AH1420" s="16"/>
      <c r="AI1420" s="439"/>
      <c r="AJ1420" s="439"/>
      <c r="AK1420" s="439"/>
    </row>
    <row r="1421" ht="18.75" customHeight="1">
      <c r="A1421" s="439"/>
      <c r="B1421" s="439"/>
      <c r="C1421" s="439"/>
      <c r="D1421" s="439"/>
      <c r="E1421" s="439"/>
      <c r="F1421" s="439"/>
      <c r="G1421" s="439"/>
      <c r="H1421" s="439"/>
      <c r="I1421" s="439"/>
      <c r="J1421" s="439"/>
      <c r="K1421" s="439"/>
      <c r="L1421" s="439"/>
      <c r="M1421" s="439"/>
      <c r="N1421" s="439"/>
      <c r="O1421" s="439"/>
      <c r="P1421" s="439"/>
      <c r="Q1421" s="439"/>
      <c r="R1421" s="439"/>
      <c r="S1421" s="439"/>
      <c r="T1421" s="264"/>
      <c r="U1421" s="439"/>
      <c r="V1421" s="16"/>
      <c r="W1421" s="119"/>
      <c r="X1421" s="119"/>
      <c r="Y1421" s="119"/>
      <c r="Z1421" s="119"/>
      <c r="AA1421" s="119"/>
      <c r="AB1421" s="119"/>
      <c r="AC1421" s="119"/>
      <c r="AD1421" s="119"/>
      <c r="AE1421" s="119"/>
      <c r="AF1421" s="119"/>
      <c r="AG1421" s="119"/>
      <c r="AH1421" s="16"/>
      <c r="AI1421" s="439"/>
      <c r="AJ1421" s="439"/>
      <c r="AK1421" s="439"/>
    </row>
    <row r="1422" ht="18.75" customHeight="1">
      <c r="A1422" s="439"/>
      <c r="B1422" s="439"/>
      <c r="C1422" s="439"/>
      <c r="D1422" s="439"/>
      <c r="E1422" s="439"/>
      <c r="F1422" s="439"/>
      <c r="G1422" s="439"/>
      <c r="H1422" s="439"/>
      <c r="I1422" s="439"/>
      <c r="J1422" s="439"/>
      <c r="K1422" s="439"/>
      <c r="L1422" s="439"/>
      <c r="M1422" s="439"/>
      <c r="N1422" s="439"/>
      <c r="O1422" s="439"/>
      <c r="P1422" s="439"/>
      <c r="Q1422" s="439"/>
      <c r="R1422" s="439"/>
      <c r="S1422" s="439"/>
      <c r="T1422" s="264"/>
      <c r="U1422" s="439"/>
      <c r="V1422" s="16"/>
      <c r="W1422" s="119"/>
      <c r="X1422" s="119"/>
      <c r="Y1422" s="119"/>
      <c r="Z1422" s="119"/>
      <c r="AA1422" s="119"/>
      <c r="AB1422" s="119"/>
      <c r="AC1422" s="119"/>
      <c r="AD1422" s="119"/>
      <c r="AE1422" s="119"/>
      <c r="AF1422" s="119"/>
      <c r="AG1422" s="119"/>
      <c r="AH1422" s="16"/>
      <c r="AI1422" s="439"/>
      <c r="AJ1422" s="439"/>
      <c r="AK1422" s="439"/>
    </row>
    <row r="1423" ht="18.75" customHeight="1">
      <c r="A1423" s="439"/>
      <c r="B1423" s="439"/>
      <c r="C1423" s="439"/>
      <c r="D1423" s="439"/>
      <c r="E1423" s="439"/>
      <c r="F1423" s="439"/>
      <c r="G1423" s="439"/>
      <c r="H1423" s="439"/>
      <c r="I1423" s="439"/>
      <c r="J1423" s="439"/>
      <c r="K1423" s="439"/>
      <c r="L1423" s="439"/>
      <c r="M1423" s="439"/>
      <c r="N1423" s="439"/>
      <c r="O1423" s="439"/>
      <c r="P1423" s="439"/>
      <c r="Q1423" s="439"/>
      <c r="R1423" s="439"/>
      <c r="S1423" s="439"/>
      <c r="T1423" s="264"/>
      <c r="U1423" s="439"/>
      <c r="V1423" s="16"/>
      <c r="W1423" s="119"/>
      <c r="X1423" s="119"/>
      <c r="Y1423" s="119"/>
      <c r="Z1423" s="119"/>
      <c r="AA1423" s="119"/>
      <c r="AB1423" s="119"/>
      <c r="AC1423" s="119"/>
      <c r="AD1423" s="119"/>
      <c r="AE1423" s="119"/>
      <c r="AF1423" s="119"/>
      <c r="AG1423" s="119"/>
      <c r="AH1423" s="16"/>
      <c r="AI1423" s="439"/>
      <c r="AJ1423" s="439"/>
      <c r="AK1423" s="439"/>
    </row>
    <row r="1424" ht="18.75" customHeight="1">
      <c r="A1424" s="439"/>
      <c r="B1424" s="439"/>
      <c r="C1424" s="439"/>
      <c r="D1424" s="439"/>
      <c r="E1424" s="439"/>
      <c r="F1424" s="439"/>
      <c r="G1424" s="439"/>
      <c r="H1424" s="439"/>
      <c r="I1424" s="439"/>
      <c r="J1424" s="439"/>
      <c r="K1424" s="439"/>
      <c r="L1424" s="439"/>
      <c r="M1424" s="439"/>
      <c r="N1424" s="439"/>
      <c r="O1424" s="439"/>
      <c r="P1424" s="439"/>
      <c r="Q1424" s="439"/>
      <c r="R1424" s="439"/>
      <c r="S1424" s="439"/>
      <c r="T1424" s="264"/>
      <c r="U1424" s="439"/>
      <c r="V1424" s="16"/>
      <c r="W1424" s="119"/>
      <c r="X1424" s="119"/>
      <c r="Y1424" s="119"/>
      <c r="Z1424" s="119"/>
      <c r="AA1424" s="119"/>
      <c r="AB1424" s="119"/>
      <c r="AC1424" s="119"/>
      <c r="AD1424" s="119"/>
      <c r="AE1424" s="119"/>
      <c r="AF1424" s="119"/>
      <c r="AG1424" s="119"/>
      <c r="AH1424" s="16"/>
      <c r="AI1424" s="439"/>
      <c r="AJ1424" s="439"/>
      <c r="AK1424" s="439"/>
    </row>
    <row r="1425" ht="18.75" customHeight="1">
      <c r="A1425" s="439"/>
      <c r="B1425" s="439"/>
      <c r="C1425" s="439"/>
      <c r="D1425" s="439"/>
      <c r="E1425" s="439"/>
      <c r="F1425" s="439"/>
      <c r="G1425" s="439"/>
      <c r="H1425" s="439"/>
      <c r="I1425" s="439"/>
      <c r="J1425" s="439"/>
      <c r="K1425" s="439"/>
      <c r="L1425" s="439"/>
      <c r="M1425" s="439"/>
      <c r="N1425" s="439"/>
      <c r="O1425" s="439"/>
      <c r="P1425" s="439"/>
      <c r="Q1425" s="439"/>
      <c r="R1425" s="439"/>
      <c r="S1425" s="439"/>
      <c r="T1425" s="264"/>
      <c r="U1425" s="439"/>
      <c r="V1425" s="16"/>
      <c r="W1425" s="119"/>
      <c r="X1425" s="119"/>
      <c r="Y1425" s="119"/>
      <c r="Z1425" s="119"/>
      <c r="AA1425" s="119"/>
      <c r="AB1425" s="119"/>
      <c r="AC1425" s="119"/>
      <c r="AD1425" s="119"/>
      <c r="AE1425" s="119"/>
      <c r="AF1425" s="119"/>
      <c r="AG1425" s="119"/>
      <c r="AH1425" s="16"/>
      <c r="AI1425" s="439"/>
      <c r="AJ1425" s="439"/>
      <c r="AK1425" s="439"/>
    </row>
    <row r="1426" ht="18.75" customHeight="1">
      <c r="A1426" s="439"/>
      <c r="B1426" s="439"/>
      <c r="C1426" s="439"/>
      <c r="D1426" s="439"/>
      <c r="E1426" s="439"/>
      <c r="F1426" s="439"/>
      <c r="G1426" s="439"/>
      <c r="H1426" s="439"/>
      <c r="I1426" s="439"/>
      <c r="J1426" s="439"/>
      <c r="K1426" s="439"/>
      <c r="L1426" s="439"/>
      <c r="M1426" s="439"/>
      <c r="N1426" s="439"/>
      <c r="O1426" s="439"/>
      <c r="P1426" s="439"/>
      <c r="Q1426" s="439"/>
      <c r="R1426" s="439"/>
      <c r="S1426" s="439"/>
      <c r="T1426" s="264"/>
      <c r="U1426" s="439"/>
      <c r="V1426" s="16"/>
      <c r="W1426" s="119"/>
      <c r="X1426" s="119"/>
      <c r="Y1426" s="119"/>
      <c r="Z1426" s="119"/>
      <c r="AA1426" s="119"/>
      <c r="AB1426" s="119"/>
      <c r="AC1426" s="119"/>
      <c r="AD1426" s="119"/>
      <c r="AE1426" s="119"/>
      <c r="AF1426" s="119"/>
      <c r="AG1426" s="119"/>
      <c r="AH1426" s="16"/>
      <c r="AI1426" s="439"/>
      <c r="AJ1426" s="439"/>
      <c r="AK1426" s="439"/>
    </row>
    <row r="1427" ht="18.75" customHeight="1">
      <c r="A1427" s="439"/>
      <c r="B1427" s="439"/>
      <c r="C1427" s="439"/>
      <c r="D1427" s="439"/>
      <c r="E1427" s="439"/>
      <c r="F1427" s="439"/>
      <c r="G1427" s="439"/>
      <c r="H1427" s="439"/>
      <c r="I1427" s="439"/>
      <c r="J1427" s="439"/>
      <c r="K1427" s="439"/>
      <c r="L1427" s="439"/>
      <c r="M1427" s="439"/>
      <c r="N1427" s="439"/>
      <c r="O1427" s="439"/>
      <c r="P1427" s="439"/>
      <c r="Q1427" s="439"/>
      <c r="R1427" s="439"/>
      <c r="S1427" s="439"/>
      <c r="T1427" s="264"/>
      <c r="U1427" s="439"/>
      <c r="V1427" s="16"/>
      <c r="W1427" s="119"/>
      <c r="X1427" s="119"/>
      <c r="Y1427" s="119"/>
      <c r="Z1427" s="119"/>
      <c r="AA1427" s="119"/>
      <c r="AB1427" s="119"/>
      <c r="AC1427" s="119"/>
      <c r="AD1427" s="119"/>
      <c r="AE1427" s="119"/>
      <c r="AF1427" s="119"/>
      <c r="AG1427" s="119"/>
      <c r="AH1427" s="16"/>
      <c r="AI1427" s="439"/>
      <c r="AJ1427" s="439"/>
      <c r="AK1427" s="439"/>
    </row>
    <row r="1428" ht="18.75" customHeight="1">
      <c r="A1428" s="439"/>
      <c r="B1428" s="439"/>
      <c r="C1428" s="439"/>
      <c r="D1428" s="439"/>
      <c r="E1428" s="439"/>
      <c r="F1428" s="439"/>
      <c r="G1428" s="439"/>
      <c r="H1428" s="439"/>
      <c r="I1428" s="439"/>
      <c r="J1428" s="439"/>
      <c r="K1428" s="439"/>
      <c r="L1428" s="439"/>
      <c r="M1428" s="439"/>
      <c r="N1428" s="439"/>
      <c r="O1428" s="439"/>
      <c r="P1428" s="439"/>
      <c r="Q1428" s="439"/>
      <c r="R1428" s="439"/>
      <c r="S1428" s="439"/>
      <c r="T1428" s="264"/>
      <c r="U1428" s="439"/>
      <c r="V1428" s="16"/>
      <c r="W1428" s="119"/>
      <c r="X1428" s="119"/>
      <c r="Y1428" s="119"/>
      <c r="Z1428" s="119"/>
      <c r="AA1428" s="119"/>
      <c r="AB1428" s="119"/>
      <c r="AC1428" s="119"/>
      <c r="AD1428" s="119"/>
      <c r="AE1428" s="119"/>
      <c r="AF1428" s="119"/>
      <c r="AG1428" s="119"/>
      <c r="AH1428" s="16"/>
      <c r="AI1428" s="439"/>
      <c r="AJ1428" s="439"/>
      <c r="AK1428" s="439"/>
    </row>
    <row r="1429" ht="18.75" customHeight="1">
      <c r="A1429" s="439"/>
      <c r="B1429" s="439"/>
      <c r="C1429" s="439"/>
      <c r="D1429" s="439"/>
      <c r="E1429" s="439"/>
      <c r="F1429" s="439"/>
      <c r="G1429" s="439"/>
      <c r="H1429" s="439"/>
      <c r="I1429" s="439"/>
      <c r="J1429" s="439"/>
      <c r="K1429" s="439"/>
      <c r="L1429" s="439"/>
      <c r="M1429" s="439"/>
      <c r="N1429" s="439"/>
      <c r="O1429" s="439"/>
      <c r="P1429" s="439"/>
      <c r="Q1429" s="439"/>
      <c r="R1429" s="439"/>
      <c r="S1429" s="439"/>
      <c r="T1429" s="264"/>
      <c r="U1429" s="439"/>
      <c r="V1429" s="16"/>
      <c r="W1429" s="119"/>
      <c r="X1429" s="119"/>
      <c r="Y1429" s="119"/>
      <c r="Z1429" s="119"/>
      <c r="AA1429" s="119"/>
      <c r="AB1429" s="119"/>
      <c r="AC1429" s="119"/>
      <c r="AD1429" s="119"/>
      <c r="AE1429" s="119"/>
      <c r="AF1429" s="119"/>
      <c r="AG1429" s="119"/>
      <c r="AH1429" s="16"/>
      <c r="AI1429" s="439"/>
      <c r="AJ1429" s="439"/>
      <c r="AK1429" s="439"/>
    </row>
    <row r="1430" ht="18.75" customHeight="1">
      <c r="A1430" s="439"/>
      <c r="B1430" s="439"/>
      <c r="C1430" s="439"/>
      <c r="D1430" s="439"/>
      <c r="E1430" s="439"/>
      <c r="F1430" s="439"/>
      <c r="G1430" s="439"/>
      <c r="H1430" s="439"/>
      <c r="I1430" s="439"/>
      <c r="J1430" s="439"/>
      <c r="K1430" s="439"/>
      <c r="L1430" s="439"/>
      <c r="M1430" s="439"/>
      <c r="N1430" s="439"/>
      <c r="O1430" s="439"/>
      <c r="P1430" s="439"/>
      <c r="Q1430" s="439"/>
      <c r="R1430" s="439"/>
      <c r="S1430" s="439"/>
      <c r="T1430" s="264"/>
      <c r="U1430" s="439"/>
      <c r="V1430" s="16"/>
      <c r="W1430" s="119"/>
      <c r="X1430" s="119"/>
      <c r="Y1430" s="119"/>
      <c r="Z1430" s="119"/>
      <c r="AA1430" s="119"/>
      <c r="AB1430" s="119"/>
      <c r="AC1430" s="119"/>
      <c r="AD1430" s="119"/>
      <c r="AE1430" s="119"/>
      <c r="AF1430" s="119"/>
      <c r="AG1430" s="119"/>
      <c r="AH1430" s="16"/>
      <c r="AI1430" s="439"/>
      <c r="AJ1430" s="439"/>
      <c r="AK1430" s="439"/>
    </row>
    <row r="1431" ht="18.75" customHeight="1">
      <c r="A1431" s="439"/>
      <c r="B1431" s="439"/>
      <c r="C1431" s="439"/>
      <c r="D1431" s="439"/>
      <c r="E1431" s="439"/>
      <c r="F1431" s="439"/>
      <c r="G1431" s="439"/>
      <c r="H1431" s="439"/>
      <c r="I1431" s="439"/>
      <c r="J1431" s="439"/>
      <c r="K1431" s="439"/>
      <c r="L1431" s="439"/>
      <c r="M1431" s="439"/>
      <c r="N1431" s="439"/>
      <c r="O1431" s="439"/>
      <c r="P1431" s="439"/>
      <c r="Q1431" s="439"/>
      <c r="R1431" s="439"/>
      <c r="S1431" s="439"/>
      <c r="T1431" s="264"/>
      <c r="U1431" s="439"/>
      <c r="V1431" s="16"/>
      <c r="W1431" s="119"/>
      <c r="X1431" s="119"/>
      <c r="Y1431" s="119"/>
      <c r="Z1431" s="119"/>
      <c r="AA1431" s="119"/>
      <c r="AB1431" s="119"/>
      <c r="AC1431" s="119"/>
      <c r="AD1431" s="119"/>
      <c r="AE1431" s="119"/>
      <c r="AF1431" s="119"/>
      <c r="AG1431" s="119"/>
      <c r="AH1431" s="16"/>
      <c r="AI1431" s="439"/>
      <c r="AJ1431" s="439"/>
      <c r="AK1431" s="439"/>
    </row>
    <row r="1432" ht="18.75" customHeight="1">
      <c r="A1432" s="439"/>
      <c r="B1432" s="439"/>
      <c r="C1432" s="439"/>
      <c r="D1432" s="439"/>
      <c r="E1432" s="439"/>
      <c r="F1432" s="439"/>
      <c r="G1432" s="439"/>
      <c r="H1432" s="439"/>
      <c r="I1432" s="439"/>
      <c r="J1432" s="439"/>
      <c r="K1432" s="439"/>
      <c r="L1432" s="439"/>
      <c r="M1432" s="439"/>
      <c r="N1432" s="439"/>
      <c r="O1432" s="439"/>
      <c r="P1432" s="439"/>
      <c r="Q1432" s="439"/>
      <c r="R1432" s="439"/>
      <c r="S1432" s="439"/>
      <c r="T1432" s="264"/>
      <c r="U1432" s="439"/>
      <c r="V1432" s="16"/>
      <c r="W1432" s="119"/>
      <c r="X1432" s="119"/>
      <c r="Y1432" s="119"/>
      <c r="Z1432" s="119"/>
      <c r="AA1432" s="119"/>
      <c r="AB1432" s="119"/>
      <c r="AC1432" s="119"/>
      <c r="AD1432" s="119"/>
      <c r="AE1432" s="119"/>
      <c r="AF1432" s="119"/>
      <c r="AG1432" s="119"/>
      <c r="AH1432" s="16"/>
      <c r="AI1432" s="439"/>
      <c r="AJ1432" s="439"/>
      <c r="AK1432" s="439"/>
    </row>
    <row r="1433" ht="18.75" customHeight="1">
      <c r="A1433" s="439"/>
      <c r="B1433" s="439"/>
      <c r="C1433" s="439"/>
      <c r="D1433" s="439"/>
      <c r="E1433" s="439"/>
      <c r="F1433" s="439"/>
      <c r="G1433" s="439"/>
      <c r="H1433" s="439"/>
      <c r="I1433" s="439"/>
      <c r="J1433" s="439"/>
      <c r="K1433" s="439"/>
      <c r="L1433" s="439"/>
      <c r="M1433" s="439"/>
      <c r="N1433" s="439"/>
      <c r="O1433" s="439"/>
      <c r="P1433" s="439"/>
      <c r="Q1433" s="439"/>
      <c r="R1433" s="439"/>
      <c r="S1433" s="439"/>
      <c r="T1433" s="264"/>
      <c r="U1433" s="439"/>
      <c r="V1433" s="16"/>
      <c r="W1433" s="119"/>
      <c r="X1433" s="119"/>
      <c r="Y1433" s="119"/>
      <c r="Z1433" s="119"/>
      <c r="AA1433" s="119"/>
      <c r="AB1433" s="119"/>
      <c r="AC1433" s="119"/>
      <c r="AD1433" s="119"/>
      <c r="AE1433" s="119"/>
      <c r="AF1433" s="119"/>
      <c r="AG1433" s="119"/>
      <c r="AH1433" s="16"/>
      <c r="AI1433" s="439"/>
      <c r="AJ1433" s="439"/>
      <c r="AK1433" s="439"/>
    </row>
    <row r="1434" ht="18.75" customHeight="1">
      <c r="A1434" s="439"/>
      <c r="B1434" s="439"/>
      <c r="C1434" s="439"/>
      <c r="D1434" s="439"/>
      <c r="E1434" s="439"/>
      <c r="F1434" s="439"/>
      <c r="G1434" s="439"/>
      <c r="H1434" s="439"/>
      <c r="I1434" s="439"/>
      <c r="J1434" s="439"/>
      <c r="K1434" s="439"/>
      <c r="L1434" s="439"/>
      <c r="M1434" s="439"/>
      <c r="N1434" s="439"/>
      <c r="O1434" s="439"/>
      <c r="P1434" s="439"/>
      <c r="Q1434" s="439"/>
      <c r="R1434" s="439"/>
      <c r="S1434" s="439"/>
      <c r="T1434" s="264"/>
      <c r="U1434" s="439"/>
      <c r="V1434" s="16"/>
      <c r="W1434" s="119"/>
      <c r="X1434" s="119"/>
      <c r="Y1434" s="119"/>
      <c r="Z1434" s="119"/>
      <c r="AA1434" s="119"/>
      <c r="AB1434" s="119"/>
      <c r="AC1434" s="119"/>
      <c r="AD1434" s="119"/>
      <c r="AE1434" s="119"/>
      <c r="AF1434" s="119"/>
      <c r="AG1434" s="119"/>
      <c r="AH1434" s="16"/>
      <c r="AI1434" s="439"/>
      <c r="AJ1434" s="439"/>
      <c r="AK1434" s="439"/>
    </row>
    <row r="1435" ht="18.75" customHeight="1">
      <c r="A1435" s="439"/>
      <c r="B1435" s="439"/>
      <c r="C1435" s="439"/>
      <c r="D1435" s="439"/>
      <c r="E1435" s="439"/>
      <c r="F1435" s="439"/>
      <c r="G1435" s="439"/>
      <c r="H1435" s="439"/>
      <c r="I1435" s="439"/>
      <c r="J1435" s="439"/>
      <c r="K1435" s="439"/>
      <c r="L1435" s="439"/>
      <c r="M1435" s="439"/>
      <c r="N1435" s="439"/>
      <c r="O1435" s="439"/>
      <c r="P1435" s="439"/>
      <c r="Q1435" s="439"/>
      <c r="R1435" s="439"/>
      <c r="S1435" s="439"/>
      <c r="T1435" s="264"/>
      <c r="U1435" s="439"/>
      <c r="V1435" s="16"/>
      <c r="W1435" s="119"/>
      <c r="X1435" s="119"/>
      <c r="Y1435" s="119"/>
      <c r="Z1435" s="119"/>
      <c r="AA1435" s="119"/>
      <c r="AB1435" s="119"/>
      <c r="AC1435" s="119"/>
      <c r="AD1435" s="119"/>
      <c r="AE1435" s="119"/>
      <c r="AF1435" s="119"/>
      <c r="AG1435" s="119"/>
      <c r="AH1435" s="16"/>
      <c r="AI1435" s="439"/>
      <c r="AJ1435" s="439"/>
      <c r="AK1435" s="439"/>
    </row>
    <row r="1436" ht="18.75" customHeight="1">
      <c r="A1436" s="439"/>
      <c r="B1436" s="439"/>
      <c r="C1436" s="439"/>
      <c r="D1436" s="439"/>
      <c r="E1436" s="439"/>
      <c r="F1436" s="439"/>
      <c r="G1436" s="439"/>
      <c r="H1436" s="439"/>
      <c r="I1436" s="439"/>
      <c r="J1436" s="439"/>
      <c r="K1436" s="439"/>
      <c r="L1436" s="439"/>
      <c r="M1436" s="439"/>
      <c r="N1436" s="439"/>
      <c r="O1436" s="439"/>
      <c r="P1436" s="439"/>
      <c r="Q1436" s="439"/>
      <c r="R1436" s="439"/>
      <c r="S1436" s="439"/>
      <c r="T1436" s="264"/>
      <c r="U1436" s="439"/>
      <c r="V1436" s="16"/>
      <c r="W1436" s="119"/>
      <c r="X1436" s="119"/>
      <c r="Y1436" s="119"/>
      <c r="Z1436" s="119"/>
      <c r="AA1436" s="119"/>
      <c r="AB1436" s="119"/>
      <c r="AC1436" s="119"/>
      <c r="AD1436" s="119"/>
      <c r="AE1436" s="119"/>
      <c r="AF1436" s="119"/>
      <c r="AG1436" s="119"/>
      <c r="AH1436" s="16"/>
      <c r="AI1436" s="439"/>
      <c r="AJ1436" s="439"/>
      <c r="AK1436" s="439"/>
    </row>
    <row r="1437" ht="18.75" customHeight="1">
      <c r="A1437" s="439"/>
      <c r="B1437" s="439"/>
      <c r="C1437" s="439"/>
      <c r="D1437" s="439"/>
      <c r="E1437" s="439"/>
      <c r="F1437" s="439"/>
      <c r="G1437" s="439"/>
      <c r="H1437" s="439"/>
      <c r="I1437" s="439"/>
      <c r="J1437" s="439"/>
      <c r="K1437" s="439"/>
      <c r="L1437" s="439"/>
      <c r="M1437" s="439"/>
      <c r="N1437" s="439"/>
      <c r="O1437" s="439"/>
      <c r="P1437" s="439"/>
      <c r="Q1437" s="439"/>
      <c r="R1437" s="439"/>
      <c r="S1437" s="439"/>
      <c r="T1437" s="264"/>
      <c r="U1437" s="439"/>
      <c r="V1437" s="16"/>
      <c r="W1437" s="119"/>
      <c r="X1437" s="119"/>
      <c r="Y1437" s="119"/>
      <c r="Z1437" s="119"/>
      <c r="AA1437" s="119"/>
      <c r="AB1437" s="119"/>
      <c r="AC1437" s="119"/>
      <c r="AD1437" s="119"/>
      <c r="AE1437" s="119"/>
      <c r="AF1437" s="119"/>
      <c r="AG1437" s="119"/>
      <c r="AH1437" s="16"/>
      <c r="AI1437" s="439"/>
      <c r="AJ1437" s="439"/>
      <c r="AK1437" s="439"/>
    </row>
    <row r="1438" ht="18.75" customHeight="1">
      <c r="A1438" s="439"/>
      <c r="B1438" s="439"/>
      <c r="C1438" s="439"/>
      <c r="D1438" s="439"/>
      <c r="E1438" s="439"/>
      <c r="F1438" s="439"/>
      <c r="G1438" s="439"/>
      <c r="H1438" s="439"/>
      <c r="I1438" s="439"/>
      <c r="J1438" s="439"/>
      <c r="K1438" s="439"/>
      <c r="L1438" s="439"/>
      <c r="M1438" s="439"/>
      <c r="N1438" s="439"/>
      <c r="O1438" s="439"/>
      <c r="P1438" s="439"/>
      <c r="Q1438" s="439"/>
      <c r="R1438" s="439"/>
      <c r="S1438" s="439"/>
      <c r="T1438" s="264"/>
      <c r="U1438" s="439"/>
      <c r="V1438" s="16"/>
      <c r="W1438" s="119"/>
      <c r="X1438" s="119"/>
      <c r="Y1438" s="119"/>
      <c r="Z1438" s="119"/>
      <c r="AA1438" s="119"/>
      <c r="AB1438" s="119"/>
      <c r="AC1438" s="119"/>
      <c r="AD1438" s="119"/>
      <c r="AE1438" s="119"/>
      <c r="AF1438" s="119"/>
      <c r="AG1438" s="119"/>
      <c r="AH1438" s="16"/>
      <c r="AI1438" s="439"/>
      <c r="AJ1438" s="439"/>
      <c r="AK1438" s="439"/>
    </row>
    <row r="1439" ht="18.75" customHeight="1">
      <c r="A1439" s="439"/>
      <c r="B1439" s="439"/>
      <c r="C1439" s="439"/>
      <c r="D1439" s="439"/>
      <c r="E1439" s="439"/>
      <c r="F1439" s="439"/>
      <c r="G1439" s="439"/>
      <c r="H1439" s="439"/>
      <c r="I1439" s="439"/>
      <c r="J1439" s="439"/>
      <c r="K1439" s="439"/>
      <c r="L1439" s="439"/>
      <c r="M1439" s="439"/>
      <c r="N1439" s="439"/>
      <c r="O1439" s="439"/>
      <c r="P1439" s="439"/>
      <c r="Q1439" s="439"/>
      <c r="R1439" s="439"/>
      <c r="S1439" s="439"/>
      <c r="T1439" s="264"/>
      <c r="U1439" s="439"/>
      <c r="V1439" s="16"/>
      <c r="W1439" s="119"/>
      <c r="X1439" s="119"/>
      <c r="Y1439" s="119"/>
      <c r="Z1439" s="119"/>
      <c r="AA1439" s="119"/>
      <c r="AB1439" s="119"/>
      <c r="AC1439" s="119"/>
      <c r="AD1439" s="119"/>
      <c r="AE1439" s="119"/>
      <c r="AF1439" s="119"/>
      <c r="AG1439" s="119"/>
      <c r="AH1439" s="16"/>
      <c r="AI1439" s="439"/>
      <c r="AJ1439" s="439"/>
      <c r="AK1439" s="439"/>
    </row>
    <row r="1440" ht="18.75" customHeight="1">
      <c r="A1440" s="439"/>
      <c r="B1440" s="439"/>
      <c r="C1440" s="439"/>
      <c r="D1440" s="439"/>
      <c r="E1440" s="439"/>
      <c r="F1440" s="439"/>
      <c r="G1440" s="439"/>
      <c r="H1440" s="439"/>
      <c r="I1440" s="439"/>
      <c r="J1440" s="439"/>
      <c r="K1440" s="439"/>
      <c r="L1440" s="439"/>
      <c r="M1440" s="439"/>
      <c r="N1440" s="439"/>
      <c r="O1440" s="439"/>
      <c r="P1440" s="439"/>
      <c r="Q1440" s="439"/>
      <c r="R1440" s="439"/>
      <c r="S1440" s="439"/>
      <c r="T1440" s="264"/>
      <c r="U1440" s="439"/>
      <c r="V1440" s="16"/>
      <c r="W1440" s="119"/>
      <c r="X1440" s="119"/>
      <c r="Y1440" s="119"/>
      <c r="Z1440" s="119"/>
      <c r="AA1440" s="119"/>
      <c r="AB1440" s="119"/>
      <c r="AC1440" s="119"/>
      <c r="AD1440" s="119"/>
      <c r="AE1440" s="119"/>
      <c r="AF1440" s="119"/>
      <c r="AG1440" s="119"/>
      <c r="AH1440" s="16"/>
      <c r="AI1440" s="439"/>
      <c r="AJ1440" s="439"/>
      <c r="AK1440" s="439"/>
    </row>
    <row r="1441" ht="18.75" customHeight="1">
      <c r="A1441" s="439"/>
      <c r="B1441" s="439"/>
      <c r="C1441" s="439"/>
      <c r="D1441" s="439"/>
      <c r="E1441" s="439"/>
      <c r="F1441" s="439"/>
      <c r="G1441" s="439"/>
      <c r="H1441" s="439"/>
      <c r="I1441" s="439"/>
      <c r="J1441" s="439"/>
      <c r="K1441" s="439"/>
      <c r="L1441" s="439"/>
      <c r="M1441" s="439"/>
      <c r="N1441" s="439"/>
      <c r="O1441" s="439"/>
      <c r="P1441" s="439"/>
      <c r="Q1441" s="439"/>
      <c r="R1441" s="439"/>
      <c r="S1441" s="439"/>
      <c r="T1441" s="264"/>
      <c r="U1441" s="439"/>
      <c r="V1441" s="16"/>
      <c r="W1441" s="119"/>
      <c r="X1441" s="119"/>
      <c r="Y1441" s="119"/>
      <c r="Z1441" s="119"/>
      <c r="AA1441" s="119"/>
      <c r="AB1441" s="119"/>
      <c r="AC1441" s="119"/>
      <c r="AD1441" s="119"/>
      <c r="AE1441" s="119"/>
      <c r="AF1441" s="119"/>
      <c r="AG1441" s="119"/>
      <c r="AH1441" s="16"/>
      <c r="AI1441" s="439"/>
      <c r="AJ1441" s="439"/>
      <c r="AK1441" s="439"/>
    </row>
    <row r="1442" ht="18.75" customHeight="1">
      <c r="A1442" s="439"/>
      <c r="B1442" s="439"/>
      <c r="C1442" s="439"/>
      <c r="D1442" s="439"/>
      <c r="E1442" s="439"/>
      <c r="F1442" s="439"/>
      <c r="G1442" s="439"/>
      <c r="H1442" s="439"/>
      <c r="I1442" s="439"/>
      <c r="J1442" s="439"/>
      <c r="K1442" s="439"/>
      <c r="L1442" s="439"/>
      <c r="M1442" s="439"/>
      <c r="N1442" s="439"/>
      <c r="O1442" s="439"/>
      <c r="P1442" s="439"/>
      <c r="Q1442" s="439"/>
      <c r="R1442" s="439"/>
      <c r="S1442" s="439"/>
      <c r="T1442" s="264"/>
      <c r="U1442" s="439"/>
      <c r="V1442" s="16"/>
      <c r="W1442" s="119"/>
      <c r="X1442" s="119"/>
      <c r="Y1442" s="119"/>
      <c r="Z1442" s="119"/>
      <c r="AA1442" s="119"/>
      <c r="AB1442" s="119"/>
      <c r="AC1442" s="119"/>
      <c r="AD1442" s="119"/>
      <c r="AE1442" s="119"/>
      <c r="AF1442" s="119"/>
      <c r="AG1442" s="119"/>
      <c r="AH1442" s="16"/>
      <c r="AI1442" s="439"/>
      <c r="AJ1442" s="439"/>
      <c r="AK1442" s="439"/>
    </row>
    <row r="1443" ht="18.75" customHeight="1">
      <c r="A1443" s="439"/>
      <c r="B1443" s="439"/>
      <c r="C1443" s="439"/>
      <c r="D1443" s="439"/>
      <c r="E1443" s="439"/>
      <c r="F1443" s="439"/>
      <c r="G1443" s="439"/>
      <c r="H1443" s="439"/>
      <c r="I1443" s="439"/>
      <c r="J1443" s="439"/>
      <c r="K1443" s="439"/>
      <c r="L1443" s="439"/>
      <c r="M1443" s="439"/>
      <c r="N1443" s="439"/>
      <c r="O1443" s="439"/>
      <c r="P1443" s="439"/>
      <c r="Q1443" s="439"/>
      <c r="R1443" s="439"/>
      <c r="S1443" s="439"/>
      <c r="T1443" s="264"/>
      <c r="U1443" s="439"/>
      <c r="V1443" s="16"/>
      <c r="W1443" s="119"/>
      <c r="X1443" s="119"/>
      <c r="Y1443" s="119"/>
      <c r="Z1443" s="119"/>
      <c r="AA1443" s="119"/>
      <c r="AB1443" s="119"/>
      <c r="AC1443" s="119"/>
      <c r="AD1443" s="119"/>
      <c r="AE1443" s="119"/>
      <c r="AF1443" s="119"/>
      <c r="AG1443" s="119"/>
      <c r="AH1443" s="16"/>
      <c r="AI1443" s="439"/>
      <c r="AJ1443" s="439"/>
      <c r="AK1443" s="439"/>
    </row>
    <row r="1444" ht="18.75" customHeight="1">
      <c r="A1444" s="439"/>
      <c r="B1444" s="439"/>
      <c r="C1444" s="439"/>
      <c r="D1444" s="439"/>
      <c r="E1444" s="439"/>
      <c r="F1444" s="439"/>
      <c r="G1444" s="439"/>
      <c r="H1444" s="439"/>
      <c r="I1444" s="439"/>
      <c r="J1444" s="439"/>
      <c r="K1444" s="439"/>
      <c r="L1444" s="439"/>
      <c r="M1444" s="439"/>
      <c r="N1444" s="439"/>
      <c r="O1444" s="439"/>
      <c r="P1444" s="439"/>
      <c r="Q1444" s="439"/>
      <c r="R1444" s="439"/>
      <c r="S1444" s="439"/>
      <c r="T1444" s="264"/>
      <c r="U1444" s="439"/>
      <c r="V1444" s="16"/>
      <c r="W1444" s="119"/>
      <c r="X1444" s="119"/>
      <c r="Y1444" s="119"/>
      <c r="Z1444" s="119"/>
      <c r="AA1444" s="119"/>
      <c r="AB1444" s="119"/>
      <c r="AC1444" s="119"/>
      <c r="AD1444" s="119"/>
      <c r="AE1444" s="119"/>
      <c r="AF1444" s="119"/>
      <c r="AG1444" s="119"/>
      <c r="AH1444" s="16"/>
      <c r="AI1444" s="439"/>
      <c r="AJ1444" s="439"/>
      <c r="AK1444" s="439"/>
    </row>
    <row r="1445" ht="18.75" customHeight="1">
      <c r="A1445" s="439"/>
      <c r="B1445" s="439"/>
      <c r="C1445" s="439"/>
      <c r="D1445" s="439"/>
      <c r="E1445" s="439"/>
      <c r="F1445" s="439"/>
      <c r="G1445" s="439"/>
      <c r="H1445" s="439"/>
      <c r="I1445" s="439"/>
      <c r="J1445" s="439"/>
      <c r="K1445" s="439"/>
      <c r="L1445" s="439"/>
      <c r="M1445" s="439"/>
      <c r="N1445" s="439"/>
      <c r="O1445" s="439"/>
      <c r="P1445" s="439"/>
      <c r="Q1445" s="439"/>
      <c r="R1445" s="439"/>
      <c r="S1445" s="439"/>
      <c r="T1445" s="264"/>
      <c r="U1445" s="439"/>
      <c r="V1445" s="16"/>
      <c r="W1445" s="119"/>
      <c r="X1445" s="119"/>
      <c r="Y1445" s="119"/>
      <c r="Z1445" s="119"/>
      <c r="AA1445" s="119"/>
      <c r="AB1445" s="119"/>
      <c r="AC1445" s="119"/>
      <c r="AD1445" s="119"/>
      <c r="AE1445" s="119"/>
      <c r="AF1445" s="119"/>
      <c r="AG1445" s="119"/>
      <c r="AH1445" s="16"/>
      <c r="AI1445" s="439"/>
      <c r="AJ1445" s="439"/>
      <c r="AK1445" s="439"/>
    </row>
    <row r="1446" ht="18.75" customHeight="1">
      <c r="A1446" s="439"/>
      <c r="B1446" s="439"/>
      <c r="C1446" s="439"/>
      <c r="D1446" s="439"/>
      <c r="E1446" s="439"/>
      <c r="F1446" s="439"/>
      <c r="G1446" s="439"/>
      <c r="H1446" s="439"/>
      <c r="I1446" s="439"/>
      <c r="J1446" s="439"/>
      <c r="K1446" s="439"/>
      <c r="L1446" s="439"/>
      <c r="M1446" s="439"/>
      <c r="N1446" s="439"/>
      <c r="O1446" s="439"/>
      <c r="P1446" s="439"/>
      <c r="Q1446" s="439"/>
      <c r="R1446" s="439"/>
      <c r="S1446" s="439"/>
      <c r="T1446" s="264"/>
      <c r="U1446" s="439"/>
      <c r="V1446" s="16"/>
      <c r="W1446" s="119"/>
      <c r="X1446" s="119"/>
      <c r="Y1446" s="119"/>
      <c r="Z1446" s="119"/>
      <c r="AA1446" s="119"/>
      <c r="AB1446" s="119"/>
      <c r="AC1446" s="119"/>
      <c r="AD1446" s="119"/>
      <c r="AE1446" s="119"/>
      <c r="AF1446" s="119"/>
      <c r="AG1446" s="119"/>
      <c r="AH1446" s="16"/>
      <c r="AI1446" s="439"/>
      <c r="AJ1446" s="439"/>
      <c r="AK1446" s="439"/>
    </row>
    <row r="1447" ht="18.75" customHeight="1">
      <c r="A1447" s="439"/>
      <c r="B1447" s="439"/>
      <c r="C1447" s="439"/>
      <c r="D1447" s="439"/>
      <c r="E1447" s="439"/>
      <c r="F1447" s="439"/>
      <c r="G1447" s="439"/>
      <c r="H1447" s="439"/>
      <c r="I1447" s="439"/>
      <c r="J1447" s="439"/>
      <c r="K1447" s="439"/>
      <c r="L1447" s="439"/>
      <c r="M1447" s="439"/>
      <c r="N1447" s="439"/>
      <c r="O1447" s="439"/>
      <c r="P1447" s="439"/>
      <c r="Q1447" s="439"/>
      <c r="R1447" s="439"/>
      <c r="S1447" s="439"/>
      <c r="T1447" s="264"/>
      <c r="U1447" s="439"/>
      <c r="V1447" s="16"/>
      <c r="W1447" s="119"/>
      <c r="X1447" s="119"/>
      <c r="Y1447" s="119"/>
      <c r="Z1447" s="119"/>
      <c r="AA1447" s="119"/>
      <c r="AB1447" s="119"/>
      <c r="AC1447" s="119"/>
      <c r="AD1447" s="119"/>
      <c r="AE1447" s="119"/>
      <c r="AF1447" s="119"/>
      <c r="AG1447" s="119"/>
      <c r="AH1447" s="16"/>
      <c r="AI1447" s="439"/>
      <c r="AJ1447" s="439"/>
      <c r="AK1447" s="439"/>
    </row>
    <row r="1448" ht="18.75" customHeight="1">
      <c r="A1448" s="439"/>
      <c r="B1448" s="439"/>
      <c r="C1448" s="439"/>
      <c r="D1448" s="439"/>
      <c r="E1448" s="439"/>
      <c r="F1448" s="439"/>
      <c r="G1448" s="439"/>
      <c r="H1448" s="439"/>
      <c r="I1448" s="439"/>
      <c r="J1448" s="439"/>
      <c r="K1448" s="439"/>
      <c r="L1448" s="439"/>
      <c r="M1448" s="439"/>
      <c r="N1448" s="439"/>
      <c r="O1448" s="439"/>
      <c r="P1448" s="439"/>
      <c r="Q1448" s="439"/>
      <c r="R1448" s="439"/>
      <c r="S1448" s="439"/>
      <c r="T1448" s="264"/>
      <c r="U1448" s="439"/>
      <c r="V1448" s="16"/>
      <c r="W1448" s="119"/>
      <c r="X1448" s="119"/>
      <c r="Y1448" s="119"/>
      <c r="Z1448" s="119"/>
      <c r="AA1448" s="119"/>
      <c r="AB1448" s="119"/>
      <c r="AC1448" s="119"/>
      <c r="AD1448" s="119"/>
      <c r="AE1448" s="119"/>
      <c r="AF1448" s="119"/>
      <c r="AG1448" s="119"/>
      <c r="AH1448" s="16"/>
      <c r="AI1448" s="439"/>
      <c r="AJ1448" s="439"/>
      <c r="AK1448" s="439"/>
    </row>
    <row r="1449" ht="18.75" customHeight="1">
      <c r="A1449" s="439"/>
      <c r="B1449" s="439"/>
      <c r="C1449" s="439"/>
      <c r="D1449" s="439"/>
      <c r="E1449" s="439"/>
      <c r="F1449" s="439"/>
      <c r="G1449" s="439"/>
      <c r="H1449" s="439"/>
      <c r="I1449" s="439"/>
      <c r="J1449" s="439"/>
      <c r="K1449" s="439"/>
      <c r="L1449" s="439"/>
      <c r="M1449" s="439"/>
      <c r="N1449" s="439"/>
      <c r="O1449" s="439"/>
      <c r="P1449" s="439"/>
      <c r="Q1449" s="439"/>
      <c r="R1449" s="439"/>
      <c r="S1449" s="439"/>
      <c r="T1449" s="264"/>
      <c r="U1449" s="439"/>
      <c r="V1449" s="16"/>
      <c r="W1449" s="119"/>
      <c r="X1449" s="119"/>
      <c r="Y1449" s="119"/>
      <c r="Z1449" s="119"/>
      <c r="AA1449" s="119"/>
      <c r="AB1449" s="119"/>
      <c r="AC1449" s="119"/>
      <c r="AD1449" s="119"/>
      <c r="AE1449" s="119"/>
      <c r="AF1449" s="119"/>
      <c r="AG1449" s="119"/>
      <c r="AH1449" s="16"/>
      <c r="AI1449" s="439"/>
      <c r="AJ1449" s="439"/>
      <c r="AK1449" s="439"/>
    </row>
    <row r="1450" ht="18.75" customHeight="1">
      <c r="A1450" s="439"/>
      <c r="B1450" s="439"/>
      <c r="C1450" s="439"/>
      <c r="D1450" s="439"/>
      <c r="E1450" s="439"/>
      <c r="F1450" s="439"/>
      <c r="G1450" s="439"/>
      <c r="H1450" s="439"/>
      <c r="I1450" s="439"/>
      <c r="J1450" s="439"/>
      <c r="K1450" s="439"/>
      <c r="L1450" s="439"/>
      <c r="M1450" s="439"/>
      <c r="N1450" s="439"/>
      <c r="O1450" s="439"/>
      <c r="P1450" s="439"/>
      <c r="Q1450" s="439"/>
      <c r="R1450" s="439"/>
      <c r="S1450" s="439"/>
      <c r="T1450" s="264"/>
      <c r="U1450" s="439"/>
      <c r="V1450" s="16"/>
      <c r="W1450" s="119"/>
      <c r="X1450" s="119"/>
      <c r="Y1450" s="119"/>
      <c r="Z1450" s="119"/>
      <c r="AA1450" s="119"/>
      <c r="AB1450" s="119"/>
      <c r="AC1450" s="119"/>
      <c r="AD1450" s="119"/>
      <c r="AE1450" s="119"/>
      <c r="AF1450" s="119"/>
      <c r="AG1450" s="119"/>
      <c r="AH1450" s="16"/>
      <c r="AI1450" s="439"/>
      <c r="AJ1450" s="439"/>
      <c r="AK1450" s="439"/>
    </row>
    <row r="1451" ht="18.75" customHeight="1">
      <c r="A1451" s="439"/>
      <c r="B1451" s="439"/>
      <c r="C1451" s="439"/>
      <c r="D1451" s="439"/>
      <c r="E1451" s="439"/>
      <c r="F1451" s="439"/>
      <c r="G1451" s="439"/>
      <c r="H1451" s="439"/>
      <c r="I1451" s="439"/>
      <c r="J1451" s="439"/>
      <c r="K1451" s="439"/>
      <c r="L1451" s="439"/>
      <c r="M1451" s="439"/>
      <c r="N1451" s="439"/>
      <c r="O1451" s="439"/>
      <c r="P1451" s="439"/>
      <c r="Q1451" s="439"/>
      <c r="R1451" s="439"/>
      <c r="S1451" s="439"/>
      <c r="T1451" s="264"/>
      <c r="U1451" s="439"/>
      <c r="V1451" s="16"/>
      <c r="W1451" s="119"/>
      <c r="X1451" s="119"/>
      <c r="Y1451" s="119"/>
      <c r="Z1451" s="119"/>
      <c r="AA1451" s="119"/>
      <c r="AB1451" s="119"/>
      <c r="AC1451" s="119"/>
      <c r="AD1451" s="119"/>
      <c r="AE1451" s="119"/>
      <c r="AF1451" s="119"/>
      <c r="AG1451" s="119"/>
      <c r="AH1451" s="16"/>
      <c r="AI1451" s="439"/>
      <c r="AJ1451" s="439"/>
      <c r="AK1451" s="439"/>
    </row>
    <row r="1452" ht="18.75" customHeight="1">
      <c r="A1452" s="439"/>
      <c r="B1452" s="439"/>
      <c r="C1452" s="439"/>
      <c r="D1452" s="439"/>
      <c r="E1452" s="439"/>
      <c r="F1452" s="439"/>
      <c r="G1452" s="439"/>
      <c r="H1452" s="439"/>
      <c r="I1452" s="439"/>
      <c r="J1452" s="439"/>
      <c r="K1452" s="439"/>
      <c r="L1452" s="439"/>
      <c r="M1452" s="439"/>
      <c r="N1452" s="439"/>
      <c r="O1452" s="439"/>
      <c r="P1452" s="439"/>
      <c r="Q1452" s="439"/>
      <c r="R1452" s="439"/>
      <c r="S1452" s="439"/>
      <c r="T1452" s="264"/>
      <c r="U1452" s="439"/>
      <c r="V1452" s="16"/>
      <c r="W1452" s="119"/>
      <c r="X1452" s="119"/>
      <c r="Y1452" s="119"/>
      <c r="Z1452" s="119"/>
      <c r="AA1452" s="119"/>
      <c r="AB1452" s="119"/>
      <c r="AC1452" s="119"/>
      <c r="AD1452" s="119"/>
      <c r="AE1452" s="119"/>
      <c r="AF1452" s="119"/>
      <c r="AG1452" s="119"/>
      <c r="AH1452" s="16"/>
      <c r="AI1452" s="439"/>
      <c r="AJ1452" s="439"/>
      <c r="AK1452" s="439"/>
    </row>
    <row r="1453" ht="18.75" customHeight="1">
      <c r="A1453" s="439"/>
      <c r="B1453" s="439"/>
      <c r="C1453" s="439"/>
      <c r="D1453" s="439"/>
      <c r="E1453" s="439"/>
      <c r="F1453" s="439"/>
      <c r="G1453" s="439"/>
      <c r="H1453" s="439"/>
      <c r="I1453" s="439"/>
      <c r="J1453" s="439"/>
      <c r="K1453" s="439"/>
      <c r="L1453" s="439"/>
      <c r="M1453" s="439"/>
      <c r="N1453" s="439"/>
      <c r="O1453" s="439"/>
      <c r="P1453" s="439"/>
      <c r="Q1453" s="439"/>
      <c r="R1453" s="439"/>
      <c r="S1453" s="439"/>
      <c r="T1453" s="264"/>
      <c r="U1453" s="439"/>
      <c r="V1453" s="16"/>
      <c r="W1453" s="119"/>
      <c r="X1453" s="119"/>
      <c r="Y1453" s="119"/>
      <c r="Z1453" s="119"/>
      <c r="AA1453" s="119"/>
      <c r="AB1453" s="119"/>
      <c r="AC1453" s="119"/>
      <c r="AD1453" s="119"/>
      <c r="AE1453" s="119"/>
      <c r="AF1453" s="119"/>
      <c r="AG1453" s="119"/>
      <c r="AH1453" s="16"/>
      <c r="AI1453" s="439"/>
      <c r="AJ1453" s="439"/>
      <c r="AK1453" s="439"/>
    </row>
    <row r="1454" ht="18.75" customHeight="1">
      <c r="A1454" s="439"/>
      <c r="B1454" s="439"/>
      <c r="C1454" s="439"/>
      <c r="D1454" s="439"/>
      <c r="E1454" s="439"/>
      <c r="F1454" s="439"/>
      <c r="G1454" s="439"/>
      <c r="H1454" s="439"/>
      <c r="I1454" s="439"/>
      <c r="J1454" s="439"/>
      <c r="K1454" s="439"/>
      <c r="L1454" s="439"/>
      <c r="M1454" s="439"/>
      <c r="N1454" s="439"/>
      <c r="O1454" s="439"/>
      <c r="P1454" s="439"/>
      <c r="Q1454" s="439"/>
      <c r="R1454" s="439"/>
      <c r="S1454" s="439"/>
      <c r="T1454" s="264"/>
      <c r="U1454" s="439"/>
      <c r="V1454" s="16"/>
      <c r="W1454" s="119"/>
      <c r="X1454" s="119"/>
      <c r="Y1454" s="119"/>
      <c r="Z1454" s="119"/>
      <c r="AA1454" s="119"/>
      <c r="AB1454" s="119"/>
      <c r="AC1454" s="119"/>
      <c r="AD1454" s="119"/>
      <c r="AE1454" s="119"/>
      <c r="AF1454" s="119"/>
      <c r="AG1454" s="119"/>
      <c r="AH1454" s="16"/>
      <c r="AI1454" s="439"/>
      <c r="AJ1454" s="439"/>
      <c r="AK1454" s="439"/>
    </row>
    <row r="1455" ht="18.75" customHeight="1">
      <c r="A1455" s="439"/>
      <c r="B1455" s="439"/>
      <c r="C1455" s="439"/>
      <c r="D1455" s="439"/>
      <c r="E1455" s="439"/>
      <c r="F1455" s="439"/>
      <c r="G1455" s="439"/>
      <c r="H1455" s="439"/>
      <c r="I1455" s="439"/>
      <c r="J1455" s="439"/>
      <c r="K1455" s="439"/>
      <c r="L1455" s="439"/>
      <c r="M1455" s="439"/>
      <c r="N1455" s="439"/>
      <c r="O1455" s="439"/>
      <c r="P1455" s="439"/>
      <c r="Q1455" s="439"/>
      <c r="R1455" s="439"/>
      <c r="S1455" s="439"/>
      <c r="T1455" s="264"/>
      <c r="U1455" s="439"/>
      <c r="V1455" s="16"/>
      <c r="W1455" s="119"/>
      <c r="X1455" s="119"/>
      <c r="Y1455" s="119"/>
      <c r="Z1455" s="119"/>
      <c r="AA1455" s="119"/>
      <c r="AB1455" s="119"/>
      <c r="AC1455" s="119"/>
      <c r="AD1455" s="119"/>
      <c r="AE1455" s="119"/>
      <c r="AF1455" s="119"/>
      <c r="AG1455" s="119"/>
      <c r="AH1455" s="16"/>
      <c r="AI1455" s="439"/>
      <c r="AJ1455" s="439"/>
      <c r="AK1455" s="439"/>
    </row>
    <row r="1456" ht="18.75" customHeight="1">
      <c r="A1456" s="439"/>
      <c r="B1456" s="439"/>
      <c r="C1456" s="439"/>
      <c r="D1456" s="439"/>
      <c r="E1456" s="439"/>
      <c r="F1456" s="439"/>
      <c r="G1456" s="439"/>
      <c r="H1456" s="439"/>
      <c r="I1456" s="439"/>
      <c r="J1456" s="439"/>
      <c r="K1456" s="439"/>
      <c r="L1456" s="439"/>
      <c r="M1456" s="439"/>
      <c r="N1456" s="439"/>
      <c r="O1456" s="439"/>
      <c r="P1456" s="439"/>
      <c r="Q1456" s="439"/>
      <c r="R1456" s="439"/>
      <c r="S1456" s="439"/>
      <c r="T1456" s="264"/>
      <c r="U1456" s="439"/>
      <c r="V1456" s="16"/>
      <c r="W1456" s="119"/>
      <c r="X1456" s="119"/>
      <c r="Y1456" s="119"/>
      <c r="Z1456" s="119"/>
      <c r="AA1456" s="119"/>
      <c r="AB1456" s="119"/>
      <c r="AC1456" s="119"/>
      <c r="AD1456" s="119"/>
      <c r="AE1456" s="119"/>
      <c r="AF1456" s="119"/>
      <c r="AG1456" s="119"/>
      <c r="AH1456" s="16"/>
      <c r="AI1456" s="439"/>
      <c r="AJ1456" s="439"/>
      <c r="AK1456" s="439"/>
    </row>
    <row r="1457" ht="18.75" customHeight="1">
      <c r="A1457" s="439"/>
      <c r="B1457" s="439"/>
      <c r="C1457" s="439"/>
      <c r="D1457" s="439"/>
      <c r="E1457" s="439"/>
      <c r="F1457" s="439"/>
      <c r="G1457" s="439"/>
      <c r="H1457" s="439"/>
      <c r="I1457" s="439"/>
      <c r="J1457" s="439"/>
      <c r="K1457" s="439"/>
      <c r="L1457" s="439"/>
      <c r="M1457" s="439"/>
      <c r="N1457" s="439"/>
      <c r="O1457" s="439"/>
      <c r="P1457" s="439"/>
      <c r="Q1457" s="439"/>
      <c r="R1457" s="439"/>
      <c r="S1457" s="439"/>
      <c r="T1457" s="264"/>
      <c r="U1457" s="439"/>
      <c r="V1457" s="16"/>
      <c r="W1457" s="119"/>
      <c r="X1457" s="119"/>
      <c r="Y1457" s="119"/>
      <c r="Z1457" s="119"/>
      <c r="AA1457" s="119"/>
      <c r="AB1457" s="119"/>
      <c r="AC1457" s="119"/>
      <c r="AD1457" s="119"/>
      <c r="AE1457" s="119"/>
      <c r="AF1457" s="119"/>
      <c r="AG1457" s="119"/>
      <c r="AH1457" s="16"/>
      <c r="AI1457" s="439"/>
      <c r="AJ1457" s="439"/>
      <c r="AK1457" s="439"/>
    </row>
    <row r="1458" ht="18.75" customHeight="1">
      <c r="A1458" s="439"/>
      <c r="B1458" s="439"/>
      <c r="C1458" s="439"/>
      <c r="D1458" s="439"/>
      <c r="E1458" s="439"/>
      <c r="F1458" s="439"/>
      <c r="G1458" s="439"/>
      <c r="H1458" s="439"/>
      <c r="I1458" s="439"/>
      <c r="J1458" s="439"/>
      <c r="K1458" s="439"/>
      <c r="L1458" s="439"/>
      <c r="M1458" s="439"/>
      <c r="N1458" s="439"/>
      <c r="O1458" s="439"/>
      <c r="P1458" s="439"/>
      <c r="Q1458" s="439"/>
      <c r="R1458" s="439"/>
      <c r="S1458" s="439"/>
      <c r="T1458" s="264"/>
      <c r="U1458" s="439"/>
      <c r="V1458" s="16"/>
      <c r="W1458" s="119"/>
      <c r="X1458" s="119"/>
      <c r="Y1458" s="119"/>
      <c r="Z1458" s="119"/>
      <c r="AA1458" s="119"/>
      <c r="AB1458" s="119"/>
      <c r="AC1458" s="119"/>
      <c r="AD1458" s="119"/>
      <c r="AE1458" s="119"/>
      <c r="AF1458" s="119"/>
      <c r="AG1458" s="119"/>
      <c r="AH1458" s="16"/>
      <c r="AI1458" s="439"/>
      <c r="AJ1458" s="439"/>
      <c r="AK1458" s="439"/>
    </row>
    <row r="1459" ht="18.75" customHeight="1">
      <c r="A1459" s="439"/>
      <c r="B1459" s="439"/>
      <c r="C1459" s="439"/>
      <c r="D1459" s="439"/>
      <c r="E1459" s="439"/>
      <c r="F1459" s="439"/>
      <c r="G1459" s="439"/>
      <c r="H1459" s="439"/>
      <c r="I1459" s="439"/>
      <c r="J1459" s="439"/>
      <c r="K1459" s="439"/>
      <c r="L1459" s="439"/>
      <c r="M1459" s="439"/>
      <c r="N1459" s="439"/>
      <c r="O1459" s="439"/>
      <c r="P1459" s="439"/>
      <c r="Q1459" s="439"/>
      <c r="R1459" s="439"/>
      <c r="S1459" s="439"/>
      <c r="T1459" s="264"/>
      <c r="U1459" s="439"/>
      <c r="V1459" s="16"/>
      <c r="W1459" s="119"/>
      <c r="X1459" s="119"/>
      <c r="Y1459" s="119"/>
      <c r="Z1459" s="119"/>
      <c r="AA1459" s="119"/>
      <c r="AB1459" s="119"/>
      <c r="AC1459" s="119"/>
      <c r="AD1459" s="119"/>
      <c r="AE1459" s="119"/>
      <c r="AF1459" s="119"/>
      <c r="AG1459" s="119"/>
      <c r="AH1459" s="16"/>
      <c r="AI1459" s="439"/>
      <c r="AJ1459" s="439"/>
      <c r="AK1459" s="439"/>
    </row>
    <row r="1460" ht="18.75" customHeight="1">
      <c r="A1460" s="439"/>
      <c r="B1460" s="439"/>
      <c r="C1460" s="439"/>
      <c r="D1460" s="439"/>
      <c r="E1460" s="439"/>
      <c r="F1460" s="439"/>
      <c r="G1460" s="439"/>
      <c r="H1460" s="439"/>
      <c r="I1460" s="439"/>
      <c r="J1460" s="439"/>
      <c r="K1460" s="439"/>
      <c r="L1460" s="439"/>
      <c r="M1460" s="439"/>
      <c r="N1460" s="439"/>
      <c r="O1460" s="439"/>
      <c r="P1460" s="439"/>
      <c r="Q1460" s="439"/>
      <c r="R1460" s="439"/>
      <c r="S1460" s="439"/>
      <c r="T1460" s="264"/>
      <c r="U1460" s="439"/>
      <c r="V1460" s="16"/>
      <c r="W1460" s="119"/>
      <c r="X1460" s="119"/>
      <c r="Y1460" s="119"/>
      <c r="Z1460" s="119"/>
      <c r="AA1460" s="119"/>
      <c r="AB1460" s="119"/>
      <c r="AC1460" s="119"/>
      <c r="AD1460" s="119"/>
      <c r="AE1460" s="119"/>
      <c r="AF1460" s="119"/>
      <c r="AG1460" s="119"/>
      <c r="AH1460" s="16"/>
      <c r="AI1460" s="439"/>
      <c r="AJ1460" s="439"/>
      <c r="AK1460" s="439"/>
    </row>
    <row r="1461" ht="18.75" customHeight="1">
      <c r="A1461" s="439"/>
      <c r="B1461" s="439"/>
      <c r="C1461" s="439"/>
      <c r="D1461" s="439"/>
      <c r="E1461" s="439"/>
      <c r="F1461" s="439"/>
      <c r="G1461" s="439"/>
      <c r="H1461" s="439"/>
      <c r="I1461" s="439"/>
      <c r="J1461" s="439"/>
      <c r="K1461" s="439"/>
      <c r="L1461" s="439"/>
      <c r="M1461" s="439"/>
      <c r="N1461" s="439"/>
      <c r="O1461" s="439"/>
      <c r="P1461" s="439"/>
      <c r="Q1461" s="439"/>
      <c r="R1461" s="439"/>
      <c r="S1461" s="439"/>
      <c r="T1461" s="264"/>
      <c r="U1461" s="439"/>
      <c r="V1461" s="16"/>
      <c r="W1461" s="119"/>
      <c r="X1461" s="119"/>
      <c r="Y1461" s="119"/>
      <c r="Z1461" s="119"/>
      <c r="AA1461" s="119"/>
      <c r="AB1461" s="119"/>
      <c r="AC1461" s="119"/>
      <c r="AD1461" s="119"/>
      <c r="AE1461" s="119"/>
      <c r="AF1461" s="119"/>
      <c r="AG1461" s="119"/>
      <c r="AH1461" s="16"/>
      <c r="AI1461" s="439"/>
      <c r="AJ1461" s="439"/>
      <c r="AK1461" s="439"/>
    </row>
    <row r="1462" ht="18.75" customHeight="1">
      <c r="A1462" s="439"/>
      <c r="B1462" s="439"/>
      <c r="C1462" s="439"/>
      <c r="D1462" s="439"/>
      <c r="E1462" s="439"/>
      <c r="F1462" s="439"/>
      <c r="G1462" s="439"/>
      <c r="H1462" s="439"/>
      <c r="I1462" s="439"/>
      <c r="J1462" s="439"/>
      <c r="K1462" s="439"/>
      <c r="L1462" s="439"/>
      <c r="M1462" s="439"/>
      <c r="N1462" s="439"/>
      <c r="O1462" s="439"/>
      <c r="P1462" s="439"/>
      <c r="Q1462" s="439"/>
      <c r="R1462" s="439"/>
      <c r="S1462" s="439"/>
      <c r="T1462" s="264"/>
      <c r="U1462" s="439"/>
      <c r="V1462" s="16"/>
      <c r="W1462" s="119"/>
      <c r="X1462" s="119"/>
      <c r="Y1462" s="119"/>
      <c r="Z1462" s="119"/>
      <c r="AA1462" s="119"/>
      <c r="AB1462" s="119"/>
      <c r="AC1462" s="119"/>
      <c r="AD1462" s="119"/>
      <c r="AE1462" s="119"/>
      <c r="AF1462" s="119"/>
      <c r="AG1462" s="119"/>
      <c r="AH1462" s="16"/>
      <c r="AI1462" s="439"/>
      <c r="AJ1462" s="439"/>
      <c r="AK1462" s="439"/>
    </row>
    <row r="1463" ht="18.75" customHeight="1">
      <c r="A1463" s="439"/>
      <c r="B1463" s="439"/>
      <c r="C1463" s="439"/>
      <c r="D1463" s="439"/>
      <c r="E1463" s="439"/>
      <c r="F1463" s="439"/>
      <c r="G1463" s="439"/>
      <c r="H1463" s="439"/>
      <c r="I1463" s="439"/>
      <c r="J1463" s="439"/>
      <c r="K1463" s="439"/>
      <c r="L1463" s="439"/>
      <c r="M1463" s="439"/>
      <c r="N1463" s="439"/>
      <c r="O1463" s="439"/>
      <c r="P1463" s="439"/>
      <c r="Q1463" s="439"/>
      <c r="R1463" s="439"/>
      <c r="S1463" s="439"/>
      <c r="T1463" s="264"/>
      <c r="U1463" s="439"/>
      <c r="V1463" s="16"/>
      <c r="W1463" s="119"/>
      <c r="X1463" s="119"/>
      <c r="Y1463" s="119"/>
      <c r="Z1463" s="119"/>
      <c r="AA1463" s="119"/>
      <c r="AB1463" s="119"/>
      <c r="AC1463" s="119"/>
      <c r="AD1463" s="119"/>
      <c r="AE1463" s="119"/>
      <c r="AF1463" s="119"/>
      <c r="AG1463" s="119"/>
      <c r="AH1463" s="16"/>
      <c r="AI1463" s="439"/>
      <c r="AJ1463" s="439"/>
      <c r="AK1463" s="439"/>
    </row>
    <row r="1464" ht="18.75" customHeight="1">
      <c r="A1464" s="439"/>
      <c r="B1464" s="439"/>
      <c r="C1464" s="439"/>
      <c r="D1464" s="439"/>
      <c r="E1464" s="439"/>
      <c r="F1464" s="439"/>
      <c r="G1464" s="439"/>
      <c r="H1464" s="439"/>
      <c r="I1464" s="439"/>
      <c r="J1464" s="439"/>
      <c r="K1464" s="439"/>
      <c r="L1464" s="439"/>
      <c r="M1464" s="439"/>
      <c r="N1464" s="439"/>
      <c r="O1464" s="439"/>
      <c r="P1464" s="439"/>
      <c r="Q1464" s="439"/>
      <c r="R1464" s="439"/>
      <c r="S1464" s="439"/>
      <c r="T1464" s="264"/>
      <c r="U1464" s="439"/>
      <c r="V1464" s="16"/>
      <c r="W1464" s="119"/>
      <c r="X1464" s="119"/>
      <c r="Y1464" s="119"/>
      <c r="Z1464" s="119"/>
      <c r="AA1464" s="119"/>
      <c r="AB1464" s="119"/>
      <c r="AC1464" s="119"/>
      <c r="AD1464" s="119"/>
      <c r="AE1464" s="119"/>
      <c r="AF1464" s="119"/>
      <c r="AG1464" s="119"/>
      <c r="AH1464" s="16"/>
      <c r="AI1464" s="439"/>
      <c r="AJ1464" s="439"/>
      <c r="AK1464" s="439"/>
    </row>
    <row r="1465" ht="18.75" customHeight="1">
      <c r="A1465" s="439"/>
      <c r="B1465" s="439"/>
      <c r="C1465" s="439"/>
      <c r="D1465" s="439"/>
      <c r="E1465" s="439"/>
      <c r="F1465" s="439"/>
      <c r="G1465" s="439"/>
      <c r="H1465" s="439"/>
      <c r="I1465" s="439"/>
      <c r="J1465" s="439"/>
      <c r="K1465" s="439"/>
      <c r="L1465" s="439"/>
      <c r="M1465" s="439"/>
      <c r="N1465" s="439"/>
      <c r="O1465" s="439"/>
      <c r="P1465" s="439"/>
      <c r="Q1465" s="439"/>
      <c r="R1465" s="439"/>
      <c r="S1465" s="439"/>
      <c r="T1465" s="264"/>
      <c r="U1465" s="439"/>
      <c r="V1465" s="16"/>
      <c r="W1465" s="119"/>
      <c r="X1465" s="119"/>
      <c r="Y1465" s="119"/>
      <c r="Z1465" s="119"/>
      <c r="AA1465" s="119"/>
      <c r="AB1465" s="119"/>
      <c r="AC1465" s="119"/>
      <c r="AD1465" s="119"/>
      <c r="AE1465" s="119"/>
      <c r="AF1465" s="119"/>
      <c r="AG1465" s="119"/>
      <c r="AH1465" s="16"/>
      <c r="AI1465" s="439"/>
      <c r="AJ1465" s="439"/>
      <c r="AK1465" s="439"/>
    </row>
    <row r="1466" ht="18.75" customHeight="1">
      <c r="A1466" s="439"/>
      <c r="B1466" s="439"/>
      <c r="C1466" s="439"/>
      <c r="D1466" s="439"/>
      <c r="E1466" s="439"/>
      <c r="F1466" s="439"/>
      <c r="G1466" s="439"/>
      <c r="H1466" s="439"/>
      <c r="I1466" s="439"/>
      <c r="J1466" s="439"/>
      <c r="K1466" s="439"/>
      <c r="L1466" s="439"/>
      <c r="M1466" s="439"/>
      <c r="N1466" s="439"/>
      <c r="O1466" s="439"/>
      <c r="P1466" s="439"/>
      <c r="Q1466" s="439"/>
      <c r="R1466" s="439"/>
      <c r="S1466" s="439"/>
      <c r="T1466" s="264"/>
      <c r="U1466" s="439"/>
      <c r="V1466" s="16"/>
      <c r="W1466" s="119"/>
      <c r="X1466" s="119"/>
      <c r="Y1466" s="119"/>
      <c r="Z1466" s="119"/>
      <c r="AA1466" s="119"/>
      <c r="AB1466" s="119"/>
      <c r="AC1466" s="119"/>
      <c r="AD1466" s="119"/>
      <c r="AE1466" s="119"/>
      <c r="AF1466" s="119"/>
      <c r="AG1466" s="119"/>
      <c r="AH1466" s="16"/>
      <c r="AI1466" s="439"/>
      <c r="AJ1466" s="439"/>
      <c r="AK1466" s="439"/>
    </row>
    <row r="1467" ht="18.75" customHeight="1">
      <c r="A1467" s="439"/>
      <c r="B1467" s="439"/>
      <c r="C1467" s="439"/>
      <c r="D1467" s="439"/>
      <c r="E1467" s="439"/>
      <c r="F1467" s="439"/>
      <c r="G1467" s="439"/>
      <c r="H1467" s="439"/>
      <c r="I1467" s="439"/>
      <c r="J1467" s="439"/>
      <c r="K1467" s="439"/>
      <c r="L1467" s="439"/>
      <c r="M1467" s="439"/>
      <c r="N1467" s="439"/>
      <c r="O1467" s="439"/>
      <c r="P1467" s="439"/>
      <c r="Q1467" s="439"/>
      <c r="R1467" s="439"/>
      <c r="S1467" s="439"/>
      <c r="T1467" s="264"/>
      <c r="U1467" s="439"/>
      <c r="V1467" s="16"/>
      <c r="W1467" s="119"/>
      <c r="X1467" s="119"/>
      <c r="Y1467" s="119"/>
      <c r="Z1467" s="119"/>
      <c r="AA1467" s="119"/>
      <c r="AB1467" s="119"/>
      <c r="AC1467" s="119"/>
      <c r="AD1467" s="119"/>
      <c r="AE1467" s="119"/>
      <c r="AF1467" s="119"/>
      <c r="AG1467" s="119"/>
      <c r="AH1467" s="16"/>
      <c r="AI1467" s="439"/>
      <c r="AJ1467" s="439"/>
      <c r="AK1467" s="439"/>
    </row>
    <row r="1468" ht="18.75" customHeight="1">
      <c r="A1468" s="439"/>
      <c r="B1468" s="439"/>
      <c r="C1468" s="439"/>
      <c r="D1468" s="439"/>
      <c r="E1468" s="439"/>
      <c r="F1468" s="439"/>
      <c r="G1468" s="439"/>
      <c r="H1468" s="439"/>
      <c r="I1468" s="439"/>
      <c r="J1468" s="439"/>
      <c r="K1468" s="439"/>
      <c r="L1468" s="439"/>
      <c r="M1468" s="439"/>
      <c r="N1468" s="439"/>
      <c r="O1468" s="439"/>
      <c r="P1468" s="439"/>
      <c r="Q1468" s="439"/>
      <c r="R1468" s="439"/>
      <c r="S1468" s="439"/>
      <c r="T1468" s="264"/>
      <c r="U1468" s="439"/>
      <c r="V1468" s="16"/>
      <c r="W1468" s="119"/>
      <c r="X1468" s="119"/>
      <c r="Y1468" s="119"/>
      <c r="Z1468" s="119"/>
      <c r="AA1468" s="119"/>
      <c r="AB1468" s="119"/>
      <c r="AC1468" s="119"/>
      <c r="AD1468" s="119"/>
      <c r="AE1468" s="119"/>
      <c r="AF1468" s="119"/>
      <c r="AG1468" s="119"/>
      <c r="AH1468" s="16"/>
      <c r="AI1468" s="439"/>
      <c r="AJ1468" s="439"/>
      <c r="AK1468" s="439"/>
    </row>
    <row r="1469" ht="18.75" customHeight="1">
      <c r="A1469" s="439"/>
      <c r="B1469" s="439"/>
      <c r="C1469" s="439"/>
      <c r="D1469" s="439"/>
      <c r="E1469" s="439"/>
      <c r="F1469" s="439"/>
      <c r="G1469" s="439"/>
      <c r="H1469" s="439"/>
      <c r="I1469" s="439"/>
      <c r="J1469" s="439"/>
      <c r="K1469" s="439"/>
      <c r="L1469" s="439"/>
      <c r="M1469" s="439"/>
      <c r="N1469" s="439"/>
      <c r="O1469" s="439"/>
      <c r="P1469" s="439"/>
      <c r="Q1469" s="439"/>
      <c r="R1469" s="439"/>
      <c r="S1469" s="439"/>
      <c r="T1469" s="264"/>
      <c r="U1469" s="439"/>
      <c r="V1469" s="16"/>
      <c r="W1469" s="119"/>
      <c r="X1469" s="119"/>
      <c r="Y1469" s="119"/>
      <c r="Z1469" s="119"/>
      <c r="AA1469" s="119"/>
      <c r="AB1469" s="119"/>
      <c r="AC1469" s="119"/>
      <c r="AD1469" s="119"/>
      <c r="AE1469" s="119"/>
      <c r="AF1469" s="119"/>
      <c r="AG1469" s="119"/>
      <c r="AH1469" s="16"/>
      <c r="AI1469" s="439"/>
      <c r="AJ1469" s="439"/>
      <c r="AK1469" s="439"/>
    </row>
    <row r="1470" ht="18.75" customHeight="1">
      <c r="A1470" s="439"/>
      <c r="B1470" s="439"/>
      <c r="C1470" s="439"/>
      <c r="D1470" s="439"/>
      <c r="E1470" s="439"/>
      <c r="F1470" s="439"/>
      <c r="G1470" s="439"/>
      <c r="H1470" s="439"/>
      <c r="I1470" s="439"/>
      <c r="J1470" s="439"/>
      <c r="K1470" s="439"/>
      <c r="L1470" s="439"/>
      <c r="M1470" s="439"/>
      <c r="N1470" s="439"/>
      <c r="O1470" s="439"/>
      <c r="P1470" s="439"/>
      <c r="Q1470" s="439"/>
      <c r="R1470" s="439"/>
      <c r="S1470" s="439"/>
      <c r="T1470" s="264"/>
      <c r="U1470" s="439"/>
      <c r="V1470" s="16"/>
      <c r="W1470" s="119"/>
      <c r="X1470" s="119"/>
      <c r="Y1470" s="119"/>
      <c r="Z1470" s="119"/>
      <c r="AA1470" s="119"/>
      <c r="AB1470" s="119"/>
      <c r="AC1470" s="119"/>
      <c r="AD1470" s="119"/>
      <c r="AE1470" s="119"/>
      <c r="AF1470" s="119"/>
      <c r="AG1470" s="119"/>
      <c r="AH1470" s="16"/>
      <c r="AI1470" s="439"/>
      <c r="AJ1470" s="439"/>
      <c r="AK1470" s="439"/>
    </row>
    <row r="1471" ht="18.75" customHeight="1">
      <c r="A1471" s="439"/>
      <c r="B1471" s="439"/>
      <c r="C1471" s="439"/>
      <c r="D1471" s="439"/>
      <c r="E1471" s="439"/>
      <c r="F1471" s="439"/>
      <c r="G1471" s="439"/>
      <c r="H1471" s="439"/>
      <c r="I1471" s="439"/>
      <c r="J1471" s="439"/>
      <c r="K1471" s="439"/>
      <c r="L1471" s="439"/>
      <c r="M1471" s="439"/>
      <c r="N1471" s="439"/>
      <c r="O1471" s="439"/>
      <c r="P1471" s="439"/>
      <c r="Q1471" s="439"/>
      <c r="R1471" s="439"/>
      <c r="S1471" s="439"/>
      <c r="T1471" s="264"/>
      <c r="U1471" s="439"/>
      <c r="V1471" s="16"/>
      <c r="W1471" s="119"/>
      <c r="X1471" s="119"/>
      <c r="Y1471" s="119"/>
      <c r="Z1471" s="119"/>
      <c r="AA1471" s="119"/>
      <c r="AB1471" s="119"/>
      <c r="AC1471" s="119"/>
      <c r="AD1471" s="119"/>
      <c r="AE1471" s="119"/>
      <c r="AF1471" s="119"/>
      <c r="AG1471" s="119"/>
      <c r="AH1471" s="16"/>
      <c r="AI1471" s="439"/>
      <c r="AJ1471" s="439"/>
      <c r="AK1471" s="439"/>
    </row>
    <row r="1472" ht="18.75" customHeight="1">
      <c r="A1472" s="439"/>
      <c r="B1472" s="439"/>
      <c r="C1472" s="439"/>
      <c r="D1472" s="439"/>
      <c r="E1472" s="439"/>
      <c r="F1472" s="439"/>
      <c r="G1472" s="439"/>
      <c r="H1472" s="439"/>
      <c r="I1472" s="439"/>
      <c r="J1472" s="439"/>
      <c r="K1472" s="439"/>
      <c r="L1472" s="439"/>
      <c r="M1472" s="439"/>
      <c r="N1472" s="439"/>
      <c r="O1472" s="439"/>
      <c r="P1472" s="439"/>
      <c r="Q1472" s="439"/>
      <c r="R1472" s="439"/>
      <c r="S1472" s="439"/>
      <c r="T1472" s="264"/>
      <c r="U1472" s="439"/>
      <c r="V1472" s="16"/>
      <c r="W1472" s="119"/>
      <c r="X1472" s="119"/>
      <c r="Y1472" s="119"/>
      <c r="Z1472" s="119"/>
      <c r="AA1472" s="119"/>
      <c r="AB1472" s="119"/>
      <c r="AC1472" s="119"/>
      <c r="AD1472" s="119"/>
      <c r="AE1472" s="119"/>
      <c r="AF1472" s="119"/>
      <c r="AG1472" s="119"/>
      <c r="AH1472" s="16"/>
      <c r="AI1472" s="439"/>
      <c r="AJ1472" s="439"/>
      <c r="AK1472" s="439"/>
    </row>
    <row r="1473" ht="18.75" customHeight="1">
      <c r="A1473" s="439"/>
      <c r="B1473" s="439"/>
      <c r="C1473" s="439"/>
      <c r="D1473" s="439"/>
      <c r="E1473" s="439"/>
      <c r="F1473" s="439"/>
      <c r="G1473" s="439"/>
      <c r="H1473" s="439"/>
      <c r="I1473" s="439"/>
      <c r="J1473" s="439"/>
      <c r="K1473" s="439"/>
      <c r="L1473" s="439"/>
      <c r="M1473" s="439"/>
      <c r="N1473" s="439"/>
      <c r="O1473" s="439"/>
      <c r="P1473" s="439"/>
      <c r="Q1473" s="439"/>
      <c r="R1473" s="439"/>
      <c r="S1473" s="439"/>
      <c r="T1473" s="264"/>
      <c r="U1473" s="439"/>
      <c r="V1473" s="16"/>
      <c r="W1473" s="119"/>
      <c r="X1473" s="119"/>
      <c r="Y1473" s="119"/>
      <c r="Z1473" s="119"/>
      <c r="AA1473" s="119"/>
      <c r="AB1473" s="119"/>
      <c r="AC1473" s="119"/>
      <c r="AD1473" s="119"/>
      <c r="AE1473" s="119"/>
      <c r="AF1473" s="119"/>
      <c r="AG1473" s="119"/>
      <c r="AH1473" s="16"/>
      <c r="AI1473" s="439"/>
      <c r="AJ1473" s="439"/>
      <c r="AK1473" s="439"/>
    </row>
    <row r="1474" ht="18.75" customHeight="1">
      <c r="A1474" s="439"/>
      <c r="B1474" s="439"/>
      <c r="C1474" s="439"/>
      <c r="D1474" s="439"/>
      <c r="E1474" s="439"/>
      <c r="F1474" s="439"/>
      <c r="G1474" s="439"/>
      <c r="H1474" s="439"/>
      <c r="I1474" s="439"/>
      <c r="J1474" s="439"/>
      <c r="K1474" s="439"/>
      <c r="L1474" s="439"/>
      <c r="M1474" s="439"/>
      <c r="N1474" s="439"/>
      <c r="O1474" s="439"/>
      <c r="P1474" s="439"/>
      <c r="Q1474" s="439"/>
      <c r="R1474" s="439"/>
      <c r="S1474" s="439"/>
      <c r="T1474" s="264"/>
      <c r="U1474" s="439"/>
      <c r="V1474" s="16"/>
      <c r="W1474" s="119"/>
      <c r="X1474" s="119"/>
      <c r="Y1474" s="119"/>
      <c r="Z1474" s="119"/>
      <c r="AA1474" s="119"/>
      <c r="AB1474" s="119"/>
      <c r="AC1474" s="119"/>
      <c r="AD1474" s="119"/>
      <c r="AE1474" s="119"/>
      <c r="AF1474" s="119"/>
      <c r="AG1474" s="119"/>
      <c r="AH1474" s="16"/>
      <c r="AI1474" s="439"/>
      <c r="AJ1474" s="439"/>
      <c r="AK1474" s="439"/>
    </row>
    <row r="1475" ht="18.75" customHeight="1">
      <c r="A1475" s="439"/>
      <c r="B1475" s="439"/>
      <c r="C1475" s="439"/>
      <c r="D1475" s="439"/>
      <c r="E1475" s="439"/>
      <c r="F1475" s="439"/>
      <c r="G1475" s="439"/>
      <c r="H1475" s="439"/>
      <c r="I1475" s="439"/>
      <c r="J1475" s="439"/>
      <c r="K1475" s="439"/>
      <c r="L1475" s="439"/>
      <c r="M1475" s="439"/>
      <c r="N1475" s="439"/>
      <c r="O1475" s="439"/>
      <c r="P1475" s="439"/>
      <c r="Q1475" s="439"/>
      <c r="R1475" s="439"/>
      <c r="S1475" s="439"/>
      <c r="T1475" s="264"/>
      <c r="U1475" s="439"/>
      <c r="V1475" s="16"/>
      <c r="W1475" s="119"/>
      <c r="X1475" s="119"/>
      <c r="Y1475" s="119"/>
      <c r="Z1475" s="119"/>
      <c r="AA1475" s="119"/>
      <c r="AB1475" s="119"/>
      <c r="AC1475" s="119"/>
      <c r="AD1475" s="119"/>
      <c r="AE1475" s="119"/>
      <c r="AF1475" s="119"/>
      <c r="AG1475" s="119"/>
      <c r="AH1475" s="16"/>
      <c r="AI1475" s="439"/>
      <c r="AJ1475" s="439"/>
      <c r="AK1475" s="439"/>
    </row>
    <row r="1476" ht="18.75" customHeight="1">
      <c r="A1476" s="439"/>
      <c r="B1476" s="439"/>
      <c r="C1476" s="439"/>
      <c r="D1476" s="439"/>
      <c r="E1476" s="439"/>
      <c r="F1476" s="439"/>
      <c r="G1476" s="439"/>
      <c r="H1476" s="439"/>
      <c r="I1476" s="439"/>
      <c r="J1476" s="439"/>
      <c r="K1476" s="439"/>
      <c r="L1476" s="439"/>
      <c r="M1476" s="439"/>
      <c r="N1476" s="439"/>
      <c r="O1476" s="439"/>
      <c r="P1476" s="439"/>
      <c r="Q1476" s="439"/>
      <c r="R1476" s="439"/>
      <c r="S1476" s="439"/>
      <c r="T1476" s="264"/>
      <c r="U1476" s="439"/>
      <c r="V1476" s="16"/>
      <c r="W1476" s="119"/>
      <c r="X1476" s="119"/>
      <c r="Y1476" s="119"/>
      <c r="Z1476" s="119"/>
      <c r="AA1476" s="119"/>
      <c r="AB1476" s="119"/>
      <c r="AC1476" s="119"/>
      <c r="AD1476" s="119"/>
      <c r="AE1476" s="119"/>
      <c r="AF1476" s="119"/>
      <c r="AG1476" s="119"/>
      <c r="AH1476" s="16"/>
      <c r="AI1476" s="439"/>
      <c r="AJ1476" s="439"/>
      <c r="AK1476" s="439"/>
    </row>
    <row r="1477" ht="18.75" customHeight="1">
      <c r="A1477" s="439"/>
      <c r="B1477" s="439"/>
      <c r="C1477" s="439"/>
      <c r="D1477" s="439"/>
      <c r="E1477" s="439"/>
      <c r="F1477" s="439"/>
      <c r="G1477" s="439"/>
      <c r="H1477" s="439"/>
      <c r="I1477" s="439"/>
      <c r="J1477" s="439"/>
      <c r="K1477" s="439"/>
      <c r="L1477" s="439"/>
      <c r="M1477" s="439"/>
      <c r="N1477" s="439"/>
      <c r="O1477" s="439"/>
      <c r="P1477" s="439"/>
      <c r="Q1477" s="439"/>
      <c r="R1477" s="439"/>
      <c r="S1477" s="439"/>
      <c r="T1477" s="264"/>
      <c r="U1477" s="439"/>
      <c r="V1477" s="16"/>
      <c r="W1477" s="119"/>
      <c r="X1477" s="119"/>
      <c r="Y1477" s="119"/>
      <c r="Z1477" s="119"/>
      <c r="AA1477" s="119"/>
      <c r="AB1477" s="119"/>
      <c r="AC1477" s="119"/>
      <c r="AD1477" s="119"/>
      <c r="AE1477" s="119"/>
      <c r="AF1477" s="119"/>
      <c r="AG1477" s="119"/>
      <c r="AH1477" s="16"/>
      <c r="AI1477" s="439"/>
      <c r="AJ1477" s="439"/>
      <c r="AK1477" s="439"/>
    </row>
    <row r="1478" ht="18.75" customHeight="1">
      <c r="A1478" s="439"/>
      <c r="B1478" s="439"/>
      <c r="C1478" s="439"/>
      <c r="D1478" s="439"/>
      <c r="E1478" s="439"/>
      <c r="F1478" s="439"/>
      <c r="G1478" s="439"/>
      <c r="H1478" s="439"/>
      <c r="I1478" s="439"/>
      <c r="J1478" s="439"/>
      <c r="K1478" s="439"/>
      <c r="L1478" s="439"/>
      <c r="M1478" s="439"/>
      <c r="N1478" s="439"/>
      <c r="O1478" s="439"/>
      <c r="P1478" s="439"/>
      <c r="Q1478" s="439"/>
      <c r="R1478" s="439"/>
      <c r="S1478" s="439"/>
      <c r="T1478" s="264"/>
      <c r="U1478" s="439"/>
      <c r="V1478" s="16"/>
      <c r="W1478" s="119"/>
      <c r="X1478" s="119"/>
      <c r="Y1478" s="119"/>
      <c r="Z1478" s="119"/>
      <c r="AA1478" s="119"/>
      <c r="AB1478" s="119"/>
      <c r="AC1478" s="119"/>
      <c r="AD1478" s="119"/>
      <c r="AE1478" s="119"/>
      <c r="AF1478" s="119"/>
      <c r="AG1478" s="119"/>
      <c r="AH1478" s="16"/>
      <c r="AI1478" s="439"/>
      <c r="AJ1478" s="439"/>
      <c r="AK1478" s="439"/>
    </row>
    <row r="1479" ht="18.75" customHeight="1">
      <c r="A1479" s="439"/>
      <c r="B1479" s="439"/>
      <c r="C1479" s="439"/>
      <c r="D1479" s="439"/>
      <c r="E1479" s="439"/>
      <c r="F1479" s="439"/>
      <c r="G1479" s="439"/>
      <c r="H1479" s="439"/>
      <c r="I1479" s="439"/>
      <c r="J1479" s="439"/>
      <c r="K1479" s="439"/>
      <c r="L1479" s="439"/>
      <c r="M1479" s="439"/>
      <c r="N1479" s="439"/>
      <c r="O1479" s="439"/>
      <c r="P1479" s="439"/>
      <c r="Q1479" s="439"/>
      <c r="R1479" s="439"/>
      <c r="S1479" s="439"/>
      <c r="T1479" s="264"/>
      <c r="U1479" s="439"/>
      <c r="V1479" s="16"/>
      <c r="W1479" s="119"/>
      <c r="X1479" s="119"/>
      <c r="Y1479" s="119"/>
      <c r="Z1479" s="119"/>
      <c r="AA1479" s="119"/>
      <c r="AB1479" s="119"/>
      <c r="AC1479" s="119"/>
      <c r="AD1479" s="119"/>
      <c r="AE1479" s="119"/>
      <c r="AF1479" s="119"/>
      <c r="AG1479" s="119"/>
      <c r="AH1479" s="16"/>
      <c r="AI1479" s="439"/>
      <c r="AJ1479" s="439"/>
      <c r="AK1479" s="439"/>
    </row>
    <row r="1480" ht="18.75" customHeight="1">
      <c r="A1480" s="439"/>
      <c r="B1480" s="439"/>
      <c r="C1480" s="439"/>
      <c r="D1480" s="439"/>
      <c r="E1480" s="439"/>
      <c r="F1480" s="439"/>
      <c r="G1480" s="439"/>
      <c r="H1480" s="439"/>
      <c r="I1480" s="439"/>
      <c r="J1480" s="439"/>
      <c r="K1480" s="439"/>
      <c r="L1480" s="439"/>
      <c r="M1480" s="439"/>
      <c r="N1480" s="439"/>
      <c r="O1480" s="439"/>
      <c r="P1480" s="439"/>
      <c r="Q1480" s="439"/>
      <c r="R1480" s="439"/>
      <c r="S1480" s="439"/>
      <c r="T1480" s="264"/>
      <c r="U1480" s="439"/>
      <c r="V1480" s="16"/>
      <c r="W1480" s="119"/>
      <c r="X1480" s="119"/>
      <c r="Y1480" s="119"/>
      <c r="Z1480" s="119"/>
      <c r="AA1480" s="119"/>
      <c r="AB1480" s="119"/>
      <c r="AC1480" s="119"/>
      <c r="AD1480" s="119"/>
      <c r="AE1480" s="119"/>
      <c r="AF1480" s="119"/>
      <c r="AG1480" s="119"/>
      <c r="AH1480" s="16"/>
      <c r="AI1480" s="439"/>
      <c r="AJ1480" s="439"/>
      <c r="AK1480" s="439"/>
    </row>
    <row r="1481" ht="18.75" customHeight="1">
      <c r="A1481" s="439"/>
      <c r="B1481" s="439"/>
      <c r="C1481" s="439"/>
      <c r="D1481" s="439"/>
      <c r="E1481" s="439"/>
      <c r="F1481" s="439"/>
      <c r="G1481" s="439"/>
      <c r="H1481" s="439"/>
      <c r="I1481" s="439"/>
      <c r="J1481" s="439"/>
      <c r="K1481" s="439"/>
      <c r="L1481" s="439"/>
      <c r="M1481" s="439"/>
      <c r="N1481" s="439"/>
      <c r="O1481" s="439"/>
      <c r="P1481" s="439"/>
      <c r="Q1481" s="439"/>
      <c r="R1481" s="439"/>
      <c r="S1481" s="439"/>
      <c r="T1481" s="264"/>
      <c r="U1481" s="439"/>
      <c r="V1481" s="16"/>
      <c r="W1481" s="119"/>
      <c r="X1481" s="119"/>
      <c r="Y1481" s="119"/>
      <c r="Z1481" s="119"/>
      <c r="AA1481" s="119"/>
      <c r="AB1481" s="119"/>
      <c r="AC1481" s="119"/>
      <c r="AD1481" s="119"/>
      <c r="AE1481" s="119"/>
      <c r="AF1481" s="119"/>
      <c r="AG1481" s="119"/>
      <c r="AH1481" s="16"/>
      <c r="AI1481" s="439"/>
      <c r="AJ1481" s="439"/>
      <c r="AK1481" s="439"/>
    </row>
    <row r="1482" ht="18.75" customHeight="1">
      <c r="A1482" s="439"/>
      <c r="B1482" s="439"/>
      <c r="C1482" s="439"/>
      <c r="D1482" s="439"/>
      <c r="E1482" s="439"/>
      <c r="F1482" s="439"/>
      <c r="G1482" s="439"/>
      <c r="H1482" s="439"/>
      <c r="I1482" s="439"/>
      <c r="J1482" s="439"/>
      <c r="K1482" s="439"/>
      <c r="L1482" s="439"/>
      <c r="M1482" s="439"/>
      <c r="N1482" s="439"/>
      <c r="O1482" s="439"/>
      <c r="P1482" s="439"/>
      <c r="Q1482" s="439"/>
      <c r="R1482" s="439"/>
      <c r="S1482" s="439"/>
      <c r="T1482" s="264"/>
      <c r="U1482" s="439"/>
      <c r="V1482" s="16"/>
      <c r="W1482" s="119"/>
      <c r="X1482" s="119"/>
      <c r="Y1482" s="119"/>
      <c r="Z1482" s="119"/>
      <c r="AA1482" s="119"/>
      <c r="AB1482" s="119"/>
      <c r="AC1482" s="119"/>
      <c r="AD1482" s="119"/>
      <c r="AE1482" s="119"/>
      <c r="AF1482" s="119"/>
      <c r="AG1482" s="119"/>
      <c r="AH1482" s="16"/>
      <c r="AI1482" s="439"/>
      <c r="AJ1482" s="439"/>
      <c r="AK1482" s="439"/>
    </row>
    <row r="1483" ht="18.75" customHeight="1">
      <c r="A1483" s="439"/>
      <c r="B1483" s="439"/>
      <c r="C1483" s="439"/>
      <c r="D1483" s="439"/>
      <c r="E1483" s="439"/>
      <c r="F1483" s="439"/>
      <c r="G1483" s="439"/>
      <c r="H1483" s="439"/>
      <c r="I1483" s="439"/>
      <c r="J1483" s="439"/>
      <c r="K1483" s="439"/>
      <c r="L1483" s="439"/>
      <c r="M1483" s="439"/>
      <c r="N1483" s="439"/>
      <c r="O1483" s="439"/>
      <c r="P1483" s="439"/>
      <c r="Q1483" s="439"/>
      <c r="R1483" s="439"/>
      <c r="S1483" s="439"/>
      <c r="T1483" s="264"/>
      <c r="U1483" s="439"/>
      <c r="V1483" s="16"/>
      <c r="W1483" s="119"/>
      <c r="X1483" s="119"/>
      <c r="Y1483" s="119"/>
      <c r="Z1483" s="119"/>
      <c r="AA1483" s="119"/>
      <c r="AB1483" s="119"/>
      <c r="AC1483" s="119"/>
      <c r="AD1483" s="119"/>
      <c r="AE1483" s="119"/>
      <c r="AF1483" s="119"/>
      <c r="AG1483" s="119"/>
      <c r="AH1483" s="16"/>
      <c r="AI1483" s="439"/>
      <c r="AJ1483" s="439"/>
      <c r="AK1483" s="439"/>
    </row>
    <row r="1484" ht="18.75" customHeight="1">
      <c r="A1484" s="439"/>
      <c r="B1484" s="439"/>
      <c r="C1484" s="439"/>
      <c r="D1484" s="439"/>
      <c r="E1484" s="439"/>
      <c r="F1484" s="439"/>
      <c r="G1484" s="439"/>
      <c r="H1484" s="439"/>
      <c r="I1484" s="439"/>
      <c r="J1484" s="439"/>
      <c r="K1484" s="439"/>
      <c r="L1484" s="439"/>
      <c r="M1484" s="439"/>
      <c r="N1484" s="439"/>
      <c r="O1484" s="439"/>
      <c r="P1484" s="439"/>
      <c r="Q1484" s="439"/>
      <c r="R1484" s="439"/>
      <c r="S1484" s="439"/>
      <c r="T1484" s="264"/>
      <c r="U1484" s="439"/>
      <c r="V1484" s="16"/>
      <c r="W1484" s="119"/>
      <c r="X1484" s="119"/>
      <c r="Y1484" s="119"/>
      <c r="Z1484" s="119"/>
      <c r="AA1484" s="119"/>
      <c r="AB1484" s="119"/>
      <c r="AC1484" s="119"/>
      <c r="AD1484" s="119"/>
      <c r="AE1484" s="119"/>
      <c r="AF1484" s="119"/>
      <c r="AG1484" s="119"/>
      <c r="AH1484" s="16"/>
      <c r="AI1484" s="439"/>
      <c r="AJ1484" s="439"/>
      <c r="AK1484" s="439"/>
    </row>
    <row r="1485" ht="18.75" customHeight="1">
      <c r="A1485" s="439"/>
      <c r="B1485" s="439"/>
      <c r="C1485" s="439"/>
      <c r="D1485" s="439"/>
      <c r="E1485" s="439"/>
      <c r="F1485" s="439"/>
      <c r="G1485" s="439"/>
      <c r="H1485" s="439"/>
      <c r="I1485" s="439"/>
      <c r="J1485" s="439"/>
      <c r="K1485" s="439"/>
      <c r="L1485" s="439"/>
      <c r="M1485" s="439"/>
      <c r="N1485" s="439"/>
      <c r="O1485" s="439"/>
      <c r="P1485" s="439"/>
      <c r="Q1485" s="439"/>
      <c r="R1485" s="439"/>
      <c r="S1485" s="439"/>
      <c r="T1485" s="264"/>
      <c r="U1485" s="439"/>
      <c r="V1485" s="16"/>
      <c r="W1485" s="119"/>
      <c r="X1485" s="119"/>
      <c r="Y1485" s="119"/>
      <c r="Z1485" s="119"/>
      <c r="AA1485" s="119"/>
      <c r="AB1485" s="119"/>
      <c r="AC1485" s="119"/>
      <c r="AD1485" s="119"/>
      <c r="AE1485" s="119"/>
      <c r="AF1485" s="119"/>
      <c r="AG1485" s="119"/>
      <c r="AH1485" s="16"/>
      <c r="AI1485" s="439"/>
      <c r="AJ1485" s="439"/>
      <c r="AK1485" s="439"/>
    </row>
    <row r="1486" ht="18.75" customHeight="1">
      <c r="A1486" s="439"/>
      <c r="B1486" s="439"/>
      <c r="C1486" s="439"/>
      <c r="D1486" s="439"/>
      <c r="E1486" s="439"/>
      <c r="F1486" s="439"/>
      <c r="G1486" s="439"/>
      <c r="H1486" s="439"/>
      <c r="I1486" s="439"/>
      <c r="J1486" s="439"/>
      <c r="K1486" s="439"/>
      <c r="L1486" s="439"/>
      <c r="M1486" s="439"/>
      <c r="N1486" s="439"/>
      <c r="O1486" s="439"/>
      <c r="P1486" s="439"/>
      <c r="Q1486" s="439"/>
      <c r="R1486" s="439"/>
      <c r="S1486" s="439"/>
      <c r="T1486" s="264"/>
      <c r="U1486" s="439"/>
      <c r="V1486" s="16"/>
      <c r="W1486" s="119"/>
      <c r="X1486" s="119"/>
      <c r="Y1486" s="119"/>
      <c r="Z1486" s="119"/>
      <c r="AA1486" s="119"/>
      <c r="AB1486" s="119"/>
      <c r="AC1486" s="119"/>
      <c r="AD1486" s="119"/>
      <c r="AE1486" s="119"/>
      <c r="AF1486" s="119"/>
      <c r="AG1486" s="119"/>
      <c r="AH1486" s="16"/>
      <c r="AI1486" s="439"/>
      <c r="AJ1486" s="439"/>
      <c r="AK1486" s="439"/>
    </row>
    <row r="1487" ht="18.75" customHeight="1">
      <c r="A1487" s="439"/>
      <c r="B1487" s="439"/>
      <c r="C1487" s="439"/>
      <c r="D1487" s="439"/>
      <c r="E1487" s="439"/>
      <c r="F1487" s="439"/>
      <c r="G1487" s="439"/>
      <c r="H1487" s="439"/>
      <c r="I1487" s="439"/>
      <c r="J1487" s="439"/>
      <c r="K1487" s="439"/>
      <c r="L1487" s="439"/>
      <c r="M1487" s="439"/>
      <c r="N1487" s="439"/>
      <c r="O1487" s="439"/>
      <c r="P1487" s="439"/>
      <c r="Q1487" s="439"/>
      <c r="R1487" s="439"/>
      <c r="S1487" s="439"/>
      <c r="T1487" s="264"/>
      <c r="U1487" s="439"/>
      <c r="V1487" s="16"/>
      <c r="W1487" s="119"/>
      <c r="X1487" s="119"/>
      <c r="Y1487" s="119"/>
      <c r="Z1487" s="119"/>
      <c r="AA1487" s="119"/>
      <c r="AB1487" s="119"/>
      <c r="AC1487" s="119"/>
      <c r="AD1487" s="119"/>
      <c r="AE1487" s="119"/>
      <c r="AF1487" s="119"/>
      <c r="AG1487" s="119"/>
      <c r="AH1487" s="16"/>
      <c r="AI1487" s="439"/>
      <c r="AJ1487" s="439"/>
      <c r="AK1487" s="439"/>
    </row>
    <row r="1488" ht="18.75" customHeight="1">
      <c r="A1488" s="439"/>
      <c r="B1488" s="439"/>
      <c r="C1488" s="439"/>
      <c r="D1488" s="439"/>
      <c r="E1488" s="439"/>
      <c r="F1488" s="439"/>
      <c r="G1488" s="439"/>
      <c r="H1488" s="439"/>
      <c r="I1488" s="439"/>
      <c r="J1488" s="439"/>
      <c r="K1488" s="439"/>
      <c r="L1488" s="439"/>
      <c r="M1488" s="439"/>
      <c r="N1488" s="439"/>
      <c r="O1488" s="439"/>
      <c r="P1488" s="439"/>
      <c r="Q1488" s="439"/>
      <c r="R1488" s="439"/>
      <c r="S1488" s="439"/>
      <c r="T1488" s="264"/>
      <c r="U1488" s="439"/>
      <c r="V1488" s="16"/>
      <c r="W1488" s="119"/>
      <c r="X1488" s="119"/>
      <c r="Y1488" s="119"/>
      <c r="Z1488" s="119"/>
      <c r="AA1488" s="119"/>
      <c r="AB1488" s="119"/>
      <c r="AC1488" s="119"/>
      <c r="AD1488" s="119"/>
      <c r="AE1488" s="119"/>
      <c r="AF1488" s="119"/>
      <c r="AG1488" s="119"/>
      <c r="AH1488" s="16"/>
      <c r="AI1488" s="439"/>
      <c r="AJ1488" s="439"/>
      <c r="AK1488" s="439"/>
    </row>
    <row r="1489" ht="18.75" customHeight="1">
      <c r="A1489" s="439"/>
      <c r="B1489" s="439"/>
      <c r="C1489" s="439"/>
      <c r="D1489" s="439"/>
      <c r="E1489" s="439"/>
      <c r="F1489" s="439"/>
      <c r="G1489" s="439"/>
      <c r="H1489" s="439"/>
      <c r="I1489" s="439"/>
      <c r="J1489" s="439"/>
      <c r="K1489" s="439"/>
      <c r="L1489" s="439"/>
      <c r="M1489" s="439"/>
      <c r="N1489" s="439"/>
      <c r="O1489" s="439"/>
      <c r="P1489" s="439"/>
      <c r="Q1489" s="439"/>
      <c r="R1489" s="439"/>
      <c r="S1489" s="439"/>
      <c r="T1489" s="264"/>
      <c r="U1489" s="439"/>
      <c r="V1489" s="16"/>
      <c r="W1489" s="119"/>
      <c r="X1489" s="119"/>
      <c r="Y1489" s="119"/>
      <c r="Z1489" s="119"/>
      <c r="AA1489" s="119"/>
      <c r="AB1489" s="119"/>
      <c r="AC1489" s="119"/>
      <c r="AD1489" s="119"/>
      <c r="AE1489" s="119"/>
      <c r="AF1489" s="119"/>
      <c r="AG1489" s="119"/>
      <c r="AH1489" s="16"/>
      <c r="AI1489" s="439"/>
      <c r="AJ1489" s="439"/>
      <c r="AK1489" s="439"/>
    </row>
    <row r="1490" ht="18.75" customHeight="1">
      <c r="A1490" s="439"/>
      <c r="B1490" s="439"/>
      <c r="C1490" s="439"/>
      <c r="D1490" s="439"/>
      <c r="E1490" s="439"/>
      <c r="F1490" s="439"/>
      <c r="G1490" s="439"/>
      <c r="H1490" s="439"/>
      <c r="I1490" s="439"/>
      <c r="J1490" s="439"/>
      <c r="K1490" s="439"/>
      <c r="L1490" s="439"/>
      <c r="M1490" s="439"/>
      <c r="N1490" s="439"/>
      <c r="O1490" s="439"/>
      <c r="P1490" s="439"/>
      <c r="Q1490" s="439"/>
      <c r="R1490" s="439"/>
      <c r="S1490" s="439"/>
      <c r="T1490" s="264"/>
      <c r="U1490" s="439"/>
      <c r="V1490" s="16"/>
      <c r="W1490" s="119"/>
      <c r="X1490" s="119"/>
      <c r="Y1490" s="119"/>
      <c r="Z1490" s="119"/>
      <c r="AA1490" s="119"/>
      <c r="AB1490" s="119"/>
      <c r="AC1490" s="119"/>
      <c r="AD1490" s="119"/>
      <c r="AE1490" s="119"/>
      <c r="AF1490" s="119"/>
      <c r="AG1490" s="119"/>
      <c r="AH1490" s="16"/>
      <c r="AI1490" s="439"/>
      <c r="AJ1490" s="439"/>
      <c r="AK1490" s="439"/>
    </row>
    <row r="1491" ht="18.75" customHeight="1">
      <c r="A1491" s="439"/>
      <c r="B1491" s="439"/>
      <c r="C1491" s="439"/>
      <c r="D1491" s="439"/>
      <c r="E1491" s="439"/>
      <c r="F1491" s="439"/>
      <c r="G1491" s="439"/>
      <c r="H1491" s="439"/>
      <c r="I1491" s="439"/>
      <c r="J1491" s="439"/>
      <c r="K1491" s="439"/>
      <c r="L1491" s="439"/>
      <c r="M1491" s="439"/>
      <c r="N1491" s="439"/>
      <c r="O1491" s="439"/>
      <c r="P1491" s="439"/>
      <c r="Q1491" s="439"/>
      <c r="R1491" s="439"/>
      <c r="S1491" s="439"/>
      <c r="T1491" s="264"/>
      <c r="U1491" s="439"/>
      <c r="V1491" s="16"/>
      <c r="W1491" s="119"/>
      <c r="X1491" s="119"/>
      <c r="Y1491" s="119"/>
      <c r="Z1491" s="119"/>
      <c r="AA1491" s="119"/>
      <c r="AB1491" s="119"/>
      <c r="AC1491" s="119"/>
      <c r="AD1491" s="119"/>
      <c r="AE1491" s="119"/>
      <c r="AF1491" s="119"/>
      <c r="AG1491" s="119"/>
      <c r="AH1491" s="16"/>
      <c r="AI1491" s="439"/>
      <c r="AJ1491" s="439"/>
      <c r="AK1491" s="439"/>
    </row>
    <row r="1492" ht="18.75" customHeight="1">
      <c r="A1492" s="439"/>
      <c r="B1492" s="439"/>
      <c r="C1492" s="439"/>
      <c r="D1492" s="439"/>
      <c r="E1492" s="439"/>
      <c r="F1492" s="439"/>
      <c r="G1492" s="439"/>
      <c r="H1492" s="439"/>
      <c r="I1492" s="439"/>
      <c r="J1492" s="439"/>
      <c r="K1492" s="439"/>
      <c r="L1492" s="439"/>
      <c r="M1492" s="439"/>
      <c r="N1492" s="439"/>
      <c r="O1492" s="439"/>
      <c r="P1492" s="439"/>
      <c r="Q1492" s="439"/>
      <c r="R1492" s="439"/>
      <c r="S1492" s="439"/>
      <c r="T1492" s="264"/>
      <c r="U1492" s="439"/>
      <c r="V1492" s="16"/>
      <c r="W1492" s="119"/>
      <c r="X1492" s="119"/>
      <c r="Y1492" s="119"/>
      <c r="Z1492" s="119"/>
      <c r="AA1492" s="119"/>
      <c r="AB1492" s="119"/>
      <c r="AC1492" s="119"/>
      <c r="AD1492" s="119"/>
      <c r="AE1492" s="119"/>
      <c r="AF1492" s="119"/>
      <c r="AG1492" s="119"/>
      <c r="AH1492" s="16"/>
      <c r="AI1492" s="439"/>
      <c r="AJ1492" s="439"/>
      <c r="AK1492" s="439"/>
    </row>
    <row r="1493" ht="18.75" customHeight="1">
      <c r="A1493" s="439"/>
      <c r="B1493" s="439"/>
      <c r="C1493" s="439"/>
      <c r="D1493" s="439"/>
      <c r="E1493" s="439"/>
      <c r="F1493" s="439"/>
      <c r="G1493" s="439"/>
      <c r="H1493" s="439"/>
      <c r="I1493" s="439"/>
      <c r="J1493" s="439"/>
      <c r="K1493" s="439"/>
      <c r="L1493" s="439"/>
      <c r="M1493" s="439"/>
      <c r="N1493" s="439"/>
      <c r="O1493" s="439"/>
      <c r="P1493" s="439"/>
      <c r="Q1493" s="439"/>
      <c r="R1493" s="439"/>
      <c r="S1493" s="439"/>
      <c r="T1493" s="264"/>
      <c r="U1493" s="439"/>
      <c r="V1493" s="16"/>
      <c r="W1493" s="119"/>
      <c r="X1493" s="119"/>
      <c r="Y1493" s="119"/>
      <c r="Z1493" s="119"/>
      <c r="AA1493" s="119"/>
      <c r="AB1493" s="119"/>
      <c r="AC1493" s="119"/>
      <c r="AD1493" s="119"/>
      <c r="AE1493" s="119"/>
      <c r="AF1493" s="119"/>
      <c r="AG1493" s="119"/>
      <c r="AH1493" s="16"/>
      <c r="AI1493" s="439"/>
      <c r="AJ1493" s="439"/>
      <c r="AK1493" s="439"/>
    </row>
    <row r="1494" ht="18.75" customHeight="1">
      <c r="A1494" s="439"/>
      <c r="B1494" s="439"/>
      <c r="C1494" s="439"/>
      <c r="D1494" s="439"/>
      <c r="E1494" s="439"/>
      <c r="F1494" s="439"/>
      <c r="G1494" s="439"/>
      <c r="H1494" s="439"/>
      <c r="I1494" s="439"/>
      <c r="J1494" s="439"/>
      <c r="K1494" s="439"/>
      <c r="L1494" s="439"/>
      <c r="M1494" s="439"/>
      <c r="N1494" s="439"/>
      <c r="O1494" s="439"/>
      <c r="P1494" s="439"/>
      <c r="Q1494" s="439"/>
      <c r="R1494" s="439"/>
      <c r="S1494" s="439"/>
      <c r="T1494" s="264"/>
      <c r="U1494" s="439"/>
      <c r="V1494" s="16"/>
      <c r="W1494" s="119"/>
      <c r="X1494" s="119"/>
      <c r="Y1494" s="119"/>
      <c r="Z1494" s="119"/>
      <c r="AA1494" s="119"/>
      <c r="AB1494" s="119"/>
      <c r="AC1494" s="119"/>
      <c r="AD1494" s="119"/>
      <c r="AE1494" s="119"/>
      <c r="AF1494" s="119"/>
      <c r="AG1494" s="119"/>
      <c r="AH1494" s="16"/>
      <c r="AI1494" s="439"/>
      <c r="AJ1494" s="439"/>
      <c r="AK1494" s="439"/>
    </row>
    <row r="1495" ht="18.75" customHeight="1">
      <c r="A1495" s="439"/>
      <c r="B1495" s="439"/>
      <c r="C1495" s="439"/>
      <c r="D1495" s="439"/>
      <c r="E1495" s="439"/>
      <c r="F1495" s="439"/>
      <c r="G1495" s="439"/>
      <c r="H1495" s="439"/>
      <c r="I1495" s="439"/>
      <c r="J1495" s="439"/>
      <c r="K1495" s="439"/>
      <c r="L1495" s="439"/>
      <c r="M1495" s="439"/>
      <c r="N1495" s="439"/>
      <c r="O1495" s="439"/>
      <c r="P1495" s="439"/>
      <c r="Q1495" s="439"/>
      <c r="R1495" s="439"/>
      <c r="S1495" s="439"/>
      <c r="T1495" s="264"/>
      <c r="U1495" s="439"/>
      <c r="V1495" s="16"/>
      <c r="W1495" s="119"/>
      <c r="X1495" s="119"/>
      <c r="Y1495" s="119"/>
      <c r="Z1495" s="119"/>
      <c r="AA1495" s="119"/>
      <c r="AB1495" s="119"/>
      <c r="AC1495" s="119"/>
      <c r="AD1495" s="119"/>
      <c r="AE1495" s="119"/>
      <c r="AF1495" s="119"/>
      <c r="AG1495" s="119"/>
      <c r="AH1495" s="16"/>
      <c r="AI1495" s="439"/>
      <c r="AJ1495" s="439"/>
      <c r="AK1495" s="439"/>
    </row>
    <row r="1496" ht="18.75" customHeight="1">
      <c r="A1496" s="439"/>
      <c r="B1496" s="439"/>
      <c r="C1496" s="439"/>
      <c r="D1496" s="439"/>
      <c r="E1496" s="439"/>
      <c r="F1496" s="439"/>
      <c r="G1496" s="439"/>
      <c r="H1496" s="439"/>
      <c r="I1496" s="439"/>
      <c r="J1496" s="439"/>
      <c r="K1496" s="439"/>
      <c r="L1496" s="439"/>
      <c r="M1496" s="439"/>
      <c r="N1496" s="439"/>
      <c r="O1496" s="439"/>
      <c r="P1496" s="439"/>
      <c r="Q1496" s="439"/>
      <c r="R1496" s="439"/>
      <c r="S1496" s="439"/>
      <c r="T1496" s="264"/>
      <c r="U1496" s="439"/>
      <c r="V1496" s="16"/>
      <c r="W1496" s="119"/>
      <c r="X1496" s="119"/>
      <c r="Y1496" s="119"/>
      <c r="Z1496" s="119"/>
      <c r="AA1496" s="119"/>
      <c r="AB1496" s="119"/>
      <c r="AC1496" s="119"/>
      <c r="AD1496" s="119"/>
      <c r="AE1496" s="119"/>
      <c r="AF1496" s="119"/>
      <c r="AG1496" s="119"/>
      <c r="AH1496" s="16"/>
      <c r="AI1496" s="439"/>
      <c r="AJ1496" s="439"/>
      <c r="AK1496" s="439"/>
    </row>
    <row r="1497" ht="18.75" customHeight="1">
      <c r="A1497" s="439"/>
      <c r="B1497" s="439"/>
      <c r="C1497" s="439"/>
      <c r="D1497" s="439"/>
      <c r="E1497" s="439"/>
      <c r="F1497" s="439"/>
      <c r="G1497" s="439"/>
      <c r="H1497" s="439"/>
      <c r="I1497" s="439"/>
      <c r="J1497" s="439"/>
      <c r="K1497" s="439"/>
      <c r="L1497" s="439"/>
      <c r="M1497" s="439"/>
      <c r="N1497" s="439"/>
      <c r="O1497" s="439"/>
      <c r="P1497" s="439"/>
      <c r="Q1497" s="439"/>
      <c r="R1497" s="439"/>
      <c r="S1497" s="439"/>
      <c r="T1497" s="264"/>
      <c r="U1497" s="439"/>
      <c r="V1497" s="16"/>
      <c r="W1497" s="119"/>
      <c r="X1497" s="119"/>
      <c r="Y1497" s="119"/>
      <c r="Z1497" s="119"/>
      <c r="AA1497" s="119"/>
      <c r="AB1497" s="119"/>
      <c r="AC1497" s="119"/>
      <c r="AD1497" s="119"/>
      <c r="AE1497" s="119"/>
      <c r="AF1497" s="119"/>
      <c r="AG1497" s="119"/>
      <c r="AH1497" s="16"/>
      <c r="AI1497" s="439"/>
      <c r="AJ1497" s="439"/>
      <c r="AK1497" s="439"/>
    </row>
    <row r="1498" ht="18.75" customHeight="1">
      <c r="A1498" s="439"/>
      <c r="B1498" s="439"/>
      <c r="C1498" s="439"/>
      <c r="D1498" s="439"/>
      <c r="E1498" s="439"/>
      <c r="F1498" s="439"/>
      <c r="G1498" s="439"/>
      <c r="H1498" s="439"/>
      <c r="I1498" s="439"/>
      <c r="J1498" s="439"/>
      <c r="K1498" s="439"/>
      <c r="L1498" s="439"/>
      <c r="M1498" s="439"/>
      <c r="N1498" s="439"/>
      <c r="O1498" s="439"/>
      <c r="P1498" s="439"/>
      <c r="Q1498" s="439"/>
      <c r="R1498" s="439"/>
      <c r="S1498" s="439"/>
      <c r="T1498" s="264"/>
      <c r="U1498" s="439"/>
      <c r="V1498" s="16"/>
      <c r="W1498" s="119"/>
      <c r="X1498" s="119"/>
      <c r="Y1498" s="119"/>
      <c r="Z1498" s="119"/>
      <c r="AA1498" s="119"/>
      <c r="AB1498" s="119"/>
      <c r="AC1498" s="119"/>
      <c r="AD1498" s="119"/>
      <c r="AE1498" s="119"/>
      <c r="AF1498" s="119"/>
      <c r="AG1498" s="119"/>
      <c r="AH1498" s="16"/>
      <c r="AI1498" s="439"/>
      <c r="AJ1498" s="439"/>
      <c r="AK1498" s="439"/>
    </row>
    <row r="1499" ht="18.75" customHeight="1">
      <c r="A1499" s="439"/>
      <c r="B1499" s="439"/>
      <c r="C1499" s="439"/>
      <c r="D1499" s="439"/>
      <c r="E1499" s="439"/>
      <c r="F1499" s="439"/>
      <c r="G1499" s="439"/>
      <c r="H1499" s="439"/>
      <c r="I1499" s="439"/>
      <c r="J1499" s="439"/>
      <c r="K1499" s="439"/>
      <c r="L1499" s="439"/>
      <c r="M1499" s="439"/>
      <c r="N1499" s="439"/>
      <c r="O1499" s="439"/>
      <c r="P1499" s="439"/>
      <c r="Q1499" s="439"/>
      <c r="R1499" s="439"/>
      <c r="S1499" s="439"/>
      <c r="T1499" s="264"/>
      <c r="U1499" s="439"/>
      <c r="V1499" s="16"/>
      <c r="W1499" s="119"/>
      <c r="X1499" s="119"/>
      <c r="Y1499" s="119"/>
      <c r="Z1499" s="119"/>
      <c r="AA1499" s="119"/>
      <c r="AB1499" s="119"/>
      <c r="AC1499" s="119"/>
      <c r="AD1499" s="119"/>
      <c r="AE1499" s="119"/>
      <c r="AF1499" s="119"/>
      <c r="AG1499" s="119"/>
      <c r="AH1499" s="16"/>
      <c r="AI1499" s="439"/>
      <c r="AJ1499" s="439"/>
      <c r="AK1499" s="439"/>
    </row>
    <row r="1500" ht="18.75" customHeight="1">
      <c r="A1500" s="439"/>
      <c r="B1500" s="439"/>
      <c r="C1500" s="439"/>
      <c r="D1500" s="439"/>
      <c r="E1500" s="439"/>
      <c r="F1500" s="439"/>
      <c r="G1500" s="439"/>
      <c r="H1500" s="439"/>
      <c r="I1500" s="439"/>
      <c r="J1500" s="439"/>
      <c r="K1500" s="439"/>
      <c r="L1500" s="439"/>
      <c r="M1500" s="439"/>
      <c r="N1500" s="439"/>
      <c r="O1500" s="439"/>
      <c r="P1500" s="439"/>
      <c r="Q1500" s="439"/>
      <c r="R1500" s="439"/>
      <c r="S1500" s="439"/>
      <c r="T1500" s="264"/>
      <c r="U1500" s="439"/>
      <c r="V1500" s="16"/>
      <c r="W1500" s="119"/>
      <c r="X1500" s="119"/>
      <c r="Y1500" s="119"/>
      <c r="Z1500" s="119"/>
      <c r="AA1500" s="119"/>
      <c r="AB1500" s="119"/>
      <c r="AC1500" s="119"/>
      <c r="AD1500" s="119"/>
      <c r="AE1500" s="119"/>
      <c r="AF1500" s="119"/>
      <c r="AG1500" s="119"/>
      <c r="AH1500" s="16"/>
      <c r="AI1500" s="439"/>
      <c r="AJ1500" s="439"/>
      <c r="AK1500" s="439"/>
    </row>
    <row r="1501" ht="18.75" customHeight="1">
      <c r="A1501" s="439"/>
      <c r="B1501" s="439"/>
      <c r="C1501" s="439"/>
      <c r="D1501" s="439"/>
      <c r="E1501" s="439"/>
      <c r="F1501" s="439"/>
      <c r="G1501" s="439"/>
      <c r="H1501" s="439"/>
      <c r="I1501" s="439"/>
      <c r="J1501" s="439"/>
      <c r="K1501" s="439"/>
      <c r="L1501" s="439"/>
      <c r="M1501" s="439"/>
      <c r="N1501" s="439"/>
      <c r="O1501" s="439"/>
      <c r="P1501" s="439"/>
      <c r="Q1501" s="439"/>
      <c r="R1501" s="439"/>
      <c r="S1501" s="439"/>
      <c r="T1501" s="264"/>
      <c r="U1501" s="439"/>
      <c r="V1501" s="16"/>
      <c r="W1501" s="119"/>
      <c r="X1501" s="119"/>
      <c r="Y1501" s="119"/>
      <c r="Z1501" s="119"/>
      <c r="AA1501" s="119"/>
      <c r="AB1501" s="119"/>
      <c r="AC1501" s="119"/>
      <c r="AD1501" s="119"/>
      <c r="AE1501" s="119"/>
      <c r="AF1501" s="119"/>
      <c r="AG1501" s="119"/>
      <c r="AH1501" s="16"/>
      <c r="AI1501" s="439"/>
      <c r="AJ1501" s="439"/>
      <c r="AK1501" s="439"/>
    </row>
    <row r="1502" ht="18.75" customHeight="1">
      <c r="A1502" s="439"/>
      <c r="B1502" s="439"/>
      <c r="C1502" s="439"/>
      <c r="D1502" s="439"/>
      <c r="E1502" s="439"/>
      <c r="F1502" s="439"/>
      <c r="G1502" s="439"/>
      <c r="H1502" s="439"/>
      <c r="I1502" s="439"/>
      <c r="J1502" s="439"/>
      <c r="K1502" s="439"/>
      <c r="L1502" s="439"/>
      <c r="M1502" s="439"/>
      <c r="N1502" s="439"/>
      <c r="O1502" s="439"/>
      <c r="P1502" s="439"/>
      <c r="Q1502" s="439"/>
      <c r="R1502" s="439"/>
      <c r="S1502" s="439"/>
      <c r="T1502" s="264"/>
      <c r="U1502" s="439"/>
      <c r="V1502" s="16"/>
      <c r="W1502" s="119"/>
      <c r="X1502" s="119"/>
      <c r="Y1502" s="119"/>
      <c r="Z1502" s="119"/>
      <c r="AA1502" s="119"/>
      <c r="AB1502" s="119"/>
      <c r="AC1502" s="119"/>
      <c r="AD1502" s="119"/>
      <c r="AE1502" s="119"/>
      <c r="AF1502" s="119"/>
      <c r="AG1502" s="119"/>
      <c r="AH1502" s="16"/>
      <c r="AI1502" s="439"/>
      <c r="AJ1502" s="439"/>
      <c r="AK1502" s="439"/>
    </row>
    <row r="1503" ht="18.75" customHeight="1">
      <c r="A1503" s="439"/>
      <c r="B1503" s="439"/>
      <c r="C1503" s="439"/>
      <c r="D1503" s="439"/>
      <c r="E1503" s="439"/>
      <c r="F1503" s="439"/>
      <c r="G1503" s="439"/>
      <c r="H1503" s="439"/>
      <c r="I1503" s="439"/>
      <c r="J1503" s="439"/>
      <c r="K1503" s="439"/>
      <c r="L1503" s="439"/>
      <c r="M1503" s="439"/>
      <c r="N1503" s="439"/>
      <c r="O1503" s="439"/>
      <c r="P1503" s="439"/>
      <c r="Q1503" s="439"/>
      <c r="R1503" s="439"/>
      <c r="S1503" s="439"/>
      <c r="T1503" s="264"/>
      <c r="U1503" s="439"/>
      <c r="V1503" s="16"/>
      <c r="W1503" s="119"/>
      <c r="X1503" s="119"/>
      <c r="Y1503" s="119"/>
      <c r="Z1503" s="119"/>
      <c r="AA1503" s="119"/>
      <c r="AB1503" s="119"/>
      <c r="AC1503" s="119"/>
      <c r="AD1503" s="119"/>
      <c r="AE1503" s="119"/>
      <c r="AF1503" s="119"/>
      <c r="AG1503" s="119"/>
      <c r="AH1503" s="16"/>
      <c r="AI1503" s="439"/>
      <c r="AJ1503" s="439"/>
      <c r="AK1503" s="439"/>
    </row>
    <row r="1504" ht="18.75" customHeight="1">
      <c r="A1504" s="439"/>
      <c r="B1504" s="439"/>
      <c r="C1504" s="439"/>
      <c r="D1504" s="439"/>
      <c r="E1504" s="439"/>
      <c r="F1504" s="439"/>
      <c r="G1504" s="439"/>
      <c r="H1504" s="439"/>
      <c r="I1504" s="439"/>
      <c r="J1504" s="439"/>
      <c r="K1504" s="439"/>
      <c r="L1504" s="439"/>
      <c r="M1504" s="439"/>
      <c r="N1504" s="439"/>
      <c r="O1504" s="439"/>
      <c r="P1504" s="439"/>
      <c r="Q1504" s="439"/>
      <c r="R1504" s="439"/>
      <c r="S1504" s="439"/>
      <c r="T1504" s="264"/>
      <c r="U1504" s="439"/>
      <c r="V1504" s="16"/>
      <c r="W1504" s="119"/>
      <c r="X1504" s="119"/>
      <c r="Y1504" s="119"/>
      <c r="Z1504" s="119"/>
      <c r="AA1504" s="119"/>
      <c r="AB1504" s="119"/>
      <c r="AC1504" s="119"/>
      <c r="AD1504" s="119"/>
      <c r="AE1504" s="119"/>
      <c r="AF1504" s="119"/>
      <c r="AG1504" s="119"/>
      <c r="AH1504" s="16"/>
      <c r="AI1504" s="439"/>
      <c r="AJ1504" s="439"/>
      <c r="AK1504" s="439"/>
    </row>
    <row r="1505" ht="18.75" customHeight="1">
      <c r="A1505" s="439"/>
      <c r="B1505" s="439"/>
      <c r="C1505" s="439"/>
      <c r="D1505" s="439"/>
      <c r="E1505" s="439"/>
      <c r="F1505" s="439"/>
      <c r="G1505" s="439"/>
      <c r="H1505" s="439"/>
      <c r="I1505" s="439"/>
      <c r="J1505" s="439"/>
      <c r="K1505" s="439"/>
      <c r="L1505" s="439"/>
      <c r="M1505" s="439"/>
      <c r="N1505" s="439"/>
      <c r="O1505" s="439"/>
      <c r="P1505" s="439"/>
      <c r="Q1505" s="439"/>
      <c r="R1505" s="439"/>
      <c r="S1505" s="439"/>
      <c r="T1505" s="264"/>
      <c r="U1505" s="439"/>
      <c r="V1505" s="16"/>
      <c r="W1505" s="119"/>
      <c r="X1505" s="119"/>
      <c r="Y1505" s="119"/>
      <c r="Z1505" s="119"/>
      <c r="AA1505" s="119"/>
      <c r="AB1505" s="119"/>
      <c r="AC1505" s="119"/>
      <c r="AD1505" s="119"/>
      <c r="AE1505" s="119"/>
      <c r="AF1505" s="119"/>
      <c r="AG1505" s="119"/>
      <c r="AH1505" s="16"/>
      <c r="AI1505" s="439"/>
      <c r="AJ1505" s="439"/>
      <c r="AK1505" s="439"/>
    </row>
    <row r="1506" ht="18.75" customHeight="1">
      <c r="A1506" s="439"/>
      <c r="B1506" s="439"/>
      <c r="C1506" s="439"/>
      <c r="D1506" s="439"/>
      <c r="E1506" s="439"/>
      <c r="F1506" s="439"/>
      <c r="G1506" s="439"/>
      <c r="H1506" s="439"/>
      <c r="I1506" s="439"/>
      <c r="J1506" s="439"/>
      <c r="K1506" s="439"/>
      <c r="L1506" s="439"/>
      <c r="M1506" s="439"/>
      <c r="N1506" s="439"/>
      <c r="O1506" s="439"/>
      <c r="P1506" s="439"/>
      <c r="Q1506" s="439"/>
      <c r="R1506" s="439"/>
      <c r="S1506" s="439"/>
      <c r="T1506" s="264"/>
      <c r="U1506" s="439"/>
      <c r="V1506" s="16"/>
      <c r="W1506" s="119"/>
      <c r="X1506" s="119"/>
      <c r="Y1506" s="119"/>
      <c r="Z1506" s="119"/>
      <c r="AA1506" s="119"/>
      <c r="AB1506" s="119"/>
      <c r="AC1506" s="119"/>
      <c r="AD1506" s="119"/>
      <c r="AE1506" s="119"/>
      <c r="AF1506" s="119"/>
      <c r="AG1506" s="119"/>
      <c r="AH1506" s="16"/>
      <c r="AI1506" s="439"/>
      <c r="AJ1506" s="439"/>
      <c r="AK1506" s="439"/>
    </row>
    <row r="1507" ht="18.75" customHeight="1">
      <c r="A1507" s="439"/>
      <c r="B1507" s="439"/>
      <c r="C1507" s="439"/>
      <c r="D1507" s="439"/>
      <c r="E1507" s="439"/>
      <c r="F1507" s="439"/>
      <c r="G1507" s="439"/>
      <c r="H1507" s="439"/>
      <c r="I1507" s="439"/>
      <c r="J1507" s="439"/>
      <c r="K1507" s="439"/>
      <c r="L1507" s="439"/>
      <c r="M1507" s="439"/>
      <c r="N1507" s="439"/>
      <c r="O1507" s="439"/>
      <c r="P1507" s="439"/>
      <c r="Q1507" s="439"/>
      <c r="R1507" s="439"/>
      <c r="S1507" s="439"/>
      <c r="T1507" s="264"/>
      <c r="U1507" s="439"/>
      <c r="V1507" s="16"/>
      <c r="W1507" s="119"/>
      <c r="X1507" s="119"/>
      <c r="Y1507" s="119"/>
      <c r="Z1507" s="119"/>
      <c r="AA1507" s="119"/>
      <c r="AB1507" s="119"/>
      <c r="AC1507" s="119"/>
      <c r="AD1507" s="119"/>
      <c r="AE1507" s="119"/>
      <c r="AF1507" s="119"/>
      <c r="AG1507" s="119"/>
      <c r="AH1507" s="16"/>
      <c r="AI1507" s="439"/>
      <c r="AJ1507" s="439"/>
      <c r="AK1507" s="439"/>
    </row>
    <row r="1508" ht="18.75" customHeight="1">
      <c r="A1508" s="439"/>
      <c r="B1508" s="439"/>
      <c r="C1508" s="439"/>
      <c r="D1508" s="439"/>
      <c r="E1508" s="439"/>
      <c r="F1508" s="439"/>
      <c r="G1508" s="439"/>
      <c r="H1508" s="439"/>
      <c r="I1508" s="439"/>
      <c r="J1508" s="439"/>
      <c r="K1508" s="439"/>
      <c r="L1508" s="439"/>
      <c r="M1508" s="439"/>
      <c r="N1508" s="439"/>
      <c r="O1508" s="439"/>
      <c r="P1508" s="439"/>
      <c r="Q1508" s="439"/>
      <c r="R1508" s="439"/>
      <c r="S1508" s="439"/>
      <c r="T1508" s="264"/>
      <c r="U1508" s="439"/>
      <c r="V1508" s="16"/>
      <c r="W1508" s="119"/>
      <c r="X1508" s="119"/>
      <c r="Y1508" s="119"/>
      <c r="Z1508" s="119"/>
      <c r="AA1508" s="119"/>
      <c r="AB1508" s="119"/>
      <c r="AC1508" s="119"/>
      <c r="AD1508" s="119"/>
      <c r="AE1508" s="119"/>
      <c r="AF1508" s="119"/>
      <c r="AG1508" s="119"/>
      <c r="AH1508" s="16"/>
      <c r="AI1508" s="439"/>
      <c r="AJ1508" s="439"/>
      <c r="AK1508" s="439"/>
    </row>
    <row r="1509" ht="18.75" customHeight="1">
      <c r="A1509" s="439"/>
      <c r="B1509" s="439"/>
      <c r="C1509" s="439"/>
      <c r="D1509" s="439"/>
      <c r="E1509" s="439"/>
      <c r="F1509" s="439"/>
      <c r="G1509" s="439"/>
      <c r="H1509" s="439"/>
      <c r="I1509" s="439"/>
      <c r="J1509" s="439"/>
      <c r="K1509" s="439"/>
      <c r="L1509" s="439"/>
      <c r="M1509" s="439"/>
      <c r="N1509" s="439"/>
      <c r="O1509" s="439"/>
      <c r="P1509" s="439"/>
      <c r="Q1509" s="439"/>
      <c r="R1509" s="439"/>
      <c r="S1509" s="439"/>
      <c r="T1509" s="264"/>
      <c r="U1509" s="439"/>
      <c r="V1509" s="16"/>
      <c r="W1509" s="119"/>
      <c r="X1509" s="119"/>
      <c r="Y1509" s="119"/>
      <c r="Z1509" s="119"/>
      <c r="AA1509" s="119"/>
      <c r="AB1509" s="119"/>
      <c r="AC1509" s="119"/>
      <c r="AD1509" s="119"/>
      <c r="AE1509" s="119"/>
      <c r="AF1509" s="119"/>
      <c r="AG1509" s="119"/>
      <c r="AH1509" s="16"/>
      <c r="AI1509" s="439"/>
      <c r="AJ1509" s="439"/>
      <c r="AK1509" s="439"/>
    </row>
    <row r="1510" ht="18.75" customHeight="1">
      <c r="A1510" s="439"/>
      <c r="B1510" s="439"/>
      <c r="C1510" s="439"/>
      <c r="D1510" s="439"/>
      <c r="E1510" s="439"/>
      <c r="F1510" s="439"/>
      <c r="G1510" s="439"/>
      <c r="H1510" s="439"/>
      <c r="I1510" s="439"/>
      <c r="J1510" s="439"/>
      <c r="K1510" s="439"/>
      <c r="L1510" s="439"/>
      <c r="M1510" s="439"/>
      <c r="N1510" s="439"/>
      <c r="O1510" s="439"/>
      <c r="P1510" s="439"/>
      <c r="Q1510" s="439"/>
      <c r="R1510" s="439"/>
      <c r="S1510" s="439"/>
      <c r="T1510" s="264"/>
      <c r="U1510" s="439"/>
      <c r="V1510" s="16"/>
      <c r="W1510" s="119"/>
      <c r="X1510" s="119"/>
      <c r="Y1510" s="119"/>
      <c r="Z1510" s="119"/>
      <c r="AA1510" s="119"/>
      <c r="AB1510" s="119"/>
      <c r="AC1510" s="119"/>
      <c r="AD1510" s="119"/>
      <c r="AE1510" s="119"/>
      <c r="AF1510" s="119"/>
      <c r="AG1510" s="119"/>
      <c r="AH1510" s="16"/>
      <c r="AI1510" s="439"/>
      <c r="AJ1510" s="439"/>
      <c r="AK1510" s="439"/>
    </row>
    <row r="1511" ht="18.75" customHeight="1">
      <c r="A1511" s="439"/>
      <c r="B1511" s="439"/>
      <c r="C1511" s="439"/>
      <c r="D1511" s="439"/>
      <c r="E1511" s="439"/>
      <c r="F1511" s="439"/>
      <c r="G1511" s="439"/>
      <c r="H1511" s="439"/>
      <c r="I1511" s="439"/>
      <c r="J1511" s="439"/>
      <c r="K1511" s="439"/>
      <c r="L1511" s="439"/>
      <c r="M1511" s="439"/>
      <c r="N1511" s="439"/>
      <c r="O1511" s="439"/>
      <c r="P1511" s="439"/>
      <c r="Q1511" s="439"/>
      <c r="R1511" s="439"/>
      <c r="S1511" s="439"/>
      <c r="T1511" s="264"/>
      <c r="U1511" s="439"/>
      <c r="V1511" s="16"/>
      <c r="W1511" s="119"/>
      <c r="X1511" s="119"/>
      <c r="Y1511" s="119"/>
      <c r="Z1511" s="119"/>
      <c r="AA1511" s="119"/>
      <c r="AB1511" s="119"/>
      <c r="AC1511" s="119"/>
      <c r="AD1511" s="119"/>
      <c r="AE1511" s="119"/>
      <c r="AF1511" s="119"/>
      <c r="AG1511" s="119"/>
      <c r="AH1511" s="16"/>
      <c r="AI1511" s="439"/>
      <c r="AJ1511" s="439"/>
      <c r="AK1511" s="439"/>
    </row>
    <row r="1512" ht="18.75" customHeight="1">
      <c r="A1512" s="439"/>
      <c r="B1512" s="439"/>
      <c r="C1512" s="439"/>
      <c r="D1512" s="439"/>
      <c r="E1512" s="439"/>
      <c r="F1512" s="439"/>
      <c r="G1512" s="439"/>
      <c r="H1512" s="439"/>
      <c r="I1512" s="439"/>
      <c r="J1512" s="439"/>
      <c r="K1512" s="439"/>
      <c r="L1512" s="439"/>
      <c r="M1512" s="439"/>
      <c r="N1512" s="439"/>
      <c r="O1512" s="439"/>
      <c r="P1512" s="439"/>
      <c r="Q1512" s="439"/>
      <c r="R1512" s="439"/>
      <c r="S1512" s="439"/>
      <c r="T1512" s="264"/>
      <c r="U1512" s="439"/>
      <c r="V1512" s="16"/>
      <c r="W1512" s="119"/>
      <c r="X1512" s="119"/>
      <c r="Y1512" s="119"/>
      <c r="Z1512" s="119"/>
      <c r="AA1512" s="119"/>
      <c r="AB1512" s="119"/>
      <c r="AC1512" s="119"/>
      <c r="AD1512" s="119"/>
      <c r="AE1512" s="119"/>
      <c r="AF1512" s="119"/>
      <c r="AG1512" s="119"/>
      <c r="AH1512" s="16"/>
      <c r="AI1512" s="439"/>
      <c r="AJ1512" s="439"/>
      <c r="AK1512" s="439"/>
    </row>
    <row r="1513" ht="18.75" customHeight="1">
      <c r="A1513" s="439"/>
      <c r="B1513" s="439"/>
      <c r="C1513" s="439"/>
      <c r="D1513" s="439"/>
      <c r="E1513" s="439"/>
      <c r="F1513" s="439"/>
      <c r="G1513" s="439"/>
      <c r="H1513" s="439"/>
      <c r="I1513" s="439"/>
      <c r="J1513" s="439"/>
      <c r="K1513" s="439"/>
      <c r="L1513" s="439"/>
      <c r="M1513" s="439"/>
      <c r="N1513" s="439"/>
      <c r="O1513" s="439"/>
      <c r="P1513" s="439"/>
      <c r="Q1513" s="439"/>
      <c r="R1513" s="439"/>
      <c r="S1513" s="439"/>
      <c r="T1513" s="264"/>
      <c r="U1513" s="439"/>
      <c r="V1513" s="16"/>
      <c r="W1513" s="119"/>
      <c r="X1513" s="119"/>
      <c r="Y1513" s="119"/>
      <c r="Z1513" s="119"/>
      <c r="AA1513" s="119"/>
      <c r="AB1513" s="119"/>
      <c r="AC1513" s="119"/>
      <c r="AD1513" s="119"/>
      <c r="AE1513" s="119"/>
      <c r="AF1513" s="119"/>
      <c r="AG1513" s="119"/>
      <c r="AH1513" s="16"/>
      <c r="AI1513" s="439"/>
      <c r="AJ1513" s="439"/>
      <c r="AK1513" s="439"/>
    </row>
    <row r="1514" ht="18.75" customHeight="1">
      <c r="A1514" s="439"/>
      <c r="B1514" s="439"/>
      <c r="C1514" s="439"/>
      <c r="D1514" s="439"/>
      <c r="E1514" s="439"/>
      <c r="F1514" s="439"/>
      <c r="G1514" s="439"/>
      <c r="H1514" s="439"/>
      <c r="I1514" s="439"/>
      <c r="J1514" s="439"/>
      <c r="K1514" s="439"/>
      <c r="L1514" s="439"/>
      <c r="M1514" s="439"/>
      <c r="N1514" s="439"/>
      <c r="O1514" s="439"/>
      <c r="P1514" s="439"/>
      <c r="Q1514" s="439"/>
      <c r="R1514" s="439"/>
      <c r="S1514" s="439"/>
      <c r="T1514" s="264"/>
      <c r="U1514" s="439"/>
      <c r="V1514" s="16"/>
      <c r="W1514" s="119"/>
      <c r="X1514" s="119"/>
      <c r="Y1514" s="119"/>
      <c r="Z1514" s="119"/>
      <c r="AA1514" s="119"/>
      <c r="AB1514" s="119"/>
      <c r="AC1514" s="119"/>
      <c r="AD1514" s="119"/>
      <c r="AE1514" s="119"/>
      <c r="AF1514" s="119"/>
      <c r="AG1514" s="119"/>
      <c r="AH1514" s="16"/>
      <c r="AI1514" s="439"/>
      <c r="AJ1514" s="439"/>
      <c r="AK1514" s="439"/>
    </row>
    <row r="1515" ht="18.75" customHeight="1">
      <c r="A1515" s="439"/>
      <c r="B1515" s="439"/>
      <c r="C1515" s="439"/>
      <c r="D1515" s="439"/>
      <c r="E1515" s="439"/>
      <c r="F1515" s="439"/>
      <c r="G1515" s="439"/>
      <c r="H1515" s="439"/>
      <c r="I1515" s="439"/>
      <c r="J1515" s="439"/>
      <c r="K1515" s="439"/>
      <c r="L1515" s="439"/>
      <c r="M1515" s="439"/>
      <c r="N1515" s="439"/>
      <c r="O1515" s="439"/>
      <c r="P1515" s="439"/>
      <c r="Q1515" s="439"/>
      <c r="R1515" s="439"/>
      <c r="S1515" s="439"/>
      <c r="T1515" s="264"/>
      <c r="U1515" s="439"/>
      <c r="V1515" s="16"/>
      <c r="W1515" s="119"/>
      <c r="X1515" s="119"/>
      <c r="Y1515" s="119"/>
      <c r="Z1515" s="119"/>
      <c r="AA1515" s="119"/>
      <c r="AB1515" s="119"/>
      <c r="AC1515" s="119"/>
      <c r="AD1515" s="119"/>
      <c r="AE1515" s="119"/>
      <c r="AF1515" s="119"/>
      <c r="AG1515" s="119"/>
      <c r="AH1515" s="16"/>
      <c r="AI1515" s="439"/>
      <c r="AJ1515" s="439"/>
      <c r="AK1515" s="439"/>
    </row>
    <row r="1516" ht="18.75" customHeight="1">
      <c r="A1516" s="439"/>
      <c r="B1516" s="439"/>
      <c r="C1516" s="439"/>
      <c r="D1516" s="439"/>
      <c r="E1516" s="439"/>
      <c r="F1516" s="439"/>
      <c r="G1516" s="439"/>
      <c r="H1516" s="439"/>
      <c r="I1516" s="439"/>
      <c r="J1516" s="439"/>
      <c r="K1516" s="439"/>
      <c r="L1516" s="439"/>
      <c r="M1516" s="439"/>
      <c r="N1516" s="439"/>
      <c r="O1516" s="439"/>
      <c r="P1516" s="439"/>
      <c r="Q1516" s="439"/>
      <c r="R1516" s="439"/>
      <c r="S1516" s="439"/>
      <c r="T1516" s="264"/>
      <c r="U1516" s="439"/>
      <c r="V1516" s="16"/>
      <c r="W1516" s="119"/>
      <c r="X1516" s="119"/>
      <c r="Y1516" s="119"/>
      <c r="Z1516" s="119"/>
      <c r="AA1516" s="119"/>
      <c r="AB1516" s="119"/>
      <c r="AC1516" s="119"/>
      <c r="AD1516" s="119"/>
      <c r="AE1516" s="119"/>
      <c r="AF1516" s="119"/>
      <c r="AG1516" s="119"/>
      <c r="AH1516" s="16"/>
      <c r="AI1516" s="439"/>
      <c r="AJ1516" s="439"/>
      <c r="AK1516" s="439"/>
    </row>
    <row r="1517" ht="18.75" customHeight="1">
      <c r="A1517" s="439"/>
      <c r="B1517" s="439"/>
      <c r="C1517" s="439"/>
      <c r="D1517" s="439"/>
      <c r="E1517" s="439"/>
      <c r="F1517" s="439"/>
      <c r="G1517" s="439"/>
      <c r="H1517" s="439"/>
      <c r="I1517" s="439"/>
      <c r="J1517" s="439"/>
      <c r="K1517" s="439"/>
      <c r="L1517" s="439"/>
      <c r="M1517" s="439"/>
      <c r="N1517" s="439"/>
      <c r="O1517" s="439"/>
      <c r="P1517" s="439"/>
      <c r="Q1517" s="439"/>
      <c r="R1517" s="439"/>
      <c r="S1517" s="439"/>
      <c r="T1517" s="264"/>
      <c r="U1517" s="439"/>
      <c r="V1517" s="16"/>
      <c r="W1517" s="119"/>
      <c r="X1517" s="119"/>
      <c r="Y1517" s="119"/>
      <c r="Z1517" s="119"/>
      <c r="AA1517" s="119"/>
      <c r="AB1517" s="119"/>
      <c r="AC1517" s="119"/>
      <c r="AD1517" s="119"/>
      <c r="AE1517" s="119"/>
      <c r="AF1517" s="119"/>
      <c r="AG1517" s="119"/>
      <c r="AH1517" s="16"/>
      <c r="AI1517" s="439"/>
      <c r="AJ1517" s="439"/>
      <c r="AK1517" s="439"/>
    </row>
    <row r="1518" ht="18.75" customHeight="1">
      <c r="A1518" s="439"/>
      <c r="B1518" s="439"/>
      <c r="C1518" s="439"/>
      <c r="D1518" s="439"/>
      <c r="E1518" s="439"/>
      <c r="F1518" s="439"/>
      <c r="G1518" s="439"/>
      <c r="H1518" s="439"/>
      <c r="I1518" s="439"/>
      <c r="J1518" s="439"/>
      <c r="K1518" s="439"/>
      <c r="L1518" s="439"/>
      <c r="M1518" s="439"/>
      <c r="N1518" s="439"/>
      <c r="O1518" s="439"/>
      <c r="P1518" s="439"/>
      <c r="Q1518" s="439"/>
      <c r="R1518" s="439"/>
      <c r="S1518" s="439"/>
      <c r="T1518" s="264"/>
      <c r="U1518" s="439"/>
      <c r="V1518" s="16"/>
      <c r="W1518" s="119"/>
      <c r="X1518" s="119"/>
      <c r="Y1518" s="119"/>
      <c r="Z1518" s="119"/>
      <c r="AA1518" s="119"/>
      <c r="AB1518" s="119"/>
      <c r="AC1518" s="119"/>
      <c r="AD1518" s="119"/>
      <c r="AE1518" s="119"/>
      <c r="AF1518" s="119"/>
      <c r="AG1518" s="119"/>
      <c r="AH1518" s="16"/>
      <c r="AI1518" s="439"/>
      <c r="AJ1518" s="439"/>
      <c r="AK1518" s="439"/>
    </row>
  </sheetData>
  <mergeCells count="10">
    <mergeCell ref="Q5:R5"/>
    <mergeCell ref="AA5:AG5"/>
    <mergeCell ref="W6:X6"/>
    <mergeCell ref="S1:U2"/>
    <mergeCell ref="G5:G6"/>
    <mergeCell ref="I5:I6"/>
    <mergeCell ref="K5:L5"/>
    <mergeCell ref="M5:N5"/>
    <mergeCell ref="O5:P5"/>
    <mergeCell ref="T5:T6"/>
  </mergeCells>
  <conditionalFormatting sqref="B9:U501">
    <cfRule type="expression" dxfId="0" priority="1">
      <formula>$Q9&lt;0</formula>
    </cfRule>
  </conditionalFormatting>
  <dataValidations>
    <dataValidation type="list" allowBlank="1" showErrorMessage="1" sqref="T9:T501">
      <formula1>'MTRL MSK (TPDP)'!$Y$8:$Y$10</formula1>
    </dataValidation>
    <dataValidation type="list" allowBlank="1" sqref="C9:C501">
      <formula1>'MTRL MSK (TPDP)'!$AG$9:$AG1518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12.25"/>
    <col customWidth="1" min="3" max="3" width="13.0"/>
    <col customWidth="1" min="4" max="4" width="14.75"/>
    <col customWidth="1" min="5" max="5" width="11.0"/>
    <col customWidth="1" min="6" max="6" width="11.38"/>
    <col customWidth="1" min="7" max="7" width="12.63"/>
    <col customWidth="1" min="8" max="8" width="34.38"/>
    <col customWidth="1" min="9" max="9" width="9.63"/>
    <col customWidth="1" min="10" max="10" width="13.13"/>
    <col customWidth="1" min="11" max="12" width="11.88"/>
    <col customWidth="1" min="13" max="14" width="14.0"/>
    <col customWidth="1" min="15" max="16" width="13.38"/>
    <col customWidth="1" min="17" max="17" width="13.88"/>
    <col customWidth="1" min="18" max="18" width="9.13"/>
    <col customWidth="1" min="19" max="19" width="30.38"/>
    <col customWidth="1" min="20" max="20" width="21.38"/>
    <col customWidth="1" min="21" max="21" width="2.75"/>
    <col customWidth="1" min="22" max="22" width="13.0"/>
    <col customWidth="1" min="23" max="23" width="4.25"/>
    <col customWidth="1" min="24" max="32" width="8.0"/>
  </cols>
  <sheetData>
    <row r="1" ht="18.0" customHeight="1">
      <c r="B1" s="119"/>
      <c r="C1" s="119"/>
      <c r="D1" s="119"/>
      <c r="G1" s="372" t="s">
        <v>92</v>
      </c>
      <c r="H1" s="572"/>
      <c r="J1" s="573"/>
      <c r="M1" s="119"/>
      <c r="N1" s="119"/>
      <c r="Q1" s="242"/>
      <c r="R1" s="242"/>
      <c r="S1" s="494" t="s">
        <v>4</v>
      </c>
      <c r="U1" s="380"/>
      <c r="V1" s="380"/>
      <c r="W1" s="380"/>
    </row>
    <row r="2" ht="25.5" customHeight="1">
      <c r="B2" s="119"/>
      <c r="C2" s="574" t="s">
        <v>93</v>
      </c>
      <c r="H2" s="572"/>
      <c r="J2" s="573"/>
      <c r="M2" s="119"/>
      <c r="N2" s="119"/>
      <c r="Q2" s="242"/>
      <c r="R2" s="242"/>
      <c r="S2" s="122"/>
      <c r="T2" s="122"/>
      <c r="U2" s="290"/>
      <c r="V2" s="290"/>
      <c r="W2" s="290"/>
    </row>
    <row r="3" ht="19.5" customHeight="1">
      <c r="A3" s="381"/>
      <c r="B3" s="575" t="s">
        <v>94</v>
      </c>
      <c r="C3" s="576" t="s">
        <v>95</v>
      </c>
      <c r="D3" s="577" t="s">
        <v>96</v>
      </c>
      <c r="E3" s="578"/>
      <c r="F3" s="578"/>
      <c r="G3" s="579"/>
      <c r="H3" s="498" t="s">
        <v>97</v>
      </c>
      <c r="I3" s="388"/>
      <c r="J3" s="580"/>
      <c r="K3" s="390"/>
      <c r="L3" s="581"/>
      <c r="M3" s="391">
        <f>SUM(M9:M632)</f>
        <v>50310857.14</v>
      </c>
      <c r="N3" s="582"/>
      <c r="O3" s="583"/>
      <c r="P3" s="583"/>
      <c r="Q3" s="584"/>
      <c r="R3" s="584"/>
      <c r="S3" s="585"/>
      <c r="T3" s="394"/>
      <c r="U3" s="290"/>
      <c r="V3" s="586" t="s">
        <v>0</v>
      </c>
      <c r="W3" s="290"/>
      <c r="X3" s="16"/>
      <c r="Y3" s="16"/>
      <c r="Z3" s="16"/>
      <c r="AA3" s="16"/>
      <c r="AB3" s="16"/>
      <c r="AC3" s="16"/>
      <c r="AD3" s="16"/>
      <c r="AE3" s="381"/>
      <c r="AF3" s="381"/>
    </row>
    <row r="4" ht="9.75" customHeight="1">
      <c r="B4" s="119"/>
      <c r="C4" s="119"/>
      <c r="D4" s="119"/>
      <c r="H4" s="572"/>
      <c r="J4" s="573"/>
      <c r="M4" s="119"/>
      <c r="N4" s="119"/>
      <c r="Q4" s="242"/>
      <c r="R4" s="242"/>
      <c r="S4" s="242"/>
      <c r="U4" s="290"/>
      <c r="V4" s="587" t="s">
        <v>7</v>
      </c>
      <c r="W4" s="290"/>
    </row>
    <row r="5" ht="18.75" customHeight="1">
      <c r="A5" s="397"/>
      <c r="B5" s="588" t="s">
        <v>98</v>
      </c>
      <c r="C5" s="589" t="s">
        <v>8</v>
      </c>
      <c r="D5" s="590" t="s">
        <v>8</v>
      </c>
      <c r="E5" s="591" t="s">
        <v>9</v>
      </c>
      <c r="F5" s="592" t="s">
        <v>9</v>
      </c>
      <c r="G5" s="593" t="s">
        <v>10</v>
      </c>
      <c r="H5" s="403" t="s">
        <v>11</v>
      </c>
      <c r="I5" s="402" t="s">
        <v>12</v>
      </c>
      <c r="J5" s="594" t="s">
        <v>99</v>
      </c>
      <c r="K5" s="595" t="s">
        <v>100</v>
      </c>
      <c r="L5" s="215"/>
      <c r="M5" s="515" t="s">
        <v>101</v>
      </c>
      <c r="N5" s="215"/>
      <c r="O5" s="596" t="s">
        <v>102</v>
      </c>
      <c r="P5" s="597" t="s">
        <v>103</v>
      </c>
      <c r="Q5" s="598" t="s">
        <v>27</v>
      </c>
      <c r="R5" s="599" t="s">
        <v>104</v>
      </c>
      <c r="S5" s="215"/>
      <c r="T5" s="600" t="s">
        <v>19</v>
      </c>
      <c r="U5" s="290"/>
      <c r="W5" s="290"/>
      <c r="X5" s="397"/>
      <c r="Y5" s="397"/>
      <c r="Z5" s="397"/>
      <c r="AA5" s="397"/>
      <c r="AB5" s="397"/>
      <c r="AC5" s="397"/>
      <c r="AD5" s="397"/>
      <c r="AE5" s="397"/>
      <c r="AF5" s="397"/>
    </row>
    <row r="6" ht="20.25" customHeight="1">
      <c r="A6" s="397"/>
      <c r="B6" s="601" t="s">
        <v>105</v>
      </c>
      <c r="C6" s="602" t="s">
        <v>66</v>
      </c>
      <c r="D6" s="603" t="s">
        <v>21</v>
      </c>
      <c r="E6" s="604" t="s">
        <v>22</v>
      </c>
      <c r="F6" s="605" t="s">
        <v>23</v>
      </c>
      <c r="G6" s="606"/>
      <c r="H6" s="412"/>
      <c r="I6" s="411"/>
      <c r="J6" s="607" t="s">
        <v>66</v>
      </c>
      <c r="K6" s="411" t="s">
        <v>24</v>
      </c>
      <c r="L6" s="411" t="s">
        <v>67</v>
      </c>
      <c r="M6" s="608" t="s">
        <v>24</v>
      </c>
      <c r="N6" s="608" t="s">
        <v>67</v>
      </c>
      <c r="O6" s="609" t="s">
        <v>106</v>
      </c>
      <c r="P6" s="610" t="s">
        <v>107</v>
      </c>
      <c r="Q6" s="611" t="s">
        <v>108</v>
      </c>
      <c r="R6" s="612" t="s">
        <v>8</v>
      </c>
      <c r="S6" s="62" t="s">
        <v>109</v>
      </c>
      <c r="T6" s="613"/>
      <c r="U6" s="290"/>
      <c r="V6" s="290"/>
      <c r="W6" s="614"/>
      <c r="X6" s="615"/>
      <c r="Y6" s="397"/>
      <c r="Z6" s="616"/>
      <c r="AA6" s="616"/>
      <c r="AB6" s="616"/>
      <c r="AC6" s="616"/>
      <c r="AD6" s="397"/>
      <c r="AE6" s="397"/>
      <c r="AF6" s="397"/>
    </row>
    <row r="7" ht="17.25" customHeight="1">
      <c r="A7" s="617"/>
      <c r="B7" s="618" t="s">
        <v>28</v>
      </c>
      <c r="C7" s="619" t="s">
        <v>29</v>
      </c>
      <c r="D7" s="620" t="s">
        <v>30</v>
      </c>
      <c r="E7" s="621" t="s">
        <v>31</v>
      </c>
      <c r="F7" s="622" t="s">
        <v>32</v>
      </c>
      <c r="G7" s="623" t="s">
        <v>33</v>
      </c>
      <c r="H7" s="624" t="s">
        <v>34</v>
      </c>
      <c r="I7" s="421" t="s">
        <v>35</v>
      </c>
      <c r="J7" s="625" t="s">
        <v>36</v>
      </c>
      <c r="K7" s="423" t="s">
        <v>76</v>
      </c>
      <c r="L7" s="423" t="s">
        <v>38</v>
      </c>
      <c r="M7" s="626" t="s">
        <v>77</v>
      </c>
      <c r="N7" s="626" t="s">
        <v>40</v>
      </c>
      <c r="O7" s="423" t="s">
        <v>40</v>
      </c>
      <c r="P7" s="423" t="s">
        <v>110</v>
      </c>
      <c r="Q7" s="625" t="s">
        <v>111</v>
      </c>
      <c r="R7" s="625" t="s">
        <v>43</v>
      </c>
      <c r="S7" s="627" t="s">
        <v>44</v>
      </c>
      <c r="T7" s="628" t="s">
        <v>82</v>
      </c>
      <c r="U7" s="16"/>
      <c r="V7" s="16"/>
      <c r="W7" s="16"/>
      <c r="X7" s="617"/>
      <c r="Y7" s="617"/>
      <c r="Z7" s="617"/>
      <c r="AA7" s="617"/>
      <c r="AB7" s="617"/>
      <c r="AC7" s="617"/>
      <c r="AD7" s="617"/>
      <c r="AE7" s="617"/>
      <c r="AF7" s="617"/>
    </row>
    <row r="8" ht="13.5" customHeight="1">
      <c r="B8" s="629"/>
      <c r="C8" s="630"/>
      <c r="D8" s="631"/>
      <c r="E8" s="632"/>
      <c r="F8" s="633"/>
      <c r="G8" s="634"/>
      <c r="H8" s="635"/>
      <c r="I8" s="636"/>
      <c r="J8" s="637"/>
      <c r="K8" s="636"/>
      <c r="L8" s="636"/>
      <c r="M8" s="436"/>
      <c r="N8" s="436"/>
      <c r="O8" s="636"/>
      <c r="P8" s="636"/>
      <c r="Q8" s="638"/>
      <c r="R8" s="639"/>
      <c r="S8" s="245"/>
      <c r="T8" s="640"/>
      <c r="U8" s="290"/>
      <c r="V8" s="290"/>
      <c r="W8" s="290"/>
    </row>
    <row r="9" ht="19.5" customHeight="1">
      <c r="A9" s="119"/>
      <c r="B9" s="641" t="s">
        <v>8</v>
      </c>
      <c r="C9" s="642" t="str">
        <f>IF(F9=0,0,(VLOOKUP(F9,'MTRL MSK (TPDP)'!$F$9:$W637,18,0)))</f>
        <v>TPDP1</v>
      </c>
      <c r="D9" s="642" t="str">
        <f>IF(C9=0,0,(VLOOKUP(C9,'MTRL MSK (TPDP)'!$B$9:$W637,3,0)))</f>
        <v>PO1</v>
      </c>
      <c r="E9" s="643">
        <f>iferror(IF(C9="","",(VLOOKUP(C9,'MTRL MSK (TPDP)'!$B$9:$W637,4,0))),"")</f>
        <v>2</v>
      </c>
      <c r="F9" s="644" t="str">
        <f>IF(H9=0,0,(VLOOKUP(H9,'MTRL MSK (TPDP)'!$H$9:$X637,17,0)))</f>
        <v>M002</v>
      </c>
      <c r="G9" s="645">
        <v>46161.0</v>
      </c>
      <c r="H9" s="646" t="s">
        <v>112</v>
      </c>
      <c r="I9" s="446" t="str">
        <f>IF(H9=0,0,(VLOOKUP(H9,'MTRL MSK (TPDP)'!$H$9:$U637,2,0)))</f>
        <v>KG</v>
      </c>
      <c r="J9" s="448">
        <f>IFERROR((IF(H9=0,0,(VLOOKUP(H9,'MTRL MSK (TPDP)'!$H$8:$U637,7,0))))/(IF(H9=0,0,(VLOOKUP(H9,'MTRL MSK (TPDP)'!$H$8:$U637,5,0)))),"")</f>
        <v>8700</v>
      </c>
      <c r="K9" s="552">
        <v>1000.0</v>
      </c>
      <c r="L9" s="448">
        <f t="shared" ref="L9:L632" si="1">SUMIF($H$8:$H637,H9,$K$8:$K637)</f>
        <v>2000</v>
      </c>
      <c r="M9" s="647">
        <f t="shared" ref="M9:M632" si="2">+J9*K9</f>
        <v>8700000</v>
      </c>
      <c r="N9" s="647">
        <f t="shared" ref="N9:N632" si="3">SUMIF($H$8:$H637,H9,$M$8:$M637)</f>
        <v>17400000</v>
      </c>
      <c r="O9" s="448">
        <f>IF(H9=0,0,(VLOOKUP(H9,'MTRL MSK (TPDP)'!$H$9:$U637,5,0)))</f>
        <v>5000</v>
      </c>
      <c r="P9" s="448">
        <f t="shared" ref="P9:P632" si="4">O9-L9</f>
        <v>3000</v>
      </c>
      <c r="Q9" s="448">
        <f t="shared" ref="Q9:Q632" si="5">J9*P9</f>
        <v>26100000</v>
      </c>
      <c r="R9" s="648">
        <f>IFERROR(IF(S9="","",(VLOOKUP(S9,'1. BQ RAPL'!$D$14:$K637,8,0))),"")</f>
        <v>7</v>
      </c>
      <c r="S9" s="649" t="s">
        <v>113</v>
      </c>
      <c r="T9" s="650" t="s">
        <v>114</v>
      </c>
      <c r="U9" s="16"/>
      <c r="V9" s="16"/>
      <c r="W9" s="16"/>
      <c r="X9" s="119"/>
      <c r="Y9" s="119"/>
      <c r="Z9" s="119"/>
      <c r="AA9" s="119"/>
      <c r="AB9" s="119"/>
      <c r="AC9" s="119"/>
      <c r="AD9" s="119"/>
      <c r="AE9" s="119"/>
      <c r="AF9" s="119"/>
    </row>
    <row r="10" ht="19.5" customHeight="1">
      <c r="A10" s="119"/>
      <c r="B10" s="641" t="s">
        <v>115</v>
      </c>
      <c r="C10" s="642" t="str">
        <f>IF(F10=0,0,(VLOOKUP(F10,'MTRL MSK (TPDP)'!$F$9:$W637,18,0)))</f>
        <v>TPDP1</v>
      </c>
      <c r="D10" s="642" t="str">
        <f>IF(C10=0,0,(VLOOKUP(C10,'MTRL MSK (TPDP)'!$B$9:$W637,3,0)))</f>
        <v>PO1</v>
      </c>
      <c r="E10" s="643">
        <f>iferror(IF(C10="","",(VLOOKUP(C10,'MTRL MSK (TPDP)'!$B$9:$W637,4,0))),"")</f>
        <v>2</v>
      </c>
      <c r="F10" s="644" t="str">
        <f>IF(H10=0,0,(VLOOKUP(H10,'MTRL MSK (TPDP)'!$H$9:$X637,17,0)))</f>
        <v>M002</v>
      </c>
      <c r="G10" s="645">
        <v>46162.0</v>
      </c>
      <c r="H10" s="646" t="s">
        <v>112</v>
      </c>
      <c r="I10" s="446" t="str">
        <f>IF(H10=0,0,(VLOOKUP(H10,'MTRL MSK (TPDP)'!$H$9:$U637,2,0)))</f>
        <v>KG</v>
      </c>
      <c r="J10" s="448">
        <f>IFERROR((IF(H10=0,0,(VLOOKUP(H10,'MTRL MSK (TPDP)'!$H$8:$U637,7,0))))/(IF(H10=0,0,(VLOOKUP(H10,'MTRL MSK (TPDP)'!$H$8:$U637,5,0)))),"")</f>
        <v>8700</v>
      </c>
      <c r="K10" s="552">
        <v>1000.0</v>
      </c>
      <c r="L10" s="448">
        <f t="shared" si="1"/>
        <v>2000</v>
      </c>
      <c r="M10" s="647">
        <f t="shared" si="2"/>
        <v>8700000</v>
      </c>
      <c r="N10" s="647">
        <f t="shared" si="3"/>
        <v>17400000</v>
      </c>
      <c r="O10" s="448">
        <f>IF(H10=0,0,(VLOOKUP(H10,'MTRL MSK (TPDP)'!$H$9:$U637,5,0)))</f>
        <v>5000</v>
      </c>
      <c r="P10" s="448">
        <f t="shared" si="4"/>
        <v>3000</v>
      </c>
      <c r="Q10" s="448">
        <f t="shared" si="5"/>
        <v>26100000</v>
      </c>
      <c r="R10" s="648">
        <f>IFERROR(IF(S10="","",(VLOOKUP(S10,'1. BQ RAPL'!$D$14:$K637,8,0))),"")</f>
        <v>7</v>
      </c>
      <c r="S10" s="649" t="s">
        <v>113</v>
      </c>
      <c r="T10" s="650" t="s">
        <v>114</v>
      </c>
      <c r="U10" s="16"/>
      <c r="V10" s="16"/>
      <c r="W10" s="16"/>
      <c r="X10" s="119"/>
      <c r="Y10" s="119"/>
      <c r="Z10" s="119"/>
      <c r="AA10" s="119"/>
      <c r="AB10" s="119"/>
      <c r="AC10" s="119"/>
      <c r="AD10" s="119"/>
      <c r="AE10" s="119"/>
      <c r="AF10" s="119"/>
    </row>
    <row r="11" ht="26.25" customHeight="1">
      <c r="A11" s="119"/>
      <c r="B11" s="651" t="s">
        <v>116</v>
      </c>
      <c r="C11" s="642" t="str">
        <f>IF(F11=0,0,(VLOOKUP(F11,'MTRL MSK (TPDP)'!$F$9:$W637,18,0)))</f>
        <v>TPDP3</v>
      </c>
      <c r="D11" s="642" t="str">
        <f>IF(C11=0,0,(VLOOKUP(C11,'MTRL MSK (TPDP)'!$B$9:$W637,3,0)))</f>
        <v>PO3</v>
      </c>
      <c r="E11" s="643">
        <f>iferror(IF(C11="","",(VLOOKUP(C11,'MTRL MSK (TPDP)'!$B$9:$W637,4,0))),"")</f>
        <v>7</v>
      </c>
      <c r="F11" s="644" t="str">
        <f>IF(H11=0,0,(VLOOKUP(H11,'MTRL MSK (TPDP)'!$H$9:$X637,17,0)))</f>
        <v>M007</v>
      </c>
      <c r="G11" s="645">
        <v>46161.0</v>
      </c>
      <c r="H11" s="646" t="s">
        <v>117</v>
      </c>
      <c r="I11" s="446" t="str">
        <f>IF(H11=0,0,(VLOOKUP(H11,'MTRL MSK (TPDP)'!$H$9:$U637,2,0)))</f>
        <v>LBR</v>
      </c>
      <c r="J11" s="448">
        <f>IFERROR((IF(H11=0,0,(VLOOKUP(H11,'MTRL MSK (TPDP)'!$H$8:$U637,7,0))))/(IF(H11=0,0,(VLOOKUP(H11,'MTRL MSK (TPDP)'!$H$8:$U637,5,0)))),"")</f>
        <v>250000</v>
      </c>
      <c r="K11" s="552">
        <v>3.0</v>
      </c>
      <c r="L11" s="448">
        <f t="shared" si="1"/>
        <v>3</v>
      </c>
      <c r="M11" s="647">
        <f t="shared" si="2"/>
        <v>750000</v>
      </c>
      <c r="N11" s="647">
        <f t="shared" si="3"/>
        <v>750000</v>
      </c>
      <c r="O11" s="448">
        <f>IF(H11=0,0,(VLOOKUP(H11,'MTRL MSK (TPDP)'!$H$9:$U637,5,0)))</f>
        <v>5</v>
      </c>
      <c r="P11" s="448">
        <f t="shared" si="4"/>
        <v>2</v>
      </c>
      <c r="Q11" s="448">
        <f t="shared" si="5"/>
        <v>500000</v>
      </c>
      <c r="R11" s="648">
        <f>IFERROR(IF(S11="","",(VLOOKUP(S11,'1. BQ RAPL'!$D$14:$K637,8,0))),"")</f>
        <v>6</v>
      </c>
      <c r="S11" s="649" t="s">
        <v>118</v>
      </c>
      <c r="T11" s="650" t="s">
        <v>114</v>
      </c>
      <c r="U11" s="16"/>
      <c r="V11" s="16"/>
      <c r="W11" s="16"/>
      <c r="X11" s="119"/>
      <c r="Y11" s="119"/>
      <c r="Z11" s="119"/>
      <c r="AA11" s="119"/>
      <c r="AB11" s="119"/>
      <c r="AC11" s="119"/>
      <c r="AD11" s="119"/>
      <c r="AE11" s="119"/>
      <c r="AF11" s="119"/>
    </row>
    <row r="12" ht="25.5" customHeight="1">
      <c r="A12" s="119"/>
      <c r="B12" s="641" t="s">
        <v>105</v>
      </c>
      <c r="C12" s="642" t="str">
        <f>IF(F12=0,0,(VLOOKUP(F12,'MTRL MSK (TPDP)'!$F$9:$W637,18,0)))</f>
        <v>TPDP3</v>
      </c>
      <c r="D12" s="642" t="str">
        <f>IF(C12=0,0,(VLOOKUP(C12,'MTRL MSK (TPDP)'!$B$9:$W637,3,0)))</f>
        <v>PO3</v>
      </c>
      <c r="E12" s="643">
        <f>iferror(IF(C12="","",(VLOOKUP(C12,'MTRL MSK (TPDP)'!$B$9:$W637,4,0))),"")</f>
        <v>7</v>
      </c>
      <c r="F12" s="644" t="str">
        <f>IF(H12=0,0,(VLOOKUP(H12,'MTRL MSK (TPDP)'!$H$9:$X637,17,0)))</f>
        <v>M008</v>
      </c>
      <c r="G12" s="645">
        <v>46174.0</v>
      </c>
      <c r="H12" s="646" t="s">
        <v>50</v>
      </c>
      <c r="I12" s="446" t="str">
        <f>IF(H12=0,0,(VLOOKUP(H12,'MTRL MSK (TPDP)'!$H$9:$U637,2,0)))</f>
        <v>KG</v>
      </c>
      <c r="J12" s="448">
        <f>IFERROR((IF(H12=0,0,(VLOOKUP(H12,'MTRL MSK (TPDP)'!$H$8:$U637,7,0))))/(IF(H12=0,0,(VLOOKUP(H12,'MTRL MSK (TPDP)'!$H$8:$U637,5,0)))),"")</f>
        <v>20285.71429</v>
      </c>
      <c r="K12" s="552">
        <v>3.0</v>
      </c>
      <c r="L12" s="448">
        <f t="shared" si="1"/>
        <v>3</v>
      </c>
      <c r="M12" s="647">
        <f t="shared" si="2"/>
        <v>60857.14286</v>
      </c>
      <c r="N12" s="647">
        <f t="shared" si="3"/>
        <v>60857.14286</v>
      </c>
      <c r="O12" s="448">
        <f>IF(H12=0,0,(VLOOKUP(H12,'MTRL MSK (TPDP)'!$H$9:$U637,5,0)))</f>
        <v>7</v>
      </c>
      <c r="P12" s="448">
        <f t="shared" si="4"/>
        <v>4</v>
      </c>
      <c r="Q12" s="448">
        <f t="shared" si="5"/>
        <v>81142.85714</v>
      </c>
      <c r="R12" s="648">
        <f>IFERROR(IF(S12="","",(VLOOKUP(S12,'1. BQ RAPL'!$D$14:$K637,8,0))),"")</f>
        <v>6</v>
      </c>
      <c r="S12" s="649" t="s">
        <v>118</v>
      </c>
      <c r="T12" s="650" t="s">
        <v>114</v>
      </c>
      <c r="U12" s="16"/>
      <c r="V12" s="16"/>
      <c r="W12" s="16"/>
      <c r="X12" s="119"/>
      <c r="Y12" s="119"/>
      <c r="Z12" s="119"/>
      <c r="AA12" s="119"/>
      <c r="AB12" s="119"/>
      <c r="AC12" s="119"/>
      <c r="AD12" s="119"/>
      <c r="AE12" s="119"/>
      <c r="AF12" s="119"/>
    </row>
    <row r="13" ht="25.5" customHeight="1">
      <c r="A13" s="119"/>
      <c r="B13" s="641" t="s">
        <v>119</v>
      </c>
      <c r="C13" s="642" t="str">
        <f>IF(F13=0,0,(VLOOKUP(F13,'MTRL MSK (TPDP)'!$F$9:$W637,18,0)))</f>
        <v>TPDP4</v>
      </c>
      <c r="D13" s="642" t="str">
        <f>IF(C13=0,0,(VLOOKUP(C13,'MTRL MSK (TPDP)'!$B$9:$W637,3,0)))</f>
        <v>PO4</v>
      </c>
      <c r="E13" s="643">
        <f>iferror(IF(C13="","",(VLOOKUP(C13,'MTRL MSK (TPDP)'!$B$9:$W637,4,0))),"")</f>
        <v>3</v>
      </c>
      <c r="F13" s="644" t="str">
        <f>IF(H13=0,0,(VLOOKUP(H13,'MTRL MSK (TPDP)'!$H$9:$X637,17,0)))</f>
        <v>M003</v>
      </c>
      <c r="G13" s="645">
        <v>46162.0</v>
      </c>
      <c r="H13" s="646" t="s">
        <v>120</v>
      </c>
      <c r="I13" s="446" t="str">
        <f>IF(H13=0,0,(VLOOKUP(H13,'MTRL MSK (TPDP)'!$H$9:$U637,2,0)))</f>
        <v>M3</v>
      </c>
      <c r="J13" s="448">
        <f>IFERROR((IF(H13=0,0,(VLOOKUP(H13,'MTRL MSK (TPDP)'!$H$8:$U637,7,0))))/(IF(H13=0,0,(VLOOKUP(H13,'MTRL MSK (TPDP)'!$H$8:$U637,5,0)))),"")</f>
        <v>200000</v>
      </c>
      <c r="K13" s="559">
        <v>15.0</v>
      </c>
      <c r="L13" s="448">
        <f t="shared" si="1"/>
        <v>15</v>
      </c>
      <c r="M13" s="647">
        <f t="shared" si="2"/>
        <v>3000000</v>
      </c>
      <c r="N13" s="647">
        <f t="shared" si="3"/>
        <v>3000000</v>
      </c>
      <c r="O13" s="448">
        <f>IF(H13=0,0,(VLOOKUP(H13,'MTRL MSK (TPDP)'!$H$9:$U637,5,0)))</f>
        <v>15</v>
      </c>
      <c r="P13" s="448">
        <f t="shared" si="4"/>
        <v>0</v>
      </c>
      <c r="Q13" s="448">
        <f t="shared" si="5"/>
        <v>0</v>
      </c>
      <c r="R13" s="648">
        <f>IFERROR(IF(S13="","",(VLOOKUP(S13,'1. BQ RAPL'!$D$14:$K637,8,0))),"")</f>
        <v>6</v>
      </c>
      <c r="S13" s="649" t="s">
        <v>118</v>
      </c>
      <c r="T13" s="650" t="s">
        <v>114</v>
      </c>
      <c r="U13" s="16"/>
      <c r="V13" s="16"/>
      <c r="W13" s="16"/>
      <c r="X13" s="119"/>
      <c r="Y13" s="119"/>
      <c r="Z13" s="119"/>
      <c r="AA13" s="119"/>
      <c r="AB13" s="119"/>
      <c r="AC13" s="119"/>
      <c r="AD13" s="119"/>
      <c r="AE13" s="119"/>
      <c r="AF13" s="119"/>
    </row>
    <row r="14" ht="24.75" customHeight="1">
      <c r="A14" s="119"/>
      <c r="B14" s="641" t="s">
        <v>121</v>
      </c>
      <c r="C14" s="642" t="str">
        <f>IF(F14=0,0,(VLOOKUP(F14,'MTRL MSK (TPDP)'!$F$9:$W637,18,0)))</f>
        <v>TPDP5</v>
      </c>
      <c r="D14" s="642" t="str">
        <f>IF(C14=0,0,(VLOOKUP(C14,'MTRL MSK (TPDP)'!$B$9:$W637,3,0)))</f>
        <v>PO5</v>
      </c>
      <c r="E14" s="643">
        <f>iferror(IF(C14="","",(VLOOKUP(C14,'MTRL MSK (TPDP)'!$B$9:$W637,4,0))),"")</f>
        <v>6</v>
      </c>
      <c r="F14" s="644" t="str">
        <f>IF(H14=0,0,(VLOOKUP(H14,'MTRL MSK (TPDP)'!$H$9:$X637,17,0)))</f>
        <v>M006</v>
      </c>
      <c r="G14" s="645">
        <v>46168.0</v>
      </c>
      <c r="H14" s="646" t="s">
        <v>47</v>
      </c>
      <c r="I14" s="446" t="str">
        <f>IF(H14=0,0,(VLOOKUP(H14,'MTRL MSK (TPDP)'!$H$9:$U637,2,0)))</f>
        <v>M3</v>
      </c>
      <c r="J14" s="448">
        <f>IFERROR((IF(H14=0,0,(VLOOKUP(H14,'MTRL MSK (TPDP)'!$H$8:$U637,7,0))))/(IF(H14=0,0,(VLOOKUP(H14,'MTRL MSK (TPDP)'!$H$8:$U637,5,0)))),"")</f>
        <v>2200000</v>
      </c>
      <c r="K14" s="552">
        <v>0.5</v>
      </c>
      <c r="L14" s="448">
        <f t="shared" si="1"/>
        <v>0.5</v>
      </c>
      <c r="M14" s="647">
        <f t="shared" si="2"/>
        <v>1100000</v>
      </c>
      <c r="N14" s="647">
        <f t="shared" si="3"/>
        <v>1100000</v>
      </c>
      <c r="O14" s="448">
        <f>IF(H14=0,0,(VLOOKUP(H14,'MTRL MSK (TPDP)'!$H$9:$U637,5,0)))</f>
        <v>1</v>
      </c>
      <c r="P14" s="448">
        <f t="shared" si="4"/>
        <v>0.5</v>
      </c>
      <c r="Q14" s="448">
        <f t="shared" si="5"/>
        <v>1100000</v>
      </c>
      <c r="R14" s="648">
        <f>IFERROR(IF(S14="","",(VLOOKUP(S14,'1. BQ RAPL'!$D$14:$K637,8,0))),"")</f>
        <v>6</v>
      </c>
      <c r="S14" s="649" t="s">
        <v>118</v>
      </c>
      <c r="T14" s="650" t="s">
        <v>114</v>
      </c>
      <c r="U14" s="16"/>
      <c r="V14" s="16"/>
      <c r="W14" s="16"/>
      <c r="X14" s="119"/>
      <c r="Y14" s="119"/>
      <c r="Z14" s="119"/>
      <c r="AA14" s="119"/>
      <c r="AB14" s="119"/>
      <c r="AC14" s="119"/>
      <c r="AD14" s="119"/>
      <c r="AE14" s="119"/>
      <c r="AF14" s="119"/>
    </row>
    <row r="15" ht="26.25" customHeight="1">
      <c r="A15" s="119"/>
      <c r="B15" s="652"/>
      <c r="C15" s="642" t="str">
        <f>IF(F15=0,0,(VLOOKUP(F15,'MTRL MSK (TPDP)'!$F$9:$W637,18,0)))</f>
        <v>TPDP7</v>
      </c>
      <c r="D15" s="642" t="str">
        <f>IF(C15=0,0,(VLOOKUP(C15,'MTRL MSK (TPDP)'!$B$9:$W637,3,0)))</f>
        <v>PO6</v>
      </c>
      <c r="E15" s="643">
        <f>iferror(IF(C15="","",(VLOOKUP(C15,'MTRL MSK (TPDP)'!$B$9:$W637,4,0))),"")</f>
        <v>9</v>
      </c>
      <c r="F15" s="644" t="str">
        <f>IF(H15=0,0,(VLOOKUP(H15,'MTRL MSK (TPDP)'!$H$9:$X637,17,0)))</f>
        <v>M010</v>
      </c>
      <c r="G15" s="653">
        <v>46163.0</v>
      </c>
      <c r="H15" s="654" t="s">
        <v>52</v>
      </c>
      <c r="I15" s="446" t="str">
        <f>IF(H15=0,0,(VLOOKUP(H15,'MTRL MSK (TPDP)'!$H$9:$U637,2,0)))</f>
        <v>UNIT</v>
      </c>
      <c r="J15" s="448">
        <f>IFERROR((IF(H15=0,0,(VLOOKUP(H15,'MTRL MSK (TPDP)'!$H$8:$U637,7,0))))/(IF(H15=0,0,(VLOOKUP(H15,'MTRL MSK (TPDP)'!$H$8:$U637,5,0)))),"")</f>
        <v>25000000</v>
      </c>
      <c r="K15" s="563">
        <v>1.0</v>
      </c>
      <c r="L15" s="448">
        <f t="shared" si="1"/>
        <v>1</v>
      </c>
      <c r="M15" s="647">
        <f t="shared" si="2"/>
        <v>25000000</v>
      </c>
      <c r="N15" s="647">
        <f t="shared" si="3"/>
        <v>25000000</v>
      </c>
      <c r="O15" s="448">
        <f>IF(H15=0,0,(VLOOKUP(H15,'MTRL MSK (TPDP)'!$H$9:$U637,5,0)))</f>
        <v>1</v>
      </c>
      <c r="P15" s="448">
        <f t="shared" si="4"/>
        <v>0</v>
      </c>
      <c r="Q15" s="448">
        <f t="shared" si="5"/>
        <v>0</v>
      </c>
      <c r="R15" s="648">
        <f>IFERROR(IF(S15="","",(VLOOKUP(S15,'1. BQ RAPL'!$D$14:$K637,8,0))),"")</f>
        <v>8</v>
      </c>
      <c r="S15" s="655" t="s">
        <v>122</v>
      </c>
      <c r="T15" s="650"/>
      <c r="U15" s="16"/>
      <c r="V15" s="16"/>
      <c r="W15" s="16"/>
      <c r="X15" s="119"/>
      <c r="Y15" s="119"/>
      <c r="Z15" s="119"/>
      <c r="AA15" s="119"/>
      <c r="AB15" s="119"/>
      <c r="AC15" s="119"/>
      <c r="AD15" s="119"/>
      <c r="AE15" s="119"/>
      <c r="AF15" s="119"/>
    </row>
    <row r="16" ht="26.25" customHeight="1">
      <c r="A16" s="119"/>
      <c r="B16" s="652"/>
      <c r="C16" s="642" t="str">
        <f>IF(F16=0,0,(VLOOKUP(F16,'MTRL MSK (TPDP)'!$F$9:$W637,18,0)))</f>
        <v>TPDP7</v>
      </c>
      <c r="D16" s="642" t="str">
        <f>IF(C16=0,0,(VLOOKUP(C16,'MTRL MSK (TPDP)'!$B$9:$W637,3,0)))</f>
        <v>PO6</v>
      </c>
      <c r="E16" s="643">
        <f>iferror(IF(C16="","",(VLOOKUP(C16,'MTRL MSK (TPDP)'!$B$9:$W637,4,0))),"")</f>
        <v>9</v>
      </c>
      <c r="F16" s="644" t="str">
        <f>IF(H16=0,0,(VLOOKUP(H16,'MTRL MSK (TPDP)'!$H$9:$X637,17,0)))</f>
        <v>M011</v>
      </c>
      <c r="G16" s="653">
        <v>46163.0</v>
      </c>
      <c r="H16" s="654" t="s">
        <v>53</v>
      </c>
      <c r="I16" s="446" t="str">
        <f>IF(H16=0,0,(VLOOKUP(H16,'MTRL MSK (TPDP)'!$H$9:$U637,2,0)))</f>
        <v>UNIT</v>
      </c>
      <c r="J16" s="448">
        <f>IFERROR((IF(H16=0,0,(VLOOKUP(H16,'MTRL MSK (TPDP)'!$H$8:$U637,7,0))))/(IF(H16=0,0,(VLOOKUP(H16,'MTRL MSK (TPDP)'!$H$8:$U637,5,0)))),"")</f>
        <v>500000</v>
      </c>
      <c r="K16" s="563">
        <v>2.0</v>
      </c>
      <c r="L16" s="448">
        <f t="shared" si="1"/>
        <v>2</v>
      </c>
      <c r="M16" s="647">
        <f t="shared" si="2"/>
        <v>1000000</v>
      </c>
      <c r="N16" s="647">
        <f t="shared" si="3"/>
        <v>1000000</v>
      </c>
      <c r="O16" s="448">
        <f>IF(H16=0,0,(VLOOKUP(H16,'MTRL MSK (TPDP)'!$H$9:$U637,5,0)))</f>
        <v>2</v>
      </c>
      <c r="P16" s="448">
        <f t="shared" si="4"/>
        <v>0</v>
      </c>
      <c r="Q16" s="448">
        <f t="shared" si="5"/>
        <v>0</v>
      </c>
      <c r="R16" s="648">
        <f>IFERROR(IF(S16="","",(VLOOKUP(S16,'1. BQ RAPL'!$D$14:$K637,8,0))),"")</f>
        <v>7</v>
      </c>
      <c r="S16" s="655" t="s">
        <v>113</v>
      </c>
      <c r="T16" s="650"/>
      <c r="U16" s="16"/>
      <c r="V16" s="16"/>
      <c r="W16" s="16"/>
      <c r="X16" s="119"/>
      <c r="Y16" s="119"/>
      <c r="Z16" s="119"/>
      <c r="AA16" s="119"/>
      <c r="AB16" s="119"/>
      <c r="AC16" s="119"/>
      <c r="AD16" s="119"/>
      <c r="AE16" s="119"/>
      <c r="AF16" s="119"/>
    </row>
    <row r="17" ht="26.25" customHeight="1">
      <c r="A17" s="119"/>
      <c r="B17" s="652"/>
      <c r="C17" s="642" t="str">
        <f>IF(F17=0,0,(VLOOKUP(F17,'MTRL MSK (TPDP)'!$F$9:$W637,18,0)))</f>
        <v>TPDP7</v>
      </c>
      <c r="D17" s="642" t="str">
        <f>IF(C17=0,0,(VLOOKUP(C17,'MTRL MSK (TPDP)'!$B$9:$W637,3,0)))</f>
        <v>PO6</v>
      </c>
      <c r="E17" s="643">
        <f>iferror(IF(C17="","",(VLOOKUP(C17,'MTRL MSK (TPDP)'!$B$9:$W637,4,0))),"")</f>
        <v>9</v>
      </c>
      <c r="F17" s="644" t="str">
        <f>IF(H17=0,0,(VLOOKUP(H17,'MTRL MSK (TPDP)'!$H$9:$X637,17,0)))</f>
        <v>M012</v>
      </c>
      <c r="G17" s="653">
        <v>46163.0</v>
      </c>
      <c r="H17" s="654" t="s">
        <v>54</v>
      </c>
      <c r="I17" s="446" t="str">
        <f>IF(H17=0,0,(VLOOKUP(H17,'MTRL MSK (TPDP)'!$H$9:$U637,2,0)))</f>
        <v>BUAH</v>
      </c>
      <c r="J17" s="448">
        <f>IFERROR((IF(H17=0,0,(VLOOKUP(H17,'MTRL MSK (TPDP)'!$H$8:$U637,7,0))))/(IF(H17=0,0,(VLOOKUP(H17,'MTRL MSK (TPDP)'!$H$8:$U637,5,0)))),"")</f>
        <v>100000</v>
      </c>
      <c r="K17" s="563">
        <v>20.0</v>
      </c>
      <c r="L17" s="448">
        <f t="shared" si="1"/>
        <v>20</v>
      </c>
      <c r="M17" s="647">
        <f t="shared" si="2"/>
        <v>2000000</v>
      </c>
      <c r="N17" s="647">
        <f t="shared" si="3"/>
        <v>2000000</v>
      </c>
      <c r="O17" s="448">
        <f>IF(H17=0,0,(VLOOKUP(H17,'MTRL MSK (TPDP)'!$H$9:$U637,5,0)))</f>
        <v>20</v>
      </c>
      <c r="P17" s="448">
        <f t="shared" si="4"/>
        <v>0</v>
      </c>
      <c r="Q17" s="448">
        <f t="shared" si="5"/>
        <v>0</v>
      </c>
      <c r="R17" s="648">
        <f>IFERROR(IF(S17="","",(VLOOKUP(S17,'1. BQ RAPL'!$D$14:$K637,8,0))),"")</f>
        <v>6</v>
      </c>
      <c r="S17" s="655" t="s">
        <v>118</v>
      </c>
      <c r="T17" s="650"/>
      <c r="U17" s="16"/>
      <c r="V17" s="16"/>
      <c r="W17" s="16"/>
      <c r="X17" s="119"/>
      <c r="Y17" s="119"/>
      <c r="Z17" s="119"/>
      <c r="AA17" s="119"/>
      <c r="AB17" s="119"/>
      <c r="AC17" s="119"/>
      <c r="AD17" s="119"/>
      <c r="AE17" s="119"/>
      <c r="AF17" s="119"/>
    </row>
    <row r="18" ht="26.25" customHeight="1">
      <c r="A18" s="119"/>
      <c r="B18" s="652"/>
      <c r="C18" s="642">
        <f>IF(F18=0,0,(VLOOKUP(F18,'MTRL MSK (TPDP)'!$F$9:$W637,18,0)))</f>
        <v>0</v>
      </c>
      <c r="D18" s="642">
        <f>IF(C18=0,0,(VLOOKUP(C18,'MTRL MSK (TPDP)'!$B$9:$W637,3,0)))</f>
        <v>0</v>
      </c>
      <c r="E18" s="643" t="str">
        <f>iferror(IF(C18="","",(VLOOKUP(C18,'MTRL MSK (TPDP)'!$B$9:$W637,4,0))),"")</f>
        <v/>
      </c>
      <c r="F18" s="644">
        <f>IF(H18=0,0,(VLOOKUP(H18,'MTRL MSK (TPDP)'!$H$9:$X637,17,0)))</f>
        <v>0</v>
      </c>
      <c r="G18" s="645"/>
      <c r="H18" s="646"/>
      <c r="I18" s="446">
        <f>IF(H18=0,0,(VLOOKUP(H18,'MTRL MSK (TPDP)'!$H$9:$U637,2,0)))</f>
        <v>0</v>
      </c>
      <c r="J18" s="448" t="str">
        <f>IFERROR((IF(H18=0,0,(VLOOKUP(H18,'MTRL MSK (TPDP)'!$H$8:$U637,7,0))))/(IF(H18=0,0,(VLOOKUP(H18,'MTRL MSK (TPDP)'!$H$8:$U637,5,0)))),"")</f>
        <v/>
      </c>
      <c r="K18" s="559"/>
      <c r="L18" s="448">
        <f t="shared" si="1"/>
        <v>0</v>
      </c>
      <c r="M18" s="647">
        <f t="shared" si="2"/>
        <v>0</v>
      </c>
      <c r="N18" s="647">
        <f t="shared" si="3"/>
        <v>0</v>
      </c>
      <c r="O18" s="448">
        <f>IF(H18=0,0,(VLOOKUP(H18,'MTRL MSK (TPDP)'!$H$9:$U637,5,0)))</f>
        <v>0</v>
      </c>
      <c r="P18" s="448">
        <f t="shared" si="4"/>
        <v>0</v>
      </c>
      <c r="Q18" s="448">
        <f t="shared" si="5"/>
        <v>0</v>
      </c>
      <c r="R18" s="648" t="str">
        <f>IFERROR(IF(S18="","",(VLOOKUP(S18,'1. BQ RAPL'!$D$14:$K637,8,0))),"")</f>
        <v/>
      </c>
      <c r="S18" s="649"/>
      <c r="T18" s="650"/>
      <c r="U18" s="16"/>
      <c r="V18" s="16"/>
      <c r="W18" s="16"/>
      <c r="X18" s="119"/>
      <c r="Y18" s="119"/>
      <c r="Z18" s="119"/>
      <c r="AA18" s="119"/>
      <c r="AB18" s="119"/>
      <c r="AC18" s="119"/>
      <c r="AD18" s="119"/>
      <c r="AE18" s="119"/>
      <c r="AF18" s="119"/>
    </row>
    <row r="19" ht="18.75" customHeight="1">
      <c r="A19" s="119"/>
      <c r="B19" s="652"/>
      <c r="C19" s="642">
        <f>IF(F19=0,0,(VLOOKUP(F19,'MTRL MSK (TPDP)'!$F$9:$W637,18,0)))</f>
        <v>0</v>
      </c>
      <c r="D19" s="642">
        <f>IF(C19=0,0,(VLOOKUP(C19,'MTRL MSK (TPDP)'!$B$9:$W637,3,0)))</f>
        <v>0</v>
      </c>
      <c r="E19" s="643" t="str">
        <f>iferror(IF(C19="","",(VLOOKUP(C19,'MTRL MSK (TPDP)'!$B$9:$W637,4,0))),"")</f>
        <v/>
      </c>
      <c r="F19" s="644">
        <f>IF(H19=0,0,(VLOOKUP(H19,'MTRL MSK (TPDP)'!$H$9:$X637,17,0)))</f>
        <v>0</v>
      </c>
      <c r="G19" s="645"/>
      <c r="H19" s="646"/>
      <c r="I19" s="446">
        <f>IF(H19=0,0,(VLOOKUP(H19,'MTRL MSK (TPDP)'!$H$9:$U637,2,0)))</f>
        <v>0</v>
      </c>
      <c r="J19" s="448" t="str">
        <f>IFERROR((IF(H19=0,0,(VLOOKUP(H19,'MTRL MSK (TPDP)'!$H$8:$U637,7,0))))/(IF(H19=0,0,(VLOOKUP(H19,'MTRL MSK (TPDP)'!$H$8:$U637,5,0)))),"")</f>
        <v/>
      </c>
      <c r="K19" s="559"/>
      <c r="L19" s="448">
        <f t="shared" si="1"/>
        <v>0</v>
      </c>
      <c r="M19" s="647">
        <f t="shared" si="2"/>
        <v>0</v>
      </c>
      <c r="N19" s="647">
        <f t="shared" si="3"/>
        <v>0</v>
      </c>
      <c r="O19" s="448">
        <f>IF(H19=0,0,(VLOOKUP(H19,'MTRL MSK (TPDP)'!$H$9:$U637,5,0)))</f>
        <v>0</v>
      </c>
      <c r="P19" s="448">
        <f t="shared" si="4"/>
        <v>0</v>
      </c>
      <c r="Q19" s="448">
        <f t="shared" si="5"/>
        <v>0</v>
      </c>
      <c r="R19" s="648" t="str">
        <f>IFERROR(IF(S19="","",(VLOOKUP(S19,'1. BQ RAPL'!$D$14:$K637,8,0))),"")</f>
        <v/>
      </c>
      <c r="S19" s="649"/>
      <c r="T19" s="650"/>
      <c r="U19" s="16"/>
      <c r="V19" s="16"/>
      <c r="W19" s="16"/>
      <c r="X19" s="119"/>
      <c r="Y19" s="119"/>
      <c r="Z19" s="119"/>
      <c r="AA19" s="119"/>
      <c r="AB19" s="119"/>
      <c r="AC19" s="119"/>
      <c r="AD19" s="119"/>
      <c r="AE19" s="119"/>
      <c r="AF19" s="119"/>
    </row>
    <row r="20" ht="18.75" customHeight="1">
      <c r="A20" s="119"/>
      <c r="B20" s="652"/>
      <c r="C20" s="642">
        <f>IF(F20=0,0,(VLOOKUP(F20,'MTRL MSK (TPDP)'!$F$9:$W637,18,0)))</f>
        <v>0</v>
      </c>
      <c r="D20" s="642">
        <f>IF(C20=0,0,(VLOOKUP(C20,'MTRL MSK (TPDP)'!$B$9:$W637,3,0)))</f>
        <v>0</v>
      </c>
      <c r="E20" s="643" t="str">
        <f>iferror(IF(C20="","",(VLOOKUP(C20,'MTRL MSK (TPDP)'!$B$9:$W637,4,0))),"")</f>
        <v/>
      </c>
      <c r="F20" s="644">
        <f>IF(H20=0,0,(VLOOKUP(H20,'MTRL MSK (TPDP)'!$H$9:$X637,17,0)))</f>
        <v>0</v>
      </c>
      <c r="G20" s="645"/>
      <c r="H20" s="646"/>
      <c r="I20" s="446">
        <f>IF(H20=0,0,(VLOOKUP(H20,'MTRL MSK (TPDP)'!$H$9:$U637,2,0)))</f>
        <v>0</v>
      </c>
      <c r="J20" s="448" t="str">
        <f>IFERROR((IF(H20=0,0,(VLOOKUP(H20,'MTRL MSK (TPDP)'!$H$8:$U637,7,0))))/(IF(H20=0,0,(VLOOKUP(H20,'MTRL MSK (TPDP)'!$H$8:$U637,5,0)))),"")</f>
        <v/>
      </c>
      <c r="K20" s="559"/>
      <c r="L20" s="448">
        <f t="shared" si="1"/>
        <v>0</v>
      </c>
      <c r="M20" s="647">
        <f t="shared" si="2"/>
        <v>0</v>
      </c>
      <c r="N20" s="647">
        <f t="shared" si="3"/>
        <v>0</v>
      </c>
      <c r="O20" s="448">
        <f>IF(H20=0,0,(VLOOKUP(H20,'MTRL MSK (TPDP)'!$H$9:$U637,5,0)))</f>
        <v>0</v>
      </c>
      <c r="P20" s="448">
        <f t="shared" si="4"/>
        <v>0</v>
      </c>
      <c r="Q20" s="448">
        <f t="shared" si="5"/>
        <v>0</v>
      </c>
      <c r="R20" s="648" t="str">
        <f>IFERROR(IF(S20="","",(VLOOKUP(S20,'1. BQ RAPL'!$D$14:$K637,8,0))),"")</f>
        <v/>
      </c>
      <c r="S20" s="649"/>
      <c r="T20" s="650"/>
      <c r="U20" s="16"/>
      <c r="V20" s="16"/>
      <c r="W20" s="16"/>
      <c r="X20" s="119"/>
      <c r="Y20" s="119"/>
      <c r="Z20" s="119"/>
      <c r="AA20" s="119"/>
      <c r="AB20" s="119"/>
      <c r="AC20" s="119"/>
      <c r="AD20" s="119"/>
      <c r="AE20" s="119"/>
      <c r="AF20" s="119"/>
    </row>
    <row r="21" ht="18.75" customHeight="1">
      <c r="A21" s="119"/>
      <c r="B21" s="652"/>
      <c r="C21" s="642">
        <f>IF(F21=0,0,(VLOOKUP(F21,'MTRL MSK (TPDP)'!$F$9:$W637,18,0)))</f>
        <v>0</v>
      </c>
      <c r="D21" s="642">
        <f>IF(C21=0,0,(VLOOKUP(C21,'MTRL MSK (TPDP)'!$B$9:$W637,3,0)))</f>
        <v>0</v>
      </c>
      <c r="E21" s="643" t="str">
        <f>iferror(IF(C21="","",(VLOOKUP(C21,'MTRL MSK (TPDP)'!$B$9:$W637,4,0))),"")</f>
        <v/>
      </c>
      <c r="F21" s="644">
        <f>IF(H21=0,0,(VLOOKUP(H21,'MTRL MSK (TPDP)'!$H$9:$X637,17,0)))</f>
        <v>0</v>
      </c>
      <c r="G21" s="645"/>
      <c r="H21" s="646"/>
      <c r="I21" s="446">
        <f>IF(H21=0,0,(VLOOKUP(H21,'MTRL MSK (TPDP)'!$H$9:$U637,2,0)))</f>
        <v>0</v>
      </c>
      <c r="J21" s="448" t="str">
        <f>IFERROR((IF(H21=0,0,(VLOOKUP(H21,'MTRL MSK (TPDP)'!$H$8:$U637,7,0))))/(IF(H21=0,0,(VLOOKUP(H21,'MTRL MSK (TPDP)'!$H$8:$U637,5,0)))),"")</f>
        <v/>
      </c>
      <c r="K21" s="559"/>
      <c r="L21" s="448">
        <f t="shared" si="1"/>
        <v>0</v>
      </c>
      <c r="M21" s="647">
        <f t="shared" si="2"/>
        <v>0</v>
      </c>
      <c r="N21" s="647">
        <f t="shared" si="3"/>
        <v>0</v>
      </c>
      <c r="O21" s="448">
        <f>IF(H21=0,0,(VLOOKUP(H21,'MTRL MSK (TPDP)'!$H$9:$U637,5,0)))</f>
        <v>0</v>
      </c>
      <c r="P21" s="448">
        <f t="shared" si="4"/>
        <v>0</v>
      </c>
      <c r="Q21" s="448">
        <f t="shared" si="5"/>
        <v>0</v>
      </c>
      <c r="R21" s="648" t="str">
        <f>IFERROR(IF(S21="","",(VLOOKUP(S21,'1. BQ RAPL'!$D$14:$K637,8,0))),"")</f>
        <v/>
      </c>
      <c r="S21" s="649"/>
      <c r="T21" s="650"/>
      <c r="U21" s="16"/>
      <c r="V21" s="16"/>
      <c r="W21" s="16"/>
      <c r="X21" s="119"/>
      <c r="Y21" s="119"/>
      <c r="Z21" s="119"/>
      <c r="AA21" s="119"/>
      <c r="AB21" s="119"/>
      <c r="AC21" s="119"/>
      <c r="AD21" s="119"/>
      <c r="AE21" s="119"/>
      <c r="AF21" s="119"/>
    </row>
    <row r="22" ht="18.75" customHeight="1">
      <c r="A22" s="119"/>
      <c r="B22" s="652"/>
      <c r="C22" s="642">
        <f>IF(F22=0,0,(VLOOKUP(F22,'MTRL MSK (TPDP)'!$F$9:$W637,18,0)))</f>
        <v>0</v>
      </c>
      <c r="D22" s="642">
        <f>IF(C22=0,0,(VLOOKUP(C22,'MTRL MSK (TPDP)'!$B$9:$W637,3,0)))</f>
        <v>0</v>
      </c>
      <c r="E22" s="643" t="str">
        <f>iferror(IF(C22="","",(VLOOKUP(C22,'MTRL MSK (TPDP)'!$B$9:$W637,4,0))),"")</f>
        <v/>
      </c>
      <c r="F22" s="644">
        <f>IF(H22=0,0,(VLOOKUP(H22,'MTRL MSK (TPDP)'!$H$9:$X637,17,0)))</f>
        <v>0</v>
      </c>
      <c r="G22" s="645"/>
      <c r="H22" s="646"/>
      <c r="I22" s="446">
        <f>IF(H22=0,0,(VLOOKUP(H22,'MTRL MSK (TPDP)'!$H$9:$U637,2,0)))</f>
        <v>0</v>
      </c>
      <c r="J22" s="448" t="str">
        <f>IFERROR((IF(H22=0,0,(VLOOKUP(H22,'MTRL MSK (TPDP)'!$H$8:$U637,7,0))))/(IF(H22=0,0,(VLOOKUP(H22,'MTRL MSK (TPDP)'!$H$8:$U637,5,0)))),"")</f>
        <v/>
      </c>
      <c r="K22" s="559"/>
      <c r="L22" s="448">
        <f t="shared" si="1"/>
        <v>0</v>
      </c>
      <c r="M22" s="647">
        <f t="shared" si="2"/>
        <v>0</v>
      </c>
      <c r="N22" s="647">
        <f t="shared" si="3"/>
        <v>0</v>
      </c>
      <c r="O22" s="448">
        <f>IF(H22=0,0,(VLOOKUP(H22,'MTRL MSK (TPDP)'!$H$9:$U637,5,0)))</f>
        <v>0</v>
      </c>
      <c r="P22" s="448">
        <f t="shared" si="4"/>
        <v>0</v>
      </c>
      <c r="Q22" s="448">
        <f t="shared" si="5"/>
        <v>0</v>
      </c>
      <c r="R22" s="648" t="str">
        <f>IFERROR(IF(S22="","",(VLOOKUP(S22,'1. BQ RAPL'!$D$14:$K637,8,0))),"")</f>
        <v/>
      </c>
      <c r="S22" s="649"/>
      <c r="T22" s="650"/>
      <c r="U22" s="16"/>
      <c r="V22" s="16"/>
      <c r="W22" s="16"/>
      <c r="X22" s="119"/>
      <c r="Y22" s="119"/>
      <c r="Z22" s="119"/>
      <c r="AA22" s="119"/>
      <c r="AB22" s="119"/>
      <c r="AC22" s="119"/>
      <c r="AD22" s="119"/>
      <c r="AE22" s="119"/>
      <c r="AF22" s="119"/>
    </row>
    <row r="23" ht="18.75" customHeight="1">
      <c r="A23" s="119"/>
      <c r="B23" s="652"/>
      <c r="C23" s="642">
        <f>IF(F23=0,0,(VLOOKUP(F23,'MTRL MSK (TPDP)'!$F$9:$W637,18,0)))</f>
        <v>0</v>
      </c>
      <c r="D23" s="642">
        <f>IF(C23=0,0,(VLOOKUP(C23,'MTRL MSK (TPDP)'!$B$9:$W637,3,0)))</f>
        <v>0</v>
      </c>
      <c r="E23" s="643" t="str">
        <f>iferror(IF(C23="","",(VLOOKUP(C23,'MTRL MSK (TPDP)'!$B$9:$W637,4,0))),"")</f>
        <v/>
      </c>
      <c r="F23" s="644">
        <f>IF(H23=0,0,(VLOOKUP(H23,'MTRL MSK (TPDP)'!$H$9:$X637,17,0)))</f>
        <v>0</v>
      </c>
      <c r="G23" s="645"/>
      <c r="H23" s="646"/>
      <c r="I23" s="446">
        <f>IF(H23=0,0,(VLOOKUP(H23,'MTRL MSK (TPDP)'!$H$9:$U637,2,0)))</f>
        <v>0</v>
      </c>
      <c r="J23" s="448" t="str">
        <f>IFERROR((IF(H23=0,0,(VLOOKUP(H23,'MTRL MSK (TPDP)'!$H$8:$U637,7,0))))/(IF(H23=0,0,(VLOOKUP(H23,'MTRL MSK (TPDP)'!$H$8:$U637,5,0)))),"")</f>
        <v/>
      </c>
      <c r="K23" s="559"/>
      <c r="L23" s="448">
        <f t="shared" si="1"/>
        <v>0</v>
      </c>
      <c r="M23" s="647">
        <f t="shared" si="2"/>
        <v>0</v>
      </c>
      <c r="N23" s="647">
        <f t="shared" si="3"/>
        <v>0</v>
      </c>
      <c r="O23" s="448">
        <f>IF(H23=0,0,(VLOOKUP(H23,'MTRL MSK (TPDP)'!$H$9:$U637,5,0)))</f>
        <v>0</v>
      </c>
      <c r="P23" s="448">
        <f t="shared" si="4"/>
        <v>0</v>
      </c>
      <c r="Q23" s="448">
        <f t="shared" si="5"/>
        <v>0</v>
      </c>
      <c r="R23" s="648" t="str">
        <f>IFERROR(IF(S23="","",(VLOOKUP(S23,'1. BQ RAPL'!$D$14:$K637,8,0))),"")</f>
        <v/>
      </c>
      <c r="S23" s="649"/>
      <c r="T23" s="650"/>
      <c r="U23" s="16"/>
      <c r="V23" s="16"/>
      <c r="W23" s="16"/>
      <c r="X23" s="119"/>
      <c r="Y23" s="119"/>
      <c r="Z23" s="119"/>
      <c r="AA23" s="119"/>
      <c r="AB23" s="119"/>
      <c r="AC23" s="119"/>
      <c r="AD23" s="119"/>
      <c r="AE23" s="119"/>
      <c r="AF23" s="119"/>
    </row>
    <row r="24" ht="18.75" customHeight="1">
      <c r="A24" s="119"/>
      <c r="B24" s="652"/>
      <c r="C24" s="642">
        <f>IF(F24=0,0,(VLOOKUP(F24,'MTRL MSK (TPDP)'!$F$9:$W637,18,0)))</f>
        <v>0</v>
      </c>
      <c r="D24" s="642">
        <f>IF(C24=0,0,(VLOOKUP(C24,'MTRL MSK (TPDP)'!$B$9:$W637,3,0)))</f>
        <v>0</v>
      </c>
      <c r="E24" s="643" t="str">
        <f>iferror(IF(C24="","",(VLOOKUP(C24,'MTRL MSK (TPDP)'!$B$9:$W637,4,0))),"")</f>
        <v/>
      </c>
      <c r="F24" s="644">
        <f>IF(H24=0,0,(VLOOKUP(H24,'MTRL MSK (TPDP)'!$H$9:$X637,17,0)))</f>
        <v>0</v>
      </c>
      <c r="G24" s="645"/>
      <c r="H24" s="646"/>
      <c r="I24" s="446">
        <f>IF(H24=0,0,(VLOOKUP(H24,'MTRL MSK (TPDP)'!$H$9:$U637,2,0)))</f>
        <v>0</v>
      </c>
      <c r="J24" s="448" t="str">
        <f>IFERROR((IF(H24=0,0,(VLOOKUP(H24,'MTRL MSK (TPDP)'!$H$8:$U637,7,0))))/(IF(H24=0,0,(VLOOKUP(H24,'MTRL MSK (TPDP)'!$H$8:$U637,5,0)))),"")</f>
        <v/>
      </c>
      <c r="K24" s="559"/>
      <c r="L24" s="448">
        <f t="shared" si="1"/>
        <v>0</v>
      </c>
      <c r="M24" s="647">
        <f t="shared" si="2"/>
        <v>0</v>
      </c>
      <c r="N24" s="647">
        <f t="shared" si="3"/>
        <v>0</v>
      </c>
      <c r="O24" s="448">
        <f>IF(H24=0,0,(VLOOKUP(H24,'MTRL MSK (TPDP)'!$H$9:$U637,5,0)))</f>
        <v>0</v>
      </c>
      <c r="P24" s="448">
        <f t="shared" si="4"/>
        <v>0</v>
      </c>
      <c r="Q24" s="448">
        <f t="shared" si="5"/>
        <v>0</v>
      </c>
      <c r="R24" s="648" t="str">
        <f>IFERROR(IF(S24="","",(VLOOKUP(S24,'1. BQ RAPL'!$D$14:$K637,8,0))),"")</f>
        <v/>
      </c>
      <c r="S24" s="649"/>
      <c r="T24" s="650"/>
      <c r="U24" s="16"/>
      <c r="V24" s="16"/>
      <c r="W24" s="16"/>
      <c r="X24" s="119"/>
      <c r="Y24" s="119"/>
      <c r="Z24" s="119"/>
      <c r="AA24" s="119"/>
      <c r="AB24" s="119"/>
      <c r="AC24" s="119"/>
      <c r="AD24" s="119"/>
      <c r="AE24" s="119"/>
      <c r="AF24" s="119"/>
    </row>
    <row r="25" ht="18.75" customHeight="1">
      <c r="A25" s="119"/>
      <c r="B25" s="652"/>
      <c r="C25" s="642">
        <f>IF(F25=0,0,(VLOOKUP(F25,'MTRL MSK (TPDP)'!$F$9:$W637,18,0)))</f>
        <v>0</v>
      </c>
      <c r="D25" s="642">
        <f>IF(C25=0,0,(VLOOKUP(C25,'MTRL MSK (TPDP)'!$B$9:$W637,3,0)))</f>
        <v>0</v>
      </c>
      <c r="E25" s="643" t="str">
        <f>iferror(IF(C25="","",(VLOOKUP(C25,'MTRL MSK (TPDP)'!$B$9:$W637,4,0))),"")</f>
        <v/>
      </c>
      <c r="F25" s="644">
        <f>IF(H25=0,0,(VLOOKUP(H25,'MTRL MSK (TPDP)'!$H$9:$X637,17,0)))</f>
        <v>0</v>
      </c>
      <c r="G25" s="645"/>
      <c r="H25" s="646"/>
      <c r="I25" s="446">
        <f>IF(H25=0,0,(VLOOKUP(H25,'MTRL MSK (TPDP)'!$H$9:$U637,2,0)))</f>
        <v>0</v>
      </c>
      <c r="J25" s="448" t="str">
        <f>IFERROR((IF(H25=0,0,(VLOOKUP(H25,'MTRL MSK (TPDP)'!$H$8:$U637,7,0))))/(IF(H25=0,0,(VLOOKUP(H25,'MTRL MSK (TPDP)'!$H$8:$U637,5,0)))),"")</f>
        <v/>
      </c>
      <c r="K25" s="559"/>
      <c r="L25" s="448">
        <f t="shared" si="1"/>
        <v>0</v>
      </c>
      <c r="M25" s="647">
        <f t="shared" si="2"/>
        <v>0</v>
      </c>
      <c r="N25" s="647">
        <f t="shared" si="3"/>
        <v>0</v>
      </c>
      <c r="O25" s="448">
        <f>IF(H25=0,0,(VLOOKUP(H25,'MTRL MSK (TPDP)'!$H$9:$U637,5,0)))</f>
        <v>0</v>
      </c>
      <c r="P25" s="448">
        <f t="shared" si="4"/>
        <v>0</v>
      </c>
      <c r="Q25" s="448">
        <f t="shared" si="5"/>
        <v>0</v>
      </c>
      <c r="R25" s="648" t="str">
        <f>IFERROR(IF(S25="","",(VLOOKUP(S25,'1. BQ RAPL'!$D$14:$K637,8,0))),"")</f>
        <v/>
      </c>
      <c r="S25" s="649"/>
      <c r="T25" s="650"/>
      <c r="U25" s="16"/>
      <c r="V25" s="16"/>
      <c r="W25" s="16"/>
      <c r="X25" s="119"/>
      <c r="Y25" s="119"/>
      <c r="Z25" s="119"/>
      <c r="AA25" s="119"/>
      <c r="AB25" s="119"/>
      <c r="AC25" s="119"/>
      <c r="AD25" s="119"/>
      <c r="AE25" s="119"/>
      <c r="AF25" s="119"/>
    </row>
    <row r="26" ht="18.75" customHeight="1">
      <c r="A26" s="119"/>
      <c r="B26" s="652"/>
      <c r="C26" s="642">
        <f>IF(F26=0,0,(VLOOKUP(F26,'MTRL MSK (TPDP)'!$F$9:$W637,18,0)))</f>
        <v>0</v>
      </c>
      <c r="D26" s="642">
        <f>IF(C26=0,0,(VLOOKUP(C26,'MTRL MSK (TPDP)'!$B$9:$W637,3,0)))</f>
        <v>0</v>
      </c>
      <c r="E26" s="643" t="str">
        <f>iferror(IF(C26="","",(VLOOKUP(C26,'MTRL MSK (TPDP)'!$B$9:$W637,4,0))),"")</f>
        <v/>
      </c>
      <c r="F26" s="644">
        <f>IF(H26=0,0,(VLOOKUP(H26,'MTRL MSK (TPDP)'!$H$9:$X637,17,0)))</f>
        <v>0</v>
      </c>
      <c r="G26" s="645"/>
      <c r="H26" s="646"/>
      <c r="I26" s="446">
        <f>IF(H26=0,0,(VLOOKUP(H26,'MTRL MSK (TPDP)'!$H$9:$U637,2,0)))</f>
        <v>0</v>
      </c>
      <c r="J26" s="448" t="str">
        <f>IFERROR((IF(H26=0,0,(VLOOKUP(H26,'MTRL MSK (TPDP)'!$H$8:$U637,7,0))))/(IF(H26=0,0,(VLOOKUP(H26,'MTRL MSK (TPDP)'!$H$8:$U637,5,0)))),"")</f>
        <v/>
      </c>
      <c r="K26" s="559"/>
      <c r="L26" s="448">
        <f t="shared" si="1"/>
        <v>0</v>
      </c>
      <c r="M26" s="647">
        <f t="shared" si="2"/>
        <v>0</v>
      </c>
      <c r="N26" s="647">
        <f t="shared" si="3"/>
        <v>0</v>
      </c>
      <c r="O26" s="448">
        <f>IF(H26=0,0,(VLOOKUP(H26,'MTRL MSK (TPDP)'!$H$9:$U637,5,0)))</f>
        <v>0</v>
      </c>
      <c r="P26" s="448">
        <f t="shared" si="4"/>
        <v>0</v>
      </c>
      <c r="Q26" s="448">
        <f t="shared" si="5"/>
        <v>0</v>
      </c>
      <c r="R26" s="648" t="str">
        <f>IFERROR(IF(S26="","",(VLOOKUP(S26,'1. BQ RAPL'!$D$14:$K637,8,0))),"")</f>
        <v/>
      </c>
      <c r="S26" s="649"/>
      <c r="T26" s="650"/>
      <c r="U26" s="16"/>
      <c r="V26" s="16"/>
      <c r="W26" s="16"/>
      <c r="X26" s="119"/>
      <c r="Y26" s="119"/>
      <c r="Z26" s="119"/>
      <c r="AA26" s="119"/>
      <c r="AB26" s="119"/>
      <c r="AC26" s="119"/>
      <c r="AD26" s="119"/>
      <c r="AE26" s="119"/>
      <c r="AF26" s="119"/>
    </row>
    <row r="27" ht="18.75" customHeight="1">
      <c r="A27" s="119"/>
      <c r="B27" s="652"/>
      <c r="C27" s="642">
        <f>IF(F27=0,0,(VLOOKUP(F27,'MTRL MSK (TPDP)'!$F$9:$W637,18,0)))</f>
        <v>0</v>
      </c>
      <c r="D27" s="642">
        <f>IF(C27=0,0,(VLOOKUP(C27,'MTRL MSK (TPDP)'!$B$9:$W637,3,0)))</f>
        <v>0</v>
      </c>
      <c r="E27" s="643" t="str">
        <f>iferror(IF(C27="","",(VLOOKUP(C27,'MTRL MSK (TPDP)'!$B$9:$W637,4,0))),"")</f>
        <v/>
      </c>
      <c r="F27" s="644">
        <f>IF(H27=0,0,(VLOOKUP(H27,'MTRL MSK (TPDP)'!$H$9:$X637,17,0)))</f>
        <v>0</v>
      </c>
      <c r="G27" s="645"/>
      <c r="H27" s="646"/>
      <c r="I27" s="446">
        <f>IF(H27=0,0,(VLOOKUP(H27,'MTRL MSK (TPDP)'!$H$9:$U637,2,0)))</f>
        <v>0</v>
      </c>
      <c r="J27" s="448" t="str">
        <f>IFERROR((IF(H27=0,0,(VLOOKUP(H27,'MTRL MSK (TPDP)'!$H$8:$U637,7,0))))/(IF(H27=0,0,(VLOOKUP(H27,'MTRL MSK (TPDP)'!$H$8:$U637,5,0)))),"")</f>
        <v/>
      </c>
      <c r="K27" s="559"/>
      <c r="L27" s="448">
        <f t="shared" si="1"/>
        <v>0</v>
      </c>
      <c r="M27" s="647">
        <f t="shared" si="2"/>
        <v>0</v>
      </c>
      <c r="N27" s="647">
        <f t="shared" si="3"/>
        <v>0</v>
      </c>
      <c r="O27" s="448">
        <f>IF(H27=0,0,(VLOOKUP(H27,'MTRL MSK (TPDP)'!$H$9:$U637,5,0)))</f>
        <v>0</v>
      </c>
      <c r="P27" s="448">
        <f t="shared" si="4"/>
        <v>0</v>
      </c>
      <c r="Q27" s="448">
        <f t="shared" si="5"/>
        <v>0</v>
      </c>
      <c r="R27" s="648" t="str">
        <f>IFERROR(IF(S27="","",(VLOOKUP(S27,'1. BQ RAPL'!$D$14:$K637,8,0))),"")</f>
        <v/>
      </c>
      <c r="S27" s="649"/>
      <c r="T27" s="650"/>
      <c r="U27" s="16"/>
      <c r="V27" s="16"/>
      <c r="W27" s="16"/>
      <c r="X27" s="119"/>
      <c r="Y27" s="119"/>
      <c r="Z27" s="119"/>
      <c r="AA27" s="119"/>
      <c r="AB27" s="119"/>
      <c r="AC27" s="119"/>
      <c r="AD27" s="119"/>
      <c r="AE27" s="119"/>
      <c r="AF27" s="119"/>
    </row>
    <row r="28" ht="18.75" customHeight="1">
      <c r="A28" s="119"/>
      <c r="B28" s="652"/>
      <c r="C28" s="642">
        <f>IF(F28=0,0,(VLOOKUP(F28,'MTRL MSK (TPDP)'!$F$9:$W637,18,0)))</f>
        <v>0</v>
      </c>
      <c r="D28" s="642">
        <f>IF(C28=0,0,(VLOOKUP(C28,'MTRL MSK (TPDP)'!$B$9:$W637,3,0)))</f>
        <v>0</v>
      </c>
      <c r="E28" s="643" t="str">
        <f>iferror(IF(C28="","",(VLOOKUP(C28,'MTRL MSK (TPDP)'!$B$9:$W637,4,0))),"")</f>
        <v/>
      </c>
      <c r="F28" s="644">
        <f>IF(H28=0,0,(VLOOKUP(H28,'MTRL MSK (TPDP)'!$H$9:$X637,17,0)))</f>
        <v>0</v>
      </c>
      <c r="G28" s="645"/>
      <c r="H28" s="646"/>
      <c r="I28" s="446">
        <f>IF(H28=0,0,(VLOOKUP(H28,'MTRL MSK (TPDP)'!$H$9:$U637,2,0)))</f>
        <v>0</v>
      </c>
      <c r="J28" s="448" t="str">
        <f>IFERROR((IF(H28=0,0,(VLOOKUP(H28,'MTRL MSK (TPDP)'!$H$8:$U637,7,0))))/(IF(H28=0,0,(VLOOKUP(H28,'MTRL MSK (TPDP)'!$H$8:$U637,5,0)))),"")</f>
        <v/>
      </c>
      <c r="K28" s="559"/>
      <c r="L28" s="448">
        <f t="shared" si="1"/>
        <v>0</v>
      </c>
      <c r="M28" s="647">
        <f t="shared" si="2"/>
        <v>0</v>
      </c>
      <c r="N28" s="647">
        <f t="shared" si="3"/>
        <v>0</v>
      </c>
      <c r="O28" s="448">
        <f>IF(H28=0,0,(VLOOKUP(H28,'MTRL MSK (TPDP)'!$H$9:$U637,5,0)))</f>
        <v>0</v>
      </c>
      <c r="P28" s="448">
        <f t="shared" si="4"/>
        <v>0</v>
      </c>
      <c r="Q28" s="448">
        <f t="shared" si="5"/>
        <v>0</v>
      </c>
      <c r="R28" s="648" t="str">
        <f>IFERROR(IF(S28="","",(VLOOKUP(S28,'1. BQ RAPL'!$D$14:$K637,8,0))),"")</f>
        <v/>
      </c>
      <c r="S28" s="649"/>
      <c r="T28" s="650"/>
      <c r="U28" s="16"/>
      <c r="V28" s="16"/>
      <c r="W28" s="16"/>
      <c r="X28" s="119"/>
      <c r="Y28" s="119"/>
      <c r="Z28" s="119"/>
      <c r="AA28" s="119"/>
      <c r="AB28" s="119"/>
      <c r="AC28" s="119"/>
      <c r="AD28" s="119"/>
      <c r="AE28" s="119"/>
      <c r="AF28" s="119"/>
    </row>
    <row r="29" ht="18.75" customHeight="1">
      <c r="A29" s="119"/>
      <c r="B29" s="652"/>
      <c r="C29" s="642">
        <f>IF(F29=0,0,(VLOOKUP(F29,'MTRL MSK (TPDP)'!$F$9:$W637,18,0)))</f>
        <v>0</v>
      </c>
      <c r="D29" s="642">
        <f>IF(C29=0,0,(VLOOKUP(C29,'MTRL MSK (TPDP)'!$B$9:$W637,3,0)))</f>
        <v>0</v>
      </c>
      <c r="E29" s="643" t="str">
        <f>iferror(IF(C29="","",(VLOOKUP(C29,'MTRL MSK (TPDP)'!$B$9:$W637,4,0))),"")</f>
        <v/>
      </c>
      <c r="F29" s="644">
        <f>IF(H29=0,0,(VLOOKUP(H29,'MTRL MSK (TPDP)'!$H$9:$X637,17,0)))</f>
        <v>0</v>
      </c>
      <c r="G29" s="645"/>
      <c r="H29" s="646"/>
      <c r="I29" s="446">
        <f>IF(H29=0,0,(VLOOKUP(H29,'MTRL MSK (TPDP)'!$H$9:$U637,2,0)))</f>
        <v>0</v>
      </c>
      <c r="J29" s="448" t="str">
        <f>IFERROR((IF(H29=0,0,(VLOOKUP(H29,'MTRL MSK (TPDP)'!$H$8:$U637,7,0))))/(IF(H29=0,0,(VLOOKUP(H29,'MTRL MSK (TPDP)'!$H$8:$U637,5,0)))),"")</f>
        <v/>
      </c>
      <c r="K29" s="559"/>
      <c r="L29" s="448">
        <f t="shared" si="1"/>
        <v>0</v>
      </c>
      <c r="M29" s="647">
        <f t="shared" si="2"/>
        <v>0</v>
      </c>
      <c r="N29" s="647">
        <f t="shared" si="3"/>
        <v>0</v>
      </c>
      <c r="O29" s="448">
        <f>IF(H29=0,0,(VLOOKUP(H29,'MTRL MSK (TPDP)'!$H$9:$U637,5,0)))</f>
        <v>0</v>
      </c>
      <c r="P29" s="448">
        <f t="shared" si="4"/>
        <v>0</v>
      </c>
      <c r="Q29" s="448">
        <f t="shared" si="5"/>
        <v>0</v>
      </c>
      <c r="R29" s="648" t="str">
        <f>IFERROR(IF(S29="","",(VLOOKUP(S29,'1. BQ RAPL'!$D$14:$K637,8,0))),"")</f>
        <v/>
      </c>
      <c r="S29" s="649"/>
      <c r="T29" s="650"/>
      <c r="U29" s="16"/>
      <c r="V29" s="16"/>
      <c r="W29" s="16"/>
      <c r="X29" s="119"/>
      <c r="Y29" s="119"/>
      <c r="Z29" s="119"/>
      <c r="AA29" s="119"/>
      <c r="AB29" s="119"/>
      <c r="AC29" s="119"/>
      <c r="AD29" s="119"/>
      <c r="AE29" s="119"/>
      <c r="AF29" s="119"/>
    </row>
    <row r="30" ht="18.75" customHeight="1">
      <c r="A30" s="119"/>
      <c r="B30" s="652"/>
      <c r="C30" s="642">
        <f>IF(F30=0,0,(VLOOKUP(F30,'MTRL MSK (TPDP)'!$F$9:$W637,18,0)))</f>
        <v>0</v>
      </c>
      <c r="D30" s="642">
        <f>IF(C30=0,0,(VLOOKUP(C30,'MTRL MSK (TPDP)'!$B$9:$W637,3,0)))</f>
        <v>0</v>
      </c>
      <c r="E30" s="643" t="str">
        <f>iferror(IF(C30="","",(VLOOKUP(C30,'MTRL MSK (TPDP)'!$B$9:$W637,4,0))),"")</f>
        <v/>
      </c>
      <c r="F30" s="644">
        <f>IF(H30=0,0,(VLOOKUP(H30,'MTRL MSK (TPDP)'!$H$9:$X637,17,0)))</f>
        <v>0</v>
      </c>
      <c r="G30" s="645"/>
      <c r="H30" s="646"/>
      <c r="I30" s="446">
        <f>IF(H30=0,0,(VLOOKUP(H30,'MTRL MSK (TPDP)'!$H$9:$U637,2,0)))</f>
        <v>0</v>
      </c>
      <c r="J30" s="448" t="str">
        <f>IFERROR((IF(H30=0,0,(VLOOKUP(H30,'MTRL MSK (TPDP)'!$H$8:$U637,7,0))))/(IF(H30=0,0,(VLOOKUP(H30,'MTRL MSK (TPDP)'!$H$8:$U637,5,0)))),"")</f>
        <v/>
      </c>
      <c r="K30" s="559"/>
      <c r="L30" s="448">
        <f t="shared" si="1"/>
        <v>0</v>
      </c>
      <c r="M30" s="647">
        <f t="shared" si="2"/>
        <v>0</v>
      </c>
      <c r="N30" s="647">
        <f t="shared" si="3"/>
        <v>0</v>
      </c>
      <c r="O30" s="448">
        <f>IF(H30=0,0,(VLOOKUP(H30,'MTRL MSK (TPDP)'!$H$9:$U637,5,0)))</f>
        <v>0</v>
      </c>
      <c r="P30" s="448">
        <f t="shared" si="4"/>
        <v>0</v>
      </c>
      <c r="Q30" s="448">
        <f t="shared" si="5"/>
        <v>0</v>
      </c>
      <c r="R30" s="648" t="str">
        <f>IFERROR(IF(S30="","",(VLOOKUP(S30,'1. BQ RAPL'!$D$14:$K637,8,0))),"")</f>
        <v/>
      </c>
      <c r="S30" s="649"/>
      <c r="T30" s="650"/>
      <c r="U30" s="16"/>
      <c r="V30" s="16"/>
      <c r="W30" s="16"/>
      <c r="X30" s="119"/>
      <c r="Y30" s="119"/>
      <c r="Z30" s="119"/>
      <c r="AA30" s="119"/>
      <c r="AB30" s="119"/>
      <c r="AC30" s="119"/>
      <c r="AD30" s="119"/>
      <c r="AE30" s="119"/>
      <c r="AF30" s="119"/>
    </row>
    <row r="31" ht="18.75" customHeight="1">
      <c r="A31" s="119"/>
      <c r="B31" s="652"/>
      <c r="C31" s="642">
        <f>IF(F31=0,0,(VLOOKUP(F31,'MTRL MSK (TPDP)'!$F$9:$W637,18,0)))</f>
        <v>0</v>
      </c>
      <c r="D31" s="642">
        <f>IF(C31=0,0,(VLOOKUP(C31,'MTRL MSK (TPDP)'!$B$9:$W637,3,0)))</f>
        <v>0</v>
      </c>
      <c r="E31" s="643" t="str">
        <f>iferror(IF(C31="","",(VLOOKUP(C31,'MTRL MSK (TPDP)'!$B$9:$W637,4,0))),"")</f>
        <v/>
      </c>
      <c r="F31" s="644">
        <f>IF(H31=0,0,(VLOOKUP(H31,'MTRL MSK (TPDP)'!$H$9:$X637,17,0)))</f>
        <v>0</v>
      </c>
      <c r="G31" s="645"/>
      <c r="H31" s="646"/>
      <c r="I31" s="446">
        <f>IF(H31=0,0,(VLOOKUP(H31,'MTRL MSK (TPDP)'!$H$9:$U637,2,0)))</f>
        <v>0</v>
      </c>
      <c r="J31" s="448" t="str">
        <f>IFERROR((IF(H31=0,0,(VLOOKUP(H31,'MTRL MSK (TPDP)'!$H$8:$U637,7,0))))/(IF(H31=0,0,(VLOOKUP(H31,'MTRL MSK (TPDP)'!$H$8:$U637,5,0)))),"")</f>
        <v/>
      </c>
      <c r="K31" s="559"/>
      <c r="L31" s="448">
        <f t="shared" si="1"/>
        <v>0</v>
      </c>
      <c r="M31" s="647">
        <f t="shared" si="2"/>
        <v>0</v>
      </c>
      <c r="N31" s="647">
        <f t="shared" si="3"/>
        <v>0</v>
      </c>
      <c r="O31" s="448">
        <f>IF(H31=0,0,(VLOOKUP(H31,'MTRL MSK (TPDP)'!$H$9:$U637,5,0)))</f>
        <v>0</v>
      </c>
      <c r="P31" s="448">
        <f t="shared" si="4"/>
        <v>0</v>
      </c>
      <c r="Q31" s="448">
        <f t="shared" si="5"/>
        <v>0</v>
      </c>
      <c r="R31" s="648" t="str">
        <f>IFERROR(IF(S31="","",(VLOOKUP(S31,'1. BQ RAPL'!$D$14:$K637,8,0))),"")</f>
        <v/>
      </c>
      <c r="S31" s="649"/>
      <c r="T31" s="650"/>
      <c r="U31" s="16"/>
      <c r="V31" s="16"/>
      <c r="W31" s="16"/>
      <c r="X31" s="119"/>
      <c r="Y31" s="119"/>
      <c r="Z31" s="119"/>
      <c r="AA31" s="119"/>
      <c r="AB31" s="119"/>
      <c r="AC31" s="119"/>
      <c r="AD31" s="119"/>
      <c r="AE31" s="119"/>
      <c r="AF31" s="119"/>
    </row>
    <row r="32" ht="18.75" customHeight="1">
      <c r="A32" s="119"/>
      <c r="B32" s="652"/>
      <c r="C32" s="642">
        <f>IF(F32=0,0,(VLOOKUP(F32,'MTRL MSK (TPDP)'!$F$9:$W637,18,0)))</f>
        <v>0</v>
      </c>
      <c r="D32" s="642">
        <f>IF(C32=0,0,(VLOOKUP(C32,'MTRL MSK (TPDP)'!$B$9:$W637,3,0)))</f>
        <v>0</v>
      </c>
      <c r="E32" s="643" t="str">
        <f>iferror(IF(C32="","",(VLOOKUP(C32,'MTRL MSK (TPDP)'!$B$9:$W637,4,0))),"")</f>
        <v/>
      </c>
      <c r="F32" s="644">
        <f>IF(H32=0,0,(VLOOKUP(H32,'MTRL MSK (TPDP)'!$H$9:$X637,17,0)))</f>
        <v>0</v>
      </c>
      <c r="G32" s="645"/>
      <c r="H32" s="646"/>
      <c r="I32" s="446">
        <f>IF(H32=0,0,(VLOOKUP(H32,'MTRL MSK (TPDP)'!$H$9:$U637,2,0)))</f>
        <v>0</v>
      </c>
      <c r="J32" s="448" t="str">
        <f>IFERROR((IF(H32=0,0,(VLOOKUP(H32,'MTRL MSK (TPDP)'!$H$8:$U637,7,0))))/(IF(H32=0,0,(VLOOKUP(H32,'MTRL MSK (TPDP)'!$H$8:$U637,5,0)))),"")</f>
        <v/>
      </c>
      <c r="K32" s="559"/>
      <c r="L32" s="448">
        <f t="shared" si="1"/>
        <v>0</v>
      </c>
      <c r="M32" s="647">
        <f t="shared" si="2"/>
        <v>0</v>
      </c>
      <c r="N32" s="647">
        <f t="shared" si="3"/>
        <v>0</v>
      </c>
      <c r="O32" s="448">
        <f>IF(H32=0,0,(VLOOKUP(H32,'MTRL MSK (TPDP)'!$H$9:$U637,5,0)))</f>
        <v>0</v>
      </c>
      <c r="P32" s="448">
        <f t="shared" si="4"/>
        <v>0</v>
      </c>
      <c r="Q32" s="448">
        <f t="shared" si="5"/>
        <v>0</v>
      </c>
      <c r="R32" s="648" t="str">
        <f>IFERROR(IF(S32="","",(VLOOKUP(S32,'1. BQ RAPL'!$D$14:$K637,8,0))),"")</f>
        <v/>
      </c>
      <c r="S32" s="649"/>
      <c r="T32" s="650"/>
      <c r="U32" s="16"/>
      <c r="V32" s="16"/>
      <c r="W32" s="16"/>
      <c r="X32" s="119"/>
      <c r="Y32" s="119"/>
      <c r="Z32" s="119"/>
      <c r="AA32" s="119"/>
      <c r="AB32" s="119"/>
      <c r="AC32" s="119"/>
      <c r="AD32" s="119"/>
      <c r="AE32" s="119"/>
      <c r="AF32" s="119"/>
    </row>
    <row r="33" ht="18.75" customHeight="1">
      <c r="A33" s="119"/>
      <c r="B33" s="652"/>
      <c r="C33" s="642">
        <f>IF(F33=0,0,(VLOOKUP(F33,'MTRL MSK (TPDP)'!$F$9:$W637,18,0)))</f>
        <v>0</v>
      </c>
      <c r="D33" s="642">
        <f>IF(C33=0,0,(VLOOKUP(C33,'MTRL MSK (TPDP)'!$B$9:$W637,3,0)))</f>
        <v>0</v>
      </c>
      <c r="E33" s="643" t="str">
        <f>iferror(IF(C33="","",(VLOOKUP(C33,'MTRL MSK (TPDP)'!$B$9:$W637,4,0))),"")</f>
        <v/>
      </c>
      <c r="F33" s="644">
        <f>IF(H33=0,0,(VLOOKUP(H33,'MTRL MSK (TPDP)'!$H$9:$X637,17,0)))</f>
        <v>0</v>
      </c>
      <c r="G33" s="645"/>
      <c r="H33" s="646"/>
      <c r="I33" s="446">
        <f>IF(H33=0,0,(VLOOKUP(H33,'MTRL MSK (TPDP)'!$H$9:$U637,2,0)))</f>
        <v>0</v>
      </c>
      <c r="J33" s="448" t="str">
        <f>IFERROR((IF(H33=0,0,(VLOOKUP(H33,'MTRL MSK (TPDP)'!$H$8:$U637,7,0))))/(IF(H33=0,0,(VLOOKUP(H33,'MTRL MSK (TPDP)'!$H$8:$U637,5,0)))),"")</f>
        <v/>
      </c>
      <c r="K33" s="559"/>
      <c r="L33" s="448">
        <f t="shared" si="1"/>
        <v>0</v>
      </c>
      <c r="M33" s="647">
        <f t="shared" si="2"/>
        <v>0</v>
      </c>
      <c r="N33" s="647">
        <f t="shared" si="3"/>
        <v>0</v>
      </c>
      <c r="O33" s="448">
        <f>IF(H33=0,0,(VLOOKUP(H33,'MTRL MSK (TPDP)'!$H$9:$U637,5,0)))</f>
        <v>0</v>
      </c>
      <c r="P33" s="448">
        <f t="shared" si="4"/>
        <v>0</v>
      </c>
      <c r="Q33" s="448">
        <f t="shared" si="5"/>
        <v>0</v>
      </c>
      <c r="R33" s="648" t="str">
        <f>IFERROR(IF(S33="","",(VLOOKUP(S33,'1. BQ RAPL'!$D$14:$K637,8,0))),"")</f>
        <v/>
      </c>
      <c r="S33" s="649"/>
      <c r="T33" s="650"/>
      <c r="U33" s="16"/>
      <c r="V33" s="16"/>
      <c r="W33" s="16"/>
      <c r="X33" s="119"/>
      <c r="Y33" s="119"/>
      <c r="Z33" s="119"/>
      <c r="AA33" s="119"/>
      <c r="AB33" s="119"/>
      <c r="AC33" s="119"/>
      <c r="AD33" s="119"/>
      <c r="AE33" s="119"/>
      <c r="AF33" s="119"/>
    </row>
    <row r="34" ht="18.75" customHeight="1">
      <c r="A34" s="119"/>
      <c r="B34" s="652"/>
      <c r="C34" s="642">
        <f>IF(F34=0,0,(VLOOKUP(F34,'MTRL MSK (TPDP)'!$F$9:$W637,18,0)))</f>
        <v>0</v>
      </c>
      <c r="D34" s="642">
        <f>IF(C34=0,0,(VLOOKUP(C34,'MTRL MSK (TPDP)'!$B$9:$W637,3,0)))</f>
        <v>0</v>
      </c>
      <c r="E34" s="643" t="str">
        <f>iferror(IF(C34="","",(VLOOKUP(C34,'MTRL MSK (TPDP)'!$B$9:$W637,4,0))),"")</f>
        <v/>
      </c>
      <c r="F34" s="644">
        <f>IF(H34=0,0,(VLOOKUP(H34,'MTRL MSK (TPDP)'!$H$9:$X637,17,0)))</f>
        <v>0</v>
      </c>
      <c r="G34" s="645"/>
      <c r="H34" s="646"/>
      <c r="I34" s="446">
        <f>IF(H34=0,0,(VLOOKUP(H34,'MTRL MSK (TPDP)'!$H$9:$U637,2,0)))</f>
        <v>0</v>
      </c>
      <c r="J34" s="448" t="str">
        <f>IFERROR((IF(H34=0,0,(VLOOKUP(H34,'MTRL MSK (TPDP)'!$H$8:$U637,7,0))))/(IF(H34=0,0,(VLOOKUP(H34,'MTRL MSK (TPDP)'!$H$8:$U637,5,0)))),"")</f>
        <v/>
      </c>
      <c r="K34" s="559"/>
      <c r="L34" s="448">
        <f t="shared" si="1"/>
        <v>0</v>
      </c>
      <c r="M34" s="647">
        <f t="shared" si="2"/>
        <v>0</v>
      </c>
      <c r="N34" s="647">
        <f t="shared" si="3"/>
        <v>0</v>
      </c>
      <c r="O34" s="448">
        <f>IF(H34=0,0,(VLOOKUP(H34,'MTRL MSK (TPDP)'!$H$9:$U637,5,0)))</f>
        <v>0</v>
      </c>
      <c r="P34" s="448">
        <f t="shared" si="4"/>
        <v>0</v>
      </c>
      <c r="Q34" s="448">
        <f t="shared" si="5"/>
        <v>0</v>
      </c>
      <c r="R34" s="648" t="str">
        <f>IFERROR(IF(S34="","",(VLOOKUP(S34,'1. BQ RAPL'!$D$14:$K637,8,0))),"")</f>
        <v/>
      </c>
      <c r="S34" s="649"/>
      <c r="T34" s="650"/>
      <c r="U34" s="16"/>
      <c r="V34" s="16"/>
      <c r="W34" s="16"/>
      <c r="X34" s="119"/>
      <c r="Y34" s="119"/>
      <c r="Z34" s="119"/>
      <c r="AA34" s="119"/>
      <c r="AB34" s="119"/>
      <c r="AC34" s="119"/>
      <c r="AD34" s="119"/>
      <c r="AE34" s="119"/>
      <c r="AF34" s="119"/>
    </row>
    <row r="35" ht="18.75" customHeight="1">
      <c r="A35" s="119"/>
      <c r="B35" s="652"/>
      <c r="C35" s="642">
        <f>IF(F35=0,0,(VLOOKUP(F35,'MTRL MSK (TPDP)'!$F$9:$W637,18,0)))</f>
        <v>0</v>
      </c>
      <c r="D35" s="642">
        <f>IF(C35=0,0,(VLOOKUP(C35,'MTRL MSK (TPDP)'!$B$9:$W637,3,0)))</f>
        <v>0</v>
      </c>
      <c r="E35" s="643" t="str">
        <f>iferror(IF(C35="","",(VLOOKUP(C35,'MTRL MSK (TPDP)'!$B$9:$W637,4,0))),"")</f>
        <v/>
      </c>
      <c r="F35" s="644">
        <f>IF(H35=0,0,(VLOOKUP(H35,'MTRL MSK (TPDP)'!$H$9:$X637,17,0)))</f>
        <v>0</v>
      </c>
      <c r="G35" s="645"/>
      <c r="H35" s="646"/>
      <c r="I35" s="446">
        <f>IF(H35=0,0,(VLOOKUP(H35,'MTRL MSK (TPDP)'!$H$9:$U637,2,0)))</f>
        <v>0</v>
      </c>
      <c r="J35" s="448" t="str">
        <f>IFERROR((IF(H35=0,0,(VLOOKUP(H35,'MTRL MSK (TPDP)'!$H$8:$U637,7,0))))/(IF(H35=0,0,(VLOOKUP(H35,'MTRL MSK (TPDP)'!$H$8:$U637,5,0)))),"")</f>
        <v/>
      </c>
      <c r="K35" s="559"/>
      <c r="L35" s="448">
        <f t="shared" si="1"/>
        <v>0</v>
      </c>
      <c r="M35" s="647">
        <f t="shared" si="2"/>
        <v>0</v>
      </c>
      <c r="N35" s="647">
        <f t="shared" si="3"/>
        <v>0</v>
      </c>
      <c r="O35" s="448">
        <f>IF(H35=0,0,(VLOOKUP(H35,'MTRL MSK (TPDP)'!$H$9:$U637,5,0)))</f>
        <v>0</v>
      </c>
      <c r="P35" s="448">
        <f t="shared" si="4"/>
        <v>0</v>
      </c>
      <c r="Q35" s="448">
        <f t="shared" si="5"/>
        <v>0</v>
      </c>
      <c r="R35" s="648" t="str">
        <f>IFERROR(IF(S35="","",(VLOOKUP(S35,'1. BQ RAPL'!$D$14:$K637,8,0))),"")</f>
        <v/>
      </c>
      <c r="S35" s="649"/>
      <c r="T35" s="650"/>
      <c r="U35" s="16"/>
      <c r="V35" s="16"/>
      <c r="W35" s="16"/>
      <c r="X35" s="119"/>
      <c r="Y35" s="119"/>
      <c r="Z35" s="119"/>
      <c r="AA35" s="119"/>
      <c r="AB35" s="119"/>
      <c r="AC35" s="119"/>
      <c r="AD35" s="119"/>
      <c r="AE35" s="119"/>
      <c r="AF35" s="119"/>
    </row>
    <row r="36" ht="18.75" customHeight="1">
      <c r="A36" s="119"/>
      <c r="B36" s="652"/>
      <c r="C36" s="642">
        <f>IF(F36=0,0,(VLOOKUP(F36,'MTRL MSK (TPDP)'!$F$9:$W637,18,0)))</f>
        <v>0</v>
      </c>
      <c r="D36" s="642">
        <f>IF(C36=0,0,(VLOOKUP(C36,'MTRL MSK (TPDP)'!$B$9:$W637,3,0)))</f>
        <v>0</v>
      </c>
      <c r="E36" s="643" t="str">
        <f>iferror(IF(C36="","",(VLOOKUP(C36,'MTRL MSK (TPDP)'!$B$9:$W637,4,0))),"")</f>
        <v/>
      </c>
      <c r="F36" s="644">
        <f>IF(H36=0,0,(VLOOKUP(H36,'MTRL MSK (TPDP)'!$H$9:$X637,17,0)))</f>
        <v>0</v>
      </c>
      <c r="G36" s="645"/>
      <c r="H36" s="646"/>
      <c r="I36" s="446">
        <f>IF(H36=0,0,(VLOOKUP(H36,'MTRL MSK (TPDP)'!$H$9:$U637,2,0)))</f>
        <v>0</v>
      </c>
      <c r="J36" s="448" t="str">
        <f>IFERROR((IF(H36=0,0,(VLOOKUP(H36,'MTRL MSK (TPDP)'!$H$8:$U637,7,0))))/(IF(H36=0,0,(VLOOKUP(H36,'MTRL MSK (TPDP)'!$H$8:$U637,5,0)))),"")</f>
        <v/>
      </c>
      <c r="K36" s="559"/>
      <c r="L36" s="448">
        <f t="shared" si="1"/>
        <v>0</v>
      </c>
      <c r="M36" s="647">
        <f t="shared" si="2"/>
        <v>0</v>
      </c>
      <c r="N36" s="647">
        <f t="shared" si="3"/>
        <v>0</v>
      </c>
      <c r="O36" s="448">
        <f>IF(H36=0,0,(VLOOKUP(H36,'MTRL MSK (TPDP)'!$H$9:$U637,5,0)))</f>
        <v>0</v>
      </c>
      <c r="P36" s="448">
        <f t="shared" si="4"/>
        <v>0</v>
      </c>
      <c r="Q36" s="448">
        <f t="shared" si="5"/>
        <v>0</v>
      </c>
      <c r="R36" s="648" t="str">
        <f>IFERROR(IF(S36="","",(VLOOKUP(S36,'1. BQ RAPL'!$D$14:$K637,8,0))),"")</f>
        <v/>
      </c>
      <c r="S36" s="649"/>
      <c r="T36" s="650"/>
      <c r="U36" s="16"/>
      <c r="V36" s="16"/>
      <c r="W36" s="16"/>
      <c r="X36" s="119"/>
      <c r="Y36" s="119"/>
      <c r="Z36" s="119"/>
      <c r="AA36" s="119"/>
      <c r="AB36" s="119"/>
      <c r="AC36" s="119"/>
      <c r="AD36" s="119"/>
      <c r="AE36" s="119"/>
      <c r="AF36" s="119"/>
    </row>
    <row r="37" ht="18.75" customHeight="1">
      <c r="A37" s="119"/>
      <c r="B37" s="652"/>
      <c r="C37" s="642">
        <f>IF(F37=0,0,(VLOOKUP(F37,'MTRL MSK (TPDP)'!$F$9:$W637,18,0)))</f>
        <v>0</v>
      </c>
      <c r="D37" s="642">
        <f>IF(C37=0,0,(VLOOKUP(C37,'MTRL MSK (TPDP)'!$B$9:$W637,3,0)))</f>
        <v>0</v>
      </c>
      <c r="E37" s="643" t="str">
        <f>iferror(IF(C37="","",(VLOOKUP(C37,'MTRL MSK (TPDP)'!$B$9:$W637,4,0))),"")</f>
        <v/>
      </c>
      <c r="F37" s="644">
        <f>IF(H37=0,0,(VLOOKUP(H37,'MTRL MSK (TPDP)'!$H$9:$X637,17,0)))</f>
        <v>0</v>
      </c>
      <c r="G37" s="645"/>
      <c r="H37" s="646"/>
      <c r="I37" s="446">
        <f>IF(H37=0,0,(VLOOKUP(H37,'MTRL MSK (TPDP)'!$H$9:$U637,2,0)))</f>
        <v>0</v>
      </c>
      <c r="J37" s="448" t="str">
        <f>IFERROR((IF(H37=0,0,(VLOOKUP(H37,'MTRL MSK (TPDP)'!$H$8:$U637,7,0))))/(IF(H37=0,0,(VLOOKUP(H37,'MTRL MSK (TPDP)'!$H$8:$U637,5,0)))),"")</f>
        <v/>
      </c>
      <c r="K37" s="559"/>
      <c r="L37" s="448">
        <f t="shared" si="1"/>
        <v>0</v>
      </c>
      <c r="M37" s="647">
        <f t="shared" si="2"/>
        <v>0</v>
      </c>
      <c r="N37" s="647">
        <f t="shared" si="3"/>
        <v>0</v>
      </c>
      <c r="O37" s="448">
        <f>IF(H37=0,0,(VLOOKUP(H37,'MTRL MSK (TPDP)'!$H$9:$U637,5,0)))</f>
        <v>0</v>
      </c>
      <c r="P37" s="448">
        <f t="shared" si="4"/>
        <v>0</v>
      </c>
      <c r="Q37" s="448">
        <f t="shared" si="5"/>
        <v>0</v>
      </c>
      <c r="R37" s="648" t="str">
        <f>IFERROR(IF(S37="","",(VLOOKUP(S37,'1. BQ RAPL'!$D$14:$K637,8,0))),"")</f>
        <v/>
      </c>
      <c r="S37" s="649"/>
      <c r="T37" s="650"/>
      <c r="U37" s="16"/>
      <c r="V37" s="16"/>
      <c r="W37" s="16"/>
      <c r="X37" s="119"/>
      <c r="Y37" s="119"/>
      <c r="Z37" s="119"/>
      <c r="AA37" s="119"/>
      <c r="AB37" s="119"/>
      <c r="AC37" s="119"/>
      <c r="AD37" s="119"/>
      <c r="AE37" s="119"/>
      <c r="AF37" s="119"/>
    </row>
    <row r="38" ht="18.75" customHeight="1">
      <c r="A38" s="119"/>
      <c r="B38" s="652"/>
      <c r="C38" s="642">
        <f>IF(F38=0,0,(VLOOKUP(F38,'MTRL MSK (TPDP)'!$F$9:$W637,18,0)))</f>
        <v>0</v>
      </c>
      <c r="D38" s="642">
        <f>IF(C38=0,0,(VLOOKUP(C38,'MTRL MSK (TPDP)'!$B$9:$W637,3,0)))</f>
        <v>0</v>
      </c>
      <c r="E38" s="643" t="str">
        <f>iferror(IF(C38="","",(VLOOKUP(C38,'MTRL MSK (TPDP)'!$B$9:$W637,4,0))),"")</f>
        <v/>
      </c>
      <c r="F38" s="644">
        <f>IF(H38=0,0,(VLOOKUP(H38,'MTRL MSK (TPDP)'!$H$9:$X637,17,0)))</f>
        <v>0</v>
      </c>
      <c r="G38" s="645"/>
      <c r="H38" s="646"/>
      <c r="I38" s="446">
        <f>IF(H38=0,0,(VLOOKUP(H38,'MTRL MSK (TPDP)'!$H$9:$U637,2,0)))</f>
        <v>0</v>
      </c>
      <c r="J38" s="448" t="str">
        <f>IFERROR((IF(H38=0,0,(VLOOKUP(H38,'MTRL MSK (TPDP)'!$H$8:$U637,7,0))))/(IF(H38=0,0,(VLOOKUP(H38,'MTRL MSK (TPDP)'!$H$8:$U637,5,0)))),"")</f>
        <v/>
      </c>
      <c r="K38" s="559"/>
      <c r="L38" s="448">
        <f t="shared" si="1"/>
        <v>0</v>
      </c>
      <c r="M38" s="647">
        <f t="shared" si="2"/>
        <v>0</v>
      </c>
      <c r="N38" s="647">
        <f t="shared" si="3"/>
        <v>0</v>
      </c>
      <c r="O38" s="448">
        <f>IF(H38=0,0,(VLOOKUP(H38,'MTRL MSK (TPDP)'!$H$9:$U637,5,0)))</f>
        <v>0</v>
      </c>
      <c r="P38" s="448">
        <f t="shared" si="4"/>
        <v>0</v>
      </c>
      <c r="Q38" s="448">
        <f t="shared" si="5"/>
        <v>0</v>
      </c>
      <c r="R38" s="648" t="str">
        <f>IFERROR(IF(S38="","",(VLOOKUP(S38,'1. BQ RAPL'!$D$14:$K637,8,0))),"")</f>
        <v/>
      </c>
      <c r="S38" s="649"/>
      <c r="T38" s="650"/>
      <c r="U38" s="16"/>
      <c r="V38" s="16"/>
      <c r="W38" s="16"/>
      <c r="X38" s="119"/>
      <c r="Y38" s="119"/>
      <c r="Z38" s="119"/>
      <c r="AA38" s="119"/>
      <c r="AB38" s="119"/>
      <c r="AC38" s="119"/>
      <c r="AD38" s="119"/>
      <c r="AE38" s="119"/>
      <c r="AF38" s="119"/>
    </row>
    <row r="39" ht="18.75" customHeight="1">
      <c r="A39" s="119"/>
      <c r="B39" s="652"/>
      <c r="C39" s="642">
        <f>IF(F39=0,0,(VLOOKUP(F39,'MTRL MSK (TPDP)'!$F$9:$W637,18,0)))</f>
        <v>0</v>
      </c>
      <c r="D39" s="642">
        <f>IF(C39=0,0,(VLOOKUP(C39,'MTRL MSK (TPDP)'!$B$9:$W637,3,0)))</f>
        <v>0</v>
      </c>
      <c r="E39" s="643" t="str">
        <f>iferror(IF(C39="","",(VLOOKUP(C39,'MTRL MSK (TPDP)'!$B$9:$W637,4,0))),"")</f>
        <v/>
      </c>
      <c r="F39" s="644">
        <f>IF(H39=0,0,(VLOOKUP(H39,'MTRL MSK (TPDP)'!$H$9:$X637,17,0)))</f>
        <v>0</v>
      </c>
      <c r="G39" s="645"/>
      <c r="H39" s="646"/>
      <c r="I39" s="446">
        <f>IF(H39=0,0,(VLOOKUP(H39,'MTRL MSK (TPDP)'!$H$9:$U637,2,0)))</f>
        <v>0</v>
      </c>
      <c r="J39" s="448" t="str">
        <f>IFERROR((IF(H39=0,0,(VLOOKUP(H39,'MTRL MSK (TPDP)'!$H$8:$U637,7,0))))/(IF(H39=0,0,(VLOOKUP(H39,'MTRL MSK (TPDP)'!$H$8:$U637,5,0)))),"")</f>
        <v/>
      </c>
      <c r="K39" s="559"/>
      <c r="L39" s="448">
        <f t="shared" si="1"/>
        <v>0</v>
      </c>
      <c r="M39" s="647">
        <f t="shared" si="2"/>
        <v>0</v>
      </c>
      <c r="N39" s="647">
        <f t="shared" si="3"/>
        <v>0</v>
      </c>
      <c r="O39" s="448">
        <f>IF(H39=0,0,(VLOOKUP(H39,'MTRL MSK (TPDP)'!$H$9:$U637,5,0)))</f>
        <v>0</v>
      </c>
      <c r="P39" s="448">
        <f t="shared" si="4"/>
        <v>0</v>
      </c>
      <c r="Q39" s="448">
        <f t="shared" si="5"/>
        <v>0</v>
      </c>
      <c r="R39" s="648" t="str">
        <f>IFERROR(IF(S39="","",(VLOOKUP(S39,'1. BQ RAPL'!$D$14:$K637,8,0))),"")</f>
        <v/>
      </c>
      <c r="S39" s="649"/>
      <c r="T39" s="650"/>
      <c r="U39" s="16"/>
      <c r="V39" s="16"/>
      <c r="W39" s="16"/>
      <c r="X39" s="119"/>
      <c r="Y39" s="119"/>
      <c r="Z39" s="119"/>
      <c r="AA39" s="119"/>
      <c r="AB39" s="119"/>
      <c r="AC39" s="119"/>
      <c r="AD39" s="119"/>
      <c r="AE39" s="119"/>
      <c r="AF39" s="119"/>
    </row>
    <row r="40" ht="18.75" customHeight="1">
      <c r="A40" s="119"/>
      <c r="B40" s="652"/>
      <c r="C40" s="642">
        <f>IF(F40=0,0,(VLOOKUP(F40,'MTRL MSK (TPDP)'!$F$9:$W637,18,0)))</f>
        <v>0</v>
      </c>
      <c r="D40" s="642">
        <f>IF(C40=0,0,(VLOOKUP(C40,'MTRL MSK (TPDP)'!$B$9:$W637,3,0)))</f>
        <v>0</v>
      </c>
      <c r="E40" s="643" t="str">
        <f>iferror(IF(C40="","",(VLOOKUP(C40,'MTRL MSK (TPDP)'!$B$9:$W637,4,0))),"")</f>
        <v/>
      </c>
      <c r="F40" s="644">
        <f>IF(H40=0,0,(VLOOKUP(H40,'MTRL MSK (TPDP)'!$H$9:$X637,17,0)))</f>
        <v>0</v>
      </c>
      <c r="G40" s="645"/>
      <c r="H40" s="646"/>
      <c r="I40" s="446">
        <f>IF(H40=0,0,(VLOOKUP(H40,'MTRL MSK (TPDP)'!$H$9:$U637,2,0)))</f>
        <v>0</v>
      </c>
      <c r="J40" s="448" t="str">
        <f>IFERROR((IF(H40=0,0,(VLOOKUP(H40,'MTRL MSK (TPDP)'!$H$8:$U637,7,0))))/(IF(H40=0,0,(VLOOKUP(H40,'MTRL MSK (TPDP)'!$H$8:$U637,5,0)))),"")</f>
        <v/>
      </c>
      <c r="K40" s="559"/>
      <c r="L40" s="448">
        <f t="shared" si="1"/>
        <v>0</v>
      </c>
      <c r="M40" s="647">
        <f t="shared" si="2"/>
        <v>0</v>
      </c>
      <c r="N40" s="647">
        <f t="shared" si="3"/>
        <v>0</v>
      </c>
      <c r="O40" s="448">
        <f>IF(H40=0,0,(VLOOKUP(H40,'MTRL MSK (TPDP)'!$H$9:$U637,5,0)))</f>
        <v>0</v>
      </c>
      <c r="P40" s="448">
        <f t="shared" si="4"/>
        <v>0</v>
      </c>
      <c r="Q40" s="448">
        <f t="shared" si="5"/>
        <v>0</v>
      </c>
      <c r="R40" s="648" t="str">
        <f>IFERROR(IF(S40="","",(VLOOKUP(S40,'1. BQ RAPL'!$D$14:$K637,8,0))),"")</f>
        <v/>
      </c>
      <c r="S40" s="649"/>
      <c r="T40" s="650"/>
      <c r="U40" s="16"/>
      <c r="V40" s="16"/>
      <c r="W40" s="16"/>
      <c r="X40" s="119"/>
      <c r="Y40" s="119"/>
      <c r="Z40" s="119"/>
      <c r="AA40" s="119"/>
      <c r="AB40" s="119"/>
      <c r="AC40" s="119"/>
      <c r="AD40" s="119"/>
      <c r="AE40" s="119"/>
      <c r="AF40" s="119"/>
    </row>
    <row r="41" ht="18.75" customHeight="1">
      <c r="A41" s="119"/>
      <c r="B41" s="652"/>
      <c r="C41" s="642">
        <f>IF(F41=0,0,(VLOOKUP(F41,'MTRL MSK (TPDP)'!$F$9:$W637,18,0)))</f>
        <v>0</v>
      </c>
      <c r="D41" s="642">
        <f>IF(C41=0,0,(VLOOKUP(C41,'MTRL MSK (TPDP)'!$B$9:$W637,3,0)))</f>
        <v>0</v>
      </c>
      <c r="E41" s="643" t="str">
        <f>iferror(IF(C41="","",(VLOOKUP(C41,'MTRL MSK (TPDP)'!$B$9:$W637,4,0))),"")</f>
        <v/>
      </c>
      <c r="F41" s="644">
        <f>IF(H41=0,0,(VLOOKUP(H41,'MTRL MSK (TPDP)'!$H$9:$X637,17,0)))</f>
        <v>0</v>
      </c>
      <c r="G41" s="645"/>
      <c r="H41" s="646"/>
      <c r="I41" s="446">
        <f>IF(H41=0,0,(VLOOKUP(H41,'MTRL MSK (TPDP)'!$H$9:$U637,2,0)))</f>
        <v>0</v>
      </c>
      <c r="J41" s="448" t="str">
        <f>IFERROR((IF(H41=0,0,(VLOOKUP(H41,'MTRL MSK (TPDP)'!$H$8:$U637,7,0))))/(IF(H41=0,0,(VLOOKUP(H41,'MTRL MSK (TPDP)'!$H$8:$U637,5,0)))),"")</f>
        <v/>
      </c>
      <c r="K41" s="559"/>
      <c r="L41" s="448">
        <f t="shared" si="1"/>
        <v>0</v>
      </c>
      <c r="M41" s="647">
        <f t="shared" si="2"/>
        <v>0</v>
      </c>
      <c r="N41" s="647">
        <f t="shared" si="3"/>
        <v>0</v>
      </c>
      <c r="O41" s="448">
        <f>IF(H41=0,0,(VLOOKUP(H41,'MTRL MSK (TPDP)'!$H$9:$U637,5,0)))</f>
        <v>0</v>
      </c>
      <c r="P41" s="448">
        <f t="shared" si="4"/>
        <v>0</v>
      </c>
      <c r="Q41" s="448">
        <f t="shared" si="5"/>
        <v>0</v>
      </c>
      <c r="R41" s="648" t="str">
        <f>IFERROR(IF(S41="","",(VLOOKUP(S41,'1. BQ RAPL'!$D$14:$K637,8,0))),"")</f>
        <v/>
      </c>
      <c r="S41" s="649"/>
      <c r="T41" s="650"/>
      <c r="U41" s="16"/>
      <c r="V41" s="16"/>
      <c r="W41" s="16"/>
      <c r="X41" s="119"/>
      <c r="Y41" s="119"/>
      <c r="Z41" s="119"/>
      <c r="AA41" s="119"/>
      <c r="AB41" s="119"/>
      <c r="AC41" s="119"/>
      <c r="AD41" s="119"/>
      <c r="AE41" s="119"/>
      <c r="AF41" s="119"/>
    </row>
    <row r="42" ht="18.75" customHeight="1">
      <c r="A42" s="119"/>
      <c r="B42" s="652"/>
      <c r="C42" s="642">
        <f>IF(F42=0,0,(VLOOKUP(F42,'MTRL MSK (TPDP)'!$F$9:$W637,18,0)))</f>
        <v>0</v>
      </c>
      <c r="D42" s="642">
        <f>IF(C42=0,0,(VLOOKUP(C42,'MTRL MSK (TPDP)'!$B$9:$W637,3,0)))</f>
        <v>0</v>
      </c>
      <c r="E42" s="643" t="str">
        <f>iferror(IF(C42="","",(VLOOKUP(C42,'MTRL MSK (TPDP)'!$B$9:$W637,4,0))),"")</f>
        <v/>
      </c>
      <c r="F42" s="644">
        <f>IF(H42=0,0,(VLOOKUP(H42,'MTRL MSK (TPDP)'!$H$9:$X637,17,0)))</f>
        <v>0</v>
      </c>
      <c r="G42" s="645"/>
      <c r="H42" s="646"/>
      <c r="I42" s="446">
        <f>IF(H42=0,0,(VLOOKUP(H42,'MTRL MSK (TPDP)'!$H$9:$U637,2,0)))</f>
        <v>0</v>
      </c>
      <c r="J42" s="448" t="str">
        <f>IFERROR((IF(H42=0,0,(VLOOKUP(H42,'MTRL MSK (TPDP)'!$H$8:$U637,7,0))))/(IF(H42=0,0,(VLOOKUP(H42,'MTRL MSK (TPDP)'!$H$8:$U637,5,0)))),"")</f>
        <v/>
      </c>
      <c r="K42" s="559"/>
      <c r="L42" s="448">
        <f t="shared" si="1"/>
        <v>0</v>
      </c>
      <c r="M42" s="647">
        <f t="shared" si="2"/>
        <v>0</v>
      </c>
      <c r="N42" s="647">
        <f t="shared" si="3"/>
        <v>0</v>
      </c>
      <c r="O42" s="448">
        <f>IF(H42=0,0,(VLOOKUP(H42,'MTRL MSK (TPDP)'!$H$9:$U637,5,0)))</f>
        <v>0</v>
      </c>
      <c r="P42" s="448">
        <f t="shared" si="4"/>
        <v>0</v>
      </c>
      <c r="Q42" s="448">
        <f t="shared" si="5"/>
        <v>0</v>
      </c>
      <c r="R42" s="648" t="str">
        <f>IFERROR(IF(S42="","",(VLOOKUP(S42,'1. BQ RAPL'!$D$14:$K637,8,0))),"")</f>
        <v/>
      </c>
      <c r="S42" s="649"/>
      <c r="T42" s="650"/>
      <c r="U42" s="16"/>
      <c r="V42" s="16"/>
      <c r="W42" s="16"/>
      <c r="X42" s="119"/>
      <c r="Y42" s="119"/>
      <c r="Z42" s="119"/>
      <c r="AA42" s="119"/>
      <c r="AB42" s="119"/>
      <c r="AC42" s="119"/>
      <c r="AD42" s="119"/>
      <c r="AE42" s="119"/>
      <c r="AF42" s="119"/>
    </row>
    <row r="43" ht="18.75" customHeight="1">
      <c r="A43" s="119"/>
      <c r="B43" s="652"/>
      <c r="C43" s="642">
        <f>IF(F43=0,0,(VLOOKUP(F43,'MTRL MSK (TPDP)'!$F$9:$W637,18,0)))</f>
        <v>0</v>
      </c>
      <c r="D43" s="642">
        <f>IF(C43=0,0,(VLOOKUP(C43,'MTRL MSK (TPDP)'!$B$9:$W637,3,0)))</f>
        <v>0</v>
      </c>
      <c r="E43" s="643" t="str">
        <f>iferror(IF(C43="","",(VLOOKUP(C43,'MTRL MSK (TPDP)'!$B$9:$W637,4,0))),"")</f>
        <v/>
      </c>
      <c r="F43" s="644">
        <f>IF(H43=0,0,(VLOOKUP(H43,'MTRL MSK (TPDP)'!$H$9:$X637,17,0)))</f>
        <v>0</v>
      </c>
      <c r="G43" s="645"/>
      <c r="H43" s="646"/>
      <c r="I43" s="446">
        <f>IF(H43=0,0,(VLOOKUP(H43,'MTRL MSK (TPDP)'!$H$9:$U637,2,0)))</f>
        <v>0</v>
      </c>
      <c r="J43" s="448" t="str">
        <f>IFERROR((IF(H43=0,0,(VLOOKUP(H43,'MTRL MSK (TPDP)'!$H$8:$U637,7,0))))/(IF(H43=0,0,(VLOOKUP(H43,'MTRL MSK (TPDP)'!$H$8:$U637,5,0)))),"")</f>
        <v/>
      </c>
      <c r="K43" s="559"/>
      <c r="L43" s="448">
        <f t="shared" si="1"/>
        <v>0</v>
      </c>
      <c r="M43" s="647">
        <f t="shared" si="2"/>
        <v>0</v>
      </c>
      <c r="N43" s="647">
        <f t="shared" si="3"/>
        <v>0</v>
      </c>
      <c r="O43" s="448">
        <f>IF(H43=0,0,(VLOOKUP(H43,'MTRL MSK (TPDP)'!$H$9:$U637,5,0)))</f>
        <v>0</v>
      </c>
      <c r="P43" s="448">
        <f t="shared" si="4"/>
        <v>0</v>
      </c>
      <c r="Q43" s="448">
        <f t="shared" si="5"/>
        <v>0</v>
      </c>
      <c r="R43" s="648" t="str">
        <f>IFERROR(IF(S43="","",(VLOOKUP(S43,'1. BQ RAPL'!$D$14:$K637,8,0))),"")</f>
        <v/>
      </c>
      <c r="S43" s="649"/>
      <c r="T43" s="650"/>
      <c r="U43" s="16"/>
      <c r="V43" s="16"/>
      <c r="W43" s="16"/>
      <c r="X43" s="119"/>
      <c r="Y43" s="119"/>
      <c r="Z43" s="119"/>
      <c r="AA43" s="119"/>
      <c r="AB43" s="119"/>
      <c r="AC43" s="119"/>
      <c r="AD43" s="119"/>
      <c r="AE43" s="119"/>
      <c r="AF43" s="119"/>
    </row>
    <row r="44" ht="18.75" customHeight="1">
      <c r="A44" s="119"/>
      <c r="B44" s="652"/>
      <c r="C44" s="642">
        <f>IF(F44=0,0,(VLOOKUP(F44,'MTRL MSK (TPDP)'!$F$9:$W637,18,0)))</f>
        <v>0</v>
      </c>
      <c r="D44" s="642">
        <f>IF(C44=0,0,(VLOOKUP(C44,'MTRL MSK (TPDP)'!$B$9:$W637,3,0)))</f>
        <v>0</v>
      </c>
      <c r="E44" s="643" t="str">
        <f>iferror(IF(C44="","",(VLOOKUP(C44,'MTRL MSK (TPDP)'!$B$9:$W637,4,0))),"")</f>
        <v/>
      </c>
      <c r="F44" s="644">
        <f>IF(H44=0,0,(VLOOKUP(H44,'MTRL MSK (TPDP)'!$H$9:$X637,17,0)))</f>
        <v>0</v>
      </c>
      <c r="G44" s="645"/>
      <c r="H44" s="646"/>
      <c r="I44" s="446">
        <f>IF(H44=0,0,(VLOOKUP(H44,'MTRL MSK (TPDP)'!$H$9:$U637,2,0)))</f>
        <v>0</v>
      </c>
      <c r="J44" s="448" t="str">
        <f>IFERROR((IF(H44=0,0,(VLOOKUP(H44,'MTRL MSK (TPDP)'!$H$8:$U637,7,0))))/(IF(H44=0,0,(VLOOKUP(H44,'MTRL MSK (TPDP)'!$H$8:$U637,5,0)))),"")</f>
        <v/>
      </c>
      <c r="K44" s="559"/>
      <c r="L44" s="448">
        <f t="shared" si="1"/>
        <v>0</v>
      </c>
      <c r="M44" s="647">
        <f t="shared" si="2"/>
        <v>0</v>
      </c>
      <c r="N44" s="647">
        <f t="shared" si="3"/>
        <v>0</v>
      </c>
      <c r="O44" s="448">
        <f>IF(H44=0,0,(VLOOKUP(H44,'MTRL MSK (TPDP)'!$H$9:$U637,5,0)))</f>
        <v>0</v>
      </c>
      <c r="P44" s="448">
        <f t="shared" si="4"/>
        <v>0</v>
      </c>
      <c r="Q44" s="448">
        <f t="shared" si="5"/>
        <v>0</v>
      </c>
      <c r="R44" s="648" t="str">
        <f>IFERROR(IF(S44="","",(VLOOKUP(S44,'1. BQ RAPL'!$D$14:$K637,8,0))),"")</f>
        <v/>
      </c>
      <c r="S44" s="649"/>
      <c r="T44" s="650"/>
      <c r="U44" s="16"/>
      <c r="V44" s="16"/>
      <c r="W44" s="16"/>
      <c r="X44" s="119"/>
      <c r="Y44" s="119"/>
      <c r="Z44" s="119"/>
      <c r="AA44" s="119"/>
      <c r="AB44" s="119"/>
      <c r="AC44" s="119"/>
      <c r="AD44" s="119"/>
      <c r="AE44" s="119"/>
      <c r="AF44" s="119"/>
    </row>
    <row r="45" ht="18.75" customHeight="1">
      <c r="A45" s="119"/>
      <c r="B45" s="652"/>
      <c r="C45" s="642">
        <f>IF(F45=0,0,(VLOOKUP(F45,'MTRL MSK (TPDP)'!$F$9:$W637,18,0)))</f>
        <v>0</v>
      </c>
      <c r="D45" s="642">
        <f>IF(C45=0,0,(VLOOKUP(C45,'MTRL MSK (TPDP)'!$B$9:$W637,3,0)))</f>
        <v>0</v>
      </c>
      <c r="E45" s="643" t="str">
        <f>iferror(IF(C45="","",(VLOOKUP(C45,'MTRL MSK (TPDP)'!$B$9:$W637,4,0))),"")</f>
        <v/>
      </c>
      <c r="F45" s="644">
        <f>IF(H45=0,0,(VLOOKUP(H45,'MTRL MSK (TPDP)'!$H$9:$X637,17,0)))</f>
        <v>0</v>
      </c>
      <c r="G45" s="645"/>
      <c r="H45" s="646"/>
      <c r="I45" s="446">
        <f>IF(H45=0,0,(VLOOKUP(H45,'MTRL MSK (TPDP)'!$H$9:$U637,2,0)))</f>
        <v>0</v>
      </c>
      <c r="J45" s="448" t="str">
        <f>IFERROR((IF(H45=0,0,(VLOOKUP(H45,'MTRL MSK (TPDP)'!$H$8:$U637,7,0))))/(IF(H45=0,0,(VLOOKUP(H45,'MTRL MSK (TPDP)'!$H$8:$U637,5,0)))),"")</f>
        <v/>
      </c>
      <c r="K45" s="559"/>
      <c r="L45" s="448">
        <f t="shared" si="1"/>
        <v>0</v>
      </c>
      <c r="M45" s="647">
        <f t="shared" si="2"/>
        <v>0</v>
      </c>
      <c r="N45" s="647">
        <f t="shared" si="3"/>
        <v>0</v>
      </c>
      <c r="O45" s="448">
        <f>IF(H45=0,0,(VLOOKUP(H45,'MTRL MSK (TPDP)'!$H$9:$U637,5,0)))</f>
        <v>0</v>
      </c>
      <c r="P45" s="448">
        <f t="shared" si="4"/>
        <v>0</v>
      </c>
      <c r="Q45" s="448">
        <f t="shared" si="5"/>
        <v>0</v>
      </c>
      <c r="R45" s="648" t="str">
        <f>IFERROR(IF(S45="","",(VLOOKUP(S45,'1. BQ RAPL'!$D$14:$K637,8,0))),"")</f>
        <v/>
      </c>
      <c r="S45" s="649"/>
      <c r="T45" s="650"/>
      <c r="U45" s="16"/>
      <c r="V45" s="16"/>
      <c r="W45" s="16"/>
      <c r="X45" s="119"/>
      <c r="Y45" s="119"/>
      <c r="Z45" s="119"/>
      <c r="AA45" s="119"/>
      <c r="AB45" s="119"/>
      <c r="AC45" s="119"/>
      <c r="AD45" s="119"/>
      <c r="AE45" s="119"/>
      <c r="AF45" s="119"/>
    </row>
    <row r="46" ht="18.75" customHeight="1">
      <c r="A46" s="119"/>
      <c r="B46" s="652"/>
      <c r="C46" s="642">
        <f>IF(F46=0,0,(VLOOKUP(F46,'MTRL MSK (TPDP)'!$F$9:$W637,18,0)))</f>
        <v>0</v>
      </c>
      <c r="D46" s="642">
        <f>IF(C46=0,0,(VLOOKUP(C46,'MTRL MSK (TPDP)'!$B$9:$W637,3,0)))</f>
        <v>0</v>
      </c>
      <c r="E46" s="643" t="str">
        <f>iferror(IF(C46="","",(VLOOKUP(C46,'MTRL MSK (TPDP)'!$B$9:$W637,4,0))),"")</f>
        <v/>
      </c>
      <c r="F46" s="644">
        <f>IF(H46=0,0,(VLOOKUP(H46,'MTRL MSK (TPDP)'!$H$9:$X637,17,0)))</f>
        <v>0</v>
      </c>
      <c r="G46" s="645"/>
      <c r="H46" s="646"/>
      <c r="I46" s="446">
        <f>IF(H46=0,0,(VLOOKUP(H46,'MTRL MSK (TPDP)'!$H$9:$U637,2,0)))</f>
        <v>0</v>
      </c>
      <c r="J46" s="448" t="str">
        <f>IFERROR((IF(H46=0,0,(VLOOKUP(H46,'MTRL MSK (TPDP)'!$H$8:$U637,7,0))))/(IF(H46=0,0,(VLOOKUP(H46,'MTRL MSK (TPDP)'!$H$8:$U637,5,0)))),"")</f>
        <v/>
      </c>
      <c r="K46" s="559"/>
      <c r="L46" s="448">
        <f t="shared" si="1"/>
        <v>0</v>
      </c>
      <c r="M46" s="647">
        <f t="shared" si="2"/>
        <v>0</v>
      </c>
      <c r="N46" s="647">
        <f t="shared" si="3"/>
        <v>0</v>
      </c>
      <c r="O46" s="448">
        <f>IF(H46=0,0,(VLOOKUP(H46,'MTRL MSK (TPDP)'!$H$9:$U637,5,0)))</f>
        <v>0</v>
      </c>
      <c r="P46" s="448">
        <f t="shared" si="4"/>
        <v>0</v>
      </c>
      <c r="Q46" s="448">
        <f t="shared" si="5"/>
        <v>0</v>
      </c>
      <c r="R46" s="648" t="str">
        <f>IFERROR(IF(S46="","",(VLOOKUP(S46,'1. BQ RAPL'!$D$14:$K637,8,0))),"")</f>
        <v/>
      </c>
      <c r="S46" s="649"/>
      <c r="T46" s="650"/>
      <c r="U46" s="16"/>
      <c r="V46" s="16"/>
      <c r="W46" s="16"/>
      <c r="X46" s="119"/>
      <c r="Y46" s="119"/>
      <c r="Z46" s="119"/>
      <c r="AA46" s="119"/>
      <c r="AB46" s="119"/>
      <c r="AC46" s="119"/>
      <c r="AD46" s="119"/>
      <c r="AE46" s="119"/>
      <c r="AF46" s="119"/>
    </row>
    <row r="47" ht="18.75" customHeight="1">
      <c r="A47" s="119"/>
      <c r="B47" s="652"/>
      <c r="C47" s="642">
        <f>IF(F47=0,0,(VLOOKUP(F47,'MTRL MSK (TPDP)'!$F$9:$W637,18,0)))</f>
        <v>0</v>
      </c>
      <c r="D47" s="642">
        <f>IF(C47=0,0,(VLOOKUP(C47,'MTRL MSK (TPDP)'!$B$9:$W637,3,0)))</f>
        <v>0</v>
      </c>
      <c r="E47" s="643" t="str">
        <f>iferror(IF(C47="","",(VLOOKUP(C47,'MTRL MSK (TPDP)'!$B$9:$W637,4,0))),"")</f>
        <v/>
      </c>
      <c r="F47" s="644">
        <f>IF(H47=0,0,(VLOOKUP(H47,'MTRL MSK (TPDP)'!$H$9:$X637,17,0)))</f>
        <v>0</v>
      </c>
      <c r="G47" s="645"/>
      <c r="H47" s="646"/>
      <c r="I47" s="446">
        <f>IF(H47=0,0,(VLOOKUP(H47,'MTRL MSK (TPDP)'!$H$9:$U637,2,0)))</f>
        <v>0</v>
      </c>
      <c r="J47" s="448" t="str">
        <f>IFERROR((IF(H47=0,0,(VLOOKUP(H47,'MTRL MSK (TPDP)'!$H$8:$U637,7,0))))/(IF(H47=0,0,(VLOOKUP(H47,'MTRL MSK (TPDP)'!$H$8:$U637,5,0)))),"")</f>
        <v/>
      </c>
      <c r="K47" s="559"/>
      <c r="L47" s="448">
        <f t="shared" si="1"/>
        <v>0</v>
      </c>
      <c r="M47" s="647">
        <f t="shared" si="2"/>
        <v>0</v>
      </c>
      <c r="N47" s="647">
        <f t="shared" si="3"/>
        <v>0</v>
      </c>
      <c r="O47" s="448">
        <f>IF(H47=0,0,(VLOOKUP(H47,'MTRL MSK (TPDP)'!$H$9:$U637,5,0)))</f>
        <v>0</v>
      </c>
      <c r="P47" s="448">
        <f t="shared" si="4"/>
        <v>0</v>
      </c>
      <c r="Q47" s="448">
        <f t="shared" si="5"/>
        <v>0</v>
      </c>
      <c r="R47" s="648" t="str">
        <f>IFERROR(IF(S47="","",(VLOOKUP(S47,'1. BQ RAPL'!$D$14:$K637,8,0))),"")</f>
        <v/>
      </c>
      <c r="S47" s="649"/>
      <c r="T47" s="650"/>
      <c r="U47" s="16"/>
      <c r="V47" s="16"/>
      <c r="W47" s="16"/>
      <c r="X47" s="119"/>
      <c r="Y47" s="119"/>
      <c r="Z47" s="119"/>
      <c r="AA47" s="119"/>
      <c r="AB47" s="119"/>
      <c r="AC47" s="119"/>
      <c r="AD47" s="119"/>
      <c r="AE47" s="119"/>
      <c r="AF47" s="119"/>
    </row>
    <row r="48" ht="18.75" customHeight="1">
      <c r="A48" s="119"/>
      <c r="B48" s="652"/>
      <c r="C48" s="642">
        <f>IF(F48=0,0,(VLOOKUP(F48,'MTRL MSK (TPDP)'!$F$9:$W637,18,0)))</f>
        <v>0</v>
      </c>
      <c r="D48" s="642">
        <f>IF(C48=0,0,(VLOOKUP(C48,'MTRL MSK (TPDP)'!$B$9:$W637,3,0)))</f>
        <v>0</v>
      </c>
      <c r="E48" s="643" t="str">
        <f>iferror(IF(C48="","",(VLOOKUP(C48,'MTRL MSK (TPDP)'!$B$9:$W637,4,0))),"")</f>
        <v/>
      </c>
      <c r="F48" s="644">
        <f>IF(H48=0,0,(VLOOKUP(H48,'MTRL MSK (TPDP)'!$H$9:$X637,17,0)))</f>
        <v>0</v>
      </c>
      <c r="G48" s="645"/>
      <c r="H48" s="646"/>
      <c r="I48" s="446">
        <f>IF(H48=0,0,(VLOOKUP(H48,'MTRL MSK (TPDP)'!$H$9:$U637,2,0)))</f>
        <v>0</v>
      </c>
      <c r="J48" s="448" t="str">
        <f>IFERROR((IF(H48=0,0,(VLOOKUP(H48,'MTRL MSK (TPDP)'!$H$8:$U637,7,0))))/(IF(H48=0,0,(VLOOKUP(H48,'MTRL MSK (TPDP)'!$H$8:$U637,5,0)))),"")</f>
        <v/>
      </c>
      <c r="K48" s="559"/>
      <c r="L48" s="448">
        <f t="shared" si="1"/>
        <v>0</v>
      </c>
      <c r="M48" s="647">
        <f t="shared" si="2"/>
        <v>0</v>
      </c>
      <c r="N48" s="647">
        <f t="shared" si="3"/>
        <v>0</v>
      </c>
      <c r="O48" s="448">
        <f>IF(H48=0,0,(VLOOKUP(H48,'MTRL MSK (TPDP)'!$H$9:$U637,5,0)))</f>
        <v>0</v>
      </c>
      <c r="P48" s="448">
        <f t="shared" si="4"/>
        <v>0</v>
      </c>
      <c r="Q48" s="448">
        <f t="shared" si="5"/>
        <v>0</v>
      </c>
      <c r="R48" s="648" t="str">
        <f>IFERROR(IF(S48="","",(VLOOKUP(S48,'1. BQ RAPL'!$D$14:$K637,8,0))),"")</f>
        <v/>
      </c>
      <c r="S48" s="649"/>
      <c r="T48" s="650"/>
      <c r="U48" s="16"/>
      <c r="V48" s="16"/>
      <c r="W48" s="16"/>
      <c r="X48" s="119"/>
      <c r="Y48" s="119"/>
      <c r="Z48" s="119"/>
      <c r="AA48" s="119"/>
      <c r="AB48" s="119"/>
      <c r="AC48" s="119"/>
      <c r="AD48" s="119"/>
      <c r="AE48" s="119"/>
      <c r="AF48" s="119"/>
    </row>
    <row r="49" ht="18.75" customHeight="1">
      <c r="A49" s="119"/>
      <c r="B49" s="652"/>
      <c r="C49" s="642">
        <f>IF(F49=0,0,(VLOOKUP(F49,'MTRL MSK (TPDP)'!$F$9:$W637,18,0)))</f>
        <v>0</v>
      </c>
      <c r="D49" s="642">
        <f>IF(C49=0,0,(VLOOKUP(C49,'MTRL MSK (TPDP)'!$B$9:$W637,3,0)))</f>
        <v>0</v>
      </c>
      <c r="E49" s="643" t="str">
        <f>iferror(IF(C49="","",(VLOOKUP(C49,'MTRL MSK (TPDP)'!$B$9:$W637,4,0))),"")</f>
        <v/>
      </c>
      <c r="F49" s="644">
        <f>IF(H49=0,0,(VLOOKUP(H49,'MTRL MSK (TPDP)'!$H$9:$X637,17,0)))</f>
        <v>0</v>
      </c>
      <c r="G49" s="645"/>
      <c r="H49" s="646"/>
      <c r="I49" s="446">
        <f>IF(H49=0,0,(VLOOKUP(H49,'MTRL MSK (TPDP)'!$H$9:$U637,2,0)))</f>
        <v>0</v>
      </c>
      <c r="J49" s="448" t="str">
        <f>IFERROR((IF(H49=0,0,(VLOOKUP(H49,'MTRL MSK (TPDP)'!$H$8:$U637,7,0))))/(IF(H49=0,0,(VLOOKUP(H49,'MTRL MSK (TPDP)'!$H$8:$U637,5,0)))),"")</f>
        <v/>
      </c>
      <c r="K49" s="559"/>
      <c r="L49" s="448">
        <f t="shared" si="1"/>
        <v>0</v>
      </c>
      <c r="M49" s="647">
        <f t="shared" si="2"/>
        <v>0</v>
      </c>
      <c r="N49" s="647">
        <f t="shared" si="3"/>
        <v>0</v>
      </c>
      <c r="O49" s="448">
        <f>IF(H49=0,0,(VLOOKUP(H49,'MTRL MSK (TPDP)'!$H$9:$U637,5,0)))</f>
        <v>0</v>
      </c>
      <c r="P49" s="448">
        <f t="shared" si="4"/>
        <v>0</v>
      </c>
      <c r="Q49" s="448">
        <f t="shared" si="5"/>
        <v>0</v>
      </c>
      <c r="R49" s="648" t="str">
        <f>IFERROR(IF(S49="","",(VLOOKUP(S49,'1. BQ RAPL'!$D$14:$K637,8,0))),"")</f>
        <v/>
      </c>
      <c r="S49" s="649"/>
      <c r="T49" s="650"/>
      <c r="U49" s="16"/>
      <c r="V49" s="16"/>
      <c r="W49" s="16"/>
      <c r="X49" s="119"/>
      <c r="Y49" s="119"/>
      <c r="Z49" s="119"/>
      <c r="AA49" s="119"/>
      <c r="AB49" s="119"/>
      <c r="AC49" s="119"/>
      <c r="AD49" s="119"/>
      <c r="AE49" s="119"/>
      <c r="AF49" s="119"/>
    </row>
    <row r="50" ht="18.75" customHeight="1">
      <c r="A50" s="119"/>
      <c r="B50" s="652"/>
      <c r="C50" s="642">
        <f>IF(F50=0,0,(VLOOKUP(F50,'MTRL MSK (TPDP)'!$F$9:$W637,18,0)))</f>
        <v>0</v>
      </c>
      <c r="D50" s="642">
        <f>IF(C50=0,0,(VLOOKUP(C50,'MTRL MSK (TPDP)'!$B$9:$W637,3,0)))</f>
        <v>0</v>
      </c>
      <c r="E50" s="643" t="str">
        <f>iferror(IF(C50="","",(VLOOKUP(C50,'MTRL MSK (TPDP)'!$B$9:$W637,4,0))),"")</f>
        <v/>
      </c>
      <c r="F50" s="644">
        <f>IF(H50=0,0,(VLOOKUP(H50,'MTRL MSK (TPDP)'!$H$9:$X637,17,0)))</f>
        <v>0</v>
      </c>
      <c r="G50" s="645"/>
      <c r="H50" s="646"/>
      <c r="I50" s="446">
        <f>IF(H50=0,0,(VLOOKUP(H50,'MTRL MSK (TPDP)'!$H$9:$U637,2,0)))</f>
        <v>0</v>
      </c>
      <c r="J50" s="448" t="str">
        <f>IFERROR((IF(H50=0,0,(VLOOKUP(H50,'MTRL MSK (TPDP)'!$H$8:$U637,7,0))))/(IF(H50=0,0,(VLOOKUP(H50,'MTRL MSK (TPDP)'!$H$8:$U637,5,0)))),"")</f>
        <v/>
      </c>
      <c r="K50" s="559"/>
      <c r="L50" s="448">
        <f t="shared" si="1"/>
        <v>0</v>
      </c>
      <c r="M50" s="647">
        <f t="shared" si="2"/>
        <v>0</v>
      </c>
      <c r="N50" s="647">
        <f t="shared" si="3"/>
        <v>0</v>
      </c>
      <c r="O50" s="448">
        <f>IF(H50=0,0,(VLOOKUP(H50,'MTRL MSK (TPDP)'!$H$9:$U637,5,0)))</f>
        <v>0</v>
      </c>
      <c r="P50" s="448">
        <f t="shared" si="4"/>
        <v>0</v>
      </c>
      <c r="Q50" s="448">
        <f t="shared" si="5"/>
        <v>0</v>
      </c>
      <c r="R50" s="648" t="str">
        <f>IFERROR(IF(S50="","",(VLOOKUP(S50,'1. BQ RAPL'!$D$14:$K637,8,0))),"")</f>
        <v/>
      </c>
      <c r="S50" s="649"/>
      <c r="T50" s="650"/>
      <c r="U50" s="16"/>
      <c r="V50" s="16"/>
      <c r="W50" s="16"/>
      <c r="X50" s="119"/>
      <c r="Y50" s="119"/>
      <c r="Z50" s="119"/>
      <c r="AA50" s="119"/>
      <c r="AB50" s="119"/>
      <c r="AC50" s="119"/>
      <c r="AD50" s="119"/>
      <c r="AE50" s="119"/>
      <c r="AF50" s="119"/>
    </row>
    <row r="51" ht="18.75" customHeight="1">
      <c r="A51" s="119"/>
      <c r="B51" s="652"/>
      <c r="C51" s="642">
        <f>IF(F51=0,0,(VLOOKUP(F51,'MTRL MSK (TPDP)'!$F$9:$W637,18,0)))</f>
        <v>0</v>
      </c>
      <c r="D51" s="642">
        <f>IF(C51=0,0,(VLOOKUP(C51,'MTRL MSK (TPDP)'!$B$9:$W637,3,0)))</f>
        <v>0</v>
      </c>
      <c r="E51" s="643" t="str">
        <f>iferror(IF(C51="","",(VLOOKUP(C51,'MTRL MSK (TPDP)'!$B$9:$W637,4,0))),"")</f>
        <v/>
      </c>
      <c r="F51" s="644">
        <f>IF(H51=0,0,(VLOOKUP(H51,'MTRL MSK (TPDP)'!$H$9:$X637,17,0)))</f>
        <v>0</v>
      </c>
      <c r="G51" s="645"/>
      <c r="H51" s="646"/>
      <c r="I51" s="446">
        <f>IF(H51=0,0,(VLOOKUP(H51,'MTRL MSK (TPDP)'!$H$9:$U637,2,0)))</f>
        <v>0</v>
      </c>
      <c r="J51" s="448" t="str">
        <f>IFERROR((IF(H51=0,0,(VLOOKUP(H51,'MTRL MSK (TPDP)'!$H$8:$U637,7,0))))/(IF(H51=0,0,(VLOOKUP(H51,'MTRL MSK (TPDP)'!$H$8:$U637,5,0)))),"")</f>
        <v/>
      </c>
      <c r="K51" s="559"/>
      <c r="L51" s="448">
        <f t="shared" si="1"/>
        <v>0</v>
      </c>
      <c r="M51" s="647">
        <f t="shared" si="2"/>
        <v>0</v>
      </c>
      <c r="N51" s="647">
        <f t="shared" si="3"/>
        <v>0</v>
      </c>
      <c r="O51" s="448">
        <f>IF(H51=0,0,(VLOOKUP(H51,'MTRL MSK (TPDP)'!$H$9:$U637,5,0)))</f>
        <v>0</v>
      </c>
      <c r="P51" s="448">
        <f t="shared" si="4"/>
        <v>0</v>
      </c>
      <c r="Q51" s="448">
        <f t="shared" si="5"/>
        <v>0</v>
      </c>
      <c r="R51" s="648" t="str">
        <f>IFERROR(IF(S51="","",(VLOOKUP(S51,'1. BQ RAPL'!$D$14:$K637,8,0))),"")</f>
        <v/>
      </c>
      <c r="S51" s="649"/>
      <c r="T51" s="650"/>
      <c r="U51" s="16"/>
      <c r="V51" s="16"/>
      <c r="W51" s="16"/>
      <c r="X51" s="119"/>
      <c r="Y51" s="119"/>
      <c r="Z51" s="119"/>
      <c r="AA51" s="119"/>
      <c r="AB51" s="119"/>
      <c r="AC51" s="119"/>
      <c r="AD51" s="119"/>
      <c r="AE51" s="119"/>
      <c r="AF51" s="119"/>
    </row>
    <row r="52" ht="18.75" customHeight="1">
      <c r="A52" s="119"/>
      <c r="B52" s="652"/>
      <c r="C52" s="642">
        <f>IF(F52=0,0,(VLOOKUP(F52,'MTRL MSK (TPDP)'!$F$9:$W637,18,0)))</f>
        <v>0</v>
      </c>
      <c r="D52" s="642">
        <f>IF(C52=0,0,(VLOOKUP(C52,'MTRL MSK (TPDP)'!$B$9:$W637,3,0)))</f>
        <v>0</v>
      </c>
      <c r="E52" s="643" t="str">
        <f>iferror(IF(C52="","",(VLOOKUP(C52,'MTRL MSK (TPDP)'!$B$9:$W637,4,0))),"")</f>
        <v/>
      </c>
      <c r="F52" s="644">
        <f>IF(H52=0,0,(VLOOKUP(H52,'MTRL MSK (TPDP)'!$H$9:$X637,17,0)))</f>
        <v>0</v>
      </c>
      <c r="G52" s="645"/>
      <c r="H52" s="646"/>
      <c r="I52" s="446">
        <f>IF(H52=0,0,(VLOOKUP(H52,'MTRL MSK (TPDP)'!$H$9:$U637,2,0)))</f>
        <v>0</v>
      </c>
      <c r="J52" s="448" t="str">
        <f>IFERROR((IF(H52=0,0,(VLOOKUP(H52,'MTRL MSK (TPDP)'!$H$8:$U637,7,0))))/(IF(H52=0,0,(VLOOKUP(H52,'MTRL MSK (TPDP)'!$H$8:$U637,5,0)))),"")</f>
        <v/>
      </c>
      <c r="K52" s="559"/>
      <c r="L52" s="448">
        <f t="shared" si="1"/>
        <v>0</v>
      </c>
      <c r="M52" s="647">
        <f t="shared" si="2"/>
        <v>0</v>
      </c>
      <c r="N52" s="647">
        <f t="shared" si="3"/>
        <v>0</v>
      </c>
      <c r="O52" s="448">
        <f>IF(H52=0,0,(VLOOKUP(H52,'MTRL MSK (TPDP)'!$H$9:$U637,5,0)))</f>
        <v>0</v>
      </c>
      <c r="P52" s="448">
        <f t="shared" si="4"/>
        <v>0</v>
      </c>
      <c r="Q52" s="448">
        <f t="shared" si="5"/>
        <v>0</v>
      </c>
      <c r="R52" s="648" t="str">
        <f>IFERROR(IF(S52="","",(VLOOKUP(S52,'1. BQ RAPL'!$D$14:$K637,8,0))),"")</f>
        <v/>
      </c>
      <c r="S52" s="649"/>
      <c r="T52" s="650"/>
      <c r="U52" s="16"/>
      <c r="V52" s="16"/>
      <c r="W52" s="16"/>
      <c r="X52" s="119"/>
      <c r="Y52" s="119"/>
      <c r="Z52" s="119"/>
      <c r="AA52" s="119"/>
      <c r="AB52" s="119"/>
      <c r="AC52" s="119"/>
      <c r="AD52" s="119"/>
      <c r="AE52" s="119"/>
      <c r="AF52" s="119"/>
    </row>
    <row r="53" ht="18.75" customHeight="1">
      <c r="A53" s="119"/>
      <c r="B53" s="652"/>
      <c r="C53" s="642">
        <f>IF(F53=0,0,(VLOOKUP(F53,'MTRL MSK (TPDP)'!$F$9:$W637,18,0)))</f>
        <v>0</v>
      </c>
      <c r="D53" s="642">
        <f>IF(C53=0,0,(VLOOKUP(C53,'MTRL MSK (TPDP)'!$B$9:$W637,3,0)))</f>
        <v>0</v>
      </c>
      <c r="E53" s="643" t="str">
        <f>iferror(IF(C53="","",(VLOOKUP(C53,'MTRL MSK (TPDP)'!$B$9:$W637,4,0))),"")</f>
        <v/>
      </c>
      <c r="F53" s="644">
        <f>IF(H53=0,0,(VLOOKUP(H53,'MTRL MSK (TPDP)'!$H$9:$X637,17,0)))</f>
        <v>0</v>
      </c>
      <c r="G53" s="645"/>
      <c r="H53" s="646"/>
      <c r="I53" s="446">
        <f>IF(H53=0,0,(VLOOKUP(H53,'MTRL MSK (TPDP)'!$H$9:$U637,2,0)))</f>
        <v>0</v>
      </c>
      <c r="J53" s="448" t="str">
        <f>IFERROR((IF(H53=0,0,(VLOOKUP(H53,'MTRL MSK (TPDP)'!$H$8:$U637,7,0))))/(IF(H53=0,0,(VLOOKUP(H53,'MTRL MSK (TPDP)'!$H$8:$U637,5,0)))),"")</f>
        <v/>
      </c>
      <c r="K53" s="559"/>
      <c r="L53" s="448">
        <f t="shared" si="1"/>
        <v>0</v>
      </c>
      <c r="M53" s="647">
        <f t="shared" si="2"/>
        <v>0</v>
      </c>
      <c r="N53" s="647">
        <f t="shared" si="3"/>
        <v>0</v>
      </c>
      <c r="O53" s="448">
        <f>IF(H53=0,0,(VLOOKUP(H53,'MTRL MSK (TPDP)'!$H$9:$U637,5,0)))</f>
        <v>0</v>
      </c>
      <c r="P53" s="448">
        <f t="shared" si="4"/>
        <v>0</v>
      </c>
      <c r="Q53" s="448">
        <f t="shared" si="5"/>
        <v>0</v>
      </c>
      <c r="R53" s="648" t="str">
        <f>IFERROR(IF(S53="","",(VLOOKUP(S53,'1. BQ RAPL'!$D$14:$K637,8,0))),"")</f>
        <v/>
      </c>
      <c r="S53" s="649"/>
      <c r="T53" s="650"/>
      <c r="U53" s="16"/>
      <c r="V53" s="16"/>
      <c r="W53" s="16"/>
      <c r="X53" s="119"/>
      <c r="Y53" s="119"/>
      <c r="Z53" s="119"/>
      <c r="AA53" s="119"/>
      <c r="AB53" s="119"/>
      <c r="AC53" s="119"/>
      <c r="AD53" s="119"/>
      <c r="AE53" s="119"/>
      <c r="AF53" s="119"/>
    </row>
    <row r="54" ht="18.75" customHeight="1">
      <c r="A54" s="119"/>
      <c r="B54" s="652"/>
      <c r="C54" s="642">
        <f>IF(F54=0,0,(VLOOKUP(F54,'MTRL MSK (TPDP)'!$F$9:$W637,18,0)))</f>
        <v>0</v>
      </c>
      <c r="D54" s="642">
        <f>IF(C54=0,0,(VLOOKUP(C54,'MTRL MSK (TPDP)'!$B$9:$W637,3,0)))</f>
        <v>0</v>
      </c>
      <c r="E54" s="643" t="str">
        <f>iferror(IF(C54="","",(VLOOKUP(C54,'MTRL MSK (TPDP)'!$B$9:$W637,4,0))),"")</f>
        <v/>
      </c>
      <c r="F54" s="644">
        <f>IF(H54=0,0,(VLOOKUP(H54,'MTRL MSK (TPDP)'!$H$9:$X637,17,0)))</f>
        <v>0</v>
      </c>
      <c r="G54" s="645"/>
      <c r="H54" s="646"/>
      <c r="I54" s="446">
        <f>IF(H54=0,0,(VLOOKUP(H54,'MTRL MSK (TPDP)'!$H$9:$U637,2,0)))</f>
        <v>0</v>
      </c>
      <c r="J54" s="448" t="str">
        <f>IFERROR((IF(H54=0,0,(VLOOKUP(H54,'MTRL MSK (TPDP)'!$H$8:$U637,7,0))))/(IF(H54=0,0,(VLOOKUP(H54,'MTRL MSK (TPDP)'!$H$8:$U637,5,0)))),"")</f>
        <v/>
      </c>
      <c r="K54" s="559"/>
      <c r="L54" s="448">
        <f t="shared" si="1"/>
        <v>0</v>
      </c>
      <c r="M54" s="647">
        <f t="shared" si="2"/>
        <v>0</v>
      </c>
      <c r="N54" s="647">
        <f t="shared" si="3"/>
        <v>0</v>
      </c>
      <c r="O54" s="448">
        <f>IF(H54=0,0,(VLOOKUP(H54,'MTRL MSK (TPDP)'!$H$9:$U637,5,0)))</f>
        <v>0</v>
      </c>
      <c r="P54" s="448">
        <f t="shared" si="4"/>
        <v>0</v>
      </c>
      <c r="Q54" s="448">
        <f t="shared" si="5"/>
        <v>0</v>
      </c>
      <c r="R54" s="648" t="str">
        <f>IFERROR(IF(S54="","",(VLOOKUP(S54,'1. BQ RAPL'!$D$14:$K637,8,0))),"")</f>
        <v/>
      </c>
      <c r="S54" s="649"/>
      <c r="T54" s="650"/>
      <c r="U54" s="16"/>
      <c r="V54" s="16"/>
      <c r="W54" s="16"/>
      <c r="X54" s="119"/>
      <c r="Y54" s="119"/>
      <c r="Z54" s="119"/>
      <c r="AA54" s="119"/>
      <c r="AB54" s="119"/>
      <c r="AC54" s="119"/>
      <c r="AD54" s="119"/>
      <c r="AE54" s="119"/>
      <c r="AF54" s="119"/>
    </row>
    <row r="55" ht="18.75" customHeight="1">
      <c r="A55" s="119"/>
      <c r="B55" s="652"/>
      <c r="C55" s="642">
        <f>IF(F55=0,0,(VLOOKUP(F55,'MTRL MSK (TPDP)'!$F$9:$W637,18,0)))</f>
        <v>0</v>
      </c>
      <c r="D55" s="642">
        <f>IF(C55=0,0,(VLOOKUP(C55,'MTRL MSK (TPDP)'!$B$9:$W637,3,0)))</f>
        <v>0</v>
      </c>
      <c r="E55" s="643" t="str">
        <f>iferror(IF(C55="","",(VLOOKUP(C55,'MTRL MSK (TPDP)'!$B$9:$W637,4,0))),"")</f>
        <v/>
      </c>
      <c r="F55" s="644">
        <f>IF(H55=0,0,(VLOOKUP(H55,'MTRL MSK (TPDP)'!$H$9:$X637,17,0)))</f>
        <v>0</v>
      </c>
      <c r="G55" s="645"/>
      <c r="H55" s="646"/>
      <c r="I55" s="446">
        <f>IF(H55=0,0,(VLOOKUP(H55,'MTRL MSK (TPDP)'!$H$9:$U637,2,0)))</f>
        <v>0</v>
      </c>
      <c r="J55" s="448" t="str">
        <f>IFERROR((IF(H55=0,0,(VLOOKUP(H55,'MTRL MSK (TPDP)'!$H$8:$U637,7,0))))/(IF(H55=0,0,(VLOOKUP(H55,'MTRL MSK (TPDP)'!$H$8:$U637,5,0)))),"")</f>
        <v/>
      </c>
      <c r="K55" s="559"/>
      <c r="L55" s="448">
        <f t="shared" si="1"/>
        <v>0</v>
      </c>
      <c r="M55" s="647">
        <f t="shared" si="2"/>
        <v>0</v>
      </c>
      <c r="N55" s="647">
        <f t="shared" si="3"/>
        <v>0</v>
      </c>
      <c r="O55" s="448">
        <f>IF(H55=0,0,(VLOOKUP(H55,'MTRL MSK (TPDP)'!$H$9:$U637,5,0)))</f>
        <v>0</v>
      </c>
      <c r="P55" s="448">
        <f t="shared" si="4"/>
        <v>0</v>
      </c>
      <c r="Q55" s="448">
        <f t="shared" si="5"/>
        <v>0</v>
      </c>
      <c r="R55" s="648" t="str">
        <f>IFERROR(IF(S55="","",(VLOOKUP(S55,'1. BQ RAPL'!$D$14:$K637,8,0))),"")</f>
        <v/>
      </c>
      <c r="S55" s="649"/>
      <c r="T55" s="650"/>
      <c r="U55" s="16"/>
      <c r="V55" s="16"/>
      <c r="W55" s="16"/>
      <c r="X55" s="119"/>
      <c r="Y55" s="119"/>
      <c r="Z55" s="119"/>
      <c r="AA55" s="119"/>
      <c r="AB55" s="119"/>
      <c r="AC55" s="119"/>
      <c r="AD55" s="119"/>
      <c r="AE55" s="119"/>
      <c r="AF55" s="119"/>
    </row>
    <row r="56" ht="18.75" customHeight="1">
      <c r="A56" s="119"/>
      <c r="B56" s="652"/>
      <c r="C56" s="642">
        <f>IF(F56=0,0,(VLOOKUP(F56,'MTRL MSK (TPDP)'!$F$9:$W637,18,0)))</f>
        <v>0</v>
      </c>
      <c r="D56" s="642">
        <f>IF(C56=0,0,(VLOOKUP(C56,'MTRL MSK (TPDP)'!$B$9:$W637,3,0)))</f>
        <v>0</v>
      </c>
      <c r="E56" s="643" t="str">
        <f>iferror(IF(C56="","",(VLOOKUP(C56,'MTRL MSK (TPDP)'!$B$9:$W637,4,0))),"")</f>
        <v/>
      </c>
      <c r="F56" s="644">
        <f>IF(H56=0,0,(VLOOKUP(H56,'MTRL MSK (TPDP)'!$H$9:$X637,17,0)))</f>
        <v>0</v>
      </c>
      <c r="G56" s="645"/>
      <c r="H56" s="646"/>
      <c r="I56" s="446">
        <f>IF(H56=0,0,(VLOOKUP(H56,'MTRL MSK (TPDP)'!$H$9:$U637,2,0)))</f>
        <v>0</v>
      </c>
      <c r="J56" s="448" t="str">
        <f>IFERROR((IF(H56=0,0,(VLOOKUP(H56,'MTRL MSK (TPDP)'!$H$8:$U637,7,0))))/(IF(H56=0,0,(VLOOKUP(H56,'MTRL MSK (TPDP)'!$H$8:$U637,5,0)))),"")</f>
        <v/>
      </c>
      <c r="K56" s="559"/>
      <c r="L56" s="448">
        <f t="shared" si="1"/>
        <v>0</v>
      </c>
      <c r="M56" s="647">
        <f t="shared" si="2"/>
        <v>0</v>
      </c>
      <c r="N56" s="647">
        <f t="shared" si="3"/>
        <v>0</v>
      </c>
      <c r="O56" s="448">
        <f>IF(H56=0,0,(VLOOKUP(H56,'MTRL MSK (TPDP)'!$H$9:$U637,5,0)))</f>
        <v>0</v>
      </c>
      <c r="P56" s="448">
        <f t="shared" si="4"/>
        <v>0</v>
      </c>
      <c r="Q56" s="448">
        <f t="shared" si="5"/>
        <v>0</v>
      </c>
      <c r="R56" s="648" t="str">
        <f>IFERROR(IF(S56="","",(VLOOKUP(S56,'1. BQ RAPL'!$D$14:$K637,8,0))),"")</f>
        <v/>
      </c>
      <c r="S56" s="649"/>
      <c r="T56" s="650"/>
      <c r="U56" s="16"/>
      <c r="V56" s="16"/>
      <c r="W56" s="16"/>
      <c r="X56" s="119"/>
      <c r="Y56" s="119"/>
      <c r="Z56" s="119"/>
      <c r="AA56" s="119"/>
      <c r="AB56" s="119"/>
      <c r="AC56" s="119"/>
      <c r="AD56" s="119"/>
      <c r="AE56" s="119"/>
      <c r="AF56" s="119"/>
    </row>
    <row r="57" ht="18.75" customHeight="1">
      <c r="A57" s="119"/>
      <c r="B57" s="652"/>
      <c r="C57" s="642">
        <f>IF(F57=0,0,(VLOOKUP(F57,'MTRL MSK (TPDP)'!$F$9:$W637,18,0)))</f>
        <v>0</v>
      </c>
      <c r="D57" s="642">
        <f>IF(C57=0,0,(VLOOKUP(C57,'MTRL MSK (TPDP)'!$B$9:$W637,3,0)))</f>
        <v>0</v>
      </c>
      <c r="E57" s="643" t="str">
        <f>iferror(IF(C57="","",(VLOOKUP(C57,'MTRL MSK (TPDP)'!$B$9:$W637,4,0))),"")</f>
        <v/>
      </c>
      <c r="F57" s="644">
        <f>IF(H57=0,0,(VLOOKUP(H57,'MTRL MSK (TPDP)'!$H$9:$X637,17,0)))</f>
        <v>0</v>
      </c>
      <c r="G57" s="645"/>
      <c r="H57" s="646"/>
      <c r="I57" s="446">
        <f>IF(H57=0,0,(VLOOKUP(H57,'MTRL MSK (TPDP)'!$H$9:$U637,2,0)))</f>
        <v>0</v>
      </c>
      <c r="J57" s="448" t="str">
        <f>IFERROR((IF(H57=0,0,(VLOOKUP(H57,'MTRL MSK (TPDP)'!$H$8:$U637,7,0))))/(IF(H57=0,0,(VLOOKUP(H57,'MTRL MSK (TPDP)'!$H$8:$U637,5,0)))),"")</f>
        <v/>
      </c>
      <c r="K57" s="559"/>
      <c r="L57" s="448">
        <f t="shared" si="1"/>
        <v>0</v>
      </c>
      <c r="M57" s="647">
        <f t="shared" si="2"/>
        <v>0</v>
      </c>
      <c r="N57" s="647">
        <f t="shared" si="3"/>
        <v>0</v>
      </c>
      <c r="O57" s="448">
        <f>IF(H57=0,0,(VLOOKUP(H57,'MTRL MSK (TPDP)'!$H$9:$U637,5,0)))</f>
        <v>0</v>
      </c>
      <c r="P57" s="448">
        <f t="shared" si="4"/>
        <v>0</v>
      </c>
      <c r="Q57" s="448">
        <f t="shared" si="5"/>
        <v>0</v>
      </c>
      <c r="R57" s="648" t="str">
        <f>IFERROR(IF(S57="","",(VLOOKUP(S57,'1. BQ RAPL'!$D$14:$K637,8,0))),"")</f>
        <v/>
      </c>
      <c r="S57" s="649"/>
      <c r="T57" s="650"/>
      <c r="U57" s="16"/>
      <c r="V57" s="16"/>
      <c r="W57" s="16"/>
      <c r="X57" s="119"/>
      <c r="Y57" s="119"/>
      <c r="Z57" s="119"/>
      <c r="AA57" s="119"/>
      <c r="AB57" s="119"/>
      <c r="AC57" s="119"/>
      <c r="AD57" s="119"/>
      <c r="AE57" s="119"/>
      <c r="AF57" s="119"/>
    </row>
    <row r="58" ht="18.75" customHeight="1">
      <c r="A58" s="119"/>
      <c r="B58" s="652"/>
      <c r="C58" s="642">
        <f>IF(F58=0,0,(VLOOKUP(F58,'MTRL MSK (TPDP)'!$F$9:$W637,18,0)))</f>
        <v>0</v>
      </c>
      <c r="D58" s="642">
        <f>IF(C58=0,0,(VLOOKUP(C58,'MTRL MSK (TPDP)'!$B$9:$W637,3,0)))</f>
        <v>0</v>
      </c>
      <c r="E58" s="643" t="str">
        <f>iferror(IF(C58="","",(VLOOKUP(C58,'MTRL MSK (TPDP)'!$B$9:$W637,4,0))),"")</f>
        <v/>
      </c>
      <c r="F58" s="644">
        <f>IF(H58=0,0,(VLOOKUP(H58,'MTRL MSK (TPDP)'!$H$9:$X637,17,0)))</f>
        <v>0</v>
      </c>
      <c r="G58" s="645"/>
      <c r="H58" s="646"/>
      <c r="I58" s="446">
        <f>IF(H58=0,0,(VLOOKUP(H58,'MTRL MSK (TPDP)'!$H$9:$U637,2,0)))</f>
        <v>0</v>
      </c>
      <c r="J58" s="448" t="str">
        <f>IFERROR((IF(H58=0,0,(VLOOKUP(H58,'MTRL MSK (TPDP)'!$H$8:$U637,7,0))))/(IF(H58=0,0,(VLOOKUP(H58,'MTRL MSK (TPDP)'!$H$8:$U637,5,0)))),"")</f>
        <v/>
      </c>
      <c r="K58" s="559"/>
      <c r="L58" s="448">
        <f t="shared" si="1"/>
        <v>0</v>
      </c>
      <c r="M58" s="647">
        <f t="shared" si="2"/>
        <v>0</v>
      </c>
      <c r="N58" s="647">
        <f t="shared" si="3"/>
        <v>0</v>
      </c>
      <c r="O58" s="448">
        <f>IF(H58=0,0,(VLOOKUP(H58,'MTRL MSK (TPDP)'!$H$9:$U637,5,0)))</f>
        <v>0</v>
      </c>
      <c r="P58" s="448">
        <f t="shared" si="4"/>
        <v>0</v>
      </c>
      <c r="Q58" s="448">
        <f t="shared" si="5"/>
        <v>0</v>
      </c>
      <c r="R58" s="648" t="str">
        <f>IFERROR(IF(S58="","",(VLOOKUP(S58,'1. BQ RAPL'!$D$14:$K637,8,0))),"")</f>
        <v/>
      </c>
      <c r="S58" s="649"/>
      <c r="T58" s="650"/>
      <c r="U58" s="16"/>
      <c r="V58" s="16"/>
      <c r="W58" s="16"/>
      <c r="X58" s="119"/>
      <c r="Y58" s="119"/>
      <c r="Z58" s="119"/>
      <c r="AA58" s="119"/>
      <c r="AB58" s="119"/>
      <c r="AC58" s="119"/>
      <c r="AD58" s="119"/>
      <c r="AE58" s="119"/>
      <c r="AF58" s="119"/>
    </row>
    <row r="59" ht="18.75" customHeight="1">
      <c r="A59" s="119"/>
      <c r="B59" s="652"/>
      <c r="C59" s="642">
        <f>IF(F59=0,0,(VLOOKUP(F59,'MTRL MSK (TPDP)'!$F$9:$W637,18,0)))</f>
        <v>0</v>
      </c>
      <c r="D59" s="642">
        <f>IF(C59=0,0,(VLOOKUP(C59,'MTRL MSK (TPDP)'!$B$9:$W637,3,0)))</f>
        <v>0</v>
      </c>
      <c r="E59" s="643" t="str">
        <f>iferror(IF(C59="","",(VLOOKUP(C59,'MTRL MSK (TPDP)'!$B$9:$W637,4,0))),"")</f>
        <v/>
      </c>
      <c r="F59" s="644">
        <f>IF(H59=0,0,(VLOOKUP(H59,'MTRL MSK (TPDP)'!$H$9:$X637,17,0)))</f>
        <v>0</v>
      </c>
      <c r="G59" s="645"/>
      <c r="H59" s="646"/>
      <c r="I59" s="446">
        <f>IF(H59=0,0,(VLOOKUP(H59,'MTRL MSK (TPDP)'!$H$9:$U637,2,0)))</f>
        <v>0</v>
      </c>
      <c r="J59" s="448" t="str">
        <f>IFERROR((IF(H59=0,0,(VLOOKUP(H59,'MTRL MSK (TPDP)'!$H$8:$U637,7,0))))/(IF(H59=0,0,(VLOOKUP(H59,'MTRL MSK (TPDP)'!$H$8:$U637,5,0)))),"")</f>
        <v/>
      </c>
      <c r="K59" s="559"/>
      <c r="L59" s="448">
        <f t="shared" si="1"/>
        <v>0</v>
      </c>
      <c r="M59" s="647">
        <f t="shared" si="2"/>
        <v>0</v>
      </c>
      <c r="N59" s="647">
        <f t="shared" si="3"/>
        <v>0</v>
      </c>
      <c r="O59" s="448">
        <f>IF(H59=0,0,(VLOOKUP(H59,'MTRL MSK (TPDP)'!$H$9:$U637,5,0)))</f>
        <v>0</v>
      </c>
      <c r="P59" s="448">
        <f t="shared" si="4"/>
        <v>0</v>
      </c>
      <c r="Q59" s="448">
        <f t="shared" si="5"/>
        <v>0</v>
      </c>
      <c r="R59" s="648" t="str">
        <f>IFERROR(IF(S59="","",(VLOOKUP(S59,'1. BQ RAPL'!$D$14:$K637,8,0))),"")</f>
        <v/>
      </c>
      <c r="S59" s="649"/>
      <c r="T59" s="650"/>
      <c r="U59" s="16"/>
      <c r="V59" s="16"/>
      <c r="W59" s="16"/>
      <c r="X59" s="119"/>
      <c r="Y59" s="119"/>
      <c r="Z59" s="119"/>
      <c r="AA59" s="119"/>
      <c r="AB59" s="119"/>
      <c r="AC59" s="119"/>
      <c r="AD59" s="119"/>
      <c r="AE59" s="119"/>
      <c r="AF59" s="119"/>
    </row>
    <row r="60" ht="18.75" customHeight="1">
      <c r="A60" s="119"/>
      <c r="B60" s="652"/>
      <c r="C60" s="642">
        <f>IF(F60=0,0,(VLOOKUP(F60,'MTRL MSK (TPDP)'!$F$9:$W637,18,0)))</f>
        <v>0</v>
      </c>
      <c r="D60" s="642">
        <f>IF(C60=0,0,(VLOOKUP(C60,'MTRL MSK (TPDP)'!$B$9:$W637,3,0)))</f>
        <v>0</v>
      </c>
      <c r="E60" s="643" t="str">
        <f>iferror(IF(C60="","",(VLOOKUP(C60,'MTRL MSK (TPDP)'!$B$9:$W637,4,0))),"")</f>
        <v/>
      </c>
      <c r="F60" s="644">
        <f>IF(H60=0,0,(VLOOKUP(H60,'MTRL MSK (TPDP)'!$H$9:$X637,17,0)))</f>
        <v>0</v>
      </c>
      <c r="G60" s="645"/>
      <c r="H60" s="646"/>
      <c r="I60" s="446">
        <f>IF(H60=0,0,(VLOOKUP(H60,'MTRL MSK (TPDP)'!$H$9:$U637,2,0)))</f>
        <v>0</v>
      </c>
      <c r="J60" s="448" t="str">
        <f>IFERROR((IF(H60=0,0,(VLOOKUP(H60,'MTRL MSK (TPDP)'!$H$8:$U637,7,0))))/(IF(H60=0,0,(VLOOKUP(H60,'MTRL MSK (TPDP)'!$H$8:$U637,5,0)))),"")</f>
        <v/>
      </c>
      <c r="K60" s="559"/>
      <c r="L60" s="448">
        <f t="shared" si="1"/>
        <v>0</v>
      </c>
      <c r="M60" s="647">
        <f t="shared" si="2"/>
        <v>0</v>
      </c>
      <c r="N60" s="647">
        <f t="shared" si="3"/>
        <v>0</v>
      </c>
      <c r="O60" s="448">
        <f>IF(H60=0,0,(VLOOKUP(H60,'MTRL MSK (TPDP)'!$H$9:$U637,5,0)))</f>
        <v>0</v>
      </c>
      <c r="P60" s="448">
        <f t="shared" si="4"/>
        <v>0</v>
      </c>
      <c r="Q60" s="448">
        <f t="shared" si="5"/>
        <v>0</v>
      </c>
      <c r="R60" s="648" t="str">
        <f>IFERROR(IF(S60="","",(VLOOKUP(S60,'1. BQ RAPL'!$D$14:$K637,8,0))),"")</f>
        <v/>
      </c>
      <c r="S60" s="649"/>
      <c r="T60" s="650"/>
      <c r="U60" s="16"/>
      <c r="V60" s="16"/>
      <c r="W60" s="16"/>
      <c r="X60" s="119"/>
      <c r="Y60" s="119"/>
      <c r="Z60" s="119"/>
      <c r="AA60" s="119"/>
      <c r="AB60" s="119"/>
      <c r="AC60" s="119"/>
      <c r="AD60" s="119"/>
      <c r="AE60" s="119"/>
      <c r="AF60" s="119"/>
    </row>
    <row r="61" ht="18.75" customHeight="1">
      <c r="A61" s="119"/>
      <c r="B61" s="652"/>
      <c r="C61" s="642">
        <f>IF(F61=0,0,(VLOOKUP(F61,'MTRL MSK (TPDP)'!$F$9:$W637,18,0)))</f>
        <v>0</v>
      </c>
      <c r="D61" s="642">
        <f>IF(C61=0,0,(VLOOKUP(C61,'MTRL MSK (TPDP)'!$B$9:$W637,3,0)))</f>
        <v>0</v>
      </c>
      <c r="E61" s="643" t="str">
        <f>iferror(IF(C61="","",(VLOOKUP(C61,'MTRL MSK (TPDP)'!$B$9:$W637,4,0))),"")</f>
        <v/>
      </c>
      <c r="F61" s="644">
        <f>IF(H61=0,0,(VLOOKUP(H61,'MTRL MSK (TPDP)'!$H$9:$X637,17,0)))</f>
        <v>0</v>
      </c>
      <c r="G61" s="645"/>
      <c r="H61" s="646"/>
      <c r="I61" s="446">
        <f>IF(H61=0,0,(VLOOKUP(H61,'MTRL MSK (TPDP)'!$H$9:$U637,2,0)))</f>
        <v>0</v>
      </c>
      <c r="J61" s="448" t="str">
        <f>IFERROR((IF(H61=0,0,(VLOOKUP(H61,'MTRL MSK (TPDP)'!$H$8:$U637,7,0))))/(IF(H61=0,0,(VLOOKUP(H61,'MTRL MSK (TPDP)'!$H$8:$U637,5,0)))),"")</f>
        <v/>
      </c>
      <c r="K61" s="559"/>
      <c r="L61" s="448">
        <f t="shared" si="1"/>
        <v>0</v>
      </c>
      <c r="M61" s="647">
        <f t="shared" si="2"/>
        <v>0</v>
      </c>
      <c r="N61" s="647">
        <f t="shared" si="3"/>
        <v>0</v>
      </c>
      <c r="O61" s="448">
        <f>IF(H61=0,0,(VLOOKUP(H61,'MTRL MSK (TPDP)'!$H$9:$U637,5,0)))</f>
        <v>0</v>
      </c>
      <c r="P61" s="448">
        <f t="shared" si="4"/>
        <v>0</v>
      </c>
      <c r="Q61" s="448">
        <f t="shared" si="5"/>
        <v>0</v>
      </c>
      <c r="R61" s="648" t="str">
        <f>IFERROR(IF(S61="","",(VLOOKUP(S61,'1. BQ RAPL'!$D$14:$K637,8,0))),"")</f>
        <v/>
      </c>
      <c r="S61" s="649"/>
      <c r="T61" s="650"/>
      <c r="U61" s="16"/>
      <c r="V61" s="16"/>
      <c r="W61" s="16"/>
      <c r="X61" s="119"/>
      <c r="Y61" s="119"/>
      <c r="Z61" s="119"/>
      <c r="AA61" s="119"/>
      <c r="AB61" s="119"/>
      <c r="AC61" s="119"/>
      <c r="AD61" s="119"/>
      <c r="AE61" s="119"/>
      <c r="AF61" s="119"/>
    </row>
    <row r="62" ht="18.75" customHeight="1">
      <c r="A62" s="119"/>
      <c r="B62" s="652"/>
      <c r="C62" s="642">
        <f>IF(F62=0,0,(VLOOKUP(F62,'MTRL MSK (TPDP)'!$F$9:$W637,18,0)))</f>
        <v>0</v>
      </c>
      <c r="D62" s="642">
        <f>IF(C62=0,0,(VLOOKUP(C62,'MTRL MSK (TPDP)'!$B$9:$W637,3,0)))</f>
        <v>0</v>
      </c>
      <c r="E62" s="643" t="str">
        <f>iferror(IF(C62="","",(VLOOKUP(C62,'MTRL MSK (TPDP)'!$B$9:$W637,4,0))),"")</f>
        <v/>
      </c>
      <c r="F62" s="644">
        <f>IF(H62=0,0,(VLOOKUP(H62,'MTRL MSK (TPDP)'!$H$9:$X637,17,0)))</f>
        <v>0</v>
      </c>
      <c r="G62" s="645"/>
      <c r="H62" s="646"/>
      <c r="I62" s="446">
        <f>IF(H62=0,0,(VLOOKUP(H62,'MTRL MSK (TPDP)'!$H$9:$U637,2,0)))</f>
        <v>0</v>
      </c>
      <c r="J62" s="448" t="str">
        <f>IFERROR((IF(H62=0,0,(VLOOKUP(H62,'MTRL MSK (TPDP)'!$H$8:$U637,7,0))))/(IF(H62=0,0,(VLOOKUP(H62,'MTRL MSK (TPDP)'!$H$8:$U637,5,0)))),"")</f>
        <v/>
      </c>
      <c r="K62" s="559"/>
      <c r="L62" s="448">
        <f t="shared" si="1"/>
        <v>0</v>
      </c>
      <c r="M62" s="647">
        <f t="shared" si="2"/>
        <v>0</v>
      </c>
      <c r="N62" s="647">
        <f t="shared" si="3"/>
        <v>0</v>
      </c>
      <c r="O62" s="448">
        <f>IF(H62=0,0,(VLOOKUP(H62,'MTRL MSK (TPDP)'!$H$9:$U637,5,0)))</f>
        <v>0</v>
      </c>
      <c r="P62" s="448">
        <f t="shared" si="4"/>
        <v>0</v>
      </c>
      <c r="Q62" s="448">
        <f t="shared" si="5"/>
        <v>0</v>
      </c>
      <c r="R62" s="648" t="str">
        <f>IFERROR(IF(S62="","",(VLOOKUP(S62,'1. BQ RAPL'!$D$14:$K637,8,0))),"")</f>
        <v/>
      </c>
      <c r="S62" s="649"/>
      <c r="T62" s="650"/>
      <c r="U62" s="16"/>
      <c r="V62" s="16"/>
      <c r="W62" s="16"/>
      <c r="X62" s="119"/>
      <c r="Y62" s="119"/>
      <c r="Z62" s="119"/>
      <c r="AA62" s="119"/>
      <c r="AB62" s="119"/>
      <c r="AC62" s="119"/>
      <c r="AD62" s="119"/>
      <c r="AE62" s="119"/>
      <c r="AF62" s="119"/>
    </row>
    <row r="63" ht="18.75" customHeight="1">
      <c r="A63" s="119"/>
      <c r="B63" s="652"/>
      <c r="C63" s="642">
        <f>IF(F63=0,0,(VLOOKUP(F63,'MTRL MSK (TPDP)'!$F$9:$W637,18,0)))</f>
        <v>0</v>
      </c>
      <c r="D63" s="642">
        <f>IF(C63=0,0,(VLOOKUP(C63,'MTRL MSK (TPDP)'!$B$9:$W637,3,0)))</f>
        <v>0</v>
      </c>
      <c r="E63" s="643" t="str">
        <f>iferror(IF(C63="","",(VLOOKUP(C63,'MTRL MSK (TPDP)'!$B$9:$W637,4,0))),"")</f>
        <v/>
      </c>
      <c r="F63" s="644">
        <f>IF(H63=0,0,(VLOOKUP(H63,'MTRL MSK (TPDP)'!$H$9:$X637,17,0)))</f>
        <v>0</v>
      </c>
      <c r="G63" s="645"/>
      <c r="H63" s="646"/>
      <c r="I63" s="446">
        <f>IF(H63=0,0,(VLOOKUP(H63,'MTRL MSK (TPDP)'!$H$9:$U637,2,0)))</f>
        <v>0</v>
      </c>
      <c r="J63" s="448" t="str">
        <f>IFERROR((IF(H63=0,0,(VLOOKUP(H63,'MTRL MSK (TPDP)'!$H$8:$U637,7,0))))/(IF(H63=0,0,(VLOOKUP(H63,'MTRL MSK (TPDP)'!$H$8:$U637,5,0)))),"")</f>
        <v/>
      </c>
      <c r="K63" s="559"/>
      <c r="L63" s="448">
        <f t="shared" si="1"/>
        <v>0</v>
      </c>
      <c r="M63" s="647">
        <f t="shared" si="2"/>
        <v>0</v>
      </c>
      <c r="N63" s="647">
        <f t="shared" si="3"/>
        <v>0</v>
      </c>
      <c r="O63" s="448">
        <f>IF(H63=0,0,(VLOOKUP(H63,'MTRL MSK (TPDP)'!$H$9:$U637,5,0)))</f>
        <v>0</v>
      </c>
      <c r="P63" s="448">
        <f t="shared" si="4"/>
        <v>0</v>
      </c>
      <c r="Q63" s="448">
        <f t="shared" si="5"/>
        <v>0</v>
      </c>
      <c r="R63" s="648" t="str">
        <f>IFERROR(IF(S63="","",(VLOOKUP(S63,'1. BQ RAPL'!$D$14:$K637,8,0))),"")</f>
        <v/>
      </c>
      <c r="S63" s="649"/>
      <c r="T63" s="650"/>
      <c r="U63" s="16"/>
      <c r="V63" s="16"/>
      <c r="W63" s="16"/>
      <c r="X63" s="119"/>
      <c r="Y63" s="119"/>
      <c r="Z63" s="119"/>
      <c r="AA63" s="119"/>
      <c r="AB63" s="119"/>
      <c r="AC63" s="119"/>
      <c r="AD63" s="119"/>
      <c r="AE63" s="119"/>
      <c r="AF63" s="119"/>
    </row>
    <row r="64" ht="18.75" customHeight="1">
      <c r="A64" s="119"/>
      <c r="B64" s="652"/>
      <c r="C64" s="642">
        <f>IF(F64=0,0,(VLOOKUP(F64,'MTRL MSK (TPDP)'!$F$9:$W637,18,0)))</f>
        <v>0</v>
      </c>
      <c r="D64" s="642">
        <f>IF(C64=0,0,(VLOOKUP(C64,'MTRL MSK (TPDP)'!$B$9:$W637,3,0)))</f>
        <v>0</v>
      </c>
      <c r="E64" s="643" t="str">
        <f>iferror(IF(C64="","",(VLOOKUP(C64,'MTRL MSK (TPDP)'!$B$9:$W637,4,0))),"")</f>
        <v/>
      </c>
      <c r="F64" s="644">
        <f>IF(H64=0,0,(VLOOKUP(H64,'MTRL MSK (TPDP)'!$H$9:$X637,17,0)))</f>
        <v>0</v>
      </c>
      <c r="G64" s="645"/>
      <c r="H64" s="646"/>
      <c r="I64" s="446">
        <f>IF(H64=0,0,(VLOOKUP(H64,'MTRL MSK (TPDP)'!$H$9:$U637,2,0)))</f>
        <v>0</v>
      </c>
      <c r="J64" s="448" t="str">
        <f>IFERROR((IF(H64=0,0,(VLOOKUP(H64,'MTRL MSK (TPDP)'!$H$8:$U637,7,0))))/(IF(H64=0,0,(VLOOKUP(H64,'MTRL MSK (TPDP)'!$H$8:$U637,5,0)))),"")</f>
        <v/>
      </c>
      <c r="K64" s="559"/>
      <c r="L64" s="448">
        <f t="shared" si="1"/>
        <v>0</v>
      </c>
      <c r="M64" s="647">
        <f t="shared" si="2"/>
        <v>0</v>
      </c>
      <c r="N64" s="647">
        <f t="shared" si="3"/>
        <v>0</v>
      </c>
      <c r="O64" s="448">
        <f>IF(H64=0,0,(VLOOKUP(H64,'MTRL MSK (TPDP)'!$H$9:$U637,5,0)))</f>
        <v>0</v>
      </c>
      <c r="P64" s="448">
        <f t="shared" si="4"/>
        <v>0</v>
      </c>
      <c r="Q64" s="448">
        <f t="shared" si="5"/>
        <v>0</v>
      </c>
      <c r="R64" s="648" t="str">
        <f>IFERROR(IF(S64="","",(VLOOKUP(S64,'1. BQ RAPL'!$D$14:$K637,8,0))),"")</f>
        <v/>
      </c>
      <c r="S64" s="649"/>
      <c r="T64" s="650"/>
      <c r="U64" s="16"/>
      <c r="V64" s="16"/>
      <c r="W64" s="16"/>
      <c r="X64" s="119"/>
      <c r="Y64" s="119"/>
      <c r="Z64" s="119"/>
      <c r="AA64" s="119"/>
      <c r="AB64" s="119"/>
      <c r="AC64" s="119"/>
      <c r="AD64" s="119"/>
      <c r="AE64" s="119"/>
      <c r="AF64" s="119"/>
    </row>
    <row r="65" ht="18.75" customHeight="1">
      <c r="A65" s="119"/>
      <c r="B65" s="652"/>
      <c r="C65" s="642">
        <f>IF(F65=0,0,(VLOOKUP(F65,'MTRL MSK (TPDP)'!$F$9:$W637,18,0)))</f>
        <v>0</v>
      </c>
      <c r="D65" s="642">
        <f>IF(C65=0,0,(VLOOKUP(C65,'MTRL MSK (TPDP)'!$B$9:$W637,3,0)))</f>
        <v>0</v>
      </c>
      <c r="E65" s="643" t="str">
        <f>iferror(IF(C65="","",(VLOOKUP(C65,'MTRL MSK (TPDP)'!$B$9:$W637,4,0))),"")</f>
        <v/>
      </c>
      <c r="F65" s="644">
        <f>IF(H65=0,0,(VLOOKUP(H65,'MTRL MSK (TPDP)'!$H$9:$X637,17,0)))</f>
        <v>0</v>
      </c>
      <c r="G65" s="645"/>
      <c r="H65" s="646"/>
      <c r="I65" s="446">
        <f>IF(H65=0,0,(VLOOKUP(H65,'MTRL MSK (TPDP)'!$H$9:$U637,2,0)))</f>
        <v>0</v>
      </c>
      <c r="J65" s="448" t="str">
        <f>IFERROR((IF(H65=0,0,(VLOOKUP(H65,'MTRL MSK (TPDP)'!$H$8:$U637,7,0))))/(IF(H65=0,0,(VLOOKUP(H65,'MTRL MSK (TPDP)'!$H$8:$U637,5,0)))),"")</f>
        <v/>
      </c>
      <c r="K65" s="559"/>
      <c r="L65" s="448">
        <f t="shared" si="1"/>
        <v>0</v>
      </c>
      <c r="M65" s="647">
        <f t="shared" si="2"/>
        <v>0</v>
      </c>
      <c r="N65" s="647">
        <f t="shared" si="3"/>
        <v>0</v>
      </c>
      <c r="O65" s="448">
        <f>IF(H65=0,0,(VLOOKUP(H65,'MTRL MSK (TPDP)'!$H$9:$U637,5,0)))</f>
        <v>0</v>
      </c>
      <c r="P65" s="448">
        <f t="shared" si="4"/>
        <v>0</v>
      </c>
      <c r="Q65" s="448">
        <f t="shared" si="5"/>
        <v>0</v>
      </c>
      <c r="R65" s="648" t="str">
        <f>IFERROR(IF(S65="","",(VLOOKUP(S65,'1. BQ RAPL'!$D$14:$K637,8,0))),"")</f>
        <v/>
      </c>
      <c r="S65" s="649"/>
      <c r="T65" s="650"/>
      <c r="U65" s="16"/>
      <c r="V65" s="16"/>
      <c r="W65" s="16"/>
      <c r="X65" s="119"/>
      <c r="Y65" s="119"/>
      <c r="Z65" s="119"/>
      <c r="AA65" s="119"/>
      <c r="AB65" s="119"/>
      <c r="AC65" s="119"/>
      <c r="AD65" s="119"/>
      <c r="AE65" s="119"/>
      <c r="AF65" s="119"/>
    </row>
    <row r="66" ht="18.75" customHeight="1">
      <c r="A66" s="119"/>
      <c r="B66" s="652"/>
      <c r="C66" s="642">
        <f>IF(F66=0,0,(VLOOKUP(F66,'MTRL MSK (TPDP)'!$F$9:$W637,18,0)))</f>
        <v>0</v>
      </c>
      <c r="D66" s="642">
        <f>IF(C66=0,0,(VLOOKUP(C66,'MTRL MSK (TPDP)'!$B$9:$W637,3,0)))</f>
        <v>0</v>
      </c>
      <c r="E66" s="643" t="str">
        <f>iferror(IF(C66="","",(VLOOKUP(C66,'MTRL MSK (TPDP)'!$B$9:$W637,4,0))),"")</f>
        <v/>
      </c>
      <c r="F66" s="644">
        <f>IF(H66=0,0,(VLOOKUP(H66,'MTRL MSK (TPDP)'!$H$9:$X637,17,0)))</f>
        <v>0</v>
      </c>
      <c r="G66" s="645"/>
      <c r="H66" s="646"/>
      <c r="I66" s="446">
        <f>IF(H66=0,0,(VLOOKUP(H66,'MTRL MSK (TPDP)'!$H$9:$U637,2,0)))</f>
        <v>0</v>
      </c>
      <c r="J66" s="448" t="str">
        <f>IFERROR((IF(H66=0,0,(VLOOKUP(H66,'MTRL MSK (TPDP)'!$H$8:$U637,7,0))))/(IF(H66=0,0,(VLOOKUP(H66,'MTRL MSK (TPDP)'!$H$8:$U637,5,0)))),"")</f>
        <v/>
      </c>
      <c r="K66" s="559"/>
      <c r="L66" s="448">
        <f t="shared" si="1"/>
        <v>0</v>
      </c>
      <c r="M66" s="647">
        <f t="shared" si="2"/>
        <v>0</v>
      </c>
      <c r="N66" s="647">
        <f t="shared" si="3"/>
        <v>0</v>
      </c>
      <c r="O66" s="448">
        <f>IF(H66=0,0,(VLOOKUP(H66,'MTRL MSK (TPDP)'!$H$9:$U637,5,0)))</f>
        <v>0</v>
      </c>
      <c r="P66" s="448">
        <f t="shared" si="4"/>
        <v>0</v>
      </c>
      <c r="Q66" s="448">
        <f t="shared" si="5"/>
        <v>0</v>
      </c>
      <c r="R66" s="648" t="str">
        <f>IFERROR(IF(S66="","",(VLOOKUP(S66,'1. BQ RAPL'!$D$14:$K637,8,0))),"")</f>
        <v/>
      </c>
      <c r="S66" s="649"/>
      <c r="T66" s="650"/>
      <c r="U66" s="16"/>
      <c r="V66" s="16"/>
      <c r="W66" s="16"/>
      <c r="X66" s="119"/>
      <c r="Y66" s="119"/>
      <c r="Z66" s="119"/>
      <c r="AA66" s="119"/>
      <c r="AB66" s="119"/>
      <c r="AC66" s="119"/>
      <c r="AD66" s="119"/>
      <c r="AE66" s="119"/>
      <c r="AF66" s="119"/>
    </row>
    <row r="67" ht="18.75" customHeight="1">
      <c r="A67" s="119"/>
      <c r="B67" s="652"/>
      <c r="C67" s="642">
        <f>IF(F67=0,0,(VLOOKUP(F67,'MTRL MSK (TPDP)'!$F$9:$W637,18,0)))</f>
        <v>0</v>
      </c>
      <c r="D67" s="642">
        <f>IF(C67=0,0,(VLOOKUP(C67,'MTRL MSK (TPDP)'!$B$9:$W637,3,0)))</f>
        <v>0</v>
      </c>
      <c r="E67" s="643" t="str">
        <f>iferror(IF(C67="","",(VLOOKUP(C67,'MTRL MSK (TPDP)'!$B$9:$W637,4,0))),"")</f>
        <v/>
      </c>
      <c r="F67" s="644">
        <f>IF(H67=0,0,(VLOOKUP(H67,'MTRL MSK (TPDP)'!$H$9:$X637,17,0)))</f>
        <v>0</v>
      </c>
      <c r="G67" s="645"/>
      <c r="H67" s="646"/>
      <c r="I67" s="446">
        <f>IF(H67=0,0,(VLOOKUP(H67,'MTRL MSK (TPDP)'!$H$9:$U637,2,0)))</f>
        <v>0</v>
      </c>
      <c r="J67" s="448" t="str">
        <f>IFERROR((IF(H67=0,0,(VLOOKUP(H67,'MTRL MSK (TPDP)'!$H$8:$U637,7,0))))/(IF(H67=0,0,(VLOOKUP(H67,'MTRL MSK (TPDP)'!$H$8:$U637,5,0)))),"")</f>
        <v/>
      </c>
      <c r="K67" s="559"/>
      <c r="L67" s="448">
        <f t="shared" si="1"/>
        <v>0</v>
      </c>
      <c r="M67" s="647">
        <f t="shared" si="2"/>
        <v>0</v>
      </c>
      <c r="N67" s="647">
        <f t="shared" si="3"/>
        <v>0</v>
      </c>
      <c r="O67" s="448">
        <f>IF(H67=0,0,(VLOOKUP(H67,'MTRL MSK (TPDP)'!$H$9:$U637,5,0)))</f>
        <v>0</v>
      </c>
      <c r="P67" s="448">
        <f t="shared" si="4"/>
        <v>0</v>
      </c>
      <c r="Q67" s="448">
        <f t="shared" si="5"/>
        <v>0</v>
      </c>
      <c r="R67" s="648" t="str">
        <f>IFERROR(IF(S67="","",(VLOOKUP(S67,'1. BQ RAPL'!$D$14:$K637,8,0))),"")</f>
        <v/>
      </c>
      <c r="S67" s="649"/>
      <c r="T67" s="650"/>
      <c r="U67" s="16"/>
      <c r="V67" s="16"/>
      <c r="W67" s="16"/>
      <c r="X67" s="119"/>
      <c r="Y67" s="119"/>
      <c r="Z67" s="119"/>
      <c r="AA67" s="119"/>
      <c r="AB67" s="119"/>
      <c r="AC67" s="119"/>
      <c r="AD67" s="119"/>
      <c r="AE67" s="119"/>
      <c r="AF67" s="119"/>
    </row>
    <row r="68" ht="18.75" customHeight="1">
      <c r="A68" s="119"/>
      <c r="B68" s="652"/>
      <c r="C68" s="642">
        <f>IF(F68=0,0,(VLOOKUP(F68,'MTRL MSK (TPDP)'!$F$9:$W637,18,0)))</f>
        <v>0</v>
      </c>
      <c r="D68" s="642">
        <f>IF(C68=0,0,(VLOOKUP(C68,'MTRL MSK (TPDP)'!$B$9:$W637,3,0)))</f>
        <v>0</v>
      </c>
      <c r="E68" s="643" t="str">
        <f>iferror(IF(C68="","",(VLOOKUP(C68,'MTRL MSK (TPDP)'!$B$9:$W637,4,0))),"")</f>
        <v/>
      </c>
      <c r="F68" s="644">
        <f>IF(H68=0,0,(VLOOKUP(H68,'MTRL MSK (TPDP)'!$H$9:$X637,17,0)))</f>
        <v>0</v>
      </c>
      <c r="G68" s="645"/>
      <c r="H68" s="646"/>
      <c r="I68" s="446">
        <f>IF(H68=0,0,(VLOOKUP(H68,'MTRL MSK (TPDP)'!$H$9:$U637,2,0)))</f>
        <v>0</v>
      </c>
      <c r="J68" s="448" t="str">
        <f>IFERROR((IF(H68=0,0,(VLOOKUP(H68,'MTRL MSK (TPDP)'!$H$8:$U637,7,0))))/(IF(H68=0,0,(VLOOKUP(H68,'MTRL MSK (TPDP)'!$H$8:$U637,5,0)))),"")</f>
        <v/>
      </c>
      <c r="K68" s="559"/>
      <c r="L68" s="448">
        <f t="shared" si="1"/>
        <v>0</v>
      </c>
      <c r="M68" s="647">
        <f t="shared" si="2"/>
        <v>0</v>
      </c>
      <c r="N68" s="647">
        <f t="shared" si="3"/>
        <v>0</v>
      </c>
      <c r="O68" s="448">
        <f>IF(H68=0,0,(VLOOKUP(H68,'MTRL MSK (TPDP)'!$H$9:$U637,5,0)))</f>
        <v>0</v>
      </c>
      <c r="P68" s="448">
        <f t="shared" si="4"/>
        <v>0</v>
      </c>
      <c r="Q68" s="448">
        <f t="shared" si="5"/>
        <v>0</v>
      </c>
      <c r="R68" s="648" t="str">
        <f>IFERROR(IF(S68="","",(VLOOKUP(S68,'1. BQ RAPL'!$D$14:$K637,8,0))),"")</f>
        <v/>
      </c>
      <c r="S68" s="649"/>
      <c r="T68" s="650"/>
      <c r="U68" s="16"/>
      <c r="V68" s="16"/>
      <c r="W68" s="16"/>
      <c r="X68" s="119"/>
      <c r="Y68" s="119"/>
      <c r="Z68" s="119"/>
      <c r="AA68" s="119"/>
      <c r="AB68" s="119"/>
      <c r="AC68" s="119"/>
      <c r="AD68" s="119"/>
      <c r="AE68" s="119"/>
      <c r="AF68" s="119"/>
    </row>
    <row r="69" ht="18.75" customHeight="1">
      <c r="A69" s="119"/>
      <c r="B69" s="652"/>
      <c r="C69" s="642">
        <f>IF(F69=0,0,(VLOOKUP(F69,'MTRL MSK (TPDP)'!$F$9:$W637,18,0)))</f>
        <v>0</v>
      </c>
      <c r="D69" s="642">
        <f>IF(C69=0,0,(VLOOKUP(C69,'MTRL MSK (TPDP)'!$B$9:$W637,3,0)))</f>
        <v>0</v>
      </c>
      <c r="E69" s="643" t="str">
        <f>iferror(IF(C69="","",(VLOOKUP(C69,'MTRL MSK (TPDP)'!$B$9:$W637,4,0))),"")</f>
        <v/>
      </c>
      <c r="F69" s="644">
        <f>IF(H69=0,0,(VLOOKUP(H69,'MTRL MSK (TPDP)'!$H$9:$X637,17,0)))</f>
        <v>0</v>
      </c>
      <c r="G69" s="645"/>
      <c r="H69" s="646"/>
      <c r="I69" s="446">
        <f>IF(H69=0,0,(VLOOKUP(H69,'MTRL MSK (TPDP)'!$H$9:$U637,2,0)))</f>
        <v>0</v>
      </c>
      <c r="J69" s="448" t="str">
        <f>IFERROR((IF(H69=0,0,(VLOOKUP(H69,'MTRL MSK (TPDP)'!$H$8:$U637,7,0))))/(IF(H69=0,0,(VLOOKUP(H69,'MTRL MSK (TPDP)'!$H$8:$U637,5,0)))),"")</f>
        <v/>
      </c>
      <c r="K69" s="559"/>
      <c r="L69" s="448">
        <f t="shared" si="1"/>
        <v>0</v>
      </c>
      <c r="M69" s="647">
        <f t="shared" si="2"/>
        <v>0</v>
      </c>
      <c r="N69" s="647">
        <f t="shared" si="3"/>
        <v>0</v>
      </c>
      <c r="O69" s="448">
        <f>IF(H69=0,0,(VLOOKUP(H69,'MTRL MSK (TPDP)'!$H$9:$U637,5,0)))</f>
        <v>0</v>
      </c>
      <c r="P69" s="448">
        <f t="shared" si="4"/>
        <v>0</v>
      </c>
      <c r="Q69" s="448">
        <f t="shared" si="5"/>
        <v>0</v>
      </c>
      <c r="R69" s="648" t="str">
        <f>IFERROR(IF(S69="","",(VLOOKUP(S69,'1. BQ RAPL'!$D$14:$K637,8,0))),"")</f>
        <v/>
      </c>
      <c r="S69" s="649"/>
      <c r="T69" s="650"/>
      <c r="U69" s="16"/>
      <c r="V69" s="16"/>
      <c r="W69" s="16"/>
      <c r="X69" s="119"/>
      <c r="Y69" s="119"/>
      <c r="Z69" s="119"/>
      <c r="AA69" s="119"/>
      <c r="AB69" s="119"/>
      <c r="AC69" s="119"/>
      <c r="AD69" s="119"/>
      <c r="AE69" s="119"/>
      <c r="AF69" s="119"/>
    </row>
    <row r="70" ht="18.75" customHeight="1">
      <c r="A70" s="119"/>
      <c r="B70" s="652"/>
      <c r="C70" s="642">
        <f>IF(F70=0,0,(VLOOKUP(F70,'MTRL MSK (TPDP)'!$F$9:$W637,18,0)))</f>
        <v>0</v>
      </c>
      <c r="D70" s="642">
        <f>IF(C70=0,0,(VLOOKUP(C70,'MTRL MSK (TPDP)'!$B$9:$W637,3,0)))</f>
        <v>0</v>
      </c>
      <c r="E70" s="643" t="str">
        <f>iferror(IF(C70="","",(VLOOKUP(C70,'MTRL MSK (TPDP)'!$B$9:$W637,4,0))),"")</f>
        <v/>
      </c>
      <c r="F70" s="644">
        <f>IF(H70=0,0,(VLOOKUP(H70,'MTRL MSK (TPDP)'!$H$9:$X637,17,0)))</f>
        <v>0</v>
      </c>
      <c r="G70" s="645"/>
      <c r="H70" s="646"/>
      <c r="I70" s="446">
        <f>IF(H70=0,0,(VLOOKUP(H70,'MTRL MSK (TPDP)'!$H$9:$U637,2,0)))</f>
        <v>0</v>
      </c>
      <c r="J70" s="448" t="str">
        <f>IFERROR((IF(H70=0,0,(VLOOKUP(H70,'MTRL MSK (TPDP)'!$H$8:$U637,7,0))))/(IF(H70=0,0,(VLOOKUP(H70,'MTRL MSK (TPDP)'!$H$8:$U637,5,0)))),"")</f>
        <v/>
      </c>
      <c r="K70" s="559"/>
      <c r="L70" s="448">
        <f t="shared" si="1"/>
        <v>0</v>
      </c>
      <c r="M70" s="647">
        <f t="shared" si="2"/>
        <v>0</v>
      </c>
      <c r="N70" s="647">
        <f t="shared" si="3"/>
        <v>0</v>
      </c>
      <c r="O70" s="448">
        <f>IF(H70=0,0,(VLOOKUP(H70,'MTRL MSK (TPDP)'!$H$9:$U637,5,0)))</f>
        <v>0</v>
      </c>
      <c r="P70" s="448">
        <f t="shared" si="4"/>
        <v>0</v>
      </c>
      <c r="Q70" s="448">
        <f t="shared" si="5"/>
        <v>0</v>
      </c>
      <c r="R70" s="648" t="str">
        <f>IFERROR(IF(S70="","",(VLOOKUP(S70,'1. BQ RAPL'!$D$14:$K637,8,0))),"")</f>
        <v/>
      </c>
      <c r="S70" s="649"/>
      <c r="T70" s="650"/>
      <c r="U70" s="16"/>
      <c r="V70" s="16"/>
      <c r="W70" s="16"/>
      <c r="X70" s="119"/>
      <c r="Y70" s="119"/>
      <c r="Z70" s="119"/>
      <c r="AA70" s="119"/>
      <c r="AB70" s="119"/>
      <c r="AC70" s="119"/>
      <c r="AD70" s="119"/>
      <c r="AE70" s="119"/>
      <c r="AF70" s="119"/>
    </row>
    <row r="71" ht="18.75" customHeight="1">
      <c r="A71" s="119"/>
      <c r="B71" s="652"/>
      <c r="C71" s="642">
        <f>IF(F71=0,0,(VLOOKUP(F71,'MTRL MSK (TPDP)'!$F$9:$W637,18,0)))</f>
        <v>0</v>
      </c>
      <c r="D71" s="642">
        <f>IF(C71=0,0,(VLOOKUP(C71,'MTRL MSK (TPDP)'!$B$9:$W637,3,0)))</f>
        <v>0</v>
      </c>
      <c r="E71" s="643" t="str">
        <f>iferror(IF(C71="","",(VLOOKUP(C71,'MTRL MSK (TPDP)'!$B$9:$W637,4,0))),"")</f>
        <v/>
      </c>
      <c r="F71" s="644">
        <f>IF(H71=0,0,(VLOOKUP(H71,'MTRL MSK (TPDP)'!$H$9:$X637,17,0)))</f>
        <v>0</v>
      </c>
      <c r="G71" s="645"/>
      <c r="H71" s="646"/>
      <c r="I71" s="446">
        <f>IF(H71=0,0,(VLOOKUP(H71,'MTRL MSK (TPDP)'!$H$9:$U637,2,0)))</f>
        <v>0</v>
      </c>
      <c r="J71" s="448" t="str">
        <f>IFERROR((IF(H71=0,0,(VLOOKUP(H71,'MTRL MSK (TPDP)'!$H$8:$U637,7,0))))/(IF(H71=0,0,(VLOOKUP(H71,'MTRL MSK (TPDP)'!$H$8:$U637,5,0)))),"")</f>
        <v/>
      </c>
      <c r="K71" s="559"/>
      <c r="L71" s="448">
        <f t="shared" si="1"/>
        <v>0</v>
      </c>
      <c r="M71" s="647">
        <f t="shared" si="2"/>
        <v>0</v>
      </c>
      <c r="N71" s="647">
        <f t="shared" si="3"/>
        <v>0</v>
      </c>
      <c r="O71" s="448">
        <f>IF(H71=0,0,(VLOOKUP(H71,'MTRL MSK (TPDP)'!$H$9:$U637,5,0)))</f>
        <v>0</v>
      </c>
      <c r="P71" s="448">
        <f t="shared" si="4"/>
        <v>0</v>
      </c>
      <c r="Q71" s="448">
        <f t="shared" si="5"/>
        <v>0</v>
      </c>
      <c r="R71" s="648" t="str">
        <f>IFERROR(IF(S71="","",(VLOOKUP(S71,'1. BQ RAPL'!$D$14:$K637,8,0))),"")</f>
        <v/>
      </c>
      <c r="S71" s="649"/>
      <c r="T71" s="650"/>
      <c r="U71" s="16"/>
      <c r="V71" s="16"/>
      <c r="W71" s="16"/>
      <c r="X71" s="119"/>
      <c r="Y71" s="119"/>
      <c r="Z71" s="119"/>
      <c r="AA71" s="119"/>
      <c r="AB71" s="119"/>
      <c r="AC71" s="119"/>
      <c r="AD71" s="119"/>
      <c r="AE71" s="119"/>
      <c r="AF71" s="119"/>
    </row>
    <row r="72" ht="18.75" customHeight="1">
      <c r="A72" s="119"/>
      <c r="B72" s="652"/>
      <c r="C72" s="642">
        <f>IF(F72=0,0,(VLOOKUP(F72,'MTRL MSK (TPDP)'!$F$9:$W637,18,0)))</f>
        <v>0</v>
      </c>
      <c r="D72" s="642">
        <f>IF(C72=0,0,(VLOOKUP(C72,'MTRL MSK (TPDP)'!$B$9:$W637,3,0)))</f>
        <v>0</v>
      </c>
      <c r="E72" s="643" t="str">
        <f>iferror(IF(C72="","",(VLOOKUP(C72,'MTRL MSK (TPDP)'!$B$9:$W637,4,0))),"")</f>
        <v/>
      </c>
      <c r="F72" s="644">
        <f>IF(H72=0,0,(VLOOKUP(H72,'MTRL MSK (TPDP)'!$H$9:$X637,17,0)))</f>
        <v>0</v>
      </c>
      <c r="G72" s="645"/>
      <c r="H72" s="646"/>
      <c r="I72" s="446">
        <f>IF(H72=0,0,(VLOOKUP(H72,'MTRL MSK (TPDP)'!$H$9:$U637,2,0)))</f>
        <v>0</v>
      </c>
      <c r="J72" s="448" t="str">
        <f>IFERROR((IF(H72=0,0,(VLOOKUP(H72,'MTRL MSK (TPDP)'!$H$8:$U637,7,0))))/(IF(H72=0,0,(VLOOKUP(H72,'MTRL MSK (TPDP)'!$H$8:$U637,5,0)))),"")</f>
        <v/>
      </c>
      <c r="K72" s="559"/>
      <c r="L72" s="448">
        <f t="shared" si="1"/>
        <v>0</v>
      </c>
      <c r="M72" s="647">
        <f t="shared" si="2"/>
        <v>0</v>
      </c>
      <c r="N72" s="647">
        <f t="shared" si="3"/>
        <v>0</v>
      </c>
      <c r="O72" s="448">
        <f>IF(H72=0,0,(VLOOKUP(H72,'MTRL MSK (TPDP)'!$H$9:$U637,5,0)))</f>
        <v>0</v>
      </c>
      <c r="P72" s="448">
        <f t="shared" si="4"/>
        <v>0</v>
      </c>
      <c r="Q72" s="448">
        <f t="shared" si="5"/>
        <v>0</v>
      </c>
      <c r="R72" s="648" t="str">
        <f>IFERROR(IF(S72="","",(VLOOKUP(S72,'1. BQ RAPL'!$D$14:$K637,8,0))),"")</f>
        <v/>
      </c>
      <c r="S72" s="649"/>
      <c r="T72" s="650"/>
      <c r="U72" s="16"/>
      <c r="V72" s="16"/>
      <c r="W72" s="16"/>
      <c r="X72" s="119"/>
      <c r="Y72" s="119"/>
      <c r="Z72" s="119"/>
      <c r="AA72" s="119"/>
      <c r="AB72" s="119"/>
      <c r="AC72" s="119"/>
      <c r="AD72" s="119"/>
      <c r="AE72" s="119"/>
      <c r="AF72" s="119"/>
    </row>
    <row r="73" ht="18.75" customHeight="1">
      <c r="A73" s="119"/>
      <c r="B73" s="652"/>
      <c r="C73" s="642">
        <f>IF(F73=0,0,(VLOOKUP(F73,'MTRL MSK (TPDP)'!$F$9:$W637,18,0)))</f>
        <v>0</v>
      </c>
      <c r="D73" s="642">
        <f>IF(C73=0,0,(VLOOKUP(C73,'MTRL MSK (TPDP)'!$B$9:$W637,3,0)))</f>
        <v>0</v>
      </c>
      <c r="E73" s="643" t="str">
        <f>iferror(IF(C73="","",(VLOOKUP(C73,'MTRL MSK (TPDP)'!$B$9:$W637,4,0))),"")</f>
        <v/>
      </c>
      <c r="F73" s="644">
        <f>IF(H73=0,0,(VLOOKUP(H73,'MTRL MSK (TPDP)'!$H$9:$X637,17,0)))</f>
        <v>0</v>
      </c>
      <c r="G73" s="645"/>
      <c r="H73" s="646"/>
      <c r="I73" s="446">
        <f>IF(H73=0,0,(VLOOKUP(H73,'MTRL MSK (TPDP)'!$H$9:$U637,2,0)))</f>
        <v>0</v>
      </c>
      <c r="J73" s="448" t="str">
        <f>IFERROR((IF(H73=0,0,(VLOOKUP(H73,'MTRL MSK (TPDP)'!$H$8:$U637,7,0))))/(IF(H73=0,0,(VLOOKUP(H73,'MTRL MSK (TPDP)'!$H$8:$U637,5,0)))),"")</f>
        <v/>
      </c>
      <c r="K73" s="559"/>
      <c r="L73" s="448">
        <f t="shared" si="1"/>
        <v>0</v>
      </c>
      <c r="M73" s="647">
        <f t="shared" si="2"/>
        <v>0</v>
      </c>
      <c r="N73" s="647">
        <f t="shared" si="3"/>
        <v>0</v>
      </c>
      <c r="O73" s="448">
        <f>IF(H73=0,0,(VLOOKUP(H73,'MTRL MSK (TPDP)'!$H$9:$U637,5,0)))</f>
        <v>0</v>
      </c>
      <c r="P73" s="448">
        <f t="shared" si="4"/>
        <v>0</v>
      </c>
      <c r="Q73" s="448">
        <f t="shared" si="5"/>
        <v>0</v>
      </c>
      <c r="R73" s="648" t="str">
        <f>IFERROR(IF(S73="","",(VLOOKUP(S73,'1. BQ RAPL'!$D$14:$K637,8,0))),"")</f>
        <v/>
      </c>
      <c r="S73" s="649"/>
      <c r="T73" s="650"/>
      <c r="U73" s="16"/>
      <c r="V73" s="16"/>
      <c r="W73" s="16"/>
      <c r="X73" s="119"/>
      <c r="Y73" s="119"/>
      <c r="Z73" s="119"/>
      <c r="AA73" s="119"/>
      <c r="AB73" s="119"/>
      <c r="AC73" s="119"/>
      <c r="AD73" s="119"/>
      <c r="AE73" s="119"/>
      <c r="AF73" s="119"/>
    </row>
    <row r="74" ht="18.75" customHeight="1">
      <c r="A74" s="119"/>
      <c r="B74" s="652"/>
      <c r="C74" s="642">
        <f>IF(F74=0,0,(VLOOKUP(F74,'MTRL MSK (TPDP)'!$F$9:$W637,18,0)))</f>
        <v>0</v>
      </c>
      <c r="D74" s="642">
        <f>IF(C74=0,0,(VLOOKUP(C74,'MTRL MSK (TPDP)'!$B$9:$W637,3,0)))</f>
        <v>0</v>
      </c>
      <c r="E74" s="643" t="str">
        <f>iferror(IF(C74="","",(VLOOKUP(C74,'MTRL MSK (TPDP)'!$B$9:$W637,4,0))),"")</f>
        <v/>
      </c>
      <c r="F74" s="644">
        <f>IF(H74=0,0,(VLOOKUP(H74,'MTRL MSK (TPDP)'!$H$9:$X637,17,0)))</f>
        <v>0</v>
      </c>
      <c r="G74" s="645"/>
      <c r="H74" s="646"/>
      <c r="I74" s="446">
        <f>IF(H74=0,0,(VLOOKUP(H74,'MTRL MSK (TPDP)'!$H$9:$U637,2,0)))</f>
        <v>0</v>
      </c>
      <c r="J74" s="448" t="str">
        <f>IFERROR((IF(H74=0,0,(VLOOKUP(H74,'MTRL MSK (TPDP)'!$H$8:$U637,7,0))))/(IF(H74=0,0,(VLOOKUP(H74,'MTRL MSK (TPDP)'!$H$8:$U637,5,0)))),"")</f>
        <v/>
      </c>
      <c r="K74" s="559"/>
      <c r="L74" s="448">
        <f t="shared" si="1"/>
        <v>0</v>
      </c>
      <c r="M74" s="647">
        <f t="shared" si="2"/>
        <v>0</v>
      </c>
      <c r="N74" s="647">
        <f t="shared" si="3"/>
        <v>0</v>
      </c>
      <c r="O74" s="448">
        <f>IF(H74=0,0,(VLOOKUP(H74,'MTRL MSK (TPDP)'!$H$9:$U637,5,0)))</f>
        <v>0</v>
      </c>
      <c r="P74" s="448">
        <f t="shared" si="4"/>
        <v>0</v>
      </c>
      <c r="Q74" s="448">
        <f t="shared" si="5"/>
        <v>0</v>
      </c>
      <c r="R74" s="648" t="str">
        <f>IFERROR(IF(S74="","",(VLOOKUP(S74,'1. BQ RAPL'!$D$14:$K637,8,0))),"")</f>
        <v/>
      </c>
      <c r="S74" s="649"/>
      <c r="T74" s="650"/>
      <c r="U74" s="16"/>
      <c r="V74" s="16"/>
      <c r="W74" s="16"/>
      <c r="X74" s="119"/>
      <c r="Y74" s="119"/>
      <c r="Z74" s="119"/>
      <c r="AA74" s="119"/>
      <c r="AB74" s="119"/>
      <c r="AC74" s="119"/>
      <c r="AD74" s="119"/>
      <c r="AE74" s="119"/>
      <c r="AF74" s="119"/>
    </row>
    <row r="75" ht="18.75" customHeight="1">
      <c r="A75" s="119"/>
      <c r="B75" s="652"/>
      <c r="C75" s="642">
        <f>IF(F75=0,0,(VLOOKUP(F75,'MTRL MSK (TPDP)'!$F$9:$W637,18,0)))</f>
        <v>0</v>
      </c>
      <c r="D75" s="642">
        <f>IF(C75=0,0,(VLOOKUP(C75,'MTRL MSK (TPDP)'!$B$9:$W637,3,0)))</f>
        <v>0</v>
      </c>
      <c r="E75" s="643" t="str">
        <f>iferror(IF(C75="","",(VLOOKUP(C75,'MTRL MSK (TPDP)'!$B$9:$W637,4,0))),"")</f>
        <v/>
      </c>
      <c r="F75" s="644">
        <f>IF(H75=0,0,(VLOOKUP(H75,'MTRL MSK (TPDP)'!$H$9:$X637,17,0)))</f>
        <v>0</v>
      </c>
      <c r="G75" s="645"/>
      <c r="H75" s="646"/>
      <c r="I75" s="446">
        <f>IF(H75=0,0,(VLOOKUP(H75,'MTRL MSK (TPDP)'!$H$9:$U637,2,0)))</f>
        <v>0</v>
      </c>
      <c r="J75" s="448" t="str">
        <f>IFERROR((IF(H75=0,0,(VLOOKUP(H75,'MTRL MSK (TPDP)'!$H$8:$U637,7,0))))/(IF(H75=0,0,(VLOOKUP(H75,'MTRL MSK (TPDP)'!$H$8:$U637,5,0)))),"")</f>
        <v/>
      </c>
      <c r="K75" s="559"/>
      <c r="L75" s="448">
        <f t="shared" si="1"/>
        <v>0</v>
      </c>
      <c r="M75" s="647">
        <f t="shared" si="2"/>
        <v>0</v>
      </c>
      <c r="N75" s="647">
        <f t="shared" si="3"/>
        <v>0</v>
      </c>
      <c r="O75" s="448">
        <f>IF(H75=0,0,(VLOOKUP(H75,'MTRL MSK (TPDP)'!$H$9:$U637,5,0)))</f>
        <v>0</v>
      </c>
      <c r="P75" s="448">
        <f t="shared" si="4"/>
        <v>0</v>
      </c>
      <c r="Q75" s="448">
        <f t="shared" si="5"/>
        <v>0</v>
      </c>
      <c r="R75" s="648" t="str">
        <f>IFERROR(IF(S75="","",(VLOOKUP(S75,'1. BQ RAPL'!$D$14:$K637,8,0))),"")</f>
        <v/>
      </c>
      <c r="S75" s="649"/>
      <c r="T75" s="650"/>
      <c r="U75" s="16"/>
      <c r="V75" s="16"/>
      <c r="W75" s="16"/>
      <c r="X75" s="119"/>
      <c r="Y75" s="119"/>
      <c r="Z75" s="119"/>
      <c r="AA75" s="119"/>
      <c r="AB75" s="119"/>
      <c r="AC75" s="119"/>
      <c r="AD75" s="119"/>
      <c r="AE75" s="119"/>
      <c r="AF75" s="119"/>
    </row>
    <row r="76" ht="18.75" customHeight="1">
      <c r="A76" s="119"/>
      <c r="B76" s="652"/>
      <c r="C76" s="642">
        <f>IF(F76=0,0,(VLOOKUP(F76,'MTRL MSK (TPDP)'!$F$9:$W637,18,0)))</f>
        <v>0</v>
      </c>
      <c r="D76" s="642">
        <f>IF(C76=0,0,(VLOOKUP(C76,'MTRL MSK (TPDP)'!$B$9:$W637,3,0)))</f>
        <v>0</v>
      </c>
      <c r="E76" s="643" t="str">
        <f>iferror(IF(C76="","",(VLOOKUP(C76,'MTRL MSK (TPDP)'!$B$9:$W637,4,0))),"")</f>
        <v/>
      </c>
      <c r="F76" s="644">
        <f>IF(H76=0,0,(VLOOKUP(H76,'MTRL MSK (TPDP)'!$H$9:$X637,17,0)))</f>
        <v>0</v>
      </c>
      <c r="G76" s="645"/>
      <c r="H76" s="646"/>
      <c r="I76" s="446">
        <f>IF(H76=0,0,(VLOOKUP(H76,'MTRL MSK (TPDP)'!$H$9:$U637,2,0)))</f>
        <v>0</v>
      </c>
      <c r="J76" s="448" t="str">
        <f>IFERROR((IF(H76=0,0,(VLOOKUP(H76,'MTRL MSK (TPDP)'!$H$8:$U637,7,0))))/(IF(H76=0,0,(VLOOKUP(H76,'MTRL MSK (TPDP)'!$H$8:$U637,5,0)))),"")</f>
        <v/>
      </c>
      <c r="K76" s="559"/>
      <c r="L76" s="448">
        <f t="shared" si="1"/>
        <v>0</v>
      </c>
      <c r="M76" s="647">
        <f t="shared" si="2"/>
        <v>0</v>
      </c>
      <c r="N76" s="647">
        <f t="shared" si="3"/>
        <v>0</v>
      </c>
      <c r="O76" s="448">
        <f>IF(H76=0,0,(VLOOKUP(H76,'MTRL MSK (TPDP)'!$H$9:$U637,5,0)))</f>
        <v>0</v>
      </c>
      <c r="P76" s="448">
        <f t="shared" si="4"/>
        <v>0</v>
      </c>
      <c r="Q76" s="448">
        <f t="shared" si="5"/>
        <v>0</v>
      </c>
      <c r="R76" s="648" t="str">
        <f>IFERROR(IF(S76="","",(VLOOKUP(S76,'1. BQ RAPL'!$D$14:$K637,8,0))),"")</f>
        <v/>
      </c>
      <c r="S76" s="649"/>
      <c r="T76" s="650"/>
      <c r="U76" s="16"/>
      <c r="V76" s="16"/>
      <c r="W76" s="16"/>
      <c r="X76" s="119"/>
      <c r="Y76" s="119"/>
      <c r="Z76" s="119"/>
      <c r="AA76" s="119"/>
      <c r="AB76" s="119"/>
      <c r="AC76" s="119"/>
      <c r="AD76" s="119"/>
      <c r="AE76" s="119"/>
      <c r="AF76" s="119"/>
    </row>
    <row r="77" ht="18.75" customHeight="1">
      <c r="A77" s="119"/>
      <c r="B77" s="652"/>
      <c r="C77" s="642">
        <f>IF(F77=0,0,(VLOOKUP(F77,'MTRL MSK (TPDP)'!$F$9:$W637,18,0)))</f>
        <v>0</v>
      </c>
      <c r="D77" s="642">
        <f>IF(C77=0,0,(VLOOKUP(C77,'MTRL MSK (TPDP)'!$B$9:$W637,3,0)))</f>
        <v>0</v>
      </c>
      <c r="E77" s="643" t="str">
        <f>iferror(IF(C77="","",(VLOOKUP(C77,'MTRL MSK (TPDP)'!$B$9:$W637,4,0))),"")</f>
        <v/>
      </c>
      <c r="F77" s="644">
        <f>IF(H77=0,0,(VLOOKUP(H77,'MTRL MSK (TPDP)'!$H$9:$X637,17,0)))</f>
        <v>0</v>
      </c>
      <c r="G77" s="645"/>
      <c r="H77" s="646"/>
      <c r="I77" s="446">
        <f>IF(H77=0,0,(VLOOKUP(H77,'MTRL MSK (TPDP)'!$H$9:$U637,2,0)))</f>
        <v>0</v>
      </c>
      <c r="J77" s="448" t="str">
        <f>IFERROR((IF(H77=0,0,(VLOOKUP(H77,'MTRL MSK (TPDP)'!$H$8:$U637,7,0))))/(IF(H77=0,0,(VLOOKUP(H77,'MTRL MSK (TPDP)'!$H$8:$U637,5,0)))),"")</f>
        <v/>
      </c>
      <c r="K77" s="559"/>
      <c r="L77" s="448">
        <f t="shared" si="1"/>
        <v>0</v>
      </c>
      <c r="M77" s="647">
        <f t="shared" si="2"/>
        <v>0</v>
      </c>
      <c r="N77" s="647">
        <f t="shared" si="3"/>
        <v>0</v>
      </c>
      <c r="O77" s="448">
        <f>IF(H77=0,0,(VLOOKUP(H77,'MTRL MSK (TPDP)'!$H$9:$U637,5,0)))</f>
        <v>0</v>
      </c>
      <c r="P77" s="448">
        <f t="shared" si="4"/>
        <v>0</v>
      </c>
      <c r="Q77" s="448">
        <f t="shared" si="5"/>
        <v>0</v>
      </c>
      <c r="R77" s="648" t="str">
        <f>IFERROR(IF(S77="","",(VLOOKUP(S77,'1. BQ RAPL'!$D$14:$K637,8,0))),"")</f>
        <v/>
      </c>
      <c r="S77" s="649"/>
      <c r="T77" s="650"/>
      <c r="U77" s="16"/>
      <c r="V77" s="16"/>
      <c r="W77" s="16"/>
      <c r="X77" s="119"/>
      <c r="Y77" s="119"/>
      <c r="Z77" s="119"/>
      <c r="AA77" s="119"/>
      <c r="AB77" s="119"/>
      <c r="AC77" s="119"/>
      <c r="AD77" s="119"/>
      <c r="AE77" s="119"/>
      <c r="AF77" s="119"/>
    </row>
    <row r="78" ht="18.75" customHeight="1">
      <c r="A78" s="119"/>
      <c r="B78" s="652"/>
      <c r="C78" s="642">
        <f>IF(F78=0,0,(VLOOKUP(F78,'MTRL MSK (TPDP)'!$F$9:$W637,18,0)))</f>
        <v>0</v>
      </c>
      <c r="D78" s="642">
        <f>IF(C78=0,0,(VLOOKUP(C78,'MTRL MSK (TPDP)'!$B$9:$W637,3,0)))</f>
        <v>0</v>
      </c>
      <c r="E78" s="643" t="str">
        <f>iferror(IF(C78="","",(VLOOKUP(C78,'MTRL MSK (TPDP)'!$B$9:$W637,4,0))),"")</f>
        <v/>
      </c>
      <c r="F78" s="644">
        <f>IF(H78=0,0,(VLOOKUP(H78,'MTRL MSK (TPDP)'!$H$9:$X637,17,0)))</f>
        <v>0</v>
      </c>
      <c r="G78" s="645"/>
      <c r="H78" s="646"/>
      <c r="I78" s="446">
        <f>IF(H78=0,0,(VLOOKUP(H78,'MTRL MSK (TPDP)'!$H$9:$U637,2,0)))</f>
        <v>0</v>
      </c>
      <c r="J78" s="448" t="str">
        <f>IFERROR((IF(H78=0,0,(VLOOKUP(H78,'MTRL MSK (TPDP)'!$H$8:$U637,7,0))))/(IF(H78=0,0,(VLOOKUP(H78,'MTRL MSK (TPDP)'!$H$8:$U637,5,0)))),"")</f>
        <v/>
      </c>
      <c r="K78" s="559"/>
      <c r="L78" s="448">
        <f t="shared" si="1"/>
        <v>0</v>
      </c>
      <c r="M78" s="647">
        <f t="shared" si="2"/>
        <v>0</v>
      </c>
      <c r="N78" s="647">
        <f t="shared" si="3"/>
        <v>0</v>
      </c>
      <c r="O78" s="448">
        <f>IF(H78=0,0,(VLOOKUP(H78,'MTRL MSK (TPDP)'!$H$9:$U637,5,0)))</f>
        <v>0</v>
      </c>
      <c r="P78" s="448">
        <f t="shared" si="4"/>
        <v>0</v>
      </c>
      <c r="Q78" s="448">
        <f t="shared" si="5"/>
        <v>0</v>
      </c>
      <c r="R78" s="648" t="str">
        <f>IFERROR(IF(S78="","",(VLOOKUP(S78,'1. BQ RAPL'!$D$14:$K637,8,0))),"")</f>
        <v/>
      </c>
      <c r="S78" s="649"/>
      <c r="T78" s="650"/>
      <c r="U78" s="16"/>
      <c r="V78" s="16"/>
      <c r="W78" s="16"/>
      <c r="X78" s="119"/>
      <c r="Y78" s="119"/>
      <c r="Z78" s="119"/>
      <c r="AA78" s="119"/>
      <c r="AB78" s="119"/>
      <c r="AC78" s="119"/>
      <c r="AD78" s="119"/>
      <c r="AE78" s="119"/>
      <c r="AF78" s="119"/>
    </row>
    <row r="79" ht="18.75" customHeight="1">
      <c r="A79" s="119"/>
      <c r="B79" s="652"/>
      <c r="C79" s="642">
        <f>IF(F79=0,0,(VLOOKUP(F79,'MTRL MSK (TPDP)'!$F$9:$W637,18,0)))</f>
        <v>0</v>
      </c>
      <c r="D79" s="642">
        <f>IF(C79=0,0,(VLOOKUP(C79,'MTRL MSK (TPDP)'!$B$9:$W637,3,0)))</f>
        <v>0</v>
      </c>
      <c r="E79" s="643" t="str">
        <f>iferror(IF(C79="","",(VLOOKUP(C79,'MTRL MSK (TPDP)'!$B$9:$W637,4,0))),"")</f>
        <v/>
      </c>
      <c r="F79" s="644">
        <f>IF(H79=0,0,(VLOOKUP(H79,'MTRL MSK (TPDP)'!$H$9:$X637,17,0)))</f>
        <v>0</v>
      </c>
      <c r="G79" s="645"/>
      <c r="H79" s="646"/>
      <c r="I79" s="446">
        <f>IF(H79=0,0,(VLOOKUP(H79,'MTRL MSK (TPDP)'!$H$9:$U637,2,0)))</f>
        <v>0</v>
      </c>
      <c r="J79" s="448" t="str">
        <f>IFERROR((IF(H79=0,0,(VLOOKUP(H79,'MTRL MSK (TPDP)'!$H$8:$U637,7,0))))/(IF(H79=0,0,(VLOOKUP(H79,'MTRL MSK (TPDP)'!$H$8:$U637,5,0)))),"")</f>
        <v/>
      </c>
      <c r="K79" s="559"/>
      <c r="L79" s="448">
        <f t="shared" si="1"/>
        <v>0</v>
      </c>
      <c r="M79" s="647">
        <f t="shared" si="2"/>
        <v>0</v>
      </c>
      <c r="N79" s="647">
        <f t="shared" si="3"/>
        <v>0</v>
      </c>
      <c r="O79" s="448">
        <f>IF(H79=0,0,(VLOOKUP(H79,'MTRL MSK (TPDP)'!$H$9:$U637,5,0)))</f>
        <v>0</v>
      </c>
      <c r="P79" s="448">
        <f t="shared" si="4"/>
        <v>0</v>
      </c>
      <c r="Q79" s="448">
        <f t="shared" si="5"/>
        <v>0</v>
      </c>
      <c r="R79" s="648" t="str">
        <f>IFERROR(IF(S79="","",(VLOOKUP(S79,'1. BQ RAPL'!$D$14:$K637,8,0))),"")</f>
        <v/>
      </c>
      <c r="S79" s="649"/>
      <c r="T79" s="650"/>
      <c r="U79" s="16"/>
      <c r="V79" s="16"/>
      <c r="W79" s="16"/>
      <c r="X79" s="119"/>
      <c r="Y79" s="119"/>
      <c r="Z79" s="119"/>
      <c r="AA79" s="119"/>
      <c r="AB79" s="119"/>
      <c r="AC79" s="119"/>
      <c r="AD79" s="119"/>
      <c r="AE79" s="119"/>
      <c r="AF79" s="119"/>
    </row>
    <row r="80" ht="18.75" customHeight="1">
      <c r="A80" s="119"/>
      <c r="B80" s="652"/>
      <c r="C80" s="642">
        <f>IF(F80=0,0,(VLOOKUP(F80,'MTRL MSK (TPDP)'!$F$9:$W637,18,0)))</f>
        <v>0</v>
      </c>
      <c r="D80" s="642">
        <f>IF(C80=0,0,(VLOOKUP(C80,'MTRL MSK (TPDP)'!$B$9:$W637,3,0)))</f>
        <v>0</v>
      </c>
      <c r="E80" s="643" t="str">
        <f>iferror(IF(C80="","",(VLOOKUP(C80,'MTRL MSK (TPDP)'!$B$9:$W637,4,0))),"")</f>
        <v/>
      </c>
      <c r="F80" s="644">
        <f>IF(H80=0,0,(VLOOKUP(H80,'MTRL MSK (TPDP)'!$H$9:$X637,17,0)))</f>
        <v>0</v>
      </c>
      <c r="G80" s="645"/>
      <c r="H80" s="646"/>
      <c r="I80" s="446">
        <f>IF(H80=0,0,(VLOOKUP(H80,'MTRL MSK (TPDP)'!$H$9:$U637,2,0)))</f>
        <v>0</v>
      </c>
      <c r="J80" s="448" t="str">
        <f>IFERROR((IF(H80=0,0,(VLOOKUP(H80,'MTRL MSK (TPDP)'!$H$8:$U637,7,0))))/(IF(H80=0,0,(VLOOKUP(H80,'MTRL MSK (TPDP)'!$H$8:$U637,5,0)))),"")</f>
        <v/>
      </c>
      <c r="K80" s="559"/>
      <c r="L80" s="448">
        <f t="shared" si="1"/>
        <v>0</v>
      </c>
      <c r="M80" s="647">
        <f t="shared" si="2"/>
        <v>0</v>
      </c>
      <c r="N80" s="647">
        <f t="shared" si="3"/>
        <v>0</v>
      </c>
      <c r="O80" s="448">
        <f>IF(H80=0,0,(VLOOKUP(H80,'MTRL MSK (TPDP)'!$H$9:$U637,5,0)))</f>
        <v>0</v>
      </c>
      <c r="P80" s="448">
        <f t="shared" si="4"/>
        <v>0</v>
      </c>
      <c r="Q80" s="448">
        <f t="shared" si="5"/>
        <v>0</v>
      </c>
      <c r="R80" s="648" t="str">
        <f>IFERROR(IF(S80="","",(VLOOKUP(S80,'1. BQ RAPL'!$D$14:$K637,8,0))),"")</f>
        <v/>
      </c>
      <c r="S80" s="649"/>
      <c r="T80" s="650"/>
      <c r="U80" s="16"/>
      <c r="V80" s="16"/>
      <c r="W80" s="16"/>
      <c r="X80" s="119"/>
      <c r="Y80" s="119"/>
      <c r="Z80" s="119"/>
      <c r="AA80" s="119"/>
      <c r="AB80" s="119"/>
      <c r="AC80" s="119"/>
      <c r="AD80" s="119"/>
      <c r="AE80" s="119"/>
      <c r="AF80" s="119"/>
    </row>
    <row r="81" ht="18.75" customHeight="1">
      <c r="A81" s="119"/>
      <c r="B81" s="652"/>
      <c r="C81" s="642">
        <f>IF(F81=0,0,(VLOOKUP(F81,'MTRL MSK (TPDP)'!$F$9:$W637,18,0)))</f>
        <v>0</v>
      </c>
      <c r="D81" s="642">
        <f>IF(C81=0,0,(VLOOKUP(C81,'MTRL MSK (TPDP)'!$B$9:$W637,3,0)))</f>
        <v>0</v>
      </c>
      <c r="E81" s="643" t="str">
        <f>iferror(IF(C81="","",(VLOOKUP(C81,'MTRL MSK (TPDP)'!$B$9:$W637,4,0))),"")</f>
        <v/>
      </c>
      <c r="F81" s="644">
        <f>IF(H81=0,0,(VLOOKUP(H81,'MTRL MSK (TPDP)'!$H$9:$X637,17,0)))</f>
        <v>0</v>
      </c>
      <c r="G81" s="645"/>
      <c r="H81" s="646"/>
      <c r="I81" s="446">
        <f>IF(H81=0,0,(VLOOKUP(H81,'MTRL MSK (TPDP)'!$H$9:$U637,2,0)))</f>
        <v>0</v>
      </c>
      <c r="J81" s="448" t="str">
        <f>IFERROR((IF(H81=0,0,(VLOOKUP(H81,'MTRL MSK (TPDP)'!$H$8:$U637,7,0))))/(IF(H81=0,0,(VLOOKUP(H81,'MTRL MSK (TPDP)'!$H$8:$U637,5,0)))),"")</f>
        <v/>
      </c>
      <c r="K81" s="559"/>
      <c r="L81" s="448">
        <f t="shared" si="1"/>
        <v>0</v>
      </c>
      <c r="M81" s="647">
        <f t="shared" si="2"/>
        <v>0</v>
      </c>
      <c r="N81" s="647">
        <f t="shared" si="3"/>
        <v>0</v>
      </c>
      <c r="O81" s="448">
        <f>IF(H81=0,0,(VLOOKUP(H81,'MTRL MSK (TPDP)'!$H$9:$U637,5,0)))</f>
        <v>0</v>
      </c>
      <c r="P81" s="448">
        <f t="shared" si="4"/>
        <v>0</v>
      </c>
      <c r="Q81" s="448">
        <f t="shared" si="5"/>
        <v>0</v>
      </c>
      <c r="R81" s="648" t="str">
        <f>IFERROR(IF(S81="","",(VLOOKUP(S81,'1. BQ RAPL'!$D$14:$K637,8,0))),"")</f>
        <v/>
      </c>
      <c r="S81" s="649"/>
      <c r="T81" s="650"/>
      <c r="U81" s="16"/>
      <c r="V81" s="16"/>
      <c r="W81" s="16"/>
      <c r="X81" s="119"/>
      <c r="Y81" s="119"/>
      <c r="Z81" s="119"/>
      <c r="AA81" s="119"/>
      <c r="AB81" s="119"/>
      <c r="AC81" s="119"/>
      <c r="AD81" s="119"/>
      <c r="AE81" s="119"/>
      <c r="AF81" s="119"/>
    </row>
    <row r="82" ht="18.75" customHeight="1">
      <c r="A82" s="119"/>
      <c r="B82" s="652"/>
      <c r="C82" s="642">
        <f>IF(F82=0,0,(VLOOKUP(F82,'MTRL MSK (TPDP)'!$F$9:$W637,18,0)))</f>
        <v>0</v>
      </c>
      <c r="D82" s="642">
        <f>IF(C82=0,0,(VLOOKUP(C82,'MTRL MSK (TPDP)'!$B$9:$W637,3,0)))</f>
        <v>0</v>
      </c>
      <c r="E82" s="643" t="str">
        <f>iferror(IF(C82="","",(VLOOKUP(C82,'MTRL MSK (TPDP)'!$B$9:$W637,4,0))),"")</f>
        <v/>
      </c>
      <c r="F82" s="644">
        <f>IF(H82=0,0,(VLOOKUP(H82,'MTRL MSK (TPDP)'!$H$9:$X637,17,0)))</f>
        <v>0</v>
      </c>
      <c r="G82" s="645"/>
      <c r="H82" s="646"/>
      <c r="I82" s="446">
        <f>IF(H82=0,0,(VLOOKUP(H82,'MTRL MSK (TPDP)'!$H$9:$U637,2,0)))</f>
        <v>0</v>
      </c>
      <c r="J82" s="448" t="str">
        <f>IFERROR((IF(H82=0,0,(VLOOKUP(H82,'MTRL MSK (TPDP)'!$H$8:$U637,7,0))))/(IF(H82=0,0,(VLOOKUP(H82,'MTRL MSK (TPDP)'!$H$8:$U637,5,0)))),"")</f>
        <v/>
      </c>
      <c r="K82" s="559"/>
      <c r="L82" s="448">
        <f t="shared" si="1"/>
        <v>0</v>
      </c>
      <c r="M82" s="647">
        <f t="shared" si="2"/>
        <v>0</v>
      </c>
      <c r="N82" s="647">
        <f t="shared" si="3"/>
        <v>0</v>
      </c>
      <c r="O82" s="448">
        <f>IF(H82=0,0,(VLOOKUP(H82,'MTRL MSK (TPDP)'!$H$9:$U637,5,0)))</f>
        <v>0</v>
      </c>
      <c r="P82" s="448">
        <f t="shared" si="4"/>
        <v>0</v>
      </c>
      <c r="Q82" s="448">
        <f t="shared" si="5"/>
        <v>0</v>
      </c>
      <c r="R82" s="648" t="str">
        <f>IFERROR(IF(S82="","",(VLOOKUP(S82,'1. BQ RAPL'!$D$14:$K637,8,0))),"")</f>
        <v/>
      </c>
      <c r="S82" s="649"/>
      <c r="T82" s="650"/>
      <c r="U82" s="16"/>
      <c r="V82" s="16"/>
      <c r="W82" s="16"/>
      <c r="X82" s="119"/>
      <c r="Y82" s="119"/>
      <c r="Z82" s="119"/>
      <c r="AA82" s="119"/>
      <c r="AB82" s="119"/>
      <c r="AC82" s="119"/>
      <c r="AD82" s="119"/>
      <c r="AE82" s="119"/>
      <c r="AF82" s="119"/>
    </row>
    <row r="83" ht="18.75" customHeight="1">
      <c r="A83" s="119"/>
      <c r="B83" s="652"/>
      <c r="C83" s="642">
        <f>IF(F83=0,0,(VLOOKUP(F83,'MTRL MSK (TPDP)'!$F$9:$W637,18,0)))</f>
        <v>0</v>
      </c>
      <c r="D83" s="642">
        <f>IF(C83=0,0,(VLOOKUP(C83,'MTRL MSK (TPDP)'!$B$9:$W637,3,0)))</f>
        <v>0</v>
      </c>
      <c r="E83" s="643" t="str">
        <f>iferror(IF(C83="","",(VLOOKUP(C83,'MTRL MSK (TPDP)'!$B$9:$W637,4,0))),"")</f>
        <v/>
      </c>
      <c r="F83" s="644">
        <f>IF(H83=0,0,(VLOOKUP(H83,'MTRL MSK (TPDP)'!$H$9:$X637,17,0)))</f>
        <v>0</v>
      </c>
      <c r="G83" s="645"/>
      <c r="H83" s="646"/>
      <c r="I83" s="446">
        <f>IF(H83=0,0,(VLOOKUP(H83,'MTRL MSK (TPDP)'!$H$9:$U637,2,0)))</f>
        <v>0</v>
      </c>
      <c r="J83" s="448" t="str">
        <f>IFERROR((IF(H83=0,0,(VLOOKUP(H83,'MTRL MSK (TPDP)'!$H$8:$U637,7,0))))/(IF(H83=0,0,(VLOOKUP(H83,'MTRL MSK (TPDP)'!$H$8:$U637,5,0)))),"")</f>
        <v/>
      </c>
      <c r="K83" s="559"/>
      <c r="L83" s="448">
        <f t="shared" si="1"/>
        <v>0</v>
      </c>
      <c r="M83" s="647">
        <f t="shared" si="2"/>
        <v>0</v>
      </c>
      <c r="N83" s="647">
        <f t="shared" si="3"/>
        <v>0</v>
      </c>
      <c r="O83" s="448">
        <f>IF(H83=0,0,(VLOOKUP(H83,'MTRL MSK (TPDP)'!$H$9:$U637,5,0)))</f>
        <v>0</v>
      </c>
      <c r="P83" s="448">
        <f t="shared" si="4"/>
        <v>0</v>
      </c>
      <c r="Q83" s="448">
        <f t="shared" si="5"/>
        <v>0</v>
      </c>
      <c r="R83" s="648" t="str">
        <f>IFERROR(IF(S83="","",(VLOOKUP(S83,'1. BQ RAPL'!$D$14:$K637,8,0))),"")</f>
        <v/>
      </c>
      <c r="S83" s="649"/>
      <c r="T83" s="650"/>
      <c r="U83" s="16"/>
      <c r="V83" s="16"/>
      <c r="W83" s="16"/>
      <c r="X83" s="119"/>
      <c r="Y83" s="119"/>
      <c r="Z83" s="119"/>
      <c r="AA83" s="119"/>
      <c r="AB83" s="119"/>
      <c r="AC83" s="119"/>
      <c r="AD83" s="119"/>
      <c r="AE83" s="119"/>
      <c r="AF83" s="119"/>
    </row>
    <row r="84" ht="18.75" customHeight="1">
      <c r="A84" s="119"/>
      <c r="B84" s="652"/>
      <c r="C84" s="642">
        <f>IF(F84=0,0,(VLOOKUP(F84,'MTRL MSK (TPDP)'!$F$9:$W637,18,0)))</f>
        <v>0</v>
      </c>
      <c r="D84" s="642">
        <f>IF(C84=0,0,(VLOOKUP(C84,'MTRL MSK (TPDP)'!$B$9:$W637,3,0)))</f>
        <v>0</v>
      </c>
      <c r="E84" s="643" t="str">
        <f>iferror(IF(C84="","",(VLOOKUP(C84,'MTRL MSK (TPDP)'!$B$9:$W637,4,0))),"")</f>
        <v/>
      </c>
      <c r="F84" s="644">
        <f>IF(H84=0,0,(VLOOKUP(H84,'MTRL MSK (TPDP)'!$H$9:$X637,17,0)))</f>
        <v>0</v>
      </c>
      <c r="G84" s="645"/>
      <c r="H84" s="646"/>
      <c r="I84" s="446">
        <f>IF(H84=0,0,(VLOOKUP(H84,'MTRL MSK (TPDP)'!$H$9:$U637,2,0)))</f>
        <v>0</v>
      </c>
      <c r="J84" s="448" t="str">
        <f>IFERROR((IF(H84=0,0,(VLOOKUP(H84,'MTRL MSK (TPDP)'!$H$8:$U637,7,0))))/(IF(H84=0,0,(VLOOKUP(H84,'MTRL MSK (TPDP)'!$H$8:$U637,5,0)))),"")</f>
        <v/>
      </c>
      <c r="K84" s="559"/>
      <c r="L84" s="448">
        <f t="shared" si="1"/>
        <v>0</v>
      </c>
      <c r="M84" s="647">
        <f t="shared" si="2"/>
        <v>0</v>
      </c>
      <c r="N84" s="647">
        <f t="shared" si="3"/>
        <v>0</v>
      </c>
      <c r="O84" s="448">
        <f>IF(H84=0,0,(VLOOKUP(H84,'MTRL MSK (TPDP)'!$H$9:$U637,5,0)))</f>
        <v>0</v>
      </c>
      <c r="P84" s="448">
        <f t="shared" si="4"/>
        <v>0</v>
      </c>
      <c r="Q84" s="448">
        <f t="shared" si="5"/>
        <v>0</v>
      </c>
      <c r="R84" s="648" t="str">
        <f>IFERROR(IF(S84="","",(VLOOKUP(S84,'1. BQ RAPL'!$D$14:$K637,8,0))),"")</f>
        <v/>
      </c>
      <c r="S84" s="649"/>
      <c r="T84" s="650"/>
      <c r="U84" s="16"/>
      <c r="V84" s="16"/>
      <c r="W84" s="16"/>
      <c r="X84" s="119"/>
      <c r="Y84" s="119"/>
      <c r="Z84" s="119"/>
      <c r="AA84" s="119"/>
      <c r="AB84" s="119"/>
      <c r="AC84" s="119"/>
      <c r="AD84" s="119"/>
      <c r="AE84" s="119"/>
      <c r="AF84" s="119"/>
    </row>
    <row r="85" ht="18.75" customHeight="1">
      <c r="A85" s="119"/>
      <c r="B85" s="652"/>
      <c r="C85" s="642">
        <f>IF(F85=0,0,(VLOOKUP(F85,'MTRL MSK (TPDP)'!$F$9:$W637,18,0)))</f>
        <v>0</v>
      </c>
      <c r="D85" s="642">
        <f>IF(C85=0,0,(VLOOKUP(C85,'MTRL MSK (TPDP)'!$B$9:$W637,3,0)))</f>
        <v>0</v>
      </c>
      <c r="E85" s="643" t="str">
        <f>iferror(IF(C85="","",(VLOOKUP(C85,'MTRL MSK (TPDP)'!$B$9:$W637,4,0))),"")</f>
        <v/>
      </c>
      <c r="F85" s="644">
        <f>IF(H85=0,0,(VLOOKUP(H85,'MTRL MSK (TPDP)'!$H$9:$X637,17,0)))</f>
        <v>0</v>
      </c>
      <c r="G85" s="645"/>
      <c r="H85" s="646"/>
      <c r="I85" s="446">
        <f>IF(H85=0,0,(VLOOKUP(H85,'MTRL MSK (TPDP)'!$H$9:$U637,2,0)))</f>
        <v>0</v>
      </c>
      <c r="J85" s="448" t="str">
        <f>IFERROR((IF(H85=0,0,(VLOOKUP(H85,'MTRL MSK (TPDP)'!$H$8:$U637,7,0))))/(IF(H85=0,0,(VLOOKUP(H85,'MTRL MSK (TPDP)'!$H$8:$U637,5,0)))),"")</f>
        <v/>
      </c>
      <c r="K85" s="559"/>
      <c r="L85" s="448">
        <f t="shared" si="1"/>
        <v>0</v>
      </c>
      <c r="M85" s="647">
        <f t="shared" si="2"/>
        <v>0</v>
      </c>
      <c r="N85" s="647">
        <f t="shared" si="3"/>
        <v>0</v>
      </c>
      <c r="O85" s="448">
        <f>IF(H85=0,0,(VLOOKUP(H85,'MTRL MSK (TPDP)'!$H$9:$U637,5,0)))</f>
        <v>0</v>
      </c>
      <c r="P85" s="448">
        <f t="shared" si="4"/>
        <v>0</v>
      </c>
      <c r="Q85" s="448">
        <f t="shared" si="5"/>
        <v>0</v>
      </c>
      <c r="R85" s="648" t="str">
        <f>IFERROR(IF(S85="","",(VLOOKUP(S85,'1. BQ RAPL'!$D$14:$K637,8,0))),"")</f>
        <v/>
      </c>
      <c r="S85" s="649"/>
      <c r="T85" s="650"/>
      <c r="U85" s="16"/>
      <c r="V85" s="16"/>
      <c r="W85" s="16"/>
      <c r="X85" s="119"/>
      <c r="Y85" s="119"/>
      <c r="Z85" s="119"/>
      <c r="AA85" s="119"/>
      <c r="AB85" s="119"/>
      <c r="AC85" s="119"/>
      <c r="AD85" s="119"/>
      <c r="AE85" s="119"/>
      <c r="AF85" s="119"/>
    </row>
    <row r="86" ht="18.75" customHeight="1">
      <c r="A86" s="119"/>
      <c r="B86" s="652"/>
      <c r="C86" s="642">
        <f>IF(F86=0,0,(VLOOKUP(F86,'MTRL MSK (TPDP)'!$F$9:$W637,18,0)))</f>
        <v>0</v>
      </c>
      <c r="D86" s="642">
        <f>IF(C86=0,0,(VLOOKUP(C86,'MTRL MSK (TPDP)'!$B$9:$W637,3,0)))</f>
        <v>0</v>
      </c>
      <c r="E86" s="643" t="str">
        <f>iferror(IF(C86="","",(VLOOKUP(C86,'MTRL MSK (TPDP)'!$B$9:$W637,4,0))),"")</f>
        <v/>
      </c>
      <c r="F86" s="644">
        <f>IF(H86=0,0,(VLOOKUP(H86,'MTRL MSK (TPDP)'!$H$9:$X637,17,0)))</f>
        <v>0</v>
      </c>
      <c r="G86" s="645"/>
      <c r="H86" s="646"/>
      <c r="I86" s="446">
        <f>IF(H86=0,0,(VLOOKUP(H86,'MTRL MSK (TPDP)'!$H$9:$U637,2,0)))</f>
        <v>0</v>
      </c>
      <c r="J86" s="448" t="str">
        <f>IFERROR((IF(H86=0,0,(VLOOKUP(H86,'MTRL MSK (TPDP)'!$H$8:$U637,7,0))))/(IF(H86=0,0,(VLOOKUP(H86,'MTRL MSK (TPDP)'!$H$8:$U637,5,0)))),"")</f>
        <v/>
      </c>
      <c r="K86" s="559"/>
      <c r="L86" s="448">
        <f t="shared" si="1"/>
        <v>0</v>
      </c>
      <c r="M86" s="647">
        <f t="shared" si="2"/>
        <v>0</v>
      </c>
      <c r="N86" s="647">
        <f t="shared" si="3"/>
        <v>0</v>
      </c>
      <c r="O86" s="448">
        <f>IF(H86=0,0,(VLOOKUP(H86,'MTRL MSK (TPDP)'!$H$9:$U637,5,0)))</f>
        <v>0</v>
      </c>
      <c r="P86" s="448">
        <f t="shared" si="4"/>
        <v>0</v>
      </c>
      <c r="Q86" s="448">
        <f t="shared" si="5"/>
        <v>0</v>
      </c>
      <c r="R86" s="648" t="str">
        <f>IFERROR(IF(S86="","",(VLOOKUP(S86,'1. BQ RAPL'!$D$14:$K637,8,0))),"")</f>
        <v/>
      </c>
      <c r="S86" s="649"/>
      <c r="T86" s="650"/>
      <c r="U86" s="16"/>
      <c r="V86" s="16"/>
      <c r="W86" s="16"/>
      <c r="X86" s="119"/>
      <c r="Y86" s="119"/>
      <c r="Z86" s="119"/>
      <c r="AA86" s="119"/>
      <c r="AB86" s="119"/>
      <c r="AC86" s="119"/>
      <c r="AD86" s="119"/>
      <c r="AE86" s="119"/>
      <c r="AF86" s="119"/>
    </row>
    <row r="87" ht="18.75" customHeight="1">
      <c r="A87" s="119"/>
      <c r="B87" s="652"/>
      <c r="C87" s="642">
        <f>IF(F87=0,0,(VLOOKUP(F87,'MTRL MSK (TPDP)'!$F$9:$W637,18,0)))</f>
        <v>0</v>
      </c>
      <c r="D87" s="642">
        <f>IF(C87=0,0,(VLOOKUP(C87,'MTRL MSK (TPDP)'!$B$9:$W637,3,0)))</f>
        <v>0</v>
      </c>
      <c r="E87" s="643" t="str">
        <f>iferror(IF(C87="","",(VLOOKUP(C87,'MTRL MSK (TPDP)'!$B$9:$W637,4,0))),"")</f>
        <v/>
      </c>
      <c r="F87" s="644">
        <f>IF(H87=0,0,(VLOOKUP(H87,'MTRL MSK (TPDP)'!$H$9:$X637,17,0)))</f>
        <v>0</v>
      </c>
      <c r="G87" s="645"/>
      <c r="H87" s="646"/>
      <c r="I87" s="446">
        <f>IF(H87=0,0,(VLOOKUP(H87,'MTRL MSK (TPDP)'!$H$9:$U637,2,0)))</f>
        <v>0</v>
      </c>
      <c r="J87" s="448" t="str">
        <f>IFERROR((IF(H87=0,0,(VLOOKUP(H87,'MTRL MSK (TPDP)'!$H$8:$U637,7,0))))/(IF(H87=0,0,(VLOOKUP(H87,'MTRL MSK (TPDP)'!$H$8:$U637,5,0)))),"")</f>
        <v/>
      </c>
      <c r="K87" s="559"/>
      <c r="L87" s="448">
        <f t="shared" si="1"/>
        <v>0</v>
      </c>
      <c r="M87" s="647">
        <f t="shared" si="2"/>
        <v>0</v>
      </c>
      <c r="N87" s="647">
        <f t="shared" si="3"/>
        <v>0</v>
      </c>
      <c r="O87" s="448">
        <f>IF(H87=0,0,(VLOOKUP(H87,'MTRL MSK (TPDP)'!$H$9:$U637,5,0)))</f>
        <v>0</v>
      </c>
      <c r="P87" s="448">
        <f t="shared" si="4"/>
        <v>0</v>
      </c>
      <c r="Q87" s="448">
        <f t="shared" si="5"/>
        <v>0</v>
      </c>
      <c r="R87" s="648" t="str">
        <f>IFERROR(IF(S87="","",(VLOOKUP(S87,'1. BQ RAPL'!$D$14:$K637,8,0))),"")</f>
        <v/>
      </c>
      <c r="S87" s="649"/>
      <c r="T87" s="650"/>
      <c r="U87" s="16"/>
      <c r="V87" s="16"/>
      <c r="W87" s="16"/>
      <c r="X87" s="119"/>
      <c r="Y87" s="119"/>
      <c r="Z87" s="119"/>
      <c r="AA87" s="119"/>
      <c r="AB87" s="119"/>
      <c r="AC87" s="119"/>
      <c r="AD87" s="119"/>
      <c r="AE87" s="119"/>
      <c r="AF87" s="119"/>
    </row>
    <row r="88" ht="18.75" customHeight="1">
      <c r="A88" s="119"/>
      <c r="B88" s="652"/>
      <c r="C88" s="642">
        <f>IF(F88=0,0,(VLOOKUP(F88,'MTRL MSK (TPDP)'!$F$9:$W637,18,0)))</f>
        <v>0</v>
      </c>
      <c r="D88" s="642">
        <f>IF(C88=0,0,(VLOOKUP(C88,'MTRL MSK (TPDP)'!$B$9:$W637,3,0)))</f>
        <v>0</v>
      </c>
      <c r="E88" s="643" t="str">
        <f>iferror(IF(C88="","",(VLOOKUP(C88,'MTRL MSK (TPDP)'!$B$9:$W637,4,0))),"")</f>
        <v/>
      </c>
      <c r="F88" s="644">
        <f>IF(H88=0,0,(VLOOKUP(H88,'MTRL MSK (TPDP)'!$H$9:$X637,17,0)))</f>
        <v>0</v>
      </c>
      <c r="G88" s="645"/>
      <c r="H88" s="646"/>
      <c r="I88" s="446">
        <f>IF(H88=0,0,(VLOOKUP(H88,'MTRL MSK (TPDP)'!$H$9:$U637,2,0)))</f>
        <v>0</v>
      </c>
      <c r="J88" s="448" t="str">
        <f>IFERROR((IF(H88=0,0,(VLOOKUP(H88,'MTRL MSK (TPDP)'!$H$8:$U637,7,0))))/(IF(H88=0,0,(VLOOKUP(H88,'MTRL MSK (TPDP)'!$H$8:$U637,5,0)))),"")</f>
        <v/>
      </c>
      <c r="K88" s="559"/>
      <c r="L88" s="448">
        <f t="shared" si="1"/>
        <v>0</v>
      </c>
      <c r="M88" s="647">
        <f t="shared" si="2"/>
        <v>0</v>
      </c>
      <c r="N88" s="647">
        <f t="shared" si="3"/>
        <v>0</v>
      </c>
      <c r="O88" s="448">
        <f>IF(H88=0,0,(VLOOKUP(H88,'MTRL MSK (TPDP)'!$H$9:$U637,5,0)))</f>
        <v>0</v>
      </c>
      <c r="P88" s="448">
        <f t="shared" si="4"/>
        <v>0</v>
      </c>
      <c r="Q88" s="448">
        <f t="shared" si="5"/>
        <v>0</v>
      </c>
      <c r="R88" s="648" t="str">
        <f>IFERROR(IF(S88="","",(VLOOKUP(S88,'1. BQ RAPL'!$D$14:$K637,8,0))),"")</f>
        <v/>
      </c>
      <c r="S88" s="649"/>
      <c r="T88" s="650"/>
      <c r="U88" s="16"/>
      <c r="V88" s="16"/>
      <c r="W88" s="16"/>
      <c r="X88" s="119"/>
      <c r="Y88" s="119"/>
      <c r="Z88" s="119"/>
      <c r="AA88" s="119"/>
      <c r="AB88" s="119"/>
      <c r="AC88" s="119"/>
      <c r="AD88" s="119"/>
      <c r="AE88" s="119"/>
      <c r="AF88" s="119"/>
    </row>
    <row r="89" ht="18.75" customHeight="1">
      <c r="A89" s="119"/>
      <c r="B89" s="652"/>
      <c r="C89" s="642">
        <f>IF(F89=0,0,(VLOOKUP(F89,'MTRL MSK (TPDP)'!$F$9:$W637,18,0)))</f>
        <v>0</v>
      </c>
      <c r="D89" s="642">
        <f>IF(C89=0,0,(VLOOKUP(C89,'MTRL MSK (TPDP)'!$B$9:$W637,3,0)))</f>
        <v>0</v>
      </c>
      <c r="E89" s="643" t="str">
        <f>iferror(IF(C89="","",(VLOOKUP(C89,'MTRL MSK (TPDP)'!$B$9:$W637,4,0))),"")</f>
        <v/>
      </c>
      <c r="F89" s="644">
        <f>IF(H89=0,0,(VLOOKUP(H89,'MTRL MSK (TPDP)'!$H$9:$X637,17,0)))</f>
        <v>0</v>
      </c>
      <c r="G89" s="645"/>
      <c r="H89" s="646"/>
      <c r="I89" s="446">
        <f>IF(H89=0,0,(VLOOKUP(H89,'MTRL MSK (TPDP)'!$H$9:$U637,2,0)))</f>
        <v>0</v>
      </c>
      <c r="J89" s="448" t="str">
        <f>IFERROR((IF(H89=0,0,(VLOOKUP(H89,'MTRL MSK (TPDP)'!$H$8:$U637,7,0))))/(IF(H89=0,0,(VLOOKUP(H89,'MTRL MSK (TPDP)'!$H$8:$U637,5,0)))),"")</f>
        <v/>
      </c>
      <c r="K89" s="559"/>
      <c r="L89" s="448">
        <f t="shared" si="1"/>
        <v>0</v>
      </c>
      <c r="M89" s="647">
        <f t="shared" si="2"/>
        <v>0</v>
      </c>
      <c r="N89" s="647">
        <f t="shared" si="3"/>
        <v>0</v>
      </c>
      <c r="O89" s="448">
        <f>IF(H89=0,0,(VLOOKUP(H89,'MTRL MSK (TPDP)'!$H$9:$U637,5,0)))</f>
        <v>0</v>
      </c>
      <c r="P89" s="448">
        <f t="shared" si="4"/>
        <v>0</v>
      </c>
      <c r="Q89" s="448">
        <f t="shared" si="5"/>
        <v>0</v>
      </c>
      <c r="R89" s="648" t="str">
        <f>IFERROR(IF(S89="","",(VLOOKUP(S89,'1. BQ RAPL'!$D$14:$K637,8,0))),"")</f>
        <v/>
      </c>
      <c r="S89" s="649"/>
      <c r="T89" s="650"/>
      <c r="U89" s="16"/>
      <c r="V89" s="16"/>
      <c r="W89" s="16"/>
      <c r="X89" s="119"/>
      <c r="Y89" s="119"/>
      <c r="Z89" s="119"/>
      <c r="AA89" s="119"/>
      <c r="AB89" s="119"/>
      <c r="AC89" s="119"/>
      <c r="AD89" s="119"/>
      <c r="AE89" s="119"/>
      <c r="AF89" s="119"/>
    </row>
    <row r="90" ht="18.75" customHeight="1">
      <c r="A90" s="119"/>
      <c r="B90" s="652"/>
      <c r="C90" s="642">
        <f>IF(F90=0,0,(VLOOKUP(F90,'MTRL MSK (TPDP)'!$F$9:$W637,18,0)))</f>
        <v>0</v>
      </c>
      <c r="D90" s="642">
        <f>IF(C90=0,0,(VLOOKUP(C90,'MTRL MSK (TPDP)'!$B$9:$W637,3,0)))</f>
        <v>0</v>
      </c>
      <c r="E90" s="643" t="str">
        <f>iferror(IF(C90="","",(VLOOKUP(C90,'MTRL MSK (TPDP)'!$B$9:$W637,4,0))),"")</f>
        <v/>
      </c>
      <c r="F90" s="644">
        <f>IF(H90=0,0,(VLOOKUP(H90,'MTRL MSK (TPDP)'!$H$9:$X637,17,0)))</f>
        <v>0</v>
      </c>
      <c r="G90" s="645"/>
      <c r="H90" s="646"/>
      <c r="I90" s="446">
        <f>IF(H90=0,0,(VLOOKUP(H90,'MTRL MSK (TPDP)'!$H$9:$U637,2,0)))</f>
        <v>0</v>
      </c>
      <c r="J90" s="448" t="str">
        <f>IFERROR((IF(H90=0,0,(VLOOKUP(H90,'MTRL MSK (TPDP)'!$H$8:$U637,7,0))))/(IF(H90=0,0,(VLOOKUP(H90,'MTRL MSK (TPDP)'!$H$8:$U637,5,0)))),"")</f>
        <v/>
      </c>
      <c r="K90" s="559"/>
      <c r="L90" s="448">
        <f t="shared" si="1"/>
        <v>0</v>
      </c>
      <c r="M90" s="647">
        <f t="shared" si="2"/>
        <v>0</v>
      </c>
      <c r="N90" s="647">
        <f t="shared" si="3"/>
        <v>0</v>
      </c>
      <c r="O90" s="448">
        <f>IF(H90=0,0,(VLOOKUP(H90,'MTRL MSK (TPDP)'!$H$9:$U637,5,0)))</f>
        <v>0</v>
      </c>
      <c r="P90" s="448">
        <f t="shared" si="4"/>
        <v>0</v>
      </c>
      <c r="Q90" s="448">
        <f t="shared" si="5"/>
        <v>0</v>
      </c>
      <c r="R90" s="648" t="str">
        <f>IFERROR(IF(S90="","",(VLOOKUP(S90,'1. BQ RAPL'!$D$14:$K637,8,0))),"")</f>
        <v/>
      </c>
      <c r="S90" s="649"/>
      <c r="T90" s="650"/>
      <c r="U90" s="16"/>
      <c r="V90" s="16"/>
      <c r="W90" s="16"/>
      <c r="X90" s="119"/>
      <c r="Y90" s="119"/>
      <c r="Z90" s="119"/>
      <c r="AA90" s="119"/>
      <c r="AB90" s="119"/>
      <c r="AC90" s="119"/>
      <c r="AD90" s="119"/>
      <c r="AE90" s="119"/>
      <c r="AF90" s="119"/>
    </row>
    <row r="91" ht="18.75" customHeight="1">
      <c r="A91" s="119"/>
      <c r="B91" s="652"/>
      <c r="C91" s="642">
        <f>IF(F91=0,0,(VLOOKUP(F91,'MTRL MSK (TPDP)'!$F$9:$W637,18,0)))</f>
        <v>0</v>
      </c>
      <c r="D91" s="642">
        <f>IF(C91=0,0,(VLOOKUP(C91,'MTRL MSK (TPDP)'!$B$9:$W637,3,0)))</f>
        <v>0</v>
      </c>
      <c r="E91" s="643" t="str">
        <f>iferror(IF(C91="","",(VLOOKUP(C91,'MTRL MSK (TPDP)'!$B$9:$W637,4,0))),"")</f>
        <v/>
      </c>
      <c r="F91" s="644">
        <f>IF(H91=0,0,(VLOOKUP(H91,'MTRL MSK (TPDP)'!$H$9:$X637,17,0)))</f>
        <v>0</v>
      </c>
      <c r="G91" s="645"/>
      <c r="H91" s="646"/>
      <c r="I91" s="446">
        <f>IF(H91=0,0,(VLOOKUP(H91,'MTRL MSK (TPDP)'!$H$9:$U637,2,0)))</f>
        <v>0</v>
      </c>
      <c r="J91" s="448" t="str">
        <f>IFERROR((IF(H91=0,0,(VLOOKUP(H91,'MTRL MSK (TPDP)'!$H$8:$U637,7,0))))/(IF(H91=0,0,(VLOOKUP(H91,'MTRL MSK (TPDP)'!$H$8:$U637,5,0)))),"")</f>
        <v/>
      </c>
      <c r="K91" s="559"/>
      <c r="L91" s="448">
        <f t="shared" si="1"/>
        <v>0</v>
      </c>
      <c r="M91" s="647">
        <f t="shared" si="2"/>
        <v>0</v>
      </c>
      <c r="N91" s="647">
        <f t="shared" si="3"/>
        <v>0</v>
      </c>
      <c r="O91" s="448">
        <f>IF(H91=0,0,(VLOOKUP(H91,'MTRL MSK (TPDP)'!$H$9:$U637,5,0)))</f>
        <v>0</v>
      </c>
      <c r="P91" s="448">
        <f t="shared" si="4"/>
        <v>0</v>
      </c>
      <c r="Q91" s="448">
        <f t="shared" si="5"/>
        <v>0</v>
      </c>
      <c r="R91" s="648" t="str">
        <f>IFERROR(IF(S91="","",(VLOOKUP(S91,'1. BQ RAPL'!$D$14:$K637,8,0))),"")</f>
        <v/>
      </c>
      <c r="S91" s="649"/>
      <c r="T91" s="650"/>
      <c r="U91" s="16"/>
      <c r="V91" s="16"/>
      <c r="W91" s="16"/>
      <c r="X91" s="119"/>
      <c r="Y91" s="119"/>
      <c r="Z91" s="119"/>
      <c r="AA91" s="119"/>
      <c r="AB91" s="119"/>
      <c r="AC91" s="119"/>
      <c r="AD91" s="119"/>
      <c r="AE91" s="119"/>
      <c r="AF91" s="119"/>
    </row>
    <row r="92" ht="18.75" customHeight="1">
      <c r="A92" s="119"/>
      <c r="B92" s="652"/>
      <c r="C92" s="642">
        <f>IF(F92=0,0,(VLOOKUP(F92,'MTRL MSK (TPDP)'!$F$9:$W637,18,0)))</f>
        <v>0</v>
      </c>
      <c r="D92" s="642">
        <f>IF(C92=0,0,(VLOOKUP(C92,'MTRL MSK (TPDP)'!$B$9:$W637,3,0)))</f>
        <v>0</v>
      </c>
      <c r="E92" s="643" t="str">
        <f>iferror(IF(C92="","",(VLOOKUP(C92,'MTRL MSK (TPDP)'!$B$9:$W637,4,0))),"")</f>
        <v/>
      </c>
      <c r="F92" s="644">
        <f>IF(H92=0,0,(VLOOKUP(H92,'MTRL MSK (TPDP)'!$H$9:$X637,17,0)))</f>
        <v>0</v>
      </c>
      <c r="G92" s="645"/>
      <c r="H92" s="646"/>
      <c r="I92" s="446">
        <f>IF(H92=0,0,(VLOOKUP(H92,'MTRL MSK (TPDP)'!$H$9:$U637,2,0)))</f>
        <v>0</v>
      </c>
      <c r="J92" s="448" t="str">
        <f>IFERROR((IF(H92=0,0,(VLOOKUP(H92,'MTRL MSK (TPDP)'!$H$8:$U637,7,0))))/(IF(H92=0,0,(VLOOKUP(H92,'MTRL MSK (TPDP)'!$H$8:$U637,5,0)))),"")</f>
        <v/>
      </c>
      <c r="K92" s="559"/>
      <c r="L92" s="448">
        <f t="shared" si="1"/>
        <v>0</v>
      </c>
      <c r="M92" s="647">
        <f t="shared" si="2"/>
        <v>0</v>
      </c>
      <c r="N92" s="647">
        <f t="shared" si="3"/>
        <v>0</v>
      </c>
      <c r="O92" s="448">
        <f>IF(H92=0,0,(VLOOKUP(H92,'MTRL MSK (TPDP)'!$H$9:$U637,5,0)))</f>
        <v>0</v>
      </c>
      <c r="P92" s="448">
        <f t="shared" si="4"/>
        <v>0</v>
      </c>
      <c r="Q92" s="448">
        <f t="shared" si="5"/>
        <v>0</v>
      </c>
      <c r="R92" s="648" t="str">
        <f>IFERROR(IF(S92="","",(VLOOKUP(S92,'1. BQ RAPL'!$D$14:$K637,8,0))),"")</f>
        <v/>
      </c>
      <c r="S92" s="649"/>
      <c r="T92" s="650"/>
      <c r="U92" s="16"/>
      <c r="V92" s="16"/>
      <c r="W92" s="16"/>
      <c r="X92" s="119"/>
      <c r="Y92" s="119"/>
      <c r="Z92" s="119"/>
      <c r="AA92" s="119"/>
      <c r="AB92" s="119"/>
      <c r="AC92" s="119"/>
      <c r="AD92" s="119"/>
      <c r="AE92" s="119"/>
      <c r="AF92" s="119"/>
    </row>
    <row r="93" ht="18.75" customHeight="1">
      <c r="A93" s="119"/>
      <c r="B93" s="652"/>
      <c r="C93" s="642">
        <f>IF(F93=0,0,(VLOOKUP(F93,'MTRL MSK (TPDP)'!$F$9:$W637,18,0)))</f>
        <v>0</v>
      </c>
      <c r="D93" s="642">
        <f>IF(C93=0,0,(VLOOKUP(C93,'MTRL MSK (TPDP)'!$B$9:$W637,3,0)))</f>
        <v>0</v>
      </c>
      <c r="E93" s="643" t="str">
        <f>iferror(IF(C93="","",(VLOOKUP(C93,'MTRL MSK (TPDP)'!$B$9:$W637,4,0))),"")</f>
        <v/>
      </c>
      <c r="F93" s="644">
        <f>IF(H93=0,0,(VLOOKUP(H93,'MTRL MSK (TPDP)'!$H$9:$X637,17,0)))</f>
        <v>0</v>
      </c>
      <c r="G93" s="645"/>
      <c r="H93" s="646"/>
      <c r="I93" s="446">
        <f>IF(H93=0,0,(VLOOKUP(H93,'MTRL MSK (TPDP)'!$H$9:$U637,2,0)))</f>
        <v>0</v>
      </c>
      <c r="J93" s="448" t="str">
        <f>IFERROR((IF(H93=0,0,(VLOOKUP(H93,'MTRL MSK (TPDP)'!$H$8:$U637,7,0))))/(IF(H93=0,0,(VLOOKUP(H93,'MTRL MSK (TPDP)'!$H$8:$U637,5,0)))),"")</f>
        <v/>
      </c>
      <c r="K93" s="559"/>
      <c r="L93" s="448">
        <f t="shared" si="1"/>
        <v>0</v>
      </c>
      <c r="M93" s="647">
        <f t="shared" si="2"/>
        <v>0</v>
      </c>
      <c r="N93" s="647">
        <f t="shared" si="3"/>
        <v>0</v>
      </c>
      <c r="O93" s="448">
        <f>IF(H93=0,0,(VLOOKUP(H93,'MTRL MSK (TPDP)'!$H$9:$U637,5,0)))</f>
        <v>0</v>
      </c>
      <c r="P93" s="448">
        <f t="shared" si="4"/>
        <v>0</v>
      </c>
      <c r="Q93" s="448">
        <f t="shared" si="5"/>
        <v>0</v>
      </c>
      <c r="R93" s="648" t="str">
        <f>IFERROR(IF(S93="","",(VLOOKUP(S93,'1. BQ RAPL'!$D$14:$K637,8,0))),"")</f>
        <v/>
      </c>
      <c r="S93" s="649"/>
      <c r="T93" s="650"/>
      <c r="U93" s="16"/>
      <c r="V93" s="16"/>
      <c r="W93" s="16"/>
      <c r="X93" s="119"/>
      <c r="Y93" s="119"/>
      <c r="Z93" s="119"/>
      <c r="AA93" s="119"/>
      <c r="AB93" s="119"/>
      <c r="AC93" s="119"/>
      <c r="AD93" s="119"/>
      <c r="AE93" s="119"/>
      <c r="AF93" s="119"/>
    </row>
    <row r="94" ht="18.75" customHeight="1">
      <c r="A94" s="119"/>
      <c r="B94" s="652"/>
      <c r="C94" s="642">
        <f>IF(F94=0,0,(VLOOKUP(F94,'MTRL MSK (TPDP)'!$F$9:$W637,18,0)))</f>
        <v>0</v>
      </c>
      <c r="D94" s="642">
        <f>IF(C94=0,0,(VLOOKUP(C94,'MTRL MSK (TPDP)'!$B$9:$W637,3,0)))</f>
        <v>0</v>
      </c>
      <c r="E94" s="643" t="str">
        <f>iferror(IF(C94="","",(VLOOKUP(C94,'MTRL MSK (TPDP)'!$B$9:$W637,4,0))),"")</f>
        <v/>
      </c>
      <c r="F94" s="644">
        <f>IF(H94=0,0,(VLOOKUP(H94,'MTRL MSK (TPDP)'!$H$9:$X637,17,0)))</f>
        <v>0</v>
      </c>
      <c r="G94" s="645"/>
      <c r="H94" s="646"/>
      <c r="I94" s="446">
        <f>IF(H94=0,0,(VLOOKUP(H94,'MTRL MSK (TPDP)'!$H$9:$U637,2,0)))</f>
        <v>0</v>
      </c>
      <c r="J94" s="448" t="str">
        <f>IFERROR((IF(H94=0,0,(VLOOKUP(H94,'MTRL MSK (TPDP)'!$H$8:$U637,7,0))))/(IF(H94=0,0,(VLOOKUP(H94,'MTRL MSK (TPDP)'!$H$8:$U637,5,0)))),"")</f>
        <v/>
      </c>
      <c r="K94" s="559"/>
      <c r="L94" s="448">
        <f t="shared" si="1"/>
        <v>0</v>
      </c>
      <c r="M94" s="647">
        <f t="shared" si="2"/>
        <v>0</v>
      </c>
      <c r="N94" s="647">
        <f t="shared" si="3"/>
        <v>0</v>
      </c>
      <c r="O94" s="448">
        <f>IF(H94=0,0,(VLOOKUP(H94,'MTRL MSK (TPDP)'!$H$9:$U637,5,0)))</f>
        <v>0</v>
      </c>
      <c r="P94" s="448">
        <f t="shared" si="4"/>
        <v>0</v>
      </c>
      <c r="Q94" s="448">
        <f t="shared" si="5"/>
        <v>0</v>
      </c>
      <c r="R94" s="648" t="str">
        <f>IFERROR(IF(S94="","",(VLOOKUP(S94,'1. BQ RAPL'!$D$14:$K637,8,0))),"")</f>
        <v/>
      </c>
      <c r="S94" s="649"/>
      <c r="T94" s="650"/>
      <c r="U94" s="16"/>
      <c r="V94" s="16"/>
      <c r="W94" s="16"/>
      <c r="X94" s="119"/>
      <c r="Y94" s="119"/>
      <c r="Z94" s="119"/>
      <c r="AA94" s="119"/>
      <c r="AB94" s="119"/>
      <c r="AC94" s="119"/>
      <c r="AD94" s="119"/>
      <c r="AE94" s="119"/>
      <c r="AF94" s="119"/>
    </row>
    <row r="95" ht="18.75" customHeight="1">
      <c r="A95" s="119"/>
      <c r="B95" s="652"/>
      <c r="C95" s="642">
        <f>IF(F95=0,0,(VLOOKUP(F95,'MTRL MSK (TPDP)'!$F$9:$W637,18,0)))</f>
        <v>0</v>
      </c>
      <c r="D95" s="642">
        <f>IF(C95=0,0,(VLOOKUP(C95,'MTRL MSK (TPDP)'!$B$9:$W637,3,0)))</f>
        <v>0</v>
      </c>
      <c r="E95" s="643" t="str">
        <f>iferror(IF(C95="","",(VLOOKUP(C95,'MTRL MSK (TPDP)'!$B$9:$W637,4,0))),"")</f>
        <v/>
      </c>
      <c r="F95" s="644">
        <f>IF(H95=0,0,(VLOOKUP(H95,'MTRL MSK (TPDP)'!$H$9:$X637,17,0)))</f>
        <v>0</v>
      </c>
      <c r="G95" s="645"/>
      <c r="H95" s="646"/>
      <c r="I95" s="446">
        <f>IF(H95=0,0,(VLOOKUP(H95,'MTRL MSK (TPDP)'!$H$9:$U637,2,0)))</f>
        <v>0</v>
      </c>
      <c r="J95" s="448" t="str">
        <f>IFERROR((IF(H95=0,0,(VLOOKUP(H95,'MTRL MSK (TPDP)'!$H$8:$U637,7,0))))/(IF(H95=0,0,(VLOOKUP(H95,'MTRL MSK (TPDP)'!$H$8:$U637,5,0)))),"")</f>
        <v/>
      </c>
      <c r="K95" s="559"/>
      <c r="L95" s="448">
        <f t="shared" si="1"/>
        <v>0</v>
      </c>
      <c r="M95" s="647">
        <f t="shared" si="2"/>
        <v>0</v>
      </c>
      <c r="N95" s="647">
        <f t="shared" si="3"/>
        <v>0</v>
      </c>
      <c r="O95" s="448">
        <f>IF(H95=0,0,(VLOOKUP(H95,'MTRL MSK (TPDP)'!$H$9:$U637,5,0)))</f>
        <v>0</v>
      </c>
      <c r="P95" s="448">
        <f t="shared" si="4"/>
        <v>0</v>
      </c>
      <c r="Q95" s="448">
        <f t="shared" si="5"/>
        <v>0</v>
      </c>
      <c r="R95" s="648" t="str">
        <f>IFERROR(IF(S95="","",(VLOOKUP(S95,'1. BQ RAPL'!$D$14:$K637,8,0))),"")</f>
        <v/>
      </c>
      <c r="S95" s="649"/>
      <c r="T95" s="650"/>
      <c r="U95" s="16"/>
      <c r="V95" s="16"/>
      <c r="W95" s="16"/>
      <c r="X95" s="119"/>
      <c r="Y95" s="119"/>
      <c r="Z95" s="119"/>
      <c r="AA95" s="119"/>
      <c r="AB95" s="119"/>
      <c r="AC95" s="119"/>
      <c r="AD95" s="119"/>
      <c r="AE95" s="119"/>
      <c r="AF95" s="119"/>
    </row>
    <row r="96" ht="18.75" customHeight="1">
      <c r="A96" s="119"/>
      <c r="B96" s="652"/>
      <c r="C96" s="642">
        <f>IF(F96=0,0,(VLOOKUP(F96,'MTRL MSK (TPDP)'!$F$9:$W637,18,0)))</f>
        <v>0</v>
      </c>
      <c r="D96" s="642">
        <f>IF(C96=0,0,(VLOOKUP(C96,'MTRL MSK (TPDP)'!$B$9:$W637,3,0)))</f>
        <v>0</v>
      </c>
      <c r="E96" s="643" t="str">
        <f>iferror(IF(C96="","",(VLOOKUP(C96,'MTRL MSK (TPDP)'!$B$9:$W637,4,0))),"")</f>
        <v/>
      </c>
      <c r="F96" s="644">
        <f>IF(H96=0,0,(VLOOKUP(H96,'MTRL MSK (TPDP)'!$H$9:$X637,17,0)))</f>
        <v>0</v>
      </c>
      <c r="G96" s="645"/>
      <c r="H96" s="646"/>
      <c r="I96" s="446">
        <f>IF(H96=0,0,(VLOOKUP(H96,'MTRL MSK (TPDP)'!$H$9:$U637,2,0)))</f>
        <v>0</v>
      </c>
      <c r="J96" s="448" t="str">
        <f>IFERROR((IF(H96=0,0,(VLOOKUP(H96,'MTRL MSK (TPDP)'!$H$8:$U637,7,0))))/(IF(H96=0,0,(VLOOKUP(H96,'MTRL MSK (TPDP)'!$H$8:$U637,5,0)))),"")</f>
        <v/>
      </c>
      <c r="K96" s="559"/>
      <c r="L96" s="448">
        <f t="shared" si="1"/>
        <v>0</v>
      </c>
      <c r="M96" s="647">
        <f t="shared" si="2"/>
        <v>0</v>
      </c>
      <c r="N96" s="647">
        <f t="shared" si="3"/>
        <v>0</v>
      </c>
      <c r="O96" s="448">
        <f>IF(H96=0,0,(VLOOKUP(H96,'MTRL MSK (TPDP)'!$H$9:$U637,5,0)))</f>
        <v>0</v>
      </c>
      <c r="P96" s="448">
        <f t="shared" si="4"/>
        <v>0</v>
      </c>
      <c r="Q96" s="448">
        <f t="shared" si="5"/>
        <v>0</v>
      </c>
      <c r="R96" s="648" t="str">
        <f>IFERROR(IF(S96="","",(VLOOKUP(S96,'1. BQ RAPL'!$D$14:$K637,8,0))),"")</f>
        <v/>
      </c>
      <c r="S96" s="649"/>
      <c r="T96" s="650"/>
      <c r="U96" s="16"/>
      <c r="V96" s="16"/>
      <c r="W96" s="16"/>
      <c r="X96" s="119"/>
      <c r="Y96" s="119"/>
      <c r="Z96" s="119"/>
      <c r="AA96" s="119"/>
      <c r="AB96" s="119"/>
      <c r="AC96" s="119"/>
      <c r="AD96" s="119"/>
      <c r="AE96" s="119"/>
      <c r="AF96" s="119"/>
    </row>
    <row r="97" ht="18.75" customHeight="1">
      <c r="A97" s="119"/>
      <c r="B97" s="652"/>
      <c r="C97" s="642">
        <f>IF(F97=0,0,(VLOOKUP(F97,'MTRL MSK (TPDP)'!$F$9:$W637,18,0)))</f>
        <v>0</v>
      </c>
      <c r="D97" s="642">
        <f>IF(C97=0,0,(VLOOKUP(C97,'MTRL MSK (TPDP)'!$B$9:$W637,3,0)))</f>
        <v>0</v>
      </c>
      <c r="E97" s="643" t="str">
        <f>iferror(IF(C97="","",(VLOOKUP(C97,'MTRL MSK (TPDP)'!$B$9:$W637,4,0))),"")</f>
        <v/>
      </c>
      <c r="F97" s="644">
        <f>IF(H97=0,0,(VLOOKUP(H97,'MTRL MSK (TPDP)'!$H$9:$X637,17,0)))</f>
        <v>0</v>
      </c>
      <c r="G97" s="645"/>
      <c r="H97" s="646"/>
      <c r="I97" s="446">
        <f>IF(H97=0,0,(VLOOKUP(H97,'MTRL MSK (TPDP)'!$H$9:$U637,2,0)))</f>
        <v>0</v>
      </c>
      <c r="J97" s="448" t="str">
        <f>IFERROR((IF(H97=0,0,(VLOOKUP(H97,'MTRL MSK (TPDP)'!$H$8:$U637,7,0))))/(IF(H97=0,0,(VLOOKUP(H97,'MTRL MSK (TPDP)'!$H$8:$U637,5,0)))),"")</f>
        <v/>
      </c>
      <c r="K97" s="559"/>
      <c r="L97" s="448">
        <f t="shared" si="1"/>
        <v>0</v>
      </c>
      <c r="M97" s="647">
        <f t="shared" si="2"/>
        <v>0</v>
      </c>
      <c r="N97" s="647">
        <f t="shared" si="3"/>
        <v>0</v>
      </c>
      <c r="O97" s="448">
        <f>IF(H97=0,0,(VLOOKUP(H97,'MTRL MSK (TPDP)'!$H$9:$U637,5,0)))</f>
        <v>0</v>
      </c>
      <c r="P97" s="448">
        <f t="shared" si="4"/>
        <v>0</v>
      </c>
      <c r="Q97" s="448">
        <f t="shared" si="5"/>
        <v>0</v>
      </c>
      <c r="R97" s="648" t="str">
        <f>IFERROR(IF(S97="","",(VLOOKUP(S97,'1. BQ RAPL'!$D$14:$K637,8,0))),"")</f>
        <v/>
      </c>
      <c r="S97" s="649"/>
      <c r="T97" s="650"/>
      <c r="U97" s="16"/>
      <c r="V97" s="16"/>
      <c r="W97" s="16"/>
      <c r="X97" s="119"/>
      <c r="Y97" s="119"/>
      <c r="Z97" s="119"/>
      <c r="AA97" s="119"/>
      <c r="AB97" s="119"/>
      <c r="AC97" s="119"/>
      <c r="AD97" s="119"/>
      <c r="AE97" s="119"/>
      <c r="AF97" s="119"/>
    </row>
    <row r="98" ht="18.75" customHeight="1">
      <c r="A98" s="119"/>
      <c r="B98" s="652"/>
      <c r="C98" s="642">
        <f>IF(F98=0,0,(VLOOKUP(F98,'MTRL MSK (TPDP)'!$F$9:$W637,18,0)))</f>
        <v>0</v>
      </c>
      <c r="D98" s="642">
        <f>IF(C98=0,0,(VLOOKUP(C98,'MTRL MSK (TPDP)'!$B$9:$W637,3,0)))</f>
        <v>0</v>
      </c>
      <c r="E98" s="643" t="str">
        <f>iferror(IF(C98="","",(VLOOKUP(C98,'MTRL MSK (TPDP)'!$B$9:$W637,4,0))),"")</f>
        <v/>
      </c>
      <c r="F98" s="644">
        <f>IF(H98=0,0,(VLOOKUP(H98,'MTRL MSK (TPDP)'!$H$9:$X637,17,0)))</f>
        <v>0</v>
      </c>
      <c r="G98" s="645"/>
      <c r="H98" s="646"/>
      <c r="I98" s="446">
        <f>IF(H98=0,0,(VLOOKUP(H98,'MTRL MSK (TPDP)'!$H$9:$U637,2,0)))</f>
        <v>0</v>
      </c>
      <c r="J98" s="448" t="str">
        <f>IFERROR((IF(H98=0,0,(VLOOKUP(H98,'MTRL MSK (TPDP)'!$H$8:$U637,7,0))))/(IF(H98=0,0,(VLOOKUP(H98,'MTRL MSK (TPDP)'!$H$8:$U637,5,0)))),"")</f>
        <v/>
      </c>
      <c r="K98" s="559"/>
      <c r="L98" s="448">
        <f t="shared" si="1"/>
        <v>0</v>
      </c>
      <c r="M98" s="647">
        <f t="shared" si="2"/>
        <v>0</v>
      </c>
      <c r="N98" s="647">
        <f t="shared" si="3"/>
        <v>0</v>
      </c>
      <c r="O98" s="448">
        <f>IF(H98=0,0,(VLOOKUP(H98,'MTRL MSK (TPDP)'!$H$9:$U637,5,0)))</f>
        <v>0</v>
      </c>
      <c r="P98" s="448">
        <f t="shared" si="4"/>
        <v>0</v>
      </c>
      <c r="Q98" s="448">
        <f t="shared" si="5"/>
        <v>0</v>
      </c>
      <c r="R98" s="648" t="str">
        <f>IFERROR(IF(S98="","",(VLOOKUP(S98,'1. BQ RAPL'!$D$14:$K637,8,0))),"")</f>
        <v/>
      </c>
      <c r="S98" s="649"/>
      <c r="T98" s="650"/>
      <c r="U98" s="16"/>
      <c r="V98" s="16"/>
      <c r="W98" s="16"/>
      <c r="X98" s="119"/>
      <c r="Y98" s="119"/>
      <c r="Z98" s="119"/>
      <c r="AA98" s="119"/>
      <c r="AB98" s="119"/>
      <c r="AC98" s="119"/>
      <c r="AD98" s="119"/>
      <c r="AE98" s="119"/>
      <c r="AF98" s="119"/>
    </row>
    <row r="99" ht="18.75" customHeight="1">
      <c r="A99" s="119"/>
      <c r="B99" s="652"/>
      <c r="C99" s="642">
        <f>IF(F99=0,0,(VLOOKUP(F99,'MTRL MSK (TPDP)'!$F$9:$W637,18,0)))</f>
        <v>0</v>
      </c>
      <c r="D99" s="642">
        <f>IF(C99=0,0,(VLOOKUP(C99,'MTRL MSK (TPDP)'!$B$9:$W637,3,0)))</f>
        <v>0</v>
      </c>
      <c r="E99" s="643" t="str">
        <f>iferror(IF(C99="","",(VLOOKUP(C99,'MTRL MSK (TPDP)'!$B$9:$W637,4,0))),"")</f>
        <v/>
      </c>
      <c r="F99" s="644">
        <f>IF(H99=0,0,(VLOOKUP(H99,'MTRL MSK (TPDP)'!$H$9:$X637,17,0)))</f>
        <v>0</v>
      </c>
      <c r="G99" s="645"/>
      <c r="H99" s="646"/>
      <c r="I99" s="446">
        <f>IF(H99=0,0,(VLOOKUP(H99,'MTRL MSK (TPDP)'!$H$9:$U637,2,0)))</f>
        <v>0</v>
      </c>
      <c r="J99" s="448" t="str">
        <f>IFERROR((IF(H99=0,0,(VLOOKUP(H99,'MTRL MSK (TPDP)'!$H$8:$U637,7,0))))/(IF(H99=0,0,(VLOOKUP(H99,'MTRL MSK (TPDP)'!$H$8:$U637,5,0)))),"")</f>
        <v/>
      </c>
      <c r="K99" s="559"/>
      <c r="L99" s="448">
        <f t="shared" si="1"/>
        <v>0</v>
      </c>
      <c r="M99" s="647">
        <f t="shared" si="2"/>
        <v>0</v>
      </c>
      <c r="N99" s="647">
        <f t="shared" si="3"/>
        <v>0</v>
      </c>
      <c r="O99" s="448">
        <f>IF(H99=0,0,(VLOOKUP(H99,'MTRL MSK (TPDP)'!$H$9:$U637,5,0)))</f>
        <v>0</v>
      </c>
      <c r="P99" s="448">
        <f t="shared" si="4"/>
        <v>0</v>
      </c>
      <c r="Q99" s="448">
        <f t="shared" si="5"/>
        <v>0</v>
      </c>
      <c r="R99" s="648" t="str">
        <f>IFERROR(IF(S99="","",(VLOOKUP(S99,'1. BQ RAPL'!$D$14:$K637,8,0))),"")</f>
        <v/>
      </c>
      <c r="S99" s="649"/>
      <c r="T99" s="650"/>
      <c r="U99" s="16"/>
      <c r="V99" s="16"/>
      <c r="W99" s="16"/>
      <c r="X99" s="119"/>
      <c r="Y99" s="119"/>
      <c r="Z99" s="119"/>
      <c r="AA99" s="119"/>
      <c r="AB99" s="119"/>
      <c r="AC99" s="119"/>
      <c r="AD99" s="119"/>
      <c r="AE99" s="119"/>
      <c r="AF99" s="119"/>
    </row>
    <row r="100" ht="18.75" customHeight="1">
      <c r="A100" s="119"/>
      <c r="B100" s="652"/>
      <c r="C100" s="642">
        <f>IF(F100=0,0,(VLOOKUP(F100,'MTRL MSK (TPDP)'!$F$9:$W637,18,0)))</f>
        <v>0</v>
      </c>
      <c r="D100" s="642">
        <f>IF(C100=0,0,(VLOOKUP(C100,'MTRL MSK (TPDP)'!$B$9:$W637,3,0)))</f>
        <v>0</v>
      </c>
      <c r="E100" s="643" t="str">
        <f>iferror(IF(C100="","",(VLOOKUP(C100,'MTRL MSK (TPDP)'!$B$9:$W637,4,0))),"")</f>
        <v/>
      </c>
      <c r="F100" s="644">
        <f>IF(H100=0,0,(VLOOKUP(H100,'MTRL MSK (TPDP)'!$H$9:$X637,17,0)))</f>
        <v>0</v>
      </c>
      <c r="G100" s="645"/>
      <c r="H100" s="646"/>
      <c r="I100" s="446">
        <f>IF(H100=0,0,(VLOOKUP(H100,'MTRL MSK (TPDP)'!$H$9:$U637,2,0)))</f>
        <v>0</v>
      </c>
      <c r="J100" s="448" t="str">
        <f>IFERROR((IF(H100=0,0,(VLOOKUP(H100,'MTRL MSK (TPDP)'!$H$8:$U637,7,0))))/(IF(H100=0,0,(VLOOKUP(H100,'MTRL MSK (TPDP)'!$H$8:$U637,5,0)))),"")</f>
        <v/>
      </c>
      <c r="K100" s="559"/>
      <c r="L100" s="448">
        <f t="shared" si="1"/>
        <v>0</v>
      </c>
      <c r="M100" s="647">
        <f t="shared" si="2"/>
        <v>0</v>
      </c>
      <c r="N100" s="647">
        <f t="shared" si="3"/>
        <v>0</v>
      </c>
      <c r="O100" s="448">
        <f>IF(H100=0,0,(VLOOKUP(H100,'MTRL MSK (TPDP)'!$H$9:$U637,5,0)))</f>
        <v>0</v>
      </c>
      <c r="P100" s="448">
        <f t="shared" si="4"/>
        <v>0</v>
      </c>
      <c r="Q100" s="448">
        <f t="shared" si="5"/>
        <v>0</v>
      </c>
      <c r="R100" s="648" t="str">
        <f>IFERROR(IF(S100="","",(VLOOKUP(S100,'1. BQ RAPL'!$D$14:$K637,8,0))),"")</f>
        <v/>
      </c>
      <c r="S100" s="649"/>
      <c r="T100" s="650"/>
      <c r="U100" s="16"/>
      <c r="V100" s="16"/>
      <c r="W100" s="16"/>
      <c r="X100" s="119"/>
      <c r="Y100" s="119"/>
      <c r="Z100" s="119"/>
      <c r="AA100" s="119"/>
      <c r="AB100" s="119"/>
      <c r="AC100" s="119"/>
      <c r="AD100" s="119"/>
      <c r="AE100" s="119"/>
      <c r="AF100" s="119"/>
    </row>
    <row r="101" ht="18.75" customHeight="1">
      <c r="A101" s="119"/>
      <c r="B101" s="652"/>
      <c r="C101" s="642">
        <f>IF(F101=0,0,(VLOOKUP(F101,'MTRL MSK (TPDP)'!$F$9:$W637,18,0)))</f>
        <v>0</v>
      </c>
      <c r="D101" s="642">
        <f>IF(C101=0,0,(VLOOKUP(C101,'MTRL MSK (TPDP)'!$B$9:$W637,3,0)))</f>
        <v>0</v>
      </c>
      <c r="E101" s="643" t="str">
        <f>iferror(IF(C101="","",(VLOOKUP(C101,'MTRL MSK (TPDP)'!$B$9:$W637,4,0))),"")</f>
        <v/>
      </c>
      <c r="F101" s="644">
        <f>IF(H101=0,0,(VLOOKUP(H101,'MTRL MSK (TPDP)'!$H$9:$X637,17,0)))</f>
        <v>0</v>
      </c>
      <c r="G101" s="645"/>
      <c r="H101" s="646"/>
      <c r="I101" s="446">
        <f>IF(H101=0,0,(VLOOKUP(H101,'MTRL MSK (TPDP)'!$H$9:$U637,2,0)))</f>
        <v>0</v>
      </c>
      <c r="J101" s="448" t="str">
        <f>IFERROR((IF(H101=0,0,(VLOOKUP(H101,'MTRL MSK (TPDP)'!$H$8:$U637,7,0))))/(IF(H101=0,0,(VLOOKUP(H101,'MTRL MSK (TPDP)'!$H$8:$U637,5,0)))),"")</f>
        <v/>
      </c>
      <c r="K101" s="559"/>
      <c r="L101" s="448">
        <f t="shared" si="1"/>
        <v>0</v>
      </c>
      <c r="M101" s="647">
        <f t="shared" si="2"/>
        <v>0</v>
      </c>
      <c r="N101" s="647">
        <f t="shared" si="3"/>
        <v>0</v>
      </c>
      <c r="O101" s="448">
        <f>IF(H101=0,0,(VLOOKUP(H101,'MTRL MSK (TPDP)'!$H$9:$U637,5,0)))</f>
        <v>0</v>
      </c>
      <c r="P101" s="448">
        <f t="shared" si="4"/>
        <v>0</v>
      </c>
      <c r="Q101" s="448">
        <f t="shared" si="5"/>
        <v>0</v>
      </c>
      <c r="R101" s="648" t="str">
        <f>IFERROR(IF(S101="","",(VLOOKUP(S101,'1. BQ RAPL'!$D$14:$K637,8,0))),"")</f>
        <v/>
      </c>
      <c r="S101" s="649"/>
      <c r="T101" s="650"/>
      <c r="U101" s="16"/>
      <c r="V101" s="16"/>
      <c r="W101" s="16"/>
      <c r="X101" s="119"/>
      <c r="Y101" s="119"/>
      <c r="Z101" s="119"/>
      <c r="AA101" s="119"/>
      <c r="AB101" s="119"/>
      <c r="AC101" s="119"/>
      <c r="AD101" s="119"/>
      <c r="AE101" s="119"/>
      <c r="AF101" s="119"/>
    </row>
    <row r="102" ht="18.75" customHeight="1">
      <c r="A102" s="119"/>
      <c r="B102" s="652"/>
      <c r="C102" s="642">
        <f>IF(F102=0,0,(VLOOKUP(F102,'MTRL MSK (TPDP)'!$F$9:$W637,18,0)))</f>
        <v>0</v>
      </c>
      <c r="D102" s="642">
        <f>IF(C102=0,0,(VLOOKUP(C102,'MTRL MSK (TPDP)'!$B$9:$W637,3,0)))</f>
        <v>0</v>
      </c>
      <c r="E102" s="643" t="str">
        <f>iferror(IF(C102="","",(VLOOKUP(C102,'MTRL MSK (TPDP)'!$B$9:$W637,4,0))),"")</f>
        <v/>
      </c>
      <c r="F102" s="644">
        <f>IF(H102=0,0,(VLOOKUP(H102,'MTRL MSK (TPDP)'!$H$9:$X637,17,0)))</f>
        <v>0</v>
      </c>
      <c r="G102" s="645"/>
      <c r="H102" s="646"/>
      <c r="I102" s="446">
        <f>IF(H102=0,0,(VLOOKUP(H102,'MTRL MSK (TPDP)'!$H$9:$U637,2,0)))</f>
        <v>0</v>
      </c>
      <c r="J102" s="448" t="str">
        <f>IFERROR((IF(H102=0,0,(VLOOKUP(H102,'MTRL MSK (TPDP)'!$H$8:$U637,7,0))))/(IF(H102=0,0,(VLOOKUP(H102,'MTRL MSK (TPDP)'!$H$8:$U637,5,0)))),"")</f>
        <v/>
      </c>
      <c r="K102" s="559"/>
      <c r="L102" s="448">
        <f t="shared" si="1"/>
        <v>0</v>
      </c>
      <c r="M102" s="647">
        <f t="shared" si="2"/>
        <v>0</v>
      </c>
      <c r="N102" s="647">
        <f t="shared" si="3"/>
        <v>0</v>
      </c>
      <c r="O102" s="448">
        <f>IF(H102=0,0,(VLOOKUP(H102,'MTRL MSK (TPDP)'!$H$9:$U637,5,0)))</f>
        <v>0</v>
      </c>
      <c r="P102" s="448">
        <f t="shared" si="4"/>
        <v>0</v>
      </c>
      <c r="Q102" s="448">
        <f t="shared" si="5"/>
        <v>0</v>
      </c>
      <c r="R102" s="648" t="str">
        <f>IFERROR(IF(S102="","",(VLOOKUP(S102,'1. BQ RAPL'!$D$14:$K637,8,0))),"")</f>
        <v/>
      </c>
      <c r="S102" s="649"/>
      <c r="T102" s="650"/>
      <c r="U102" s="16"/>
      <c r="V102" s="16"/>
      <c r="W102" s="16"/>
      <c r="X102" s="119"/>
      <c r="Y102" s="119"/>
      <c r="Z102" s="119"/>
      <c r="AA102" s="119"/>
      <c r="AB102" s="119"/>
      <c r="AC102" s="119"/>
      <c r="AD102" s="119"/>
      <c r="AE102" s="119"/>
      <c r="AF102" s="119"/>
    </row>
    <row r="103" ht="18.75" customHeight="1">
      <c r="A103" s="119"/>
      <c r="B103" s="652"/>
      <c r="C103" s="642">
        <f>IF(F103=0,0,(VLOOKUP(F103,'MTRL MSK (TPDP)'!$F$9:$W637,18,0)))</f>
        <v>0</v>
      </c>
      <c r="D103" s="642">
        <f>IF(C103=0,0,(VLOOKUP(C103,'MTRL MSK (TPDP)'!$B$9:$W637,3,0)))</f>
        <v>0</v>
      </c>
      <c r="E103" s="643" t="str">
        <f>iferror(IF(C103="","",(VLOOKUP(C103,'MTRL MSK (TPDP)'!$B$9:$W637,4,0))),"")</f>
        <v/>
      </c>
      <c r="F103" s="644">
        <f>IF(H103=0,0,(VLOOKUP(H103,'MTRL MSK (TPDP)'!$H$9:$X637,17,0)))</f>
        <v>0</v>
      </c>
      <c r="G103" s="645"/>
      <c r="H103" s="646"/>
      <c r="I103" s="446">
        <f>IF(H103=0,0,(VLOOKUP(H103,'MTRL MSK (TPDP)'!$H$9:$U637,2,0)))</f>
        <v>0</v>
      </c>
      <c r="J103" s="448" t="str">
        <f>IFERROR((IF(H103=0,0,(VLOOKUP(H103,'MTRL MSK (TPDP)'!$H$8:$U637,7,0))))/(IF(H103=0,0,(VLOOKUP(H103,'MTRL MSK (TPDP)'!$H$8:$U637,5,0)))),"")</f>
        <v/>
      </c>
      <c r="K103" s="559"/>
      <c r="L103" s="448">
        <f t="shared" si="1"/>
        <v>0</v>
      </c>
      <c r="M103" s="647">
        <f t="shared" si="2"/>
        <v>0</v>
      </c>
      <c r="N103" s="647">
        <f t="shared" si="3"/>
        <v>0</v>
      </c>
      <c r="O103" s="448">
        <f>IF(H103=0,0,(VLOOKUP(H103,'MTRL MSK (TPDP)'!$H$9:$U637,5,0)))</f>
        <v>0</v>
      </c>
      <c r="P103" s="448">
        <f t="shared" si="4"/>
        <v>0</v>
      </c>
      <c r="Q103" s="448">
        <f t="shared" si="5"/>
        <v>0</v>
      </c>
      <c r="R103" s="648" t="str">
        <f>IFERROR(IF(S103="","",(VLOOKUP(S103,'1. BQ RAPL'!$D$14:$K637,8,0))),"")</f>
        <v/>
      </c>
      <c r="S103" s="649"/>
      <c r="T103" s="650"/>
      <c r="U103" s="16"/>
      <c r="V103" s="16"/>
      <c r="W103" s="16"/>
      <c r="X103" s="119"/>
      <c r="Y103" s="119"/>
      <c r="Z103" s="119"/>
      <c r="AA103" s="119"/>
      <c r="AB103" s="119"/>
      <c r="AC103" s="119"/>
      <c r="AD103" s="119"/>
      <c r="AE103" s="119"/>
      <c r="AF103" s="119"/>
    </row>
    <row r="104" ht="18.75" customHeight="1">
      <c r="A104" s="119"/>
      <c r="B104" s="652"/>
      <c r="C104" s="642">
        <f>IF(F104=0,0,(VLOOKUP(F104,'MTRL MSK (TPDP)'!$F$9:$W637,18,0)))</f>
        <v>0</v>
      </c>
      <c r="D104" s="642">
        <f>IF(C104=0,0,(VLOOKUP(C104,'MTRL MSK (TPDP)'!$B$9:$W637,3,0)))</f>
        <v>0</v>
      </c>
      <c r="E104" s="643" t="str">
        <f>iferror(IF(C104="","",(VLOOKUP(C104,'MTRL MSK (TPDP)'!$B$9:$W637,4,0))),"")</f>
        <v/>
      </c>
      <c r="F104" s="644">
        <f>IF(H104=0,0,(VLOOKUP(H104,'MTRL MSK (TPDP)'!$H$9:$X637,17,0)))</f>
        <v>0</v>
      </c>
      <c r="G104" s="645"/>
      <c r="H104" s="646"/>
      <c r="I104" s="446">
        <f>IF(H104=0,0,(VLOOKUP(H104,'MTRL MSK (TPDP)'!$H$9:$U637,2,0)))</f>
        <v>0</v>
      </c>
      <c r="J104" s="448" t="str">
        <f>IFERROR((IF(H104=0,0,(VLOOKUP(H104,'MTRL MSK (TPDP)'!$H$8:$U637,7,0))))/(IF(H104=0,0,(VLOOKUP(H104,'MTRL MSK (TPDP)'!$H$8:$U637,5,0)))),"")</f>
        <v/>
      </c>
      <c r="K104" s="559"/>
      <c r="L104" s="448">
        <f t="shared" si="1"/>
        <v>0</v>
      </c>
      <c r="M104" s="647">
        <f t="shared" si="2"/>
        <v>0</v>
      </c>
      <c r="N104" s="647">
        <f t="shared" si="3"/>
        <v>0</v>
      </c>
      <c r="O104" s="448">
        <f>IF(H104=0,0,(VLOOKUP(H104,'MTRL MSK (TPDP)'!$H$9:$U637,5,0)))</f>
        <v>0</v>
      </c>
      <c r="P104" s="448">
        <f t="shared" si="4"/>
        <v>0</v>
      </c>
      <c r="Q104" s="448">
        <f t="shared" si="5"/>
        <v>0</v>
      </c>
      <c r="R104" s="648" t="str">
        <f>IFERROR(IF(S104="","",(VLOOKUP(S104,'1. BQ RAPL'!$D$14:$K637,8,0))),"")</f>
        <v/>
      </c>
      <c r="S104" s="649"/>
      <c r="T104" s="650"/>
      <c r="U104" s="16"/>
      <c r="V104" s="16"/>
      <c r="W104" s="16"/>
      <c r="X104" s="119"/>
      <c r="Y104" s="119"/>
      <c r="Z104" s="119"/>
      <c r="AA104" s="119"/>
      <c r="AB104" s="119"/>
      <c r="AC104" s="119"/>
      <c r="AD104" s="119"/>
      <c r="AE104" s="119"/>
      <c r="AF104" s="119"/>
    </row>
    <row r="105" ht="18.75" customHeight="1">
      <c r="A105" s="119"/>
      <c r="B105" s="652"/>
      <c r="C105" s="642">
        <f>IF(F105=0,0,(VLOOKUP(F105,'MTRL MSK (TPDP)'!$F$9:$W637,18,0)))</f>
        <v>0</v>
      </c>
      <c r="D105" s="642">
        <f>IF(C105=0,0,(VLOOKUP(C105,'MTRL MSK (TPDP)'!$B$9:$W637,3,0)))</f>
        <v>0</v>
      </c>
      <c r="E105" s="643" t="str">
        <f>iferror(IF(C105="","",(VLOOKUP(C105,'MTRL MSK (TPDP)'!$B$9:$W637,4,0))),"")</f>
        <v/>
      </c>
      <c r="F105" s="644">
        <f>IF(H105=0,0,(VLOOKUP(H105,'MTRL MSK (TPDP)'!$H$9:$X637,17,0)))</f>
        <v>0</v>
      </c>
      <c r="G105" s="645"/>
      <c r="H105" s="646"/>
      <c r="I105" s="446">
        <f>IF(H105=0,0,(VLOOKUP(H105,'MTRL MSK (TPDP)'!$H$9:$U637,2,0)))</f>
        <v>0</v>
      </c>
      <c r="J105" s="448" t="str">
        <f>IFERROR((IF(H105=0,0,(VLOOKUP(H105,'MTRL MSK (TPDP)'!$H$8:$U637,7,0))))/(IF(H105=0,0,(VLOOKUP(H105,'MTRL MSK (TPDP)'!$H$8:$U637,5,0)))),"")</f>
        <v/>
      </c>
      <c r="K105" s="559"/>
      <c r="L105" s="448">
        <f t="shared" si="1"/>
        <v>0</v>
      </c>
      <c r="M105" s="647">
        <f t="shared" si="2"/>
        <v>0</v>
      </c>
      <c r="N105" s="647">
        <f t="shared" si="3"/>
        <v>0</v>
      </c>
      <c r="O105" s="448">
        <f>IF(H105=0,0,(VLOOKUP(H105,'MTRL MSK (TPDP)'!$H$9:$U637,5,0)))</f>
        <v>0</v>
      </c>
      <c r="P105" s="448">
        <f t="shared" si="4"/>
        <v>0</v>
      </c>
      <c r="Q105" s="448">
        <f t="shared" si="5"/>
        <v>0</v>
      </c>
      <c r="R105" s="648" t="str">
        <f>IFERROR(IF(S105="","",(VLOOKUP(S105,'1. BQ RAPL'!$D$14:$K637,8,0))),"")</f>
        <v/>
      </c>
      <c r="S105" s="649"/>
      <c r="T105" s="650"/>
      <c r="U105" s="16"/>
      <c r="V105" s="16"/>
      <c r="W105" s="16"/>
      <c r="X105" s="119"/>
      <c r="Y105" s="119"/>
      <c r="Z105" s="119"/>
      <c r="AA105" s="119"/>
      <c r="AB105" s="119"/>
      <c r="AC105" s="119"/>
      <c r="AD105" s="119"/>
      <c r="AE105" s="119"/>
      <c r="AF105" s="119"/>
    </row>
    <row r="106" ht="18.75" customHeight="1">
      <c r="A106" s="119"/>
      <c r="B106" s="652"/>
      <c r="C106" s="642">
        <f>IF(F106=0,0,(VLOOKUP(F106,'MTRL MSK (TPDP)'!$F$9:$W637,18,0)))</f>
        <v>0</v>
      </c>
      <c r="D106" s="642">
        <f>IF(C106=0,0,(VLOOKUP(C106,'MTRL MSK (TPDP)'!$B$9:$W637,3,0)))</f>
        <v>0</v>
      </c>
      <c r="E106" s="643" t="str">
        <f>iferror(IF(C106="","",(VLOOKUP(C106,'MTRL MSK (TPDP)'!$B$9:$W637,4,0))),"")</f>
        <v/>
      </c>
      <c r="F106" s="644">
        <f>IF(H106=0,0,(VLOOKUP(H106,'MTRL MSK (TPDP)'!$H$9:$X637,17,0)))</f>
        <v>0</v>
      </c>
      <c r="G106" s="645"/>
      <c r="H106" s="646"/>
      <c r="I106" s="446">
        <f>IF(H106=0,0,(VLOOKUP(H106,'MTRL MSK (TPDP)'!$H$9:$U637,2,0)))</f>
        <v>0</v>
      </c>
      <c r="J106" s="448" t="str">
        <f>IFERROR((IF(H106=0,0,(VLOOKUP(H106,'MTRL MSK (TPDP)'!$H$8:$U637,7,0))))/(IF(H106=0,0,(VLOOKUP(H106,'MTRL MSK (TPDP)'!$H$8:$U637,5,0)))),"")</f>
        <v/>
      </c>
      <c r="K106" s="559"/>
      <c r="L106" s="448">
        <f t="shared" si="1"/>
        <v>0</v>
      </c>
      <c r="M106" s="647">
        <f t="shared" si="2"/>
        <v>0</v>
      </c>
      <c r="N106" s="647">
        <f t="shared" si="3"/>
        <v>0</v>
      </c>
      <c r="O106" s="448">
        <f>IF(H106=0,0,(VLOOKUP(H106,'MTRL MSK (TPDP)'!$H$9:$U637,5,0)))</f>
        <v>0</v>
      </c>
      <c r="P106" s="448">
        <f t="shared" si="4"/>
        <v>0</v>
      </c>
      <c r="Q106" s="448">
        <f t="shared" si="5"/>
        <v>0</v>
      </c>
      <c r="R106" s="648" t="str">
        <f>IFERROR(IF(S106="","",(VLOOKUP(S106,'1. BQ RAPL'!$D$14:$K637,8,0))),"")</f>
        <v/>
      </c>
      <c r="S106" s="649"/>
      <c r="T106" s="650"/>
      <c r="U106" s="16"/>
      <c r="V106" s="16"/>
      <c r="W106" s="16"/>
      <c r="X106" s="119"/>
      <c r="Y106" s="119"/>
      <c r="Z106" s="119"/>
      <c r="AA106" s="119"/>
      <c r="AB106" s="119"/>
      <c r="AC106" s="119"/>
      <c r="AD106" s="119"/>
      <c r="AE106" s="119"/>
      <c r="AF106" s="119"/>
    </row>
    <row r="107" ht="18.75" customHeight="1">
      <c r="A107" s="119"/>
      <c r="B107" s="652"/>
      <c r="C107" s="642">
        <f>IF(F107=0,0,(VLOOKUP(F107,'MTRL MSK (TPDP)'!$F$9:$W637,18,0)))</f>
        <v>0</v>
      </c>
      <c r="D107" s="642">
        <f>IF(C107=0,0,(VLOOKUP(C107,'MTRL MSK (TPDP)'!$B$9:$W637,3,0)))</f>
        <v>0</v>
      </c>
      <c r="E107" s="643" t="str">
        <f>iferror(IF(C107="","",(VLOOKUP(C107,'MTRL MSK (TPDP)'!$B$9:$W637,4,0))),"")</f>
        <v/>
      </c>
      <c r="F107" s="644">
        <f>IF(H107=0,0,(VLOOKUP(H107,'MTRL MSK (TPDP)'!$H$9:$X637,17,0)))</f>
        <v>0</v>
      </c>
      <c r="G107" s="645"/>
      <c r="H107" s="646"/>
      <c r="I107" s="446">
        <f>IF(H107=0,0,(VLOOKUP(H107,'MTRL MSK (TPDP)'!$H$9:$U637,2,0)))</f>
        <v>0</v>
      </c>
      <c r="J107" s="448" t="str">
        <f>IFERROR((IF(H107=0,0,(VLOOKUP(H107,'MTRL MSK (TPDP)'!$H$8:$U637,7,0))))/(IF(H107=0,0,(VLOOKUP(H107,'MTRL MSK (TPDP)'!$H$8:$U637,5,0)))),"")</f>
        <v/>
      </c>
      <c r="K107" s="559"/>
      <c r="L107" s="448">
        <f t="shared" si="1"/>
        <v>0</v>
      </c>
      <c r="M107" s="647">
        <f t="shared" si="2"/>
        <v>0</v>
      </c>
      <c r="N107" s="647">
        <f t="shared" si="3"/>
        <v>0</v>
      </c>
      <c r="O107" s="448">
        <f>IF(H107=0,0,(VLOOKUP(H107,'MTRL MSK (TPDP)'!$H$9:$U637,5,0)))</f>
        <v>0</v>
      </c>
      <c r="P107" s="448">
        <f t="shared" si="4"/>
        <v>0</v>
      </c>
      <c r="Q107" s="448">
        <f t="shared" si="5"/>
        <v>0</v>
      </c>
      <c r="R107" s="648" t="str">
        <f>IFERROR(IF(S107="","",(VLOOKUP(S107,'1. BQ RAPL'!$D$14:$K637,8,0))),"")</f>
        <v/>
      </c>
      <c r="S107" s="649"/>
      <c r="T107" s="650"/>
      <c r="U107" s="16"/>
      <c r="V107" s="16"/>
      <c r="W107" s="16"/>
      <c r="X107" s="119"/>
      <c r="Y107" s="119"/>
      <c r="Z107" s="119"/>
      <c r="AA107" s="119"/>
      <c r="AB107" s="119"/>
      <c r="AC107" s="119"/>
      <c r="AD107" s="119"/>
      <c r="AE107" s="119"/>
      <c r="AF107" s="119"/>
    </row>
    <row r="108" ht="18.75" customHeight="1">
      <c r="A108" s="119"/>
      <c r="B108" s="652"/>
      <c r="C108" s="642">
        <f>IF(F108=0,0,(VLOOKUP(F108,'MTRL MSK (TPDP)'!$F$9:$W637,18,0)))</f>
        <v>0</v>
      </c>
      <c r="D108" s="642">
        <f>IF(C108=0,0,(VLOOKUP(C108,'MTRL MSK (TPDP)'!$B$9:$W637,3,0)))</f>
        <v>0</v>
      </c>
      <c r="E108" s="643" t="str">
        <f>iferror(IF(C108="","",(VLOOKUP(C108,'MTRL MSK (TPDP)'!$B$9:$W637,4,0))),"")</f>
        <v/>
      </c>
      <c r="F108" s="644">
        <f>IF(H108=0,0,(VLOOKUP(H108,'MTRL MSK (TPDP)'!$H$9:$X637,17,0)))</f>
        <v>0</v>
      </c>
      <c r="G108" s="645"/>
      <c r="H108" s="646"/>
      <c r="I108" s="446">
        <f>IF(H108=0,0,(VLOOKUP(H108,'MTRL MSK (TPDP)'!$H$9:$U637,2,0)))</f>
        <v>0</v>
      </c>
      <c r="J108" s="448" t="str">
        <f>IFERROR((IF(H108=0,0,(VLOOKUP(H108,'MTRL MSK (TPDP)'!$H$8:$U637,7,0))))/(IF(H108=0,0,(VLOOKUP(H108,'MTRL MSK (TPDP)'!$H$8:$U637,5,0)))),"")</f>
        <v/>
      </c>
      <c r="K108" s="559"/>
      <c r="L108" s="448">
        <f t="shared" si="1"/>
        <v>0</v>
      </c>
      <c r="M108" s="647">
        <f t="shared" si="2"/>
        <v>0</v>
      </c>
      <c r="N108" s="647">
        <f t="shared" si="3"/>
        <v>0</v>
      </c>
      <c r="O108" s="448">
        <f>IF(H108=0,0,(VLOOKUP(H108,'MTRL MSK (TPDP)'!$H$9:$U637,5,0)))</f>
        <v>0</v>
      </c>
      <c r="P108" s="448">
        <f t="shared" si="4"/>
        <v>0</v>
      </c>
      <c r="Q108" s="448">
        <f t="shared" si="5"/>
        <v>0</v>
      </c>
      <c r="R108" s="648" t="str">
        <f>IFERROR(IF(S108="","",(VLOOKUP(S108,'1. BQ RAPL'!$D$14:$K637,8,0))),"")</f>
        <v/>
      </c>
      <c r="S108" s="649"/>
      <c r="T108" s="650"/>
      <c r="U108" s="16"/>
      <c r="V108" s="16"/>
      <c r="W108" s="16"/>
      <c r="X108" s="119"/>
      <c r="Y108" s="119"/>
      <c r="Z108" s="119"/>
      <c r="AA108" s="119"/>
      <c r="AB108" s="119"/>
      <c r="AC108" s="119"/>
      <c r="AD108" s="119"/>
      <c r="AE108" s="119"/>
      <c r="AF108" s="119"/>
    </row>
    <row r="109" ht="18.75" customHeight="1">
      <c r="A109" s="119"/>
      <c r="B109" s="652"/>
      <c r="C109" s="642">
        <f>IF(F109=0,0,(VLOOKUP(F109,'MTRL MSK (TPDP)'!$F$9:$W637,18,0)))</f>
        <v>0</v>
      </c>
      <c r="D109" s="642">
        <f>IF(C109=0,0,(VLOOKUP(C109,'MTRL MSK (TPDP)'!$B$9:$W637,3,0)))</f>
        <v>0</v>
      </c>
      <c r="E109" s="643" t="str">
        <f>iferror(IF(C109="","",(VLOOKUP(C109,'MTRL MSK (TPDP)'!$B$9:$W637,4,0))),"")</f>
        <v/>
      </c>
      <c r="F109" s="644">
        <f>IF(H109=0,0,(VLOOKUP(H109,'MTRL MSK (TPDP)'!$H$9:$X637,17,0)))</f>
        <v>0</v>
      </c>
      <c r="G109" s="645"/>
      <c r="H109" s="646"/>
      <c r="I109" s="446">
        <f>IF(H109=0,0,(VLOOKUP(H109,'MTRL MSK (TPDP)'!$H$9:$U637,2,0)))</f>
        <v>0</v>
      </c>
      <c r="J109" s="448" t="str">
        <f>IFERROR((IF(H109=0,0,(VLOOKUP(H109,'MTRL MSK (TPDP)'!$H$8:$U637,7,0))))/(IF(H109=0,0,(VLOOKUP(H109,'MTRL MSK (TPDP)'!$H$8:$U637,5,0)))),"")</f>
        <v/>
      </c>
      <c r="K109" s="559"/>
      <c r="L109" s="448">
        <f t="shared" si="1"/>
        <v>0</v>
      </c>
      <c r="M109" s="647">
        <f t="shared" si="2"/>
        <v>0</v>
      </c>
      <c r="N109" s="647">
        <f t="shared" si="3"/>
        <v>0</v>
      </c>
      <c r="O109" s="448">
        <f>IF(H109=0,0,(VLOOKUP(H109,'MTRL MSK (TPDP)'!$H$9:$U637,5,0)))</f>
        <v>0</v>
      </c>
      <c r="P109" s="448">
        <f t="shared" si="4"/>
        <v>0</v>
      </c>
      <c r="Q109" s="448">
        <f t="shared" si="5"/>
        <v>0</v>
      </c>
      <c r="R109" s="648" t="str">
        <f>IFERROR(IF(S109="","",(VLOOKUP(S109,'1. BQ RAPL'!$D$14:$K637,8,0))),"")</f>
        <v/>
      </c>
      <c r="S109" s="649"/>
      <c r="T109" s="650"/>
      <c r="U109" s="16"/>
      <c r="V109" s="16"/>
      <c r="W109" s="16"/>
      <c r="X109" s="119"/>
      <c r="Y109" s="119"/>
      <c r="Z109" s="119"/>
      <c r="AA109" s="119"/>
      <c r="AB109" s="119"/>
      <c r="AC109" s="119"/>
      <c r="AD109" s="119"/>
      <c r="AE109" s="119"/>
      <c r="AF109" s="119"/>
    </row>
    <row r="110" ht="18.75" customHeight="1">
      <c r="A110" s="119"/>
      <c r="B110" s="652"/>
      <c r="C110" s="642">
        <f>IF(F110=0,0,(VLOOKUP(F110,'MTRL MSK (TPDP)'!$F$9:$W637,18,0)))</f>
        <v>0</v>
      </c>
      <c r="D110" s="642">
        <f>IF(C110=0,0,(VLOOKUP(C110,'MTRL MSK (TPDP)'!$B$9:$W637,3,0)))</f>
        <v>0</v>
      </c>
      <c r="E110" s="643" t="str">
        <f>iferror(IF(C110="","",(VLOOKUP(C110,'MTRL MSK (TPDP)'!$B$9:$W637,4,0))),"")</f>
        <v/>
      </c>
      <c r="F110" s="644">
        <f>IF(H110=0,0,(VLOOKUP(H110,'MTRL MSK (TPDP)'!$H$9:$X637,17,0)))</f>
        <v>0</v>
      </c>
      <c r="G110" s="645"/>
      <c r="H110" s="646"/>
      <c r="I110" s="446">
        <f>IF(H110=0,0,(VLOOKUP(H110,'MTRL MSK (TPDP)'!$H$9:$U637,2,0)))</f>
        <v>0</v>
      </c>
      <c r="J110" s="448" t="str">
        <f>IFERROR((IF(H110=0,0,(VLOOKUP(H110,'MTRL MSK (TPDP)'!$H$8:$U637,7,0))))/(IF(H110=0,0,(VLOOKUP(H110,'MTRL MSK (TPDP)'!$H$8:$U637,5,0)))),"")</f>
        <v/>
      </c>
      <c r="K110" s="559"/>
      <c r="L110" s="448">
        <f t="shared" si="1"/>
        <v>0</v>
      </c>
      <c r="M110" s="647">
        <f t="shared" si="2"/>
        <v>0</v>
      </c>
      <c r="N110" s="647">
        <f t="shared" si="3"/>
        <v>0</v>
      </c>
      <c r="O110" s="448">
        <f>IF(H110=0,0,(VLOOKUP(H110,'MTRL MSK (TPDP)'!$H$9:$U637,5,0)))</f>
        <v>0</v>
      </c>
      <c r="P110" s="448">
        <f t="shared" si="4"/>
        <v>0</v>
      </c>
      <c r="Q110" s="448">
        <f t="shared" si="5"/>
        <v>0</v>
      </c>
      <c r="R110" s="648" t="str">
        <f>IFERROR(IF(S110="","",(VLOOKUP(S110,'1. BQ RAPL'!$D$14:$K637,8,0))),"")</f>
        <v/>
      </c>
      <c r="S110" s="649"/>
      <c r="T110" s="650"/>
      <c r="U110" s="16"/>
      <c r="V110" s="16"/>
      <c r="W110" s="16"/>
      <c r="X110" s="119"/>
      <c r="Y110" s="119"/>
      <c r="Z110" s="119"/>
      <c r="AA110" s="119"/>
      <c r="AB110" s="119"/>
      <c r="AC110" s="119"/>
      <c r="AD110" s="119"/>
      <c r="AE110" s="119"/>
      <c r="AF110" s="119"/>
    </row>
    <row r="111" ht="18.75" customHeight="1">
      <c r="A111" s="119"/>
      <c r="B111" s="652"/>
      <c r="C111" s="642">
        <f>IF(F111=0,0,(VLOOKUP(F111,'MTRL MSK (TPDP)'!$F$9:$W637,18,0)))</f>
        <v>0</v>
      </c>
      <c r="D111" s="642">
        <f>IF(C111=0,0,(VLOOKUP(C111,'MTRL MSK (TPDP)'!$B$9:$W637,3,0)))</f>
        <v>0</v>
      </c>
      <c r="E111" s="643" t="str">
        <f>iferror(IF(C111="","",(VLOOKUP(C111,'MTRL MSK (TPDP)'!$B$9:$W637,4,0))),"")</f>
        <v/>
      </c>
      <c r="F111" s="644">
        <f>IF(H111=0,0,(VLOOKUP(H111,'MTRL MSK (TPDP)'!$H$9:$X637,17,0)))</f>
        <v>0</v>
      </c>
      <c r="G111" s="645"/>
      <c r="H111" s="646"/>
      <c r="I111" s="446">
        <f>IF(H111=0,0,(VLOOKUP(H111,'MTRL MSK (TPDP)'!$H$9:$U637,2,0)))</f>
        <v>0</v>
      </c>
      <c r="J111" s="448" t="str">
        <f>IFERROR((IF(H111=0,0,(VLOOKUP(H111,'MTRL MSK (TPDP)'!$H$8:$U637,7,0))))/(IF(H111=0,0,(VLOOKUP(H111,'MTRL MSK (TPDP)'!$H$8:$U637,5,0)))),"")</f>
        <v/>
      </c>
      <c r="K111" s="559"/>
      <c r="L111" s="448">
        <f t="shared" si="1"/>
        <v>0</v>
      </c>
      <c r="M111" s="647">
        <f t="shared" si="2"/>
        <v>0</v>
      </c>
      <c r="N111" s="647">
        <f t="shared" si="3"/>
        <v>0</v>
      </c>
      <c r="O111" s="448">
        <f>IF(H111=0,0,(VLOOKUP(H111,'MTRL MSK (TPDP)'!$H$9:$U637,5,0)))</f>
        <v>0</v>
      </c>
      <c r="P111" s="448">
        <f t="shared" si="4"/>
        <v>0</v>
      </c>
      <c r="Q111" s="448">
        <f t="shared" si="5"/>
        <v>0</v>
      </c>
      <c r="R111" s="648" t="str">
        <f>IFERROR(IF(S111="","",(VLOOKUP(S111,'1. BQ RAPL'!$D$14:$K637,8,0))),"")</f>
        <v/>
      </c>
      <c r="S111" s="649"/>
      <c r="T111" s="650"/>
      <c r="U111" s="16"/>
      <c r="V111" s="16"/>
      <c r="W111" s="16"/>
      <c r="X111" s="119"/>
      <c r="Y111" s="119"/>
      <c r="Z111" s="119"/>
      <c r="AA111" s="119"/>
      <c r="AB111" s="119"/>
      <c r="AC111" s="119"/>
      <c r="AD111" s="119"/>
      <c r="AE111" s="119"/>
      <c r="AF111" s="119"/>
    </row>
    <row r="112" ht="18.75" customHeight="1">
      <c r="A112" s="119"/>
      <c r="B112" s="652"/>
      <c r="C112" s="642">
        <f>IF(F112=0,0,(VLOOKUP(F112,'MTRL MSK (TPDP)'!$F$9:$W637,18,0)))</f>
        <v>0</v>
      </c>
      <c r="D112" s="642">
        <f>IF(C112=0,0,(VLOOKUP(C112,'MTRL MSK (TPDP)'!$B$9:$W637,3,0)))</f>
        <v>0</v>
      </c>
      <c r="E112" s="643" t="str">
        <f>iferror(IF(C112="","",(VLOOKUP(C112,'MTRL MSK (TPDP)'!$B$9:$W637,4,0))),"")</f>
        <v/>
      </c>
      <c r="F112" s="644">
        <f>IF(H112=0,0,(VLOOKUP(H112,'MTRL MSK (TPDP)'!$H$9:$X637,17,0)))</f>
        <v>0</v>
      </c>
      <c r="G112" s="645"/>
      <c r="H112" s="646"/>
      <c r="I112" s="446">
        <f>IF(H112=0,0,(VLOOKUP(H112,'MTRL MSK (TPDP)'!$H$9:$U637,2,0)))</f>
        <v>0</v>
      </c>
      <c r="J112" s="448" t="str">
        <f>IFERROR((IF(H112=0,0,(VLOOKUP(H112,'MTRL MSK (TPDP)'!$H$8:$U637,7,0))))/(IF(H112=0,0,(VLOOKUP(H112,'MTRL MSK (TPDP)'!$H$8:$U637,5,0)))),"")</f>
        <v/>
      </c>
      <c r="K112" s="559"/>
      <c r="L112" s="448">
        <f t="shared" si="1"/>
        <v>0</v>
      </c>
      <c r="M112" s="647">
        <f t="shared" si="2"/>
        <v>0</v>
      </c>
      <c r="N112" s="647">
        <f t="shared" si="3"/>
        <v>0</v>
      </c>
      <c r="O112" s="448">
        <f>IF(H112=0,0,(VLOOKUP(H112,'MTRL MSK (TPDP)'!$H$9:$U637,5,0)))</f>
        <v>0</v>
      </c>
      <c r="P112" s="448">
        <f t="shared" si="4"/>
        <v>0</v>
      </c>
      <c r="Q112" s="448">
        <f t="shared" si="5"/>
        <v>0</v>
      </c>
      <c r="R112" s="648" t="str">
        <f>IFERROR(IF(S112="","",(VLOOKUP(S112,'1. BQ RAPL'!$D$14:$K637,8,0))),"")</f>
        <v/>
      </c>
      <c r="S112" s="649"/>
      <c r="T112" s="650"/>
      <c r="U112" s="16"/>
      <c r="V112" s="16"/>
      <c r="W112" s="16"/>
      <c r="X112" s="119"/>
      <c r="Y112" s="119"/>
      <c r="Z112" s="119"/>
      <c r="AA112" s="119"/>
      <c r="AB112" s="119"/>
      <c r="AC112" s="119"/>
      <c r="AD112" s="119"/>
      <c r="AE112" s="119"/>
      <c r="AF112" s="119"/>
    </row>
    <row r="113" ht="18.75" customHeight="1">
      <c r="A113" s="119"/>
      <c r="B113" s="652"/>
      <c r="C113" s="642">
        <f>IF(F113=0,0,(VLOOKUP(F113,'MTRL MSK (TPDP)'!$F$9:$W637,18,0)))</f>
        <v>0</v>
      </c>
      <c r="D113" s="642">
        <f>IF(C113=0,0,(VLOOKUP(C113,'MTRL MSK (TPDP)'!$B$9:$W637,3,0)))</f>
        <v>0</v>
      </c>
      <c r="E113" s="643" t="str">
        <f>iferror(IF(C113="","",(VLOOKUP(C113,'MTRL MSK (TPDP)'!$B$9:$W637,4,0))),"")</f>
        <v/>
      </c>
      <c r="F113" s="644">
        <f>IF(H113=0,0,(VLOOKUP(H113,'MTRL MSK (TPDP)'!$H$9:$X637,17,0)))</f>
        <v>0</v>
      </c>
      <c r="G113" s="645"/>
      <c r="H113" s="646"/>
      <c r="I113" s="446">
        <f>IF(H113=0,0,(VLOOKUP(H113,'MTRL MSK (TPDP)'!$H$9:$U637,2,0)))</f>
        <v>0</v>
      </c>
      <c r="J113" s="448" t="str">
        <f>IFERROR((IF(H113=0,0,(VLOOKUP(H113,'MTRL MSK (TPDP)'!$H$8:$U637,7,0))))/(IF(H113=0,0,(VLOOKUP(H113,'MTRL MSK (TPDP)'!$H$8:$U637,5,0)))),"")</f>
        <v/>
      </c>
      <c r="K113" s="559"/>
      <c r="L113" s="448">
        <f t="shared" si="1"/>
        <v>0</v>
      </c>
      <c r="M113" s="647">
        <f t="shared" si="2"/>
        <v>0</v>
      </c>
      <c r="N113" s="647">
        <f t="shared" si="3"/>
        <v>0</v>
      </c>
      <c r="O113" s="448">
        <f>IF(H113=0,0,(VLOOKUP(H113,'MTRL MSK (TPDP)'!$H$9:$U637,5,0)))</f>
        <v>0</v>
      </c>
      <c r="P113" s="448">
        <f t="shared" si="4"/>
        <v>0</v>
      </c>
      <c r="Q113" s="448">
        <f t="shared" si="5"/>
        <v>0</v>
      </c>
      <c r="R113" s="648" t="str">
        <f>IFERROR(IF(S113="","",(VLOOKUP(S113,'1. BQ RAPL'!$D$14:$K637,8,0))),"")</f>
        <v/>
      </c>
      <c r="S113" s="649"/>
      <c r="T113" s="650"/>
      <c r="U113" s="16"/>
      <c r="V113" s="16"/>
      <c r="W113" s="16"/>
      <c r="X113" s="119"/>
      <c r="Y113" s="119"/>
      <c r="Z113" s="119"/>
      <c r="AA113" s="119"/>
      <c r="AB113" s="119"/>
      <c r="AC113" s="119"/>
      <c r="AD113" s="119"/>
      <c r="AE113" s="119"/>
      <c r="AF113" s="119"/>
    </row>
    <row r="114" ht="18.75" customHeight="1">
      <c r="A114" s="119"/>
      <c r="B114" s="652"/>
      <c r="C114" s="642">
        <f>IF(F114=0,0,(VLOOKUP(F114,'MTRL MSK (TPDP)'!$F$9:$W637,18,0)))</f>
        <v>0</v>
      </c>
      <c r="D114" s="642">
        <f>IF(C114=0,0,(VLOOKUP(C114,'MTRL MSK (TPDP)'!$B$9:$W637,3,0)))</f>
        <v>0</v>
      </c>
      <c r="E114" s="643" t="str">
        <f>iferror(IF(C114="","",(VLOOKUP(C114,'MTRL MSK (TPDP)'!$B$9:$W637,4,0))),"")</f>
        <v/>
      </c>
      <c r="F114" s="644">
        <f>IF(H114=0,0,(VLOOKUP(H114,'MTRL MSK (TPDP)'!$H$9:$X637,17,0)))</f>
        <v>0</v>
      </c>
      <c r="G114" s="645"/>
      <c r="H114" s="646"/>
      <c r="I114" s="446">
        <f>IF(H114=0,0,(VLOOKUP(H114,'MTRL MSK (TPDP)'!$H$9:$U637,2,0)))</f>
        <v>0</v>
      </c>
      <c r="J114" s="448" t="str">
        <f>IFERROR((IF(H114=0,0,(VLOOKUP(H114,'MTRL MSK (TPDP)'!$H$8:$U637,7,0))))/(IF(H114=0,0,(VLOOKUP(H114,'MTRL MSK (TPDP)'!$H$8:$U637,5,0)))),"")</f>
        <v/>
      </c>
      <c r="K114" s="559"/>
      <c r="L114" s="448">
        <f t="shared" si="1"/>
        <v>0</v>
      </c>
      <c r="M114" s="647">
        <f t="shared" si="2"/>
        <v>0</v>
      </c>
      <c r="N114" s="647">
        <f t="shared" si="3"/>
        <v>0</v>
      </c>
      <c r="O114" s="448">
        <f>IF(H114=0,0,(VLOOKUP(H114,'MTRL MSK (TPDP)'!$H$9:$U637,5,0)))</f>
        <v>0</v>
      </c>
      <c r="P114" s="448">
        <f t="shared" si="4"/>
        <v>0</v>
      </c>
      <c r="Q114" s="448">
        <f t="shared" si="5"/>
        <v>0</v>
      </c>
      <c r="R114" s="648" t="str">
        <f>IFERROR(IF(S114="","",(VLOOKUP(S114,'1. BQ RAPL'!$D$14:$K637,8,0))),"")</f>
        <v/>
      </c>
      <c r="S114" s="649"/>
      <c r="T114" s="650"/>
      <c r="U114" s="16"/>
      <c r="V114" s="16"/>
      <c r="W114" s="16"/>
      <c r="X114" s="119"/>
      <c r="Y114" s="119"/>
      <c r="Z114" s="119"/>
      <c r="AA114" s="119"/>
      <c r="AB114" s="119"/>
      <c r="AC114" s="119"/>
      <c r="AD114" s="119"/>
      <c r="AE114" s="119"/>
      <c r="AF114" s="119"/>
    </row>
    <row r="115" ht="18.75" customHeight="1">
      <c r="A115" s="119"/>
      <c r="B115" s="652"/>
      <c r="C115" s="642">
        <f>IF(F115=0,0,(VLOOKUP(F115,'MTRL MSK (TPDP)'!$F$9:$W637,18,0)))</f>
        <v>0</v>
      </c>
      <c r="D115" s="642">
        <f>IF(C115=0,0,(VLOOKUP(C115,'MTRL MSK (TPDP)'!$B$9:$W637,3,0)))</f>
        <v>0</v>
      </c>
      <c r="E115" s="643" t="str">
        <f>iferror(IF(C115="","",(VLOOKUP(C115,'MTRL MSK (TPDP)'!$B$9:$W637,4,0))),"")</f>
        <v/>
      </c>
      <c r="F115" s="644">
        <f>IF(H115=0,0,(VLOOKUP(H115,'MTRL MSK (TPDP)'!$H$9:$X637,17,0)))</f>
        <v>0</v>
      </c>
      <c r="G115" s="645"/>
      <c r="H115" s="646"/>
      <c r="I115" s="446">
        <f>IF(H115=0,0,(VLOOKUP(H115,'MTRL MSK (TPDP)'!$H$9:$U637,2,0)))</f>
        <v>0</v>
      </c>
      <c r="J115" s="448" t="str">
        <f>IFERROR((IF(H115=0,0,(VLOOKUP(H115,'MTRL MSK (TPDP)'!$H$8:$U637,7,0))))/(IF(H115=0,0,(VLOOKUP(H115,'MTRL MSK (TPDP)'!$H$8:$U637,5,0)))),"")</f>
        <v/>
      </c>
      <c r="K115" s="559"/>
      <c r="L115" s="448">
        <f t="shared" si="1"/>
        <v>0</v>
      </c>
      <c r="M115" s="647">
        <f t="shared" si="2"/>
        <v>0</v>
      </c>
      <c r="N115" s="647">
        <f t="shared" si="3"/>
        <v>0</v>
      </c>
      <c r="O115" s="448">
        <f>IF(H115=0,0,(VLOOKUP(H115,'MTRL MSK (TPDP)'!$H$9:$U637,5,0)))</f>
        <v>0</v>
      </c>
      <c r="P115" s="448">
        <f t="shared" si="4"/>
        <v>0</v>
      </c>
      <c r="Q115" s="448">
        <f t="shared" si="5"/>
        <v>0</v>
      </c>
      <c r="R115" s="648" t="str">
        <f>IFERROR(IF(S115="","",(VLOOKUP(S115,'1. BQ RAPL'!$D$14:$K637,8,0))),"")</f>
        <v/>
      </c>
      <c r="S115" s="649"/>
      <c r="T115" s="650"/>
      <c r="U115" s="16"/>
      <c r="V115" s="16"/>
      <c r="W115" s="16"/>
      <c r="X115" s="119"/>
      <c r="Y115" s="119"/>
      <c r="Z115" s="119"/>
      <c r="AA115" s="119"/>
      <c r="AB115" s="119"/>
      <c r="AC115" s="119"/>
      <c r="AD115" s="119"/>
      <c r="AE115" s="119"/>
      <c r="AF115" s="119"/>
    </row>
    <row r="116" ht="18.75" customHeight="1">
      <c r="A116" s="119"/>
      <c r="B116" s="652"/>
      <c r="C116" s="642">
        <f>IF(F116=0,0,(VLOOKUP(F116,'MTRL MSK (TPDP)'!$F$9:$W637,18,0)))</f>
        <v>0</v>
      </c>
      <c r="D116" s="642">
        <f>IF(C116=0,0,(VLOOKUP(C116,'MTRL MSK (TPDP)'!$B$9:$W637,3,0)))</f>
        <v>0</v>
      </c>
      <c r="E116" s="643" t="str">
        <f>iferror(IF(C116="","",(VLOOKUP(C116,'MTRL MSK (TPDP)'!$B$9:$W637,4,0))),"")</f>
        <v/>
      </c>
      <c r="F116" s="644">
        <f>IF(H116=0,0,(VLOOKUP(H116,'MTRL MSK (TPDP)'!$H$9:$X637,17,0)))</f>
        <v>0</v>
      </c>
      <c r="G116" s="645"/>
      <c r="H116" s="646"/>
      <c r="I116" s="446">
        <f>IF(H116=0,0,(VLOOKUP(H116,'MTRL MSK (TPDP)'!$H$9:$U637,2,0)))</f>
        <v>0</v>
      </c>
      <c r="J116" s="448" t="str">
        <f>IFERROR((IF(H116=0,0,(VLOOKUP(H116,'MTRL MSK (TPDP)'!$H$8:$U637,7,0))))/(IF(H116=0,0,(VLOOKUP(H116,'MTRL MSK (TPDP)'!$H$8:$U637,5,0)))),"")</f>
        <v/>
      </c>
      <c r="K116" s="559"/>
      <c r="L116" s="448">
        <f t="shared" si="1"/>
        <v>0</v>
      </c>
      <c r="M116" s="647">
        <f t="shared" si="2"/>
        <v>0</v>
      </c>
      <c r="N116" s="647">
        <f t="shared" si="3"/>
        <v>0</v>
      </c>
      <c r="O116" s="448">
        <f>IF(H116=0,0,(VLOOKUP(H116,'MTRL MSK (TPDP)'!$H$9:$U637,5,0)))</f>
        <v>0</v>
      </c>
      <c r="P116" s="448">
        <f t="shared" si="4"/>
        <v>0</v>
      </c>
      <c r="Q116" s="448">
        <f t="shared" si="5"/>
        <v>0</v>
      </c>
      <c r="R116" s="648" t="str">
        <f>IFERROR(IF(S116="","",(VLOOKUP(S116,'1. BQ RAPL'!$D$14:$K637,8,0))),"")</f>
        <v/>
      </c>
      <c r="S116" s="649"/>
      <c r="T116" s="650"/>
      <c r="U116" s="16"/>
      <c r="V116" s="16"/>
      <c r="W116" s="16"/>
      <c r="X116" s="119"/>
      <c r="Y116" s="119"/>
      <c r="Z116" s="119"/>
      <c r="AA116" s="119"/>
      <c r="AB116" s="119"/>
      <c r="AC116" s="119"/>
      <c r="AD116" s="119"/>
      <c r="AE116" s="119"/>
      <c r="AF116" s="119"/>
    </row>
    <row r="117" ht="18.75" customHeight="1">
      <c r="A117" s="119"/>
      <c r="B117" s="652"/>
      <c r="C117" s="642">
        <f>IF(F117=0,0,(VLOOKUP(F117,'MTRL MSK (TPDP)'!$F$9:$W637,18,0)))</f>
        <v>0</v>
      </c>
      <c r="D117" s="642">
        <f>IF(C117=0,0,(VLOOKUP(C117,'MTRL MSK (TPDP)'!$B$9:$W637,3,0)))</f>
        <v>0</v>
      </c>
      <c r="E117" s="643" t="str">
        <f>iferror(IF(C117="","",(VLOOKUP(C117,'MTRL MSK (TPDP)'!$B$9:$W637,4,0))),"")</f>
        <v/>
      </c>
      <c r="F117" s="644">
        <f>IF(H117=0,0,(VLOOKUP(H117,'MTRL MSK (TPDP)'!$H$9:$X637,17,0)))</f>
        <v>0</v>
      </c>
      <c r="G117" s="645"/>
      <c r="H117" s="646"/>
      <c r="I117" s="446">
        <f>IF(H117=0,0,(VLOOKUP(H117,'MTRL MSK (TPDP)'!$H$9:$U637,2,0)))</f>
        <v>0</v>
      </c>
      <c r="J117" s="448" t="str">
        <f>IFERROR((IF(H117=0,0,(VLOOKUP(H117,'MTRL MSK (TPDP)'!$H$8:$U637,7,0))))/(IF(H117=0,0,(VLOOKUP(H117,'MTRL MSK (TPDP)'!$H$8:$U637,5,0)))),"")</f>
        <v/>
      </c>
      <c r="K117" s="559"/>
      <c r="L117" s="448">
        <f t="shared" si="1"/>
        <v>0</v>
      </c>
      <c r="M117" s="647">
        <f t="shared" si="2"/>
        <v>0</v>
      </c>
      <c r="N117" s="647">
        <f t="shared" si="3"/>
        <v>0</v>
      </c>
      <c r="O117" s="448">
        <f>IF(H117=0,0,(VLOOKUP(H117,'MTRL MSK (TPDP)'!$H$9:$U637,5,0)))</f>
        <v>0</v>
      </c>
      <c r="P117" s="448">
        <f t="shared" si="4"/>
        <v>0</v>
      </c>
      <c r="Q117" s="448">
        <f t="shared" si="5"/>
        <v>0</v>
      </c>
      <c r="R117" s="648" t="str">
        <f>IFERROR(IF(S117="","",(VLOOKUP(S117,'1. BQ RAPL'!$D$14:$K637,8,0))),"")</f>
        <v/>
      </c>
      <c r="S117" s="649"/>
      <c r="T117" s="650"/>
      <c r="U117" s="16"/>
      <c r="V117" s="16"/>
      <c r="W117" s="16"/>
      <c r="X117" s="119"/>
      <c r="Y117" s="119"/>
      <c r="Z117" s="119"/>
      <c r="AA117" s="119"/>
      <c r="AB117" s="119"/>
      <c r="AC117" s="119"/>
      <c r="AD117" s="119"/>
      <c r="AE117" s="119"/>
      <c r="AF117" s="119"/>
    </row>
    <row r="118" ht="18.75" customHeight="1">
      <c r="A118" s="119"/>
      <c r="B118" s="652"/>
      <c r="C118" s="642">
        <f>IF(F118=0,0,(VLOOKUP(F118,'MTRL MSK (TPDP)'!$F$9:$W637,18,0)))</f>
        <v>0</v>
      </c>
      <c r="D118" s="642">
        <f>IF(C118=0,0,(VLOOKUP(C118,'MTRL MSK (TPDP)'!$B$9:$W637,3,0)))</f>
        <v>0</v>
      </c>
      <c r="E118" s="643" t="str">
        <f>iferror(IF(C118="","",(VLOOKUP(C118,'MTRL MSK (TPDP)'!$B$9:$W637,4,0))),"")</f>
        <v/>
      </c>
      <c r="F118" s="644">
        <f>IF(H118=0,0,(VLOOKUP(H118,'MTRL MSK (TPDP)'!$H$9:$X637,17,0)))</f>
        <v>0</v>
      </c>
      <c r="G118" s="645"/>
      <c r="H118" s="646"/>
      <c r="I118" s="446">
        <f>IF(H118=0,0,(VLOOKUP(H118,'MTRL MSK (TPDP)'!$H$9:$U637,2,0)))</f>
        <v>0</v>
      </c>
      <c r="J118" s="448" t="str">
        <f>IFERROR((IF(H118=0,0,(VLOOKUP(H118,'MTRL MSK (TPDP)'!$H$8:$U637,7,0))))/(IF(H118=0,0,(VLOOKUP(H118,'MTRL MSK (TPDP)'!$H$8:$U637,5,0)))),"")</f>
        <v/>
      </c>
      <c r="K118" s="559"/>
      <c r="L118" s="448">
        <f t="shared" si="1"/>
        <v>0</v>
      </c>
      <c r="M118" s="647">
        <f t="shared" si="2"/>
        <v>0</v>
      </c>
      <c r="N118" s="647">
        <f t="shared" si="3"/>
        <v>0</v>
      </c>
      <c r="O118" s="448">
        <f>IF(H118=0,0,(VLOOKUP(H118,'MTRL MSK (TPDP)'!$H$9:$U637,5,0)))</f>
        <v>0</v>
      </c>
      <c r="P118" s="448">
        <f t="shared" si="4"/>
        <v>0</v>
      </c>
      <c r="Q118" s="448">
        <f t="shared" si="5"/>
        <v>0</v>
      </c>
      <c r="R118" s="648" t="str">
        <f>IFERROR(IF(S118="","",(VLOOKUP(S118,'1. BQ RAPL'!$D$14:$K637,8,0))),"")</f>
        <v/>
      </c>
      <c r="S118" s="649"/>
      <c r="T118" s="650"/>
      <c r="U118" s="16"/>
      <c r="V118" s="16"/>
      <c r="W118" s="16"/>
      <c r="X118" s="119"/>
      <c r="Y118" s="119"/>
      <c r="Z118" s="119"/>
      <c r="AA118" s="119"/>
      <c r="AB118" s="119"/>
      <c r="AC118" s="119"/>
      <c r="AD118" s="119"/>
      <c r="AE118" s="119"/>
      <c r="AF118" s="119"/>
    </row>
    <row r="119" ht="18.75" customHeight="1">
      <c r="A119" s="119"/>
      <c r="B119" s="652"/>
      <c r="C119" s="642">
        <f>IF(F119=0,0,(VLOOKUP(F119,'MTRL MSK (TPDP)'!$F$9:$W637,18,0)))</f>
        <v>0</v>
      </c>
      <c r="D119" s="642">
        <f>IF(C119=0,0,(VLOOKUP(C119,'MTRL MSK (TPDP)'!$B$9:$W637,3,0)))</f>
        <v>0</v>
      </c>
      <c r="E119" s="643" t="str">
        <f>iferror(IF(C119="","",(VLOOKUP(C119,'MTRL MSK (TPDP)'!$B$9:$W637,4,0))),"")</f>
        <v/>
      </c>
      <c r="F119" s="644">
        <f>IF(H119=0,0,(VLOOKUP(H119,'MTRL MSK (TPDP)'!$H$9:$X637,17,0)))</f>
        <v>0</v>
      </c>
      <c r="G119" s="645"/>
      <c r="H119" s="646"/>
      <c r="I119" s="446">
        <f>IF(H119=0,0,(VLOOKUP(H119,'MTRL MSK (TPDP)'!$H$9:$U637,2,0)))</f>
        <v>0</v>
      </c>
      <c r="J119" s="448" t="str">
        <f>IFERROR((IF(H119=0,0,(VLOOKUP(H119,'MTRL MSK (TPDP)'!$H$8:$U637,7,0))))/(IF(H119=0,0,(VLOOKUP(H119,'MTRL MSK (TPDP)'!$H$8:$U637,5,0)))),"")</f>
        <v/>
      </c>
      <c r="K119" s="559"/>
      <c r="L119" s="448">
        <f t="shared" si="1"/>
        <v>0</v>
      </c>
      <c r="M119" s="647">
        <f t="shared" si="2"/>
        <v>0</v>
      </c>
      <c r="N119" s="647">
        <f t="shared" si="3"/>
        <v>0</v>
      </c>
      <c r="O119" s="448">
        <f>IF(H119=0,0,(VLOOKUP(H119,'MTRL MSK (TPDP)'!$H$9:$U637,5,0)))</f>
        <v>0</v>
      </c>
      <c r="P119" s="448">
        <f t="shared" si="4"/>
        <v>0</v>
      </c>
      <c r="Q119" s="448">
        <f t="shared" si="5"/>
        <v>0</v>
      </c>
      <c r="R119" s="648" t="str">
        <f>IFERROR(IF(S119="","",(VLOOKUP(S119,'1. BQ RAPL'!$D$14:$K637,8,0))),"")</f>
        <v/>
      </c>
      <c r="S119" s="649"/>
      <c r="T119" s="650"/>
      <c r="U119" s="16"/>
      <c r="V119" s="16"/>
      <c r="W119" s="16"/>
      <c r="X119" s="119"/>
      <c r="Y119" s="119"/>
      <c r="Z119" s="119"/>
      <c r="AA119" s="119"/>
      <c r="AB119" s="119"/>
      <c r="AC119" s="119"/>
      <c r="AD119" s="119"/>
      <c r="AE119" s="119"/>
      <c r="AF119" s="119"/>
    </row>
    <row r="120" ht="18.75" customHeight="1">
      <c r="A120" s="119"/>
      <c r="B120" s="652"/>
      <c r="C120" s="642">
        <f>IF(F120=0,0,(VLOOKUP(F120,'MTRL MSK (TPDP)'!$F$9:$W637,18,0)))</f>
        <v>0</v>
      </c>
      <c r="D120" s="642">
        <f>IF(C120=0,0,(VLOOKUP(C120,'MTRL MSK (TPDP)'!$B$9:$W637,3,0)))</f>
        <v>0</v>
      </c>
      <c r="E120" s="643" t="str">
        <f>iferror(IF(C120="","",(VLOOKUP(C120,'MTRL MSK (TPDP)'!$B$9:$W637,4,0))),"")</f>
        <v/>
      </c>
      <c r="F120" s="644">
        <f>IF(H120=0,0,(VLOOKUP(H120,'MTRL MSK (TPDP)'!$H$9:$X637,17,0)))</f>
        <v>0</v>
      </c>
      <c r="G120" s="645"/>
      <c r="H120" s="646"/>
      <c r="I120" s="446">
        <f>IF(H120=0,0,(VLOOKUP(H120,'MTRL MSK (TPDP)'!$H$9:$U637,2,0)))</f>
        <v>0</v>
      </c>
      <c r="J120" s="448" t="str">
        <f>IFERROR((IF(H120=0,0,(VLOOKUP(H120,'MTRL MSK (TPDP)'!$H$8:$U637,7,0))))/(IF(H120=0,0,(VLOOKUP(H120,'MTRL MSK (TPDP)'!$H$8:$U637,5,0)))),"")</f>
        <v/>
      </c>
      <c r="K120" s="559"/>
      <c r="L120" s="448">
        <f t="shared" si="1"/>
        <v>0</v>
      </c>
      <c r="M120" s="647">
        <f t="shared" si="2"/>
        <v>0</v>
      </c>
      <c r="N120" s="647">
        <f t="shared" si="3"/>
        <v>0</v>
      </c>
      <c r="O120" s="448">
        <f>IF(H120=0,0,(VLOOKUP(H120,'MTRL MSK (TPDP)'!$H$9:$U637,5,0)))</f>
        <v>0</v>
      </c>
      <c r="P120" s="448">
        <f t="shared" si="4"/>
        <v>0</v>
      </c>
      <c r="Q120" s="448">
        <f t="shared" si="5"/>
        <v>0</v>
      </c>
      <c r="R120" s="648" t="str">
        <f>IFERROR(IF(S120="","",(VLOOKUP(S120,'1. BQ RAPL'!$D$14:$K637,8,0))),"")</f>
        <v/>
      </c>
      <c r="S120" s="649"/>
      <c r="T120" s="650"/>
      <c r="U120" s="16"/>
      <c r="V120" s="16"/>
      <c r="W120" s="16"/>
      <c r="X120" s="119"/>
      <c r="Y120" s="119"/>
      <c r="Z120" s="119"/>
      <c r="AA120" s="119"/>
      <c r="AB120" s="119"/>
      <c r="AC120" s="119"/>
      <c r="AD120" s="119"/>
      <c r="AE120" s="119"/>
      <c r="AF120" s="119"/>
    </row>
    <row r="121" ht="18.75" customHeight="1">
      <c r="A121" s="119"/>
      <c r="B121" s="652"/>
      <c r="C121" s="642">
        <f>IF(F121=0,0,(VLOOKUP(F121,'MTRL MSK (TPDP)'!$F$9:$W637,18,0)))</f>
        <v>0</v>
      </c>
      <c r="D121" s="642">
        <f>IF(C121=0,0,(VLOOKUP(C121,'MTRL MSK (TPDP)'!$B$9:$W637,3,0)))</f>
        <v>0</v>
      </c>
      <c r="E121" s="643" t="str">
        <f>iferror(IF(C121="","",(VLOOKUP(C121,'MTRL MSK (TPDP)'!$B$9:$W637,4,0))),"")</f>
        <v/>
      </c>
      <c r="F121" s="644">
        <f>IF(H121=0,0,(VLOOKUP(H121,'MTRL MSK (TPDP)'!$H$9:$X637,17,0)))</f>
        <v>0</v>
      </c>
      <c r="G121" s="645"/>
      <c r="H121" s="646"/>
      <c r="I121" s="446">
        <f>IF(H121=0,0,(VLOOKUP(H121,'MTRL MSK (TPDP)'!$H$9:$U637,2,0)))</f>
        <v>0</v>
      </c>
      <c r="J121" s="448" t="str">
        <f>IFERROR((IF(H121=0,0,(VLOOKUP(H121,'MTRL MSK (TPDP)'!$H$8:$U637,7,0))))/(IF(H121=0,0,(VLOOKUP(H121,'MTRL MSK (TPDP)'!$H$8:$U637,5,0)))),"")</f>
        <v/>
      </c>
      <c r="K121" s="559"/>
      <c r="L121" s="448">
        <f t="shared" si="1"/>
        <v>0</v>
      </c>
      <c r="M121" s="647">
        <f t="shared" si="2"/>
        <v>0</v>
      </c>
      <c r="N121" s="647">
        <f t="shared" si="3"/>
        <v>0</v>
      </c>
      <c r="O121" s="448">
        <f>IF(H121=0,0,(VLOOKUP(H121,'MTRL MSK (TPDP)'!$H$9:$U637,5,0)))</f>
        <v>0</v>
      </c>
      <c r="P121" s="448">
        <f t="shared" si="4"/>
        <v>0</v>
      </c>
      <c r="Q121" s="448">
        <f t="shared" si="5"/>
        <v>0</v>
      </c>
      <c r="R121" s="648" t="str">
        <f>IFERROR(IF(S121="","",(VLOOKUP(S121,'1. BQ RAPL'!$D$14:$K637,8,0))),"")</f>
        <v/>
      </c>
      <c r="S121" s="649"/>
      <c r="T121" s="650"/>
      <c r="U121" s="16"/>
      <c r="V121" s="16"/>
      <c r="W121" s="16"/>
      <c r="X121" s="119"/>
      <c r="Y121" s="119"/>
      <c r="Z121" s="119"/>
      <c r="AA121" s="119"/>
      <c r="AB121" s="119"/>
      <c r="AC121" s="119"/>
      <c r="AD121" s="119"/>
      <c r="AE121" s="119"/>
      <c r="AF121" s="119"/>
    </row>
    <row r="122" ht="18.75" customHeight="1">
      <c r="A122" s="119"/>
      <c r="B122" s="652"/>
      <c r="C122" s="642">
        <f>IF(F122=0,0,(VLOOKUP(F122,'MTRL MSK (TPDP)'!$F$9:$W637,18,0)))</f>
        <v>0</v>
      </c>
      <c r="D122" s="642">
        <f>IF(C122=0,0,(VLOOKUP(C122,'MTRL MSK (TPDP)'!$B$9:$W637,3,0)))</f>
        <v>0</v>
      </c>
      <c r="E122" s="643" t="str">
        <f>iferror(IF(C122="","",(VLOOKUP(C122,'MTRL MSK (TPDP)'!$B$9:$W637,4,0))),"")</f>
        <v/>
      </c>
      <c r="F122" s="644">
        <f>IF(H122=0,0,(VLOOKUP(H122,'MTRL MSK (TPDP)'!$H$9:$X637,17,0)))</f>
        <v>0</v>
      </c>
      <c r="G122" s="645"/>
      <c r="H122" s="646"/>
      <c r="I122" s="446">
        <f>IF(H122=0,0,(VLOOKUP(H122,'MTRL MSK (TPDP)'!$H$9:$U637,2,0)))</f>
        <v>0</v>
      </c>
      <c r="J122" s="448" t="str">
        <f>IFERROR((IF(H122=0,0,(VLOOKUP(H122,'MTRL MSK (TPDP)'!$H$8:$U637,7,0))))/(IF(H122=0,0,(VLOOKUP(H122,'MTRL MSK (TPDP)'!$H$8:$U637,5,0)))),"")</f>
        <v/>
      </c>
      <c r="K122" s="559"/>
      <c r="L122" s="448">
        <f t="shared" si="1"/>
        <v>0</v>
      </c>
      <c r="M122" s="647">
        <f t="shared" si="2"/>
        <v>0</v>
      </c>
      <c r="N122" s="647">
        <f t="shared" si="3"/>
        <v>0</v>
      </c>
      <c r="O122" s="448">
        <f>IF(H122=0,0,(VLOOKUP(H122,'MTRL MSK (TPDP)'!$H$9:$U637,5,0)))</f>
        <v>0</v>
      </c>
      <c r="P122" s="448">
        <f t="shared" si="4"/>
        <v>0</v>
      </c>
      <c r="Q122" s="448">
        <f t="shared" si="5"/>
        <v>0</v>
      </c>
      <c r="R122" s="648" t="str">
        <f>IFERROR(IF(S122="","",(VLOOKUP(S122,'1. BQ RAPL'!$D$14:$K637,8,0))),"")</f>
        <v/>
      </c>
      <c r="S122" s="649"/>
      <c r="T122" s="650"/>
      <c r="U122" s="16"/>
      <c r="V122" s="16"/>
      <c r="W122" s="16"/>
      <c r="X122" s="119"/>
      <c r="Y122" s="119"/>
      <c r="Z122" s="119"/>
      <c r="AA122" s="119"/>
      <c r="AB122" s="119"/>
      <c r="AC122" s="119"/>
      <c r="AD122" s="119"/>
      <c r="AE122" s="119"/>
      <c r="AF122" s="119"/>
    </row>
    <row r="123" ht="18.75" customHeight="1">
      <c r="A123" s="119"/>
      <c r="B123" s="652"/>
      <c r="C123" s="642">
        <f>IF(F123=0,0,(VLOOKUP(F123,'MTRL MSK (TPDP)'!$F$9:$W637,18,0)))</f>
        <v>0</v>
      </c>
      <c r="D123" s="642">
        <f>IF(C123=0,0,(VLOOKUP(C123,'MTRL MSK (TPDP)'!$B$9:$W637,3,0)))</f>
        <v>0</v>
      </c>
      <c r="E123" s="643" t="str">
        <f>iferror(IF(C123="","",(VLOOKUP(C123,'MTRL MSK (TPDP)'!$B$9:$W637,4,0))),"")</f>
        <v/>
      </c>
      <c r="F123" s="644">
        <f>IF(H123=0,0,(VLOOKUP(H123,'MTRL MSK (TPDP)'!$H$9:$X637,17,0)))</f>
        <v>0</v>
      </c>
      <c r="G123" s="645"/>
      <c r="H123" s="646"/>
      <c r="I123" s="446">
        <f>IF(H123=0,0,(VLOOKUP(H123,'MTRL MSK (TPDP)'!$H$9:$U637,2,0)))</f>
        <v>0</v>
      </c>
      <c r="J123" s="448" t="str">
        <f>IFERROR((IF(H123=0,0,(VLOOKUP(H123,'MTRL MSK (TPDP)'!$H$8:$U637,7,0))))/(IF(H123=0,0,(VLOOKUP(H123,'MTRL MSK (TPDP)'!$H$8:$U637,5,0)))),"")</f>
        <v/>
      </c>
      <c r="K123" s="559"/>
      <c r="L123" s="448">
        <f t="shared" si="1"/>
        <v>0</v>
      </c>
      <c r="M123" s="647">
        <f t="shared" si="2"/>
        <v>0</v>
      </c>
      <c r="N123" s="647">
        <f t="shared" si="3"/>
        <v>0</v>
      </c>
      <c r="O123" s="448">
        <f>IF(H123=0,0,(VLOOKUP(H123,'MTRL MSK (TPDP)'!$H$9:$U637,5,0)))</f>
        <v>0</v>
      </c>
      <c r="P123" s="448">
        <f t="shared" si="4"/>
        <v>0</v>
      </c>
      <c r="Q123" s="448">
        <f t="shared" si="5"/>
        <v>0</v>
      </c>
      <c r="R123" s="648" t="str">
        <f>IFERROR(IF(S123="","",(VLOOKUP(S123,'1. BQ RAPL'!$D$14:$K637,8,0))),"")</f>
        <v/>
      </c>
      <c r="S123" s="649"/>
      <c r="T123" s="650"/>
      <c r="U123" s="16"/>
      <c r="V123" s="16"/>
      <c r="W123" s="16"/>
      <c r="X123" s="119"/>
      <c r="Y123" s="119"/>
      <c r="Z123" s="119"/>
      <c r="AA123" s="119"/>
      <c r="AB123" s="119"/>
      <c r="AC123" s="119"/>
      <c r="AD123" s="119"/>
      <c r="AE123" s="119"/>
      <c r="AF123" s="119"/>
    </row>
    <row r="124" ht="18.75" customHeight="1">
      <c r="A124" s="119"/>
      <c r="B124" s="652"/>
      <c r="C124" s="642">
        <f>IF(F124=0,0,(VLOOKUP(F124,'MTRL MSK (TPDP)'!$F$9:$W637,18,0)))</f>
        <v>0</v>
      </c>
      <c r="D124" s="642">
        <f>IF(C124=0,0,(VLOOKUP(C124,'MTRL MSK (TPDP)'!$B$9:$W637,3,0)))</f>
        <v>0</v>
      </c>
      <c r="E124" s="643" t="str">
        <f>iferror(IF(C124="","",(VLOOKUP(C124,'MTRL MSK (TPDP)'!$B$9:$W637,4,0))),"")</f>
        <v/>
      </c>
      <c r="F124" s="644">
        <f>IF(H124=0,0,(VLOOKUP(H124,'MTRL MSK (TPDP)'!$H$9:$X637,17,0)))</f>
        <v>0</v>
      </c>
      <c r="G124" s="645"/>
      <c r="H124" s="646"/>
      <c r="I124" s="446">
        <f>IF(H124=0,0,(VLOOKUP(H124,'MTRL MSK (TPDP)'!$H$9:$U637,2,0)))</f>
        <v>0</v>
      </c>
      <c r="J124" s="448" t="str">
        <f>IFERROR((IF(H124=0,0,(VLOOKUP(H124,'MTRL MSK (TPDP)'!$H$8:$U637,7,0))))/(IF(H124=0,0,(VLOOKUP(H124,'MTRL MSK (TPDP)'!$H$8:$U637,5,0)))),"")</f>
        <v/>
      </c>
      <c r="K124" s="559"/>
      <c r="L124" s="448">
        <f t="shared" si="1"/>
        <v>0</v>
      </c>
      <c r="M124" s="647">
        <f t="shared" si="2"/>
        <v>0</v>
      </c>
      <c r="N124" s="647">
        <f t="shared" si="3"/>
        <v>0</v>
      </c>
      <c r="O124" s="448">
        <f>IF(H124=0,0,(VLOOKUP(H124,'MTRL MSK (TPDP)'!$H$9:$U637,5,0)))</f>
        <v>0</v>
      </c>
      <c r="P124" s="448">
        <f t="shared" si="4"/>
        <v>0</v>
      </c>
      <c r="Q124" s="448">
        <f t="shared" si="5"/>
        <v>0</v>
      </c>
      <c r="R124" s="648" t="str">
        <f>IFERROR(IF(S124="","",(VLOOKUP(S124,'1. BQ RAPL'!$D$14:$K637,8,0))),"")</f>
        <v/>
      </c>
      <c r="S124" s="649"/>
      <c r="T124" s="650"/>
      <c r="U124" s="16"/>
      <c r="V124" s="16"/>
      <c r="W124" s="16"/>
      <c r="X124" s="119"/>
      <c r="Y124" s="119"/>
      <c r="Z124" s="119"/>
      <c r="AA124" s="119"/>
      <c r="AB124" s="119"/>
      <c r="AC124" s="119"/>
      <c r="AD124" s="119"/>
      <c r="AE124" s="119"/>
      <c r="AF124" s="119"/>
    </row>
    <row r="125" ht="18.75" customHeight="1">
      <c r="A125" s="119"/>
      <c r="B125" s="652"/>
      <c r="C125" s="642">
        <f>IF(F125=0,0,(VLOOKUP(F125,'MTRL MSK (TPDP)'!$F$9:$W637,18,0)))</f>
        <v>0</v>
      </c>
      <c r="D125" s="642">
        <f>IF(C125=0,0,(VLOOKUP(C125,'MTRL MSK (TPDP)'!$B$9:$W637,3,0)))</f>
        <v>0</v>
      </c>
      <c r="E125" s="643" t="str">
        <f>iferror(IF(C125="","",(VLOOKUP(C125,'MTRL MSK (TPDP)'!$B$9:$W637,4,0))),"")</f>
        <v/>
      </c>
      <c r="F125" s="644">
        <f>IF(H125=0,0,(VLOOKUP(H125,'MTRL MSK (TPDP)'!$H$9:$X637,17,0)))</f>
        <v>0</v>
      </c>
      <c r="G125" s="645"/>
      <c r="H125" s="646"/>
      <c r="I125" s="446">
        <f>IF(H125=0,0,(VLOOKUP(H125,'MTRL MSK (TPDP)'!$H$9:$U637,2,0)))</f>
        <v>0</v>
      </c>
      <c r="J125" s="448" t="str">
        <f>IFERROR((IF(H125=0,0,(VLOOKUP(H125,'MTRL MSK (TPDP)'!$H$8:$U637,7,0))))/(IF(H125=0,0,(VLOOKUP(H125,'MTRL MSK (TPDP)'!$H$8:$U637,5,0)))),"")</f>
        <v/>
      </c>
      <c r="K125" s="559"/>
      <c r="L125" s="448">
        <f t="shared" si="1"/>
        <v>0</v>
      </c>
      <c r="M125" s="647">
        <f t="shared" si="2"/>
        <v>0</v>
      </c>
      <c r="N125" s="647">
        <f t="shared" si="3"/>
        <v>0</v>
      </c>
      <c r="O125" s="448">
        <f>IF(H125=0,0,(VLOOKUP(H125,'MTRL MSK (TPDP)'!$H$9:$U637,5,0)))</f>
        <v>0</v>
      </c>
      <c r="P125" s="448">
        <f t="shared" si="4"/>
        <v>0</v>
      </c>
      <c r="Q125" s="448">
        <f t="shared" si="5"/>
        <v>0</v>
      </c>
      <c r="R125" s="648" t="str">
        <f>IFERROR(IF(S125="","",(VLOOKUP(S125,'1. BQ RAPL'!$D$14:$K637,8,0))),"")</f>
        <v/>
      </c>
      <c r="S125" s="649"/>
      <c r="T125" s="650"/>
      <c r="U125" s="16"/>
      <c r="V125" s="16"/>
      <c r="W125" s="16"/>
      <c r="X125" s="119"/>
      <c r="Y125" s="119"/>
      <c r="Z125" s="119"/>
      <c r="AA125" s="119"/>
      <c r="AB125" s="119"/>
      <c r="AC125" s="119"/>
      <c r="AD125" s="119"/>
      <c r="AE125" s="119"/>
      <c r="AF125" s="119"/>
    </row>
    <row r="126" ht="18.75" customHeight="1">
      <c r="A126" s="119"/>
      <c r="B126" s="652"/>
      <c r="C126" s="642">
        <f>IF(F126=0,0,(VLOOKUP(F126,'MTRL MSK (TPDP)'!$F$9:$W637,18,0)))</f>
        <v>0</v>
      </c>
      <c r="D126" s="642">
        <f>IF(C126=0,0,(VLOOKUP(C126,'MTRL MSK (TPDP)'!$B$9:$W637,3,0)))</f>
        <v>0</v>
      </c>
      <c r="E126" s="643" t="str">
        <f>iferror(IF(C126="","",(VLOOKUP(C126,'MTRL MSK (TPDP)'!$B$9:$W637,4,0))),"")</f>
        <v/>
      </c>
      <c r="F126" s="644">
        <f>IF(H126=0,0,(VLOOKUP(H126,'MTRL MSK (TPDP)'!$H$9:$X637,17,0)))</f>
        <v>0</v>
      </c>
      <c r="G126" s="645"/>
      <c r="H126" s="646"/>
      <c r="I126" s="446">
        <f>IF(H126=0,0,(VLOOKUP(H126,'MTRL MSK (TPDP)'!$H$9:$U637,2,0)))</f>
        <v>0</v>
      </c>
      <c r="J126" s="448" t="str">
        <f>IFERROR((IF(H126=0,0,(VLOOKUP(H126,'MTRL MSK (TPDP)'!$H$8:$U637,7,0))))/(IF(H126=0,0,(VLOOKUP(H126,'MTRL MSK (TPDP)'!$H$8:$U637,5,0)))),"")</f>
        <v/>
      </c>
      <c r="K126" s="559"/>
      <c r="L126" s="448">
        <f t="shared" si="1"/>
        <v>0</v>
      </c>
      <c r="M126" s="647">
        <f t="shared" si="2"/>
        <v>0</v>
      </c>
      <c r="N126" s="647">
        <f t="shared" si="3"/>
        <v>0</v>
      </c>
      <c r="O126" s="448">
        <f>IF(H126=0,0,(VLOOKUP(H126,'MTRL MSK (TPDP)'!$H$9:$U637,5,0)))</f>
        <v>0</v>
      </c>
      <c r="P126" s="448">
        <f t="shared" si="4"/>
        <v>0</v>
      </c>
      <c r="Q126" s="448">
        <f t="shared" si="5"/>
        <v>0</v>
      </c>
      <c r="R126" s="648" t="str">
        <f>IFERROR(IF(S126="","",(VLOOKUP(S126,'1. BQ RAPL'!$D$14:$K637,8,0))),"")</f>
        <v/>
      </c>
      <c r="S126" s="649"/>
      <c r="T126" s="650"/>
      <c r="U126" s="16"/>
      <c r="V126" s="16"/>
      <c r="W126" s="16"/>
      <c r="X126" s="119"/>
      <c r="Y126" s="119"/>
      <c r="Z126" s="119"/>
      <c r="AA126" s="119"/>
      <c r="AB126" s="119"/>
      <c r="AC126" s="119"/>
      <c r="AD126" s="119"/>
      <c r="AE126" s="119"/>
      <c r="AF126" s="119"/>
    </row>
    <row r="127" ht="18.75" customHeight="1">
      <c r="A127" s="119"/>
      <c r="B127" s="652"/>
      <c r="C127" s="642">
        <f>IF(F127=0,0,(VLOOKUP(F127,'MTRL MSK (TPDP)'!$F$9:$W637,18,0)))</f>
        <v>0</v>
      </c>
      <c r="D127" s="642">
        <f>IF(C127=0,0,(VLOOKUP(C127,'MTRL MSK (TPDP)'!$B$9:$W637,3,0)))</f>
        <v>0</v>
      </c>
      <c r="E127" s="643" t="str">
        <f>iferror(IF(C127="","",(VLOOKUP(C127,'MTRL MSK (TPDP)'!$B$9:$W637,4,0))),"")</f>
        <v/>
      </c>
      <c r="F127" s="644">
        <f>IF(H127=0,0,(VLOOKUP(H127,'MTRL MSK (TPDP)'!$H$9:$X637,17,0)))</f>
        <v>0</v>
      </c>
      <c r="G127" s="645"/>
      <c r="H127" s="646"/>
      <c r="I127" s="446">
        <f>IF(H127=0,0,(VLOOKUP(H127,'MTRL MSK (TPDP)'!$H$9:$U637,2,0)))</f>
        <v>0</v>
      </c>
      <c r="J127" s="448" t="str">
        <f>IFERROR((IF(H127=0,0,(VLOOKUP(H127,'MTRL MSK (TPDP)'!$H$8:$U637,7,0))))/(IF(H127=0,0,(VLOOKUP(H127,'MTRL MSK (TPDP)'!$H$8:$U637,5,0)))),"")</f>
        <v/>
      </c>
      <c r="K127" s="559"/>
      <c r="L127" s="448">
        <f t="shared" si="1"/>
        <v>0</v>
      </c>
      <c r="M127" s="647">
        <f t="shared" si="2"/>
        <v>0</v>
      </c>
      <c r="N127" s="647">
        <f t="shared" si="3"/>
        <v>0</v>
      </c>
      <c r="O127" s="448">
        <f>IF(H127=0,0,(VLOOKUP(H127,'MTRL MSK (TPDP)'!$H$9:$U637,5,0)))</f>
        <v>0</v>
      </c>
      <c r="P127" s="448">
        <f t="shared" si="4"/>
        <v>0</v>
      </c>
      <c r="Q127" s="448">
        <f t="shared" si="5"/>
        <v>0</v>
      </c>
      <c r="R127" s="648" t="str">
        <f>IFERROR(IF(S127="","",(VLOOKUP(S127,'1. BQ RAPL'!$D$14:$K637,8,0))),"")</f>
        <v/>
      </c>
      <c r="S127" s="649"/>
      <c r="T127" s="650"/>
      <c r="U127" s="16"/>
      <c r="V127" s="16"/>
      <c r="W127" s="16"/>
      <c r="X127" s="119"/>
      <c r="Y127" s="119"/>
      <c r="Z127" s="119"/>
      <c r="AA127" s="119"/>
      <c r="AB127" s="119"/>
      <c r="AC127" s="119"/>
      <c r="AD127" s="119"/>
      <c r="AE127" s="119"/>
      <c r="AF127" s="119"/>
    </row>
    <row r="128" ht="18.75" customHeight="1">
      <c r="A128" s="119"/>
      <c r="B128" s="652"/>
      <c r="C128" s="642">
        <f>IF(F128=0,0,(VLOOKUP(F128,'MTRL MSK (TPDP)'!$F$9:$W637,18,0)))</f>
        <v>0</v>
      </c>
      <c r="D128" s="642">
        <f>IF(C128=0,0,(VLOOKUP(C128,'MTRL MSK (TPDP)'!$B$9:$W637,3,0)))</f>
        <v>0</v>
      </c>
      <c r="E128" s="643" t="str">
        <f>iferror(IF(C128="","",(VLOOKUP(C128,'MTRL MSK (TPDP)'!$B$9:$W637,4,0))),"")</f>
        <v/>
      </c>
      <c r="F128" s="644">
        <f>IF(H128=0,0,(VLOOKUP(H128,'MTRL MSK (TPDP)'!$H$9:$X637,17,0)))</f>
        <v>0</v>
      </c>
      <c r="G128" s="645"/>
      <c r="H128" s="646"/>
      <c r="I128" s="446">
        <f>IF(H128=0,0,(VLOOKUP(H128,'MTRL MSK (TPDP)'!$H$9:$U637,2,0)))</f>
        <v>0</v>
      </c>
      <c r="J128" s="448" t="str">
        <f>IFERROR((IF(H128=0,0,(VLOOKUP(H128,'MTRL MSK (TPDP)'!$H$8:$U637,7,0))))/(IF(H128=0,0,(VLOOKUP(H128,'MTRL MSK (TPDP)'!$H$8:$U637,5,0)))),"")</f>
        <v/>
      </c>
      <c r="K128" s="559"/>
      <c r="L128" s="448">
        <f t="shared" si="1"/>
        <v>0</v>
      </c>
      <c r="M128" s="647">
        <f t="shared" si="2"/>
        <v>0</v>
      </c>
      <c r="N128" s="647">
        <f t="shared" si="3"/>
        <v>0</v>
      </c>
      <c r="O128" s="448">
        <f>IF(H128=0,0,(VLOOKUP(H128,'MTRL MSK (TPDP)'!$H$9:$U637,5,0)))</f>
        <v>0</v>
      </c>
      <c r="P128" s="448">
        <f t="shared" si="4"/>
        <v>0</v>
      </c>
      <c r="Q128" s="448">
        <f t="shared" si="5"/>
        <v>0</v>
      </c>
      <c r="R128" s="648" t="str">
        <f>IFERROR(IF(S128="","",(VLOOKUP(S128,'1. BQ RAPL'!$D$14:$K637,8,0))),"")</f>
        <v/>
      </c>
      <c r="S128" s="649"/>
      <c r="T128" s="650"/>
      <c r="U128" s="16"/>
      <c r="V128" s="16"/>
      <c r="W128" s="16"/>
      <c r="X128" s="119"/>
      <c r="Y128" s="119"/>
      <c r="Z128" s="119"/>
      <c r="AA128" s="119"/>
      <c r="AB128" s="119"/>
      <c r="AC128" s="119"/>
      <c r="AD128" s="119"/>
      <c r="AE128" s="119"/>
      <c r="AF128" s="119"/>
    </row>
    <row r="129" ht="18.75" customHeight="1">
      <c r="A129" s="119"/>
      <c r="B129" s="652"/>
      <c r="C129" s="642">
        <f>IF(F129=0,0,(VLOOKUP(F129,'MTRL MSK (TPDP)'!$F$9:$W637,18,0)))</f>
        <v>0</v>
      </c>
      <c r="D129" s="642">
        <f>IF(C129=0,0,(VLOOKUP(C129,'MTRL MSK (TPDP)'!$B$9:$W637,3,0)))</f>
        <v>0</v>
      </c>
      <c r="E129" s="643" t="str">
        <f>iferror(IF(C129="","",(VLOOKUP(C129,'MTRL MSK (TPDP)'!$B$9:$W637,4,0))),"")</f>
        <v/>
      </c>
      <c r="F129" s="644">
        <f>IF(H129=0,0,(VLOOKUP(H129,'MTRL MSK (TPDP)'!$H$9:$X637,17,0)))</f>
        <v>0</v>
      </c>
      <c r="G129" s="645"/>
      <c r="H129" s="646"/>
      <c r="I129" s="446">
        <f>IF(H129=0,0,(VLOOKUP(H129,'MTRL MSK (TPDP)'!$H$9:$U637,2,0)))</f>
        <v>0</v>
      </c>
      <c r="J129" s="448" t="str">
        <f>IFERROR((IF(H129=0,0,(VLOOKUP(H129,'MTRL MSK (TPDP)'!$H$8:$U637,7,0))))/(IF(H129=0,0,(VLOOKUP(H129,'MTRL MSK (TPDP)'!$H$8:$U637,5,0)))),"")</f>
        <v/>
      </c>
      <c r="K129" s="559"/>
      <c r="L129" s="448">
        <f t="shared" si="1"/>
        <v>0</v>
      </c>
      <c r="M129" s="647">
        <f t="shared" si="2"/>
        <v>0</v>
      </c>
      <c r="N129" s="647">
        <f t="shared" si="3"/>
        <v>0</v>
      </c>
      <c r="O129" s="448">
        <f>IF(H129=0,0,(VLOOKUP(H129,'MTRL MSK (TPDP)'!$H$9:$U637,5,0)))</f>
        <v>0</v>
      </c>
      <c r="P129" s="448">
        <f t="shared" si="4"/>
        <v>0</v>
      </c>
      <c r="Q129" s="448">
        <f t="shared" si="5"/>
        <v>0</v>
      </c>
      <c r="R129" s="648" t="str">
        <f>IFERROR(IF(S129="","",(VLOOKUP(S129,'1. BQ RAPL'!$D$14:$K637,8,0))),"")</f>
        <v/>
      </c>
      <c r="S129" s="649"/>
      <c r="T129" s="650"/>
      <c r="U129" s="16"/>
      <c r="V129" s="16"/>
      <c r="W129" s="16"/>
      <c r="X129" s="119"/>
      <c r="Y129" s="119"/>
      <c r="Z129" s="119"/>
      <c r="AA129" s="119"/>
      <c r="AB129" s="119"/>
      <c r="AC129" s="119"/>
      <c r="AD129" s="119"/>
      <c r="AE129" s="119"/>
      <c r="AF129" s="119"/>
    </row>
    <row r="130" ht="18.75" customHeight="1">
      <c r="A130" s="119"/>
      <c r="B130" s="652"/>
      <c r="C130" s="642">
        <f>IF(F130=0,0,(VLOOKUP(F130,'MTRL MSK (TPDP)'!$F$9:$W637,18,0)))</f>
        <v>0</v>
      </c>
      <c r="D130" s="642">
        <f>IF(C130=0,0,(VLOOKUP(C130,'MTRL MSK (TPDP)'!$B$9:$W637,3,0)))</f>
        <v>0</v>
      </c>
      <c r="E130" s="643" t="str">
        <f>iferror(IF(C130="","",(VLOOKUP(C130,'MTRL MSK (TPDP)'!$B$9:$W637,4,0))),"")</f>
        <v/>
      </c>
      <c r="F130" s="644">
        <f>IF(H130=0,0,(VLOOKUP(H130,'MTRL MSK (TPDP)'!$H$9:$X637,17,0)))</f>
        <v>0</v>
      </c>
      <c r="G130" s="645"/>
      <c r="H130" s="646"/>
      <c r="I130" s="446">
        <f>IF(H130=0,0,(VLOOKUP(H130,'MTRL MSK (TPDP)'!$H$9:$U637,2,0)))</f>
        <v>0</v>
      </c>
      <c r="J130" s="448" t="str">
        <f>IFERROR((IF(H130=0,0,(VLOOKUP(H130,'MTRL MSK (TPDP)'!$H$8:$U637,7,0))))/(IF(H130=0,0,(VLOOKUP(H130,'MTRL MSK (TPDP)'!$H$8:$U637,5,0)))),"")</f>
        <v/>
      </c>
      <c r="K130" s="559"/>
      <c r="L130" s="448">
        <f t="shared" si="1"/>
        <v>0</v>
      </c>
      <c r="M130" s="647">
        <f t="shared" si="2"/>
        <v>0</v>
      </c>
      <c r="N130" s="647">
        <f t="shared" si="3"/>
        <v>0</v>
      </c>
      <c r="O130" s="448">
        <f>IF(H130=0,0,(VLOOKUP(H130,'MTRL MSK (TPDP)'!$H$9:$U637,5,0)))</f>
        <v>0</v>
      </c>
      <c r="P130" s="448">
        <f t="shared" si="4"/>
        <v>0</v>
      </c>
      <c r="Q130" s="448">
        <f t="shared" si="5"/>
        <v>0</v>
      </c>
      <c r="R130" s="648" t="str">
        <f>IFERROR(IF(S130="","",(VLOOKUP(S130,'1. BQ RAPL'!$D$14:$K637,8,0))),"")</f>
        <v/>
      </c>
      <c r="S130" s="649"/>
      <c r="T130" s="650"/>
      <c r="U130" s="16"/>
      <c r="V130" s="16"/>
      <c r="W130" s="16"/>
      <c r="X130" s="119"/>
      <c r="Y130" s="119"/>
      <c r="Z130" s="119"/>
      <c r="AA130" s="119"/>
      <c r="AB130" s="119"/>
      <c r="AC130" s="119"/>
      <c r="AD130" s="119"/>
      <c r="AE130" s="119"/>
      <c r="AF130" s="119"/>
    </row>
    <row r="131" ht="18.75" customHeight="1">
      <c r="A131" s="119"/>
      <c r="B131" s="652"/>
      <c r="C131" s="642">
        <f>IF(F131=0,0,(VLOOKUP(F131,'MTRL MSK (TPDP)'!$F$9:$W637,18,0)))</f>
        <v>0</v>
      </c>
      <c r="D131" s="642">
        <f>IF(C131=0,0,(VLOOKUP(C131,'MTRL MSK (TPDP)'!$B$9:$W637,3,0)))</f>
        <v>0</v>
      </c>
      <c r="E131" s="643" t="str">
        <f>iferror(IF(C131="","",(VLOOKUP(C131,'MTRL MSK (TPDP)'!$B$9:$W637,4,0))),"")</f>
        <v/>
      </c>
      <c r="F131" s="644">
        <f>IF(H131=0,0,(VLOOKUP(H131,'MTRL MSK (TPDP)'!$H$9:$X637,17,0)))</f>
        <v>0</v>
      </c>
      <c r="G131" s="645"/>
      <c r="H131" s="646"/>
      <c r="I131" s="446">
        <f>IF(H131=0,0,(VLOOKUP(H131,'MTRL MSK (TPDP)'!$H$9:$U637,2,0)))</f>
        <v>0</v>
      </c>
      <c r="J131" s="448" t="str">
        <f>IFERROR((IF(H131=0,0,(VLOOKUP(H131,'MTRL MSK (TPDP)'!$H$8:$U637,7,0))))/(IF(H131=0,0,(VLOOKUP(H131,'MTRL MSK (TPDP)'!$H$8:$U637,5,0)))),"")</f>
        <v/>
      </c>
      <c r="K131" s="559"/>
      <c r="L131" s="448">
        <f t="shared" si="1"/>
        <v>0</v>
      </c>
      <c r="M131" s="647">
        <f t="shared" si="2"/>
        <v>0</v>
      </c>
      <c r="N131" s="647">
        <f t="shared" si="3"/>
        <v>0</v>
      </c>
      <c r="O131" s="448">
        <f>IF(H131=0,0,(VLOOKUP(H131,'MTRL MSK (TPDP)'!$H$9:$U637,5,0)))</f>
        <v>0</v>
      </c>
      <c r="P131" s="448">
        <f t="shared" si="4"/>
        <v>0</v>
      </c>
      <c r="Q131" s="448">
        <f t="shared" si="5"/>
        <v>0</v>
      </c>
      <c r="R131" s="648" t="str">
        <f>IFERROR(IF(S131="","",(VLOOKUP(S131,'1. BQ RAPL'!$D$14:$K637,8,0))),"")</f>
        <v/>
      </c>
      <c r="S131" s="649"/>
      <c r="T131" s="650"/>
      <c r="U131" s="16"/>
      <c r="V131" s="16"/>
      <c r="W131" s="16"/>
      <c r="X131" s="119"/>
      <c r="Y131" s="119"/>
      <c r="Z131" s="119"/>
      <c r="AA131" s="119"/>
      <c r="AB131" s="119"/>
      <c r="AC131" s="119"/>
      <c r="AD131" s="119"/>
      <c r="AE131" s="119"/>
      <c r="AF131" s="119"/>
    </row>
    <row r="132" ht="18.75" customHeight="1">
      <c r="A132" s="119"/>
      <c r="B132" s="652"/>
      <c r="C132" s="642">
        <f>IF(F132=0,0,(VLOOKUP(F132,'MTRL MSK (TPDP)'!$F$9:$W637,18,0)))</f>
        <v>0</v>
      </c>
      <c r="D132" s="642">
        <f>IF(C132=0,0,(VLOOKUP(C132,'MTRL MSK (TPDP)'!$B$9:$W637,3,0)))</f>
        <v>0</v>
      </c>
      <c r="E132" s="643" t="str">
        <f>iferror(IF(C132="","",(VLOOKUP(C132,'MTRL MSK (TPDP)'!$B$9:$W637,4,0))),"")</f>
        <v/>
      </c>
      <c r="F132" s="644">
        <f>IF(H132=0,0,(VLOOKUP(H132,'MTRL MSK (TPDP)'!$H$9:$X637,17,0)))</f>
        <v>0</v>
      </c>
      <c r="G132" s="645"/>
      <c r="H132" s="646"/>
      <c r="I132" s="446">
        <f>IF(H132=0,0,(VLOOKUP(H132,'MTRL MSK (TPDP)'!$H$9:$U637,2,0)))</f>
        <v>0</v>
      </c>
      <c r="J132" s="448" t="str">
        <f>IFERROR((IF(H132=0,0,(VLOOKUP(H132,'MTRL MSK (TPDP)'!$H$8:$U637,7,0))))/(IF(H132=0,0,(VLOOKUP(H132,'MTRL MSK (TPDP)'!$H$8:$U637,5,0)))),"")</f>
        <v/>
      </c>
      <c r="K132" s="559"/>
      <c r="L132" s="448">
        <f t="shared" si="1"/>
        <v>0</v>
      </c>
      <c r="M132" s="647">
        <f t="shared" si="2"/>
        <v>0</v>
      </c>
      <c r="N132" s="647">
        <f t="shared" si="3"/>
        <v>0</v>
      </c>
      <c r="O132" s="448">
        <f>IF(H132=0,0,(VLOOKUP(H132,'MTRL MSK (TPDP)'!$H$9:$U637,5,0)))</f>
        <v>0</v>
      </c>
      <c r="P132" s="448">
        <f t="shared" si="4"/>
        <v>0</v>
      </c>
      <c r="Q132" s="448">
        <f t="shared" si="5"/>
        <v>0</v>
      </c>
      <c r="R132" s="648" t="str">
        <f>IFERROR(IF(S132="","",(VLOOKUP(S132,'1. BQ RAPL'!$D$14:$K637,8,0))),"")</f>
        <v/>
      </c>
      <c r="S132" s="649"/>
      <c r="T132" s="650"/>
      <c r="U132" s="16"/>
      <c r="V132" s="16"/>
      <c r="W132" s="16"/>
      <c r="X132" s="119"/>
      <c r="Y132" s="119"/>
      <c r="Z132" s="119"/>
      <c r="AA132" s="119"/>
      <c r="AB132" s="119"/>
      <c r="AC132" s="119"/>
      <c r="AD132" s="119"/>
      <c r="AE132" s="119"/>
      <c r="AF132" s="119"/>
    </row>
    <row r="133" ht="18.75" customHeight="1">
      <c r="A133" s="119"/>
      <c r="B133" s="652"/>
      <c r="C133" s="642">
        <f>IF(F133=0,0,(VLOOKUP(F133,'MTRL MSK (TPDP)'!$F$9:$W637,18,0)))</f>
        <v>0</v>
      </c>
      <c r="D133" s="642">
        <f>IF(C133=0,0,(VLOOKUP(C133,'MTRL MSK (TPDP)'!$B$9:$W637,3,0)))</f>
        <v>0</v>
      </c>
      <c r="E133" s="643" t="str">
        <f>iferror(IF(C133="","",(VLOOKUP(C133,'MTRL MSK (TPDP)'!$B$9:$W637,4,0))),"")</f>
        <v/>
      </c>
      <c r="F133" s="644">
        <f>IF(H133=0,0,(VLOOKUP(H133,'MTRL MSK (TPDP)'!$H$9:$X637,17,0)))</f>
        <v>0</v>
      </c>
      <c r="G133" s="645"/>
      <c r="H133" s="646"/>
      <c r="I133" s="446">
        <f>IF(H133=0,0,(VLOOKUP(H133,'MTRL MSK (TPDP)'!$H$9:$U637,2,0)))</f>
        <v>0</v>
      </c>
      <c r="J133" s="448" t="str">
        <f>IFERROR((IF(H133=0,0,(VLOOKUP(H133,'MTRL MSK (TPDP)'!$H$8:$U637,7,0))))/(IF(H133=0,0,(VLOOKUP(H133,'MTRL MSK (TPDP)'!$H$8:$U637,5,0)))),"")</f>
        <v/>
      </c>
      <c r="K133" s="559"/>
      <c r="L133" s="448">
        <f t="shared" si="1"/>
        <v>0</v>
      </c>
      <c r="M133" s="647">
        <f t="shared" si="2"/>
        <v>0</v>
      </c>
      <c r="N133" s="647">
        <f t="shared" si="3"/>
        <v>0</v>
      </c>
      <c r="O133" s="448">
        <f>IF(H133=0,0,(VLOOKUP(H133,'MTRL MSK (TPDP)'!$H$9:$U637,5,0)))</f>
        <v>0</v>
      </c>
      <c r="P133" s="448">
        <f t="shared" si="4"/>
        <v>0</v>
      </c>
      <c r="Q133" s="448">
        <f t="shared" si="5"/>
        <v>0</v>
      </c>
      <c r="R133" s="648" t="str">
        <f>IFERROR(IF(S133="","",(VLOOKUP(S133,'1. BQ RAPL'!$D$14:$K637,8,0))),"")</f>
        <v/>
      </c>
      <c r="S133" s="649"/>
      <c r="T133" s="650"/>
      <c r="U133" s="16"/>
      <c r="V133" s="16"/>
      <c r="W133" s="16"/>
      <c r="X133" s="119"/>
      <c r="Y133" s="119"/>
      <c r="Z133" s="119"/>
      <c r="AA133" s="119"/>
      <c r="AB133" s="119"/>
      <c r="AC133" s="119"/>
      <c r="AD133" s="119"/>
      <c r="AE133" s="119"/>
      <c r="AF133" s="119"/>
    </row>
    <row r="134" ht="18.75" customHeight="1">
      <c r="A134" s="119"/>
      <c r="B134" s="652"/>
      <c r="C134" s="642">
        <f>IF(F134=0,0,(VLOOKUP(F134,'MTRL MSK (TPDP)'!$F$9:$W637,18,0)))</f>
        <v>0</v>
      </c>
      <c r="D134" s="642">
        <f>IF(C134=0,0,(VLOOKUP(C134,'MTRL MSK (TPDP)'!$B$9:$W637,3,0)))</f>
        <v>0</v>
      </c>
      <c r="E134" s="643" t="str">
        <f>iferror(IF(C134="","",(VLOOKUP(C134,'MTRL MSK (TPDP)'!$B$9:$W637,4,0))),"")</f>
        <v/>
      </c>
      <c r="F134" s="644">
        <f>IF(H134=0,0,(VLOOKUP(H134,'MTRL MSK (TPDP)'!$H$9:$X637,17,0)))</f>
        <v>0</v>
      </c>
      <c r="G134" s="645"/>
      <c r="H134" s="646"/>
      <c r="I134" s="446">
        <f>IF(H134=0,0,(VLOOKUP(H134,'MTRL MSK (TPDP)'!$H$9:$U637,2,0)))</f>
        <v>0</v>
      </c>
      <c r="J134" s="448" t="str">
        <f>IFERROR((IF(H134=0,0,(VLOOKUP(H134,'MTRL MSK (TPDP)'!$H$8:$U637,7,0))))/(IF(H134=0,0,(VLOOKUP(H134,'MTRL MSK (TPDP)'!$H$8:$U637,5,0)))),"")</f>
        <v/>
      </c>
      <c r="K134" s="559"/>
      <c r="L134" s="448">
        <f t="shared" si="1"/>
        <v>0</v>
      </c>
      <c r="M134" s="647">
        <f t="shared" si="2"/>
        <v>0</v>
      </c>
      <c r="N134" s="647">
        <f t="shared" si="3"/>
        <v>0</v>
      </c>
      <c r="O134" s="448">
        <f>IF(H134=0,0,(VLOOKUP(H134,'MTRL MSK (TPDP)'!$H$9:$U637,5,0)))</f>
        <v>0</v>
      </c>
      <c r="P134" s="448">
        <f t="shared" si="4"/>
        <v>0</v>
      </c>
      <c r="Q134" s="448">
        <f t="shared" si="5"/>
        <v>0</v>
      </c>
      <c r="R134" s="648" t="str">
        <f>IFERROR(IF(S134="","",(VLOOKUP(S134,'1. BQ RAPL'!$D$14:$K637,8,0))),"")</f>
        <v/>
      </c>
      <c r="S134" s="649"/>
      <c r="T134" s="650"/>
      <c r="U134" s="16"/>
      <c r="V134" s="16"/>
      <c r="W134" s="16"/>
      <c r="X134" s="119"/>
      <c r="Y134" s="119"/>
      <c r="Z134" s="119"/>
      <c r="AA134" s="119"/>
      <c r="AB134" s="119"/>
      <c r="AC134" s="119"/>
      <c r="AD134" s="119"/>
      <c r="AE134" s="119"/>
      <c r="AF134" s="119"/>
    </row>
    <row r="135" ht="18.75" customHeight="1">
      <c r="A135" s="119"/>
      <c r="B135" s="652"/>
      <c r="C135" s="642">
        <f>IF(F135=0,0,(VLOOKUP(F135,'MTRL MSK (TPDP)'!$F$9:$W637,18,0)))</f>
        <v>0</v>
      </c>
      <c r="D135" s="642">
        <f>IF(C135=0,0,(VLOOKUP(C135,'MTRL MSK (TPDP)'!$B$9:$W637,3,0)))</f>
        <v>0</v>
      </c>
      <c r="E135" s="643" t="str">
        <f>iferror(IF(C135="","",(VLOOKUP(C135,'MTRL MSK (TPDP)'!$B$9:$W637,4,0))),"")</f>
        <v/>
      </c>
      <c r="F135" s="644">
        <f>IF(H135=0,0,(VLOOKUP(H135,'MTRL MSK (TPDP)'!$H$9:$X637,17,0)))</f>
        <v>0</v>
      </c>
      <c r="G135" s="645"/>
      <c r="H135" s="646"/>
      <c r="I135" s="446">
        <f>IF(H135=0,0,(VLOOKUP(H135,'MTRL MSK (TPDP)'!$H$9:$U637,2,0)))</f>
        <v>0</v>
      </c>
      <c r="J135" s="448" t="str">
        <f>IFERROR((IF(H135=0,0,(VLOOKUP(H135,'MTRL MSK (TPDP)'!$H$8:$U637,7,0))))/(IF(H135=0,0,(VLOOKUP(H135,'MTRL MSK (TPDP)'!$H$8:$U637,5,0)))),"")</f>
        <v/>
      </c>
      <c r="K135" s="559"/>
      <c r="L135" s="448">
        <f t="shared" si="1"/>
        <v>0</v>
      </c>
      <c r="M135" s="647">
        <f t="shared" si="2"/>
        <v>0</v>
      </c>
      <c r="N135" s="647">
        <f t="shared" si="3"/>
        <v>0</v>
      </c>
      <c r="O135" s="448">
        <f>IF(H135=0,0,(VLOOKUP(H135,'MTRL MSK (TPDP)'!$H$9:$U637,5,0)))</f>
        <v>0</v>
      </c>
      <c r="P135" s="448">
        <f t="shared" si="4"/>
        <v>0</v>
      </c>
      <c r="Q135" s="448">
        <f t="shared" si="5"/>
        <v>0</v>
      </c>
      <c r="R135" s="648" t="str">
        <f>IFERROR(IF(S135="","",(VLOOKUP(S135,'1. BQ RAPL'!$D$14:$K637,8,0))),"")</f>
        <v/>
      </c>
      <c r="S135" s="649"/>
      <c r="T135" s="650"/>
      <c r="U135" s="16"/>
      <c r="V135" s="16"/>
      <c r="W135" s="16"/>
      <c r="X135" s="119"/>
      <c r="Y135" s="119"/>
      <c r="Z135" s="119"/>
      <c r="AA135" s="119"/>
      <c r="AB135" s="119"/>
      <c r="AC135" s="119"/>
      <c r="AD135" s="119"/>
      <c r="AE135" s="119"/>
      <c r="AF135" s="119"/>
    </row>
    <row r="136" ht="18.75" customHeight="1">
      <c r="A136" s="119"/>
      <c r="B136" s="652"/>
      <c r="C136" s="642">
        <f>IF(F136=0,0,(VLOOKUP(F136,'MTRL MSK (TPDP)'!$F$9:$W637,18,0)))</f>
        <v>0</v>
      </c>
      <c r="D136" s="642">
        <f>IF(C136=0,0,(VLOOKUP(C136,'MTRL MSK (TPDP)'!$B$9:$W637,3,0)))</f>
        <v>0</v>
      </c>
      <c r="E136" s="643" t="str">
        <f>iferror(IF(C136="","",(VLOOKUP(C136,'MTRL MSK (TPDP)'!$B$9:$W637,4,0))),"")</f>
        <v/>
      </c>
      <c r="F136" s="644">
        <f>IF(H136=0,0,(VLOOKUP(H136,'MTRL MSK (TPDP)'!$H$9:$X637,17,0)))</f>
        <v>0</v>
      </c>
      <c r="G136" s="645"/>
      <c r="H136" s="646"/>
      <c r="I136" s="446">
        <f>IF(H136=0,0,(VLOOKUP(H136,'MTRL MSK (TPDP)'!$H$9:$U637,2,0)))</f>
        <v>0</v>
      </c>
      <c r="J136" s="448" t="str">
        <f>IFERROR((IF(H136=0,0,(VLOOKUP(H136,'MTRL MSK (TPDP)'!$H$8:$U637,7,0))))/(IF(H136=0,0,(VLOOKUP(H136,'MTRL MSK (TPDP)'!$H$8:$U637,5,0)))),"")</f>
        <v/>
      </c>
      <c r="K136" s="559"/>
      <c r="L136" s="448">
        <f t="shared" si="1"/>
        <v>0</v>
      </c>
      <c r="M136" s="647">
        <f t="shared" si="2"/>
        <v>0</v>
      </c>
      <c r="N136" s="647">
        <f t="shared" si="3"/>
        <v>0</v>
      </c>
      <c r="O136" s="448">
        <f>IF(H136=0,0,(VLOOKUP(H136,'MTRL MSK (TPDP)'!$H$9:$U637,5,0)))</f>
        <v>0</v>
      </c>
      <c r="P136" s="448">
        <f t="shared" si="4"/>
        <v>0</v>
      </c>
      <c r="Q136" s="448">
        <f t="shared" si="5"/>
        <v>0</v>
      </c>
      <c r="R136" s="648" t="str">
        <f>IFERROR(IF(S136="","",(VLOOKUP(S136,'1. BQ RAPL'!$D$14:$K637,8,0))),"")</f>
        <v/>
      </c>
      <c r="S136" s="649"/>
      <c r="T136" s="650"/>
      <c r="U136" s="16"/>
      <c r="V136" s="16"/>
      <c r="W136" s="16"/>
      <c r="X136" s="119"/>
      <c r="Y136" s="119"/>
      <c r="Z136" s="119"/>
      <c r="AA136" s="119"/>
      <c r="AB136" s="119"/>
      <c r="AC136" s="119"/>
      <c r="AD136" s="119"/>
      <c r="AE136" s="119"/>
      <c r="AF136" s="119"/>
    </row>
    <row r="137" ht="18.75" customHeight="1">
      <c r="A137" s="119"/>
      <c r="B137" s="652"/>
      <c r="C137" s="642">
        <f>IF(F137=0,0,(VLOOKUP(F137,'MTRL MSK (TPDP)'!$F$9:$W637,18,0)))</f>
        <v>0</v>
      </c>
      <c r="D137" s="642">
        <f>IF(C137=0,0,(VLOOKUP(C137,'MTRL MSK (TPDP)'!$B$9:$W637,3,0)))</f>
        <v>0</v>
      </c>
      <c r="E137" s="643" t="str">
        <f>iferror(IF(C137="","",(VLOOKUP(C137,'MTRL MSK (TPDP)'!$B$9:$W637,4,0))),"")</f>
        <v/>
      </c>
      <c r="F137" s="644">
        <f>IF(H137=0,0,(VLOOKUP(H137,'MTRL MSK (TPDP)'!$H$9:$X637,17,0)))</f>
        <v>0</v>
      </c>
      <c r="G137" s="645"/>
      <c r="H137" s="646"/>
      <c r="I137" s="446">
        <f>IF(H137=0,0,(VLOOKUP(H137,'MTRL MSK (TPDP)'!$H$9:$U637,2,0)))</f>
        <v>0</v>
      </c>
      <c r="J137" s="448" t="str">
        <f>IFERROR((IF(H137=0,0,(VLOOKUP(H137,'MTRL MSK (TPDP)'!$H$8:$U637,7,0))))/(IF(H137=0,0,(VLOOKUP(H137,'MTRL MSK (TPDP)'!$H$8:$U637,5,0)))),"")</f>
        <v/>
      </c>
      <c r="K137" s="559"/>
      <c r="L137" s="448">
        <f t="shared" si="1"/>
        <v>0</v>
      </c>
      <c r="M137" s="647">
        <f t="shared" si="2"/>
        <v>0</v>
      </c>
      <c r="N137" s="647">
        <f t="shared" si="3"/>
        <v>0</v>
      </c>
      <c r="O137" s="448">
        <f>IF(H137=0,0,(VLOOKUP(H137,'MTRL MSK (TPDP)'!$H$9:$U637,5,0)))</f>
        <v>0</v>
      </c>
      <c r="P137" s="448">
        <f t="shared" si="4"/>
        <v>0</v>
      </c>
      <c r="Q137" s="448">
        <f t="shared" si="5"/>
        <v>0</v>
      </c>
      <c r="R137" s="648" t="str">
        <f>IFERROR(IF(S137="","",(VLOOKUP(S137,'1. BQ RAPL'!$D$14:$K637,8,0))),"")</f>
        <v/>
      </c>
      <c r="S137" s="649"/>
      <c r="T137" s="650"/>
      <c r="U137" s="16"/>
      <c r="V137" s="16"/>
      <c r="W137" s="16"/>
      <c r="X137" s="119"/>
      <c r="Y137" s="119"/>
      <c r="Z137" s="119"/>
      <c r="AA137" s="119"/>
      <c r="AB137" s="119"/>
      <c r="AC137" s="119"/>
      <c r="AD137" s="119"/>
      <c r="AE137" s="119"/>
      <c r="AF137" s="119"/>
    </row>
    <row r="138" ht="18.75" customHeight="1">
      <c r="A138" s="119"/>
      <c r="B138" s="652"/>
      <c r="C138" s="642">
        <f>IF(F138=0,0,(VLOOKUP(F138,'MTRL MSK (TPDP)'!$F$9:$W637,18,0)))</f>
        <v>0</v>
      </c>
      <c r="D138" s="642">
        <f>IF(C138=0,0,(VLOOKUP(C138,'MTRL MSK (TPDP)'!$B$9:$W637,3,0)))</f>
        <v>0</v>
      </c>
      <c r="E138" s="643" t="str">
        <f>iferror(IF(C138="","",(VLOOKUP(C138,'MTRL MSK (TPDP)'!$B$9:$W637,4,0))),"")</f>
        <v/>
      </c>
      <c r="F138" s="644">
        <f>IF(H138=0,0,(VLOOKUP(H138,'MTRL MSK (TPDP)'!$H$9:$X637,17,0)))</f>
        <v>0</v>
      </c>
      <c r="G138" s="645"/>
      <c r="H138" s="646"/>
      <c r="I138" s="446">
        <f>IF(H138=0,0,(VLOOKUP(H138,'MTRL MSK (TPDP)'!$H$9:$U637,2,0)))</f>
        <v>0</v>
      </c>
      <c r="J138" s="448" t="str">
        <f>IFERROR((IF(H138=0,0,(VLOOKUP(H138,'MTRL MSK (TPDP)'!$H$8:$U637,7,0))))/(IF(H138=0,0,(VLOOKUP(H138,'MTRL MSK (TPDP)'!$H$8:$U637,5,0)))),"")</f>
        <v/>
      </c>
      <c r="K138" s="559"/>
      <c r="L138" s="448">
        <f t="shared" si="1"/>
        <v>0</v>
      </c>
      <c r="M138" s="647">
        <f t="shared" si="2"/>
        <v>0</v>
      </c>
      <c r="N138" s="647">
        <f t="shared" si="3"/>
        <v>0</v>
      </c>
      <c r="O138" s="448">
        <f>IF(H138=0,0,(VLOOKUP(H138,'MTRL MSK (TPDP)'!$H$9:$U637,5,0)))</f>
        <v>0</v>
      </c>
      <c r="P138" s="448">
        <f t="shared" si="4"/>
        <v>0</v>
      </c>
      <c r="Q138" s="448">
        <f t="shared" si="5"/>
        <v>0</v>
      </c>
      <c r="R138" s="648" t="str">
        <f>IFERROR(IF(S138="","",(VLOOKUP(S138,'1. BQ RAPL'!$D$14:$K637,8,0))),"")</f>
        <v/>
      </c>
      <c r="S138" s="649"/>
      <c r="T138" s="650"/>
      <c r="U138" s="16"/>
      <c r="V138" s="16"/>
      <c r="W138" s="16"/>
      <c r="X138" s="119"/>
      <c r="Y138" s="119"/>
      <c r="Z138" s="119"/>
      <c r="AA138" s="119"/>
      <c r="AB138" s="119"/>
      <c r="AC138" s="119"/>
      <c r="AD138" s="119"/>
      <c r="AE138" s="119"/>
      <c r="AF138" s="119"/>
    </row>
    <row r="139" ht="18.75" customHeight="1">
      <c r="A139" s="119"/>
      <c r="B139" s="652"/>
      <c r="C139" s="642">
        <f>IF(F139=0,0,(VLOOKUP(F139,'MTRL MSK (TPDP)'!$F$9:$W637,18,0)))</f>
        <v>0</v>
      </c>
      <c r="D139" s="642">
        <f>IF(C139=0,0,(VLOOKUP(C139,'MTRL MSK (TPDP)'!$B$9:$W637,3,0)))</f>
        <v>0</v>
      </c>
      <c r="E139" s="643" t="str">
        <f>iferror(IF(C139="","",(VLOOKUP(C139,'MTRL MSK (TPDP)'!$B$9:$W637,4,0))),"")</f>
        <v/>
      </c>
      <c r="F139" s="644">
        <f>IF(H139=0,0,(VLOOKUP(H139,'MTRL MSK (TPDP)'!$H$9:$X637,17,0)))</f>
        <v>0</v>
      </c>
      <c r="G139" s="645"/>
      <c r="H139" s="646"/>
      <c r="I139" s="446">
        <f>IF(H139=0,0,(VLOOKUP(H139,'MTRL MSK (TPDP)'!$H$9:$U637,2,0)))</f>
        <v>0</v>
      </c>
      <c r="J139" s="448" t="str">
        <f>IFERROR((IF(H139=0,0,(VLOOKUP(H139,'MTRL MSK (TPDP)'!$H$8:$U637,7,0))))/(IF(H139=0,0,(VLOOKUP(H139,'MTRL MSK (TPDP)'!$H$8:$U637,5,0)))),"")</f>
        <v/>
      </c>
      <c r="K139" s="559"/>
      <c r="L139" s="448">
        <f t="shared" si="1"/>
        <v>0</v>
      </c>
      <c r="M139" s="647">
        <f t="shared" si="2"/>
        <v>0</v>
      </c>
      <c r="N139" s="647">
        <f t="shared" si="3"/>
        <v>0</v>
      </c>
      <c r="O139" s="448">
        <f>IF(H139=0,0,(VLOOKUP(H139,'MTRL MSK (TPDP)'!$H$9:$U637,5,0)))</f>
        <v>0</v>
      </c>
      <c r="P139" s="448">
        <f t="shared" si="4"/>
        <v>0</v>
      </c>
      <c r="Q139" s="448">
        <f t="shared" si="5"/>
        <v>0</v>
      </c>
      <c r="R139" s="648" t="str">
        <f>IFERROR(IF(S139="","",(VLOOKUP(S139,'1. BQ RAPL'!$D$14:$K637,8,0))),"")</f>
        <v/>
      </c>
      <c r="S139" s="649"/>
      <c r="T139" s="650"/>
      <c r="U139" s="16"/>
      <c r="V139" s="16"/>
      <c r="W139" s="16"/>
      <c r="X139" s="119"/>
      <c r="Y139" s="119"/>
      <c r="Z139" s="119"/>
      <c r="AA139" s="119"/>
      <c r="AB139" s="119"/>
      <c r="AC139" s="119"/>
      <c r="AD139" s="119"/>
      <c r="AE139" s="119"/>
      <c r="AF139" s="119"/>
    </row>
    <row r="140" ht="18.75" customHeight="1">
      <c r="A140" s="119"/>
      <c r="B140" s="652"/>
      <c r="C140" s="642">
        <f>IF(F140=0,0,(VLOOKUP(F140,'MTRL MSK (TPDP)'!$F$9:$W637,18,0)))</f>
        <v>0</v>
      </c>
      <c r="D140" s="642">
        <f>IF(C140=0,0,(VLOOKUP(C140,'MTRL MSK (TPDP)'!$B$9:$W637,3,0)))</f>
        <v>0</v>
      </c>
      <c r="E140" s="643" t="str">
        <f>iferror(IF(C140="","",(VLOOKUP(C140,'MTRL MSK (TPDP)'!$B$9:$W637,4,0))),"")</f>
        <v/>
      </c>
      <c r="F140" s="644">
        <f>IF(H140=0,0,(VLOOKUP(H140,'MTRL MSK (TPDP)'!$H$9:$X637,17,0)))</f>
        <v>0</v>
      </c>
      <c r="G140" s="645"/>
      <c r="H140" s="646"/>
      <c r="I140" s="446">
        <f>IF(H140=0,0,(VLOOKUP(H140,'MTRL MSK (TPDP)'!$H$9:$U637,2,0)))</f>
        <v>0</v>
      </c>
      <c r="J140" s="448" t="str">
        <f>IFERROR((IF(H140=0,0,(VLOOKUP(H140,'MTRL MSK (TPDP)'!$H$8:$U637,7,0))))/(IF(H140=0,0,(VLOOKUP(H140,'MTRL MSK (TPDP)'!$H$8:$U637,5,0)))),"")</f>
        <v/>
      </c>
      <c r="K140" s="559"/>
      <c r="L140" s="448">
        <f t="shared" si="1"/>
        <v>0</v>
      </c>
      <c r="M140" s="647">
        <f t="shared" si="2"/>
        <v>0</v>
      </c>
      <c r="N140" s="647">
        <f t="shared" si="3"/>
        <v>0</v>
      </c>
      <c r="O140" s="448">
        <f>IF(H140=0,0,(VLOOKUP(H140,'MTRL MSK (TPDP)'!$H$9:$U637,5,0)))</f>
        <v>0</v>
      </c>
      <c r="P140" s="448">
        <f t="shared" si="4"/>
        <v>0</v>
      </c>
      <c r="Q140" s="448">
        <f t="shared" si="5"/>
        <v>0</v>
      </c>
      <c r="R140" s="648" t="str">
        <f>IFERROR(IF(S140="","",(VLOOKUP(S140,'1. BQ RAPL'!$D$14:$K637,8,0))),"")</f>
        <v/>
      </c>
      <c r="S140" s="649"/>
      <c r="T140" s="650"/>
      <c r="U140" s="16"/>
      <c r="V140" s="16"/>
      <c r="W140" s="16"/>
      <c r="X140" s="119"/>
      <c r="Y140" s="119"/>
      <c r="Z140" s="119"/>
      <c r="AA140" s="119"/>
      <c r="AB140" s="119"/>
      <c r="AC140" s="119"/>
      <c r="AD140" s="119"/>
      <c r="AE140" s="119"/>
      <c r="AF140" s="119"/>
    </row>
    <row r="141" ht="18.75" customHeight="1">
      <c r="A141" s="119"/>
      <c r="B141" s="652"/>
      <c r="C141" s="642">
        <f>IF(F141=0,0,(VLOOKUP(F141,'MTRL MSK (TPDP)'!$F$9:$W637,18,0)))</f>
        <v>0</v>
      </c>
      <c r="D141" s="642">
        <f>IF(C141=0,0,(VLOOKUP(C141,'MTRL MSK (TPDP)'!$B$9:$W637,3,0)))</f>
        <v>0</v>
      </c>
      <c r="E141" s="643" t="str">
        <f>iferror(IF(C141="","",(VLOOKUP(C141,'MTRL MSK (TPDP)'!$B$9:$W637,4,0))),"")</f>
        <v/>
      </c>
      <c r="F141" s="644">
        <f>IF(H141=0,0,(VLOOKUP(H141,'MTRL MSK (TPDP)'!$H$9:$X637,17,0)))</f>
        <v>0</v>
      </c>
      <c r="G141" s="645"/>
      <c r="H141" s="646"/>
      <c r="I141" s="446">
        <f>IF(H141=0,0,(VLOOKUP(H141,'MTRL MSK (TPDP)'!$H$9:$U637,2,0)))</f>
        <v>0</v>
      </c>
      <c r="J141" s="448" t="str">
        <f>IFERROR((IF(H141=0,0,(VLOOKUP(H141,'MTRL MSK (TPDP)'!$H$8:$U637,7,0))))/(IF(H141=0,0,(VLOOKUP(H141,'MTRL MSK (TPDP)'!$H$8:$U637,5,0)))),"")</f>
        <v/>
      </c>
      <c r="K141" s="559"/>
      <c r="L141" s="448">
        <f t="shared" si="1"/>
        <v>0</v>
      </c>
      <c r="M141" s="647">
        <f t="shared" si="2"/>
        <v>0</v>
      </c>
      <c r="N141" s="647">
        <f t="shared" si="3"/>
        <v>0</v>
      </c>
      <c r="O141" s="448">
        <f>IF(H141=0,0,(VLOOKUP(H141,'MTRL MSK (TPDP)'!$H$9:$U637,5,0)))</f>
        <v>0</v>
      </c>
      <c r="P141" s="448">
        <f t="shared" si="4"/>
        <v>0</v>
      </c>
      <c r="Q141" s="448">
        <f t="shared" si="5"/>
        <v>0</v>
      </c>
      <c r="R141" s="648" t="str">
        <f>IFERROR(IF(S141="","",(VLOOKUP(S141,'1. BQ RAPL'!$D$14:$K637,8,0))),"")</f>
        <v/>
      </c>
      <c r="S141" s="649"/>
      <c r="T141" s="650"/>
      <c r="U141" s="16"/>
      <c r="V141" s="16"/>
      <c r="W141" s="16"/>
      <c r="X141" s="119"/>
      <c r="Y141" s="119"/>
      <c r="Z141" s="119"/>
      <c r="AA141" s="119"/>
      <c r="AB141" s="119"/>
      <c r="AC141" s="119"/>
      <c r="AD141" s="119"/>
      <c r="AE141" s="119"/>
      <c r="AF141" s="119"/>
    </row>
    <row r="142" ht="18.75" customHeight="1">
      <c r="A142" s="119"/>
      <c r="B142" s="652"/>
      <c r="C142" s="642">
        <f>IF(F142=0,0,(VLOOKUP(F142,'MTRL MSK (TPDP)'!$F$9:$W637,18,0)))</f>
        <v>0</v>
      </c>
      <c r="D142" s="642">
        <f>IF(C142=0,0,(VLOOKUP(C142,'MTRL MSK (TPDP)'!$B$9:$W637,3,0)))</f>
        <v>0</v>
      </c>
      <c r="E142" s="643" t="str">
        <f>iferror(IF(C142="","",(VLOOKUP(C142,'MTRL MSK (TPDP)'!$B$9:$W637,4,0))),"")</f>
        <v/>
      </c>
      <c r="F142" s="644">
        <f>IF(H142=0,0,(VLOOKUP(H142,'MTRL MSK (TPDP)'!$H$9:$X637,17,0)))</f>
        <v>0</v>
      </c>
      <c r="G142" s="645"/>
      <c r="H142" s="646"/>
      <c r="I142" s="446">
        <f>IF(H142=0,0,(VLOOKUP(H142,'MTRL MSK (TPDP)'!$H$9:$U637,2,0)))</f>
        <v>0</v>
      </c>
      <c r="J142" s="448" t="str">
        <f>IFERROR((IF(H142=0,0,(VLOOKUP(H142,'MTRL MSK (TPDP)'!$H$8:$U637,7,0))))/(IF(H142=0,0,(VLOOKUP(H142,'MTRL MSK (TPDP)'!$H$8:$U637,5,0)))),"")</f>
        <v/>
      </c>
      <c r="K142" s="559"/>
      <c r="L142" s="448">
        <f t="shared" si="1"/>
        <v>0</v>
      </c>
      <c r="M142" s="647">
        <f t="shared" si="2"/>
        <v>0</v>
      </c>
      <c r="N142" s="647">
        <f t="shared" si="3"/>
        <v>0</v>
      </c>
      <c r="O142" s="448">
        <f>IF(H142=0,0,(VLOOKUP(H142,'MTRL MSK (TPDP)'!$H$9:$U637,5,0)))</f>
        <v>0</v>
      </c>
      <c r="P142" s="448">
        <f t="shared" si="4"/>
        <v>0</v>
      </c>
      <c r="Q142" s="448">
        <f t="shared" si="5"/>
        <v>0</v>
      </c>
      <c r="R142" s="648" t="str">
        <f>IFERROR(IF(S142="","",(VLOOKUP(S142,'1. BQ RAPL'!$D$14:$K637,8,0))),"")</f>
        <v/>
      </c>
      <c r="S142" s="649"/>
      <c r="T142" s="650"/>
      <c r="U142" s="16"/>
      <c r="V142" s="16"/>
      <c r="W142" s="16"/>
      <c r="X142" s="119"/>
      <c r="Y142" s="119"/>
      <c r="Z142" s="119"/>
      <c r="AA142" s="119"/>
      <c r="AB142" s="119"/>
      <c r="AC142" s="119"/>
      <c r="AD142" s="119"/>
      <c r="AE142" s="119"/>
      <c r="AF142" s="119"/>
    </row>
    <row r="143" ht="18.75" customHeight="1">
      <c r="A143" s="119"/>
      <c r="B143" s="652"/>
      <c r="C143" s="642">
        <f>IF(F143=0,0,(VLOOKUP(F143,'MTRL MSK (TPDP)'!$F$9:$W637,18,0)))</f>
        <v>0</v>
      </c>
      <c r="D143" s="642">
        <f>IF(C143=0,0,(VLOOKUP(C143,'MTRL MSK (TPDP)'!$B$9:$W637,3,0)))</f>
        <v>0</v>
      </c>
      <c r="E143" s="643" t="str">
        <f>iferror(IF(C143="","",(VLOOKUP(C143,'MTRL MSK (TPDP)'!$B$9:$W637,4,0))),"")</f>
        <v/>
      </c>
      <c r="F143" s="644">
        <f>IF(H143=0,0,(VLOOKUP(H143,'MTRL MSK (TPDP)'!$H$9:$X637,17,0)))</f>
        <v>0</v>
      </c>
      <c r="G143" s="645"/>
      <c r="H143" s="646"/>
      <c r="I143" s="446">
        <f>IF(H143=0,0,(VLOOKUP(H143,'MTRL MSK (TPDP)'!$H$9:$U637,2,0)))</f>
        <v>0</v>
      </c>
      <c r="J143" s="448" t="str">
        <f>IFERROR((IF(H143=0,0,(VLOOKUP(H143,'MTRL MSK (TPDP)'!$H$8:$U637,7,0))))/(IF(H143=0,0,(VLOOKUP(H143,'MTRL MSK (TPDP)'!$H$8:$U637,5,0)))),"")</f>
        <v/>
      </c>
      <c r="K143" s="559"/>
      <c r="L143" s="448">
        <f t="shared" si="1"/>
        <v>0</v>
      </c>
      <c r="M143" s="647">
        <f t="shared" si="2"/>
        <v>0</v>
      </c>
      <c r="N143" s="647">
        <f t="shared" si="3"/>
        <v>0</v>
      </c>
      <c r="O143" s="448">
        <f>IF(H143=0,0,(VLOOKUP(H143,'MTRL MSK (TPDP)'!$H$9:$U637,5,0)))</f>
        <v>0</v>
      </c>
      <c r="P143" s="448">
        <f t="shared" si="4"/>
        <v>0</v>
      </c>
      <c r="Q143" s="448">
        <f t="shared" si="5"/>
        <v>0</v>
      </c>
      <c r="R143" s="648" t="str">
        <f>IFERROR(IF(S143="","",(VLOOKUP(S143,'1. BQ RAPL'!$D$14:$K637,8,0))),"")</f>
        <v/>
      </c>
      <c r="S143" s="649"/>
      <c r="T143" s="650"/>
      <c r="U143" s="16"/>
      <c r="V143" s="16"/>
      <c r="W143" s="16"/>
      <c r="X143" s="119"/>
      <c r="Y143" s="119"/>
      <c r="Z143" s="119"/>
      <c r="AA143" s="119"/>
      <c r="AB143" s="119"/>
      <c r="AC143" s="119"/>
      <c r="AD143" s="119"/>
      <c r="AE143" s="119"/>
      <c r="AF143" s="119"/>
    </row>
    <row r="144" ht="18.75" customHeight="1">
      <c r="A144" s="119"/>
      <c r="B144" s="652"/>
      <c r="C144" s="642">
        <f>IF(F144=0,0,(VLOOKUP(F144,'MTRL MSK (TPDP)'!$F$9:$W637,18,0)))</f>
        <v>0</v>
      </c>
      <c r="D144" s="642">
        <f>IF(C144=0,0,(VLOOKUP(C144,'MTRL MSK (TPDP)'!$B$9:$W637,3,0)))</f>
        <v>0</v>
      </c>
      <c r="E144" s="643" t="str">
        <f>iferror(IF(C144="","",(VLOOKUP(C144,'MTRL MSK (TPDP)'!$B$9:$W637,4,0))),"")</f>
        <v/>
      </c>
      <c r="F144" s="644">
        <f>IF(H144=0,0,(VLOOKUP(H144,'MTRL MSK (TPDP)'!$H$9:$X637,17,0)))</f>
        <v>0</v>
      </c>
      <c r="G144" s="645"/>
      <c r="H144" s="646"/>
      <c r="I144" s="446">
        <f>IF(H144=0,0,(VLOOKUP(H144,'MTRL MSK (TPDP)'!$H$9:$U637,2,0)))</f>
        <v>0</v>
      </c>
      <c r="J144" s="448" t="str">
        <f>IFERROR((IF(H144=0,0,(VLOOKUP(H144,'MTRL MSK (TPDP)'!$H$8:$U637,7,0))))/(IF(H144=0,0,(VLOOKUP(H144,'MTRL MSK (TPDP)'!$H$8:$U637,5,0)))),"")</f>
        <v/>
      </c>
      <c r="K144" s="559"/>
      <c r="L144" s="448">
        <f t="shared" si="1"/>
        <v>0</v>
      </c>
      <c r="M144" s="647">
        <f t="shared" si="2"/>
        <v>0</v>
      </c>
      <c r="N144" s="647">
        <f t="shared" si="3"/>
        <v>0</v>
      </c>
      <c r="O144" s="448">
        <f>IF(H144=0,0,(VLOOKUP(H144,'MTRL MSK (TPDP)'!$H$9:$U637,5,0)))</f>
        <v>0</v>
      </c>
      <c r="P144" s="448">
        <f t="shared" si="4"/>
        <v>0</v>
      </c>
      <c r="Q144" s="448">
        <f t="shared" si="5"/>
        <v>0</v>
      </c>
      <c r="R144" s="648" t="str">
        <f>IFERROR(IF(S144="","",(VLOOKUP(S144,'1. BQ RAPL'!$D$14:$K637,8,0))),"")</f>
        <v/>
      </c>
      <c r="S144" s="649"/>
      <c r="T144" s="650"/>
      <c r="U144" s="16"/>
      <c r="V144" s="16"/>
      <c r="W144" s="16"/>
      <c r="X144" s="119"/>
      <c r="Y144" s="119"/>
      <c r="Z144" s="119"/>
      <c r="AA144" s="119"/>
      <c r="AB144" s="119"/>
      <c r="AC144" s="119"/>
      <c r="AD144" s="119"/>
      <c r="AE144" s="119"/>
      <c r="AF144" s="119"/>
    </row>
    <row r="145" ht="18.75" customHeight="1">
      <c r="A145" s="119"/>
      <c r="B145" s="652"/>
      <c r="C145" s="642">
        <f>IF(F145=0,0,(VLOOKUP(F145,'MTRL MSK (TPDP)'!$F$9:$W637,18,0)))</f>
        <v>0</v>
      </c>
      <c r="D145" s="642">
        <f>IF(C145=0,0,(VLOOKUP(C145,'MTRL MSK (TPDP)'!$B$9:$W637,3,0)))</f>
        <v>0</v>
      </c>
      <c r="E145" s="643" t="str">
        <f>iferror(IF(C145="","",(VLOOKUP(C145,'MTRL MSK (TPDP)'!$B$9:$W637,4,0))),"")</f>
        <v/>
      </c>
      <c r="F145" s="644">
        <f>IF(H145=0,0,(VLOOKUP(H145,'MTRL MSK (TPDP)'!$H$9:$X637,17,0)))</f>
        <v>0</v>
      </c>
      <c r="G145" s="645"/>
      <c r="H145" s="646"/>
      <c r="I145" s="446">
        <f>IF(H145=0,0,(VLOOKUP(H145,'MTRL MSK (TPDP)'!$H$9:$U637,2,0)))</f>
        <v>0</v>
      </c>
      <c r="J145" s="448" t="str">
        <f>IFERROR((IF(H145=0,0,(VLOOKUP(H145,'MTRL MSK (TPDP)'!$H$8:$U637,7,0))))/(IF(H145=0,0,(VLOOKUP(H145,'MTRL MSK (TPDP)'!$H$8:$U637,5,0)))),"")</f>
        <v/>
      </c>
      <c r="K145" s="559"/>
      <c r="L145" s="448">
        <f t="shared" si="1"/>
        <v>0</v>
      </c>
      <c r="M145" s="647">
        <f t="shared" si="2"/>
        <v>0</v>
      </c>
      <c r="N145" s="647">
        <f t="shared" si="3"/>
        <v>0</v>
      </c>
      <c r="O145" s="448">
        <f>IF(H145=0,0,(VLOOKUP(H145,'MTRL MSK (TPDP)'!$H$9:$U637,5,0)))</f>
        <v>0</v>
      </c>
      <c r="P145" s="448">
        <f t="shared" si="4"/>
        <v>0</v>
      </c>
      <c r="Q145" s="448">
        <f t="shared" si="5"/>
        <v>0</v>
      </c>
      <c r="R145" s="648" t="str">
        <f>IFERROR(IF(S145="","",(VLOOKUP(S145,'1. BQ RAPL'!$D$14:$K637,8,0))),"")</f>
        <v/>
      </c>
      <c r="S145" s="649"/>
      <c r="T145" s="650"/>
      <c r="U145" s="16"/>
      <c r="V145" s="16"/>
      <c r="W145" s="16"/>
      <c r="X145" s="119"/>
      <c r="Y145" s="119"/>
      <c r="Z145" s="119"/>
      <c r="AA145" s="119"/>
      <c r="AB145" s="119"/>
      <c r="AC145" s="119"/>
      <c r="AD145" s="119"/>
      <c r="AE145" s="119"/>
      <c r="AF145" s="119"/>
    </row>
    <row r="146" ht="18.75" customHeight="1">
      <c r="A146" s="119"/>
      <c r="B146" s="652"/>
      <c r="C146" s="642">
        <f>IF(F146=0,0,(VLOOKUP(F146,'MTRL MSK (TPDP)'!$F$9:$W637,18,0)))</f>
        <v>0</v>
      </c>
      <c r="D146" s="642">
        <f>IF(C146=0,0,(VLOOKUP(C146,'MTRL MSK (TPDP)'!$B$9:$W637,3,0)))</f>
        <v>0</v>
      </c>
      <c r="E146" s="643" t="str">
        <f>iferror(IF(C146="","",(VLOOKUP(C146,'MTRL MSK (TPDP)'!$B$9:$W637,4,0))),"")</f>
        <v/>
      </c>
      <c r="F146" s="644">
        <f>IF(H146=0,0,(VLOOKUP(H146,'MTRL MSK (TPDP)'!$H$9:$X637,17,0)))</f>
        <v>0</v>
      </c>
      <c r="G146" s="645"/>
      <c r="H146" s="646"/>
      <c r="I146" s="446">
        <f>IF(H146=0,0,(VLOOKUP(H146,'MTRL MSK (TPDP)'!$H$9:$U637,2,0)))</f>
        <v>0</v>
      </c>
      <c r="J146" s="448" t="str">
        <f>IFERROR((IF(H146=0,0,(VLOOKUP(H146,'MTRL MSK (TPDP)'!$H$8:$U637,7,0))))/(IF(H146=0,0,(VLOOKUP(H146,'MTRL MSK (TPDP)'!$H$8:$U637,5,0)))),"")</f>
        <v/>
      </c>
      <c r="K146" s="559"/>
      <c r="L146" s="448">
        <f t="shared" si="1"/>
        <v>0</v>
      </c>
      <c r="M146" s="647">
        <f t="shared" si="2"/>
        <v>0</v>
      </c>
      <c r="N146" s="647">
        <f t="shared" si="3"/>
        <v>0</v>
      </c>
      <c r="O146" s="448">
        <f>IF(H146=0,0,(VLOOKUP(H146,'MTRL MSK (TPDP)'!$H$9:$U637,5,0)))</f>
        <v>0</v>
      </c>
      <c r="P146" s="448">
        <f t="shared" si="4"/>
        <v>0</v>
      </c>
      <c r="Q146" s="448">
        <f t="shared" si="5"/>
        <v>0</v>
      </c>
      <c r="R146" s="648" t="str">
        <f>IFERROR(IF(S146="","",(VLOOKUP(S146,'1. BQ RAPL'!$D$14:$K637,8,0))),"")</f>
        <v/>
      </c>
      <c r="S146" s="649"/>
      <c r="T146" s="650"/>
      <c r="U146" s="16"/>
      <c r="V146" s="16"/>
      <c r="W146" s="16"/>
      <c r="X146" s="119"/>
      <c r="Y146" s="119"/>
      <c r="Z146" s="119"/>
      <c r="AA146" s="119"/>
      <c r="AB146" s="119"/>
      <c r="AC146" s="119"/>
      <c r="AD146" s="119"/>
      <c r="AE146" s="119"/>
      <c r="AF146" s="119"/>
    </row>
    <row r="147" ht="18.75" customHeight="1">
      <c r="A147" s="119"/>
      <c r="B147" s="652"/>
      <c r="C147" s="642">
        <f>IF(F147=0,0,(VLOOKUP(F147,'MTRL MSK (TPDP)'!$F$9:$W637,18,0)))</f>
        <v>0</v>
      </c>
      <c r="D147" s="642">
        <f>IF(C147=0,0,(VLOOKUP(C147,'MTRL MSK (TPDP)'!$B$9:$W637,3,0)))</f>
        <v>0</v>
      </c>
      <c r="E147" s="643" t="str">
        <f>iferror(IF(C147="","",(VLOOKUP(C147,'MTRL MSK (TPDP)'!$B$9:$W637,4,0))),"")</f>
        <v/>
      </c>
      <c r="F147" s="644">
        <f>IF(H147=0,0,(VLOOKUP(H147,'MTRL MSK (TPDP)'!$H$9:$X637,17,0)))</f>
        <v>0</v>
      </c>
      <c r="G147" s="645"/>
      <c r="H147" s="646"/>
      <c r="I147" s="446">
        <f>IF(H147=0,0,(VLOOKUP(H147,'MTRL MSK (TPDP)'!$H$9:$U637,2,0)))</f>
        <v>0</v>
      </c>
      <c r="J147" s="448" t="str">
        <f>IFERROR((IF(H147=0,0,(VLOOKUP(H147,'MTRL MSK (TPDP)'!$H$8:$U637,7,0))))/(IF(H147=0,0,(VLOOKUP(H147,'MTRL MSK (TPDP)'!$H$8:$U637,5,0)))),"")</f>
        <v/>
      </c>
      <c r="K147" s="559"/>
      <c r="L147" s="448">
        <f t="shared" si="1"/>
        <v>0</v>
      </c>
      <c r="M147" s="647">
        <f t="shared" si="2"/>
        <v>0</v>
      </c>
      <c r="N147" s="647">
        <f t="shared" si="3"/>
        <v>0</v>
      </c>
      <c r="O147" s="448">
        <f>IF(H147=0,0,(VLOOKUP(H147,'MTRL MSK (TPDP)'!$H$9:$U637,5,0)))</f>
        <v>0</v>
      </c>
      <c r="P147" s="448">
        <f t="shared" si="4"/>
        <v>0</v>
      </c>
      <c r="Q147" s="448">
        <f t="shared" si="5"/>
        <v>0</v>
      </c>
      <c r="R147" s="648" t="str">
        <f>IFERROR(IF(S147="","",(VLOOKUP(S147,'1. BQ RAPL'!$D$14:$K637,8,0))),"")</f>
        <v/>
      </c>
      <c r="S147" s="649"/>
      <c r="T147" s="650"/>
      <c r="U147" s="16"/>
      <c r="V147" s="16"/>
      <c r="W147" s="16"/>
      <c r="X147" s="119"/>
      <c r="Y147" s="119"/>
      <c r="Z147" s="119"/>
      <c r="AA147" s="119"/>
      <c r="AB147" s="119"/>
      <c r="AC147" s="119"/>
      <c r="AD147" s="119"/>
      <c r="AE147" s="119"/>
      <c r="AF147" s="119"/>
    </row>
    <row r="148" ht="18.75" customHeight="1">
      <c r="A148" s="119"/>
      <c r="B148" s="652"/>
      <c r="C148" s="642">
        <f>IF(F148=0,0,(VLOOKUP(F148,'MTRL MSK (TPDP)'!$F$9:$W637,18,0)))</f>
        <v>0</v>
      </c>
      <c r="D148" s="642">
        <f>IF(C148=0,0,(VLOOKUP(C148,'MTRL MSK (TPDP)'!$B$9:$W637,3,0)))</f>
        <v>0</v>
      </c>
      <c r="E148" s="643" t="str">
        <f>iferror(IF(C148="","",(VLOOKUP(C148,'MTRL MSK (TPDP)'!$B$9:$W637,4,0))),"")</f>
        <v/>
      </c>
      <c r="F148" s="644">
        <f>IF(H148=0,0,(VLOOKUP(H148,'MTRL MSK (TPDP)'!$H$9:$X637,17,0)))</f>
        <v>0</v>
      </c>
      <c r="G148" s="645"/>
      <c r="H148" s="646"/>
      <c r="I148" s="446">
        <f>IF(H148=0,0,(VLOOKUP(H148,'MTRL MSK (TPDP)'!$H$9:$U637,2,0)))</f>
        <v>0</v>
      </c>
      <c r="J148" s="448" t="str">
        <f>IFERROR((IF(H148=0,0,(VLOOKUP(H148,'MTRL MSK (TPDP)'!$H$8:$U637,7,0))))/(IF(H148=0,0,(VLOOKUP(H148,'MTRL MSK (TPDP)'!$H$8:$U637,5,0)))),"")</f>
        <v/>
      </c>
      <c r="K148" s="559"/>
      <c r="L148" s="448">
        <f t="shared" si="1"/>
        <v>0</v>
      </c>
      <c r="M148" s="647">
        <f t="shared" si="2"/>
        <v>0</v>
      </c>
      <c r="N148" s="647">
        <f t="shared" si="3"/>
        <v>0</v>
      </c>
      <c r="O148" s="448">
        <f>IF(H148=0,0,(VLOOKUP(H148,'MTRL MSK (TPDP)'!$H$9:$U637,5,0)))</f>
        <v>0</v>
      </c>
      <c r="P148" s="448">
        <f t="shared" si="4"/>
        <v>0</v>
      </c>
      <c r="Q148" s="448">
        <f t="shared" si="5"/>
        <v>0</v>
      </c>
      <c r="R148" s="648" t="str">
        <f>IFERROR(IF(S148="","",(VLOOKUP(S148,'1. BQ RAPL'!$D$14:$K637,8,0))),"")</f>
        <v/>
      </c>
      <c r="S148" s="649"/>
      <c r="T148" s="650"/>
      <c r="U148" s="16"/>
      <c r="V148" s="16"/>
      <c r="W148" s="16"/>
      <c r="X148" s="119"/>
      <c r="Y148" s="119"/>
      <c r="Z148" s="119"/>
      <c r="AA148" s="119"/>
      <c r="AB148" s="119"/>
      <c r="AC148" s="119"/>
      <c r="AD148" s="119"/>
      <c r="AE148" s="119"/>
      <c r="AF148" s="119"/>
    </row>
    <row r="149" ht="18.75" customHeight="1">
      <c r="A149" s="119"/>
      <c r="B149" s="652"/>
      <c r="C149" s="642">
        <f>IF(F149=0,0,(VLOOKUP(F149,'MTRL MSK (TPDP)'!$F$9:$W637,18,0)))</f>
        <v>0</v>
      </c>
      <c r="D149" s="642">
        <f>IF(C149=0,0,(VLOOKUP(C149,'MTRL MSK (TPDP)'!$B$9:$W637,3,0)))</f>
        <v>0</v>
      </c>
      <c r="E149" s="643" t="str">
        <f>iferror(IF(C149="","",(VLOOKUP(C149,'MTRL MSK (TPDP)'!$B$9:$W637,4,0))),"")</f>
        <v/>
      </c>
      <c r="F149" s="644">
        <f>IF(H149=0,0,(VLOOKUP(H149,'MTRL MSK (TPDP)'!$H$9:$X637,17,0)))</f>
        <v>0</v>
      </c>
      <c r="G149" s="645"/>
      <c r="H149" s="646"/>
      <c r="I149" s="446">
        <f>IF(H149=0,0,(VLOOKUP(H149,'MTRL MSK (TPDP)'!$H$9:$U637,2,0)))</f>
        <v>0</v>
      </c>
      <c r="J149" s="448" t="str">
        <f>IFERROR((IF(H149=0,0,(VLOOKUP(H149,'MTRL MSK (TPDP)'!$H$8:$U637,7,0))))/(IF(H149=0,0,(VLOOKUP(H149,'MTRL MSK (TPDP)'!$H$8:$U637,5,0)))),"")</f>
        <v/>
      </c>
      <c r="K149" s="559"/>
      <c r="L149" s="448">
        <f t="shared" si="1"/>
        <v>0</v>
      </c>
      <c r="M149" s="647">
        <f t="shared" si="2"/>
        <v>0</v>
      </c>
      <c r="N149" s="647">
        <f t="shared" si="3"/>
        <v>0</v>
      </c>
      <c r="O149" s="448">
        <f>IF(H149=0,0,(VLOOKUP(H149,'MTRL MSK (TPDP)'!$H$9:$U637,5,0)))</f>
        <v>0</v>
      </c>
      <c r="P149" s="448">
        <f t="shared" si="4"/>
        <v>0</v>
      </c>
      <c r="Q149" s="448">
        <f t="shared" si="5"/>
        <v>0</v>
      </c>
      <c r="R149" s="648" t="str">
        <f>IFERROR(IF(S149="","",(VLOOKUP(S149,'1. BQ RAPL'!$D$14:$K637,8,0))),"")</f>
        <v/>
      </c>
      <c r="S149" s="649"/>
      <c r="T149" s="650"/>
      <c r="U149" s="16"/>
      <c r="V149" s="16"/>
      <c r="W149" s="16"/>
      <c r="X149" s="119"/>
      <c r="Y149" s="119"/>
      <c r="Z149" s="119"/>
      <c r="AA149" s="119"/>
      <c r="AB149" s="119"/>
      <c r="AC149" s="119"/>
      <c r="AD149" s="119"/>
      <c r="AE149" s="119"/>
      <c r="AF149" s="119"/>
    </row>
    <row r="150" ht="18.75" customHeight="1">
      <c r="A150" s="119"/>
      <c r="B150" s="652"/>
      <c r="C150" s="642">
        <f>IF(F150=0,0,(VLOOKUP(F150,'MTRL MSK (TPDP)'!$F$9:$W637,18,0)))</f>
        <v>0</v>
      </c>
      <c r="D150" s="642">
        <f>IF(C150=0,0,(VLOOKUP(C150,'MTRL MSK (TPDP)'!$B$9:$W637,3,0)))</f>
        <v>0</v>
      </c>
      <c r="E150" s="643" t="str">
        <f>iferror(IF(C150="","",(VLOOKUP(C150,'MTRL MSK (TPDP)'!$B$9:$W637,4,0))),"")</f>
        <v/>
      </c>
      <c r="F150" s="644">
        <f>IF(H150=0,0,(VLOOKUP(H150,'MTRL MSK (TPDP)'!$H$9:$X637,17,0)))</f>
        <v>0</v>
      </c>
      <c r="G150" s="645"/>
      <c r="H150" s="646"/>
      <c r="I150" s="446">
        <f>IF(H150=0,0,(VLOOKUP(H150,'MTRL MSK (TPDP)'!$H$9:$U637,2,0)))</f>
        <v>0</v>
      </c>
      <c r="J150" s="448" t="str">
        <f>IFERROR((IF(H150=0,0,(VLOOKUP(H150,'MTRL MSK (TPDP)'!$H$8:$U637,7,0))))/(IF(H150=0,0,(VLOOKUP(H150,'MTRL MSK (TPDP)'!$H$8:$U637,5,0)))),"")</f>
        <v/>
      </c>
      <c r="K150" s="559"/>
      <c r="L150" s="448">
        <f t="shared" si="1"/>
        <v>0</v>
      </c>
      <c r="M150" s="647">
        <f t="shared" si="2"/>
        <v>0</v>
      </c>
      <c r="N150" s="647">
        <f t="shared" si="3"/>
        <v>0</v>
      </c>
      <c r="O150" s="448">
        <f>IF(H150=0,0,(VLOOKUP(H150,'MTRL MSK (TPDP)'!$H$9:$U637,5,0)))</f>
        <v>0</v>
      </c>
      <c r="P150" s="448">
        <f t="shared" si="4"/>
        <v>0</v>
      </c>
      <c r="Q150" s="448">
        <f t="shared" si="5"/>
        <v>0</v>
      </c>
      <c r="R150" s="648" t="str">
        <f>IFERROR(IF(S150="","",(VLOOKUP(S150,'1. BQ RAPL'!$D$14:$K637,8,0))),"")</f>
        <v/>
      </c>
      <c r="S150" s="649"/>
      <c r="T150" s="650"/>
      <c r="U150" s="16"/>
      <c r="V150" s="16"/>
      <c r="W150" s="16"/>
      <c r="X150" s="119"/>
      <c r="Y150" s="119"/>
      <c r="Z150" s="119"/>
      <c r="AA150" s="119"/>
      <c r="AB150" s="119"/>
      <c r="AC150" s="119"/>
      <c r="AD150" s="119"/>
      <c r="AE150" s="119"/>
      <c r="AF150" s="119"/>
    </row>
    <row r="151" ht="18.75" customHeight="1">
      <c r="A151" s="119"/>
      <c r="B151" s="652"/>
      <c r="C151" s="642">
        <f>IF(F151=0,0,(VLOOKUP(F151,'MTRL MSK (TPDP)'!$F$9:$W637,18,0)))</f>
        <v>0</v>
      </c>
      <c r="D151" s="642">
        <f>IF(C151=0,0,(VLOOKUP(C151,'MTRL MSK (TPDP)'!$B$9:$W637,3,0)))</f>
        <v>0</v>
      </c>
      <c r="E151" s="643" t="str">
        <f>iferror(IF(C151="","",(VLOOKUP(C151,'MTRL MSK (TPDP)'!$B$9:$W637,4,0))),"")</f>
        <v/>
      </c>
      <c r="F151" s="644">
        <f>IF(H151=0,0,(VLOOKUP(H151,'MTRL MSK (TPDP)'!$H$9:$X637,17,0)))</f>
        <v>0</v>
      </c>
      <c r="G151" s="645"/>
      <c r="H151" s="646"/>
      <c r="I151" s="446">
        <f>IF(H151=0,0,(VLOOKUP(H151,'MTRL MSK (TPDP)'!$H$9:$U637,2,0)))</f>
        <v>0</v>
      </c>
      <c r="J151" s="448" t="str">
        <f>IFERROR((IF(H151=0,0,(VLOOKUP(H151,'MTRL MSK (TPDP)'!$H$8:$U637,7,0))))/(IF(H151=0,0,(VLOOKUP(H151,'MTRL MSK (TPDP)'!$H$8:$U637,5,0)))),"")</f>
        <v/>
      </c>
      <c r="K151" s="559"/>
      <c r="L151" s="448">
        <f t="shared" si="1"/>
        <v>0</v>
      </c>
      <c r="M151" s="647">
        <f t="shared" si="2"/>
        <v>0</v>
      </c>
      <c r="N151" s="647">
        <f t="shared" si="3"/>
        <v>0</v>
      </c>
      <c r="O151" s="448">
        <f>IF(H151=0,0,(VLOOKUP(H151,'MTRL MSK (TPDP)'!$H$9:$U637,5,0)))</f>
        <v>0</v>
      </c>
      <c r="P151" s="448">
        <f t="shared" si="4"/>
        <v>0</v>
      </c>
      <c r="Q151" s="448">
        <f t="shared" si="5"/>
        <v>0</v>
      </c>
      <c r="R151" s="648" t="str">
        <f>IFERROR(IF(S151="","",(VLOOKUP(S151,'1. BQ RAPL'!$D$14:$K637,8,0))),"")</f>
        <v/>
      </c>
      <c r="S151" s="649"/>
      <c r="T151" s="650"/>
      <c r="U151" s="16"/>
      <c r="V151" s="16"/>
      <c r="W151" s="16"/>
      <c r="X151" s="119"/>
      <c r="Y151" s="119"/>
      <c r="Z151" s="119"/>
      <c r="AA151" s="119"/>
      <c r="AB151" s="119"/>
      <c r="AC151" s="119"/>
      <c r="AD151" s="119"/>
      <c r="AE151" s="119"/>
      <c r="AF151" s="119"/>
    </row>
    <row r="152" ht="18.75" customHeight="1">
      <c r="A152" s="119"/>
      <c r="B152" s="652"/>
      <c r="C152" s="642">
        <f>IF(F152=0,0,(VLOOKUP(F152,'MTRL MSK (TPDP)'!$F$9:$W637,18,0)))</f>
        <v>0</v>
      </c>
      <c r="D152" s="642">
        <f>IF(C152=0,0,(VLOOKUP(C152,'MTRL MSK (TPDP)'!$B$9:$W637,3,0)))</f>
        <v>0</v>
      </c>
      <c r="E152" s="643" t="str">
        <f>iferror(IF(C152="","",(VLOOKUP(C152,'MTRL MSK (TPDP)'!$B$9:$W637,4,0))),"")</f>
        <v/>
      </c>
      <c r="F152" s="644">
        <f>IF(H152=0,0,(VLOOKUP(H152,'MTRL MSK (TPDP)'!$H$9:$X637,17,0)))</f>
        <v>0</v>
      </c>
      <c r="G152" s="645"/>
      <c r="H152" s="646"/>
      <c r="I152" s="446">
        <f>IF(H152=0,0,(VLOOKUP(H152,'MTRL MSK (TPDP)'!$H$9:$U637,2,0)))</f>
        <v>0</v>
      </c>
      <c r="J152" s="448" t="str">
        <f>IFERROR((IF(H152=0,0,(VLOOKUP(H152,'MTRL MSK (TPDP)'!$H$8:$U637,7,0))))/(IF(H152=0,0,(VLOOKUP(H152,'MTRL MSK (TPDP)'!$H$8:$U637,5,0)))),"")</f>
        <v/>
      </c>
      <c r="K152" s="559"/>
      <c r="L152" s="448">
        <f t="shared" si="1"/>
        <v>0</v>
      </c>
      <c r="M152" s="647">
        <f t="shared" si="2"/>
        <v>0</v>
      </c>
      <c r="N152" s="647">
        <f t="shared" si="3"/>
        <v>0</v>
      </c>
      <c r="O152" s="448">
        <f>IF(H152=0,0,(VLOOKUP(H152,'MTRL MSK (TPDP)'!$H$9:$U637,5,0)))</f>
        <v>0</v>
      </c>
      <c r="P152" s="448">
        <f t="shared" si="4"/>
        <v>0</v>
      </c>
      <c r="Q152" s="448">
        <f t="shared" si="5"/>
        <v>0</v>
      </c>
      <c r="R152" s="648" t="str">
        <f>IFERROR(IF(S152="","",(VLOOKUP(S152,'1. BQ RAPL'!$D$14:$K637,8,0))),"")</f>
        <v/>
      </c>
      <c r="S152" s="649"/>
      <c r="T152" s="650"/>
      <c r="U152" s="16"/>
      <c r="V152" s="16"/>
      <c r="W152" s="16"/>
      <c r="X152" s="119"/>
      <c r="Y152" s="119"/>
      <c r="Z152" s="119"/>
      <c r="AA152" s="119"/>
      <c r="AB152" s="119"/>
      <c r="AC152" s="119"/>
      <c r="AD152" s="119"/>
      <c r="AE152" s="119"/>
      <c r="AF152" s="119"/>
    </row>
    <row r="153" ht="18.75" customHeight="1">
      <c r="A153" s="119"/>
      <c r="B153" s="652"/>
      <c r="C153" s="642">
        <f>IF(F153=0,0,(VLOOKUP(F153,'MTRL MSK (TPDP)'!$F$9:$W637,18,0)))</f>
        <v>0</v>
      </c>
      <c r="D153" s="642">
        <f>IF(C153=0,0,(VLOOKUP(C153,'MTRL MSK (TPDP)'!$B$9:$W637,3,0)))</f>
        <v>0</v>
      </c>
      <c r="E153" s="643" t="str">
        <f>iferror(IF(C153="","",(VLOOKUP(C153,'MTRL MSK (TPDP)'!$B$9:$W637,4,0))),"")</f>
        <v/>
      </c>
      <c r="F153" s="644">
        <f>IF(H153=0,0,(VLOOKUP(H153,'MTRL MSK (TPDP)'!$H$9:$X637,17,0)))</f>
        <v>0</v>
      </c>
      <c r="G153" s="645"/>
      <c r="H153" s="646"/>
      <c r="I153" s="446">
        <f>IF(H153=0,0,(VLOOKUP(H153,'MTRL MSK (TPDP)'!$H$9:$U637,2,0)))</f>
        <v>0</v>
      </c>
      <c r="J153" s="448" t="str">
        <f>IFERROR((IF(H153=0,0,(VLOOKUP(H153,'MTRL MSK (TPDP)'!$H$8:$U637,7,0))))/(IF(H153=0,0,(VLOOKUP(H153,'MTRL MSK (TPDP)'!$H$8:$U637,5,0)))),"")</f>
        <v/>
      </c>
      <c r="K153" s="559"/>
      <c r="L153" s="448">
        <f t="shared" si="1"/>
        <v>0</v>
      </c>
      <c r="M153" s="647">
        <f t="shared" si="2"/>
        <v>0</v>
      </c>
      <c r="N153" s="647">
        <f t="shared" si="3"/>
        <v>0</v>
      </c>
      <c r="O153" s="448">
        <f>IF(H153=0,0,(VLOOKUP(H153,'MTRL MSK (TPDP)'!$H$9:$U637,5,0)))</f>
        <v>0</v>
      </c>
      <c r="P153" s="448">
        <f t="shared" si="4"/>
        <v>0</v>
      </c>
      <c r="Q153" s="448">
        <f t="shared" si="5"/>
        <v>0</v>
      </c>
      <c r="R153" s="648" t="str">
        <f>IFERROR(IF(S153="","",(VLOOKUP(S153,'1. BQ RAPL'!$D$14:$K637,8,0))),"")</f>
        <v/>
      </c>
      <c r="S153" s="649"/>
      <c r="T153" s="650"/>
      <c r="U153" s="16"/>
      <c r="V153" s="16"/>
      <c r="W153" s="16"/>
      <c r="X153" s="119"/>
      <c r="Y153" s="119"/>
      <c r="Z153" s="119"/>
      <c r="AA153" s="119"/>
      <c r="AB153" s="119"/>
      <c r="AC153" s="119"/>
      <c r="AD153" s="119"/>
      <c r="AE153" s="119"/>
      <c r="AF153" s="119"/>
    </row>
    <row r="154" ht="18.75" customHeight="1">
      <c r="A154" s="119"/>
      <c r="B154" s="652"/>
      <c r="C154" s="642">
        <f>IF(F154=0,0,(VLOOKUP(F154,'MTRL MSK (TPDP)'!$F$9:$W637,18,0)))</f>
        <v>0</v>
      </c>
      <c r="D154" s="642">
        <f>IF(C154=0,0,(VLOOKUP(C154,'MTRL MSK (TPDP)'!$B$9:$W637,3,0)))</f>
        <v>0</v>
      </c>
      <c r="E154" s="643" t="str">
        <f>iferror(IF(C154="","",(VLOOKUP(C154,'MTRL MSK (TPDP)'!$B$9:$W637,4,0))),"")</f>
        <v/>
      </c>
      <c r="F154" s="644">
        <f>IF(H154=0,0,(VLOOKUP(H154,'MTRL MSK (TPDP)'!$H$9:$X637,17,0)))</f>
        <v>0</v>
      </c>
      <c r="G154" s="645"/>
      <c r="H154" s="646"/>
      <c r="I154" s="446">
        <f>IF(H154=0,0,(VLOOKUP(H154,'MTRL MSK (TPDP)'!$H$9:$U637,2,0)))</f>
        <v>0</v>
      </c>
      <c r="J154" s="448" t="str">
        <f>IFERROR((IF(H154=0,0,(VLOOKUP(H154,'MTRL MSK (TPDP)'!$H$8:$U637,7,0))))/(IF(H154=0,0,(VLOOKUP(H154,'MTRL MSK (TPDP)'!$H$8:$U637,5,0)))),"")</f>
        <v/>
      </c>
      <c r="K154" s="559"/>
      <c r="L154" s="448">
        <f t="shared" si="1"/>
        <v>0</v>
      </c>
      <c r="M154" s="647">
        <f t="shared" si="2"/>
        <v>0</v>
      </c>
      <c r="N154" s="647">
        <f t="shared" si="3"/>
        <v>0</v>
      </c>
      <c r="O154" s="448">
        <f>IF(H154=0,0,(VLOOKUP(H154,'MTRL MSK (TPDP)'!$H$9:$U637,5,0)))</f>
        <v>0</v>
      </c>
      <c r="P154" s="448">
        <f t="shared" si="4"/>
        <v>0</v>
      </c>
      <c r="Q154" s="448">
        <f t="shared" si="5"/>
        <v>0</v>
      </c>
      <c r="R154" s="648" t="str">
        <f>IFERROR(IF(S154="","",(VLOOKUP(S154,'1. BQ RAPL'!$D$14:$K637,8,0))),"")</f>
        <v/>
      </c>
      <c r="S154" s="649"/>
      <c r="T154" s="650"/>
      <c r="U154" s="16"/>
      <c r="V154" s="16"/>
      <c r="W154" s="16"/>
      <c r="X154" s="119"/>
      <c r="Y154" s="119"/>
      <c r="Z154" s="119"/>
      <c r="AA154" s="119"/>
      <c r="AB154" s="119"/>
      <c r="AC154" s="119"/>
      <c r="AD154" s="119"/>
      <c r="AE154" s="119"/>
      <c r="AF154" s="119"/>
    </row>
    <row r="155" ht="18.75" customHeight="1">
      <c r="A155" s="119"/>
      <c r="B155" s="652"/>
      <c r="C155" s="642">
        <f>IF(F155=0,0,(VLOOKUP(F155,'MTRL MSK (TPDP)'!$F$9:$W637,18,0)))</f>
        <v>0</v>
      </c>
      <c r="D155" s="642">
        <f>IF(C155=0,0,(VLOOKUP(C155,'MTRL MSK (TPDP)'!$B$9:$W637,3,0)))</f>
        <v>0</v>
      </c>
      <c r="E155" s="643" t="str">
        <f>iferror(IF(C155="","",(VLOOKUP(C155,'MTRL MSK (TPDP)'!$B$9:$W637,4,0))),"")</f>
        <v/>
      </c>
      <c r="F155" s="644">
        <f>IF(H155=0,0,(VLOOKUP(H155,'MTRL MSK (TPDP)'!$H$9:$X637,17,0)))</f>
        <v>0</v>
      </c>
      <c r="G155" s="645"/>
      <c r="H155" s="646"/>
      <c r="I155" s="446">
        <f>IF(H155=0,0,(VLOOKUP(H155,'MTRL MSK (TPDP)'!$H$9:$U637,2,0)))</f>
        <v>0</v>
      </c>
      <c r="J155" s="448" t="str">
        <f>IFERROR((IF(H155=0,0,(VLOOKUP(H155,'MTRL MSK (TPDP)'!$H$8:$U637,7,0))))/(IF(H155=0,0,(VLOOKUP(H155,'MTRL MSK (TPDP)'!$H$8:$U637,5,0)))),"")</f>
        <v/>
      </c>
      <c r="K155" s="559"/>
      <c r="L155" s="448">
        <f t="shared" si="1"/>
        <v>0</v>
      </c>
      <c r="M155" s="647">
        <f t="shared" si="2"/>
        <v>0</v>
      </c>
      <c r="N155" s="647">
        <f t="shared" si="3"/>
        <v>0</v>
      </c>
      <c r="O155" s="448">
        <f>IF(H155=0,0,(VLOOKUP(H155,'MTRL MSK (TPDP)'!$H$9:$U637,5,0)))</f>
        <v>0</v>
      </c>
      <c r="P155" s="448">
        <f t="shared" si="4"/>
        <v>0</v>
      </c>
      <c r="Q155" s="448">
        <f t="shared" si="5"/>
        <v>0</v>
      </c>
      <c r="R155" s="648" t="str">
        <f>IFERROR(IF(S155="","",(VLOOKUP(S155,'1. BQ RAPL'!$D$14:$K637,8,0))),"")</f>
        <v/>
      </c>
      <c r="S155" s="649"/>
      <c r="T155" s="650"/>
      <c r="U155" s="16"/>
      <c r="V155" s="16"/>
      <c r="W155" s="16"/>
      <c r="X155" s="119"/>
      <c r="Y155" s="119"/>
      <c r="Z155" s="119"/>
      <c r="AA155" s="119"/>
      <c r="AB155" s="119"/>
      <c r="AC155" s="119"/>
      <c r="AD155" s="119"/>
      <c r="AE155" s="119"/>
      <c r="AF155" s="119"/>
    </row>
    <row r="156" ht="18.75" customHeight="1">
      <c r="A156" s="119"/>
      <c r="B156" s="652"/>
      <c r="C156" s="642">
        <f>IF(F156=0,0,(VLOOKUP(F156,'MTRL MSK (TPDP)'!$F$9:$W637,18,0)))</f>
        <v>0</v>
      </c>
      <c r="D156" s="642">
        <f>IF(C156=0,0,(VLOOKUP(C156,'MTRL MSK (TPDP)'!$B$9:$W637,3,0)))</f>
        <v>0</v>
      </c>
      <c r="E156" s="643" t="str">
        <f>iferror(IF(C156="","",(VLOOKUP(C156,'MTRL MSK (TPDP)'!$B$9:$W637,4,0))),"")</f>
        <v/>
      </c>
      <c r="F156" s="644">
        <f>IF(H156=0,0,(VLOOKUP(H156,'MTRL MSK (TPDP)'!$H$9:$X637,17,0)))</f>
        <v>0</v>
      </c>
      <c r="G156" s="645"/>
      <c r="H156" s="646"/>
      <c r="I156" s="446">
        <f>IF(H156=0,0,(VLOOKUP(H156,'MTRL MSK (TPDP)'!$H$9:$U637,2,0)))</f>
        <v>0</v>
      </c>
      <c r="J156" s="448" t="str">
        <f>IFERROR((IF(H156=0,0,(VLOOKUP(H156,'MTRL MSK (TPDP)'!$H$8:$U637,7,0))))/(IF(H156=0,0,(VLOOKUP(H156,'MTRL MSK (TPDP)'!$H$8:$U637,5,0)))),"")</f>
        <v/>
      </c>
      <c r="K156" s="559"/>
      <c r="L156" s="448">
        <f t="shared" si="1"/>
        <v>0</v>
      </c>
      <c r="M156" s="647">
        <f t="shared" si="2"/>
        <v>0</v>
      </c>
      <c r="N156" s="647">
        <f t="shared" si="3"/>
        <v>0</v>
      </c>
      <c r="O156" s="448">
        <f>IF(H156=0,0,(VLOOKUP(H156,'MTRL MSK (TPDP)'!$H$9:$U637,5,0)))</f>
        <v>0</v>
      </c>
      <c r="P156" s="448">
        <f t="shared" si="4"/>
        <v>0</v>
      </c>
      <c r="Q156" s="448">
        <f t="shared" si="5"/>
        <v>0</v>
      </c>
      <c r="R156" s="648" t="str">
        <f>IFERROR(IF(S156="","",(VLOOKUP(S156,'1. BQ RAPL'!$D$14:$K637,8,0))),"")</f>
        <v/>
      </c>
      <c r="S156" s="649"/>
      <c r="T156" s="650"/>
      <c r="U156" s="16"/>
      <c r="V156" s="16"/>
      <c r="W156" s="16"/>
      <c r="X156" s="119"/>
      <c r="Y156" s="119"/>
      <c r="Z156" s="119"/>
      <c r="AA156" s="119"/>
      <c r="AB156" s="119"/>
      <c r="AC156" s="119"/>
      <c r="AD156" s="119"/>
      <c r="AE156" s="119"/>
      <c r="AF156" s="119"/>
    </row>
    <row r="157" ht="18.75" customHeight="1">
      <c r="A157" s="119"/>
      <c r="B157" s="652"/>
      <c r="C157" s="642">
        <f>IF(F157=0,0,(VLOOKUP(F157,'MTRL MSK (TPDP)'!$F$9:$W637,18,0)))</f>
        <v>0</v>
      </c>
      <c r="D157" s="642">
        <f>IF(C157=0,0,(VLOOKUP(C157,'MTRL MSK (TPDP)'!$B$9:$W637,3,0)))</f>
        <v>0</v>
      </c>
      <c r="E157" s="643" t="str">
        <f>iferror(IF(C157="","",(VLOOKUP(C157,'MTRL MSK (TPDP)'!$B$9:$W637,4,0))),"")</f>
        <v/>
      </c>
      <c r="F157" s="644">
        <f>IF(H157=0,0,(VLOOKUP(H157,'MTRL MSK (TPDP)'!$H$9:$X637,17,0)))</f>
        <v>0</v>
      </c>
      <c r="G157" s="645"/>
      <c r="H157" s="646"/>
      <c r="I157" s="446">
        <f>IF(H157=0,0,(VLOOKUP(H157,'MTRL MSK (TPDP)'!$H$9:$U637,2,0)))</f>
        <v>0</v>
      </c>
      <c r="J157" s="448" t="str">
        <f>IFERROR((IF(H157=0,0,(VLOOKUP(H157,'MTRL MSK (TPDP)'!$H$8:$U637,7,0))))/(IF(H157=0,0,(VLOOKUP(H157,'MTRL MSK (TPDP)'!$H$8:$U637,5,0)))),"")</f>
        <v/>
      </c>
      <c r="K157" s="559"/>
      <c r="L157" s="448">
        <f t="shared" si="1"/>
        <v>0</v>
      </c>
      <c r="M157" s="647">
        <f t="shared" si="2"/>
        <v>0</v>
      </c>
      <c r="N157" s="647">
        <f t="shared" si="3"/>
        <v>0</v>
      </c>
      <c r="O157" s="448">
        <f>IF(H157=0,0,(VLOOKUP(H157,'MTRL MSK (TPDP)'!$H$9:$U637,5,0)))</f>
        <v>0</v>
      </c>
      <c r="P157" s="448">
        <f t="shared" si="4"/>
        <v>0</v>
      </c>
      <c r="Q157" s="448">
        <f t="shared" si="5"/>
        <v>0</v>
      </c>
      <c r="R157" s="648" t="str">
        <f>IFERROR(IF(S157="","",(VLOOKUP(S157,'1. BQ RAPL'!$D$14:$K637,8,0))),"")</f>
        <v/>
      </c>
      <c r="S157" s="649"/>
      <c r="T157" s="650"/>
      <c r="U157" s="16"/>
      <c r="V157" s="16"/>
      <c r="W157" s="16"/>
      <c r="X157" s="119"/>
      <c r="Y157" s="119"/>
      <c r="Z157" s="119"/>
      <c r="AA157" s="119"/>
      <c r="AB157" s="119"/>
      <c r="AC157" s="119"/>
      <c r="AD157" s="119"/>
      <c r="AE157" s="119"/>
      <c r="AF157" s="119"/>
    </row>
    <row r="158" ht="18.75" customHeight="1">
      <c r="A158" s="119"/>
      <c r="B158" s="652"/>
      <c r="C158" s="642">
        <f>IF(F158=0,0,(VLOOKUP(F158,'MTRL MSK (TPDP)'!$F$9:$W637,18,0)))</f>
        <v>0</v>
      </c>
      <c r="D158" s="642">
        <f>IF(C158=0,0,(VLOOKUP(C158,'MTRL MSK (TPDP)'!$B$9:$W637,3,0)))</f>
        <v>0</v>
      </c>
      <c r="E158" s="643" t="str">
        <f>iferror(IF(C158="","",(VLOOKUP(C158,'MTRL MSK (TPDP)'!$B$9:$W637,4,0))),"")</f>
        <v/>
      </c>
      <c r="F158" s="644">
        <f>IF(H158=0,0,(VLOOKUP(H158,'MTRL MSK (TPDP)'!$H$9:$X637,17,0)))</f>
        <v>0</v>
      </c>
      <c r="G158" s="645"/>
      <c r="H158" s="646"/>
      <c r="I158" s="446">
        <f>IF(H158=0,0,(VLOOKUP(H158,'MTRL MSK (TPDP)'!$H$9:$U637,2,0)))</f>
        <v>0</v>
      </c>
      <c r="J158" s="448" t="str">
        <f>IFERROR((IF(H158=0,0,(VLOOKUP(H158,'MTRL MSK (TPDP)'!$H$8:$U637,7,0))))/(IF(H158=0,0,(VLOOKUP(H158,'MTRL MSK (TPDP)'!$H$8:$U637,5,0)))),"")</f>
        <v/>
      </c>
      <c r="K158" s="559"/>
      <c r="L158" s="448">
        <f t="shared" si="1"/>
        <v>0</v>
      </c>
      <c r="M158" s="647">
        <f t="shared" si="2"/>
        <v>0</v>
      </c>
      <c r="N158" s="647">
        <f t="shared" si="3"/>
        <v>0</v>
      </c>
      <c r="O158" s="448">
        <f>IF(H158=0,0,(VLOOKUP(H158,'MTRL MSK (TPDP)'!$H$9:$U637,5,0)))</f>
        <v>0</v>
      </c>
      <c r="P158" s="448">
        <f t="shared" si="4"/>
        <v>0</v>
      </c>
      <c r="Q158" s="448">
        <f t="shared" si="5"/>
        <v>0</v>
      </c>
      <c r="R158" s="648" t="str">
        <f>IFERROR(IF(S158="","",(VLOOKUP(S158,'1. BQ RAPL'!$D$14:$K637,8,0))),"")</f>
        <v/>
      </c>
      <c r="S158" s="649"/>
      <c r="T158" s="650"/>
      <c r="U158" s="16"/>
      <c r="V158" s="16"/>
      <c r="W158" s="16"/>
      <c r="X158" s="119"/>
      <c r="Y158" s="119"/>
      <c r="Z158" s="119"/>
      <c r="AA158" s="119"/>
      <c r="AB158" s="119"/>
      <c r="AC158" s="119"/>
      <c r="AD158" s="119"/>
      <c r="AE158" s="119"/>
      <c r="AF158" s="119"/>
    </row>
    <row r="159" ht="18.75" customHeight="1">
      <c r="A159" s="119"/>
      <c r="B159" s="652"/>
      <c r="C159" s="642">
        <f>IF(F159=0,0,(VLOOKUP(F159,'MTRL MSK (TPDP)'!$F$9:$W637,18,0)))</f>
        <v>0</v>
      </c>
      <c r="D159" s="642">
        <f>IF(C159=0,0,(VLOOKUP(C159,'MTRL MSK (TPDP)'!$B$9:$W637,3,0)))</f>
        <v>0</v>
      </c>
      <c r="E159" s="643" t="str">
        <f>iferror(IF(C159="","",(VLOOKUP(C159,'MTRL MSK (TPDP)'!$B$9:$W637,4,0))),"")</f>
        <v/>
      </c>
      <c r="F159" s="644">
        <f>IF(H159=0,0,(VLOOKUP(H159,'MTRL MSK (TPDP)'!$H$9:$X637,17,0)))</f>
        <v>0</v>
      </c>
      <c r="G159" s="645"/>
      <c r="H159" s="646"/>
      <c r="I159" s="446">
        <f>IF(H159=0,0,(VLOOKUP(H159,'MTRL MSK (TPDP)'!$H$9:$U637,2,0)))</f>
        <v>0</v>
      </c>
      <c r="J159" s="448" t="str">
        <f>IFERROR((IF(H159=0,0,(VLOOKUP(H159,'MTRL MSK (TPDP)'!$H$8:$U637,7,0))))/(IF(H159=0,0,(VLOOKUP(H159,'MTRL MSK (TPDP)'!$H$8:$U637,5,0)))),"")</f>
        <v/>
      </c>
      <c r="K159" s="559"/>
      <c r="L159" s="448">
        <f t="shared" si="1"/>
        <v>0</v>
      </c>
      <c r="M159" s="647">
        <f t="shared" si="2"/>
        <v>0</v>
      </c>
      <c r="N159" s="647">
        <f t="shared" si="3"/>
        <v>0</v>
      </c>
      <c r="O159" s="448">
        <f>IF(H159=0,0,(VLOOKUP(H159,'MTRL MSK (TPDP)'!$H$9:$U637,5,0)))</f>
        <v>0</v>
      </c>
      <c r="P159" s="448">
        <f t="shared" si="4"/>
        <v>0</v>
      </c>
      <c r="Q159" s="448">
        <f t="shared" si="5"/>
        <v>0</v>
      </c>
      <c r="R159" s="648" t="str">
        <f>IFERROR(IF(S159="","",(VLOOKUP(S159,'1. BQ RAPL'!$D$14:$K637,8,0))),"")</f>
        <v/>
      </c>
      <c r="S159" s="649"/>
      <c r="T159" s="650"/>
      <c r="U159" s="16"/>
      <c r="V159" s="16"/>
      <c r="W159" s="16"/>
      <c r="X159" s="119"/>
      <c r="Y159" s="119"/>
      <c r="Z159" s="119"/>
      <c r="AA159" s="119"/>
      <c r="AB159" s="119"/>
      <c r="AC159" s="119"/>
      <c r="AD159" s="119"/>
      <c r="AE159" s="119"/>
      <c r="AF159" s="119"/>
    </row>
    <row r="160" ht="18.75" customHeight="1">
      <c r="A160" s="119"/>
      <c r="B160" s="652"/>
      <c r="C160" s="642">
        <f>IF(F160=0,0,(VLOOKUP(F160,'MTRL MSK (TPDP)'!$F$9:$W637,18,0)))</f>
        <v>0</v>
      </c>
      <c r="D160" s="642">
        <f>IF(C160=0,0,(VLOOKUP(C160,'MTRL MSK (TPDP)'!$B$9:$W637,3,0)))</f>
        <v>0</v>
      </c>
      <c r="E160" s="643" t="str">
        <f>iferror(IF(C160="","",(VLOOKUP(C160,'MTRL MSK (TPDP)'!$B$9:$W637,4,0))),"")</f>
        <v/>
      </c>
      <c r="F160" s="644">
        <f>IF(H160=0,0,(VLOOKUP(H160,'MTRL MSK (TPDP)'!$H$9:$X637,17,0)))</f>
        <v>0</v>
      </c>
      <c r="G160" s="645"/>
      <c r="H160" s="646"/>
      <c r="I160" s="446">
        <f>IF(H160=0,0,(VLOOKUP(H160,'MTRL MSK (TPDP)'!$H$9:$U637,2,0)))</f>
        <v>0</v>
      </c>
      <c r="J160" s="448" t="str">
        <f>IFERROR((IF(H160=0,0,(VLOOKUP(H160,'MTRL MSK (TPDP)'!$H$8:$U637,7,0))))/(IF(H160=0,0,(VLOOKUP(H160,'MTRL MSK (TPDP)'!$H$8:$U637,5,0)))),"")</f>
        <v/>
      </c>
      <c r="K160" s="559"/>
      <c r="L160" s="448">
        <f t="shared" si="1"/>
        <v>0</v>
      </c>
      <c r="M160" s="647">
        <f t="shared" si="2"/>
        <v>0</v>
      </c>
      <c r="N160" s="647">
        <f t="shared" si="3"/>
        <v>0</v>
      </c>
      <c r="O160" s="448">
        <f>IF(H160=0,0,(VLOOKUP(H160,'MTRL MSK (TPDP)'!$H$9:$U637,5,0)))</f>
        <v>0</v>
      </c>
      <c r="P160" s="448">
        <f t="shared" si="4"/>
        <v>0</v>
      </c>
      <c r="Q160" s="448">
        <f t="shared" si="5"/>
        <v>0</v>
      </c>
      <c r="R160" s="648" t="str">
        <f>IFERROR(IF(S160="","",(VLOOKUP(S160,'1. BQ RAPL'!$D$14:$K637,8,0))),"")</f>
        <v/>
      </c>
      <c r="S160" s="649"/>
      <c r="T160" s="650"/>
      <c r="U160" s="16"/>
      <c r="V160" s="16"/>
      <c r="W160" s="16"/>
      <c r="X160" s="119"/>
      <c r="Y160" s="119"/>
      <c r="Z160" s="119"/>
      <c r="AA160" s="119"/>
      <c r="AB160" s="119"/>
      <c r="AC160" s="119"/>
      <c r="AD160" s="119"/>
      <c r="AE160" s="119"/>
      <c r="AF160" s="119"/>
    </row>
    <row r="161" ht="18.75" customHeight="1">
      <c r="A161" s="119"/>
      <c r="B161" s="652"/>
      <c r="C161" s="642">
        <f>IF(F161=0,0,(VLOOKUP(F161,'MTRL MSK (TPDP)'!$F$9:$W637,18,0)))</f>
        <v>0</v>
      </c>
      <c r="D161" s="642">
        <f>IF(C161=0,0,(VLOOKUP(C161,'MTRL MSK (TPDP)'!$B$9:$W637,3,0)))</f>
        <v>0</v>
      </c>
      <c r="E161" s="643" t="str">
        <f>iferror(IF(C161="","",(VLOOKUP(C161,'MTRL MSK (TPDP)'!$B$9:$W637,4,0))),"")</f>
        <v/>
      </c>
      <c r="F161" s="644">
        <f>IF(H161=0,0,(VLOOKUP(H161,'MTRL MSK (TPDP)'!$H$9:$X637,17,0)))</f>
        <v>0</v>
      </c>
      <c r="G161" s="645"/>
      <c r="H161" s="646"/>
      <c r="I161" s="446">
        <f>IF(H161=0,0,(VLOOKUP(H161,'MTRL MSK (TPDP)'!$H$9:$U637,2,0)))</f>
        <v>0</v>
      </c>
      <c r="J161" s="448" t="str">
        <f>IFERROR((IF(H161=0,0,(VLOOKUP(H161,'MTRL MSK (TPDP)'!$H$8:$U637,7,0))))/(IF(H161=0,0,(VLOOKUP(H161,'MTRL MSK (TPDP)'!$H$8:$U637,5,0)))),"")</f>
        <v/>
      </c>
      <c r="K161" s="559"/>
      <c r="L161" s="448">
        <f t="shared" si="1"/>
        <v>0</v>
      </c>
      <c r="M161" s="647">
        <f t="shared" si="2"/>
        <v>0</v>
      </c>
      <c r="N161" s="647">
        <f t="shared" si="3"/>
        <v>0</v>
      </c>
      <c r="O161" s="448">
        <f>IF(H161=0,0,(VLOOKUP(H161,'MTRL MSK (TPDP)'!$H$9:$U637,5,0)))</f>
        <v>0</v>
      </c>
      <c r="P161" s="448">
        <f t="shared" si="4"/>
        <v>0</v>
      </c>
      <c r="Q161" s="448">
        <f t="shared" si="5"/>
        <v>0</v>
      </c>
      <c r="R161" s="648" t="str">
        <f>IFERROR(IF(S161="","",(VLOOKUP(S161,'1. BQ RAPL'!$D$14:$K637,8,0))),"")</f>
        <v/>
      </c>
      <c r="S161" s="649"/>
      <c r="T161" s="650"/>
      <c r="U161" s="16"/>
      <c r="V161" s="16"/>
      <c r="W161" s="16"/>
      <c r="X161" s="119"/>
      <c r="Y161" s="119"/>
      <c r="Z161" s="119"/>
      <c r="AA161" s="119"/>
      <c r="AB161" s="119"/>
      <c r="AC161" s="119"/>
      <c r="AD161" s="119"/>
      <c r="AE161" s="119"/>
      <c r="AF161" s="119"/>
    </row>
    <row r="162" ht="18.75" customHeight="1">
      <c r="A162" s="119"/>
      <c r="B162" s="652"/>
      <c r="C162" s="642">
        <f>IF(F162=0,0,(VLOOKUP(F162,'MTRL MSK (TPDP)'!$F$9:$W637,18,0)))</f>
        <v>0</v>
      </c>
      <c r="D162" s="642">
        <f>IF(C162=0,0,(VLOOKUP(C162,'MTRL MSK (TPDP)'!$B$9:$W637,3,0)))</f>
        <v>0</v>
      </c>
      <c r="E162" s="643" t="str">
        <f>iferror(IF(C162="","",(VLOOKUP(C162,'MTRL MSK (TPDP)'!$B$9:$W637,4,0))),"")</f>
        <v/>
      </c>
      <c r="F162" s="644">
        <f>IF(H162=0,0,(VLOOKUP(H162,'MTRL MSK (TPDP)'!$H$9:$X637,17,0)))</f>
        <v>0</v>
      </c>
      <c r="G162" s="645"/>
      <c r="H162" s="646"/>
      <c r="I162" s="446">
        <f>IF(H162=0,0,(VLOOKUP(H162,'MTRL MSK (TPDP)'!$H$9:$U637,2,0)))</f>
        <v>0</v>
      </c>
      <c r="J162" s="448" t="str">
        <f>IFERROR((IF(H162=0,0,(VLOOKUP(H162,'MTRL MSK (TPDP)'!$H$8:$U637,7,0))))/(IF(H162=0,0,(VLOOKUP(H162,'MTRL MSK (TPDP)'!$H$8:$U637,5,0)))),"")</f>
        <v/>
      </c>
      <c r="K162" s="559"/>
      <c r="L162" s="448">
        <f t="shared" si="1"/>
        <v>0</v>
      </c>
      <c r="M162" s="647">
        <f t="shared" si="2"/>
        <v>0</v>
      </c>
      <c r="N162" s="647">
        <f t="shared" si="3"/>
        <v>0</v>
      </c>
      <c r="O162" s="448">
        <f>IF(H162=0,0,(VLOOKUP(H162,'MTRL MSK (TPDP)'!$H$9:$U637,5,0)))</f>
        <v>0</v>
      </c>
      <c r="P162" s="448">
        <f t="shared" si="4"/>
        <v>0</v>
      </c>
      <c r="Q162" s="448">
        <f t="shared" si="5"/>
        <v>0</v>
      </c>
      <c r="R162" s="648" t="str">
        <f>IFERROR(IF(S162="","",(VLOOKUP(S162,'1. BQ RAPL'!$D$14:$K637,8,0))),"")</f>
        <v/>
      </c>
      <c r="S162" s="649"/>
      <c r="T162" s="650"/>
      <c r="U162" s="16"/>
      <c r="V162" s="16"/>
      <c r="W162" s="16"/>
      <c r="X162" s="119"/>
      <c r="Y162" s="119"/>
      <c r="Z162" s="119"/>
      <c r="AA162" s="119"/>
      <c r="AB162" s="119"/>
      <c r="AC162" s="119"/>
      <c r="AD162" s="119"/>
      <c r="AE162" s="119"/>
      <c r="AF162" s="119"/>
    </row>
    <row r="163" ht="18.75" customHeight="1">
      <c r="A163" s="119"/>
      <c r="B163" s="652"/>
      <c r="C163" s="642">
        <f>IF(F163=0,0,(VLOOKUP(F163,'MTRL MSK (TPDP)'!$F$9:$W637,18,0)))</f>
        <v>0</v>
      </c>
      <c r="D163" s="642">
        <f>IF(C163=0,0,(VLOOKUP(C163,'MTRL MSK (TPDP)'!$B$9:$W637,3,0)))</f>
        <v>0</v>
      </c>
      <c r="E163" s="643" t="str">
        <f>iferror(IF(C163="","",(VLOOKUP(C163,'MTRL MSK (TPDP)'!$B$9:$W637,4,0))),"")</f>
        <v/>
      </c>
      <c r="F163" s="644">
        <f>IF(H163=0,0,(VLOOKUP(H163,'MTRL MSK (TPDP)'!$H$9:$X637,17,0)))</f>
        <v>0</v>
      </c>
      <c r="G163" s="645"/>
      <c r="H163" s="646"/>
      <c r="I163" s="446">
        <f>IF(H163=0,0,(VLOOKUP(H163,'MTRL MSK (TPDP)'!$H$9:$U637,2,0)))</f>
        <v>0</v>
      </c>
      <c r="J163" s="448" t="str">
        <f>IFERROR((IF(H163=0,0,(VLOOKUP(H163,'MTRL MSK (TPDP)'!$H$8:$U637,7,0))))/(IF(H163=0,0,(VLOOKUP(H163,'MTRL MSK (TPDP)'!$H$8:$U637,5,0)))),"")</f>
        <v/>
      </c>
      <c r="K163" s="559"/>
      <c r="L163" s="448">
        <f t="shared" si="1"/>
        <v>0</v>
      </c>
      <c r="M163" s="647">
        <f t="shared" si="2"/>
        <v>0</v>
      </c>
      <c r="N163" s="647">
        <f t="shared" si="3"/>
        <v>0</v>
      </c>
      <c r="O163" s="448">
        <f>IF(H163=0,0,(VLOOKUP(H163,'MTRL MSK (TPDP)'!$H$9:$U637,5,0)))</f>
        <v>0</v>
      </c>
      <c r="P163" s="448">
        <f t="shared" si="4"/>
        <v>0</v>
      </c>
      <c r="Q163" s="448">
        <f t="shared" si="5"/>
        <v>0</v>
      </c>
      <c r="R163" s="648" t="str">
        <f>IFERROR(IF(S163="","",(VLOOKUP(S163,'1. BQ RAPL'!$D$14:$K637,8,0))),"")</f>
        <v/>
      </c>
      <c r="S163" s="649"/>
      <c r="T163" s="650"/>
      <c r="U163" s="16"/>
      <c r="V163" s="16"/>
      <c r="W163" s="16"/>
      <c r="X163" s="119"/>
      <c r="Y163" s="119"/>
      <c r="Z163" s="119"/>
      <c r="AA163" s="119"/>
      <c r="AB163" s="119"/>
      <c r="AC163" s="119"/>
      <c r="AD163" s="119"/>
      <c r="AE163" s="119"/>
      <c r="AF163" s="119"/>
    </row>
    <row r="164" ht="18.75" customHeight="1">
      <c r="A164" s="119"/>
      <c r="B164" s="652"/>
      <c r="C164" s="642">
        <f>IF(F164=0,0,(VLOOKUP(F164,'MTRL MSK (TPDP)'!$F$9:$W637,18,0)))</f>
        <v>0</v>
      </c>
      <c r="D164" s="642">
        <f>IF(C164=0,0,(VLOOKUP(C164,'MTRL MSK (TPDP)'!$B$9:$W637,3,0)))</f>
        <v>0</v>
      </c>
      <c r="E164" s="643" t="str">
        <f>iferror(IF(C164="","",(VLOOKUP(C164,'MTRL MSK (TPDP)'!$B$9:$W637,4,0))),"")</f>
        <v/>
      </c>
      <c r="F164" s="644">
        <f>IF(H164=0,0,(VLOOKUP(H164,'MTRL MSK (TPDP)'!$H$9:$X637,17,0)))</f>
        <v>0</v>
      </c>
      <c r="G164" s="645"/>
      <c r="H164" s="646"/>
      <c r="I164" s="446">
        <f>IF(H164=0,0,(VLOOKUP(H164,'MTRL MSK (TPDP)'!$H$9:$U637,2,0)))</f>
        <v>0</v>
      </c>
      <c r="J164" s="448" t="str">
        <f>IFERROR((IF(H164=0,0,(VLOOKUP(H164,'MTRL MSK (TPDP)'!$H$8:$U637,7,0))))/(IF(H164=0,0,(VLOOKUP(H164,'MTRL MSK (TPDP)'!$H$8:$U637,5,0)))),"")</f>
        <v/>
      </c>
      <c r="K164" s="559"/>
      <c r="L164" s="448">
        <f t="shared" si="1"/>
        <v>0</v>
      </c>
      <c r="M164" s="647">
        <f t="shared" si="2"/>
        <v>0</v>
      </c>
      <c r="N164" s="647">
        <f t="shared" si="3"/>
        <v>0</v>
      </c>
      <c r="O164" s="448">
        <f>IF(H164=0,0,(VLOOKUP(H164,'MTRL MSK (TPDP)'!$H$9:$U637,5,0)))</f>
        <v>0</v>
      </c>
      <c r="P164" s="448">
        <f t="shared" si="4"/>
        <v>0</v>
      </c>
      <c r="Q164" s="448">
        <f t="shared" si="5"/>
        <v>0</v>
      </c>
      <c r="R164" s="648" t="str">
        <f>IFERROR(IF(S164="","",(VLOOKUP(S164,'1. BQ RAPL'!$D$14:$K637,8,0))),"")</f>
        <v/>
      </c>
      <c r="S164" s="649"/>
      <c r="T164" s="650"/>
      <c r="U164" s="16"/>
      <c r="V164" s="16"/>
      <c r="W164" s="16"/>
      <c r="X164" s="119"/>
      <c r="Y164" s="119"/>
      <c r="Z164" s="119"/>
      <c r="AA164" s="119"/>
      <c r="AB164" s="119"/>
      <c r="AC164" s="119"/>
      <c r="AD164" s="119"/>
      <c r="AE164" s="119"/>
      <c r="AF164" s="119"/>
    </row>
    <row r="165" ht="18.75" customHeight="1">
      <c r="A165" s="119"/>
      <c r="B165" s="652"/>
      <c r="C165" s="642">
        <f>IF(F165=0,0,(VLOOKUP(F165,'MTRL MSK (TPDP)'!$F$9:$W637,18,0)))</f>
        <v>0</v>
      </c>
      <c r="D165" s="642">
        <f>IF(C165=0,0,(VLOOKUP(C165,'MTRL MSK (TPDP)'!$B$9:$W637,3,0)))</f>
        <v>0</v>
      </c>
      <c r="E165" s="643" t="str">
        <f>iferror(IF(C165="","",(VLOOKUP(C165,'MTRL MSK (TPDP)'!$B$9:$W637,4,0))),"")</f>
        <v/>
      </c>
      <c r="F165" s="644">
        <f>IF(H165=0,0,(VLOOKUP(H165,'MTRL MSK (TPDP)'!$H$9:$X637,17,0)))</f>
        <v>0</v>
      </c>
      <c r="G165" s="645"/>
      <c r="H165" s="646"/>
      <c r="I165" s="446">
        <f>IF(H165=0,0,(VLOOKUP(H165,'MTRL MSK (TPDP)'!$H$9:$U637,2,0)))</f>
        <v>0</v>
      </c>
      <c r="J165" s="448" t="str">
        <f>IFERROR((IF(H165=0,0,(VLOOKUP(H165,'MTRL MSK (TPDP)'!$H$8:$U637,7,0))))/(IF(H165=0,0,(VLOOKUP(H165,'MTRL MSK (TPDP)'!$H$8:$U637,5,0)))),"")</f>
        <v/>
      </c>
      <c r="K165" s="559"/>
      <c r="L165" s="448">
        <f t="shared" si="1"/>
        <v>0</v>
      </c>
      <c r="M165" s="647">
        <f t="shared" si="2"/>
        <v>0</v>
      </c>
      <c r="N165" s="647">
        <f t="shared" si="3"/>
        <v>0</v>
      </c>
      <c r="O165" s="448">
        <f>IF(H165=0,0,(VLOOKUP(H165,'MTRL MSK (TPDP)'!$H$9:$U637,5,0)))</f>
        <v>0</v>
      </c>
      <c r="P165" s="448">
        <f t="shared" si="4"/>
        <v>0</v>
      </c>
      <c r="Q165" s="448">
        <f t="shared" si="5"/>
        <v>0</v>
      </c>
      <c r="R165" s="648" t="str">
        <f>IFERROR(IF(S165="","",(VLOOKUP(S165,'1. BQ RAPL'!$D$14:$K637,8,0))),"")</f>
        <v/>
      </c>
      <c r="S165" s="649"/>
      <c r="T165" s="650"/>
      <c r="U165" s="16"/>
      <c r="V165" s="16"/>
      <c r="W165" s="16"/>
      <c r="X165" s="119"/>
      <c r="Y165" s="119"/>
      <c r="Z165" s="119"/>
      <c r="AA165" s="119"/>
      <c r="AB165" s="119"/>
      <c r="AC165" s="119"/>
      <c r="AD165" s="119"/>
      <c r="AE165" s="119"/>
      <c r="AF165" s="119"/>
    </row>
    <row r="166" ht="18.75" customHeight="1">
      <c r="A166" s="119"/>
      <c r="B166" s="652"/>
      <c r="C166" s="642">
        <f>IF(F166=0,0,(VLOOKUP(F166,'MTRL MSK (TPDP)'!$F$9:$W637,18,0)))</f>
        <v>0</v>
      </c>
      <c r="D166" s="642">
        <f>IF(C166=0,0,(VLOOKUP(C166,'MTRL MSK (TPDP)'!$B$9:$W637,3,0)))</f>
        <v>0</v>
      </c>
      <c r="E166" s="643" t="str">
        <f>iferror(IF(C166="","",(VLOOKUP(C166,'MTRL MSK (TPDP)'!$B$9:$W637,4,0))),"")</f>
        <v/>
      </c>
      <c r="F166" s="644">
        <f>IF(H166=0,0,(VLOOKUP(H166,'MTRL MSK (TPDP)'!$H$9:$X637,17,0)))</f>
        <v>0</v>
      </c>
      <c r="G166" s="645"/>
      <c r="H166" s="646"/>
      <c r="I166" s="446">
        <f>IF(H166=0,0,(VLOOKUP(H166,'MTRL MSK (TPDP)'!$H$9:$U637,2,0)))</f>
        <v>0</v>
      </c>
      <c r="J166" s="448" t="str">
        <f>IFERROR((IF(H166=0,0,(VLOOKUP(H166,'MTRL MSK (TPDP)'!$H$8:$U637,7,0))))/(IF(H166=0,0,(VLOOKUP(H166,'MTRL MSK (TPDP)'!$H$8:$U637,5,0)))),"")</f>
        <v/>
      </c>
      <c r="K166" s="559"/>
      <c r="L166" s="448">
        <f t="shared" si="1"/>
        <v>0</v>
      </c>
      <c r="M166" s="647">
        <f t="shared" si="2"/>
        <v>0</v>
      </c>
      <c r="N166" s="647">
        <f t="shared" si="3"/>
        <v>0</v>
      </c>
      <c r="O166" s="448">
        <f>IF(H166=0,0,(VLOOKUP(H166,'MTRL MSK (TPDP)'!$H$9:$U637,5,0)))</f>
        <v>0</v>
      </c>
      <c r="P166" s="448">
        <f t="shared" si="4"/>
        <v>0</v>
      </c>
      <c r="Q166" s="448">
        <f t="shared" si="5"/>
        <v>0</v>
      </c>
      <c r="R166" s="648" t="str">
        <f>IFERROR(IF(S166="","",(VLOOKUP(S166,'1. BQ RAPL'!$D$14:$K637,8,0))),"")</f>
        <v/>
      </c>
      <c r="S166" s="649"/>
      <c r="T166" s="650"/>
      <c r="U166" s="16"/>
      <c r="V166" s="16"/>
      <c r="W166" s="16"/>
      <c r="X166" s="119"/>
      <c r="Y166" s="119"/>
      <c r="Z166" s="119"/>
      <c r="AA166" s="119"/>
      <c r="AB166" s="119"/>
      <c r="AC166" s="119"/>
      <c r="AD166" s="119"/>
      <c r="AE166" s="119"/>
      <c r="AF166" s="119"/>
    </row>
    <row r="167" ht="18.75" customHeight="1">
      <c r="A167" s="119"/>
      <c r="B167" s="652"/>
      <c r="C167" s="642">
        <f>IF(F167=0,0,(VLOOKUP(F167,'MTRL MSK (TPDP)'!$F$9:$W637,18,0)))</f>
        <v>0</v>
      </c>
      <c r="D167" s="642">
        <f>IF(C167=0,0,(VLOOKUP(C167,'MTRL MSK (TPDP)'!$B$9:$W637,3,0)))</f>
        <v>0</v>
      </c>
      <c r="E167" s="643" t="str">
        <f>iferror(IF(C167="","",(VLOOKUP(C167,'MTRL MSK (TPDP)'!$B$9:$W637,4,0))),"")</f>
        <v/>
      </c>
      <c r="F167" s="644">
        <f>IF(H167=0,0,(VLOOKUP(H167,'MTRL MSK (TPDP)'!$H$9:$X637,17,0)))</f>
        <v>0</v>
      </c>
      <c r="G167" s="645"/>
      <c r="H167" s="646"/>
      <c r="I167" s="446">
        <f>IF(H167=0,0,(VLOOKUP(H167,'MTRL MSK (TPDP)'!$H$9:$U637,2,0)))</f>
        <v>0</v>
      </c>
      <c r="J167" s="448" t="str">
        <f>IFERROR((IF(H167=0,0,(VLOOKUP(H167,'MTRL MSK (TPDP)'!$H$8:$U637,7,0))))/(IF(H167=0,0,(VLOOKUP(H167,'MTRL MSK (TPDP)'!$H$8:$U637,5,0)))),"")</f>
        <v/>
      </c>
      <c r="K167" s="559"/>
      <c r="L167" s="448">
        <f t="shared" si="1"/>
        <v>0</v>
      </c>
      <c r="M167" s="647">
        <f t="shared" si="2"/>
        <v>0</v>
      </c>
      <c r="N167" s="647">
        <f t="shared" si="3"/>
        <v>0</v>
      </c>
      <c r="O167" s="448">
        <f>IF(H167=0,0,(VLOOKUP(H167,'MTRL MSK (TPDP)'!$H$9:$U637,5,0)))</f>
        <v>0</v>
      </c>
      <c r="P167" s="448">
        <f t="shared" si="4"/>
        <v>0</v>
      </c>
      <c r="Q167" s="448">
        <f t="shared" si="5"/>
        <v>0</v>
      </c>
      <c r="R167" s="648" t="str">
        <f>IFERROR(IF(S167="","",(VLOOKUP(S167,'1. BQ RAPL'!$D$14:$K637,8,0))),"")</f>
        <v/>
      </c>
      <c r="S167" s="649"/>
      <c r="T167" s="650"/>
      <c r="U167" s="16"/>
      <c r="V167" s="16"/>
      <c r="W167" s="16"/>
      <c r="X167" s="119"/>
      <c r="Y167" s="119"/>
      <c r="Z167" s="119"/>
      <c r="AA167" s="119"/>
      <c r="AB167" s="119"/>
      <c r="AC167" s="119"/>
      <c r="AD167" s="119"/>
      <c r="AE167" s="119"/>
      <c r="AF167" s="119"/>
    </row>
    <row r="168" ht="18.75" customHeight="1">
      <c r="A168" s="119"/>
      <c r="B168" s="652"/>
      <c r="C168" s="642">
        <f>IF(F168=0,0,(VLOOKUP(F168,'MTRL MSK (TPDP)'!$F$9:$W637,18,0)))</f>
        <v>0</v>
      </c>
      <c r="D168" s="642">
        <f>IF(C168=0,0,(VLOOKUP(C168,'MTRL MSK (TPDP)'!$B$9:$W637,3,0)))</f>
        <v>0</v>
      </c>
      <c r="E168" s="643" t="str">
        <f>iferror(IF(C168="","",(VLOOKUP(C168,'MTRL MSK (TPDP)'!$B$9:$W637,4,0))),"")</f>
        <v/>
      </c>
      <c r="F168" s="644">
        <f>IF(H168=0,0,(VLOOKUP(H168,'MTRL MSK (TPDP)'!$H$9:$X637,17,0)))</f>
        <v>0</v>
      </c>
      <c r="G168" s="645"/>
      <c r="H168" s="646"/>
      <c r="I168" s="446">
        <f>IF(H168=0,0,(VLOOKUP(H168,'MTRL MSK (TPDP)'!$H$9:$U637,2,0)))</f>
        <v>0</v>
      </c>
      <c r="J168" s="448" t="str">
        <f>IFERROR((IF(H168=0,0,(VLOOKUP(H168,'MTRL MSK (TPDP)'!$H$8:$U637,7,0))))/(IF(H168=0,0,(VLOOKUP(H168,'MTRL MSK (TPDP)'!$H$8:$U637,5,0)))),"")</f>
        <v/>
      </c>
      <c r="K168" s="559"/>
      <c r="L168" s="448">
        <f t="shared" si="1"/>
        <v>0</v>
      </c>
      <c r="M168" s="647">
        <f t="shared" si="2"/>
        <v>0</v>
      </c>
      <c r="N168" s="647">
        <f t="shared" si="3"/>
        <v>0</v>
      </c>
      <c r="O168" s="448">
        <f>IF(H168=0,0,(VLOOKUP(H168,'MTRL MSK (TPDP)'!$H$9:$U637,5,0)))</f>
        <v>0</v>
      </c>
      <c r="P168" s="448">
        <f t="shared" si="4"/>
        <v>0</v>
      </c>
      <c r="Q168" s="448">
        <f t="shared" si="5"/>
        <v>0</v>
      </c>
      <c r="R168" s="648" t="str">
        <f>IFERROR(IF(S168="","",(VLOOKUP(S168,'1. BQ RAPL'!$D$14:$K637,8,0))),"")</f>
        <v/>
      </c>
      <c r="S168" s="649"/>
      <c r="T168" s="650"/>
      <c r="U168" s="16"/>
      <c r="V168" s="16"/>
      <c r="W168" s="16"/>
      <c r="X168" s="119"/>
      <c r="Y168" s="119"/>
      <c r="Z168" s="119"/>
      <c r="AA168" s="119"/>
      <c r="AB168" s="119"/>
      <c r="AC168" s="119"/>
      <c r="AD168" s="119"/>
      <c r="AE168" s="119"/>
      <c r="AF168" s="119"/>
    </row>
    <row r="169" ht="18.75" customHeight="1">
      <c r="A169" s="119"/>
      <c r="B169" s="652"/>
      <c r="C169" s="642">
        <f>IF(F169=0,0,(VLOOKUP(F169,'MTRL MSK (TPDP)'!$F$9:$W637,18,0)))</f>
        <v>0</v>
      </c>
      <c r="D169" s="642">
        <f>IF(C169=0,0,(VLOOKUP(C169,'MTRL MSK (TPDP)'!$B$9:$W637,3,0)))</f>
        <v>0</v>
      </c>
      <c r="E169" s="643" t="str">
        <f>iferror(IF(C169="","",(VLOOKUP(C169,'MTRL MSK (TPDP)'!$B$9:$W637,4,0))),"")</f>
        <v/>
      </c>
      <c r="F169" s="644">
        <f>IF(H169=0,0,(VLOOKUP(H169,'MTRL MSK (TPDP)'!$H$9:$X637,17,0)))</f>
        <v>0</v>
      </c>
      <c r="G169" s="645"/>
      <c r="H169" s="646"/>
      <c r="I169" s="446">
        <f>IF(H169=0,0,(VLOOKUP(H169,'MTRL MSK (TPDP)'!$H$9:$U637,2,0)))</f>
        <v>0</v>
      </c>
      <c r="J169" s="448" t="str">
        <f>IFERROR((IF(H169=0,0,(VLOOKUP(H169,'MTRL MSK (TPDP)'!$H$8:$U637,7,0))))/(IF(H169=0,0,(VLOOKUP(H169,'MTRL MSK (TPDP)'!$H$8:$U637,5,0)))),"")</f>
        <v/>
      </c>
      <c r="K169" s="559"/>
      <c r="L169" s="448">
        <f t="shared" si="1"/>
        <v>0</v>
      </c>
      <c r="M169" s="647">
        <f t="shared" si="2"/>
        <v>0</v>
      </c>
      <c r="N169" s="647">
        <f t="shared" si="3"/>
        <v>0</v>
      </c>
      <c r="O169" s="448">
        <f>IF(H169=0,0,(VLOOKUP(H169,'MTRL MSK (TPDP)'!$H$9:$U637,5,0)))</f>
        <v>0</v>
      </c>
      <c r="P169" s="448">
        <f t="shared" si="4"/>
        <v>0</v>
      </c>
      <c r="Q169" s="448">
        <f t="shared" si="5"/>
        <v>0</v>
      </c>
      <c r="R169" s="648" t="str">
        <f>IFERROR(IF(S169="","",(VLOOKUP(S169,'1. BQ RAPL'!$D$14:$K637,8,0))),"")</f>
        <v/>
      </c>
      <c r="S169" s="649"/>
      <c r="T169" s="650"/>
      <c r="U169" s="16"/>
      <c r="V169" s="16"/>
      <c r="W169" s="16"/>
      <c r="X169" s="119"/>
      <c r="Y169" s="119"/>
      <c r="Z169" s="119"/>
      <c r="AA169" s="119"/>
      <c r="AB169" s="119"/>
      <c r="AC169" s="119"/>
      <c r="AD169" s="119"/>
      <c r="AE169" s="119"/>
      <c r="AF169" s="119"/>
    </row>
    <row r="170" ht="18.75" customHeight="1">
      <c r="A170" s="119"/>
      <c r="B170" s="652"/>
      <c r="C170" s="642">
        <f>IF(F170=0,0,(VLOOKUP(F170,'MTRL MSK (TPDP)'!$F$9:$W637,18,0)))</f>
        <v>0</v>
      </c>
      <c r="D170" s="642">
        <f>IF(C170=0,0,(VLOOKUP(C170,'MTRL MSK (TPDP)'!$B$9:$W637,3,0)))</f>
        <v>0</v>
      </c>
      <c r="E170" s="643" t="str">
        <f>iferror(IF(C170="","",(VLOOKUP(C170,'MTRL MSK (TPDP)'!$B$9:$W637,4,0))),"")</f>
        <v/>
      </c>
      <c r="F170" s="644">
        <f>IF(H170=0,0,(VLOOKUP(H170,'MTRL MSK (TPDP)'!$H$9:$X637,17,0)))</f>
        <v>0</v>
      </c>
      <c r="G170" s="645"/>
      <c r="H170" s="646"/>
      <c r="I170" s="446">
        <f>IF(H170=0,0,(VLOOKUP(H170,'MTRL MSK (TPDP)'!$H$9:$U637,2,0)))</f>
        <v>0</v>
      </c>
      <c r="J170" s="448" t="str">
        <f>IFERROR((IF(H170=0,0,(VLOOKUP(H170,'MTRL MSK (TPDP)'!$H$8:$U637,7,0))))/(IF(H170=0,0,(VLOOKUP(H170,'MTRL MSK (TPDP)'!$H$8:$U637,5,0)))),"")</f>
        <v/>
      </c>
      <c r="K170" s="559"/>
      <c r="L170" s="448">
        <f t="shared" si="1"/>
        <v>0</v>
      </c>
      <c r="M170" s="647">
        <f t="shared" si="2"/>
        <v>0</v>
      </c>
      <c r="N170" s="647">
        <f t="shared" si="3"/>
        <v>0</v>
      </c>
      <c r="O170" s="448">
        <f>IF(H170=0,0,(VLOOKUP(H170,'MTRL MSK (TPDP)'!$H$9:$U637,5,0)))</f>
        <v>0</v>
      </c>
      <c r="P170" s="448">
        <f t="shared" si="4"/>
        <v>0</v>
      </c>
      <c r="Q170" s="448">
        <f t="shared" si="5"/>
        <v>0</v>
      </c>
      <c r="R170" s="648" t="str">
        <f>IFERROR(IF(S170="","",(VLOOKUP(S170,'1. BQ RAPL'!$D$14:$K637,8,0))),"")</f>
        <v/>
      </c>
      <c r="S170" s="649"/>
      <c r="T170" s="650"/>
      <c r="U170" s="16"/>
      <c r="V170" s="16"/>
      <c r="W170" s="16"/>
      <c r="X170" s="119"/>
      <c r="Y170" s="119"/>
      <c r="Z170" s="119"/>
      <c r="AA170" s="119"/>
      <c r="AB170" s="119"/>
      <c r="AC170" s="119"/>
      <c r="AD170" s="119"/>
      <c r="AE170" s="119"/>
      <c r="AF170" s="119"/>
    </row>
    <row r="171" ht="18.75" customHeight="1">
      <c r="A171" s="119"/>
      <c r="B171" s="652"/>
      <c r="C171" s="642">
        <f>IF(F171=0,0,(VLOOKUP(F171,'MTRL MSK (TPDP)'!$F$9:$W637,18,0)))</f>
        <v>0</v>
      </c>
      <c r="D171" s="642">
        <f>IF(C171=0,0,(VLOOKUP(C171,'MTRL MSK (TPDP)'!$B$9:$W637,3,0)))</f>
        <v>0</v>
      </c>
      <c r="E171" s="643" t="str">
        <f>iferror(IF(C171="","",(VLOOKUP(C171,'MTRL MSK (TPDP)'!$B$9:$W637,4,0))),"")</f>
        <v/>
      </c>
      <c r="F171" s="644">
        <f>IF(H171=0,0,(VLOOKUP(H171,'MTRL MSK (TPDP)'!$H$9:$X637,17,0)))</f>
        <v>0</v>
      </c>
      <c r="G171" s="645"/>
      <c r="H171" s="646"/>
      <c r="I171" s="446">
        <f>IF(H171=0,0,(VLOOKUP(H171,'MTRL MSK (TPDP)'!$H$9:$U637,2,0)))</f>
        <v>0</v>
      </c>
      <c r="J171" s="448" t="str">
        <f>IFERROR((IF(H171=0,0,(VLOOKUP(H171,'MTRL MSK (TPDP)'!$H$8:$U637,7,0))))/(IF(H171=0,0,(VLOOKUP(H171,'MTRL MSK (TPDP)'!$H$8:$U637,5,0)))),"")</f>
        <v/>
      </c>
      <c r="K171" s="559"/>
      <c r="L171" s="448">
        <f t="shared" si="1"/>
        <v>0</v>
      </c>
      <c r="M171" s="647">
        <f t="shared" si="2"/>
        <v>0</v>
      </c>
      <c r="N171" s="647">
        <f t="shared" si="3"/>
        <v>0</v>
      </c>
      <c r="O171" s="448">
        <f>IF(H171=0,0,(VLOOKUP(H171,'MTRL MSK (TPDP)'!$H$9:$U637,5,0)))</f>
        <v>0</v>
      </c>
      <c r="P171" s="448">
        <f t="shared" si="4"/>
        <v>0</v>
      </c>
      <c r="Q171" s="448">
        <f t="shared" si="5"/>
        <v>0</v>
      </c>
      <c r="R171" s="648" t="str">
        <f>IFERROR(IF(S171="","",(VLOOKUP(S171,'1. BQ RAPL'!$D$14:$K637,8,0))),"")</f>
        <v/>
      </c>
      <c r="S171" s="649"/>
      <c r="T171" s="650"/>
      <c r="U171" s="16"/>
      <c r="V171" s="16"/>
      <c r="W171" s="16"/>
      <c r="X171" s="119"/>
      <c r="Y171" s="119"/>
      <c r="Z171" s="119"/>
      <c r="AA171" s="119"/>
      <c r="AB171" s="119"/>
      <c r="AC171" s="119"/>
      <c r="AD171" s="119"/>
      <c r="AE171" s="119"/>
      <c r="AF171" s="119"/>
    </row>
    <row r="172" ht="18.75" customHeight="1">
      <c r="A172" s="119"/>
      <c r="B172" s="652"/>
      <c r="C172" s="642">
        <f>IF(F172=0,0,(VLOOKUP(F172,'MTRL MSK (TPDP)'!$F$9:$W637,18,0)))</f>
        <v>0</v>
      </c>
      <c r="D172" s="642">
        <f>IF(C172=0,0,(VLOOKUP(C172,'MTRL MSK (TPDP)'!$B$9:$W637,3,0)))</f>
        <v>0</v>
      </c>
      <c r="E172" s="643" t="str">
        <f>iferror(IF(C172="","",(VLOOKUP(C172,'MTRL MSK (TPDP)'!$B$9:$W637,4,0))),"")</f>
        <v/>
      </c>
      <c r="F172" s="644">
        <f>IF(H172=0,0,(VLOOKUP(H172,'MTRL MSK (TPDP)'!$H$9:$X637,17,0)))</f>
        <v>0</v>
      </c>
      <c r="G172" s="645"/>
      <c r="H172" s="646"/>
      <c r="I172" s="446">
        <f>IF(H172=0,0,(VLOOKUP(H172,'MTRL MSK (TPDP)'!$H$9:$U637,2,0)))</f>
        <v>0</v>
      </c>
      <c r="J172" s="448" t="str">
        <f>IFERROR((IF(H172=0,0,(VLOOKUP(H172,'MTRL MSK (TPDP)'!$H$8:$U637,7,0))))/(IF(H172=0,0,(VLOOKUP(H172,'MTRL MSK (TPDP)'!$H$8:$U637,5,0)))),"")</f>
        <v/>
      </c>
      <c r="K172" s="559"/>
      <c r="L172" s="448">
        <f t="shared" si="1"/>
        <v>0</v>
      </c>
      <c r="M172" s="647">
        <f t="shared" si="2"/>
        <v>0</v>
      </c>
      <c r="N172" s="647">
        <f t="shared" si="3"/>
        <v>0</v>
      </c>
      <c r="O172" s="448">
        <f>IF(H172=0,0,(VLOOKUP(H172,'MTRL MSK (TPDP)'!$H$9:$U637,5,0)))</f>
        <v>0</v>
      </c>
      <c r="P172" s="448">
        <f t="shared" si="4"/>
        <v>0</v>
      </c>
      <c r="Q172" s="448">
        <f t="shared" si="5"/>
        <v>0</v>
      </c>
      <c r="R172" s="648" t="str">
        <f>IFERROR(IF(S172="","",(VLOOKUP(S172,'1. BQ RAPL'!$D$14:$K637,8,0))),"")</f>
        <v/>
      </c>
      <c r="S172" s="649"/>
      <c r="T172" s="650"/>
      <c r="U172" s="16"/>
      <c r="V172" s="16"/>
      <c r="W172" s="16"/>
      <c r="X172" s="119"/>
      <c r="Y172" s="119"/>
      <c r="Z172" s="119"/>
      <c r="AA172" s="119"/>
      <c r="AB172" s="119"/>
      <c r="AC172" s="119"/>
      <c r="AD172" s="119"/>
      <c r="AE172" s="119"/>
      <c r="AF172" s="119"/>
    </row>
    <row r="173" ht="18.75" customHeight="1">
      <c r="A173" s="119"/>
      <c r="B173" s="652"/>
      <c r="C173" s="642">
        <f>IF(F173=0,0,(VLOOKUP(F173,'MTRL MSK (TPDP)'!$F$9:$W637,18,0)))</f>
        <v>0</v>
      </c>
      <c r="D173" s="642">
        <f>IF(C173=0,0,(VLOOKUP(C173,'MTRL MSK (TPDP)'!$B$9:$W637,3,0)))</f>
        <v>0</v>
      </c>
      <c r="E173" s="643" t="str">
        <f>iferror(IF(C173="","",(VLOOKUP(C173,'MTRL MSK (TPDP)'!$B$9:$W637,4,0))),"")</f>
        <v/>
      </c>
      <c r="F173" s="644">
        <f>IF(H173=0,0,(VLOOKUP(H173,'MTRL MSK (TPDP)'!$H$9:$X637,17,0)))</f>
        <v>0</v>
      </c>
      <c r="G173" s="645"/>
      <c r="H173" s="646"/>
      <c r="I173" s="446">
        <f>IF(H173=0,0,(VLOOKUP(H173,'MTRL MSK (TPDP)'!$H$9:$U637,2,0)))</f>
        <v>0</v>
      </c>
      <c r="J173" s="448" t="str">
        <f>IFERROR((IF(H173=0,0,(VLOOKUP(H173,'MTRL MSK (TPDP)'!$H$8:$U637,7,0))))/(IF(H173=0,0,(VLOOKUP(H173,'MTRL MSK (TPDP)'!$H$8:$U637,5,0)))),"")</f>
        <v/>
      </c>
      <c r="K173" s="559"/>
      <c r="L173" s="448">
        <f t="shared" si="1"/>
        <v>0</v>
      </c>
      <c r="M173" s="647">
        <f t="shared" si="2"/>
        <v>0</v>
      </c>
      <c r="N173" s="647">
        <f t="shared" si="3"/>
        <v>0</v>
      </c>
      <c r="O173" s="448">
        <f>IF(H173=0,0,(VLOOKUP(H173,'MTRL MSK (TPDP)'!$H$9:$U637,5,0)))</f>
        <v>0</v>
      </c>
      <c r="P173" s="448">
        <f t="shared" si="4"/>
        <v>0</v>
      </c>
      <c r="Q173" s="448">
        <f t="shared" si="5"/>
        <v>0</v>
      </c>
      <c r="R173" s="648" t="str">
        <f>IFERROR(IF(S173="","",(VLOOKUP(S173,'1. BQ RAPL'!$D$14:$K637,8,0))),"")</f>
        <v/>
      </c>
      <c r="S173" s="649"/>
      <c r="T173" s="650"/>
      <c r="U173" s="16"/>
      <c r="V173" s="16"/>
      <c r="W173" s="16"/>
      <c r="X173" s="119"/>
      <c r="Y173" s="119"/>
      <c r="Z173" s="119"/>
      <c r="AA173" s="119"/>
      <c r="AB173" s="119"/>
      <c r="AC173" s="119"/>
      <c r="AD173" s="119"/>
      <c r="AE173" s="119"/>
      <c r="AF173" s="119"/>
    </row>
    <row r="174" ht="18.75" customHeight="1">
      <c r="A174" s="119"/>
      <c r="B174" s="652"/>
      <c r="C174" s="642">
        <f>IF(F174=0,0,(VLOOKUP(F174,'MTRL MSK (TPDP)'!$F$9:$W637,18,0)))</f>
        <v>0</v>
      </c>
      <c r="D174" s="642">
        <f>IF(C174=0,0,(VLOOKUP(C174,'MTRL MSK (TPDP)'!$B$9:$W637,3,0)))</f>
        <v>0</v>
      </c>
      <c r="E174" s="643" t="str">
        <f>iferror(IF(C174="","",(VLOOKUP(C174,'MTRL MSK (TPDP)'!$B$9:$W637,4,0))),"")</f>
        <v/>
      </c>
      <c r="F174" s="644">
        <f>IF(H174=0,0,(VLOOKUP(H174,'MTRL MSK (TPDP)'!$H$9:$X637,17,0)))</f>
        <v>0</v>
      </c>
      <c r="G174" s="645"/>
      <c r="H174" s="646"/>
      <c r="I174" s="446">
        <f>IF(H174=0,0,(VLOOKUP(H174,'MTRL MSK (TPDP)'!$H$9:$U637,2,0)))</f>
        <v>0</v>
      </c>
      <c r="J174" s="448" t="str">
        <f>IFERROR((IF(H174=0,0,(VLOOKUP(H174,'MTRL MSK (TPDP)'!$H$8:$U637,7,0))))/(IF(H174=0,0,(VLOOKUP(H174,'MTRL MSK (TPDP)'!$H$8:$U637,5,0)))),"")</f>
        <v/>
      </c>
      <c r="K174" s="559"/>
      <c r="L174" s="448">
        <f t="shared" si="1"/>
        <v>0</v>
      </c>
      <c r="M174" s="647">
        <f t="shared" si="2"/>
        <v>0</v>
      </c>
      <c r="N174" s="647">
        <f t="shared" si="3"/>
        <v>0</v>
      </c>
      <c r="O174" s="448">
        <f>IF(H174=0,0,(VLOOKUP(H174,'MTRL MSK (TPDP)'!$H$9:$U637,5,0)))</f>
        <v>0</v>
      </c>
      <c r="P174" s="448">
        <f t="shared" si="4"/>
        <v>0</v>
      </c>
      <c r="Q174" s="448">
        <f t="shared" si="5"/>
        <v>0</v>
      </c>
      <c r="R174" s="648" t="str">
        <f>IFERROR(IF(S174="","",(VLOOKUP(S174,'1. BQ RAPL'!$D$14:$K637,8,0))),"")</f>
        <v/>
      </c>
      <c r="S174" s="649"/>
      <c r="T174" s="650"/>
      <c r="U174" s="16"/>
      <c r="V174" s="16"/>
      <c r="W174" s="16"/>
      <c r="X174" s="119"/>
      <c r="Y174" s="119"/>
      <c r="Z174" s="119"/>
      <c r="AA174" s="119"/>
      <c r="AB174" s="119"/>
      <c r="AC174" s="119"/>
      <c r="AD174" s="119"/>
      <c r="AE174" s="119"/>
      <c r="AF174" s="119"/>
    </row>
    <row r="175" ht="18.75" customHeight="1">
      <c r="A175" s="119"/>
      <c r="B175" s="652"/>
      <c r="C175" s="642">
        <f>IF(F175=0,0,(VLOOKUP(F175,'MTRL MSK (TPDP)'!$F$9:$W637,18,0)))</f>
        <v>0</v>
      </c>
      <c r="D175" s="642">
        <f>IF(C175=0,0,(VLOOKUP(C175,'MTRL MSK (TPDP)'!$B$9:$W637,3,0)))</f>
        <v>0</v>
      </c>
      <c r="E175" s="643" t="str">
        <f>iferror(IF(C175="","",(VLOOKUP(C175,'MTRL MSK (TPDP)'!$B$9:$W637,4,0))),"")</f>
        <v/>
      </c>
      <c r="F175" s="644">
        <f>IF(H175=0,0,(VLOOKUP(H175,'MTRL MSK (TPDP)'!$H$9:$X637,17,0)))</f>
        <v>0</v>
      </c>
      <c r="G175" s="645"/>
      <c r="H175" s="646"/>
      <c r="I175" s="446">
        <f>IF(H175=0,0,(VLOOKUP(H175,'MTRL MSK (TPDP)'!$H$9:$U637,2,0)))</f>
        <v>0</v>
      </c>
      <c r="J175" s="448" t="str">
        <f>IFERROR((IF(H175=0,0,(VLOOKUP(H175,'MTRL MSK (TPDP)'!$H$8:$U637,7,0))))/(IF(H175=0,0,(VLOOKUP(H175,'MTRL MSK (TPDP)'!$H$8:$U637,5,0)))),"")</f>
        <v/>
      </c>
      <c r="K175" s="559"/>
      <c r="L175" s="448">
        <f t="shared" si="1"/>
        <v>0</v>
      </c>
      <c r="M175" s="647">
        <f t="shared" si="2"/>
        <v>0</v>
      </c>
      <c r="N175" s="647">
        <f t="shared" si="3"/>
        <v>0</v>
      </c>
      <c r="O175" s="448">
        <f>IF(H175=0,0,(VLOOKUP(H175,'MTRL MSK (TPDP)'!$H$9:$U637,5,0)))</f>
        <v>0</v>
      </c>
      <c r="P175" s="448">
        <f t="shared" si="4"/>
        <v>0</v>
      </c>
      <c r="Q175" s="448">
        <f t="shared" si="5"/>
        <v>0</v>
      </c>
      <c r="R175" s="648" t="str">
        <f>IFERROR(IF(S175="","",(VLOOKUP(S175,'1. BQ RAPL'!$D$14:$K637,8,0))),"")</f>
        <v/>
      </c>
      <c r="S175" s="649"/>
      <c r="T175" s="650"/>
      <c r="U175" s="16"/>
      <c r="V175" s="16"/>
      <c r="W175" s="16"/>
      <c r="X175" s="119"/>
      <c r="Y175" s="119"/>
      <c r="Z175" s="119"/>
      <c r="AA175" s="119"/>
      <c r="AB175" s="119"/>
      <c r="AC175" s="119"/>
      <c r="AD175" s="119"/>
      <c r="AE175" s="119"/>
      <c r="AF175" s="119"/>
    </row>
    <row r="176" ht="18.75" customHeight="1">
      <c r="A176" s="119"/>
      <c r="B176" s="652"/>
      <c r="C176" s="642">
        <f>IF(F176=0,0,(VLOOKUP(F176,'MTRL MSK (TPDP)'!$F$9:$W637,18,0)))</f>
        <v>0</v>
      </c>
      <c r="D176" s="642">
        <f>IF(C176=0,0,(VLOOKUP(C176,'MTRL MSK (TPDP)'!$B$9:$W637,3,0)))</f>
        <v>0</v>
      </c>
      <c r="E176" s="643" t="str">
        <f>iferror(IF(C176="","",(VLOOKUP(C176,'MTRL MSK (TPDP)'!$B$9:$W637,4,0))),"")</f>
        <v/>
      </c>
      <c r="F176" s="644">
        <f>IF(H176=0,0,(VLOOKUP(H176,'MTRL MSK (TPDP)'!$H$9:$X637,17,0)))</f>
        <v>0</v>
      </c>
      <c r="G176" s="645"/>
      <c r="H176" s="646"/>
      <c r="I176" s="446">
        <f>IF(H176=0,0,(VLOOKUP(H176,'MTRL MSK (TPDP)'!$H$9:$U637,2,0)))</f>
        <v>0</v>
      </c>
      <c r="J176" s="448" t="str">
        <f>IFERROR((IF(H176=0,0,(VLOOKUP(H176,'MTRL MSK (TPDP)'!$H$8:$U637,7,0))))/(IF(H176=0,0,(VLOOKUP(H176,'MTRL MSK (TPDP)'!$H$8:$U637,5,0)))),"")</f>
        <v/>
      </c>
      <c r="K176" s="559"/>
      <c r="L176" s="448">
        <f t="shared" si="1"/>
        <v>0</v>
      </c>
      <c r="M176" s="647">
        <f t="shared" si="2"/>
        <v>0</v>
      </c>
      <c r="N176" s="647">
        <f t="shared" si="3"/>
        <v>0</v>
      </c>
      <c r="O176" s="448">
        <f>IF(H176=0,0,(VLOOKUP(H176,'MTRL MSK (TPDP)'!$H$9:$U637,5,0)))</f>
        <v>0</v>
      </c>
      <c r="P176" s="448">
        <f t="shared" si="4"/>
        <v>0</v>
      </c>
      <c r="Q176" s="448">
        <f t="shared" si="5"/>
        <v>0</v>
      </c>
      <c r="R176" s="648" t="str">
        <f>IFERROR(IF(S176="","",(VLOOKUP(S176,'1. BQ RAPL'!$D$14:$K637,8,0))),"")</f>
        <v/>
      </c>
      <c r="S176" s="649"/>
      <c r="T176" s="650"/>
      <c r="U176" s="16"/>
      <c r="V176" s="16"/>
      <c r="W176" s="16"/>
      <c r="X176" s="119"/>
      <c r="Y176" s="119"/>
      <c r="Z176" s="119"/>
      <c r="AA176" s="119"/>
      <c r="AB176" s="119"/>
      <c r="AC176" s="119"/>
      <c r="AD176" s="119"/>
      <c r="AE176" s="119"/>
      <c r="AF176" s="119"/>
    </row>
    <row r="177" ht="18.75" customHeight="1">
      <c r="A177" s="119"/>
      <c r="B177" s="652"/>
      <c r="C177" s="642">
        <f>IF(F177=0,0,(VLOOKUP(F177,'MTRL MSK (TPDP)'!$F$9:$W637,18,0)))</f>
        <v>0</v>
      </c>
      <c r="D177" s="642">
        <f>IF(C177=0,0,(VLOOKUP(C177,'MTRL MSK (TPDP)'!$B$9:$W637,3,0)))</f>
        <v>0</v>
      </c>
      <c r="E177" s="643" t="str">
        <f>iferror(IF(C177="","",(VLOOKUP(C177,'MTRL MSK (TPDP)'!$B$9:$W637,4,0))),"")</f>
        <v/>
      </c>
      <c r="F177" s="644">
        <f>IF(H177=0,0,(VLOOKUP(H177,'MTRL MSK (TPDP)'!$H$9:$X637,17,0)))</f>
        <v>0</v>
      </c>
      <c r="G177" s="645"/>
      <c r="H177" s="646"/>
      <c r="I177" s="446">
        <f>IF(H177=0,0,(VLOOKUP(H177,'MTRL MSK (TPDP)'!$H$9:$U637,2,0)))</f>
        <v>0</v>
      </c>
      <c r="J177" s="448" t="str">
        <f>IFERROR((IF(H177=0,0,(VLOOKUP(H177,'MTRL MSK (TPDP)'!$H$8:$U637,7,0))))/(IF(H177=0,0,(VLOOKUP(H177,'MTRL MSK (TPDP)'!$H$8:$U637,5,0)))),"")</f>
        <v/>
      </c>
      <c r="K177" s="559"/>
      <c r="L177" s="448">
        <f t="shared" si="1"/>
        <v>0</v>
      </c>
      <c r="M177" s="647">
        <f t="shared" si="2"/>
        <v>0</v>
      </c>
      <c r="N177" s="647">
        <f t="shared" si="3"/>
        <v>0</v>
      </c>
      <c r="O177" s="448">
        <f>IF(H177=0,0,(VLOOKUP(H177,'MTRL MSK (TPDP)'!$H$9:$U637,5,0)))</f>
        <v>0</v>
      </c>
      <c r="P177" s="448">
        <f t="shared" si="4"/>
        <v>0</v>
      </c>
      <c r="Q177" s="448">
        <f t="shared" si="5"/>
        <v>0</v>
      </c>
      <c r="R177" s="648" t="str">
        <f>IFERROR(IF(S177="","",(VLOOKUP(S177,'1. BQ RAPL'!$D$14:$K637,8,0))),"")</f>
        <v/>
      </c>
      <c r="S177" s="649"/>
      <c r="T177" s="650"/>
      <c r="U177" s="16"/>
      <c r="V177" s="16"/>
      <c r="W177" s="16"/>
      <c r="X177" s="119"/>
      <c r="Y177" s="119"/>
      <c r="Z177" s="119"/>
      <c r="AA177" s="119"/>
      <c r="AB177" s="119"/>
      <c r="AC177" s="119"/>
      <c r="AD177" s="119"/>
      <c r="AE177" s="119"/>
      <c r="AF177" s="119"/>
    </row>
    <row r="178" ht="18.75" customHeight="1">
      <c r="A178" s="119"/>
      <c r="B178" s="652"/>
      <c r="C178" s="642">
        <f>IF(F178=0,0,(VLOOKUP(F178,'MTRL MSK (TPDP)'!$F$9:$W637,18,0)))</f>
        <v>0</v>
      </c>
      <c r="D178" s="642">
        <f>IF(C178=0,0,(VLOOKUP(C178,'MTRL MSK (TPDP)'!$B$9:$W637,3,0)))</f>
        <v>0</v>
      </c>
      <c r="E178" s="643" t="str">
        <f>iferror(IF(C178="","",(VLOOKUP(C178,'MTRL MSK (TPDP)'!$B$9:$W637,4,0))),"")</f>
        <v/>
      </c>
      <c r="F178" s="644">
        <f>IF(H178=0,0,(VLOOKUP(H178,'MTRL MSK (TPDP)'!$H$9:$X637,17,0)))</f>
        <v>0</v>
      </c>
      <c r="G178" s="645"/>
      <c r="H178" s="646"/>
      <c r="I178" s="446">
        <f>IF(H178=0,0,(VLOOKUP(H178,'MTRL MSK (TPDP)'!$H$9:$U637,2,0)))</f>
        <v>0</v>
      </c>
      <c r="J178" s="448" t="str">
        <f>IFERROR((IF(H178=0,0,(VLOOKUP(H178,'MTRL MSK (TPDP)'!$H$8:$U637,7,0))))/(IF(H178=0,0,(VLOOKUP(H178,'MTRL MSK (TPDP)'!$H$8:$U637,5,0)))),"")</f>
        <v/>
      </c>
      <c r="K178" s="559"/>
      <c r="L178" s="448">
        <f t="shared" si="1"/>
        <v>0</v>
      </c>
      <c r="M178" s="647">
        <f t="shared" si="2"/>
        <v>0</v>
      </c>
      <c r="N178" s="647">
        <f t="shared" si="3"/>
        <v>0</v>
      </c>
      <c r="O178" s="448">
        <f>IF(H178=0,0,(VLOOKUP(H178,'MTRL MSK (TPDP)'!$H$9:$U637,5,0)))</f>
        <v>0</v>
      </c>
      <c r="P178" s="448">
        <f t="shared" si="4"/>
        <v>0</v>
      </c>
      <c r="Q178" s="448">
        <f t="shared" si="5"/>
        <v>0</v>
      </c>
      <c r="R178" s="648" t="str">
        <f>IFERROR(IF(S178="","",(VLOOKUP(S178,'1. BQ RAPL'!$D$14:$K637,8,0))),"")</f>
        <v/>
      </c>
      <c r="S178" s="649"/>
      <c r="T178" s="650"/>
      <c r="U178" s="16"/>
      <c r="V178" s="16"/>
      <c r="W178" s="16"/>
      <c r="X178" s="119"/>
      <c r="Y178" s="119"/>
      <c r="Z178" s="119"/>
      <c r="AA178" s="119"/>
      <c r="AB178" s="119"/>
      <c r="AC178" s="119"/>
      <c r="AD178" s="119"/>
      <c r="AE178" s="119"/>
      <c r="AF178" s="119"/>
    </row>
    <row r="179" ht="18.75" customHeight="1">
      <c r="A179" s="119"/>
      <c r="B179" s="652"/>
      <c r="C179" s="642">
        <f>IF(F179=0,0,(VLOOKUP(F179,'MTRL MSK (TPDP)'!$F$9:$W637,18,0)))</f>
        <v>0</v>
      </c>
      <c r="D179" s="642">
        <f>IF(C179=0,0,(VLOOKUP(C179,'MTRL MSK (TPDP)'!$B$9:$W637,3,0)))</f>
        <v>0</v>
      </c>
      <c r="E179" s="643" t="str">
        <f>iferror(IF(C179="","",(VLOOKUP(C179,'MTRL MSK (TPDP)'!$B$9:$W637,4,0))),"")</f>
        <v/>
      </c>
      <c r="F179" s="644">
        <f>IF(H179=0,0,(VLOOKUP(H179,'MTRL MSK (TPDP)'!$H$9:$X637,17,0)))</f>
        <v>0</v>
      </c>
      <c r="G179" s="645"/>
      <c r="H179" s="646"/>
      <c r="I179" s="446">
        <f>IF(H179=0,0,(VLOOKUP(H179,'MTRL MSK (TPDP)'!$H$9:$U637,2,0)))</f>
        <v>0</v>
      </c>
      <c r="J179" s="448" t="str">
        <f>IFERROR((IF(H179=0,0,(VLOOKUP(H179,'MTRL MSK (TPDP)'!$H$8:$U637,7,0))))/(IF(H179=0,0,(VLOOKUP(H179,'MTRL MSK (TPDP)'!$H$8:$U637,5,0)))),"")</f>
        <v/>
      </c>
      <c r="K179" s="559"/>
      <c r="L179" s="448">
        <f t="shared" si="1"/>
        <v>0</v>
      </c>
      <c r="M179" s="647">
        <f t="shared" si="2"/>
        <v>0</v>
      </c>
      <c r="N179" s="647">
        <f t="shared" si="3"/>
        <v>0</v>
      </c>
      <c r="O179" s="448">
        <f>IF(H179=0,0,(VLOOKUP(H179,'MTRL MSK (TPDP)'!$H$9:$U637,5,0)))</f>
        <v>0</v>
      </c>
      <c r="P179" s="448">
        <f t="shared" si="4"/>
        <v>0</v>
      </c>
      <c r="Q179" s="448">
        <f t="shared" si="5"/>
        <v>0</v>
      </c>
      <c r="R179" s="648" t="str">
        <f>IFERROR(IF(S179="","",(VLOOKUP(S179,'1. BQ RAPL'!$D$14:$K637,8,0))),"")</f>
        <v/>
      </c>
      <c r="S179" s="649"/>
      <c r="T179" s="650"/>
      <c r="U179" s="16"/>
      <c r="V179" s="16"/>
      <c r="W179" s="16"/>
      <c r="X179" s="119"/>
      <c r="Y179" s="119"/>
      <c r="Z179" s="119"/>
      <c r="AA179" s="119"/>
      <c r="AB179" s="119"/>
      <c r="AC179" s="119"/>
      <c r="AD179" s="119"/>
      <c r="AE179" s="119"/>
      <c r="AF179" s="119"/>
    </row>
    <row r="180" ht="18.75" customHeight="1">
      <c r="A180" s="119"/>
      <c r="B180" s="652"/>
      <c r="C180" s="642">
        <f>IF(F180=0,0,(VLOOKUP(F180,'MTRL MSK (TPDP)'!$F$9:$W637,18,0)))</f>
        <v>0</v>
      </c>
      <c r="D180" s="642">
        <f>IF(C180=0,0,(VLOOKUP(C180,'MTRL MSK (TPDP)'!$B$9:$W637,3,0)))</f>
        <v>0</v>
      </c>
      <c r="E180" s="643" t="str">
        <f>iferror(IF(C180="","",(VLOOKUP(C180,'MTRL MSK (TPDP)'!$B$9:$W637,4,0))),"")</f>
        <v/>
      </c>
      <c r="F180" s="644">
        <f>IF(H180=0,0,(VLOOKUP(H180,'MTRL MSK (TPDP)'!$H$9:$X637,17,0)))</f>
        <v>0</v>
      </c>
      <c r="G180" s="645"/>
      <c r="H180" s="646"/>
      <c r="I180" s="446">
        <f>IF(H180=0,0,(VLOOKUP(H180,'MTRL MSK (TPDP)'!$H$9:$U637,2,0)))</f>
        <v>0</v>
      </c>
      <c r="J180" s="448" t="str">
        <f>IFERROR((IF(H180=0,0,(VLOOKUP(H180,'MTRL MSK (TPDP)'!$H$8:$U637,7,0))))/(IF(H180=0,0,(VLOOKUP(H180,'MTRL MSK (TPDP)'!$H$8:$U637,5,0)))),"")</f>
        <v/>
      </c>
      <c r="K180" s="559"/>
      <c r="L180" s="448">
        <f t="shared" si="1"/>
        <v>0</v>
      </c>
      <c r="M180" s="647">
        <f t="shared" si="2"/>
        <v>0</v>
      </c>
      <c r="N180" s="647">
        <f t="shared" si="3"/>
        <v>0</v>
      </c>
      <c r="O180" s="448">
        <f>IF(H180=0,0,(VLOOKUP(H180,'MTRL MSK (TPDP)'!$H$9:$U637,5,0)))</f>
        <v>0</v>
      </c>
      <c r="P180" s="448">
        <f t="shared" si="4"/>
        <v>0</v>
      </c>
      <c r="Q180" s="448">
        <f t="shared" si="5"/>
        <v>0</v>
      </c>
      <c r="R180" s="648" t="str">
        <f>IFERROR(IF(S180="","",(VLOOKUP(S180,'1. BQ RAPL'!$D$14:$K637,8,0))),"")</f>
        <v/>
      </c>
      <c r="S180" s="649"/>
      <c r="T180" s="650"/>
      <c r="U180" s="16"/>
      <c r="V180" s="16"/>
      <c r="W180" s="16"/>
      <c r="X180" s="119"/>
      <c r="Y180" s="119"/>
      <c r="Z180" s="119"/>
      <c r="AA180" s="119"/>
      <c r="AB180" s="119"/>
      <c r="AC180" s="119"/>
      <c r="AD180" s="119"/>
      <c r="AE180" s="119"/>
      <c r="AF180" s="119"/>
    </row>
    <row r="181" ht="18.75" customHeight="1">
      <c r="A181" s="119"/>
      <c r="B181" s="652"/>
      <c r="C181" s="642">
        <f>IF(F181=0,0,(VLOOKUP(F181,'MTRL MSK (TPDP)'!$F$9:$W637,18,0)))</f>
        <v>0</v>
      </c>
      <c r="D181" s="642">
        <f>IF(C181=0,0,(VLOOKUP(C181,'MTRL MSK (TPDP)'!$B$9:$W637,3,0)))</f>
        <v>0</v>
      </c>
      <c r="E181" s="643" t="str">
        <f>iferror(IF(C181="","",(VLOOKUP(C181,'MTRL MSK (TPDP)'!$B$9:$W637,4,0))),"")</f>
        <v/>
      </c>
      <c r="F181" s="644">
        <f>IF(H181=0,0,(VLOOKUP(H181,'MTRL MSK (TPDP)'!$H$9:$X637,17,0)))</f>
        <v>0</v>
      </c>
      <c r="G181" s="645"/>
      <c r="H181" s="646"/>
      <c r="I181" s="446">
        <f>IF(H181=0,0,(VLOOKUP(H181,'MTRL MSK (TPDP)'!$H$9:$U637,2,0)))</f>
        <v>0</v>
      </c>
      <c r="J181" s="448" t="str">
        <f>IFERROR((IF(H181=0,0,(VLOOKUP(H181,'MTRL MSK (TPDP)'!$H$8:$U637,7,0))))/(IF(H181=0,0,(VLOOKUP(H181,'MTRL MSK (TPDP)'!$H$8:$U637,5,0)))),"")</f>
        <v/>
      </c>
      <c r="K181" s="559"/>
      <c r="L181" s="448">
        <f t="shared" si="1"/>
        <v>0</v>
      </c>
      <c r="M181" s="647">
        <f t="shared" si="2"/>
        <v>0</v>
      </c>
      <c r="N181" s="647">
        <f t="shared" si="3"/>
        <v>0</v>
      </c>
      <c r="O181" s="448">
        <f>IF(H181=0,0,(VLOOKUP(H181,'MTRL MSK (TPDP)'!$H$9:$U637,5,0)))</f>
        <v>0</v>
      </c>
      <c r="P181" s="448">
        <f t="shared" si="4"/>
        <v>0</v>
      </c>
      <c r="Q181" s="448">
        <f t="shared" si="5"/>
        <v>0</v>
      </c>
      <c r="R181" s="648" t="str">
        <f>IFERROR(IF(S181="","",(VLOOKUP(S181,'1. BQ RAPL'!$D$14:$K637,8,0))),"")</f>
        <v/>
      </c>
      <c r="S181" s="649"/>
      <c r="T181" s="650"/>
      <c r="U181" s="16"/>
      <c r="V181" s="16"/>
      <c r="W181" s="16"/>
      <c r="X181" s="119"/>
      <c r="Y181" s="119"/>
      <c r="Z181" s="119"/>
      <c r="AA181" s="119"/>
      <c r="AB181" s="119"/>
      <c r="AC181" s="119"/>
      <c r="AD181" s="119"/>
      <c r="AE181" s="119"/>
      <c r="AF181" s="119"/>
    </row>
    <row r="182" ht="18.75" customHeight="1">
      <c r="A182" s="119"/>
      <c r="B182" s="652"/>
      <c r="C182" s="642">
        <f>IF(F182=0,0,(VLOOKUP(F182,'MTRL MSK (TPDP)'!$F$9:$W637,18,0)))</f>
        <v>0</v>
      </c>
      <c r="D182" s="642">
        <f>IF(C182=0,0,(VLOOKUP(C182,'MTRL MSK (TPDP)'!$B$9:$W637,3,0)))</f>
        <v>0</v>
      </c>
      <c r="E182" s="643" t="str">
        <f>iferror(IF(C182="","",(VLOOKUP(C182,'MTRL MSK (TPDP)'!$B$9:$W637,4,0))),"")</f>
        <v/>
      </c>
      <c r="F182" s="644">
        <f>IF(H182=0,0,(VLOOKUP(H182,'MTRL MSK (TPDP)'!$H$9:$X637,17,0)))</f>
        <v>0</v>
      </c>
      <c r="G182" s="645"/>
      <c r="H182" s="646"/>
      <c r="I182" s="446">
        <f>IF(H182=0,0,(VLOOKUP(H182,'MTRL MSK (TPDP)'!$H$9:$U637,2,0)))</f>
        <v>0</v>
      </c>
      <c r="J182" s="448" t="str">
        <f>IFERROR((IF(H182=0,0,(VLOOKUP(H182,'MTRL MSK (TPDP)'!$H$8:$U637,7,0))))/(IF(H182=0,0,(VLOOKUP(H182,'MTRL MSK (TPDP)'!$H$8:$U637,5,0)))),"")</f>
        <v/>
      </c>
      <c r="K182" s="559"/>
      <c r="L182" s="448">
        <f t="shared" si="1"/>
        <v>0</v>
      </c>
      <c r="M182" s="647">
        <f t="shared" si="2"/>
        <v>0</v>
      </c>
      <c r="N182" s="647">
        <f t="shared" si="3"/>
        <v>0</v>
      </c>
      <c r="O182" s="448">
        <f>IF(H182=0,0,(VLOOKUP(H182,'MTRL MSK (TPDP)'!$H$9:$U637,5,0)))</f>
        <v>0</v>
      </c>
      <c r="P182" s="448">
        <f t="shared" si="4"/>
        <v>0</v>
      </c>
      <c r="Q182" s="448">
        <f t="shared" si="5"/>
        <v>0</v>
      </c>
      <c r="R182" s="648" t="str">
        <f>IFERROR(IF(S182="","",(VLOOKUP(S182,'1. BQ RAPL'!$D$14:$K637,8,0))),"")</f>
        <v/>
      </c>
      <c r="S182" s="649"/>
      <c r="T182" s="650"/>
      <c r="U182" s="16"/>
      <c r="V182" s="16"/>
      <c r="W182" s="16"/>
      <c r="X182" s="119"/>
      <c r="Y182" s="119"/>
      <c r="Z182" s="119"/>
      <c r="AA182" s="119"/>
      <c r="AB182" s="119"/>
      <c r="AC182" s="119"/>
      <c r="AD182" s="119"/>
      <c r="AE182" s="119"/>
      <c r="AF182" s="119"/>
    </row>
    <row r="183" ht="18.75" customHeight="1">
      <c r="A183" s="119"/>
      <c r="B183" s="652"/>
      <c r="C183" s="642">
        <f>IF(F183=0,0,(VLOOKUP(F183,'MTRL MSK (TPDP)'!$F$9:$W637,18,0)))</f>
        <v>0</v>
      </c>
      <c r="D183" s="642">
        <f>IF(C183=0,0,(VLOOKUP(C183,'MTRL MSK (TPDP)'!$B$9:$W637,3,0)))</f>
        <v>0</v>
      </c>
      <c r="E183" s="643" t="str">
        <f>iferror(IF(C183="","",(VLOOKUP(C183,'MTRL MSK (TPDP)'!$B$9:$W637,4,0))),"")</f>
        <v/>
      </c>
      <c r="F183" s="644">
        <f>IF(H183=0,0,(VLOOKUP(H183,'MTRL MSK (TPDP)'!$H$9:$X637,17,0)))</f>
        <v>0</v>
      </c>
      <c r="G183" s="645"/>
      <c r="H183" s="646"/>
      <c r="I183" s="446">
        <f>IF(H183=0,0,(VLOOKUP(H183,'MTRL MSK (TPDP)'!$H$9:$U637,2,0)))</f>
        <v>0</v>
      </c>
      <c r="J183" s="448" t="str">
        <f>IFERROR((IF(H183=0,0,(VLOOKUP(H183,'MTRL MSK (TPDP)'!$H$8:$U637,7,0))))/(IF(H183=0,0,(VLOOKUP(H183,'MTRL MSK (TPDP)'!$H$8:$U637,5,0)))),"")</f>
        <v/>
      </c>
      <c r="K183" s="559"/>
      <c r="L183" s="448">
        <f t="shared" si="1"/>
        <v>0</v>
      </c>
      <c r="M183" s="647">
        <f t="shared" si="2"/>
        <v>0</v>
      </c>
      <c r="N183" s="647">
        <f t="shared" si="3"/>
        <v>0</v>
      </c>
      <c r="O183" s="448">
        <f>IF(H183=0,0,(VLOOKUP(H183,'MTRL MSK (TPDP)'!$H$9:$U637,5,0)))</f>
        <v>0</v>
      </c>
      <c r="P183" s="448">
        <f t="shared" si="4"/>
        <v>0</v>
      </c>
      <c r="Q183" s="448">
        <f t="shared" si="5"/>
        <v>0</v>
      </c>
      <c r="R183" s="648" t="str">
        <f>IFERROR(IF(S183="","",(VLOOKUP(S183,'1. BQ RAPL'!$D$14:$K637,8,0))),"")</f>
        <v/>
      </c>
      <c r="S183" s="649"/>
      <c r="T183" s="650"/>
      <c r="U183" s="16"/>
      <c r="V183" s="16"/>
      <c r="W183" s="16"/>
      <c r="X183" s="119"/>
      <c r="Y183" s="119"/>
      <c r="Z183" s="119"/>
      <c r="AA183" s="119"/>
      <c r="AB183" s="119"/>
      <c r="AC183" s="119"/>
      <c r="AD183" s="119"/>
      <c r="AE183" s="119"/>
      <c r="AF183" s="119"/>
    </row>
    <row r="184" ht="18.75" customHeight="1">
      <c r="A184" s="119"/>
      <c r="B184" s="652"/>
      <c r="C184" s="642">
        <f>IF(F184=0,0,(VLOOKUP(F184,'MTRL MSK (TPDP)'!$F$9:$W637,18,0)))</f>
        <v>0</v>
      </c>
      <c r="D184" s="642">
        <f>IF(C184=0,0,(VLOOKUP(C184,'MTRL MSK (TPDP)'!$B$9:$W637,3,0)))</f>
        <v>0</v>
      </c>
      <c r="E184" s="643" t="str">
        <f>iferror(IF(C184="","",(VLOOKUP(C184,'MTRL MSK (TPDP)'!$B$9:$W637,4,0))),"")</f>
        <v/>
      </c>
      <c r="F184" s="644">
        <f>IF(H184=0,0,(VLOOKUP(H184,'MTRL MSK (TPDP)'!$H$9:$X637,17,0)))</f>
        <v>0</v>
      </c>
      <c r="G184" s="645"/>
      <c r="H184" s="646"/>
      <c r="I184" s="446">
        <f>IF(H184=0,0,(VLOOKUP(H184,'MTRL MSK (TPDP)'!$H$9:$U637,2,0)))</f>
        <v>0</v>
      </c>
      <c r="J184" s="448" t="str">
        <f>IFERROR((IF(H184=0,0,(VLOOKUP(H184,'MTRL MSK (TPDP)'!$H$8:$U637,7,0))))/(IF(H184=0,0,(VLOOKUP(H184,'MTRL MSK (TPDP)'!$H$8:$U637,5,0)))),"")</f>
        <v/>
      </c>
      <c r="K184" s="559"/>
      <c r="L184" s="448">
        <f t="shared" si="1"/>
        <v>0</v>
      </c>
      <c r="M184" s="647">
        <f t="shared" si="2"/>
        <v>0</v>
      </c>
      <c r="N184" s="647">
        <f t="shared" si="3"/>
        <v>0</v>
      </c>
      <c r="O184" s="448">
        <f>IF(H184=0,0,(VLOOKUP(H184,'MTRL MSK (TPDP)'!$H$9:$U637,5,0)))</f>
        <v>0</v>
      </c>
      <c r="P184" s="448">
        <f t="shared" si="4"/>
        <v>0</v>
      </c>
      <c r="Q184" s="448">
        <f t="shared" si="5"/>
        <v>0</v>
      </c>
      <c r="R184" s="648" t="str">
        <f>IFERROR(IF(S184="","",(VLOOKUP(S184,'1. BQ RAPL'!$D$14:$K637,8,0))),"")</f>
        <v/>
      </c>
      <c r="S184" s="649"/>
      <c r="T184" s="650"/>
      <c r="U184" s="16"/>
      <c r="V184" s="16"/>
      <c r="W184" s="16"/>
      <c r="X184" s="119"/>
      <c r="Y184" s="119"/>
      <c r="Z184" s="119"/>
      <c r="AA184" s="119"/>
      <c r="AB184" s="119"/>
      <c r="AC184" s="119"/>
      <c r="AD184" s="119"/>
      <c r="AE184" s="119"/>
      <c r="AF184" s="119"/>
    </row>
    <row r="185" ht="18.75" customHeight="1">
      <c r="A185" s="119"/>
      <c r="B185" s="652"/>
      <c r="C185" s="642">
        <f>IF(F185=0,0,(VLOOKUP(F185,'MTRL MSK (TPDP)'!$F$9:$W637,18,0)))</f>
        <v>0</v>
      </c>
      <c r="D185" s="642">
        <f>IF(C185=0,0,(VLOOKUP(C185,'MTRL MSK (TPDP)'!$B$9:$W637,3,0)))</f>
        <v>0</v>
      </c>
      <c r="E185" s="643" t="str">
        <f>iferror(IF(C185="","",(VLOOKUP(C185,'MTRL MSK (TPDP)'!$B$9:$W637,4,0))),"")</f>
        <v/>
      </c>
      <c r="F185" s="644">
        <f>IF(H185=0,0,(VLOOKUP(H185,'MTRL MSK (TPDP)'!$H$9:$X637,17,0)))</f>
        <v>0</v>
      </c>
      <c r="G185" s="645"/>
      <c r="H185" s="646"/>
      <c r="I185" s="446">
        <f>IF(H185=0,0,(VLOOKUP(H185,'MTRL MSK (TPDP)'!$H$9:$U637,2,0)))</f>
        <v>0</v>
      </c>
      <c r="J185" s="448" t="str">
        <f>IFERROR((IF(H185=0,0,(VLOOKUP(H185,'MTRL MSK (TPDP)'!$H$8:$U637,7,0))))/(IF(H185=0,0,(VLOOKUP(H185,'MTRL MSK (TPDP)'!$H$8:$U637,5,0)))),"")</f>
        <v/>
      </c>
      <c r="K185" s="559"/>
      <c r="L185" s="448">
        <f t="shared" si="1"/>
        <v>0</v>
      </c>
      <c r="M185" s="647">
        <f t="shared" si="2"/>
        <v>0</v>
      </c>
      <c r="N185" s="647">
        <f t="shared" si="3"/>
        <v>0</v>
      </c>
      <c r="O185" s="448">
        <f>IF(H185=0,0,(VLOOKUP(H185,'MTRL MSK (TPDP)'!$H$9:$U637,5,0)))</f>
        <v>0</v>
      </c>
      <c r="P185" s="448">
        <f t="shared" si="4"/>
        <v>0</v>
      </c>
      <c r="Q185" s="448">
        <f t="shared" si="5"/>
        <v>0</v>
      </c>
      <c r="R185" s="648" t="str">
        <f>IFERROR(IF(S185="","",(VLOOKUP(S185,'1. BQ RAPL'!$D$14:$K637,8,0))),"")</f>
        <v/>
      </c>
      <c r="S185" s="649"/>
      <c r="T185" s="650"/>
      <c r="U185" s="16"/>
      <c r="V185" s="16"/>
      <c r="W185" s="16"/>
      <c r="X185" s="119"/>
      <c r="Y185" s="119"/>
      <c r="Z185" s="119"/>
      <c r="AA185" s="119"/>
      <c r="AB185" s="119"/>
      <c r="AC185" s="119"/>
      <c r="AD185" s="119"/>
      <c r="AE185" s="119"/>
      <c r="AF185" s="119"/>
    </row>
    <row r="186" ht="18.75" customHeight="1">
      <c r="A186" s="119"/>
      <c r="B186" s="652"/>
      <c r="C186" s="642">
        <f>IF(F186=0,0,(VLOOKUP(F186,'MTRL MSK (TPDP)'!$F$9:$W637,18,0)))</f>
        <v>0</v>
      </c>
      <c r="D186" s="642">
        <f>IF(C186=0,0,(VLOOKUP(C186,'MTRL MSK (TPDP)'!$B$9:$W637,3,0)))</f>
        <v>0</v>
      </c>
      <c r="E186" s="643" t="str">
        <f>iferror(IF(C186="","",(VLOOKUP(C186,'MTRL MSK (TPDP)'!$B$9:$W637,4,0))),"")</f>
        <v/>
      </c>
      <c r="F186" s="644">
        <f>IF(H186=0,0,(VLOOKUP(H186,'MTRL MSK (TPDP)'!$H$9:$X637,17,0)))</f>
        <v>0</v>
      </c>
      <c r="G186" s="645"/>
      <c r="H186" s="646"/>
      <c r="I186" s="446">
        <f>IF(H186=0,0,(VLOOKUP(H186,'MTRL MSK (TPDP)'!$H$9:$U637,2,0)))</f>
        <v>0</v>
      </c>
      <c r="J186" s="448" t="str">
        <f>IFERROR((IF(H186=0,0,(VLOOKUP(H186,'MTRL MSK (TPDP)'!$H$8:$U637,7,0))))/(IF(H186=0,0,(VLOOKUP(H186,'MTRL MSK (TPDP)'!$H$8:$U637,5,0)))),"")</f>
        <v/>
      </c>
      <c r="K186" s="559"/>
      <c r="L186" s="448">
        <f t="shared" si="1"/>
        <v>0</v>
      </c>
      <c r="M186" s="647">
        <f t="shared" si="2"/>
        <v>0</v>
      </c>
      <c r="N186" s="647">
        <f t="shared" si="3"/>
        <v>0</v>
      </c>
      <c r="O186" s="448">
        <f>IF(H186=0,0,(VLOOKUP(H186,'MTRL MSK (TPDP)'!$H$9:$U637,5,0)))</f>
        <v>0</v>
      </c>
      <c r="P186" s="448">
        <f t="shared" si="4"/>
        <v>0</v>
      </c>
      <c r="Q186" s="448">
        <f t="shared" si="5"/>
        <v>0</v>
      </c>
      <c r="R186" s="648" t="str">
        <f>IFERROR(IF(S186="","",(VLOOKUP(S186,'1. BQ RAPL'!$D$14:$K637,8,0))),"")</f>
        <v/>
      </c>
      <c r="S186" s="649"/>
      <c r="T186" s="650"/>
      <c r="U186" s="16"/>
      <c r="V186" s="16"/>
      <c r="W186" s="16"/>
      <c r="X186" s="119"/>
      <c r="Y186" s="119"/>
      <c r="Z186" s="119"/>
      <c r="AA186" s="119"/>
      <c r="AB186" s="119"/>
      <c r="AC186" s="119"/>
      <c r="AD186" s="119"/>
      <c r="AE186" s="119"/>
      <c r="AF186" s="119"/>
    </row>
    <row r="187" ht="18.75" customHeight="1">
      <c r="A187" s="119"/>
      <c r="B187" s="652"/>
      <c r="C187" s="642">
        <f>IF(F187=0,0,(VLOOKUP(F187,'MTRL MSK (TPDP)'!$F$9:$W637,18,0)))</f>
        <v>0</v>
      </c>
      <c r="D187" s="642">
        <f>IF(C187=0,0,(VLOOKUP(C187,'MTRL MSK (TPDP)'!$B$9:$W637,3,0)))</f>
        <v>0</v>
      </c>
      <c r="E187" s="643" t="str">
        <f>iferror(IF(C187="","",(VLOOKUP(C187,'MTRL MSK (TPDP)'!$B$9:$W637,4,0))),"")</f>
        <v/>
      </c>
      <c r="F187" s="644">
        <f>IF(H187=0,0,(VLOOKUP(H187,'MTRL MSK (TPDP)'!$H$9:$X637,17,0)))</f>
        <v>0</v>
      </c>
      <c r="G187" s="645"/>
      <c r="H187" s="646"/>
      <c r="I187" s="446">
        <f>IF(H187=0,0,(VLOOKUP(H187,'MTRL MSK (TPDP)'!$H$9:$U637,2,0)))</f>
        <v>0</v>
      </c>
      <c r="J187" s="448" t="str">
        <f>IFERROR((IF(H187=0,0,(VLOOKUP(H187,'MTRL MSK (TPDP)'!$H$8:$U637,7,0))))/(IF(H187=0,0,(VLOOKUP(H187,'MTRL MSK (TPDP)'!$H$8:$U637,5,0)))),"")</f>
        <v/>
      </c>
      <c r="K187" s="559"/>
      <c r="L187" s="448">
        <f t="shared" si="1"/>
        <v>0</v>
      </c>
      <c r="M187" s="647">
        <f t="shared" si="2"/>
        <v>0</v>
      </c>
      <c r="N187" s="647">
        <f t="shared" si="3"/>
        <v>0</v>
      </c>
      <c r="O187" s="448">
        <f>IF(H187=0,0,(VLOOKUP(H187,'MTRL MSK (TPDP)'!$H$9:$U637,5,0)))</f>
        <v>0</v>
      </c>
      <c r="P187" s="448">
        <f t="shared" si="4"/>
        <v>0</v>
      </c>
      <c r="Q187" s="448">
        <f t="shared" si="5"/>
        <v>0</v>
      </c>
      <c r="R187" s="648" t="str">
        <f>IFERROR(IF(S187="","",(VLOOKUP(S187,'1. BQ RAPL'!$D$14:$K637,8,0))),"")</f>
        <v/>
      </c>
      <c r="S187" s="649"/>
      <c r="T187" s="650"/>
      <c r="U187" s="16"/>
      <c r="V187" s="16"/>
      <c r="W187" s="16"/>
      <c r="X187" s="119"/>
      <c r="Y187" s="119"/>
      <c r="Z187" s="119"/>
      <c r="AA187" s="119"/>
      <c r="AB187" s="119"/>
      <c r="AC187" s="119"/>
      <c r="AD187" s="119"/>
      <c r="AE187" s="119"/>
      <c r="AF187" s="119"/>
    </row>
    <row r="188" ht="18.75" customHeight="1">
      <c r="A188" s="119"/>
      <c r="B188" s="652"/>
      <c r="C188" s="642">
        <f>IF(F188=0,0,(VLOOKUP(F188,'MTRL MSK (TPDP)'!$F$9:$W637,18,0)))</f>
        <v>0</v>
      </c>
      <c r="D188" s="642">
        <f>IF(C188=0,0,(VLOOKUP(C188,'MTRL MSK (TPDP)'!$B$9:$W637,3,0)))</f>
        <v>0</v>
      </c>
      <c r="E188" s="643" t="str">
        <f>iferror(IF(C188="","",(VLOOKUP(C188,'MTRL MSK (TPDP)'!$B$9:$W637,4,0))),"")</f>
        <v/>
      </c>
      <c r="F188" s="644">
        <f>IF(H188=0,0,(VLOOKUP(H188,'MTRL MSK (TPDP)'!$H$9:$X637,17,0)))</f>
        <v>0</v>
      </c>
      <c r="G188" s="645"/>
      <c r="H188" s="646"/>
      <c r="I188" s="446">
        <f>IF(H188=0,0,(VLOOKUP(H188,'MTRL MSK (TPDP)'!$H$9:$U637,2,0)))</f>
        <v>0</v>
      </c>
      <c r="J188" s="448" t="str">
        <f>IFERROR((IF(H188=0,0,(VLOOKUP(H188,'MTRL MSK (TPDP)'!$H$8:$U637,7,0))))/(IF(H188=0,0,(VLOOKUP(H188,'MTRL MSK (TPDP)'!$H$8:$U637,5,0)))),"")</f>
        <v/>
      </c>
      <c r="K188" s="559"/>
      <c r="L188" s="448">
        <f t="shared" si="1"/>
        <v>0</v>
      </c>
      <c r="M188" s="647">
        <f t="shared" si="2"/>
        <v>0</v>
      </c>
      <c r="N188" s="647">
        <f t="shared" si="3"/>
        <v>0</v>
      </c>
      <c r="O188" s="448">
        <f>IF(H188=0,0,(VLOOKUP(H188,'MTRL MSK (TPDP)'!$H$9:$U637,5,0)))</f>
        <v>0</v>
      </c>
      <c r="P188" s="448">
        <f t="shared" si="4"/>
        <v>0</v>
      </c>
      <c r="Q188" s="448">
        <f t="shared" si="5"/>
        <v>0</v>
      </c>
      <c r="R188" s="648" t="str">
        <f>IFERROR(IF(S188="","",(VLOOKUP(S188,'1. BQ RAPL'!$D$14:$K637,8,0))),"")</f>
        <v/>
      </c>
      <c r="S188" s="649"/>
      <c r="T188" s="650"/>
      <c r="U188" s="16"/>
      <c r="V188" s="16"/>
      <c r="W188" s="16"/>
      <c r="X188" s="119"/>
      <c r="Y188" s="119"/>
      <c r="Z188" s="119"/>
      <c r="AA188" s="119"/>
      <c r="AB188" s="119"/>
      <c r="AC188" s="119"/>
      <c r="AD188" s="119"/>
      <c r="AE188" s="119"/>
      <c r="AF188" s="119"/>
    </row>
    <row r="189" ht="18.75" customHeight="1">
      <c r="A189" s="119"/>
      <c r="B189" s="652"/>
      <c r="C189" s="642">
        <f>IF(F189=0,0,(VLOOKUP(F189,'MTRL MSK (TPDP)'!$F$9:$W637,18,0)))</f>
        <v>0</v>
      </c>
      <c r="D189" s="642">
        <f>IF(C189=0,0,(VLOOKUP(C189,'MTRL MSK (TPDP)'!$B$9:$W637,3,0)))</f>
        <v>0</v>
      </c>
      <c r="E189" s="643" t="str">
        <f>iferror(IF(C189="","",(VLOOKUP(C189,'MTRL MSK (TPDP)'!$B$9:$W637,4,0))),"")</f>
        <v/>
      </c>
      <c r="F189" s="644">
        <f>IF(H189=0,0,(VLOOKUP(H189,'MTRL MSK (TPDP)'!$H$9:$X637,17,0)))</f>
        <v>0</v>
      </c>
      <c r="G189" s="645"/>
      <c r="H189" s="646"/>
      <c r="I189" s="446">
        <f>IF(H189=0,0,(VLOOKUP(H189,'MTRL MSK (TPDP)'!$H$9:$U637,2,0)))</f>
        <v>0</v>
      </c>
      <c r="J189" s="448" t="str">
        <f>IFERROR((IF(H189=0,0,(VLOOKUP(H189,'MTRL MSK (TPDP)'!$H$8:$U637,7,0))))/(IF(H189=0,0,(VLOOKUP(H189,'MTRL MSK (TPDP)'!$H$8:$U637,5,0)))),"")</f>
        <v/>
      </c>
      <c r="K189" s="559"/>
      <c r="L189" s="448">
        <f t="shared" si="1"/>
        <v>0</v>
      </c>
      <c r="M189" s="647">
        <f t="shared" si="2"/>
        <v>0</v>
      </c>
      <c r="N189" s="647">
        <f t="shared" si="3"/>
        <v>0</v>
      </c>
      <c r="O189" s="448">
        <f>IF(H189=0,0,(VLOOKUP(H189,'MTRL MSK (TPDP)'!$H$9:$U637,5,0)))</f>
        <v>0</v>
      </c>
      <c r="P189" s="448">
        <f t="shared" si="4"/>
        <v>0</v>
      </c>
      <c r="Q189" s="448">
        <f t="shared" si="5"/>
        <v>0</v>
      </c>
      <c r="R189" s="648" t="str">
        <f>IFERROR(IF(S189="","",(VLOOKUP(S189,'1. BQ RAPL'!$D$14:$K637,8,0))),"")</f>
        <v/>
      </c>
      <c r="S189" s="649"/>
      <c r="T189" s="650"/>
      <c r="U189" s="16"/>
      <c r="V189" s="16"/>
      <c r="W189" s="16"/>
      <c r="X189" s="119"/>
      <c r="Y189" s="119"/>
      <c r="Z189" s="119"/>
      <c r="AA189" s="119"/>
      <c r="AB189" s="119"/>
      <c r="AC189" s="119"/>
      <c r="AD189" s="119"/>
      <c r="AE189" s="119"/>
      <c r="AF189" s="119"/>
    </row>
    <row r="190" ht="18.75" customHeight="1">
      <c r="A190" s="119"/>
      <c r="B190" s="652"/>
      <c r="C190" s="642">
        <f>IF(F190=0,0,(VLOOKUP(F190,'MTRL MSK (TPDP)'!$F$9:$W637,18,0)))</f>
        <v>0</v>
      </c>
      <c r="D190" s="642">
        <f>IF(C190=0,0,(VLOOKUP(C190,'MTRL MSK (TPDP)'!$B$9:$W637,3,0)))</f>
        <v>0</v>
      </c>
      <c r="E190" s="643" t="str">
        <f>iferror(IF(C190="","",(VLOOKUP(C190,'MTRL MSK (TPDP)'!$B$9:$W637,4,0))),"")</f>
        <v/>
      </c>
      <c r="F190" s="644">
        <f>IF(H190=0,0,(VLOOKUP(H190,'MTRL MSK (TPDP)'!$H$9:$X637,17,0)))</f>
        <v>0</v>
      </c>
      <c r="G190" s="645"/>
      <c r="H190" s="646"/>
      <c r="I190" s="446">
        <f>IF(H190=0,0,(VLOOKUP(H190,'MTRL MSK (TPDP)'!$H$9:$U637,2,0)))</f>
        <v>0</v>
      </c>
      <c r="J190" s="448" t="str">
        <f>IFERROR((IF(H190=0,0,(VLOOKUP(H190,'MTRL MSK (TPDP)'!$H$8:$U637,7,0))))/(IF(H190=0,0,(VLOOKUP(H190,'MTRL MSK (TPDP)'!$H$8:$U637,5,0)))),"")</f>
        <v/>
      </c>
      <c r="K190" s="559"/>
      <c r="L190" s="448">
        <f t="shared" si="1"/>
        <v>0</v>
      </c>
      <c r="M190" s="647">
        <f t="shared" si="2"/>
        <v>0</v>
      </c>
      <c r="N190" s="647">
        <f t="shared" si="3"/>
        <v>0</v>
      </c>
      <c r="O190" s="448">
        <f>IF(H190=0,0,(VLOOKUP(H190,'MTRL MSK (TPDP)'!$H$9:$U637,5,0)))</f>
        <v>0</v>
      </c>
      <c r="P190" s="448">
        <f t="shared" si="4"/>
        <v>0</v>
      </c>
      <c r="Q190" s="448">
        <f t="shared" si="5"/>
        <v>0</v>
      </c>
      <c r="R190" s="648" t="str">
        <f>IFERROR(IF(S190="","",(VLOOKUP(S190,'1. BQ RAPL'!$D$14:$K637,8,0))),"")</f>
        <v/>
      </c>
      <c r="S190" s="649"/>
      <c r="T190" s="650"/>
      <c r="U190" s="16"/>
      <c r="V190" s="16"/>
      <c r="W190" s="16"/>
      <c r="X190" s="119"/>
      <c r="Y190" s="119"/>
      <c r="Z190" s="119"/>
      <c r="AA190" s="119"/>
      <c r="AB190" s="119"/>
      <c r="AC190" s="119"/>
      <c r="AD190" s="119"/>
      <c r="AE190" s="119"/>
      <c r="AF190" s="119"/>
    </row>
    <row r="191" ht="18.75" customHeight="1">
      <c r="A191" s="119"/>
      <c r="B191" s="652"/>
      <c r="C191" s="642">
        <f>IF(F191=0,0,(VLOOKUP(F191,'MTRL MSK (TPDP)'!$F$9:$W637,18,0)))</f>
        <v>0</v>
      </c>
      <c r="D191" s="642">
        <f>IF(C191=0,0,(VLOOKUP(C191,'MTRL MSK (TPDP)'!$B$9:$W637,3,0)))</f>
        <v>0</v>
      </c>
      <c r="E191" s="643" t="str">
        <f>iferror(IF(C191="","",(VLOOKUP(C191,'MTRL MSK (TPDP)'!$B$9:$W637,4,0))),"")</f>
        <v/>
      </c>
      <c r="F191" s="644">
        <f>IF(H191=0,0,(VLOOKUP(H191,'MTRL MSK (TPDP)'!$H$9:$X637,17,0)))</f>
        <v>0</v>
      </c>
      <c r="G191" s="645"/>
      <c r="H191" s="646"/>
      <c r="I191" s="446">
        <f>IF(H191=0,0,(VLOOKUP(H191,'MTRL MSK (TPDP)'!$H$9:$U637,2,0)))</f>
        <v>0</v>
      </c>
      <c r="J191" s="448" t="str">
        <f>IFERROR((IF(H191=0,0,(VLOOKUP(H191,'MTRL MSK (TPDP)'!$H$8:$U637,7,0))))/(IF(H191=0,0,(VLOOKUP(H191,'MTRL MSK (TPDP)'!$H$8:$U637,5,0)))),"")</f>
        <v/>
      </c>
      <c r="K191" s="559"/>
      <c r="L191" s="448">
        <f t="shared" si="1"/>
        <v>0</v>
      </c>
      <c r="M191" s="647">
        <f t="shared" si="2"/>
        <v>0</v>
      </c>
      <c r="N191" s="647">
        <f t="shared" si="3"/>
        <v>0</v>
      </c>
      <c r="O191" s="448">
        <f>IF(H191=0,0,(VLOOKUP(H191,'MTRL MSK (TPDP)'!$H$9:$U637,5,0)))</f>
        <v>0</v>
      </c>
      <c r="P191" s="448">
        <f t="shared" si="4"/>
        <v>0</v>
      </c>
      <c r="Q191" s="448">
        <f t="shared" si="5"/>
        <v>0</v>
      </c>
      <c r="R191" s="648" t="str">
        <f>IFERROR(IF(S191="","",(VLOOKUP(S191,'1. BQ RAPL'!$D$14:$K637,8,0))),"")</f>
        <v/>
      </c>
      <c r="S191" s="649"/>
      <c r="T191" s="650"/>
      <c r="U191" s="16"/>
      <c r="V191" s="16"/>
      <c r="W191" s="16"/>
      <c r="X191" s="119"/>
      <c r="Y191" s="119"/>
      <c r="Z191" s="119"/>
      <c r="AA191" s="119"/>
      <c r="AB191" s="119"/>
      <c r="AC191" s="119"/>
      <c r="AD191" s="119"/>
      <c r="AE191" s="119"/>
      <c r="AF191" s="119"/>
    </row>
    <row r="192" ht="18.75" customHeight="1">
      <c r="A192" s="119"/>
      <c r="B192" s="652"/>
      <c r="C192" s="642">
        <f>IF(F192=0,0,(VLOOKUP(F192,'MTRL MSK (TPDP)'!$F$9:$W637,18,0)))</f>
        <v>0</v>
      </c>
      <c r="D192" s="642">
        <f>IF(C192=0,0,(VLOOKUP(C192,'MTRL MSK (TPDP)'!$B$9:$W637,3,0)))</f>
        <v>0</v>
      </c>
      <c r="E192" s="643" t="str">
        <f>iferror(IF(C192="","",(VLOOKUP(C192,'MTRL MSK (TPDP)'!$B$9:$W637,4,0))),"")</f>
        <v/>
      </c>
      <c r="F192" s="644">
        <f>IF(H192=0,0,(VLOOKUP(H192,'MTRL MSK (TPDP)'!$H$9:$X637,17,0)))</f>
        <v>0</v>
      </c>
      <c r="G192" s="645"/>
      <c r="H192" s="646"/>
      <c r="I192" s="446">
        <f>IF(H192=0,0,(VLOOKUP(H192,'MTRL MSK (TPDP)'!$H$9:$U637,2,0)))</f>
        <v>0</v>
      </c>
      <c r="J192" s="448" t="str">
        <f>IFERROR((IF(H192=0,0,(VLOOKUP(H192,'MTRL MSK (TPDP)'!$H$8:$U637,7,0))))/(IF(H192=0,0,(VLOOKUP(H192,'MTRL MSK (TPDP)'!$H$8:$U637,5,0)))),"")</f>
        <v/>
      </c>
      <c r="K192" s="559"/>
      <c r="L192" s="448">
        <f t="shared" si="1"/>
        <v>0</v>
      </c>
      <c r="M192" s="647">
        <f t="shared" si="2"/>
        <v>0</v>
      </c>
      <c r="N192" s="647">
        <f t="shared" si="3"/>
        <v>0</v>
      </c>
      <c r="O192" s="448">
        <f>IF(H192=0,0,(VLOOKUP(H192,'MTRL MSK (TPDP)'!$H$9:$U637,5,0)))</f>
        <v>0</v>
      </c>
      <c r="P192" s="448">
        <f t="shared" si="4"/>
        <v>0</v>
      </c>
      <c r="Q192" s="448">
        <f t="shared" si="5"/>
        <v>0</v>
      </c>
      <c r="R192" s="648" t="str">
        <f>IFERROR(IF(S192="","",(VLOOKUP(S192,'1. BQ RAPL'!$D$14:$K637,8,0))),"")</f>
        <v/>
      </c>
      <c r="S192" s="649"/>
      <c r="T192" s="650"/>
      <c r="U192" s="16"/>
      <c r="V192" s="16"/>
      <c r="W192" s="16"/>
      <c r="X192" s="119"/>
      <c r="Y192" s="119"/>
      <c r="Z192" s="119"/>
      <c r="AA192" s="119"/>
      <c r="AB192" s="119"/>
      <c r="AC192" s="119"/>
      <c r="AD192" s="119"/>
      <c r="AE192" s="119"/>
      <c r="AF192" s="119"/>
    </row>
    <row r="193" ht="18.75" customHeight="1">
      <c r="A193" s="119"/>
      <c r="B193" s="652"/>
      <c r="C193" s="642">
        <f>IF(F193=0,0,(VLOOKUP(F193,'MTRL MSK (TPDP)'!$F$9:$W637,18,0)))</f>
        <v>0</v>
      </c>
      <c r="D193" s="642">
        <f>IF(C193=0,0,(VLOOKUP(C193,'MTRL MSK (TPDP)'!$B$9:$W637,3,0)))</f>
        <v>0</v>
      </c>
      <c r="E193" s="643" t="str">
        <f>iferror(IF(C193="","",(VLOOKUP(C193,'MTRL MSK (TPDP)'!$B$9:$W637,4,0))),"")</f>
        <v/>
      </c>
      <c r="F193" s="644">
        <f>IF(H193=0,0,(VLOOKUP(H193,'MTRL MSK (TPDP)'!$H$9:$X637,17,0)))</f>
        <v>0</v>
      </c>
      <c r="G193" s="645"/>
      <c r="H193" s="646"/>
      <c r="I193" s="446">
        <f>IF(H193=0,0,(VLOOKUP(H193,'MTRL MSK (TPDP)'!$H$9:$U637,2,0)))</f>
        <v>0</v>
      </c>
      <c r="J193" s="448" t="str">
        <f>IFERROR((IF(H193=0,0,(VLOOKUP(H193,'MTRL MSK (TPDP)'!$H$8:$U637,7,0))))/(IF(H193=0,0,(VLOOKUP(H193,'MTRL MSK (TPDP)'!$H$8:$U637,5,0)))),"")</f>
        <v/>
      </c>
      <c r="K193" s="559"/>
      <c r="L193" s="448">
        <f t="shared" si="1"/>
        <v>0</v>
      </c>
      <c r="M193" s="647">
        <f t="shared" si="2"/>
        <v>0</v>
      </c>
      <c r="N193" s="647">
        <f t="shared" si="3"/>
        <v>0</v>
      </c>
      <c r="O193" s="448">
        <f>IF(H193=0,0,(VLOOKUP(H193,'MTRL MSK (TPDP)'!$H$9:$U637,5,0)))</f>
        <v>0</v>
      </c>
      <c r="P193" s="448">
        <f t="shared" si="4"/>
        <v>0</v>
      </c>
      <c r="Q193" s="448">
        <f t="shared" si="5"/>
        <v>0</v>
      </c>
      <c r="R193" s="648" t="str">
        <f>IFERROR(IF(S193="","",(VLOOKUP(S193,'1. BQ RAPL'!$D$14:$K637,8,0))),"")</f>
        <v/>
      </c>
      <c r="S193" s="649"/>
      <c r="T193" s="650"/>
      <c r="U193" s="16"/>
      <c r="V193" s="16"/>
      <c r="W193" s="16"/>
      <c r="X193" s="119"/>
      <c r="Y193" s="119"/>
      <c r="Z193" s="119"/>
      <c r="AA193" s="119"/>
      <c r="AB193" s="119"/>
      <c r="AC193" s="119"/>
      <c r="AD193" s="119"/>
      <c r="AE193" s="119"/>
      <c r="AF193" s="119"/>
    </row>
    <row r="194" ht="18.75" customHeight="1">
      <c r="A194" s="119"/>
      <c r="B194" s="652"/>
      <c r="C194" s="642">
        <f>IF(F194=0,0,(VLOOKUP(F194,'MTRL MSK (TPDP)'!$F$9:$W637,18,0)))</f>
        <v>0</v>
      </c>
      <c r="D194" s="642">
        <f>IF(C194=0,0,(VLOOKUP(C194,'MTRL MSK (TPDP)'!$B$9:$W637,3,0)))</f>
        <v>0</v>
      </c>
      <c r="E194" s="643" t="str">
        <f>iferror(IF(C194="","",(VLOOKUP(C194,'MTRL MSK (TPDP)'!$B$9:$W637,4,0))),"")</f>
        <v/>
      </c>
      <c r="F194" s="644">
        <f>IF(H194=0,0,(VLOOKUP(H194,'MTRL MSK (TPDP)'!$H$9:$X637,17,0)))</f>
        <v>0</v>
      </c>
      <c r="G194" s="645"/>
      <c r="H194" s="646"/>
      <c r="I194" s="446">
        <f>IF(H194=0,0,(VLOOKUP(H194,'MTRL MSK (TPDP)'!$H$9:$U637,2,0)))</f>
        <v>0</v>
      </c>
      <c r="J194" s="448" t="str">
        <f>IFERROR((IF(H194=0,0,(VLOOKUP(H194,'MTRL MSK (TPDP)'!$H$8:$U637,7,0))))/(IF(H194=0,0,(VLOOKUP(H194,'MTRL MSK (TPDP)'!$H$8:$U637,5,0)))),"")</f>
        <v/>
      </c>
      <c r="K194" s="559"/>
      <c r="L194" s="448">
        <f t="shared" si="1"/>
        <v>0</v>
      </c>
      <c r="M194" s="647">
        <f t="shared" si="2"/>
        <v>0</v>
      </c>
      <c r="N194" s="647">
        <f t="shared" si="3"/>
        <v>0</v>
      </c>
      <c r="O194" s="448">
        <f>IF(H194=0,0,(VLOOKUP(H194,'MTRL MSK (TPDP)'!$H$9:$U637,5,0)))</f>
        <v>0</v>
      </c>
      <c r="P194" s="448">
        <f t="shared" si="4"/>
        <v>0</v>
      </c>
      <c r="Q194" s="448">
        <f t="shared" si="5"/>
        <v>0</v>
      </c>
      <c r="R194" s="648" t="str">
        <f>IFERROR(IF(S194="","",(VLOOKUP(S194,'1. BQ RAPL'!$D$14:$K637,8,0))),"")</f>
        <v/>
      </c>
      <c r="S194" s="649"/>
      <c r="T194" s="650"/>
      <c r="U194" s="16"/>
      <c r="V194" s="16"/>
      <c r="W194" s="16"/>
      <c r="X194" s="119"/>
      <c r="Y194" s="119"/>
      <c r="Z194" s="119"/>
      <c r="AA194" s="119"/>
      <c r="AB194" s="119"/>
      <c r="AC194" s="119"/>
      <c r="AD194" s="119"/>
      <c r="AE194" s="119"/>
      <c r="AF194" s="119"/>
    </row>
    <row r="195" ht="18.75" customHeight="1">
      <c r="A195" s="119"/>
      <c r="B195" s="652"/>
      <c r="C195" s="642">
        <f>IF(F195=0,0,(VLOOKUP(F195,'MTRL MSK (TPDP)'!$F$9:$W637,18,0)))</f>
        <v>0</v>
      </c>
      <c r="D195" s="642">
        <f>IF(C195=0,0,(VLOOKUP(C195,'MTRL MSK (TPDP)'!$B$9:$W637,3,0)))</f>
        <v>0</v>
      </c>
      <c r="E195" s="643" t="str">
        <f>iferror(IF(C195="","",(VLOOKUP(C195,'MTRL MSK (TPDP)'!$B$9:$W637,4,0))),"")</f>
        <v/>
      </c>
      <c r="F195" s="644">
        <f>IF(H195=0,0,(VLOOKUP(H195,'MTRL MSK (TPDP)'!$H$9:$X637,17,0)))</f>
        <v>0</v>
      </c>
      <c r="G195" s="645"/>
      <c r="H195" s="646"/>
      <c r="I195" s="446">
        <f>IF(H195=0,0,(VLOOKUP(H195,'MTRL MSK (TPDP)'!$H$9:$U637,2,0)))</f>
        <v>0</v>
      </c>
      <c r="J195" s="448" t="str">
        <f>IFERROR((IF(H195=0,0,(VLOOKUP(H195,'MTRL MSK (TPDP)'!$H$8:$U637,7,0))))/(IF(H195=0,0,(VLOOKUP(H195,'MTRL MSK (TPDP)'!$H$8:$U637,5,0)))),"")</f>
        <v/>
      </c>
      <c r="K195" s="559"/>
      <c r="L195" s="448">
        <f t="shared" si="1"/>
        <v>0</v>
      </c>
      <c r="M195" s="647">
        <f t="shared" si="2"/>
        <v>0</v>
      </c>
      <c r="N195" s="647">
        <f t="shared" si="3"/>
        <v>0</v>
      </c>
      <c r="O195" s="448">
        <f>IF(H195=0,0,(VLOOKUP(H195,'MTRL MSK (TPDP)'!$H$9:$U637,5,0)))</f>
        <v>0</v>
      </c>
      <c r="P195" s="448">
        <f t="shared" si="4"/>
        <v>0</v>
      </c>
      <c r="Q195" s="448">
        <f t="shared" si="5"/>
        <v>0</v>
      </c>
      <c r="R195" s="648" t="str">
        <f>IFERROR(IF(S195="","",(VLOOKUP(S195,'1. BQ RAPL'!$D$14:$K637,8,0))),"")</f>
        <v/>
      </c>
      <c r="S195" s="649"/>
      <c r="T195" s="650"/>
      <c r="U195" s="16"/>
      <c r="V195" s="16"/>
      <c r="W195" s="16"/>
      <c r="X195" s="119"/>
      <c r="Y195" s="119"/>
      <c r="Z195" s="119"/>
      <c r="AA195" s="119"/>
      <c r="AB195" s="119"/>
      <c r="AC195" s="119"/>
      <c r="AD195" s="119"/>
      <c r="AE195" s="119"/>
      <c r="AF195" s="119"/>
    </row>
    <row r="196" ht="18.75" customHeight="1">
      <c r="A196" s="119"/>
      <c r="B196" s="652"/>
      <c r="C196" s="642">
        <f>IF(F196=0,0,(VLOOKUP(F196,'MTRL MSK (TPDP)'!$F$9:$W637,18,0)))</f>
        <v>0</v>
      </c>
      <c r="D196" s="642">
        <f>IF(C196=0,0,(VLOOKUP(C196,'MTRL MSK (TPDP)'!$B$9:$W637,3,0)))</f>
        <v>0</v>
      </c>
      <c r="E196" s="643" t="str">
        <f>iferror(IF(C196="","",(VLOOKUP(C196,'MTRL MSK (TPDP)'!$B$9:$W637,4,0))),"")</f>
        <v/>
      </c>
      <c r="F196" s="644">
        <f>IF(H196=0,0,(VLOOKUP(H196,'MTRL MSK (TPDP)'!$H$9:$X637,17,0)))</f>
        <v>0</v>
      </c>
      <c r="G196" s="645"/>
      <c r="H196" s="646"/>
      <c r="I196" s="446">
        <f>IF(H196=0,0,(VLOOKUP(H196,'MTRL MSK (TPDP)'!$H$9:$U637,2,0)))</f>
        <v>0</v>
      </c>
      <c r="J196" s="448" t="str">
        <f>IFERROR((IF(H196=0,0,(VLOOKUP(H196,'MTRL MSK (TPDP)'!$H$8:$U637,7,0))))/(IF(H196=0,0,(VLOOKUP(H196,'MTRL MSK (TPDP)'!$H$8:$U637,5,0)))),"")</f>
        <v/>
      </c>
      <c r="K196" s="559"/>
      <c r="L196" s="448">
        <f t="shared" si="1"/>
        <v>0</v>
      </c>
      <c r="M196" s="647">
        <f t="shared" si="2"/>
        <v>0</v>
      </c>
      <c r="N196" s="647">
        <f t="shared" si="3"/>
        <v>0</v>
      </c>
      <c r="O196" s="448">
        <f>IF(H196=0,0,(VLOOKUP(H196,'MTRL MSK (TPDP)'!$H$9:$U637,5,0)))</f>
        <v>0</v>
      </c>
      <c r="P196" s="448">
        <f t="shared" si="4"/>
        <v>0</v>
      </c>
      <c r="Q196" s="448">
        <f t="shared" si="5"/>
        <v>0</v>
      </c>
      <c r="R196" s="648" t="str">
        <f>IFERROR(IF(S196="","",(VLOOKUP(S196,'1. BQ RAPL'!$D$14:$K637,8,0))),"")</f>
        <v/>
      </c>
      <c r="S196" s="649"/>
      <c r="T196" s="650"/>
      <c r="U196" s="16"/>
      <c r="V196" s="16"/>
      <c r="W196" s="16"/>
      <c r="X196" s="119"/>
      <c r="Y196" s="119"/>
      <c r="Z196" s="119"/>
      <c r="AA196" s="119"/>
      <c r="AB196" s="119"/>
      <c r="AC196" s="119"/>
      <c r="AD196" s="119"/>
      <c r="AE196" s="119"/>
      <c r="AF196" s="119"/>
    </row>
    <row r="197" ht="18.75" customHeight="1">
      <c r="A197" s="119"/>
      <c r="B197" s="652"/>
      <c r="C197" s="642">
        <f>IF(F197=0,0,(VLOOKUP(F197,'MTRL MSK (TPDP)'!$F$9:$W637,18,0)))</f>
        <v>0</v>
      </c>
      <c r="D197" s="642">
        <f>IF(C197=0,0,(VLOOKUP(C197,'MTRL MSK (TPDP)'!$B$9:$W637,3,0)))</f>
        <v>0</v>
      </c>
      <c r="E197" s="643" t="str">
        <f>iferror(IF(C197="","",(VLOOKUP(C197,'MTRL MSK (TPDP)'!$B$9:$W637,4,0))),"")</f>
        <v/>
      </c>
      <c r="F197" s="644">
        <f>IF(H197=0,0,(VLOOKUP(H197,'MTRL MSK (TPDP)'!$H$9:$X637,17,0)))</f>
        <v>0</v>
      </c>
      <c r="G197" s="645"/>
      <c r="H197" s="646"/>
      <c r="I197" s="446">
        <f>IF(H197=0,0,(VLOOKUP(H197,'MTRL MSK (TPDP)'!$H$9:$U637,2,0)))</f>
        <v>0</v>
      </c>
      <c r="J197" s="448" t="str">
        <f>IFERROR((IF(H197=0,0,(VLOOKUP(H197,'MTRL MSK (TPDP)'!$H$8:$U637,7,0))))/(IF(H197=0,0,(VLOOKUP(H197,'MTRL MSK (TPDP)'!$H$8:$U637,5,0)))),"")</f>
        <v/>
      </c>
      <c r="K197" s="559"/>
      <c r="L197" s="448">
        <f t="shared" si="1"/>
        <v>0</v>
      </c>
      <c r="M197" s="647">
        <f t="shared" si="2"/>
        <v>0</v>
      </c>
      <c r="N197" s="647">
        <f t="shared" si="3"/>
        <v>0</v>
      </c>
      <c r="O197" s="448">
        <f>IF(H197=0,0,(VLOOKUP(H197,'MTRL MSK (TPDP)'!$H$9:$U637,5,0)))</f>
        <v>0</v>
      </c>
      <c r="P197" s="448">
        <f t="shared" si="4"/>
        <v>0</v>
      </c>
      <c r="Q197" s="448">
        <f t="shared" si="5"/>
        <v>0</v>
      </c>
      <c r="R197" s="648" t="str">
        <f>IFERROR(IF(S197="","",(VLOOKUP(S197,'1. BQ RAPL'!$D$14:$K637,8,0))),"")</f>
        <v/>
      </c>
      <c r="S197" s="649"/>
      <c r="T197" s="650"/>
      <c r="U197" s="16"/>
      <c r="V197" s="16"/>
      <c r="W197" s="16"/>
      <c r="X197" s="119"/>
      <c r="Y197" s="119"/>
      <c r="Z197" s="119"/>
      <c r="AA197" s="119"/>
      <c r="AB197" s="119"/>
      <c r="AC197" s="119"/>
      <c r="AD197" s="119"/>
      <c r="AE197" s="119"/>
      <c r="AF197" s="119"/>
    </row>
    <row r="198" ht="18.75" customHeight="1">
      <c r="A198" s="119"/>
      <c r="B198" s="652"/>
      <c r="C198" s="642">
        <f>IF(F198=0,0,(VLOOKUP(F198,'MTRL MSK (TPDP)'!$F$9:$W637,18,0)))</f>
        <v>0</v>
      </c>
      <c r="D198" s="642">
        <f>IF(C198=0,0,(VLOOKUP(C198,'MTRL MSK (TPDP)'!$B$9:$W637,3,0)))</f>
        <v>0</v>
      </c>
      <c r="E198" s="643" t="str">
        <f>iferror(IF(C198="","",(VLOOKUP(C198,'MTRL MSK (TPDP)'!$B$9:$W637,4,0))),"")</f>
        <v/>
      </c>
      <c r="F198" s="644">
        <f>IF(H198=0,0,(VLOOKUP(H198,'MTRL MSK (TPDP)'!$H$9:$X637,17,0)))</f>
        <v>0</v>
      </c>
      <c r="G198" s="645"/>
      <c r="H198" s="646"/>
      <c r="I198" s="446">
        <f>IF(H198=0,0,(VLOOKUP(H198,'MTRL MSK (TPDP)'!$H$9:$U637,2,0)))</f>
        <v>0</v>
      </c>
      <c r="J198" s="448" t="str">
        <f>IFERROR((IF(H198=0,0,(VLOOKUP(H198,'MTRL MSK (TPDP)'!$H$8:$U637,7,0))))/(IF(H198=0,0,(VLOOKUP(H198,'MTRL MSK (TPDP)'!$H$8:$U637,5,0)))),"")</f>
        <v/>
      </c>
      <c r="K198" s="559"/>
      <c r="L198" s="448">
        <f t="shared" si="1"/>
        <v>0</v>
      </c>
      <c r="M198" s="647">
        <f t="shared" si="2"/>
        <v>0</v>
      </c>
      <c r="N198" s="647">
        <f t="shared" si="3"/>
        <v>0</v>
      </c>
      <c r="O198" s="448">
        <f>IF(H198=0,0,(VLOOKUP(H198,'MTRL MSK (TPDP)'!$H$9:$U637,5,0)))</f>
        <v>0</v>
      </c>
      <c r="P198" s="448">
        <f t="shared" si="4"/>
        <v>0</v>
      </c>
      <c r="Q198" s="448">
        <f t="shared" si="5"/>
        <v>0</v>
      </c>
      <c r="R198" s="648" t="str">
        <f>IFERROR(IF(S198="","",(VLOOKUP(S198,'1. BQ RAPL'!$D$14:$K637,8,0))),"")</f>
        <v/>
      </c>
      <c r="S198" s="649"/>
      <c r="T198" s="650"/>
      <c r="U198" s="16"/>
      <c r="V198" s="16"/>
      <c r="W198" s="16"/>
      <c r="X198" s="119"/>
      <c r="Y198" s="119"/>
      <c r="Z198" s="119"/>
      <c r="AA198" s="119"/>
      <c r="AB198" s="119"/>
      <c r="AC198" s="119"/>
      <c r="AD198" s="119"/>
      <c r="AE198" s="119"/>
      <c r="AF198" s="119"/>
    </row>
    <row r="199" ht="18.75" customHeight="1">
      <c r="A199" s="119"/>
      <c r="B199" s="652"/>
      <c r="C199" s="642">
        <f>IF(F199=0,0,(VLOOKUP(F199,'MTRL MSK (TPDP)'!$F$9:$W637,18,0)))</f>
        <v>0</v>
      </c>
      <c r="D199" s="642">
        <f>IF(C199=0,0,(VLOOKUP(C199,'MTRL MSK (TPDP)'!$B$9:$W637,3,0)))</f>
        <v>0</v>
      </c>
      <c r="E199" s="643" t="str">
        <f>iferror(IF(C199="","",(VLOOKUP(C199,'MTRL MSK (TPDP)'!$B$9:$W637,4,0))),"")</f>
        <v/>
      </c>
      <c r="F199" s="644">
        <f>IF(H199=0,0,(VLOOKUP(H199,'MTRL MSK (TPDP)'!$H$9:$X637,17,0)))</f>
        <v>0</v>
      </c>
      <c r="G199" s="645"/>
      <c r="H199" s="646"/>
      <c r="I199" s="446">
        <f>IF(H199=0,0,(VLOOKUP(H199,'MTRL MSK (TPDP)'!$H$9:$U637,2,0)))</f>
        <v>0</v>
      </c>
      <c r="J199" s="448" t="str">
        <f>IFERROR((IF(H199=0,0,(VLOOKUP(H199,'MTRL MSK (TPDP)'!$H$8:$U637,7,0))))/(IF(H199=0,0,(VLOOKUP(H199,'MTRL MSK (TPDP)'!$H$8:$U637,5,0)))),"")</f>
        <v/>
      </c>
      <c r="K199" s="559"/>
      <c r="L199" s="448">
        <f t="shared" si="1"/>
        <v>0</v>
      </c>
      <c r="M199" s="647">
        <f t="shared" si="2"/>
        <v>0</v>
      </c>
      <c r="N199" s="647">
        <f t="shared" si="3"/>
        <v>0</v>
      </c>
      <c r="O199" s="448">
        <f>IF(H199=0,0,(VLOOKUP(H199,'MTRL MSK (TPDP)'!$H$9:$U637,5,0)))</f>
        <v>0</v>
      </c>
      <c r="P199" s="448">
        <f t="shared" si="4"/>
        <v>0</v>
      </c>
      <c r="Q199" s="448">
        <f t="shared" si="5"/>
        <v>0</v>
      </c>
      <c r="R199" s="648" t="str">
        <f>IFERROR(IF(S199="","",(VLOOKUP(S199,'1. BQ RAPL'!$D$14:$K637,8,0))),"")</f>
        <v/>
      </c>
      <c r="S199" s="649"/>
      <c r="T199" s="650"/>
      <c r="U199" s="16"/>
      <c r="V199" s="16"/>
      <c r="W199" s="16"/>
      <c r="X199" s="119"/>
      <c r="Y199" s="119"/>
      <c r="Z199" s="119"/>
      <c r="AA199" s="119"/>
      <c r="AB199" s="119"/>
      <c r="AC199" s="119"/>
      <c r="AD199" s="119"/>
      <c r="AE199" s="119"/>
      <c r="AF199" s="119"/>
    </row>
    <row r="200" ht="27.75" customHeight="1">
      <c r="A200" s="119"/>
      <c r="B200" s="652"/>
      <c r="C200" s="642">
        <f>IF(F200=0,0,(VLOOKUP(F200,'MTRL MSK (TPDP)'!$F$9:$W637,18,0)))</f>
        <v>0</v>
      </c>
      <c r="D200" s="642">
        <f>IF(C200=0,0,(VLOOKUP(C200,'MTRL MSK (TPDP)'!$B$9:$W637,3,0)))</f>
        <v>0</v>
      </c>
      <c r="E200" s="643" t="str">
        <f>iferror(IF(C200="","",(VLOOKUP(C200,'MTRL MSK (TPDP)'!$B$9:$W637,4,0))),"")</f>
        <v/>
      </c>
      <c r="F200" s="644">
        <f>IF(H200=0,0,(VLOOKUP(H200,'MTRL MSK (TPDP)'!$H$9:$X637,17,0)))</f>
        <v>0</v>
      </c>
      <c r="G200" s="645"/>
      <c r="H200" s="646"/>
      <c r="I200" s="446">
        <f>IF(H200=0,0,(VLOOKUP(H200,'MTRL MSK (TPDP)'!$H$9:$U637,2,0)))</f>
        <v>0</v>
      </c>
      <c r="J200" s="448" t="str">
        <f>IFERROR((IF(H200=0,0,(VLOOKUP(H200,'MTRL MSK (TPDP)'!$H$8:$U637,7,0))))/(IF(H200=0,0,(VLOOKUP(H200,'MTRL MSK (TPDP)'!$H$8:$U637,5,0)))),"")</f>
        <v/>
      </c>
      <c r="K200" s="559"/>
      <c r="L200" s="448">
        <f t="shared" si="1"/>
        <v>0</v>
      </c>
      <c r="M200" s="647">
        <f t="shared" si="2"/>
        <v>0</v>
      </c>
      <c r="N200" s="647">
        <f t="shared" si="3"/>
        <v>0</v>
      </c>
      <c r="O200" s="448">
        <f>IF(H200=0,0,(VLOOKUP(H200,'MTRL MSK (TPDP)'!$H$9:$U637,5,0)))</f>
        <v>0</v>
      </c>
      <c r="P200" s="448">
        <f t="shared" si="4"/>
        <v>0</v>
      </c>
      <c r="Q200" s="448">
        <f t="shared" si="5"/>
        <v>0</v>
      </c>
      <c r="R200" s="648" t="str">
        <f>IFERROR(IF(S200="","",(VLOOKUP(S200,'1. BQ RAPL'!$D$14:$K637,8,0))),"")</f>
        <v/>
      </c>
      <c r="S200" s="649"/>
      <c r="T200" s="650"/>
      <c r="U200" s="16"/>
      <c r="V200" s="16"/>
      <c r="W200" s="16"/>
      <c r="X200" s="119"/>
      <c r="Y200" s="119"/>
      <c r="Z200" s="119"/>
      <c r="AA200" s="119"/>
      <c r="AB200" s="119"/>
      <c r="AC200" s="119"/>
      <c r="AD200" s="119"/>
      <c r="AE200" s="119"/>
      <c r="AF200" s="119"/>
    </row>
    <row r="201" ht="27.75" customHeight="1">
      <c r="A201" s="119"/>
      <c r="B201" s="652"/>
      <c r="C201" s="642">
        <f>IF(F201=0,0,(VLOOKUP(F201,'MTRL MSK (TPDP)'!$F$9:$W637,18,0)))</f>
        <v>0</v>
      </c>
      <c r="D201" s="642">
        <f>IF(C201=0,0,(VLOOKUP(C201,'MTRL MSK (TPDP)'!$B$9:$W637,3,0)))</f>
        <v>0</v>
      </c>
      <c r="E201" s="643" t="str">
        <f>iferror(IF(C201="","",(VLOOKUP(C201,'MTRL MSK (TPDP)'!$B$9:$W637,4,0))),"")</f>
        <v/>
      </c>
      <c r="F201" s="644">
        <f>IF(H201=0,0,(VLOOKUP(H201,'MTRL MSK (TPDP)'!$H$9:$X637,17,0)))</f>
        <v>0</v>
      </c>
      <c r="G201" s="645"/>
      <c r="H201" s="646"/>
      <c r="I201" s="446">
        <f>IF(H201=0,0,(VLOOKUP(H201,'MTRL MSK (TPDP)'!$H$9:$U637,2,0)))</f>
        <v>0</v>
      </c>
      <c r="J201" s="448" t="str">
        <f>IFERROR((IF(H201=0,0,(VLOOKUP(H201,'MTRL MSK (TPDP)'!$H$8:$U637,7,0))))/(IF(H201=0,0,(VLOOKUP(H201,'MTRL MSK (TPDP)'!$H$8:$U637,5,0)))),"")</f>
        <v/>
      </c>
      <c r="K201" s="559"/>
      <c r="L201" s="448">
        <f t="shared" si="1"/>
        <v>0</v>
      </c>
      <c r="M201" s="647">
        <f t="shared" si="2"/>
        <v>0</v>
      </c>
      <c r="N201" s="647">
        <f t="shared" si="3"/>
        <v>0</v>
      </c>
      <c r="O201" s="448">
        <f>IF(H201=0,0,(VLOOKUP(H201,'MTRL MSK (TPDP)'!$H$9:$U637,5,0)))</f>
        <v>0</v>
      </c>
      <c r="P201" s="448">
        <f t="shared" si="4"/>
        <v>0</v>
      </c>
      <c r="Q201" s="448">
        <f t="shared" si="5"/>
        <v>0</v>
      </c>
      <c r="R201" s="648" t="str">
        <f>IFERROR(IF(S201="","",(VLOOKUP(S201,'1. BQ RAPL'!$D$14:$K637,8,0))),"")</f>
        <v/>
      </c>
      <c r="S201" s="649"/>
      <c r="T201" s="650"/>
      <c r="U201" s="16"/>
      <c r="V201" s="16"/>
      <c r="W201" s="16"/>
      <c r="X201" s="119"/>
      <c r="Y201" s="119"/>
      <c r="Z201" s="119"/>
      <c r="AA201" s="119"/>
      <c r="AB201" s="119"/>
      <c r="AC201" s="119"/>
      <c r="AD201" s="119"/>
      <c r="AE201" s="119"/>
      <c r="AF201" s="119"/>
    </row>
    <row r="202" ht="18.75" customHeight="1">
      <c r="A202" s="119"/>
      <c r="B202" s="652"/>
      <c r="C202" s="642">
        <f>IF(F202=0,0,(VLOOKUP(F202,'MTRL MSK (TPDP)'!$F$9:$W637,18,0)))</f>
        <v>0</v>
      </c>
      <c r="D202" s="642">
        <f>IF(C202=0,0,(VLOOKUP(C202,'MTRL MSK (TPDP)'!$B$9:$W637,3,0)))</f>
        <v>0</v>
      </c>
      <c r="E202" s="643" t="str">
        <f>iferror(IF(C202="","",(VLOOKUP(C202,'MTRL MSK (TPDP)'!$B$9:$W637,4,0))),"")</f>
        <v/>
      </c>
      <c r="F202" s="644">
        <f>IF(H202=0,0,(VLOOKUP(H202,'MTRL MSK (TPDP)'!$H$9:$X637,17,0)))</f>
        <v>0</v>
      </c>
      <c r="G202" s="645"/>
      <c r="H202" s="646"/>
      <c r="I202" s="446">
        <f>IF(H202=0,0,(VLOOKUP(H202,'MTRL MSK (TPDP)'!$H$9:$U637,2,0)))</f>
        <v>0</v>
      </c>
      <c r="J202" s="448" t="str">
        <f>IFERROR((IF(H202=0,0,(VLOOKUP(H202,'MTRL MSK (TPDP)'!$H$8:$U637,7,0))))/(IF(H202=0,0,(VLOOKUP(H202,'MTRL MSK (TPDP)'!$H$8:$U637,5,0)))),"")</f>
        <v/>
      </c>
      <c r="K202" s="559"/>
      <c r="L202" s="448">
        <f t="shared" si="1"/>
        <v>0</v>
      </c>
      <c r="M202" s="647">
        <f t="shared" si="2"/>
        <v>0</v>
      </c>
      <c r="N202" s="647">
        <f t="shared" si="3"/>
        <v>0</v>
      </c>
      <c r="O202" s="448">
        <f>IF(H202=0,0,(VLOOKUP(H202,'MTRL MSK (TPDP)'!$H$9:$U637,5,0)))</f>
        <v>0</v>
      </c>
      <c r="P202" s="448">
        <f t="shared" si="4"/>
        <v>0</v>
      </c>
      <c r="Q202" s="448">
        <f t="shared" si="5"/>
        <v>0</v>
      </c>
      <c r="R202" s="648" t="str">
        <f>IFERROR(IF(S202="","",(VLOOKUP(S202,'1. BQ RAPL'!$D$14:$K637,8,0))),"")</f>
        <v/>
      </c>
      <c r="S202" s="649"/>
      <c r="T202" s="650"/>
      <c r="U202" s="16"/>
      <c r="V202" s="16"/>
      <c r="W202" s="16"/>
      <c r="X202" s="119"/>
      <c r="Y202" s="119"/>
      <c r="Z202" s="119"/>
      <c r="AA202" s="119"/>
      <c r="AB202" s="119"/>
      <c r="AC202" s="119"/>
      <c r="AD202" s="119"/>
      <c r="AE202" s="119"/>
      <c r="AF202" s="119"/>
    </row>
    <row r="203" ht="18.75" customHeight="1">
      <c r="A203" s="119"/>
      <c r="B203" s="652"/>
      <c r="C203" s="642">
        <f>IF(F203=0,0,(VLOOKUP(F203,'MTRL MSK (TPDP)'!$F$9:$W637,18,0)))</f>
        <v>0</v>
      </c>
      <c r="D203" s="642">
        <f>IF(C203=0,0,(VLOOKUP(C203,'MTRL MSK (TPDP)'!$B$9:$W637,3,0)))</f>
        <v>0</v>
      </c>
      <c r="E203" s="643" t="str">
        <f>iferror(IF(C203="","",(VLOOKUP(C203,'MTRL MSK (TPDP)'!$B$9:$W637,4,0))),"")</f>
        <v/>
      </c>
      <c r="F203" s="644">
        <f>IF(H203=0,0,(VLOOKUP(H203,'MTRL MSK (TPDP)'!$H$9:$X637,17,0)))</f>
        <v>0</v>
      </c>
      <c r="G203" s="645"/>
      <c r="H203" s="646"/>
      <c r="I203" s="446">
        <f>IF(H203=0,0,(VLOOKUP(H203,'MTRL MSK (TPDP)'!$H$9:$U637,2,0)))</f>
        <v>0</v>
      </c>
      <c r="J203" s="448" t="str">
        <f>IFERROR((IF(H203=0,0,(VLOOKUP(H203,'MTRL MSK (TPDP)'!$H$8:$U637,7,0))))/(IF(H203=0,0,(VLOOKUP(H203,'MTRL MSK (TPDP)'!$H$8:$U637,5,0)))),"")</f>
        <v/>
      </c>
      <c r="K203" s="559"/>
      <c r="L203" s="448">
        <f t="shared" si="1"/>
        <v>0</v>
      </c>
      <c r="M203" s="647">
        <f t="shared" si="2"/>
        <v>0</v>
      </c>
      <c r="N203" s="647">
        <f t="shared" si="3"/>
        <v>0</v>
      </c>
      <c r="O203" s="448">
        <f>IF(H203=0,0,(VLOOKUP(H203,'MTRL MSK (TPDP)'!$H$9:$U637,5,0)))</f>
        <v>0</v>
      </c>
      <c r="P203" s="448">
        <f t="shared" si="4"/>
        <v>0</v>
      </c>
      <c r="Q203" s="448">
        <f t="shared" si="5"/>
        <v>0</v>
      </c>
      <c r="R203" s="648" t="str">
        <f>IFERROR(IF(S203="","",(VLOOKUP(S203,'1. BQ RAPL'!$D$14:$K637,8,0))),"")</f>
        <v/>
      </c>
      <c r="S203" s="649"/>
      <c r="T203" s="650"/>
      <c r="U203" s="16"/>
      <c r="V203" s="16"/>
      <c r="W203" s="16"/>
      <c r="X203" s="119"/>
      <c r="Y203" s="119"/>
      <c r="Z203" s="119"/>
      <c r="AA203" s="119"/>
      <c r="AB203" s="119"/>
      <c r="AC203" s="119"/>
      <c r="AD203" s="119"/>
      <c r="AE203" s="119"/>
      <c r="AF203" s="119"/>
    </row>
    <row r="204" ht="18.75" customHeight="1">
      <c r="A204" s="119"/>
      <c r="B204" s="652"/>
      <c r="C204" s="642">
        <f>IF(F204=0,0,(VLOOKUP(F204,'MTRL MSK (TPDP)'!$F$9:$W637,18,0)))</f>
        <v>0</v>
      </c>
      <c r="D204" s="642">
        <f>IF(C204=0,0,(VLOOKUP(C204,'MTRL MSK (TPDP)'!$B$9:$W637,3,0)))</f>
        <v>0</v>
      </c>
      <c r="E204" s="643" t="str">
        <f>iferror(IF(C204="","",(VLOOKUP(C204,'MTRL MSK (TPDP)'!$B$9:$W637,4,0))),"")</f>
        <v/>
      </c>
      <c r="F204" s="644">
        <f>IF(H204=0,0,(VLOOKUP(H204,'MTRL MSK (TPDP)'!$H$9:$X637,17,0)))</f>
        <v>0</v>
      </c>
      <c r="G204" s="645"/>
      <c r="H204" s="646"/>
      <c r="I204" s="446">
        <f>IF(H204=0,0,(VLOOKUP(H204,'MTRL MSK (TPDP)'!$H$9:$U637,2,0)))</f>
        <v>0</v>
      </c>
      <c r="J204" s="448" t="str">
        <f>IFERROR((IF(H204=0,0,(VLOOKUP(H204,'MTRL MSK (TPDP)'!$H$8:$U637,7,0))))/(IF(H204=0,0,(VLOOKUP(H204,'MTRL MSK (TPDP)'!$H$8:$U637,5,0)))),"")</f>
        <v/>
      </c>
      <c r="K204" s="559"/>
      <c r="L204" s="448">
        <f t="shared" si="1"/>
        <v>0</v>
      </c>
      <c r="M204" s="647">
        <f t="shared" si="2"/>
        <v>0</v>
      </c>
      <c r="N204" s="647">
        <f t="shared" si="3"/>
        <v>0</v>
      </c>
      <c r="O204" s="448">
        <f>IF(H204=0,0,(VLOOKUP(H204,'MTRL MSK (TPDP)'!$H$9:$U637,5,0)))</f>
        <v>0</v>
      </c>
      <c r="P204" s="448">
        <f t="shared" si="4"/>
        <v>0</v>
      </c>
      <c r="Q204" s="448">
        <f t="shared" si="5"/>
        <v>0</v>
      </c>
      <c r="R204" s="648" t="str">
        <f>IFERROR(IF(S204="","",(VLOOKUP(S204,'1. BQ RAPL'!$D$14:$K637,8,0))),"")</f>
        <v/>
      </c>
      <c r="S204" s="649"/>
      <c r="T204" s="650"/>
      <c r="U204" s="16"/>
      <c r="V204" s="16"/>
      <c r="W204" s="16"/>
      <c r="X204" s="119"/>
      <c r="Y204" s="119"/>
      <c r="Z204" s="119"/>
      <c r="AA204" s="119"/>
      <c r="AB204" s="119"/>
      <c r="AC204" s="119"/>
      <c r="AD204" s="119"/>
      <c r="AE204" s="119"/>
      <c r="AF204" s="119"/>
    </row>
    <row r="205" ht="18.75" customHeight="1">
      <c r="A205" s="119"/>
      <c r="B205" s="652"/>
      <c r="C205" s="642">
        <f>IF(F205=0,0,(VLOOKUP(F205,'MTRL MSK (TPDP)'!$F$9:$W637,18,0)))</f>
        <v>0</v>
      </c>
      <c r="D205" s="642">
        <f>IF(C205=0,0,(VLOOKUP(C205,'MTRL MSK (TPDP)'!$B$9:$W637,3,0)))</f>
        <v>0</v>
      </c>
      <c r="E205" s="643" t="str">
        <f>iferror(IF(C205="","",(VLOOKUP(C205,'MTRL MSK (TPDP)'!$B$9:$W637,4,0))),"")</f>
        <v/>
      </c>
      <c r="F205" s="644">
        <f>IF(H205=0,0,(VLOOKUP(H205,'MTRL MSK (TPDP)'!$H$9:$X637,17,0)))</f>
        <v>0</v>
      </c>
      <c r="G205" s="645"/>
      <c r="H205" s="646"/>
      <c r="I205" s="446">
        <f>IF(H205=0,0,(VLOOKUP(H205,'MTRL MSK (TPDP)'!$H$9:$U637,2,0)))</f>
        <v>0</v>
      </c>
      <c r="J205" s="448" t="str">
        <f>IFERROR((IF(H205=0,0,(VLOOKUP(H205,'MTRL MSK (TPDP)'!$H$8:$U637,7,0))))/(IF(H205=0,0,(VLOOKUP(H205,'MTRL MSK (TPDP)'!$H$8:$U637,5,0)))),"")</f>
        <v/>
      </c>
      <c r="K205" s="559"/>
      <c r="L205" s="448">
        <f t="shared" si="1"/>
        <v>0</v>
      </c>
      <c r="M205" s="647">
        <f t="shared" si="2"/>
        <v>0</v>
      </c>
      <c r="N205" s="647">
        <f t="shared" si="3"/>
        <v>0</v>
      </c>
      <c r="O205" s="448">
        <f>IF(H205=0,0,(VLOOKUP(H205,'MTRL MSK (TPDP)'!$H$9:$U637,5,0)))</f>
        <v>0</v>
      </c>
      <c r="P205" s="448">
        <f t="shared" si="4"/>
        <v>0</v>
      </c>
      <c r="Q205" s="448">
        <f t="shared" si="5"/>
        <v>0</v>
      </c>
      <c r="R205" s="648" t="str">
        <f>IFERROR(IF(S205="","",(VLOOKUP(S205,'1. BQ RAPL'!$D$14:$K637,8,0))),"")</f>
        <v/>
      </c>
      <c r="S205" s="649"/>
      <c r="T205" s="650"/>
      <c r="U205" s="16"/>
      <c r="V205" s="16"/>
      <c r="W205" s="16"/>
      <c r="X205" s="119"/>
      <c r="Y205" s="119"/>
      <c r="Z205" s="119"/>
      <c r="AA205" s="119"/>
      <c r="AB205" s="119"/>
      <c r="AC205" s="119"/>
      <c r="AD205" s="119"/>
      <c r="AE205" s="119"/>
      <c r="AF205" s="119"/>
    </row>
    <row r="206" ht="18.75" customHeight="1">
      <c r="A206" s="119"/>
      <c r="B206" s="652"/>
      <c r="C206" s="642">
        <f>IF(F206=0,0,(VLOOKUP(F206,'MTRL MSK (TPDP)'!$F$9:$W637,18,0)))</f>
        <v>0</v>
      </c>
      <c r="D206" s="642">
        <f>IF(C206=0,0,(VLOOKUP(C206,'MTRL MSK (TPDP)'!$B$9:$W637,3,0)))</f>
        <v>0</v>
      </c>
      <c r="E206" s="643" t="str">
        <f>iferror(IF(C206="","",(VLOOKUP(C206,'MTRL MSK (TPDP)'!$B$9:$W637,4,0))),"")</f>
        <v/>
      </c>
      <c r="F206" s="644">
        <f>IF(H206=0,0,(VLOOKUP(H206,'MTRL MSK (TPDP)'!$H$9:$X637,17,0)))</f>
        <v>0</v>
      </c>
      <c r="G206" s="645"/>
      <c r="H206" s="646"/>
      <c r="I206" s="446">
        <f>IF(H206=0,0,(VLOOKUP(H206,'MTRL MSK (TPDP)'!$H$9:$U637,2,0)))</f>
        <v>0</v>
      </c>
      <c r="J206" s="448" t="str">
        <f>IFERROR((IF(H206=0,0,(VLOOKUP(H206,'MTRL MSK (TPDP)'!$H$8:$U637,7,0))))/(IF(H206=0,0,(VLOOKUP(H206,'MTRL MSK (TPDP)'!$H$8:$U637,5,0)))),"")</f>
        <v/>
      </c>
      <c r="K206" s="559"/>
      <c r="L206" s="448">
        <f t="shared" si="1"/>
        <v>0</v>
      </c>
      <c r="M206" s="647">
        <f t="shared" si="2"/>
        <v>0</v>
      </c>
      <c r="N206" s="647">
        <f t="shared" si="3"/>
        <v>0</v>
      </c>
      <c r="O206" s="448">
        <f>IF(H206=0,0,(VLOOKUP(H206,'MTRL MSK (TPDP)'!$H$9:$U637,5,0)))</f>
        <v>0</v>
      </c>
      <c r="P206" s="448">
        <f t="shared" si="4"/>
        <v>0</v>
      </c>
      <c r="Q206" s="448">
        <f t="shared" si="5"/>
        <v>0</v>
      </c>
      <c r="R206" s="648" t="str">
        <f>IFERROR(IF(S206="","",(VLOOKUP(S206,'1. BQ RAPL'!$D$14:$K637,8,0))),"")</f>
        <v/>
      </c>
      <c r="S206" s="649"/>
      <c r="T206" s="650"/>
      <c r="U206" s="16"/>
      <c r="V206" s="16"/>
      <c r="W206" s="16"/>
      <c r="X206" s="119"/>
      <c r="Y206" s="119"/>
      <c r="Z206" s="119"/>
      <c r="AA206" s="119"/>
      <c r="AB206" s="119"/>
      <c r="AC206" s="119"/>
      <c r="AD206" s="119"/>
      <c r="AE206" s="119"/>
      <c r="AF206" s="119"/>
    </row>
    <row r="207" ht="18.75" customHeight="1">
      <c r="A207" s="119"/>
      <c r="B207" s="652"/>
      <c r="C207" s="642">
        <f>IF(F207=0,0,(VLOOKUP(F207,'MTRL MSK (TPDP)'!$F$9:$W637,18,0)))</f>
        <v>0</v>
      </c>
      <c r="D207" s="642">
        <f>IF(C207=0,0,(VLOOKUP(C207,'MTRL MSK (TPDP)'!$B$9:$W637,3,0)))</f>
        <v>0</v>
      </c>
      <c r="E207" s="643" t="str">
        <f>iferror(IF(C207="","",(VLOOKUP(C207,'MTRL MSK (TPDP)'!$B$9:$W637,4,0))),"")</f>
        <v/>
      </c>
      <c r="F207" s="644">
        <f>IF(H207=0,0,(VLOOKUP(H207,'MTRL MSK (TPDP)'!$H$9:$X637,17,0)))</f>
        <v>0</v>
      </c>
      <c r="G207" s="645"/>
      <c r="H207" s="646"/>
      <c r="I207" s="446">
        <f>IF(H207=0,0,(VLOOKUP(H207,'MTRL MSK (TPDP)'!$H$9:$U637,2,0)))</f>
        <v>0</v>
      </c>
      <c r="J207" s="448" t="str">
        <f>IFERROR((IF(H207=0,0,(VLOOKUP(H207,'MTRL MSK (TPDP)'!$H$8:$U637,7,0))))/(IF(H207=0,0,(VLOOKUP(H207,'MTRL MSK (TPDP)'!$H$8:$U637,5,0)))),"")</f>
        <v/>
      </c>
      <c r="K207" s="559"/>
      <c r="L207" s="448">
        <f t="shared" si="1"/>
        <v>0</v>
      </c>
      <c r="M207" s="647">
        <f t="shared" si="2"/>
        <v>0</v>
      </c>
      <c r="N207" s="647">
        <f t="shared" si="3"/>
        <v>0</v>
      </c>
      <c r="O207" s="448">
        <f>IF(H207=0,0,(VLOOKUP(H207,'MTRL MSK (TPDP)'!$H$9:$U637,5,0)))</f>
        <v>0</v>
      </c>
      <c r="P207" s="448">
        <f t="shared" si="4"/>
        <v>0</v>
      </c>
      <c r="Q207" s="448">
        <f t="shared" si="5"/>
        <v>0</v>
      </c>
      <c r="R207" s="648" t="str">
        <f>IFERROR(IF(S207="","",(VLOOKUP(S207,'1. BQ RAPL'!$D$14:$K637,8,0))),"")</f>
        <v/>
      </c>
      <c r="S207" s="649"/>
      <c r="T207" s="650"/>
      <c r="U207" s="16"/>
      <c r="V207" s="16"/>
      <c r="W207" s="16"/>
      <c r="X207" s="119"/>
      <c r="Y207" s="119"/>
      <c r="Z207" s="119"/>
      <c r="AA207" s="119"/>
      <c r="AB207" s="119"/>
      <c r="AC207" s="119"/>
      <c r="AD207" s="119"/>
      <c r="AE207" s="119"/>
      <c r="AF207" s="119"/>
    </row>
    <row r="208" ht="18.75" customHeight="1">
      <c r="A208" s="119"/>
      <c r="B208" s="652"/>
      <c r="C208" s="642">
        <f>IF(F208=0,0,(VLOOKUP(F208,'MTRL MSK (TPDP)'!$F$9:$W637,18,0)))</f>
        <v>0</v>
      </c>
      <c r="D208" s="642">
        <f>IF(C208=0,0,(VLOOKUP(C208,'MTRL MSK (TPDP)'!$B$9:$W637,3,0)))</f>
        <v>0</v>
      </c>
      <c r="E208" s="643" t="str">
        <f>iferror(IF(C208="","",(VLOOKUP(C208,'MTRL MSK (TPDP)'!$B$9:$W637,4,0))),"")</f>
        <v/>
      </c>
      <c r="F208" s="644">
        <f>IF(H208=0,0,(VLOOKUP(H208,'MTRL MSK (TPDP)'!$H$9:$X637,17,0)))</f>
        <v>0</v>
      </c>
      <c r="G208" s="645"/>
      <c r="H208" s="646"/>
      <c r="I208" s="446">
        <f>IF(H208=0,0,(VLOOKUP(H208,'MTRL MSK (TPDP)'!$H$9:$U637,2,0)))</f>
        <v>0</v>
      </c>
      <c r="J208" s="448" t="str">
        <f>IFERROR((IF(H208=0,0,(VLOOKUP(H208,'MTRL MSK (TPDP)'!$H$8:$U637,7,0))))/(IF(H208=0,0,(VLOOKUP(H208,'MTRL MSK (TPDP)'!$H$8:$U637,5,0)))),"")</f>
        <v/>
      </c>
      <c r="K208" s="559"/>
      <c r="L208" s="448">
        <f t="shared" si="1"/>
        <v>0</v>
      </c>
      <c r="M208" s="647">
        <f t="shared" si="2"/>
        <v>0</v>
      </c>
      <c r="N208" s="647">
        <f t="shared" si="3"/>
        <v>0</v>
      </c>
      <c r="O208" s="448">
        <f>IF(H208=0,0,(VLOOKUP(H208,'MTRL MSK (TPDP)'!$H$9:$U637,5,0)))</f>
        <v>0</v>
      </c>
      <c r="P208" s="448">
        <f t="shared" si="4"/>
        <v>0</v>
      </c>
      <c r="Q208" s="448">
        <f t="shared" si="5"/>
        <v>0</v>
      </c>
      <c r="R208" s="648" t="str">
        <f>IFERROR(IF(S208="","",(VLOOKUP(S208,'1. BQ RAPL'!$D$14:$K637,8,0))),"")</f>
        <v/>
      </c>
      <c r="S208" s="649"/>
      <c r="T208" s="650"/>
      <c r="U208" s="16"/>
      <c r="V208" s="16"/>
      <c r="W208" s="16"/>
      <c r="X208" s="119"/>
      <c r="Y208" s="119"/>
      <c r="Z208" s="119"/>
      <c r="AA208" s="119"/>
      <c r="AB208" s="119"/>
      <c r="AC208" s="119"/>
      <c r="AD208" s="119"/>
      <c r="AE208" s="119"/>
      <c r="AF208" s="119"/>
    </row>
    <row r="209" ht="18.75" customHeight="1">
      <c r="A209" s="119"/>
      <c r="B209" s="652"/>
      <c r="C209" s="642">
        <f>IF(F209=0,0,(VLOOKUP(F209,'MTRL MSK (TPDP)'!$F$9:$W637,18,0)))</f>
        <v>0</v>
      </c>
      <c r="D209" s="642">
        <f>IF(C209=0,0,(VLOOKUP(C209,'MTRL MSK (TPDP)'!$B$9:$W637,3,0)))</f>
        <v>0</v>
      </c>
      <c r="E209" s="643" t="str">
        <f>iferror(IF(C209="","",(VLOOKUP(C209,'MTRL MSK (TPDP)'!$B$9:$W637,4,0))),"")</f>
        <v/>
      </c>
      <c r="F209" s="644">
        <f>IF(H209=0,0,(VLOOKUP(H209,'MTRL MSK (TPDP)'!$H$9:$X637,17,0)))</f>
        <v>0</v>
      </c>
      <c r="G209" s="645"/>
      <c r="H209" s="646"/>
      <c r="I209" s="446">
        <f>IF(H209=0,0,(VLOOKUP(H209,'MTRL MSK (TPDP)'!$H$9:$U637,2,0)))</f>
        <v>0</v>
      </c>
      <c r="J209" s="448" t="str">
        <f>IFERROR((IF(H209=0,0,(VLOOKUP(H209,'MTRL MSK (TPDP)'!$H$8:$U637,7,0))))/(IF(H209=0,0,(VLOOKUP(H209,'MTRL MSK (TPDP)'!$H$8:$U637,5,0)))),"")</f>
        <v/>
      </c>
      <c r="K209" s="559"/>
      <c r="L209" s="448">
        <f t="shared" si="1"/>
        <v>0</v>
      </c>
      <c r="M209" s="647">
        <f t="shared" si="2"/>
        <v>0</v>
      </c>
      <c r="N209" s="647">
        <f t="shared" si="3"/>
        <v>0</v>
      </c>
      <c r="O209" s="448">
        <f>IF(H209=0,0,(VLOOKUP(H209,'MTRL MSK (TPDP)'!$H$9:$U637,5,0)))</f>
        <v>0</v>
      </c>
      <c r="P209" s="448">
        <f t="shared" si="4"/>
        <v>0</v>
      </c>
      <c r="Q209" s="448">
        <f t="shared" si="5"/>
        <v>0</v>
      </c>
      <c r="R209" s="648" t="str">
        <f>IFERROR(IF(S209="","",(VLOOKUP(S209,'1. BQ RAPL'!$D$14:$K637,8,0))),"")</f>
        <v/>
      </c>
      <c r="S209" s="649"/>
      <c r="T209" s="650"/>
      <c r="U209" s="16"/>
      <c r="V209" s="16"/>
      <c r="W209" s="16"/>
      <c r="X209" s="119"/>
      <c r="Y209" s="119"/>
      <c r="Z209" s="119"/>
      <c r="AA209" s="119"/>
      <c r="AB209" s="119"/>
      <c r="AC209" s="119"/>
      <c r="AD209" s="119"/>
      <c r="AE209" s="119"/>
      <c r="AF209" s="119"/>
    </row>
    <row r="210" ht="18.75" customHeight="1">
      <c r="A210" s="119"/>
      <c r="B210" s="652"/>
      <c r="C210" s="642">
        <f>IF(F210=0,0,(VLOOKUP(F210,'MTRL MSK (TPDP)'!$F$9:$W637,18,0)))</f>
        <v>0</v>
      </c>
      <c r="D210" s="642">
        <f>IF(C210=0,0,(VLOOKUP(C210,'MTRL MSK (TPDP)'!$B$9:$W637,3,0)))</f>
        <v>0</v>
      </c>
      <c r="E210" s="643" t="str">
        <f>iferror(IF(C210="","",(VLOOKUP(C210,'MTRL MSK (TPDP)'!$B$9:$W637,4,0))),"")</f>
        <v/>
      </c>
      <c r="F210" s="644">
        <f>IF(H210=0,0,(VLOOKUP(H210,'MTRL MSK (TPDP)'!$H$9:$X637,17,0)))</f>
        <v>0</v>
      </c>
      <c r="G210" s="645"/>
      <c r="H210" s="646"/>
      <c r="I210" s="446">
        <f>IF(H210=0,0,(VLOOKUP(H210,'MTRL MSK (TPDP)'!$H$9:$U637,2,0)))</f>
        <v>0</v>
      </c>
      <c r="J210" s="448" t="str">
        <f>IFERROR((IF(H210=0,0,(VLOOKUP(H210,'MTRL MSK (TPDP)'!$H$8:$U637,7,0))))/(IF(H210=0,0,(VLOOKUP(H210,'MTRL MSK (TPDP)'!$H$8:$U637,5,0)))),"")</f>
        <v/>
      </c>
      <c r="K210" s="559"/>
      <c r="L210" s="448">
        <f t="shared" si="1"/>
        <v>0</v>
      </c>
      <c r="M210" s="647">
        <f t="shared" si="2"/>
        <v>0</v>
      </c>
      <c r="N210" s="647">
        <f t="shared" si="3"/>
        <v>0</v>
      </c>
      <c r="O210" s="448">
        <f>IF(H210=0,0,(VLOOKUP(H210,'MTRL MSK (TPDP)'!$H$9:$U637,5,0)))</f>
        <v>0</v>
      </c>
      <c r="P210" s="448">
        <f t="shared" si="4"/>
        <v>0</v>
      </c>
      <c r="Q210" s="448">
        <f t="shared" si="5"/>
        <v>0</v>
      </c>
      <c r="R210" s="648" t="str">
        <f>IFERROR(IF(S210="","",(VLOOKUP(S210,'1. BQ RAPL'!$D$14:$K637,8,0))),"")</f>
        <v/>
      </c>
      <c r="S210" s="649"/>
      <c r="T210" s="650"/>
      <c r="U210" s="16"/>
      <c r="V210" s="16"/>
      <c r="W210" s="16"/>
      <c r="X210" s="119"/>
      <c r="Y210" s="119"/>
      <c r="Z210" s="119"/>
      <c r="AA210" s="119"/>
      <c r="AB210" s="119"/>
      <c r="AC210" s="119"/>
      <c r="AD210" s="119"/>
      <c r="AE210" s="119"/>
      <c r="AF210" s="119"/>
    </row>
    <row r="211" ht="18.75" customHeight="1">
      <c r="A211" s="119"/>
      <c r="B211" s="652"/>
      <c r="C211" s="642">
        <f>IF(F211=0,0,(VLOOKUP(F211,'MTRL MSK (TPDP)'!$F$9:$W637,18,0)))</f>
        <v>0</v>
      </c>
      <c r="D211" s="642">
        <f>IF(C211=0,0,(VLOOKUP(C211,'MTRL MSK (TPDP)'!$B$9:$W637,3,0)))</f>
        <v>0</v>
      </c>
      <c r="E211" s="643" t="str">
        <f>iferror(IF(C211="","",(VLOOKUP(C211,'MTRL MSK (TPDP)'!$B$9:$W637,4,0))),"")</f>
        <v/>
      </c>
      <c r="F211" s="644">
        <f>IF(H211=0,0,(VLOOKUP(H211,'MTRL MSK (TPDP)'!$H$9:$X637,17,0)))</f>
        <v>0</v>
      </c>
      <c r="G211" s="645"/>
      <c r="H211" s="646"/>
      <c r="I211" s="446">
        <f>IF(H211=0,0,(VLOOKUP(H211,'MTRL MSK (TPDP)'!$H$9:$U637,2,0)))</f>
        <v>0</v>
      </c>
      <c r="J211" s="448" t="str">
        <f>IFERROR((IF(H211=0,0,(VLOOKUP(H211,'MTRL MSK (TPDP)'!$H$8:$U637,7,0))))/(IF(H211=0,0,(VLOOKUP(H211,'MTRL MSK (TPDP)'!$H$8:$U637,5,0)))),"")</f>
        <v/>
      </c>
      <c r="K211" s="559"/>
      <c r="L211" s="448">
        <f t="shared" si="1"/>
        <v>0</v>
      </c>
      <c r="M211" s="647">
        <f t="shared" si="2"/>
        <v>0</v>
      </c>
      <c r="N211" s="647">
        <f t="shared" si="3"/>
        <v>0</v>
      </c>
      <c r="O211" s="448">
        <f>IF(H211=0,0,(VLOOKUP(H211,'MTRL MSK (TPDP)'!$H$9:$U637,5,0)))</f>
        <v>0</v>
      </c>
      <c r="P211" s="448">
        <f t="shared" si="4"/>
        <v>0</v>
      </c>
      <c r="Q211" s="448">
        <f t="shared" si="5"/>
        <v>0</v>
      </c>
      <c r="R211" s="648" t="str">
        <f>IFERROR(IF(S211="","",(VLOOKUP(S211,'1. BQ RAPL'!$D$14:$K637,8,0))),"")</f>
        <v/>
      </c>
      <c r="S211" s="649"/>
      <c r="T211" s="650"/>
      <c r="U211" s="16"/>
      <c r="V211" s="16"/>
      <c r="W211" s="16"/>
      <c r="X211" s="119"/>
      <c r="Y211" s="119"/>
      <c r="Z211" s="119"/>
      <c r="AA211" s="119"/>
      <c r="AB211" s="119"/>
      <c r="AC211" s="119"/>
      <c r="AD211" s="119"/>
      <c r="AE211" s="119"/>
      <c r="AF211" s="119"/>
    </row>
    <row r="212" ht="18.75" customHeight="1">
      <c r="A212" s="119"/>
      <c r="B212" s="652"/>
      <c r="C212" s="642">
        <f>IF(F212=0,0,(VLOOKUP(F212,'MTRL MSK (TPDP)'!$F$9:$W637,18,0)))</f>
        <v>0</v>
      </c>
      <c r="D212" s="642">
        <f>IF(C212=0,0,(VLOOKUP(C212,'MTRL MSK (TPDP)'!$B$9:$W637,3,0)))</f>
        <v>0</v>
      </c>
      <c r="E212" s="643" t="str">
        <f>iferror(IF(C212="","",(VLOOKUP(C212,'MTRL MSK (TPDP)'!$B$9:$W637,4,0))),"")</f>
        <v/>
      </c>
      <c r="F212" s="644">
        <f>IF(H212=0,0,(VLOOKUP(H212,'MTRL MSK (TPDP)'!$H$9:$X637,17,0)))</f>
        <v>0</v>
      </c>
      <c r="G212" s="645"/>
      <c r="H212" s="646"/>
      <c r="I212" s="446">
        <f>IF(H212=0,0,(VLOOKUP(H212,'MTRL MSK (TPDP)'!$H$9:$U637,2,0)))</f>
        <v>0</v>
      </c>
      <c r="J212" s="448" t="str">
        <f>IFERROR((IF(H212=0,0,(VLOOKUP(H212,'MTRL MSK (TPDP)'!$H$8:$U637,7,0))))/(IF(H212=0,0,(VLOOKUP(H212,'MTRL MSK (TPDP)'!$H$8:$U637,5,0)))),"")</f>
        <v/>
      </c>
      <c r="K212" s="559"/>
      <c r="L212" s="448">
        <f t="shared" si="1"/>
        <v>0</v>
      </c>
      <c r="M212" s="647">
        <f t="shared" si="2"/>
        <v>0</v>
      </c>
      <c r="N212" s="647">
        <f t="shared" si="3"/>
        <v>0</v>
      </c>
      <c r="O212" s="448">
        <f>IF(H212=0,0,(VLOOKUP(H212,'MTRL MSK (TPDP)'!$H$9:$U637,5,0)))</f>
        <v>0</v>
      </c>
      <c r="P212" s="448">
        <f t="shared" si="4"/>
        <v>0</v>
      </c>
      <c r="Q212" s="448">
        <f t="shared" si="5"/>
        <v>0</v>
      </c>
      <c r="R212" s="648" t="str">
        <f>IFERROR(IF(S212="","",(VLOOKUP(S212,'1. BQ RAPL'!$D$14:$K637,8,0))),"")</f>
        <v/>
      </c>
      <c r="S212" s="649"/>
      <c r="T212" s="650"/>
      <c r="U212" s="16"/>
      <c r="V212" s="16"/>
      <c r="W212" s="16"/>
      <c r="X212" s="119"/>
      <c r="Y212" s="119"/>
      <c r="Z212" s="119"/>
      <c r="AA212" s="119"/>
      <c r="AB212" s="119"/>
      <c r="AC212" s="119"/>
      <c r="AD212" s="119"/>
      <c r="AE212" s="119"/>
      <c r="AF212" s="119"/>
    </row>
    <row r="213" ht="18.75" customHeight="1">
      <c r="A213" s="119"/>
      <c r="B213" s="652"/>
      <c r="C213" s="642">
        <f>IF(F213=0,0,(VLOOKUP(F213,'MTRL MSK (TPDP)'!$F$9:$W637,18,0)))</f>
        <v>0</v>
      </c>
      <c r="D213" s="642">
        <f>IF(C213=0,0,(VLOOKUP(C213,'MTRL MSK (TPDP)'!$B$9:$W637,3,0)))</f>
        <v>0</v>
      </c>
      <c r="E213" s="643" t="str">
        <f>iferror(IF(C213="","",(VLOOKUP(C213,'MTRL MSK (TPDP)'!$B$9:$W637,4,0))),"")</f>
        <v/>
      </c>
      <c r="F213" s="644">
        <f>IF(H213=0,0,(VLOOKUP(H213,'MTRL MSK (TPDP)'!$H$9:$X637,17,0)))</f>
        <v>0</v>
      </c>
      <c r="G213" s="645"/>
      <c r="H213" s="646"/>
      <c r="I213" s="446">
        <f>IF(H213=0,0,(VLOOKUP(H213,'MTRL MSK (TPDP)'!$H$9:$U637,2,0)))</f>
        <v>0</v>
      </c>
      <c r="J213" s="448" t="str">
        <f>IFERROR((IF(H213=0,0,(VLOOKUP(H213,'MTRL MSK (TPDP)'!$H$8:$U637,7,0))))/(IF(H213=0,0,(VLOOKUP(H213,'MTRL MSK (TPDP)'!$H$8:$U637,5,0)))),"")</f>
        <v/>
      </c>
      <c r="K213" s="559"/>
      <c r="L213" s="448">
        <f t="shared" si="1"/>
        <v>0</v>
      </c>
      <c r="M213" s="647">
        <f t="shared" si="2"/>
        <v>0</v>
      </c>
      <c r="N213" s="647">
        <f t="shared" si="3"/>
        <v>0</v>
      </c>
      <c r="O213" s="448">
        <f>IF(H213=0,0,(VLOOKUP(H213,'MTRL MSK (TPDP)'!$H$9:$U637,5,0)))</f>
        <v>0</v>
      </c>
      <c r="P213" s="448">
        <f t="shared" si="4"/>
        <v>0</v>
      </c>
      <c r="Q213" s="448">
        <f t="shared" si="5"/>
        <v>0</v>
      </c>
      <c r="R213" s="648" t="str">
        <f>IFERROR(IF(S213="","",(VLOOKUP(S213,'1. BQ RAPL'!$D$14:$K637,8,0))),"")</f>
        <v/>
      </c>
      <c r="S213" s="649"/>
      <c r="T213" s="650"/>
      <c r="U213" s="16"/>
      <c r="V213" s="16"/>
      <c r="W213" s="16"/>
      <c r="X213" s="119"/>
      <c r="Y213" s="119"/>
      <c r="Z213" s="119"/>
      <c r="AA213" s="119"/>
      <c r="AB213" s="119"/>
      <c r="AC213" s="119"/>
      <c r="AD213" s="119"/>
      <c r="AE213" s="119"/>
      <c r="AF213" s="119"/>
    </row>
    <row r="214" ht="18.75" customHeight="1">
      <c r="A214" s="119"/>
      <c r="B214" s="652"/>
      <c r="C214" s="642">
        <f>IF(F214=0,0,(VLOOKUP(F214,'MTRL MSK (TPDP)'!$F$9:$W637,18,0)))</f>
        <v>0</v>
      </c>
      <c r="D214" s="642">
        <f>IF(C214=0,0,(VLOOKUP(C214,'MTRL MSK (TPDP)'!$B$9:$W637,3,0)))</f>
        <v>0</v>
      </c>
      <c r="E214" s="643" t="str">
        <f>iferror(IF(C214="","",(VLOOKUP(C214,'MTRL MSK (TPDP)'!$B$9:$W637,4,0))),"")</f>
        <v/>
      </c>
      <c r="F214" s="644">
        <f>IF(H214=0,0,(VLOOKUP(H214,'MTRL MSK (TPDP)'!$H$9:$X637,17,0)))</f>
        <v>0</v>
      </c>
      <c r="G214" s="645"/>
      <c r="H214" s="646"/>
      <c r="I214" s="446">
        <f>IF(H214=0,0,(VLOOKUP(H214,'MTRL MSK (TPDP)'!$H$9:$U637,2,0)))</f>
        <v>0</v>
      </c>
      <c r="J214" s="448" t="str">
        <f>IFERROR((IF(H214=0,0,(VLOOKUP(H214,'MTRL MSK (TPDP)'!$H$8:$U637,7,0))))/(IF(H214=0,0,(VLOOKUP(H214,'MTRL MSK (TPDP)'!$H$8:$U637,5,0)))),"")</f>
        <v/>
      </c>
      <c r="K214" s="559"/>
      <c r="L214" s="448">
        <f t="shared" si="1"/>
        <v>0</v>
      </c>
      <c r="M214" s="647">
        <f t="shared" si="2"/>
        <v>0</v>
      </c>
      <c r="N214" s="647">
        <f t="shared" si="3"/>
        <v>0</v>
      </c>
      <c r="O214" s="448">
        <f>IF(H214=0,0,(VLOOKUP(H214,'MTRL MSK (TPDP)'!$H$9:$U637,5,0)))</f>
        <v>0</v>
      </c>
      <c r="P214" s="448">
        <f t="shared" si="4"/>
        <v>0</v>
      </c>
      <c r="Q214" s="448">
        <f t="shared" si="5"/>
        <v>0</v>
      </c>
      <c r="R214" s="648" t="str">
        <f>IFERROR(IF(S214="","",(VLOOKUP(S214,'1. BQ RAPL'!$D$14:$K637,8,0))),"")</f>
        <v/>
      </c>
      <c r="S214" s="649"/>
      <c r="T214" s="650"/>
      <c r="U214" s="16"/>
      <c r="V214" s="16"/>
      <c r="W214" s="16"/>
      <c r="X214" s="119"/>
      <c r="Y214" s="119"/>
      <c r="Z214" s="119"/>
      <c r="AA214" s="119"/>
      <c r="AB214" s="119"/>
      <c r="AC214" s="119"/>
      <c r="AD214" s="119"/>
      <c r="AE214" s="119"/>
      <c r="AF214" s="119"/>
    </row>
    <row r="215" ht="18.75" customHeight="1">
      <c r="A215" s="119"/>
      <c r="B215" s="652"/>
      <c r="C215" s="642">
        <f>IF(F215=0,0,(VLOOKUP(F215,'MTRL MSK (TPDP)'!$F$9:$W637,18,0)))</f>
        <v>0</v>
      </c>
      <c r="D215" s="642">
        <f>IF(C215=0,0,(VLOOKUP(C215,'MTRL MSK (TPDP)'!$B$9:$W637,3,0)))</f>
        <v>0</v>
      </c>
      <c r="E215" s="643" t="str">
        <f>iferror(IF(C215="","",(VLOOKUP(C215,'MTRL MSK (TPDP)'!$B$9:$W637,4,0))),"")</f>
        <v/>
      </c>
      <c r="F215" s="644">
        <f>IF(H215=0,0,(VLOOKUP(H215,'MTRL MSK (TPDP)'!$H$9:$X637,17,0)))</f>
        <v>0</v>
      </c>
      <c r="G215" s="645"/>
      <c r="H215" s="646"/>
      <c r="I215" s="446">
        <f>IF(H215=0,0,(VLOOKUP(H215,'MTRL MSK (TPDP)'!$H$9:$U637,2,0)))</f>
        <v>0</v>
      </c>
      <c r="J215" s="448" t="str">
        <f>IFERROR((IF(H215=0,0,(VLOOKUP(H215,'MTRL MSK (TPDP)'!$H$8:$U637,7,0))))/(IF(H215=0,0,(VLOOKUP(H215,'MTRL MSK (TPDP)'!$H$8:$U637,5,0)))),"")</f>
        <v/>
      </c>
      <c r="K215" s="559"/>
      <c r="L215" s="448">
        <f t="shared" si="1"/>
        <v>0</v>
      </c>
      <c r="M215" s="647">
        <f t="shared" si="2"/>
        <v>0</v>
      </c>
      <c r="N215" s="647">
        <f t="shared" si="3"/>
        <v>0</v>
      </c>
      <c r="O215" s="448">
        <f>IF(H215=0,0,(VLOOKUP(H215,'MTRL MSK (TPDP)'!$H$9:$U637,5,0)))</f>
        <v>0</v>
      </c>
      <c r="P215" s="448">
        <f t="shared" si="4"/>
        <v>0</v>
      </c>
      <c r="Q215" s="448">
        <f t="shared" si="5"/>
        <v>0</v>
      </c>
      <c r="R215" s="648" t="str">
        <f>IFERROR(IF(S215="","",(VLOOKUP(S215,'1. BQ RAPL'!$D$14:$K637,8,0))),"")</f>
        <v/>
      </c>
      <c r="S215" s="649"/>
      <c r="T215" s="650"/>
      <c r="U215" s="16"/>
      <c r="V215" s="16"/>
      <c r="W215" s="16"/>
      <c r="X215" s="119"/>
      <c r="Y215" s="119"/>
      <c r="Z215" s="119"/>
      <c r="AA215" s="119"/>
      <c r="AB215" s="119"/>
      <c r="AC215" s="119"/>
      <c r="AD215" s="119"/>
      <c r="AE215" s="119"/>
      <c r="AF215" s="119"/>
    </row>
    <row r="216" ht="18.75" customHeight="1">
      <c r="A216" s="119"/>
      <c r="B216" s="652"/>
      <c r="C216" s="642">
        <f>IF(F216=0,0,(VLOOKUP(F216,'MTRL MSK (TPDP)'!$F$9:$W637,18,0)))</f>
        <v>0</v>
      </c>
      <c r="D216" s="642">
        <f>IF(C216=0,0,(VLOOKUP(C216,'MTRL MSK (TPDP)'!$B$9:$W637,3,0)))</f>
        <v>0</v>
      </c>
      <c r="E216" s="643" t="str">
        <f>iferror(IF(C216="","",(VLOOKUP(C216,'MTRL MSK (TPDP)'!$B$9:$W637,4,0))),"")</f>
        <v/>
      </c>
      <c r="F216" s="644">
        <f>IF(H216=0,0,(VLOOKUP(H216,'MTRL MSK (TPDP)'!$H$9:$X637,17,0)))</f>
        <v>0</v>
      </c>
      <c r="G216" s="645"/>
      <c r="H216" s="646"/>
      <c r="I216" s="446">
        <f>IF(H216=0,0,(VLOOKUP(H216,'MTRL MSK (TPDP)'!$H$9:$U637,2,0)))</f>
        <v>0</v>
      </c>
      <c r="J216" s="448" t="str">
        <f>IFERROR((IF(H216=0,0,(VLOOKUP(H216,'MTRL MSK (TPDP)'!$H$8:$U637,7,0))))/(IF(H216=0,0,(VLOOKUP(H216,'MTRL MSK (TPDP)'!$H$8:$U637,5,0)))),"")</f>
        <v/>
      </c>
      <c r="K216" s="559"/>
      <c r="L216" s="448">
        <f t="shared" si="1"/>
        <v>0</v>
      </c>
      <c r="M216" s="647">
        <f t="shared" si="2"/>
        <v>0</v>
      </c>
      <c r="N216" s="647">
        <f t="shared" si="3"/>
        <v>0</v>
      </c>
      <c r="O216" s="448">
        <f>IF(H216=0,0,(VLOOKUP(H216,'MTRL MSK (TPDP)'!$H$9:$U637,5,0)))</f>
        <v>0</v>
      </c>
      <c r="P216" s="448">
        <f t="shared" si="4"/>
        <v>0</v>
      </c>
      <c r="Q216" s="448">
        <f t="shared" si="5"/>
        <v>0</v>
      </c>
      <c r="R216" s="648" t="str">
        <f>IFERROR(IF(S216="","",(VLOOKUP(S216,'1. BQ RAPL'!$D$14:$K637,8,0))),"")</f>
        <v/>
      </c>
      <c r="S216" s="649"/>
      <c r="T216" s="650"/>
      <c r="U216" s="16"/>
      <c r="V216" s="16"/>
      <c r="W216" s="16"/>
      <c r="X216" s="119"/>
      <c r="Y216" s="119"/>
      <c r="Z216" s="119"/>
      <c r="AA216" s="119"/>
      <c r="AB216" s="119"/>
      <c r="AC216" s="119"/>
      <c r="AD216" s="119"/>
      <c r="AE216" s="119"/>
      <c r="AF216" s="119"/>
    </row>
    <row r="217" ht="18.75" customHeight="1">
      <c r="A217" s="119"/>
      <c r="B217" s="652"/>
      <c r="C217" s="642">
        <f>IF(F217=0,0,(VLOOKUP(F217,'MTRL MSK (TPDP)'!$F$9:$W637,18,0)))</f>
        <v>0</v>
      </c>
      <c r="D217" s="642">
        <f>IF(C217=0,0,(VLOOKUP(C217,'MTRL MSK (TPDP)'!$B$9:$W637,3,0)))</f>
        <v>0</v>
      </c>
      <c r="E217" s="643" t="str">
        <f>iferror(IF(C217="","",(VLOOKUP(C217,'MTRL MSK (TPDP)'!$B$9:$W637,4,0))),"")</f>
        <v/>
      </c>
      <c r="F217" s="644">
        <f>IF(H217=0,0,(VLOOKUP(H217,'MTRL MSK (TPDP)'!$H$9:$X637,17,0)))</f>
        <v>0</v>
      </c>
      <c r="G217" s="645"/>
      <c r="H217" s="646"/>
      <c r="I217" s="446">
        <f>IF(H217=0,0,(VLOOKUP(H217,'MTRL MSK (TPDP)'!$H$9:$U637,2,0)))</f>
        <v>0</v>
      </c>
      <c r="J217" s="448" t="str">
        <f>IFERROR((IF(H217=0,0,(VLOOKUP(H217,'MTRL MSK (TPDP)'!$H$8:$U637,7,0))))/(IF(H217=0,0,(VLOOKUP(H217,'MTRL MSK (TPDP)'!$H$8:$U637,5,0)))),"")</f>
        <v/>
      </c>
      <c r="K217" s="559"/>
      <c r="L217" s="448">
        <f t="shared" si="1"/>
        <v>0</v>
      </c>
      <c r="M217" s="647">
        <f t="shared" si="2"/>
        <v>0</v>
      </c>
      <c r="N217" s="647">
        <f t="shared" si="3"/>
        <v>0</v>
      </c>
      <c r="O217" s="448">
        <f>IF(H217=0,0,(VLOOKUP(H217,'MTRL MSK (TPDP)'!$H$9:$U637,5,0)))</f>
        <v>0</v>
      </c>
      <c r="P217" s="448">
        <f t="shared" si="4"/>
        <v>0</v>
      </c>
      <c r="Q217" s="448">
        <f t="shared" si="5"/>
        <v>0</v>
      </c>
      <c r="R217" s="648" t="str">
        <f>IFERROR(IF(S217="","",(VLOOKUP(S217,'1. BQ RAPL'!$D$14:$K637,8,0))),"")</f>
        <v/>
      </c>
      <c r="S217" s="649"/>
      <c r="T217" s="650"/>
      <c r="U217" s="16"/>
      <c r="V217" s="16"/>
      <c r="W217" s="16"/>
      <c r="X217" s="119"/>
      <c r="Y217" s="119"/>
      <c r="Z217" s="119"/>
      <c r="AA217" s="119"/>
      <c r="AB217" s="119"/>
      <c r="AC217" s="119"/>
      <c r="AD217" s="119"/>
      <c r="AE217" s="119"/>
      <c r="AF217" s="119"/>
    </row>
    <row r="218" ht="18.75" customHeight="1">
      <c r="A218" s="119"/>
      <c r="B218" s="652"/>
      <c r="C218" s="642">
        <f>IF(F218=0,0,(VLOOKUP(F218,'MTRL MSK (TPDP)'!$F$9:$W637,18,0)))</f>
        <v>0</v>
      </c>
      <c r="D218" s="642">
        <f>IF(C218=0,0,(VLOOKUP(C218,'MTRL MSK (TPDP)'!$B$9:$W637,3,0)))</f>
        <v>0</v>
      </c>
      <c r="E218" s="643" t="str">
        <f>iferror(IF(C218="","",(VLOOKUP(C218,'MTRL MSK (TPDP)'!$B$9:$W637,4,0))),"")</f>
        <v/>
      </c>
      <c r="F218" s="644">
        <f>IF(H218=0,0,(VLOOKUP(H218,'MTRL MSK (TPDP)'!$H$9:$X637,17,0)))</f>
        <v>0</v>
      </c>
      <c r="G218" s="645"/>
      <c r="H218" s="646"/>
      <c r="I218" s="446">
        <f>IF(H218=0,0,(VLOOKUP(H218,'MTRL MSK (TPDP)'!$H$9:$U637,2,0)))</f>
        <v>0</v>
      </c>
      <c r="J218" s="448" t="str">
        <f>IFERROR((IF(H218=0,0,(VLOOKUP(H218,'MTRL MSK (TPDP)'!$H$8:$U637,7,0))))/(IF(H218=0,0,(VLOOKUP(H218,'MTRL MSK (TPDP)'!$H$8:$U637,5,0)))),"")</f>
        <v/>
      </c>
      <c r="K218" s="559"/>
      <c r="L218" s="448">
        <f t="shared" si="1"/>
        <v>0</v>
      </c>
      <c r="M218" s="647">
        <f t="shared" si="2"/>
        <v>0</v>
      </c>
      <c r="N218" s="647">
        <f t="shared" si="3"/>
        <v>0</v>
      </c>
      <c r="O218" s="448">
        <f>IF(H218=0,0,(VLOOKUP(H218,'MTRL MSK (TPDP)'!$H$9:$U637,5,0)))</f>
        <v>0</v>
      </c>
      <c r="P218" s="448">
        <f t="shared" si="4"/>
        <v>0</v>
      </c>
      <c r="Q218" s="448">
        <f t="shared" si="5"/>
        <v>0</v>
      </c>
      <c r="R218" s="648" t="str">
        <f>IFERROR(IF(S218="","",(VLOOKUP(S218,'1. BQ RAPL'!$D$14:$K637,8,0))),"")</f>
        <v/>
      </c>
      <c r="S218" s="649"/>
      <c r="T218" s="650"/>
      <c r="U218" s="16"/>
      <c r="V218" s="16"/>
      <c r="W218" s="16"/>
      <c r="X218" s="119"/>
      <c r="Y218" s="119"/>
      <c r="Z218" s="119"/>
      <c r="AA218" s="119"/>
      <c r="AB218" s="119"/>
      <c r="AC218" s="119"/>
      <c r="AD218" s="119"/>
      <c r="AE218" s="119"/>
      <c r="AF218" s="119"/>
    </row>
    <row r="219" ht="18.75" customHeight="1">
      <c r="A219" s="119"/>
      <c r="B219" s="652"/>
      <c r="C219" s="642">
        <f>IF(F219=0,0,(VLOOKUP(F219,'MTRL MSK (TPDP)'!$F$9:$W637,18,0)))</f>
        <v>0</v>
      </c>
      <c r="D219" s="642">
        <f>IF(C219=0,0,(VLOOKUP(C219,'MTRL MSK (TPDP)'!$B$9:$W637,3,0)))</f>
        <v>0</v>
      </c>
      <c r="E219" s="643" t="str">
        <f>iferror(IF(C219="","",(VLOOKUP(C219,'MTRL MSK (TPDP)'!$B$9:$W637,4,0))),"")</f>
        <v/>
      </c>
      <c r="F219" s="644">
        <f>IF(H219=0,0,(VLOOKUP(H219,'MTRL MSK (TPDP)'!$H$9:$X637,17,0)))</f>
        <v>0</v>
      </c>
      <c r="G219" s="645"/>
      <c r="H219" s="646"/>
      <c r="I219" s="446">
        <f>IF(H219=0,0,(VLOOKUP(H219,'MTRL MSK (TPDP)'!$H$9:$U637,2,0)))</f>
        <v>0</v>
      </c>
      <c r="J219" s="448" t="str">
        <f>IFERROR((IF(H219=0,0,(VLOOKUP(H219,'MTRL MSK (TPDP)'!$H$8:$U637,7,0))))/(IF(H219=0,0,(VLOOKUP(H219,'MTRL MSK (TPDP)'!$H$8:$U637,5,0)))),"")</f>
        <v/>
      </c>
      <c r="K219" s="559"/>
      <c r="L219" s="448">
        <f t="shared" si="1"/>
        <v>0</v>
      </c>
      <c r="M219" s="647">
        <f t="shared" si="2"/>
        <v>0</v>
      </c>
      <c r="N219" s="647">
        <f t="shared" si="3"/>
        <v>0</v>
      </c>
      <c r="O219" s="448">
        <f>IF(H219=0,0,(VLOOKUP(H219,'MTRL MSK (TPDP)'!$H$9:$U637,5,0)))</f>
        <v>0</v>
      </c>
      <c r="P219" s="448">
        <f t="shared" si="4"/>
        <v>0</v>
      </c>
      <c r="Q219" s="448">
        <f t="shared" si="5"/>
        <v>0</v>
      </c>
      <c r="R219" s="648" t="str">
        <f>IFERROR(IF(S219="","",(VLOOKUP(S219,'1. BQ RAPL'!$D$14:$K637,8,0))),"")</f>
        <v/>
      </c>
      <c r="S219" s="649"/>
      <c r="T219" s="650"/>
      <c r="U219" s="16"/>
      <c r="V219" s="16"/>
      <c r="W219" s="16"/>
      <c r="X219" s="119"/>
      <c r="Y219" s="119"/>
      <c r="Z219" s="119"/>
      <c r="AA219" s="119"/>
      <c r="AB219" s="119"/>
      <c r="AC219" s="119"/>
      <c r="AD219" s="119"/>
      <c r="AE219" s="119"/>
      <c r="AF219" s="119"/>
    </row>
    <row r="220" ht="18.75" customHeight="1">
      <c r="A220" s="119"/>
      <c r="B220" s="652"/>
      <c r="C220" s="642">
        <f>IF(F220=0,0,(VLOOKUP(F220,'MTRL MSK (TPDP)'!$F$9:$W637,18,0)))</f>
        <v>0</v>
      </c>
      <c r="D220" s="642">
        <f>IF(C220=0,0,(VLOOKUP(C220,'MTRL MSK (TPDP)'!$B$9:$W637,3,0)))</f>
        <v>0</v>
      </c>
      <c r="E220" s="643" t="str">
        <f>iferror(IF(C220="","",(VLOOKUP(C220,'MTRL MSK (TPDP)'!$B$9:$W637,4,0))),"")</f>
        <v/>
      </c>
      <c r="F220" s="644">
        <f>IF(H220=0,0,(VLOOKUP(H220,'MTRL MSK (TPDP)'!$H$9:$X637,17,0)))</f>
        <v>0</v>
      </c>
      <c r="G220" s="645"/>
      <c r="H220" s="646"/>
      <c r="I220" s="446">
        <f>IF(H220=0,0,(VLOOKUP(H220,'MTRL MSK (TPDP)'!$H$9:$U637,2,0)))</f>
        <v>0</v>
      </c>
      <c r="J220" s="448" t="str">
        <f>IFERROR((IF(H220=0,0,(VLOOKUP(H220,'MTRL MSK (TPDP)'!$H$8:$U637,7,0))))/(IF(H220=0,0,(VLOOKUP(H220,'MTRL MSK (TPDP)'!$H$8:$U637,5,0)))),"")</f>
        <v/>
      </c>
      <c r="K220" s="559"/>
      <c r="L220" s="448">
        <f t="shared" si="1"/>
        <v>0</v>
      </c>
      <c r="M220" s="647">
        <f t="shared" si="2"/>
        <v>0</v>
      </c>
      <c r="N220" s="647">
        <f t="shared" si="3"/>
        <v>0</v>
      </c>
      <c r="O220" s="448">
        <f>IF(H220=0,0,(VLOOKUP(H220,'MTRL MSK (TPDP)'!$H$9:$U637,5,0)))</f>
        <v>0</v>
      </c>
      <c r="P220" s="448">
        <f t="shared" si="4"/>
        <v>0</v>
      </c>
      <c r="Q220" s="448">
        <f t="shared" si="5"/>
        <v>0</v>
      </c>
      <c r="R220" s="648" t="str">
        <f>IFERROR(IF(S220="","",(VLOOKUP(S220,'1. BQ RAPL'!$D$14:$K637,8,0))),"")</f>
        <v/>
      </c>
      <c r="S220" s="649"/>
      <c r="T220" s="650"/>
      <c r="U220" s="16"/>
      <c r="V220" s="16"/>
      <c r="W220" s="16"/>
      <c r="X220" s="119"/>
      <c r="Y220" s="119"/>
      <c r="Z220" s="119"/>
      <c r="AA220" s="119"/>
      <c r="AB220" s="119"/>
      <c r="AC220" s="119"/>
      <c r="AD220" s="119"/>
      <c r="AE220" s="119"/>
      <c r="AF220" s="119"/>
    </row>
    <row r="221" ht="18.75" customHeight="1">
      <c r="A221" s="119"/>
      <c r="B221" s="652"/>
      <c r="C221" s="642">
        <f>IF(F221=0,0,(VLOOKUP(F221,'MTRL MSK (TPDP)'!$F$9:$W637,18,0)))</f>
        <v>0</v>
      </c>
      <c r="D221" s="642">
        <f>IF(C221=0,0,(VLOOKUP(C221,'MTRL MSK (TPDP)'!$B$9:$W637,3,0)))</f>
        <v>0</v>
      </c>
      <c r="E221" s="643" t="str">
        <f>iferror(IF(C221="","",(VLOOKUP(C221,'MTRL MSK (TPDP)'!$B$9:$W637,4,0))),"")</f>
        <v/>
      </c>
      <c r="F221" s="644">
        <f>IF(H221=0,0,(VLOOKUP(H221,'MTRL MSK (TPDP)'!$H$9:$X637,17,0)))</f>
        <v>0</v>
      </c>
      <c r="G221" s="645"/>
      <c r="H221" s="646"/>
      <c r="I221" s="446">
        <f>IF(H221=0,0,(VLOOKUP(H221,'MTRL MSK (TPDP)'!$H$9:$U637,2,0)))</f>
        <v>0</v>
      </c>
      <c r="J221" s="448" t="str">
        <f>IFERROR((IF(H221=0,0,(VLOOKUP(H221,'MTRL MSK (TPDP)'!$H$8:$U637,7,0))))/(IF(H221=0,0,(VLOOKUP(H221,'MTRL MSK (TPDP)'!$H$8:$U637,5,0)))),"")</f>
        <v/>
      </c>
      <c r="K221" s="559"/>
      <c r="L221" s="448">
        <f t="shared" si="1"/>
        <v>0</v>
      </c>
      <c r="M221" s="647">
        <f t="shared" si="2"/>
        <v>0</v>
      </c>
      <c r="N221" s="647">
        <f t="shared" si="3"/>
        <v>0</v>
      </c>
      <c r="O221" s="448">
        <f>IF(H221=0,0,(VLOOKUP(H221,'MTRL MSK (TPDP)'!$H$9:$U637,5,0)))</f>
        <v>0</v>
      </c>
      <c r="P221" s="448">
        <f t="shared" si="4"/>
        <v>0</v>
      </c>
      <c r="Q221" s="448">
        <f t="shared" si="5"/>
        <v>0</v>
      </c>
      <c r="R221" s="648" t="str">
        <f>IFERROR(IF(S221="","",(VLOOKUP(S221,'1. BQ RAPL'!$D$14:$K637,8,0))),"")</f>
        <v/>
      </c>
      <c r="S221" s="649"/>
      <c r="T221" s="650"/>
      <c r="U221" s="16"/>
      <c r="V221" s="16"/>
      <c r="W221" s="16"/>
      <c r="X221" s="119"/>
      <c r="Y221" s="119"/>
      <c r="Z221" s="119"/>
      <c r="AA221" s="119"/>
      <c r="AB221" s="119"/>
      <c r="AC221" s="119"/>
      <c r="AD221" s="119"/>
      <c r="AE221" s="119"/>
      <c r="AF221" s="119"/>
    </row>
    <row r="222" ht="18.75" customHeight="1">
      <c r="A222" s="119"/>
      <c r="B222" s="652"/>
      <c r="C222" s="642">
        <f>IF(F222=0,0,(VLOOKUP(F222,'MTRL MSK (TPDP)'!$F$9:$W637,18,0)))</f>
        <v>0</v>
      </c>
      <c r="D222" s="642">
        <f>IF(C222=0,0,(VLOOKUP(C222,'MTRL MSK (TPDP)'!$B$9:$W637,3,0)))</f>
        <v>0</v>
      </c>
      <c r="E222" s="643" t="str">
        <f>iferror(IF(C222="","",(VLOOKUP(C222,'MTRL MSK (TPDP)'!$B$9:$W637,4,0))),"")</f>
        <v/>
      </c>
      <c r="F222" s="644">
        <f>IF(H222=0,0,(VLOOKUP(H222,'MTRL MSK (TPDP)'!$H$9:$X637,17,0)))</f>
        <v>0</v>
      </c>
      <c r="G222" s="645"/>
      <c r="H222" s="646"/>
      <c r="I222" s="446">
        <f>IF(H222=0,0,(VLOOKUP(H222,'MTRL MSK (TPDP)'!$H$9:$U637,2,0)))</f>
        <v>0</v>
      </c>
      <c r="J222" s="448" t="str">
        <f>IFERROR((IF(H222=0,0,(VLOOKUP(H222,'MTRL MSK (TPDP)'!$H$8:$U637,7,0))))/(IF(H222=0,0,(VLOOKUP(H222,'MTRL MSK (TPDP)'!$H$8:$U637,5,0)))),"")</f>
        <v/>
      </c>
      <c r="K222" s="559"/>
      <c r="L222" s="448">
        <f t="shared" si="1"/>
        <v>0</v>
      </c>
      <c r="M222" s="647">
        <f t="shared" si="2"/>
        <v>0</v>
      </c>
      <c r="N222" s="647">
        <f t="shared" si="3"/>
        <v>0</v>
      </c>
      <c r="O222" s="448">
        <f>IF(H222=0,0,(VLOOKUP(H222,'MTRL MSK (TPDP)'!$H$9:$U637,5,0)))</f>
        <v>0</v>
      </c>
      <c r="P222" s="448">
        <f t="shared" si="4"/>
        <v>0</v>
      </c>
      <c r="Q222" s="448">
        <f t="shared" si="5"/>
        <v>0</v>
      </c>
      <c r="R222" s="648" t="str">
        <f>IFERROR(IF(S222="","",(VLOOKUP(S222,'1. BQ RAPL'!$D$14:$K637,8,0))),"")</f>
        <v/>
      </c>
      <c r="S222" s="649"/>
      <c r="T222" s="650"/>
      <c r="U222" s="16"/>
      <c r="V222" s="16"/>
      <c r="W222" s="16"/>
      <c r="X222" s="119"/>
      <c r="Y222" s="119"/>
      <c r="Z222" s="119"/>
      <c r="AA222" s="119"/>
      <c r="AB222" s="119"/>
      <c r="AC222" s="119"/>
      <c r="AD222" s="119"/>
      <c r="AE222" s="119"/>
      <c r="AF222" s="119"/>
    </row>
    <row r="223" ht="18.75" customHeight="1">
      <c r="A223" s="119"/>
      <c r="B223" s="652"/>
      <c r="C223" s="642">
        <f>IF(F223=0,0,(VLOOKUP(F223,'MTRL MSK (TPDP)'!$F$9:$W637,18,0)))</f>
        <v>0</v>
      </c>
      <c r="D223" s="642">
        <f>IF(C223=0,0,(VLOOKUP(C223,'MTRL MSK (TPDP)'!$B$9:$W637,3,0)))</f>
        <v>0</v>
      </c>
      <c r="E223" s="643" t="str">
        <f>iferror(IF(C223="","",(VLOOKUP(C223,'MTRL MSK (TPDP)'!$B$9:$W637,4,0))),"")</f>
        <v/>
      </c>
      <c r="F223" s="644">
        <f>IF(H223=0,0,(VLOOKUP(H223,'MTRL MSK (TPDP)'!$H$9:$X637,17,0)))</f>
        <v>0</v>
      </c>
      <c r="G223" s="645"/>
      <c r="H223" s="646"/>
      <c r="I223" s="446">
        <f>IF(H223=0,0,(VLOOKUP(H223,'MTRL MSK (TPDP)'!$H$9:$U637,2,0)))</f>
        <v>0</v>
      </c>
      <c r="J223" s="448" t="str">
        <f>IFERROR((IF(H223=0,0,(VLOOKUP(H223,'MTRL MSK (TPDP)'!$H$8:$U637,7,0))))/(IF(H223=0,0,(VLOOKUP(H223,'MTRL MSK (TPDP)'!$H$8:$U637,5,0)))),"")</f>
        <v/>
      </c>
      <c r="K223" s="559"/>
      <c r="L223" s="448">
        <f t="shared" si="1"/>
        <v>0</v>
      </c>
      <c r="M223" s="647">
        <f t="shared" si="2"/>
        <v>0</v>
      </c>
      <c r="N223" s="647">
        <f t="shared" si="3"/>
        <v>0</v>
      </c>
      <c r="O223" s="448">
        <f>IF(H223=0,0,(VLOOKUP(H223,'MTRL MSK (TPDP)'!$H$9:$U637,5,0)))</f>
        <v>0</v>
      </c>
      <c r="P223" s="448">
        <f t="shared" si="4"/>
        <v>0</v>
      </c>
      <c r="Q223" s="448">
        <f t="shared" si="5"/>
        <v>0</v>
      </c>
      <c r="R223" s="648" t="str">
        <f>IFERROR(IF(S223="","",(VLOOKUP(S223,'1. BQ RAPL'!$D$14:$K637,8,0))),"")</f>
        <v/>
      </c>
      <c r="S223" s="649"/>
      <c r="T223" s="650"/>
      <c r="U223" s="16"/>
      <c r="V223" s="16"/>
      <c r="W223" s="16"/>
      <c r="X223" s="119"/>
      <c r="Y223" s="119"/>
      <c r="Z223" s="119"/>
      <c r="AA223" s="119"/>
      <c r="AB223" s="119"/>
      <c r="AC223" s="119"/>
      <c r="AD223" s="119"/>
      <c r="AE223" s="119"/>
      <c r="AF223" s="119"/>
    </row>
    <row r="224" ht="18.75" customHeight="1">
      <c r="A224" s="119"/>
      <c r="B224" s="652"/>
      <c r="C224" s="642">
        <f>IF(F224=0,0,(VLOOKUP(F224,'MTRL MSK (TPDP)'!$F$9:$W637,18,0)))</f>
        <v>0</v>
      </c>
      <c r="D224" s="642">
        <f>IF(C224=0,0,(VLOOKUP(C224,'MTRL MSK (TPDP)'!$B$9:$W637,3,0)))</f>
        <v>0</v>
      </c>
      <c r="E224" s="643" t="str">
        <f>iferror(IF(C224="","",(VLOOKUP(C224,'MTRL MSK (TPDP)'!$B$9:$W637,4,0))),"")</f>
        <v/>
      </c>
      <c r="F224" s="644">
        <f>IF(H224=0,0,(VLOOKUP(H224,'MTRL MSK (TPDP)'!$H$9:$X637,17,0)))</f>
        <v>0</v>
      </c>
      <c r="G224" s="645"/>
      <c r="H224" s="646"/>
      <c r="I224" s="446">
        <f>IF(H224=0,0,(VLOOKUP(H224,'MTRL MSK (TPDP)'!$H$9:$U637,2,0)))</f>
        <v>0</v>
      </c>
      <c r="J224" s="448" t="str">
        <f>IFERROR((IF(H224=0,0,(VLOOKUP(H224,'MTRL MSK (TPDP)'!$H$8:$U637,7,0))))/(IF(H224=0,0,(VLOOKUP(H224,'MTRL MSK (TPDP)'!$H$8:$U637,5,0)))),"")</f>
        <v/>
      </c>
      <c r="K224" s="559"/>
      <c r="L224" s="448">
        <f t="shared" si="1"/>
        <v>0</v>
      </c>
      <c r="M224" s="647">
        <f t="shared" si="2"/>
        <v>0</v>
      </c>
      <c r="N224" s="647">
        <f t="shared" si="3"/>
        <v>0</v>
      </c>
      <c r="O224" s="448">
        <f>IF(H224=0,0,(VLOOKUP(H224,'MTRL MSK (TPDP)'!$H$9:$U637,5,0)))</f>
        <v>0</v>
      </c>
      <c r="P224" s="448">
        <f t="shared" si="4"/>
        <v>0</v>
      </c>
      <c r="Q224" s="448">
        <f t="shared" si="5"/>
        <v>0</v>
      </c>
      <c r="R224" s="648" t="str">
        <f>IFERROR(IF(S224="","",(VLOOKUP(S224,'1. BQ RAPL'!$D$14:$K637,8,0))),"")</f>
        <v/>
      </c>
      <c r="S224" s="649"/>
      <c r="T224" s="650"/>
      <c r="U224" s="16"/>
      <c r="V224" s="16"/>
      <c r="W224" s="16"/>
      <c r="X224" s="119"/>
      <c r="Y224" s="119"/>
      <c r="Z224" s="119"/>
      <c r="AA224" s="119"/>
      <c r="AB224" s="119"/>
      <c r="AC224" s="119"/>
      <c r="AD224" s="119"/>
      <c r="AE224" s="119"/>
      <c r="AF224" s="119"/>
    </row>
    <row r="225" ht="18.75" customHeight="1">
      <c r="A225" s="119"/>
      <c r="B225" s="652"/>
      <c r="C225" s="642">
        <f>IF(F225=0,0,(VLOOKUP(F225,'MTRL MSK (TPDP)'!$F$9:$W637,18,0)))</f>
        <v>0</v>
      </c>
      <c r="D225" s="642">
        <f>IF(C225=0,0,(VLOOKUP(C225,'MTRL MSK (TPDP)'!$B$9:$W637,3,0)))</f>
        <v>0</v>
      </c>
      <c r="E225" s="643" t="str">
        <f>iferror(IF(C225="","",(VLOOKUP(C225,'MTRL MSK (TPDP)'!$B$9:$W637,4,0))),"")</f>
        <v/>
      </c>
      <c r="F225" s="644">
        <f>IF(H225=0,0,(VLOOKUP(H225,'MTRL MSK (TPDP)'!$H$9:$X637,17,0)))</f>
        <v>0</v>
      </c>
      <c r="G225" s="645"/>
      <c r="H225" s="646"/>
      <c r="I225" s="446">
        <f>IF(H225=0,0,(VLOOKUP(H225,'MTRL MSK (TPDP)'!$H$9:$U637,2,0)))</f>
        <v>0</v>
      </c>
      <c r="J225" s="448" t="str">
        <f>IFERROR((IF(H225=0,0,(VLOOKUP(H225,'MTRL MSK (TPDP)'!$H$8:$U637,7,0))))/(IF(H225=0,0,(VLOOKUP(H225,'MTRL MSK (TPDP)'!$H$8:$U637,5,0)))),"")</f>
        <v/>
      </c>
      <c r="K225" s="559"/>
      <c r="L225" s="448">
        <f t="shared" si="1"/>
        <v>0</v>
      </c>
      <c r="M225" s="647">
        <f t="shared" si="2"/>
        <v>0</v>
      </c>
      <c r="N225" s="647">
        <f t="shared" si="3"/>
        <v>0</v>
      </c>
      <c r="O225" s="448">
        <f>IF(H225=0,0,(VLOOKUP(H225,'MTRL MSK (TPDP)'!$H$9:$U637,5,0)))</f>
        <v>0</v>
      </c>
      <c r="P225" s="448">
        <f t="shared" si="4"/>
        <v>0</v>
      </c>
      <c r="Q225" s="448">
        <f t="shared" si="5"/>
        <v>0</v>
      </c>
      <c r="R225" s="648" t="str">
        <f>IFERROR(IF(S225="","",(VLOOKUP(S225,'1. BQ RAPL'!$D$14:$K637,8,0))),"")</f>
        <v/>
      </c>
      <c r="S225" s="649"/>
      <c r="T225" s="650"/>
      <c r="U225" s="16"/>
      <c r="V225" s="16"/>
      <c r="W225" s="16"/>
      <c r="X225" s="119"/>
      <c r="Y225" s="119"/>
      <c r="Z225" s="119"/>
      <c r="AA225" s="119"/>
      <c r="AB225" s="119"/>
      <c r="AC225" s="119"/>
      <c r="AD225" s="119"/>
      <c r="AE225" s="119"/>
      <c r="AF225" s="119"/>
    </row>
    <row r="226" ht="18.75" customHeight="1">
      <c r="A226" s="119"/>
      <c r="B226" s="652"/>
      <c r="C226" s="642">
        <f>IF(F226=0,0,(VLOOKUP(F226,'MTRL MSK (TPDP)'!$F$9:$W637,18,0)))</f>
        <v>0</v>
      </c>
      <c r="D226" s="642">
        <f>IF(C226=0,0,(VLOOKUP(C226,'MTRL MSK (TPDP)'!$B$9:$W637,3,0)))</f>
        <v>0</v>
      </c>
      <c r="E226" s="643" t="str">
        <f>iferror(IF(C226="","",(VLOOKUP(C226,'MTRL MSK (TPDP)'!$B$9:$W637,4,0))),"")</f>
        <v/>
      </c>
      <c r="F226" s="644">
        <f>IF(H226=0,0,(VLOOKUP(H226,'MTRL MSK (TPDP)'!$H$9:$X637,17,0)))</f>
        <v>0</v>
      </c>
      <c r="G226" s="645"/>
      <c r="H226" s="646"/>
      <c r="I226" s="446">
        <f>IF(H226=0,0,(VLOOKUP(H226,'MTRL MSK (TPDP)'!$H$9:$U637,2,0)))</f>
        <v>0</v>
      </c>
      <c r="J226" s="448" t="str">
        <f>IFERROR((IF(H226=0,0,(VLOOKUP(H226,'MTRL MSK (TPDP)'!$H$8:$U637,7,0))))/(IF(H226=0,0,(VLOOKUP(H226,'MTRL MSK (TPDP)'!$H$8:$U637,5,0)))),"")</f>
        <v/>
      </c>
      <c r="K226" s="559"/>
      <c r="L226" s="448">
        <f t="shared" si="1"/>
        <v>0</v>
      </c>
      <c r="M226" s="647">
        <f t="shared" si="2"/>
        <v>0</v>
      </c>
      <c r="N226" s="647">
        <f t="shared" si="3"/>
        <v>0</v>
      </c>
      <c r="O226" s="448">
        <f>IF(H226=0,0,(VLOOKUP(H226,'MTRL MSK (TPDP)'!$H$9:$U637,5,0)))</f>
        <v>0</v>
      </c>
      <c r="P226" s="448">
        <f t="shared" si="4"/>
        <v>0</v>
      </c>
      <c r="Q226" s="448">
        <f t="shared" si="5"/>
        <v>0</v>
      </c>
      <c r="R226" s="648" t="str">
        <f>IFERROR(IF(S226="","",(VLOOKUP(S226,'1. BQ RAPL'!$D$14:$K637,8,0))),"")</f>
        <v/>
      </c>
      <c r="S226" s="649"/>
      <c r="T226" s="650"/>
      <c r="U226" s="16"/>
      <c r="V226" s="16"/>
      <c r="W226" s="16"/>
      <c r="X226" s="119"/>
      <c r="Y226" s="119"/>
      <c r="Z226" s="119"/>
      <c r="AA226" s="119"/>
      <c r="AB226" s="119"/>
      <c r="AC226" s="119"/>
      <c r="AD226" s="119"/>
      <c r="AE226" s="119"/>
      <c r="AF226" s="119"/>
    </row>
    <row r="227" ht="18.75" customHeight="1">
      <c r="A227" s="119"/>
      <c r="B227" s="652"/>
      <c r="C227" s="642">
        <f>IF(F227=0,0,(VLOOKUP(F227,'MTRL MSK (TPDP)'!$F$9:$W637,18,0)))</f>
        <v>0</v>
      </c>
      <c r="D227" s="642">
        <f>IF(C227=0,0,(VLOOKUP(C227,'MTRL MSK (TPDP)'!$B$9:$W637,3,0)))</f>
        <v>0</v>
      </c>
      <c r="E227" s="643" t="str">
        <f>iferror(IF(C227="","",(VLOOKUP(C227,'MTRL MSK (TPDP)'!$B$9:$W637,4,0))),"")</f>
        <v/>
      </c>
      <c r="F227" s="644">
        <f>IF(H227=0,0,(VLOOKUP(H227,'MTRL MSK (TPDP)'!$H$9:$X637,17,0)))</f>
        <v>0</v>
      </c>
      <c r="G227" s="645"/>
      <c r="H227" s="646"/>
      <c r="I227" s="446">
        <f>IF(H227=0,0,(VLOOKUP(H227,'MTRL MSK (TPDP)'!$H$9:$U637,2,0)))</f>
        <v>0</v>
      </c>
      <c r="J227" s="448" t="str">
        <f>IFERROR((IF(H227=0,0,(VLOOKUP(H227,'MTRL MSK (TPDP)'!$H$8:$U637,7,0))))/(IF(H227=0,0,(VLOOKUP(H227,'MTRL MSK (TPDP)'!$H$8:$U637,5,0)))),"")</f>
        <v/>
      </c>
      <c r="K227" s="559"/>
      <c r="L227" s="448">
        <f t="shared" si="1"/>
        <v>0</v>
      </c>
      <c r="M227" s="647">
        <f t="shared" si="2"/>
        <v>0</v>
      </c>
      <c r="N227" s="647">
        <f t="shared" si="3"/>
        <v>0</v>
      </c>
      <c r="O227" s="448">
        <f>IF(H227=0,0,(VLOOKUP(H227,'MTRL MSK (TPDP)'!$H$9:$U637,5,0)))</f>
        <v>0</v>
      </c>
      <c r="P227" s="448">
        <f t="shared" si="4"/>
        <v>0</v>
      </c>
      <c r="Q227" s="448">
        <f t="shared" si="5"/>
        <v>0</v>
      </c>
      <c r="R227" s="648" t="str">
        <f>IFERROR(IF(S227="","",(VLOOKUP(S227,'1. BQ RAPL'!$D$14:$K637,8,0))),"")</f>
        <v/>
      </c>
      <c r="S227" s="649"/>
      <c r="T227" s="650"/>
      <c r="U227" s="16"/>
      <c r="V227" s="16"/>
      <c r="W227" s="16"/>
      <c r="X227" s="119"/>
      <c r="Y227" s="119"/>
      <c r="Z227" s="119"/>
      <c r="AA227" s="119"/>
      <c r="AB227" s="119"/>
      <c r="AC227" s="119"/>
      <c r="AD227" s="119"/>
      <c r="AE227" s="119"/>
      <c r="AF227" s="119"/>
    </row>
    <row r="228" ht="18.75" customHeight="1">
      <c r="A228" s="119"/>
      <c r="B228" s="652"/>
      <c r="C228" s="642">
        <f>IF(F228=0,0,(VLOOKUP(F228,'MTRL MSK (TPDP)'!$F$9:$W637,18,0)))</f>
        <v>0</v>
      </c>
      <c r="D228" s="642">
        <f>IF(C228=0,0,(VLOOKUP(C228,'MTRL MSK (TPDP)'!$B$9:$W637,3,0)))</f>
        <v>0</v>
      </c>
      <c r="E228" s="643" t="str">
        <f>iferror(IF(C228="","",(VLOOKUP(C228,'MTRL MSK (TPDP)'!$B$9:$W637,4,0))),"")</f>
        <v/>
      </c>
      <c r="F228" s="644">
        <f>IF(H228=0,0,(VLOOKUP(H228,'MTRL MSK (TPDP)'!$H$9:$X637,17,0)))</f>
        <v>0</v>
      </c>
      <c r="G228" s="645"/>
      <c r="H228" s="646"/>
      <c r="I228" s="446">
        <f>IF(H228=0,0,(VLOOKUP(H228,'MTRL MSK (TPDP)'!$H$9:$U637,2,0)))</f>
        <v>0</v>
      </c>
      <c r="J228" s="448" t="str">
        <f>IFERROR((IF(H228=0,0,(VLOOKUP(H228,'MTRL MSK (TPDP)'!$H$8:$U637,7,0))))/(IF(H228=0,0,(VLOOKUP(H228,'MTRL MSK (TPDP)'!$H$8:$U637,5,0)))),"")</f>
        <v/>
      </c>
      <c r="K228" s="559"/>
      <c r="L228" s="448">
        <f t="shared" si="1"/>
        <v>0</v>
      </c>
      <c r="M228" s="647">
        <f t="shared" si="2"/>
        <v>0</v>
      </c>
      <c r="N228" s="647">
        <f t="shared" si="3"/>
        <v>0</v>
      </c>
      <c r="O228" s="448">
        <f>IF(H228=0,0,(VLOOKUP(H228,'MTRL MSK (TPDP)'!$H$9:$U637,5,0)))</f>
        <v>0</v>
      </c>
      <c r="P228" s="448">
        <f t="shared" si="4"/>
        <v>0</v>
      </c>
      <c r="Q228" s="448">
        <f t="shared" si="5"/>
        <v>0</v>
      </c>
      <c r="R228" s="648" t="str">
        <f>IFERROR(IF(S228="","",(VLOOKUP(S228,'1. BQ RAPL'!$D$14:$K637,8,0))),"")</f>
        <v/>
      </c>
      <c r="S228" s="649"/>
      <c r="T228" s="650"/>
      <c r="U228" s="16"/>
      <c r="V228" s="16"/>
      <c r="W228" s="16"/>
      <c r="X228" s="119"/>
      <c r="Y228" s="119"/>
      <c r="Z228" s="119"/>
      <c r="AA228" s="119"/>
      <c r="AB228" s="119"/>
      <c r="AC228" s="119"/>
      <c r="AD228" s="119"/>
      <c r="AE228" s="119"/>
      <c r="AF228" s="119"/>
    </row>
    <row r="229" ht="18.75" customHeight="1">
      <c r="A229" s="119"/>
      <c r="B229" s="652"/>
      <c r="C229" s="642">
        <f>IF(F229=0,0,(VLOOKUP(F229,'MTRL MSK (TPDP)'!$F$9:$W637,18,0)))</f>
        <v>0</v>
      </c>
      <c r="D229" s="642">
        <f>IF(C229=0,0,(VLOOKUP(C229,'MTRL MSK (TPDP)'!$B$9:$W637,3,0)))</f>
        <v>0</v>
      </c>
      <c r="E229" s="643" t="str">
        <f>iferror(IF(C229="","",(VLOOKUP(C229,'MTRL MSK (TPDP)'!$B$9:$W637,4,0))),"")</f>
        <v/>
      </c>
      <c r="F229" s="644">
        <f>IF(H229=0,0,(VLOOKUP(H229,'MTRL MSK (TPDP)'!$H$9:$X637,17,0)))</f>
        <v>0</v>
      </c>
      <c r="G229" s="645"/>
      <c r="H229" s="646"/>
      <c r="I229" s="446">
        <f>IF(H229=0,0,(VLOOKUP(H229,'MTRL MSK (TPDP)'!$H$9:$U637,2,0)))</f>
        <v>0</v>
      </c>
      <c r="J229" s="448" t="str">
        <f>IFERROR((IF(H229=0,0,(VLOOKUP(H229,'MTRL MSK (TPDP)'!$H$8:$U637,7,0))))/(IF(H229=0,0,(VLOOKUP(H229,'MTRL MSK (TPDP)'!$H$8:$U637,5,0)))),"")</f>
        <v/>
      </c>
      <c r="K229" s="559"/>
      <c r="L229" s="448">
        <f t="shared" si="1"/>
        <v>0</v>
      </c>
      <c r="M229" s="647">
        <f t="shared" si="2"/>
        <v>0</v>
      </c>
      <c r="N229" s="647">
        <f t="shared" si="3"/>
        <v>0</v>
      </c>
      <c r="O229" s="448">
        <f>IF(H229=0,0,(VLOOKUP(H229,'MTRL MSK (TPDP)'!$H$9:$U637,5,0)))</f>
        <v>0</v>
      </c>
      <c r="P229" s="448">
        <f t="shared" si="4"/>
        <v>0</v>
      </c>
      <c r="Q229" s="448">
        <f t="shared" si="5"/>
        <v>0</v>
      </c>
      <c r="R229" s="648" t="str">
        <f>IFERROR(IF(S229="","",(VLOOKUP(S229,'1. BQ RAPL'!$D$14:$K637,8,0))),"")</f>
        <v/>
      </c>
      <c r="S229" s="649"/>
      <c r="T229" s="650"/>
      <c r="U229" s="16"/>
      <c r="V229" s="16"/>
      <c r="W229" s="16"/>
      <c r="X229" s="119"/>
      <c r="Y229" s="119"/>
      <c r="Z229" s="119"/>
      <c r="AA229" s="119"/>
      <c r="AB229" s="119"/>
      <c r="AC229" s="119"/>
      <c r="AD229" s="119"/>
      <c r="AE229" s="119"/>
      <c r="AF229" s="119"/>
    </row>
    <row r="230" ht="18.75" customHeight="1">
      <c r="A230" s="119"/>
      <c r="B230" s="652"/>
      <c r="C230" s="642">
        <f>IF(F230=0,0,(VLOOKUP(F230,'MTRL MSK (TPDP)'!$F$9:$W637,18,0)))</f>
        <v>0</v>
      </c>
      <c r="D230" s="642">
        <f>IF(C230=0,0,(VLOOKUP(C230,'MTRL MSK (TPDP)'!$B$9:$W637,3,0)))</f>
        <v>0</v>
      </c>
      <c r="E230" s="643" t="str">
        <f>iferror(IF(C230="","",(VLOOKUP(C230,'MTRL MSK (TPDP)'!$B$9:$W637,4,0))),"")</f>
        <v/>
      </c>
      <c r="F230" s="644">
        <f>IF(H230=0,0,(VLOOKUP(H230,'MTRL MSK (TPDP)'!$H$9:$X637,17,0)))</f>
        <v>0</v>
      </c>
      <c r="G230" s="645"/>
      <c r="H230" s="646"/>
      <c r="I230" s="446">
        <f>IF(H230=0,0,(VLOOKUP(H230,'MTRL MSK (TPDP)'!$H$9:$U637,2,0)))</f>
        <v>0</v>
      </c>
      <c r="J230" s="448" t="str">
        <f>IFERROR((IF(H230=0,0,(VLOOKUP(H230,'MTRL MSK (TPDP)'!$H$8:$U637,7,0))))/(IF(H230=0,0,(VLOOKUP(H230,'MTRL MSK (TPDP)'!$H$8:$U637,5,0)))),"")</f>
        <v/>
      </c>
      <c r="K230" s="559"/>
      <c r="L230" s="448">
        <f t="shared" si="1"/>
        <v>0</v>
      </c>
      <c r="M230" s="647">
        <f t="shared" si="2"/>
        <v>0</v>
      </c>
      <c r="N230" s="647">
        <f t="shared" si="3"/>
        <v>0</v>
      </c>
      <c r="O230" s="448">
        <f>IF(H230=0,0,(VLOOKUP(H230,'MTRL MSK (TPDP)'!$H$9:$U637,5,0)))</f>
        <v>0</v>
      </c>
      <c r="P230" s="448">
        <f t="shared" si="4"/>
        <v>0</v>
      </c>
      <c r="Q230" s="448">
        <f t="shared" si="5"/>
        <v>0</v>
      </c>
      <c r="R230" s="648" t="str">
        <f>IFERROR(IF(S230="","",(VLOOKUP(S230,'1. BQ RAPL'!$D$14:$K637,8,0))),"")</f>
        <v/>
      </c>
      <c r="S230" s="649"/>
      <c r="T230" s="650"/>
      <c r="U230" s="16"/>
      <c r="V230" s="16"/>
      <c r="W230" s="16"/>
      <c r="X230" s="119"/>
      <c r="Y230" s="119"/>
      <c r="Z230" s="119"/>
      <c r="AA230" s="119"/>
      <c r="AB230" s="119"/>
      <c r="AC230" s="119"/>
      <c r="AD230" s="119"/>
      <c r="AE230" s="119"/>
      <c r="AF230" s="119"/>
    </row>
    <row r="231" ht="18.75" customHeight="1">
      <c r="A231" s="119"/>
      <c r="B231" s="652"/>
      <c r="C231" s="642">
        <f>IF(F231=0,0,(VLOOKUP(F231,'MTRL MSK (TPDP)'!$F$9:$W637,18,0)))</f>
        <v>0</v>
      </c>
      <c r="D231" s="642">
        <f>IF(C231=0,0,(VLOOKUP(C231,'MTRL MSK (TPDP)'!$B$9:$W637,3,0)))</f>
        <v>0</v>
      </c>
      <c r="E231" s="643" t="str">
        <f>iferror(IF(C231="","",(VLOOKUP(C231,'MTRL MSK (TPDP)'!$B$9:$W637,4,0))),"")</f>
        <v/>
      </c>
      <c r="F231" s="644">
        <f>IF(H231=0,0,(VLOOKUP(H231,'MTRL MSK (TPDP)'!$H$9:$X637,17,0)))</f>
        <v>0</v>
      </c>
      <c r="G231" s="645"/>
      <c r="H231" s="646"/>
      <c r="I231" s="446">
        <f>IF(H231=0,0,(VLOOKUP(H231,'MTRL MSK (TPDP)'!$H$9:$U637,2,0)))</f>
        <v>0</v>
      </c>
      <c r="J231" s="448" t="str">
        <f>IFERROR((IF(H231=0,0,(VLOOKUP(H231,'MTRL MSK (TPDP)'!$H$8:$U637,7,0))))/(IF(H231=0,0,(VLOOKUP(H231,'MTRL MSK (TPDP)'!$H$8:$U637,5,0)))),"")</f>
        <v/>
      </c>
      <c r="K231" s="559"/>
      <c r="L231" s="448">
        <f t="shared" si="1"/>
        <v>0</v>
      </c>
      <c r="M231" s="647">
        <f t="shared" si="2"/>
        <v>0</v>
      </c>
      <c r="N231" s="647">
        <f t="shared" si="3"/>
        <v>0</v>
      </c>
      <c r="O231" s="448">
        <f>IF(H231=0,0,(VLOOKUP(H231,'MTRL MSK (TPDP)'!$H$9:$U637,5,0)))</f>
        <v>0</v>
      </c>
      <c r="P231" s="448">
        <f t="shared" si="4"/>
        <v>0</v>
      </c>
      <c r="Q231" s="448">
        <f t="shared" si="5"/>
        <v>0</v>
      </c>
      <c r="R231" s="648" t="str">
        <f>IFERROR(IF(S231="","",(VLOOKUP(S231,'1. BQ RAPL'!$D$14:$K637,8,0))),"")</f>
        <v/>
      </c>
      <c r="S231" s="649"/>
      <c r="T231" s="650"/>
      <c r="U231" s="16"/>
      <c r="V231" s="16"/>
      <c r="W231" s="16"/>
      <c r="X231" s="119"/>
      <c r="Y231" s="119"/>
      <c r="Z231" s="119"/>
      <c r="AA231" s="119"/>
      <c r="AB231" s="119"/>
      <c r="AC231" s="119"/>
      <c r="AD231" s="119"/>
      <c r="AE231" s="119"/>
      <c r="AF231" s="119"/>
    </row>
    <row r="232" ht="18.75" customHeight="1">
      <c r="A232" s="119"/>
      <c r="B232" s="652"/>
      <c r="C232" s="642">
        <f>IF(F232=0,0,(VLOOKUP(F232,'MTRL MSK (TPDP)'!$F$9:$W637,18,0)))</f>
        <v>0</v>
      </c>
      <c r="D232" s="642">
        <f>IF(C232=0,0,(VLOOKUP(C232,'MTRL MSK (TPDP)'!$B$9:$W637,3,0)))</f>
        <v>0</v>
      </c>
      <c r="E232" s="643" t="str">
        <f>iferror(IF(C232="","",(VLOOKUP(C232,'MTRL MSK (TPDP)'!$B$9:$W637,4,0))),"")</f>
        <v/>
      </c>
      <c r="F232" s="644">
        <f>IF(H232=0,0,(VLOOKUP(H232,'MTRL MSK (TPDP)'!$H$9:$X637,17,0)))</f>
        <v>0</v>
      </c>
      <c r="G232" s="645"/>
      <c r="H232" s="646"/>
      <c r="I232" s="446">
        <f>IF(H232=0,0,(VLOOKUP(H232,'MTRL MSK (TPDP)'!$H$9:$U637,2,0)))</f>
        <v>0</v>
      </c>
      <c r="J232" s="448" t="str">
        <f>IFERROR((IF(H232=0,0,(VLOOKUP(H232,'MTRL MSK (TPDP)'!$H$8:$U637,7,0))))/(IF(H232=0,0,(VLOOKUP(H232,'MTRL MSK (TPDP)'!$H$8:$U637,5,0)))),"")</f>
        <v/>
      </c>
      <c r="K232" s="559"/>
      <c r="L232" s="448">
        <f t="shared" si="1"/>
        <v>0</v>
      </c>
      <c r="M232" s="647">
        <f t="shared" si="2"/>
        <v>0</v>
      </c>
      <c r="N232" s="647">
        <f t="shared" si="3"/>
        <v>0</v>
      </c>
      <c r="O232" s="448">
        <f>IF(H232=0,0,(VLOOKUP(H232,'MTRL MSK (TPDP)'!$H$9:$U637,5,0)))</f>
        <v>0</v>
      </c>
      <c r="P232" s="448">
        <f t="shared" si="4"/>
        <v>0</v>
      </c>
      <c r="Q232" s="448">
        <f t="shared" si="5"/>
        <v>0</v>
      </c>
      <c r="R232" s="648" t="str">
        <f>IFERROR(IF(S232="","",(VLOOKUP(S232,'1. BQ RAPL'!$D$14:$K637,8,0))),"")</f>
        <v/>
      </c>
      <c r="S232" s="649"/>
      <c r="T232" s="650"/>
      <c r="U232" s="16"/>
      <c r="V232" s="16"/>
      <c r="W232" s="16"/>
      <c r="X232" s="119"/>
      <c r="Y232" s="119"/>
      <c r="Z232" s="119"/>
      <c r="AA232" s="119"/>
      <c r="AB232" s="119"/>
      <c r="AC232" s="119"/>
      <c r="AD232" s="119"/>
      <c r="AE232" s="119"/>
      <c r="AF232" s="119"/>
    </row>
    <row r="233" ht="18.75" customHeight="1">
      <c r="A233" s="119"/>
      <c r="B233" s="652"/>
      <c r="C233" s="642">
        <f>IF(F233=0,0,(VLOOKUP(F233,'MTRL MSK (TPDP)'!$F$9:$W637,18,0)))</f>
        <v>0</v>
      </c>
      <c r="D233" s="642">
        <f>IF(C233=0,0,(VLOOKUP(C233,'MTRL MSK (TPDP)'!$B$9:$W637,3,0)))</f>
        <v>0</v>
      </c>
      <c r="E233" s="643" t="str">
        <f>iferror(IF(C233="","",(VLOOKUP(C233,'MTRL MSK (TPDP)'!$B$9:$W637,4,0))),"")</f>
        <v/>
      </c>
      <c r="F233" s="644">
        <f>IF(H233=0,0,(VLOOKUP(H233,'MTRL MSK (TPDP)'!$H$9:$X637,17,0)))</f>
        <v>0</v>
      </c>
      <c r="G233" s="645"/>
      <c r="H233" s="646"/>
      <c r="I233" s="446">
        <f>IF(H233=0,0,(VLOOKUP(H233,'MTRL MSK (TPDP)'!$H$9:$U637,2,0)))</f>
        <v>0</v>
      </c>
      <c r="J233" s="448" t="str">
        <f>IFERROR((IF(H233=0,0,(VLOOKUP(H233,'MTRL MSK (TPDP)'!$H$8:$U637,7,0))))/(IF(H233=0,0,(VLOOKUP(H233,'MTRL MSK (TPDP)'!$H$8:$U637,5,0)))),"")</f>
        <v/>
      </c>
      <c r="K233" s="559"/>
      <c r="L233" s="448">
        <f t="shared" si="1"/>
        <v>0</v>
      </c>
      <c r="M233" s="647">
        <f t="shared" si="2"/>
        <v>0</v>
      </c>
      <c r="N233" s="647">
        <f t="shared" si="3"/>
        <v>0</v>
      </c>
      <c r="O233" s="448">
        <f>IF(H233=0,0,(VLOOKUP(H233,'MTRL MSK (TPDP)'!$H$9:$U637,5,0)))</f>
        <v>0</v>
      </c>
      <c r="P233" s="448">
        <f t="shared" si="4"/>
        <v>0</v>
      </c>
      <c r="Q233" s="448">
        <f t="shared" si="5"/>
        <v>0</v>
      </c>
      <c r="R233" s="648" t="str">
        <f>IFERROR(IF(S233="","",(VLOOKUP(S233,'1. BQ RAPL'!$D$14:$K637,8,0))),"")</f>
        <v/>
      </c>
      <c r="S233" s="649"/>
      <c r="T233" s="650"/>
      <c r="U233" s="16"/>
      <c r="V233" s="16"/>
      <c r="W233" s="16"/>
      <c r="X233" s="119"/>
      <c r="Y233" s="119"/>
      <c r="Z233" s="119"/>
      <c r="AA233" s="119"/>
      <c r="AB233" s="119"/>
      <c r="AC233" s="119"/>
      <c r="AD233" s="119"/>
      <c r="AE233" s="119"/>
      <c r="AF233" s="119"/>
    </row>
    <row r="234" ht="18.75" customHeight="1">
      <c r="A234" s="119"/>
      <c r="B234" s="652"/>
      <c r="C234" s="642">
        <f>IF(F234=0,0,(VLOOKUP(F234,'MTRL MSK (TPDP)'!$F$9:$W637,18,0)))</f>
        <v>0</v>
      </c>
      <c r="D234" s="642">
        <f>IF(C234=0,0,(VLOOKUP(C234,'MTRL MSK (TPDP)'!$B$9:$W637,3,0)))</f>
        <v>0</v>
      </c>
      <c r="E234" s="643" t="str">
        <f>iferror(IF(C234="","",(VLOOKUP(C234,'MTRL MSK (TPDP)'!$B$9:$W637,4,0))),"")</f>
        <v/>
      </c>
      <c r="F234" s="644">
        <f>IF(H234=0,0,(VLOOKUP(H234,'MTRL MSK (TPDP)'!$H$9:$X637,17,0)))</f>
        <v>0</v>
      </c>
      <c r="G234" s="645"/>
      <c r="H234" s="646"/>
      <c r="I234" s="446">
        <f>IF(H234=0,0,(VLOOKUP(H234,'MTRL MSK (TPDP)'!$H$9:$U637,2,0)))</f>
        <v>0</v>
      </c>
      <c r="J234" s="448" t="str">
        <f>IFERROR((IF(H234=0,0,(VLOOKUP(H234,'MTRL MSK (TPDP)'!$H$8:$U637,7,0))))/(IF(H234=0,0,(VLOOKUP(H234,'MTRL MSK (TPDP)'!$H$8:$U637,5,0)))),"")</f>
        <v/>
      </c>
      <c r="K234" s="559"/>
      <c r="L234" s="448">
        <f t="shared" si="1"/>
        <v>0</v>
      </c>
      <c r="M234" s="647">
        <f t="shared" si="2"/>
        <v>0</v>
      </c>
      <c r="N234" s="647">
        <f t="shared" si="3"/>
        <v>0</v>
      </c>
      <c r="O234" s="448">
        <f>IF(H234=0,0,(VLOOKUP(H234,'MTRL MSK (TPDP)'!$H$9:$U637,5,0)))</f>
        <v>0</v>
      </c>
      <c r="P234" s="448">
        <f t="shared" si="4"/>
        <v>0</v>
      </c>
      <c r="Q234" s="448">
        <f t="shared" si="5"/>
        <v>0</v>
      </c>
      <c r="R234" s="648" t="str">
        <f>IFERROR(IF(S234="","",(VLOOKUP(S234,'1. BQ RAPL'!$D$14:$K637,8,0))),"")</f>
        <v/>
      </c>
      <c r="S234" s="649"/>
      <c r="T234" s="650"/>
      <c r="U234" s="16"/>
      <c r="V234" s="16"/>
      <c r="W234" s="16"/>
      <c r="X234" s="119"/>
      <c r="Y234" s="119"/>
      <c r="Z234" s="119"/>
      <c r="AA234" s="119"/>
      <c r="AB234" s="119"/>
      <c r="AC234" s="119"/>
      <c r="AD234" s="119"/>
      <c r="AE234" s="119"/>
      <c r="AF234" s="119"/>
    </row>
    <row r="235" ht="18.75" customHeight="1">
      <c r="A235" s="119"/>
      <c r="B235" s="652"/>
      <c r="C235" s="642">
        <f>IF(F235=0,0,(VLOOKUP(F235,'MTRL MSK (TPDP)'!$F$9:$W637,18,0)))</f>
        <v>0</v>
      </c>
      <c r="D235" s="642">
        <f>IF(C235=0,0,(VLOOKUP(C235,'MTRL MSK (TPDP)'!$B$9:$W637,3,0)))</f>
        <v>0</v>
      </c>
      <c r="E235" s="643" t="str">
        <f>iferror(IF(C235="","",(VLOOKUP(C235,'MTRL MSK (TPDP)'!$B$9:$W637,4,0))),"")</f>
        <v/>
      </c>
      <c r="F235" s="644">
        <f>IF(H235=0,0,(VLOOKUP(H235,'MTRL MSK (TPDP)'!$H$9:$X637,17,0)))</f>
        <v>0</v>
      </c>
      <c r="G235" s="645"/>
      <c r="H235" s="646"/>
      <c r="I235" s="446">
        <f>IF(H235=0,0,(VLOOKUP(H235,'MTRL MSK (TPDP)'!$H$9:$U637,2,0)))</f>
        <v>0</v>
      </c>
      <c r="J235" s="448" t="str">
        <f>IFERROR((IF(H235=0,0,(VLOOKUP(H235,'MTRL MSK (TPDP)'!$H$8:$U637,7,0))))/(IF(H235=0,0,(VLOOKUP(H235,'MTRL MSK (TPDP)'!$H$8:$U637,5,0)))),"")</f>
        <v/>
      </c>
      <c r="K235" s="559"/>
      <c r="L235" s="448">
        <f t="shared" si="1"/>
        <v>0</v>
      </c>
      <c r="M235" s="647">
        <f t="shared" si="2"/>
        <v>0</v>
      </c>
      <c r="N235" s="647">
        <f t="shared" si="3"/>
        <v>0</v>
      </c>
      <c r="O235" s="448">
        <f>IF(H235=0,0,(VLOOKUP(H235,'MTRL MSK (TPDP)'!$H$9:$U637,5,0)))</f>
        <v>0</v>
      </c>
      <c r="P235" s="448">
        <f t="shared" si="4"/>
        <v>0</v>
      </c>
      <c r="Q235" s="448">
        <f t="shared" si="5"/>
        <v>0</v>
      </c>
      <c r="R235" s="648" t="str">
        <f>IFERROR(IF(S235="","",(VLOOKUP(S235,'1. BQ RAPL'!$D$14:$K637,8,0))),"")</f>
        <v/>
      </c>
      <c r="S235" s="649"/>
      <c r="T235" s="650"/>
      <c r="U235" s="16"/>
      <c r="V235" s="16"/>
      <c r="W235" s="16"/>
      <c r="X235" s="119"/>
      <c r="Y235" s="119"/>
      <c r="Z235" s="119"/>
      <c r="AA235" s="119"/>
      <c r="AB235" s="119"/>
      <c r="AC235" s="119"/>
      <c r="AD235" s="119"/>
      <c r="AE235" s="119"/>
      <c r="AF235" s="119"/>
    </row>
    <row r="236" ht="18.75" customHeight="1">
      <c r="A236" s="119"/>
      <c r="B236" s="652"/>
      <c r="C236" s="642">
        <f>IF(F236=0,0,(VLOOKUP(F236,'MTRL MSK (TPDP)'!$F$9:$W637,18,0)))</f>
        <v>0</v>
      </c>
      <c r="D236" s="642">
        <f>IF(C236=0,0,(VLOOKUP(C236,'MTRL MSK (TPDP)'!$B$9:$W637,3,0)))</f>
        <v>0</v>
      </c>
      <c r="E236" s="643" t="str">
        <f>iferror(IF(C236="","",(VLOOKUP(C236,'MTRL MSK (TPDP)'!$B$9:$W637,4,0))),"")</f>
        <v/>
      </c>
      <c r="F236" s="644">
        <f>IF(H236=0,0,(VLOOKUP(H236,'MTRL MSK (TPDP)'!$H$9:$X637,17,0)))</f>
        <v>0</v>
      </c>
      <c r="G236" s="645"/>
      <c r="H236" s="646"/>
      <c r="I236" s="446">
        <f>IF(H236=0,0,(VLOOKUP(H236,'MTRL MSK (TPDP)'!$H$9:$U637,2,0)))</f>
        <v>0</v>
      </c>
      <c r="J236" s="448" t="str">
        <f>IFERROR((IF(H236=0,0,(VLOOKUP(H236,'MTRL MSK (TPDP)'!$H$8:$U637,7,0))))/(IF(H236=0,0,(VLOOKUP(H236,'MTRL MSK (TPDP)'!$H$8:$U637,5,0)))),"")</f>
        <v/>
      </c>
      <c r="K236" s="559"/>
      <c r="L236" s="448">
        <f t="shared" si="1"/>
        <v>0</v>
      </c>
      <c r="M236" s="647">
        <f t="shared" si="2"/>
        <v>0</v>
      </c>
      <c r="N236" s="647">
        <f t="shared" si="3"/>
        <v>0</v>
      </c>
      <c r="O236" s="448">
        <f>IF(H236=0,0,(VLOOKUP(H236,'MTRL MSK (TPDP)'!$H$9:$U637,5,0)))</f>
        <v>0</v>
      </c>
      <c r="P236" s="448">
        <f t="shared" si="4"/>
        <v>0</v>
      </c>
      <c r="Q236" s="448">
        <f t="shared" si="5"/>
        <v>0</v>
      </c>
      <c r="R236" s="648" t="str">
        <f>IFERROR(IF(S236="","",(VLOOKUP(S236,'1. BQ RAPL'!$D$14:$K637,8,0))),"")</f>
        <v/>
      </c>
      <c r="S236" s="649"/>
      <c r="T236" s="650"/>
      <c r="U236" s="16"/>
      <c r="V236" s="16"/>
      <c r="W236" s="16"/>
      <c r="X236" s="119"/>
      <c r="Y236" s="119"/>
      <c r="Z236" s="119"/>
      <c r="AA236" s="119"/>
      <c r="AB236" s="119"/>
      <c r="AC236" s="119"/>
      <c r="AD236" s="119"/>
      <c r="AE236" s="119"/>
      <c r="AF236" s="119"/>
    </row>
    <row r="237" ht="18.75" customHeight="1">
      <c r="A237" s="119"/>
      <c r="B237" s="652"/>
      <c r="C237" s="642">
        <f>IF(F237=0,0,(VLOOKUP(F237,'MTRL MSK (TPDP)'!$F$9:$W637,18,0)))</f>
        <v>0</v>
      </c>
      <c r="D237" s="642">
        <f>IF(C237=0,0,(VLOOKUP(C237,'MTRL MSK (TPDP)'!$B$9:$W637,3,0)))</f>
        <v>0</v>
      </c>
      <c r="E237" s="643" t="str">
        <f>iferror(IF(C237="","",(VLOOKUP(C237,'MTRL MSK (TPDP)'!$B$9:$W637,4,0))),"")</f>
        <v/>
      </c>
      <c r="F237" s="644">
        <f>IF(H237=0,0,(VLOOKUP(H237,'MTRL MSK (TPDP)'!$H$9:$X637,17,0)))</f>
        <v>0</v>
      </c>
      <c r="G237" s="645"/>
      <c r="H237" s="646"/>
      <c r="I237" s="446">
        <f>IF(H237=0,0,(VLOOKUP(H237,'MTRL MSK (TPDP)'!$H$9:$U637,2,0)))</f>
        <v>0</v>
      </c>
      <c r="J237" s="448" t="str">
        <f>IFERROR((IF(H237=0,0,(VLOOKUP(H237,'MTRL MSK (TPDP)'!$H$8:$U637,7,0))))/(IF(H237=0,0,(VLOOKUP(H237,'MTRL MSK (TPDP)'!$H$8:$U637,5,0)))),"")</f>
        <v/>
      </c>
      <c r="K237" s="559"/>
      <c r="L237" s="448">
        <f t="shared" si="1"/>
        <v>0</v>
      </c>
      <c r="M237" s="647">
        <f t="shared" si="2"/>
        <v>0</v>
      </c>
      <c r="N237" s="647">
        <f t="shared" si="3"/>
        <v>0</v>
      </c>
      <c r="O237" s="448">
        <f>IF(H237=0,0,(VLOOKUP(H237,'MTRL MSK (TPDP)'!$H$9:$U637,5,0)))</f>
        <v>0</v>
      </c>
      <c r="P237" s="448">
        <f t="shared" si="4"/>
        <v>0</v>
      </c>
      <c r="Q237" s="448">
        <f t="shared" si="5"/>
        <v>0</v>
      </c>
      <c r="R237" s="648" t="str">
        <f>IFERROR(IF(S237="","",(VLOOKUP(S237,'1. BQ RAPL'!$D$14:$K637,8,0))),"")</f>
        <v/>
      </c>
      <c r="S237" s="649"/>
      <c r="T237" s="650"/>
      <c r="U237" s="16"/>
      <c r="V237" s="16"/>
      <c r="W237" s="16"/>
      <c r="X237" s="119"/>
      <c r="Y237" s="119"/>
      <c r="Z237" s="119"/>
      <c r="AA237" s="119"/>
      <c r="AB237" s="119"/>
      <c r="AC237" s="119"/>
      <c r="AD237" s="119"/>
      <c r="AE237" s="119"/>
      <c r="AF237" s="119"/>
    </row>
    <row r="238" ht="18.75" customHeight="1">
      <c r="A238" s="119"/>
      <c r="B238" s="652"/>
      <c r="C238" s="642">
        <f>IF(F238=0,0,(VLOOKUP(F238,'MTRL MSK (TPDP)'!$F$9:$W637,18,0)))</f>
        <v>0</v>
      </c>
      <c r="D238" s="642">
        <f>IF(C238=0,0,(VLOOKUP(C238,'MTRL MSK (TPDP)'!$B$9:$W637,3,0)))</f>
        <v>0</v>
      </c>
      <c r="E238" s="643" t="str">
        <f>iferror(IF(C238="","",(VLOOKUP(C238,'MTRL MSK (TPDP)'!$B$9:$W637,4,0))),"")</f>
        <v/>
      </c>
      <c r="F238" s="644">
        <f>IF(H238=0,0,(VLOOKUP(H238,'MTRL MSK (TPDP)'!$H$9:$X637,17,0)))</f>
        <v>0</v>
      </c>
      <c r="G238" s="645"/>
      <c r="H238" s="646"/>
      <c r="I238" s="446">
        <f>IF(H238=0,0,(VLOOKUP(H238,'MTRL MSK (TPDP)'!$H$9:$U637,2,0)))</f>
        <v>0</v>
      </c>
      <c r="J238" s="448" t="str">
        <f>IFERROR((IF(H238=0,0,(VLOOKUP(H238,'MTRL MSK (TPDP)'!$H$8:$U637,7,0))))/(IF(H238=0,0,(VLOOKUP(H238,'MTRL MSK (TPDP)'!$H$8:$U637,5,0)))),"")</f>
        <v/>
      </c>
      <c r="K238" s="559"/>
      <c r="L238" s="448">
        <f t="shared" si="1"/>
        <v>0</v>
      </c>
      <c r="M238" s="647">
        <f t="shared" si="2"/>
        <v>0</v>
      </c>
      <c r="N238" s="647">
        <f t="shared" si="3"/>
        <v>0</v>
      </c>
      <c r="O238" s="448">
        <f>IF(H238=0,0,(VLOOKUP(H238,'MTRL MSK (TPDP)'!$H$9:$U637,5,0)))</f>
        <v>0</v>
      </c>
      <c r="P238" s="448">
        <f t="shared" si="4"/>
        <v>0</v>
      </c>
      <c r="Q238" s="448">
        <f t="shared" si="5"/>
        <v>0</v>
      </c>
      <c r="R238" s="648" t="str">
        <f>IFERROR(IF(S238="","",(VLOOKUP(S238,'1. BQ RAPL'!$D$14:$K637,8,0))),"")</f>
        <v/>
      </c>
      <c r="S238" s="649"/>
      <c r="T238" s="650"/>
      <c r="U238" s="16"/>
      <c r="V238" s="16"/>
      <c r="W238" s="16"/>
      <c r="X238" s="119"/>
      <c r="Y238" s="119"/>
      <c r="Z238" s="119"/>
      <c r="AA238" s="119"/>
      <c r="AB238" s="119"/>
      <c r="AC238" s="119"/>
      <c r="AD238" s="119"/>
      <c r="AE238" s="119"/>
      <c r="AF238" s="119"/>
    </row>
    <row r="239" ht="18.75" customHeight="1">
      <c r="A239" s="119"/>
      <c r="B239" s="652"/>
      <c r="C239" s="642">
        <f>IF(F239=0,0,(VLOOKUP(F239,'MTRL MSK (TPDP)'!$F$9:$W637,18,0)))</f>
        <v>0</v>
      </c>
      <c r="D239" s="642">
        <f>IF(C239=0,0,(VLOOKUP(C239,'MTRL MSK (TPDP)'!$B$9:$W637,3,0)))</f>
        <v>0</v>
      </c>
      <c r="E239" s="643" t="str">
        <f>iferror(IF(C239="","",(VLOOKUP(C239,'MTRL MSK (TPDP)'!$B$9:$W637,4,0))),"")</f>
        <v/>
      </c>
      <c r="F239" s="644">
        <f>IF(H239=0,0,(VLOOKUP(H239,'MTRL MSK (TPDP)'!$H$9:$X637,17,0)))</f>
        <v>0</v>
      </c>
      <c r="G239" s="645"/>
      <c r="H239" s="646"/>
      <c r="I239" s="446">
        <f>IF(H239=0,0,(VLOOKUP(H239,'MTRL MSK (TPDP)'!$H$9:$U637,2,0)))</f>
        <v>0</v>
      </c>
      <c r="J239" s="448" t="str">
        <f>IFERROR((IF(H239=0,0,(VLOOKUP(H239,'MTRL MSK (TPDP)'!$H$8:$U637,7,0))))/(IF(H239=0,0,(VLOOKUP(H239,'MTRL MSK (TPDP)'!$H$8:$U637,5,0)))),"")</f>
        <v/>
      </c>
      <c r="K239" s="559"/>
      <c r="L239" s="448">
        <f t="shared" si="1"/>
        <v>0</v>
      </c>
      <c r="M239" s="647">
        <f t="shared" si="2"/>
        <v>0</v>
      </c>
      <c r="N239" s="647">
        <f t="shared" si="3"/>
        <v>0</v>
      </c>
      <c r="O239" s="448">
        <f>IF(H239=0,0,(VLOOKUP(H239,'MTRL MSK (TPDP)'!$H$9:$U637,5,0)))</f>
        <v>0</v>
      </c>
      <c r="P239" s="448">
        <f t="shared" si="4"/>
        <v>0</v>
      </c>
      <c r="Q239" s="448">
        <f t="shared" si="5"/>
        <v>0</v>
      </c>
      <c r="R239" s="648" t="str">
        <f>IFERROR(IF(S239="","",(VLOOKUP(S239,'1. BQ RAPL'!$D$14:$K637,8,0))),"")</f>
        <v/>
      </c>
      <c r="S239" s="649"/>
      <c r="T239" s="650"/>
      <c r="U239" s="16"/>
      <c r="V239" s="16"/>
      <c r="W239" s="16"/>
      <c r="X239" s="119"/>
      <c r="Y239" s="119"/>
      <c r="Z239" s="119"/>
      <c r="AA239" s="119"/>
      <c r="AB239" s="119"/>
      <c r="AC239" s="119"/>
      <c r="AD239" s="119"/>
      <c r="AE239" s="119"/>
      <c r="AF239" s="119"/>
    </row>
    <row r="240" ht="18.75" customHeight="1">
      <c r="A240" s="119"/>
      <c r="B240" s="652"/>
      <c r="C240" s="642">
        <f>IF(F240=0,0,(VLOOKUP(F240,'MTRL MSK (TPDP)'!$F$9:$W637,18,0)))</f>
        <v>0</v>
      </c>
      <c r="D240" s="642">
        <f>IF(C240=0,0,(VLOOKUP(C240,'MTRL MSK (TPDP)'!$B$9:$W637,3,0)))</f>
        <v>0</v>
      </c>
      <c r="E240" s="643" t="str">
        <f>iferror(IF(C240="","",(VLOOKUP(C240,'MTRL MSK (TPDP)'!$B$9:$W637,4,0))),"")</f>
        <v/>
      </c>
      <c r="F240" s="644">
        <f>IF(H240=0,0,(VLOOKUP(H240,'MTRL MSK (TPDP)'!$H$9:$X637,17,0)))</f>
        <v>0</v>
      </c>
      <c r="G240" s="645"/>
      <c r="H240" s="646"/>
      <c r="I240" s="446">
        <f>IF(H240=0,0,(VLOOKUP(H240,'MTRL MSK (TPDP)'!$H$9:$U637,2,0)))</f>
        <v>0</v>
      </c>
      <c r="J240" s="448" t="str">
        <f>IFERROR((IF(H240=0,0,(VLOOKUP(H240,'MTRL MSK (TPDP)'!$H$8:$U637,7,0))))/(IF(H240=0,0,(VLOOKUP(H240,'MTRL MSK (TPDP)'!$H$8:$U637,5,0)))),"")</f>
        <v/>
      </c>
      <c r="K240" s="559"/>
      <c r="L240" s="448">
        <f t="shared" si="1"/>
        <v>0</v>
      </c>
      <c r="M240" s="647">
        <f t="shared" si="2"/>
        <v>0</v>
      </c>
      <c r="N240" s="647">
        <f t="shared" si="3"/>
        <v>0</v>
      </c>
      <c r="O240" s="448">
        <f>IF(H240=0,0,(VLOOKUP(H240,'MTRL MSK (TPDP)'!$H$9:$U637,5,0)))</f>
        <v>0</v>
      </c>
      <c r="P240" s="448">
        <f t="shared" si="4"/>
        <v>0</v>
      </c>
      <c r="Q240" s="448">
        <f t="shared" si="5"/>
        <v>0</v>
      </c>
      <c r="R240" s="648" t="str">
        <f>IFERROR(IF(S240="","",(VLOOKUP(S240,'1. BQ RAPL'!$D$14:$K637,8,0))),"")</f>
        <v/>
      </c>
      <c r="S240" s="649"/>
      <c r="T240" s="650"/>
      <c r="U240" s="16"/>
      <c r="V240" s="16"/>
      <c r="W240" s="16"/>
      <c r="X240" s="119"/>
      <c r="Y240" s="119"/>
      <c r="Z240" s="119"/>
      <c r="AA240" s="119"/>
      <c r="AB240" s="119"/>
      <c r="AC240" s="119"/>
      <c r="AD240" s="119"/>
      <c r="AE240" s="119"/>
      <c r="AF240" s="119"/>
    </row>
    <row r="241" ht="18.75" customHeight="1">
      <c r="A241" s="119"/>
      <c r="B241" s="652"/>
      <c r="C241" s="642">
        <f>IF(F241=0,0,(VLOOKUP(F241,'MTRL MSK (TPDP)'!$F$9:$W637,18,0)))</f>
        <v>0</v>
      </c>
      <c r="D241" s="642">
        <f>IF(C241=0,0,(VLOOKUP(C241,'MTRL MSK (TPDP)'!$B$9:$W637,3,0)))</f>
        <v>0</v>
      </c>
      <c r="E241" s="643" t="str">
        <f>iferror(IF(C241="","",(VLOOKUP(C241,'MTRL MSK (TPDP)'!$B$9:$W637,4,0))),"")</f>
        <v/>
      </c>
      <c r="F241" s="644">
        <f>IF(H241=0,0,(VLOOKUP(H241,'MTRL MSK (TPDP)'!$H$9:$X637,17,0)))</f>
        <v>0</v>
      </c>
      <c r="G241" s="645"/>
      <c r="H241" s="646"/>
      <c r="I241" s="446">
        <f>IF(H241=0,0,(VLOOKUP(H241,'MTRL MSK (TPDP)'!$H$9:$U637,2,0)))</f>
        <v>0</v>
      </c>
      <c r="J241" s="448" t="str">
        <f>IFERROR((IF(H241=0,0,(VLOOKUP(H241,'MTRL MSK (TPDP)'!$H$8:$U637,7,0))))/(IF(H241=0,0,(VLOOKUP(H241,'MTRL MSK (TPDP)'!$H$8:$U637,5,0)))),"")</f>
        <v/>
      </c>
      <c r="K241" s="559"/>
      <c r="L241" s="448">
        <f t="shared" si="1"/>
        <v>0</v>
      </c>
      <c r="M241" s="647">
        <f t="shared" si="2"/>
        <v>0</v>
      </c>
      <c r="N241" s="647">
        <f t="shared" si="3"/>
        <v>0</v>
      </c>
      <c r="O241" s="448">
        <f>IF(H241=0,0,(VLOOKUP(H241,'MTRL MSK (TPDP)'!$H$9:$U637,5,0)))</f>
        <v>0</v>
      </c>
      <c r="P241" s="448">
        <f t="shared" si="4"/>
        <v>0</v>
      </c>
      <c r="Q241" s="448">
        <f t="shared" si="5"/>
        <v>0</v>
      </c>
      <c r="R241" s="648" t="str">
        <f>IFERROR(IF(S241="","",(VLOOKUP(S241,'1. BQ RAPL'!$D$14:$K637,8,0))),"")</f>
        <v/>
      </c>
      <c r="S241" s="649"/>
      <c r="T241" s="650"/>
      <c r="U241" s="16"/>
      <c r="V241" s="16"/>
      <c r="W241" s="16"/>
      <c r="X241" s="119"/>
      <c r="Y241" s="119"/>
      <c r="Z241" s="119"/>
      <c r="AA241" s="119"/>
      <c r="AB241" s="119"/>
      <c r="AC241" s="119"/>
      <c r="AD241" s="119"/>
      <c r="AE241" s="119"/>
      <c r="AF241" s="119"/>
    </row>
    <row r="242" ht="18.75" customHeight="1">
      <c r="A242" s="119"/>
      <c r="B242" s="652"/>
      <c r="C242" s="642">
        <f>IF(F242=0,0,(VLOOKUP(F242,'MTRL MSK (TPDP)'!$F$9:$W637,18,0)))</f>
        <v>0</v>
      </c>
      <c r="D242" s="642">
        <f>IF(C242=0,0,(VLOOKUP(C242,'MTRL MSK (TPDP)'!$B$9:$W637,3,0)))</f>
        <v>0</v>
      </c>
      <c r="E242" s="643" t="str">
        <f>iferror(IF(C242="","",(VLOOKUP(C242,'MTRL MSK (TPDP)'!$B$9:$W637,4,0))),"")</f>
        <v/>
      </c>
      <c r="F242" s="644">
        <f>IF(H242=0,0,(VLOOKUP(H242,'MTRL MSK (TPDP)'!$H$9:$X637,17,0)))</f>
        <v>0</v>
      </c>
      <c r="G242" s="645"/>
      <c r="H242" s="646"/>
      <c r="I242" s="446">
        <f>IF(H242=0,0,(VLOOKUP(H242,'MTRL MSK (TPDP)'!$H$9:$U637,2,0)))</f>
        <v>0</v>
      </c>
      <c r="J242" s="448" t="str">
        <f>IFERROR((IF(H242=0,0,(VLOOKUP(H242,'MTRL MSK (TPDP)'!$H$8:$U637,7,0))))/(IF(H242=0,0,(VLOOKUP(H242,'MTRL MSK (TPDP)'!$H$8:$U637,5,0)))),"")</f>
        <v/>
      </c>
      <c r="K242" s="559"/>
      <c r="L242" s="448">
        <f t="shared" si="1"/>
        <v>0</v>
      </c>
      <c r="M242" s="647">
        <f t="shared" si="2"/>
        <v>0</v>
      </c>
      <c r="N242" s="647">
        <f t="shared" si="3"/>
        <v>0</v>
      </c>
      <c r="O242" s="448">
        <f>IF(H242=0,0,(VLOOKUP(H242,'MTRL MSK (TPDP)'!$H$9:$U637,5,0)))</f>
        <v>0</v>
      </c>
      <c r="P242" s="448">
        <f t="shared" si="4"/>
        <v>0</v>
      </c>
      <c r="Q242" s="448">
        <f t="shared" si="5"/>
        <v>0</v>
      </c>
      <c r="R242" s="648" t="str">
        <f>IFERROR(IF(S242="","",(VLOOKUP(S242,'1. BQ RAPL'!$D$14:$K637,8,0))),"")</f>
        <v/>
      </c>
      <c r="S242" s="649"/>
      <c r="T242" s="650"/>
      <c r="U242" s="16"/>
      <c r="V242" s="16"/>
      <c r="W242" s="16"/>
      <c r="X242" s="119"/>
      <c r="Y242" s="119"/>
      <c r="Z242" s="119"/>
      <c r="AA242" s="119"/>
      <c r="AB242" s="119"/>
      <c r="AC242" s="119"/>
      <c r="AD242" s="119"/>
      <c r="AE242" s="119"/>
      <c r="AF242" s="119"/>
    </row>
    <row r="243" ht="18.75" customHeight="1">
      <c r="A243" s="119"/>
      <c r="B243" s="652"/>
      <c r="C243" s="642">
        <f>IF(F243=0,0,(VLOOKUP(F243,'MTRL MSK (TPDP)'!$F$9:$W637,18,0)))</f>
        <v>0</v>
      </c>
      <c r="D243" s="642">
        <f>IF(C243=0,0,(VLOOKUP(C243,'MTRL MSK (TPDP)'!$B$9:$W637,3,0)))</f>
        <v>0</v>
      </c>
      <c r="E243" s="643" t="str">
        <f>iferror(IF(C243="","",(VLOOKUP(C243,'MTRL MSK (TPDP)'!$B$9:$W637,4,0))),"")</f>
        <v/>
      </c>
      <c r="F243" s="644">
        <f>IF(H243=0,0,(VLOOKUP(H243,'MTRL MSK (TPDP)'!$H$9:$X637,17,0)))</f>
        <v>0</v>
      </c>
      <c r="G243" s="645"/>
      <c r="H243" s="646"/>
      <c r="I243" s="446">
        <f>IF(H243=0,0,(VLOOKUP(H243,'MTRL MSK (TPDP)'!$H$9:$U637,2,0)))</f>
        <v>0</v>
      </c>
      <c r="J243" s="448" t="str">
        <f>IFERROR((IF(H243=0,0,(VLOOKUP(H243,'MTRL MSK (TPDP)'!$H$8:$U637,7,0))))/(IF(H243=0,0,(VLOOKUP(H243,'MTRL MSK (TPDP)'!$H$8:$U637,5,0)))),"")</f>
        <v/>
      </c>
      <c r="K243" s="559"/>
      <c r="L243" s="448">
        <f t="shared" si="1"/>
        <v>0</v>
      </c>
      <c r="M243" s="647">
        <f t="shared" si="2"/>
        <v>0</v>
      </c>
      <c r="N243" s="647">
        <f t="shared" si="3"/>
        <v>0</v>
      </c>
      <c r="O243" s="448">
        <f>IF(H243=0,0,(VLOOKUP(H243,'MTRL MSK (TPDP)'!$H$9:$U637,5,0)))</f>
        <v>0</v>
      </c>
      <c r="P243" s="448">
        <f t="shared" si="4"/>
        <v>0</v>
      </c>
      <c r="Q243" s="448">
        <f t="shared" si="5"/>
        <v>0</v>
      </c>
      <c r="R243" s="648" t="str">
        <f>IFERROR(IF(S243="","",(VLOOKUP(S243,'1. BQ RAPL'!$D$14:$K637,8,0))),"")</f>
        <v/>
      </c>
      <c r="S243" s="649"/>
      <c r="T243" s="650"/>
      <c r="U243" s="16"/>
      <c r="V243" s="16"/>
      <c r="W243" s="16"/>
      <c r="X243" s="119"/>
      <c r="Y243" s="119"/>
      <c r="Z243" s="119"/>
      <c r="AA243" s="119"/>
      <c r="AB243" s="119"/>
      <c r="AC243" s="119"/>
      <c r="AD243" s="119"/>
      <c r="AE243" s="119"/>
      <c r="AF243" s="119"/>
    </row>
    <row r="244" ht="18.75" customHeight="1">
      <c r="A244" s="119"/>
      <c r="B244" s="652"/>
      <c r="C244" s="642">
        <f>IF(F244=0,0,(VLOOKUP(F244,'MTRL MSK (TPDP)'!$F$9:$W637,18,0)))</f>
        <v>0</v>
      </c>
      <c r="D244" s="642">
        <f>IF(C244=0,0,(VLOOKUP(C244,'MTRL MSK (TPDP)'!$B$9:$W637,3,0)))</f>
        <v>0</v>
      </c>
      <c r="E244" s="643" t="str">
        <f>iferror(IF(C244="","",(VLOOKUP(C244,'MTRL MSK (TPDP)'!$B$9:$W637,4,0))),"")</f>
        <v/>
      </c>
      <c r="F244" s="644">
        <f>IF(H244=0,0,(VLOOKUP(H244,'MTRL MSK (TPDP)'!$H$9:$X637,17,0)))</f>
        <v>0</v>
      </c>
      <c r="G244" s="645"/>
      <c r="H244" s="646"/>
      <c r="I244" s="446">
        <f>IF(H244=0,0,(VLOOKUP(H244,'MTRL MSK (TPDP)'!$H$9:$U637,2,0)))</f>
        <v>0</v>
      </c>
      <c r="J244" s="448" t="str">
        <f>IFERROR((IF(H244=0,0,(VLOOKUP(H244,'MTRL MSK (TPDP)'!$H$8:$U637,7,0))))/(IF(H244=0,0,(VLOOKUP(H244,'MTRL MSK (TPDP)'!$H$8:$U637,5,0)))),"")</f>
        <v/>
      </c>
      <c r="K244" s="559"/>
      <c r="L244" s="448">
        <f t="shared" si="1"/>
        <v>0</v>
      </c>
      <c r="M244" s="647">
        <f t="shared" si="2"/>
        <v>0</v>
      </c>
      <c r="N244" s="647">
        <f t="shared" si="3"/>
        <v>0</v>
      </c>
      <c r="O244" s="448">
        <f>IF(H244=0,0,(VLOOKUP(H244,'MTRL MSK (TPDP)'!$H$9:$U637,5,0)))</f>
        <v>0</v>
      </c>
      <c r="P244" s="448">
        <f t="shared" si="4"/>
        <v>0</v>
      </c>
      <c r="Q244" s="448">
        <f t="shared" si="5"/>
        <v>0</v>
      </c>
      <c r="R244" s="648" t="str">
        <f>IFERROR(IF(S244="","",(VLOOKUP(S244,'1. BQ RAPL'!$D$14:$K637,8,0))),"")</f>
        <v/>
      </c>
      <c r="S244" s="649"/>
      <c r="T244" s="650"/>
      <c r="U244" s="16"/>
      <c r="V244" s="16"/>
      <c r="W244" s="16"/>
      <c r="X244" s="119"/>
      <c r="Y244" s="119"/>
      <c r="Z244" s="119"/>
      <c r="AA244" s="119"/>
      <c r="AB244" s="119"/>
      <c r="AC244" s="119"/>
      <c r="AD244" s="119"/>
      <c r="AE244" s="119"/>
      <c r="AF244" s="119"/>
    </row>
    <row r="245" ht="18.75" customHeight="1">
      <c r="A245" s="119"/>
      <c r="B245" s="652"/>
      <c r="C245" s="642">
        <f>IF(F245=0,0,(VLOOKUP(F245,'MTRL MSK (TPDP)'!$F$9:$W637,18,0)))</f>
        <v>0</v>
      </c>
      <c r="D245" s="642">
        <f>IF(C245=0,0,(VLOOKUP(C245,'MTRL MSK (TPDP)'!$B$9:$W637,3,0)))</f>
        <v>0</v>
      </c>
      <c r="E245" s="643" t="str">
        <f>iferror(IF(C245="","",(VLOOKUP(C245,'MTRL MSK (TPDP)'!$B$9:$W637,4,0))),"")</f>
        <v/>
      </c>
      <c r="F245" s="644">
        <f>IF(H245=0,0,(VLOOKUP(H245,'MTRL MSK (TPDP)'!$H$9:$X637,17,0)))</f>
        <v>0</v>
      </c>
      <c r="G245" s="645"/>
      <c r="H245" s="646"/>
      <c r="I245" s="446">
        <f>IF(H245=0,0,(VLOOKUP(H245,'MTRL MSK (TPDP)'!$H$9:$U637,2,0)))</f>
        <v>0</v>
      </c>
      <c r="J245" s="448" t="str">
        <f>IFERROR((IF(H245=0,0,(VLOOKUP(H245,'MTRL MSK (TPDP)'!$H$8:$U637,7,0))))/(IF(H245=0,0,(VLOOKUP(H245,'MTRL MSK (TPDP)'!$H$8:$U637,5,0)))),"")</f>
        <v/>
      </c>
      <c r="K245" s="559"/>
      <c r="L245" s="448">
        <f t="shared" si="1"/>
        <v>0</v>
      </c>
      <c r="M245" s="647">
        <f t="shared" si="2"/>
        <v>0</v>
      </c>
      <c r="N245" s="647">
        <f t="shared" si="3"/>
        <v>0</v>
      </c>
      <c r="O245" s="448">
        <f>IF(H245=0,0,(VLOOKUP(H245,'MTRL MSK (TPDP)'!$H$9:$U637,5,0)))</f>
        <v>0</v>
      </c>
      <c r="P245" s="448">
        <f t="shared" si="4"/>
        <v>0</v>
      </c>
      <c r="Q245" s="448">
        <f t="shared" si="5"/>
        <v>0</v>
      </c>
      <c r="R245" s="648" t="str">
        <f>IFERROR(IF(S245="","",(VLOOKUP(S245,'1. BQ RAPL'!$D$14:$K637,8,0))),"")</f>
        <v/>
      </c>
      <c r="S245" s="649"/>
      <c r="T245" s="650"/>
      <c r="U245" s="16"/>
      <c r="V245" s="16"/>
      <c r="W245" s="16"/>
      <c r="X245" s="119"/>
      <c r="Y245" s="119"/>
      <c r="Z245" s="119"/>
      <c r="AA245" s="119"/>
      <c r="AB245" s="119"/>
      <c r="AC245" s="119"/>
      <c r="AD245" s="119"/>
      <c r="AE245" s="119"/>
      <c r="AF245" s="119"/>
    </row>
    <row r="246" ht="18.75" customHeight="1">
      <c r="A246" s="119"/>
      <c r="B246" s="652"/>
      <c r="C246" s="642">
        <f>IF(F246=0,0,(VLOOKUP(F246,'MTRL MSK (TPDP)'!$F$9:$W637,18,0)))</f>
        <v>0</v>
      </c>
      <c r="D246" s="642">
        <f>IF(C246=0,0,(VLOOKUP(C246,'MTRL MSK (TPDP)'!$B$9:$W637,3,0)))</f>
        <v>0</v>
      </c>
      <c r="E246" s="643" t="str">
        <f>iferror(IF(C246="","",(VLOOKUP(C246,'MTRL MSK (TPDP)'!$B$9:$W637,4,0))),"")</f>
        <v/>
      </c>
      <c r="F246" s="644">
        <f>IF(H246=0,0,(VLOOKUP(H246,'MTRL MSK (TPDP)'!$H$9:$X637,17,0)))</f>
        <v>0</v>
      </c>
      <c r="G246" s="645"/>
      <c r="H246" s="646"/>
      <c r="I246" s="446">
        <f>IF(H246=0,0,(VLOOKUP(H246,'MTRL MSK (TPDP)'!$H$9:$U637,2,0)))</f>
        <v>0</v>
      </c>
      <c r="J246" s="448" t="str">
        <f>IFERROR((IF(H246=0,0,(VLOOKUP(H246,'MTRL MSK (TPDP)'!$H$8:$U637,7,0))))/(IF(H246=0,0,(VLOOKUP(H246,'MTRL MSK (TPDP)'!$H$8:$U637,5,0)))),"")</f>
        <v/>
      </c>
      <c r="K246" s="559"/>
      <c r="L246" s="448">
        <f t="shared" si="1"/>
        <v>0</v>
      </c>
      <c r="M246" s="647">
        <f t="shared" si="2"/>
        <v>0</v>
      </c>
      <c r="N246" s="647">
        <f t="shared" si="3"/>
        <v>0</v>
      </c>
      <c r="O246" s="448">
        <f>IF(H246=0,0,(VLOOKUP(H246,'MTRL MSK (TPDP)'!$H$9:$U637,5,0)))</f>
        <v>0</v>
      </c>
      <c r="P246" s="448">
        <f t="shared" si="4"/>
        <v>0</v>
      </c>
      <c r="Q246" s="448">
        <f t="shared" si="5"/>
        <v>0</v>
      </c>
      <c r="R246" s="648" t="str">
        <f>IFERROR(IF(S246="","",(VLOOKUP(S246,'1. BQ RAPL'!$D$14:$K637,8,0))),"")</f>
        <v/>
      </c>
      <c r="S246" s="649"/>
      <c r="T246" s="650"/>
      <c r="U246" s="16"/>
      <c r="V246" s="16"/>
      <c r="W246" s="16"/>
      <c r="X246" s="119"/>
      <c r="Y246" s="119"/>
      <c r="Z246" s="119"/>
      <c r="AA246" s="119"/>
      <c r="AB246" s="119"/>
      <c r="AC246" s="119"/>
      <c r="AD246" s="119"/>
      <c r="AE246" s="119"/>
      <c r="AF246" s="119"/>
    </row>
    <row r="247" ht="18.75" customHeight="1">
      <c r="A247" s="119"/>
      <c r="B247" s="652"/>
      <c r="C247" s="642">
        <f>IF(F247=0,0,(VLOOKUP(F247,'MTRL MSK (TPDP)'!$F$9:$W637,18,0)))</f>
        <v>0</v>
      </c>
      <c r="D247" s="642">
        <f>IF(C247=0,0,(VLOOKUP(C247,'MTRL MSK (TPDP)'!$B$9:$W637,3,0)))</f>
        <v>0</v>
      </c>
      <c r="E247" s="643" t="str">
        <f>iferror(IF(C247="","",(VLOOKUP(C247,'MTRL MSK (TPDP)'!$B$9:$W637,4,0))),"")</f>
        <v/>
      </c>
      <c r="F247" s="644">
        <f>IF(H247=0,0,(VLOOKUP(H247,'MTRL MSK (TPDP)'!$H$9:$X637,17,0)))</f>
        <v>0</v>
      </c>
      <c r="G247" s="645"/>
      <c r="H247" s="646"/>
      <c r="I247" s="446">
        <f>IF(H247=0,0,(VLOOKUP(H247,'MTRL MSK (TPDP)'!$H$9:$U637,2,0)))</f>
        <v>0</v>
      </c>
      <c r="J247" s="448" t="str">
        <f>IFERROR((IF(H247=0,0,(VLOOKUP(H247,'MTRL MSK (TPDP)'!$H$8:$U637,7,0))))/(IF(H247=0,0,(VLOOKUP(H247,'MTRL MSK (TPDP)'!$H$8:$U637,5,0)))),"")</f>
        <v/>
      </c>
      <c r="K247" s="559"/>
      <c r="L247" s="448">
        <f t="shared" si="1"/>
        <v>0</v>
      </c>
      <c r="M247" s="647">
        <f t="shared" si="2"/>
        <v>0</v>
      </c>
      <c r="N247" s="647">
        <f t="shared" si="3"/>
        <v>0</v>
      </c>
      <c r="O247" s="448">
        <f>IF(H247=0,0,(VLOOKUP(H247,'MTRL MSK (TPDP)'!$H$9:$U637,5,0)))</f>
        <v>0</v>
      </c>
      <c r="P247" s="448">
        <f t="shared" si="4"/>
        <v>0</v>
      </c>
      <c r="Q247" s="448">
        <f t="shared" si="5"/>
        <v>0</v>
      </c>
      <c r="R247" s="648" t="str">
        <f>IFERROR(IF(S247="","",(VLOOKUP(S247,'1. BQ RAPL'!$D$14:$K637,8,0))),"")</f>
        <v/>
      </c>
      <c r="S247" s="649"/>
      <c r="T247" s="650"/>
      <c r="U247" s="16"/>
      <c r="V247" s="16"/>
      <c r="W247" s="16"/>
      <c r="X247" s="119"/>
      <c r="Y247" s="119"/>
      <c r="Z247" s="119"/>
      <c r="AA247" s="119"/>
      <c r="AB247" s="119"/>
      <c r="AC247" s="119"/>
      <c r="AD247" s="119"/>
      <c r="AE247" s="119"/>
      <c r="AF247" s="119"/>
    </row>
    <row r="248" ht="18.75" customHeight="1">
      <c r="A248" s="119"/>
      <c r="B248" s="652"/>
      <c r="C248" s="642">
        <f>IF(F248=0,0,(VLOOKUP(F248,'MTRL MSK (TPDP)'!$F$9:$W637,18,0)))</f>
        <v>0</v>
      </c>
      <c r="D248" s="642">
        <f>IF(C248=0,0,(VLOOKUP(C248,'MTRL MSK (TPDP)'!$B$9:$W637,3,0)))</f>
        <v>0</v>
      </c>
      <c r="E248" s="643" t="str">
        <f>iferror(IF(C248="","",(VLOOKUP(C248,'MTRL MSK (TPDP)'!$B$9:$W637,4,0))),"")</f>
        <v/>
      </c>
      <c r="F248" s="644">
        <f>IF(H248=0,0,(VLOOKUP(H248,'MTRL MSK (TPDP)'!$H$9:$X637,17,0)))</f>
        <v>0</v>
      </c>
      <c r="G248" s="645"/>
      <c r="H248" s="646"/>
      <c r="I248" s="446">
        <f>IF(H248=0,0,(VLOOKUP(H248,'MTRL MSK (TPDP)'!$H$9:$U637,2,0)))</f>
        <v>0</v>
      </c>
      <c r="J248" s="448" t="str">
        <f>IFERROR((IF(H248=0,0,(VLOOKUP(H248,'MTRL MSK (TPDP)'!$H$8:$U637,7,0))))/(IF(H248=0,0,(VLOOKUP(H248,'MTRL MSK (TPDP)'!$H$8:$U637,5,0)))),"")</f>
        <v/>
      </c>
      <c r="K248" s="559"/>
      <c r="L248" s="448">
        <f t="shared" si="1"/>
        <v>0</v>
      </c>
      <c r="M248" s="647">
        <f t="shared" si="2"/>
        <v>0</v>
      </c>
      <c r="N248" s="647">
        <f t="shared" si="3"/>
        <v>0</v>
      </c>
      <c r="O248" s="448">
        <f>IF(H248=0,0,(VLOOKUP(H248,'MTRL MSK (TPDP)'!$H$9:$U637,5,0)))</f>
        <v>0</v>
      </c>
      <c r="P248" s="448">
        <f t="shared" si="4"/>
        <v>0</v>
      </c>
      <c r="Q248" s="448">
        <f t="shared" si="5"/>
        <v>0</v>
      </c>
      <c r="R248" s="648" t="str">
        <f>IFERROR(IF(S248="","",(VLOOKUP(S248,'1. BQ RAPL'!$D$14:$K637,8,0))),"")</f>
        <v/>
      </c>
      <c r="S248" s="649"/>
      <c r="T248" s="650"/>
      <c r="U248" s="16"/>
      <c r="V248" s="16"/>
      <c r="W248" s="16"/>
      <c r="X248" s="119"/>
      <c r="Y248" s="119"/>
      <c r="Z248" s="119"/>
      <c r="AA248" s="119"/>
      <c r="AB248" s="119"/>
      <c r="AC248" s="119"/>
      <c r="AD248" s="119"/>
      <c r="AE248" s="119"/>
      <c r="AF248" s="119"/>
    </row>
    <row r="249" ht="18.75" customHeight="1">
      <c r="A249" s="119"/>
      <c r="B249" s="652"/>
      <c r="C249" s="642">
        <f>IF(F249=0,0,(VLOOKUP(F249,'MTRL MSK (TPDP)'!$F$9:$W637,18,0)))</f>
        <v>0</v>
      </c>
      <c r="D249" s="642">
        <f>IF(C249=0,0,(VLOOKUP(C249,'MTRL MSK (TPDP)'!$B$9:$W637,3,0)))</f>
        <v>0</v>
      </c>
      <c r="E249" s="643" t="str">
        <f>iferror(IF(C249="","",(VLOOKUP(C249,'MTRL MSK (TPDP)'!$B$9:$W637,4,0))),"")</f>
        <v/>
      </c>
      <c r="F249" s="644">
        <f>IF(H249=0,0,(VLOOKUP(H249,'MTRL MSK (TPDP)'!$H$9:$X637,17,0)))</f>
        <v>0</v>
      </c>
      <c r="G249" s="645"/>
      <c r="H249" s="646"/>
      <c r="I249" s="446">
        <f>IF(H249=0,0,(VLOOKUP(H249,'MTRL MSK (TPDP)'!$H$9:$U637,2,0)))</f>
        <v>0</v>
      </c>
      <c r="J249" s="448" t="str">
        <f>IFERROR((IF(H249=0,0,(VLOOKUP(H249,'MTRL MSK (TPDP)'!$H$8:$U637,7,0))))/(IF(H249=0,0,(VLOOKUP(H249,'MTRL MSK (TPDP)'!$H$8:$U637,5,0)))),"")</f>
        <v/>
      </c>
      <c r="K249" s="559"/>
      <c r="L249" s="448">
        <f t="shared" si="1"/>
        <v>0</v>
      </c>
      <c r="M249" s="647">
        <f t="shared" si="2"/>
        <v>0</v>
      </c>
      <c r="N249" s="647">
        <f t="shared" si="3"/>
        <v>0</v>
      </c>
      <c r="O249" s="448">
        <f>IF(H249=0,0,(VLOOKUP(H249,'MTRL MSK (TPDP)'!$H$9:$U637,5,0)))</f>
        <v>0</v>
      </c>
      <c r="P249" s="448">
        <f t="shared" si="4"/>
        <v>0</v>
      </c>
      <c r="Q249" s="448">
        <f t="shared" si="5"/>
        <v>0</v>
      </c>
      <c r="R249" s="648" t="str">
        <f>IFERROR(IF(S249="","",(VLOOKUP(S249,'1. BQ RAPL'!$D$14:$K637,8,0))),"")</f>
        <v/>
      </c>
      <c r="S249" s="649"/>
      <c r="T249" s="650"/>
      <c r="U249" s="16"/>
      <c r="V249" s="16"/>
      <c r="W249" s="16"/>
      <c r="X249" s="119"/>
      <c r="Y249" s="119"/>
      <c r="Z249" s="119"/>
      <c r="AA249" s="119"/>
      <c r="AB249" s="119"/>
      <c r="AC249" s="119"/>
      <c r="AD249" s="119"/>
      <c r="AE249" s="119"/>
      <c r="AF249" s="119"/>
    </row>
    <row r="250" ht="18.75" customHeight="1">
      <c r="A250" s="119"/>
      <c r="B250" s="652"/>
      <c r="C250" s="642">
        <f>IF(F250=0,0,(VLOOKUP(F250,'MTRL MSK (TPDP)'!$F$9:$W637,18,0)))</f>
        <v>0</v>
      </c>
      <c r="D250" s="642">
        <f>IF(C250=0,0,(VLOOKUP(C250,'MTRL MSK (TPDP)'!$B$9:$W637,3,0)))</f>
        <v>0</v>
      </c>
      <c r="E250" s="643" t="str">
        <f>iferror(IF(C250="","",(VLOOKUP(C250,'MTRL MSK (TPDP)'!$B$9:$W637,4,0))),"")</f>
        <v/>
      </c>
      <c r="F250" s="644">
        <f>IF(H250=0,0,(VLOOKUP(H250,'MTRL MSK (TPDP)'!$H$9:$X637,17,0)))</f>
        <v>0</v>
      </c>
      <c r="G250" s="645"/>
      <c r="H250" s="646"/>
      <c r="I250" s="446">
        <f>IF(H250=0,0,(VLOOKUP(H250,'MTRL MSK (TPDP)'!$H$9:$U637,2,0)))</f>
        <v>0</v>
      </c>
      <c r="J250" s="448" t="str">
        <f>IFERROR((IF(H250=0,0,(VLOOKUP(H250,'MTRL MSK (TPDP)'!$H$8:$U637,7,0))))/(IF(H250=0,0,(VLOOKUP(H250,'MTRL MSK (TPDP)'!$H$8:$U637,5,0)))),"")</f>
        <v/>
      </c>
      <c r="K250" s="559"/>
      <c r="L250" s="448">
        <f t="shared" si="1"/>
        <v>0</v>
      </c>
      <c r="M250" s="647">
        <f t="shared" si="2"/>
        <v>0</v>
      </c>
      <c r="N250" s="647">
        <f t="shared" si="3"/>
        <v>0</v>
      </c>
      <c r="O250" s="448">
        <f>IF(H250=0,0,(VLOOKUP(H250,'MTRL MSK (TPDP)'!$H$9:$U637,5,0)))</f>
        <v>0</v>
      </c>
      <c r="P250" s="448">
        <f t="shared" si="4"/>
        <v>0</v>
      </c>
      <c r="Q250" s="448">
        <f t="shared" si="5"/>
        <v>0</v>
      </c>
      <c r="R250" s="648" t="str">
        <f>IFERROR(IF(S250="","",(VLOOKUP(S250,'1. BQ RAPL'!$D$14:$K637,8,0))),"")</f>
        <v/>
      </c>
      <c r="S250" s="649"/>
      <c r="T250" s="650"/>
      <c r="U250" s="16"/>
      <c r="V250" s="16"/>
      <c r="W250" s="16"/>
      <c r="X250" s="119"/>
      <c r="Y250" s="119"/>
      <c r="Z250" s="119"/>
      <c r="AA250" s="119"/>
      <c r="AB250" s="119"/>
      <c r="AC250" s="119"/>
      <c r="AD250" s="119"/>
      <c r="AE250" s="119"/>
      <c r="AF250" s="119"/>
    </row>
    <row r="251" ht="18.75" customHeight="1">
      <c r="A251" s="119"/>
      <c r="B251" s="652"/>
      <c r="C251" s="642">
        <f>IF(F251=0,0,(VLOOKUP(F251,'MTRL MSK (TPDP)'!$F$9:$W637,18,0)))</f>
        <v>0</v>
      </c>
      <c r="D251" s="642">
        <f>IF(C251=0,0,(VLOOKUP(C251,'MTRL MSK (TPDP)'!$B$9:$W637,3,0)))</f>
        <v>0</v>
      </c>
      <c r="E251" s="643" t="str">
        <f>iferror(IF(C251="","",(VLOOKUP(C251,'MTRL MSK (TPDP)'!$B$9:$W637,4,0))),"")</f>
        <v/>
      </c>
      <c r="F251" s="644">
        <f>IF(H251=0,0,(VLOOKUP(H251,'MTRL MSK (TPDP)'!$H$9:$X637,17,0)))</f>
        <v>0</v>
      </c>
      <c r="G251" s="645"/>
      <c r="H251" s="646"/>
      <c r="I251" s="446">
        <f>IF(H251=0,0,(VLOOKUP(H251,'MTRL MSK (TPDP)'!$H$9:$U637,2,0)))</f>
        <v>0</v>
      </c>
      <c r="J251" s="448" t="str">
        <f>IFERROR((IF(H251=0,0,(VLOOKUP(H251,'MTRL MSK (TPDP)'!$H$8:$U637,7,0))))/(IF(H251=0,0,(VLOOKUP(H251,'MTRL MSK (TPDP)'!$H$8:$U637,5,0)))),"")</f>
        <v/>
      </c>
      <c r="K251" s="559"/>
      <c r="L251" s="448">
        <f t="shared" si="1"/>
        <v>0</v>
      </c>
      <c r="M251" s="647">
        <f t="shared" si="2"/>
        <v>0</v>
      </c>
      <c r="N251" s="647">
        <f t="shared" si="3"/>
        <v>0</v>
      </c>
      <c r="O251" s="448">
        <f>IF(H251=0,0,(VLOOKUP(H251,'MTRL MSK (TPDP)'!$H$9:$U637,5,0)))</f>
        <v>0</v>
      </c>
      <c r="P251" s="448">
        <f t="shared" si="4"/>
        <v>0</v>
      </c>
      <c r="Q251" s="448">
        <f t="shared" si="5"/>
        <v>0</v>
      </c>
      <c r="R251" s="648" t="str">
        <f>IFERROR(IF(S251="","",(VLOOKUP(S251,'1. BQ RAPL'!$D$14:$K637,8,0))),"")</f>
        <v/>
      </c>
      <c r="S251" s="649"/>
      <c r="T251" s="650"/>
      <c r="U251" s="16"/>
      <c r="V251" s="16"/>
      <c r="W251" s="16"/>
      <c r="X251" s="119"/>
      <c r="Y251" s="119"/>
      <c r="Z251" s="119"/>
      <c r="AA251" s="119"/>
      <c r="AB251" s="119"/>
      <c r="AC251" s="119"/>
      <c r="AD251" s="119"/>
      <c r="AE251" s="119"/>
      <c r="AF251" s="119"/>
    </row>
    <row r="252" ht="18.75" customHeight="1">
      <c r="A252" s="119"/>
      <c r="B252" s="652"/>
      <c r="C252" s="642">
        <f>IF(F252=0,0,(VLOOKUP(F252,'MTRL MSK (TPDP)'!$F$9:$W637,18,0)))</f>
        <v>0</v>
      </c>
      <c r="D252" s="642">
        <f>IF(C252=0,0,(VLOOKUP(C252,'MTRL MSK (TPDP)'!$B$9:$W637,3,0)))</f>
        <v>0</v>
      </c>
      <c r="E252" s="643" t="str">
        <f>iferror(IF(C252="","",(VLOOKUP(C252,'MTRL MSK (TPDP)'!$B$9:$W637,4,0))),"")</f>
        <v/>
      </c>
      <c r="F252" s="644">
        <f>IF(H252=0,0,(VLOOKUP(H252,'MTRL MSK (TPDP)'!$H$9:$X637,17,0)))</f>
        <v>0</v>
      </c>
      <c r="G252" s="645"/>
      <c r="H252" s="646"/>
      <c r="I252" s="446">
        <f>IF(H252=0,0,(VLOOKUP(H252,'MTRL MSK (TPDP)'!$H$9:$U637,2,0)))</f>
        <v>0</v>
      </c>
      <c r="J252" s="448" t="str">
        <f>IFERROR((IF(H252=0,0,(VLOOKUP(H252,'MTRL MSK (TPDP)'!$H$8:$U637,7,0))))/(IF(H252=0,0,(VLOOKUP(H252,'MTRL MSK (TPDP)'!$H$8:$U637,5,0)))),"")</f>
        <v/>
      </c>
      <c r="K252" s="559"/>
      <c r="L252" s="448">
        <f t="shared" si="1"/>
        <v>0</v>
      </c>
      <c r="M252" s="647">
        <f t="shared" si="2"/>
        <v>0</v>
      </c>
      <c r="N252" s="647">
        <f t="shared" si="3"/>
        <v>0</v>
      </c>
      <c r="O252" s="448">
        <f>IF(H252=0,0,(VLOOKUP(H252,'MTRL MSK (TPDP)'!$H$9:$U637,5,0)))</f>
        <v>0</v>
      </c>
      <c r="P252" s="448">
        <f t="shared" si="4"/>
        <v>0</v>
      </c>
      <c r="Q252" s="448">
        <f t="shared" si="5"/>
        <v>0</v>
      </c>
      <c r="R252" s="648" t="str">
        <f>IFERROR(IF(S252="","",(VLOOKUP(S252,'1. BQ RAPL'!$D$14:$K637,8,0))),"")</f>
        <v/>
      </c>
      <c r="S252" s="649"/>
      <c r="T252" s="650"/>
      <c r="U252" s="16"/>
      <c r="V252" s="16"/>
      <c r="W252" s="16"/>
      <c r="X252" s="119"/>
      <c r="Y252" s="119"/>
      <c r="Z252" s="119"/>
      <c r="AA252" s="119"/>
      <c r="AB252" s="119"/>
      <c r="AC252" s="119"/>
      <c r="AD252" s="119"/>
      <c r="AE252" s="119"/>
      <c r="AF252" s="119"/>
    </row>
    <row r="253" ht="18.75" customHeight="1">
      <c r="A253" s="119"/>
      <c r="B253" s="652"/>
      <c r="C253" s="642">
        <f>IF(F253=0,0,(VLOOKUP(F253,'MTRL MSK (TPDP)'!$F$9:$W637,18,0)))</f>
        <v>0</v>
      </c>
      <c r="D253" s="642">
        <f>IF(C253=0,0,(VLOOKUP(C253,'MTRL MSK (TPDP)'!$B$9:$W637,3,0)))</f>
        <v>0</v>
      </c>
      <c r="E253" s="643" t="str">
        <f>iferror(IF(C253="","",(VLOOKUP(C253,'MTRL MSK (TPDP)'!$B$9:$W637,4,0))),"")</f>
        <v/>
      </c>
      <c r="F253" s="644">
        <f>IF(H253=0,0,(VLOOKUP(H253,'MTRL MSK (TPDP)'!$H$9:$X637,17,0)))</f>
        <v>0</v>
      </c>
      <c r="G253" s="645"/>
      <c r="H253" s="646"/>
      <c r="I253" s="446">
        <f>IF(H253=0,0,(VLOOKUP(H253,'MTRL MSK (TPDP)'!$H$9:$U637,2,0)))</f>
        <v>0</v>
      </c>
      <c r="J253" s="448" t="str">
        <f>IFERROR((IF(H253=0,0,(VLOOKUP(H253,'MTRL MSK (TPDP)'!$H$8:$U637,7,0))))/(IF(H253=0,0,(VLOOKUP(H253,'MTRL MSK (TPDP)'!$H$8:$U637,5,0)))),"")</f>
        <v/>
      </c>
      <c r="K253" s="559"/>
      <c r="L253" s="448">
        <f t="shared" si="1"/>
        <v>0</v>
      </c>
      <c r="M253" s="647">
        <f t="shared" si="2"/>
        <v>0</v>
      </c>
      <c r="N253" s="647">
        <f t="shared" si="3"/>
        <v>0</v>
      </c>
      <c r="O253" s="448">
        <f>IF(H253=0,0,(VLOOKUP(H253,'MTRL MSK (TPDP)'!$H$9:$U637,5,0)))</f>
        <v>0</v>
      </c>
      <c r="P253" s="448">
        <f t="shared" si="4"/>
        <v>0</v>
      </c>
      <c r="Q253" s="448">
        <f t="shared" si="5"/>
        <v>0</v>
      </c>
      <c r="R253" s="648" t="str">
        <f>IFERROR(IF(S253="","",(VLOOKUP(S253,'1. BQ RAPL'!$D$14:$K637,8,0))),"")</f>
        <v/>
      </c>
      <c r="S253" s="649"/>
      <c r="T253" s="650"/>
      <c r="U253" s="16"/>
      <c r="V253" s="16"/>
      <c r="W253" s="16"/>
      <c r="X253" s="119"/>
      <c r="Y253" s="119"/>
      <c r="Z253" s="119"/>
      <c r="AA253" s="119"/>
      <c r="AB253" s="119"/>
      <c r="AC253" s="119"/>
      <c r="AD253" s="119"/>
      <c r="AE253" s="119"/>
      <c r="AF253" s="119"/>
    </row>
    <row r="254" ht="18.75" customHeight="1">
      <c r="A254" s="119"/>
      <c r="B254" s="652"/>
      <c r="C254" s="642">
        <f>IF(F254=0,0,(VLOOKUP(F254,'MTRL MSK (TPDP)'!$F$9:$W637,18,0)))</f>
        <v>0</v>
      </c>
      <c r="D254" s="642">
        <f>IF(C254=0,0,(VLOOKUP(C254,'MTRL MSK (TPDP)'!$B$9:$W637,3,0)))</f>
        <v>0</v>
      </c>
      <c r="E254" s="643" t="str">
        <f>iferror(IF(C254="","",(VLOOKUP(C254,'MTRL MSK (TPDP)'!$B$9:$W637,4,0))),"")</f>
        <v/>
      </c>
      <c r="F254" s="644">
        <f>IF(H254=0,0,(VLOOKUP(H254,'MTRL MSK (TPDP)'!$H$9:$X637,17,0)))</f>
        <v>0</v>
      </c>
      <c r="G254" s="645"/>
      <c r="H254" s="646"/>
      <c r="I254" s="446">
        <f>IF(H254=0,0,(VLOOKUP(H254,'MTRL MSK (TPDP)'!$H$9:$U637,2,0)))</f>
        <v>0</v>
      </c>
      <c r="J254" s="448" t="str">
        <f>IFERROR((IF(H254=0,0,(VLOOKUP(H254,'MTRL MSK (TPDP)'!$H$8:$U637,7,0))))/(IF(H254=0,0,(VLOOKUP(H254,'MTRL MSK (TPDP)'!$H$8:$U637,5,0)))),"")</f>
        <v/>
      </c>
      <c r="K254" s="559"/>
      <c r="L254" s="448">
        <f t="shared" si="1"/>
        <v>0</v>
      </c>
      <c r="M254" s="647">
        <f t="shared" si="2"/>
        <v>0</v>
      </c>
      <c r="N254" s="647">
        <f t="shared" si="3"/>
        <v>0</v>
      </c>
      <c r="O254" s="448">
        <f>IF(H254=0,0,(VLOOKUP(H254,'MTRL MSK (TPDP)'!$H$9:$U637,5,0)))</f>
        <v>0</v>
      </c>
      <c r="P254" s="448">
        <f t="shared" si="4"/>
        <v>0</v>
      </c>
      <c r="Q254" s="448">
        <f t="shared" si="5"/>
        <v>0</v>
      </c>
      <c r="R254" s="648" t="str">
        <f>IFERROR(IF(S254="","",(VLOOKUP(S254,'1. BQ RAPL'!$D$14:$K637,8,0))),"")</f>
        <v/>
      </c>
      <c r="S254" s="649"/>
      <c r="T254" s="650"/>
      <c r="U254" s="16"/>
      <c r="V254" s="16"/>
      <c r="W254" s="16"/>
      <c r="X254" s="119"/>
      <c r="Y254" s="119"/>
      <c r="Z254" s="119"/>
      <c r="AA254" s="119"/>
      <c r="AB254" s="119"/>
      <c r="AC254" s="119"/>
      <c r="AD254" s="119"/>
      <c r="AE254" s="119"/>
      <c r="AF254" s="119"/>
    </row>
    <row r="255" ht="18.75" customHeight="1">
      <c r="A255" s="119"/>
      <c r="B255" s="652"/>
      <c r="C255" s="642">
        <f>IF(F255=0,0,(VLOOKUP(F255,'MTRL MSK (TPDP)'!$F$9:$W637,18,0)))</f>
        <v>0</v>
      </c>
      <c r="D255" s="642">
        <f>IF(C255=0,0,(VLOOKUP(C255,'MTRL MSK (TPDP)'!$B$9:$W637,3,0)))</f>
        <v>0</v>
      </c>
      <c r="E255" s="643" t="str">
        <f>iferror(IF(C255="","",(VLOOKUP(C255,'MTRL MSK (TPDP)'!$B$9:$W637,4,0))),"")</f>
        <v/>
      </c>
      <c r="F255" s="644">
        <f>IF(H255=0,0,(VLOOKUP(H255,'MTRL MSK (TPDP)'!$H$9:$X637,17,0)))</f>
        <v>0</v>
      </c>
      <c r="G255" s="645"/>
      <c r="H255" s="646"/>
      <c r="I255" s="446">
        <f>IF(H255=0,0,(VLOOKUP(H255,'MTRL MSK (TPDP)'!$H$9:$U637,2,0)))</f>
        <v>0</v>
      </c>
      <c r="J255" s="448" t="str">
        <f>IFERROR((IF(H255=0,0,(VLOOKUP(H255,'MTRL MSK (TPDP)'!$H$8:$U637,7,0))))/(IF(H255=0,0,(VLOOKUP(H255,'MTRL MSK (TPDP)'!$H$8:$U637,5,0)))),"")</f>
        <v/>
      </c>
      <c r="K255" s="559"/>
      <c r="L255" s="448">
        <f t="shared" si="1"/>
        <v>0</v>
      </c>
      <c r="M255" s="647">
        <f t="shared" si="2"/>
        <v>0</v>
      </c>
      <c r="N255" s="647">
        <f t="shared" si="3"/>
        <v>0</v>
      </c>
      <c r="O255" s="448">
        <f>IF(H255=0,0,(VLOOKUP(H255,'MTRL MSK (TPDP)'!$H$9:$U637,5,0)))</f>
        <v>0</v>
      </c>
      <c r="P255" s="448">
        <f t="shared" si="4"/>
        <v>0</v>
      </c>
      <c r="Q255" s="448">
        <f t="shared" si="5"/>
        <v>0</v>
      </c>
      <c r="R255" s="648" t="str">
        <f>IFERROR(IF(S255="","",(VLOOKUP(S255,'1. BQ RAPL'!$D$14:$K637,8,0))),"")</f>
        <v/>
      </c>
      <c r="S255" s="649"/>
      <c r="T255" s="650"/>
      <c r="U255" s="16"/>
      <c r="V255" s="16"/>
      <c r="W255" s="16"/>
      <c r="X255" s="119"/>
      <c r="Y255" s="119"/>
      <c r="Z255" s="119"/>
      <c r="AA255" s="119"/>
      <c r="AB255" s="119"/>
      <c r="AC255" s="119"/>
      <c r="AD255" s="119"/>
      <c r="AE255" s="119"/>
      <c r="AF255" s="119"/>
    </row>
    <row r="256" ht="18.75" customHeight="1">
      <c r="A256" s="119"/>
      <c r="B256" s="652"/>
      <c r="C256" s="642">
        <f>IF(F256=0,0,(VLOOKUP(F256,'MTRL MSK (TPDP)'!$F$9:$W637,18,0)))</f>
        <v>0</v>
      </c>
      <c r="D256" s="642">
        <f>IF(C256=0,0,(VLOOKUP(C256,'MTRL MSK (TPDP)'!$B$9:$W637,3,0)))</f>
        <v>0</v>
      </c>
      <c r="E256" s="643" t="str">
        <f>iferror(IF(C256="","",(VLOOKUP(C256,'MTRL MSK (TPDP)'!$B$9:$W637,4,0))),"")</f>
        <v/>
      </c>
      <c r="F256" s="644">
        <f>IF(H256=0,0,(VLOOKUP(H256,'MTRL MSK (TPDP)'!$H$9:$X637,17,0)))</f>
        <v>0</v>
      </c>
      <c r="G256" s="645"/>
      <c r="H256" s="646"/>
      <c r="I256" s="446">
        <f>IF(H256=0,0,(VLOOKUP(H256,'MTRL MSK (TPDP)'!$H$9:$U637,2,0)))</f>
        <v>0</v>
      </c>
      <c r="J256" s="448" t="str">
        <f>IFERROR((IF(H256=0,0,(VLOOKUP(H256,'MTRL MSK (TPDP)'!$H$8:$U637,7,0))))/(IF(H256=0,0,(VLOOKUP(H256,'MTRL MSK (TPDP)'!$H$8:$U637,5,0)))),"")</f>
        <v/>
      </c>
      <c r="K256" s="559"/>
      <c r="L256" s="448">
        <f t="shared" si="1"/>
        <v>0</v>
      </c>
      <c r="M256" s="647">
        <f t="shared" si="2"/>
        <v>0</v>
      </c>
      <c r="N256" s="647">
        <f t="shared" si="3"/>
        <v>0</v>
      </c>
      <c r="O256" s="448">
        <f>IF(H256=0,0,(VLOOKUP(H256,'MTRL MSK (TPDP)'!$H$9:$U637,5,0)))</f>
        <v>0</v>
      </c>
      <c r="P256" s="448">
        <f t="shared" si="4"/>
        <v>0</v>
      </c>
      <c r="Q256" s="448">
        <f t="shared" si="5"/>
        <v>0</v>
      </c>
      <c r="R256" s="648" t="str">
        <f>IFERROR(IF(S256="","",(VLOOKUP(S256,'1. BQ RAPL'!$D$14:$K637,8,0))),"")</f>
        <v/>
      </c>
      <c r="S256" s="649"/>
      <c r="T256" s="650"/>
      <c r="U256" s="16"/>
      <c r="V256" s="16"/>
      <c r="W256" s="16"/>
      <c r="X256" s="119"/>
      <c r="Y256" s="119"/>
      <c r="Z256" s="119"/>
      <c r="AA256" s="119"/>
      <c r="AB256" s="119"/>
      <c r="AC256" s="119"/>
      <c r="AD256" s="119"/>
      <c r="AE256" s="119"/>
      <c r="AF256" s="119"/>
    </row>
    <row r="257" ht="18.75" customHeight="1">
      <c r="A257" s="119"/>
      <c r="B257" s="652"/>
      <c r="C257" s="642">
        <f>IF(F257=0,0,(VLOOKUP(F257,'MTRL MSK (TPDP)'!$F$9:$W637,18,0)))</f>
        <v>0</v>
      </c>
      <c r="D257" s="642">
        <f>IF(C257=0,0,(VLOOKUP(C257,'MTRL MSK (TPDP)'!$B$9:$W637,3,0)))</f>
        <v>0</v>
      </c>
      <c r="E257" s="643" t="str">
        <f>iferror(IF(C257="","",(VLOOKUP(C257,'MTRL MSK (TPDP)'!$B$9:$W637,4,0))),"")</f>
        <v/>
      </c>
      <c r="F257" s="644">
        <f>IF(H257=0,0,(VLOOKUP(H257,'MTRL MSK (TPDP)'!$H$9:$X637,17,0)))</f>
        <v>0</v>
      </c>
      <c r="G257" s="645"/>
      <c r="H257" s="646"/>
      <c r="I257" s="446">
        <f>IF(H257=0,0,(VLOOKUP(H257,'MTRL MSK (TPDP)'!$H$9:$U637,2,0)))</f>
        <v>0</v>
      </c>
      <c r="J257" s="448" t="str">
        <f>IFERROR((IF(H257=0,0,(VLOOKUP(H257,'MTRL MSK (TPDP)'!$H$8:$U637,7,0))))/(IF(H257=0,0,(VLOOKUP(H257,'MTRL MSK (TPDP)'!$H$8:$U637,5,0)))),"")</f>
        <v/>
      </c>
      <c r="K257" s="559"/>
      <c r="L257" s="448">
        <f t="shared" si="1"/>
        <v>0</v>
      </c>
      <c r="M257" s="647">
        <f t="shared" si="2"/>
        <v>0</v>
      </c>
      <c r="N257" s="647">
        <f t="shared" si="3"/>
        <v>0</v>
      </c>
      <c r="O257" s="448">
        <f>IF(H257=0,0,(VLOOKUP(H257,'MTRL MSK (TPDP)'!$H$9:$U637,5,0)))</f>
        <v>0</v>
      </c>
      <c r="P257" s="448">
        <f t="shared" si="4"/>
        <v>0</v>
      </c>
      <c r="Q257" s="448">
        <f t="shared" si="5"/>
        <v>0</v>
      </c>
      <c r="R257" s="648" t="str">
        <f>IFERROR(IF(S257="","",(VLOOKUP(S257,'1. BQ RAPL'!$D$14:$K637,8,0))),"")</f>
        <v/>
      </c>
      <c r="S257" s="649"/>
      <c r="T257" s="650"/>
      <c r="U257" s="16"/>
      <c r="V257" s="16"/>
      <c r="W257" s="16"/>
      <c r="X257" s="119"/>
      <c r="Y257" s="119"/>
      <c r="Z257" s="119"/>
      <c r="AA257" s="119"/>
      <c r="AB257" s="119"/>
      <c r="AC257" s="119"/>
      <c r="AD257" s="119"/>
      <c r="AE257" s="119"/>
      <c r="AF257" s="119"/>
    </row>
    <row r="258" ht="18.75" customHeight="1">
      <c r="A258" s="119"/>
      <c r="B258" s="652"/>
      <c r="C258" s="642">
        <f>IF(F258=0,0,(VLOOKUP(F258,'MTRL MSK (TPDP)'!$F$9:$W637,18,0)))</f>
        <v>0</v>
      </c>
      <c r="D258" s="642">
        <f>IF(C258=0,0,(VLOOKUP(C258,'MTRL MSK (TPDP)'!$B$9:$W637,3,0)))</f>
        <v>0</v>
      </c>
      <c r="E258" s="643" t="str">
        <f>iferror(IF(C258="","",(VLOOKUP(C258,'MTRL MSK (TPDP)'!$B$9:$W637,4,0))),"")</f>
        <v/>
      </c>
      <c r="F258" s="644">
        <f>IF(H258=0,0,(VLOOKUP(H258,'MTRL MSK (TPDP)'!$H$9:$X637,17,0)))</f>
        <v>0</v>
      </c>
      <c r="G258" s="645"/>
      <c r="H258" s="646"/>
      <c r="I258" s="446">
        <f>IF(H258=0,0,(VLOOKUP(H258,'MTRL MSK (TPDP)'!$H$9:$U637,2,0)))</f>
        <v>0</v>
      </c>
      <c r="J258" s="448" t="str">
        <f>IFERROR((IF(H258=0,0,(VLOOKUP(H258,'MTRL MSK (TPDP)'!$H$8:$U637,7,0))))/(IF(H258=0,0,(VLOOKUP(H258,'MTRL MSK (TPDP)'!$H$8:$U637,5,0)))),"")</f>
        <v/>
      </c>
      <c r="K258" s="559"/>
      <c r="L258" s="448">
        <f t="shared" si="1"/>
        <v>0</v>
      </c>
      <c r="M258" s="647">
        <f t="shared" si="2"/>
        <v>0</v>
      </c>
      <c r="N258" s="647">
        <f t="shared" si="3"/>
        <v>0</v>
      </c>
      <c r="O258" s="448">
        <f>IF(H258=0,0,(VLOOKUP(H258,'MTRL MSK (TPDP)'!$H$9:$U637,5,0)))</f>
        <v>0</v>
      </c>
      <c r="P258" s="448">
        <f t="shared" si="4"/>
        <v>0</v>
      </c>
      <c r="Q258" s="448">
        <f t="shared" si="5"/>
        <v>0</v>
      </c>
      <c r="R258" s="648" t="str">
        <f>IFERROR(IF(S258="","",(VLOOKUP(S258,'1. BQ RAPL'!$D$14:$K637,8,0))),"")</f>
        <v/>
      </c>
      <c r="S258" s="649"/>
      <c r="T258" s="650"/>
      <c r="U258" s="16"/>
      <c r="V258" s="16"/>
      <c r="W258" s="16"/>
      <c r="X258" s="119"/>
      <c r="Y258" s="119"/>
      <c r="Z258" s="119"/>
      <c r="AA258" s="119"/>
      <c r="AB258" s="119"/>
      <c r="AC258" s="119"/>
      <c r="AD258" s="119"/>
      <c r="AE258" s="119"/>
      <c r="AF258" s="119"/>
    </row>
    <row r="259" ht="18.75" customHeight="1">
      <c r="A259" s="119"/>
      <c r="B259" s="652"/>
      <c r="C259" s="642">
        <f>IF(F259=0,0,(VLOOKUP(F259,'MTRL MSK (TPDP)'!$F$9:$W637,18,0)))</f>
        <v>0</v>
      </c>
      <c r="D259" s="642">
        <f>IF(C259=0,0,(VLOOKUP(C259,'MTRL MSK (TPDP)'!$B$9:$W637,3,0)))</f>
        <v>0</v>
      </c>
      <c r="E259" s="643" t="str">
        <f>iferror(IF(C259="","",(VLOOKUP(C259,'MTRL MSK (TPDP)'!$B$9:$W637,4,0))),"")</f>
        <v/>
      </c>
      <c r="F259" s="644">
        <f>IF(H259=0,0,(VLOOKUP(H259,'MTRL MSK (TPDP)'!$H$9:$X637,17,0)))</f>
        <v>0</v>
      </c>
      <c r="G259" s="645"/>
      <c r="H259" s="646"/>
      <c r="I259" s="446">
        <f>IF(H259=0,0,(VLOOKUP(H259,'MTRL MSK (TPDP)'!$H$9:$U637,2,0)))</f>
        <v>0</v>
      </c>
      <c r="J259" s="448" t="str">
        <f>IFERROR((IF(H259=0,0,(VLOOKUP(H259,'MTRL MSK (TPDP)'!$H$8:$U637,7,0))))/(IF(H259=0,0,(VLOOKUP(H259,'MTRL MSK (TPDP)'!$H$8:$U637,5,0)))),"")</f>
        <v/>
      </c>
      <c r="K259" s="559"/>
      <c r="L259" s="448">
        <f t="shared" si="1"/>
        <v>0</v>
      </c>
      <c r="M259" s="647">
        <f t="shared" si="2"/>
        <v>0</v>
      </c>
      <c r="N259" s="647">
        <f t="shared" si="3"/>
        <v>0</v>
      </c>
      <c r="O259" s="448">
        <f>IF(H259=0,0,(VLOOKUP(H259,'MTRL MSK (TPDP)'!$H$9:$U637,5,0)))</f>
        <v>0</v>
      </c>
      <c r="P259" s="448">
        <f t="shared" si="4"/>
        <v>0</v>
      </c>
      <c r="Q259" s="448">
        <f t="shared" si="5"/>
        <v>0</v>
      </c>
      <c r="R259" s="648" t="str">
        <f>IFERROR(IF(S259="","",(VLOOKUP(S259,'1. BQ RAPL'!$D$14:$K637,8,0))),"")</f>
        <v/>
      </c>
      <c r="S259" s="649"/>
      <c r="T259" s="650"/>
      <c r="U259" s="16"/>
      <c r="V259" s="16"/>
      <c r="W259" s="16"/>
      <c r="X259" s="119"/>
      <c r="Y259" s="119"/>
      <c r="Z259" s="119"/>
      <c r="AA259" s="119"/>
      <c r="AB259" s="119"/>
      <c r="AC259" s="119"/>
      <c r="AD259" s="119"/>
      <c r="AE259" s="119"/>
      <c r="AF259" s="119"/>
    </row>
    <row r="260" ht="18.75" customHeight="1">
      <c r="A260" s="119"/>
      <c r="B260" s="652"/>
      <c r="C260" s="642">
        <f>IF(F260=0,0,(VLOOKUP(F260,'MTRL MSK (TPDP)'!$F$9:$W637,18,0)))</f>
        <v>0</v>
      </c>
      <c r="D260" s="642">
        <f>IF(C260=0,0,(VLOOKUP(C260,'MTRL MSK (TPDP)'!$B$9:$W637,3,0)))</f>
        <v>0</v>
      </c>
      <c r="E260" s="643" t="str">
        <f>iferror(IF(C260="","",(VLOOKUP(C260,'MTRL MSK (TPDP)'!$B$9:$W637,4,0))),"")</f>
        <v/>
      </c>
      <c r="F260" s="644">
        <f>IF(H260=0,0,(VLOOKUP(H260,'MTRL MSK (TPDP)'!$H$9:$X637,17,0)))</f>
        <v>0</v>
      </c>
      <c r="G260" s="645"/>
      <c r="H260" s="646"/>
      <c r="I260" s="446">
        <f>IF(H260=0,0,(VLOOKUP(H260,'MTRL MSK (TPDP)'!$H$9:$U637,2,0)))</f>
        <v>0</v>
      </c>
      <c r="J260" s="448" t="str">
        <f>IFERROR((IF(H260=0,0,(VLOOKUP(H260,'MTRL MSK (TPDP)'!$H$8:$U637,7,0))))/(IF(H260=0,0,(VLOOKUP(H260,'MTRL MSK (TPDP)'!$H$8:$U637,5,0)))),"")</f>
        <v/>
      </c>
      <c r="K260" s="559"/>
      <c r="L260" s="448">
        <f t="shared" si="1"/>
        <v>0</v>
      </c>
      <c r="M260" s="647">
        <f t="shared" si="2"/>
        <v>0</v>
      </c>
      <c r="N260" s="647">
        <f t="shared" si="3"/>
        <v>0</v>
      </c>
      <c r="O260" s="448">
        <f>IF(H260=0,0,(VLOOKUP(H260,'MTRL MSK (TPDP)'!$H$9:$U637,5,0)))</f>
        <v>0</v>
      </c>
      <c r="P260" s="448">
        <f t="shared" si="4"/>
        <v>0</v>
      </c>
      <c r="Q260" s="448">
        <f t="shared" si="5"/>
        <v>0</v>
      </c>
      <c r="R260" s="648" t="str">
        <f>IFERROR(IF(S260="","",(VLOOKUP(S260,'1. BQ RAPL'!$D$14:$K637,8,0))),"")</f>
        <v/>
      </c>
      <c r="S260" s="649"/>
      <c r="T260" s="650"/>
      <c r="U260" s="16"/>
      <c r="V260" s="16"/>
      <c r="W260" s="16"/>
      <c r="X260" s="119"/>
      <c r="Y260" s="119"/>
      <c r="Z260" s="119"/>
      <c r="AA260" s="119"/>
      <c r="AB260" s="119"/>
      <c r="AC260" s="119"/>
      <c r="AD260" s="119"/>
      <c r="AE260" s="119"/>
      <c r="AF260" s="119"/>
    </row>
    <row r="261" ht="18.75" customHeight="1">
      <c r="A261" s="119"/>
      <c r="B261" s="652"/>
      <c r="C261" s="642">
        <f>IF(F261=0,0,(VLOOKUP(F261,'MTRL MSK (TPDP)'!$F$9:$W637,18,0)))</f>
        <v>0</v>
      </c>
      <c r="D261" s="642">
        <f>IF(C261=0,0,(VLOOKUP(C261,'MTRL MSK (TPDP)'!$B$9:$W637,3,0)))</f>
        <v>0</v>
      </c>
      <c r="E261" s="643" t="str">
        <f>iferror(IF(C261="","",(VLOOKUP(C261,'MTRL MSK (TPDP)'!$B$9:$W637,4,0))),"")</f>
        <v/>
      </c>
      <c r="F261" s="644">
        <f>IF(H261=0,0,(VLOOKUP(H261,'MTRL MSK (TPDP)'!$H$9:$X637,17,0)))</f>
        <v>0</v>
      </c>
      <c r="G261" s="645"/>
      <c r="H261" s="646"/>
      <c r="I261" s="446">
        <f>IF(H261=0,0,(VLOOKUP(H261,'MTRL MSK (TPDP)'!$H$9:$U637,2,0)))</f>
        <v>0</v>
      </c>
      <c r="J261" s="448" t="str">
        <f>IFERROR((IF(H261=0,0,(VLOOKUP(H261,'MTRL MSK (TPDP)'!$H$8:$U637,7,0))))/(IF(H261=0,0,(VLOOKUP(H261,'MTRL MSK (TPDP)'!$H$8:$U637,5,0)))),"")</f>
        <v/>
      </c>
      <c r="K261" s="559"/>
      <c r="L261" s="448">
        <f t="shared" si="1"/>
        <v>0</v>
      </c>
      <c r="M261" s="647">
        <f t="shared" si="2"/>
        <v>0</v>
      </c>
      <c r="N261" s="647">
        <f t="shared" si="3"/>
        <v>0</v>
      </c>
      <c r="O261" s="448">
        <f>IF(H261=0,0,(VLOOKUP(H261,'MTRL MSK (TPDP)'!$H$9:$U637,5,0)))</f>
        <v>0</v>
      </c>
      <c r="P261" s="448">
        <f t="shared" si="4"/>
        <v>0</v>
      </c>
      <c r="Q261" s="448">
        <f t="shared" si="5"/>
        <v>0</v>
      </c>
      <c r="R261" s="648" t="str">
        <f>IFERROR(IF(S261="","",(VLOOKUP(S261,'1. BQ RAPL'!$D$14:$K637,8,0))),"")</f>
        <v/>
      </c>
      <c r="S261" s="649"/>
      <c r="T261" s="650"/>
      <c r="U261" s="16"/>
      <c r="V261" s="16"/>
      <c r="W261" s="16"/>
      <c r="X261" s="119"/>
      <c r="Y261" s="119"/>
      <c r="Z261" s="119"/>
      <c r="AA261" s="119"/>
      <c r="AB261" s="119"/>
      <c r="AC261" s="119"/>
      <c r="AD261" s="119"/>
      <c r="AE261" s="119"/>
      <c r="AF261" s="119"/>
    </row>
    <row r="262" ht="18.75" customHeight="1">
      <c r="A262" s="119"/>
      <c r="B262" s="652"/>
      <c r="C262" s="642">
        <f>IF(F262=0,0,(VLOOKUP(F262,'MTRL MSK (TPDP)'!$F$9:$W637,18,0)))</f>
        <v>0</v>
      </c>
      <c r="D262" s="642">
        <f>IF(C262=0,0,(VLOOKUP(C262,'MTRL MSK (TPDP)'!$B$9:$W637,3,0)))</f>
        <v>0</v>
      </c>
      <c r="E262" s="643" t="str">
        <f>iferror(IF(C262="","",(VLOOKUP(C262,'MTRL MSK (TPDP)'!$B$9:$W637,4,0))),"")</f>
        <v/>
      </c>
      <c r="F262" s="644">
        <f>IF(H262=0,0,(VLOOKUP(H262,'MTRL MSK (TPDP)'!$H$9:$X637,17,0)))</f>
        <v>0</v>
      </c>
      <c r="G262" s="645"/>
      <c r="H262" s="646"/>
      <c r="I262" s="446">
        <f>IF(H262=0,0,(VLOOKUP(H262,'MTRL MSK (TPDP)'!$H$9:$U637,2,0)))</f>
        <v>0</v>
      </c>
      <c r="J262" s="448" t="str">
        <f>IFERROR((IF(H262=0,0,(VLOOKUP(H262,'MTRL MSK (TPDP)'!$H$8:$U637,7,0))))/(IF(H262=0,0,(VLOOKUP(H262,'MTRL MSK (TPDP)'!$H$8:$U637,5,0)))),"")</f>
        <v/>
      </c>
      <c r="K262" s="559"/>
      <c r="L262" s="448">
        <f t="shared" si="1"/>
        <v>0</v>
      </c>
      <c r="M262" s="647">
        <f t="shared" si="2"/>
        <v>0</v>
      </c>
      <c r="N262" s="647">
        <f t="shared" si="3"/>
        <v>0</v>
      </c>
      <c r="O262" s="448">
        <f>IF(H262=0,0,(VLOOKUP(H262,'MTRL MSK (TPDP)'!$H$9:$U637,5,0)))</f>
        <v>0</v>
      </c>
      <c r="P262" s="448">
        <f t="shared" si="4"/>
        <v>0</v>
      </c>
      <c r="Q262" s="448">
        <f t="shared" si="5"/>
        <v>0</v>
      </c>
      <c r="R262" s="648" t="str">
        <f>IFERROR(IF(S262="","",(VLOOKUP(S262,'1. BQ RAPL'!$D$14:$K637,8,0))),"")</f>
        <v/>
      </c>
      <c r="S262" s="649"/>
      <c r="T262" s="650"/>
      <c r="U262" s="16"/>
      <c r="V262" s="16"/>
      <c r="W262" s="16"/>
      <c r="X262" s="119"/>
      <c r="Y262" s="119"/>
      <c r="Z262" s="119"/>
      <c r="AA262" s="119"/>
      <c r="AB262" s="119"/>
      <c r="AC262" s="119"/>
      <c r="AD262" s="119"/>
      <c r="AE262" s="119"/>
      <c r="AF262" s="119"/>
    </row>
    <row r="263" ht="18.75" customHeight="1">
      <c r="A263" s="119"/>
      <c r="B263" s="652"/>
      <c r="C263" s="642">
        <f>IF(F263=0,0,(VLOOKUP(F263,'MTRL MSK (TPDP)'!$F$9:$W637,18,0)))</f>
        <v>0</v>
      </c>
      <c r="D263" s="642">
        <f>IF(C263=0,0,(VLOOKUP(C263,'MTRL MSK (TPDP)'!$B$9:$W637,3,0)))</f>
        <v>0</v>
      </c>
      <c r="E263" s="643" t="str">
        <f>iferror(IF(C263="","",(VLOOKUP(C263,'MTRL MSK (TPDP)'!$B$9:$W637,4,0))),"")</f>
        <v/>
      </c>
      <c r="F263" s="644">
        <f>IF(H263=0,0,(VLOOKUP(H263,'MTRL MSK (TPDP)'!$H$9:$X637,17,0)))</f>
        <v>0</v>
      </c>
      <c r="G263" s="645"/>
      <c r="H263" s="646"/>
      <c r="I263" s="446">
        <f>IF(H263=0,0,(VLOOKUP(H263,'MTRL MSK (TPDP)'!$H$9:$U637,2,0)))</f>
        <v>0</v>
      </c>
      <c r="J263" s="448" t="str">
        <f>IFERROR((IF(H263=0,0,(VLOOKUP(H263,'MTRL MSK (TPDP)'!$H$8:$U637,7,0))))/(IF(H263=0,0,(VLOOKUP(H263,'MTRL MSK (TPDP)'!$H$8:$U637,5,0)))),"")</f>
        <v/>
      </c>
      <c r="K263" s="559"/>
      <c r="L263" s="448">
        <f t="shared" si="1"/>
        <v>0</v>
      </c>
      <c r="M263" s="647">
        <f t="shared" si="2"/>
        <v>0</v>
      </c>
      <c r="N263" s="647">
        <f t="shared" si="3"/>
        <v>0</v>
      </c>
      <c r="O263" s="448">
        <f>IF(H263=0,0,(VLOOKUP(H263,'MTRL MSK (TPDP)'!$H$9:$U637,5,0)))</f>
        <v>0</v>
      </c>
      <c r="P263" s="448">
        <f t="shared" si="4"/>
        <v>0</v>
      </c>
      <c r="Q263" s="448">
        <f t="shared" si="5"/>
        <v>0</v>
      </c>
      <c r="R263" s="648" t="str">
        <f>IFERROR(IF(S263="","",(VLOOKUP(S263,'1. BQ RAPL'!$D$14:$K637,8,0))),"")</f>
        <v/>
      </c>
      <c r="S263" s="649"/>
      <c r="T263" s="650"/>
      <c r="U263" s="16"/>
      <c r="V263" s="16"/>
      <c r="W263" s="16"/>
      <c r="X263" s="119"/>
      <c r="Y263" s="119"/>
      <c r="Z263" s="119"/>
      <c r="AA263" s="119"/>
      <c r="AB263" s="119"/>
      <c r="AC263" s="119"/>
      <c r="AD263" s="119"/>
      <c r="AE263" s="119"/>
      <c r="AF263" s="119"/>
    </row>
    <row r="264" ht="18.75" customHeight="1">
      <c r="A264" s="119"/>
      <c r="B264" s="652"/>
      <c r="C264" s="642">
        <f>IF(F264=0,0,(VLOOKUP(F264,'MTRL MSK (TPDP)'!$F$9:$W637,18,0)))</f>
        <v>0</v>
      </c>
      <c r="D264" s="642">
        <f>IF(C264=0,0,(VLOOKUP(C264,'MTRL MSK (TPDP)'!$B$9:$W637,3,0)))</f>
        <v>0</v>
      </c>
      <c r="E264" s="643" t="str">
        <f>iferror(IF(C264="","",(VLOOKUP(C264,'MTRL MSK (TPDP)'!$B$9:$W637,4,0))),"")</f>
        <v/>
      </c>
      <c r="F264" s="644">
        <f>IF(H264=0,0,(VLOOKUP(H264,'MTRL MSK (TPDP)'!$H$9:$X637,17,0)))</f>
        <v>0</v>
      </c>
      <c r="G264" s="645"/>
      <c r="H264" s="646"/>
      <c r="I264" s="446">
        <f>IF(H264=0,0,(VLOOKUP(H264,'MTRL MSK (TPDP)'!$H$9:$U637,2,0)))</f>
        <v>0</v>
      </c>
      <c r="J264" s="448" t="str">
        <f>IFERROR((IF(H264=0,0,(VLOOKUP(H264,'MTRL MSK (TPDP)'!$H$8:$U637,7,0))))/(IF(H264=0,0,(VLOOKUP(H264,'MTRL MSK (TPDP)'!$H$8:$U637,5,0)))),"")</f>
        <v/>
      </c>
      <c r="K264" s="559"/>
      <c r="L264" s="448">
        <f t="shared" si="1"/>
        <v>0</v>
      </c>
      <c r="M264" s="647">
        <f t="shared" si="2"/>
        <v>0</v>
      </c>
      <c r="N264" s="647">
        <f t="shared" si="3"/>
        <v>0</v>
      </c>
      <c r="O264" s="448">
        <f>IF(H264=0,0,(VLOOKUP(H264,'MTRL MSK (TPDP)'!$H$9:$U637,5,0)))</f>
        <v>0</v>
      </c>
      <c r="P264" s="448">
        <f t="shared" si="4"/>
        <v>0</v>
      </c>
      <c r="Q264" s="448">
        <f t="shared" si="5"/>
        <v>0</v>
      </c>
      <c r="R264" s="648" t="str">
        <f>IFERROR(IF(S264="","",(VLOOKUP(S264,'1. BQ RAPL'!$D$14:$K637,8,0))),"")</f>
        <v/>
      </c>
      <c r="S264" s="649"/>
      <c r="T264" s="650"/>
      <c r="U264" s="16"/>
      <c r="V264" s="16"/>
      <c r="W264" s="16"/>
      <c r="X264" s="119"/>
      <c r="Y264" s="119"/>
      <c r="Z264" s="119"/>
      <c r="AA264" s="119"/>
      <c r="AB264" s="119"/>
      <c r="AC264" s="119"/>
      <c r="AD264" s="119"/>
      <c r="AE264" s="119"/>
      <c r="AF264" s="119"/>
    </row>
    <row r="265" ht="18.75" customHeight="1">
      <c r="A265" s="119"/>
      <c r="B265" s="652"/>
      <c r="C265" s="642">
        <f>IF(F265=0,0,(VLOOKUP(F265,'MTRL MSK (TPDP)'!$F$9:$W637,18,0)))</f>
        <v>0</v>
      </c>
      <c r="D265" s="642">
        <f>IF(C265=0,0,(VLOOKUP(C265,'MTRL MSK (TPDP)'!$B$9:$W637,3,0)))</f>
        <v>0</v>
      </c>
      <c r="E265" s="643" t="str">
        <f>iferror(IF(C265="","",(VLOOKUP(C265,'MTRL MSK (TPDP)'!$B$9:$W637,4,0))),"")</f>
        <v/>
      </c>
      <c r="F265" s="644">
        <f>IF(H265=0,0,(VLOOKUP(H265,'MTRL MSK (TPDP)'!$H$9:$X637,17,0)))</f>
        <v>0</v>
      </c>
      <c r="G265" s="645"/>
      <c r="H265" s="646"/>
      <c r="I265" s="446">
        <f>IF(H265=0,0,(VLOOKUP(H265,'MTRL MSK (TPDP)'!$H$9:$U637,2,0)))</f>
        <v>0</v>
      </c>
      <c r="J265" s="448" t="str">
        <f>IFERROR((IF(H265=0,0,(VLOOKUP(H265,'MTRL MSK (TPDP)'!$H$8:$U637,7,0))))/(IF(H265=0,0,(VLOOKUP(H265,'MTRL MSK (TPDP)'!$H$8:$U637,5,0)))),"")</f>
        <v/>
      </c>
      <c r="K265" s="559"/>
      <c r="L265" s="448">
        <f t="shared" si="1"/>
        <v>0</v>
      </c>
      <c r="M265" s="647">
        <f t="shared" si="2"/>
        <v>0</v>
      </c>
      <c r="N265" s="647">
        <f t="shared" si="3"/>
        <v>0</v>
      </c>
      <c r="O265" s="448">
        <f>IF(H265=0,0,(VLOOKUP(H265,'MTRL MSK (TPDP)'!$H$9:$U637,5,0)))</f>
        <v>0</v>
      </c>
      <c r="P265" s="448">
        <f t="shared" si="4"/>
        <v>0</v>
      </c>
      <c r="Q265" s="448">
        <f t="shared" si="5"/>
        <v>0</v>
      </c>
      <c r="R265" s="648" t="str">
        <f>IFERROR(IF(S265="","",(VLOOKUP(S265,'1. BQ RAPL'!$D$14:$K637,8,0))),"")</f>
        <v/>
      </c>
      <c r="S265" s="649"/>
      <c r="T265" s="650"/>
      <c r="U265" s="16"/>
      <c r="V265" s="16"/>
      <c r="W265" s="16"/>
      <c r="X265" s="119"/>
      <c r="Y265" s="119"/>
      <c r="Z265" s="119"/>
      <c r="AA265" s="119"/>
      <c r="AB265" s="119"/>
      <c r="AC265" s="119"/>
      <c r="AD265" s="119"/>
      <c r="AE265" s="119"/>
      <c r="AF265" s="119"/>
    </row>
    <row r="266" ht="18.75" customHeight="1">
      <c r="A266" s="119"/>
      <c r="B266" s="652"/>
      <c r="C266" s="642">
        <f>IF(F266=0,0,(VLOOKUP(F266,'MTRL MSK (TPDP)'!$F$9:$W637,18,0)))</f>
        <v>0</v>
      </c>
      <c r="D266" s="642">
        <f>IF(C266=0,0,(VLOOKUP(C266,'MTRL MSK (TPDP)'!$B$9:$W637,3,0)))</f>
        <v>0</v>
      </c>
      <c r="E266" s="643" t="str">
        <f>iferror(IF(C266="","",(VLOOKUP(C266,'MTRL MSK (TPDP)'!$B$9:$W637,4,0))),"")</f>
        <v/>
      </c>
      <c r="F266" s="644">
        <f>IF(H266=0,0,(VLOOKUP(H266,'MTRL MSK (TPDP)'!$H$9:$X637,17,0)))</f>
        <v>0</v>
      </c>
      <c r="G266" s="645"/>
      <c r="H266" s="646"/>
      <c r="I266" s="446">
        <f>IF(H266=0,0,(VLOOKUP(H266,'MTRL MSK (TPDP)'!$H$9:$U637,2,0)))</f>
        <v>0</v>
      </c>
      <c r="J266" s="448" t="str">
        <f>IFERROR((IF(H266=0,0,(VLOOKUP(H266,'MTRL MSK (TPDP)'!$H$8:$U637,7,0))))/(IF(H266=0,0,(VLOOKUP(H266,'MTRL MSK (TPDP)'!$H$8:$U637,5,0)))),"")</f>
        <v/>
      </c>
      <c r="K266" s="559"/>
      <c r="L266" s="448">
        <f t="shared" si="1"/>
        <v>0</v>
      </c>
      <c r="M266" s="647">
        <f t="shared" si="2"/>
        <v>0</v>
      </c>
      <c r="N266" s="647">
        <f t="shared" si="3"/>
        <v>0</v>
      </c>
      <c r="O266" s="448">
        <f>IF(H266=0,0,(VLOOKUP(H266,'MTRL MSK (TPDP)'!$H$9:$U637,5,0)))</f>
        <v>0</v>
      </c>
      <c r="P266" s="448">
        <f t="shared" si="4"/>
        <v>0</v>
      </c>
      <c r="Q266" s="448">
        <f t="shared" si="5"/>
        <v>0</v>
      </c>
      <c r="R266" s="648" t="str">
        <f>IFERROR(IF(S266="","",(VLOOKUP(S266,'1. BQ RAPL'!$D$14:$K637,8,0))),"")</f>
        <v/>
      </c>
      <c r="S266" s="649"/>
      <c r="T266" s="650"/>
      <c r="U266" s="16"/>
      <c r="V266" s="16"/>
      <c r="W266" s="16"/>
      <c r="X266" s="119"/>
      <c r="Y266" s="119"/>
      <c r="Z266" s="119"/>
      <c r="AA266" s="119"/>
      <c r="AB266" s="119"/>
      <c r="AC266" s="119"/>
      <c r="AD266" s="119"/>
      <c r="AE266" s="119"/>
      <c r="AF266" s="119"/>
    </row>
    <row r="267" ht="18.75" customHeight="1">
      <c r="A267" s="119"/>
      <c r="B267" s="652"/>
      <c r="C267" s="642">
        <f>IF(F267=0,0,(VLOOKUP(F267,'MTRL MSK (TPDP)'!$F$9:$W637,18,0)))</f>
        <v>0</v>
      </c>
      <c r="D267" s="642">
        <f>IF(C267=0,0,(VLOOKUP(C267,'MTRL MSK (TPDP)'!$B$9:$W637,3,0)))</f>
        <v>0</v>
      </c>
      <c r="E267" s="643" t="str">
        <f>iferror(IF(C267="","",(VLOOKUP(C267,'MTRL MSK (TPDP)'!$B$9:$W637,4,0))),"")</f>
        <v/>
      </c>
      <c r="F267" s="644">
        <f>IF(H267=0,0,(VLOOKUP(H267,'MTRL MSK (TPDP)'!$H$9:$X637,17,0)))</f>
        <v>0</v>
      </c>
      <c r="G267" s="645"/>
      <c r="H267" s="646"/>
      <c r="I267" s="446">
        <f>IF(H267=0,0,(VLOOKUP(H267,'MTRL MSK (TPDP)'!$H$9:$U637,2,0)))</f>
        <v>0</v>
      </c>
      <c r="J267" s="448" t="str">
        <f>IFERROR((IF(H267=0,0,(VLOOKUP(H267,'MTRL MSK (TPDP)'!$H$8:$U637,7,0))))/(IF(H267=0,0,(VLOOKUP(H267,'MTRL MSK (TPDP)'!$H$8:$U637,5,0)))),"")</f>
        <v/>
      </c>
      <c r="K267" s="559"/>
      <c r="L267" s="448">
        <f t="shared" si="1"/>
        <v>0</v>
      </c>
      <c r="M267" s="647">
        <f t="shared" si="2"/>
        <v>0</v>
      </c>
      <c r="N267" s="647">
        <f t="shared" si="3"/>
        <v>0</v>
      </c>
      <c r="O267" s="448">
        <f>IF(H267=0,0,(VLOOKUP(H267,'MTRL MSK (TPDP)'!$H$9:$U637,5,0)))</f>
        <v>0</v>
      </c>
      <c r="P267" s="448">
        <f t="shared" si="4"/>
        <v>0</v>
      </c>
      <c r="Q267" s="448">
        <f t="shared" si="5"/>
        <v>0</v>
      </c>
      <c r="R267" s="648" t="str">
        <f>IFERROR(IF(S267="","",(VLOOKUP(S267,'1. BQ RAPL'!$D$14:$K637,8,0))),"")</f>
        <v/>
      </c>
      <c r="S267" s="649"/>
      <c r="T267" s="650"/>
      <c r="U267" s="16"/>
      <c r="V267" s="16"/>
      <c r="W267" s="16"/>
      <c r="X267" s="119"/>
      <c r="Y267" s="119"/>
      <c r="Z267" s="119"/>
      <c r="AA267" s="119"/>
      <c r="AB267" s="119"/>
      <c r="AC267" s="119"/>
      <c r="AD267" s="119"/>
      <c r="AE267" s="119"/>
      <c r="AF267" s="119"/>
    </row>
    <row r="268" ht="18.75" customHeight="1">
      <c r="A268" s="119"/>
      <c r="B268" s="652"/>
      <c r="C268" s="642">
        <f>IF(F268=0,0,(VLOOKUP(F268,'MTRL MSK (TPDP)'!$F$9:$W637,18,0)))</f>
        <v>0</v>
      </c>
      <c r="D268" s="642">
        <f>IF(C268=0,0,(VLOOKUP(C268,'MTRL MSK (TPDP)'!$B$9:$W637,3,0)))</f>
        <v>0</v>
      </c>
      <c r="E268" s="643" t="str">
        <f>iferror(IF(C268="","",(VLOOKUP(C268,'MTRL MSK (TPDP)'!$B$9:$W637,4,0))),"")</f>
        <v/>
      </c>
      <c r="F268" s="644">
        <f>IF(H268=0,0,(VLOOKUP(H268,'MTRL MSK (TPDP)'!$H$9:$X637,17,0)))</f>
        <v>0</v>
      </c>
      <c r="G268" s="645"/>
      <c r="H268" s="646"/>
      <c r="I268" s="446">
        <f>IF(H268=0,0,(VLOOKUP(H268,'MTRL MSK (TPDP)'!$H$9:$U637,2,0)))</f>
        <v>0</v>
      </c>
      <c r="J268" s="448" t="str">
        <f>IFERROR((IF(H268=0,0,(VLOOKUP(H268,'MTRL MSK (TPDP)'!$H$8:$U637,7,0))))/(IF(H268=0,0,(VLOOKUP(H268,'MTRL MSK (TPDP)'!$H$8:$U637,5,0)))),"")</f>
        <v/>
      </c>
      <c r="K268" s="559"/>
      <c r="L268" s="448">
        <f t="shared" si="1"/>
        <v>0</v>
      </c>
      <c r="M268" s="647">
        <f t="shared" si="2"/>
        <v>0</v>
      </c>
      <c r="N268" s="647">
        <f t="shared" si="3"/>
        <v>0</v>
      </c>
      <c r="O268" s="448">
        <f>IF(H268=0,0,(VLOOKUP(H268,'MTRL MSK (TPDP)'!$H$9:$U637,5,0)))</f>
        <v>0</v>
      </c>
      <c r="P268" s="448">
        <f t="shared" si="4"/>
        <v>0</v>
      </c>
      <c r="Q268" s="448">
        <f t="shared" si="5"/>
        <v>0</v>
      </c>
      <c r="R268" s="648" t="str">
        <f>IFERROR(IF(S268="","",(VLOOKUP(S268,'1. BQ RAPL'!$D$14:$K637,8,0))),"")</f>
        <v/>
      </c>
      <c r="S268" s="649"/>
      <c r="T268" s="650"/>
      <c r="U268" s="16"/>
      <c r="V268" s="16"/>
      <c r="W268" s="16"/>
      <c r="X268" s="119"/>
      <c r="Y268" s="119"/>
      <c r="Z268" s="119"/>
      <c r="AA268" s="119"/>
      <c r="AB268" s="119"/>
      <c r="AC268" s="119"/>
      <c r="AD268" s="119"/>
      <c r="AE268" s="119"/>
      <c r="AF268" s="119"/>
    </row>
    <row r="269" ht="18.75" customHeight="1">
      <c r="A269" s="119"/>
      <c r="B269" s="652"/>
      <c r="C269" s="642">
        <f>IF(F269=0,0,(VLOOKUP(F269,'MTRL MSK (TPDP)'!$F$9:$W637,18,0)))</f>
        <v>0</v>
      </c>
      <c r="D269" s="642">
        <f>IF(C269=0,0,(VLOOKUP(C269,'MTRL MSK (TPDP)'!$B$9:$W637,3,0)))</f>
        <v>0</v>
      </c>
      <c r="E269" s="643" t="str">
        <f>iferror(IF(C269="","",(VLOOKUP(C269,'MTRL MSK (TPDP)'!$B$9:$W637,4,0))),"")</f>
        <v/>
      </c>
      <c r="F269" s="644">
        <f>IF(H269=0,0,(VLOOKUP(H269,'MTRL MSK (TPDP)'!$H$9:$X637,17,0)))</f>
        <v>0</v>
      </c>
      <c r="G269" s="645"/>
      <c r="H269" s="646"/>
      <c r="I269" s="446">
        <f>IF(H269=0,0,(VLOOKUP(H269,'MTRL MSK (TPDP)'!$H$9:$U637,2,0)))</f>
        <v>0</v>
      </c>
      <c r="J269" s="448" t="str">
        <f>IFERROR((IF(H269=0,0,(VLOOKUP(H269,'MTRL MSK (TPDP)'!$H$8:$U637,7,0))))/(IF(H269=0,0,(VLOOKUP(H269,'MTRL MSK (TPDP)'!$H$8:$U637,5,0)))),"")</f>
        <v/>
      </c>
      <c r="K269" s="559"/>
      <c r="L269" s="448">
        <f t="shared" si="1"/>
        <v>0</v>
      </c>
      <c r="M269" s="647">
        <f t="shared" si="2"/>
        <v>0</v>
      </c>
      <c r="N269" s="647">
        <f t="shared" si="3"/>
        <v>0</v>
      </c>
      <c r="O269" s="448">
        <f>IF(H269=0,0,(VLOOKUP(H269,'MTRL MSK (TPDP)'!$H$9:$U637,5,0)))</f>
        <v>0</v>
      </c>
      <c r="P269" s="448">
        <f t="shared" si="4"/>
        <v>0</v>
      </c>
      <c r="Q269" s="448">
        <f t="shared" si="5"/>
        <v>0</v>
      </c>
      <c r="R269" s="648" t="str">
        <f>IFERROR(IF(S269="","",(VLOOKUP(S269,'1. BQ RAPL'!$D$14:$K637,8,0))),"")</f>
        <v/>
      </c>
      <c r="S269" s="649"/>
      <c r="T269" s="650"/>
      <c r="U269" s="16"/>
      <c r="V269" s="16"/>
      <c r="W269" s="16"/>
      <c r="X269" s="119"/>
      <c r="Y269" s="119"/>
      <c r="Z269" s="119"/>
      <c r="AA269" s="119"/>
      <c r="AB269" s="119"/>
      <c r="AC269" s="119"/>
      <c r="AD269" s="119"/>
      <c r="AE269" s="119"/>
      <c r="AF269" s="119"/>
    </row>
    <row r="270" ht="18.75" customHeight="1">
      <c r="A270" s="119"/>
      <c r="B270" s="652"/>
      <c r="C270" s="642">
        <f>IF(F270=0,0,(VLOOKUP(F270,'MTRL MSK (TPDP)'!$F$9:$W637,18,0)))</f>
        <v>0</v>
      </c>
      <c r="D270" s="642">
        <f>IF(C270=0,0,(VLOOKUP(C270,'MTRL MSK (TPDP)'!$B$9:$W637,3,0)))</f>
        <v>0</v>
      </c>
      <c r="E270" s="643" t="str">
        <f>iferror(IF(C270="","",(VLOOKUP(C270,'MTRL MSK (TPDP)'!$B$9:$W637,4,0))),"")</f>
        <v/>
      </c>
      <c r="F270" s="644">
        <f>IF(H270=0,0,(VLOOKUP(H270,'MTRL MSK (TPDP)'!$H$9:$X637,17,0)))</f>
        <v>0</v>
      </c>
      <c r="G270" s="645"/>
      <c r="H270" s="646"/>
      <c r="I270" s="446">
        <f>IF(H270=0,0,(VLOOKUP(H270,'MTRL MSK (TPDP)'!$H$9:$U637,2,0)))</f>
        <v>0</v>
      </c>
      <c r="J270" s="448" t="str">
        <f>IFERROR((IF(H270=0,0,(VLOOKUP(H270,'MTRL MSK (TPDP)'!$H$8:$U637,7,0))))/(IF(H270=0,0,(VLOOKUP(H270,'MTRL MSK (TPDP)'!$H$8:$U637,5,0)))),"")</f>
        <v/>
      </c>
      <c r="K270" s="559"/>
      <c r="L270" s="448">
        <f t="shared" si="1"/>
        <v>0</v>
      </c>
      <c r="M270" s="647">
        <f t="shared" si="2"/>
        <v>0</v>
      </c>
      <c r="N270" s="647">
        <f t="shared" si="3"/>
        <v>0</v>
      </c>
      <c r="O270" s="448">
        <f>IF(H270=0,0,(VLOOKUP(H270,'MTRL MSK (TPDP)'!$H$9:$U637,5,0)))</f>
        <v>0</v>
      </c>
      <c r="P270" s="448">
        <f t="shared" si="4"/>
        <v>0</v>
      </c>
      <c r="Q270" s="448">
        <f t="shared" si="5"/>
        <v>0</v>
      </c>
      <c r="R270" s="648" t="str">
        <f>IFERROR(IF(S270="","",(VLOOKUP(S270,'1. BQ RAPL'!$D$14:$K637,8,0))),"")</f>
        <v/>
      </c>
      <c r="S270" s="649"/>
      <c r="T270" s="650"/>
      <c r="U270" s="16"/>
      <c r="V270" s="16"/>
      <c r="W270" s="16"/>
      <c r="X270" s="119"/>
      <c r="Y270" s="119"/>
      <c r="Z270" s="119"/>
      <c r="AA270" s="119"/>
      <c r="AB270" s="119"/>
      <c r="AC270" s="119"/>
      <c r="AD270" s="119"/>
      <c r="AE270" s="119"/>
      <c r="AF270" s="119"/>
    </row>
    <row r="271" ht="18.75" customHeight="1">
      <c r="A271" s="119"/>
      <c r="B271" s="652"/>
      <c r="C271" s="642">
        <f>IF(F271=0,0,(VLOOKUP(F271,'MTRL MSK (TPDP)'!$F$9:$W637,18,0)))</f>
        <v>0</v>
      </c>
      <c r="D271" s="642">
        <f>IF(C271=0,0,(VLOOKUP(C271,'MTRL MSK (TPDP)'!$B$9:$W637,3,0)))</f>
        <v>0</v>
      </c>
      <c r="E271" s="643" t="str">
        <f>iferror(IF(C271="","",(VLOOKUP(C271,'MTRL MSK (TPDP)'!$B$9:$W637,4,0))),"")</f>
        <v/>
      </c>
      <c r="F271" s="644">
        <f>IF(H271=0,0,(VLOOKUP(H271,'MTRL MSK (TPDP)'!$H$9:$X637,17,0)))</f>
        <v>0</v>
      </c>
      <c r="G271" s="645"/>
      <c r="H271" s="646"/>
      <c r="I271" s="446">
        <f>IF(H271=0,0,(VLOOKUP(H271,'MTRL MSK (TPDP)'!$H$9:$U637,2,0)))</f>
        <v>0</v>
      </c>
      <c r="J271" s="448" t="str">
        <f>IFERROR((IF(H271=0,0,(VLOOKUP(H271,'MTRL MSK (TPDP)'!$H$8:$U637,7,0))))/(IF(H271=0,0,(VLOOKUP(H271,'MTRL MSK (TPDP)'!$H$8:$U637,5,0)))),"")</f>
        <v/>
      </c>
      <c r="K271" s="559"/>
      <c r="L271" s="448">
        <f t="shared" si="1"/>
        <v>0</v>
      </c>
      <c r="M271" s="647">
        <f t="shared" si="2"/>
        <v>0</v>
      </c>
      <c r="N271" s="647">
        <f t="shared" si="3"/>
        <v>0</v>
      </c>
      <c r="O271" s="448">
        <f>IF(H271=0,0,(VLOOKUP(H271,'MTRL MSK (TPDP)'!$H$9:$U637,5,0)))</f>
        <v>0</v>
      </c>
      <c r="P271" s="448">
        <f t="shared" si="4"/>
        <v>0</v>
      </c>
      <c r="Q271" s="448">
        <f t="shared" si="5"/>
        <v>0</v>
      </c>
      <c r="R271" s="648" t="str">
        <f>IFERROR(IF(S271="","",(VLOOKUP(S271,'1. BQ RAPL'!$D$14:$K637,8,0))),"")</f>
        <v/>
      </c>
      <c r="S271" s="649"/>
      <c r="T271" s="650"/>
      <c r="U271" s="16"/>
      <c r="V271" s="16"/>
      <c r="W271" s="16"/>
      <c r="X271" s="119"/>
      <c r="Y271" s="119"/>
      <c r="Z271" s="119"/>
      <c r="AA271" s="119"/>
      <c r="AB271" s="119"/>
      <c r="AC271" s="119"/>
      <c r="AD271" s="119"/>
      <c r="AE271" s="119"/>
      <c r="AF271" s="119"/>
    </row>
    <row r="272" ht="18.75" customHeight="1">
      <c r="A272" s="119"/>
      <c r="B272" s="652"/>
      <c r="C272" s="642">
        <f>IF(F272=0,0,(VLOOKUP(F272,'MTRL MSK (TPDP)'!$F$9:$W637,18,0)))</f>
        <v>0</v>
      </c>
      <c r="D272" s="642">
        <f>IF(C272=0,0,(VLOOKUP(C272,'MTRL MSK (TPDP)'!$B$9:$W637,3,0)))</f>
        <v>0</v>
      </c>
      <c r="E272" s="643" t="str">
        <f>iferror(IF(C272="","",(VLOOKUP(C272,'MTRL MSK (TPDP)'!$B$9:$W637,4,0))),"")</f>
        <v/>
      </c>
      <c r="F272" s="644">
        <f>IF(H272=0,0,(VLOOKUP(H272,'MTRL MSK (TPDP)'!$H$9:$X637,17,0)))</f>
        <v>0</v>
      </c>
      <c r="G272" s="645"/>
      <c r="H272" s="646"/>
      <c r="I272" s="446">
        <f>IF(H272=0,0,(VLOOKUP(H272,'MTRL MSK (TPDP)'!$H$9:$U637,2,0)))</f>
        <v>0</v>
      </c>
      <c r="J272" s="448" t="str">
        <f>IFERROR((IF(H272=0,0,(VLOOKUP(H272,'MTRL MSK (TPDP)'!$H$8:$U637,7,0))))/(IF(H272=0,0,(VLOOKUP(H272,'MTRL MSK (TPDP)'!$H$8:$U637,5,0)))),"")</f>
        <v/>
      </c>
      <c r="K272" s="559"/>
      <c r="L272" s="448">
        <f t="shared" si="1"/>
        <v>0</v>
      </c>
      <c r="M272" s="647">
        <f t="shared" si="2"/>
        <v>0</v>
      </c>
      <c r="N272" s="647">
        <f t="shared" si="3"/>
        <v>0</v>
      </c>
      <c r="O272" s="448">
        <f>IF(H272=0,0,(VLOOKUP(H272,'MTRL MSK (TPDP)'!$H$9:$U637,5,0)))</f>
        <v>0</v>
      </c>
      <c r="P272" s="448">
        <f t="shared" si="4"/>
        <v>0</v>
      </c>
      <c r="Q272" s="448">
        <f t="shared" si="5"/>
        <v>0</v>
      </c>
      <c r="R272" s="648" t="str">
        <f>IFERROR(IF(S272="","",(VLOOKUP(S272,'1. BQ RAPL'!$D$14:$K637,8,0))),"")</f>
        <v/>
      </c>
      <c r="S272" s="649"/>
      <c r="T272" s="650"/>
      <c r="U272" s="16"/>
      <c r="V272" s="16"/>
      <c r="W272" s="16"/>
      <c r="X272" s="119"/>
      <c r="Y272" s="119"/>
      <c r="Z272" s="119"/>
      <c r="AA272" s="119"/>
      <c r="AB272" s="119"/>
      <c r="AC272" s="119"/>
      <c r="AD272" s="119"/>
      <c r="AE272" s="119"/>
      <c r="AF272" s="119"/>
    </row>
    <row r="273" ht="18.75" customHeight="1">
      <c r="A273" s="119"/>
      <c r="B273" s="652"/>
      <c r="C273" s="642">
        <f>IF(F273=0,0,(VLOOKUP(F273,'MTRL MSK (TPDP)'!$F$9:$W637,18,0)))</f>
        <v>0</v>
      </c>
      <c r="D273" s="642">
        <f>IF(C273=0,0,(VLOOKUP(C273,'MTRL MSK (TPDP)'!$B$9:$W637,3,0)))</f>
        <v>0</v>
      </c>
      <c r="E273" s="643" t="str">
        <f>iferror(IF(C273="","",(VLOOKUP(C273,'MTRL MSK (TPDP)'!$B$9:$W637,4,0))),"")</f>
        <v/>
      </c>
      <c r="F273" s="644">
        <f>IF(H273=0,0,(VLOOKUP(H273,'MTRL MSK (TPDP)'!$H$9:$X637,17,0)))</f>
        <v>0</v>
      </c>
      <c r="G273" s="645"/>
      <c r="H273" s="646"/>
      <c r="I273" s="446">
        <f>IF(H273=0,0,(VLOOKUP(H273,'MTRL MSK (TPDP)'!$H$9:$U637,2,0)))</f>
        <v>0</v>
      </c>
      <c r="J273" s="448" t="str">
        <f>IFERROR((IF(H273=0,0,(VLOOKUP(H273,'MTRL MSK (TPDP)'!$H$8:$U637,7,0))))/(IF(H273=0,0,(VLOOKUP(H273,'MTRL MSK (TPDP)'!$H$8:$U637,5,0)))),"")</f>
        <v/>
      </c>
      <c r="K273" s="559"/>
      <c r="L273" s="448">
        <f t="shared" si="1"/>
        <v>0</v>
      </c>
      <c r="M273" s="647">
        <f t="shared" si="2"/>
        <v>0</v>
      </c>
      <c r="N273" s="647">
        <f t="shared" si="3"/>
        <v>0</v>
      </c>
      <c r="O273" s="448">
        <f>IF(H273=0,0,(VLOOKUP(H273,'MTRL MSK (TPDP)'!$H$9:$U637,5,0)))</f>
        <v>0</v>
      </c>
      <c r="P273" s="448">
        <f t="shared" si="4"/>
        <v>0</v>
      </c>
      <c r="Q273" s="448">
        <f t="shared" si="5"/>
        <v>0</v>
      </c>
      <c r="R273" s="648" t="str">
        <f>IFERROR(IF(S273="","",(VLOOKUP(S273,'1. BQ RAPL'!$D$14:$K637,8,0))),"")</f>
        <v/>
      </c>
      <c r="S273" s="649"/>
      <c r="T273" s="650"/>
      <c r="U273" s="16"/>
      <c r="V273" s="16"/>
      <c r="W273" s="16"/>
      <c r="X273" s="119"/>
      <c r="Y273" s="119"/>
      <c r="Z273" s="119"/>
      <c r="AA273" s="119"/>
      <c r="AB273" s="119"/>
      <c r="AC273" s="119"/>
      <c r="AD273" s="119"/>
      <c r="AE273" s="119"/>
      <c r="AF273" s="119"/>
    </row>
    <row r="274" ht="18.75" customHeight="1">
      <c r="A274" s="119"/>
      <c r="B274" s="652"/>
      <c r="C274" s="642">
        <f>IF(F274=0,0,(VLOOKUP(F274,'MTRL MSK (TPDP)'!$F$9:$W637,18,0)))</f>
        <v>0</v>
      </c>
      <c r="D274" s="642">
        <f>IF(C274=0,0,(VLOOKUP(C274,'MTRL MSK (TPDP)'!$B$9:$W637,3,0)))</f>
        <v>0</v>
      </c>
      <c r="E274" s="643" t="str">
        <f>iferror(IF(C274="","",(VLOOKUP(C274,'MTRL MSK (TPDP)'!$B$9:$W637,4,0))),"")</f>
        <v/>
      </c>
      <c r="F274" s="644">
        <f>IF(H274=0,0,(VLOOKUP(H274,'MTRL MSK (TPDP)'!$H$9:$X637,17,0)))</f>
        <v>0</v>
      </c>
      <c r="G274" s="645"/>
      <c r="H274" s="646"/>
      <c r="I274" s="446">
        <f>IF(H274=0,0,(VLOOKUP(H274,'MTRL MSK (TPDP)'!$H$9:$U637,2,0)))</f>
        <v>0</v>
      </c>
      <c r="J274" s="448" t="str">
        <f>IFERROR((IF(H274=0,0,(VLOOKUP(H274,'MTRL MSK (TPDP)'!$H$8:$U637,7,0))))/(IF(H274=0,0,(VLOOKUP(H274,'MTRL MSK (TPDP)'!$H$8:$U637,5,0)))),"")</f>
        <v/>
      </c>
      <c r="K274" s="559"/>
      <c r="L274" s="448">
        <f t="shared" si="1"/>
        <v>0</v>
      </c>
      <c r="M274" s="647">
        <f t="shared" si="2"/>
        <v>0</v>
      </c>
      <c r="N274" s="647">
        <f t="shared" si="3"/>
        <v>0</v>
      </c>
      <c r="O274" s="448">
        <f>IF(H274=0,0,(VLOOKUP(H274,'MTRL MSK (TPDP)'!$H$9:$U637,5,0)))</f>
        <v>0</v>
      </c>
      <c r="P274" s="448">
        <f t="shared" si="4"/>
        <v>0</v>
      </c>
      <c r="Q274" s="448">
        <f t="shared" si="5"/>
        <v>0</v>
      </c>
      <c r="R274" s="648" t="str">
        <f>IFERROR(IF(S274="","",(VLOOKUP(S274,'1. BQ RAPL'!$D$14:$K637,8,0))),"")</f>
        <v/>
      </c>
      <c r="S274" s="649"/>
      <c r="T274" s="650"/>
      <c r="U274" s="16"/>
      <c r="V274" s="16"/>
      <c r="W274" s="16"/>
      <c r="X274" s="119"/>
      <c r="Y274" s="119"/>
      <c r="Z274" s="119"/>
      <c r="AA274" s="119"/>
      <c r="AB274" s="119"/>
      <c r="AC274" s="119"/>
      <c r="AD274" s="119"/>
      <c r="AE274" s="119"/>
      <c r="AF274" s="119"/>
    </row>
    <row r="275" ht="18.75" customHeight="1">
      <c r="A275" s="119"/>
      <c r="B275" s="652"/>
      <c r="C275" s="642">
        <f>IF(F275=0,0,(VLOOKUP(F275,'MTRL MSK (TPDP)'!$F$9:$W637,18,0)))</f>
        <v>0</v>
      </c>
      <c r="D275" s="642">
        <f>IF(C275=0,0,(VLOOKUP(C275,'MTRL MSK (TPDP)'!$B$9:$W637,3,0)))</f>
        <v>0</v>
      </c>
      <c r="E275" s="643" t="str">
        <f>iferror(IF(C275="","",(VLOOKUP(C275,'MTRL MSK (TPDP)'!$B$9:$W637,4,0))),"")</f>
        <v/>
      </c>
      <c r="F275" s="644">
        <f>IF(H275=0,0,(VLOOKUP(H275,'MTRL MSK (TPDP)'!$H$9:$X637,17,0)))</f>
        <v>0</v>
      </c>
      <c r="G275" s="645"/>
      <c r="H275" s="646"/>
      <c r="I275" s="446">
        <f>IF(H275=0,0,(VLOOKUP(H275,'MTRL MSK (TPDP)'!$H$9:$U637,2,0)))</f>
        <v>0</v>
      </c>
      <c r="J275" s="448" t="str">
        <f>IFERROR((IF(H275=0,0,(VLOOKUP(H275,'MTRL MSK (TPDP)'!$H$8:$U637,7,0))))/(IF(H275=0,0,(VLOOKUP(H275,'MTRL MSK (TPDP)'!$H$8:$U637,5,0)))),"")</f>
        <v/>
      </c>
      <c r="K275" s="559"/>
      <c r="L275" s="448">
        <f t="shared" si="1"/>
        <v>0</v>
      </c>
      <c r="M275" s="647">
        <f t="shared" si="2"/>
        <v>0</v>
      </c>
      <c r="N275" s="647">
        <f t="shared" si="3"/>
        <v>0</v>
      </c>
      <c r="O275" s="448">
        <f>IF(H275=0,0,(VLOOKUP(H275,'MTRL MSK (TPDP)'!$H$9:$U637,5,0)))</f>
        <v>0</v>
      </c>
      <c r="P275" s="448">
        <f t="shared" si="4"/>
        <v>0</v>
      </c>
      <c r="Q275" s="448">
        <f t="shared" si="5"/>
        <v>0</v>
      </c>
      <c r="R275" s="648" t="str">
        <f>IFERROR(IF(S275="","",(VLOOKUP(S275,'1. BQ RAPL'!$D$14:$K637,8,0))),"")</f>
        <v/>
      </c>
      <c r="S275" s="649"/>
      <c r="T275" s="650"/>
      <c r="U275" s="16"/>
      <c r="V275" s="16"/>
      <c r="W275" s="16"/>
      <c r="X275" s="119"/>
      <c r="Y275" s="119"/>
      <c r="Z275" s="119"/>
      <c r="AA275" s="119"/>
      <c r="AB275" s="119"/>
      <c r="AC275" s="119"/>
      <c r="AD275" s="119"/>
      <c r="AE275" s="119"/>
      <c r="AF275" s="119"/>
    </row>
    <row r="276" ht="18.75" customHeight="1">
      <c r="A276" s="119"/>
      <c r="B276" s="652"/>
      <c r="C276" s="642">
        <f>IF(F276=0,0,(VLOOKUP(F276,'MTRL MSK (TPDP)'!$F$9:$W637,18,0)))</f>
        <v>0</v>
      </c>
      <c r="D276" s="642">
        <f>IF(C276=0,0,(VLOOKUP(C276,'MTRL MSK (TPDP)'!$B$9:$W637,3,0)))</f>
        <v>0</v>
      </c>
      <c r="E276" s="643" t="str">
        <f>iferror(IF(C276="","",(VLOOKUP(C276,'MTRL MSK (TPDP)'!$B$9:$W637,4,0))),"")</f>
        <v/>
      </c>
      <c r="F276" s="644">
        <f>IF(H276=0,0,(VLOOKUP(H276,'MTRL MSK (TPDP)'!$H$9:$X637,17,0)))</f>
        <v>0</v>
      </c>
      <c r="G276" s="645"/>
      <c r="H276" s="646"/>
      <c r="I276" s="446">
        <f>IF(H276=0,0,(VLOOKUP(H276,'MTRL MSK (TPDP)'!$H$9:$U637,2,0)))</f>
        <v>0</v>
      </c>
      <c r="J276" s="448" t="str">
        <f>IFERROR((IF(H276=0,0,(VLOOKUP(H276,'MTRL MSK (TPDP)'!$H$8:$U637,7,0))))/(IF(H276=0,0,(VLOOKUP(H276,'MTRL MSK (TPDP)'!$H$8:$U637,5,0)))),"")</f>
        <v/>
      </c>
      <c r="K276" s="559"/>
      <c r="L276" s="448">
        <f t="shared" si="1"/>
        <v>0</v>
      </c>
      <c r="M276" s="647">
        <f t="shared" si="2"/>
        <v>0</v>
      </c>
      <c r="N276" s="647">
        <f t="shared" si="3"/>
        <v>0</v>
      </c>
      <c r="O276" s="448">
        <f>IF(H276=0,0,(VLOOKUP(H276,'MTRL MSK (TPDP)'!$H$9:$U637,5,0)))</f>
        <v>0</v>
      </c>
      <c r="P276" s="448">
        <f t="shared" si="4"/>
        <v>0</v>
      </c>
      <c r="Q276" s="448">
        <f t="shared" si="5"/>
        <v>0</v>
      </c>
      <c r="R276" s="648" t="str">
        <f>IFERROR(IF(S276="","",(VLOOKUP(S276,'1. BQ RAPL'!$D$14:$K637,8,0))),"")</f>
        <v/>
      </c>
      <c r="S276" s="649"/>
      <c r="T276" s="650"/>
      <c r="U276" s="16"/>
      <c r="V276" s="16"/>
      <c r="W276" s="16"/>
      <c r="X276" s="119"/>
      <c r="Y276" s="119"/>
      <c r="Z276" s="119"/>
      <c r="AA276" s="119"/>
      <c r="AB276" s="119"/>
      <c r="AC276" s="119"/>
      <c r="AD276" s="119"/>
      <c r="AE276" s="119"/>
      <c r="AF276" s="119"/>
    </row>
    <row r="277" ht="18.75" customHeight="1">
      <c r="A277" s="119"/>
      <c r="B277" s="652"/>
      <c r="C277" s="642">
        <f>IF(F277=0,0,(VLOOKUP(F277,'MTRL MSK (TPDP)'!$F$9:$W637,18,0)))</f>
        <v>0</v>
      </c>
      <c r="D277" s="642">
        <f>IF(C277=0,0,(VLOOKUP(C277,'MTRL MSK (TPDP)'!$B$9:$W637,3,0)))</f>
        <v>0</v>
      </c>
      <c r="E277" s="643" t="str">
        <f>iferror(IF(C277="","",(VLOOKUP(C277,'MTRL MSK (TPDP)'!$B$9:$W637,4,0))),"")</f>
        <v/>
      </c>
      <c r="F277" s="644">
        <f>IF(H277=0,0,(VLOOKUP(H277,'MTRL MSK (TPDP)'!$H$9:$X637,17,0)))</f>
        <v>0</v>
      </c>
      <c r="G277" s="645"/>
      <c r="H277" s="646"/>
      <c r="I277" s="446">
        <f>IF(H277=0,0,(VLOOKUP(H277,'MTRL MSK (TPDP)'!$H$9:$U637,2,0)))</f>
        <v>0</v>
      </c>
      <c r="J277" s="448" t="str">
        <f>IFERROR((IF(H277=0,0,(VLOOKUP(H277,'MTRL MSK (TPDP)'!$H$8:$U637,7,0))))/(IF(H277=0,0,(VLOOKUP(H277,'MTRL MSK (TPDP)'!$H$8:$U637,5,0)))),"")</f>
        <v/>
      </c>
      <c r="K277" s="559"/>
      <c r="L277" s="448">
        <f t="shared" si="1"/>
        <v>0</v>
      </c>
      <c r="M277" s="647">
        <f t="shared" si="2"/>
        <v>0</v>
      </c>
      <c r="N277" s="647">
        <f t="shared" si="3"/>
        <v>0</v>
      </c>
      <c r="O277" s="448">
        <f>IF(H277=0,0,(VLOOKUP(H277,'MTRL MSK (TPDP)'!$H$9:$U637,5,0)))</f>
        <v>0</v>
      </c>
      <c r="P277" s="448">
        <f t="shared" si="4"/>
        <v>0</v>
      </c>
      <c r="Q277" s="448">
        <f t="shared" si="5"/>
        <v>0</v>
      </c>
      <c r="R277" s="648" t="str">
        <f>IFERROR(IF(S277="","",(VLOOKUP(S277,'1. BQ RAPL'!$D$14:$K637,8,0))),"")</f>
        <v/>
      </c>
      <c r="S277" s="649"/>
      <c r="T277" s="650"/>
      <c r="U277" s="16"/>
      <c r="V277" s="16"/>
      <c r="W277" s="16"/>
      <c r="X277" s="119"/>
      <c r="Y277" s="119"/>
      <c r="Z277" s="119"/>
      <c r="AA277" s="119"/>
      <c r="AB277" s="119"/>
      <c r="AC277" s="119"/>
      <c r="AD277" s="119"/>
      <c r="AE277" s="119"/>
      <c r="AF277" s="119"/>
    </row>
    <row r="278" ht="18.75" customHeight="1">
      <c r="A278" s="119"/>
      <c r="B278" s="652"/>
      <c r="C278" s="642">
        <f>IF(F278=0,0,(VLOOKUP(F278,'MTRL MSK (TPDP)'!$F$9:$W637,18,0)))</f>
        <v>0</v>
      </c>
      <c r="D278" s="642">
        <f>IF(C278=0,0,(VLOOKUP(C278,'MTRL MSK (TPDP)'!$B$9:$W637,3,0)))</f>
        <v>0</v>
      </c>
      <c r="E278" s="643" t="str">
        <f>iferror(IF(C278="","",(VLOOKUP(C278,'MTRL MSK (TPDP)'!$B$9:$W637,4,0))),"")</f>
        <v/>
      </c>
      <c r="F278" s="644">
        <f>IF(H278=0,0,(VLOOKUP(H278,'MTRL MSK (TPDP)'!$H$9:$X637,17,0)))</f>
        <v>0</v>
      </c>
      <c r="G278" s="645"/>
      <c r="H278" s="646"/>
      <c r="I278" s="446">
        <f>IF(H278=0,0,(VLOOKUP(H278,'MTRL MSK (TPDP)'!$H$9:$U637,2,0)))</f>
        <v>0</v>
      </c>
      <c r="J278" s="448" t="str">
        <f>IFERROR((IF(H278=0,0,(VLOOKUP(H278,'MTRL MSK (TPDP)'!$H$8:$U637,7,0))))/(IF(H278=0,0,(VLOOKUP(H278,'MTRL MSK (TPDP)'!$H$8:$U637,5,0)))),"")</f>
        <v/>
      </c>
      <c r="K278" s="559"/>
      <c r="L278" s="448">
        <f t="shared" si="1"/>
        <v>0</v>
      </c>
      <c r="M278" s="647">
        <f t="shared" si="2"/>
        <v>0</v>
      </c>
      <c r="N278" s="647">
        <f t="shared" si="3"/>
        <v>0</v>
      </c>
      <c r="O278" s="448">
        <f>IF(H278=0,0,(VLOOKUP(H278,'MTRL MSK (TPDP)'!$H$9:$U637,5,0)))</f>
        <v>0</v>
      </c>
      <c r="P278" s="448">
        <f t="shared" si="4"/>
        <v>0</v>
      </c>
      <c r="Q278" s="448">
        <f t="shared" si="5"/>
        <v>0</v>
      </c>
      <c r="R278" s="648" t="str">
        <f>IFERROR(IF(S278="","",(VLOOKUP(S278,'1. BQ RAPL'!$D$14:$K637,8,0))),"")</f>
        <v/>
      </c>
      <c r="S278" s="649"/>
      <c r="T278" s="650"/>
      <c r="U278" s="16"/>
      <c r="V278" s="16"/>
      <c r="W278" s="16"/>
      <c r="X278" s="119"/>
      <c r="Y278" s="119"/>
      <c r="Z278" s="119"/>
      <c r="AA278" s="119"/>
      <c r="AB278" s="119"/>
      <c r="AC278" s="119"/>
      <c r="AD278" s="119"/>
      <c r="AE278" s="119"/>
      <c r="AF278" s="119"/>
    </row>
    <row r="279" ht="18.75" customHeight="1">
      <c r="A279" s="119"/>
      <c r="B279" s="652"/>
      <c r="C279" s="642">
        <f>IF(F279=0,0,(VLOOKUP(F279,'MTRL MSK (TPDP)'!$F$9:$W637,18,0)))</f>
        <v>0</v>
      </c>
      <c r="D279" s="642">
        <f>IF(C279=0,0,(VLOOKUP(C279,'MTRL MSK (TPDP)'!$B$9:$W637,3,0)))</f>
        <v>0</v>
      </c>
      <c r="E279" s="643" t="str">
        <f>iferror(IF(C279="","",(VLOOKUP(C279,'MTRL MSK (TPDP)'!$B$9:$W637,4,0))),"")</f>
        <v/>
      </c>
      <c r="F279" s="644">
        <f>IF(H279=0,0,(VLOOKUP(H279,'MTRL MSK (TPDP)'!$H$9:$X637,17,0)))</f>
        <v>0</v>
      </c>
      <c r="G279" s="645"/>
      <c r="H279" s="646"/>
      <c r="I279" s="446">
        <f>IF(H279=0,0,(VLOOKUP(H279,'MTRL MSK (TPDP)'!$H$9:$U637,2,0)))</f>
        <v>0</v>
      </c>
      <c r="J279" s="448" t="str">
        <f>IFERROR((IF(H279=0,0,(VLOOKUP(H279,'MTRL MSK (TPDP)'!$H$8:$U637,7,0))))/(IF(H279=0,0,(VLOOKUP(H279,'MTRL MSK (TPDP)'!$H$8:$U637,5,0)))),"")</f>
        <v/>
      </c>
      <c r="K279" s="559"/>
      <c r="L279" s="448">
        <f t="shared" si="1"/>
        <v>0</v>
      </c>
      <c r="M279" s="647">
        <f t="shared" si="2"/>
        <v>0</v>
      </c>
      <c r="N279" s="647">
        <f t="shared" si="3"/>
        <v>0</v>
      </c>
      <c r="O279" s="448">
        <f>IF(H279=0,0,(VLOOKUP(H279,'MTRL MSK (TPDP)'!$H$9:$U637,5,0)))</f>
        <v>0</v>
      </c>
      <c r="P279" s="448">
        <f t="shared" si="4"/>
        <v>0</v>
      </c>
      <c r="Q279" s="448">
        <f t="shared" si="5"/>
        <v>0</v>
      </c>
      <c r="R279" s="648" t="str">
        <f>IFERROR(IF(S279="","",(VLOOKUP(S279,'1. BQ RAPL'!$D$14:$K637,8,0))),"")</f>
        <v/>
      </c>
      <c r="S279" s="649"/>
      <c r="T279" s="650"/>
      <c r="U279" s="16"/>
      <c r="V279" s="16"/>
      <c r="W279" s="16"/>
      <c r="X279" s="119"/>
      <c r="Y279" s="119"/>
      <c r="Z279" s="119"/>
      <c r="AA279" s="119"/>
      <c r="AB279" s="119"/>
      <c r="AC279" s="119"/>
      <c r="AD279" s="119"/>
      <c r="AE279" s="119"/>
      <c r="AF279" s="119"/>
    </row>
    <row r="280" ht="18.75" customHeight="1">
      <c r="A280" s="119"/>
      <c r="B280" s="652"/>
      <c r="C280" s="642">
        <f>IF(F280=0,0,(VLOOKUP(F280,'MTRL MSK (TPDP)'!$F$9:$W637,18,0)))</f>
        <v>0</v>
      </c>
      <c r="D280" s="642">
        <f>IF(C280=0,0,(VLOOKUP(C280,'MTRL MSK (TPDP)'!$B$9:$W637,3,0)))</f>
        <v>0</v>
      </c>
      <c r="E280" s="643" t="str">
        <f>iferror(IF(C280="","",(VLOOKUP(C280,'MTRL MSK (TPDP)'!$B$9:$W637,4,0))),"")</f>
        <v/>
      </c>
      <c r="F280" s="644">
        <f>IF(H280=0,0,(VLOOKUP(H280,'MTRL MSK (TPDP)'!$H$9:$X637,17,0)))</f>
        <v>0</v>
      </c>
      <c r="G280" s="645"/>
      <c r="H280" s="646"/>
      <c r="I280" s="446">
        <f>IF(H280=0,0,(VLOOKUP(H280,'MTRL MSK (TPDP)'!$H$9:$U637,2,0)))</f>
        <v>0</v>
      </c>
      <c r="J280" s="448" t="str">
        <f>IFERROR((IF(H280=0,0,(VLOOKUP(H280,'MTRL MSK (TPDP)'!$H$8:$U637,7,0))))/(IF(H280=0,0,(VLOOKUP(H280,'MTRL MSK (TPDP)'!$H$8:$U637,5,0)))),"")</f>
        <v/>
      </c>
      <c r="K280" s="559"/>
      <c r="L280" s="448">
        <f t="shared" si="1"/>
        <v>0</v>
      </c>
      <c r="M280" s="647">
        <f t="shared" si="2"/>
        <v>0</v>
      </c>
      <c r="N280" s="647">
        <f t="shared" si="3"/>
        <v>0</v>
      </c>
      <c r="O280" s="448">
        <f>IF(H280=0,0,(VLOOKUP(H280,'MTRL MSK (TPDP)'!$H$9:$U637,5,0)))</f>
        <v>0</v>
      </c>
      <c r="P280" s="448">
        <f t="shared" si="4"/>
        <v>0</v>
      </c>
      <c r="Q280" s="448">
        <f t="shared" si="5"/>
        <v>0</v>
      </c>
      <c r="R280" s="648" t="str">
        <f>IFERROR(IF(S280="","",(VLOOKUP(S280,'1. BQ RAPL'!$D$14:$K637,8,0))),"")</f>
        <v/>
      </c>
      <c r="S280" s="649"/>
      <c r="T280" s="650"/>
      <c r="U280" s="16"/>
      <c r="V280" s="16"/>
      <c r="W280" s="16"/>
      <c r="X280" s="119"/>
      <c r="Y280" s="119"/>
      <c r="Z280" s="119"/>
      <c r="AA280" s="119"/>
      <c r="AB280" s="119"/>
      <c r="AC280" s="119"/>
      <c r="AD280" s="119"/>
      <c r="AE280" s="119"/>
      <c r="AF280" s="119"/>
    </row>
    <row r="281" ht="18.75" customHeight="1">
      <c r="A281" s="119"/>
      <c r="B281" s="652"/>
      <c r="C281" s="642">
        <f>IF(F281=0,0,(VLOOKUP(F281,'MTRL MSK (TPDP)'!$F$9:$W637,18,0)))</f>
        <v>0</v>
      </c>
      <c r="D281" s="642">
        <f>IF(C281=0,0,(VLOOKUP(C281,'MTRL MSK (TPDP)'!$B$9:$W637,3,0)))</f>
        <v>0</v>
      </c>
      <c r="E281" s="643" t="str">
        <f>iferror(IF(C281="","",(VLOOKUP(C281,'MTRL MSK (TPDP)'!$B$9:$W637,4,0))),"")</f>
        <v/>
      </c>
      <c r="F281" s="644">
        <f>IF(H281=0,0,(VLOOKUP(H281,'MTRL MSK (TPDP)'!$H$9:$X637,17,0)))</f>
        <v>0</v>
      </c>
      <c r="G281" s="645"/>
      <c r="H281" s="646"/>
      <c r="I281" s="446">
        <f>IF(H281=0,0,(VLOOKUP(H281,'MTRL MSK (TPDP)'!$H$9:$U637,2,0)))</f>
        <v>0</v>
      </c>
      <c r="J281" s="448" t="str">
        <f>IFERROR((IF(H281=0,0,(VLOOKUP(H281,'MTRL MSK (TPDP)'!$H$8:$U637,7,0))))/(IF(H281=0,0,(VLOOKUP(H281,'MTRL MSK (TPDP)'!$H$8:$U637,5,0)))),"")</f>
        <v/>
      </c>
      <c r="K281" s="559"/>
      <c r="L281" s="448">
        <f t="shared" si="1"/>
        <v>0</v>
      </c>
      <c r="M281" s="647">
        <f t="shared" si="2"/>
        <v>0</v>
      </c>
      <c r="N281" s="647">
        <f t="shared" si="3"/>
        <v>0</v>
      </c>
      <c r="O281" s="448">
        <f>IF(H281=0,0,(VLOOKUP(H281,'MTRL MSK (TPDP)'!$H$9:$U637,5,0)))</f>
        <v>0</v>
      </c>
      <c r="P281" s="448">
        <f t="shared" si="4"/>
        <v>0</v>
      </c>
      <c r="Q281" s="448">
        <f t="shared" si="5"/>
        <v>0</v>
      </c>
      <c r="R281" s="648" t="str">
        <f>IFERROR(IF(S281="","",(VLOOKUP(S281,'1. BQ RAPL'!$D$14:$K637,8,0))),"")</f>
        <v/>
      </c>
      <c r="S281" s="649"/>
      <c r="T281" s="650"/>
      <c r="U281" s="16"/>
      <c r="V281" s="16"/>
      <c r="W281" s="16"/>
      <c r="X281" s="119"/>
      <c r="Y281" s="119"/>
      <c r="Z281" s="119"/>
      <c r="AA281" s="119"/>
      <c r="AB281" s="119"/>
      <c r="AC281" s="119"/>
      <c r="AD281" s="119"/>
      <c r="AE281" s="119"/>
      <c r="AF281" s="119"/>
    </row>
    <row r="282" ht="18.75" customHeight="1">
      <c r="A282" s="119"/>
      <c r="B282" s="652"/>
      <c r="C282" s="642">
        <f>IF(F282=0,0,(VLOOKUP(F282,'MTRL MSK (TPDP)'!$F$9:$W637,18,0)))</f>
        <v>0</v>
      </c>
      <c r="D282" s="642">
        <f>IF(C282=0,0,(VLOOKUP(C282,'MTRL MSK (TPDP)'!$B$9:$W637,3,0)))</f>
        <v>0</v>
      </c>
      <c r="E282" s="643" t="str">
        <f>iferror(IF(C282="","",(VLOOKUP(C282,'MTRL MSK (TPDP)'!$B$9:$W637,4,0))),"")</f>
        <v/>
      </c>
      <c r="F282" s="644">
        <f>IF(H282=0,0,(VLOOKUP(H282,'MTRL MSK (TPDP)'!$H$9:$X637,17,0)))</f>
        <v>0</v>
      </c>
      <c r="G282" s="645"/>
      <c r="H282" s="646"/>
      <c r="I282" s="446">
        <f>IF(H282=0,0,(VLOOKUP(H282,'MTRL MSK (TPDP)'!$H$9:$U637,2,0)))</f>
        <v>0</v>
      </c>
      <c r="J282" s="448" t="str">
        <f>IFERROR((IF(H282=0,0,(VLOOKUP(H282,'MTRL MSK (TPDP)'!$H$8:$U637,7,0))))/(IF(H282=0,0,(VLOOKUP(H282,'MTRL MSK (TPDP)'!$H$8:$U637,5,0)))),"")</f>
        <v/>
      </c>
      <c r="K282" s="559"/>
      <c r="L282" s="448">
        <f t="shared" si="1"/>
        <v>0</v>
      </c>
      <c r="M282" s="647">
        <f t="shared" si="2"/>
        <v>0</v>
      </c>
      <c r="N282" s="647">
        <f t="shared" si="3"/>
        <v>0</v>
      </c>
      <c r="O282" s="448">
        <f>IF(H282=0,0,(VLOOKUP(H282,'MTRL MSK (TPDP)'!$H$9:$U637,5,0)))</f>
        <v>0</v>
      </c>
      <c r="P282" s="448">
        <f t="shared" si="4"/>
        <v>0</v>
      </c>
      <c r="Q282" s="448">
        <f t="shared" si="5"/>
        <v>0</v>
      </c>
      <c r="R282" s="648" t="str">
        <f>IFERROR(IF(S282="","",(VLOOKUP(S282,'1. BQ RAPL'!$D$14:$K637,8,0))),"")</f>
        <v/>
      </c>
      <c r="S282" s="649"/>
      <c r="T282" s="650"/>
      <c r="U282" s="16"/>
      <c r="V282" s="16"/>
      <c r="W282" s="16"/>
      <c r="X282" s="119"/>
      <c r="Y282" s="119"/>
      <c r="Z282" s="119"/>
      <c r="AA282" s="119"/>
      <c r="AB282" s="119"/>
      <c r="AC282" s="119"/>
      <c r="AD282" s="119"/>
      <c r="AE282" s="119"/>
      <c r="AF282" s="119"/>
    </row>
    <row r="283" ht="18.75" customHeight="1">
      <c r="A283" s="119"/>
      <c r="B283" s="652"/>
      <c r="C283" s="642">
        <f>IF(F283=0,0,(VLOOKUP(F283,'MTRL MSK (TPDP)'!$F$9:$W637,18,0)))</f>
        <v>0</v>
      </c>
      <c r="D283" s="642">
        <f>IF(C283=0,0,(VLOOKUP(C283,'MTRL MSK (TPDP)'!$B$9:$W637,3,0)))</f>
        <v>0</v>
      </c>
      <c r="E283" s="643" t="str">
        <f>iferror(IF(C283="","",(VLOOKUP(C283,'MTRL MSK (TPDP)'!$B$9:$W637,4,0))),"")</f>
        <v/>
      </c>
      <c r="F283" s="644">
        <f>IF(H283=0,0,(VLOOKUP(H283,'MTRL MSK (TPDP)'!$H$9:$X637,17,0)))</f>
        <v>0</v>
      </c>
      <c r="G283" s="645"/>
      <c r="H283" s="646"/>
      <c r="I283" s="446">
        <f>IF(H283=0,0,(VLOOKUP(H283,'MTRL MSK (TPDP)'!$H$9:$U637,2,0)))</f>
        <v>0</v>
      </c>
      <c r="J283" s="448" t="str">
        <f>IFERROR((IF(H283=0,0,(VLOOKUP(H283,'MTRL MSK (TPDP)'!$H$8:$U637,7,0))))/(IF(H283=0,0,(VLOOKUP(H283,'MTRL MSK (TPDP)'!$H$8:$U637,5,0)))),"")</f>
        <v/>
      </c>
      <c r="K283" s="559"/>
      <c r="L283" s="448">
        <f t="shared" si="1"/>
        <v>0</v>
      </c>
      <c r="M283" s="647">
        <f t="shared" si="2"/>
        <v>0</v>
      </c>
      <c r="N283" s="647">
        <f t="shared" si="3"/>
        <v>0</v>
      </c>
      <c r="O283" s="448">
        <f>IF(H283=0,0,(VLOOKUP(H283,'MTRL MSK (TPDP)'!$H$9:$U637,5,0)))</f>
        <v>0</v>
      </c>
      <c r="P283" s="448">
        <f t="shared" si="4"/>
        <v>0</v>
      </c>
      <c r="Q283" s="448">
        <f t="shared" si="5"/>
        <v>0</v>
      </c>
      <c r="R283" s="648" t="str">
        <f>IFERROR(IF(S283="","",(VLOOKUP(S283,'1. BQ RAPL'!$D$14:$K637,8,0))),"")</f>
        <v/>
      </c>
      <c r="S283" s="649"/>
      <c r="T283" s="650"/>
      <c r="U283" s="16"/>
      <c r="V283" s="16"/>
      <c r="W283" s="16"/>
      <c r="X283" s="119"/>
      <c r="Y283" s="119"/>
      <c r="Z283" s="119"/>
      <c r="AA283" s="119"/>
      <c r="AB283" s="119"/>
      <c r="AC283" s="119"/>
      <c r="AD283" s="119"/>
      <c r="AE283" s="119"/>
      <c r="AF283" s="119"/>
    </row>
    <row r="284" ht="18.75" customHeight="1">
      <c r="A284" s="119"/>
      <c r="B284" s="652"/>
      <c r="C284" s="642">
        <f>IF(F284=0,0,(VLOOKUP(F284,'MTRL MSK (TPDP)'!$F$9:$W637,18,0)))</f>
        <v>0</v>
      </c>
      <c r="D284" s="642">
        <f>IF(C284=0,0,(VLOOKUP(C284,'MTRL MSK (TPDP)'!$B$9:$W637,3,0)))</f>
        <v>0</v>
      </c>
      <c r="E284" s="643" t="str">
        <f>iferror(IF(C284="","",(VLOOKUP(C284,'MTRL MSK (TPDP)'!$B$9:$W637,4,0))),"")</f>
        <v/>
      </c>
      <c r="F284" s="644">
        <f>IF(H284=0,0,(VLOOKUP(H284,'MTRL MSK (TPDP)'!$H$9:$X637,17,0)))</f>
        <v>0</v>
      </c>
      <c r="G284" s="645"/>
      <c r="H284" s="646"/>
      <c r="I284" s="446">
        <f>IF(H284=0,0,(VLOOKUP(H284,'MTRL MSK (TPDP)'!$H$9:$U637,2,0)))</f>
        <v>0</v>
      </c>
      <c r="J284" s="448" t="str">
        <f>IFERROR((IF(H284=0,0,(VLOOKUP(H284,'MTRL MSK (TPDP)'!$H$8:$U637,7,0))))/(IF(H284=0,0,(VLOOKUP(H284,'MTRL MSK (TPDP)'!$H$8:$U637,5,0)))),"")</f>
        <v/>
      </c>
      <c r="K284" s="559"/>
      <c r="L284" s="448">
        <f t="shared" si="1"/>
        <v>0</v>
      </c>
      <c r="M284" s="647">
        <f t="shared" si="2"/>
        <v>0</v>
      </c>
      <c r="N284" s="647">
        <f t="shared" si="3"/>
        <v>0</v>
      </c>
      <c r="O284" s="448">
        <f>IF(H284=0,0,(VLOOKUP(H284,'MTRL MSK (TPDP)'!$H$9:$U637,5,0)))</f>
        <v>0</v>
      </c>
      <c r="P284" s="448">
        <f t="shared" si="4"/>
        <v>0</v>
      </c>
      <c r="Q284" s="448">
        <f t="shared" si="5"/>
        <v>0</v>
      </c>
      <c r="R284" s="648" t="str">
        <f>IFERROR(IF(S284="","",(VLOOKUP(S284,'1. BQ RAPL'!$D$14:$K637,8,0))),"")</f>
        <v/>
      </c>
      <c r="S284" s="649"/>
      <c r="T284" s="650"/>
      <c r="U284" s="16"/>
      <c r="V284" s="16"/>
      <c r="W284" s="16"/>
      <c r="X284" s="119"/>
      <c r="Y284" s="119"/>
      <c r="Z284" s="119"/>
      <c r="AA284" s="119"/>
      <c r="AB284" s="119"/>
      <c r="AC284" s="119"/>
      <c r="AD284" s="119"/>
      <c r="AE284" s="119"/>
      <c r="AF284" s="119"/>
    </row>
    <row r="285" ht="18.75" customHeight="1">
      <c r="A285" s="119"/>
      <c r="B285" s="652"/>
      <c r="C285" s="642">
        <f>IF(F285=0,0,(VLOOKUP(F285,'MTRL MSK (TPDP)'!$F$9:$W637,18,0)))</f>
        <v>0</v>
      </c>
      <c r="D285" s="642">
        <f>IF(C285=0,0,(VLOOKUP(C285,'MTRL MSK (TPDP)'!$B$9:$W637,3,0)))</f>
        <v>0</v>
      </c>
      <c r="E285" s="643" t="str">
        <f>iferror(IF(C285="","",(VLOOKUP(C285,'MTRL MSK (TPDP)'!$B$9:$W637,4,0))),"")</f>
        <v/>
      </c>
      <c r="F285" s="644">
        <f>IF(H285=0,0,(VLOOKUP(H285,'MTRL MSK (TPDP)'!$H$9:$X637,17,0)))</f>
        <v>0</v>
      </c>
      <c r="G285" s="645"/>
      <c r="H285" s="646"/>
      <c r="I285" s="446">
        <f>IF(H285=0,0,(VLOOKUP(H285,'MTRL MSK (TPDP)'!$H$9:$U637,2,0)))</f>
        <v>0</v>
      </c>
      <c r="J285" s="448" t="str">
        <f>IFERROR((IF(H285=0,0,(VLOOKUP(H285,'MTRL MSK (TPDP)'!$H$8:$U637,7,0))))/(IF(H285=0,0,(VLOOKUP(H285,'MTRL MSK (TPDP)'!$H$8:$U637,5,0)))),"")</f>
        <v/>
      </c>
      <c r="K285" s="559"/>
      <c r="L285" s="448">
        <f t="shared" si="1"/>
        <v>0</v>
      </c>
      <c r="M285" s="647">
        <f t="shared" si="2"/>
        <v>0</v>
      </c>
      <c r="N285" s="647">
        <f t="shared" si="3"/>
        <v>0</v>
      </c>
      <c r="O285" s="448">
        <f>IF(H285=0,0,(VLOOKUP(H285,'MTRL MSK (TPDP)'!$H$9:$U637,5,0)))</f>
        <v>0</v>
      </c>
      <c r="P285" s="448">
        <f t="shared" si="4"/>
        <v>0</v>
      </c>
      <c r="Q285" s="448">
        <f t="shared" si="5"/>
        <v>0</v>
      </c>
      <c r="R285" s="648" t="str">
        <f>IFERROR(IF(S285="","",(VLOOKUP(S285,'1. BQ RAPL'!$D$14:$K637,8,0))),"")</f>
        <v/>
      </c>
      <c r="S285" s="649"/>
      <c r="T285" s="650"/>
      <c r="U285" s="16"/>
      <c r="V285" s="16"/>
      <c r="W285" s="16"/>
      <c r="X285" s="119"/>
      <c r="Y285" s="119"/>
      <c r="Z285" s="119"/>
      <c r="AA285" s="119"/>
      <c r="AB285" s="119"/>
      <c r="AC285" s="119"/>
      <c r="AD285" s="119"/>
      <c r="AE285" s="119"/>
      <c r="AF285" s="119"/>
    </row>
    <row r="286" ht="18.75" customHeight="1">
      <c r="A286" s="119"/>
      <c r="B286" s="652"/>
      <c r="C286" s="642">
        <f>IF(F286=0,0,(VLOOKUP(F286,'MTRL MSK (TPDP)'!$F$9:$W637,18,0)))</f>
        <v>0</v>
      </c>
      <c r="D286" s="642">
        <f>IF(C286=0,0,(VLOOKUP(C286,'MTRL MSK (TPDP)'!$B$9:$W637,3,0)))</f>
        <v>0</v>
      </c>
      <c r="E286" s="643" t="str">
        <f>iferror(IF(C286="","",(VLOOKUP(C286,'MTRL MSK (TPDP)'!$B$9:$W637,4,0))),"")</f>
        <v/>
      </c>
      <c r="F286" s="644">
        <f>IF(H286=0,0,(VLOOKUP(H286,'MTRL MSK (TPDP)'!$H$9:$X637,17,0)))</f>
        <v>0</v>
      </c>
      <c r="G286" s="645"/>
      <c r="H286" s="646"/>
      <c r="I286" s="446">
        <f>IF(H286=0,0,(VLOOKUP(H286,'MTRL MSK (TPDP)'!$H$9:$U637,2,0)))</f>
        <v>0</v>
      </c>
      <c r="J286" s="448" t="str">
        <f>IFERROR((IF(H286=0,0,(VLOOKUP(H286,'MTRL MSK (TPDP)'!$H$8:$U637,7,0))))/(IF(H286=0,0,(VLOOKUP(H286,'MTRL MSK (TPDP)'!$H$8:$U637,5,0)))),"")</f>
        <v/>
      </c>
      <c r="K286" s="559"/>
      <c r="L286" s="448">
        <f t="shared" si="1"/>
        <v>0</v>
      </c>
      <c r="M286" s="647">
        <f t="shared" si="2"/>
        <v>0</v>
      </c>
      <c r="N286" s="647">
        <f t="shared" si="3"/>
        <v>0</v>
      </c>
      <c r="O286" s="448">
        <f>IF(H286=0,0,(VLOOKUP(H286,'MTRL MSK (TPDP)'!$H$9:$U637,5,0)))</f>
        <v>0</v>
      </c>
      <c r="P286" s="448">
        <f t="shared" si="4"/>
        <v>0</v>
      </c>
      <c r="Q286" s="448">
        <f t="shared" si="5"/>
        <v>0</v>
      </c>
      <c r="R286" s="648" t="str">
        <f>IFERROR(IF(S286="","",(VLOOKUP(S286,'1. BQ RAPL'!$D$14:$K637,8,0))),"")</f>
        <v/>
      </c>
      <c r="S286" s="649"/>
      <c r="T286" s="650"/>
      <c r="U286" s="16"/>
      <c r="V286" s="16"/>
      <c r="W286" s="16"/>
      <c r="X286" s="119"/>
      <c r="Y286" s="119"/>
      <c r="Z286" s="119"/>
      <c r="AA286" s="119"/>
      <c r="AB286" s="119"/>
      <c r="AC286" s="119"/>
      <c r="AD286" s="119"/>
      <c r="AE286" s="119"/>
      <c r="AF286" s="119"/>
    </row>
    <row r="287" ht="18.75" customHeight="1">
      <c r="A287" s="119"/>
      <c r="B287" s="652"/>
      <c r="C287" s="642">
        <f>IF(F287=0,0,(VLOOKUP(F287,'MTRL MSK (TPDP)'!$F$9:$W637,18,0)))</f>
        <v>0</v>
      </c>
      <c r="D287" s="642">
        <f>IF(C287=0,0,(VLOOKUP(C287,'MTRL MSK (TPDP)'!$B$9:$W637,3,0)))</f>
        <v>0</v>
      </c>
      <c r="E287" s="643" t="str">
        <f>iferror(IF(C287="","",(VLOOKUP(C287,'MTRL MSK (TPDP)'!$B$9:$W637,4,0))),"")</f>
        <v/>
      </c>
      <c r="F287" s="644">
        <f>IF(H287=0,0,(VLOOKUP(H287,'MTRL MSK (TPDP)'!$H$9:$X637,17,0)))</f>
        <v>0</v>
      </c>
      <c r="G287" s="645"/>
      <c r="H287" s="646"/>
      <c r="I287" s="446">
        <f>IF(H287=0,0,(VLOOKUP(H287,'MTRL MSK (TPDP)'!$H$9:$U637,2,0)))</f>
        <v>0</v>
      </c>
      <c r="J287" s="448" t="str">
        <f>IFERROR((IF(H287=0,0,(VLOOKUP(H287,'MTRL MSK (TPDP)'!$H$8:$U637,7,0))))/(IF(H287=0,0,(VLOOKUP(H287,'MTRL MSK (TPDP)'!$H$8:$U637,5,0)))),"")</f>
        <v/>
      </c>
      <c r="K287" s="559"/>
      <c r="L287" s="448">
        <f t="shared" si="1"/>
        <v>0</v>
      </c>
      <c r="M287" s="647">
        <f t="shared" si="2"/>
        <v>0</v>
      </c>
      <c r="N287" s="647">
        <f t="shared" si="3"/>
        <v>0</v>
      </c>
      <c r="O287" s="448">
        <f>IF(H287=0,0,(VLOOKUP(H287,'MTRL MSK (TPDP)'!$H$9:$U637,5,0)))</f>
        <v>0</v>
      </c>
      <c r="P287" s="448">
        <f t="shared" si="4"/>
        <v>0</v>
      </c>
      <c r="Q287" s="448">
        <f t="shared" si="5"/>
        <v>0</v>
      </c>
      <c r="R287" s="648" t="str">
        <f>IFERROR(IF(S287="","",(VLOOKUP(S287,'1. BQ RAPL'!$D$14:$K637,8,0))),"")</f>
        <v/>
      </c>
      <c r="S287" s="649"/>
      <c r="T287" s="650"/>
      <c r="U287" s="16"/>
      <c r="V287" s="16"/>
      <c r="W287" s="16"/>
      <c r="X287" s="119"/>
      <c r="Y287" s="119"/>
      <c r="Z287" s="119"/>
      <c r="AA287" s="119"/>
      <c r="AB287" s="119"/>
      <c r="AC287" s="119"/>
      <c r="AD287" s="119"/>
      <c r="AE287" s="119"/>
      <c r="AF287" s="119"/>
    </row>
    <row r="288" ht="18.75" customHeight="1">
      <c r="A288" s="119"/>
      <c r="B288" s="652"/>
      <c r="C288" s="642">
        <f>IF(F288=0,0,(VLOOKUP(F288,'MTRL MSK (TPDP)'!$F$9:$W637,18,0)))</f>
        <v>0</v>
      </c>
      <c r="D288" s="642">
        <f>IF(C288=0,0,(VLOOKUP(C288,'MTRL MSK (TPDP)'!$B$9:$W637,3,0)))</f>
        <v>0</v>
      </c>
      <c r="E288" s="643" t="str">
        <f>iferror(IF(C288="","",(VLOOKUP(C288,'MTRL MSK (TPDP)'!$B$9:$W637,4,0))),"")</f>
        <v/>
      </c>
      <c r="F288" s="644">
        <f>IF(H288=0,0,(VLOOKUP(H288,'MTRL MSK (TPDP)'!$H$9:$X637,17,0)))</f>
        <v>0</v>
      </c>
      <c r="G288" s="645"/>
      <c r="H288" s="646"/>
      <c r="I288" s="446">
        <f>IF(H288=0,0,(VLOOKUP(H288,'MTRL MSK (TPDP)'!$H$9:$U637,2,0)))</f>
        <v>0</v>
      </c>
      <c r="J288" s="448" t="str">
        <f>IFERROR((IF(H288=0,0,(VLOOKUP(H288,'MTRL MSK (TPDP)'!$H$8:$U637,7,0))))/(IF(H288=0,0,(VLOOKUP(H288,'MTRL MSK (TPDP)'!$H$8:$U637,5,0)))),"")</f>
        <v/>
      </c>
      <c r="K288" s="559"/>
      <c r="L288" s="448">
        <f t="shared" si="1"/>
        <v>0</v>
      </c>
      <c r="M288" s="647">
        <f t="shared" si="2"/>
        <v>0</v>
      </c>
      <c r="N288" s="647">
        <f t="shared" si="3"/>
        <v>0</v>
      </c>
      <c r="O288" s="448">
        <f>IF(H288=0,0,(VLOOKUP(H288,'MTRL MSK (TPDP)'!$H$9:$U637,5,0)))</f>
        <v>0</v>
      </c>
      <c r="P288" s="448">
        <f t="shared" si="4"/>
        <v>0</v>
      </c>
      <c r="Q288" s="448">
        <f t="shared" si="5"/>
        <v>0</v>
      </c>
      <c r="R288" s="648" t="str">
        <f>IFERROR(IF(S288="","",(VLOOKUP(S288,'1. BQ RAPL'!$D$14:$K637,8,0))),"")</f>
        <v/>
      </c>
      <c r="S288" s="649"/>
      <c r="T288" s="650"/>
      <c r="U288" s="16"/>
      <c r="V288" s="16"/>
      <c r="W288" s="16"/>
      <c r="X288" s="119"/>
      <c r="Y288" s="119"/>
      <c r="Z288" s="119"/>
      <c r="AA288" s="119"/>
      <c r="AB288" s="119"/>
      <c r="AC288" s="119"/>
      <c r="AD288" s="119"/>
      <c r="AE288" s="119"/>
      <c r="AF288" s="119"/>
    </row>
    <row r="289" ht="18.75" customHeight="1">
      <c r="A289" s="119"/>
      <c r="B289" s="652"/>
      <c r="C289" s="642">
        <f>IF(F289=0,0,(VLOOKUP(F289,'MTRL MSK (TPDP)'!$F$9:$W637,18,0)))</f>
        <v>0</v>
      </c>
      <c r="D289" s="642">
        <f>IF(C289=0,0,(VLOOKUP(C289,'MTRL MSK (TPDP)'!$B$9:$W637,3,0)))</f>
        <v>0</v>
      </c>
      <c r="E289" s="643" t="str">
        <f>iferror(IF(C289="","",(VLOOKUP(C289,'MTRL MSK (TPDP)'!$B$9:$W637,4,0))),"")</f>
        <v/>
      </c>
      <c r="F289" s="644">
        <f>IF(H289=0,0,(VLOOKUP(H289,'MTRL MSK (TPDP)'!$H$9:$X637,17,0)))</f>
        <v>0</v>
      </c>
      <c r="G289" s="645"/>
      <c r="H289" s="646"/>
      <c r="I289" s="446">
        <f>IF(H289=0,0,(VLOOKUP(H289,'MTRL MSK (TPDP)'!$H$9:$U637,2,0)))</f>
        <v>0</v>
      </c>
      <c r="J289" s="448" t="str">
        <f>IFERROR((IF(H289=0,0,(VLOOKUP(H289,'MTRL MSK (TPDP)'!$H$8:$U637,7,0))))/(IF(H289=0,0,(VLOOKUP(H289,'MTRL MSK (TPDP)'!$H$8:$U637,5,0)))),"")</f>
        <v/>
      </c>
      <c r="K289" s="559"/>
      <c r="L289" s="448">
        <f t="shared" si="1"/>
        <v>0</v>
      </c>
      <c r="M289" s="647">
        <f t="shared" si="2"/>
        <v>0</v>
      </c>
      <c r="N289" s="647">
        <f t="shared" si="3"/>
        <v>0</v>
      </c>
      <c r="O289" s="448">
        <f>IF(H289=0,0,(VLOOKUP(H289,'MTRL MSK (TPDP)'!$H$9:$U637,5,0)))</f>
        <v>0</v>
      </c>
      <c r="P289" s="448">
        <f t="shared" si="4"/>
        <v>0</v>
      </c>
      <c r="Q289" s="448">
        <f t="shared" si="5"/>
        <v>0</v>
      </c>
      <c r="R289" s="648" t="str">
        <f>IFERROR(IF(S289="","",(VLOOKUP(S289,'1. BQ RAPL'!$D$14:$K637,8,0))),"")</f>
        <v/>
      </c>
      <c r="S289" s="649"/>
      <c r="T289" s="650"/>
      <c r="U289" s="16"/>
      <c r="V289" s="16"/>
      <c r="W289" s="16"/>
      <c r="X289" s="119"/>
      <c r="Y289" s="119"/>
      <c r="Z289" s="119"/>
      <c r="AA289" s="119"/>
      <c r="AB289" s="119"/>
      <c r="AC289" s="119"/>
      <c r="AD289" s="119"/>
      <c r="AE289" s="119"/>
      <c r="AF289" s="119"/>
    </row>
    <row r="290" ht="18.75" customHeight="1">
      <c r="A290" s="119"/>
      <c r="B290" s="652"/>
      <c r="C290" s="642">
        <f>IF(F290=0,0,(VLOOKUP(F290,'MTRL MSK (TPDP)'!$F$9:$W637,18,0)))</f>
        <v>0</v>
      </c>
      <c r="D290" s="642">
        <f>IF(C290=0,0,(VLOOKUP(C290,'MTRL MSK (TPDP)'!$B$9:$W637,3,0)))</f>
        <v>0</v>
      </c>
      <c r="E290" s="643" t="str">
        <f>iferror(IF(C290="","",(VLOOKUP(C290,'MTRL MSK (TPDP)'!$B$9:$W637,4,0))),"")</f>
        <v/>
      </c>
      <c r="F290" s="644">
        <f>IF(H290=0,0,(VLOOKUP(H290,'MTRL MSK (TPDP)'!$H$9:$X637,17,0)))</f>
        <v>0</v>
      </c>
      <c r="G290" s="645"/>
      <c r="H290" s="646"/>
      <c r="I290" s="446">
        <f>IF(H290=0,0,(VLOOKUP(H290,'MTRL MSK (TPDP)'!$H$9:$U637,2,0)))</f>
        <v>0</v>
      </c>
      <c r="J290" s="448" t="str">
        <f>IFERROR((IF(H290=0,0,(VLOOKUP(H290,'MTRL MSK (TPDP)'!$H$8:$U637,7,0))))/(IF(H290=0,0,(VLOOKUP(H290,'MTRL MSK (TPDP)'!$H$8:$U637,5,0)))),"")</f>
        <v/>
      </c>
      <c r="K290" s="559"/>
      <c r="L290" s="448">
        <f t="shared" si="1"/>
        <v>0</v>
      </c>
      <c r="M290" s="647">
        <f t="shared" si="2"/>
        <v>0</v>
      </c>
      <c r="N290" s="647">
        <f t="shared" si="3"/>
        <v>0</v>
      </c>
      <c r="O290" s="448">
        <f>IF(H290=0,0,(VLOOKUP(H290,'MTRL MSK (TPDP)'!$H$9:$U637,5,0)))</f>
        <v>0</v>
      </c>
      <c r="P290" s="448">
        <f t="shared" si="4"/>
        <v>0</v>
      </c>
      <c r="Q290" s="448">
        <f t="shared" si="5"/>
        <v>0</v>
      </c>
      <c r="R290" s="648" t="str">
        <f>IFERROR(IF(S290="","",(VLOOKUP(S290,'1. BQ RAPL'!$D$14:$K637,8,0))),"")</f>
        <v/>
      </c>
      <c r="S290" s="649"/>
      <c r="T290" s="650"/>
      <c r="U290" s="16"/>
      <c r="V290" s="16"/>
      <c r="W290" s="16"/>
      <c r="X290" s="119"/>
      <c r="Y290" s="119"/>
      <c r="Z290" s="119"/>
      <c r="AA290" s="119"/>
      <c r="AB290" s="119"/>
      <c r="AC290" s="119"/>
      <c r="AD290" s="119"/>
      <c r="AE290" s="119"/>
      <c r="AF290" s="119"/>
    </row>
    <row r="291" ht="18.75" customHeight="1">
      <c r="A291" s="119"/>
      <c r="B291" s="652"/>
      <c r="C291" s="642">
        <f>IF(F291=0,0,(VLOOKUP(F291,'MTRL MSK (TPDP)'!$F$9:$W637,18,0)))</f>
        <v>0</v>
      </c>
      <c r="D291" s="642">
        <f>IF(C291=0,0,(VLOOKUP(C291,'MTRL MSK (TPDP)'!$B$9:$W637,3,0)))</f>
        <v>0</v>
      </c>
      <c r="E291" s="643" t="str">
        <f>iferror(IF(C291="","",(VLOOKUP(C291,'MTRL MSK (TPDP)'!$B$9:$W637,4,0))),"")</f>
        <v/>
      </c>
      <c r="F291" s="644">
        <f>IF(H291=0,0,(VLOOKUP(H291,'MTRL MSK (TPDP)'!$H$9:$X637,17,0)))</f>
        <v>0</v>
      </c>
      <c r="G291" s="645"/>
      <c r="H291" s="646"/>
      <c r="I291" s="446">
        <f>IF(H291=0,0,(VLOOKUP(H291,'MTRL MSK (TPDP)'!$H$9:$U637,2,0)))</f>
        <v>0</v>
      </c>
      <c r="J291" s="448" t="str">
        <f>IFERROR((IF(H291=0,0,(VLOOKUP(H291,'MTRL MSK (TPDP)'!$H$8:$U637,7,0))))/(IF(H291=0,0,(VLOOKUP(H291,'MTRL MSK (TPDP)'!$H$8:$U637,5,0)))),"")</f>
        <v/>
      </c>
      <c r="K291" s="559"/>
      <c r="L291" s="448">
        <f t="shared" si="1"/>
        <v>0</v>
      </c>
      <c r="M291" s="647">
        <f t="shared" si="2"/>
        <v>0</v>
      </c>
      <c r="N291" s="647">
        <f t="shared" si="3"/>
        <v>0</v>
      </c>
      <c r="O291" s="448">
        <f>IF(H291=0,0,(VLOOKUP(H291,'MTRL MSK (TPDP)'!$H$9:$U637,5,0)))</f>
        <v>0</v>
      </c>
      <c r="P291" s="448">
        <f t="shared" si="4"/>
        <v>0</v>
      </c>
      <c r="Q291" s="448">
        <f t="shared" si="5"/>
        <v>0</v>
      </c>
      <c r="R291" s="648" t="str">
        <f>IFERROR(IF(S291="","",(VLOOKUP(S291,'1. BQ RAPL'!$D$14:$K637,8,0))),"")</f>
        <v/>
      </c>
      <c r="S291" s="649"/>
      <c r="T291" s="650"/>
      <c r="U291" s="16"/>
      <c r="V291" s="16"/>
      <c r="W291" s="16"/>
      <c r="X291" s="119"/>
      <c r="Y291" s="119"/>
      <c r="Z291" s="119"/>
      <c r="AA291" s="119"/>
      <c r="AB291" s="119"/>
      <c r="AC291" s="119"/>
      <c r="AD291" s="119"/>
      <c r="AE291" s="119"/>
      <c r="AF291" s="119"/>
    </row>
    <row r="292" ht="18.75" customHeight="1">
      <c r="A292" s="119"/>
      <c r="B292" s="652"/>
      <c r="C292" s="642">
        <f>IF(F292=0,0,(VLOOKUP(F292,'MTRL MSK (TPDP)'!$F$9:$W637,18,0)))</f>
        <v>0</v>
      </c>
      <c r="D292" s="642">
        <f>IF(C292=0,0,(VLOOKUP(C292,'MTRL MSK (TPDP)'!$B$9:$W637,3,0)))</f>
        <v>0</v>
      </c>
      <c r="E292" s="643" t="str">
        <f>iferror(IF(C292="","",(VLOOKUP(C292,'MTRL MSK (TPDP)'!$B$9:$W637,4,0))),"")</f>
        <v/>
      </c>
      <c r="F292" s="644">
        <f>IF(H292=0,0,(VLOOKUP(H292,'MTRL MSK (TPDP)'!$H$9:$X637,17,0)))</f>
        <v>0</v>
      </c>
      <c r="G292" s="645"/>
      <c r="H292" s="646"/>
      <c r="I292" s="446">
        <f>IF(H292=0,0,(VLOOKUP(H292,'MTRL MSK (TPDP)'!$H$9:$U637,2,0)))</f>
        <v>0</v>
      </c>
      <c r="J292" s="448" t="str">
        <f>IFERROR((IF(H292=0,0,(VLOOKUP(H292,'MTRL MSK (TPDP)'!$H$8:$U637,7,0))))/(IF(H292=0,0,(VLOOKUP(H292,'MTRL MSK (TPDP)'!$H$8:$U637,5,0)))),"")</f>
        <v/>
      </c>
      <c r="K292" s="559"/>
      <c r="L292" s="448">
        <f t="shared" si="1"/>
        <v>0</v>
      </c>
      <c r="M292" s="647">
        <f t="shared" si="2"/>
        <v>0</v>
      </c>
      <c r="N292" s="647">
        <f t="shared" si="3"/>
        <v>0</v>
      </c>
      <c r="O292" s="448">
        <f>IF(H292=0,0,(VLOOKUP(H292,'MTRL MSK (TPDP)'!$H$9:$U637,5,0)))</f>
        <v>0</v>
      </c>
      <c r="P292" s="448">
        <f t="shared" si="4"/>
        <v>0</v>
      </c>
      <c r="Q292" s="448">
        <f t="shared" si="5"/>
        <v>0</v>
      </c>
      <c r="R292" s="648" t="str">
        <f>IFERROR(IF(S292="","",(VLOOKUP(S292,'1. BQ RAPL'!$D$14:$K637,8,0))),"")</f>
        <v/>
      </c>
      <c r="S292" s="649"/>
      <c r="T292" s="650"/>
      <c r="U292" s="16"/>
      <c r="V292" s="16"/>
      <c r="W292" s="16"/>
      <c r="X292" s="119"/>
      <c r="Y292" s="119"/>
      <c r="Z292" s="119"/>
      <c r="AA292" s="119"/>
      <c r="AB292" s="119"/>
      <c r="AC292" s="119"/>
      <c r="AD292" s="119"/>
      <c r="AE292" s="119"/>
      <c r="AF292" s="119"/>
    </row>
    <row r="293" ht="18.75" customHeight="1">
      <c r="A293" s="119"/>
      <c r="B293" s="652"/>
      <c r="C293" s="642">
        <f>IF(F293=0,0,(VLOOKUP(F293,'MTRL MSK (TPDP)'!$F$9:$W637,18,0)))</f>
        <v>0</v>
      </c>
      <c r="D293" s="642">
        <f>IF(C293=0,0,(VLOOKUP(C293,'MTRL MSK (TPDP)'!$B$9:$W637,3,0)))</f>
        <v>0</v>
      </c>
      <c r="E293" s="643" t="str">
        <f>iferror(IF(C293="","",(VLOOKUP(C293,'MTRL MSK (TPDP)'!$B$9:$W637,4,0))),"")</f>
        <v/>
      </c>
      <c r="F293" s="644">
        <f>IF(H293=0,0,(VLOOKUP(H293,'MTRL MSK (TPDP)'!$H$9:$X637,17,0)))</f>
        <v>0</v>
      </c>
      <c r="G293" s="645"/>
      <c r="H293" s="646"/>
      <c r="I293" s="446">
        <f>IF(H293=0,0,(VLOOKUP(H293,'MTRL MSK (TPDP)'!$H$9:$U637,2,0)))</f>
        <v>0</v>
      </c>
      <c r="J293" s="448" t="str">
        <f>IFERROR((IF(H293=0,0,(VLOOKUP(H293,'MTRL MSK (TPDP)'!$H$8:$U637,7,0))))/(IF(H293=0,0,(VLOOKUP(H293,'MTRL MSK (TPDP)'!$H$8:$U637,5,0)))),"")</f>
        <v/>
      </c>
      <c r="K293" s="559"/>
      <c r="L293" s="448">
        <f t="shared" si="1"/>
        <v>0</v>
      </c>
      <c r="M293" s="647">
        <f t="shared" si="2"/>
        <v>0</v>
      </c>
      <c r="N293" s="647">
        <f t="shared" si="3"/>
        <v>0</v>
      </c>
      <c r="O293" s="448">
        <f>IF(H293=0,0,(VLOOKUP(H293,'MTRL MSK (TPDP)'!$H$9:$U637,5,0)))</f>
        <v>0</v>
      </c>
      <c r="P293" s="448">
        <f t="shared" si="4"/>
        <v>0</v>
      </c>
      <c r="Q293" s="448">
        <f t="shared" si="5"/>
        <v>0</v>
      </c>
      <c r="R293" s="648" t="str">
        <f>IFERROR(IF(S293="","",(VLOOKUP(S293,'1. BQ RAPL'!$D$14:$K637,8,0))),"")</f>
        <v/>
      </c>
      <c r="S293" s="649"/>
      <c r="T293" s="650"/>
      <c r="U293" s="16"/>
      <c r="V293" s="16"/>
      <c r="W293" s="16"/>
      <c r="X293" s="119"/>
      <c r="Y293" s="119"/>
      <c r="Z293" s="119"/>
      <c r="AA293" s="119"/>
      <c r="AB293" s="119"/>
      <c r="AC293" s="119"/>
      <c r="AD293" s="119"/>
      <c r="AE293" s="119"/>
      <c r="AF293" s="119"/>
    </row>
    <row r="294" ht="18.75" customHeight="1">
      <c r="A294" s="119"/>
      <c r="B294" s="652"/>
      <c r="C294" s="642">
        <f>IF(F294=0,0,(VLOOKUP(F294,'MTRL MSK (TPDP)'!$F$9:$W637,18,0)))</f>
        <v>0</v>
      </c>
      <c r="D294" s="642">
        <f>IF(C294=0,0,(VLOOKUP(C294,'MTRL MSK (TPDP)'!$B$9:$W637,3,0)))</f>
        <v>0</v>
      </c>
      <c r="E294" s="643" t="str">
        <f>iferror(IF(C294="","",(VLOOKUP(C294,'MTRL MSK (TPDP)'!$B$9:$W637,4,0))),"")</f>
        <v/>
      </c>
      <c r="F294" s="644">
        <f>IF(H294=0,0,(VLOOKUP(H294,'MTRL MSK (TPDP)'!$H$9:$X637,17,0)))</f>
        <v>0</v>
      </c>
      <c r="G294" s="645"/>
      <c r="H294" s="646"/>
      <c r="I294" s="446">
        <f>IF(H294=0,0,(VLOOKUP(H294,'MTRL MSK (TPDP)'!$H$9:$U637,2,0)))</f>
        <v>0</v>
      </c>
      <c r="J294" s="448" t="str">
        <f>IFERROR((IF(H294=0,0,(VLOOKUP(H294,'MTRL MSK (TPDP)'!$H$8:$U637,7,0))))/(IF(H294=0,0,(VLOOKUP(H294,'MTRL MSK (TPDP)'!$H$8:$U637,5,0)))),"")</f>
        <v/>
      </c>
      <c r="K294" s="559"/>
      <c r="L294" s="448">
        <f t="shared" si="1"/>
        <v>0</v>
      </c>
      <c r="M294" s="647">
        <f t="shared" si="2"/>
        <v>0</v>
      </c>
      <c r="N294" s="647">
        <f t="shared" si="3"/>
        <v>0</v>
      </c>
      <c r="O294" s="448">
        <f>IF(H294=0,0,(VLOOKUP(H294,'MTRL MSK (TPDP)'!$H$9:$U637,5,0)))</f>
        <v>0</v>
      </c>
      <c r="P294" s="448">
        <f t="shared" si="4"/>
        <v>0</v>
      </c>
      <c r="Q294" s="448">
        <f t="shared" si="5"/>
        <v>0</v>
      </c>
      <c r="R294" s="648" t="str">
        <f>IFERROR(IF(S294="","",(VLOOKUP(S294,'1. BQ RAPL'!$D$14:$K637,8,0))),"")</f>
        <v/>
      </c>
      <c r="S294" s="649"/>
      <c r="T294" s="650"/>
      <c r="U294" s="16"/>
      <c r="V294" s="16"/>
      <c r="W294" s="16"/>
      <c r="X294" s="119"/>
      <c r="Y294" s="119"/>
      <c r="Z294" s="119"/>
      <c r="AA294" s="119"/>
      <c r="AB294" s="119"/>
      <c r="AC294" s="119"/>
      <c r="AD294" s="119"/>
      <c r="AE294" s="119"/>
      <c r="AF294" s="119"/>
    </row>
    <row r="295" ht="18.75" customHeight="1">
      <c r="A295" s="119"/>
      <c r="B295" s="652"/>
      <c r="C295" s="642">
        <f>IF(F295=0,0,(VLOOKUP(F295,'MTRL MSK (TPDP)'!$F$9:$W637,18,0)))</f>
        <v>0</v>
      </c>
      <c r="D295" s="642">
        <f>IF(C295=0,0,(VLOOKUP(C295,'MTRL MSK (TPDP)'!$B$9:$W637,3,0)))</f>
        <v>0</v>
      </c>
      <c r="E295" s="643" t="str">
        <f>iferror(IF(C295="","",(VLOOKUP(C295,'MTRL MSK (TPDP)'!$B$9:$W637,4,0))),"")</f>
        <v/>
      </c>
      <c r="F295" s="644">
        <f>IF(H295=0,0,(VLOOKUP(H295,'MTRL MSK (TPDP)'!$H$9:$X637,17,0)))</f>
        <v>0</v>
      </c>
      <c r="G295" s="645"/>
      <c r="H295" s="646"/>
      <c r="I295" s="446">
        <f>IF(H295=0,0,(VLOOKUP(H295,'MTRL MSK (TPDP)'!$H$9:$U637,2,0)))</f>
        <v>0</v>
      </c>
      <c r="J295" s="448" t="str">
        <f>IFERROR((IF(H295=0,0,(VLOOKUP(H295,'MTRL MSK (TPDP)'!$H$8:$U637,7,0))))/(IF(H295=0,0,(VLOOKUP(H295,'MTRL MSK (TPDP)'!$H$8:$U637,5,0)))),"")</f>
        <v/>
      </c>
      <c r="K295" s="559"/>
      <c r="L295" s="448">
        <f t="shared" si="1"/>
        <v>0</v>
      </c>
      <c r="M295" s="647">
        <f t="shared" si="2"/>
        <v>0</v>
      </c>
      <c r="N295" s="647">
        <f t="shared" si="3"/>
        <v>0</v>
      </c>
      <c r="O295" s="448">
        <f>IF(H295=0,0,(VLOOKUP(H295,'MTRL MSK (TPDP)'!$H$9:$U637,5,0)))</f>
        <v>0</v>
      </c>
      <c r="P295" s="448">
        <f t="shared" si="4"/>
        <v>0</v>
      </c>
      <c r="Q295" s="448">
        <f t="shared" si="5"/>
        <v>0</v>
      </c>
      <c r="R295" s="648" t="str">
        <f>IFERROR(IF(S295="","",(VLOOKUP(S295,'1. BQ RAPL'!$D$14:$K637,8,0))),"")</f>
        <v/>
      </c>
      <c r="S295" s="649"/>
      <c r="T295" s="650"/>
      <c r="U295" s="16"/>
      <c r="V295" s="16"/>
      <c r="W295" s="16"/>
      <c r="X295" s="119"/>
      <c r="Y295" s="119"/>
      <c r="Z295" s="119"/>
      <c r="AA295" s="119"/>
      <c r="AB295" s="119"/>
      <c r="AC295" s="119"/>
      <c r="AD295" s="119"/>
      <c r="AE295" s="119"/>
      <c r="AF295" s="119"/>
    </row>
    <row r="296" ht="18.75" customHeight="1">
      <c r="A296" s="119"/>
      <c r="B296" s="652"/>
      <c r="C296" s="642">
        <f>IF(F296=0,0,(VLOOKUP(F296,'MTRL MSK (TPDP)'!$F$9:$W637,18,0)))</f>
        <v>0</v>
      </c>
      <c r="D296" s="642">
        <f>IF(C296=0,0,(VLOOKUP(C296,'MTRL MSK (TPDP)'!$B$9:$W637,3,0)))</f>
        <v>0</v>
      </c>
      <c r="E296" s="643" t="str">
        <f>iferror(IF(C296="","",(VLOOKUP(C296,'MTRL MSK (TPDP)'!$B$9:$W637,4,0))),"")</f>
        <v/>
      </c>
      <c r="F296" s="644">
        <f>IF(H296=0,0,(VLOOKUP(H296,'MTRL MSK (TPDP)'!$H$9:$X637,17,0)))</f>
        <v>0</v>
      </c>
      <c r="G296" s="645"/>
      <c r="H296" s="646"/>
      <c r="I296" s="446">
        <f>IF(H296=0,0,(VLOOKUP(H296,'MTRL MSK (TPDP)'!$H$9:$U637,2,0)))</f>
        <v>0</v>
      </c>
      <c r="J296" s="448" t="str">
        <f>IFERROR((IF(H296=0,0,(VLOOKUP(H296,'MTRL MSK (TPDP)'!$H$8:$U637,7,0))))/(IF(H296=0,0,(VLOOKUP(H296,'MTRL MSK (TPDP)'!$H$8:$U637,5,0)))),"")</f>
        <v/>
      </c>
      <c r="K296" s="559"/>
      <c r="L296" s="448">
        <f t="shared" si="1"/>
        <v>0</v>
      </c>
      <c r="M296" s="647">
        <f t="shared" si="2"/>
        <v>0</v>
      </c>
      <c r="N296" s="647">
        <f t="shared" si="3"/>
        <v>0</v>
      </c>
      <c r="O296" s="448">
        <f>IF(H296=0,0,(VLOOKUP(H296,'MTRL MSK (TPDP)'!$H$9:$U637,5,0)))</f>
        <v>0</v>
      </c>
      <c r="P296" s="448">
        <f t="shared" si="4"/>
        <v>0</v>
      </c>
      <c r="Q296" s="448">
        <f t="shared" si="5"/>
        <v>0</v>
      </c>
      <c r="R296" s="648" t="str">
        <f>IFERROR(IF(S296="","",(VLOOKUP(S296,'1. BQ RAPL'!$D$14:$K637,8,0))),"")</f>
        <v/>
      </c>
      <c r="S296" s="649"/>
      <c r="T296" s="650"/>
      <c r="U296" s="16"/>
      <c r="V296" s="16"/>
      <c r="W296" s="16"/>
      <c r="X296" s="119"/>
      <c r="Y296" s="119"/>
      <c r="Z296" s="119"/>
      <c r="AA296" s="119"/>
      <c r="AB296" s="119"/>
      <c r="AC296" s="119"/>
      <c r="AD296" s="119"/>
      <c r="AE296" s="119"/>
      <c r="AF296" s="119"/>
    </row>
    <row r="297" ht="18.75" customHeight="1">
      <c r="A297" s="119"/>
      <c r="B297" s="652"/>
      <c r="C297" s="642">
        <f>IF(F297=0,0,(VLOOKUP(F297,'MTRL MSK (TPDP)'!$F$9:$W637,18,0)))</f>
        <v>0</v>
      </c>
      <c r="D297" s="642">
        <f>IF(C297=0,0,(VLOOKUP(C297,'MTRL MSK (TPDP)'!$B$9:$W637,3,0)))</f>
        <v>0</v>
      </c>
      <c r="E297" s="643" t="str">
        <f>iferror(IF(C297="","",(VLOOKUP(C297,'MTRL MSK (TPDP)'!$B$9:$W637,4,0))),"")</f>
        <v/>
      </c>
      <c r="F297" s="644">
        <f>IF(H297=0,0,(VLOOKUP(H297,'MTRL MSK (TPDP)'!$H$9:$X637,17,0)))</f>
        <v>0</v>
      </c>
      <c r="G297" s="645"/>
      <c r="H297" s="646"/>
      <c r="I297" s="446">
        <f>IF(H297=0,0,(VLOOKUP(H297,'MTRL MSK (TPDP)'!$H$9:$U637,2,0)))</f>
        <v>0</v>
      </c>
      <c r="J297" s="448" t="str">
        <f>IFERROR((IF(H297=0,0,(VLOOKUP(H297,'MTRL MSK (TPDP)'!$H$8:$U637,7,0))))/(IF(H297=0,0,(VLOOKUP(H297,'MTRL MSK (TPDP)'!$H$8:$U637,5,0)))),"")</f>
        <v/>
      </c>
      <c r="K297" s="559"/>
      <c r="L297" s="448">
        <f t="shared" si="1"/>
        <v>0</v>
      </c>
      <c r="M297" s="647">
        <f t="shared" si="2"/>
        <v>0</v>
      </c>
      <c r="N297" s="647">
        <f t="shared" si="3"/>
        <v>0</v>
      </c>
      <c r="O297" s="448">
        <f>IF(H297=0,0,(VLOOKUP(H297,'MTRL MSK (TPDP)'!$H$9:$U637,5,0)))</f>
        <v>0</v>
      </c>
      <c r="P297" s="448">
        <f t="shared" si="4"/>
        <v>0</v>
      </c>
      <c r="Q297" s="448">
        <f t="shared" si="5"/>
        <v>0</v>
      </c>
      <c r="R297" s="648" t="str">
        <f>IFERROR(IF(S297="","",(VLOOKUP(S297,'1. BQ RAPL'!$D$14:$K637,8,0))),"")</f>
        <v/>
      </c>
      <c r="S297" s="649"/>
      <c r="T297" s="650"/>
      <c r="U297" s="16"/>
      <c r="V297" s="16"/>
      <c r="W297" s="16"/>
      <c r="X297" s="119"/>
      <c r="Y297" s="119"/>
      <c r="Z297" s="119"/>
      <c r="AA297" s="119"/>
      <c r="AB297" s="119"/>
      <c r="AC297" s="119"/>
      <c r="AD297" s="119"/>
      <c r="AE297" s="119"/>
      <c r="AF297" s="119"/>
    </row>
    <row r="298" ht="18.75" customHeight="1">
      <c r="A298" s="119"/>
      <c r="B298" s="652"/>
      <c r="C298" s="642">
        <f>IF(F298=0,0,(VLOOKUP(F298,'MTRL MSK (TPDP)'!$F$9:$W637,18,0)))</f>
        <v>0</v>
      </c>
      <c r="D298" s="642">
        <f>IF(C298=0,0,(VLOOKUP(C298,'MTRL MSK (TPDP)'!$B$9:$W637,3,0)))</f>
        <v>0</v>
      </c>
      <c r="E298" s="643" t="str">
        <f>iferror(IF(C298="","",(VLOOKUP(C298,'MTRL MSK (TPDP)'!$B$9:$W637,4,0))),"")</f>
        <v/>
      </c>
      <c r="F298" s="644">
        <f>IF(H298=0,0,(VLOOKUP(H298,'MTRL MSK (TPDP)'!$H$9:$X637,17,0)))</f>
        <v>0</v>
      </c>
      <c r="G298" s="645"/>
      <c r="H298" s="646"/>
      <c r="I298" s="446">
        <f>IF(H298=0,0,(VLOOKUP(H298,'MTRL MSK (TPDP)'!$H$9:$U637,2,0)))</f>
        <v>0</v>
      </c>
      <c r="J298" s="448" t="str">
        <f>IFERROR((IF(H298=0,0,(VLOOKUP(H298,'MTRL MSK (TPDP)'!$H$8:$U637,7,0))))/(IF(H298=0,0,(VLOOKUP(H298,'MTRL MSK (TPDP)'!$H$8:$U637,5,0)))),"")</f>
        <v/>
      </c>
      <c r="K298" s="559"/>
      <c r="L298" s="448">
        <f t="shared" si="1"/>
        <v>0</v>
      </c>
      <c r="M298" s="647">
        <f t="shared" si="2"/>
        <v>0</v>
      </c>
      <c r="N298" s="647">
        <f t="shared" si="3"/>
        <v>0</v>
      </c>
      <c r="O298" s="448">
        <f>IF(H298=0,0,(VLOOKUP(H298,'MTRL MSK (TPDP)'!$H$9:$U637,5,0)))</f>
        <v>0</v>
      </c>
      <c r="P298" s="448">
        <f t="shared" si="4"/>
        <v>0</v>
      </c>
      <c r="Q298" s="448">
        <f t="shared" si="5"/>
        <v>0</v>
      </c>
      <c r="R298" s="648" t="str">
        <f>IFERROR(IF(S298="","",(VLOOKUP(S298,'1. BQ RAPL'!$D$14:$K637,8,0))),"")</f>
        <v/>
      </c>
      <c r="S298" s="649"/>
      <c r="T298" s="650"/>
      <c r="U298" s="16"/>
      <c r="V298" s="16"/>
      <c r="W298" s="16"/>
      <c r="X298" s="119"/>
      <c r="Y298" s="119"/>
      <c r="Z298" s="119"/>
      <c r="AA298" s="119"/>
      <c r="AB298" s="119"/>
      <c r="AC298" s="119"/>
      <c r="AD298" s="119"/>
      <c r="AE298" s="119"/>
      <c r="AF298" s="119"/>
    </row>
    <row r="299" ht="18.75" customHeight="1">
      <c r="A299" s="119"/>
      <c r="B299" s="652"/>
      <c r="C299" s="642">
        <f>IF(F299=0,0,(VLOOKUP(F299,'MTRL MSK (TPDP)'!$F$9:$W637,18,0)))</f>
        <v>0</v>
      </c>
      <c r="D299" s="642">
        <f>IF(C299=0,0,(VLOOKUP(C299,'MTRL MSK (TPDP)'!$B$9:$W637,3,0)))</f>
        <v>0</v>
      </c>
      <c r="E299" s="643" t="str">
        <f>iferror(IF(C299="","",(VLOOKUP(C299,'MTRL MSK (TPDP)'!$B$9:$W637,4,0))),"")</f>
        <v/>
      </c>
      <c r="F299" s="644">
        <f>IF(H299=0,0,(VLOOKUP(H299,'MTRL MSK (TPDP)'!$H$9:$X637,17,0)))</f>
        <v>0</v>
      </c>
      <c r="G299" s="645"/>
      <c r="H299" s="646"/>
      <c r="I299" s="446">
        <f>IF(H299=0,0,(VLOOKUP(H299,'MTRL MSK (TPDP)'!$H$9:$U637,2,0)))</f>
        <v>0</v>
      </c>
      <c r="J299" s="448" t="str">
        <f>IFERROR((IF(H299=0,0,(VLOOKUP(H299,'MTRL MSK (TPDP)'!$H$8:$U637,7,0))))/(IF(H299=0,0,(VLOOKUP(H299,'MTRL MSK (TPDP)'!$H$8:$U637,5,0)))),"")</f>
        <v/>
      </c>
      <c r="K299" s="559"/>
      <c r="L299" s="448">
        <f t="shared" si="1"/>
        <v>0</v>
      </c>
      <c r="M299" s="647">
        <f t="shared" si="2"/>
        <v>0</v>
      </c>
      <c r="N299" s="647">
        <f t="shared" si="3"/>
        <v>0</v>
      </c>
      <c r="O299" s="448">
        <f>IF(H299=0,0,(VLOOKUP(H299,'MTRL MSK (TPDP)'!$H$9:$U637,5,0)))</f>
        <v>0</v>
      </c>
      <c r="P299" s="448">
        <f t="shared" si="4"/>
        <v>0</v>
      </c>
      <c r="Q299" s="448">
        <f t="shared" si="5"/>
        <v>0</v>
      </c>
      <c r="R299" s="648" t="str">
        <f>IFERROR(IF(S299="","",(VLOOKUP(S299,'1. BQ RAPL'!$D$14:$K637,8,0))),"")</f>
        <v/>
      </c>
      <c r="S299" s="649"/>
      <c r="T299" s="650"/>
      <c r="U299" s="16"/>
      <c r="V299" s="16"/>
      <c r="W299" s="16"/>
      <c r="X299" s="119"/>
      <c r="Y299" s="119"/>
      <c r="Z299" s="119"/>
      <c r="AA299" s="119"/>
      <c r="AB299" s="119"/>
      <c r="AC299" s="119"/>
      <c r="AD299" s="119"/>
      <c r="AE299" s="119"/>
      <c r="AF299" s="119"/>
    </row>
    <row r="300" ht="18.75" customHeight="1">
      <c r="A300" s="119"/>
      <c r="B300" s="652"/>
      <c r="C300" s="642">
        <f>IF(F300=0,0,(VLOOKUP(F300,'MTRL MSK (TPDP)'!$F$9:$W637,18,0)))</f>
        <v>0</v>
      </c>
      <c r="D300" s="642">
        <f>IF(C300=0,0,(VLOOKUP(C300,'MTRL MSK (TPDP)'!$B$9:$W637,3,0)))</f>
        <v>0</v>
      </c>
      <c r="E300" s="643" t="str">
        <f>iferror(IF(C300="","",(VLOOKUP(C300,'MTRL MSK (TPDP)'!$B$9:$W637,4,0))),"")</f>
        <v/>
      </c>
      <c r="F300" s="644">
        <f>IF(H300=0,0,(VLOOKUP(H300,'MTRL MSK (TPDP)'!$H$9:$X637,17,0)))</f>
        <v>0</v>
      </c>
      <c r="G300" s="645"/>
      <c r="H300" s="646"/>
      <c r="I300" s="446">
        <f>IF(H300=0,0,(VLOOKUP(H300,'MTRL MSK (TPDP)'!$H$9:$U637,2,0)))</f>
        <v>0</v>
      </c>
      <c r="J300" s="448" t="str">
        <f>IFERROR((IF(H300=0,0,(VLOOKUP(H300,'MTRL MSK (TPDP)'!$H$8:$U637,7,0))))/(IF(H300=0,0,(VLOOKUP(H300,'MTRL MSK (TPDP)'!$H$8:$U637,5,0)))),"")</f>
        <v/>
      </c>
      <c r="K300" s="559"/>
      <c r="L300" s="448">
        <f t="shared" si="1"/>
        <v>0</v>
      </c>
      <c r="M300" s="647">
        <f t="shared" si="2"/>
        <v>0</v>
      </c>
      <c r="N300" s="647">
        <f t="shared" si="3"/>
        <v>0</v>
      </c>
      <c r="O300" s="448">
        <f>IF(H300=0,0,(VLOOKUP(H300,'MTRL MSK (TPDP)'!$H$9:$U637,5,0)))</f>
        <v>0</v>
      </c>
      <c r="P300" s="448">
        <f t="shared" si="4"/>
        <v>0</v>
      </c>
      <c r="Q300" s="448">
        <f t="shared" si="5"/>
        <v>0</v>
      </c>
      <c r="R300" s="648" t="str">
        <f>IFERROR(IF(S300="","",(VLOOKUP(S300,'1. BQ RAPL'!$D$14:$K637,8,0))),"")</f>
        <v/>
      </c>
      <c r="S300" s="649"/>
      <c r="T300" s="650"/>
      <c r="U300" s="16"/>
      <c r="V300" s="16"/>
      <c r="W300" s="16"/>
      <c r="X300" s="119"/>
      <c r="Y300" s="119"/>
      <c r="Z300" s="119"/>
      <c r="AA300" s="119"/>
      <c r="AB300" s="119"/>
      <c r="AC300" s="119"/>
      <c r="AD300" s="119"/>
      <c r="AE300" s="119"/>
      <c r="AF300" s="119"/>
    </row>
    <row r="301" ht="18.75" customHeight="1">
      <c r="A301" s="119"/>
      <c r="B301" s="652"/>
      <c r="C301" s="642">
        <f>IF(F301=0,0,(VLOOKUP(F301,'MTRL MSK (TPDP)'!$F$9:$W637,18,0)))</f>
        <v>0</v>
      </c>
      <c r="D301" s="642">
        <f>IF(C301=0,0,(VLOOKUP(C301,'MTRL MSK (TPDP)'!$B$9:$W637,3,0)))</f>
        <v>0</v>
      </c>
      <c r="E301" s="643" t="str">
        <f>iferror(IF(C301="","",(VLOOKUP(C301,'MTRL MSK (TPDP)'!$B$9:$W637,4,0))),"")</f>
        <v/>
      </c>
      <c r="F301" s="644">
        <f>IF(H301=0,0,(VLOOKUP(H301,'MTRL MSK (TPDP)'!$H$9:$X637,17,0)))</f>
        <v>0</v>
      </c>
      <c r="G301" s="645"/>
      <c r="H301" s="646"/>
      <c r="I301" s="446">
        <f>IF(H301=0,0,(VLOOKUP(H301,'MTRL MSK (TPDP)'!$H$9:$U637,2,0)))</f>
        <v>0</v>
      </c>
      <c r="J301" s="448" t="str">
        <f>IFERROR((IF(H301=0,0,(VLOOKUP(H301,'MTRL MSK (TPDP)'!$H$8:$U637,7,0))))/(IF(H301=0,0,(VLOOKUP(H301,'MTRL MSK (TPDP)'!$H$8:$U637,5,0)))),"")</f>
        <v/>
      </c>
      <c r="K301" s="559"/>
      <c r="L301" s="448">
        <f t="shared" si="1"/>
        <v>0</v>
      </c>
      <c r="M301" s="647">
        <f t="shared" si="2"/>
        <v>0</v>
      </c>
      <c r="N301" s="647">
        <f t="shared" si="3"/>
        <v>0</v>
      </c>
      <c r="O301" s="448">
        <f>IF(H301=0,0,(VLOOKUP(H301,'MTRL MSK (TPDP)'!$H$9:$U637,5,0)))</f>
        <v>0</v>
      </c>
      <c r="P301" s="448">
        <f t="shared" si="4"/>
        <v>0</v>
      </c>
      <c r="Q301" s="448">
        <f t="shared" si="5"/>
        <v>0</v>
      </c>
      <c r="R301" s="648" t="str">
        <f>IFERROR(IF(S301="","",(VLOOKUP(S301,'1. BQ RAPL'!$D$14:$K637,8,0))),"")</f>
        <v/>
      </c>
      <c r="S301" s="649"/>
      <c r="T301" s="650"/>
      <c r="U301" s="16"/>
      <c r="V301" s="16"/>
      <c r="W301" s="16"/>
      <c r="X301" s="119"/>
      <c r="Y301" s="119"/>
      <c r="Z301" s="119"/>
      <c r="AA301" s="119"/>
      <c r="AB301" s="119"/>
      <c r="AC301" s="119"/>
      <c r="AD301" s="119"/>
      <c r="AE301" s="119"/>
      <c r="AF301" s="119"/>
    </row>
    <row r="302" ht="18.75" customHeight="1">
      <c r="A302" s="119"/>
      <c r="B302" s="652"/>
      <c r="C302" s="642">
        <f>IF(F302=0,0,(VLOOKUP(F302,'MTRL MSK (TPDP)'!$F$9:$W637,18,0)))</f>
        <v>0</v>
      </c>
      <c r="D302" s="642">
        <f>IF(C302=0,0,(VLOOKUP(C302,'MTRL MSK (TPDP)'!$B$9:$W637,3,0)))</f>
        <v>0</v>
      </c>
      <c r="E302" s="643" t="str">
        <f>iferror(IF(C302="","",(VLOOKUP(C302,'MTRL MSK (TPDP)'!$B$9:$W637,4,0))),"")</f>
        <v/>
      </c>
      <c r="F302" s="644">
        <f>IF(H302=0,0,(VLOOKUP(H302,'MTRL MSK (TPDP)'!$H$9:$X637,17,0)))</f>
        <v>0</v>
      </c>
      <c r="G302" s="645"/>
      <c r="H302" s="646"/>
      <c r="I302" s="446">
        <f>IF(H302=0,0,(VLOOKUP(H302,'MTRL MSK (TPDP)'!$H$9:$U637,2,0)))</f>
        <v>0</v>
      </c>
      <c r="J302" s="448" t="str">
        <f>IFERROR((IF(H302=0,0,(VLOOKUP(H302,'MTRL MSK (TPDP)'!$H$8:$U637,7,0))))/(IF(H302=0,0,(VLOOKUP(H302,'MTRL MSK (TPDP)'!$H$8:$U637,5,0)))),"")</f>
        <v/>
      </c>
      <c r="K302" s="559"/>
      <c r="L302" s="448">
        <f t="shared" si="1"/>
        <v>0</v>
      </c>
      <c r="M302" s="647">
        <f t="shared" si="2"/>
        <v>0</v>
      </c>
      <c r="N302" s="647">
        <f t="shared" si="3"/>
        <v>0</v>
      </c>
      <c r="O302" s="448">
        <f>IF(H302=0,0,(VLOOKUP(H302,'MTRL MSK (TPDP)'!$H$9:$U637,5,0)))</f>
        <v>0</v>
      </c>
      <c r="P302" s="448">
        <f t="shared" si="4"/>
        <v>0</v>
      </c>
      <c r="Q302" s="448">
        <f t="shared" si="5"/>
        <v>0</v>
      </c>
      <c r="R302" s="648" t="str">
        <f>IFERROR(IF(S302="","",(VLOOKUP(S302,'1. BQ RAPL'!$D$14:$K637,8,0))),"")</f>
        <v/>
      </c>
      <c r="S302" s="649"/>
      <c r="T302" s="650"/>
      <c r="U302" s="16"/>
      <c r="V302" s="16"/>
      <c r="W302" s="16"/>
      <c r="X302" s="119"/>
      <c r="Y302" s="119"/>
      <c r="Z302" s="119"/>
      <c r="AA302" s="119"/>
      <c r="AB302" s="119"/>
      <c r="AC302" s="119"/>
      <c r="AD302" s="119"/>
      <c r="AE302" s="119"/>
      <c r="AF302" s="119"/>
    </row>
    <row r="303" ht="18.75" customHeight="1">
      <c r="A303" s="119"/>
      <c r="B303" s="652"/>
      <c r="C303" s="642">
        <f>IF(F303=0,0,(VLOOKUP(F303,'MTRL MSK (TPDP)'!$F$9:$W637,18,0)))</f>
        <v>0</v>
      </c>
      <c r="D303" s="642">
        <f>IF(C303=0,0,(VLOOKUP(C303,'MTRL MSK (TPDP)'!$B$9:$W637,3,0)))</f>
        <v>0</v>
      </c>
      <c r="E303" s="643" t="str">
        <f>iferror(IF(C303="","",(VLOOKUP(C303,'MTRL MSK (TPDP)'!$B$9:$W637,4,0))),"")</f>
        <v/>
      </c>
      <c r="F303" s="644">
        <f>IF(H303=0,0,(VLOOKUP(H303,'MTRL MSK (TPDP)'!$H$9:$X637,17,0)))</f>
        <v>0</v>
      </c>
      <c r="G303" s="645"/>
      <c r="H303" s="646"/>
      <c r="I303" s="446">
        <f>IF(H303=0,0,(VLOOKUP(H303,'MTRL MSK (TPDP)'!$H$9:$U637,2,0)))</f>
        <v>0</v>
      </c>
      <c r="J303" s="448" t="str">
        <f>IFERROR((IF(H303=0,0,(VLOOKUP(H303,'MTRL MSK (TPDP)'!$H$8:$U637,7,0))))/(IF(H303=0,0,(VLOOKUP(H303,'MTRL MSK (TPDP)'!$H$8:$U637,5,0)))),"")</f>
        <v/>
      </c>
      <c r="K303" s="559"/>
      <c r="L303" s="448">
        <f t="shared" si="1"/>
        <v>0</v>
      </c>
      <c r="M303" s="647">
        <f t="shared" si="2"/>
        <v>0</v>
      </c>
      <c r="N303" s="647">
        <f t="shared" si="3"/>
        <v>0</v>
      </c>
      <c r="O303" s="448">
        <f>IF(H303=0,0,(VLOOKUP(H303,'MTRL MSK (TPDP)'!$H$9:$U637,5,0)))</f>
        <v>0</v>
      </c>
      <c r="P303" s="448">
        <f t="shared" si="4"/>
        <v>0</v>
      </c>
      <c r="Q303" s="448">
        <f t="shared" si="5"/>
        <v>0</v>
      </c>
      <c r="R303" s="648" t="str">
        <f>IFERROR(IF(S303="","",(VLOOKUP(S303,'1. BQ RAPL'!$D$14:$K637,8,0))),"")</f>
        <v/>
      </c>
      <c r="S303" s="649"/>
      <c r="T303" s="650"/>
      <c r="U303" s="16"/>
      <c r="V303" s="16"/>
      <c r="W303" s="16"/>
      <c r="X303" s="119"/>
      <c r="Y303" s="119"/>
      <c r="Z303" s="119"/>
      <c r="AA303" s="119"/>
      <c r="AB303" s="119"/>
      <c r="AC303" s="119"/>
      <c r="AD303" s="119"/>
      <c r="AE303" s="119"/>
      <c r="AF303" s="119"/>
    </row>
    <row r="304" ht="18.75" customHeight="1">
      <c r="A304" s="119"/>
      <c r="B304" s="652"/>
      <c r="C304" s="642">
        <f>IF(F304=0,0,(VLOOKUP(F304,'MTRL MSK (TPDP)'!$F$9:$W637,18,0)))</f>
        <v>0</v>
      </c>
      <c r="D304" s="642">
        <f>IF(C304=0,0,(VLOOKUP(C304,'MTRL MSK (TPDP)'!$B$9:$W637,3,0)))</f>
        <v>0</v>
      </c>
      <c r="E304" s="643" t="str">
        <f>iferror(IF(C304="","",(VLOOKUP(C304,'MTRL MSK (TPDP)'!$B$9:$W637,4,0))),"")</f>
        <v/>
      </c>
      <c r="F304" s="644">
        <f>IF(H304=0,0,(VLOOKUP(H304,'MTRL MSK (TPDP)'!$H$9:$X637,17,0)))</f>
        <v>0</v>
      </c>
      <c r="G304" s="645"/>
      <c r="H304" s="646"/>
      <c r="I304" s="446">
        <f>IF(H304=0,0,(VLOOKUP(H304,'MTRL MSK (TPDP)'!$H$9:$U637,2,0)))</f>
        <v>0</v>
      </c>
      <c r="J304" s="448" t="str">
        <f>IFERROR((IF(H304=0,0,(VLOOKUP(H304,'MTRL MSK (TPDP)'!$H$8:$U637,7,0))))/(IF(H304=0,0,(VLOOKUP(H304,'MTRL MSK (TPDP)'!$H$8:$U637,5,0)))),"")</f>
        <v/>
      </c>
      <c r="K304" s="559"/>
      <c r="L304" s="448">
        <f t="shared" si="1"/>
        <v>0</v>
      </c>
      <c r="M304" s="647">
        <f t="shared" si="2"/>
        <v>0</v>
      </c>
      <c r="N304" s="647">
        <f t="shared" si="3"/>
        <v>0</v>
      </c>
      <c r="O304" s="448">
        <f>IF(H304=0,0,(VLOOKUP(H304,'MTRL MSK (TPDP)'!$H$9:$U637,5,0)))</f>
        <v>0</v>
      </c>
      <c r="P304" s="448">
        <f t="shared" si="4"/>
        <v>0</v>
      </c>
      <c r="Q304" s="448">
        <f t="shared" si="5"/>
        <v>0</v>
      </c>
      <c r="R304" s="648" t="str">
        <f>IFERROR(IF(S304="","",(VLOOKUP(S304,'1. BQ RAPL'!$D$14:$K637,8,0))),"")</f>
        <v/>
      </c>
      <c r="S304" s="649"/>
      <c r="T304" s="650"/>
      <c r="U304" s="16"/>
      <c r="V304" s="16"/>
      <c r="W304" s="16"/>
      <c r="X304" s="119"/>
      <c r="Y304" s="119"/>
      <c r="Z304" s="119"/>
      <c r="AA304" s="119"/>
      <c r="AB304" s="119"/>
      <c r="AC304" s="119"/>
      <c r="AD304" s="119"/>
      <c r="AE304" s="119"/>
      <c r="AF304" s="119"/>
    </row>
    <row r="305" ht="18.75" customHeight="1">
      <c r="A305" s="119"/>
      <c r="B305" s="652"/>
      <c r="C305" s="642">
        <f>IF(F305=0,0,(VLOOKUP(F305,'MTRL MSK (TPDP)'!$F$9:$W637,18,0)))</f>
        <v>0</v>
      </c>
      <c r="D305" s="642">
        <f>IF(C305=0,0,(VLOOKUP(C305,'MTRL MSK (TPDP)'!$B$9:$W637,3,0)))</f>
        <v>0</v>
      </c>
      <c r="E305" s="643" t="str">
        <f>iferror(IF(C305="","",(VLOOKUP(C305,'MTRL MSK (TPDP)'!$B$9:$W637,4,0))),"")</f>
        <v/>
      </c>
      <c r="F305" s="644">
        <f>IF(H305=0,0,(VLOOKUP(H305,'MTRL MSK (TPDP)'!$H$9:$X637,17,0)))</f>
        <v>0</v>
      </c>
      <c r="G305" s="645"/>
      <c r="H305" s="646"/>
      <c r="I305" s="446">
        <f>IF(H305=0,0,(VLOOKUP(H305,'MTRL MSK (TPDP)'!$H$9:$U637,2,0)))</f>
        <v>0</v>
      </c>
      <c r="J305" s="448" t="str">
        <f>IFERROR((IF(H305=0,0,(VLOOKUP(H305,'MTRL MSK (TPDP)'!$H$8:$U637,7,0))))/(IF(H305=0,0,(VLOOKUP(H305,'MTRL MSK (TPDP)'!$H$8:$U637,5,0)))),"")</f>
        <v/>
      </c>
      <c r="K305" s="559"/>
      <c r="L305" s="448">
        <f t="shared" si="1"/>
        <v>0</v>
      </c>
      <c r="M305" s="647">
        <f t="shared" si="2"/>
        <v>0</v>
      </c>
      <c r="N305" s="647">
        <f t="shared" si="3"/>
        <v>0</v>
      </c>
      <c r="O305" s="448">
        <f>IF(H305=0,0,(VLOOKUP(H305,'MTRL MSK (TPDP)'!$H$9:$U637,5,0)))</f>
        <v>0</v>
      </c>
      <c r="P305" s="448">
        <f t="shared" si="4"/>
        <v>0</v>
      </c>
      <c r="Q305" s="448">
        <f t="shared" si="5"/>
        <v>0</v>
      </c>
      <c r="R305" s="648" t="str">
        <f>IFERROR(IF(S305="","",(VLOOKUP(S305,'1. BQ RAPL'!$D$14:$K637,8,0))),"")</f>
        <v/>
      </c>
      <c r="S305" s="649"/>
      <c r="T305" s="650"/>
      <c r="U305" s="16"/>
      <c r="V305" s="16"/>
      <c r="W305" s="16"/>
      <c r="X305" s="119"/>
      <c r="Y305" s="119"/>
      <c r="Z305" s="119"/>
      <c r="AA305" s="119"/>
      <c r="AB305" s="119"/>
      <c r="AC305" s="119"/>
      <c r="AD305" s="119"/>
      <c r="AE305" s="119"/>
      <c r="AF305" s="119"/>
    </row>
    <row r="306" ht="18.75" customHeight="1">
      <c r="A306" s="119"/>
      <c r="B306" s="652"/>
      <c r="C306" s="642">
        <f>IF(F306=0,0,(VLOOKUP(F306,'MTRL MSK (TPDP)'!$F$9:$W637,18,0)))</f>
        <v>0</v>
      </c>
      <c r="D306" s="642">
        <f>IF(C306=0,0,(VLOOKUP(C306,'MTRL MSK (TPDP)'!$B$9:$W637,3,0)))</f>
        <v>0</v>
      </c>
      <c r="E306" s="643" t="str">
        <f>iferror(IF(C306="","",(VLOOKUP(C306,'MTRL MSK (TPDP)'!$B$9:$W637,4,0))),"")</f>
        <v/>
      </c>
      <c r="F306" s="644">
        <f>IF(H306=0,0,(VLOOKUP(H306,'MTRL MSK (TPDP)'!$H$9:$X637,17,0)))</f>
        <v>0</v>
      </c>
      <c r="G306" s="645"/>
      <c r="H306" s="646"/>
      <c r="I306" s="446">
        <f>IF(H306=0,0,(VLOOKUP(H306,'MTRL MSK (TPDP)'!$H$9:$U637,2,0)))</f>
        <v>0</v>
      </c>
      <c r="J306" s="448" t="str">
        <f>IFERROR((IF(H306=0,0,(VLOOKUP(H306,'MTRL MSK (TPDP)'!$H$8:$U637,7,0))))/(IF(H306=0,0,(VLOOKUP(H306,'MTRL MSK (TPDP)'!$H$8:$U637,5,0)))),"")</f>
        <v/>
      </c>
      <c r="K306" s="559"/>
      <c r="L306" s="448">
        <f t="shared" si="1"/>
        <v>0</v>
      </c>
      <c r="M306" s="647">
        <f t="shared" si="2"/>
        <v>0</v>
      </c>
      <c r="N306" s="647">
        <f t="shared" si="3"/>
        <v>0</v>
      </c>
      <c r="O306" s="448">
        <f>IF(H306=0,0,(VLOOKUP(H306,'MTRL MSK (TPDP)'!$H$9:$U637,5,0)))</f>
        <v>0</v>
      </c>
      <c r="P306" s="448">
        <f t="shared" si="4"/>
        <v>0</v>
      </c>
      <c r="Q306" s="448">
        <f t="shared" si="5"/>
        <v>0</v>
      </c>
      <c r="R306" s="648" t="str">
        <f>IFERROR(IF(S306="","",(VLOOKUP(S306,'1. BQ RAPL'!$D$14:$K637,8,0))),"")</f>
        <v/>
      </c>
      <c r="S306" s="649"/>
      <c r="T306" s="650"/>
      <c r="U306" s="16"/>
      <c r="V306" s="16"/>
      <c r="W306" s="16"/>
      <c r="X306" s="119"/>
      <c r="Y306" s="119"/>
      <c r="Z306" s="119"/>
      <c r="AA306" s="119"/>
      <c r="AB306" s="119"/>
      <c r="AC306" s="119"/>
      <c r="AD306" s="119"/>
      <c r="AE306" s="119"/>
      <c r="AF306" s="119"/>
    </row>
    <row r="307" ht="18.75" customHeight="1">
      <c r="A307" s="119"/>
      <c r="B307" s="652"/>
      <c r="C307" s="642">
        <f>IF(F307=0,0,(VLOOKUP(F307,'MTRL MSK (TPDP)'!$F$9:$W637,18,0)))</f>
        <v>0</v>
      </c>
      <c r="D307" s="642">
        <f>IF(C307=0,0,(VLOOKUP(C307,'MTRL MSK (TPDP)'!$B$9:$W637,3,0)))</f>
        <v>0</v>
      </c>
      <c r="E307" s="643" t="str">
        <f>iferror(IF(C307="","",(VLOOKUP(C307,'MTRL MSK (TPDP)'!$B$9:$W637,4,0))),"")</f>
        <v/>
      </c>
      <c r="F307" s="644">
        <f>IF(H307=0,0,(VLOOKUP(H307,'MTRL MSK (TPDP)'!$H$9:$X637,17,0)))</f>
        <v>0</v>
      </c>
      <c r="G307" s="645"/>
      <c r="H307" s="646"/>
      <c r="I307" s="446">
        <f>IF(H307=0,0,(VLOOKUP(H307,'MTRL MSK (TPDP)'!$H$9:$U637,2,0)))</f>
        <v>0</v>
      </c>
      <c r="J307" s="448" t="str">
        <f>IFERROR((IF(H307=0,0,(VLOOKUP(H307,'MTRL MSK (TPDP)'!$H$8:$U637,7,0))))/(IF(H307=0,0,(VLOOKUP(H307,'MTRL MSK (TPDP)'!$H$8:$U637,5,0)))),"")</f>
        <v/>
      </c>
      <c r="K307" s="559"/>
      <c r="L307" s="448">
        <f t="shared" si="1"/>
        <v>0</v>
      </c>
      <c r="M307" s="647">
        <f t="shared" si="2"/>
        <v>0</v>
      </c>
      <c r="N307" s="647">
        <f t="shared" si="3"/>
        <v>0</v>
      </c>
      <c r="O307" s="448">
        <f>IF(H307=0,0,(VLOOKUP(H307,'MTRL MSK (TPDP)'!$H$9:$U637,5,0)))</f>
        <v>0</v>
      </c>
      <c r="P307" s="448">
        <f t="shared" si="4"/>
        <v>0</v>
      </c>
      <c r="Q307" s="448">
        <f t="shared" si="5"/>
        <v>0</v>
      </c>
      <c r="R307" s="648" t="str">
        <f>IFERROR(IF(S307="","",(VLOOKUP(S307,'1. BQ RAPL'!$D$14:$K637,8,0))),"")</f>
        <v/>
      </c>
      <c r="S307" s="649"/>
      <c r="T307" s="650"/>
      <c r="U307" s="16"/>
      <c r="V307" s="16"/>
      <c r="W307" s="16"/>
      <c r="X307" s="119"/>
      <c r="Y307" s="119"/>
      <c r="Z307" s="119"/>
      <c r="AA307" s="119"/>
      <c r="AB307" s="119"/>
      <c r="AC307" s="119"/>
      <c r="AD307" s="119"/>
      <c r="AE307" s="119"/>
      <c r="AF307" s="119"/>
    </row>
    <row r="308" ht="18.75" customHeight="1">
      <c r="A308" s="119"/>
      <c r="B308" s="652"/>
      <c r="C308" s="642">
        <f>IF(F308=0,0,(VLOOKUP(F308,'MTRL MSK (TPDP)'!$F$9:$W637,18,0)))</f>
        <v>0</v>
      </c>
      <c r="D308" s="642">
        <f>IF(C308=0,0,(VLOOKUP(C308,'MTRL MSK (TPDP)'!$B$9:$W637,3,0)))</f>
        <v>0</v>
      </c>
      <c r="E308" s="643" t="str">
        <f>iferror(IF(C308="","",(VLOOKUP(C308,'MTRL MSK (TPDP)'!$B$9:$W637,4,0))),"")</f>
        <v/>
      </c>
      <c r="F308" s="644">
        <f>IF(H308=0,0,(VLOOKUP(H308,'MTRL MSK (TPDP)'!$H$9:$X637,17,0)))</f>
        <v>0</v>
      </c>
      <c r="G308" s="645"/>
      <c r="H308" s="646"/>
      <c r="I308" s="446">
        <f>IF(H308=0,0,(VLOOKUP(H308,'MTRL MSK (TPDP)'!$H$9:$U637,2,0)))</f>
        <v>0</v>
      </c>
      <c r="J308" s="448" t="str">
        <f>IFERROR((IF(H308=0,0,(VLOOKUP(H308,'MTRL MSK (TPDP)'!$H$8:$U637,7,0))))/(IF(H308=0,0,(VLOOKUP(H308,'MTRL MSK (TPDP)'!$H$8:$U637,5,0)))),"")</f>
        <v/>
      </c>
      <c r="K308" s="559"/>
      <c r="L308" s="448">
        <f t="shared" si="1"/>
        <v>0</v>
      </c>
      <c r="M308" s="647">
        <f t="shared" si="2"/>
        <v>0</v>
      </c>
      <c r="N308" s="647">
        <f t="shared" si="3"/>
        <v>0</v>
      </c>
      <c r="O308" s="448">
        <f>IF(H308=0,0,(VLOOKUP(H308,'MTRL MSK (TPDP)'!$H$9:$U637,5,0)))</f>
        <v>0</v>
      </c>
      <c r="P308" s="448">
        <f t="shared" si="4"/>
        <v>0</v>
      </c>
      <c r="Q308" s="448">
        <f t="shared" si="5"/>
        <v>0</v>
      </c>
      <c r="R308" s="648" t="str">
        <f>IFERROR(IF(S308="","",(VLOOKUP(S308,'1. BQ RAPL'!$D$14:$K637,8,0))),"")</f>
        <v/>
      </c>
      <c r="S308" s="649"/>
      <c r="T308" s="650"/>
      <c r="U308" s="16"/>
      <c r="V308" s="16"/>
      <c r="W308" s="16"/>
      <c r="X308" s="119"/>
      <c r="Y308" s="119"/>
      <c r="Z308" s="119"/>
      <c r="AA308" s="119"/>
      <c r="AB308" s="119"/>
      <c r="AC308" s="119"/>
      <c r="AD308" s="119"/>
      <c r="AE308" s="119"/>
      <c r="AF308" s="119"/>
    </row>
    <row r="309" ht="18.75" customHeight="1">
      <c r="A309" s="119"/>
      <c r="B309" s="652"/>
      <c r="C309" s="642">
        <f>IF(F309=0,0,(VLOOKUP(F309,'MTRL MSK (TPDP)'!$F$9:$W637,18,0)))</f>
        <v>0</v>
      </c>
      <c r="D309" s="642">
        <f>IF(C309=0,0,(VLOOKUP(C309,'MTRL MSK (TPDP)'!$B$9:$W637,3,0)))</f>
        <v>0</v>
      </c>
      <c r="E309" s="643" t="str">
        <f>iferror(IF(C309="","",(VLOOKUP(C309,'MTRL MSK (TPDP)'!$B$9:$W637,4,0))),"")</f>
        <v/>
      </c>
      <c r="F309" s="644">
        <f>IF(H309=0,0,(VLOOKUP(H309,'MTRL MSK (TPDP)'!$H$9:$X637,17,0)))</f>
        <v>0</v>
      </c>
      <c r="G309" s="645"/>
      <c r="H309" s="646"/>
      <c r="I309" s="446">
        <f>IF(H309=0,0,(VLOOKUP(H309,'MTRL MSK (TPDP)'!$H$9:$U637,2,0)))</f>
        <v>0</v>
      </c>
      <c r="J309" s="448" t="str">
        <f>IFERROR((IF(H309=0,0,(VLOOKUP(H309,'MTRL MSK (TPDP)'!$H$8:$U637,7,0))))/(IF(H309=0,0,(VLOOKUP(H309,'MTRL MSK (TPDP)'!$H$8:$U637,5,0)))),"")</f>
        <v/>
      </c>
      <c r="K309" s="559"/>
      <c r="L309" s="448">
        <f t="shared" si="1"/>
        <v>0</v>
      </c>
      <c r="M309" s="647">
        <f t="shared" si="2"/>
        <v>0</v>
      </c>
      <c r="N309" s="647">
        <f t="shared" si="3"/>
        <v>0</v>
      </c>
      <c r="O309" s="448">
        <f>IF(H309=0,0,(VLOOKUP(H309,'MTRL MSK (TPDP)'!$H$9:$U637,5,0)))</f>
        <v>0</v>
      </c>
      <c r="P309" s="448">
        <f t="shared" si="4"/>
        <v>0</v>
      </c>
      <c r="Q309" s="448">
        <f t="shared" si="5"/>
        <v>0</v>
      </c>
      <c r="R309" s="648" t="str">
        <f>IFERROR(IF(S309="","",(VLOOKUP(S309,'1. BQ RAPL'!$D$14:$K637,8,0))),"")</f>
        <v/>
      </c>
      <c r="S309" s="649"/>
      <c r="T309" s="650"/>
      <c r="U309" s="16"/>
      <c r="V309" s="16"/>
      <c r="W309" s="16"/>
      <c r="X309" s="119"/>
      <c r="Y309" s="119"/>
      <c r="Z309" s="119"/>
      <c r="AA309" s="119"/>
      <c r="AB309" s="119"/>
      <c r="AC309" s="119"/>
      <c r="AD309" s="119"/>
      <c r="AE309" s="119"/>
      <c r="AF309" s="119"/>
    </row>
    <row r="310" ht="18.75" customHeight="1">
      <c r="A310" s="119"/>
      <c r="B310" s="652"/>
      <c r="C310" s="642">
        <f>IF(F310=0,0,(VLOOKUP(F310,'MTRL MSK (TPDP)'!$F$9:$W637,18,0)))</f>
        <v>0</v>
      </c>
      <c r="D310" s="642">
        <f>IF(C310=0,0,(VLOOKUP(C310,'MTRL MSK (TPDP)'!$B$9:$W637,3,0)))</f>
        <v>0</v>
      </c>
      <c r="E310" s="643" t="str">
        <f>iferror(IF(C310="","",(VLOOKUP(C310,'MTRL MSK (TPDP)'!$B$9:$W637,4,0))),"")</f>
        <v/>
      </c>
      <c r="F310" s="644">
        <f>IF(H310=0,0,(VLOOKUP(H310,'MTRL MSK (TPDP)'!$H$9:$X637,17,0)))</f>
        <v>0</v>
      </c>
      <c r="G310" s="645"/>
      <c r="H310" s="646"/>
      <c r="I310" s="446">
        <f>IF(H310=0,0,(VLOOKUP(H310,'MTRL MSK (TPDP)'!$H$9:$U637,2,0)))</f>
        <v>0</v>
      </c>
      <c r="J310" s="448" t="str">
        <f>IFERROR((IF(H310=0,0,(VLOOKUP(H310,'MTRL MSK (TPDP)'!$H$8:$U637,7,0))))/(IF(H310=0,0,(VLOOKUP(H310,'MTRL MSK (TPDP)'!$H$8:$U637,5,0)))),"")</f>
        <v/>
      </c>
      <c r="K310" s="559"/>
      <c r="L310" s="448">
        <f t="shared" si="1"/>
        <v>0</v>
      </c>
      <c r="M310" s="647">
        <f t="shared" si="2"/>
        <v>0</v>
      </c>
      <c r="N310" s="647">
        <f t="shared" si="3"/>
        <v>0</v>
      </c>
      <c r="O310" s="448">
        <f>IF(H310=0,0,(VLOOKUP(H310,'MTRL MSK (TPDP)'!$H$9:$U637,5,0)))</f>
        <v>0</v>
      </c>
      <c r="P310" s="448">
        <f t="shared" si="4"/>
        <v>0</v>
      </c>
      <c r="Q310" s="448">
        <f t="shared" si="5"/>
        <v>0</v>
      </c>
      <c r="R310" s="648" t="str">
        <f>IFERROR(IF(S310="","",(VLOOKUP(S310,'1. BQ RAPL'!$D$14:$K637,8,0))),"")</f>
        <v/>
      </c>
      <c r="S310" s="649"/>
      <c r="T310" s="650"/>
      <c r="U310" s="16"/>
      <c r="V310" s="16"/>
      <c r="W310" s="16"/>
      <c r="X310" s="119"/>
      <c r="Y310" s="119"/>
      <c r="Z310" s="119"/>
      <c r="AA310" s="119"/>
      <c r="AB310" s="119"/>
      <c r="AC310" s="119"/>
      <c r="AD310" s="119"/>
      <c r="AE310" s="119"/>
      <c r="AF310" s="119"/>
    </row>
    <row r="311" ht="18.75" customHeight="1">
      <c r="A311" s="119"/>
      <c r="B311" s="652"/>
      <c r="C311" s="642">
        <f>IF(F311=0,0,(VLOOKUP(F311,'MTRL MSK (TPDP)'!$F$9:$W637,18,0)))</f>
        <v>0</v>
      </c>
      <c r="D311" s="642">
        <f>IF(C311=0,0,(VLOOKUP(C311,'MTRL MSK (TPDP)'!$B$9:$W637,3,0)))</f>
        <v>0</v>
      </c>
      <c r="E311" s="643" t="str">
        <f>iferror(IF(C311="","",(VLOOKUP(C311,'MTRL MSK (TPDP)'!$B$9:$W637,4,0))),"")</f>
        <v/>
      </c>
      <c r="F311" s="644">
        <f>IF(H311=0,0,(VLOOKUP(H311,'MTRL MSK (TPDP)'!$H$9:$X637,17,0)))</f>
        <v>0</v>
      </c>
      <c r="G311" s="645"/>
      <c r="H311" s="646"/>
      <c r="I311" s="446">
        <f>IF(H311=0,0,(VLOOKUP(H311,'MTRL MSK (TPDP)'!$H$9:$U637,2,0)))</f>
        <v>0</v>
      </c>
      <c r="J311" s="448" t="str">
        <f>IFERROR((IF(H311=0,0,(VLOOKUP(H311,'MTRL MSK (TPDP)'!$H$8:$U637,7,0))))/(IF(H311=0,0,(VLOOKUP(H311,'MTRL MSK (TPDP)'!$H$8:$U637,5,0)))),"")</f>
        <v/>
      </c>
      <c r="K311" s="559"/>
      <c r="L311" s="448">
        <f t="shared" si="1"/>
        <v>0</v>
      </c>
      <c r="M311" s="647">
        <f t="shared" si="2"/>
        <v>0</v>
      </c>
      <c r="N311" s="647">
        <f t="shared" si="3"/>
        <v>0</v>
      </c>
      <c r="O311" s="448">
        <f>IF(H311=0,0,(VLOOKUP(H311,'MTRL MSK (TPDP)'!$H$9:$U637,5,0)))</f>
        <v>0</v>
      </c>
      <c r="P311" s="448">
        <f t="shared" si="4"/>
        <v>0</v>
      </c>
      <c r="Q311" s="448">
        <f t="shared" si="5"/>
        <v>0</v>
      </c>
      <c r="R311" s="648" t="str">
        <f>IFERROR(IF(S311="","",(VLOOKUP(S311,'1. BQ RAPL'!$D$14:$K637,8,0))),"")</f>
        <v/>
      </c>
      <c r="S311" s="649"/>
      <c r="T311" s="650"/>
      <c r="U311" s="16"/>
      <c r="V311" s="16"/>
      <c r="W311" s="16"/>
      <c r="X311" s="119"/>
      <c r="Y311" s="119"/>
      <c r="Z311" s="119"/>
      <c r="AA311" s="119"/>
      <c r="AB311" s="119"/>
      <c r="AC311" s="119"/>
      <c r="AD311" s="119"/>
      <c r="AE311" s="119"/>
      <c r="AF311" s="119"/>
    </row>
    <row r="312" ht="18.75" customHeight="1">
      <c r="A312" s="119"/>
      <c r="B312" s="652"/>
      <c r="C312" s="642">
        <f>IF(F312=0,0,(VLOOKUP(F312,'MTRL MSK (TPDP)'!$F$9:$W637,18,0)))</f>
        <v>0</v>
      </c>
      <c r="D312" s="642">
        <f>IF(C312=0,0,(VLOOKUP(C312,'MTRL MSK (TPDP)'!$B$9:$W637,3,0)))</f>
        <v>0</v>
      </c>
      <c r="E312" s="643" t="str">
        <f>iferror(IF(C312="","",(VLOOKUP(C312,'MTRL MSK (TPDP)'!$B$9:$W637,4,0))),"")</f>
        <v/>
      </c>
      <c r="F312" s="644">
        <f>IF(H312=0,0,(VLOOKUP(H312,'MTRL MSK (TPDP)'!$H$9:$X637,17,0)))</f>
        <v>0</v>
      </c>
      <c r="G312" s="645"/>
      <c r="H312" s="646"/>
      <c r="I312" s="446">
        <f>IF(H312=0,0,(VLOOKUP(H312,'MTRL MSK (TPDP)'!$H$9:$U637,2,0)))</f>
        <v>0</v>
      </c>
      <c r="J312" s="448" t="str">
        <f>IFERROR((IF(H312=0,0,(VLOOKUP(H312,'MTRL MSK (TPDP)'!$H$8:$U637,7,0))))/(IF(H312=0,0,(VLOOKUP(H312,'MTRL MSK (TPDP)'!$H$8:$U637,5,0)))),"")</f>
        <v/>
      </c>
      <c r="K312" s="559"/>
      <c r="L312" s="448">
        <f t="shared" si="1"/>
        <v>0</v>
      </c>
      <c r="M312" s="647">
        <f t="shared" si="2"/>
        <v>0</v>
      </c>
      <c r="N312" s="647">
        <f t="shared" si="3"/>
        <v>0</v>
      </c>
      <c r="O312" s="448">
        <f>IF(H312=0,0,(VLOOKUP(H312,'MTRL MSK (TPDP)'!$H$9:$U637,5,0)))</f>
        <v>0</v>
      </c>
      <c r="P312" s="448">
        <f t="shared" si="4"/>
        <v>0</v>
      </c>
      <c r="Q312" s="448">
        <f t="shared" si="5"/>
        <v>0</v>
      </c>
      <c r="R312" s="648" t="str">
        <f>IFERROR(IF(S312="","",(VLOOKUP(S312,'1. BQ RAPL'!$D$14:$K637,8,0))),"")</f>
        <v/>
      </c>
      <c r="S312" s="649"/>
      <c r="T312" s="650"/>
      <c r="U312" s="16"/>
      <c r="V312" s="16"/>
      <c r="W312" s="16"/>
      <c r="X312" s="119"/>
      <c r="Y312" s="119"/>
      <c r="Z312" s="119"/>
      <c r="AA312" s="119"/>
      <c r="AB312" s="119"/>
      <c r="AC312" s="119"/>
      <c r="AD312" s="119"/>
      <c r="AE312" s="119"/>
      <c r="AF312" s="119"/>
    </row>
    <row r="313" ht="18.75" customHeight="1">
      <c r="A313" s="119"/>
      <c r="B313" s="652"/>
      <c r="C313" s="642">
        <f>IF(F313=0,0,(VLOOKUP(F313,'MTRL MSK (TPDP)'!$F$9:$W637,18,0)))</f>
        <v>0</v>
      </c>
      <c r="D313" s="642">
        <f>IF(C313=0,0,(VLOOKUP(C313,'MTRL MSK (TPDP)'!$B$9:$W637,3,0)))</f>
        <v>0</v>
      </c>
      <c r="E313" s="643" t="str">
        <f>iferror(IF(C313="","",(VLOOKUP(C313,'MTRL MSK (TPDP)'!$B$9:$W637,4,0))),"")</f>
        <v/>
      </c>
      <c r="F313" s="644">
        <f>IF(H313=0,0,(VLOOKUP(H313,'MTRL MSK (TPDP)'!$H$9:$X637,17,0)))</f>
        <v>0</v>
      </c>
      <c r="G313" s="645"/>
      <c r="H313" s="646"/>
      <c r="I313" s="446">
        <f>IF(H313=0,0,(VLOOKUP(H313,'MTRL MSK (TPDP)'!$H$9:$U637,2,0)))</f>
        <v>0</v>
      </c>
      <c r="J313" s="448" t="str">
        <f>IFERROR((IF(H313=0,0,(VLOOKUP(H313,'MTRL MSK (TPDP)'!$H$8:$U637,7,0))))/(IF(H313=0,0,(VLOOKUP(H313,'MTRL MSK (TPDP)'!$H$8:$U637,5,0)))),"")</f>
        <v/>
      </c>
      <c r="K313" s="559"/>
      <c r="L313" s="448">
        <f t="shared" si="1"/>
        <v>0</v>
      </c>
      <c r="M313" s="647">
        <f t="shared" si="2"/>
        <v>0</v>
      </c>
      <c r="N313" s="647">
        <f t="shared" si="3"/>
        <v>0</v>
      </c>
      <c r="O313" s="448">
        <f>IF(H313=0,0,(VLOOKUP(H313,'MTRL MSK (TPDP)'!$H$9:$U637,5,0)))</f>
        <v>0</v>
      </c>
      <c r="P313" s="448">
        <f t="shared" si="4"/>
        <v>0</v>
      </c>
      <c r="Q313" s="448">
        <f t="shared" si="5"/>
        <v>0</v>
      </c>
      <c r="R313" s="648" t="str">
        <f>IFERROR(IF(S313="","",(VLOOKUP(S313,'1. BQ RAPL'!$D$14:$K637,8,0))),"")</f>
        <v/>
      </c>
      <c r="S313" s="649"/>
      <c r="T313" s="650"/>
      <c r="U313" s="16"/>
      <c r="V313" s="16"/>
      <c r="W313" s="16"/>
      <c r="X313" s="119"/>
      <c r="Y313" s="119"/>
      <c r="Z313" s="119"/>
      <c r="AA313" s="119"/>
      <c r="AB313" s="119"/>
      <c r="AC313" s="119"/>
      <c r="AD313" s="119"/>
      <c r="AE313" s="119"/>
      <c r="AF313" s="119"/>
    </row>
    <row r="314" ht="18.75" customHeight="1">
      <c r="A314" s="119"/>
      <c r="B314" s="652"/>
      <c r="C314" s="642">
        <f>IF(F314=0,0,(VLOOKUP(F314,'MTRL MSK (TPDP)'!$F$9:$W637,18,0)))</f>
        <v>0</v>
      </c>
      <c r="D314" s="642">
        <f>IF(C314=0,0,(VLOOKUP(C314,'MTRL MSK (TPDP)'!$B$9:$W637,3,0)))</f>
        <v>0</v>
      </c>
      <c r="E314" s="643" t="str">
        <f>iferror(IF(C314="","",(VLOOKUP(C314,'MTRL MSK (TPDP)'!$B$9:$W637,4,0))),"")</f>
        <v/>
      </c>
      <c r="F314" s="644">
        <f>IF(H314=0,0,(VLOOKUP(H314,'MTRL MSK (TPDP)'!$H$9:$X637,17,0)))</f>
        <v>0</v>
      </c>
      <c r="G314" s="645"/>
      <c r="H314" s="646"/>
      <c r="I314" s="446">
        <f>IF(H314=0,0,(VLOOKUP(H314,'MTRL MSK (TPDP)'!$H$9:$U637,2,0)))</f>
        <v>0</v>
      </c>
      <c r="J314" s="448" t="str">
        <f>IFERROR((IF(H314=0,0,(VLOOKUP(H314,'MTRL MSK (TPDP)'!$H$8:$U637,7,0))))/(IF(H314=0,0,(VLOOKUP(H314,'MTRL MSK (TPDP)'!$H$8:$U637,5,0)))),"")</f>
        <v/>
      </c>
      <c r="K314" s="559"/>
      <c r="L314" s="448">
        <f t="shared" si="1"/>
        <v>0</v>
      </c>
      <c r="M314" s="647">
        <f t="shared" si="2"/>
        <v>0</v>
      </c>
      <c r="N314" s="647">
        <f t="shared" si="3"/>
        <v>0</v>
      </c>
      <c r="O314" s="448">
        <f>IF(H314=0,0,(VLOOKUP(H314,'MTRL MSK (TPDP)'!$H$9:$U637,5,0)))</f>
        <v>0</v>
      </c>
      <c r="P314" s="448">
        <f t="shared" si="4"/>
        <v>0</v>
      </c>
      <c r="Q314" s="448">
        <f t="shared" si="5"/>
        <v>0</v>
      </c>
      <c r="R314" s="648" t="str">
        <f>IFERROR(IF(S314="","",(VLOOKUP(S314,'1. BQ RAPL'!$D$14:$K637,8,0))),"")</f>
        <v/>
      </c>
      <c r="S314" s="649"/>
      <c r="T314" s="650"/>
      <c r="U314" s="16"/>
      <c r="V314" s="16"/>
      <c r="W314" s="16"/>
      <c r="X314" s="119"/>
      <c r="Y314" s="119"/>
      <c r="Z314" s="119"/>
      <c r="AA314" s="119"/>
      <c r="AB314" s="119"/>
      <c r="AC314" s="119"/>
      <c r="AD314" s="119"/>
      <c r="AE314" s="119"/>
      <c r="AF314" s="119"/>
    </row>
    <row r="315" ht="18.75" customHeight="1">
      <c r="A315" s="119"/>
      <c r="B315" s="652"/>
      <c r="C315" s="642">
        <f>IF(F315=0,0,(VLOOKUP(F315,'MTRL MSK (TPDP)'!$F$9:$W637,18,0)))</f>
        <v>0</v>
      </c>
      <c r="D315" s="642">
        <f>IF(C315=0,0,(VLOOKUP(C315,'MTRL MSK (TPDP)'!$B$9:$W637,3,0)))</f>
        <v>0</v>
      </c>
      <c r="E315" s="643" t="str">
        <f>iferror(IF(C315="","",(VLOOKUP(C315,'MTRL MSK (TPDP)'!$B$9:$W637,4,0))),"")</f>
        <v/>
      </c>
      <c r="F315" s="644">
        <f>IF(H315=0,0,(VLOOKUP(H315,'MTRL MSK (TPDP)'!$H$9:$X637,17,0)))</f>
        <v>0</v>
      </c>
      <c r="G315" s="645"/>
      <c r="H315" s="646"/>
      <c r="I315" s="446">
        <f>IF(H315=0,0,(VLOOKUP(H315,'MTRL MSK (TPDP)'!$H$9:$U637,2,0)))</f>
        <v>0</v>
      </c>
      <c r="J315" s="448" t="str">
        <f>IFERROR((IF(H315=0,0,(VLOOKUP(H315,'MTRL MSK (TPDP)'!$H$8:$U637,7,0))))/(IF(H315=0,0,(VLOOKUP(H315,'MTRL MSK (TPDP)'!$H$8:$U637,5,0)))),"")</f>
        <v/>
      </c>
      <c r="K315" s="559"/>
      <c r="L315" s="448">
        <f t="shared" si="1"/>
        <v>0</v>
      </c>
      <c r="M315" s="647">
        <f t="shared" si="2"/>
        <v>0</v>
      </c>
      <c r="N315" s="647">
        <f t="shared" si="3"/>
        <v>0</v>
      </c>
      <c r="O315" s="448">
        <f>IF(H315=0,0,(VLOOKUP(H315,'MTRL MSK (TPDP)'!$H$9:$U637,5,0)))</f>
        <v>0</v>
      </c>
      <c r="P315" s="448">
        <f t="shared" si="4"/>
        <v>0</v>
      </c>
      <c r="Q315" s="448">
        <f t="shared" si="5"/>
        <v>0</v>
      </c>
      <c r="R315" s="648" t="str">
        <f>IFERROR(IF(S315="","",(VLOOKUP(S315,'1. BQ RAPL'!$D$14:$K637,8,0))),"")</f>
        <v/>
      </c>
      <c r="S315" s="649"/>
      <c r="T315" s="650"/>
      <c r="U315" s="16"/>
      <c r="V315" s="16"/>
      <c r="W315" s="16"/>
      <c r="X315" s="119"/>
      <c r="Y315" s="119"/>
      <c r="Z315" s="119"/>
      <c r="AA315" s="119"/>
      <c r="AB315" s="119"/>
      <c r="AC315" s="119"/>
      <c r="AD315" s="119"/>
      <c r="AE315" s="119"/>
      <c r="AF315" s="119"/>
    </row>
    <row r="316" ht="18.75" customHeight="1">
      <c r="A316" s="119"/>
      <c r="B316" s="652"/>
      <c r="C316" s="642">
        <f>IF(F316=0,0,(VLOOKUP(F316,'MTRL MSK (TPDP)'!$F$9:$W637,18,0)))</f>
        <v>0</v>
      </c>
      <c r="D316" s="642">
        <f>IF(C316=0,0,(VLOOKUP(C316,'MTRL MSK (TPDP)'!$B$9:$W637,3,0)))</f>
        <v>0</v>
      </c>
      <c r="E316" s="643" t="str">
        <f>iferror(IF(C316="","",(VLOOKUP(C316,'MTRL MSK (TPDP)'!$B$9:$W637,4,0))),"")</f>
        <v/>
      </c>
      <c r="F316" s="644">
        <f>IF(H316=0,0,(VLOOKUP(H316,'MTRL MSK (TPDP)'!$H$9:$X637,17,0)))</f>
        <v>0</v>
      </c>
      <c r="G316" s="645"/>
      <c r="H316" s="646"/>
      <c r="I316" s="446">
        <f>IF(H316=0,0,(VLOOKUP(H316,'MTRL MSK (TPDP)'!$H$9:$U637,2,0)))</f>
        <v>0</v>
      </c>
      <c r="J316" s="448" t="str">
        <f>IFERROR((IF(H316=0,0,(VLOOKUP(H316,'MTRL MSK (TPDP)'!$H$8:$U637,7,0))))/(IF(H316=0,0,(VLOOKUP(H316,'MTRL MSK (TPDP)'!$H$8:$U637,5,0)))),"")</f>
        <v/>
      </c>
      <c r="K316" s="559"/>
      <c r="L316" s="448">
        <f t="shared" si="1"/>
        <v>0</v>
      </c>
      <c r="M316" s="647">
        <f t="shared" si="2"/>
        <v>0</v>
      </c>
      <c r="N316" s="647">
        <f t="shared" si="3"/>
        <v>0</v>
      </c>
      <c r="O316" s="448">
        <f>IF(H316=0,0,(VLOOKUP(H316,'MTRL MSK (TPDP)'!$H$9:$U637,5,0)))</f>
        <v>0</v>
      </c>
      <c r="P316" s="448">
        <f t="shared" si="4"/>
        <v>0</v>
      </c>
      <c r="Q316" s="448">
        <f t="shared" si="5"/>
        <v>0</v>
      </c>
      <c r="R316" s="648" t="str">
        <f>IFERROR(IF(S316="","",(VLOOKUP(S316,'1. BQ RAPL'!$D$14:$K637,8,0))),"")</f>
        <v/>
      </c>
      <c r="S316" s="649"/>
      <c r="T316" s="650"/>
      <c r="U316" s="16"/>
      <c r="V316" s="16"/>
      <c r="W316" s="16"/>
      <c r="X316" s="119"/>
      <c r="Y316" s="119"/>
      <c r="Z316" s="119"/>
      <c r="AA316" s="119"/>
      <c r="AB316" s="119"/>
      <c r="AC316" s="119"/>
      <c r="AD316" s="119"/>
      <c r="AE316" s="119"/>
      <c r="AF316" s="119"/>
    </row>
    <row r="317" ht="18.75" customHeight="1">
      <c r="A317" s="119"/>
      <c r="B317" s="652"/>
      <c r="C317" s="642">
        <f>IF(F317=0,0,(VLOOKUP(F317,'MTRL MSK (TPDP)'!$F$9:$W637,18,0)))</f>
        <v>0</v>
      </c>
      <c r="D317" s="642">
        <f>IF(C317=0,0,(VLOOKUP(C317,'MTRL MSK (TPDP)'!$B$9:$W637,3,0)))</f>
        <v>0</v>
      </c>
      <c r="E317" s="643" t="str">
        <f>iferror(IF(C317="","",(VLOOKUP(C317,'MTRL MSK (TPDP)'!$B$9:$W637,4,0))),"")</f>
        <v/>
      </c>
      <c r="F317" s="644">
        <f>IF(H317=0,0,(VLOOKUP(H317,'MTRL MSK (TPDP)'!$H$9:$X637,17,0)))</f>
        <v>0</v>
      </c>
      <c r="G317" s="645"/>
      <c r="H317" s="646"/>
      <c r="I317" s="446">
        <f>IF(H317=0,0,(VLOOKUP(H317,'MTRL MSK (TPDP)'!$H$9:$U637,2,0)))</f>
        <v>0</v>
      </c>
      <c r="J317" s="448" t="str">
        <f>IFERROR((IF(H317=0,0,(VLOOKUP(H317,'MTRL MSK (TPDP)'!$H$8:$U637,7,0))))/(IF(H317=0,0,(VLOOKUP(H317,'MTRL MSK (TPDP)'!$H$8:$U637,5,0)))),"")</f>
        <v/>
      </c>
      <c r="K317" s="559"/>
      <c r="L317" s="448">
        <f t="shared" si="1"/>
        <v>0</v>
      </c>
      <c r="M317" s="647">
        <f t="shared" si="2"/>
        <v>0</v>
      </c>
      <c r="N317" s="647">
        <f t="shared" si="3"/>
        <v>0</v>
      </c>
      <c r="O317" s="448">
        <f>IF(H317=0,0,(VLOOKUP(H317,'MTRL MSK (TPDP)'!$H$9:$U637,5,0)))</f>
        <v>0</v>
      </c>
      <c r="P317" s="448">
        <f t="shared" si="4"/>
        <v>0</v>
      </c>
      <c r="Q317" s="448">
        <f t="shared" si="5"/>
        <v>0</v>
      </c>
      <c r="R317" s="648" t="str">
        <f>IFERROR(IF(S317="","",(VLOOKUP(S317,'1. BQ RAPL'!$D$14:$K637,8,0))),"")</f>
        <v/>
      </c>
      <c r="S317" s="649"/>
      <c r="T317" s="650"/>
      <c r="U317" s="16"/>
      <c r="V317" s="16"/>
      <c r="W317" s="16"/>
      <c r="X317" s="119"/>
      <c r="Y317" s="119"/>
      <c r="Z317" s="119"/>
      <c r="AA317" s="119"/>
      <c r="AB317" s="119"/>
      <c r="AC317" s="119"/>
      <c r="AD317" s="119"/>
      <c r="AE317" s="119"/>
      <c r="AF317" s="119"/>
    </row>
    <row r="318" ht="18.75" customHeight="1">
      <c r="A318" s="119"/>
      <c r="B318" s="652"/>
      <c r="C318" s="642">
        <f>IF(F318=0,0,(VLOOKUP(F318,'MTRL MSK (TPDP)'!$F$9:$W637,18,0)))</f>
        <v>0</v>
      </c>
      <c r="D318" s="642">
        <f>IF(C318=0,0,(VLOOKUP(C318,'MTRL MSK (TPDP)'!$B$9:$W637,3,0)))</f>
        <v>0</v>
      </c>
      <c r="E318" s="643" t="str">
        <f>iferror(IF(C318="","",(VLOOKUP(C318,'MTRL MSK (TPDP)'!$B$9:$W637,4,0))),"")</f>
        <v/>
      </c>
      <c r="F318" s="644">
        <f>IF(H318=0,0,(VLOOKUP(H318,'MTRL MSK (TPDP)'!$H$9:$X637,17,0)))</f>
        <v>0</v>
      </c>
      <c r="G318" s="645"/>
      <c r="H318" s="646"/>
      <c r="I318" s="446">
        <f>IF(H318=0,0,(VLOOKUP(H318,'MTRL MSK (TPDP)'!$H$9:$U637,2,0)))</f>
        <v>0</v>
      </c>
      <c r="J318" s="448" t="str">
        <f>IFERROR((IF(H318=0,0,(VLOOKUP(H318,'MTRL MSK (TPDP)'!$H$8:$U637,7,0))))/(IF(H318=0,0,(VLOOKUP(H318,'MTRL MSK (TPDP)'!$H$8:$U637,5,0)))),"")</f>
        <v/>
      </c>
      <c r="K318" s="559"/>
      <c r="L318" s="448">
        <f t="shared" si="1"/>
        <v>0</v>
      </c>
      <c r="M318" s="647">
        <f t="shared" si="2"/>
        <v>0</v>
      </c>
      <c r="N318" s="647">
        <f t="shared" si="3"/>
        <v>0</v>
      </c>
      <c r="O318" s="448">
        <f>IF(H318=0,0,(VLOOKUP(H318,'MTRL MSK (TPDP)'!$H$9:$U637,5,0)))</f>
        <v>0</v>
      </c>
      <c r="P318" s="448">
        <f t="shared" si="4"/>
        <v>0</v>
      </c>
      <c r="Q318" s="448">
        <f t="shared" si="5"/>
        <v>0</v>
      </c>
      <c r="R318" s="648" t="str">
        <f>IFERROR(IF(S318="","",(VLOOKUP(S318,'1. BQ RAPL'!$D$14:$K637,8,0))),"")</f>
        <v/>
      </c>
      <c r="S318" s="649"/>
      <c r="T318" s="650"/>
      <c r="U318" s="16"/>
      <c r="V318" s="16"/>
      <c r="W318" s="16"/>
      <c r="X318" s="119"/>
      <c r="Y318" s="119"/>
      <c r="Z318" s="119"/>
      <c r="AA318" s="119"/>
      <c r="AB318" s="119"/>
      <c r="AC318" s="119"/>
      <c r="AD318" s="119"/>
      <c r="AE318" s="119"/>
      <c r="AF318" s="119"/>
    </row>
    <row r="319" ht="18.75" customHeight="1">
      <c r="A319" s="119"/>
      <c r="B319" s="652"/>
      <c r="C319" s="642">
        <f>IF(F319=0,0,(VLOOKUP(F319,'MTRL MSK (TPDP)'!$F$9:$W637,18,0)))</f>
        <v>0</v>
      </c>
      <c r="D319" s="642">
        <f>IF(C319=0,0,(VLOOKUP(C319,'MTRL MSK (TPDP)'!$B$9:$W637,3,0)))</f>
        <v>0</v>
      </c>
      <c r="E319" s="643" t="str">
        <f>iferror(IF(C319="","",(VLOOKUP(C319,'MTRL MSK (TPDP)'!$B$9:$W637,4,0))),"")</f>
        <v/>
      </c>
      <c r="F319" s="644">
        <f>IF(H319=0,0,(VLOOKUP(H319,'MTRL MSK (TPDP)'!$H$9:$X637,17,0)))</f>
        <v>0</v>
      </c>
      <c r="G319" s="645"/>
      <c r="H319" s="646"/>
      <c r="I319" s="446">
        <f>IF(H319=0,0,(VLOOKUP(H319,'MTRL MSK (TPDP)'!$H$9:$U637,2,0)))</f>
        <v>0</v>
      </c>
      <c r="J319" s="448" t="str">
        <f>IFERROR((IF(H319=0,0,(VLOOKUP(H319,'MTRL MSK (TPDP)'!$H$8:$U637,7,0))))/(IF(H319=0,0,(VLOOKUP(H319,'MTRL MSK (TPDP)'!$H$8:$U637,5,0)))),"")</f>
        <v/>
      </c>
      <c r="K319" s="559"/>
      <c r="L319" s="448">
        <f t="shared" si="1"/>
        <v>0</v>
      </c>
      <c r="M319" s="647">
        <f t="shared" si="2"/>
        <v>0</v>
      </c>
      <c r="N319" s="647">
        <f t="shared" si="3"/>
        <v>0</v>
      </c>
      <c r="O319" s="448">
        <f>IF(H319=0,0,(VLOOKUP(H319,'MTRL MSK (TPDP)'!$H$9:$U637,5,0)))</f>
        <v>0</v>
      </c>
      <c r="P319" s="448">
        <f t="shared" si="4"/>
        <v>0</v>
      </c>
      <c r="Q319" s="448">
        <f t="shared" si="5"/>
        <v>0</v>
      </c>
      <c r="R319" s="648" t="str">
        <f>IFERROR(IF(S319="","",(VLOOKUP(S319,'1. BQ RAPL'!$D$14:$K637,8,0))),"")</f>
        <v/>
      </c>
      <c r="S319" s="649"/>
      <c r="T319" s="650"/>
      <c r="U319" s="16"/>
      <c r="V319" s="16"/>
      <c r="W319" s="16"/>
      <c r="X319" s="119"/>
      <c r="Y319" s="119"/>
      <c r="Z319" s="119"/>
      <c r="AA319" s="119"/>
      <c r="AB319" s="119"/>
      <c r="AC319" s="119"/>
      <c r="AD319" s="119"/>
      <c r="AE319" s="119"/>
      <c r="AF319" s="119"/>
    </row>
    <row r="320" ht="18.75" customHeight="1">
      <c r="A320" s="119"/>
      <c r="B320" s="652"/>
      <c r="C320" s="642">
        <f>IF(F320=0,0,(VLOOKUP(F320,'MTRL MSK (TPDP)'!$F$9:$W637,18,0)))</f>
        <v>0</v>
      </c>
      <c r="D320" s="642">
        <f>IF(C320=0,0,(VLOOKUP(C320,'MTRL MSK (TPDP)'!$B$9:$W637,3,0)))</f>
        <v>0</v>
      </c>
      <c r="E320" s="643" t="str">
        <f>iferror(IF(C320="","",(VLOOKUP(C320,'MTRL MSK (TPDP)'!$B$9:$W637,4,0))),"")</f>
        <v/>
      </c>
      <c r="F320" s="644">
        <f>IF(H320=0,0,(VLOOKUP(H320,'MTRL MSK (TPDP)'!$H$9:$X637,17,0)))</f>
        <v>0</v>
      </c>
      <c r="G320" s="645"/>
      <c r="H320" s="646"/>
      <c r="I320" s="446">
        <f>IF(H320=0,0,(VLOOKUP(H320,'MTRL MSK (TPDP)'!$H$9:$U637,2,0)))</f>
        <v>0</v>
      </c>
      <c r="J320" s="448" t="str">
        <f>IFERROR((IF(H320=0,0,(VLOOKUP(H320,'MTRL MSK (TPDP)'!$H$8:$U637,7,0))))/(IF(H320=0,0,(VLOOKUP(H320,'MTRL MSK (TPDP)'!$H$8:$U637,5,0)))),"")</f>
        <v/>
      </c>
      <c r="K320" s="559"/>
      <c r="L320" s="448">
        <f t="shared" si="1"/>
        <v>0</v>
      </c>
      <c r="M320" s="647">
        <f t="shared" si="2"/>
        <v>0</v>
      </c>
      <c r="N320" s="647">
        <f t="shared" si="3"/>
        <v>0</v>
      </c>
      <c r="O320" s="448">
        <f>IF(H320=0,0,(VLOOKUP(H320,'MTRL MSK (TPDP)'!$H$9:$U637,5,0)))</f>
        <v>0</v>
      </c>
      <c r="P320" s="448">
        <f t="shared" si="4"/>
        <v>0</v>
      </c>
      <c r="Q320" s="448">
        <f t="shared" si="5"/>
        <v>0</v>
      </c>
      <c r="R320" s="648" t="str">
        <f>IFERROR(IF(S320="","",(VLOOKUP(S320,'1. BQ RAPL'!$D$14:$K637,8,0))),"")</f>
        <v/>
      </c>
      <c r="S320" s="649"/>
      <c r="T320" s="650"/>
      <c r="U320" s="16"/>
      <c r="V320" s="16"/>
      <c r="W320" s="16"/>
      <c r="X320" s="119"/>
      <c r="Y320" s="119"/>
      <c r="Z320" s="119"/>
      <c r="AA320" s="119"/>
      <c r="AB320" s="119"/>
      <c r="AC320" s="119"/>
      <c r="AD320" s="119"/>
      <c r="AE320" s="119"/>
      <c r="AF320" s="119"/>
    </row>
    <row r="321" ht="18.75" customHeight="1">
      <c r="A321" s="119"/>
      <c r="B321" s="652"/>
      <c r="C321" s="642">
        <f>IF(F321=0,0,(VLOOKUP(F321,'MTRL MSK (TPDP)'!$F$9:$W637,18,0)))</f>
        <v>0</v>
      </c>
      <c r="D321" s="642">
        <f>IF(C321=0,0,(VLOOKUP(C321,'MTRL MSK (TPDP)'!$B$9:$W637,3,0)))</f>
        <v>0</v>
      </c>
      <c r="E321" s="643" t="str">
        <f>iferror(IF(C321="","",(VLOOKUP(C321,'MTRL MSK (TPDP)'!$B$9:$W637,4,0))),"")</f>
        <v/>
      </c>
      <c r="F321" s="644">
        <f>IF(H321=0,0,(VLOOKUP(H321,'MTRL MSK (TPDP)'!$H$9:$X637,17,0)))</f>
        <v>0</v>
      </c>
      <c r="G321" s="645"/>
      <c r="H321" s="646"/>
      <c r="I321" s="446">
        <f>IF(H321=0,0,(VLOOKUP(H321,'MTRL MSK (TPDP)'!$H$9:$U637,2,0)))</f>
        <v>0</v>
      </c>
      <c r="J321" s="448" t="str">
        <f>IFERROR((IF(H321=0,0,(VLOOKUP(H321,'MTRL MSK (TPDP)'!$H$8:$U637,7,0))))/(IF(H321=0,0,(VLOOKUP(H321,'MTRL MSK (TPDP)'!$H$8:$U637,5,0)))),"")</f>
        <v/>
      </c>
      <c r="K321" s="559"/>
      <c r="L321" s="448">
        <f t="shared" si="1"/>
        <v>0</v>
      </c>
      <c r="M321" s="647">
        <f t="shared" si="2"/>
        <v>0</v>
      </c>
      <c r="N321" s="647">
        <f t="shared" si="3"/>
        <v>0</v>
      </c>
      <c r="O321" s="448">
        <f>IF(H321=0,0,(VLOOKUP(H321,'MTRL MSK (TPDP)'!$H$9:$U637,5,0)))</f>
        <v>0</v>
      </c>
      <c r="P321" s="448">
        <f t="shared" si="4"/>
        <v>0</v>
      </c>
      <c r="Q321" s="448">
        <f t="shared" si="5"/>
        <v>0</v>
      </c>
      <c r="R321" s="648" t="str">
        <f>IFERROR(IF(S321="","",(VLOOKUP(S321,'1. BQ RAPL'!$D$14:$K637,8,0))),"")</f>
        <v/>
      </c>
      <c r="S321" s="649"/>
      <c r="T321" s="650"/>
      <c r="U321" s="16"/>
      <c r="V321" s="16"/>
      <c r="W321" s="16"/>
      <c r="X321" s="119"/>
      <c r="Y321" s="119"/>
      <c r="Z321" s="119"/>
      <c r="AA321" s="119"/>
      <c r="AB321" s="119"/>
      <c r="AC321" s="119"/>
      <c r="AD321" s="119"/>
      <c r="AE321" s="119"/>
      <c r="AF321" s="119"/>
    </row>
    <row r="322" ht="18.75" customHeight="1">
      <c r="A322" s="119"/>
      <c r="B322" s="652"/>
      <c r="C322" s="642">
        <f>IF(F322=0,0,(VLOOKUP(F322,'MTRL MSK (TPDP)'!$F$9:$W637,18,0)))</f>
        <v>0</v>
      </c>
      <c r="D322" s="642">
        <f>IF(C322=0,0,(VLOOKUP(C322,'MTRL MSK (TPDP)'!$B$9:$W637,3,0)))</f>
        <v>0</v>
      </c>
      <c r="E322" s="643" t="str">
        <f>iferror(IF(C322="","",(VLOOKUP(C322,'MTRL MSK (TPDP)'!$B$9:$W637,4,0))),"")</f>
        <v/>
      </c>
      <c r="F322" s="644">
        <f>IF(H322=0,0,(VLOOKUP(H322,'MTRL MSK (TPDP)'!$H$9:$X637,17,0)))</f>
        <v>0</v>
      </c>
      <c r="G322" s="645"/>
      <c r="H322" s="646"/>
      <c r="I322" s="446">
        <f>IF(H322=0,0,(VLOOKUP(H322,'MTRL MSK (TPDP)'!$H$9:$U637,2,0)))</f>
        <v>0</v>
      </c>
      <c r="J322" s="448" t="str">
        <f>IFERROR((IF(H322=0,0,(VLOOKUP(H322,'MTRL MSK (TPDP)'!$H$8:$U637,7,0))))/(IF(H322=0,0,(VLOOKUP(H322,'MTRL MSK (TPDP)'!$H$8:$U637,5,0)))),"")</f>
        <v/>
      </c>
      <c r="K322" s="559"/>
      <c r="L322" s="448">
        <f t="shared" si="1"/>
        <v>0</v>
      </c>
      <c r="M322" s="647">
        <f t="shared" si="2"/>
        <v>0</v>
      </c>
      <c r="N322" s="647">
        <f t="shared" si="3"/>
        <v>0</v>
      </c>
      <c r="O322" s="448">
        <f>IF(H322=0,0,(VLOOKUP(H322,'MTRL MSK (TPDP)'!$H$9:$U637,5,0)))</f>
        <v>0</v>
      </c>
      <c r="P322" s="448">
        <f t="shared" si="4"/>
        <v>0</v>
      </c>
      <c r="Q322" s="448">
        <f t="shared" si="5"/>
        <v>0</v>
      </c>
      <c r="R322" s="648" t="str">
        <f>IFERROR(IF(S322="","",(VLOOKUP(S322,'1. BQ RAPL'!$D$14:$K637,8,0))),"")</f>
        <v/>
      </c>
      <c r="S322" s="649"/>
      <c r="T322" s="650"/>
      <c r="U322" s="16"/>
      <c r="V322" s="16"/>
      <c r="W322" s="16"/>
      <c r="X322" s="119"/>
      <c r="Y322" s="119"/>
      <c r="Z322" s="119"/>
      <c r="AA322" s="119"/>
      <c r="AB322" s="119"/>
      <c r="AC322" s="119"/>
      <c r="AD322" s="119"/>
      <c r="AE322" s="119"/>
      <c r="AF322" s="119"/>
    </row>
    <row r="323" ht="18.75" customHeight="1">
      <c r="A323" s="119"/>
      <c r="B323" s="652"/>
      <c r="C323" s="642">
        <f>IF(F323=0,0,(VLOOKUP(F323,'MTRL MSK (TPDP)'!$F$9:$W637,18,0)))</f>
        <v>0</v>
      </c>
      <c r="D323" s="642">
        <f>IF(C323=0,0,(VLOOKUP(C323,'MTRL MSK (TPDP)'!$B$9:$W637,3,0)))</f>
        <v>0</v>
      </c>
      <c r="E323" s="643" t="str">
        <f>iferror(IF(C323="","",(VLOOKUP(C323,'MTRL MSK (TPDP)'!$B$9:$W637,4,0))),"")</f>
        <v/>
      </c>
      <c r="F323" s="644">
        <f>IF(H323=0,0,(VLOOKUP(H323,'MTRL MSK (TPDP)'!$H$9:$X637,17,0)))</f>
        <v>0</v>
      </c>
      <c r="G323" s="645"/>
      <c r="H323" s="646"/>
      <c r="I323" s="446">
        <f>IF(H323=0,0,(VLOOKUP(H323,'MTRL MSK (TPDP)'!$H$9:$U637,2,0)))</f>
        <v>0</v>
      </c>
      <c r="J323" s="448" t="str">
        <f>IFERROR((IF(H323=0,0,(VLOOKUP(H323,'MTRL MSK (TPDP)'!$H$8:$U637,7,0))))/(IF(H323=0,0,(VLOOKUP(H323,'MTRL MSK (TPDP)'!$H$8:$U637,5,0)))),"")</f>
        <v/>
      </c>
      <c r="K323" s="559"/>
      <c r="L323" s="448">
        <f t="shared" si="1"/>
        <v>0</v>
      </c>
      <c r="M323" s="647">
        <f t="shared" si="2"/>
        <v>0</v>
      </c>
      <c r="N323" s="647">
        <f t="shared" si="3"/>
        <v>0</v>
      </c>
      <c r="O323" s="448">
        <f>IF(H323=0,0,(VLOOKUP(H323,'MTRL MSK (TPDP)'!$H$9:$U637,5,0)))</f>
        <v>0</v>
      </c>
      <c r="P323" s="448">
        <f t="shared" si="4"/>
        <v>0</v>
      </c>
      <c r="Q323" s="448">
        <f t="shared" si="5"/>
        <v>0</v>
      </c>
      <c r="R323" s="648" t="str">
        <f>IFERROR(IF(S323="","",(VLOOKUP(S323,'1. BQ RAPL'!$D$14:$K637,8,0))),"")</f>
        <v/>
      </c>
      <c r="S323" s="649"/>
      <c r="T323" s="650"/>
      <c r="U323" s="16"/>
      <c r="V323" s="16"/>
      <c r="W323" s="16"/>
      <c r="X323" s="119"/>
      <c r="Y323" s="119"/>
      <c r="Z323" s="119"/>
      <c r="AA323" s="119"/>
      <c r="AB323" s="119"/>
      <c r="AC323" s="119"/>
      <c r="AD323" s="119"/>
      <c r="AE323" s="119"/>
      <c r="AF323" s="119"/>
    </row>
    <row r="324" ht="18.75" customHeight="1">
      <c r="A324" s="119"/>
      <c r="B324" s="652"/>
      <c r="C324" s="642">
        <f>IF(F324=0,0,(VLOOKUP(F324,'MTRL MSK (TPDP)'!$F$9:$W637,18,0)))</f>
        <v>0</v>
      </c>
      <c r="D324" s="642">
        <f>IF(C324=0,0,(VLOOKUP(C324,'MTRL MSK (TPDP)'!$B$9:$W637,3,0)))</f>
        <v>0</v>
      </c>
      <c r="E324" s="643" t="str">
        <f>iferror(IF(C324="","",(VLOOKUP(C324,'MTRL MSK (TPDP)'!$B$9:$W637,4,0))),"")</f>
        <v/>
      </c>
      <c r="F324" s="644">
        <f>IF(H324=0,0,(VLOOKUP(H324,'MTRL MSK (TPDP)'!$H$9:$X637,17,0)))</f>
        <v>0</v>
      </c>
      <c r="G324" s="645"/>
      <c r="H324" s="646"/>
      <c r="I324" s="446">
        <f>IF(H324=0,0,(VLOOKUP(H324,'MTRL MSK (TPDP)'!$H$9:$U637,2,0)))</f>
        <v>0</v>
      </c>
      <c r="J324" s="448" t="str">
        <f>IFERROR((IF(H324=0,0,(VLOOKUP(H324,'MTRL MSK (TPDP)'!$H$8:$U637,7,0))))/(IF(H324=0,0,(VLOOKUP(H324,'MTRL MSK (TPDP)'!$H$8:$U637,5,0)))),"")</f>
        <v/>
      </c>
      <c r="K324" s="559"/>
      <c r="L324" s="448">
        <f t="shared" si="1"/>
        <v>0</v>
      </c>
      <c r="M324" s="647">
        <f t="shared" si="2"/>
        <v>0</v>
      </c>
      <c r="N324" s="647">
        <f t="shared" si="3"/>
        <v>0</v>
      </c>
      <c r="O324" s="448">
        <f>IF(H324=0,0,(VLOOKUP(H324,'MTRL MSK (TPDP)'!$H$9:$U637,5,0)))</f>
        <v>0</v>
      </c>
      <c r="P324" s="448">
        <f t="shared" si="4"/>
        <v>0</v>
      </c>
      <c r="Q324" s="448">
        <f t="shared" si="5"/>
        <v>0</v>
      </c>
      <c r="R324" s="648" t="str">
        <f>IFERROR(IF(S324="","",(VLOOKUP(S324,'1. BQ RAPL'!$D$14:$K637,8,0))),"")</f>
        <v/>
      </c>
      <c r="S324" s="649"/>
      <c r="T324" s="650"/>
      <c r="U324" s="16"/>
      <c r="V324" s="16"/>
      <c r="W324" s="16"/>
      <c r="X324" s="119"/>
      <c r="Y324" s="119"/>
      <c r="Z324" s="119"/>
      <c r="AA324" s="119"/>
      <c r="AB324" s="119"/>
      <c r="AC324" s="119"/>
      <c r="AD324" s="119"/>
      <c r="AE324" s="119"/>
      <c r="AF324" s="119"/>
    </row>
    <row r="325" ht="18.75" customHeight="1">
      <c r="A325" s="119"/>
      <c r="B325" s="652"/>
      <c r="C325" s="642">
        <f>IF(F325=0,0,(VLOOKUP(F325,'MTRL MSK (TPDP)'!$F$9:$W637,18,0)))</f>
        <v>0</v>
      </c>
      <c r="D325" s="642">
        <f>IF(C325=0,0,(VLOOKUP(C325,'MTRL MSK (TPDP)'!$B$9:$W637,3,0)))</f>
        <v>0</v>
      </c>
      <c r="E325" s="643" t="str">
        <f>iferror(IF(C325="","",(VLOOKUP(C325,'MTRL MSK (TPDP)'!$B$9:$W637,4,0))),"")</f>
        <v/>
      </c>
      <c r="F325" s="644">
        <f>IF(H325=0,0,(VLOOKUP(H325,'MTRL MSK (TPDP)'!$H$9:$X637,17,0)))</f>
        <v>0</v>
      </c>
      <c r="G325" s="645"/>
      <c r="H325" s="646"/>
      <c r="I325" s="446">
        <f>IF(H325=0,0,(VLOOKUP(H325,'MTRL MSK (TPDP)'!$H$9:$U637,2,0)))</f>
        <v>0</v>
      </c>
      <c r="J325" s="448" t="str">
        <f>IFERROR((IF(H325=0,0,(VLOOKUP(H325,'MTRL MSK (TPDP)'!$H$8:$U637,7,0))))/(IF(H325=0,0,(VLOOKUP(H325,'MTRL MSK (TPDP)'!$H$8:$U637,5,0)))),"")</f>
        <v/>
      </c>
      <c r="K325" s="559"/>
      <c r="L325" s="448">
        <f t="shared" si="1"/>
        <v>0</v>
      </c>
      <c r="M325" s="647">
        <f t="shared" si="2"/>
        <v>0</v>
      </c>
      <c r="N325" s="647">
        <f t="shared" si="3"/>
        <v>0</v>
      </c>
      <c r="O325" s="448">
        <f>IF(H325=0,0,(VLOOKUP(H325,'MTRL MSK (TPDP)'!$H$9:$U637,5,0)))</f>
        <v>0</v>
      </c>
      <c r="P325" s="448">
        <f t="shared" si="4"/>
        <v>0</v>
      </c>
      <c r="Q325" s="448">
        <f t="shared" si="5"/>
        <v>0</v>
      </c>
      <c r="R325" s="648" t="str">
        <f>IFERROR(IF(S325="","",(VLOOKUP(S325,'1. BQ RAPL'!$D$14:$K637,8,0))),"")</f>
        <v/>
      </c>
      <c r="S325" s="649"/>
      <c r="T325" s="650"/>
      <c r="U325" s="16"/>
      <c r="V325" s="16"/>
      <c r="W325" s="16"/>
      <c r="X325" s="119"/>
      <c r="Y325" s="119"/>
      <c r="Z325" s="119"/>
      <c r="AA325" s="119"/>
      <c r="AB325" s="119"/>
      <c r="AC325" s="119"/>
      <c r="AD325" s="119"/>
      <c r="AE325" s="119"/>
      <c r="AF325" s="119"/>
    </row>
    <row r="326" ht="18.75" customHeight="1">
      <c r="A326" s="119"/>
      <c r="B326" s="652"/>
      <c r="C326" s="642">
        <f>IF(F326=0,0,(VLOOKUP(F326,'MTRL MSK (TPDP)'!$F$9:$W637,18,0)))</f>
        <v>0</v>
      </c>
      <c r="D326" s="642">
        <f>IF(C326=0,0,(VLOOKUP(C326,'MTRL MSK (TPDP)'!$B$9:$W637,3,0)))</f>
        <v>0</v>
      </c>
      <c r="E326" s="643" t="str">
        <f>iferror(IF(C326="","",(VLOOKUP(C326,'MTRL MSK (TPDP)'!$B$9:$W637,4,0))),"")</f>
        <v/>
      </c>
      <c r="F326" s="644">
        <f>IF(H326=0,0,(VLOOKUP(H326,'MTRL MSK (TPDP)'!$H$9:$X637,17,0)))</f>
        <v>0</v>
      </c>
      <c r="G326" s="645"/>
      <c r="H326" s="646"/>
      <c r="I326" s="446">
        <f>IF(H326=0,0,(VLOOKUP(H326,'MTRL MSK (TPDP)'!$H$9:$U637,2,0)))</f>
        <v>0</v>
      </c>
      <c r="J326" s="448" t="str">
        <f>IFERROR((IF(H326=0,0,(VLOOKUP(H326,'MTRL MSK (TPDP)'!$H$8:$U637,7,0))))/(IF(H326=0,0,(VLOOKUP(H326,'MTRL MSK (TPDP)'!$H$8:$U637,5,0)))),"")</f>
        <v/>
      </c>
      <c r="K326" s="559"/>
      <c r="L326" s="448">
        <f t="shared" si="1"/>
        <v>0</v>
      </c>
      <c r="M326" s="647">
        <f t="shared" si="2"/>
        <v>0</v>
      </c>
      <c r="N326" s="647">
        <f t="shared" si="3"/>
        <v>0</v>
      </c>
      <c r="O326" s="448">
        <f>IF(H326=0,0,(VLOOKUP(H326,'MTRL MSK (TPDP)'!$H$9:$U637,5,0)))</f>
        <v>0</v>
      </c>
      <c r="P326" s="448">
        <f t="shared" si="4"/>
        <v>0</v>
      </c>
      <c r="Q326" s="448">
        <f t="shared" si="5"/>
        <v>0</v>
      </c>
      <c r="R326" s="648" t="str">
        <f>IFERROR(IF(S326="","",(VLOOKUP(S326,'1. BQ RAPL'!$D$14:$K637,8,0))),"")</f>
        <v/>
      </c>
      <c r="S326" s="649"/>
      <c r="T326" s="650"/>
      <c r="U326" s="16"/>
      <c r="V326" s="16"/>
      <c r="W326" s="16"/>
      <c r="X326" s="119"/>
      <c r="Y326" s="119"/>
      <c r="Z326" s="119"/>
      <c r="AA326" s="119"/>
      <c r="AB326" s="119"/>
      <c r="AC326" s="119"/>
      <c r="AD326" s="119"/>
      <c r="AE326" s="119"/>
      <c r="AF326" s="119"/>
    </row>
    <row r="327" ht="18.75" customHeight="1">
      <c r="A327" s="119"/>
      <c r="B327" s="652"/>
      <c r="C327" s="642">
        <f>IF(F327=0,0,(VLOOKUP(F327,'MTRL MSK (TPDP)'!$F$9:$W637,18,0)))</f>
        <v>0</v>
      </c>
      <c r="D327" s="642">
        <f>IF(C327=0,0,(VLOOKUP(C327,'MTRL MSK (TPDP)'!$B$9:$W637,3,0)))</f>
        <v>0</v>
      </c>
      <c r="E327" s="643" t="str">
        <f>iferror(IF(C327="","",(VLOOKUP(C327,'MTRL MSK (TPDP)'!$B$9:$W637,4,0))),"")</f>
        <v/>
      </c>
      <c r="F327" s="644">
        <f>IF(H327=0,0,(VLOOKUP(H327,'MTRL MSK (TPDP)'!$H$9:$X637,17,0)))</f>
        <v>0</v>
      </c>
      <c r="G327" s="645"/>
      <c r="H327" s="646"/>
      <c r="I327" s="446">
        <f>IF(H327=0,0,(VLOOKUP(H327,'MTRL MSK (TPDP)'!$H$9:$U637,2,0)))</f>
        <v>0</v>
      </c>
      <c r="J327" s="448" t="str">
        <f>IFERROR((IF(H327=0,0,(VLOOKUP(H327,'MTRL MSK (TPDP)'!$H$8:$U637,7,0))))/(IF(H327=0,0,(VLOOKUP(H327,'MTRL MSK (TPDP)'!$H$8:$U637,5,0)))),"")</f>
        <v/>
      </c>
      <c r="K327" s="559"/>
      <c r="L327" s="448">
        <f t="shared" si="1"/>
        <v>0</v>
      </c>
      <c r="M327" s="647">
        <f t="shared" si="2"/>
        <v>0</v>
      </c>
      <c r="N327" s="647">
        <f t="shared" si="3"/>
        <v>0</v>
      </c>
      <c r="O327" s="448">
        <f>IF(H327=0,0,(VLOOKUP(H327,'MTRL MSK (TPDP)'!$H$9:$U637,5,0)))</f>
        <v>0</v>
      </c>
      <c r="P327" s="448">
        <f t="shared" si="4"/>
        <v>0</v>
      </c>
      <c r="Q327" s="448">
        <f t="shared" si="5"/>
        <v>0</v>
      </c>
      <c r="R327" s="648" t="str">
        <f>IFERROR(IF(S327="","",(VLOOKUP(S327,'1. BQ RAPL'!$D$14:$K637,8,0))),"")</f>
        <v/>
      </c>
      <c r="S327" s="649"/>
      <c r="T327" s="650"/>
      <c r="U327" s="16"/>
      <c r="V327" s="16"/>
      <c r="W327" s="16"/>
      <c r="X327" s="119"/>
      <c r="Y327" s="119"/>
      <c r="Z327" s="119"/>
      <c r="AA327" s="119"/>
      <c r="AB327" s="119"/>
      <c r="AC327" s="119"/>
      <c r="AD327" s="119"/>
      <c r="AE327" s="119"/>
      <c r="AF327" s="119"/>
    </row>
    <row r="328" ht="18.75" customHeight="1">
      <c r="A328" s="119"/>
      <c r="B328" s="652"/>
      <c r="C328" s="642">
        <f>IF(F328=0,0,(VLOOKUP(F328,'MTRL MSK (TPDP)'!$F$9:$W637,18,0)))</f>
        <v>0</v>
      </c>
      <c r="D328" s="642">
        <f>IF(C328=0,0,(VLOOKUP(C328,'MTRL MSK (TPDP)'!$B$9:$W637,3,0)))</f>
        <v>0</v>
      </c>
      <c r="E328" s="643" t="str">
        <f>iferror(IF(C328="","",(VLOOKUP(C328,'MTRL MSK (TPDP)'!$B$9:$W637,4,0))),"")</f>
        <v/>
      </c>
      <c r="F328" s="644">
        <f>IF(H328=0,0,(VLOOKUP(H328,'MTRL MSK (TPDP)'!$H$9:$X637,17,0)))</f>
        <v>0</v>
      </c>
      <c r="G328" s="645"/>
      <c r="H328" s="646"/>
      <c r="I328" s="446">
        <f>IF(H328=0,0,(VLOOKUP(H328,'MTRL MSK (TPDP)'!$H$9:$U637,2,0)))</f>
        <v>0</v>
      </c>
      <c r="J328" s="448" t="str">
        <f>IFERROR((IF(H328=0,0,(VLOOKUP(H328,'MTRL MSK (TPDP)'!$H$8:$U637,7,0))))/(IF(H328=0,0,(VLOOKUP(H328,'MTRL MSK (TPDP)'!$H$8:$U637,5,0)))),"")</f>
        <v/>
      </c>
      <c r="K328" s="559"/>
      <c r="L328" s="448">
        <f t="shared" si="1"/>
        <v>0</v>
      </c>
      <c r="M328" s="647">
        <f t="shared" si="2"/>
        <v>0</v>
      </c>
      <c r="N328" s="647">
        <f t="shared" si="3"/>
        <v>0</v>
      </c>
      <c r="O328" s="448">
        <f>IF(H328=0,0,(VLOOKUP(H328,'MTRL MSK (TPDP)'!$H$9:$U637,5,0)))</f>
        <v>0</v>
      </c>
      <c r="P328" s="448">
        <f t="shared" si="4"/>
        <v>0</v>
      </c>
      <c r="Q328" s="448">
        <f t="shared" si="5"/>
        <v>0</v>
      </c>
      <c r="R328" s="648" t="str">
        <f>IFERROR(IF(S328="","",(VLOOKUP(S328,'1. BQ RAPL'!$D$14:$K637,8,0))),"")</f>
        <v/>
      </c>
      <c r="S328" s="649"/>
      <c r="T328" s="650"/>
      <c r="U328" s="16"/>
      <c r="V328" s="16"/>
      <c r="W328" s="16"/>
      <c r="X328" s="119"/>
      <c r="Y328" s="119"/>
      <c r="Z328" s="119"/>
      <c r="AA328" s="119"/>
      <c r="AB328" s="119"/>
      <c r="AC328" s="119"/>
      <c r="AD328" s="119"/>
      <c r="AE328" s="119"/>
      <c r="AF328" s="119"/>
    </row>
    <row r="329" ht="18.75" customHeight="1">
      <c r="A329" s="119"/>
      <c r="B329" s="652"/>
      <c r="C329" s="642">
        <f>IF(F329=0,0,(VLOOKUP(F329,'MTRL MSK (TPDP)'!$F$9:$W637,18,0)))</f>
        <v>0</v>
      </c>
      <c r="D329" s="642">
        <f>IF(C329=0,0,(VLOOKUP(C329,'MTRL MSK (TPDP)'!$B$9:$W637,3,0)))</f>
        <v>0</v>
      </c>
      <c r="E329" s="643" t="str">
        <f>iferror(IF(C329="","",(VLOOKUP(C329,'MTRL MSK (TPDP)'!$B$9:$W637,4,0))),"")</f>
        <v/>
      </c>
      <c r="F329" s="644">
        <f>IF(H329=0,0,(VLOOKUP(H329,'MTRL MSK (TPDP)'!$H$9:$X637,17,0)))</f>
        <v>0</v>
      </c>
      <c r="G329" s="645"/>
      <c r="H329" s="646"/>
      <c r="I329" s="446">
        <f>IF(H329=0,0,(VLOOKUP(H329,'MTRL MSK (TPDP)'!$H$9:$U637,2,0)))</f>
        <v>0</v>
      </c>
      <c r="J329" s="448" t="str">
        <f>IFERROR((IF(H329=0,0,(VLOOKUP(H329,'MTRL MSK (TPDP)'!$H$8:$U637,7,0))))/(IF(H329=0,0,(VLOOKUP(H329,'MTRL MSK (TPDP)'!$H$8:$U637,5,0)))),"")</f>
        <v/>
      </c>
      <c r="K329" s="559"/>
      <c r="L329" s="448">
        <f t="shared" si="1"/>
        <v>0</v>
      </c>
      <c r="M329" s="647">
        <f t="shared" si="2"/>
        <v>0</v>
      </c>
      <c r="N329" s="647">
        <f t="shared" si="3"/>
        <v>0</v>
      </c>
      <c r="O329" s="448">
        <f>IF(H329=0,0,(VLOOKUP(H329,'MTRL MSK (TPDP)'!$H$9:$U637,5,0)))</f>
        <v>0</v>
      </c>
      <c r="P329" s="448">
        <f t="shared" si="4"/>
        <v>0</v>
      </c>
      <c r="Q329" s="448">
        <f t="shared" si="5"/>
        <v>0</v>
      </c>
      <c r="R329" s="648" t="str">
        <f>IFERROR(IF(S329="","",(VLOOKUP(S329,'1. BQ RAPL'!$D$14:$K637,8,0))),"")</f>
        <v/>
      </c>
      <c r="S329" s="649"/>
      <c r="T329" s="650"/>
      <c r="U329" s="16"/>
      <c r="V329" s="16"/>
      <c r="W329" s="16"/>
      <c r="X329" s="119"/>
      <c r="Y329" s="119"/>
      <c r="Z329" s="119"/>
      <c r="AA329" s="119"/>
      <c r="AB329" s="119"/>
      <c r="AC329" s="119"/>
      <c r="AD329" s="119"/>
      <c r="AE329" s="119"/>
      <c r="AF329" s="119"/>
    </row>
    <row r="330" ht="18.75" customHeight="1">
      <c r="A330" s="119"/>
      <c r="B330" s="652"/>
      <c r="C330" s="642">
        <f>IF(F330=0,0,(VLOOKUP(F330,'MTRL MSK (TPDP)'!$F$9:$W637,18,0)))</f>
        <v>0</v>
      </c>
      <c r="D330" s="642">
        <f>IF(C330=0,0,(VLOOKUP(C330,'MTRL MSK (TPDP)'!$B$9:$W637,3,0)))</f>
        <v>0</v>
      </c>
      <c r="E330" s="643" t="str">
        <f>iferror(IF(C330="","",(VLOOKUP(C330,'MTRL MSK (TPDP)'!$B$9:$W637,4,0))),"")</f>
        <v/>
      </c>
      <c r="F330" s="644">
        <f>IF(H330=0,0,(VLOOKUP(H330,'MTRL MSK (TPDP)'!$H$9:$X637,17,0)))</f>
        <v>0</v>
      </c>
      <c r="G330" s="645"/>
      <c r="H330" s="646"/>
      <c r="I330" s="446">
        <f>IF(H330=0,0,(VLOOKUP(H330,'MTRL MSK (TPDP)'!$H$9:$U637,2,0)))</f>
        <v>0</v>
      </c>
      <c r="J330" s="448" t="str">
        <f>IFERROR((IF(H330=0,0,(VLOOKUP(H330,'MTRL MSK (TPDP)'!$H$8:$U637,7,0))))/(IF(H330=0,0,(VLOOKUP(H330,'MTRL MSK (TPDP)'!$H$8:$U637,5,0)))),"")</f>
        <v/>
      </c>
      <c r="K330" s="559"/>
      <c r="L330" s="448">
        <f t="shared" si="1"/>
        <v>0</v>
      </c>
      <c r="M330" s="647">
        <f t="shared" si="2"/>
        <v>0</v>
      </c>
      <c r="N330" s="647">
        <f t="shared" si="3"/>
        <v>0</v>
      </c>
      <c r="O330" s="448">
        <f>IF(H330=0,0,(VLOOKUP(H330,'MTRL MSK (TPDP)'!$H$9:$U637,5,0)))</f>
        <v>0</v>
      </c>
      <c r="P330" s="448">
        <f t="shared" si="4"/>
        <v>0</v>
      </c>
      <c r="Q330" s="448">
        <f t="shared" si="5"/>
        <v>0</v>
      </c>
      <c r="R330" s="648" t="str">
        <f>IFERROR(IF(S330="","",(VLOOKUP(S330,'1. BQ RAPL'!$D$14:$K637,8,0))),"")</f>
        <v/>
      </c>
      <c r="S330" s="649"/>
      <c r="T330" s="650"/>
      <c r="U330" s="16"/>
      <c r="V330" s="16"/>
      <c r="W330" s="16"/>
      <c r="X330" s="119"/>
      <c r="Y330" s="119"/>
      <c r="Z330" s="119"/>
      <c r="AA330" s="119"/>
      <c r="AB330" s="119"/>
      <c r="AC330" s="119"/>
      <c r="AD330" s="119"/>
      <c r="AE330" s="119"/>
      <c r="AF330" s="119"/>
    </row>
    <row r="331" ht="18.75" customHeight="1">
      <c r="A331" s="119"/>
      <c r="B331" s="652"/>
      <c r="C331" s="642">
        <f>IF(F331=0,0,(VLOOKUP(F331,'MTRL MSK (TPDP)'!$F$9:$W637,18,0)))</f>
        <v>0</v>
      </c>
      <c r="D331" s="642">
        <f>IF(C331=0,0,(VLOOKUP(C331,'MTRL MSK (TPDP)'!$B$9:$W637,3,0)))</f>
        <v>0</v>
      </c>
      <c r="E331" s="643" t="str">
        <f>iferror(IF(C331="","",(VLOOKUP(C331,'MTRL MSK (TPDP)'!$B$9:$W637,4,0))),"")</f>
        <v/>
      </c>
      <c r="F331" s="644">
        <f>IF(H331=0,0,(VLOOKUP(H331,'MTRL MSK (TPDP)'!$H$9:$X637,17,0)))</f>
        <v>0</v>
      </c>
      <c r="G331" s="645"/>
      <c r="H331" s="646"/>
      <c r="I331" s="446">
        <f>IF(H331=0,0,(VLOOKUP(H331,'MTRL MSK (TPDP)'!$H$9:$U637,2,0)))</f>
        <v>0</v>
      </c>
      <c r="J331" s="448" t="str">
        <f>IFERROR((IF(H331=0,0,(VLOOKUP(H331,'MTRL MSK (TPDP)'!$H$8:$U637,7,0))))/(IF(H331=0,0,(VLOOKUP(H331,'MTRL MSK (TPDP)'!$H$8:$U637,5,0)))),"")</f>
        <v/>
      </c>
      <c r="K331" s="559"/>
      <c r="L331" s="448">
        <f t="shared" si="1"/>
        <v>0</v>
      </c>
      <c r="M331" s="647">
        <f t="shared" si="2"/>
        <v>0</v>
      </c>
      <c r="N331" s="647">
        <f t="shared" si="3"/>
        <v>0</v>
      </c>
      <c r="O331" s="448">
        <f>IF(H331=0,0,(VLOOKUP(H331,'MTRL MSK (TPDP)'!$H$9:$U637,5,0)))</f>
        <v>0</v>
      </c>
      <c r="P331" s="448">
        <f t="shared" si="4"/>
        <v>0</v>
      </c>
      <c r="Q331" s="448">
        <f t="shared" si="5"/>
        <v>0</v>
      </c>
      <c r="R331" s="648" t="str">
        <f>IFERROR(IF(S331="","",(VLOOKUP(S331,'1. BQ RAPL'!$D$14:$K637,8,0))),"")</f>
        <v/>
      </c>
      <c r="S331" s="649"/>
      <c r="T331" s="650"/>
      <c r="U331" s="16"/>
      <c r="V331" s="16"/>
      <c r="W331" s="16"/>
      <c r="X331" s="119"/>
      <c r="Y331" s="119"/>
      <c r="Z331" s="119"/>
      <c r="AA331" s="119"/>
      <c r="AB331" s="119"/>
      <c r="AC331" s="119"/>
      <c r="AD331" s="119"/>
      <c r="AE331" s="119"/>
      <c r="AF331" s="119"/>
    </row>
    <row r="332" ht="18.75" customHeight="1">
      <c r="A332" s="119"/>
      <c r="B332" s="652"/>
      <c r="C332" s="642">
        <f>IF(F332=0,0,(VLOOKUP(F332,'MTRL MSK (TPDP)'!$F$9:$W637,18,0)))</f>
        <v>0</v>
      </c>
      <c r="D332" s="642">
        <f>IF(C332=0,0,(VLOOKUP(C332,'MTRL MSK (TPDP)'!$B$9:$W637,3,0)))</f>
        <v>0</v>
      </c>
      <c r="E332" s="643" t="str">
        <f>iferror(IF(C332="","",(VLOOKUP(C332,'MTRL MSK (TPDP)'!$B$9:$W637,4,0))),"")</f>
        <v/>
      </c>
      <c r="F332" s="644">
        <f>IF(H332=0,0,(VLOOKUP(H332,'MTRL MSK (TPDP)'!$H$9:$X637,17,0)))</f>
        <v>0</v>
      </c>
      <c r="G332" s="645"/>
      <c r="H332" s="646"/>
      <c r="I332" s="446">
        <f>IF(H332=0,0,(VLOOKUP(H332,'MTRL MSK (TPDP)'!$H$9:$U637,2,0)))</f>
        <v>0</v>
      </c>
      <c r="J332" s="448" t="str">
        <f>IFERROR((IF(H332=0,0,(VLOOKUP(H332,'MTRL MSK (TPDP)'!$H$8:$U637,7,0))))/(IF(H332=0,0,(VLOOKUP(H332,'MTRL MSK (TPDP)'!$H$8:$U637,5,0)))),"")</f>
        <v/>
      </c>
      <c r="K332" s="559"/>
      <c r="L332" s="448">
        <f t="shared" si="1"/>
        <v>0</v>
      </c>
      <c r="M332" s="647">
        <f t="shared" si="2"/>
        <v>0</v>
      </c>
      <c r="N332" s="647">
        <f t="shared" si="3"/>
        <v>0</v>
      </c>
      <c r="O332" s="448">
        <f>IF(H332=0,0,(VLOOKUP(H332,'MTRL MSK (TPDP)'!$H$9:$U637,5,0)))</f>
        <v>0</v>
      </c>
      <c r="P332" s="448">
        <f t="shared" si="4"/>
        <v>0</v>
      </c>
      <c r="Q332" s="448">
        <f t="shared" si="5"/>
        <v>0</v>
      </c>
      <c r="R332" s="648" t="str">
        <f>IFERROR(IF(S332="","",(VLOOKUP(S332,'1. BQ RAPL'!$D$14:$K637,8,0))),"")</f>
        <v/>
      </c>
      <c r="S332" s="649"/>
      <c r="T332" s="650"/>
      <c r="U332" s="16"/>
      <c r="V332" s="16"/>
      <c r="W332" s="16"/>
      <c r="X332" s="119"/>
      <c r="Y332" s="119"/>
      <c r="Z332" s="119"/>
      <c r="AA332" s="119"/>
      <c r="AB332" s="119"/>
      <c r="AC332" s="119"/>
      <c r="AD332" s="119"/>
      <c r="AE332" s="119"/>
      <c r="AF332" s="119"/>
    </row>
    <row r="333" ht="18.75" customHeight="1">
      <c r="A333" s="119"/>
      <c r="B333" s="652"/>
      <c r="C333" s="642">
        <f>IF(F333=0,0,(VLOOKUP(F333,'MTRL MSK (TPDP)'!$F$9:$W637,18,0)))</f>
        <v>0</v>
      </c>
      <c r="D333" s="642">
        <f>IF(C333=0,0,(VLOOKUP(C333,'MTRL MSK (TPDP)'!$B$9:$W637,3,0)))</f>
        <v>0</v>
      </c>
      <c r="E333" s="643" t="str">
        <f>iferror(IF(C333="","",(VLOOKUP(C333,'MTRL MSK (TPDP)'!$B$9:$W637,4,0))),"")</f>
        <v/>
      </c>
      <c r="F333" s="644">
        <f>IF(H333=0,0,(VLOOKUP(H333,'MTRL MSK (TPDP)'!$H$9:$X637,17,0)))</f>
        <v>0</v>
      </c>
      <c r="G333" s="645"/>
      <c r="H333" s="646"/>
      <c r="I333" s="446">
        <f>IF(H333=0,0,(VLOOKUP(H333,'MTRL MSK (TPDP)'!$H$9:$U637,2,0)))</f>
        <v>0</v>
      </c>
      <c r="J333" s="448" t="str">
        <f>IFERROR((IF(H333=0,0,(VLOOKUP(H333,'MTRL MSK (TPDP)'!$H$8:$U637,7,0))))/(IF(H333=0,0,(VLOOKUP(H333,'MTRL MSK (TPDP)'!$H$8:$U637,5,0)))),"")</f>
        <v/>
      </c>
      <c r="K333" s="559"/>
      <c r="L333" s="448">
        <f t="shared" si="1"/>
        <v>0</v>
      </c>
      <c r="M333" s="647">
        <f t="shared" si="2"/>
        <v>0</v>
      </c>
      <c r="N333" s="647">
        <f t="shared" si="3"/>
        <v>0</v>
      </c>
      <c r="O333" s="448">
        <f>IF(H333=0,0,(VLOOKUP(H333,'MTRL MSK (TPDP)'!$H$9:$U637,5,0)))</f>
        <v>0</v>
      </c>
      <c r="P333" s="448">
        <f t="shared" si="4"/>
        <v>0</v>
      </c>
      <c r="Q333" s="448">
        <f t="shared" si="5"/>
        <v>0</v>
      </c>
      <c r="R333" s="648" t="str">
        <f>IFERROR(IF(S333="","",(VLOOKUP(S333,'1. BQ RAPL'!$D$14:$K637,8,0))),"")</f>
        <v/>
      </c>
      <c r="S333" s="649"/>
      <c r="T333" s="650"/>
      <c r="U333" s="16"/>
      <c r="V333" s="16"/>
      <c r="W333" s="16"/>
      <c r="X333" s="119"/>
      <c r="Y333" s="119"/>
      <c r="Z333" s="119"/>
      <c r="AA333" s="119"/>
      <c r="AB333" s="119"/>
      <c r="AC333" s="119"/>
      <c r="AD333" s="119"/>
      <c r="AE333" s="119"/>
      <c r="AF333" s="119"/>
    </row>
    <row r="334" ht="18.75" customHeight="1">
      <c r="A334" s="119"/>
      <c r="B334" s="652"/>
      <c r="C334" s="642">
        <f>IF(F334=0,0,(VLOOKUP(F334,'MTRL MSK (TPDP)'!$F$9:$W637,18,0)))</f>
        <v>0</v>
      </c>
      <c r="D334" s="642">
        <f>IF(C334=0,0,(VLOOKUP(C334,'MTRL MSK (TPDP)'!$B$9:$W637,3,0)))</f>
        <v>0</v>
      </c>
      <c r="E334" s="643" t="str">
        <f>iferror(IF(C334="","",(VLOOKUP(C334,'MTRL MSK (TPDP)'!$B$9:$W637,4,0))),"")</f>
        <v/>
      </c>
      <c r="F334" s="644">
        <f>IF(H334=0,0,(VLOOKUP(H334,'MTRL MSK (TPDP)'!$H$9:$X637,17,0)))</f>
        <v>0</v>
      </c>
      <c r="G334" s="645"/>
      <c r="H334" s="646"/>
      <c r="I334" s="446">
        <f>IF(H334=0,0,(VLOOKUP(H334,'MTRL MSK (TPDP)'!$H$9:$U637,2,0)))</f>
        <v>0</v>
      </c>
      <c r="J334" s="448" t="str">
        <f>IFERROR((IF(H334=0,0,(VLOOKUP(H334,'MTRL MSK (TPDP)'!$H$8:$U637,7,0))))/(IF(H334=0,0,(VLOOKUP(H334,'MTRL MSK (TPDP)'!$H$8:$U637,5,0)))),"")</f>
        <v/>
      </c>
      <c r="K334" s="559"/>
      <c r="L334" s="448">
        <f t="shared" si="1"/>
        <v>0</v>
      </c>
      <c r="M334" s="647">
        <f t="shared" si="2"/>
        <v>0</v>
      </c>
      <c r="N334" s="647">
        <f t="shared" si="3"/>
        <v>0</v>
      </c>
      <c r="O334" s="448">
        <f>IF(H334=0,0,(VLOOKUP(H334,'MTRL MSK (TPDP)'!$H$9:$U637,5,0)))</f>
        <v>0</v>
      </c>
      <c r="P334" s="448">
        <f t="shared" si="4"/>
        <v>0</v>
      </c>
      <c r="Q334" s="448">
        <f t="shared" si="5"/>
        <v>0</v>
      </c>
      <c r="R334" s="648" t="str">
        <f>IFERROR(IF(S334="","",(VLOOKUP(S334,'1. BQ RAPL'!$D$14:$K637,8,0))),"")</f>
        <v/>
      </c>
      <c r="S334" s="649"/>
      <c r="T334" s="650"/>
      <c r="U334" s="16"/>
      <c r="V334" s="16"/>
      <c r="W334" s="16"/>
      <c r="X334" s="119"/>
      <c r="Y334" s="119"/>
      <c r="Z334" s="119"/>
      <c r="AA334" s="119"/>
      <c r="AB334" s="119"/>
      <c r="AC334" s="119"/>
      <c r="AD334" s="119"/>
      <c r="AE334" s="119"/>
      <c r="AF334" s="119"/>
    </row>
    <row r="335" ht="18.75" customHeight="1">
      <c r="A335" s="119"/>
      <c r="B335" s="652"/>
      <c r="C335" s="642">
        <f>IF(F335=0,0,(VLOOKUP(F335,'MTRL MSK (TPDP)'!$F$9:$W637,18,0)))</f>
        <v>0</v>
      </c>
      <c r="D335" s="642">
        <f>IF(C335=0,0,(VLOOKUP(C335,'MTRL MSK (TPDP)'!$B$9:$W637,3,0)))</f>
        <v>0</v>
      </c>
      <c r="E335" s="643" t="str">
        <f>iferror(IF(C335="","",(VLOOKUP(C335,'MTRL MSK (TPDP)'!$B$9:$W637,4,0))),"")</f>
        <v/>
      </c>
      <c r="F335" s="644">
        <f>IF(H335=0,0,(VLOOKUP(H335,'MTRL MSK (TPDP)'!$H$9:$X637,17,0)))</f>
        <v>0</v>
      </c>
      <c r="G335" s="645"/>
      <c r="H335" s="646"/>
      <c r="I335" s="446">
        <f>IF(H335=0,0,(VLOOKUP(H335,'MTRL MSK (TPDP)'!$H$9:$U637,2,0)))</f>
        <v>0</v>
      </c>
      <c r="J335" s="448" t="str">
        <f>IFERROR((IF(H335=0,0,(VLOOKUP(H335,'MTRL MSK (TPDP)'!$H$8:$U637,7,0))))/(IF(H335=0,0,(VLOOKUP(H335,'MTRL MSK (TPDP)'!$H$8:$U637,5,0)))),"")</f>
        <v/>
      </c>
      <c r="K335" s="559"/>
      <c r="L335" s="448">
        <f t="shared" si="1"/>
        <v>0</v>
      </c>
      <c r="M335" s="647">
        <f t="shared" si="2"/>
        <v>0</v>
      </c>
      <c r="N335" s="647">
        <f t="shared" si="3"/>
        <v>0</v>
      </c>
      <c r="O335" s="448">
        <f>IF(H335=0,0,(VLOOKUP(H335,'MTRL MSK (TPDP)'!$H$9:$U637,5,0)))</f>
        <v>0</v>
      </c>
      <c r="P335" s="448">
        <f t="shared" si="4"/>
        <v>0</v>
      </c>
      <c r="Q335" s="448">
        <f t="shared" si="5"/>
        <v>0</v>
      </c>
      <c r="R335" s="648" t="str">
        <f>IFERROR(IF(S335="","",(VLOOKUP(S335,'1. BQ RAPL'!$D$14:$K637,8,0))),"")</f>
        <v/>
      </c>
      <c r="S335" s="649"/>
      <c r="T335" s="650"/>
      <c r="U335" s="16"/>
      <c r="V335" s="16"/>
      <c r="W335" s="16"/>
      <c r="X335" s="119"/>
      <c r="Y335" s="119"/>
      <c r="Z335" s="119"/>
      <c r="AA335" s="119"/>
      <c r="AB335" s="119"/>
      <c r="AC335" s="119"/>
      <c r="AD335" s="119"/>
      <c r="AE335" s="119"/>
      <c r="AF335" s="119"/>
    </row>
    <row r="336" ht="18.75" customHeight="1">
      <c r="A336" s="119"/>
      <c r="B336" s="652"/>
      <c r="C336" s="642">
        <f>IF(F336=0,0,(VLOOKUP(F336,'MTRL MSK (TPDP)'!$F$9:$W637,18,0)))</f>
        <v>0</v>
      </c>
      <c r="D336" s="642">
        <f>IF(C336=0,0,(VLOOKUP(C336,'MTRL MSK (TPDP)'!$B$9:$W637,3,0)))</f>
        <v>0</v>
      </c>
      <c r="E336" s="643" t="str">
        <f>iferror(IF(C336="","",(VLOOKUP(C336,'MTRL MSK (TPDP)'!$B$9:$W637,4,0))),"")</f>
        <v/>
      </c>
      <c r="F336" s="644">
        <f>IF(H336=0,0,(VLOOKUP(H336,'MTRL MSK (TPDP)'!$H$9:$X637,17,0)))</f>
        <v>0</v>
      </c>
      <c r="G336" s="645"/>
      <c r="H336" s="646"/>
      <c r="I336" s="446">
        <f>IF(H336=0,0,(VLOOKUP(H336,'MTRL MSK (TPDP)'!$H$9:$U637,2,0)))</f>
        <v>0</v>
      </c>
      <c r="J336" s="448" t="str">
        <f>IFERROR((IF(H336=0,0,(VLOOKUP(H336,'MTRL MSK (TPDP)'!$H$8:$U637,7,0))))/(IF(H336=0,0,(VLOOKUP(H336,'MTRL MSK (TPDP)'!$H$8:$U637,5,0)))),"")</f>
        <v/>
      </c>
      <c r="K336" s="559"/>
      <c r="L336" s="448">
        <f t="shared" si="1"/>
        <v>0</v>
      </c>
      <c r="M336" s="647">
        <f t="shared" si="2"/>
        <v>0</v>
      </c>
      <c r="N336" s="647">
        <f t="shared" si="3"/>
        <v>0</v>
      </c>
      <c r="O336" s="448">
        <f>IF(H336=0,0,(VLOOKUP(H336,'MTRL MSK (TPDP)'!$H$9:$U637,5,0)))</f>
        <v>0</v>
      </c>
      <c r="P336" s="448">
        <f t="shared" si="4"/>
        <v>0</v>
      </c>
      <c r="Q336" s="448">
        <f t="shared" si="5"/>
        <v>0</v>
      </c>
      <c r="R336" s="648" t="str">
        <f>IFERROR(IF(S336="","",(VLOOKUP(S336,'1. BQ RAPL'!$D$14:$K637,8,0))),"")</f>
        <v/>
      </c>
      <c r="S336" s="649"/>
      <c r="T336" s="650"/>
      <c r="U336" s="16"/>
      <c r="V336" s="16"/>
      <c r="W336" s="16"/>
      <c r="X336" s="119"/>
      <c r="Y336" s="119"/>
      <c r="Z336" s="119"/>
      <c r="AA336" s="119"/>
      <c r="AB336" s="119"/>
      <c r="AC336" s="119"/>
      <c r="AD336" s="119"/>
      <c r="AE336" s="119"/>
      <c r="AF336" s="119"/>
    </row>
    <row r="337" ht="18.75" customHeight="1">
      <c r="A337" s="119"/>
      <c r="B337" s="652"/>
      <c r="C337" s="642">
        <f>IF(F337=0,0,(VLOOKUP(F337,'MTRL MSK (TPDP)'!$F$9:$W637,18,0)))</f>
        <v>0</v>
      </c>
      <c r="D337" s="642">
        <f>IF(C337=0,0,(VLOOKUP(C337,'MTRL MSK (TPDP)'!$B$9:$W637,3,0)))</f>
        <v>0</v>
      </c>
      <c r="E337" s="643" t="str">
        <f>iferror(IF(C337="","",(VLOOKUP(C337,'MTRL MSK (TPDP)'!$B$9:$W637,4,0))),"")</f>
        <v/>
      </c>
      <c r="F337" s="644">
        <f>IF(H337=0,0,(VLOOKUP(H337,'MTRL MSK (TPDP)'!$H$9:$X637,17,0)))</f>
        <v>0</v>
      </c>
      <c r="G337" s="645"/>
      <c r="H337" s="646"/>
      <c r="I337" s="446">
        <f>IF(H337=0,0,(VLOOKUP(H337,'MTRL MSK (TPDP)'!$H$9:$U637,2,0)))</f>
        <v>0</v>
      </c>
      <c r="J337" s="448" t="str">
        <f>IFERROR((IF(H337=0,0,(VLOOKUP(H337,'MTRL MSK (TPDP)'!$H$8:$U637,7,0))))/(IF(H337=0,0,(VLOOKUP(H337,'MTRL MSK (TPDP)'!$H$8:$U637,5,0)))),"")</f>
        <v/>
      </c>
      <c r="K337" s="559"/>
      <c r="L337" s="448">
        <f t="shared" si="1"/>
        <v>0</v>
      </c>
      <c r="M337" s="647">
        <f t="shared" si="2"/>
        <v>0</v>
      </c>
      <c r="N337" s="647">
        <f t="shared" si="3"/>
        <v>0</v>
      </c>
      <c r="O337" s="448">
        <f>IF(H337=0,0,(VLOOKUP(H337,'MTRL MSK (TPDP)'!$H$9:$U637,5,0)))</f>
        <v>0</v>
      </c>
      <c r="P337" s="448">
        <f t="shared" si="4"/>
        <v>0</v>
      </c>
      <c r="Q337" s="448">
        <f t="shared" si="5"/>
        <v>0</v>
      </c>
      <c r="R337" s="648" t="str">
        <f>IFERROR(IF(S337="","",(VLOOKUP(S337,'1. BQ RAPL'!$D$14:$K637,8,0))),"")</f>
        <v/>
      </c>
      <c r="S337" s="649"/>
      <c r="T337" s="650"/>
      <c r="U337" s="16"/>
      <c r="V337" s="16"/>
      <c r="W337" s="16"/>
      <c r="X337" s="119"/>
      <c r="Y337" s="119"/>
      <c r="Z337" s="119"/>
      <c r="AA337" s="119"/>
      <c r="AB337" s="119"/>
      <c r="AC337" s="119"/>
      <c r="AD337" s="119"/>
      <c r="AE337" s="119"/>
      <c r="AF337" s="119"/>
    </row>
    <row r="338" ht="18.75" customHeight="1">
      <c r="A338" s="119"/>
      <c r="B338" s="652"/>
      <c r="C338" s="642">
        <f>IF(F338=0,0,(VLOOKUP(F338,'MTRL MSK (TPDP)'!$F$9:$W637,18,0)))</f>
        <v>0</v>
      </c>
      <c r="D338" s="642">
        <f>IF(C338=0,0,(VLOOKUP(C338,'MTRL MSK (TPDP)'!$B$9:$W637,3,0)))</f>
        <v>0</v>
      </c>
      <c r="E338" s="643" t="str">
        <f>iferror(IF(C338="","",(VLOOKUP(C338,'MTRL MSK (TPDP)'!$B$9:$W637,4,0))),"")</f>
        <v/>
      </c>
      <c r="F338" s="644">
        <f>IF(H338=0,0,(VLOOKUP(H338,'MTRL MSK (TPDP)'!$H$9:$X637,17,0)))</f>
        <v>0</v>
      </c>
      <c r="G338" s="645"/>
      <c r="H338" s="646"/>
      <c r="I338" s="446">
        <f>IF(H338=0,0,(VLOOKUP(H338,'MTRL MSK (TPDP)'!$H$9:$U637,2,0)))</f>
        <v>0</v>
      </c>
      <c r="J338" s="448" t="str">
        <f>IFERROR((IF(H338=0,0,(VLOOKUP(H338,'MTRL MSK (TPDP)'!$H$8:$U637,7,0))))/(IF(H338=0,0,(VLOOKUP(H338,'MTRL MSK (TPDP)'!$H$8:$U637,5,0)))),"")</f>
        <v/>
      </c>
      <c r="K338" s="559"/>
      <c r="L338" s="448">
        <f t="shared" si="1"/>
        <v>0</v>
      </c>
      <c r="M338" s="647">
        <f t="shared" si="2"/>
        <v>0</v>
      </c>
      <c r="N338" s="647">
        <f t="shared" si="3"/>
        <v>0</v>
      </c>
      <c r="O338" s="448">
        <f>IF(H338=0,0,(VLOOKUP(H338,'MTRL MSK (TPDP)'!$H$9:$U637,5,0)))</f>
        <v>0</v>
      </c>
      <c r="P338" s="448">
        <f t="shared" si="4"/>
        <v>0</v>
      </c>
      <c r="Q338" s="448">
        <f t="shared" si="5"/>
        <v>0</v>
      </c>
      <c r="R338" s="648" t="str">
        <f>IFERROR(IF(S338="","",(VLOOKUP(S338,'1. BQ RAPL'!$D$14:$K637,8,0))),"")</f>
        <v/>
      </c>
      <c r="S338" s="649"/>
      <c r="T338" s="650"/>
      <c r="U338" s="16"/>
      <c r="V338" s="16"/>
      <c r="W338" s="16"/>
      <c r="X338" s="119"/>
      <c r="Y338" s="119"/>
      <c r="Z338" s="119"/>
      <c r="AA338" s="119"/>
      <c r="AB338" s="119"/>
      <c r="AC338" s="119"/>
      <c r="AD338" s="119"/>
      <c r="AE338" s="119"/>
      <c r="AF338" s="119"/>
    </row>
    <row r="339" ht="18.75" customHeight="1">
      <c r="A339" s="119"/>
      <c r="B339" s="652"/>
      <c r="C339" s="642">
        <f>IF(F339=0,0,(VLOOKUP(F339,'MTRL MSK (TPDP)'!$F$9:$W637,18,0)))</f>
        <v>0</v>
      </c>
      <c r="D339" s="642">
        <f>IF(C339=0,0,(VLOOKUP(C339,'MTRL MSK (TPDP)'!$B$9:$W637,3,0)))</f>
        <v>0</v>
      </c>
      <c r="E339" s="643" t="str">
        <f>iferror(IF(C339="","",(VLOOKUP(C339,'MTRL MSK (TPDP)'!$B$9:$W637,4,0))),"")</f>
        <v/>
      </c>
      <c r="F339" s="644">
        <f>IF(H339=0,0,(VLOOKUP(H339,'MTRL MSK (TPDP)'!$H$9:$X637,17,0)))</f>
        <v>0</v>
      </c>
      <c r="G339" s="645"/>
      <c r="H339" s="646"/>
      <c r="I339" s="446">
        <f>IF(H339=0,0,(VLOOKUP(H339,'MTRL MSK (TPDP)'!$H$9:$U637,2,0)))</f>
        <v>0</v>
      </c>
      <c r="J339" s="448" t="str">
        <f>IFERROR((IF(H339=0,0,(VLOOKUP(H339,'MTRL MSK (TPDP)'!$H$8:$U637,7,0))))/(IF(H339=0,0,(VLOOKUP(H339,'MTRL MSK (TPDP)'!$H$8:$U637,5,0)))),"")</f>
        <v/>
      </c>
      <c r="K339" s="559"/>
      <c r="L339" s="448">
        <f t="shared" si="1"/>
        <v>0</v>
      </c>
      <c r="M339" s="647">
        <f t="shared" si="2"/>
        <v>0</v>
      </c>
      <c r="N339" s="647">
        <f t="shared" si="3"/>
        <v>0</v>
      </c>
      <c r="O339" s="448">
        <f>IF(H339=0,0,(VLOOKUP(H339,'MTRL MSK (TPDP)'!$H$9:$U637,5,0)))</f>
        <v>0</v>
      </c>
      <c r="P339" s="448">
        <f t="shared" si="4"/>
        <v>0</v>
      </c>
      <c r="Q339" s="448">
        <f t="shared" si="5"/>
        <v>0</v>
      </c>
      <c r="R339" s="648" t="str">
        <f>IFERROR(IF(S339="","",(VLOOKUP(S339,'1. BQ RAPL'!$D$14:$K637,8,0))),"")</f>
        <v/>
      </c>
      <c r="S339" s="649"/>
      <c r="T339" s="650"/>
      <c r="U339" s="16"/>
      <c r="V339" s="16"/>
      <c r="W339" s="16"/>
      <c r="X339" s="119"/>
      <c r="Y339" s="119"/>
      <c r="Z339" s="119"/>
      <c r="AA339" s="119"/>
      <c r="AB339" s="119"/>
      <c r="AC339" s="119"/>
      <c r="AD339" s="119"/>
      <c r="AE339" s="119"/>
      <c r="AF339" s="119"/>
    </row>
    <row r="340" ht="18.75" customHeight="1">
      <c r="A340" s="119"/>
      <c r="B340" s="652"/>
      <c r="C340" s="642">
        <f>IF(F340=0,0,(VLOOKUP(F340,'MTRL MSK (TPDP)'!$F$9:$W637,18,0)))</f>
        <v>0</v>
      </c>
      <c r="D340" s="642">
        <f>IF(C340=0,0,(VLOOKUP(C340,'MTRL MSK (TPDP)'!$B$9:$W637,3,0)))</f>
        <v>0</v>
      </c>
      <c r="E340" s="643" t="str">
        <f>iferror(IF(C340="","",(VLOOKUP(C340,'MTRL MSK (TPDP)'!$B$9:$W637,4,0))),"")</f>
        <v/>
      </c>
      <c r="F340" s="644">
        <f>IF(H340=0,0,(VLOOKUP(H340,'MTRL MSK (TPDP)'!$H$9:$X637,17,0)))</f>
        <v>0</v>
      </c>
      <c r="G340" s="645"/>
      <c r="H340" s="646"/>
      <c r="I340" s="446">
        <f>IF(H340=0,0,(VLOOKUP(H340,'MTRL MSK (TPDP)'!$H$9:$U637,2,0)))</f>
        <v>0</v>
      </c>
      <c r="J340" s="448" t="str">
        <f>IFERROR((IF(H340=0,0,(VLOOKUP(H340,'MTRL MSK (TPDP)'!$H$8:$U637,7,0))))/(IF(H340=0,0,(VLOOKUP(H340,'MTRL MSK (TPDP)'!$H$8:$U637,5,0)))),"")</f>
        <v/>
      </c>
      <c r="K340" s="559"/>
      <c r="L340" s="448">
        <f t="shared" si="1"/>
        <v>0</v>
      </c>
      <c r="M340" s="647">
        <f t="shared" si="2"/>
        <v>0</v>
      </c>
      <c r="N340" s="647">
        <f t="shared" si="3"/>
        <v>0</v>
      </c>
      <c r="O340" s="448">
        <f>IF(H340=0,0,(VLOOKUP(H340,'MTRL MSK (TPDP)'!$H$9:$U637,5,0)))</f>
        <v>0</v>
      </c>
      <c r="P340" s="448">
        <f t="shared" si="4"/>
        <v>0</v>
      </c>
      <c r="Q340" s="448">
        <f t="shared" si="5"/>
        <v>0</v>
      </c>
      <c r="R340" s="648" t="str">
        <f>IFERROR(IF(S340="","",(VLOOKUP(S340,'1. BQ RAPL'!$D$14:$K637,8,0))),"")</f>
        <v/>
      </c>
      <c r="S340" s="649"/>
      <c r="T340" s="650"/>
      <c r="U340" s="16"/>
      <c r="V340" s="16"/>
      <c r="W340" s="16"/>
      <c r="X340" s="119"/>
      <c r="Y340" s="119"/>
      <c r="Z340" s="119"/>
      <c r="AA340" s="119"/>
      <c r="AB340" s="119"/>
      <c r="AC340" s="119"/>
      <c r="AD340" s="119"/>
      <c r="AE340" s="119"/>
      <c r="AF340" s="119"/>
    </row>
    <row r="341" ht="18.75" customHeight="1">
      <c r="A341" s="119"/>
      <c r="B341" s="652"/>
      <c r="C341" s="642">
        <f>IF(F341=0,0,(VLOOKUP(F341,'MTRL MSK (TPDP)'!$F$9:$W637,18,0)))</f>
        <v>0</v>
      </c>
      <c r="D341" s="642">
        <f>IF(C341=0,0,(VLOOKUP(C341,'MTRL MSK (TPDP)'!$B$9:$W637,3,0)))</f>
        <v>0</v>
      </c>
      <c r="E341" s="643" t="str">
        <f>iferror(IF(C341="","",(VLOOKUP(C341,'MTRL MSK (TPDP)'!$B$9:$W637,4,0))),"")</f>
        <v/>
      </c>
      <c r="F341" s="644">
        <f>IF(H341=0,0,(VLOOKUP(H341,'MTRL MSK (TPDP)'!$H$9:$X637,17,0)))</f>
        <v>0</v>
      </c>
      <c r="G341" s="645"/>
      <c r="H341" s="646"/>
      <c r="I341" s="446">
        <f>IF(H341=0,0,(VLOOKUP(H341,'MTRL MSK (TPDP)'!$H$9:$U637,2,0)))</f>
        <v>0</v>
      </c>
      <c r="J341" s="448" t="str">
        <f>IFERROR((IF(H341=0,0,(VLOOKUP(H341,'MTRL MSK (TPDP)'!$H$8:$U637,7,0))))/(IF(H341=0,0,(VLOOKUP(H341,'MTRL MSK (TPDP)'!$H$8:$U637,5,0)))),"")</f>
        <v/>
      </c>
      <c r="K341" s="559"/>
      <c r="L341" s="448">
        <f t="shared" si="1"/>
        <v>0</v>
      </c>
      <c r="M341" s="647">
        <f t="shared" si="2"/>
        <v>0</v>
      </c>
      <c r="N341" s="647">
        <f t="shared" si="3"/>
        <v>0</v>
      </c>
      <c r="O341" s="448">
        <f>IF(H341=0,0,(VLOOKUP(H341,'MTRL MSK (TPDP)'!$H$9:$U637,5,0)))</f>
        <v>0</v>
      </c>
      <c r="P341" s="448">
        <f t="shared" si="4"/>
        <v>0</v>
      </c>
      <c r="Q341" s="448">
        <f t="shared" si="5"/>
        <v>0</v>
      </c>
      <c r="R341" s="648" t="str">
        <f>IFERROR(IF(S341="","",(VLOOKUP(S341,'1. BQ RAPL'!$D$14:$K637,8,0))),"")</f>
        <v/>
      </c>
      <c r="S341" s="649"/>
      <c r="T341" s="650"/>
      <c r="U341" s="16"/>
      <c r="V341" s="16"/>
      <c r="W341" s="16"/>
      <c r="X341" s="119"/>
      <c r="Y341" s="119"/>
      <c r="Z341" s="119"/>
      <c r="AA341" s="119"/>
      <c r="AB341" s="119"/>
      <c r="AC341" s="119"/>
      <c r="AD341" s="119"/>
      <c r="AE341" s="119"/>
      <c r="AF341" s="119"/>
    </row>
    <row r="342" ht="18.75" customHeight="1">
      <c r="A342" s="119"/>
      <c r="B342" s="652"/>
      <c r="C342" s="642">
        <f>IF(F342=0,0,(VLOOKUP(F342,'MTRL MSK (TPDP)'!$F$9:$W637,18,0)))</f>
        <v>0</v>
      </c>
      <c r="D342" s="642">
        <f>IF(C342=0,0,(VLOOKUP(C342,'MTRL MSK (TPDP)'!$B$9:$W637,3,0)))</f>
        <v>0</v>
      </c>
      <c r="E342" s="643" t="str">
        <f>iferror(IF(C342="","",(VLOOKUP(C342,'MTRL MSK (TPDP)'!$B$9:$W637,4,0))),"")</f>
        <v/>
      </c>
      <c r="F342" s="644">
        <f>IF(H342=0,0,(VLOOKUP(H342,'MTRL MSK (TPDP)'!$H$9:$X637,17,0)))</f>
        <v>0</v>
      </c>
      <c r="G342" s="645"/>
      <c r="H342" s="646"/>
      <c r="I342" s="446">
        <f>IF(H342=0,0,(VLOOKUP(H342,'MTRL MSK (TPDP)'!$H$9:$U637,2,0)))</f>
        <v>0</v>
      </c>
      <c r="J342" s="448" t="str">
        <f>IFERROR((IF(H342=0,0,(VLOOKUP(H342,'MTRL MSK (TPDP)'!$H$8:$U637,7,0))))/(IF(H342=0,0,(VLOOKUP(H342,'MTRL MSK (TPDP)'!$H$8:$U637,5,0)))),"")</f>
        <v/>
      </c>
      <c r="K342" s="559"/>
      <c r="L342" s="448">
        <f t="shared" si="1"/>
        <v>0</v>
      </c>
      <c r="M342" s="647">
        <f t="shared" si="2"/>
        <v>0</v>
      </c>
      <c r="N342" s="647">
        <f t="shared" si="3"/>
        <v>0</v>
      </c>
      <c r="O342" s="448">
        <f>IF(H342=0,0,(VLOOKUP(H342,'MTRL MSK (TPDP)'!$H$9:$U637,5,0)))</f>
        <v>0</v>
      </c>
      <c r="P342" s="448">
        <f t="shared" si="4"/>
        <v>0</v>
      </c>
      <c r="Q342" s="448">
        <f t="shared" si="5"/>
        <v>0</v>
      </c>
      <c r="R342" s="648" t="str">
        <f>IFERROR(IF(S342="","",(VLOOKUP(S342,'1. BQ RAPL'!$D$14:$K637,8,0))),"")</f>
        <v/>
      </c>
      <c r="S342" s="649"/>
      <c r="T342" s="650"/>
      <c r="U342" s="16"/>
      <c r="V342" s="16"/>
      <c r="W342" s="16"/>
      <c r="X342" s="119"/>
      <c r="Y342" s="119"/>
      <c r="Z342" s="119"/>
      <c r="AA342" s="119"/>
      <c r="AB342" s="119"/>
      <c r="AC342" s="119"/>
      <c r="AD342" s="119"/>
      <c r="AE342" s="119"/>
      <c r="AF342" s="119"/>
    </row>
    <row r="343" ht="18.75" customHeight="1">
      <c r="A343" s="119"/>
      <c r="B343" s="652"/>
      <c r="C343" s="642">
        <f>IF(F343=0,0,(VLOOKUP(F343,'MTRL MSK (TPDP)'!$F$9:$W637,18,0)))</f>
        <v>0</v>
      </c>
      <c r="D343" s="642">
        <f>IF(C343=0,0,(VLOOKUP(C343,'MTRL MSK (TPDP)'!$B$9:$W637,3,0)))</f>
        <v>0</v>
      </c>
      <c r="E343" s="643" t="str">
        <f>iferror(IF(C343="","",(VLOOKUP(C343,'MTRL MSK (TPDP)'!$B$9:$W637,4,0))),"")</f>
        <v/>
      </c>
      <c r="F343" s="644">
        <f>IF(H343=0,0,(VLOOKUP(H343,'MTRL MSK (TPDP)'!$H$9:$X637,17,0)))</f>
        <v>0</v>
      </c>
      <c r="G343" s="645"/>
      <c r="H343" s="646"/>
      <c r="I343" s="446">
        <f>IF(H343=0,0,(VLOOKUP(H343,'MTRL MSK (TPDP)'!$H$9:$U637,2,0)))</f>
        <v>0</v>
      </c>
      <c r="J343" s="448" t="str">
        <f>IFERROR((IF(H343=0,0,(VLOOKUP(H343,'MTRL MSK (TPDP)'!$H$8:$U637,7,0))))/(IF(H343=0,0,(VLOOKUP(H343,'MTRL MSK (TPDP)'!$H$8:$U637,5,0)))),"")</f>
        <v/>
      </c>
      <c r="K343" s="559"/>
      <c r="L343" s="448">
        <f t="shared" si="1"/>
        <v>0</v>
      </c>
      <c r="M343" s="647">
        <f t="shared" si="2"/>
        <v>0</v>
      </c>
      <c r="N343" s="647">
        <f t="shared" si="3"/>
        <v>0</v>
      </c>
      <c r="O343" s="448">
        <f>IF(H343=0,0,(VLOOKUP(H343,'MTRL MSK (TPDP)'!$H$9:$U637,5,0)))</f>
        <v>0</v>
      </c>
      <c r="P343" s="448">
        <f t="shared" si="4"/>
        <v>0</v>
      </c>
      <c r="Q343" s="448">
        <f t="shared" si="5"/>
        <v>0</v>
      </c>
      <c r="R343" s="648" t="str">
        <f>IFERROR(IF(S343="","",(VLOOKUP(S343,'1. BQ RAPL'!$D$14:$K637,8,0))),"")</f>
        <v/>
      </c>
      <c r="S343" s="649"/>
      <c r="T343" s="650"/>
      <c r="U343" s="16"/>
      <c r="V343" s="16"/>
      <c r="W343" s="16"/>
      <c r="X343" s="119"/>
      <c r="Y343" s="119"/>
      <c r="Z343" s="119"/>
      <c r="AA343" s="119"/>
      <c r="AB343" s="119"/>
      <c r="AC343" s="119"/>
      <c r="AD343" s="119"/>
      <c r="AE343" s="119"/>
      <c r="AF343" s="119"/>
    </row>
    <row r="344" ht="18.75" customHeight="1">
      <c r="A344" s="119"/>
      <c r="B344" s="652"/>
      <c r="C344" s="642">
        <f>IF(F344=0,0,(VLOOKUP(F344,'MTRL MSK (TPDP)'!$F$9:$W637,18,0)))</f>
        <v>0</v>
      </c>
      <c r="D344" s="642">
        <f>IF(C344=0,0,(VLOOKUP(C344,'MTRL MSK (TPDP)'!$B$9:$W637,3,0)))</f>
        <v>0</v>
      </c>
      <c r="E344" s="643" t="str">
        <f>iferror(IF(C344="","",(VLOOKUP(C344,'MTRL MSK (TPDP)'!$B$9:$W637,4,0))),"")</f>
        <v/>
      </c>
      <c r="F344" s="644">
        <f>IF(H344=0,0,(VLOOKUP(H344,'MTRL MSK (TPDP)'!$H$9:$X637,17,0)))</f>
        <v>0</v>
      </c>
      <c r="G344" s="645"/>
      <c r="H344" s="646"/>
      <c r="I344" s="446">
        <f>IF(H344=0,0,(VLOOKUP(H344,'MTRL MSK (TPDP)'!$H$9:$U637,2,0)))</f>
        <v>0</v>
      </c>
      <c r="J344" s="448" t="str">
        <f>IFERROR((IF(H344=0,0,(VLOOKUP(H344,'MTRL MSK (TPDP)'!$H$8:$U637,7,0))))/(IF(H344=0,0,(VLOOKUP(H344,'MTRL MSK (TPDP)'!$H$8:$U637,5,0)))),"")</f>
        <v/>
      </c>
      <c r="K344" s="559"/>
      <c r="L344" s="448">
        <f t="shared" si="1"/>
        <v>0</v>
      </c>
      <c r="M344" s="647">
        <f t="shared" si="2"/>
        <v>0</v>
      </c>
      <c r="N344" s="647">
        <f t="shared" si="3"/>
        <v>0</v>
      </c>
      <c r="O344" s="448">
        <f>IF(H344=0,0,(VLOOKUP(H344,'MTRL MSK (TPDP)'!$H$9:$U637,5,0)))</f>
        <v>0</v>
      </c>
      <c r="P344" s="448">
        <f t="shared" si="4"/>
        <v>0</v>
      </c>
      <c r="Q344" s="448">
        <f t="shared" si="5"/>
        <v>0</v>
      </c>
      <c r="R344" s="648" t="str">
        <f>IFERROR(IF(S344="","",(VLOOKUP(S344,'1. BQ RAPL'!$D$14:$K637,8,0))),"")</f>
        <v/>
      </c>
      <c r="S344" s="649"/>
      <c r="T344" s="650"/>
      <c r="U344" s="16"/>
      <c r="V344" s="16"/>
      <c r="W344" s="16"/>
      <c r="X344" s="119"/>
      <c r="Y344" s="119"/>
      <c r="Z344" s="119"/>
      <c r="AA344" s="119"/>
      <c r="AB344" s="119"/>
      <c r="AC344" s="119"/>
      <c r="AD344" s="119"/>
      <c r="AE344" s="119"/>
      <c r="AF344" s="119"/>
    </row>
    <row r="345" ht="18.75" customHeight="1">
      <c r="A345" s="119"/>
      <c r="B345" s="652"/>
      <c r="C345" s="642">
        <f>IF(F345=0,0,(VLOOKUP(F345,'MTRL MSK (TPDP)'!$F$9:$W637,18,0)))</f>
        <v>0</v>
      </c>
      <c r="D345" s="642">
        <f>IF(C345=0,0,(VLOOKUP(C345,'MTRL MSK (TPDP)'!$B$9:$W637,3,0)))</f>
        <v>0</v>
      </c>
      <c r="E345" s="643" t="str">
        <f>iferror(IF(C345="","",(VLOOKUP(C345,'MTRL MSK (TPDP)'!$B$9:$W637,4,0))),"")</f>
        <v/>
      </c>
      <c r="F345" s="644">
        <f>IF(H345=0,0,(VLOOKUP(H345,'MTRL MSK (TPDP)'!$H$9:$X637,17,0)))</f>
        <v>0</v>
      </c>
      <c r="G345" s="645"/>
      <c r="H345" s="646"/>
      <c r="I345" s="446">
        <f>IF(H345=0,0,(VLOOKUP(H345,'MTRL MSK (TPDP)'!$H$9:$U637,2,0)))</f>
        <v>0</v>
      </c>
      <c r="J345" s="448" t="str">
        <f>IFERROR((IF(H345=0,0,(VLOOKUP(H345,'MTRL MSK (TPDP)'!$H$8:$U637,7,0))))/(IF(H345=0,0,(VLOOKUP(H345,'MTRL MSK (TPDP)'!$H$8:$U637,5,0)))),"")</f>
        <v/>
      </c>
      <c r="K345" s="559"/>
      <c r="L345" s="448">
        <f t="shared" si="1"/>
        <v>0</v>
      </c>
      <c r="M345" s="647">
        <f t="shared" si="2"/>
        <v>0</v>
      </c>
      <c r="N345" s="647">
        <f t="shared" si="3"/>
        <v>0</v>
      </c>
      <c r="O345" s="448">
        <f>IF(H345=0,0,(VLOOKUP(H345,'MTRL MSK (TPDP)'!$H$9:$U637,5,0)))</f>
        <v>0</v>
      </c>
      <c r="P345" s="448">
        <f t="shared" si="4"/>
        <v>0</v>
      </c>
      <c r="Q345" s="448">
        <f t="shared" si="5"/>
        <v>0</v>
      </c>
      <c r="R345" s="648" t="str">
        <f>IFERROR(IF(S345="","",(VLOOKUP(S345,'1. BQ RAPL'!$D$14:$K637,8,0))),"")</f>
        <v/>
      </c>
      <c r="S345" s="649"/>
      <c r="T345" s="650"/>
      <c r="U345" s="16"/>
      <c r="V345" s="16"/>
      <c r="W345" s="16"/>
      <c r="X345" s="119"/>
      <c r="Y345" s="119"/>
      <c r="Z345" s="119"/>
      <c r="AA345" s="119"/>
      <c r="AB345" s="119"/>
      <c r="AC345" s="119"/>
      <c r="AD345" s="119"/>
      <c r="AE345" s="119"/>
      <c r="AF345" s="119"/>
    </row>
    <row r="346" ht="18.75" customHeight="1">
      <c r="A346" s="119"/>
      <c r="B346" s="652"/>
      <c r="C346" s="642">
        <f>IF(F346=0,0,(VLOOKUP(F346,'MTRL MSK (TPDP)'!$F$9:$W637,18,0)))</f>
        <v>0</v>
      </c>
      <c r="D346" s="642">
        <f>IF(C346=0,0,(VLOOKUP(C346,'MTRL MSK (TPDP)'!$B$9:$W637,3,0)))</f>
        <v>0</v>
      </c>
      <c r="E346" s="643" t="str">
        <f>iferror(IF(C346="","",(VLOOKUP(C346,'MTRL MSK (TPDP)'!$B$9:$W637,4,0))),"")</f>
        <v/>
      </c>
      <c r="F346" s="644">
        <f>IF(H346=0,0,(VLOOKUP(H346,'MTRL MSK (TPDP)'!$H$9:$X637,17,0)))</f>
        <v>0</v>
      </c>
      <c r="G346" s="645"/>
      <c r="H346" s="646"/>
      <c r="I346" s="446">
        <f>IF(H346=0,0,(VLOOKUP(H346,'MTRL MSK (TPDP)'!$H$9:$U637,2,0)))</f>
        <v>0</v>
      </c>
      <c r="J346" s="448" t="str">
        <f>IFERROR((IF(H346=0,0,(VLOOKUP(H346,'MTRL MSK (TPDP)'!$H$8:$U637,7,0))))/(IF(H346=0,0,(VLOOKUP(H346,'MTRL MSK (TPDP)'!$H$8:$U637,5,0)))),"")</f>
        <v/>
      </c>
      <c r="K346" s="559"/>
      <c r="L346" s="448">
        <f t="shared" si="1"/>
        <v>0</v>
      </c>
      <c r="M346" s="647">
        <f t="shared" si="2"/>
        <v>0</v>
      </c>
      <c r="N346" s="647">
        <f t="shared" si="3"/>
        <v>0</v>
      </c>
      <c r="O346" s="448">
        <f>IF(H346=0,0,(VLOOKUP(H346,'MTRL MSK (TPDP)'!$H$9:$U637,5,0)))</f>
        <v>0</v>
      </c>
      <c r="P346" s="448">
        <f t="shared" si="4"/>
        <v>0</v>
      </c>
      <c r="Q346" s="448">
        <f t="shared" si="5"/>
        <v>0</v>
      </c>
      <c r="R346" s="648" t="str">
        <f>IFERROR(IF(S346="","",(VLOOKUP(S346,'1. BQ RAPL'!$D$14:$K637,8,0))),"")</f>
        <v/>
      </c>
      <c r="S346" s="649"/>
      <c r="T346" s="650"/>
      <c r="U346" s="16"/>
      <c r="V346" s="16"/>
      <c r="W346" s="16"/>
      <c r="X346" s="119"/>
      <c r="Y346" s="119"/>
      <c r="Z346" s="119"/>
      <c r="AA346" s="119"/>
      <c r="AB346" s="119"/>
      <c r="AC346" s="119"/>
      <c r="AD346" s="119"/>
      <c r="AE346" s="119"/>
      <c r="AF346" s="119"/>
    </row>
    <row r="347" ht="18.75" customHeight="1">
      <c r="A347" s="119"/>
      <c r="B347" s="652"/>
      <c r="C347" s="642">
        <f>IF(F347=0,0,(VLOOKUP(F347,'MTRL MSK (TPDP)'!$F$9:$W637,18,0)))</f>
        <v>0</v>
      </c>
      <c r="D347" s="642">
        <f>IF(C347=0,0,(VLOOKUP(C347,'MTRL MSK (TPDP)'!$B$9:$W637,3,0)))</f>
        <v>0</v>
      </c>
      <c r="E347" s="643" t="str">
        <f>iferror(IF(C347="","",(VLOOKUP(C347,'MTRL MSK (TPDP)'!$B$9:$W637,4,0))),"")</f>
        <v/>
      </c>
      <c r="F347" s="644">
        <f>IF(H347=0,0,(VLOOKUP(H347,'MTRL MSK (TPDP)'!$H$9:$X637,17,0)))</f>
        <v>0</v>
      </c>
      <c r="G347" s="645"/>
      <c r="H347" s="646"/>
      <c r="I347" s="446">
        <f>IF(H347=0,0,(VLOOKUP(H347,'MTRL MSK (TPDP)'!$H$9:$U637,2,0)))</f>
        <v>0</v>
      </c>
      <c r="J347" s="448" t="str">
        <f>IFERROR((IF(H347=0,0,(VLOOKUP(H347,'MTRL MSK (TPDP)'!$H$8:$U637,7,0))))/(IF(H347=0,0,(VLOOKUP(H347,'MTRL MSK (TPDP)'!$H$8:$U637,5,0)))),"")</f>
        <v/>
      </c>
      <c r="K347" s="559"/>
      <c r="L347" s="448">
        <f t="shared" si="1"/>
        <v>0</v>
      </c>
      <c r="M347" s="647">
        <f t="shared" si="2"/>
        <v>0</v>
      </c>
      <c r="N347" s="647">
        <f t="shared" si="3"/>
        <v>0</v>
      </c>
      <c r="O347" s="448">
        <f>IF(H347=0,0,(VLOOKUP(H347,'MTRL MSK (TPDP)'!$H$9:$U637,5,0)))</f>
        <v>0</v>
      </c>
      <c r="P347" s="448">
        <f t="shared" si="4"/>
        <v>0</v>
      </c>
      <c r="Q347" s="448">
        <f t="shared" si="5"/>
        <v>0</v>
      </c>
      <c r="R347" s="648" t="str">
        <f>IFERROR(IF(S347="","",(VLOOKUP(S347,'1. BQ RAPL'!$D$14:$K637,8,0))),"")</f>
        <v/>
      </c>
      <c r="S347" s="649"/>
      <c r="T347" s="650"/>
      <c r="U347" s="16"/>
      <c r="V347" s="16"/>
      <c r="W347" s="16"/>
      <c r="X347" s="119"/>
      <c r="Y347" s="119"/>
      <c r="Z347" s="119"/>
      <c r="AA347" s="119"/>
      <c r="AB347" s="119"/>
      <c r="AC347" s="119"/>
      <c r="AD347" s="119"/>
      <c r="AE347" s="119"/>
      <c r="AF347" s="119"/>
    </row>
    <row r="348" ht="18.75" customHeight="1">
      <c r="A348" s="119"/>
      <c r="B348" s="652"/>
      <c r="C348" s="642">
        <f>IF(F348=0,0,(VLOOKUP(F348,'MTRL MSK (TPDP)'!$F$9:$W637,18,0)))</f>
        <v>0</v>
      </c>
      <c r="D348" s="642">
        <f>IF(C348=0,0,(VLOOKUP(C348,'MTRL MSK (TPDP)'!$B$9:$W637,3,0)))</f>
        <v>0</v>
      </c>
      <c r="E348" s="643" t="str">
        <f>iferror(IF(C348="","",(VLOOKUP(C348,'MTRL MSK (TPDP)'!$B$9:$W637,4,0))),"")</f>
        <v/>
      </c>
      <c r="F348" s="644">
        <f>IF(H348=0,0,(VLOOKUP(H348,'MTRL MSK (TPDP)'!$H$9:$X637,17,0)))</f>
        <v>0</v>
      </c>
      <c r="G348" s="645"/>
      <c r="H348" s="646"/>
      <c r="I348" s="446">
        <f>IF(H348=0,0,(VLOOKUP(H348,'MTRL MSK (TPDP)'!$H$9:$U637,2,0)))</f>
        <v>0</v>
      </c>
      <c r="J348" s="448" t="str">
        <f>IFERROR((IF(H348=0,0,(VLOOKUP(H348,'MTRL MSK (TPDP)'!$H$8:$U637,7,0))))/(IF(H348=0,0,(VLOOKUP(H348,'MTRL MSK (TPDP)'!$H$8:$U637,5,0)))),"")</f>
        <v/>
      </c>
      <c r="K348" s="559"/>
      <c r="L348" s="448">
        <f t="shared" si="1"/>
        <v>0</v>
      </c>
      <c r="M348" s="647">
        <f t="shared" si="2"/>
        <v>0</v>
      </c>
      <c r="N348" s="647">
        <f t="shared" si="3"/>
        <v>0</v>
      </c>
      <c r="O348" s="448">
        <f>IF(H348=0,0,(VLOOKUP(H348,'MTRL MSK (TPDP)'!$H$9:$U637,5,0)))</f>
        <v>0</v>
      </c>
      <c r="P348" s="448">
        <f t="shared" si="4"/>
        <v>0</v>
      </c>
      <c r="Q348" s="448">
        <f t="shared" si="5"/>
        <v>0</v>
      </c>
      <c r="R348" s="648" t="str">
        <f>IFERROR(IF(S348="","",(VLOOKUP(S348,'1. BQ RAPL'!$D$14:$K637,8,0))),"")</f>
        <v/>
      </c>
      <c r="S348" s="649"/>
      <c r="T348" s="650"/>
      <c r="U348" s="16"/>
      <c r="V348" s="16"/>
      <c r="W348" s="16"/>
      <c r="X348" s="119"/>
      <c r="Y348" s="119"/>
      <c r="Z348" s="119"/>
      <c r="AA348" s="119"/>
      <c r="AB348" s="119"/>
      <c r="AC348" s="119"/>
      <c r="AD348" s="119"/>
      <c r="AE348" s="119"/>
      <c r="AF348" s="119"/>
    </row>
    <row r="349" ht="18.75" customHeight="1">
      <c r="A349" s="119"/>
      <c r="B349" s="652"/>
      <c r="C349" s="642">
        <f>IF(F349=0,0,(VLOOKUP(F349,'MTRL MSK (TPDP)'!$F$9:$W637,18,0)))</f>
        <v>0</v>
      </c>
      <c r="D349" s="642">
        <f>IF(C349=0,0,(VLOOKUP(C349,'MTRL MSK (TPDP)'!$B$9:$W637,3,0)))</f>
        <v>0</v>
      </c>
      <c r="E349" s="643" t="str">
        <f>iferror(IF(C349="","",(VLOOKUP(C349,'MTRL MSK (TPDP)'!$B$9:$W637,4,0))),"")</f>
        <v/>
      </c>
      <c r="F349" s="644">
        <f>IF(H349=0,0,(VLOOKUP(H349,'MTRL MSK (TPDP)'!$H$9:$X637,17,0)))</f>
        <v>0</v>
      </c>
      <c r="G349" s="645"/>
      <c r="H349" s="646"/>
      <c r="I349" s="446">
        <f>IF(H349=0,0,(VLOOKUP(H349,'MTRL MSK (TPDP)'!$H$9:$U637,2,0)))</f>
        <v>0</v>
      </c>
      <c r="J349" s="448" t="str">
        <f>IFERROR((IF(H349=0,0,(VLOOKUP(H349,'MTRL MSK (TPDP)'!$H$8:$U637,7,0))))/(IF(H349=0,0,(VLOOKUP(H349,'MTRL MSK (TPDP)'!$H$8:$U637,5,0)))),"")</f>
        <v/>
      </c>
      <c r="K349" s="559"/>
      <c r="L349" s="448">
        <f t="shared" si="1"/>
        <v>0</v>
      </c>
      <c r="M349" s="647">
        <f t="shared" si="2"/>
        <v>0</v>
      </c>
      <c r="N349" s="647">
        <f t="shared" si="3"/>
        <v>0</v>
      </c>
      <c r="O349" s="448">
        <f>IF(H349=0,0,(VLOOKUP(H349,'MTRL MSK (TPDP)'!$H$9:$U637,5,0)))</f>
        <v>0</v>
      </c>
      <c r="P349" s="448">
        <f t="shared" si="4"/>
        <v>0</v>
      </c>
      <c r="Q349" s="448">
        <f t="shared" si="5"/>
        <v>0</v>
      </c>
      <c r="R349" s="648" t="str">
        <f>IFERROR(IF(S349="","",(VLOOKUP(S349,'1. BQ RAPL'!$D$14:$K637,8,0))),"")</f>
        <v/>
      </c>
      <c r="S349" s="649"/>
      <c r="T349" s="650"/>
      <c r="U349" s="16"/>
      <c r="V349" s="16"/>
      <c r="W349" s="16"/>
      <c r="X349" s="119"/>
      <c r="Y349" s="119"/>
      <c r="Z349" s="119"/>
      <c r="AA349" s="119"/>
      <c r="AB349" s="119"/>
      <c r="AC349" s="119"/>
      <c r="AD349" s="119"/>
      <c r="AE349" s="119"/>
      <c r="AF349" s="119"/>
    </row>
    <row r="350" ht="18.75" customHeight="1">
      <c r="A350" s="119"/>
      <c r="B350" s="652"/>
      <c r="C350" s="642">
        <f>IF(F350=0,0,(VLOOKUP(F350,'MTRL MSK (TPDP)'!$F$9:$W637,18,0)))</f>
        <v>0</v>
      </c>
      <c r="D350" s="642">
        <f>IF(C350=0,0,(VLOOKUP(C350,'MTRL MSK (TPDP)'!$B$9:$W637,3,0)))</f>
        <v>0</v>
      </c>
      <c r="E350" s="643" t="str">
        <f>iferror(IF(C350="","",(VLOOKUP(C350,'MTRL MSK (TPDP)'!$B$9:$W637,4,0))),"")</f>
        <v/>
      </c>
      <c r="F350" s="644">
        <f>IF(H350=0,0,(VLOOKUP(H350,'MTRL MSK (TPDP)'!$H$9:$X637,17,0)))</f>
        <v>0</v>
      </c>
      <c r="G350" s="645"/>
      <c r="H350" s="646"/>
      <c r="I350" s="446">
        <f>IF(H350=0,0,(VLOOKUP(H350,'MTRL MSK (TPDP)'!$H$9:$U637,2,0)))</f>
        <v>0</v>
      </c>
      <c r="J350" s="448" t="str">
        <f>IFERROR((IF(H350=0,0,(VLOOKUP(H350,'MTRL MSK (TPDP)'!$H$8:$U637,7,0))))/(IF(H350=0,0,(VLOOKUP(H350,'MTRL MSK (TPDP)'!$H$8:$U637,5,0)))),"")</f>
        <v/>
      </c>
      <c r="K350" s="559"/>
      <c r="L350" s="448">
        <f t="shared" si="1"/>
        <v>0</v>
      </c>
      <c r="M350" s="647">
        <f t="shared" si="2"/>
        <v>0</v>
      </c>
      <c r="N350" s="647">
        <f t="shared" si="3"/>
        <v>0</v>
      </c>
      <c r="O350" s="448">
        <f>IF(H350=0,0,(VLOOKUP(H350,'MTRL MSK (TPDP)'!$H$9:$U637,5,0)))</f>
        <v>0</v>
      </c>
      <c r="P350" s="448">
        <f t="shared" si="4"/>
        <v>0</v>
      </c>
      <c r="Q350" s="448">
        <f t="shared" si="5"/>
        <v>0</v>
      </c>
      <c r="R350" s="648" t="str">
        <f>IFERROR(IF(S350="","",(VLOOKUP(S350,'1. BQ RAPL'!$D$14:$K637,8,0))),"")</f>
        <v/>
      </c>
      <c r="S350" s="649"/>
      <c r="T350" s="650"/>
      <c r="U350" s="16"/>
      <c r="V350" s="16"/>
      <c r="W350" s="16"/>
      <c r="X350" s="119"/>
      <c r="Y350" s="119"/>
      <c r="Z350" s="119"/>
      <c r="AA350" s="119"/>
      <c r="AB350" s="119"/>
      <c r="AC350" s="119"/>
      <c r="AD350" s="119"/>
      <c r="AE350" s="119"/>
      <c r="AF350" s="119"/>
    </row>
    <row r="351" ht="18.75" customHeight="1">
      <c r="A351" s="119"/>
      <c r="B351" s="652"/>
      <c r="C351" s="642">
        <f>IF(F351=0,0,(VLOOKUP(F351,'MTRL MSK (TPDP)'!$F$9:$W637,18,0)))</f>
        <v>0</v>
      </c>
      <c r="D351" s="642">
        <f>IF(C351=0,0,(VLOOKUP(C351,'MTRL MSK (TPDP)'!$B$9:$W637,3,0)))</f>
        <v>0</v>
      </c>
      <c r="E351" s="643" t="str">
        <f>iferror(IF(C351="","",(VLOOKUP(C351,'MTRL MSK (TPDP)'!$B$9:$W637,4,0))),"")</f>
        <v/>
      </c>
      <c r="F351" s="644">
        <f>IF(H351=0,0,(VLOOKUP(H351,'MTRL MSK (TPDP)'!$H$9:$X637,17,0)))</f>
        <v>0</v>
      </c>
      <c r="G351" s="645"/>
      <c r="H351" s="646"/>
      <c r="I351" s="446">
        <f>IF(H351=0,0,(VLOOKUP(H351,'MTRL MSK (TPDP)'!$H$9:$U637,2,0)))</f>
        <v>0</v>
      </c>
      <c r="J351" s="448" t="str">
        <f>IFERROR((IF(H351=0,0,(VLOOKUP(H351,'MTRL MSK (TPDP)'!$H$8:$U637,7,0))))/(IF(H351=0,0,(VLOOKUP(H351,'MTRL MSK (TPDP)'!$H$8:$U637,5,0)))),"")</f>
        <v/>
      </c>
      <c r="K351" s="559"/>
      <c r="L351" s="448">
        <f t="shared" si="1"/>
        <v>0</v>
      </c>
      <c r="M351" s="647">
        <f t="shared" si="2"/>
        <v>0</v>
      </c>
      <c r="N351" s="647">
        <f t="shared" si="3"/>
        <v>0</v>
      </c>
      <c r="O351" s="448">
        <f>IF(H351=0,0,(VLOOKUP(H351,'MTRL MSK (TPDP)'!$H$9:$U637,5,0)))</f>
        <v>0</v>
      </c>
      <c r="P351" s="448">
        <f t="shared" si="4"/>
        <v>0</v>
      </c>
      <c r="Q351" s="448">
        <f t="shared" si="5"/>
        <v>0</v>
      </c>
      <c r="R351" s="648" t="str">
        <f>IFERROR(IF(S351="","",(VLOOKUP(S351,'1. BQ RAPL'!$D$14:$K637,8,0))),"")</f>
        <v/>
      </c>
      <c r="S351" s="649"/>
      <c r="T351" s="650"/>
      <c r="U351" s="16"/>
      <c r="V351" s="16"/>
      <c r="W351" s="16"/>
      <c r="X351" s="119"/>
      <c r="Y351" s="119"/>
      <c r="Z351" s="119"/>
      <c r="AA351" s="119"/>
      <c r="AB351" s="119"/>
      <c r="AC351" s="119"/>
      <c r="AD351" s="119"/>
      <c r="AE351" s="119"/>
      <c r="AF351" s="119"/>
    </row>
    <row r="352" ht="18.75" customHeight="1">
      <c r="A352" s="119"/>
      <c r="B352" s="652"/>
      <c r="C352" s="642">
        <f>IF(F352=0,0,(VLOOKUP(F352,'MTRL MSK (TPDP)'!$F$9:$W637,18,0)))</f>
        <v>0</v>
      </c>
      <c r="D352" s="642">
        <f>IF(C352=0,0,(VLOOKUP(C352,'MTRL MSK (TPDP)'!$B$9:$W637,3,0)))</f>
        <v>0</v>
      </c>
      <c r="E352" s="643" t="str">
        <f>iferror(IF(C352="","",(VLOOKUP(C352,'MTRL MSK (TPDP)'!$B$9:$W637,4,0))),"")</f>
        <v/>
      </c>
      <c r="F352" s="644">
        <f>IF(H352=0,0,(VLOOKUP(H352,'MTRL MSK (TPDP)'!$H$9:$X637,17,0)))</f>
        <v>0</v>
      </c>
      <c r="G352" s="645"/>
      <c r="H352" s="646"/>
      <c r="I352" s="446">
        <f>IF(H352=0,0,(VLOOKUP(H352,'MTRL MSK (TPDP)'!$H$9:$U637,2,0)))</f>
        <v>0</v>
      </c>
      <c r="J352" s="448" t="str">
        <f>IFERROR((IF(H352=0,0,(VLOOKUP(H352,'MTRL MSK (TPDP)'!$H$8:$U637,7,0))))/(IF(H352=0,0,(VLOOKUP(H352,'MTRL MSK (TPDP)'!$H$8:$U637,5,0)))),"")</f>
        <v/>
      </c>
      <c r="K352" s="559"/>
      <c r="L352" s="448">
        <f t="shared" si="1"/>
        <v>0</v>
      </c>
      <c r="M352" s="647">
        <f t="shared" si="2"/>
        <v>0</v>
      </c>
      <c r="N352" s="647">
        <f t="shared" si="3"/>
        <v>0</v>
      </c>
      <c r="O352" s="448">
        <f>IF(H352=0,0,(VLOOKUP(H352,'MTRL MSK (TPDP)'!$H$9:$U637,5,0)))</f>
        <v>0</v>
      </c>
      <c r="P352" s="448">
        <f t="shared" si="4"/>
        <v>0</v>
      </c>
      <c r="Q352" s="448">
        <f t="shared" si="5"/>
        <v>0</v>
      </c>
      <c r="R352" s="648" t="str">
        <f>IFERROR(IF(S352="","",(VLOOKUP(S352,'1. BQ RAPL'!$D$14:$K637,8,0))),"")</f>
        <v/>
      </c>
      <c r="S352" s="649"/>
      <c r="T352" s="650"/>
      <c r="U352" s="16"/>
      <c r="V352" s="16"/>
      <c r="W352" s="16"/>
      <c r="X352" s="119"/>
      <c r="Y352" s="119"/>
      <c r="Z352" s="119"/>
      <c r="AA352" s="119"/>
      <c r="AB352" s="119"/>
      <c r="AC352" s="119"/>
      <c r="AD352" s="119"/>
      <c r="AE352" s="119"/>
      <c r="AF352" s="119"/>
    </row>
    <row r="353" ht="18.75" customHeight="1">
      <c r="A353" s="119"/>
      <c r="B353" s="652"/>
      <c r="C353" s="642">
        <f>IF(F353=0,0,(VLOOKUP(F353,'MTRL MSK (TPDP)'!$F$9:$W637,18,0)))</f>
        <v>0</v>
      </c>
      <c r="D353" s="642">
        <f>IF(C353=0,0,(VLOOKUP(C353,'MTRL MSK (TPDP)'!$B$9:$W637,3,0)))</f>
        <v>0</v>
      </c>
      <c r="E353" s="643" t="str">
        <f>iferror(IF(C353="","",(VLOOKUP(C353,'MTRL MSK (TPDP)'!$B$9:$W637,4,0))),"")</f>
        <v/>
      </c>
      <c r="F353" s="644">
        <f>IF(H353=0,0,(VLOOKUP(H353,'MTRL MSK (TPDP)'!$H$9:$X637,17,0)))</f>
        <v>0</v>
      </c>
      <c r="G353" s="645"/>
      <c r="H353" s="646"/>
      <c r="I353" s="446">
        <f>IF(H353=0,0,(VLOOKUP(H353,'MTRL MSK (TPDP)'!$H$9:$U637,2,0)))</f>
        <v>0</v>
      </c>
      <c r="J353" s="448" t="str">
        <f>IFERROR((IF(H353=0,0,(VLOOKUP(H353,'MTRL MSK (TPDP)'!$H$8:$U637,7,0))))/(IF(H353=0,0,(VLOOKUP(H353,'MTRL MSK (TPDP)'!$H$8:$U637,5,0)))),"")</f>
        <v/>
      </c>
      <c r="K353" s="559"/>
      <c r="L353" s="448">
        <f t="shared" si="1"/>
        <v>0</v>
      </c>
      <c r="M353" s="647">
        <f t="shared" si="2"/>
        <v>0</v>
      </c>
      <c r="N353" s="647">
        <f t="shared" si="3"/>
        <v>0</v>
      </c>
      <c r="O353" s="448">
        <f>IF(H353=0,0,(VLOOKUP(H353,'MTRL MSK (TPDP)'!$H$9:$U637,5,0)))</f>
        <v>0</v>
      </c>
      <c r="P353" s="448">
        <f t="shared" si="4"/>
        <v>0</v>
      </c>
      <c r="Q353" s="448">
        <f t="shared" si="5"/>
        <v>0</v>
      </c>
      <c r="R353" s="648" t="str">
        <f>IFERROR(IF(S353="","",(VLOOKUP(S353,'1. BQ RAPL'!$D$14:$K637,8,0))),"")</f>
        <v/>
      </c>
      <c r="S353" s="649"/>
      <c r="T353" s="650"/>
      <c r="U353" s="16"/>
      <c r="V353" s="16"/>
      <c r="W353" s="16"/>
      <c r="X353" s="119"/>
      <c r="Y353" s="119"/>
      <c r="Z353" s="119"/>
      <c r="AA353" s="119"/>
      <c r="AB353" s="119"/>
      <c r="AC353" s="119"/>
      <c r="AD353" s="119"/>
      <c r="AE353" s="119"/>
      <c r="AF353" s="119"/>
    </row>
    <row r="354" ht="18.75" customHeight="1">
      <c r="A354" s="119"/>
      <c r="B354" s="652"/>
      <c r="C354" s="642">
        <f>IF(F354=0,0,(VLOOKUP(F354,'MTRL MSK (TPDP)'!$F$9:$W637,18,0)))</f>
        <v>0</v>
      </c>
      <c r="D354" s="642">
        <f>IF(C354=0,0,(VLOOKUP(C354,'MTRL MSK (TPDP)'!$B$9:$W637,3,0)))</f>
        <v>0</v>
      </c>
      <c r="E354" s="643" t="str">
        <f>iferror(IF(C354="","",(VLOOKUP(C354,'MTRL MSK (TPDP)'!$B$9:$W637,4,0))),"")</f>
        <v/>
      </c>
      <c r="F354" s="644">
        <f>IF(H354=0,0,(VLOOKUP(H354,'MTRL MSK (TPDP)'!$H$9:$X637,17,0)))</f>
        <v>0</v>
      </c>
      <c r="G354" s="645"/>
      <c r="H354" s="646"/>
      <c r="I354" s="446">
        <f>IF(H354=0,0,(VLOOKUP(H354,'MTRL MSK (TPDP)'!$H$9:$U637,2,0)))</f>
        <v>0</v>
      </c>
      <c r="J354" s="448" t="str">
        <f>IFERROR((IF(H354=0,0,(VLOOKUP(H354,'MTRL MSK (TPDP)'!$H$8:$U637,7,0))))/(IF(H354=0,0,(VLOOKUP(H354,'MTRL MSK (TPDP)'!$H$8:$U637,5,0)))),"")</f>
        <v/>
      </c>
      <c r="K354" s="559"/>
      <c r="L354" s="448">
        <f t="shared" si="1"/>
        <v>0</v>
      </c>
      <c r="M354" s="647">
        <f t="shared" si="2"/>
        <v>0</v>
      </c>
      <c r="N354" s="647">
        <f t="shared" si="3"/>
        <v>0</v>
      </c>
      <c r="O354" s="448">
        <f>IF(H354=0,0,(VLOOKUP(H354,'MTRL MSK (TPDP)'!$H$9:$U637,5,0)))</f>
        <v>0</v>
      </c>
      <c r="P354" s="448">
        <f t="shared" si="4"/>
        <v>0</v>
      </c>
      <c r="Q354" s="448">
        <f t="shared" si="5"/>
        <v>0</v>
      </c>
      <c r="R354" s="648" t="str">
        <f>IFERROR(IF(S354="","",(VLOOKUP(S354,'1. BQ RAPL'!$D$14:$K637,8,0))),"")</f>
        <v/>
      </c>
      <c r="S354" s="649"/>
      <c r="T354" s="650"/>
      <c r="U354" s="16"/>
      <c r="V354" s="16"/>
      <c r="W354" s="16"/>
      <c r="X354" s="119"/>
      <c r="Y354" s="119"/>
      <c r="Z354" s="119"/>
      <c r="AA354" s="119"/>
      <c r="AB354" s="119"/>
      <c r="AC354" s="119"/>
      <c r="AD354" s="119"/>
      <c r="AE354" s="119"/>
      <c r="AF354" s="119"/>
    </row>
    <row r="355" ht="18.75" customHeight="1">
      <c r="A355" s="119"/>
      <c r="B355" s="652"/>
      <c r="C355" s="642">
        <f>IF(F355=0,0,(VLOOKUP(F355,'MTRL MSK (TPDP)'!$F$9:$W637,18,0)))</f>
        <v>0</v>
      </c>
      <c r="D355" s="642">
        <f>IF(C355=0,0,(VLOOKUP(C355,'MTRL MSK (TPDP)'!$B$9:$W637,3,0)))</f>
        <v>0</v>
      </c>
      <c r="E355" s="643" t="str">
        <f>iferror(IF(C355="","",(VLOOKUP(C355,'MTRL MSK (TPDP)'!$B$9:$W637,4,0))),"")</f>
        <v/>
      </c>
      <c r="F355" s="644">
        <f>IF(H355=0,0,(VLOOKUP(H355,'MTRL MSK (TPDP)'!$H$9:$X637,17,0)))</f>
        <v>0</v>
      </c>
      <c r="G355" s="645"/>
      <c r="H355" s="646"/>
      <c r="I355" s="446">
        <f>IF(H355=0,0,(VLOOKUP(H355,'MTRL MSK (TPDP)'!$H$9:$U637,2,0)))</f>
        <v>0</v>
      </c>
      <c r="J355" s="448" t="str">
        <f>IFERROR((IF(H355=0,0,(VLOOKUP(H355,'MTRL MSK (TPDP)'!$H$8:$U637,7,0))))/(IF(H355=0,0,(VLOOKUP(H355,'MTRL MSK (TPDP)'!$H$8:$U637,5,0)))),"")</f>
        <v/>
      </c>
      <c r="K355" s="559"/>
      <c r="L355" s="448">
        <f t="shared" si="1"/>
        <v>0</v>
      </c>
      <c r="M355" s="647">
        <f t="shared" si="2"/>
        <v>0</v>
      </c>
      <c r="N355" s="647">
        <f t="shared" si="3"/>
        <v>0</v>
      </c>
      <c r="O355" s="448">
        <f>IF(H355=0,0,(VLOOKUP(H355,'MTRL MSK (TPDP)'!$H$9:$U637,5,0)))</f>
        <v>0</v>
      </c>
      <c r="P355" s="448">
        <f t="shared" si="4"/>
        <v>0</v>
      </c>
      <c r="Q355" s="448">
        <f t="shared" si="5"/>
        <v>0</v>
      </c>
      <c r="R355" s="648" t="str">
        <f>IFERROR(IF(S355="","",(VLOOKUP(S355,'1. BQ RAPL'!$D$14:$K637,8,0))),"")</f>
        <v/>
      </c>
      <c r="S355" s="649"/>
      <c r="T355" s="650"/>
      <c r="U355" s="16"/>
      <c r="V355" s="16"/>
      <c r="W355" s="16"/>
      <c r="X355" s="119"/>
      <c r="Y355" s="119"/>
      <c r="Z355" s="119"/>
      <c r="AA355" s="119"/>
      <c r="AB355" s="119"/>
      <c r="AC355" s="119"/>
      <c r="AD355" s="119"/>
      <c r="AE355" s="119"/>
      <c r="AF355" s="119"/>
    </row>
    <row r="356" ht="18.75" customHeight="1">
      <c r="A356" s="119"/>
      <c r="B356" s="652"/>
      <c r="C356" s="642">
        <f>IF(F356=0,0,(VLOOKUP(F356,'MTRL MSK (TPDP)'!$F$9:$W637,18,0)))</f>
        <v>0</v>
      </c>
      <c r="D356" s="642">
        <f>IF(C356=0,0,(VLOOKUP(C356,'MTRL MSK (TPDP)'!$B$9:$W637,3,0)))</f>
        <v>0</v>
      </c>
      <c r="E356" s="643" t="str">
        <f>iferror(IF(C356="","",(VLOOKUP(C356,'MTRL MSK (TPDP)'!$B$9:$W637,4,0))),"")</f>
        <v/>
      </c>
      <c r="F356" s="644">
        <f>IF(H356=0,0,(VLOOKUP(H356,'MTRL MSK (TPDP)'!$H$9:$X637,17,0)))</f>
        <v>0</v>
      </c>
      <c r="G356" s="645"/>
      <c r="H356" s="646"/>
      <c r="I356" s="446">
        <f>IF(H356=0,0,(VLOOKUP(H356,'MTRL MSK (TPDP)'!$H$9:$U637,2,0)))</f>
        <v>0</v>
      </c>
      <c r="J356" s="448" t="str">
        <f>IFERROR((IF(H356=0,0,(VLOOKUP(H356,'MTRL MSK (TPDP)'!$H$8:$U637,7,0))))/(IF(H356=0,0,(VLOOKUP(H356,'MTRL MSK (TPDP)'!$H$8:$U637,5,0)))),"")</f>
        <v/>
      </c>
      <c r="K356" s="559"/>
      <c r="L356" s="448">
        <f t="shared" si="1"/>
        <v>0</v>
      </c>
      <c r="M356" s="647">
        <f t="shared" si="2"/>
        <v>0</v>
      </c>
      <c r="N356" s="647">
        <f t="shared" si="3"/>
        <v>0</v>
      </c>
      <c r="O356" s="448">
        <f>IF(H356=0,0,(VLOOKUP(H356,'MTRL MSK (TPDP)'!$H$9:$U637,5,0)))</f>
        <v>0</v>
      </c>
      <c r="P356" s="448">
        <f t="shared" si="4"/>
        <v>0</v>
      </c>
      <c r="Q356" s="448">
        <f t="shared" si="5"/>
        <v>0</v>
      </c>
      <c r="R356" s="648" t="str">
        <f>IFERROR(IF(S356="","",(VLOOKUP(S356,'1. BQ RAPL'!$D$14:$K637,8,0))),"")</f>
        <v/>
      </c>
      <c r="S356" s="649"/>
      <c r="T356" s="650"/>
      <c r="U356" s="16"/>
      <c r="V356" s="16"/>
      <c r="W356" s="16"/>
      <c r="X356" s="119"/>
      <c r="Y356" s="119"/>
      <c r="Z356" s="119"/>
      <c r="AA356" s="119"/>
      <c r="AB356" s="119"/>
      <c r="AC356" s="119"/>
      <c r="AD356" s="119"/>
      <c r="AE356" s="119"/>
      <c r="AF356" s="119"/>
    </row>
    <row r="357" ht="18.75" customHeight="1">
      <c r="A357" s="119"/>
      <c r="B357" s="652"/>
      <c r="C357" s="642">
        <f>IF(F357=0,0,(VLOOKUP(F357,'MTRL MSK (TPDP)'!$F$9:$W637,18,0)))</f>
        <v>0</v>
      </c>
      <c r="D357" s="642">
        <f>IF(C357=0,0,(VLOOKUP(C357,'MTRL MSK (TPDP)'!$B$9:$W637,3,0)))</f>
        <v>0</v>
      </c>
      <c r="E357" s="643" t="str">
        <f>iferror(IF(C357="","",(VLOOKUP(C357,'MTRL MSK (TPDP)'!$B$9:$W637,4,0))),"")</f>
        <v/>
      </c>
      <c r="F357" s="644">
        <f>IF(H357=0,0,(VLOOKUP(H357,'MTRL MSK (TPDP)'!$H$9:$X637,17,0)))</f>
        <v>0</v>
      </c>
      <c r="G357" s="645"/>
      <c r="H357" s="646"/>
      <c r="I357" s="446">
        <f>IF(H357=0,0,(VLOOKUP(H357,'MTRL MSK (TPDP)'!$H$9:$U637,2,0)))</f>
        <v>0</v>
      </c>
      <c r="J357" s="448" t="str">
        <f>IFERROR((IF(H357=0,0,(VLOOKUP(H357,'MTRL MSK (TPDP)'!$H$8:$U637,7,0))))/(IF(H357=0,0,(VLOOKUP(H357,'MTRL MSK (TPDP)'!$H$8:$U637,5,0)))),"")</f>
        <v/>
      </c>
      <c r="K357" s="559"/>
      <c r="L357" s="448">
        <f t="shared" si="1"/>
        <v>0</v>
      </c>
      <c r="M357" s="647">
        <f t="shared" si="2"/>
        <v>0</v>
      </c>
      <c r="N357" s="647">
        <f t="shared" si="3"/>
        <v>0</v>
      </c>
      <c r="O357" s="448">
        <f>IF(H357=0,0,(VLOOKUP(H357,'MTRL MSK (TPDP)'!$H$9:$U637,5,0)))</f>
        <v>0</v>
      </c>
      <c r="P357" s="448">
        <f t="shared" si="4"/>
        <v>0</v>
      </c>
      <c r="Q357" s="448">
        <f t="shared" si="5"/>
        <v>0</v>
      </c>
      <c r="R357" s="648" t="str">
        <f>IFERROR(IF(S357="","",(VLOOKUP(S357,'1. BQ RAPL'!$D$14:$K637,8,0))),"")</f>
        <v/>
      </c>
      <c r="S357" s="649"/>
      <c r="T357" s="650"/>
      <c r="U357" s="16"/>
      <c r="V357" s="16"/>
      <c r="W357" s="16"/>
      <c r="X357" s="119"/>
      <c r="Y357" s="119"/>
      <c r="Z357" s="119"/>
      <c r="AA357" s="119"/>
      <c r="AB357" s="119"/>
      <c r="AC357" s="119"/>
      <c r="AD357" s="119"/>
      <c r="AE357" s="119"/>
      <c r="AF357" s="119"/>
    </row>
    <row r="358" ht="18.75" customHeight="1">
      <c r="A358" s="119"/>
      <c r="B358" s="652"/>
      <c r="C358" s="642">
        <f>IF(F358=0,0,(VLOOKUP(F358,'MTRL MSK (TPDP)'!$F$9:$W637,18,0)))</f>
        <v>0</v>
      </c>
      <c r="D358" s="642">
        <f>IF(C358=0,0,(VLOOKUP(C358,'MTRL MSK (TPDP)'!$B$9:$W637,3,0)))</f>
        <v>0</v>
      </c>
      <c r="E358" s="643" t="str">
        <f>iferror(IF(C358="","",(VLOOKUP(C358,'MTRL MSK (TPDP)'!$B$9:$W637,4,0))),"")</f>
        <v/>
      </c>
      <c r="F358" s="644">
        <f>IF(H358=0,0,(VLOOKUP(H358,'MTRL MSK (TPDP)'!$H$9:$X637,17,0)))</f>
        <v>0</v>
      </c>
      <c r="G358" s="645"/>
      <c r="H358" s="646"/>
      <c r="I358" s="446">
        <f>IF(H358=0,0,(VLOOKUP(H358,'MTRL MSK (TPDP)'!$H$9:$U637,2,0)))</f>
        <v>0</v>
      </c>
      <c r="J358" s="448" t="str">
        <f>IFERROR((IF(H358=0,0,(VLOOKUP(H358,'MTRL MSK (TPDP)'!$H$8:$U637,7,0))))/(IF(H358=0,0,(VLOOKUP(H358,'MTRL MSK (TPDP)'!$H$8:$U637,5,0)))),"")</f>
        <v/>
      </c>
      <c r="K358" s="559"/>
      <c r="L358" s="448">
        <f t="shared" si="1"/>
        <v>0</v>
      </c>
      <c r="M358" s="647">
        <f t="shared" si="2"/>
        <v>0</v>
      </c>
      <c r="N358" s="647">
        <f t="shared" si="3"/>
        <v>0</v>
      </c>
      <c r="O358" s="448">
        <f>IF(H358=0,0,(VLOOKUP(H358,'MTRL MSK (TPDP)'!$H$9:$U637,5,0)))</f>
        <v>0</v>
      </c>
      <c r="P358" s="448">
        <f t="shared" si="4"/>
        <v>0</v>
      </c>
      <c r="Q358" s="448">
        <f t="shared" si="5"/>
        <v>0</v>
      </c>
      <c r="R358" s="648" t="str">
        <f>IFERROR(IF(S358="","",(VLOOKUP(S358,'1. BQ RAPL'!$D$14:$K637,8,0))),"")</f>
        <v/>
      </c>
      <c r="S358" s="649"/>
      <c r="T358" s="650"/>
      <c r="U358" s="16"/>
      <c r="V358" s="16"/>
      <c r="W358" s="16"/>
      <c r="X358" s="119"/>
      <c r="Y358" s="119"/>
      <c r="Z358" s="119"/>
      <c r="AA358" s="119"/>
      <c r="AB358" s="119"/>
      <c r="AC358" s="119"/>
      <c r="AD358" s="119"/>
      <c r="AE358" s="119"/>
      <c r="AF358" s="119"/>
    </row>
    <row r="359" ht="18.75" customHeight="1">
      <c r="A359" s="119"/>
      <c r="B359" s="652"/>
      <c r="C359" s="642">
        <f>IF(F359=0,0,(VLOOKUP(F359,'MTRL MSK (TPDP)'!$F$9:$W637,18,0)))</f>
        <v>0</v>
      </c>
      <c r="D359" s="642">
        <f>IF(C359=0,0,(VLOOKUP(C359,'MTRL MSK (TPDP)'!$B$9:$W637,3,0)))</f>
        <v>0</v>
      </c>
      <c r="E359" s="643" t="str">
        <f>iferror(IF(C359="","",(VLOOKUP(C359,'MTRL MSK (TPDP)'!$B$9:$W637,4,0))),"")</f>
        <v/>
      </c>
      <c r="F359" s="644">
        <f>IF(H359=0,0,(VLOOKUP(H359,'MTRL MSK (TPDP)'!$H$9:$X637,17,0)))</f>
        <v>0</v>
      </c>
      <c r="G359" s="645"/>
      <c r="H359" s="646"/>
      <c r="I359" s="446">
        <f>IF(H359=0,0,(VLOOKUP(H359,'MTRL MSK (TPDP)'!$H$9:$U637,2,0)))</f>
        <v>0</v>
      </c>
      <c r="J359" s="448" t="str">
        <f>IFERROR((IF(H359=0,0,(VLOOKUP(H359,'MTRL MSK (TPDP)'!$H$8:$U637,7,0))))/(IF(H359=0,0,(VLOOKUP(H359,'MTRL MSK (TPDP)'!$H$8:$U637,5,0)))),"")</f>
        <v/>
      </c>
      <c r="K359" s="559"/>
      <c r="L359" s="448">
        <f t="shared" si="1"/>
        <v>0</v>
      </c>
      <c r="M359" s="647">
        <f t="shared" si="2"/>
        <v>0</v>
      </c>
      <c r="N359" s="647">
        <f t="shared" si="3"/>
        <v>0</v>
      </c>
      <c r="O359" s="448">
        <f>IF(H359=0,0,(VLOOKUP(H359,'MTRL MSK (TPDP)'!$H$9:$U637,5,0)))</f>
        <v>0</v>
      </c>
      <c r="P359" s="448">
        <f t="shared" si="4"/>
        <v>0</v>
      </c>
      <c r="Q359" s="448">
        <f t="shared" si="5"/>
        <v>0</v>
      </c>
      <c r="R359" s="648" t="str">
        <f>IFERROR(IF(S359="","",(VLOOKUP(S359,'1. BQ RAPL'!$D$14:$K637,8,0))),"")</f>
        <v/>
      </c>
      <c r="S359" s="649"/>
      <c r="T359" s="650"/>
      <c r="U359" s="16"/>
      <c r="V359" s="16"/>
      <c r="W359" s="16"/>
      <c r="X359" s="119"/>
      <c r="Y359" s="119"/>
      <c r="Z359" s="119"/>
      <c r="AA359" s="119"/>
      <c r="AB359" s="119"/>
      <c r="AC359" s="119"/>
      <c r="AD359" s="119"/>
      <c r="AE359" s="119"/>
      <c r="AF359" s="119"/>
    </row>
    <row r="360" ht="18.75" customHeight="1">
      <c r="A360" s="119"/>
      <c r="B360" s="652"/>
      <c r="C360" s="642">
        <f>IF(F360=0,0,(VLOOKUP(F360,'MTRL MSK (TPDP)'!$F$9:$W637,18,0)))</f>
        <v>0</v>
      </c>
      <c r="D360" s="642">
        <f>IF(C360=0,0,(VLOOKUP(C360,'MTRL MSK (TPDP)'!$B$9:$W637,3,0)))</f>
        <v>0</v>
      </c>
      <c r="E360" s="643" t="str">
        <f>iferror(IF(C360="","",(VLOOKUP(C360,'MTRL MSK (TPDP)'!$B$9:$W637,4,0))),"")</f>
        <v/>
      </c>
      <c r="F360" s="644">
        <f>IF(H360=0,0,(VLOOKUP(H360,'MTRL MSK (TPDP)'!$H$9:$X637,17,0)))</f>
        <v>0</v>
      </c>
      <c r="G360" s="645"/>
      <c r="H360" s="646"/>
      <c r="I360" s="446">
        <f>IF(H360=0,0,(VLOOKUP(H360,'MTRL MSK (TPDP)'!$H$9:$U637,2,0)))</f>
        <v>0</v>
      </c>
      <c r="J360" s="448" t="str">
        <f>IFERROR((IF(H360=0,0,(VLOOKUP(H360,'MTRL MSK (TPDP)'!$H$8:$U637,7,0))))/(IF(H360=0,0,(VLOOKUP(H360,'MTRL MSK (TPDP)'!$H$8:$U637,5,0)))),"")</f>
        <v/>
      </c>
      <c r="K360" s="559"/>
      <c r="L360" s="448">
        <f t="shared" si="1"/>
        <v>0</v>
      </c>
      <c r="M360" s="647">
        <f t="shared" si="2"/>
        <v>0</v>
      </c>
      <c r="N360" s="647">
        <f t="shared" si="3"/>
        <v>0</v>
      </c>
      <c r="O360" s="448">
        <f>IF(H360=0,0,(VLOOKUP(H360,'MTRL MSK (TPDP)'!$H$9:$U637,5,0)))</f>
        <v>0</v>
      </c>
      <c r="P360" s="448">
        <f t="shared" si="4"/>
        <v>0</v>
      </c>
      <c r="Q360" s="448">
        <f t="shared" si="5"/>
        <v>0</v>
      </c>
      <c r="R360" s="648" t="str">
        <f>IFERROR(IF(S360="","",(VLOOKUP(S360,'1. BQ RAPL'!$D$14:$K637,8,0))),"")</f>
        <v/>
      </c>
      <c r="S360" s="649"/>
      <c r="T360" s="650"/>
      <c r="U360" s="16"/>
      <c r="V360" s="16"/>
      <c r="W360" s="16"/>
      <c r="X360" s="119"/>
      <c r="Y360" s="119"/>
      <c r="Z360" s="119"/>
      <c r="AA360" s="119"/>
      <c r="AB360" s="119"/>
      <c r="AC360" s="119"/>
      <c r="AD360" s="119"/>
      <c r="AE360" s="119"/>
      <c r="AF360" s="119"/>
    </row>
    <row r="361" ht="18.75" customHeight="1">
      <c r="A361" s="119"/>
      <c r="B361" s="652"/>
      <c r="C361" s="642">
        <f>IF(F361=0,0,(VLOOKUP(F361,'MTRL MSK (TPDP)'!$F$9:$W637,18,0)))</f>
        <v>0</v>
      </c>
      <c r="D361" s="642">
        <f>IF(C361=0,0,(VLOOKUP(C361,'MTRL MSK (TPDP)'!$B$9:$W637,3,0)))</f>
        <v>0</v>
      </c>
      <c r="E361" s="643" t="str">
        <f>iferror(IF(C361="","",(VLOOKUP(C361,'MTRL MSK (TPDP)'!$B$9:$W637,4,0))),"")</f>
        <v/>
      </c>
      <c r="F361" s="644">
        <f>IF(H361=0,0,(VLOOKUP(H361,'MTRL MSK (TPDP)'!$H$9:$X637,17,0)))</f>
        <v>0</v>
      </c>
      <c r="G361" s="645"/>
      <c r="H361" s="646"/>
      <c r="I361" s="446">
        <f>IF(H361=0,0,(VLOOKUP(H361,'MTRL MSK (TPDP)'!$H$9:$U637,2,0)))</f>
        <v>0</v>
      </c>
      <c r="J361" s="448" t="str">
        <f>IFERROR((IF(H361=0,0,(VLOOKUP(H361,'MTRL MSK (TPDP)'!$H$8:$U637,7,0))))/(IF(H361=0,0,(VLOOKUP(H361,'MTRL MSK (TPDP)'!$H$8:$U637,5,0)))),"")</f>
        <v/>
      </c>
      <c r="K361" s="559"/>
      <c r="L361" s="448">
        <f t="shared" si="1"/>
        <v>0</v>
      </c>
      <c r="M361" s="647">
        <f t="shared" si="2"/>
        <v>0</v>
      </c>
      <c r="N361" s="647">
        <f t="shared" si="3"/>
        <v>0</v>
      </c>
      <c r="O361" s="448">
        <f>IF(H361=0,0,(VLOOKUP(H361,'MTRL MSK (TPDP)'!$H$9:$U637,5,0)))</f>
        <v>0</v>
      </c>
      <c r="P361" s="448">
        <f t="shared" si="4"/>
        <v>0</v>
      </c>
      <c r="Q361" s="448">
        <f t="shared" si="5"/>
        <v>0</v>
      </c>
      <c r="R361" s="648" t="str">
        <f>IFERROR(IF(S361="","",(VLOOKUP(S361,'1. BQ RAPL'!$D$14:$K637,8,0))),"")</f>
        <v/>
      </c>
      <c r="S361" s="649"/>
      <c r="T361" s="650"/>
      <c r="U361" s="16"/>
      <c r="V361" s="16"/>
      <c r="W361" s="16"/>
      <c r="X361" s="119"/>
      <c r="Y361" s="119"/>
      <c r="Z361" s="119"/>
      <c r="AA361" s="119"/>
      <c r="AB361" s="119"/>
      <c r="AC361" s="119"/>
      <c r="AD361" s="119"/>
      <c r="AE361" s="119"/>
      <c r="AF361" s="119"/>
    </row>
    <row r="362" ht="18.75" customHeight="1">
      <c r="A362" s="119"/>
      <c r="B362" s="652"/>
      <c r="C362" s="642">
        <f>IF(F362=0,0,(VLOOKUP(F362,'MTRL MSK (TPDP)'!$F$9:$W637,18,0)))</f>
        <v>0</v>
      </c>
      <c r="D362" s="642">
        <f>IF(C362=0,0,(VLOOKUP(C362,'MTRL MSK (TPDP)'!$B$9:$W637,3,0)))</f>
        <v>0</v>
      </c>
      <c r="E362" s="643" t="str">
        <f>iferror(IF(C362="","",(VLOOKUP(C362,'MTRL MSK (TPDP)'!$B$9:$W637,4,0))),"")</f>
        <v/>
      </c>
      <c r="F362" s="644">
        <f>IF(H362=0,0,(VLOOKUP(H362,'MTRL MSK (TPDP)'!$H$9:$X637,17,0)))</f>
        <v>0</v>
      </c>
      <c r="G362" s="645"/>
      <c r="H362" s="646"/>
      <c r="I362" s="446">
        <f>IF(H362=0,0,(VLOOKUP(H362,'MTRL MSK (TPDP)'!$H$9:$U637,2,0)))</f>
        <v>0</v>
      </c>
      <c r="J362" s="448" t="str">
        <f>IFERROR((IF(H362=0,0,(VLOOKUP(H362,'MTRL MSK (TPDP)'!$H$8:$U637,7,0))))/(IF(H362=0,0,(VLOOKUP(H362,'MTRL MSK (TPDP)'!$H$8:$U637,5,0)))),"")</f>
        <v/>
      </c>
      <c r="K362" s="559"/>
      <c r="L362" s="448">
        <f t="shared" si="1"/>
        <v>0</v>
      </c>
      <c r="M362" s="647">
        <f t="shared" si="2"/>
        <v>0</v>
      </c>
      <c r="N362" s="647">
        <f t="shared" si="3"/>
        <v>0</v>
      </c>
      <c r="O362" s="448">
        <f>IF(H362=0,0,(VLOOKUP(H362,'MTRL MSK (TPDP)'!$H$9:$U637,5,0)))</f>
        <v>0</v>
      </c>
      <c r="P362" s="448">
        <f t="shared" si="4"/>
        <v>0</v>
      </c>
      <c r="Q362" s="448">
        <f t="shared" si="5"/>
        <v>0</v>
      </c>
      <c r="R362" s="648" t="str">
        <f>IFERROR(IF(S362="","",(VLOOKUP(S362,'1. BQ RAPL'!$D$14:$K637,8,0))),"")</f>
        <v/>
      </c>
      <c r="S362" s="649"/>
      <c r="T362" s="650"/>
      <c r="U362" s="16"/>
      <c r="V362" s="16"/>
      <c r="W362" s="16"/>
      <c r="X362" s="119"/>
      <c r="Y362" s="119"/>
      <c r="Z362" s="119"/>
      <c r="AA362" s="119"/>
      <c r="AB362" s="119"/>
      <c r="AC362" s="119"/>
      <c r="AD362" s="119"/>
      <c r="AE362" s="119"/>
      <c r="AF362" s="119"/>
    </row>
    <row r="363" ht="18.75" customHeight="1">
      <c r="A363" s="119"/>
      <c r="B363" s="652"/>
      <c r="C363" s="642">
        <f>IF(F363=0,0,(VLOOKUP(F363,'MTRL MSK (TPDP)'!$F$9:$W637,18,0)))</f>
        <v>0</v>
      </c>
      <c r="D363" s="642">
        <f>IF(C363=0,0,(VLOOKUP(C363,'MTRL MSK (TPDP)'!$B$9:$W637,3,0)))</f>
        <v>0</v>
      </c>
      <c r="E363" s="643" t="str">
        <f>iferror(IF(C363="","",(VLOOKUP(C363,'MTRL MSK (TPDP)'!$B$9:$W637,4,0))),"")</f>
        <v/>
      </c>
      <c r="F363" s="644">
        <f>IF(H363=0,0,(VLOOKUP(H363,'MTRL MSK (TPDP)'!$H$9:$X637,17,0)))</f>
        <v>0</v>
      </c>
      <c r="G363" s="645"/>
      <c r="H363" s="646"/>
      <c r="I363" s="446">
        <f>IF(H363=0,0,(VLOOKUP(H363,'MTRL MSK (TPDP)'!$H$9:$U637,2,0)))</f>
        <v>0</v>
      </c>
      <c r="J363" s="448" t="str">
        <f>IFERROR((IF(H363=0,0,(VLOOKUP(H363,'MTRL MSK (TPDP)'!$H$8:$U637,7,0))))/(IF(H363=0,0,(VLOOKUP(H363,'MTRL MSK (TPDP)'!$H$8:$U637,5,0)))),"")</f>
        <v/>
      </c>
      <c r="K363" s="559"/>
      <c r="L363" s="448">
        <f t="shared" si="1"/>
        <v>0</v>
      </c>
      <c r="M363" s="647">
        <f t="shared" si="2"/>
        <v>0</v>
      </c>
      <c r="N363" s="647">
        <f t="shared" si="3"/>
        <v>0</v>
      </c>
      <c r="O363" s="448">
        <f>IF(H363=0,0,(VLOOKUP(H363,'MTRL MSK (TPDP)'!$H$9:$U637,5,0)))</f>
        <v>0</v>
      </c>
      <c r="P363" s="448">
        <f t="shared" si="4"/>
        <v>0</v>
      </c>
      <c r="Q363" s="448">
        <f t="shared" si="5"/>
        <v>0</v>
      </c>
      <c r="R363" s="648" t="str">
        <f>IFERROR(IF(S363="","",(VLOOKUP(S363,'1. BQ RAPL'!$D$14:$K637,8,0))),"")</f>
        <v/>
      </c>
      <c r="S363" s="649"/>
      <c r="T363" s="650"/>
      <c r="U363" s="16"/>
      <c r="V363" s="16"/>
      <c r="W363" s="16"/>
      <c r="X363" s="119"/>
      <c r="Y363" s="119"/>
      <c r="Z363" s="119"/>
      <c r="AA363" s="119"/>
      <c r="AB363" s="119"/>
      <c r="AC363" s="119"/>
      <c r="AD363" s="119"/>
      <c r="AE363" s="119"/>
      <c r="AF363" s="119"/>
    </row>
    <row r="364" ht="18.75" customHeight="1">
      <c r="A364" s="119"/>
      <c r="B364" s="652"/>
      <c r="C364" s="642">
        <f>IF(F364=0,0,(VLOOKUP(F364,'MTRL MSK (TPDP)'!$F$9:$W637,18,0)))</f>
        <v>0</v>
      </c>
      <c r="D364" s="642">
        <f>IF(C364=0,0,(VLOOKUP(C364,'MTRL MSK (TPDP)'!$B$9:$W637,3,0)))</f>
        <v>0</v>
      </c>
      <c r="E364" s="643" t="str">
        <f>iferror(IF(C364="","",(VLOOKUP(C364,'MTRL MSK (TPDP)'!$B$9:$W637,4,0))),"")</f>
        <v/>
      </c>
      <c r="F364" s="644">
        <f>IF(H364=0,0,(VLOOKUP(H364,'MTRL MSK (TPDP)'!$H$9:$X637,17,0)))</f>
        <v>0</v>
      </c>
      <c r="G364" s="645"/>
      <c r="H364" s="646"/>
      <c r="I364" s="446">
        <f>IF(H364=0,0,(VLOOKUP(H364,'MTRL MSK (TPDP)'!$H$9:$U637,2,0)))</f>
        <v>0</v>
      </c>
      <c r="J364" s="448" t="str">
        <f>IFERROR((IF(H364=0,0,(VLOOKUP(H364,'MTRL MSK (TPDP)'!$H$8:$U637,7,0))))/(IF(H364=0,0,(VLOOKUP(H364,'MTRL MSK (TPDP)'!$H$8:$U637,5,0)))),"")</f>
        <v/>
      </c>
      <c r="K364" s="559"/>
      <c r="L364" s="448">
        <f t="shared" si="1"/>
        <v>0</v>
      </c>
      <c r="M364" s="647">
        <f t="shared" si="2"/>
        <v>0</v>
      </c>
      <c r="N364" s="647">
        <f t="shared" si="3"/>
        <v>0</v>
      </c>
      <c r="O364" s="448">
        <f>IF(H364=0,0,(VLOOKUP(H364,'MTRL MSK (TPDP)'!$H$9:$U637,5,0)))</f>
        <v>0</v>
      </c>
      <c r="P364" s="448">
        <f t="shared" si="4"/>
        <v>0</v>
      </c>
      <c r="Q364" s="448">
        <f t="shared" si="5"/>
        <v>0</v>
      </c>
      <c r="R364" s="648" t="str">
        <f>IFERROR(IF(S364="","",(VLOOKUP(S364,'1. BQ RAPL'!$D$14:$K637,8,0))),"")</f>
        <v/>
      </c>
      <c r="S364" s="649"/>
      <c r="T364" s="650"/>
      <c r="U364" s="16"/>
      <c r="V364" s="16"/>
      <c r="W364" s="16"/>
      <c r="X364" s="119"/>
      <c r="Y364" s="119"/>
      <c r="Z364" s="119"/>
      <c r="AA364" s="119"/>
      <c r="AB364" s="119"/>
      <c r="AC364" s="119"/>
      <c r="AD364" s="119"/>
      <c r="AE364" s="119"/>
      <c r="AF364" s="119"/>
    </row>
    <row r="365" ht="18.75" customHeight="1">
      <c r="A365" s="119"/>
      <c r="B365" s="652"/>
      <c r="C365" s="642">
        <f>IF(F365=0,0,(VLOOKUP(F365,'MTRL MSK (TPDP)'!$F$9:$W637,18,0)))</f>
        <v>0</v>
      </c>
      <c r="D365" s="642">
        <f>IF(C365=0,0,(VLOOKUP(C365,'MTRL MSK (TPDP)'!$B$9:$W637,3,0)))</f>
        <v>0</v>
      </c>
      <c r="E365" s="643" t="str">
        <f>iferror(IF(C365="","",(VLOOKUP(C365,'MTRL MSK (TPDP)'!$B$9:$W637,4,0))),"")</f>
        <v/>
      </c>
      <c r="F365" s="644">
        <f>IF(H365=0,0,(VLOOKUP(H365,'MTRL MSK (TPDP)'!$H$9:$X637,17,0)))</f>
        <v>0</v>
      </c>
      <c r="G365" s="645"/>
      <c r="H365" s="646"/>
      <c r="I365" s="446">
        <f>IF(H365=0,0,(VLOOKUP(H365,'MTRL MSK (TPDP)'!$H$9:$U637,2,0)))</f>
        <v>0</v>
      </c>
      <c r="J365" s="448" t="str">
        <f>IFERROR((IF(H365=0,0,(VLOOKUP(H365,'MTRL MSK (TPDP)'!$H$8:$U637,7,0))))/(IF(H365=0,0,(VLOOKUP(H365,'MTRL MSK (TPDP)'!$H$8:$U637,5,0)))),"")</f>
        <v/>
      </c>
      <c r="K365" s="559"/>
      <c r="L365" s="448">
        <f t="shared" si="1"/>
        <v>0</v>
      </c>
      <c r="M365" s="647">
        <f t="shared" si="2"/>
        <v>0</v>
      </c>
      <c r="N365" s="647">
        <f t="shared" si="3"/>
        <v>0</v>
      </c>
      <c r="O365" s="448">
        <f>IF(H365=0,0,(VLOOKUP(H365,'MTRL MSK (TPDP)'!$H$9:$U637,5,0)))</f>
        <v>0</v>
      </c>
      <c r="P365" s="448">
        <f t="shared" si="4"/>
        <v>0</v>
      </c>
      <c r="Q365" s="448">
        <f t="shared" si="5"/>
        <v>0</v>
      </c>
      <c r="R365" s="648" t="str">
        <f>IFERROR(IF(S365="","",(VLOOKUP(S365,'1. BQ RAPL'!$D$14:$K637,8,0))),"")</f>
        <v/>
      </c>
      <c r="S365" s="649"/>
      <c r="T365" s="650"/>
      <c r="U365" s="16"/>
      <c r="V365" s="16"/>
      <c r="W365" s="16"/>
      <c r="X365" s="119"/>
      <c r="Y365" s="119"/>
      <c r="Z365" s="119"/>
      <c r="AA365" s="119"/>
      <c r="AB365" s="119"/>
      <c r="AC365" s="119"/>
      <c r="AD365" s="119"/>
      <c r="AE365" s="119"/>
      <c r="AF365" s="119"/>
    </row>
    <row r="366" ht="18.75" customHeight="1">
      <c r="A366" s="119"/>
      <c r="B366" s="652"/>
      <c r="C366" s="642">
        <f>IF(F366=0,0,(VLOOKUP(F366,'MTRL MSK (TPDP)'!$F$9:$W637,18,0)))</f>
        <v>0</v>
      </c>
      <c r="D366" s="642">
        <f>IF(C366=0,0,(VLOOKUP(C366,'MTRL MSK (TPDP)'!$B$9:$W637,3,0)))</f>
        <v>0</v>
      </c>
      <c r="E366" s="643" t="str">
        <f>iferror(IF(C366="","",(VLOOKUP(C366,'MTRL MSK (TPDP)'!$B$9:$W637,4,0))),"")</f>
        <v/>
      </c>
      <c r="F366" s="644">
        <f>IF(H366=0,0,(VLOOKUP(H366,'MTRL MSK (TPDP)'!$H$9:$X637,17,0)))</f>
        <v>0</v>
      </c>
      <c r="G366" s="645"/>
      <c r="H366" s="646"/>
      <c r="I366" s="446">
        <f>IF(H366=0,0,(VLOOKUP(H366,'MTRL MSK (TPDP)'!$H$9:$U637,2,0)))</f>
        <v>0</v>
      </c>
      <c r="J366" s="448" t="str">
        <f>IFERROR((IF(H366=0,0,(VLOOKUP(H366,'MTRL MSK (TPDP)'!$H$8:$U637,7,0))))/(IF(H366=0,0,(VLOOKUP(H366,'MTRL MSK (TPDP)'!$H$8:$U637,5,0)))),"")</f>
        <v/>
      </c>
      <c r="K366" s="559"/>
      <c r="L366" s="448">
        <f t="shared" si="1"/>
        <v>0</v>
      </c>
      <c r="M366" s="647">
        <f t="shared" si="2"/>
        <v>0</v>
      </c>
      <c r="N366" s="647">
        <f t="shared" si="3"/>
        <v>0</v>
      </c>
      <c r="O366" s="448">
        <f>IF(H366=0,0,(VLOOKUP(H366,'MTRL MSK (TPDP)'!$H$9:$U637,5,0)))</f>
        <v>0</v>
      </c>
      <c r="P366" s="448">
        <f t="shared" si="4"/>
        <v>0</v>
      </c>
      <c r="Q366" s="448">
        <f t="shared" si="5"/>
        <v>0</v>
      </c>
      <c r="R366" s="648" t="str">
        <f>IFERROR(IF(S366="","",(VLOOKUP(S366,'1. BQ RAPL'!$D$14:$K637,8,0))),"")</f>
        <v/>
      </c>
      <c r="S366" s="649"/>
      <c r="T366" s="650"/>
      <c r="U366" s="16"/>
      <c r="V366" s="16"/>
      <c r="W366" s="16"/>
      <c r="X366" s="119"/>
      <c r="Y366" s="119"/>
      <c r="Z366" s="119"/>
      <c r="AA366" s="119"/>
      <c r="AB366" s="119"/>
      <c r="AC366" s="119"/>
      <c r="AD366" s="119"/>
      <c r="AE366" s="119"/>
      <c r="AF366" s="119"/>
    </row>
    <row r="367" ht="18.75" customHeight="1">
      <c r="A367" s="119"/>
      <c r="B367" s="652"/>
      <c r="C367" s="642">
        <f>IF(F367=0,0,(VLOOKUP(F367,'MTRL MSK (TPDP)'!$F$9:$W637,18,0)))</f>
        <v>0</v>
      </c>
      <c r="D367" s="642">
        <f>IF(C367=0,0,(VLOOKUP(C367,'MTRL MSK (TPDP)'!$B$9:$W637,3,0)))</f>
        <v>0</v>
      </c>
      <c r="E367" s="643" t="str">
        <f>iferror(IF(C367="","",(VLOOKUP(C367,'MTRL MSK (TPDP)'!$B$9:$W637,4,0))),"")</f>
        <v/>
      </c>
      <c r="F367" s="644">
        <f>IF(H367=0,0,(VLOOKUP(H367,'MTRL MSK (TPDP)'!$H$9:$X637,17,0)))</f>
        <v>0</v>
      </c>
      <c r="G367" s="645"/>
      <c r="H367" s="646"/>
      <c r="I367" s="446">
        <f>IF(H367=0,0,(VLOOKUP(H367,'MTRL MSK (TPDP)'!$H$9:$U637,2,0)))</f>
        <v>0</v>
      </c>
      <c r="J367" s="448" t="str">
        <f>IFERROR((IF(H367=0,0,(VLOOKUP(H367,'MTRL MSK (TPDP)'!$H$8:$U637,7,0))))/(IF(H367=0,0,(VLOOKUP(H367,'MTRL MSK (TPDP)'!$H$8:$U637,5,0)))),"")</f>
        <v/>
      </c>
      <c r="K367" s="559"/>
      <c r="L367" s="448">
        <f t="shared" si="1"/>
        <v>0</v>
      </c>
      <c r="M367" s="647">
        <f t="shared" si="2"/>
        <v>0</v>
      </c>
      <c r="N367" s="647">
        <f t="shared" si="3"/>
        <v>0</v>
      </c>
      <c r="O367" s="448">
        <f>IF(H367=0,0,(VLOOKUP(H367,'MTRL MSK (TPDP)'!$H$9:$U637,5,0)))</f>
        <v>0</v>
      </c>
      <c r="P367" s="448">
        <f t="shared" si="4"/>
        <v>0</v>
      </c>
      <c r="Q367" s="448">
        <f t="shared" si="5"/>
        <v>0</v>
      </c>
      <c r="R367" s="648" t="str">
        <f>IFERROR(IF(S367="","",(VLOOKUP(S367,'1. BQ RAPL'!$D$14:$K637,8,0))),"")</f>
        <v/>
      </c>
      <c r="S367" s="649"/>
      <c r="T367" s="650"/>
      <c r="U367" s="16"/>
      <c r="V367" s="16"/>
      <c r="W367" s="16"/>
      <c r="X367" s="119"/>
      <c r="Y367" s="119"/>
      <c r="Z367" s="119"/>
      <c r="AA367" s="119"/>
      <c r="AB367" s="119"/>
      <c r="AC367" s="119"/>
      <c r="AD367" s="119"/>
      <c r="AE367" s="119"/>
      <c r="AF367" s="119"/>
    </row>
    <row r="368" ht="18.75" customHeight="1">
      <c r="A368" s="119"/>
      <c r="B368" s="652"/>
      <c r="C368" s="642">
        <f>IF(F368=0,0,(VLOOKUP(F368,'MTRL MSK (TPDP)'!$F$9:$W637,18,0)))</f>
        <v>0</v>
      </c>
      <c r="D368" s="642">
        <f>IF(C368=0,0,(VLOOKUP(C368,'MTRL MSK (TPDP)'!$B$9:$W637,3,0)))</f>
        <v>0</v>
      </c>
      <c r="E368" s="643" t="str">
        <f>iferror(IF(C368="","",(VLOOKUP(C368,'MTRL MSK (TPDP)'!$B$9:$W637,4,0))),"")</f>
        <v/>
      </c>
      <c r="F368" s="644">
        <f>IF(H368=0,0,(VLOOKUP(H368,'MTRL MSK (TPDP)'!$H$9:$X637,17,0)))</f>
        <v>0</v>
      </c>
      <c r="G368" s="645"/>
      <c r="H368" s="646"/>
      <c r="I368" s="446">
        <f>IF(H368=0,0,(VLOOKUP(H368,'MTRL MSK (TPDP)'!$H$9:$U637,2,0)))</f>
        <v>0</v>
      </c>
      <c r="J368" s="448" t="str">
        <f>IFERROR((IF(H368=0,0,(VLOOKUP(H368,'MTRL MSK (TPDP)'!$H$8:$U637,7,0))))/(IF(H368=0,0,(VLOOKUP(H368,'MTRL MSK (TPDP)'!$H$8:$U637,5,0)))),"")</f>
        <v/>
      </c>
      <c r="K368" s="559"/>
      <c r="L368" s="448">
        <f t="shared" si="1"/>
        <v>0</v>
      </c>
      <c r="M368" s="647">
        <f t="shared" si="2"/>
        <v>0</v>
      </c>
      <c r="N368" s="647">
        <f t="shared" si="3"/>
        <v>0</v>
      </c>
      <c r="O368" s="448">
        <f>IF(H368=0,0,(VLOOKUP(H368,'MTRL MSK (TPDP)'!$H$9:$U637,5,0)))</f>
        <v>0</v>
      </c>
      <c r="P368" s="448">
        <f t="shared" si="4"/>
        <v>0</v>
      </c>
      <c r="Q368" s="448">
        <f t="shared" si="5"/>
        <v>0</v>
      </c>
      <c r="R368" s="648" t="str">
        <f>IFERROR(IF(S368="","",(VLOOKUP(S368,'1. BQ RAPL'!$D$14:$K637,8,0))),"")</f>
        <v/>
      </c>
      <c r="S368" s="649"/>
      <c r="T368" s="650"/>
      <c r="U368" s="16"/>
      <c r="V368" s="16"/>
      <c r="W368" s="16"/>
      <c r="X368" s="119"/>
      <c r="Y368" s="119"/>
      <c r="Z368" s="119"/>
      <c r="AA368" s="119"/>
      <c r="AB368" s="119"/>
      <c r="AC368" s="119"/>
      <c r="AD368" s="119"/>
      <c r="AE368" s="119"/>
      <c r="AF368" s="119"/>
    </row>
    <row r="369" ht="18.75" customHeight="1">
      <c r="A369" s="119"/>
      <c r="B369" s="652"/>
      <c r="C369" s="642">
        <f>IF(F369=0,0,(VLOOKUP(F369,'MTRL MSK (TPDP)'!$F$9:$W637,18,0)))</f>
        <v>0</v>
      </c>
      <c r="D369" s="642">
        <f>IF(C369=0,0,(VLOOKUP(C369,'MTRL MSK (TPDP)'!$B$9:$W637,3,0)))</f>
        <v>0</v>
      </c>
      <c r="E369" s="643" t="str">
        <f>iferror(IF(C369="","",(VLOOKUP(C369,'MTRL MSK (TPDP)'!$B$9:$W637,4,0))),"")</f>
        <v/>
      </c>
      <c r="F369" s="644">
        <f>IF(H369=0,0,(VLOOKUP(H369,'MTRL MSK (TPDP)'!$H$9:$X637,17,0)))</f>
        <v>0</v>
      </c>
      <c r="G369" s="645"/>
      <c r="H369" s="646"/>
      <c r="I369" s="446">
        <f>IF(H369=0,0,(VLOOKUP(H369,'MTRL MSK (TPDP)'!$H$9:$U637,2,0)))</f>
        <v>0</v>
      </c>
      <c r="J369" s="448" t="str">
        <f>IFERROR((IF(H369=0,0,(VLOOKUP(H369,'MTRL MSK (TPDP)'!$H$8:$U637,7,0))))/(IF(H369=0,0,(VLOOKUP(H369,'MTRL MSK (TPDP)'!$H$8:$U637,5,0)))),"")</f>
        <v/>
      </c>
      <c r="K369" s="559"/>
      <c r="L369" s="448">
        <f t="shared" si="1"/>
        <v>0</v>
      </c>
      <c r="M369" s="647">
        <f t="shared" si="2"/>
        <v>0</v>
      </c>
      <c r="N369" s="647">
        <f t="shared" si="3"/>
        <v>0</v>
      </c>
      <c r="O369" s="448">
        <f>IF(H369=0,0,(VLOOKUP(H369,'MTRL MSK (TPDP)'!$H$9:$U637,5,0)))</f>
        <v>0</v>
      </c>
      <c r="P369" s="448">
        <f t="shared" si="4"/>
        <v>0</v>
      </c>
      <c r="Q369" s="448">
        <f t="shared" si="5"/>
        <v>0</v>
      </c>
      <c r="R369" s="648" t="str">
        <f>IFERROR(IF(S369="","",(VLOOKUP(S369,'1. BQ RAPL'!$D$14:$K637,8,0))),"")</f>
        <v/>
      </c>
      <c r="S369" s="649"/>
      <c r="T369" s="650"/>
      <c r="U369" s="16"/>
      <c r="V369" s="16"/>
      <c r="W369" s="16"/>
      <c r="X369" s="119"/>
      <c r="Y369" s="119"/>
      <c r="Z369" s="119"/>
      <c r="AA369" s="119"/>
      <c r="AB369" s="119"/>
      <c r="AC369" s="119"/>
      <c r="AD369" s="119"/>
      <c r="AE369" s="119"/>
      <c r="AF369" s="119"/>
    </row>
    <row r="370" ht="18.75" customHeight="1">
      <c r="A370" s="119"/>
      <c r="B370" s="652"/>
      <c r="C370" s="642">
        <f>IF(F370=0,0,(VLOOKUP(F370,'MTRL MSK (TPDP)'!$F$9:$W637,18,0)))</f>
        <v>0</v>
      </c>
      <c r="D370" s="642">
        <f>IF(C370=0,0,(VLOOKUP(C370,'MTRL MSK (TPDP)'!$B$9:$W637,3,0)))</f>
        <v>0</v>
      </c>
      <c r="E370" s="643" t="str">
        <f>iferror(IF(C370="","",(VLOOKUP(C370,'MTRL MSK (TPDP)'!$B$9:$W637,4,0))),"")</f>
        <v/>
      </c>
      <c r="F370" s="644">
        <f>IF(H370=0,0,(VLOOKUP(H370,'MTRL MSK (TPDP)'!$H$9:$X637,17,0)))</f>
        <v>0</v>
      </c>
      <c r="G370" s="645"/>
      <c r="H370" s="646"/>
      <c r="I370" s="446">
        <f>IF(H370=0,0,(VLOOKUP(H370,'MTRL MSK (TPDP)'!$H$9:$U637,2,0)))</f>
        <v>0</v>
      </c>
      <c r="J370" s="448" t="str">
        <f>IFERROR((IF(H370=0,0,(VLOOKUP(H370,'MTRL MSK (TPDP)'!$H$8:$U637,7,0))))/(IF(H370=0,0,(VLOOKUP(H370,'MTRL MSK (TPDP)'!$H$8:$U637,5,0)))),"")</f>
        <v/>
      </c>
      <c r="K370" s="559"/>
      <c r="L370" s="448">
        <f t="shared" si="1"/>
        <v>0</v>
      </c>
      <c r="M370" s="647">
        <f t="shared" si="2"/>
        <v>0</v>
      </c>
      <c r="N370" s="647">
        <f t="shared" si="3"/>
        <v>0</v>
      </c>
      <c r="O370" s="448">
        <f>IF(H370=0,0,(VLOOKUP(H370,'MTRL MSK (TPDP)'!$H$9:$U637,5,0)))</f>
        <v>0</v>
      </c>
      <c r="P370" s="448">
        <f t="shared" si="4"/>
        <v>0</v>
      </c>
      <c r="Q370" s="448">
        <f t="shared" si="5"/>
        <v>0</v>
      </c>
      <c r="R370" s="648" t="str">
        <f>IFERROR(IF(S370="","",(VLOOKUP(S370,'1. BQ RAPL'!$D$14:$K637,8,0))),"")</f>
        <v/>
      </c>
      <c r="S370" s="649"/>
      <c r="T370" s="650"/>
      <c r="U370" s="16"/>
      <c r="V370" s="16"/>
      <c r="W370" s="16"/>
      <c r="X370" s="119"/>
      <c r="Y370" s="119"/>
      <c r="Z370" s="119"/>
      <c r="AA370" s="119"/>
      <c r="AB370" s="119"/>
      <c r="AC370" s="119"/>
      <c r="AD370" s="119"/>
      <c r="AE370" s="119"/>
      <c r="AF370" s="119"/>
    </row>
    <row r="371" ht="18.75" customHeight="1">
      <c r="A371" s="119"/>
      <c r="B371" s="652"/>
      <c r="C371" s="642">
        <f>IF(F371=0,0,(VLOOKUP(F371,'MTRL MSK (TPDP)'!$F$9:$W637,18,0)))</f>
        <v>0</v>
      </c>
      <c r="D371" s="642">
        <f>IF(C371=0,0,(VLOOKUP(C371,'MTRL MSK (TPDP)'!$B$9:$W637,3,0)))</f>
        <v>0</v>
      </c>
      <c r="E371" s="643" t="str">
        <f>iferror(IF(C371="","",(VLOOKUP(C371,'MTRL MSK (TPDP)'!$B$9:$W637,4,0))),"")</f>
        <v/>
      </c>
      <c r="F371" s="644">
        <f>IF(H371=0,0,(VLOOKUP(H371,'MTRL MSK (TPDP)'!$H$9:$X637,17,0)))</f>
        <v>0</v>
      </c>
      <c r="G371" s="645"/>
      <c r="H371" s="646"/>
      <c r="I371" s="446">
        <f>IF(H371=0,0,(VLOOKUP(H371,'MTRL MSK (TPDP)'!$H$9:$U637,2,0)))</f>
        <v>0</v>
      </c>
      <c r="J371" s="448" t="str">
        <f>IFERROR((IF(H371=0,0,(VLOOKUP(H371,'MTRL MSK (TPDP)'!$H$8:$U637,7,0))))/(IF(H371=0,0,(VLOOKUP(H371,'MTRL MSK (TPDP)'!$H$8:$U637,5,0)))),"")</f>
        <v/>
      </c>
      <c r="K371" s="559"/>
      <c r="L371" s="448">
        <f t="shared" si="1"/>
        <v>0</v>
      </c>
      <c r="M371" s="647">
        <f t="shared" si="2"/>
        <v>0</v>
      </c>
      <c r="N371" s="647">
        <f t="shared" si="3"/>
        <v>0</v>
      </c>
      <c r="O371" s="448">
        <f>IF(H371=0,0,(VLOOKUP(H371,'MTRL MSK (TPDP)'!$H$9:$U637,5,0)))</f>
        <v>0</v>
      </c>
      <c r="P371" s="448">
        <f t="shared" si="4"/>
        <v>0</v>
      </c>
      <c r="Q371" s="448">
        <f t="shared" si="5"/>
        <v>0</v>
      </c>
      <c r="R371" s="648" t="str">
        <f>IFERROR(IF(S371="","",(VLOOKUP(S371,'1. BQ RAPL'!$D$14:$K637,8,0))),"")</f>
        <v/>
      </c>
      <c r="S371" s="649"/>
      <c r="T371" s="650"/>
      <c r="U371" s="16"/>
      <c r="V371" s="16"/>
      <c r="W371" s="16"/>
      <c r="X371" s="119"/>
      <c r="Y371" s="119"/>
      <c r="Z371" s="119"/>
      <c r="AA371" s="119"/>
      <c r="AB371" s="119"/>
      <c r="AC371" s="119"/>
      <c r="AD371" s="119"/>
      <c r="AE371" s="119"/>
      <c r="AF371" s="119"/>
    </row>
    <row r="372" ht="18.75" customHeight="1">
      <c r="A372" s="119"/>
      <c r="B372" s="652"/>
      <c r="C372" s="642">
        <f>IF(F372=0,0,(VLOOKUP(F372,'MTRL MSK (TPDP)'!$F$9:$W637,18,0)))</f>
        <v>0</v>
      </c>
      <c r="D372" s="642">
        <f>IF(C372=0,0,(VLOOKUP(C372,'MTRL MSK (TPDP)'!$B$9:$W637,3,0)))</f>
        <v>0</v>
      </c>
      <c r="E372" s="643" t="str">
        <f>iferror(IF(C372="","",(VLOOKUP(C372,'MTRL MSK (TPDP)'!$B$9:$W637,4,0))),"")</f>
        <v/>
      </c>
      <c r="F372" s="644">
        <f>IF(H372=0,0,(VLOOKUP(H372,'MTRL MSK (TPDP)'!$H$9:$X637,17,0)))</f>
        <v>0</v>
      </c>
      <c r="G372" s="645"/>
      <c r="H372" s="646"/>
      <c r="I372" s="446">
        <f>IF(H372=0,0,(VLOOKUP(H372,'MTRL MSK (TPDP)'!$H$9:$U637,2,0)))</f>
        <v>0</v>
      </c>
      <c r="J372" s="448" t="str">
        <f>IFERROR((IF(H372=0,0,(VLOOKUP(H372,'MTRL MSK (TPDP)'!$H$8:$U637,7,0))))/(IF(H372=0,0,(VLOOKUP(H372,'MTRL MSK (TPDP)'!$H$8:$U637,5,0)))),"")</f>
        <v/>
      </c>
      <c r="K372" s="559"/>
      <c r="L372" s="448">
        <f t="shared" si="1"/>
        <v>0</v>
      </c>
      <c r="M372" s="647">
        <f t="shared" si="2"/>
        <v>0</v>
      </c>
      <c r="N372" s="647">
        <f t="shared" si="3"/>
        <v>0</v>
      </c>
      <c r="O372" s="448">
        <f>IF(H372=0,0,(VLOOKUP(H372,'MTRL MSK (TPDP)'!$H$9:$U637,5,0)))</f>
        <v>0</v>
      </c>
      <c r="P372" s="448">
        <f t="shared" si="4"/>
        <v>0</v>
      </c>
      <c r="Q372" s="448">
        <f t="shared" si="5"/>
        <v>0</v>
      </c>
      <c r="R372" s="648" t="str">
        <f>IFERROR(IF(S372="","",(VLOOKUP(S372,'1. BQ RAPL'!$D$14:$K637,8,0))),"")</f>
        <v/>
      </c>
      <c r="S372" s="649"/>
      <c r="T372" s="650"/>
      <c r="U372" s="16"/>
      <c r="V372" s="16"/>
      <c r="W372" s="16"/>
      <c r="X372" s="119"/>
      <c r="Y372" s="119"/>
      <c r="Z372" s="119"/>
      <c r="AA372" s="119"/>
      <c r="AB372" s="119"/>
      <c r="AC372" s="119"/>
      <c r="AD372" s="119"/>
      <c r="AE372" s="119"/>
      <c r="AF372" s="119"/>
    </row>
    <row r="373" ht="18.75" customHeight="1">
      <c r="A373" s="119"/>
      <c r="B373" s="652"/>
      <c r="C373" s="642">
        <f>IF(F373=0,0,(VLOOKUP(F373,'MTRL MSK (TPDP)'!$F$9:$W637,18,0)))</f>
        <v>0</v>
      </c>
      <c r="D373" s="642">
        <f>IF(C373=0,0,(VLOOKUP(C373,'MTRL MSK (TPDP)'!$B$9:$W637,3,0)))</f>
        <v>0</v>
      </c>
      <c r="E373" s="643" t="str">
        <f>iferror(IF(C373="","",(VLOOKUP(C373,'MTRL MSK (TPDP)'!$B$9:$W637,4,0))),"")</f>
        <v/>
      </c>
      <c r="F373" s="644">
        <f>IF(H373=0,0,(VLOOKUP(H373,'MTRL MSK (TPDP)'!$H$9:$X637,17,0)))</f>
        <v>0</v>
      </c>
      <c r="G373" s="645"/>
      <c r="H373" s="646"/>
      <c r="I373" s="446">
        <f>IF(H373=0,0,(VLOOKUP(H373,'MTRL MSK (TPDP)'!$H$9:$U637,2,0)))</f>
        <v>0</v>
      </c>
      <c r="J373" s="448" t="str">
        <f>IFERROR((IF(H373=0,0,(VLOOKUP(H373,'MTRL MSK (TPDP)'!$H$8:$U637,7,0))))/(IF(H373=0,0,(VLOOKUP(H373,'MTRL MSK (TPDP)'!$H$8:$U637,5,0)))),"")</f>
        <v/>
      </c>
      <c r="K373" s="559"/>
      <c r="L373" s="448">
        <f t="shared" si="1"/>
        <v>0</v>
      </c>
      <c r="M373" s="647">
        <f t="shared" si="2"/>
        <v>0</v>
      </c>
      <c r="N373" s="647">
        <f t="shared" si="3"/>
        <v>0</v>
      </c>
      <c r="O373" s="448">
        <f>IF(H373=0,0,(VLOOKUP(H373,'MTRL MSK (TPDP)'!$H$9:$U637,5,0)))</f>
        <v>0</v>
      </c>
      <c r="P373" s="448">
        <f t="shared" si="4"/>
        <v>0</v>
      </c>
      <c r="Q373" s="448">
        <f t="shared" si="5"/>
        <v>0</v>
      </c>
      <c r="R373" s="648" t="str">
        <f>IFERROR(IF(S373="","",(VLOOKUP(S373,'1. BQ RAPL'!$D$14:$K637,8,0))),"")</f>
        <v/>
      </c>
      <c r="S373" s="649"/>
      <c r="T373" s="650"/>
      <c r="U373" s="16"/>
      <c r="V373" s="16"/>
      <c r="W373" s="16"/>
      <c r="X373" s="119"/>
      <c r="Y373" s="119"/>
      <c r="Z373" s="119"/>
      <c r="AA373" s="119"/>
      <c r="AB373" s="119"/>
      <c r="AC373" s="119"/>
      <c r="AD373" s="119"/>
      <c r="AE373" s="119"/>
      <c r="AF373" s="119"/>
    </row>
    <row r="374" ht="18.75" customHeight="1">
      <c r="A374" s="119"/>
      <c r="B374" s="652"/>
      <c r="C374" s="642">
        <f>IF(F374=0,0,(VLOOKUP(F374,'MTRL MSK (TPDP)'!$F$9:$W637,18,0)))</f>
        <v>0</v>
      </c>
      <c r="D374" s="642">
        <f>IF(C374=0,0,(VLOOKUP(C374,'MTRL MSK (TPDP)'!$B$9:$W637,3,0)))</f>
        <v>0</v>
      </c>
      <c r="E374" s="643" t="str">
        <f>iferror(IF(C374="","",(VLOOKUP(C374,'MTRL MSK (TPDP)'!$B$9:$W637,4,0))),"")</f>
        <v/>
      </c>
      <c r="F374" s="644">
        <f>IF(H374=0,0,(VLOOKUP(H374,'MTRL MSK (TPDP)'!$H$9:$X637,17,0)))</f>
        <v>0</v>
      </c>
      <c r="G374" s="645"/>
      <c r="H374" s="646"/>
      <c r="I374" s="446">
        <f>IF(H374=0,0,(VLOOKUP(H374,'MTRL MSK (TPDP)'!$H$9:$U637,2,0)))</f>
        <v>0</v>
      </c>
      <c r="J374" s="448" t="str">
        <f>IFERROR((IF(H374=0,0,(VLOOKUP(H374,'MTRL MSK (TPDP)'!$H$8:$U637,7,0))))/(IF(H374=0,0,(VLOOKUP(H374,'MTRL MSK (TPDP)'!$H$8:$U637,5,0)))),"")</f>
        <v/>
      </c>
      <c r="K374" s="559"/>
      <c r="L374" s="448">
        <f t="shared" si="1"/>
        <v>0</v>
      </c>
      <c r="M374" s="647">
        <f t="shared" si="2"/>
        <v>0</v>
      </c>
      <c r="N374" s="647">
        <f t="shared" si="3"/>
        <v>0</v>
      </c>
      <c r="O374" s="448">
        <f>IF(H374=0,0,(VLOOKUP(H374,'MTRL MSK (TPDP)'!$H$9:$U637,5,0)))</f>
        <v>0</v>
      </c>
      <c r="P374" s="448">
        <f t="shared" si="4"/>
        <v>0</v>
      </c>
      <c r="Q374" s="448">
        <f t="shared" si="5"/>
        <v>0</v>
      </c>
      <c r="R374" s="648" t="str">
        <f>IFERROR(IF(S374="","",(VLOOKUP(S374,'1. BQ RAPL'!$D$14:$K637,8,0))),"")</f>
        <v/>
      </c>
      <c r="S374" s="649"/>
      <c r="T374" s="650"/>
      <c r="U374" s="16"/>
      <c r="V374" s="16"/>
      <c r="W374" s="16"/>
      <c r="X374" s="119"/>
      <c r="Y374" s="119"/>
      <c r="Z374" s="119"/>
      <c r="AA374" s="119"/>
      <c r="AB374" s="119"/>
      <c r="AC374" s="119"/>
      <c r="AD374" s="119"/>
      <c r="AE374" s="119"/>
      <c r="AF374" s="119"/>
    </row>
    <row r="375" ht="18.75" customHeight="1">
      <c r="A375" s="119"/>
      <c r="B375" s="652"/>
      <c r="C375" s="642">
        <f>IF(F375=0,0,(VLOOKUP(F375,'MTRL MSK (TPDP)'!$F$9:$W637,18,0)))</f>
        <v>0</v>
      </c>
      <c r="D375" s="642">
        <f>IF(C375=0,0,(VLOOKUP(C375,'MTRL MSK (TPDP)'!$B$9:$W637,3,0)))</f>
        <v>0</v>
      </c>
      <c r="E375" s="643" t="str">
        <f>iferror(IF(C375="","",(VLOOKUP(C375,'MTRL MSK (TPDP)'!$B$9:$W637,4,0))),"")</f>
        <v/>
      </c>
      <c r="F375" s="644">
        <f>IF(H375=0,0,(VLOOKUP(H375,'MTRL MSK (TPDP)'!$H$9:$X637,17,0)))</f>
        <v>0</v>
      </c>
      <c r="G375" s="645"/>
      <c r="H375" s="646"/>
      <c r="I375" s="446">
        <f>IF(H375=0,0,(VLOOKUP(H375,'MTRL MSK (TPDP)'!$H$9:$U637,2,0)))</f>
        <v>0</v>
      </c>
      <c r="J375" s="448" t="str">
        <f>IFERROR((IF(H375=0,0,(VLOOKUP(H375,'MTRL MSK (TPDP)'!$H$8:$U637,7,0))))/(IF(H375=0,0,(VLOOKUP(H375,'MTRL MSK (TPDP)'!$H$8:$U637,5,0)))),"")</f>
        <v/>
      </c>
      <c r="K375" s="559"/>
      <c r="L375" s="448">
        <f t="shared" si="1"/>
        <v>0</v>
      </c>
      <c r="M375" s="647">
        <f t="shared" si="2"/>
        <v>0</v>
      </c>
      <c r="N375" s="647">
        <f t="shared" si="3"/>
        <v>0</v>
      </c>
      <c r="O375" s="448">
        <f>IF(H375=0,0,(VLOOKUP(H375,'MTRL MSK (TPDP)'!$H$9:$U637,5,0)))</f>
        <v>0</v>
      </c>
      <c r="P375" s="448">
        <f t="shared" si="4"/>
        <v>0</v>
      </c>
      <c r="Q375" s="448">
        <f t="shared" si="5"/>
        <v>0</v>
      </c>
      <c r="R375" s="648" t="str">
        <f>IFERROR(IF(S375="","",(VLOOKUP(S375,'1. BQ RAPL'!$D$14:$K637,8,0))),"")</f>
        <v/>
      </c>
      <c r="S375" s="649"/>
      <c r="T375" s="650"/>
      <c r="U375" s="16"/>
      <c r="V375" s="16"/>
      <c r="W375" s="16"/>
      <c r="X375" s="119"/>
      <c r="Y375" s="119"/>
      <c r="Z375" s="119"/>
      <c r="AA375" s="119"/>
      <c r="AB375" s="119"/>
      <c r="AC375" s="119"/>
      <c r="AD375" s="119"/>
      <c r="AE375" s="119"/>
      <c r="AF375" s="119"/>
    </row>
    <row r="376" ht="18.75" customHeight="1">
      <c r="A376" s="119"/>
      <c r="B376" s="652"/>
      <c r="C376" s="642">
        <f>IF(F376=0,0,(VLOOKUP(F376,'MTRL MSK (TPDP)'!$F$9:$W637,18,0)))</f>
        <v>0</v>
      </c>
      <c r="D376" s="642">
        <f>IF(C376=0,0,(VLOOKUP(C376,'MTRL MSK (TPDP)'!$B$9:$W637,3,0)))</f>
        <v>0</v>
      </c>
      <c r="E376" s="643" t="str">
        <f>iferror(IF(C376="","",(VLOOKUP(C376,'MTRL MSK (TPDP)'!$B$9:$W637,4,0))),"")</f>
        <v/>
      </c>
      <c r="F376" s="644">
        <f>IF(H376=0,0,(VLOOKUP(H376,'MTRL MSK (TPDP)'!$H$9:$X637,17,0)))</f>
        <v>0</v>
      </c>
      <c r="G376" s="645"/>
      <c r="H376" s="646"/>
      <c r="I376" s="446">
        <f>IF(H376=0,0,(VLOOKUP(H376,'MTRL MSK (TPDP)'!$H$9:$U637,2,0)))</f>
        <v>0</v>
      </c>
      <c r="J376" s="448" t="str">
        <f>IFERROR((IF(H376=0,0,(VLOOKUP(H376,'MTRL MSK (TPDP)'!$H$8:$U637,7,0))))/(IF(H376=0,0,(VLOOKUP(H376,'MTRL MSK (TPDP)'!$H$8:$U637,5,0)))),"")</f>
        <v/>
      </c>
      <c r="K376" s="559"/>
      <c r="L376" s="448">
        <f t="shared" si="1"/>
        <v>0</v>
      </c>
      <c r="M376" s="647">
        <f t="shared" si="2"/>
        <v>0</v>
      </c>
      <c r="N376" s="647">
        <f t="shared" si="3"/>
        <v>0</v>
      </c>
      <c r="O376" s="448">
        <f>IF(H376=0,0,(VLOOKUP(H376,'MTRL MSK (TPDP)'!$H$9:$U637,5,0)))</f>
        <v>0</v>
      </c>
      <c r="P376" s="448">
        <f t="shared" si="4"/>
        <v>0</v>
      </c>
      <c r="Q376" s="448">
        <f t="shared" si="5"/>
        <v>0</v>
      </c>
      <c r="R376" s="648" t="str">
        <f>IFERROR(IF(S376="","",(VLOOKUP(S376,'1. BQ RAPL'!$D$14:$K637,8,0))),"")</f>
        <v/>
      </c>
      <c r="S376" s="649"/>
      <c r="T376" s="650"/>
      <c r="U376" s="16"/>
      <c r="V376" s="16"/>
      <c r="W376" s="16"/>
      <c r="X376" s="119"/>
      <c r="Y376" s="119"/>
      <c r="Z376" s="119"/>
      <c r="AA376" s="119"/>
      <c r="AB376" s="119"/>
      <c r="AC376" s="119"/>
      <c r="AD376" s="119"/>
      <c r="AE376" s="119"/>
      <c r="AF376" s="119"/>
    </row>
    <row r="377" ht="18.75" customHeight="1">
      <c r="A377" s="119"/>
      <c r="B377" s="652"/>
      <c r="C377" s="642">
        <f>IF(F377=0,0,(VLOOKUP(F377,'MTRL MSK (TPDP)'!$F$9:$W637,18,0)))</f>
        <v>0</v>
      </c>
      <c r="D377" s="642">
        <f>IF(C377=0,0,(VLOOKUP(C377,'MTRL MSK (TPDP)'!$B$9:$W637,3,0)))</f>
        <v>0</v>
      </c>
      <c r="E377" s="643" t="str">
        <f>iferror(IF(C377="","",(VLOOKUP(C377,'MTRL MSK (TPDP)'!$B$9:$W637,4,0))),"")</f>
        <v/>
      </c>
      <c r="F377" s="644">
        <f>IF(H377=0,0,(VLOOKUP(H377,'MTRL MSK (TPDP)'!$H$9:$X637,17,0)))</f>
        <v>0</v>
      </c>
      <c r="G377" s="645"/>
      <c r="H377" s="646"/>
      <c r="I377" s="446">
        <f>IF(H377=0,0,(VLOOKUP(H377,'MTRL MSK (TPDP)'!$H$9:$U637,2,0)))</f>
        <v>0</v>
      </c>
      <c r="J377" s="448" t="str">
        <f>IFERROR((IF(H377=0,0,(VLOOKUP(H377,'MTRL MSK (TPDP)'!$H$8:$U637,7,0))))/(IF(H377=0,0,(VLOOKUP(H377,'MTRL MSK (TPDP)'!$H$8:$U637,5,0)))),"")</f>
        <v/>
      </c>
      <c r="K377" s="559"/>
      <c r="L377" s="448">
        <f t="shared" si="1"/>
        <v>0</v>
      </c>
      <c r="M377" s="647">
        <f t="shared" si="2"/>
        <v>0</v>
      </c>
      <c r="N377" s="647">
        <f t="shared" si="3"/>
        <v>0</v>
      </c>
      <c r="O377" s="448">
        <f>IF(H377=0,0,(VLOOKUP(H377,'MTRL MSK (TPDP)'!$H$9:$U637,5,0)))</f>
        <v>0</v>
      </c>
      <c r="P377" s="448">
        <f t="shared" si="4"/>
        <v>0</v>
      </c>
      <c r="Q377" s="448">
        <f t="shared" si="5"/>
        <v>0</v>
      </c>
      <c r="R377" s="648" t="str">
        <f>IFERROR(IF(S377="","",(VLOOKUP(S377,'1. BQ RAPL'!$D$14:$K637,8,0))),"")</f>
        <v/>
      </c>
      <c r="S377" s="649"/>
      <c r="T377" s="650"/>
      <c r="U377" s="16"/>
      <c r="V377" s="16"/>
      <c r="W377" s="16"/>
      <c r="X377" s="119"/>
      <c r="Y377" s="119"/>
      <c r="Z377" s="119"/>
      <c r="AA377" s="119"/>
      <c r="AB377" s="119"/>
      <c r="AC377" s="119"/>
      <c r="AD377" s="119"/>
      <c r="AE377" s="119"/>
      <c r="AF377" s="119"/>
    </row>
    <row r="378" ht="18.75" customHeight="1">
      <c r="A378" s="119"/>
      <c r="B378" s="652"/>
      <c r="C378" s="642">
        <f>IF(F378=0,0,(VLOOKUP(F378,'MTRL MSK (TPDP)'!$F$9:$W637,18,0)))</f>
        <v>0</v>
      </c>
      <c r="D378" s="642">
        <f>IF(C378=0,0,(VLOOKUP(C378,'MTRL MSK (TPDP)'!$B$9:$W637,3,0)))</f>
        <v>0</v>
      </c>
      <c r="E378" s="643" t="str">
        <f>iferror(IF(C378="","",(VLOOKUP(C378,'MTRL MSK (TPDP)'!$B$9:$W637,4,0))),"")</f>
        <v/>
      </c>
      <c r="F378" s="644">
        <f>IF(H378=0,0,(VLOOKUP(H378,'MTRL MSK (TPDP)'!$H$9:$X637,17,0)))</f>
        <v>0</v>
      </c>
      <c r="G378" s="645"/>
      <c r="H378" s="646"/>
      <c r="I378" s="446">
        <f>IF(H378=0,0,(VLOOKUP(H378,'MTRL MSK (TPDP)'!$H$9:$U637,2,0)))</f>
        <v>0</v>
      </c>
      <c r="J378" s="448" t="str">
        <f>IFERROR((IF(H378=0,0,(VLOOKUP(H378,'MTRL MSK (TPDP)'!$H$8:$U637,7,0))))/(IF(H378=0,0,(VLOOKUP(H378,'MTRL MSK (TPDP)'!$H$8:$U637,5,0)))),"")</f>
        <v/>
      </c>
      <c r="K378" s="559"/>
      <c r="L378" s="448">
        <f t="shared" si="1"/>
        <v>0</v>
      </c>
      <c r="M378" s="647">
        <f t="shared" si="2"/>
        <v>0</v>
      </c>
      <c r="N378" s="647">
        <f t="shared" si="3"/>
        <v>0</v>
      </c>
      <c r="O378" s="448">
        <f>IF(H378=0,0,(VLOOKUP(H378,'MTRL MSK (TPDP)'!$H$9:$U637,5,0)))</f>
        <v>0</v>
      </c>
      <c r="P378" s="448">
        <f t="shared" si="4"/>
        <v>0</v>
      </c>
      <c r="Q378" s="448">
        <f t="shared" si="5"/>
        <v>0</v>
      </c>
      <c r="R378" s="648" t="str">
        <f>IFERROR(IF(S378="","",(VLOOKUP(S378,'1. BQ RAPL'!$D$14:$K637,8,0))),"")</f>
        <v/>
      </c>
      <c r="S378" s="649"/>
      <c r="T378" s="650"/>
      <c r="U378" s="16"/>
      <c r="V378" s="16"/>
      <c r="W378" s="16"/>
      <c r="X378" s="119"/>
      <c r="Y378" s="119"/>
      <c r="Z378" s="119"/>
      <c r="AA378" s="119"/>
      <c r="AB378" s="119"/>
      <c r="AC378" s="119"/>
      <c r="AD378" s="119"/>
      <c r="AE378" s="119"/>
      <c r="AF378" s="119"/>
    </row>
    <row r="379" ht="18.75" customHeight="1">
      <c r="A379" s="119"/>
      <c r="B379" s="652"/>
      <c r="C379" s="642">
        <f>IF(F379=0,0,(VLOOKUP(F379,'MTRL MSK (TPDP)'!$F$9:$W637,18,0)))</f>
        <v>0</v>
      </c>
      <c r="D379" s="642">
        <f>IF(C379=0,0,(VLOOKUP(C379,'MTRL MSK (TPDP)'!$B$9:$W637,3,0)))</f>
        <v>0</v>
      </c>
      <c r="E379" s="643" t="str">
        <f>iferror(IF(C379="","",(VLOOKUP(C379,'MTRL MSK (TPDP)'!$B$9:$W637,4,0))),"")</f>
        <v/>
      </c>
      <c r="F379" s="644">
        <f>IF(H379=0,0,(VLOOKUP(H379,'MTRL MSK (TPDP)'!$H$9:$X637,17,0)))</f>
        <v>0</v>
      </c>
      <c r="G379" s="645"/>
      <c r="H379" s="646"/>
      <c r="I379" s="446">
        <f>IF(H379=0,0,(VLOOKUP(H379,'MTRL MSK (TPDP)'!$H$9:$U637,2,0)))</f>
        <v>0</v>
      </c>
      <c r="J379" s="448" t="str">
        <f>IFERROR((IF(H379=0,0,(VLOOKUP(H379,'MTRL MSK (TPDP)'!$H$8:$U637,7,0))))/(IF(H379=0,0,(VLOOKUP(H379,'MTRL MSK (TPDP)'!$H$8:$U637,5,0)))),"")</f>
        <v/>
      </c>
      <c r="K379" s="559"/>
      <c r="L379" s="448">
        <f t="shared" si="1"/>
        <v>0</v>
      </c>
      <c r="M379" s="647">
        <f t="shared" si="2"/>
        <v>0</v>
      </c>
      <c r="N379" s="647">
        <f t="shared" si="3"/>
        <v>0</v>
      </c>
      <c r="O379" s="448">
        <f>IF(H379=0,0,(VLOOKUP(H379,'MTRL MSK (TPDP)'!$H$9:$U637,5,0)))</f>
        <v>0</v>
      </c>
      <c r="P379" s="448">
        <f t="shared" si="4"/>
        <v>0</v>
      </c>
      <c r="Q379" s="448">
        <f t="shared" si="5"/>
        <v>0</v>
      </c>
      <c r="R379" s="648" t="str">
        <f>IFERROR(IF(S379="","",(VLOOKUP(S379,'1. BQ RAPL'!$D$14:$K637,8,0))),"")</f>
        <v/>
      </c>
      <c r="S379" s="649"/>
      <c r="T379" s="650"/>
      <c r="U379" s="16"/>
      <c r="V379" s="16"/>
      <c r="W379" s="16"/>
      <c r="X379" s="119"/>
      <c r="Y379" s="119"/>
      <c r="Z379" s="119"/>
      <c r="AA379" s="119"/>
      <c r="AB379" s="119"/>
      <c r="AC379" s="119"/>
      <c r="AD379" s="119"/>
      <c r="AE379" s="119"/>
      <c r="AF379" s="119"/>
    </row>
    <row r="380" ht="18.75" customHeight="1">
      <c r="A380" s="119"/>
      <c r="B380" s="652"/>
      <c r="C380" s="642">
        <f>IF(F380=0,0,(VLOOKUP(F380,'MTRL MSK (TPDP)'!$F$9:$W637,18,0)))</f>
        <v>0</v>
      </c>
      <c r="D380" s="642">
        <f>IF(C380=0,0,(VLOOKUP(C380,'MTRL MSK (TPDP)'!$B$9:$W637,3,0)))</f>
        <v>0</v>
      </c>
      <c r="E380" s="643" t="str">
        <f>iferror(IF(C380="","",(VLOOKUP(C380,'MTRL MSK (TPDP)'!$B$9:$W637,4,0))),"")</f>
        <v/>
      </c>
      <c r="F380" s="644">
        <f>IF(H380=0,0,(VLOOKUP(H380,'MTRL MSK (TPDP)'!$H$9:$X637,17,0)))</f>
        <v>0</v>
      </c>
      <c r="G380" s="645"/>
      <c r="H380" s="646"/>
      <c r="I380" s="446">
        <f>IF(H380=0,0,(VLOOKUP(H380,'MTRL MSK (TPDP)'!$H$9:$U637,2,0)))</f>
        <v>0</v>
      </c>
      <c r="J380" s="448" t="str">
        <f>IFERROR((IF(H380=0,0,(VLOOKUP(H380,'MTRL MSK (TPDP)'!$H$8:$U637,7,0))))/(IF(H380=0,0,(VLOOKUP(H380,'MTRL MSK (TPDP)'!$H$8:$U637,5,0)))),"")</f>
        <v/>
      </c>
      <c r="K380" s="559"/>
      <c r="L380" s="448">
        <f t="shared" si="1"/>
        <v>0</v>
      </c>
      <c r="M380" s="647">
        <f t="shared" si="2"/>
        <v>0</v>
      </c>
      <c r="N380" s="647">
        <f t="shared" si="3"/>
        <v>0</v>
      </c>
      <c r="O380" s="448">
        <f>IF(H380=0,0,(VLOOKUP(H380,'MTRL MSK (TPDP)'!$H$9:$U637,5,0)))</f>
        <v>0</v>
      </c>
      <c r="P380" s="448">
        <f t="shared" si="4"/>
        <v>0</v>
      </c>
      <c r="Q380" s="448">
        <f t="shared" si="5"/>
        <v>0</v>
      </c>
      <c r="R380" s="648" t="str">
        <f>IFERROR(IF(S380="","",(VLOOKUP(S380,'1. BQ RAPL'!$D$14:$K637,8,0))),"")</f>
        <v/>
      </c>
      <c r="S380" s="649"/>
      <c r="T380" s="650"/>
      <c r="U380" s="16"/>
      <c r="V380" s="16"/>
      <c r="W380" s="16"/>
      <c r="X380" s="119"/>
      <c r="Y380" s="119"/>
      <c r="Z380" s="119"/>
      <c r="AA380" s="119"/>
      <c r="AB380" s="119"/>
      <c r="AC380" s="119"/>
      <c r="AD380" s="119"/>
      <c r="AE380" s="119"/>
      <c r="AF380" s="119"/>
    </row>
    <row r="381" ht="18.75" customHeight="1">
      <c r="A381" s="119"/>
      <c r="B381" s="652"/>
      <c r="C381" s="642">
        <f>IF(F381=0,0,(VLOOKUP(F381,'MTRL MSK (TPDP)'!$F$9:$W637,18,0)))</f>
        <v>0</v>
      </c>
      <c r="D381" s="642">
        <f>IF(C381=0,0,(VLOOKUP(C381,'MTRL MSK (TPDP)'!$B$9:$W637,3,0)))</f>
        <v>0</v>
      </c>
      <c r="E381" s="643" t="str">
        <f>iferror(IF(C381="","",(VLOOKUP(C381,'MTRL MSK (TPDP)'!$B$9:$W637,4,0))),"")</f>
        <v/>
      </c>
      <c r="F381" s="644">
        <f>IF(H381=0,0,(VLOOKUP(H381,'MTRL MSK (TPDP)'!$H$9:$X637,17,0)))</f>
        <v>0</v>
      </c>
      <c r="G381" s="645"/>
      <c r="H381" s="646"/>
      <c r="I381" s="446">
        <f>IF(H381=0,0,(VLOOKUP(H381,'MTRL MSK (TPDP)'!$H$9:$U637,2,0)))</f>
        <v>0</v>
      </c>
      <c r="J381" s="448" t="str">
        <f>IFERROR((IF(H381=0,0,(VLOOKUP(H381,'MTRL MSK (TPDP)'!$H$8:$U637,7,0))))/(IF(H381=0,0,(VLOOKUP(H381,'MTRL MSK (TPDP)'!$H$8:$U637,5,0)))),"")</f>
        <v/>
      </c>
      <c r="K381" s="559"/>
      <c r="L381" s="448">
        <f t="shared" si="1"/>
        <v>0</v>
      </c>
      <c r="M381" s="647">
        <f t="shared" si="2"/>
        <v>0</v>
      </c>
      <c r="N381" s="647">
        <f t="shared" si="3"/>
        <v>0</v>
      </c>
      <c r="O381" s="448">
        <f>IF(H381=0,0,(VLOOKUP(H381,'MTRL MSK (TPDP)'!$H$9:$U637,5,0)))</f>
        <v>0</v>
      </c>
      <c r="P381" s="448">
        <f t="shared" si="4"/>
        <v>0</v>
      </c>
      <c r="Q381" s="448">
        <f t="shared" si="5"/>
        <v>0</v>
      </c>
      <c r="R381" s="648" t="str">
        <f>IFERROR(IF(S381="","",(VLOOKUP(S381,'1. BQ RAPL'!$D$14:$K637,8,0))),"")</f>
        <v/>
      </c>
      <c r="S381" s="649"/>
      <c r="T381" s="650"/>
      <c r="U381" s="16"/>
      <c r="V381" s="16"/>
      <c r="W381" s="16"/>
      <c r="X381" s="119"/>
      <c r="Y381" s="119"/>
      <c r="Z381" s="119"/>
      <c r="AA381" s="119"/>
      <c r="AB381" s="119"/>
      <c r="AC381" s="119"/>
      <c r="AD381" s="119"/>
      <c r="AE381" s="119"/>
      <c r="AF381" s="119"/>
    </row>
    <row r="382" ht="18.75" customHeight="1">
      <c r="A382" s="119"/>
      <c r="B382" s="652"/>
      <c r="C382" s="642">
        <f>IF(F382=0,0,(VLOOKUP(F382,'MTRL MSK (TPDP)'!$F$9:$W637,18,0)))</f>
        <v>0</v>
      </c>
      <c r="D382" s="642">
        <f>IF(C382=0,0,(VLOOKUP(C382,'MTRL MSK (TPDP)'!$B$9:$W637,3,0)))</f>
        <v>0</v>
      </c>
      <c r="E382" s="643" t="str">
        <f>iferror(IF(C382="","",(VLOOKUP(C382,'MTRL MSK (TPDP)'!$B$9:$W637,4,0))),"")</f>
        <v/>
      </c>
      <c r="F382" s="644">
        <f>IF(H382=0,0,(VLOOKUP(H382,'MTRL MSK (TPDP)'!$H$9:$X637,17,0)))</f>
        <v>0</v>
      </c>
      <c r="G382" s="645"/>
      <c r="H382" s="646"/>
      <c r="I382" s="446">
        <f>IF(H382=0,0,(VLOOKUP(H382,'MTRL MSK (TPDP)'!$H$9:$U637,2,0)))</f>
        <v>0</v>
      </c>
      <c r="J382" s="448" t="str">
        <f>IFERROR((IF(H382=0,0,(VLOOKUP(H382,'MTRL MSK (TPDP)'!$H$8:$U637,7,0))))/(IF(H382=0,0,(VLOOKUP(H382,'MTRL MSK (TPDP)'!$H$8:$U637,5,0)))),"")</f>
        <v/>
      </c>
      <c r="K382" s="559"/>
      <c r="L382" s="448">
        <f t="shared" si="1"/>
        <v>0</v>
      </c>
      <c r="M382" s="647">
        <f t="shared" si="2"/>
        <v>0</v>
      </c>
      <c r="N382" s="647">
        <f t="shared" si="3"/>
        <v>0</v>
      </c>
      <c r="O382" s="448">
        <f>IF(H382=0,0,(VLOOKUP(H382,'MTRL MSK (TPDP)'!$H$9:$U637,5,0)))</f>
        <v>0</v>
      </c>
      <c r="P382" s="448">
        <f t="shared" si="4"/>
        <v>0</v>
      </c>
      <c r="Q382" s="448">
        <f t="shared" si="5"/>
        <v>0</v>
      </c>
      <c r="R382" s="648" t="str">
        <f>IFERROR(IF(S382="","",(VLOOKUP(S382,'1. BQ RAPL'!$D$14:$K637,8,0))),"")</f>
        <v/>
      </c>
      <c r="S382" s="649"/>
      <c r="T382" s="650"/>
      <c r="U382" s="16"/>
      <c r="V382" s="16"/>
      <c r="W382" s="16"/>
      <c r="X382" s="119"/>
      <c r="Y382" s="119"/>
      <c r="Z382" s="119"/>
      <c r="AA382" s="119"/>
      <c r="AB382" s="119"/>
      <c r="AC382" s="119"/>
      <c r="AD382" s="119"/>
      <c r="AE382" s="119"/>
      <c r="AF382" s="119"/>
    </row>
    <row r="383" ht="18.75" customHeight="1">
      <c r="A383" s="119"/>
      <c r="B383" s="652"/>
      <c r="C383" s="642">
        <f>IF(F383=0,0,(VLOOKUP(F383,'MTRL MSK (TPDP)'!$F$9:$W637,18,0)))</f>
        <v>0</v>
      </c>
      <c r="D383" s="642">
        <f>IF(C383=0,0,(VLOOKUP(C383,'MTRL MSK (TPDP)'!$B$9:$W637,3,0)))</f>
        <v>0</v>
      </c>
      <c r="E383" s="643" t="str">
        <f>iferror(IF(C383="","",(VLOOKUP(C383,'MTRL MSK (TPDP)'!$B$9:$W637,4,0))),"")</f>
        <v/>
      </c>
      <c r="F383" s="644">
        <f>IF(H383=0,0,(VLOOKUP(H383,'MTRL MSK (TPDP)'!$H$9:$X637,17,0)))</f>
        <v>0</v>
      </c>
      <c r="G383" s="645"/>
      <c r="H383" s="646"/>
      <c r="I383" s="446">
        <f>IF(H383=0,0,(VLOOKUP(H383,'MTRL MSK (TPDP)'!$H$9:$U637,2,0)))</f>
        <v>0</v>
      </c>
      <c r="J383" s="448" t="str">
        <f>IFERROR((IF(H383=0,0,(VLOOKUP(H383,'MTRL MSK (TPDP)'!$H$8:$U637,7,0))))/(IF(H383=0,0,(VLOOKUP(H383,'MTRL MSK (TPDP)'!$H$8:$U637,5,0)))),"")</f>
        <v/>
      </c>
      <c r="K383" s="559"/>
      <c r="L383" s="448">
        <f t="shared" si="1"/>
        <v>0</v>
      </c>
      <c r="M383" s="647">
        <f t="shared" si="2"/>
        <v>0</v>
      </c>
      <c r="N383" s="647">
        <f t="shared" si="3"/>
        <v>0</v>
      </c>
      <c r="O383" s="448">
        <f>IF(H383=0,0,(VLOOKUP(H383,'MTRL MSK (TPDP)'!$H$9:$U637,5,0)))</f>
        <v>0</v>
      </c>
      <c r="P383" s="448">
        <f t="shared" si="4"/>
        <v>0</v>
      </c>
      <c r="Q383" s="448">
        <f t="shared" si="5"/>
        <v>0</v>
      </c>
      <c r="R383" s="648" t="str">
        <f>IFERROR(IF(S383="","",(VLOOKUP(S383,'1. BQ RAPL'!$D$14:$K637,8,0))),"")</f>
        <v/>
      </c>
      <c r="S383" s="649"/>
      <c r="T383" s="650"/>
      <c r="U383" s="16"/>
      <c r="V383" s="16"/>
      <c r="W383" s="16"/>
      <c r="X383" s="119"/>
      <c r="Y383" s="119"/>
      <c r="Z383" s="119"/>
      <c r="AA383" s="119"/>
      <c r="AB383" s="119"/>
      <c r="AC383" s="119"/>
      <c r="AD383" s="119"/>
      <c r="AE383" s="119"/>
      <c r="AF383" s="119"/>
    </row>
    <row r="384" ht="18.75" customHeight="1">
      <c r="A384" s="119"/>
      <c r="B384" s="652"/>
      <c r="C384" s="642">
        <f>IF(F384=0,0,(VLOOKUP(F384,'MTRL MSK (TPDP)'!$F$9:$W637,18,0)))</f>
        <v>0</v>
      </c>
      <c r="D384" s="642">
        <f>IF(C384=0,0,(VLOOKUP(C384,'MTRL MSK (TPDP)'!$B$9:$W637,3,0)))</f>
        <v>0</v>
      </c>
      <c r="E384" s="643" t="str">
        <f>iferror(IF(C384="","",(VLOOKUP(C384,'MTRL MSK (TPDP)'!$B$9:$W637,4,0))),"")</f>
        <v/>
      </c>
      <c r="F384" s="644">
        <f>IF(H384=0,0,(VLOOKUP(H384,'MTRL MSK (TPDP)'!$H$9:$X637,17,0)))</f>
        <v>0</v>
      </c>
      <c r="G384" s="645"/>
      <c r="H384" s="646"/>
      <c r="I384" s="446">
        <f>IF(H384=0,0,(VLOOKUP(H384,'MTRL MSK (TPDP)'!$H$9:$U637,2,0)))</f>
        <v>0</v>
      </c>
      <c r="J384" s="448" t="str">
        <f>IFERROR((IF(H384=0,0,(VLOOKUP(H384,'MTRL MSK (TPDP)'!$H$8:$U637,7,0))))/(IF(H384=0,0,(VLOOKUP(H384,'MTRL MSK (TPDP)'!$H$8:$U637,5,0)))),"")</f>
        <v/>
      </c>
      <c r="K384" s="559"/>
      <c r="L384" s="448">
        <f t="shared" si="1"/>
        <v>0</v>
      </c>
      <c r="M384" s="647">
        <f t="shared" si="2"/>
        <v>0</v>
      </c>
      <c r="N384" s="647">
        <f t="shared" si="3"/>
        <v>0</v>
      </c>
      <c r="O384" s="448">
        <f>IF(H384=0,0,(VLOOKUP(H384,'MTRL MSK (TPDP)'!$H$9:$U637,5,0)))</f>
        <v>0</v>
      </c>
      <c r="P384" s="448">
        <f t="shared" si="4"/>
        <v>0</v>
      </c>
      <c r="Q384" s="448">
        <f t="shared" si="5"/>
        <v>0</v>
      </c>
      <c r="R384" s="648" t="str">
        <f>IFERROR(IF(S384="","",(VLOOKUP(S384,'1. BQ RAPL'!$D$14:$K637,8,0))),"")</f>
        <v/>
      </c>
      <c r="S384" s="649"/>
      <c r="T384" s="650"/>
      <c r="U384" s="16"/>
      <c r="V384" s="16"/>
      <c r="W384" s="16"/>
      <c r="X384" s="119"/>
      <c r="Y384" s="119"/>
      <c r="Z384" s="119"/>
      <c r="AA384" s="119"/>
      <c r="AB384" s="119"/>
      <c r="AC384" s="119"/>
      <c r="AD384" s="119"/>
      <c r="AE384" s="119"/>
      <c r="AF384" s="119"/>
    </row>
    <row r="385" ht="18.75" customHeight="1">
      <c r="A385" s="119"/>
      <c r="B385" s="652"/>
      <c r="C385" s="642">
        <f>IF(F385=0,0,(VLOOKUP(F385,'MTRL MSK (TPDP)'!$F$9:$W637,18,0)))</f>
        <v>0</v>
      </c>
      <c r="D385" s="642">
        <f>IF(C385=0,0,(VLOOKUP(C385,'MTRL MSK (TPDP)'!$B$9:$W637,3,0)))</f>
        <v>0</v>
      </c>
      <c r="E385" s="643" t="str">
        <f>iferror(IF(C385="","",(VLOOKUP(C385,'MTRL MSK (TPDP)'!$B$9:$W637,4,0))),"")</f>
        <v/>
      </c>
      <c r="F385" s="644">
        <f>IF(H385=0,0,(VLOOKUP(H385,'MTRL MSK (TPDP)'!$H$9:$X637,17,0)))</f>
        <v>0</v>
      </c>
      <c r="G385" s="645"/>
      <c r="H385" s="646"/>
      <c r="I385" s="446">
        <f>IF(H385=0,0,(VLOOKUP(H385,'MTRL MSK (TPDP)'!$H$9:$U637,2,0)))</f>
        <v>0</v>
      </c>
      <c r="J385" s="448" t="str">
        <f>IFERROR((IF(H385=0,0,(VLOOKUP(H385,'MTRL MSK (TPDP)'!$H$8:$U637,7,0))))/(IF(H385=0,0,(VLOOKUP(H385,'MTRL MSK (TPDP)'!$H$8:$U637,5,0)))),"")</f>
        <v/>
      </c>
      <c r="K385" s="559"/>
      <c r="L385" s="448">
        <f t="shared" si="1"/>
        <v>0</v>
      </c>
      <c r="M385" s="647">
        <f t="shared" si="2"/>
        <v>0</v>
      </c>
      <c r="N385" s="647">
        <f t="shared" si="3"/>
        <v>0</v>
      </c>
      <c r="O385" s="448">
        <f>IF(H385=0,0,(VLOOKUP(H385,'MTRL MSK (TPDP)'!$H$9:$U637,5,0)))</f>
        <v>0</v>
      </c>
      <c r="P385" s="448">
        <f t="shared" si="4"/>
        <v>0</v>
      </c>
      <c r="Q385" s="448">
        <f t="shared" si="5"/>
        <v>0</v>
      </c>
      <c r="R385" s="648" t="str">
        <f>IFERROR(IF(S385="","",(VLOOKUP(S385,'1. BQ RAPL'!$D$14:$K637,8,0))),"")</f>
        <v/>
      </c>
      <c r="S385" s="649"/>
      <c r="T385" s="650"/>
      <c r="U385" s="16"/>
      <c r="V385" s="16"/>
      <c r="W385" s="16"/>
      <c r="X385" s="119"/>
      <c r="Y385" s="119"/>
      <c r="Z385" s="119"/>
      <c r="AA385" s="119"/>
      <c r="AB385" s="119"/>
      <c r="AC385" s="119"/>
      <c r="AD385" s="119"/>
      <c r="AE385" s="119"/>
      <c r="AF385" s="119"/>
    </row>
    <row r="386" ht="18.75" customHeight="1">
      <c r="A386" s="119"/>
      <c r="B386" s="652"/>
      <c r="C386" s="642">
        <f>IF(F386=0,0,(VLOOKUP(F386,'MTRL MSK (TPDP)'!$F$9:$W637,18,0)))</f>
        <v>0</v>
      </c>
      <c r="D386" s="642">
        <f>IF(C386=0,0,(VLOOKUP(C386,'MTRL MSK (TPDP)'!$B$9:$W637,3,0)))</f>
        <v>0</v>
      </c>
      <c r="E386" s="643" t="str">
        <f>iferror(IF(C386="","",(VLOOKUP(C386,'MTRL MSK (TPDP)'!$B$9:$W637,4,0))),"")</f>
        <v/>
      </c>
      <c r="F386" s="644">
        <f>IF(H386=0,0,(VLOOKUP(H386,'MTRL MSK (TPDP)'!$H$9:$X637,17,0)))</f>
        <v>0</v>
      </c>
      <c r="G386" s="645"/>
      <c r="H386" s="646"/>
      <c r="I386" s="446">
        <f>IF(H386=0,0,(VLOOKUP(H386,'MTRL MSK (TPDP)'!$H$9:$U637,2,0)))</f>
        <v>0</v>
      </c>
      <c r="J386" s="448" t="str">
        <f>IFERROR((IF(H386=0,0,(VLOOKUP(H386,'MTRL MSK (TPDP)'!$H$8:$U637,7,0))))/(IF(H386=0,0,(VLOOKUP(H386,'MTRL MSK (TPDP)'!$H$8:$U637,5,0)))),"")</f>
        <v/>
      </c>
      <c r="K386" s="559"/>
      <c r="L386" s="448">
        <f t="shared" si="1"/>
        <v>0</v>
      </c>
      <c r="M386" s="647">
        <f t="shared" si="2"/>
        <v>0</v>
      </c>
      <c r="N386" s="647">
        <f t="shared" si="3"/>
        <v>0</v>
      </c>
      <c r="O386" s="448">
        <f>IF(H386=0,0,(VLOOKUP(H386,'MTRL MSK (TPDP)'!$H$9:$U637,5,0)))</f>
        <v>0</v>
      </c>
      <c r="P386" s="448">
        <f t="shared" si="4"/>
        <v>0</v>
      </c>
      <c r="Q386" s="448">
        <f t="shared" si="5"/>
        <v>0</v>
      </c>
      <c r="R386" s="648" t="str">
        <f>IFERROR(IF(S386="","",(VLOOKUP(S386,'1. BQ RAPL'!$D$14:$K637,8,0))),"")</f>
        <v/>
      </c>
      <c r="S386" s="649"/>
      <c r="T386" s="650"/>
      <c r="U386" s="16"/>
      <c r="V386" s="16"/>
      <c r="W386" s="16"/>
      <c r="X386" s="119"/>
      <c r="Y386" s="119"/>
      <c r="Z386" s="119"/>
      <c r="AA386" s="119"/>
      <c r="AB386" s="119"/>
      <c r="AC386" s="119"/>
      <c r="AD386" s="119"/>
      <c r="AE386" s="119"/>
      <c r="AF386" s="119"/>
    </row>
    <row r="387" ht="18.75" customHeight="1">
      <c r="A387" s="119"/>
      <c r="B387" s="652"/>
      <c r="C387" s="642">
        <f>IF(F387=0,0,(VLOOKUP(F387,'MTRL MSK (TPDP)'!$F$9:$W637,18,0)))</f>
        <v>0</v>
      </c>
      <c r="D387" s="642">
        <f>IF(C387=0,0,(VLOOKUP(C387,'MTRL MSK (TPDP)'!$B$9:$W637,3,0)))</f>
        <v>0</v>
      </c>
      <c r="E387" s="643" t="str">
        <f>iferror(IF(C387="","",(VLOOKUP(C387,'MTRL MSK (TPDP)'!$B$9:$W637,4,0))),"")</f>
        <v/>
      </c>
      <c r="F387" s="644">
        <f>IF(H387=0,0,(VLOOKUP(H387,'MTRL MSK (TPDP)'!$H$9:$X637,17,0)))</f>
        <v>0</v>
      </c>
      <c r="G387" s="645"/>
      <c r="H387" s="646"/>
      <c r="I387" s="446">
        <f>IF(H387=0,0,(VLOOKUP(H387,'MTRL MSK (TPDP)'!$H$9:$U637,2,0)))</f>
        <v>0</v>
      </c>
      <c r="J387" s="448" t="str">
        <f>IFERROR((IF(H387=0,0,(VLOOKUP(H387,'MTRL MSK (TPDP)'!$H$8:$U637,7,0))))/(IF(H387=0,0,(VLOOKUP(H387,'MTRL MSK (TPDP)'!$H$8:$U637,5,0)))),"")</f>
        <v/>
      </c>
      <c r="K387" s="559"/>
      <c r="L387" s="448">
        <f t="shared" si="1"/>
        <v>0</v>
      </c>
      <c r="M387" s="647">
        <f t="shared" si="2"/>
        <v>0</v>
      </c>
      <c r="N387" s="647">
        <f t="shared" si="3"/>
        <v>0</v>
      </c>
      <c r="O387" s="448">
        <f>IF(H387=0,0,(VLOOKUP(H387,'MTRL MSK (TPDP)'!$H$9:$U637,5,0)))</f>
        <v>0</v>
      </c>
      <c r="P387" s="448">
        <f t="shared" si="4"/>
        <v>0</v>
      </c>
      <c r="Q387" s="448">
        <f t="shared" si="5"/>
        <v>0</v>
      </c>
      <c r="R387" s="648" t="str">
        <f>IFERROR(IF(S387="","",(VLOOKUP(S387,'1. BQ RAPL'!$D$14:$K637,8,0))),"")</f>
        <v/>
      </c>
      <c r="S387" s="649"/>
      <c r="T387" s="650"/>
      <c r="U387" s="16"/>
      <c r="V387" s="16"/>
      <c r="W387" s="16"/>
      <c r="X387" s="119"/>
      <c r="Y387" s="119"/>
      <c r="Z387" s="119"/>
      <c r="AA387" s="119"/>
      <c r="AB387" s="119"/>
      <c r="AC387" s="119"/>
      <c r="AD387" s="119"/>
      <c r="AE387" s="119"/>
      <c r="AF387" s="119"/>
    </row>
    <row r="388" ht="18.75" customHeight="1">
      <c r="A388" s="119"/>
      <c r="B388" s="652"/>
      <c r="C388" s="642">
        <f>IF(F388=0,0,(VLOOKUP(F388,'MTRL MSK (TPDP)'!$F$9:$W637,18,0)))</f>
        <v>0</v>
      </c>
      <c r="D388" s="642">
        <f>IF(C388=0,0,(VLOOKUP(C388,'MTRL MSK (TPDP)'!$B$9:$W637,3,0)))</f>
        <v>0</v>
      </c>
      <c r="E388" s="643" t="str">
        <f>iferror(IF(C388="","",(VLOOKUP(C388,'MTRL MSK (TPDP)'!$B$9:$W637,4,0))),"")</f>
        <v/>
      </c>
      <c r="F388" s="644">
        <f>IF(H388=0,0,(VLOOKUP(H388,'MTRL MSK (TPDP)'!$H$9:$X637,17,0)))</f>
        <v>0</v>
      </c>
      <c r="G388" s="645"/>
      <c r="H388" s="646"/>
      <c r="I388" s="446">
        <f>IF(H388=0,0,(VLOOKUP(H388,'MTRL MSK (TPDP)'!$H$9:$U637,2,0)))</f>
        <v>0</v>
      </c>
      <c r="J388" s="448" t="str">
        <f>IFERROR((IF(H388=0,0,(VLOOKUP(H388,'MTRL MSK (TPDP)'!$H$8:$U637,7,0))))/(IF(H388=0,0,(VLOOKUP(H388,'MTRL MSK (TPDP)'!$H$8:$U637,5,0)))),"")</f>
        <v/>
      </c>
      <c r="K388" s="559"/>
      <c r="L388" s="448">
        <f t="shared" si="1"/>
        <v>0</v>
      </c>
      <c r="M388" s="647">
        <f t="shared" si="2"/>
        <v>0</v>
      </c>
      <c r="N388" s="647">
        <f t="shared" si="3"/>
        <v>0</v>
      </c>
      <c r="O388" s="448">
        <f>IF(H388=0,0,(VLOOKUP(H388,'MTRL MSK (TPDP)'!$H$9:$U637,5,0)))</f>
        <v>0</v>
      </c>
      <c r="P388" s="448">
        <f t="shared" si="4"/>
        <v>0</v>
      </c>
      <c r="Q388" s="448">
        <f t="shared" si="5"/>
        <v>0</v>
      </c>
      <c r="R388" s="648" t="str">
        <f>IFERROR(IF(S388="","",(VLOOKUP(S388,'1. BQ RAPL'!$D$14:$K637,8,0))),"")</f>
        <v/>
      </c>
      <c r="S388" s="649"/>
      <c r="T388" s="650"/>
      <c r="U388" s="16"/>
      <c r="V388" s="16"/>
      <c r="W388" s="16"/>
      <c r="X388" s="119"/>
      <c r="Y388" s="119"/>
      <c r="Z388" s="119"/>
      <c r="AA388" s="119"/>
      <c r="AB388" s="119"/>
      <c r="AC388" s="119"/>
      <c r="AD388" s="119"/>
      <c r="AE388" s="119"/>
      <c r="AF388" s="119"/>
    </row>
    <row r="389" ht="18.75" customHeight="1">
      <c r="A389" s="119"/>
      <c r="B389" s="652"/>
      <c r="C389" s="642">
        <f>IF(F389=0,0,(VLOOKUP(F389,'MTRL MSK (TPDP)'!$F$9:$W637,18,0)))</f>
        <v>0</v>
      </c>
      <c r="D389" s="642">
        <f>IF(C389=0,0,(VLOOKUP(C389,'MTRL MSK (TPDP)'!$B$9:$W637,3,0)))</f>
        <v>0</v>
      </c>
      <c r="E389" s="643" t="str">
        <f>iferror(IF(C389="","",(VLOOKUP(C389,'MTRL MSK (TPDP)'!$B$9:$W637,4,0))),"")</f>
        <v/>
      </c>
      <c r="F389" s="644">
        <f>IF(H389=0,0,(VLOOKUP(H389,'MTRL MSK (TPDP)'!$H$9:$X637,17,0)))</f>
        <v>0</v>
      </c>
      <c r="G389" s="645"/>
      <c r="H389" s="646"/>
      <c r="I389" s="446">
        <f>IF(H389=0,0,(VLOOKUP(H389,'MTRL MSK (TPDP)'!$H$9:$U637,2,0)))</f>
        <v>0</v>
      </c>
      <c r="J389" s="448" t="str">
        <f>IFERROR((IF(H389=0,0,(VLOOKUP(H389,'MTRL MSK (TPDP)'!$H$8:$U637,7,0))))/(IF(H389=0,0,(VLOOKUP(H389,'MTRL MSK (TPDP)'!$H$8:$U637,5,0)))),"")</f>
        <v/>
      </c>
      <c r="K389" s="559"/>
      <c r="L389" s="448">
        <f t="shared" si="1"/>
        <v>0</v>
      </c>
      <c r="M389" s="647">
        <f t="shared" si="2"/>
        <v>0</v>
      </c>
      <c r="N389" s="647">
        <f t="shared" si="3"/>
        <v>0</v>
      </c>
      <c r="O389" s="448">
        <f>IF(H389=0,0,(VLOOKUP(H389,'MTRL MSK (TPDP)'!$H$9:$U637,5,0)))</f>
        <v>0</v>
      </c>
      <c r="P389" s="448">
        <f t="shared" si="4"/>
        <v>0</v>
      </c>
      <c r="Q389" s="448">
        <f t="shared" si="5"/>
        <v>0</v>
      </c>
      <c r="R389" s="648" t="str">
        <f>IFERROR(IF(S389="","",(VLOOKUP(S389,'1. BQ RAPL'!$D$14:$K637,8,0))),"")</f>
        <v/>
      </c>
      <c r="S389" s="649"/>
      <c r="T389" s="650"/>
      <c r="U389" s="16"/>
      <c r="V389" s="16"/>
      <c r="W389" s="16"/>
      <c r="X389" s="119"/>
      <c r="Y389" s="119"/>
      <c r="Z389" s="119"/>
      <c r="AA389" s="119"/>
      <c r="AB389" s="119"/>
      <c r="AC389" s="119"/>
      <c r="AD389" s="119"/>
      <c r="AE389" s="119"/>
      <c r="AF389" s="119"/>
    </row>
    <row r="390" ht="18.75" customHeight="1">
      <c r="A390" s="119"/>
      <c r="B390" s="652"/>
      <c r="C390" s="642">
        <f>IF(F390=0,0,(VLOOKUP(F390,'MTRL MSK (TPDP)'!$F$9:$W637,18,0)))</f>
        <v>0</v>
      </c>
      <c r="D390" s="642">
        <f>IF(C390=0,0,(VLOOKUP(C390,'MTRL MSK (TPDP)'!$B$9:$W637,3,0)))</f>
        <v>0</v>
      </c>
      <c r="E390" s="643" t="str">
        <f>iferror(IF(C390="","",(VLOOKUP(C390,'MTRL MSK (TPDP)'!$B$9:$W637,4,0))),"")</f>
        <v/>
      </c>
      <c r="F390" s="644">
        <f>IF(H390=0,0,(VLOOKUP(H390,'MTRL MSK (TPDP)'!$H$9:$X637,17,0)))</f>
        <v>0</v>
      </c>
      <c r="G390" s="645"/>
      <c r="H390" s="646"/>
      <c r="I390" s="446">
        <f>IF(H390=0,0,(VLOOKUP(H390,'MTRL MSK (TPDP)'!$H$9:$U637,2,0)))</f>
        <v>0</v>
      </c>
      <c r="J390" s="448" t="str">
        <f>IFERROR((IF(H390=0,0,(VLOOKUP(H390,'MTRL MSK (TPDP)'!$H$8:$U637,7,0))))/(IF(H390=0,0,(VLOOKUP(H390,'MTRL MSK (TPDP)'!$H$8:$U637,5,0)))),"")</f>
        <v/>
      </c>
      <c r="K390" s="559"/>
      <c r="L390" s="448">
        <f t="shared" si="1"/>
        <v>0</v>
      </c>
      <c r="M390" s="647">
        <f t="shared" si="2"/>
        <v>0</v>
      </c>
      <c r="N390" s="647">
        <f t="shared" si="3"/>
        <v>0</v>
      </c>
      <c r="O390" s="448">
        <f>IF(H390=0,0,(VLOOKUP(H390,'MTRL MSK (TPDP)'!$H$9:$U637,5,0)))</f>
        <v>0</v>
      </c>
      <c r="P390" s="448">
        <f t="shared" si="4"/>
        <v>0</v>
      </c>
      <c r="Q390" s="448">
        <f t="shared" si="5"/>
        <v>0</v>
      </c>
      <c r="R390" s="648" t="str">
        <f>IFERROR(IF(S390="","",(VLOOKUP(S390,'1. BQ RAPL'!$D$14:$K637,8,0))),"")</f>
        <v/>
      </c>
      <c r="S390" s="649"/>
      <c r="T390" s="650"/>
      <c r="U390" s="16"/>
      <c r="V390" s="16"/>
      <c r="W390" s="16"/>
      <c r="X390" s="119"/>
      <c r="Y390" s="119"/>
      <c r="Z390" s="119"/>
      <c r="AA390" s="119"/>
      <c r="AB390" s="119"/>
      <c r="AC390" s="119"/>
      <c r="AD390" s="119"/>
      <c r="AE390" s="119"/>
      <c r="AF390" s="119"/>
    </row>
    <row r="391" ht="18.75" customHeight="1">
      <c r="A391" s="119"/>
      <c r="B391" s="652"/>
      <c r="C391" s="642">
        <f>IF(F391=0,0,(VLOOKUP(F391,'MTRL MSK (TPDP)'!$F$9:$W637,18,0)))</f>
        <v>0</v>
      </c>
      <c r="D391" s="642">
        <f>IF(C391=0,0,(VLOOKUP(C391,'MTRL MSK (TPDP)'!$B$9:$W637,3,0)))</f>
        <v>0</v>
      </c>
      <c r="E391" s="643" t="str">
        <f>iferror(IF(C391="","",(VLOOKUP(C391,'MTRL MSK (TPDP)'!$B$9:$W637,4,0))),"")</f>
        <v/>
      </c>
      <c r="F391" s="644">
        <f>IF(H391=0,0,(VLOOKUP(H391,'MTRL MSK (TPDP)'!$H$9:$X637,17,0)))</f>
        <v>0</v>
      </c>
      <c r="G391" s="645"/>
      <c r="H391" s="646"/>
      <c r="I391" s="446">
        <f>IF(H391=0,0,(VLOOKUP(H391,'MTRL MSK (TPDP)'!$H$9:$U637,2,0)))</f>
        <v>0</v>
      </c>
      <c r="J391" s="448" t="str">
        <f>IFERROR((IF(H391=0,0,(VLOOKUP(H391,'MTRL MSK (TPDP)'!$H$8:$U637,7,0))))/(IF(H391=0,0,(VLOOKUP(H391,'MTRL MSK (TPDP)'!$H$8:$U637,5,0)))),"")</f>
        <v/>
      </c>
      <c r="K391" s="559"/>
      <c r="L391" s="448">
        <f t="shared" si="1"/>
        <v>0</v>
      </c>
      <c r="M391" s="647">
        <f t="shared" si="2"/>
        <v>0</v>
      </c>
      <c r="N391" s="647">
        <f t="shared" si="3"/>
        <v>0</v>
      </c>
      <c r="O391" s="448">
        <f>IF(H391=0,0,(VLOOKUP(H391,'MTRL MSK (TPDP)'!$H$9:$U637,5,0)))</f>
        <v>0</v>
      </c>
      <c r="P391" s="448">
        <f t="shared" si="4"/>
        <v>0</v>
      </c>
      <c r="Q391" s="448">
        <f t="shared" si="5"/>
        <v>0</v>
      </c>
      <c r="R391" s="648" t="str">
        <f>IFERROR(IF(S391="","",(VLOOKUP(S391,'1. BQ RAPL'!$D$14:$K637,8,0))),"")</f>
        <v/>
      </c>
      <c r="S391" s="649"/>
      <c r="T391" s="650"/>
      <c r="U391" s="16"/>
      <c r="V391" s="16"/>
      <c r="W391" s="16"/>
      <c r="X391" s="119"/>
      <c r="Y391" s="119"/>
      <c r="Z391" s="119"/>
      <c r="AA391" s="119"/>
      <c r="AB391" s="119"/>
      <c r="AC391" s="119"/>
      <c r="AD391" s="119"/>
      <c r="AE391" s="119"/>
      <c r="AF391" s="119"/>
    </row>
    <row r="392" ht="18.75" customHeight="1">
      <c r="A392" s="119"/>
      <c r="B392" s="652"/>
      <c r="C392" s="642">
        <f>IF(F392=0,0,(VLOOKUP(F392,'MTRL MSK (TPDP)'!$F$9:$W637,18,0)))</f>
        <v>0</v>
      </c>
      <c r="D392" s="642">
        <f>IF(C392=0,0,(VLOOKUP(C392,'MTRL MSK (TPDP)'!$B$9:$W637,3,0)))</f>
        <v>0</v>
      </c>
      <c r="E392" s="643" t="str">
        <f>iferror(IF(C392="","",(VLOOKUP(C392,'MTRL MSK (TPDP)'!$B$9:$W637,4,0))),"")</f>
        <v/>
      </c>
      <c r="F392" s="644">
        <f>IF(H392=0,0,(VLOOKUP(H392,'MTRL MSK (TPDP)'!$H$9:$X637,17,0)))</f>
        <v>0</v>
      </c>
      <c r="G392" s="645"/>
      <c r="H392" s="646"/>
      <c r="I392" s="446">
        <f>IF(H392=0,0,(VLOOKUP(H392,'MTRL MSK (TPDP)'!$H$9:$U637,2,0)))</f>
        <v>0</v>
      </c>
      <c r="J392" s="448" t="str">
        <f>IFERROR((IF(H392=0,0,(VLOOKUP(H392,'MTRL MSK (TPDP)'!$H$8:$U637,7,0))))/(IF(H392=0,0,(VLOOKUP(H392,'MTRL MSK (TPDP)'!$H$8:$U637,5,0)))),"")</f>
        <v/>
      </c>
      <c r="K392" s="559"/>
      <c r="L392" s="448">
        <f t="shared" si="1"/>
        <v>0</v>
      </c>
      <c r="M392" s="647">
        <f t="shared" si="2"/>
        <v>0</v>
      </c>
      <c r="N392" s="647">
        <f t="shared" si="3"/>
        <v>0</v>
      </c>
      <c r="O392" s="448">
        <f>IF(H392=0,0,(VLOOKUP(H392,'MTRL MSK (TPDP)'!$H$9:$U637,5,0)))</f>
        <v>0</v>
      </c>
      <c r="P392" s="448">
        <f t="shared" si="4"/>
        <v>0</v>
      </c>
      <c r="Q392" s="448">
        <f t="shared" si="5"/>
        <v>0</v>
      </c>
      <c r="R392" s="648" t="str">
        <f>IFERROR(IF(S392="","",(VLOOKUP(S392,'1. BQ RAPL'!$D$14:$K637,8,0))),"")</f>
        <v/>
      </c>
      <c r="S392" s="649"/>
      <c r="T392" s="650"/>
      <c r="U392" s="16"/>
      <c r="V392" s="16"/>
      <c r="W392" s="16"/>
      <c r="X392" s="119"/>
      <c r="Y392" s="119"/>
      <c r="Z392" s="119"/>
      <c r="AA392" s="119"/>
      <c r="AB392" s="119"/>
      <c r="AC392" s="119"/>
      <c r="AD392" s="119"/>
      <c r="AE392" s="119"/>
      <c r="AF392" s="119"/>
    </row>
    <row r="393" ht="18.75" customHeight="1">
      <c r="A393" s="119"/>
      <c r="B393" s="652"/>
      <c r="C393" s="642">
        <f>IF(F393=0,0,(VLOOKUP(F393,'MTRL MSK (TPDP)'!$F$9:$W637,18,0)))</f>
        <v>0</v>
      </c>
      <c r="D393" s="642">
        <f>IF(C393=0,0,(VLOOKUP(C393,'MTRL MSK (TPDP)'!$B$9:$W637,3,0)))</f>
        <v>0</v>
      </c>
      <c r="E393" s="643" t="str">
        <f>iferror(IF(C393="","",(VLOOKUP(C393,'MTRL MSK (TPDP)'!$B$9:$W637,4,0))),"")</f>
        <v/>
      </c>
      <c r="F393" s="644">
        <f>IF(H393=0,0,(VLOOKUP(H393,'MTRL MSK (TPDP)'!$H$9:$X637,17,0)))</f>
        <v>0</v>
      </c>
      <c r="G393" s="645"/>
      <c r="H393" s="646"/>
      <c r="I393" s="446">
        <f>IF(H393=0,0,(VLOOKUP(H393,'MTRL MSK (TPDP)'!$H$9:$U637,2,0)))</f>
        <v>0</v>
      </c>
      <c r="J393" s="448" t="str">
        <f>IFERROR((IF(H393=0,0,(VLOOKUP(H393,'MTRL MSK (TPDP)'!$H$8:$U637,7,0))))/(IF(H393=0,0,(VLOOKUP(H393,'MTRL MSK (TPDP)'!$H$8:$U637,5,0)))),"")</f>
        <v/>
      </c>
      <c r="K393" s="559"/>
      <c r="L393" s="448">
        <f t="shared" si="1"/>
        <v>0</v>
      </c>
      <c r="M393" s="647">
        <f t="shared" si="2"/>
        <v>0</v>
      </c>
      <c r="N393" s="647">
        <f t="shared" si="3"/>
        <v>0</v>
      </c>
      <c r="O393" s="448">
        <f>IF(H393=0,0,(VLOOKUP(H393,'MTRL MSK (TPDP)'!$H$9:$U637,5,0)))</f>
        <v>0</v>
      </c>
      <c r="P393" s="448">
        <f t="shared" si="4"/>
        <v>0</v>
      </c>
      <c r="Q393" s="448">
        <f t="shared" si="5"/>
        <v>0</v>
      </c>
      <c r="R393" s="648" t="str">
        <f>IFERROR(IF(S393="","",(VLOOKUP(S393,'1. BQ RAPL'!$D$14:$K637,8,0))),"")</f>
        <v/>
      </c>
      <c r="S393" s="649"/>
      <c r="T393" s="650"/>
      <c r="U393" s="16"/>
      <c r="V393" s="16"/>
      <c r="W393" s="16"/>
      <c r="X393" s="119"/>
      <c r="Y393" s="119"/>
      <c r="Z393" s="119"/>
      <c r="AA393" s="119"/>
      <c r="AB393" s="119"/>
      <c r="AC393" s="119"/>
      <c r="AD393" s="119"/>
      <c r="AE393" s="119"/>
      <c r="AF393" s="119"/>
    </row>
    <row r="394" ht="18.75" customHeight="1">
      <c r="A394" s="119"/>
      <c r="B394" s="652"/>
      <c r="C394" s="642">
        <f>IF(F394=0,0,(VLOOKUP(F394,'MTRL MSK (TPDP)'!$F$9:$W637,18,0)))</f>
        <v>0</v>
      </c>
      <c r="D394" s="642">
        <f>IF(C394=0,0,(VLOOKUP(C394,'MTRL MSK (TPDP)'!$B$9:$W637,3,0)))</f>
        <v>0</v>
      </c>
      <c r="E394" s="643" t="str">
        <f>iferror(IF(C394="","",(VLOOKUP(C394,'MTRL MSK (TPDP)'!$B$9:$W637,4,0))),"")</f>
        <v/>
      </c>
      <c r="F394" s="644">
        <f>IF(H394=0,0,(VLOOKUP(H394,'MTRL MSK (TPDP)'!$H$9:$X637,17,0)))</f>
        <v>0</v>
      </c>
      <c r="G394" s="645"/>
      <c r="H394" s="646"/>
      <c r="I394" s="446">
        <f>IF(H394=0,0,(VLOOKUP(H394,'MTRL MSK (TPDP)'!$H$9:$U637,2,0)))</f>
        <v>0</v>
      </c>
      <c r="J394" s="448" t="str">
        <f>IFERROR((IF(H394=0,0,(VLOOKUP(H394,'MTRL MSK (TPDP)'!$H$8:$U637,7,0))))/(IF(H394=0,0,(VLOOKUP(H394,'MTRL MSK (TPDP)'!$H$8:$U637,5,0)))),"")</f>
        <v/>
      </c>
      <c r="K394" s="559"/>
      <c r="L394" s="448">
        <f t="shared" si="1"/>
        <v>0</v>
      </c>
      <c r="M394" s="647">
        <f t="shared" si="2"/>
        <v>0</v>
      </c>
      <c r="N394" s="647">
        <f t="shared" si="3"/>
        <v>0</v>
      </c>
      <c r="O394" s="448">
        <f>IF(H394=0,0,(VLOOKUP(H394,'MTRL MSK (TPDP)'!$H$9:$U637,5,0)))</f>
        <v>0</v>
      </c>
      <c r="P394" s="448">
        <f t="shared" si="4"/>
        <v>0</v>
      </c>
      <c r="Q394" s="448">
        <f t="shared" si="5"/>
        <v>0</v>
      </c>
      <c r="R394" s="648" t="str">
        <f>IFERROR(IF(S394="","",(VLOOKUP(S394,'1. BQ RAPL'!$D$14:$K637,8,0))),"")</f>
        <v/>
      </c>
      <c r="S394" s="649"/>
      <c r="T394" s="650"/>
      <c r="U394" s="16"/>
      <c r="V394" s="16"/>
      <c r="W394" s="16"/>
      <c r="X394" s="119"/>
      <c r="Y394" s="119"/>
      <c r="Z394" s="119"/>
      <c r="AA394" s="119"/>
      <c r="AB394" s="119"/>
      <c r="AC394" s="119"/>
      <c r="AD394" s="119"/>
      <c r="AE394" s="119"/>
      <c r="AF394" s="119"/>
    </row>
    <row r="395" ht="18.75" customHeight="1">
      <c r="A395" s="119"/>
      <c r="B395" s="652"/>
      <c r="C395" s="642">
        <f>IF(F395=0,0,(VLOOKUP(F395,'MTRL MSK (TPDP)'!$F$9:$W637,18,0)))</f>
        <v>0</v>
      </c>
      <c r="D395" s="642">
        <f>IF(C395=0,0,(VLOOKUP(C395,'MTRL MSK (TPDP)'!$B$9:$W637,3,0)))</f>
        <v>0</v>
      </c>
      <c r="E395" s="643" t="str">
        <f>iferror(IF(C395="","",(VLOOKUP(C395,'MTRL MSK (TPDP)'!$B$9:$W637,4,0))),"")</f>
        <v/>
      </c>
      <c r="F395" s="644">
        <f>IF(H395=0,0,(VLOOKUP(H395,'MTRL MSK (TPDP)'!$H$9:$X637,17,0)))</f>
        <v>0</v>
      </c>
      <c r="G395" s="645"/>
      <c r="H395" s="646"/>
      <c r="I395" s="446">
        <f>IF(H395=0,0,(VLOOKUP(H395,'MTRL MSK (TPDP)'!$H$9:$U637,2,0)))</f>
        <v>0</v>
      </c>
      <c r="J395" s="448" t="str">
        <f>IFERROR((IF(H395=0,0,(VLOOKUP(H395,'MTRL MSK (TPDP)'!$H$8:$U637,7,0))))/(IF(H395=0,0,(VLOOKUP(H395,'MTRL MSK (TPDP)'!$H$8:$U637,5,0)))),"")</f>
        <v/>
      </c>
      <c r="K395" s="559"/>
      <c r="L395" s="448">
        <f t="shared" si="1"/>
        <v>0</v>
      </c>
      <c r="M395" s="647">
        <f t="shared" si="2"/>
        <v>0</v>
      </c>
      <c r="N395" s="647">
        <f t="shared" si="3"/>
        <v>0</v>
      </c>
      <c r="O395" s="448">
        <f>IF(H395=0,0,(VLOOKUP(H395,'MTRL MSK (TPDP)'!$H$9:$U637,5,0)))</f>
        <v>0</v>
      </c>
      <c r="P395" s="448">
        <f t="shared" si="4"/>
        <v>0</v>
      </c>
      <c r="Q395" s="448">
        <f t="shared" si="5"/>
        <v>0</v>
      </c>
      <c r="R395" s="648" t="str">
        <f>IFERROR(IF(S395="","",(VLOOKUP(S395,'1. BQ RAPL'!$D$14:$K637,8,0))),"")</f>
        <v/>
      </c>
      <c r="S395" s="649"/>
      <c r="T395" s="650"/>
      <c r="U395" s="16"/>
      <c r="V395" s="16"/>
      <c r="W395" s="16"/>
      <c r="X395" s="119"/>
      <c r="Y395" s="119"/>
      <c r="Z395" s="119"/>
      <c r="AA395" s="119"/>
      <c r="AB395" s="119"/>
      <c r="AC395" s="119"/>
      <c r="AD395" s="119"/>
      <c r="AE395" s="119"/>
      <c r="AF395" s="119"/>
    </row>
    <row r="396" ht="18.75" customHeight="1">
      <c r="A396" s="119"/>
      <c r="B396" s="652"/>
      <c r="C396" s="642">
        <f>IF(F396=0,0,(VLOOKUP(F396,'MTRL MSK (TPDP)'!$F$9:$W637,18,0)))</f>
        <v>0</v>
      </c>
      <c r="D396" s="642">
        <f>IF(C396=0,0,(VLOOKUP(C396,'MTRL MSK (TPDP)'!$B$9:$W637,3,0)))</f>
        <v>0</v>
      </c>
      <c r="E396" s="643" t="str">
        <f>iferror(IF(C396="","",(VLOOKUP(C396,'MTRL MSK (TPDP)'!$B$9:$W637,4,0))),"")</f>
        <v/>
      </c>
      <c r="F396" s="644">
        <f>IF(H396=0,0,(VLOOKUP(H396,'MTRL MSK (TPDP)'!$H$9:$X637,17,0)))</f>
        <v>0</v>
      </c>
      <c r="G396" s="645"/>
      <c r="H396" s="646"/>
      <c r="I396" s="446">
        <f>IF(H396=0,0,(VLOOKUP(H396,'MTRL MSK (TPDP)'!$H$9:$U637,2,0)))</f>
        <v>0</v>
      </c>
      <c r="J396" s="448" t="str">
        <f>IFERROR((IF(H396=0,0,(VLOOKUP(H396,'MTRL MSK (TPDP)'!$H$8:$U637,7,0))))/(IF(H396=0,0,(VLOOKUP(H396,'MTRL MSK (TPDP)'!$H$8:$U637,5,0)))),"")</f>
        <v/>
      </c>
      <c r="K396" s="559"/>
      <c r="L396" s="448">
        <f t="shared" si="1"/>
        <v>0</v>
      </c>
      <c r="M396" s="647">
        <f t="shared" si="2"/>
        <v>0</v>
      </c>
      <c r="N396" s="647">
        <f t="shared" si="3"/>
        <v>0</v>
      </c>
      <c r="O396" s="448">
        <f>IF(H396=0,0,(VLOOKUP(H396,'MTRL MSK (TPDP)'!$H$9:$U637,5,0)))</f>
        <v>0</v>
      </c>
      <c r="P396" s="448">
        <f t="shared" si="4"/>
        <v>0</v>
      </c>
      <c r="Q396" s="448">
        <f t="shared" si="5"/>
        <v>0</v>
      </c>
      <c r="R396" s="648" t="str">
        <f>IFERROR(IF(S396="","",(VLOOKUP(S396,'1. BQ RAPL'!$D$14:$K637,8,0))),"")</f>
        <v/>
      </c>
      <c r="S396" s="649"/>
      <c r="T396" s="650"/>
      <c r="U396" s="16"/>
      <c r="V396" s="16"/>
      <c r="W396" s="16"/>
      <c r="X396" s="119"/>
      <c r="Y396" s="119"/>
      <c r="Z396" s="119"/>
      <c r="AA396" s="119"/>
      <c r="AB396" s="119"/>
      <c r="AC396" s="119"/>
      <c r="AD396" s="119"/>
      <c r="AE396" s="119"/>
      <c r="AF396" s="119"/>
    </row>
    <row r="397" ht="18.75" customHeight="1">
      <c r="A397" s="119"/>
      <c r="B397" s="652"/>
      <c r="C397" s="642">
        <f>IF(F397=0,0,(VLOOKUP(F397,'MTRL MSK (TPDP)'!$F$9:$W637,18,0)))</f>
        <v>0</v>
      </c>
      <c r="D397" s="642">
        <f>IF(C397=0,0,(VLOOKUP(C397,'MTRL MSK (TPDP)'!$B$9:$W637,3,0)))</f>
        <v>0</v>
      </c>
      <c r="E397" s="643" t="str">
        <f>iferror(IF(C397="","",(VLOOKUP(C397,'MTRL MSK (TPDP)'!$B$9:$W637,4,0))),"")</f>
        <v/>
      </c>
      <c r="F397" s="644">
        <f>IF(H397=0,0,(VLOOKUP(H397,'MTRL MSK (TPDP)'!$H$9:$X637,17,0)))</f>
        <v>0</v>
      </c>
      <c r="G397" s="645"/>
      <c r="H397" s="646"/>
      <c r="I397" s="446">
        <f>IF(H397=0,0,(VLOOKUP(H397,'MTRL MSK (TPDP)'!$H$9:$U637,2,0)))</f>
        <v>0</v>
      </c>
      <c r="J397" s="448" t="str">
        <f>IFERROR((IF(H397=0,0,(VLOOKUP(H397,'MTRL MSK (TPDP)'!$H$8:$U637,7,0))))/(IF(H397=0,0,(VLOOKUP(H397,'MTRL MSK (TPDP)'!$H$8:$U637,5,0)))),"")</f>
        <v/>
      </c>
      <c r="K397" s="559"/>
      <c r="L397" s="448">
        <f t="shared" si="1"/>
        <v>0</v>
      </c>
      <c r="M397" s="647">
        <f t="shared" si="2"/>
        <v>0</v>
      </c>
      <c r="N397" s="647">
        <f t="shared" si="3"/>
        <v>0</v>
      </c>
      <c r="O397" s="448">
        <f>IF(H397=0,0,(VLOOKUP(H397,'MTRL MSK (TPDP)'!$H$9:$U637,5,0)))</f>
        <v>0</v>
      </c>
      <c r="P397" s="448">
        <f t="shared" si="4"/>
        <v>0</v>
      </c>
      <c r="Q397" s="448">
        <f t="shared" si="5"/>
        <v>0</v>
      </c>
      <c r="R397" s="648" t="str">
        <f>IFERROR(IF(S397="","",(VLOOKUP(S397,'1. BQ RAPL'!$D$14:$K637,8,0))),"")</f>
        <v/>
      </c>
      <c r="S397" s="649"/>
      <c r="T397" s="650"/>
      <c r="U397" s="16"/>
      <c r="V397" s="16"/>
      <c r="W397" s="16"/>
      <c r="X397" s="119"/>
      <c r="Y397" s="119"/>
      <c r="Z397" s="119"/>
      <c r="AA397" s="119"/>
      <c r="AB397" s="119"/>
      <c r="AC397" s="119"/>
      <c r="AD397" s="119"/>
      <c r="AE397" s="119"/>
      <c r="AF397" s="119"/>
    </row>
    <row r="398" ht="18.75" customHeight="1">
      <c r="A398" s="119"/>
      <c r="B398" s="652"/>
      <c r="C398" s="642">
        <f>IF(F398=0,0,(VLOOKUP(F398,'MTRL MSK (TPDP)'!$F$9:$W637,18,0)))</f>
        <v>0</v>
      </c>
      <c r="D398" s="642">
        <f>IF(C398=0,0,(VLOOKUP(C398,'MTRL MSK (TPDP)'!$B$9:$W637,3,0)))</f>
        <v>0</v>
      </c>
      <c r="E398" s="643" t="str">
        <f>iferror(IF(C398="","",(VLOOKUP(C398,'MTRL MSK (TPDP)'!$B$9:$W637,4,0))),"")</f>
        <v/>
      </c>
      <c r="F398" s="644">
        <f>IF(H398=0,0,(VLOOKUP(H398,'MTRL MSK (TPDP)'!$H$9:$X637,17,0)))</f>
        <v>0</v>
      </c>
      <c r="G398" s="645"/>
      <c r="H398" s="646"/>
      <c r="I398" s="446">
        <f>IF(H398=0,0,(VLOOKUP(H398,'MTRL MSK (TPDP)'!$H$9:$U637,2,0)))</f>
        <v>0</v>
      </c>
      <c r="J398" s="448" t="str">
        <f>IFERROR((IF(H398=0,0,(VLOOKUP(H398,'MTRL MSK (TPDP)'!$H$8:$U637,7,0))))/(IF(H398=0,0,(VLOOKUP(H398,'MTRL MSK (TPDP)'!$H$8:$U637,5,0)))),"")</f>
        <v/>
      </c>
      <c r="K398" s="559"/>
      <c r="L398" s="448">
        <f t="shared" si="1"/>
        <v>0</v>
      </c>
      <c r="M398" s="647">
        <f t="shared" si="2"/>
        <v>0</v>
      </c>
      <c r="N398" s="647">
        <f t="shared" si="3"/>
        <v>0</v>
      </c>
      <c r="O398" s="448">
        <f>IF(H398=0,0,(VLOOKUP(H398,'MTRL MSK (TPDP)'!$H$9:$U637,5,0)))</f>
        <v>0</v>
      </c>
      <c r="P398" s="448">
        <f t="shared" si="4"/>
        <v>0</v>
      </c>
      <c r="Q398" s="448">
        <f t="shared" si="5"/>
        <v>0</v>
      </c>
      <c r="R398" s="648" t="str">
        <f>IFERROR(IF(S398="","",(VLOOKUP(S398,'1. BQ RAPL'!$D$14:$K637,8,0))),"")</f>
        <v/>
      </c>
      <c r="S398" s="649"/>
      <c r="T398" s="650"/>
      <c r="U398" s="16"/>
      <c r="V398" s="16"/>
      <c r="W398" s="16"/>
      <c r="X398" s="119"/>
      <c r="Y398" s="119"/>
      <c r="Z398" s="119"/>
      <c r="AA398" s="119"/>
      <c r="AB398" s="119"/>
      <c r="AC398" s="119"/>
      <c r="AD398" s="119"/>
      <c r="AE398" s="119"/>
      <c r="AF398" s="119"/>
    </row>
    <row r="399" ht="18.75" customHeight="1">
      <c r="A399" s="119"/>
      <c r="B399" s="652"/>
      <c r="C399" s="642">
        <f>IF(F399=0,0,(VLOOKUP(F399,'MTRL MSK (TPDP)'!$F$9:$W637,18,0)))</f>
        <v>0</v>
      </c>
      <c r="D399" s="642">
        <f>IF(C399=0,0,(VLOOKUP(C399,'MTRL MSK (TPDP)'!$B$9:$W637,3,0)))</f>
        <v>0</v>
      </c>
      <c r="E399" s="643" t="str">
        <f>iferror(IF(C399="","",(VLOOKUP(C399,'MTRL MSK (TPDP)'!$B$9:$W637,4,0))),"")</f>
        <v/>
      </c>
      <c r="F399" s="644">
        <f>IF(H399=0,0,(VLOOKUP(H399,'MTRL MSK (TPDP)'!$H$9:$X637,17,0)))</f>
        <v>0</v>
      </c>
      <c r="G399" s="645"/>
      <c r="H399" s="646"/>
      <c r="I399" s="446">
        <f>IF(H399=0,0,(VLOOKUP(H399,'MTRL MSK (TPDP)'!$H$9:$U637,2,0)))</f>
        <v>0</v>
      </c>
      <c r="J399" s="448" t="str">
        <f>IFERROR((IF(H399=0,0,(VLOOKUP(H399,'MTRL MSK (TPDP)'!$H$8:$U637,7,0))))/(IF(H399=0,0,(VLOOKUP(H399,'MTRL MSK (TPDP)'!$H$8:$U637,5,0)))),"")</f>
        <v/>
      </c>
      <c r="K399" s="559"/>
      <c r="L399" s="448">
        <f t="shared" si="1"/>
        <v>0</v>
      </c>
      <c r="M399" s="647">
        <f t="shared" si="2"/>
        <v>0</v>
      </c>
      <c r="N399" s="647">
        <f t="shared" si="3"/>
        <v>0</v>
      </c>
      <c r="O399" s="448">
        <f>IF(H399=0,0,(VLOOKUP(H399,'MTRL MSK (TPDP)'!$H$9:$U637,5,0)))</f>
        <v>0</v>
      </c>
      <c r="P399" s="448">
        <f t="shared" si="4"/>
        <v>0</v>
      </c>
      <c r="Q399" s="448">
        <f t="shared" si="5"/>
        <v>0</v>
      </c>
      <c r="R399" s="648" t="str">
        <f>IFERROR(IF(S399="","",(VLOOKUP(S399,'1. BQ RAPL'!$D$14:$K637,8,0))),"")</f>
        <v/>
      </c>
      <c r="S399" s="649"/>
      <c r="T399" s="650"/>
      <c r="U399" s="16"/>
      <c r="V399" s="16"/>
      <c r="W399" s="16"/>
      <c r="X399" s="119"/>
      <c r="Y399" s="119"/>
      <c r="Z399" s="119"/>
      <c r="AA399" s="119"/>
      <c r="AB399" s="119"/>
      <c r="AC399" s="119"/>
      <c r="AD399" s="119"/>
      <c r="AE399" s="119"/>
      <c r="AF399" s="119"/>
    </row>
    <row r="400" ht="18.75" customHeight="1">
      <c r="A400" s="119"/>
      <c r="B400" s="652"/>
      <c r="C400" s="642">
        <f>IF(F400=0,0,(VLOOKUP(F400,'MTRL MSK (TPDP)'!$F$9:$W637,18,0)))</f>
        <v>0</v>
      </c>
      <c r="D400" s="642">
        <f>IF(C400=0,0,(VLOOKUP(C400,'MTRL MSK (TPDP)'!$B$9:$W637,3,0)))</f>
        <v>0</v>
      </c>
      <c r="E400" s="643" t="str">
        <f>iferror(IF(C400="","",(VLOOKUP(C400,'MTRL MSK (TPDP)'!$B$9:$W637,4,0))),"")</f>
        <v/>
      </c>
      <c r="F400" s="644">
        <f>IF(H400=0,0,(VLOOKUP(H400,'MTRL MSK (TPDP)'!$H$9:$X637,17,0)))</f>
        <v>0</v>
      </c>
      <c r="G400" s="645"/>
      <c r="H400" s="646"/>
      <c r="I400" s="446">
        <f>IF(H400=0,0,(VLOOKUP(H400,'MTRL MSK (TPDP)'!$H$9:$U637,2,0)))</f>
        <v>0</v>
      </c>
      <c r="J400" s="448" t="str">
        <f>IFERROR((IF(H400=0,0,(VLOOKUP(H400,'MTRL MSK (TPDP)'!$H$8:$U637,7,0))))/(IF(H400=0,0,(VLOOKUP(H400,'MTRL MSK (TPDP)'!$H$8:$U637,5,0)))),"")</f>
        <v/>
      </c>
      <c r="K400" s="559"/>
      <c r="L400" s="448">
        <f t="shared" si="1"/>
        <v>0</v>
      </c>
      <c r="M400" s="647">
        <f t="shared" si="2"/>
        <v>0</v>
      </c>
      <c r="N400" s="647">
        <f t="shared" si="3"/>
        <v>0</v>
      </c>
      <c r="O400" s="448">
        <f>IF(H400=0,0,(VLOOKUP(H400,'MTRL MSK (TPDP)'!$H$9:$U637,5,0)))</f>
        <v>0</v>
      </c>
      <c r="P400" s="448">
        <f t="shared" si="4"/>
        <v>0</v>
      </c>
      <c r="Q400" s="448">
        <f t="shared" si="5"/>
        <v>0</v>
      </c>
      <c r="R400" s="648" t="str">
        <f>IFERROR(IF(S400="","",(VLOOKUP(S400,'1. BQ RAPL'!$D$14:$K637,8,0))),"")</f>
        <v/>
      </c>
      <c r="S400" s="649"/>
      <c r="T400" s="650"/>
      <c r="U400" s="16"/>
      <c r="V400" s="16"/>
      <c r="W400" s="16"/>
      <c r="X400" s="119"/>
      <c r="Y400" s="119"/>
      <c r="Z400" s="119"/>
      <c r="AA400" s="119"/>
      <c r="AB400" s="119"/>
      <c r="AC400" s="119"/>
      <c r="AD400" s="119"/>
      <c r="AE400" s="119"/>
      <c r="AF400" s="119"/>
    </row>
    <row r="401" ht="18.75" customHeight="1">
      <c r="A401" s="119"/>
      <c r="B401" s="652"/>
      <c r="C401" s="642">
        <f>IF(F401=0,0,(VLOOKUP(F401,'MTRL MSK (TPDP)'!$F$9:$W637,18,0)))</f>
        <v>0</v>
      </c>
      <c r="D401" s="642">
        <f>IF(C401=0,0,(VLOOKUP(C401,'MTRL MSK (TPDP)'!$B$9:$W637,3,0)))</f>
        <v>0</v>
      </c>
      <c r="E401" s="643" t="str">
        <f>iferror(IF(C401="","",(VLOOKUP(C401,'MTRL MSK (TPDP)'!$B$9:$W637,4,0))),"")</f>
        <v/>
      </c>
      <c r="F401" s="644">
        <f>IF(H401=0,0,(VLOOKUP(H401,'MTRL MSK (TPDP)'!$H$9:$X637,17,0)))</f>
        <v>0</v>
      </c>
      <c r="G401" s="645"/>
      <c r="H401" s="646"/>
      <c r="I401" s="446">
        <f>IF(H401=0,0,(VLOOKUP(H401,'MTRL MSK (TPDP)'!$H$9:$U637,2,0)))</f>
        <v>0</v>
      </c>
      <c r="J401" s="448" t="str">
        <f>IFERROR((IF(H401=0,0,(VLOOKUP(H401,'MTRL MSK (TPDP)'!$H$8:$U637,7,0))))/(IF(H401=0,0,(VLOOKUP(H401,'MTRL MSK (TPDP)'!$H$8:$U637,5,0)))),"")</f>
        <v/>
      </c>
      <c r="K401" s="559"/>
      <c r="L401" s="448">
        <f t="shared" si="1"/>
        <v>0</v>
      </c>
      <c r="M401" s="647">
        <f t="shared" si="2"/>
        <v>0</v>
      </c>
      <c r="N401" s="647">
        <f t="shared" si="3"/>
        <v>0</v>
      </c>
      <c r="O401" s="448">
        <f>IF(H401=0,0,(VLOOKUP(H401,'MTRL MSK (TPDP)'!$H$9:$U637,5,0)))</f>
        <v>0</v>
      </c>
      <c r="P401" s="448">
        <f t="shared" si="4"/>
        <v>0</v>
      </c>
      <c r="Q401" s="448">
        <f t="shared" si="5"/>
        <v>0</v>
      </c>
      <c r="R401" s="648" t="str">
        <f>IFERROR(IF(S401="","",(VLOOKUP(S401,'1. BQ RAPL'!$D$14:$K637,8,0))),"")</f>
        <v/>
      </c>
      <c r="S401" s="649"/>
      <c r="T401" s="650"/>
      <c r="U401" s="16"/>
      <c r="V401" s="16"/>
      <c r="W401" s="16"/>
      <c r="X401" s="119"/>
      <c r="Y401" s="119"/>
      <c r="Z401" s="119"/>
      <c r="AA401" s="119"/>
      <c r="AB401" s="119"/>
      <c r="AC401" s="119"/>
      <c r="AD401" s="119"/>
      <c r="AE401" s="119"/>
      <c r="AF401" s="119"/>
    </row>
    <row r="402" ht="18.75" customHeight="1">
      <c r="A402" s="119"/>
      <c r="B402" s="652"/>
      <c r="C402" s="642">
        <f>IF(F402=0,0,(VLOOKUP(F402,'MTRL MSK (TPDP)'!$F$9:$W637,18,0)))</f>
        <v>0</v>
      </c>
      <c r="D402" s="642">
        <f>IF(C402=0,0,(VLOOKUP(C402,'MTRL MSK (TPDP)'!$B$9:$W637,3,0)))</f>
        <v>0</v>
      </c>
      <c r="E402" s="643" t="str">
        <f>iferror(IF(C402="","",(VLOOKUP(C402,'MTRL MSK (TPDP)'!$B$9:$W637,4,0))),"")</f>
        <v/>
      </c>
      <c r="F402" s="644">
        <f>IF(H402=0,0,(VLOOKUP(H402,'MTRL MSK (TPDP)'!$H$9:$X637,17,0)))</f>
        <v>0</v>
      </c>
      <c r="G402" s="645"/>
      <c r="H402" s="646"/>
      <c r="I402" s="446">
        <f>IF(H402=0,0,(VLOOKUP(H402,'MTRL MSK (TPDP)'!$H$9:$U637,2,0)))</f>
        <v>0</v>
      </c>
      <c r="J402" s="448" t="str">
        <f>IFERROR((IF(H402=0,0,(VLOOKUP(H402,'MTRL MSK (TPDP)'!$H$8:$U637,7,0))))/(IF(H402=0,0,(VLOOKUP(H402,'MTRL MSK (TPDP)'!$H$8:$U637,5,0)))),"")</f>
        <v/>
      </c>
      <c r="K402" s="559"/>
      <c r="L402" s="448">
        <f t="shared" si="1"/>
        <v>0</v>
      </c>
      <c r="M402" s="647">
        <f t="shared" si="2"/>
        <v>0</v>
      </c>
      <c r="N402" s="647">
        <f t="shared" si="3"/>
        <v>0</v>
      </c>
      <c r="O402" s="448">
        <f>IF(H402=0,0,(VLOOKUP(H402,'MTRL MSK (TPDP)'!$H$9:$U637,5,0)))</f>
        <v>0</v>
      </c>
      <c r="P402" s="448">
        <f t="shared" si="4"/>
        <v>0</v>
      </c>
      <c r="Q402" s="448">
        <f t="shared" si="5"/>
        <v>0</v>
      </c>
      <c r="R402" s="648" t="str">
        <f>IFERROR(IF(S402="","",(VLOOKUP(S402,'1. BQ RAPL'!$D$14:$K637,8,0))),"")</f>
        <v/>
      </c>
      <c r="S402" s="649"/>
      <c r="T402" s="650"/>
      <c r="U402" s="16"/>
      <c r="V402" s="16"/>
      <c r="W402" s="16"/>
      <c r="X402" s="119"/>
      <c r="Y402" s="119"/>
      <c r="Z402" s="119"/>
      <c r="AA402" s="119"/>
      <c r="AB402" s="119"/>
      <c r="AC402" s="119"/>
      <c r="AD402" s="119"/>
      <c r="AE402" s="119"/>
      <c r="AF402" s="119"/>
    </row>
    <row r="403" ht="18.75" customHeight="1">
      <c r="A403" s="119"/>
      <c r="B403" s="652"/>
      <c r="C403" s="642">
        <f>IF(F403=0,0,(VLOOKUP(F403,'MTRL MSK (TPDP)'!$F$9:$W637,18,0)))</f>
        <v>0</v>
      </c>
      <c r="D403" s="642">
        <f>IF(C403=0,0,(VLOOKUP(C403,'MTRL MSK (TPDP)'!$B$9:$W637,3,0)))</f>
        <v>0</v>
      </c>
      <c r="E403" s="643" t="str">
        <f>iferror(IF(C403="","",(VLOOKUP(C403,'MTRL MSK (TPDP)'!$B$9:$W637,4,0))),"")</f>
        <v/>
      </c>
      <c r="F403" s="644">
        <f>IF(H403=0,0,(VLOOKUP(H403,'MTRL MSK (TPDP)'!$H$9:$X637,17,0)))</f>
        <v>0</v>
      </c>
      <c r="G403" s="645"/>
      <c r="H403" s="646"/>
      <c r="I403" s="446">
        <f>IF(H403=0,0,(VLOOKUP(H403,'MTRL MSK (TPDP)'!$H$9:$U637,2,0)))</f>
        <v>0</v>
      </c>
      <c r="J403" s="448" t="str">
        <f>IFERROR((IF(H403=0,0,(VLOOKUP(H403,'MTRL MSK (TPDP)'!$H$8:$U637,7,0))))/(IF(H403=0,0,(VLOOKUP(H403,'MTRL MSK (TPDP)'!$H$8:$U637,5,0)))),"")</f>
        <v/>
      </c>
      <c r="K403" s="559"/>
      <c r="L403" s="448">
        <f t="shared" si="1"/>
        <v>0</v>
      </c>
      <c r="M403" s="647">
        <f t="shared" si="2"/>
        <v>0</v>
      </c>
      <c r="N403" s="647">
        <f t="shared" si="3"/>
        <v>0</v>
      </c>
      <c r="O403" s="448">
        <f>IF(H403=0,0,(VLOOKUP(H403,'MTRL MSK (TPDP)'!$H$9:$U637,5,0)))</f>
        <v>0</v>
      </c>
      <c r="P403" s="448">
        <f t="shared" si="4"/>
        <v>0</v>
      </c>
      <c r="Q403" s="448">
        <f t="shared" si="5"/>
        <v>0</v>
      </c>
      <c r="R403" s="648" t="str">
        <f>IFERROR(IF(S403="","",(VLOOKUP(S403,'1. BQ RAPL'!$D$14:$K637,8,0))),"")</f>
        <v/>
      </c>
      <c r="S403" s="649"/>
      <c r="T403" s="650"/>
      <c r="U403" s="16"/>
      <c r="V403" s="16"/>
      <c r="W403" s="16"/>
      <c r="X403" s="119"/>
      <c r="Y403" s="119"/>
      <c r="Z403" s="119"/>
      <c r="AA403" s="119"/>
      <c r="AB403" s="119"/>
      <c r="AC403" s="119"/>
      <c r="AD403" s="119"/>
      <c r="AE403" s="119"/>
      <c r="AF403" s="119"/>
    </row>
    <row r="404" ht="18.75" customHeight="1">
      <c r="A404" s="119"/>
      <c r="B404" s="652"/>
      <c r="C404" s="642">
        <f>IF(F404=0,0,(VLOOKUP(F404,'MTRL MSK (TPDP)'!$F$9:$W637,18,0)))</f>
        <v>0</v>
      </c>
      <c r="D404" s="642">
        <f>IF(C404=0,0,(VLOOKUP(C404,'MTRL MSK (TPDP)'!$B$9:$W637,3,0)))</f>
        <v>0</v>
      </c>
      <c r="E404" s="643" t="str">
        <f>iferror(IF(C404="","",(VLOOKUP(C404,'MTRL MSK (TPDP)'!$B$9:$W637,4,0))),"")</f>
        <v/>
      </c>
      <c r="F404" s="644">
        <f>IF(H404=0,0,(VLOOKUP(H404,'MTRL MSK (TPDP)'!$H$9:$X637,17,0)))</f>
        <v>0</v>
      </c>
      <c r="G404" s="645"/>
      <c r="H404" s="646"/>
      <c r="I404" s="446">
        <f>IF(H404=0,0,(VLOOKUP(H404,'MTRL MSK (TPDP)'!$H$9:$U637,2,0)))</f>
        <v>0</v>
      </c>
      <c r="J404" s="448" t="str">
        <f>IFERROR((IF(H404=0,0,(VLOOKUP(H404,'MTRL MSK (TPDP)'!$H$8:$U637,7,0))))/(IF(H404=0,0,(VLOOKUP(H404,'MTRL MSK (TPDP)'!$H$8:$U637,5,0)))),"")</f>
        <v/>
      </c>
      <c r="K404" s="559"/>
      <c r="L404" s="448">
        <f t="shared" si="1"/>
        <v>0</v>
      </c>
      <c r="M404" s="647">
        <f t="shared" si="2"/>
        <v>0</v>
      </c>
      <c r="N404" s="647">
        <f t="shared" si="3"/>
        <v>0</v>
      </c>
      <c r="O404" s="448">
        <f>IF(H404=0,0,(VLOOKUP(H404,'MTRL MSK (TPDP)'!$H$9:$U637,5,0)))</f>
        <v>0</v>
      </c>
      <c r="P404" s="448">
        <f t="shared" si="4"/>
        <v>0</v>
      </c>
      <c r="Q404" s="448">
        <f t="shared" si="5"/>
        <v>0</v>
      </c>
      <c r="R404" s="648" t="str">
        <f>IFERROR(IF(S404="","",(VLOOKUP(S404,'1. BQ RAPL'!$D$14:$K637,8,0))),"")</f>
        <v/>
      </c>
      <c r="S404" s="649"/>
      <c r="T404" s="650"/>
      <c r="U404" s="16"/>
      <c r="V404" s="16"/>
      <c r="W404" s="16"/>
      <c r="X404" s="119"/>
      <c r="Y404" s="119"/>
      <c r="Z404" s="119"/>
      <c r="AA404" s="119"/>
      <c r="AB404" s="119"/>
      <c r="AC404" s="119"/>
      <c r="AD404" s="119"/>
      <c r="AE404" s="119"/>
      <c r="AF404" s="119"/>
    </row>
    <row r="405" ht="18.75" customHeight="1">
      <c r="A405" s="119"/>
      <c r="B405" s="652"/>
      <c r="C405" s="642">
        <f>IF(F405=0,0,(VLOOKUP(F405,'MTRL MSK (TPDP)'!$F$9:$W637,18,0)))</f>
        <v>0</v>
      </c>
      <c r="D405" s="642">
        <f>IF(C405=0,0,(VLOOKUP(C405,'MTRL MSK (TPDP)'!$B$9:$W637,3,0)))</f>
        <v>0</v>
      </c>
      <c r="E405" s="643" t="str">
        <f>iferror(IF(C405="","",(VLOOKUP(C405,'MTRL MSK (TPDP)'!$B$9:$W637,4,0))),"")</f>
        <v/>
      </c>
      <c r="F405" s="644">
        <f>IF(H405=0,0,(VLOOKUP(H405,'MTRL MSK (TPDP)'!$H$9:$X637,17,0)))</f>
        <v>0</v>
      </c>
      <c r="G405" s="645"/>
      <c r="H405" s="646"/>
      <c r="I405" s="446">
        <f>IF(H405=0,0,(VLOOKUP(H405,'MTRL MSK (TPDP)'!$H$9:$U637,2,0)))</f>
        <v>0</v>
      </c>
      <c r="J405" s="448" t="str">
        <f>IFERROR((IF(H405=0,0,(VLOOKUP(H405,'MTRL MSK (TPDP)'!$H$8:$U637,7,0))))/(IF(H405=0,0,(VLOOKUP(H405,'MTRL MSK (TPDP)'!$H$8:$U637,5,0)))),"")</f>
        <v/>
      </c>
      <c r="K405" s="559"/>
      <c r="L405" s="448">
        <f t="shared" si="1"/>
        <v>0</v>
      </c>
      <c r="M405" s="647">
        <f t="shared" si="2"/>
        <v>0</v>
      </c>
      <c r="N405" s="647">
        <f t="shared" si="3"/>
        <v>0</v>
      </c>
      <c r="O405" s="448">
        <f>IF(H405=0,0,(VLOOKUP(H405,'MTRL MSK (TPDP)'!$H$9:$U637,5,0)))</f>
        <v>0</v>
      </c>
      <c r="P405" s="448">
        <f t="shared" si="4"/>
        <v>0</v>
      </c>
      <c r="Q405" s="448">
        <f t="shared" si="5"/>
        <v>0</v>
      </c>
      <c r="R405" s="648" t="str">
        <f>IFERROR(IF(S405="","",(VLOOKUP(S405,'1. BQ RAPL'!$D$14:$K637,8,0))),"")</f>
        <v/>
      </c>
      <c r="S405" s="649"/>
      <c r="T405" s="650"/>
      <c r="U405" s="16"/>
      <c r="V405" s="16"/>
      <c r="W405" s="16"/>
      <c r="X405" s="119"/>
      <c r="Y405" s="119"/>
      <c r="Z405" s="119"/>
      <c r="AA405" s="119"/>
      <c r="AB405" s="119"/>
      <c r="AC405" s="119"/>
      <c r="AD405" s="119"/>
      <c r="AE405" s="119"/>
      <c r="AF405" s="119"/>
    </row>
    <row r="406" ht="18.75" customHeight="1">
      <c r="A406" s="119"/>
      <c r="B406" s="652"/>
      <c r="C406" s="642">
        <f>IF(F406=0,0,(VLOOKUP(F406,'MTRL MSK (TPDP)'!$F$9:$W637,18,0)))</f>
        <v>0</v>
      </c>
      <c r="D406" s="642">
        <f>IF(C406=0,0,(VLOOKUP(C406,'MTRL MSK (TPDP)'!$B$9:$W637,3,0)))</f>
        <v>0</v>
      </c>
      <c r="E406" s="643" t="str">
        <f>iferror(IF(C406="","",(VLOOKUP(C406,'MTRL MSK (TPDP)'!$B$9:$W637,4,0))),"")</f>
        <v/>
      </c>
      <c r="F406" s="644">
        <f>IF(H406=0,0,(VLOOKUP(H406,'MTRL MSK (TPDP)'!$H$9:$X637,17,0)))</f>
        <v>0</v>
      </c>
      <c r="G406" s="645"/>
      <c r="H406" s="646"/>
      <c r="I406" s="446">
        <f>IF(H406=0,0,(VLOOKUP(H406,'MTRL MSK (TPDP)'!$H$9:$U637,2,0)))</f>
        <v>0</v>
      </c>
      <c r="J406" s="448" t="str">
        <f>IFERROR((IF(H406=0,0,(VLOOKUP(H406,'MTRL MSK (TPDP)'!$H$8:$U637,7,0))))/(IF(H406=0,0,(VLOOKUP(H406,'MTRL MSK (TPDP)'!$H$8:$U637,5,0)))),"")</f>
        <v/>
      </c>
      <c r="K406" s="559"/>
      <c r="L406" s="448">
        <f t="shared" si="1"/>
        <v>0</v>
      </c>
      <c r="M406" s="647">
        <f t="shared" si="2"/>
        <v>0</v>
      </c>
      <c r="N406" s="647">
        <f t="shared" si="3"/>
        <v>0</v>
      </c>
      <c r="O406" s="448">
        <f>IF(H406=0,0,(VLOOKUP(H406,'MTRL MSK (TPDP)'!$H$9:$U637,5,0)))</f>
        <v>0</v>
      </c>
      <c r="P406" s="448">
        <f t="shared" si="4"/>
        <v>0</v>
      </c>
      <c r="Q406" s="448">
        <f t="shared" si="5"/>
        <v>0</v>
      </c>
      <c r="R406" s="648" t="str">
        <f>IFERROR(IF(S406="","",(VLOOKUP(S406,'1. BQ RAPL'!$D$14:$K637,8,0))),"")</f>
        <v/>
      </c>
      <c r="S406" s="649"/>
      <c r="T406" s="650"/>
      <c r="U406" s="16"/>
      <c r="V406" s="16"/>
      <c r="W406" s="16"/>
      <c r="X406" s="119"/>
      <c r="Y406" s="119"/>
      <c r="Z406" s="119"/>
      <c r="AA406" s="119"/>
      <c r="AB406" s="119"/>
      <c r="AC406" s="119"/>
      <c r="AD406" s="119"/>
      <c r="AE406" s="119"/>
      <c r="AF406" s="119"/>
    </row>
    <row r="407" ht="18.75" customHeight="1">
      <c r="A407" s="119"/>
      <c r="B407" s="652"/>
      <c r="C407" s="642">
        <f>IF(F407=0,0,(VLOOKUP(F407,'MTRL MSK (TPDP)'!$F$9:$W637,18,0)))</f>
        <v>0</v>
      </c>
      <c r="D407" s="642">
        <f>IF(C407=0,0,(VLOOKUP(C407,'MTRL MSK (TPDP)'!$B$9:$W637,3,0)))</f>
        <v>0</v>
      </c>
      <c r="E407" s="643" t="str">
        <f>iferror(IF(C407="","",(VLOOKUP(C407,'MTRL MSK (TPDP)'!$B$9:$W637,4,0))),"")</f>
        <v/>
      </c>
      <c r="F407" s="644">
        <f>IF(H407=0,0,(VLOOKUP(H407,'MTRL MSK (TPDP)'!$H$9:$X637,17,0)))</f>
        <v>0</v>
      </c>
      <c r="G407" s="645"/>
      <c r="H407" s="646"/>
      <c r="I407" s="446">
        <f>IF(H407=0,0,(VLOOKUP(H407,'MTRL MSK (TPDP)'!$H$9:$U637,2,0)))</f>
        <v>0</v>
      </c>
      <c r="J407" s="448" t="str">
        <f>IFERROR((IF(H407=0,0,(VLOOKUP(H407,'MTRL MSK (TPDP)'!$H$8:$U637,7,0))))/(IF(H407=0,0,(VLOOKUP(H407,'MTRL MSK (TPDP)'!$H$8:$U637,5,0)))),"")</f>
        <v/>
      </c>
      <c r="K407" s="559"/>
      <c r="L407" s="448">
        <f t="shared" si="1"/>
        <v>0</v>
      </c>
      <c r="M407" s="647">
        <f t="shared" si="2"/>
        <v>0</v>
      </c>
      <c r="N407" s="647">
        <f t="shared" si="3"/>
        <v>0</v>
      </c>
      <c r="O407" s="448">
        <f>IF(H407=0,0,(VLOOKUP(H407,'MTRL MSK (TPDP)'!$H$9:$U637,5,0)))</f>
        <v>0</v>
      </c>
      <c r="P407" s="448">
        <f t="shared" si="4"/>
        <v>0</v>
      </c>
      <c r="Q407" s="448">
        <f t="shared" si="5"/>
        <v>0</v>
      </c>
      <c r="R407" s="648" t="str">
        <f>IFERROR(IF(S407="","",(VLOOKUP(S407,'1. BQ RAPL'!$D$14:$K637,8,0))),"")</f>
        <v/>
      </c>
      <c r="S407" s="649"/>
      <c r="T407" s="650"/>
      <c r="U407" s="16"/>
      <c r="V407" s="16"/>
      <c r="W407" s="16"/>
      <c r="X407" s="119"/>
      <c r="Y407" s="119"/>
      <c r="Z407" s="119"/>
      <c r="AA407" s="119"/>
      <c r="AB407" s="119"/>
      <c r="AC407" s="119"/>
      <c r="AD407" s="119"/>
      <c r="AE407" s="119"/>
      <c r="AF407" s="119"/>
    </row>
    <row r="408" ht="18.75" customHeight="1">
      <c r="A408" s="119"/>
      <c r="B408" s="652"/>
      <c r="C408" s="642">
        <f>IF(F408=0,0,(VLOOKUP(F408,'MTRL MSK (TPDP)'!$F$9:$W637,18,0)))</f>
        <v>0</v>
      </c>
      <c r="D408" s="642">
        <f>IF(C408=0,0,(VLOOKUP(C408,'MTRL MSK (TPDP)'!$B$9:$W637,3,0)))</f>
        <v>0</v>
      </c>
      <c r="E408" s="643" t="str">
        <f>iferror(IF(C408="","",(VLOOKUP(C408,'MTRL MSK (TPDP)'!$B$9:$W637,4,0))),"")</f>
        <v/>
      </c>
      <c r="F408" s="644">
        <f>IF(H408=0,0,(VLOOKUP(H408,'MTRL MSK (TPDP)'!$H$9:$X637,17,0)))</f>
        <v>0</v>
      </c>
      <c r="G408" s="645"/>
      <c r="H408" s="646"/>
      <c r="I408" s="446">
        <f>IF(H408=0,0,(VLOOKUP(H408,'MTRL MSK (TPDP)'!$H$9:$U637,2,0)))</f>
        <v>0</v>
      </c>
      <c r="J408" s="448" t="str">
        <f>IFERROR((IF(H408=0,0,(VLOOKUP(H408,'MTRL MSK (TPDP)'!$H$8:$U637,7,0))))/(IF(H408=0,0,(VLOOKUP(H408,'MTRL MSK (TPDP)'!$H$8:$U637,5,0)))),"")</f>
        <v/>
      </c>
      <c r="K408" s="559"/>
      <c r="L408" s="448">
        <f t="shared" si="1"/>
        <v>0</v>
      </c>
      <c r="M408" s="647">
        <f t="shared" si="2"/>
        <v>0</v>
      </c>
      <c r="N408" s="647">
        <f t="shared" si="3"/>
        <v>0</v>
      </c>
      <c r="O408" s="448">
        <f>IF(H408=0,0,(VLOOKUP(H408,'MTRL MSK (TPDP)'!$H$9:$U637,5,0)))</f>
        <v>0</v>
      </c>
      <c r="P408" s="448">
        <f t="shared" si="4"/>
        <v>0</v>
      </c>
      <c r="Q408" s="448">
        <f t="shared" si="5"/>
        <v>0</v>
      </c>
      <c r="R408" s="648" t="str">
        <f>IFERROR(IF(S408="","",(VLOOKUP(S408,'1. BQ RAPL'!$D$14:$K637,8,0))),"")</f>
        <v/>
      </c>
      <c r="S408" s="649"/>
      <c r="T408" s="650"/>
      <c r="U408" s="16"/>
      <c r="V408" s="16"/>
      <c r="W408" s="16"/>
      <c r="X408" s="119"/>
      <c r="Y408" s="119"/>
      <c r="Z408" s="119"/>
      <c r="AA408" s="119"/>
      <c r="AB408" s="119"/>
      <c r="AC408" s="119"/>
      <c r="AD408" s="119"/>
      <c r="AE408" s="119"/>
      <c r="AF408" s="119"/>
    </row>
    <row r="409" ht="18.75" customHeight="1">
      <c r="A409" s="119"/>
      <c r="B409" s="652"/>
      <c r="C409" s="642">
        <f>IF(F409=0,0,(VLOOKUP(F409,'MTRL MSK (TPDP)'!$F$9:$W637,18,0)))</f>
        <v>0</v>
      </c>
      <c r="D409" s="642">
        <f>IF(C409=0,0,(VLOOKUP(C409,'MTRL MSK (TPDP)'!$B$9:$W637,3,0)))</f>
        <v>0</v>
      </c>
      <c r="E409" s="643" t="str">
        <f>iferror(IF(C409="","",(VLOOKUP(C409,'MTRL MSK (TPDP)'!$B$9:$W637,4,0))),"")</f>
        <v/>
      </c>
      <c r="F409" s="644">
        <f>IF(H409=0,0,(VLOOKUP(H409,'MTRL MSK (TPDP)'!$H$9:$X637,17,0)))</f>
        <v>0</v>
      </c>
      <c r="G409" s="645"/>
      <c r="H409" s="646"/>
      <c r="I409" s="446">
        <f>IF(H409=0,0,(VLOOKUP(H409,'MTRL MSK (TPDP)'!$H$9:$U637,2,0)))</f>
        <v>0</v>
      </c>
      <c r="J409" s="448" t="str">
        <f>IFERROR((IF(H409=0,0,(VLOOKUP(H409,'MTRL MSK (TPDP)'!$H$8:$U637,7,0))))/(IF(H409=0,0,(VLOOKUP(H409,'MTRL MSK (TPDP)'!$H$8:$U637,5,0)))),"")</f>
        <v/>
      </c>
      <c r="K409" s="559"/>
      <c r="L409" s="448">
        <f t="shared" si="1"/>
        <v>0</v>
      </c>
      <c r="M409" s="647">
        <f t="shared" si="2"/>
        <v>0</v>
      </c>
      <c r="N409" s="647">
        <f t="shared" si="3"/>
        <v>0</v>
      </c>
      <c r="O409" s="448">
        <f>IF(H409=0,0,(VLOOKUP(H409,'MTRL MSK (TPDP)'!$H$9:$U637,5,0)))</f>
        <v>0</v>
      </c>
      <c r="P409" s="448">
        <f t="shared" si="4"/>
        <v>0</v>
      </c>
      <c r="Q409" s="448">
        <f t="shared" si="5"/>
        <v>0</v>
      </c>
      <c r="R409" s="648" t="str">
        <f>IFERROR(IF(S409="","",(VLOOKUP(S409,'1. BQ RAPL'!$D$14:$K637,8,0))),"")</f>
        <v/>
      </c>
      <c r="S409" s="649"/>
      <c r="T409" s="650"/>
      <c r="U409" s="16"/>
      <c r="V409" s="16"/>
      <c r="W409" s="16"/>
      <c r="X409" s="119"/>
      <c r="Y409" s="119"/>
      <c r="Z409" s="119"/>
      <c r="AA409" s="119"/>
      <c r="AB409" s="119"/>
      <c r="AC409" s="119"/>
      <c r="AD409" s="119"/>
      <c r="AE409" s="119"/>
      <c r="AF409" s="119"/>
    </row>
    <row r="410" ht="18.75" customHeight="1">
      <c r="A410" s="119"/>
      <c r="B410" s="652"/>
      <c r="C410" s="642">
        <f>IF(F410=0,0,(VLOOKUP(F410,'MTRL MSK (TPDP)'!$F$9:$W637,18,0)))</f>
        <v>0</v>
      </c>
      <c r="D410" s="642">
        <f>IF(C410=0,0,(VLOOKUP(C410,'MTRL MSK (TPDP)'!$B$9:$W637,3,0)))</f>
        <v>0</v>
      </c>
      <c r="E410" s="643" t="str">
        <f>iferror(IF(C410="","",(VLOOKUP(C410,'MTRL MSK (TPDP)'!$B$9:$W637,4,0))),"")</f>
        <v/>
      </c>
      <c r="F410" s="644">
        <f>IF(H410=0,0,(VLOOKUP(H410,'MTRL MSK (TPDP)'!$H$9:$X637,17,0)))</f>
        <v>0</v>
      </c>
      <c r="G410" s="645"/>
      <c r="H410" s="646"/>
      <c r="I410" s="446">
        <f>IF(H410=0,0,(VLOOKUP(H410,'MTRL MSK (TPDP)'!$H$9:$U637,2,0)))</f>
        <v>0</v>
      </c>
      <c r="J410" s="448" t="str">
        <f>IFERROR((IF(H410=0,0,(VLOOKUP(H410,'MTRL MSK (TPDP)'!$H$8:$U637,7,0))))/(IF(H410=0,0,(VLOOKUP(H410,'MTRL MSK (TPDP)'!$H$8:$U637,5,0)))),"")</f>
        <v/>
      </c>
      <c r="K410" s="559"/>
      <c r="L410" s="448">
        <f t="shared" si="1"/>
        <v>0</v>
      </c>
      <c r="M410" s="647">
        <f t="shared" si="2"/>
        <v>0</v>
      </c>
      <c r="N410" s="647">
        <f t="shared" si="3"/>
        <v>0</v>
      </c>
      <c r="O410" s="448">
        <f>IF(H410=0,0,(VLOOKUP(H410,'MTRL MSK (TPDP)'!$H$9:$U637,5,0)))</f>
        <v>0</v>
      </c>
      <c r="P410" s="448">
        <f t="shared" si="4"/>
        <v>0</v>
      </c>
      <c r="Q410" s="448">
        <f t="shared" si="5"/>
        <v>0</v>
      </c>
      <c r="R410" s="648" t="str">
        <f>IFERROR(IF(S410="","",(VLOOKUP(S410,'1. BQ RAPL'!$D$14:$K637,8,0))),"")</f>
        <v/>
      </c>
      <c r="S410" s="649"/>
      <c r="T410" s="650"/>
      <c r="U410" s="16"/>
      <c r="V410" s="16"/>
      <c r="W410" s="16"/>
      <c r="X410" s="119"/>
      <c r="Y410" s="119"/>
      <c r="Z410" s="119"/>
      <c r="AA410" s="119"/>
      <c r="AB410" s="119"/>
      <c r="AC410" s="119"/>
      <c r="AD410" s="119"/>
      <c r="AE410" s="119"/>
      <c r="AF410" s="119"/>
    </row>
    <row r="411" ht="18.75" customHeight="1">
      <c r="A411" s="119"/>
      <c r="B411" s="652"/>
      <c r="C411" s="642">
        <f>IF(F411=0,0,(VLOOKUP(F411,'MTRL MSK (TPDP)'!$F$9:$W637,18,0)))</f>
        <v>0</v>
      </c>
      <c r="D411" s="642">
        <f>IF(C411=0,0,(VLOOKUP(C411,'MTRL MSK (TPDP)'!$B$9:$W637,3,0)))</f>
        <v>0</v>
      </c>
      <c r="E411" s="643" t="str">
        <f>iferror(IF(C411="","",(VLOOKUP(C411,'MTRL MSK (TPDP)'!$B$9:$W637,4,0))),"")</f>
        <v/>
      </c>
      <c r="F411" s="644">
        <f>IF(H411=0,0,(VLOOKUP(H411,'MTRL MSK (TPDP)'!$H$9:$X637,17,0)))</f>
        <v>0</v>
      </c>
      <c r="G411" s="645"/>
      <c r="H411" s="646"/>
      <c r="I411" s="446">
        <f>IF(H411=0,0,(VLOOKUP(H411,'MTRL MSK (TPDP)'!$H$9:$U637,2,0)))</f>
        <v>0</v>
      </c>
      <c r="J411" s="448" t="str">
        <f>IFERROR((IF(H411=0,0,(VLOOKUP(H411,'MTRL MSK (TPDP)'!$H$8:$U637,7,0))))/(IF(H411=0,0,(VLOOKUP(H411,'MTRL MSK (TPDP)'!$H$8:$U637,5,0)))),"")</f>
        <v/>
      </c>
      <c r="K411" s="559"/>
      <c r="L411" s="448">
        <f t="shared" si="1"/>
        <v>0</v>
      </c>
      <c r="M411" s="647">
        <f t="shared" si="2"/>
        <v>0</v>
      </c>
      <c r="N411" s="647">
        <f t="shared" si="3"/>
        <v>0</v>
      </c>
      <c r="O411" s="448">
        <f>IF(H411=0,0,(VLOOKUP(H411,'MTRL MSK (TPDP)'!$H$9:$U637,5,0)))</f>
        <v>0</v>
      </c>
      <c r="P411" s="448">
        <f t="shared" si="4"/>
        <v>0</v>
      </c>
      <c r="Q411" s="448">
        <f t="shared" si="5"/>
        <v>0</v>
      </c>
      <c r="R411" s="648" t="str">
        <f>IFERROR(IF(S411="","",(VLOOKUP(S411,'1. BQ RAPL'!$D$14:$K637,8,0))),"")</f>
        <v/>
      </c>
      <c r="S411" s="649"/>
      <c r="T411" s="650"/>
      <c r="U411" s="16"/>
      <c r="V411" s="16"/>
      <c r="W411" s="16"/>
      <c r="X411" s="119"/>
      <c r="Y411" s="119"/>
      <c r="Z411" s="119"/>
      <c r="AA411" s="119"/>
      <c r="AB411" s="119"/>
      <c r="AC411" s="119"/>
      <c r="AD411" s="119"/>
      <c r="AE411" s="119"/>
      <c r="AF411" s="119"/>
    </row>
    <row r="412" ht="18.75" customHeight="1">
      <c r="A412" s="119"/>
      <c r="B412" s="652"/>
      <c r="C412" s="642">
        <f>IF(F412=0,0,(VLOOKUP(F412,'MTRL MSK (TPDP)'!$F$9:$W637,18,0)))</f>
        <v>0</v>
      </c>
      <c r="D412" s="642">
        <f>IF(C412=0,0,(VLOOKUP(C412,'MTRL MSK (TPDP)'!$B$9:$W637,3,0)))</f>
        <v>0</v>
      </c>
      <c r="E412" s="643" t="str">
        <f>iferror(IF(C412="","",(VLOOKUP(C412,'MTRL MSK (TPDP)'!$B$9:$W637,4,0))),"")</f>
        <v/>
      </c>
      <c r="F412" s="644">
        <f>IF(H412=0,0,(VLOOKUP(H412,'MTRL MSK (TPDP)'!$H$9:$X637,17,0)))</f>
        <v>0</v>
      </c>
      <c r="G412" s="645"/>
      <c r="H412" s="646"/>
      <c r="I412" s="446">
        <f>IF(H412=0,0,(VLOOKUP(H412,'MTRL MSK (TPDP)'!$H$9:$U637,2,0)))</f>
        <v>0</v>
      </c>
      <c r="J412" s="448" t="str">
        <f>IFERROR((IF(H412=0,0,(VLOOKUP(H412,'MTRL MSK (TPDP)'!$H$8:$U637,7,0))))/(IF(H412=0,0,(VLOOKUP(H412,'MTRL MSK (TPDP)'!$H$8:$U637,5,0)))),"")</f>
        <v/>
      </c>
      <c r="K412" s="559"/>
      <c r="L412" s="448">
        <f t="shared" si="1"/>
        <v>0</v>
      </c>
      <c r="M412" s="647">
        <f t="shared" si="2"/>
        <v>0</v>
      </c>
      <c r="N412" s="647">
        <f t="shared" si="3"/>
        <v>0</v>
      </c>
      <c r="O412" s="448">
        <f>IF(H412=0,0,(VLOOKUP(H412,'MTRL MSK (TPDP)'!$H$9:$U637,5,0)))</f>
        <v>0</v>
      </c>
      <c r="P412" s="448">
        <f t="shared" si="4"/>
        <v>0</v>
      </c>
      <c r="Q412" s="448">
        <f t="shared" si="5"/>
        <v>0</v>
      </c>
      <c r="R412" s="648" t="str">
        <f>IFERROR(IF(S412="","",(VLOOKUP(S412,'1. BQ RAPL'!$D$14:$K637,8,0))),"")</f>
        <v/>
      </c>
      <c r="S412" s="649"/>
      <c r="T412" s="650"/>
      <c r="U412" s="16"/>
      <c r="V412" s="16"/>
      <c r="W412" s="16"/>
      <c r="X412" s="119"/>
      <c r="Y412" s="119"/>
      <c r="Z412" s="119"/>
      <c r="AA412" s="119"/>
      <c r="AB412" s="119"/>
      <c r="AC412" s="119"/>
      <c r="AD412" s="119"/>
      <c r="AE412" s="119"/>
      <c r="AF412" s="119"/>
    </row>
    <row r="413" ht="18.75" customHeight="1">
      <c r="A413" s="119"/>
      <c r="B413" s="652"/>
      <c r="C413" s="642">
        <f>IF(F413=0,0,(VLOOKUP(F413,'MTRL MSK (TPDP)'!$F$9:$W637,18,0)))</f>
        <v>0</v>
      </c>
      <c r="D413" s="642">
        <f>IF(C413=0,0,(VLOOKUP(C413,'MTRL MSK (TPDP)'!$B$9:$W637,3,0)))</f>
        <v>0</v>
      </c>
      <c r="E413" s="643" t="str">
        <f>iferror(IF(C413="","",(VLOOKUP(C413,'MTRL MSK (TPDP)'!$B$9:$W637,4,0))),"")</f>
        <v/>
      </c>
      <c r="F413" s="644">
        <f>IF(H413=0,0,(VLOOKUP(H413,'MTRL MSK (TPDP)'!$H$9:$X637,17,0)))</f>
        <v>0</v>
      </c>
      <c r="G413" s="645"/>
      <c r="H413" s="646"/>
      <c r="I413" s="446">
        <f>IF(H413=0,0,(VLOOKUP(H413,'MTRL MSK (TPDP)'!$H$9:$U637,2,0)))</f>
        <v>0</v>
      </c>
      <c r="J413" s="448" t="str">
        <f>IFERROR((IF(H413=0,0,(VLOOKUP(H413,'MTRL MSK (TPDP)'!$H$8:$U637,7,0))))/(IF(H413=0,0,(VLOOKUP(H413,'MTRL MSK (TPDP)'!$H$8:$U637,5,0)))),"")</f>
        <v/>
      </c>
      <c r="K413" s="559"/>
      <c r="L413" s="448">
        <f t="shared" si="1"/>
        <v>0</v>
      </c>
      <c r="M413" s="647">
        <f t="shared" si="2"/>
        <v>0</v>
      </c>
      <c r="N413" s="647">
        <f t="shared" si="3"/>
        <v>0</v>
      </c>
      <c r="O413" s="448">
        <f>IF(H413=0,0,(VLOOKUP(H413,'MTRL MSK (TPDP)'!$H$9:$U637,5,0)))</f>
        <v>0</v>
      </c>
      <c r="P413" s="448">
        <f t="shared" si="4"/>
        <v>0</v>
      </c>
      <c r="Q413" s="448">
        <f t="shared" si="5"/>
        <v>0</v>
      </c>
      <c r="R413" s="648" t="str">
        <f>IFERROR(IF(S413="","",(VLOOKUP(S413,'1. BQ RAPL'!$D$14:$K637,8,0))),"")</f>
        <v/>
      </c>
      <c r="S413" s="649"/>
      <c r="T413" s="650"/>
      <c r="U413" s="16"/>
      <c r="V413" s="16"/>
      <c r="W413" s="16"/>
      <c r="X413" s="119"/>
      <c r="Y413" s="119"/>
      <c r="Z413" s="119"/>
      <c r="AA413" s="119"/>
      <c r="AB413" s="119"/>
      <c r="AC413" s="119"/>
      <c r="AD413" s="119"/>
      <c r="AE413" s="119"/>
      <c r="AF413" s="119"/>
    </row>
    <row r="414" ht="18.75" customHeight="1">
      <c r="A414" s="119"/>
      <c r="B414" s="652"/>
      <c r="C414" s="642">
        <f>IF(F414=0,0,(VLOOKUP(F414,'MTRL MSK (TPDP)'!$F$9:$W637,18,0)))</f>
        <v>0</v>
      </c>
      <c r="D414" s="642">
        <f>IF(C414=0,0,(VLOOKUP(C414,'MTRL MSK (TPDP)'!$B$9:$W637,3,0)))</f>
        <v>0</v>
      </c>
      <c r="E414" s="643" t="str">
        <f>iferror(IF(C414="","",(VLOOKUP(C414,'MTRL MSK (TPDP)'!$B$9:$W637,4,0))),"")</f>
        <v/>
      </c>
      <c r="F414" s="644">
        <f>IF(H414=0,0,(VLOOKUP(H414,'MTRL MSK (TPDP)'!$H$9:$X637,17,0)))</f>
        <v>0</v>
      </c>
      <c r="G414" s="645"/>
      <c r="H414" s="646"/>
      <c r="I414" s="446">
        <f>IF(H414=0,0,(VLOOKUP(H414,'MTRL MSK (TPDP)'!$H$9:$U637,2,0)))</f>
        <v>0</v>
      </c>
      <c r="J414" s="448" t="str">
        <f>IFERROR((IF(H414=0,0,(VLOOKUP(H414,'MTRL MSK (TPDP)'!$H$8:$U637,7,0))))/(IF(H414=0,0,(VLOOKUP(H414,'MTRL MSK (TPDP)'!$H$8:$U637,5,0)))),"")</f>
        <v/>
      </c>
      <c r="K414" s="559"/>
      <c r="L414" s="448">
        <f t="shared" si="1"/>
        <v>0</v>
      </c>
      <c r="M414" s="647">
        <f t="shared" si="2"/>
        <v>0</v>
      </c>
      <c r="N414" s="647">
        <f t="shared" si="3"/>
        <v>0</v>
      </c>
      <c r="O414" s="448">
        <f>IF(H414=0,0,(VLOOKUP(H414,'MTRL MSK (TPDP)'!$H$9:$U637,5,0)))</f>
        <v>0</v>
      </c>
      <c r="P414" s="448">
        <f t="shared" si="4"/>
        <v>0</v>
      </c>
      <c r="Q414" s="448">
        <f t="shared" si="5"/>
        <v>0</v>
      </c>
      <c r="R414" s="648" t="str">
        <f>IFERROR(IF(S414="","",(VLOOKUP(S414,'1. BQ RAPL'!$D$14:$K637,8,0))),"")</f>
        <v/>
      </c>
      <c r="S414" s="649"/>
      <c r="T414" s="650"/>
      <c r="U414" s="16"/>
      <c r="V414" s="16"/>
      <c r="W414" s="16"/>
      <c r="X414" s="119"/>
      <c r="Y414" s="119"/>
      <c r="Z414" s="119"/>
      <c r="AA414" s="119"/>
      <c r="AB414" s="119"/>
      <c r="AC414" s="119"/>
      <c r="AD414" s="119"/>
      <c r="AE414" s="119"/>
      <c r="AF414" s="119"/>
    </row>
    <row r="415" ht="18.75" customHeight="1">
      <c r="A415" s="119"/>
      <c r="B415" s="652"/>
      <c r="C415" s="642">
        <f>IF(F415=0,0,(VLOOKUP(F415,'MTRL MSK (TPDP)'!$F$9:$W637,18,0)))</f>
        <v>0</v>
      </c>
      <c r="D415" s="642">
        <f>IF(C415=0,0,(VLOOKUP(C415,'MTRL MSK (TPDP)'!$B$9:$W637,3,0)))</f>
        <v>0</v>
      </c>
      <c r="E415" s="643" t="str">
        <f>iferror(IF(C415="","",(VLOOKUP(C415,'MTRL MSK (TPDP)'!$B$9:$W637,4,0))),"")</f>
        <v/>
      </c>
      <c r="F415" s="644">
        <f>IF(H415=0,0,(VLOOKUP(H415,'MTRL MSK (TPDP)'!$H$9:$X637,17,0)))</f>
        <v>0</v>
      </c>
      <c r="G415" s="645"/>
      <c r="H415" s="646"/>
      <c r="I415" s="446">
        <f>IF(H415=0,0,(VLOOKUP(H415,'MTRL MSK (TPDP)'!$H$9:$U637,2,0)))</f>
        <v>0</v>
      </c>
      <c r="J415" s="448" t="str">
        <f>IFERROR((IF(H415=0,0,(VLOOKUP(H415,'MTRL MSK (TPDP)'!$H$8:$U637,7,0))))/(IF(H415=0,0,(VLOOKUP(H415,'MTRL MSK (TPDP)'!$H$8:$U637,5,0)))),"")</f>
        <v/>
      </c>
      <c r="K415" s="559"/>
      <c r="L415" s="448">
        <f t="shared" si="1"/>
        <v>0</v>
      </c>
      <c r="M415" s="647">
        <f t="shared" si="2"/>
        <v>0</v>
      </c>
      <c r="N415" s="647">
        <f t="shared" si="3"/>
        <v>0</v>
      </c>
      <c r="O415" s="448">
        <f>IF(H415=0,0,(VLOOKUP(H415,'MTRL MSK (TPDP)'!$H$9:$U637,5,0)))</f>
        <v>0</v>
      </c>
      <c r="P415" s="448">
        <f t="shared" si="4"/>
        <v>0</v>
      </c>
      <c r="Q415" s="448">
        <f t="shared" si="5"/>
        <v>0</v>
      </c>
      <c r="R415" s="648" t="str">
        <f>IFERROR(IF(S415="","",(VLOOKUP(S415,'1. BQ RAPL'!$D$14:$K637,8,0))),"")</f>
        <v/>
      </c>
      <c r="S415" s="649"/>
      <c r="T415" s="650"/>
      <c r="U415" s="16"/>
      <c r="V415" s="16"/>
      <c r="W415" s="16"/>
      <c r="X415" s="119"/>
      <c r="Y415" s="119"/>
      <c r="Z415" s="119"/>
      <c r="AA415" s="119"/>
      <c r="AB415" s="119"/>
      <c r="AC415" s="119"/>
      <c r="AD415" s="119"/>
      <c r="AE415" s="119"/>
      <c r="AF415" s="119"/>
    </row>
    <row r="416" ht="18.75" customHeight="1">
      <c r="A416" s="119"/>
      <c r="B416" s="652"/>
      <c r="C416" s="642">
        <f>IF(F416=0,0,(VLOOKUP(F416,'MTRL MSK (TPDP)'!$F$9:$W637,18,0)))</f>
        <v>0</v>
      </c>
      <c r="D416" s="642">
        <f>IF(C416=0,0,(VLOOKUP(C416,'MTRL MSK (TPDP)'!$B$9:$W637,3,0)))</f>
        <v>0</v>
      </c>
      <c r="E416" s="643" t="str">
        <f>iferror(IF(C416="","",(VLOOKUP(C416,'MTRL MSK (TPDP)'!$B$9:$W637,4,0))),"")</f>
        <v/>
      </c>
      <c r="F416" s="644">
        <f>IF(H416=0,0,(VLOOKUP(H416,'MTRL MSK (TPDP)'!$H$9:$X637,17,0)))</f>
        <v>0</v>
      </c>
      <c r="G416" s="645"/>
      <c r="H416" s="646"/>
      <c r="I416" s="446">
        <f>IF(H416=0,0,(VLOOKUP(H416,'MTRL MSK (TPDP)'!$H$9:$U637,2,0)))</f>
        <v>0</v>
      </c>
      <c r="J416" s="448" t="str">
        <f>IFERROR((IF(H416=0,0,(VLOOKUP(H416,'MTRL MSK (TPDP)'!$H$8:$U637,7,0))))/(IF(H416=0,0,(VLOOKUP(H416,'MTRL MSK (TPDP)'!$H$8:$U637,5,0)))),"")</f>
        <v/>
      </c>
      <c r="K416" s="559"/>
      <c r="L416" s="448">
        <f t="shared" si="1"/>
        <v>0</v>
      </c>
      <c r="M416" s="647">
        <f t="shared" si="2"/>
        <v>0</v>
      </c>
      <c r="N416" s="647">
        <f t="shared" si="3"/>
        <v>0</v>
      </c>
      <c r="O416" s="448">
        <f>IF(H416=0,0,(VLOOKUP(H416,'MTRL MSK (TPDP)'!$H$9:$U637,5,0)))</f>
        <v>0</v>
      </c>
      <c r="P416" s="448">
        <f t="shared" si="4"/>
        <v>0</v>
      </c>
      <c r="Q416" s="448">
        <f t="shared" si="5"/>
        <v>0</v>
      </c>
      <c r="R416" s="648" t="str">
        <f>IFERROR(IF(S416="","",(VLOOKUP(S416,'1. BQ RAPL'!$D$14:$K637,8,0))),"")</f>
        <v/>
      </c>
      <c r="S416" s="649"/>
      <c r="T416" s="650"/>
      <c r="U416" s="16"/>
      <c r="V416" s="16"/>
      <c r="W416" s="16"/>
      <c r="X416" s="119"/>
      <c r="Y416" s="119"/>
      <c r="Z416" s="119"/>
      <c r="AA416" s="119"/>
      <c r="AB416" s="119"/>
      <c r="AC416" s="119"/>
      <c r="AD416" s="119"/>
      <c r="AE416" s="119"/>
      <c r="AF416" s="119"/>
    </row>
    <row r="417" ht="18.75" customHeight="1">
      <c r="A417" s="119"/>
      <c r="B417" s="652"/>
      <c r="C417" s="642">
        <f>IF(F417=0,0,(VLOOKUP(F417,'MTRL MSK (TPDP)'!$F$9:$W637,18,0)))</f>
        <v>0</v>
      </c>
      <c r="D417" s="642">
        <f>IF(C417=0,0,(VLOOKUP(C417,'MTRL MSK (TPDP)'!$B$9:$W637,3,0)))</f>
        <v>0</v>
      </c>
      <c r="E417" s="643" t="str">
        <f>iferror(IF(C417="","",(VLOOKUP(C417,'MTRL MSK (TPDP)'!$B$9:$W637,4,0))),"")</f>
        <v/>
      </c>
      <c r="F417" s="644">
        <f>IF(H417=0,0,(VLOOKUP(H417,'MTRL MSK (TPDP)'!$H$9:$X637,17,0)))</f>
        <v>0</v>
      </c>
      <c r="G417" s="645"/>
      <c r="H417" s="646"/>
      <c r="I417" s="446">
        <f>IF(H417=0,0,(VLOOKUP(H417,'MTRL MSK (TPDP)'!$H$9:$U637,2,0)))</f>
        <v>0</v>
      </c>
      <c r="J417" s="448" t="str">
        <f>IFERROR((IF(H417=0,0,(VLOOKUP(H417,'MTRL MSK (TPDP)'!$H$8:$U637,7,0))))/(IF(H417=0,0,(VLOOKUP(H417,'MTRL MSK (TPDP)'!$H$8:$U637,5,0)))),"")</f>
        <v/>
      </c>
      <c r="K417" s="559"/>
      <c r="L417" s="448">
        <f t="shared" si="1"/>
        <v>0</v>
      </c>
      <c r="M417" s="647">
        <f t="shared" si="2"/>
        <v>0</v>
      </c>
      <c r="N417" s="647">
        <f t="shared" si="3"/>
        <v>0</v>
      </c>
      <c r="O417" s="448">
        <f>IF(H417=0,0,(VLOOKUP(H417,'MTRL MSK (TPDP)'!$H$9:$U637,5,0)))</f>
        <v>0</v>
      </c>
      <c r="P417" s="448">
        <f t="shared" si="4"/>
        <v>0</v>
      </c>
      <c r="Q417" s="448">
        <f t="shared" si="5"/>
        <v>0</v>
      </c>
      <c r="R417" s="648" t="str">
        <f>IFERROR(IF(S417="","",(VLOOKUP(S417,'1. BQ RAPL'!$D$14:$K637,8,0))),"")</f>
        <v/>
      </c>
      <c r="S417" s="649"/>
      <c r="T417" s="650"/>
      <c r="U417" s="16"/>
      <c r="V417" s="16"/>
      <c r="W417" s="16"/>
      <c r="X417" s="119"/>
      <c r="Y417" s="119"/>
      <c r="Z417" s="119"/>
      <c r="AA417" s="119"/>
      <c r="AB417" s="119"/>
      <c r="AC417" s="119"/>
      <c r="AD417" s="119"/>
      <c r="AE417" s="119"/>
      <c r="AF417" s="119"/>
    </row>
    <row r="418" ht="18.75" customHeight="1">
      <c r="A418" s="119"/>
      <c r="B418" s="652"/>
      <c r="C418" s="642">
        <f>IF(F418=0,0,(VLOOKUP(F418,'MTRL MSK (TPDP)'!$F$9:$W637,18,0)))</f>
        <v>0</v>
      </c>
      <c r="D418" s="642">
        <f>IF(C418=0,0,(VLOOKUP(C418,'MTRL MSK (TPDP)'!$B$9:$W637,3,0)))</f>
        <v>0</v>
      </c>
      <c r="E418" s="643" t="str">
        <f>iferror(IF(C418="","",(VLOOKUP(C418,'MTRL MSK (TPDP)'!$B$9:$W637,4,0))),"")</f>
        <v/>
      </c>
      <c r="F418" s="644">
        <f>IF(H418=0,0,(VLOOKUP(H418,'MTRL MSK (TPDP)'!$H$9:$X637,17,0)))</f>
        <v>0</v>
      </c>
      <c r="G418" s="645"/>
      <c r="H418" s="646"/>
      <c r="I418" s="446">
        <f>IF(H418=0,0,(VLOOKUP(H418,'MTRL MSK (TPDP)'!$H$9:$U637,2,0)))</f>
        <v>0</v>
      </c>
      <c r="J418" s="448" t="str">
        <f>IFERROR((IF(H418=0,0,(VLOOKUP(H418,'MTRL MSK (TPDP)'!$H$8:$U637,7,0))))/(IF(H418=0,0,(VLOOKUP(H418,'MTRL MSK (TPDP)'!$H$8:$U637,5,0)))),"")</f>
        <v/>
      </c>
      <c r="K418" s="559"/>
      <c r="L418" s="448">
        <f t="shared" si="1"/>
        <v>0</v>
      </c>
      <c r="M418" s="647">
        <f t="shared" si="2"/>
        <v>0</v>
      </c>
      <c r="N418" s="647">
        <f t="shared" si="3"/>
        <v>0</v>
      </c>
      <c r="O418" s="448">
        <f>IF(H418=0,0,(VLOOKUP(H418,'MTRL MSK (TPDP)'!$H$9:$U637,5,0)))</f>
        <v>0</v>
      </c>
      <c r="P418" s="448">
        <f t="shared" si="4"/>
        <v>0</v>
      </c>
      <c r="Q418" s="448">
        <f t="shared" si="5"/>
        <v>0</v>
      </c>
      <c r="R418" s="648" t="str">
        <f>IFERROR(IF(S418="","",(VLOOKUP(S418,'1. BQ RAPL'!$D$14:$K637,8,0))),"")</f>
        <v/>
      </c>
      <c r="S418" s="649"/>
      <c r="T418" s="650"/>
      <c r="U418" s="16"/>
      <c r="V418" s="16"/>
      <c r="W418" s="16"/>
      <c r="X418" s="119"/>
      <c r="Y418" s="119"/>
      <c r="Z418" s="119"/>
      <c r="AA418" s="119"/>
      <c r="AB418" s="119"/>
      <c r="AC418" s="119"/>
      <c r="AD418" s="119"/>
      <c r="AE418" s="119"/>
      <c r="AF418" s="119"/>
    </row>
    <row r="419" ht="18.75" customHeight="1">
      <c r="A419" s="119"/>
      <c r="B419" s="652"/>
      <c r="C419" s="642">
        <f>IF(F419=0,0,(VLOOKUP(F419,'MTRL MSK (TPDP)'!$F$9:$W637,18,0)))</f>
        <v>0</v>
      </c>
      <c r="D419" s="642">
        <f>IF(C419=0,0,(VLOOKUP(C419,'MTRL MSK (TPDP)'!$B$9:$W637,3,0)))</f>
        <v>0</v>
      </c>
      <c r="E419" s="643" t="str">
        <f>iferror(IF(C419="","",(VLOOKUP(C419,'MTRL MSK (TPDP)'!$B$9:$W637,4,0))),"")</f>
        <v/>
      </c>
      <c r="F419" s="644">
        <f>IF(H419=0,0,(VLOOKUP(H419,'MTRL MSK (TPDP)'!$H$9:$X637,17,0)))</f>
        <v>0</v>
      </c>
      <c r="G419" s="645"/>
      <c r="H419" s="646"/>
      <c r="I419" s="446">
        <f>IF(H419=0,0,(VLOOKUP(H419,'MTRL MSK (TPDP)'!$H$9:$U637,2,0)))</f>
        <v>0</v>
      </c>
      <c r="J419" s="448" t="str">
        <f>IFERROR((IF(H419=0,0,(VLOOKUP(H419,'MTRL MSK (TPDP)'!$H$8:$U637,7,0))))/(IF(H419=0,0,(VLOOKUP(H419,'MTRL MSK (TPDP)'!$H$8:$U637,5,0)))),"")</f>
        <v/>
      </c>
      <c r="K419" s="559"/>
      <c r="L419" s="448">
        <f t="shared" si="1"/>
        <v>0</v>
      </c>
      <c r="M419" s="647">
        <f t="shared" si="2"/>
        <v>0</v>
      </c>
      <c r="N419" s="647">
        <f t="shared" si="3"/>
        <v>0</v>
      </c>
      <c r="O419" s="448">
        <f>IF(H419=0,0,(VLOOKUP(H419,'MTRL MSK (TPDP)'!$H$9:$U637,5,0)))</f>
        <v>0</v>
      </c>
      <c r="P419" s="448">
        <f t="shared" si="4"/>
        <v>0</v>
      </c>
      <c r="Q419" s="448">
        <f t="shared" si="5"/>
        <v>0</v>
      </c>
      <c r="R419" s="648" t="str">
        <f>IFERROR(IF(S419="","",(VLOOKUP(S419,'1. BQ RAPL'!$D$14:$K637,8,0))),"")</f>
        <v/>
      </c>
      <c r="S419" s="649"/>
      <c r="T419" s="650"/>
      <c r="U419" s="16"/>
      <c r="V419" s="16"/>
      <c r="W419" s="16"/>
      <c r="X419" s="119"/>
      <c r="Y419" s="119"/>
      <c r="Z419" s="119"/>
      <c r="AA419" s="119"/>
      <c r="AB419" s="119"/>
      <c r="AC419" s="119"/>
      <c r="AD419" s="119"/>
      <c r="AE419" s="119"/>
      <c r="AF419" s="119"/>
    </row>
    <row r="420" ht="18.75" customHeight="1">
      <c r="A420" s="119"/>
      <c r="B420" s="652"/>
      <c r="C420" s="642">
        <f>IF(F420=0,0,(VLOOKUP(F420,'MTRL MSK (TPDP)'!$F$9:$W637,18,0)))</f>
        <v>0</v>
      </c>
      <c r="D420" s="642">
        <f>IF(C420=0,0,(VLOOKUP(C420,'MTRL MSK (TPDP)'!$B$9:$W637,3,0)))</f>
        <v>0</v>
      </c>
      <c r="E420" s="643" t="str">
        <f>iferror(IF(C420="","",(VLOOKUP(C420,'MTRL MSK (TPDP)'!$B$9:$W637,4,0))),"")</f>
        <v/>
      </c>
      <c r="F420" s="644">
        <f>IF(H420=0,0,(VLOOKUP(H420,'MTRL MSK (TPDP)'!$H$9:$X637,17,0)))</f>
        <v>0</v>
      </c>
      <c r="G420" s="645"/>
      <c r="H420" s="646"/>
      <c r="I420" s="446">
        <f>IF(H420=0,0,(VLOOKUP(H420,'MTRL MSK (TPDP)'!$H$9:$U637,2,0)))</f>
        <v>0</v>
      </c>
      <c r="J420" s="448" t="str">
        <f>IFERROR((IF(H420=0,0,(VLOOKUP(H420,'MTRL MSK (TPDP)'!$H$8:$U637,7,0))))/(IF(H420=0,0,(VLOOKUP(H420,'MTRL MSK (TPDP)'!$H$8:$U637,5,0)))),"")</f>
        <v/>
      </c>
      <c r="K420" s="559"/>
      <c r="L420" s="448">
        <f t="shared" si="1"/>
        <v>0</v>
      </c>
      <c r="M420" s="647">
        <f t="shared" si="2"/>
        <v>0</v>
      </c>
      <c r="N420" s="647">
        <f t="shared" si="3"/>
        <v>0</v>
      </c>
      <c r="O420" s="448">
        <f>IF(H420=0,0,(VLOOKUP(H420,'MTRL MSK (TPDP)'!$H$9:$U637,5,0)))</f>
        <v>0</v>
      </c>
      <c r="P420" s="448">
        <f t="shared" si="4"/>
        <v>0</v>
      </c>
      <c r="Q420" s="448">
        <f t="shared" si="5"/>
        <v>0</v>
      </c>
      <c r="R420" s="648" t="str">
        <f>IFERROR(IF(S420="","",(VLOOKUP(S420,'1. BQ RAPL'!$D$14:$K637,8,0))),"")</f>
        <v/>
      </c>
      <c r="S420" s="649"/>
      <c r="T420" s="650"/>
      <c r="U420" s="16"/>
      <c r="V420" s="16"/>
      <c r="W420" s="16"/>
      <c r="X420" s="119"/>
      <c r="Y420" s="119"/>
      <c r="Z420" s="119"/>
      <c r="AA420" s="119"/>
      <c r="AB420" s="119"/>
      <c r="AC420" s="119"/>
      <c r="AD420" s="119"/>
      <c r="AE420" s="119"/>
      <c r="AF420" s="119"/>
    </row>
    <row r="421" ht="18.75" customHeight="1">
      <c r="A421" s="119"/>
      <c r="B421" s="652"/>
      <c r="C421" s="642">
        <f>IF(F421=0,0,(VLOOKUP(F421,'MTRL MSK (TPDP)'!$F$9:$W637,18,0)))</f>
        <v>0</v>
      </c>
      <c r="D421" s="642">
        <f>IF(C421=0,0,(VLOOKUP(C421,'MTRL MSK (TPDP)'!$B$9:$W637,3,0)))</f>
        <v>0</v>
      </c>
      <c r="E421" s="643" t="str">
        <f>iferror(IF(C421="","",(VLOOKUP(C421,'MTRL MSK (TPDP)'!$B$9:$W637,4,0))),"")</f>
        <v/>
      </c>
      <c r="F421" s="644">
        <f>IF(H421=0,0,(VLOOKUP(H421,'MTRL MSK (TPDP)'!$H$9:$X637,17,0)))</f>
        <v>0</v>
      </c>
      <c r="G421" s="645"/>
      <c r="H421" s="646"/>
      <c r="I421" s="446">
        <f>IF(H421=0,0,(VLOOKUP(H421,'MTRL MSK (TPDP)'!$H$9:$U637,2,0)))</f>
        <v>0</v>
      </c>
      <c r="J421" s="448" t="str">
        <f>IFERROR((IF(H421=0,0,(VLOOKUP(H421,'MTRL MSK (TPDP)'!$H$8:$U637,7,0))))/(IF(H421=0,0,(VLOOKUP(H421,'MTRL MSK (TPDP)'!$H$8:$U637,5,0)))),"")</f>
        <v/>
      </c>
      <c r="K421" s="559"/>
      <c r="L421" s="448">
        <f t="shared" si="1"/>
        <v>0</v>
      </c>
      <c r="M421" s="647">
        <f t="shared" si="2"/>
        <v>0</v>
      </c>
      <c r="N421" s="647">
        <f t="shared" si="3"/>
        <v>0</v>
      </c>
      <c r="O421" s="448">
        <f>IF(H421=0,0,(VLOOKUP(H421,'MTRL MSK (TPDP)'!$H$9:$U637,5,0)))</f>
        <v>0</v>
      </c>
      <c r="P421" s="448">
        <f t="shared" si="4"/>
        <v>0</v>
      </c>
      <c r="Q421" s="448">
        <f t="shared" si="5"/>
        <v>0</v>
      </c>
      <c r="R421" s="648" t="str">
        <f>IFERROR(IF(S421="","",(VLOOKUP(S421,'1. BQ RAPL'!$D$14:$K637,8,0))),"")</f>
        <v/>
      </c>
      <c r="S421" s="649"/>
      <c r="T421" s="650"/>
      <c r="U421" s="16"/>
      <c r="V421" s="16"/>
      <c r="W421" s="16"/>
      <c r="X421" s="119"/>
      <c r="Y421" s="119"/>
      <c r="Z421" s="119"/>
      <c r="AA421" s="119"/>
      <c r="AB421" s="119"/>
      <c r="AC421" s="119"/>
      <c r="AD421" s="119"/>
      <c r="AE421" s="119"/>
      <c r="AF421" s="119"/>
    </row>
    <row r="422" ht="18.75" customHeight="1">
      <c r="A422" s="119"/>
      <c r="B422" s="652"/>
      <c r="C422" s="642">
        <f>IF(F422=0,0,(VLOOKUP(F422,'MTRL MSK (TPDP)'!$F$9:$W637,18,0)))</f>
        <v>0</v>
      </c>
      <c r="D422" s="642">
        <f>IF(C422=0,0,(VLOOKUP(C422,'MTRL MSK (TPDP)'!$B$9:$W637,3,0)))</f>
        <v>0</v>
      </c>
      <c r="E422" s="643" t="str">
        <f>iferror(IF(C422="","",(VLOOKUP(C422,'MTRL MSK (TPDP)'!$B$9:$W637,4,0))),"")</f>
        <v/>
      </c>
      <c r="F422" s="644">
        <f>IF(H422=0,0,(VLOOKUP(H422,'MTRL MSK (TPDP)'!$H$9:$X637,17,0)))</f>
        <v>0</v>
      </c>
      <c r="G422" s="645"/>
      <c r="H422" s="646"/>
      <c r="I422" s="446">
        <f>IF(H422=0,0,(VLOOKUP(H422,'MTRL MSK (TPDP)'!$H$9:$U637,2,0)))</f>
        <v>0</v>
      </c>
      <c r="J422" s="448" t="str">
        <f>IFERROR((IF(H422=0,0,(VLOOKUP(H422,'MTRL MSK (TPDP)'!$H$8:$U637,7,0))))/(IF(H422=0,0,(VLOOKUP(H422,'MTRL MSK (TPDP)'!$H$8:$U637,5,0)))),"")</f>
        <v/>
      </c>
      <c r="K422" s="559"/>
      <c r="L422" s="448">
        <f t="shared" si="1"/>
        <v>0</v>
      </c>
      <c r="M422" s="647">
        <f t="shared" si="2"/>
        <v>0</v>
      </c>
      <c r="N422" s="647">
        <f t="shared" si="3"/>
        <v>0</v>
      </c>
      <c r="O422" s="448">
        <f>IF(H422=0,0,(VLOOKUP(H422,'MTRL MSK (TPDP)'!$H$9:$U637,5,0)))</f>
        <v>0</v>
      </c>
      <c r="P422" s="448">
        <f t="shared" si="4"/>
        <v>0</v>
      </c>
      <c r="Q422" s="448">
        <f t="shared" si="5"/>
        <v>0</v>
      </c>
      <c r="R422" s="648" t="str">
        <f>IFERROR(IF(S422="","",(VLOOKUP(S422,'1. BQ RAPL'!$D$14:$K637,8,0))),"")</f>
        <v/>
      </c>
      <c r="S422" s="649"/>
      <c r="T422" s="650"/>
      <c r="U422" s="16"/>
      <c r="V422" s="16"/>
      <c r="W422" s="16"/>
      <c r="X422" s="119"/>
      <c r="Y422" s="119"/>
      <c r="Z422" s="119"/>
      <c r="AA422" s="119"/>
      <c r="AB422" s="119"/>
      <c r="AC422" s="119"/>
      <c r="AD422" s="119"/>
      <c r="AE422" s="119"/>
      <c r="AF422" s="119"/>
    </row>
    <row r="423" ht="18.75" customHeight="1">
      <c r="A423" s="119"/>
      <c r="B423" s="652"/>
      <c r="C423" s="642">
        <f>IF(F423=0,0,(VLOOKUP(F423,'MTRL MSK (TPDP)'!$F$9:$W637,18,0)))</f>
        <v>0</v>
      </c>
      <c r="D423" s="642">
        <f>IF(C423=0,0,(VLOOKUP(C423,'MTRL MSK (TPDP)'!$B$9:$W637,3,0)))</f>
        <v>0</v>
      </c>
      <c r="E423" s="643" t="str">
        <f>iferror(IF(C423="","",(VLOOKUP(C423,'MTRL MSK (TPDP)'!$B$9:$W637,4,0))),"")</f>
        <v/>
      </c>
      <c r="F423" s="644">
        <f>IF(H423=0,0,(VLOOKUP(H423,'MTRL MSK (TPDP)'!$H$9:$X637,17,0)))</f>
        <v>0</v>
      </c>
      <c r="G423" s="645"/>
      <c r="H423" s="646"/>
      <c r="I423" s="446">
        <f>IF(H423=0,0,(VLOOKUP(H423,'MTRL MSK (TPDP)'!$H$9:$U637,2,0)))</f>
        <v>0</v>
      </c>
      <c r="J423" s="448" t="str">
        <f>IFERROR((IF(H423=0,0,(VLOOKUP(H423,'MTRL MSK (TPDP)'!$H$8:$U637,7,0))))/(IF(H423=0,0,(VLOOKUP(H423,'MTRL MSK (TPDP)'!$H$8:$U637,5,0)))),"")</f>
        <v/>
      </c>
      <c r="K423" s="559"/>
      <c r="L423" s="448">
        <f t="shared" si="1"/>
        <v>0</v>
      </c>
      <c r="M423" s="647">
        <f t="shared" si="2"/>
        <v>0</v>
      </c>
      <c r="N423" s="647">
        <f t="shared" si="3"/>
        <v>0</v>
      </c>
      <c r="O423" s="448">
        <f>IF(H423=0,0,(VLOOKUP(H423,'MTRL MSK (TPDP)'!$H$9:$U637,5,0)))</f>
        <v>0</v>
      </c>
      <c r="P423" s="448">
        <f t="shared" si="4"/>
        <v>0</v>
      </c>
      <c r="Q423" s="448">
        <f t="shared" si="5"/>
        <v>0</v>
      </c>
      <c r="R423" s="648" t="str">
        <f>IFERROR(IF(S423="","",(VLOOKUP(S423,'1. BQ RAPL'!$D$14:$K637,8,0))),"")</f>
        <v/>
      </c>
      <c r="S423" s="649"/>
      <c r="T423" s="650"/>
      <c r="U423" s="16"/>
      <c r="V423" s="16"/>
      <c r="W423" s="16"/>
      <c r="X423" s="119"/>
      <c r="Y423" s="119"/>
      <c r="Z423" s="119"/>
      <c r="AA423" s="119"/>
      <c r="AB423" s="119"/>
      <c r="AC423" s="119"/>
      <c r="AD423" s="119"/>
      <c r="AE423" s="119"/>
      <c r="AF423" s="119"/>
    </row>
    <row r="424" ht="18.75" customHeight="1">
      <c r="A424" s="119"/>
      <c r="B424" s="652"/>
      <c r="C424" s="642">
        <f>IF(F424=0,0,(VLOOKUP(F424,'MTRL MSK (TPDP)'!$F$9:$W637,18,0)))</f>
        <v>0</v>
      </c>
      <c r="D424" s="642">
        <f>IF(C424=0,0,(VLOOKUP(C424,'MTRL MSK (TPDP)'!$B$9:$W637,3,0)))</f>
        <v>0</v>
      </c>
      <c r="E424" s="643" t="str">
        <f>iferror(IF(C424="","",(VLOOKUP(C424,'MTRL MSK (TPDP)'!$B$9:$W637,4,0))),"")</f>
        <v/>
      </c>
      <c r="F424" s="644">
        <f>IF(H424=0,0,(VLOOKUP(H424,'MTRL MSK (TPDP)'!$H$9:$X637,17,0)))</f>
        <v>0</v>
      </c>
      <c r="G424" s="645"/>
      <c r="H424" s="646"/>
      <c r="I424" s="446">
        <f>IF(H424=0,0,(VLOOKUP(H424,'MTRL MSK (TPDP)'!$H$9:$U637,2,0)))</f>
        <v>0</v>
      </c>
      <c r="J424" s="448" t="str">
        <f>IFERROR((IF(H424=0,0,(VLOOKUP(H424,'MTRL MSK (TPDP)'!$H$8:$U637,7,0))))/(IF(H424=0,0,(VLOOKUP(H424,'MTRL MSK (TPDP)'!$H$8:$U637,5,0)))),"")</f>
        <v/>
      </c>
      <c r="K424" s="559"/>
      <c r="L424" s="448">
        <f t="shared" si="1"/>
        <v>0</v>
      </c>
      <c r="M424" s="647">
        <f t="shared" si="2"/>
        <v>0</v>
      </c>
      <c r="N424" s="647">
        <f t="shared" si="3"/>
        <v>0</v>
      </c>
      <c r="O424" s="448">
        <f>IF(H424=0,0,(VLOOKUP(H424,'MTRL MSK (TPDP)'!$H$9:$U637,5,0)))</f>
        <v>0</v>
      </c>
      <c r="P424" s="448">
        <f t="shared" si="4"/>
        <v>0</v>
      </c>
      <c r="Q424" s="448">
        <f t="shared" si="5"/>
        <v>0</v>
      </c>
      <c r="R424" s="648" t="str">
        <f>IFERROR(IF(S424="","",(VLOOKUP(S424,'1. BQ RAPL'!$D$14:$K637,8,0))),"")</f>
        <v/>
      </c>
      <c r="S424" s="649"/>
      <c r="T424" s="650"/>
      <c r="U424" s="16"/>
      <c r="V424" s="16"/>
      <c r="W424" s="16"/>
      <c r="X424" s="119"/>
      <c r="Y424" s="119"/>
      <c r="Z424" s="119"/>
      <c r="AA424" s="119"/>
      <c r="AB424" s="119"/>
      <c r="AC424" s="119"/>
      <c r="AD424" s="119"/>
      <c r="AE424" s="119"/>
      <c r="AF424" s="119"/>
    </row>
    <row r="425" ht="18.75" customHeight="1">
      <c r="A425" s="119"/>
      <c r="B425" s="652"/>
      <c r="C425" s="642">
        <f>IF(F425=0,0,(VLOOKUP(F425,'MTRL MSK (TPDP)'!$F$9:$W637,18,0)))</f>
        <v>0</v>
      </c>
      <c r="D425" s="642">
        <f>IF(C425=0,0,(VLOOKUP(C425,'MTRL MSK (TPDP)'!$B$9:$W637,3,0)))</f>
        <v>0</v>
      </c>
      <c r="E425" s="643" t="str">
        <f>iferror(IF(C425="","",(VLOOKUP(C425,'MTRL MSK (TPDP)'!$B$9:$W637,4,0))),"")</f>
        <v/>
      </c>
      <c r="F425" s="644">
        <f>IF(H425=0,0,(VLOOKUP(H425,'MTRL MSK (TPDP)'!$H$9:$X637,17,0)))</f>
        <v>0</v>
      </c>
      <c r="G425" s="645"/>
      <c r="H425" s="646"/>
      <c r="I425" s="446">
        <f>IF(H425=0,0,(VLOOKUP(H425,'MTRL MSK (TPDP)'!$H$9:$U637,2,0)))</f>
        <v>0</v>
      </c>
      <c r="J425" s="448" t="str">
        <f>IFERROR((IF(H425=0,0,(VLOOKUP(H425,'MTRL MSK (TPDP)'!$H$8:$U637,7,0))))/(IF(H425=0,0,(VLOOKUP(H425,'MTRL MSK (TPDP)'!$H$8:$U637,5,0)))),"")</f>
        <v/>
      </c>
      <c r="K425" s="559"/>
      <c r="L425" s="448">
        <f t="shared" si="1"/>
        <v>0</v>
      </c>
      <c r="M425" s="647">
        <f t="shared" si="2"/>
        <v>0</v>
      </c>
      <c r="N425" s="647">
        <f t="shared" si="3"/>
        <v>0</v>
      </c>
      <c r="O425" s="448">
        <f>IF(H425=0,0,(VLOOKUP(H425,'MTRL MSK (TPDP)'!$H$9:$U637,5,0)))</f>
        <v>0</v>
      </c>
      <c r="P425" s="448">
        <f t="shared" si="4"/>
        <v>0</v>
      </c>
      <c r="Q425" s="448">
        <f t="shared" si="5"/>
        <v>0</v>
      </c>
      <c r="R425" s="648" t="str">
        <f>IFERROR(IF(S425="","",(VLOOKUP(S425,'1. BQ RAPL'!$D$14:$K637,8,0))),"")</f>
        <v/>
      </c>
      <c r="S425" s="649"/>
      <c r="T425" s="650"/>
      <c r="U425" s="16"/>
      <c r="V425" s="16"/>
      <c r="W425" s="16"/>
      <c r="X425" s="119"/>
      <c r="Y425" s="119"/>
      <c r="Z425" s="119"/>
      <c r="AA425" s="119"/>
      <c r="AB425" s="119"/>
      <c r="AC425" s="119"/>
      <c r="AD425" s="119"/>
      <c r="AE425" s="119"/>
      <c r="AF425" s="119"/>
    </row>
    <row r="426" ht="18.75" customHeight="1">
      <c r="A426" s="119"/>
      <c r="B426" s="652"/>
      <c r="C426" s="642">
        <f>IF(F426=0,0,(VLOOKUP(F426,'MTRL MSK (TPDP)'!$F$9:$W637,18,0)))</f>
        <v>0</v>
      </c>
      <c r="D426" s="642">
        <f>IF(C426=0,0,(VLOOKUP(C426,'MTRL MSK (TPDP)'!$B$9:$W637,3,0)))</f>
        <v>0</v>
      </c>
      <c r="E426" s="643" t="str">
        <f>iferror(IF(C426="","",(VLOOKUP(C426,'MTRL MSK (TPDP)'!$B$9:$W637,4,0))),"")</f>
        <v/>
      </c>
      <c r="F426" s="644">
        <f>IF(H426=0,0,(VLOOKUP(H426,'MTRL MSK (TPDP)'!$H$9:$X637,17,0)))</f>
        <v>0</v>
      </c>
      <c r="G426" s="645"/>
      <c r="H426" s="646"/>
      <c r="I426" s="446">
        <f>IF(H426=0,0,(VLOOKUP(H426,'MTRL MSK (TPDP)'!$H$9:$U637,2,0)))</f>
        <v>0</v>
      </c>
      <c r="J426" s="448" t="str">
        <f>IFERROR((IF(H426=0,0,(VLOOKUP(H426,'MTRL MSK (TPDP)'!$H$8:$U637,7,0))))/(IF(H426=0,0,(VLOOKUP(H426,'MTRL MSK (TPDP)'!$H$8:$U637,5,0)))),"")</f>
        <v/>
      </c>
      <c r="K426" s="559"/>
      <c r="L426" s="448">
        <f t="shared" si="1"/>
        <v>0</v>
      </c>
      <c r="M426" s="647">
        <f t="shared" si="2"/>
        <v>0</v>
      </c>
      <c r="N426" s="647">
        <f t="shared" si="3"/>
        <v>0</v>
      </c>
      <c r="O426" s="448">
        <f>IF(H426=0,0,(VLOOKUP(H426,'MTRL MSK (TPDP)'!$H$9:$U637,5,0)))</f>
        <v>0</v>
      </c>
      <c r="P426" s="448">
        <f t="shared" si="4"/>
        <v>0</v>
      </c>
      <c r="Q426" s="448">
        <f t="shared" si="5"/>
        <v>0</v>
      </c>
      <c r="R426" s="648" t="str">
        <f>IFERROR(IF(S426="","",(VLOOKUP(S426,'1. BQ RAPL'!$D$14:$K637,8,0))),"")</f>
        <v/>
      </c>
      <c r="S426" s="649"/>
      <c r="T426" s="650"/>
      <c r="U426" s="16"/>
      <c r="V426" s="16"/>
      <c r="W426" s="16"/>
      <c r="X426" s="119"/>
      <c r="Y426" s="119"/>
      <c r="Z426" s="119"/>
      <c r="AA426" s="119"/>
      <c r="AB426" s="119"/>
      <c r="AC426" s="119"/>
      <c r="AD426" s="119"/>
      <c r="AE426" s="119"/>
      <c r="AF426" s="119"/>
    </row>
    <row r="427" ht="18.75" customHeight="1">
      <c r="A427" s="119"/>
      <c r="B427" s="652"/>
      <c r="C427" s="642">
        <f>IF(F427=0,0,(VLOOKUP(F427,'MTRL MSK (TPDP)'!$F$9:$W637,18,0)))</f>
        <v>0</v>
      </c>
      <c r="D427" s="642">
        <f>IF(C427=0,0,(VLOOKUP(C427,'MTRL MSK (TPDP)'!$B$9:$W637,3,0)))</f>
        <v>0</v>
      </c>
      <c r="E427" s="643" t="str">
        <f>iferror(IF(C427="","",(VLOOKUP(C427,'MTRL MSK (TPDP)'!$B$9:$W637,4,0))),"")</f>
        <v/>
      </c>
      <c r="F427" s="644">
        <f>IF(H427=0,0,(VLOOKUP(H427,'MTRL MSK (TPDP)'!$H$9:$X637,17,0)))</f>
        <v>0</v>
      </c>
      <c r="G427" s="645"/>
      <c r="H427" s="646"/>
      <c r="I427" s="446">
        <f>IF(H427=0,0,(VLOOKUP(H427,'MTRL MSK (TPDP)'!$H$9:$U637,2,0)))</f>
        <v>0</v>
      </c>
      <c r="J427" s="448" t="str">
        <f>IFERROR((IF(H427=0,0,(VLOOKUP(H427,'MTRL MSK (TPDP)'!$H$8:$U637,7,0))))/(IF(H427=0,0,(VLOOKUP(H427,'MTRL MSK (TPDP)'!$H$8:$U637,5,0)))),"")</f>
        <v/>
      </c>
      <c r="K427" s="559"/>
      <c r="L427" s="448">
        <f t="shared" si="1"/>
        <v>0</v>
      </c>
      <c r="M427" s="647">
        <f t="shared" si="2"/>
        <v>0</v>
      </c>
      <c r="N427" s="647">
        <f t="shared" si="3"/>
        <v>0</v>
      </c>
      <c r="O427" s="448">
        <f>IF(H427=0,0,(VLOOKUP(H427,'MTRL MSK (TPDP)'!$H$9:$U637,5,0)))</f>
        <v>0</v>
      </c>
      <c r="P427" s="448">
        <f t="shared" si="4"/>
        <v>0</v>
      </c>
      <c r="Q427" s="448">
        <f t="shared" si="5"/>
        <v>0</v>
      </c>
      <c r="R427" s="648" t="str">
        <f>IFERROR(IF(S427="","",(VLOOKUP(S427,'1. BQ RAPL'!$D$14:$K637,8,0))),"")</f>
        <v/>
      </c>
      <c r="S427" s="649"/>
      <c r="T427" s="650"/>
      <c r="U427" s="16"/>
      <c r="V427" s="16"/>
      <c r="W427" s="16"/>
      <c r="X427" s="119"/>
      <c r="Y427" s="119"/>
      <c r="Z427" s="119"/>
      <c r="AA427" s="119"/>
      <c r="AB427" s="119"/>
      <c r="AC427" s="119"/>
      <c r="AD427" s="119"/>
      <c r="AE427" s="119"/>
      <c r="AF427" s="119"/>
    </row>
    <row r="428" ht="18.75" customHeight="1">
      <c r="A428" s="119"/>
      <c r="B428" s="652"/>
      <c r="C428" s="642">
        <f>IF(F428=0,0,(VLOOKUP(F428,'MTRL MSK (TPDP)'!$F$9:$W637,18,0)))</f>
        <v>0</v>
      </c>
      <c r="D428" s="642">
        <f>IF(C428=0,0,(VLOOKUP(C428,'MTRL MSK (TPDP)'!$B$9:$W637,3,0)))</f>
        <v>0</v>
      </c>
      <c r="E428" s="643" t="str">
        <f>iferror(IF(C428="","",(VLOOKUP(C428,'MTRL MSK (TPDP)'!$B$9:$W637,4,0))),"")</f>
        <v/>
      </c>
      <c r="F428" s="644">
        <f>IF(H428=0,0,(VLOOKUP(H428,'MTRL MSK (TPDP)'!$H$9:$X637,17,0)))</f>
        <v>0</v>
      </c>
      <c r="G428" s="645"/>
      <c r="H428" s="646"/>
      <c r="I428" s="446">
        <f>IF(H428=0,0,(VLOOKUP(H428,'MTRL MSK (TPDP)'!$H$9:$U637,2,0)))</f>
        <v>0</v>
      </c>
      <c r="J428" s="448" t="str">
        <f>IFERROR((IF(H428=0,0,(VLOOKUP(H428,'MTRL MSK (TPDP)'!$H$8:$U637,7,0))))/(IF(H428=0,0,(VLOOKUP(H428,'MTRL MSK (TPDP)'!$H$8:$U637,5,0)))),"")</f>
        <v/>
      </c>
      <c r="K428" s="559"/>
      <c r="L428" s="448">
        <f t="shared" si="1"/>
        <v>0</v>
      </c>
      <c r="M428" s="647">
        <f t="shared" si="2"/>
        <v>0</v>
      </c>
      <c r="N428" s="647">
        <f t="shared" si="3"/>
        <v>0</v>
      </c>
      <c r="O428" s="448">
        <f>IF(H428=0,0,(VLOOKUP(H428,'MTRL MSK (TPDP)'!$H$9:$U637,5,0)))</f>
        <v>0</v>
      </c>
      <c r="P428" s="448">
        <f t="shared" si="4"/>
        <v>0</v>
      </c>
      <c r="Q428" s="448">
        <f t="shared" si="5"/>
        <v>0</v>
      </c>
      <c r="R428" s="648" t="str">
        <f>IFERROR(IF(S428="","",(VLOOKUP(S428,'1. BQ RAPL'!$D$14:$K637,8,0))),"")</f>
        <v/>
      </c>
      <c r="S428" s="649"/>
      <c r="T428" s="650"/>
      <c r="U428" s="16"/>
      <c r="V428" s="16"/>
      <c r="W428" s="16"/>
      <c r="X428" s="119"/>
      <c r="Y428" s="119"/>
      <c r="Z428" s="119"/>
      <c r="AA428" s="119"/>
      <c r="AB428" s="119"/>
      <c r="AC428" s="119"/>
      <c r="AD428" s="119"/>
      <c r="AE428" s="119"/>
      <c r="AF428" s="119"/>
    </row>
    <row r="429" ht="18.75" customHeight="1">
      <c r="A429" s="119"/>
      <c r="B429" s="652"/>
      <c r="C429" s="642">
        <f>IF(F429=0,0,(VLOOKUP(F429,'MTRL MSK (TPDP)'!$F$9:$W637,18,0)))</f>
        <v>0</v>
      </c>
      <c r="D429" s="642">
        <f>IF(C429=0,0,(VLOOKUP(C429,'MTRL MSK (TPDP)'!$B$9:$W637,3,0)))</f>
        <v>0</v>
      </c>
      <c r="E429" s="643" t="str">
        <f>iferror(IF(C429="","",(VLOOKUP(C429,'MTRL MSK (TPDP)'!$B$9:$W637,4,0))),"")</f>
        <v/>
      </c>
      <c r="F429" s="644">
        <f>IF(H429=0,0,(VLOOKUP(H429,'MTRL MSK (TPDP)'!$H$9:$X637,17,0)))</f>
        <v>0</v>
      </c>
      <c r="G429" s="645"/>
      <c r="H429" s="646"/>
      <c r="I429" s="446">
        <f>IF(H429=0,0,(VLOOKUP(H429,'MTRL MSK (TPDP)'!$H$9:$U637,2,0)))</f>
        <v>0</v>
      </c>
      <c r="J429" s="448" t="str">
        <f>IFERROR((IF(H429=0,0,(VLOOKUP(H429,'MTRL MSK (TPDP)'!$H$8:$U637,7,0))))/(IF(H429=0,0,(VLOOKUP(H429,'MTRL MSK (TPDP)'!$H$8:$U637,5,0)))),"")</f>
        <v/>
      </c>
      <c r="K429" s="559"/>
      <c r="L429" s="448">
        <f t="shared" si="1"/>
        <v>0</v>
      </c>
      <c r="M429" s="647">
        <f t="shared" si="2"/>
        <v>0</v>
      </c>
      <c r="N429" s="647">
        <f t="shared" si="3"/>
        <v>0</v>
      </c>
      <c r="O429" s="448">
        <f>IF(H429=0,0,(VLOOKUP(H429,'MTRL MSK (TPDP)'!$H$9:$U637,5,0)))</f>
        <v>0</v>
      </c>
      <c r="P429" s="448">
        <f t="shared" si="4"/>
        <v>0</v>
      </c>
      <c r="Q429" s="448">
        <f t="shared" si="5"/>
        <v>0</v>
      </c>
      <c r="R429" s="648" t="str">
        <f>IFERROR(IF(S429="","",(VLOOKUP(S429,'1. BQ RAPL'!$D$14:$K637,8,0))),"")</f>
        <v/>
      </c>
      <c r="S429" s="649"/>
      <c r="T429" s="650"/>
      <c r="U429" s="16"/>
      <c r="V429" s="16"/>
      <c r="W429" s="16"/>
      <c r="X429" s="119"/>
      <c r="Y429" s="119"/>
      <c r="Z429" s="119"/>
      <c r="AA429" s="119"/>
      <c r="AB429" s="119"/>
      <c r="AC429" s="119"/>
      <c r="AD429" s="119"/>
      <c r="AE429" s="119"/>
      <c r="AF429" s="119"/>
    </row>
    <row r="430" ht="18.75" customHeight="1">
      <c r="A430" s="119"/>
      <c r="B430" s="652"/>
      <c r="C430" s="642">
        <f>IF(F430=0,0,(VLOOKUP(F430,'MTRL MSK (TPDP)'!$F$9:$W637,18,0)))</f>
        <v>0</v>
      </c>
      <c r="D430" s="642">
        <f>IF(C430=0,0,(VLOOKUP(C430,'MTRL MSK (TPDP)'!$B$9:$W637,3,0)))</f>
        <v>0</v>
      </c>
      <c r="E430" s="643" t="str">
        <f>iferror(IF(C430="","",(VLOOKUP(C430,'MTRL MSK (TPDP)'!$B$9:$W637,4,0))),"")</f>
        <v/>
      </c>
      <c r="F430" s="644">
        <f>IF(H430=0,0,(VLOOKUP(H430,'MTRL MSK (TPDP)'!$H$9:$X637,17,0)))</f>
        <v>0</v>
      </c>
      <c r="G430" s="645"/>
      <c r="H430" s="646"/>
      <c r="I430" s="446">
        <f>IF(H430=0,0,(VLOOKUP(H430,'MTRL MSK (TPDP)'!$H$9:$U637,2,0)))</f>
        <v>0</v>
      </c>
      <c r="J430" s="448" t="str">
        <f>IFERROR((IF(H430=0,0,(VLOOKUP(H430,'MTRL MSK (TPDP)'!$H$8:$U637,7,0))))/(IF(H430=0,0,(VLOOKUP(H430,'MTRL MSK (TPDP)'!$H$8:$U637,5,0)))),"")</f>
        <v/>
      </c>
      <c r="K430" s="559"/>
      <c r="L430" s="448">
        <f t="shared" si="1"/>
        <v>0</v>
      </c>
      <c r="M430" s="647">
        <f t="shared" si="2"/>
        <v>0</v>
      </c>
      <c r="N430" s="647">
        <f t="shared" si="3"/>
        <v>0</v>
      </c>
      <c r="O430" s="448">
        <f>IF(H430=0,0,(VLOOKUP(H430,'MTRL MSK (TPDP)'!$H$9:$U637,5,0)))</f>
        <v>0</v>
      </c>
      <c r="P430" s="448">
        <f t="shared" si="4"/>
        <v>0</v>
      </c>
      <c r="Q430" s="448">
        <f t="shared" si="5"/>
        <v>0</v>
      </c>
      <c r="R430" s="648" t="str">
        <f>IFERROR(IF(S430="","",(VLOOKUP(S430,'1. BQ RAPL'!$D$14:$K637,8,0))),"")</f>
        <v/>
      </c>
      <c r="S430" s="649"/>
      <c r="T430" s="650"/>
      <c r="U430" s="16"/>
      <c r="V430" s="16"/>
      <c r="W430" s="16"/>
      <c r="X430" s="119"/>
      <c r="Y430" s="119"/>
      <c r="Z430" s="119"/>
      <c r="AA430" s="119"/>
      <c r="AB430" s="119"/>
      <c r="AC430" s="119"/>
      <c r="AD430" s="119"/>
      <c r="AE430" s="119"/>
      <c r="AF430" s="119"/>
    </row>
    <row r="431" ht="18.75" customHeight="1">
      <c r="A431" s="119"/>
      <c r="B431" s="652"/>
      <c r="C431" s="642">
        <f>IF(F431=0,0,(VLOOKUP(F431,'MTRL MSK (TPDP)'!$F$9:$W637,18,0)))</f>
        <v>0</v>
      </c>
      <c r="D431" s="642">
        <f>IF(C431=0,0,(VLOOKUP(C431,'MTRL MSK (TPDP)'!$B$9:$W637,3,0)))</f>
        <v>0</v>
      </c>
      <c r="E431" s="643" t="str">
        <f>iferror(IF(C431="","",(VLOOKUP(C431,'MTRL MSK (TPDP)'!$B$9:$W637,4,0))),"")</f>
        <v/>
      </c>
      <c r="F431" s="644">
        <f>IF(H431=0,0,(VLOOKUP(H431,'MTRL MSK (TPDP)'!$H$9:$X637,17,0)))</f>
        <v>0</v>
      </c>
      <c r="G431" s="645"/>
      <c r="H431" s="646"/>
      <c r="I431" s="446">
        <f>IF(H431=0,0,(VLOOKUP(H431,'MTRL MSK (TPDP)'!$H$9:$U637,2,0)))</f>
        <v>0</v>
      </c>
      <c r="J431" s="448" t="str">
        <f>IFERROR((IF(H431=0,0,(VLOOKUP(H431,'MTRL MSK (TPDP)'!$H$8:$U637,7,0))))/(IF(H431=0,0,(VLOOKUP(H431,'MTRL MSK (TPDP)'!$H$8:$U637,5,0)))),"")</f>
        <v/>
      </c>
      <c r="K431" s="559"/>
      <c r="L431" s="448">
        <f t="shared" si="1"/>
        <v>0</v>
      </c>
      <c r="M431" s="647">
        <f t="shared" si="2"/>
        <v>0</v>
      </c>
      <c r="N431" s="647">
        <f t="shared" si="3"/>
        <v>0</v>
      </c>
      <c r="O431" s="448">
        <f>IF(H431=0,0,(VLOOKUP(H431,'MTRL MSK (TPDP)'!$H$9:$U637,5,0)))</f>
        <v>0</v>
      </c>
      <c r="P431" s="448">
        <f t="shared" si="4"/>
        <v>0</v>
      </c>
      <c r="Q431" s="448">
        <f t="shared" si="5"/>
        <v>0</v>
      </c>
      <c r="R431" s="648" t="str">
        <f>IFERROR(IF(S431="","",(VLOOKUP(S431,'1. BQ RAPL'!$D$14:$K637,8,0))),"")</f>
        <v/>
      </c>
      <c r="S431" s="649"/>
      <c r="T431" s="650"/>
      <c r="U431" s="16"/>
      <c r="V431" s="16"/>
      <c r="W431" s="16"/>
      <c r="X431" s="119"/>
      <c r="Y431" s="119"/>
      <c r="Z431" s="119"/>
      <c r="AA431" s="119"/>
      <c r="AB431" s="119"/>
      <c r="AC431" s="119"/>
      <c r="AD431" s="119"/>
      <c r="AE431" s="119"/>
      <c r="AF431" s="119"/>
    </row>
    <row r="432" ht="18.75" customHeight="1">
      <c r="A432" s="119"/>
      <c r="B432" s="652"/>
      <c r="C432" s="642">
        <f>IF(F432=0,0,(VLOOKUP(F432,'MTRL MSK (TPDP)'!$F$9:$W637,18,0)))</f>
        <v>0</v>
      </c>
      <c r="D432" s="642">
        <f>IF(C432=0,0,(VLOOKUP(C432,'MTRL MSK (TPDP)'!$B$9:$W637,3,0)))</f>
        <v>0</v>
      </c>
      <c r="E432" s="643" t="str">
        <f>iferror(IF(C432="","",(VLOOKUP(C432,'MTRL MSK (TPDP)'!$B$9:$W637,4,0))),"")</f>
        <v/>
      </c>
      <c r="F432" s="644">
        <f>IF(H432=0,0,(VLOOKUP(H432,'MTRL MSK (TPDP)'!$H$9:$X637,17,0)))</f>
        <v>0</v>
      </c>
      <c r="G432" s="645"/>
      <c r="H432" s="646"/>
      <c r="I432" s="446">
        <f>IF(H432=0,0,(VLOOKUP(H432,'MTRL MSK (TPDP)'!$H$9:$U637,2,0)))</f>
        <v>0</v>
      </c>
      <c r="J432" s="448" t="str">
        <f>IFERROR((IF(H432=0,0,(VLOOKUP(H432,'MTRL MSK (TPDP)'!$H$8:$U637,7,0))))/(IF(H432=0,0,(VLOOKUP(H432,'MTRL MSK (TPDP)'!$H$8:$U637,5,0)))),"")</f>
        <v/>
      </c>
      <c r="K432" s="559"/>
      <c r="L432" s="448">
        <f t="shared" si="1"/>
        <v>0</v>
      </c>
      <c r="M432" s="647">
        <f t="shared" si="2"/>
        <v>0</v>
      </c>
      <c r="N432" s="647">
        <f t="shared" si="3"/>
        <v>0</v>
      </c>
      <c r="O432" s="448">
        <f>IF(H432=0,0,(VLOOKUP(H432,'MTRL MSK (TPDP)'!$H$9:$U637,5,0)))</f>
        <v>0</v>
      </c>
      <c r="P432" s="448">
        <f t="shared" si="4"/>
        <v>0</v>
      </c>
      <c r="Q432" s="448">
        <f t="shared" si="5"/>
        <v>0</v>
      </c>
      <c r="R432" s="648" t="str">
        <f>IFERROR(IF(S432="","",(VLOOKUP(S432,'1. BQ RAPL'!$D$14:$K637,8,0))),"")</f>
        <v/>
      </c>
      <c r="S432" s="649"/>
      <c r="T432" s="650"/>
      <c r="U432" s="16"/>
      <c r="V432" s="16"/>
      <c r="W432" s="16"/>
      <c r="X432" s="119"/>
      <c r="Y432" s="119"/>
      <c r="Z432" s="119"/>
      <c r="AA432" s="119"/>
      <c r="AB432" s="119"/>
      <c r="AC432" s="119"/>
      <c r="AD432" s="119"/>
      <c r="AE432" s="119"/>
      <c r="AF432" s="119"/>
    </row>
    <row r="433" ht="18.75" customHeight="1">
      <c r="A433" s="119"/>
      <c r="B433" s="652"/>
      <c r="C433" s="642">
        <f>IF(F433=0,0,(VLOOKUP(F433,'MTRL MSK (TPDP)'!$F$9:$W637,18,0)))</f>
        <v>0</v>
      </c>
      <c r="D433" s="642">
        <f>IF(C433=0,0,(VLOOKUP(C433,'MTRL MSK (TPDP)'!$B$9:$W637,3,0)))</f>
        <v>0</v>
      </c>
      <c r="E433" s="643" t="str">
        <f>iferror(IF(C433="","",(VLOOKUP(C433,'MTRL MSK (TPDP)'!$B$9:$W637,4,0))),"")</f>
        <v/>
      </c>
      <c r="F433" s="644">
        <f>IF(H433=0,0,(VLOOKUP(H433,'MTRL MSK (TPDP)'!$H$9:$X637,17,0)))</f>
        <v>0</v>
      </c>
      <c r="G433" s="645"/>
      <c r="H433" s="646"/>
      <c r="I433" s="446">
        <f>IF(H433=0,0,(VLOOKUP(H433,'MTRL MSK (TPDP)'!$H$9:$U637,2,0)))</f>
        <v>0</v>
      </c>
      <c r="J433" s="448" t="str">
        <f>IFERROR((IF(H433=0,0,(VLOOKUP(H433,'MTRL MSK (TPDP)'!$H$8:$U637,7,0))))/(IF(H433=0,0,(VLOOKUP(H433,'MTRL MSK (TPDP)'!$H$8:$U637,5,0)))),"")</f>
        <v/>
      </c>
      <c r="K433" s="559"/>
      <c r="L433" s="448">
        <f t="shared" si="1"/>
        <v>0</v>
      </c>
      <c r="M433" s="647">
        <f t="shared" si="2"/>
        <v>0</v>
      </c>
      <c r="N433" s="647">
        <f t="shared" si="3"/>
        <v>0</v>
      </c>
      <c r="O433" s="448">
        <f>IF(H433=0,0,(VLOOKUP(H433,'MTRL MSK (TPDP)'!$H$9:$U637,5,0)))</f>
        <v>0</v>
      </c>
      <c r="P433" s="448">
        <f t="shared" si="4"/>
        <v>0</v>
      </c>
      <c r="Q433" s="448">
        <f t="shared" si="5"/>
        <v>0</v>
      </c>
      <c r="R433" s="648" t="str">
        <f>IFERROR(IF(S433="","",(VLOOKUP(S433,'1. BQ RAPL'!$D$14:$K637,8,0))),"")</f>
        <v/>
      </c>
      <c r="S433" s="649"/>
      <c r="T433" s="650"/>
      <c r="U433" s="16"/>
      <c r="V433" s="16"/>
      <c r="W433" s="16"/>
      <c r="X433" s="119"/>
      <c r="Y433" s="119"/>
      <c r="Z433" s="119"/>
      <c r="AA433" s="119"/>
      <c r="AB433" s="119"/>
      <c r="AC433" s="119"/>
      <c r="AD433" s="119"/>
      <c r="AE433" s="119"/>
      <c r="AF433" s="119"/>
    </row>
    <row r="434" ht="18.75" customHeight="1">
      <c r="A434" s="119"/>
      <c r="B434" s="652"/>
      <c r="C434" s="642">
        <f>IF(F434=0,0,(VLOOKUP(F434,'MTRL MSK (TPDP)'!$F$9:$W637,18,0)))</f>
        <v>0</v>
      </c>
      <c r="D434" s="642">
        <f>IF(C434=0,0,(VLOOKUP(C434,'MTRL MSK (TPDP)'!$B$9:$W637,3,0)))</f>
        <v>0</v>
      </c>
      <c r="E434" s="643" t="str">
        <f>iferror(IF(C434="","",(VLOOKUP(C434,'MTRL MSK (TPDP)'!$B$9:$W637,4,0))),"")</f>
        <v/>
      </c>
      <c r="F434" s="644">
        <f>IF(H434=0,0,(VLOOKUP(H434,'MTRL MSK (TPDP)'!$H$9:$X637,17,0)))</f>
        <v>0</v>
      </c>
      <c r="G434" s="645"/>
      <c r="H434" s="646"/>
      <c r="I434" s="446">
        <f>IF(H434=0,0,(VLOOKUP(H434,'MTRL MSK (TPDP)'!$H$9:$U637,2,0)))</f>
        <v>0</v>
      </c>
      <c r="J434" s="448" t="str">
        <f>IFERROR((IF(H434=0,0,(VLOOKUP(H434,'MTRL MSK (TPDP)'!$H$8:$U637,7,0))))/(IF(H434=0,0,(VLOOKUP(H434,'MTRL MSK (TPDP)'!$H$8:$U637,5,0)))),"")</f>
        <v/>
      </c>
      <c r="K434" s="559"/>
      <c r="L434" s="448">
        <f t="shared" si="1"/>
        <v>0</v>
      </c>
      <c r="M434" s="647">
        <f t="shared" si="2"/>
        <v>0</v>
      </c>
      <c r="N434" s="647">
        <f t="shared" si="3"/>
        <v>0</v>
      </c>
      <c r="O434" s="448">
        <f>IF(H434=0,0,(VLOOKUP(H434,'MTRL MSK (TPDP)'!$H$9:$U637,5,0)))</f>
        <v>0</v>
      </c>
      <c r="P434" s="448">
        <f t="shared" si="4"/>
        <v>0</v>
      </c>
      <c r="Q434" s="448">
        <f t="shared" si="5"/>
        <v>0</v>
      </c>
      <c r="R434" s="648" t="str">
        <f>IFERROR(IF(S434="","",(VLOOKUP(S434,'1. BQ RAPL'!$D$14:$K637,8,0))),"")</f>
        <v/>
      </c>
      <c r="S434" s="649"/>
      <c r="T434" s="650"/>
      <c r="U434" s="16"/>
      <c r="V434" s="16"/>
      <c r="W434" s="16"/>
      <c r="X434" s="119"/>
      <c r="Y434" s="119"/>
      <c r="Z434" s="119"/>
      <c r="AA434" s="119"/>
      <c r="AB434" s="119"/>
      <c r="AC434" s="119"/>
      <c r="AD434" s="119"/>
      <c r="AE434" s="119"/>
      <c r="AF434" s="119"/>
    </row>
    <row r="435" ht="18.75" customHeight="1">
      <c r="A435" s="119"/>
      <c r="B435" s="652"/>
      <c r="C435" s="642">
        <f>IF(F435=0,0,(VLOOKUP(F435,'MTRL MSK (TPDP)'!$F$9:$W637,18,0)))</f>
        <v>0</v>
      </c>
      <c r="D435" s="642">
        <f>IF(C435=0,0,(VLOOKUP(C435,'MTRL MSK (TPDP)'!$B$9:$W637,3,0)))</f>
        <v>0</v>
      </c>
      <c r="E435" s="643" t="str">
        <f>iferror(IF(C435="","",(VLOOKUP(C435,'MTRL MSK (TPDP)'!$B$9:$W637,4,0))),"")</f>
        <v/>
      </c>
      <c r="F435" s="644">
        <f>IF(H435=0,0,(VLOOKUP(H435,'MTRL MSK (TPDP)'!$H$9:$X637,17,0)))</f>
        <v>0</v>
      </c>
      <c r="G435" s="645"/>
      <c r="H435" s="646"/>
      <c r="I435" s="446">
        <f>IF(H435=0,0,(VLOOKUP(H435,'MTRL MSK (TPDP)'!$H$9:$U637,2,0)))</f>
        <v>0</v>
      </c>
      <c r="J435" s="448" t="str">
        <f>IFERROR((IF(H435=0,0,(VLOOKUP(H435,'MTRL MSK (TPDP)'!$H$8:$U637,7,0))))/(IF(H435=0,0,(VLOOKUP(H435,'MTRL MSK (TPDP)'!$H$8:$U637,5,0)))),"")</f>
        <v/>
      </c>
      <c r="K435" s="559"/>
      <c r="L435" s="448">
        <f t="shared" si="1"/>
        <v>0</v>
      </c>
      <c r="M435" s="647">
        <f t="shared" si="2"/>
        <v>0</v>
      </c>
      <c r="N435" s="647">
        <f t="shared" si="3"/>
        <v>0</v>
      </c>
      <c r="O435" s="448">
        <f>IF(H435=0,0,(VLOOKUP(H435,'MTRL MSK (TPDP)'!$H$9:$U637,5,0)))</f>
        <v>0</v>
      </c>
      <c r="P435" s="448">
        <f t="shared" si="4"/>
        <v>0</v>
      </c>
      <c r="Q435" s="448">
        <f t="shared" si="5"/>
        <v>0</v>
      </c>
      <c r="R435" s="648" t="str">
        <f>IFERROR(IF(S435="","",(VLOOKUP(S435,'1. BQ RAPL'!$D$14:$K637,8,0))),"")</f>
        <v/>
      </c>
      <c r="S435" s="649"/>
      <c r="T435" s="650"/>
      <c r="U435" s="16"/>
      <c r="V435" s="16"/>
      <c r="W435" s="16"/>
      <c r="X435" s="119"/>
      <c r="Y435" s="119"/>
      <c r="Z435" s="119"/>
      <c r="AA435" s="119"/>
      <c r="AB435" s="119"/>
      <c r="AC435" s="119"/>
      <c r="AD435" s="119"/>
      <c r="AE435" s="119"/>
      <c r="AF435" s="119"/>
    </row>
    <row r="436" ht="18.75" customHeight="1">
      <c r="A436" s="119"/>
      <c r="B436" s="652"/>
      <c r="C436" s="642">
        <f>IF(F436=0,0,(VLOOKUP(F436,'MTRL MSK (TPDP)'!$F$9:$W637,18,0)))</f>
        <v>0</v>
      </c>
      <c r="D436" s="642">
        <f>IF(C436=0,0,(VLOOKUP(C436,'MTRL MSK (TPDP)'!$B$9:$W637,3,0)))</f>
        <v>0</v>
      </c>
      <c r="E436" s="643" t="str">
        <f>iferror(IF(C436="","",(VLOOKUP(C436,'MTRL MSK (TPDP)'!$B$9:$W637,4,0))),"")</f>
        <v/>
      </c>
      <c r="F436" s="644">
        <f>IF(H436=0,0,(VLOOKUP(H436,'MTRL MSK (TPDP)'!$H$9:$X637,17,0)))</f>
        <v>0</v>
      </c>
      <c r="G436" s="645"/>
      <c r="H436" s="646"/>
      <c r="I436" s="446">
        <f>IF(H436=0,0,(VLOOKUP(H436,'MTRL MSK (TPDP)'!$H$9:$U637,2,0)))</f>
        <v>0</v>
      </c>
      <c r="J436" s="448" t="str">
        <f>IFERROR((IF(H436=0,0,(VLOOKUP(H436,'MTRL MSK (TPDP)'!$H$8:$U637,7,0))))/(IF(H436=0,0,(VLOOKUP(H436,'MTRL MSK (TPDP)'!$H$8:$U637,5,0)))),"")</f>
        <v/>
      </c>
      <c r="K436" s="559"/>
      <c r="L436" s="448">
        <f t="shared" si="1"/>
        <v>0</v>
      </c>
      <c r="M436" s="647">
        <f t="shared" si="2"/>
        <v>0</v>
      </c>
      <c r="N436" s="647">
        <f t="shared" si="3"/>
        <v>0</v>
      </c>
      <c r="O436" s="448">
        <f>IF(H436=0,0,(VLOOKUP(H436,'MTRL MSK (TPDP)'!$H$9:$U637,5,0)))</f>
        <v>0</v>
      </c>
      <c r="P436" s="448">
        <f t="shared" si="4"/>
        <v>0</v>
      </c>
      <c r="Q436" s="448">
        <f t="shared" si="5"/>
        <v>0</v>
      </c>
      <c r="R436" s="648" t="str">
        <f>IFERROR(IF(S436="","",(VLOOKUP(S436,'1. BQ RAPL'!$D$14:$K637,8,0))),"")</f>
        <v/>
      </c>
      <c r="S436" s="649"/>
      <c r="T436" s="650"/>
      <c r="U436" s="16"/>
      <c r="V436" s="16"/>
      <c r="W436" s="16"/>
      <c r="X436" s="119"/>
      <c r="Y436" s="119"/>
      <c r="Z436" s="119"/>
      <c r="AA436" s="119"/>
      <c r="AB436" s="119"/>
      <c r="AC436" s="119"/>
      <c r="AD436" s="119"/>
      <c r="AE436" s="119"/>
      <c r="AF436" s="119"/>
    </row>
    <row r="437" ht="18.75" customHeight="1">
      <c r="A437" s="119"/>
      <c r="B437" s="652"/>
      <c r="C437" s="642">
        <f>IF(F437=0,0,(VLOOKUP(F437,'MTRL MSK (TPDP)'!$F$9:$W637,18,0)))</f>
        <v>0</v>
      </c>
      <c r="D437" s="642">
        <f>IF(C437=0,0,(VLOOKUP(C437,'MTRL MSK (TPDP)'!$B$9:$W637,3,0)))</f>
        <v>0</v>
      </c>
      <c r="E437" s="643" t="str">
        <f>iferror(IF(C437="","",(VLOOKUP(C437,'MTRL MSK (TPDP)'!$B$9:$W637,4,0))),"")</f>
        <v/>
      </c>
      <c r="F437" s="644">
        <f>IF(H437=0,0,(VLOOKUP(H437,'MTRL MSK (TPDP)'!$H$9:$X637,17,0)))</f>
        <v>0</v>
      </c>
      <c r="G437" s="645"/>
      <c r="H437" s="646"/>
      <c r="I437" s="446">
        <f>IF(H437=0,0,(VLOOKUP(H437,'MTRL MSK (TPDP)'!$H$9:$U637,2,0)))</f>
        <v>0</v>
      </c>
      <c r="J437" s="448" t="str">
        <f>IFERROR((IF(H437=0,0,(VLOOKUP(H437,'MTRL MSK (TPDP)'!$H$8:$U637,7,0))))/(IF(H437=0,0,(VLOOKUP(H437,'MTRL MSK (TPDP)'!$H$8:$U637,5,0)))),"")</f>
        <v/>
      </c>
      <c r="K437" s="559"/>
      <c r="L437" s="448">
        <f t="shared" si="1"/>
        <v>0</v>
      </c>
      <c r="M437" s="647">
        <f t="shared" si="2"/>
        <v>0</v>
      </c>
      <c r="N437" s="647">
        <f t="shared" si="3"/>
        <v>0</v>
      </c>
      <c r="O437" s="448">
        <f>IF(H437=0,0,(VLOOKUP(H437,'MTRL MSK (TPDP)'!$H$9:$U637,5,0)))</f>
        <v>0</v>
      </c>
      <c r="P437" s="448">
        <f t="shared" si="4"/>
        <v>0</v>
      </c>
      <c r="Q437" s="448">
        <f t="shared" si="5"/>
        <v>0</v>
      </c>
      <c r="R437" s="648" t="str">
        <f>IFERROR(IF(S437="","",(VLOOKUP(S437,'1. BQ RAPL'!$D$14:$K637,8,0))),"")</f>
        <v/>
      </c>
      <c r="S437" s="649"/>
      <c r="T437" s="650"/>
      <c r="U437" s="16"/>
      <c r="V437" s="16"/>
      <c r="W437" s="16"/>
      <c r="X437" s="119"/>
      <c r="Y437" s="119"/>
      <c r="Z437" s="119"/>
      <c r="AA437" s="119"/>
      <c r="AB437" s="119"/>
      <c r="AC437" s="119"/>
      <c r="AD437" s="119"/>
      <c r="AE437" s="119"/>
      <c r="AF437" s="119"/>
    </row>
    <row r="438" ht="18.75" customHeight="1">
      <c r="A438" s="119"/>
      <c r="B438" s="652"/>
      <c r="C438" s="642">
        <f>IF(F438=0,0,(VLOOKUP(F438,'MTRL MSK (TPDP)'!$F$9:$W637,18,0)))</f>
        <v>0</v>
      </c>
      <c r="D438" s="642">
        <f>IF(C438=0,0,(VLOOKUP(C438,'MTRL MSK (TPDP)'!$B$9:$W637,3,0)))</f>
        <v>0</v>
      </c>
      <c r="E438" s="643" t="str">
        <f>iferror(IF(C438="","",(VLOOKUP(C438,'MTRL MSK (TPDP)'!$B$9:$W637,4,0))),"")</f>
        <v/>
      </c>
      <c r="F438" s="644">
        <f>IF(H438=0,0,(VLOOKUP(H438,'MTRL MSK (TPDP)'!$H$9:$X637,17,0)))</f>
        <v>0</v>
      </c>
      <c r="G438" s="645"/>
      <c r="H438" s="646"/>
      <c r="I438" s="446">
        <f>IF(H438=0,0,(VLOOKUP(H438,'MTRL MSK (TPDP)'!$H$9:$U637,2,0)))</f>
        <v>0</v>
      </c>
      <c r="J438" s="448" t="str">
        <f>IFERROR((IF(H438=0,0,(VLOOKUP(H438,'MTRL MSK (TPDP)'!$H$8:$U637,7,0))))/(IF(H438=0,0,(VLOOKUP(H438,'MTRL MSK (TPDP)'!$H$8:$U637,5,0)))),"")</f>
        <v/>
      </c>
      <c r="K438" s="559"/>
      <c r="L438" s="448">
        <f t="shared" si="1"/>
        <v>0</v>
      </c>
      <c r="M438" s="647">
        <f t="shared" si="2"/>
        <v>0</v>
      </c>
      <c r="N438" s="647">
        <f t="shared" si="3"/>
        <v>0</v>
      </c>
      <c r="O438" s="448">
        <f>IF(H438=0,0,(VLOOKUP(H438,'MTRL MSK (TPDP)'!$H$9:$U637,5,0)))</f>
        <v>0</v>
      </c>
      <c r="P438" s="448">
        <f t="shared" si="4"/>
        <v>0</v>
      </c>
      <c r="Q438" s="448">
        <f t="shared" si="5"/>
        <v>0</v>
      </c>
      <c r="R438" s="648" t="str">
        <f>IFERROR(IF(S438="","",(VLOOKUP(S438,'1. BQ RAPL'!$D$14:$K637,8,0))),"")</f>
        <v/>
      </c>
      <c r="S438" s="649"/>
      <c r="T438" s="650"/>
      <c r="U438" s="16"/>
      <c r="V438" s="16"/>
      <c r="W438" s="16"/>
      <c r="X438" s="119"/>
      <c r="Y438" s="119"/>
      <c r="Z438" s="119"/>
      <c r="AA438" s="119"/>
      <c r="AB438" s="119"/>
      <c r="AC438" s="119"/>
      <c r="AD438" s="119"/>
      <c r="AE438" s="119"/>
      <c r="AF438" s="119"/>
    </row>
    <row r="439" ht="18.75" customHeight="1">
      <c r="A439" s="119"/>
      <c r="B439" s="652"/>
      <c r="C439" s="642">
        <f>IF(F439=0,0,(VLOOKUP(F439,'MTRL MSK (TPDP)'!$F$9:$W637,18,0)))</f>
        <v>0</v>
      </c>
      <c r="D439" s="642">
        <f>IF(C439=0,0,(VLOOKUP(C439,'MTRL MSK (TPDP)'!$B$9:$W637,3,0)))</f>
        <v>0</v>
      </c>
      <c r="E439" s="643" t="str">
        <f>iferror(IF(C439="","",(VLOOKUP(C439,'MTRL MSK (TPDP)'!$B$9:$W637,4,0))),"")</f>
        <v/>
      </c>
      <c r="F439" s="644">
        <f>IF(H439=0,0,(VLOOKUP(H439,'MTRL MSK (TPDP)'!$H$9:$X637,17,0)))</f>
        <v>0</v>
      </c>
      <c r="G439" s="645"/>
      <c r="H439" s="646"/>
      <c r="I439" s="446">
        <f>IF(H439=0,0,(VLOOKUP(H439,'MTRL MSK (TPDP)'!$H$9:$U637,2,0)))</f>
        <v>0</v>
      </c>
      <c r="J439" s="448" t="str">
        <f>IFERROR((IF(H439=0,0,(VLOOKUP(H439,'MTRL MSK (TPDP)'!$H$8:$U637,7,0))))/(IF(H439=0,0,(VLOOKUP(H439,'MTRL MSK (TPDP)'!$H$8:$U637,5,0)))),"")</f>
        <v/>
      </c>
      <c r="K439" s="559"/>
      <c r="L439" s="448">
        <f t="shared" si="1"/>
        <v>0</v>
      </c>
      <c r="M439" s="647">
        <f t="shared" si="2"/>
        <v>0</v>
      </c>
      <c r="N439" s="647">
        <f t="shared" si="3"/>
        <v>0</v>
      </c>
      <c r="O439" s="448">
        <f>IF(H439=0,0,(VLOOKUP(H439,'MTRL MSK (TPDP)'!$H$9:$U637,5,0)))</f>
        <v>0</v>
      </c>
      <c r="P439" s="448">
        <f t="shared" si="4"/>
        <v>0</v>
      </c>
      <c r="Q439" s="448">
        <f t="shared" si="5"/>
        <v>0</v>
      </c>
      <c r="R439" s="648" t="str">
        <f>IFERROR(IF(S439="","",(VLOOKUP(S439,'1. BQ RAPL'!$D$14:$K637,8,0))),"")</f>
        <v/>
      </c>
      <c r="S439" s="649"/>
      <c r="T439" s="650"/>
      <c r="U439" s="16"/>
      <c r="V439" s="16"/>
      <c r="W439" s="16"/>
      <c r="X439" s="119"/>
      <c r="Y439" s="119"/>
      <c r="Z439" s="119"/>
      <c r="AA439" s="119"/>
      <c r="AB439" s="119"/>
      <c r="AC439" s="119"/>
      <c r="AD439" s="119"/>
      <c r="AE439" s="119"/>
      <c r="AF439" s="119"/>
    </row>
    <row r="440" ht="18.75" customHeight="1">
      <c r="A440" s="119"/>
      <c r="B440" s="652"/>
      <c r="C440" s="642">
        <f>IF(F440=0,0,(VLOOKUP(F440,'MTRL MSK (TPDP)'!$F$9:$W637,18,0)))</f>
        <v>0</v>
      </c>
      <c r="D440" s="642">
        <f>IF(C440=0,0,(VLOOKUP(C440,'MTRL MSK (TPDP)'!$B$9:$W637,3,0)))</f>
        <v>0</v>
      </c>
      <c r="E440" s="643" t="str">
        <f>iferror(IF(C440="","",(VLOOKUP(C440,'MTRL MSK (TPDP)'!$B$9:$W637,4,0))),"")</f>
        <v/>
      </c>
      <c r="F440" s="644">
        <f>IF(H440=0,0,(VLOOKUP(H440,'MTRL MSK (TPDP)'!$H$9:$X637,17,0)))</f>
        <v>0</v>
      </c>
      <c r="G440" s="645"/>
      <c r="H440" s="646"/>
      <c r="I440" s="446">
        <f>IF(H440=0,0,(VLOOKUP(H440,'MTRL MSK (TPDP)'!$H$9:$U637,2,0)))</f>
        <v>0</v>
      </c>
      <c r="J440" s="448" t="str">
        <f>IFERROR((IF(H440=0,0,(VLOOKUP(H440,'MTRL MSK (TPDP)'!$H$8:$U637,7,0))))/(IF(H440=0,0,(VLOOKUP(H440,'MTRL MSK (TPDP)'!$H$8:$U637,5,0)))),"")</f>
        <v/>
      </c>
      <c r="K440" s="559"/>
      <c r="L440" s="448">
        <f t="shared" si="1"/>
        <v>0</v>
      </c>
      <c r="M440" s="647">
        <f t="shared" si="2"/>
        <v>0</v>
      </c>
      <c r="N440" s="647">
        <f t="shared" si="3"/>
        <v>0</v>
      </c>
      <c r="O440" s="448">
        <f>IF(H440=0,0,(VLOOKUP(H440,'MTRL MSK (TPDP)'!$H$9:$U637,5,0)))</f>
        <v>0</v>
      </c>
      <c r="P440" s="448">
        <f t="shared" si="4"/>
        <v>0</v>
      </c>
      <c r="Q440" s="448">
        <f t="shared" si="5"/>
        <v>0</v>
      </c>
      <c r="R440" s="648" t="str">
        <f>IFERROR(IF(S440="","",(VLOOKUP(S440,'1. BQ RAPL'!$D$14:$K637,8,0))),"")</f>
        <v/>
      </c>
      <c r="S440" s="649"/>
      <c r="T440" s="650"/>
      <c r="U440" s="16"/>
      <c r="V440" s="16"/>
      <c r="W440" s="16"/>
      <c r="X440" s="119"/>
      <c r="Y440" s="119"/>
      <c r="Z440" s="119"/>
      <c r="AA440" s="119"/>
      <c r="AB440" s="119"/>
      <c r="AC440" s="119"/>
      <c r="AD440" s="119"/>
      <c r="AE440" s="119"/>
      <c r="AF440" s="119"/>
    </row>
    <row r="441" ht="18.75" customHeight="1">
      <c r="A441" s="119"/>
      <c r="B441" s="652"/>
      <c r="C441" s="642">
        <f>IF(F441=0,0,(VLOOKUP(F441,'MTRL MSK (TPDP)'!$F$9:$W637,18,0)))</f>
        <v>0</v>
      </c>
      <c r="D441" s="642">
        <f>IF(C441=0,0,(VLOOKUP(C441,'MTRL MSK (TPDP)'!$B$9:$W637,3,0)))</f>
        <v>0</v>
      </c>
      <c r="E441" s="643" t="str">
        <f>iferror(IF(C441="","",(VLOOKUP(C441,'MTRL MSK (TPDP)'!$B$9:$W637,4,0))),"")</f>
        <v/>
      </c>
      <c r="F441" s="644">
        <f>IF(H441=0,0,(VLOOKUP(H441,'MTRL MSK (TPDP)'!$H$9:$X637,17,0)))</f>
        <v>0</v>
      </c>
      <c r="G441" s="645"/>
      <c r="H441" s="646"/>
      <c r="I441" s="446">
        <f>IF(H441=0,0,(VLOOKUP(H441,'MTRL MSK (TPDP)'!$H$9:$U637,2,0)))</f>
        <v>0</v>
      </c>
      <c r="J441" s="448" t="str">
        <f>IFERROR((IF(H441=0,0,(VLOOKUP(H441,'MTRL MSK (TPDP)'!$H$8:$U637,7,0))))/(IF(H441=0,0,(VLOOKUP(H441,'MTRL MSK (TPDP)'!$H$8:$U637,5,0)))),"")</f>
        <v/>
      </c>
      <c r="K441" s="559"/>
      <c r="L441" s="448">
        <f t="shared" si="1"/>
        <v>0</v>
      </c>
      <c r="M441" s="647">
        <f t="shared" si="2"/>
        <v>0</v>
      </c>
      <c r="N441" s="647">
        <f t="shared" si="3"/>
        <v>0</v>
      </c>
      <c r="O441" s="448">
        <f>IF(H441=0,0,(VLOOKUP(H441,'MTRL MSK (TPDP)'!$H$9:$U637,5,0)))</f>
        <v>0</v>
      </c>
      <c r="P441" s="448">
        <f t="shared" si="4"/>
        <v>0</v>
      </c>
      <c r="Q441" s="448">
        <f t="shared" si="5"/>
        <v>0</v>
      </c>
      <c r="R441" s="648" t="str">
        <f>IFERROR(IF(S441="","",(VLOOKUP(S441,'1. BQ RAPL'!$D$14:$K637,8,0))),"")</f>
        <v/>
      </c>
      <c r="S441" s="649"/>
      <c r="T441" s="650"/>
      <c r="U441" s="16"/>
      <c r="V441" s="16"/>
      <c r="W441" s="16"/>
      <c r="X441" s="119"/>
      <c r="Y441" s="119"/>
      <c r="Z441" s="119"/>
      <c r="AA441" s="119"/>
      <c r="AB441" s="119"/>
      <c r="AC441" s="119"/>
      <c r="AD441" s="119"/>
      <c r="AE441" s="119"/>
      <c r="AF441" s="119"/>
    </row>
    <row r="442" ht="18.75" customHeight="1">
      <c r="A442" s="119"/>
      <c r="B442" s="652"/>
      <c r="C442" s="642">
        <f>IF(F442=0,0,(VLOOKUP(F442,'MTRL MSK (TPDP)'!$F$9:$W637,18,0)))</f>
        <v>0</v>
      </c>
      <c r="D442" s="642">
        <f>IF(C442=0,0,(VLOOKUP(C442,'MTRL MSK (TPDP)'!$B$9:$W637,3,0)))</f>
        <v>0</v>
      </c>
      <c r="E442" s="643" t="str">
        <f>iferror(IF(C442="","",(VLOOKUP(C442,'MTRL MSK (TPDP)'!$B$9:$W637,4,0))),"")</f>
        <v/>
      </c>
      <c r="F442" s="644">
        <f>IF(H442=0,0,(VLOOKUP(H442,'MTRL MSK (TPDP)'!$H$9:$X637,17,0)))</f>
        <v>0</v>
      </c>
      <c r="G442" s="645"/>
      <c r="H442" s="646"/>
      <c r="I442" s="446">
        <f>IF(H442=0,0,(VLOOKUP(H442,'MTRL MSK (TPDP)'!$H$9:$U637,2,0)))</f>
        <v>0</v>
      </c>
      <c r="J442" s="448" t="str">
        <f>IFERROR((IF(H442=0,0,(VLOOKUP(H442,'MTRL MSK (TPDP)'!$H$8:$U637,7,0))))/(IF(H442=0,0,(VLOOKUP(H442,'MTRL MSK (TPDP)'!$H$8:$U637,5,0)))),"")</f>
        <v/>
      </c>
      <c r="K442" s="559"/>
      <c r="L442" s="448">
        <f t="shared" si="1"/>
        <v>0</v>
      </c>
      <c r="M442" s="647">
        <f t="shared" si="2"/>
        <v>0</v>
      </c>
      <c r="N442" s="647">
        <f t="shared" si="3"/>
        <v>0</v>
      </c>
      <c r="O442" s="448">
        <f>IF(H442=0,0,(VLOOKUP(H442,'MTRL MSK (TPDP)'!$H$9:$U637,5,0)))</f>
        <v>0</v>
      </c>
      <c r="P442" s="448">
        <f t="shared" si="4"/>
        <v>0</v>
      </c>
      <c r="Q442" s="448">
        <f t="shared" si="5"/>
        <v>0</v>
      </c>
      <c r="R442" s="648" t="str">
        <f>IFERROR(IF(S442="","",(VLOOKUP(S442,'1. BQ RAPL'!$D$14:$K637,8,0))),"")</f>
        <v/>
      </c>
      <c r="S442" s="649"/>
      <c r="T442" s="650"/>
      <c r="U442" s="16"/>
      <c r="V442" s="16"/>
      <c r="W442" s="16"/>
      <c r="X442" s="119"/>
      <c r="Y442" s="119"/>
      <c r="Z442" s="119"/>
      <c r="AA442" s="119"/>
      <c r="AB442" s="119"/>
      <c r="AC442" s="119"/>
      <c r="AD442" s="119"/>
      <c r="AE442" s="119"/>
      <c r="AF442" s="119"/>
    </row>
    <row r="443" ht="18.75" customHeight="1">
      <c r="A443" s="119"/>
      <c r="B443" s="652"/>
      <c r="C443" s="642">
        <f>IF(F443=0,0,(VLOOKUP(F443,'MTRL MSK (TPDP)'!$F$9:$W637,18,0)))</f>
        <v>0</v>
      </c>
      <c r="D443" s="642">
        <f>IF(C443=0,0,(VLOOKUP(C443,'MTRL MSK (TPDP)'!$B$9:$W637,3,0)))</f>
        <v>0</v>
      </c>
      <c r="E443" s="643" t="str">
        <f>iferror(IF(C443="","",(VLOOKUP(C443,'MTRL MSK (TPDP)'!$B$9:$W637,4,0))),"")</f>
        <v/>
      </c>
      <c r="F443" s="644">
        <f>IF(H443=0,0,(VLOOKUP(H443,'MTRL MSK (TPDP)'!$H$9:$X637,17,0)))</f>
        <v>0</v>
      </c>
      <c r="G443" s="645"/>
      <c r="H443" s="646"/>
      <c r="I443" s="446">
        <f>IF(H443=0,0,(VLOOKUP(H443,'MTRL MSK (TPDP)'!$H$9:$U637,2,0)))</f>
        <v>0</v>
      </c>
      <c r="J443" s="448" t="str">
        <f>IFERROR((IF(H443=0,0,(VLOOKUP(H443,'MTRL MSK (TPDP)'!$H$8:$U637,7,0))))/(IF(H443=0,0,(VLOOKUP(H443,'MTRL MSK (TPDP)'!$H$8:$U637,5,0)))),"")</f>
        <v/>
      </c>
      <c r="K443" s="559"/>
      <c r="L443" s="448">
        <f t="shared" si="1"/>
        <v>0</v>
      </c>
      <c r="M443" s="647">
        <f t="shared" si="2"/>
        <v>0</v>
      </c>
      <c r="N443" s="647">
        <f t="shared" si="3"/>
        <v>0</v>
      </c>
      <c r="O443" s="448">
        <f>IF(H443=0,0,(VLOOKUP(H443,'MTRL MSK (TPDP)'!$H$9:$U637,5,0)))</f>
        <v>0</v>
      </c>
      <c r="P443" s="448">
        <f t="shared" si="4"/>
        <v>0</v>
      </c>
      <c r="Q443" s="448">
        <f t="shared" si="5"/>
        <v>0</v>
      </c>
      <c r="R443" s="648" t="str">
        <f>IFERROR(IF(S443="","",(VLOOKUP(S443,'1. BQ RAPL'!$D$14:$K637,8,0))),"")</f>
        <v/>
      </c>
      <c r="S443" s="649"/>
      <c r="T443" s="650"/>
      <c r="U443" s="16"/>
      <c r="V443" s="16"/>
      <c r="W443" s="16"/>
      <c r="X443" s="119"/>
      <c r="Y443" s="119"/>
      <c r="Z443" s="119"/>
      <c r="AA443" s="119"/>
      <c r="AB443" s="119"/>
      <c r="AC443" s="119"/>
      <c r="AD443" s="119"/>
      <c r="AE443" s="119"/>
      <c r="AF443" s="119"/>
    </row>
    <row r="444" ht="18.75" customHeight="1">
      <c r="A444" s="119"/>
      <c r="B444" s="652"/>
      <c r="C444" s="642">
        <f>IF(F444=0,0,(VLOOKUP(F444,'MTRL MSK (TPDP)'!$F$9:$W637,18,0)))</f>
        <v>0</v>
      </c>
      <c r="D444" s="642">
        <f>IF(C444=0,0,(VLOOKUP(C444,'MTRL MSK (TPDP)'!$B$9:$W637,3,0)))</f>
        <v>0</v>
      </c>
      <c r="E444" s="643" t="str">
        <f>iferror(IF(C444="","",(VLOOKUP(C444,'MTRL MSK (TPDP)'!$B$9:$W637,4,0))),"")</f>
        <v/>
      </c>
      <c r="F444" s="644">
        <f>IF(H444=0,0,(VLOOKUP(H444,'MTRL MSK (TPDP)'!$H$9:$X637,17,0)))</f>
        <v>0</v>
      </c>
      <c r="G444" s="645"/>
      <c r="H444" s="646"/>
      <c r="I444" s="446">
        <f>IF(H444=0,0,(VLOOKUP(H444,'MTRL MSK (TPDP)'!$H$9:$U637,2,0)))</f>
        <v>0</v>
      </c>
      <c r="J444" s="448" t="str">
        <f>IFERROR((IF(H444=0,0,(VLOOKUP(H444,'MTRL MSK (TPDP)'!$H$8:$U637,7,0))))/(IF(H444=0,0,(VLOOKUP(H444,'MTRL MSK (TPDP)'!$H$8:$U637,5,0)))),"")</f>
        <v/>
      </c>
      <c r="K444" s="559"/>
      <c r="L444" s="448">
        <f t="shared" si="1"/>
        <v>0</v>
      </c>
      <c r="M444" s="647">
        <f t="shared" si="2"/>
        <v>0</v>
      </c>
      <c r="N444" s="647">
        <f t="shared" si="3"/>
        <v>0</v>
      </c>
      <c r="O444" s="448">
        <f>IF(H444=0,0,(VLOOKUP(H444,'MTRL MSK (TPDP)'!$H$9:$U637,5,0)))</f>
        <v>0</v>
      </c>
      <c r="P444" s="448">
        <f t="shared" si="4"/>
        <v>0</v>
      </c>
      <c r="Q444" s="448">
        <f t="shared" si="5"/>
        <v>0</v>
      </c>
      <c r="R444" s="648" t="str">
        <f>IFERROR(IF(S444="","",(VLOOKUP(S444,'1. BQ RAPL'!$D$14:$K637,8,0))),"")</f>
        <v/>
      </c>
      <c r="S444" s="649"/>
      <c r="T444" s="650"/>
      <c r="U444" s="16"/>
      <c r="V444" s="16"/>
      <c r="W444" s="16"/>
      <c r="X444" s="119"/>
      <c r="Y444" s="119"/>
      <c r="Z444" s="119"/>
      <c r="AA444" s="119"/>
      <c r="AB444" s="119"/>
      <c r="AC444" s="119"/>
      <c r="AD444" s="119"/>
      <c r="AE444" s="119"/>
      <c r="AF444" s="119"/>
    </row>
    <row r="445" ht="18.75" customHeight="1">
      <c r="A445" s="119"/>
      <c r="B445" s="652"/>
      <c r="C445" s="642">
        <f>IF(F445=0,0,(VLOOKUP(F445,'MTRL MSK (TPDP)'!$F$9:$W637,18,0)))</f>
        <v>0</v>
      </c>
      <c r="D445" s="642">
        <f>IF(C445=0,0,(VLOOKUP(C445,'MTRL MSK (TPDP)'!$B$9:$W637,3,0)))</f>
        <v>0</v>
      </c>
      <c r="E445" s="643" t="str">
        <f>iferror(IF(C445="","",(VLOOKUP(C445,'MTRL MSK (TPDP)'!$B$9:$W637,4,0))),"")</f>
        <v/>
      </c>
      <c r="F445" s="644">
        <f>IF(H445=0,0,(VLOOKUP(H445,'MTRL MSK (TPDP)'!$H$9:$X637,17,0)))</f>
        <v>0</v>
      </c>
      <c r="G445" s="645"/>
      <c r="H445" s="646"/>
      <c r="I445" s="446">
        <f>IF(H445=0,0,(VLOOKUP(H445,'MTRL MSK (TPDP)'!$H$9:$U637,2,0)))</f>
        <v>0</v>
      </c>
      <c r="J445" s="448" t="str">
        <f>IFERROR((IF(H445=0,0,(VLOOKUP(H445,'MTRL MSK (TPDP)'!$H$8:$U637,7,0))))/(IF(H445=0,0,(VLOOKUP(H445,'MTRL MSK (TPDP)'!$H$8:$U637,5,0)))),"")</f>
        <v/>
      </c>
      <c r="K445" s="559"/>
      <c r="L445" s="448">
        <f t="shared" si="1"/>
        <v>0</v>
      </c>
      <c r="M445" s="647">
        <f t="shared" si="2"/>
        <v>0</v>
      </c>
      <c r="N445" s="647">
        <f t="shared" si="3"/>
        <v>0</v>
      </c>
      <c r="O445" s="448">
        <f>IF(H445=0,0,(VLOOKUP(H445,'MTRL MSK (TPDP)'!$H$9:$U637,5,0)))</f>
        <v>0</v>
      </c>
      <c r="P445" s="448">
        <f t="shared" si="4"/>
        <v>0</v>
      </c>
      <c r="Q445" s="448">
        <f t="shared" si="5"/>
        <v>0</v>
      </c>
      <c r="R445" s="648" t="str">
        <f>IFERROR(IF(S445="","",(VLOOKUP(S445,'1. BQ RAPL'!$D$14:$K637,8,0))),"")</f>
        <v/>
      </c>
      <c r="S445" s="649"/>
      <c r="T445" s="650"/>
      <c r="U445" s="16"/>
      <c r="V445" s="16"/>
      <c r="W445" s="16"/>
      <c r="X445" s="119"/>
      <c r="Y445" s="119"/>
      <c r="Z445" s="119"/>
      <c r="AA445" s="119"/>
      <c r="AB445" s="119"/>
      <c r="AC445" s="119"/>
      <c r="AD445" s="119"/>
      <c r="AE445" s="119"/>
      <c r="AF445" s="119"/>
    </row>
    <row r="446" ht="18.75" customHeight="1">
      <c r="A446" s="119"/>
      <c r="B446" s="652"/>
      <c r="C446" s="642">
        <f>IF(F446=0,0,(VLOOKUP(F446,'MTRL MSK (TPDP)'!$F$9:$W637,18,0)))</f>
        <v>0</v>
      </c>
      <c r="D446" s="642">
        <f>IF(C446=0,0,(VLOOKUP(C446,'MTRL MSK (TPDP)'!$B$9:$W637,3,0)))</f>
        <v>0</v>
      </c>
      <c r="E446" s="643" t="str">
        <f>iferror(IF(C446="","",(VLOOKUP(C446,'MTRL MSK (TPDP)'!$B$9:$W637,4,0))),"")</f>
        <v/>
      </c>
      <c r="F446" s="644">
        <f>IF(H446=0,0,(VLOOKUP(H446,'MTRL MSK (TPDP)'!$H$9:$X637,17,0)))</f>
        <v>0</v>
      </c>
      <c r="G446" s="645"/>
      <c r="H446" s="646"/>
      <c r="I446" s="446">
        <f>IF(H446=0,0,(VLOOKUP(H446,'MTRL MSK (TPDP)'!$H$9:$U637,2,0)))</f>
        <v>0</v>
      </c>
      <c r="J446" s="448" t="str">
        <f>IFERROR((IF(H446=0,0,(VLOOKUP(H446,'MTRL MSK (TPDP)'!$H$8:$U637,7,0))))/(IF(H446=0,0,(VLOOKUP(H446,'MTRL MSK (TPDP)'!$H$8:$U637,5,0)))),"")</f>
        <v/>
      </c>
      <c r="K446" s="559"/>
      <c r="L446" s="448">
        <f t="shared" si="1"/>
        <v>0</v>
      </c>
      <c r="M446" s="647">
        <f t="shared" si="2"/>
        <v>0</v>
      </c>
      <c r="N446" s="647">
        <f t="shared" si="3"/>
        <v>0</v>
      </c>
      <c r="O446" s="448">
        <f>IF(H446=0,0,(VLOOKUP(H446,'MTRL MSK (TPDP)'!$H$9:$U637,5,0)))</f>
        <v>0</v>
      </c>
      <c r="P446" s="448">
        <f t="shared" si="4"/>
        <v>0</v>
      </c>
      <c r="Q446" s="448">
        <f t="shared" si="5"/>
        <v>0</v>
      </c>
      <c r="R446" s="648" t="str">
        <f>IFERROR(IF(S446="","",(VLOOKUP(S446,'1. BQ RAPL'!$D$14:$K637,8,0))),"")</f>
        <v/>
      </c>
      <c r="S446" s="649"/>
      <c r="T446" s="650"/>
      <c r="U446" s="16"/>
      <c r="V446" s="16"/>
      <c r="W446" s="16"/>
      <c r="X446" s="119"/>
      <c r="Y446" s="119"/>
      <c r="Z446" s="119"/>
      <c r="AA446" s="119"/>
      <c r="AB446" s="119"/>
      <c r="AC446" s="119"/>
      <c r="AD446" s="119"/>
      <c r="AE446" s="119"/>
      <c r="AF446" s="119"/>
    </row>
    <row r="447" ht="18.75" customHeight="1">
      <c r="A447" s="119"/>
      <c r="B447" s="652"/>
      <c r="C447" s="642">
        <f>IF(F447=0,0,(VLOOKUP(F447,'MTRL MSK (TPDP)'!$F$9:$W637,18,0)))</f>
        <v>0</v>
      </c>
      <c r="D447" s="642">
        <f>IF(C447=0,0,(VLOOKUP(C447,'MTRL MSK (TPDP)'!$B$9:$W637,3,0)))</f>
        <v>0</v>
      </c>
      <c r="E447" s="643" t="str">
        <f>iferror(IF(C447="","",(VLOOKUP(C447,'MTRL MSK (TPDP)'!$B$9:$W637,4,0))),"")</f>
        <v/>
      </c>
      <c r="F447" s="644">
        <f>IF(H447=0,0,(VLOOKUP(H447,'MTRL MSK (TPDP)'!$H$9:$X637,17,0)))</f>
        <v>0</v>
      </c>
      <c r="G447" s="645"/>
      <c r="H447" s="646"/>
      <c r="I447" s="446">
        <f>IF(H447=0,0,(VLOOKUP(H447,'MTRL MSK (TPDP)'!$H$9:$U637,2,0)))</f>
        <v>0</v>
      </c>
      <c r="J447" s="448" t="str">
        <f>IFERROR((IF(H447=0,0,(VLOOKUP(H447,'MTRL MSK (TPDP)'!$H$8:$U637,7,0))))/(IF(H447=0,0,(VLOOKUP(H447,'MTRL MSK (TPDP)'!$H$8:$U637,5,0)))),"")</f>
        <v/>
      </c>
      <c r="K447" s="559"/>
      <c r="L447" s="448">
        <f t="shared" si="1"/>
        <v>0</v>
      </c>
      <c r="M447" s="647">
        <f t="shared" si="2"/>
        <v>0</v>
      </c>
      <c r="N447" s="647">
        <f t="shared" si="3"/>
        <v>0</v>
      </c>
      <c r="O447" s="448">
        <f>IF(H447=0,0,(VLOOKUP(H447,'MTRL MSK (TPDP)'!$H$9:$U637,5,0)))</f>
        <v>0</v>
      </c>
      <c r="P447" s="448">
        <f t="shared" si="4"/>
        <v>0</v>
      </c>
      <c r="Q447" s="448">
        <f t="shared" si="5"/>
        <v>0</v>
      </c>
      <c r="R447" s="648" t="str">
        <f>IFERROR(IF(S447="","",(VLOOKUP(S447,'1. BQ RAPL'!$D$14:$K637,8,0))),"")</f>
        <v/>
      </c>
      <c r="S447" s="649"/>
      <c r="T447" s="650"/>
      <c r="U447" s="16"/>
      <c r="V447" s="16"/>
      <c r="W447" s="16"/>
      <c r="X447" s="119"/>
      <c r="Y447" s="119"/>
      <c r="Z447" s="119"/>
      <c r="AA447" s="119"/>
      <c r="AB447" s="119"/>
      <c r="AC447" s="119"/>
      <c r="AD447" s="119"/>
      <c r="AE447" s="119"/>
      <c r="AF447" s="119"/>
    </row>
    <row r="448" ht="18.75" customHeight="1">
      <c r="A448" s="119"/>
      <c r="B448" s="652"/>
      <c r="C448" s="642">
        <f>IF(F448=0,0,(VLOOKUP(F448,'MTRL MSK (TPDP)'!$F$9:$W637,18,0)))</f>
        <v>0</v>
      </c>
      <c r="D448" s="642">
        <f>IF(C448=0,0,(VLOOKUP(C448,'MTRL MSK (TPDP)'!$B$9:$W637,3,0)))</f>
        <v>0</v>
      </c>
      <c r="E448" s="643" t="str">
        <f>iferror(IF(C448="","",(VLOOKUP(C448,'MTRL MSK (TPDP)'!$B$9:$W637,4,0))),"")</f>
        <v/>
      </c>
      <c r="F448" s="644">
        <f>IF(H448=0,0,(VLOOKUP(H448,'MTRL MSK (TPDP)'!$H$9:$X637,17,0)))</f>
        <v>0</v>
      </c>
      <c r="G448" s="645"/>
      <c r="H448" s="646"/>
      <c r="I448" s="446">
        <f>IF(H448=0,0,(VLOOKUP(H448,'MTRL MSK (TPDP)'!$H$9:$U637,2,0)))</f>
        <v>0</v>
      </c>
      <c r="J448" s="448" t="str">
        <f>IFERROR((IF(H448=0,0,(VLOOKUP(H448,'MTRL MSK (TPDP)'!$H$8:$U637,7,0))))/(IF(H448=0,0,(VLOOKUP(H448,'MTRL MSK (TPDP)'!$H$8:$U637,5,0)))),"")</f>
        <v/>
      </c>
      <c r="K448" s="559"/>
      <c r="L448" s="448">
        <f t="shared" si="1"/>
        <v>0</v>
      </c>
      <c r="M448" s="647">
        <f t="shared" si="2"/>
        <v>0</v>
      </c>
      <c r="N448" s="647">
        <f t="shared" si="3"/>
        <v>0</v>
      </c>
      <c r="O448" s="448">
        <f>IF(H448=0,0,(VLOOKUP(H448,'MTRL MSK (TPDP)'!$H$9:$U637,5,0)))</f>
        <v>0</v>
      </c>
      <c r="P448" s="448">
        <f t="shared" si="4"/>
        <v>0</v>
      </c>
      <c r="Q448" s="448">
        <f t="shared" si="5"/>
        <v>0</v>
      </c>
      <c r="R448" s="648" t="str">
        <f>IFERROR(IF(S448="","",(VLOOKUP(S448,'1. BQ RAPL'!$D$14:$K637,8,0))),"")</f>
        <v/>
      </c>
      <c r="S448" s="649"/>
      <c r="T448" s="650"/>
      <c r="U448" s="16"/>
      <c r="V448" s="16"/>
      <c r="W448" s="16"/>
      <c r="X448" s="119"/>
      <c r="Y448" s="119"/>
      <c r="Z448" s="119"/>
      <c r="AA448" s="119"/>
      <c r="AB448" s="119"/>
      <c r="AC448" s="119"/>
      <c r="AD448" s="119"/>
      <c r="AE448" s="119"/>
      <c r="AF448" s="119"/>
    </row>
    <row r="449" ht="18.75" customHeight="1">
      <c r="A449" s="119"/>
      <c r="B449" s="652"/>
      <c r="C449" s="642">
        <f>IF(F449=0,0,(VLOOKUP(F449,'MTRL MSK (TPDP)'!$F$9:$W637,18,0)))</f>
        <v>0</v>
      </c>
      <c r="D449" s="642">
        <f>IF(C449=0,0,(VLOOKUP(C449,'MTRL MSK (TPDP)'!$B$9:$W637,3,0)))</f>
        <v>0</v>
      </c>
      <c r="E449" s="643" t="str">
        <f>iferror(IF(C449="","",(VLOOKUP(C449,'MTRL MSK (TPDP)'!$B$9:$W637,4,0))),"")</f>
        <v/>
      </c>
      <c r="F449" s="644">
        <f>IF(H449=0,0,(VLOOKUP(H449,'MTRL MSK (TPDP)'!$H$9:$X637,17,0)))</f>
        <v>0</v>
      </c>
      <c r="G449" s="645"/>
      <c r="H449" s="646"/>
      <c r="I449" s="446">
        <f>IF(H449=0,0,(VLOOKUP(H449,'MTRL MSK (TPDP)'!$H$9:$U637,2,0)))</f>
        <v>0</v>
      </c>
      <c r="J449" s="448" t="str">
        <f>IFERROR((IF(H449=0,0,(VLOOKUP(H449,'MTRL MSK (TPDP)'!$H$8:$U637,7,0))))/(IF(H449=0,0,(VLOOKUP(H449,'MTRL MSK (TPDP)'!$H$8:$U637,5,0)))),"")</f>
        <v/>
      </c>
      <c r="K449" s="559"/>
      <c r="L449" s="448">
        <f t="shared" si="1"/>
        <v>0</v>
      </c>
      <c r="M449" s="647">
        <f t="shared" si="2"/>
        <v>0</v>
      </c>
      <c r="N449" s="647">
        <f t="shared" si="3"/>
        <v>0</v>
      </c>
      <c r="O449" s="448">
        <f>IF(H449=0,0,(VLOOKUP(H449,'MTRL MSK (TPDP)'!$H$9:$U637,5,0)))</f>
        <v>0</v>
      </c>
      <c r="P449" s="448">
        <f t="shared" si="4"/>
        <v>0</v>
      </c>
      <c r="Q449" s="448">
        <f t="shared" si="5"/>
        <v>0</v>
      </c>
      <c r="R449" s="648" t="str">
        <f>IFERROR(IF(S449="","",(VLOOKUP(S449,'1. BQ RAPL'!$D$14:$K637,8,0))),"")</f>
        <v/>
      </c>
      <c r="S449" s="649"/>
      <c r="T449" s="650"/>
      <c r="U449" s="16"/>
      <c r="V449" s="16"/>
      <c r="W449" s="16"/>
      <c r="X449" s="119"/>
      <c r="Y449" s="119"/>
      <c r="Z449" s="119"/>
      <c r="AA449" s="119"/>
      <c r="AB449" s="119"/>
      <c r="AC449" s="119"/>
      <c r="AD449" s="119"/>
      <c r="AE449" s="119"/>
      <c r="AF449" s="119"/>
    </row>
    <row r="450" ht="18.75" customHeight="1">
      <c r="A450" s="119"/>
      <c r="B450" s="652"/>
      <c r="C450" s="642">
        <f>IF(F450=0,0,(VLOOKUP(F450,'MTRL MSK (TPDP)'!$F$9:$W637,18,0)))</f>
        <v>0</v>
      </c>
      <c r="D450" s="642">
        <f>IF(C450=0,0,(VLOOKUP(C450,'MTRL MSK (TPDP)'!$B$9:$W637,3,0)))</f>
        <v>0</v>
      </c>
      <c r="E450" s="643" t="str">
        <f>iferror(IF(C450="","",(VLOOKUP(C450,'MTRL MSK (TPDP)'!$B$9:$W637,4,0))),"")</f>
        <v/>
      </c>
      <c r="F450" s="644">
        <f>IF(H450=0,0,(VLOOKUP(H450,'MTRL MSK (TPDP)'!$H$9:$X637,17,0)))</f>
        <v>0</v>
      </c>
      <c r="G450" s="645"/>
      <c r="H450" s="646"/>
      <c r="I450" s="446">
        <f>IF(H450=0,0,(VLOOKUP(H450,'MTRL MSK (TPDP)'!$H$9:$U637,2,0)))</f>
        <v>0</v>
      </c>
      <c r="J450" s="448" t="str">
        <f>IFERROR((IF(H450=0,0,(VLOOKUP(H450,'MTRL MSK (TPDP)'!$H$8:$U637,7,0))))/(IF(H450=0,0,(VLOOKUP(H450,'MTRL MSK (TPDP)'!$H$8:$U637,5,0)))),"")</f>
        <v/>
      </c>
      <c r="K450" s="559"/>
      <c r="L450" s="448">
        <f t="shared" si="1"/>
        <v>0</v>
      </c>
      <c r="M450" s="647">
        <f t="shared" si="2"/>
        <v>0</v>
      </c>
      <c r="N450" s="647">
        <f t="shared" si="3"/>
        <v>0</v>
      </c>
      <c r="O450" s="448">
        <f>IF(H450=0,0,(VLOOKUP(H450,'MTRL MSK (TPDP)'!$H$9:$U637,5,0)))</f>
        <v>0</v>
      </c>
      <c r="P450" s="448">
        <f t="shared" si="4"/>
        <v>0</v>
      </c>
      <c r="Q450" s="448">
        <f t="shared" si="5"/>
        <v>0</v>
      </c>
      <c r="R450" s="648" t="str">
        <f>IFERROR(IF(S450="","",(VLOOKUP(S450,'1. BQ RAPL'!$D$14:$K637,8,0))),"")</f>
        <v/>
      </c>
      <c r="S450" s="649"/>
      <c r="T450" s="650"/>
      <c r="U450" s="16"/>
      <c r="V450" s="16"/>
      <c r="W450" s="16"/>
      <c r="X450" s="119"/>
      <c r="Y450" s="119"/>
      <c r="Z450" s="119"/>
      <c r="AA450" s="119"/>
      <c r="AB450" s="119"/>
      <c r="AC450" s="119"/>
      <c r="AD450" s="119"/>
      <c r="AE450" s="119"/>
      <c r="AF450" s="119"/>
    </row>
    <row r="451" ht="18.75" customHeight="1">
      <c r="A451" s="119"/>
      <c r="B451" s="652"/>
      <c r="C451" s="642">
        <f>IF(F451=0,0,(VLOOKUP(F451,'MTRL MSK (TPDP)'!$F$9:$W637,18,0)))</f>
        <v>0</v>
      </c>
      <c r="D451" s="642">
        <f>IF(C451=0,0,(VLOOKUP(C451,'MTRL MSK (TPDP)'!$B$9:$W637,3,0)))</f>
        <v>0</v>
      </c>
      <c r="E451" s="643" t="str">
        <f>iferror(IF(C451="","",(VLOOKUP(C451,'MTRL MSK (TPDP)'!$B$9:$W637,4,0))),"")</f>
        <v/>
      </c>
      <c r="F451" s="644">
        <f>IF(H451=0,0,(VLOOKUP(H451,'MTRL MSK (TPDP)'!$H$9:$X637,17,0)))</f>
        <v>0</v>
      </c>
      <c r="G451" s="645"/>
      <c r="H451" s="646"/>
      <c r="I451" s="446">
        <f>IF(H451=0,0,(VLOOKUP(H451,'MTRL MSK (TPDP)'!$H$9:$U637,2,0)))</f>
        <v>0</v>
      </c>
      <c r="J451" s="448" t="str">
        <f>IFERROR((IF(H451=0,0,(VLOOKUP(H451,'MTRL MSK (TPDP)'!$H$8:$U637,7,0))))/(IF(H451=0,0,(VLOOKUP(H451,'MTRL MSK (TPDP)'!$H$8:$U637,5,0)))),"")</f>
        <v/>
      </c>
      <c r="K451" s="559"/>
      <c r="L451" s="448">
        <f t="shared" si="1"/>
        <v>0</v>
      </c>
      <c r="M451" s="647">
        <f t="shared" si="2"/>
        <v>0</v>
      </c>
      <c r="N451" s="647">
        <f t="shared" si="3"/>
        <v>0</v>
      </c>
      <c r="O451" s="448">
        <f>IF(H451=0,0,(VLOOKUP(H451,'MTRL MSK (TPDP)'!$H$9:$U637,5,0)))</f>
        <v>0</v>
      </c>
      <c r="P451" s="448">
        <f t="shared" si="4"/>
        <v>0</v>
      </c>
      <c r="Q451" s="448">
        <f t="shared" si="5"/>
        <v>0</v>
      </c>
      <c r="R451" s="648" t="str">
        <f>IFERROR(IF(S451="","",(VLOOKUP(S451,'1. BQ RAPL'!$D$14:$K637,8,0))),"")</f>
        <v/>
      </c>
      <c r="S451" s="649"/>
      <c r="T451" s="650"/>
      <c r="U451" s="16"/>
      <c r="V451" s="16"/>
      <c r="W451" s="16"/>
      <c r="X451" s="119"/>
      <c r="Y451" s="119"/>
      <c r="Z451" s="119"/>
      <c r="AA451" s="119"/>
      <c r="AB451" s="119"/>
      <c r="AC451" s="119"/>
      <c r="AD451" s="119"/>
      <c r="AE451" s="119"/>
      <c r="AF451" s="119"/>
    </row>
    <row r="452" ht="18.75" customHeight="1">
      <c r="A452" s="119"/>
      <c r="B452" s="652"/>
      <c r="C452" s="642">
        <f>IF(F452=0,0,(VLOOKUP(F452,'MTRL MSK (TPDP)'!$F$9:$W637,18,0)))</f>
        <v>0</v>
      </c>
      <c r="D452" s="642">
        <f>IF(C452=0,0,(VLOOKUP(C452,'MTRL MSK (TPDP)'!$B$9:$W637,3,0)))</f>
        <v>0</v>
      </c>
      <c r="E452" s="643" t="str">
        <f>iferror(IF(C452="","",(VLOOKUP(C452,'MTRL MSK (TPDP)'!$B$9:$W637,4,0))),"")</f>
        <v/>
      </c>
      <c r="F452" s="644">
        <f>IF(H452=0,0,(VLOOKUP(H452,'MTRL MSK (TPDP)'!$H$9:$X637,17,0)))</f>
        <v>0</v>
      </c>
      <c r="G452" s="645"/>
      <c r="H452" s="646"/>
      <c r="I452" s="446">
        <f>IF(H452=0,0,(VLOOKUP(H452,'MTRL MSK (TPDP)'!$H$9:$U637,2,0)))</f>
        <v>0</v>
      </c>
      <c r="J452" s="448" t="str">
        <f>IFERROR((IF(H452=0,0,(VLOOKUP(H452,'MTRL MSK (TPDP)'!$H$8:$U637,7,0))))/(IF(H452=0,0,(VLOOKUP(H452,'MTRL MSK (TPDP)'!$H$8:$U637,5,0)))),"")</f>
        <v/>
      </c>
      <c r="K452" s="559"/>
      <c r="L452" s="448">
        <f t="shared" si="1"/>
        <v>0</v>
      </c>
      <c r="M452" s="647">
        <f t="shared" si="2"/>
        <v>0</v>
      </c>
      <c r="N452" s="647">
        <f t="shared" si="3"/>
        <v>0</v>
      </c>
      <c r="O452" s="448">
        <f>IF(H452=0,0,(VLOOKUP(H452,'MTRL MSK (TPDP)'!$H$9:$U637,5,0)))</f>
        <v>0</v>
      </c>
      <c r="P452" s="448">
        <f t="shared" si="4"/>
        <v>0</v>
      </c>
      <c r="Q452" s="448">
        <f t="shared" si="5"/>
        <v>0</v>
      </c>
      <c r="R452" s="648" t="str">
        <f>IFERROR(IF(S452="","",(VLOOKUP(S452,'1. BQ RAPL'!$D$14:$K637,8,0))),"")</f>
        <v/>
      </c>
      <c r="S452" s="649"/>
      <c r="T452" s="650"/>
      <c r="U452" s="16"/>
      <c r="V452" s="16"/>
      <c r="W452" s="16"/>
      <c r="X452" s="119"/>
      <c r="Y452" s="119"/>
      <c r="Z452" s="119"/>
      <c r="AA452" s="119"/>
      <c r="AB452" s="119"/>
      <c r="AC452" s="119"/>
      <c r="AD452" s="119"/>
      <c r="AE452" s="119"/>
      <c r="AF452" s="119"/>
    </row>
    <row r="453" ht="18.75" customHeight="1">
      <c r="A453" s="119"/>
      <c r="B453" s="652"/>
      <c r="C453" s="642">
        <f>IF(F453=0,0,(VLOOKUP(F453,'MTRL MSK (TPDP)'!$F$9:$W637,18,0)))</f>
        <v>0</v>
      </c>
      <c r="D453" s="642">
        <f>IF(C453=0,0,(VLOOKUP(C453,'MTRL MSK (TPDP)'!$B$9:$W637,3,0)))</f>
        <v>0</v>
      </c>
      <c r="E453" s="643" t="str">
        <f>iferror(IF(C453="","",(VLOOKUP(C453,'MTRL MSK (TPDP)'!$B$9:$W637,4,0))),"")</f>
        <v/>
      </c>
      <c r="F453" s="644">
        <f>IF(H453=0,0,(VLOOKUP(H453,'MTRL MSK (TPDP)'!$H$9:$X637,17,0)))</f>
        <v>0</v>
      </c>
      <c r="G453" s="645"/>
      <c r="H453" s="646"/>
      <c r="I453" s="446">
        <f>IF(H453=0,0,(VLOOKUP(H453,'MTRL MSK (TPDP)'!$H$9:$U637,2,0)))</f>
        <v>0</v>
      </c>
      <c r="J453" s="448" t="str">
        <f>IFERROR((IF(H453=0,0,(VLOOKUP(H453,'MTRL MSK (TPDP)'!$H$8:$U637,7,0))))/(IF(H453=0,0,(VLOOKUP(H453,'MTRL MSK (TPDP)'!$H$8:$U637,5,0)))),"")</f>
        <v/>
      </c>
      <c r="K453" s="559"/>
      <c r="L453" s="448">
        <f t="shared" si="1"/>
        <v>0</v>
      </c>
      <c r="M453" s="647">
        <f t="shared" si="2"/>
        <v>0</v>
      </c>
      <c r="N453" s="647">
        <f t="shared" si="3"/>
        <v>0</v>
      </c>
      <c r="O453" s="448">
        <f>IF(H453=0,0,(VLOOKUP(H453,'MTRL MSK (TPDP)'!$H$9:$U637,5,0)))</f>
        <v>0</v>
      </c>
      <c r="P453" s="448">
        <f t="shared" si="4"/>
        <v>0</v>
      </c>
      <c r="Q453" s="448">
        <f t="shared" si="5"/>
        <v>0</v>
      </c>
      <c r="R453" s="648" t="str">
        <f>IFERROR(IF(S453="","",(VLOOKUP(S453,'1. BQ RAPL'!$D$14:$K637,8,0))),"")</f>
        <v/>
      </c>
      <c r="S453" s="649"/>
      <c r="T453" s="650"/>
      <c r="U453" s="16"/>
      <c r="V453" s="16"/>
      <c r="W453" s="16"/>
      <c r="X453" s="119"/>
      <c r="Y453" s="119"/>
      <c r="Z453" s="119"/>
      <c r="AA453" s="119"/>
      <c r="AB453" s="119"/>
      <c r="AC453" s="119"/>
      <c r="AD453" s="119"/>
      <c r="AE453" s="119"/>
      <c r="AF453" s="119"/>
    </row>
    <row r="454" ht="18.75" customHeight="1">
      <c r="A454" s="119"/>
      <c r="B454" s="652"/>
      <c r="C454" s="642">
        <f>IF(F454=0,0,(VLOOKUP(F454,'MTRL MSK (TPDP)'!$F$9:$W637,18,0)))</f>
        <v>0</v>
      </c>
      <c r="D454" s="642">
        <f>IF(C454=0,0,(VLOOKUP(C454,'MTRL MSK (TPDP)'!$B$9:$W637,3,0)))</f>
        <v>0</v>
      </c>
      <c r="E454" s="643" t="str">
        <f>iferror(IF(C454="","",(VLOOKUP(C454,'MTRL MSK (TPDP)'!$B$9:$W637,4,0))),"")</f>
        <v/>
      </c>
      <c r="F454" s="644">
        <f>IF(H454=0,0,(VLOOKUP(H454,'MTRL MSK (TPDP)'!$H$9:$X637,17,0)))</f>
        <v>0</v>
      </c>
      <c r="G454" s="645"/>
      <c r="H454" s="646"/>
      <c r="I454" s="446">
        <f>IF(H454=0,0,(VLOOKUP(H454,'MTRL MSK (TPDP)'!$H$9:$U637,2,0)))</f>
        <v>0</v>
      </c>
      <c r="J454" s="448" t="str">
        <f>IFERROR((IF(H454=0,0,(VLOOKUP(H454,'MTRL MSK (TPDP)'!$H$8:$U637,7,0))))/(IF(H454=0,0,(VLOOKUP(H454,'MTRL MSK (TPDP)'!$H$8:$U637,5,0)))),"")</f>
        <v/>
      </c>
      <c r="K454" s="559"/>
      <c r="L454" s="448">
        <f t="shared" si="1"/>
        <v>0</v>
      </c>
      <c r="M454" s="647">
        <f t="shared" si="2"/>
        <v>0</v>
      </c>
      <c r="N454" s="647">
        <f t="shared" si="3"/>
        <v>0</v>
      </c>
      <c r="O454" s="448">
        <f>IF(H454=0,0,(VLOOKUP(H454,'MTRL MSK (TPDP)'!$H$9:$U637,5,0)))</f>
        <v>0</v>
      </c>
      <c r="P454" s="448">
        <f t="shared" si="4"/>
        <v>0</v>
      </c>
      <c r="Q454" s="448">
        <f t="shared" si="5"/>
        <v>0</v>
      </c>
      <c r="R454" s="648" t="str">
        <f>IFERROR(IF(S454="","",(VLOOKUP(S454,'1. BQ RAPL'!$D$14:$K637,8,0))),"")</f>
        <v/>
      </c>
      <c r="S454" s="649"/>
      <c r="T454" s="650"/>
      <c r="U454" s="16"/>
      <c r="V454" s="16"/>
      <c r="W454" s="16"/>
      <c r="X454" s="119"/>
      <c r="Y454" s="119"/>
      <c r="Z454" s="119"/>
      <c r="AA454" s="119"/>
      <c r="AB454" s="119"/>
      <c r="AC454" s="119"/>
      <c r="AD454" s="119"/>
      <c r="AE454" s="119"/>
      <c r="AF454" s="119"/>
    </row>
    <row r="455" ht="18.75" customHeight="1">
      <c r="A455" s="119"/>
      <c r="B455" s="652"/>
      <c r="C455" s="642">
        <f>IF(F455=0,0,(VLOOKUP(F455,'MTRL MSK (TPDP)'!$F$9:$W637,18,0)))</f>
        <v>0</v>
      </c>
      <c r="D455" s="642">
        <f>IF(C455=0,0,(VLOOKUP(C455,'MTRL MSK (TPDP)'!$B$9:$W637,3,0)))</f>
        <v>0</v>
      </c>
      <c r="E455" s="643" t="str">
        <f>iferror(IF(C455="","",(VLOOKUP(C455,'MTRL MSK (TPDP)'!$B$9:$W637,4,0))),"")</f>
        <v/>
      </c>
      <c r="F455" s="644">
        <f>IF(H455=0,0,(VLOOKUP(H455,'MTRL MSK (TPDP)'!$H$9:$X637,17,0)))</f>
        <v>0</v>
      </c>
      <c r="G455" s="645"/>
      <c r="H455" s="646"/>
      <c r="I455" s="446">
        <f>IF(H455=0,0,(VLOOKUP(H455,'MTRL MSK (TPDP)'!$H$9:$U637,2,0)))</f>
        <v>0</v>
      </c>
      <c r="J455" s="448" t="str">
        <f>IFERROR((IF(H455=0,0,(VLOOKUP(H455,'MTRL MSK (TPDP)'!$H$8:$U637,7,0))))/(IF(H455=0,0,(VLOOKUP(H455,'MTRL MSK (TPDP)'!$H$8:$U637,5,0)))),"")</f>
        <v/>
      </c>
      <c r="K455" s="559"/>
      <c r="L455" s="448">
        <f t="shared" si="1"/>
        <v>0</v>
      </c>
      <c r="M455" s="647">
        <f t="shared" si="2"/>
        <v>0</v>
      </c>
      <c r="N455" s="647">
        <f t="shared" si="3"/>
        <v>0</v>
      </c>
      <c r="O455" s="448">
        <f>IF(H455=0,0,(VLOOKUP(H455,'MTRL MSK (TPDP)'!$H$9:$U637,5,0)))</f>
        <v>0</v>
      </c>
      <c r="P455" s="448">
        <f t="shared" si="4"/>
        <v>0</v>
      </c>
      <c r="Q455" s="448">
        <f t="shared" si="5"/>
        <v>0</v>
      </c>
      <c r="R455" s="648" t="str">
        <f>IFERROR(IF(S455="","",(VLOOKUP(S455,'1. BQ RAPL'!$D$14:$K637,8,0))),"")</f>
        <v/>
      </c>
      <c r="S455" s="649"/>
      <c r="T455" s="650"/>
      <c r="U455" s="16"/>
      <c r="V455" s="16"/>
      <c r="W455" s="16"/>
      <c r="X455" s="119"/>
      <c r="Y455" s="119"/>
      <c r="Z455" s="119"/>
      <c r="AA455" s="119"/>
      <c r="AB455" s="119"/>
      <c r="AC455" s="119"/>
      <c r="AD455" s="119"/>
      <c r="AE455" s="119"/>
      <c r="AF455" s="119"/>
    </row>
    <row r="456" ht="18.75" customHeight="1">
      <c r="A456" s="119"/>
      <c r="B456" s="652"/>
      <c r="C456" s="642">
        <f>IF(F456=0,0,(VLOOKUP(F456,'MTRL MSK (TPDP)'!$F$9:$W637,18,0)))</f>
        <v>0</v>
      </c>
      <c r="D456" s="642">
        <f>IF(C456=0,0,(VLOOKUP(C456,'MTRL MSK (TPDP)'!$B$9:$W637,3,0)))</f>
        <v>0</v>
      </c>
      <c r="E456" s="643" t="str">
        <f>iferror(IF(C456="","",(VLOOKUP(C456,'MTRL MSK (TPDP)'!$B$9:$W637,4,0))),"")</f>
        <v/>
      </c>
      <c r="F456" s="644">
        <f>IF(H456=0,0,(VLOOKUP(H456,'MTRL MSK (TPDP)'!$H$9:$X637,17,0)))</f>
        <v>0</v>
      </c>
      <c r="G456" s="645"/>
      <c r="H456" s="646"/>
      <c r="I456" s="446">
        <f>IF(H456=0,0,(VLOOKUP(H456,'MTRL MSK (TPDP)'!$H$9:$U637,2,0)))</f>
        <v>0</v>
      </c>
      <c r="J456" s="448" t="str">
        <f>IFERROR((IF(H456=0,0,(VLOOKUP(H456,'MTRL MSK (TPDP)'!$H$8:$U637,7,0))))/(IF(H456=0,0,(VLOOKUP(H456,'MTRL MSK (TPDP)'!$H$8:$U637,5,0)))),"")</f>
        <v/>
      </c>
      <c r="K456" s="559"/>
      <c r="L456" s="448">
        <f t="shared" si="1"/>
        <v>0</v>
      </c>
      <c r="M456" s="647">
        <f t="shared" si="2"/>
        <v>0</v>
      </c>
      <c r="N456" s="647">
        <f t="shared" si="3"/>
        <v>0</v>
      </c>
      <c r="O456" s="448">
        <f>IF(H456=0,0,(VLOOKUP(H456,'MTRL MSK (TPDP)'!$H$9:$U637,5,0)))</f>
        <v>0</v>
      </c>
      <c r="P456" s="448">
        <f t="shared" si="4"/>
        <v>0</v>
      </c>
      <c r="Q456" s="448">
        <f t="shared" si="5"/>
        <v>0</v>
      </c>
      <c r="R456" s="648" t="str">
        <f>IFERROR(IF(S456="","",(VLOOKUP(S456,'1. BQ RAPL'!$D$14:$K637,8,0))),"")</f>
        <v/>
      </c>
      <c r="S456" s="649"/>
      <c r="T456" s="650"/>
      <c r="U456" s="16"/>
      <c r="V456" s="16"/>
      <c r="W456" s="16"/>
      <c r="X456" s="119"/>
      <c r="Y456" s="119"/>
      <c r="Z456" s="119"/>
      <c r="AA456" s="119"/>
      <c r="AB456" s="119"/>
      <c r="AC456" s="119"/>
      <c r="AD456" s="119"/>
      <c r="AE456" s="119"/>
      <c r="AF456" s="119"/>
    </row>
    <row r="457" ht="18.75" customHeight="1">
      <c r="A457" s="119"/>
      <c r="B457" s="652"/>
      <c r="C457" s="642">
        <f>IF(F457=0,0,(VLOOKUP(F457,'MTRL MSK (TPDP)'!$F$9:$W637,18,0)))</f>
        <v>0</v>
      </c>
      <c r="D457" s="642">
        <f>IF(C457=0,0,(VLOOKUP(C457,'MTRL MSK (TPDP)'!$B$9:$W637,3,0)))</f>
        <v>0</v>
      </c>
      <c r="E457" s="643" t="str">
        <f>iferror(IF(C457="","",(VLOOKUP(C457,'MTRL MSK (TPDP)'!$B$9:$W637,4,0))),"")</f>
        <v/>
      </c>
      <c r="F457" s="644">
        <f>IF(H457=0,0,(VLOOKUP(H457,'MTRL MSK (TPDP)'!$H$9:$X637,17,0)))</f>
        <v>0</v>
      </c>
      <c r="G457" s="645"/>
      <c r="H457" s="646"/>
      <c r="I457" s="446">
        <f>IF(H457=0,0,(VLOOKUP(H457,'MTRL MSK (TPDP)'!$H$9:$U637,2,0)))</f>
        <v>0</v>
      </c>
      <c r="J457" s="448" t="str">
        <f>IFERROR((IF(H457=0,0,(VLOOKUP(H457,'MTRL MSK (TPDP)'!$H$8:$U637,7,0))))/(IF(H457=0,0,(VLOOKUP(H457,'MTRL MSK (TPDP)'!$H$8:$U637,5,0)))),"")</f>
        <v/>
      </c>
      <c r="K457" s="559"/>
      <c r="L457" s="448">
        <f t="shared" si="1"/>
        <v>0</v>
      </c>
      <c r="M457" s="647">
        <f t="shared" si="2"/>
        <v>0</v>
      </c>
      <c r="N457" s="647">
        <f t="shared" si="3"/>
        <v>0</v>
      </c>
      <c r="O457" s="448">
        <f>IF(H457=0,0,(VLOOKUP(H457,'MTRL MSK (TPDP)'!$H$9:$U637,5,0)))</f>
        <v>0</v>
      </c>
      <c r="P457" s="448">
        <f t="shared" si="4"/>
        <v>0</v>
      </c>
      <c r="Q457" s="448">
        <f t="shared" si="5"/>
        <v>0</v>
      </c>
      <c r="R457" s="648" t="str">
        <f>IFERROR(IF(S457="","",(VLOOKUP(S457,'1. BQ RAPL'!$D$14:$K637,8,0))),"")</f>
        <v/>
      </c>
      <c r="S457" s="649"/>
      <c r="T457" s="650"/>
      <c r="U457" s="16"/>
      <c r="V457" s="16"/>
      <c r="W457" s="16"/>
      <c r="X457" s="119"/>
      <c r="Y457" s="119"/>
      <c r="Z457" s="119"/>
      <c r="AA457" s="119"/>
      <c r="AB457" s="119"/>
      <c r="AC457" s="119"/>
      <c r="AD457" s="119"/>
      <c r="AE457" s="119"/>
      <c r="AF457" s="119"/>
    </row>
    <row r="458" ht="18.75" customHeight="1">
      <c r="A458" s="119"/>
      <c r="B458" s="652"/>
      <c r="C458" s="642">
        <f>IF(F458=0,0,(VLOOKUP(F458,'MTRL MSK (TPDP)'!$F$9:$W637,18,0)))</f>
        <v>0</v>
      </c>
      <c r="D458" s="642">
        <f>IF(C458=0,0,(VLOOKUP(C458,'MTRL MSK (TPDP)'!$B$9:$W637,3,0)))</f>
        <v>0</v>
      </c>
      <c r="E458" s="643" t="str">
        <f>iferror(IF(C458="","",(VLOOKUP(C458,'MTRL MSK (TPDP)'!$B$9:$W637,4,0))),"")</f>
        <v/>
      </c>
      <c r="F458" s="644">
        <f>IF(H458=0,0,(VLOOKUP(H458,'MTRL MSK (TPDP)'!$H$9:$X637,17,0)))</f>
        <v>0</v>
      </c>
      <c r="G458" s="645"/>
      <c r="H458" s="646"/>
      <c r="I458" s="446">
        <f>IF(H458=0,0,(VLOOKUP(H458,'MTRL MSK (TPDP)'!$H$9:$U637,2,0)))</f>
        <v>0</v>
      </c>
      <c r="J458" s="448" t="str">
        <f>IFERROR((IF(H458=0,0,(VLOOKUP(H458,'MTRL MSK (TPDP)'!$H$8:$U637,7,0))))/(IF(H458=0,0,(VLOOKUP(H458,'MTRL MSK (TPDP)'!$H$8:$U637,5,0)))),"")</f>
        <v/>
      </c>
      <c r="K458" s="559"/>
      <c r="L458" s="448">
        <f t="shared" si="1"/>
        <v>0</v>
      </c>
      <c r="M458" s="647">
        <f t="shared" si="2"/>
        <v>0</v>
      </c>
      <c r="N458" s="647">
        <f t="shared" si="3"/>
        <v>0</v>
      </c>
      <c r="O458" s="448">
        <f>IF(H458=0,0,(VLOOKUP(H458,'MTRL MSK (TPDP)'!$H$9:$U637,5,0)))</f>
        <v>0</v>
      </c>
      <c r="P458" s="448">
        <f t="shared" si="4"/>
        <v>0</v>
      </c>
      <c r="Q458" s="448">
        <f t="shared" si="5"/>
        <v>0</v>
      </c>
      <c r="R458" s="648" t="str">
        <f>IFERROR(IF(S458="","",(VLOOKUP(S458,'1. BQ RAPL'!$D$14:$K637,8,0))),"")</f>
        <v/>
      </c>
      <c r="S458" s="649"/>
      <c r="T458" s="650"/>
      <c r="U458" s="16"/>
      <c r="V458" s="16"/>
      <c r="W458" s="16"/>
      <c r="X458" s="119"/>
      <c r="Y458" s="119"/>
      <c r="Z458" s="119"/>
      <c r="AA458" s="119"/>
      <c r="AB458" s="119"/>
      <c r="AC458" s="119"/>
      <c r="AD458" s="119"/>
      <c r="AE458" s="119"/>
      <c r="AF458" s="119"/>
    </row>
    <row r="459" ht="18.75" customHeight="1">
      <c r="A459" s="119"/>
      <c r="B459" s="652"/>
      <c r="C459" s="642">
        <f>IF(F459=0,0,(VLOOKUP(F459,'MTRL MSK (TPDP)'!$F$9:$W637,18,0)))</f>
        <v>0</v>
      </c>
      <c r="D459" s="642">
        <f>IF(C459=0,0,(VLOOKUP(C459,'MTRL MSK (TPDP)'!$B$9:$W637,3,0)))</f>
        <v>0</v>
      </c>
      <c r="E459" s="643" t="str">
        <f>iferror(IF(C459="","",(VLOOKUP(C459,'MTRL MSK (TPDP)'!$B$9:$W637,4,0))),"")</f>
        <v/>
      </c>
      <c r="F459" s="644">
        <f>IF(H459=0,0,(VLOOKUP(H459,'MTRL MSK (TPDP)'!$H$9:$X637,17,0)))</f>
        <v>0</v>
      </c>
      <c r="G459" s="645"/>
      <c r="H459" s="646"/>
      <c r="I459" s="446">
        <f>IF(H459=0,0,(VLOOKUP(H459,'MTRL MSK (TPDP)'!$H$9:$U637,2,0)))</f>
        <v>0</v>
      </c>
      <c r="J459" s="448" t="str">
        <f>IFERROR((IF(H459=0,0,(VLOOKUP(H459,'MTRL MSK (TPDP)'!$H$8:$U637,7,0))))/(IF(H459=0,0,(VLOOKUP(H459,'MTRL MSK (TPDP)'!$H$8:$U637,5,0)))),"")</f>
        <v/>
      </c>
      <c r="K459" s="559"/>
      <c r="L459" s="448">
        <f t="shared" si="1"/>
        <v>0</v>
      </c>
      <c r="M459" s="647">
        <f t="shared" si="2"/>
        <v>0</v>
      </c>
      <c r="N459" s="647">
        <f t="shared" si="3"/>
        <v>0</v>
      </c>
      <c r="O459" s="448">
        <f>IF(H459=0,0,(VLOOKUP(H459,'MTRL MSK (TPDP)'!$H$9:$U637,5,0)))</f>
        <v>0</v>
      </c>
      <c r="P459" s="448">
        <f t="shared" si="4"/>
        <v>0</v>
      </c>
      <c r="Q459" s="448">
        <f t="shared" si="5"/>
        <v>0</v>
      </c>
      <c r="R459" s="648" t="str">
        <f>IFERROR(IF(S459="","",(VLOOKUP(S459,'1. BQ RAPL'!$D$14:$K637,8,0))),"")</f>
        <v/>
      </c>
      <c r="S459" s="649"/>
      <c r="T459" s="650"/>
      <c r="U459" s="16"/>
      <c r="V459" s="16"/>
      <c r="W459" s="16"/>
      <c r="X459" s="119"/>
      <c r="Y459" s="119"/>
      <c r="Z459" s="119"/>
      <c r="AA459" s="119"/>
      <c r="AB459" s="119"/>
      <c r="AC459" s="119"/>
      <c r="AD459" s="119"/>
      <c r="AE459" s="119"/>
      <c r="AF459" s="119"/>
    </row>
    <row r="460" ht="18.75" customHeight="1">
      <c r="A460" s="119"/>
      <c r="B460" s="652"/>
      <c r="C460" s="642">
        <f>IF(F460=0,0,(VLOOKUP(F460,'MTRL MSK (TPDP)'!$F$9:$W637,18,0)))</f>
        <v>0</v>
      </c>
      <c r="D460" s="642">
        <f>IF(C460=0,0,(VLOOKUP(C460,'MTRL MSK (TPDP)'!$B$9:$W637,3,0)))</f>
        <v>0</v>
      </c>
      <c r="E460" s="643" t="str">
        <f>iferror(IF(C460="","",(VLOOKUP(C460,'MTRL MSK (TPDP)'!$B$9:$W637,4,0))),"")</f>
        <v/>
      </c>
      <c r="F460" s="644">
        <f>IF(H460=0,0,(VLOOKUP(H460,'MTRL MSK (TPDP)'!$H$9:$X637,17,0)))</f>
        <v>0</v>
      </c>
      <c r="G460" s="645"/>
      <c r="H460" s="646"/>
      <c r="I460" s="446">
        <f>IF(H460=0,0,(VLOOKUP(H460,'MTRL MSK (TPDP)'!$H$9:$U637,2,0)))</f>
        <v>0</v>
      </c>
      <c r="J460" s="448" t="str">
        <f>IFERROR((IF(H460=0,0,(VLOOKUP(H460,'MTRL MSK (TPDP)'!$H$8:$U637,7,0))))/(IF(H460=0,0,(VLOOKUP(H460,'MTRL MSK (TPDP)'!$H$8:$U637,5,0)))),"")</f>
        <v/>
      </c>
      <c r="K460" s="559"/>
      <c r="L460" s="448">
        <f t="shared" si="1"/>
        <v>0</v>
      </c>
      <c r="M460" s="647">
        <f t="shared" si="2"/>
        <v>0</v>
      </c>
      <c r="N460" s="647">
        <f t="shared" si="3"/>
        <v>0</v>
      </c>
      <c r="O460" s="448">
        <f>IF(H460=0,0,(VLOOKUP(H460,'MTRL MSK (TPDP)'!$H$9:$U637,5,0)))</f>
        <v>0</v>
      </c>
      <c r="P460" s="448">
        <f t="shared" si="4"/>
        <v>0</v>
      </c>
      <c r="Q460" s="448">
        <f t="shared" si="5"/>
        <v>0</v>
      </c>
      <c r="R460" s="648" t="str">
        <f>IFERROR(IF(S460="","",(VLOOKUP(S460,'1. BQ RAPL'!$D$14:$K637,8,0))),"")</f>
        <v/>
      </c>
      <c r="S460" s="649"/>
      <c r="T460" s="650"/>
      <c r="U460" s="16"/>
      <c r="V460" s="16"/>
      <c r="W460" s="16"/>
      <c r="X460" s="119"/>
      <c r="Y460" s="119"/>
      <c r="Z460" s="119"/>
      <c r="AA460" s="119"/>
      <c r="AB460" s="119"/>
      <c r="AC460" s="119"/>
      <c r="AD460" s="119"/>
      <c r="AE460" s="119"/>
      <c r="AF460" s="119"/>
    </row>
    <row r="461" ht="18.75" customHeight="1">
      <c r="A461" s="119"/>
      <c r="B461" s="652"/>
      <c r="C461" s="642">
        <f>IF(F461=0,0,(VLOOKUP(F461,'MTRL MSK (TPDP)'!$F$9:$W637,18,0)))</f>
        <v>0</v>
      </c>
      <c r="D461" s="642">
        <f>IF(C461=0,0,(VLOOKUP(C461,'MTRL MSK (TPDP)'!$B$9:$W637,3,0)))</f>
        <v>0</v>
      </c>
      <c r="E461" s="643" t="str">
        <f>iferror(IF(C461="","",(VLOOKUP(C461,'MTRL MSK (TPDP)'!$B$9:$W637,4,0))),"")</f>
        <v/>
      </c>
      <c r="F461" s="644">
        <f>IF(H461=0,0,(VLOOKUP(H461,'MTRL MSK (TPDP)'!$H$9:$X637,17,0)))</f>
        <v>0</v>
      </c>
      <c r="G461" s="645"/>
      <c r="H461" s="646"/>
      <c r="I461" s="446">
        <f>IF(H461=0,0,(VLOOKUP(H461,'MTRL MSK (TPDP)'!$H$9:$U637,2,0)))</f>
        <v>0</v>
      </c>
      <c r="J461" s="448" t="str">
        <f>IFERROR((IF(H461=0,0,(VLOOKUP(H461,'MTRL MSK (TPDP)'!$H$8:$U637,7,0))))/(IF(H461=0,0,(VLOOKUP(H461,'MTRL MSK (TPDP)'!$H$8:$U637,5,0)))),"")</f>
        <v/>
      </c>
      <c r="K461" s="559"/>
      <c r="L461" s="448">
        <f t="shared" si="1"/>
        <v>0</v>
      </c>
      <c r="M461" s="647">
        <f t="shared" si="2"/>
        <v>0</v>
      </c>
      <c r="N461" s="647">
        <f t="shared" si="3"/>
        <v>0</v>
      </c>
      <c r="O461" s="448">
        <f>IF(H461=0,0,(VLOOKUP(H461,'MTRL MSK (TPDP)'!$H$9:$U637,5,0)))</f>
        <v>0</v>
      </c>
      <c r="P461" s="448">
        <f t="shared" si="4"/>
        <v>0</v>
      </c>
      <c r="Q461" s="448">
        <f t="shared" si="5"/>
        <v>0</v>
      </c>
      <c r="R461" s="648" t="str">
        <f>IFERROR(IF(S461="","",(VLOOKUP(S461,'1. BQ RAPL'!$D$14:$K637,8,0))),"")</f>
        <v/>
      </c>
      <c r="S461" s="649"/>
      <c r="T461" s="650"/>
      <c r="U461" s="16"/>
      <c r="V461" s="16"/>
      <c r="W461" s="16"/>
      <c r="X461" s="119"/>
      <c r="Y461" s="119"/>
      <c r="Z461" s="119"/>
      <c r="AA461" s="119"/>
      <c r="AB461" s="119"/>
      <c r="AC461" s="119"/>
      <c r="AD461" s="119"/>
      <c r="AE461" s="119"/>
      <c r="AF461" s="119"/>
    </row>
    <row r="462" ht="18.75" customHeight="1">
      <c r="A462" s="119"/>
      <c r="B462" s="652"/>
      <c r="C462" s="642">
        <f>IF(F462=0,0,(VLOOKUP(F462,'MTRL MSK (TPDP)'!$F$9:$W637,18,0)))</f>
        <v>0</v>
      </c>
      <c r="D462" s="642">
        <f>IF(C462=0,0,(VLOOKUP(C462,'MTRL MSK (TPDP)'!$B$9:$W637,3,0)))</f>
        <v>0</v>
      </c>
      <c r="E462" s="643" t="str">
        <f>iferror(IF(C462="","",(VLOOKUP(C462,'MTRL MSK (TPDP)'!$B$9:$W637,4,0))),"")</f>
        <v/>
      </c>
      <c r="F462" s="644">
        <f>IF(H462=0,0,(VLOOKUP(H462,'MTRL MSK (TPDP)'!$H$9:$X637,17,0)))</f>
        <v>0</v>
      </c>
      <c r="G462" s="645"/>
      <c r="H462" s="646"/>
      <c r="I462" s="446">
        <f>IF(H462=0,0,(VLOOKUP(H462,'MTRL MSK (TPDP)'!$H$9:$U637,2,0)))</f>
        <v>0</v>
      </c>
      <c r="J462" s="448" t="str">
        <f>IFERROR((IF(H462=0,0,(VLOOKUP(H462,'MTRL MSK (TPDP)'!$H$8:$U637,7,0))))/(IF(H462=0,0,(VLOOKUP(H462,'MTRL MSK (TPDP)'!$H$8:$U637,5,0)))),"")</f>
        <v/>
      </c>
      <c r="K462" s="559"/>
      <c r="L462" s="448">
        <f t="shared" si="1"/>
        <v>0</v>
      </c>
      <c r="M462" s="647">
        <f t="shared" si="2"/>
        <v>0</v>
      </c>
      <c r="N462" s="647">
        <f t="shared" si="3"/>
        <v>0</v>
      </c>
      <c r="O462" s="448">
        <f>IF(H462=0,0,(VLOOKUP(H462,'MTRL MSK (TPDP)'!$H$9:$U637,5,0)))</f>
        <v>0</v>
      </c>
      <c r="P462" s="448">
        <f t="shared" si="4"/>
        <v>0</v>
      </c>
      <c r="Q462" s="448">
        <f t="shared" si="5"/>
        <v>0</v>
      </c>
      <c r="R462" s="648" t="str">
        <f>IFERROR(IF(S462="","",(VLOOKUP(S462,'1. BQ RAPL'!$D$14:$K637,8,0))),"")</f>
        <v/>
      </c>
      <c r="S462" s="649"/>
      <c r="T462" s="650"/>
      <c r="U462" s="16"/>
      <c r="V462" s="16"/>
      <c r="W462" s="16"/>
      <c r="X462" s="119"/>
      <c r="Y462" s="119"/>
      <c r="Z462" s="119"/>
      <c r="AA462" s="119"/>
      <c r="AB462" s="119"/>
      <c r="AC462" s="119"/>
      <c r="AD462" s="119"/>
      <c r="AE462" s="119"/>
      <c r="AF462" s="119"/>
    </row>
    <row r="463" ht="18.75" customHeight="1">
      <c r="A463" s="119"/>
      <c r="B463" s="652"/>
      <c r="C463" s="642">
        <f>IF(F463=0,0,(VLOOKUP(F463,'MTRL MSK (TPDP)'!$F$9:$W637,18,0)))</f>
        <v>0</v>
      </c>
      <c r="D463" s="642">
        <f>IF(C463=0,0,(VLOOKUP(C463,'MTRL MSK (TPDP)'!$B$9:$W637,3,0)))</f>
        <v>0</v>
      </c>
      <c r="E463" s="643" t="str">
        <f>iferror(IF(C463="","",(VLOOKUP(C463,'MTRL MSK (TPDP)'!$B$9:$W637,4,0))),"")</f>
        <v/>
      </c>
      <c r="F463" s="644">
        <f>IF(H463=0,0,(VLOOKUP(H463,'MTRL MSK (TPDP)'!$H$9:$X637,17,0)))</f>
        <v>0</v>
      </c>
      <c r="G463" s="645"/>
      <c r="H463" s="646"/>
      <c r="I463" s="446">
        <f>IF(H463=0,0,(VLOOKUP(H463,'MTRL MSK (TPDP)'!$H$9:$U637,2,0)))</f>
        <v>0</v>
      </c>
      <c r="J463" s="448" t="str">
        <f>IFERROR((IF(H463=0,0,(VLOOKUP(H463,'MTRL MSK (TPDP)'!$H$8:$U637,7,0))))/(IF(H463=0,0,(VLOOKUP(H463,'MTRL MSK (TPDP)'!$H$8:$U637,5,0)))),"")</f>
        <v/>
      </c>
      <c r="K463" s="559"/>
      <c r="L463" s="448">
        <f t="shared" si="1"/>
        <v>0</v>
      </c>
      <c r="M463" s="647">
        <f t="shared" si="2"/>
        <v>0</v>
      </c>
      <c r="N463" s="647">
        <f t="shared" si="3"/>
        <v>0</v>
      </c>
      <c r="O463" s="448">
        <f>IF(H463=0,0,(VLOOKUP(H463,'MTRL MSK (TPDP)'!$H$9:$U637,5,0)))</f>
        <v>0</v>
      </c>
      <c r="P463" s="448">
        <f t="shared" si="4"/>
        <v>0</v>
      </c>
      <c r="Q463" s="448">
        <f t="shared" si="5"/>
        <v>0</v>
      </c>
      <c r="R463" s="648" t="str">
        <f>IFERROR(IF(S463="","",(VLOOKUP(S463,'1. BQ RAPL'!$D$14:$K637,8,0))),"")</f>
        <v/>
      </c>
      <c r="S463" s="649"/>
      <c r="T463" s="650"/>
      <c r="U463" s="16"/>
      <c r="V463" s="16"/>
      <c r="W463" s="16"/>
      <c r="X463" s="119"/>
      <c r="Y463" s="119"/>
      <c r="Z463" s="119"/>
      <c r="AA463" s="119"/>
      <c r="AB463" s="119"/>
      <c r="AC463" s="119"/>
      <c r="AD463" s="119"/>
      <c r="AE463" s="119"/>
      <c r="AF463" s="119"/>
    </row>
    <row r="464" ht="18.75" customHeight="1">
      <c r="A464" s="119"/>
      <c r="B464" s="652"/>
      <c r="C464" s="642">
        <f>IF(F464=0,0,(VLOOKUP(F464,'MTRL MSK (TPDP)'!$F$9:$W637,18,0)))</f>
        <v>0</v>
      </c>
      <c r="D464" s="642">
        <f>IF(C464=0,0,(VLOOKUP(C464,'MTRL MSK (TPDP)'!$B$9:$W637,3,0)))</f>
        <v>0</v>
      </c>
      <c r="E464" s="643" t="str">
        <f>iferror(IF(C464="","",(VLOOKUP(C464,'MTRL MSK (TPDP)'!$B$9:$W637,4,0))),"")</f>
        <v/>
      </c>
      <c r="F464" s="644">
        <f>IF(H464=0,0,(VLOOKUP(H464,'MTRL MSK (TPDP)'!$H$9:$X637,17,0)))</f>
        <v>0</v>
      </c>
      <c r="G464" s="645"/>
      <c r="H464" s="646"/>
      <c r="I464" s="446">
        <f>IF(H464=0,0,(VLOOKUP(H464,'MTRL MSK (TPDP)'!$H$9:$U637,2,0)))</f>
        <v>0</v>
      </c>
      <c r="J464" s="448" t="str">
        <f>IFERROR((IF(H464=0,0,(VLOOKUP(H464,'MTRL MSK (TPDP)'!$H$8:$U637,7,0))))/(IF(H464=0,0,(VLOOKUP(H464,'MTRL MSK (TPDP)'!$H$8:$U637,5,0)))),"")</f>
        <v/>
      </c>
      <c r="K464" s="559"/>
      <c r="L464" s="448">
        <f t="shared" si="1"/>
        <v>0</v>
      </c>
      <c r="M464" s="647">
        <f t="shared" si="2"/>
        <v>0</v>
      </c>
      <c r="N464" s="647">
        <f t="shared" si="3"/>
        <v>0</v>
      </c>
      <c r="O464" s="448">
        <f>IF(H464=0,0,(VLOOKUP(H464,'MTRL MSK (TPDP)'!$H$9:$U637,5,0)))</f>
        <v>0</v>
      </c>
      <c r="P464" s="448">
        <f t="shared" si="4"/>
        <v>0</v>
      </c>
      <c r="Q464" s="448">
        <f t="shared" si="5"/>
        <v>0</v>
      </c>
      <c r="R464" s="648" t="str">
        <f>IFERROR(IF(S464="","",(VLOOKUP(S464,'1. BQ RAPL'!$D$14:$K637,8,0))),"")</f>
        <v/>
      </c>
      <c r="S464" s="649"/>
      <c r="T464" s="650"/>
      <c r="U464" s="16"/>
      <c r="V464" s="16"/>
      <c r="W464" s="16"/>
      <c r="X464" s="119"/>
      <c r="Y464" s="119"/>
      <c r="Z464" s="119"/>
      <c r="AA464" s="119"/>
      <c r="AB464" s="119"/>
      <c r="AC464" s="119"/>
      <c r="AD464" s="119"/>
      <c r="AE464" s="119"/>
      <c r="AF464" s="119"/>
    </row>
    <row r="465" ht="18.75" customHeight="1">
      <c r="A465" s="119"/>
      <c r="B465" s="652"/>
      <c r="C465" s="642">
        <f>IF(F465=0,0,(VLOOKUP(F465,'MTRL MSK (TPDP)'!$F$9:$W637,18,0)))</f>
        <v>0</v>
      </c>
      <c r="D465" s="642">
        <f>IF(C465=0,0,(VLOOKUP(C465,'MTRL MSK (TPDP)'!$B$9:$W637,3,0)))</f>
        <v>0</v>
      </c>
      <c r="E465" s="643" t="str">
        <f>iferror(IF(C465="","",(VLOOKUP(C465,'MTRL MSK (TPDP)'!$B$9:$W637,4,0))),"")</f>
        <v/>
      </c>
      <c r="F465" s="644">
        <f>IF(H465=0,0,(VLOOKUP(H465,'MTRL MSK (TPDP)'!$H$9:$X637,17,0)))</f>
        <v>0</v>
      </c>
      <c r="G465" s="645"/>
      <c r="H465" s="646"/>
      <c r="I465" s="446">
        <f>IF(H465=0,0,(VLOOKUP(H465,'MTRL MSK (TPDP)'!$H$9:$U637,2,0)))</f>
        <v>0</v>
      </c>
      <c r="J465" s="448" t="str">
        <f>IFERROR((IF(H465=0,0,(VLOOKUP(H465,'MTRL MSK (TPDP)'!$H$8:$U637,7,0))))/(IF(H465=0,0,(VLOOKUP(H465,'MTRL MSK (TPDP)'!$H$8:$U637,5,0)))),"")</f>
        <v/>
      </c>
      <c r="K465" s="559"/>
      <c r="L465" s="448">
        <f t="shared" si="1"/>
        <v>0</v>
      </c>
      <c r="M465" s="647">
        <f t="shared" si="2"/>
        <v>0</v>
      </c>
      <c r="N465" s="647">
        <f t="shared" si="3"/>
        <v>0</v>
      </c>
      <c r="O465" s="448">
        <f>IF(H465=0,0,(VLOOKUP(H465,'MTRL MSK (TPDP)'!$H$9:$U637,5,0)))</f>
        <v>0</v>
      </c>
      <c r="P465" s="448">
        <f t="shared" si="4"/>
        <v>0</v>
      </c>
      <c r="Q465" s="448">
        <f t="shared" si="5"/>
        <v>0</v>
      </c>
      <c r="R465" s="648" t="str">
        <f>IFERROR(IF(S465="","",(VLOOKUP(S465,'1. BQ RAPL'!$D$14:$K637,8,0))),"")</f>
        <v/>
      </c>
      <c r="S465" s="649"/>
      <c r="T465" s="650"/>
      <c r="U465" s="16"/>
      <c r="V465" s="16"/>
      <c r="W465" s="16"/>
      <c r="X465" s="119"/>
      <c r="Y465" s="119"/>
      <c r="Z465" s="119"/>
      <c r="AA465" s="119"/>
      <c r="AB465" s="119"/>
      <c r="AC465" s="119"/>
      <c r="AD465" s="119"/>
      <c r="AE465" s="119"/>
      <c r="AF465" s="119"/>
    </row>
    <row r="466" ht="18.75" customHeight="1">
      <c r="A466" s="119"/>
      <c r="B466" s="652"/>
      <c r="C466" s="642">
        <f>IF(F466=0,0,(VLOOKUP(F466,'MTRL MSK (TPDP)'!$F$9:$W637,18,0)))</f>
        <v>0</v>
      </c>
      <c r="D466" s="642">
        <f>IF(C466=0,0,(VLOOKUP(C466,'MTRL MSK (TPDP)'!$B$9:$W637,3,0)))</f>
        <v>0</v>
      </c>
      <c r="E466" s="643" t="str">
        <f>iferror(IF(C466="","",(VLOOKUP(C466,'MTRL MSK (TPDP)'!$B$9:$W637,4,0))),"")</f>
        <v/>
      </c>
      <c r="F466" s="644">
        <f>IF(H466=0,0,(VLOOKUP(H466,'MTRL MSK (TPDP)'!$H$9:$X637,17,0)))</f>
        <v>0</v>
      </c>
      <c r="G466" s="645"/>
      <c r="H466" s="646"/>
      <c r="I466" s="446">
        <f>IF(H466=0,0,(VLOOKUP(H466,'MTRL MSK (TPDP)'!$H$9:$U637,2,0)))</f>
        <v>0</v>
      </c>
      <c r="J466" s="448" t="str">
        <f>IFERROR((IF(H466=0,0,(VLOOKUP(H466,'MTRL MSK (TPDP)'!$H$8:$U637,7,0))))/(IF(H466=0,0,(VLOOKUP(H466,'MTRL MSK (TPDP)'!$H$8:$U637,5,0)))),"")</f>
        <v/>
      </c>
      <c r="K466" s="559"/>
      <c r="L466" s="448">
        <f t="shared" si="1"/>
        <v>0</v>
      </c>
      <c r="M466" s="647">
        <f t="shared" si="2"/>
        <v>0</v>
      </c>
      <c r="N466" s="647">
        <f t="shared" si="3"/>
        <v>0</v>
      </c>
      <c r="O466" s="448">
        <f>IF(H466=0,0,(VLOOKUP(H466,'MTRL MSK (TPDP)'!$H$9:$U637,5,0)))</f>
        <v>0</v>
      </c>
      <c r="P466" s="448">
        <f t="shared" si="4"/>
        <v>0</v>
      </c>
      <c r="Q466" s="448">
        <f t="shared" si="5"/>
        <v>0</v>
      </c>
      <c r="R466" s="648" t="str">
        <f>IFERROR(IF(S466="","",(VLOOKUP(S466,'1. BQ RAPL'!$D$14:$K637,8,0))),"")</f>
        <v/>
      </c>
      <c r="S466" s="649"/>
      <c r="T466" s="650"/>
      <c r="U466" s="16"/>
      <c r="V466" s="16"/>
      <c r="W466" s="16"/>
      <c r="X466" s="119"/>
      <c r="Y466" s="119"/>
      <c r="Z466" s="119"/>
      <c r="AA466" s="119"/>
      <c r="AB466" s="119"/>
      <c r="AC466" s="119"/>
      <c r="AD466" s="119"/>
      <c r="AE466" s="119"/>
      <c r="AF466" s="119"/>
    </row>
    <row r="467" ht="18.75" customHeight="1">
      <c r="A467" s="119"/>
      <c r="B467" s="652"/>
      <c r="C467" s="642">
        <f>IF(F467=0,0,(VLOOKUP(F467,'MTRL MSK (TPDP)'!$F$9:$W637,18,0)))</f>
        <v>0</v>
      </c>
      <c r="D467" s="642">
        <f>IF(C467=0,0,(VLOOKUP(C467,'MTRL MSK (TPDP)'!$B$9:$W637,3,0)))</f>
        <v>0</v>
      </c>
      <c r="E467" s="643" t="str">
        <f>iferror(IF(C467="","",(VLOOKUP(C467,'MTRL MSK (TPDP)'!$B$9:$W637,4,0))),"")</f>
        <v/>
      </c>
      <c r="F467" s="644">
        <f>IF(H467=0,0,(VLOOKUP(H467,'MTRL MSK (TPDP)'!$H$9:$X637,17,0)))</f>
        <v>0</v>
      </c>
      <c r="G467" s="645"/>
      <c r="H467" s="646"/>
      <c r="I467" s="446">
        <f>IF(H467=0,0,(VLOOKUP(H467,'MTRL MSK (TPDP)'!$H$9:$U637,2,0)))</f>
        <v>0</v>
      </c>
      <c r="J467" s="448" t="str">
        <f>IFERROR((IF(H467=0,0,(VLOOKUP(H467,'MTRL MSK (TPDP)'!$H$8:$U637,7,0))))/(IF(H467=0,0,(VLOOKUP(H467,'MTRL MSK (TPDP)'!$H$8:$U637,5,0)))),"")</f>
        <v/>
      </c>
      <c r="K467" s="559"/>
      <c r="L467" s="448">
        <f t="shared" si="1"/>
        <v>0</v>
      </c>
      <c r="M467" s="647">
        <f t="shared" si="2"/>
        <v>0</v>
      </c>
      <c r="N467" s="647">
        <f t="shared" si="3"/>
        <v>0</v>
      </c>
      <c r="O467" s="448">
        <f>IF(H467=0,0,(VLOOKUP(H467,'MTRL MSK (TPDP)'!$H$9:$U637,5,0)))</f>
        <v>0</v>
      </c>
      <c r="P467" s="448">
        <f t="shared" si="4"/>
        <v>0</v>
      </c>
      <c r="Q467" s="448">
        <f t="shared" si="5"/>
        <v>0</v>
      </c>
      <c r="R467" s="648" t="str">
        <f>IFERROR(IF(S467="","",(VLOOKUP(S467,'1. BQ RAPL'!$D$14:$K637,8,0))),"")</f>
        <v/>
      </c>
      <c r="S467" s="649"/>
      <c r="T467" s="650"/>
      <c r="U467" s="16"/>
      <c r="V467" s="16"/>
      <c r="W467" s="16"/>
      <c r="X467" s="119"/>
      <c r="Y467" s="119"/>
      <c r="Z467" s="119"/>
      <c r="AA467" s="119"/>
      <c r="AB467" s="119"/>
      <c r="AC467" s="119"/>
      <c r="AD467" s="119"/>
      <c r="AE467" s="119"/>
      <c r="AF467" s="119"/>
    </row>
    <row r="468" ht="18.75" customHeight="1">
      <c r="A468" s="119"/>
      <c r="B468" s="652"/>
      <c r="C468" s="642">
        <f>IF(F468=0,0,(VLOOKUP(F468,'MTRL MSK (TPDP)'!$F$9:$W637,18,0)))</f>
        <v>0</v>
      </c>
      <c r="D468" s="642">
        <f>IF(C468=0,0,(VLOOKUP(C468,'MTRL MSK (TPDP)'!$B$9:$W637,3,0)))</f>
        <v>0</v>
      </c>
      <c r="E468" s="643" t="str">
        <f>iferror(IF(C468="","",(VLOOKUP(C468,'MTRL MSK (TPDP)'!$B$9:$W637,4,0))),"")</f>
        <v/>
      </c>
      <c r="F468" s="644">
        <f>IF(H468=0,0,(VLOOKUP(H468,'MTRL MSK (TPDP)'!$H$9:$X637,17,0)))</f>
        <v>0</v>
      </c>
      <c r="G468" s="645"/>
      <c r="H468" s="646"/>
      <c r="I468" s="446">
        <f>IF(H468=0,0,(VLOOKUP(H468,'MTRL MSK (TPDP)'!$H$9:$U637,2,0)))</f>
        <v>0</v>
      </c>
      <c r="J468" s="448" t="str">
        <f>IFERROR((IF(H468=0,0,(VLOOKUP(H468,'MTRL MSK (TPDP)'!$H$8:$U637,7,0))))/(IF(H468=0,0,(VLOOKUP(H468,'MTRL MSK (TPDP)'!$H$8:$U637,5,0)))),"")</f>
        <v/>
      </c>
      <c r="K468" s="559"/>
      <c r="L468" s="448">
        <f t="shared" si="1"/>
        <v>0</v>
      </c>
      <c r="M468" s="647">
        <f t="shared" si="2"/>
        <v>0</v>
      </c>
      <c r="N468" s="647">
        <f t="shared" si="3"/>
        <v>0</v>
      </c>
      <c r="O468" s="448">
        <f>IF(H468=0,0,(VLOOKUP(H468,'MTRL MSK (TPDP)'!$H$9:$U637,5,0)))</f>
        <v>0</v>
      </c>
      <c r="P468" s="448">
        <f t="shared" si="4"/>
        <v>0</v>
      </c>
      <c r="Q468" s="448">
        <f t="shared" si="5"/>
        <v>0</v>
      </c>
      <c r="R468" s="648" t="str">
        <f>IFERROR(IF(S468="","",(VLOOKUP(S468,'1. BQ RAPL'!$D$14:$K637,8,0))),"")</f>
        <v/>
      </c>
      <c r="S468" s="649"/>
      <c r="T468" s="650"/>
      <c r="U468" s="16"/>
      <c r="V468" s="16"/>
      <c r="W468" s="16"/>
      <c r="X468" s="119"/>
      <c r="Y468" s="119"/>
      <c r="Z468" s="119"/>
      <c r="AA468" s="119"/>
      <c r="AB468" s="119"/>
      <c r="AC468" s="119"/>
      <c r="AD468" s="119"/>
      <c r="AE468" s="119"/>
      <c r="AF468" s="119"/>
    </row>
    <row r="469" ht="18.75" customHeight="1">
      <c r="A469" s="119"/>
      <c r="B469" s="652"/>
      <c r="C469" s="642">
        <f>IF(F469=0,0,(VLOOKUP(F469,'MTRL MSK (TPDP)'!$F$9:$W637,18,0)))</f>
        <v>0</v>
      </c>
      <c r="D469" s="642">
        <f>IF(C469=0,0,(VLOOKUP(C469,'MTRL MSK (TPDP)'!$B$9:$W637,3,0)))</f>
        <v>0</v>
      </c>
      <c r="E469" s="643" t="str">
        <f>iferror(IF(C469="","",(VLOOKUP(C469,'MTRL MSK (TPDP)'!$B$9:$W637,4,0))),"")</f>
        <v/>
      </c>
      <c r="F469" s="644">
        <f>IF(H469=0,0,(VLOOKUP(H469,'MTRL MSK (TPDP)'!$H$9:$X637,17,0)))</f>
        <v>0</v>
      </c>
      <c r="G469" s="645"/>
      <c r="H469" s="646"/>
      <c r="I469" s="446">
        <f>IF(H469=0,0,(VLOOKUP(H469,'MTRL MSK (TPDP)'!$H$9:$U637,2,0)))</f>
        <v>0</v>
      </c>
      <c r="J469" s="448" t="str">
        <f>IFERROR((IF(H469=0,0,(VLOOKUP(H469,'MTRL MSK (TPDP)'!$H$8:$U637,7,0))))/(IF(H469=0,0,(VLOOKUP(H469,'MTRL MSK (TPDP)'!$H$8:$U637,5,0)))),"")</f>
        <v/>
      </c>
      <c r="K469" s="559"/>
      <c r="L469" s="448">
        <f t="shared" si="1"/>
        <v>0</v>
      </c>
      <c r="M469" s="647">
        <f t="shared" si="2"/>
        <v>0</v>
      </c>
      <c r="N469" s="647">
        <f t="shared" si="3"/>
        <v>0</v>
      </c>
      <c r="O469" s="448">
        <f>IF(H469=0,0,(VLOOKUP(H469,'MTRL MSK (TPDP)'!$H$9:$U637,5,0)))</f>
        <v>0</v>
      </c>
      <c r="P469" s="448">
        <f t="shared" si="4"/>
        <v>0</v>
      </c>
      <c r="Q469" s="448">
        <f t="shared" si="5"/>
        <v>0</v>
      </c>
      <c r="R469" s="648" t="str">
        <f>IFERROR(IF(S469="","",(VLOOKUP(S469,'1. BQ RAPL'!$D$14:$K637,8,0))),"")</f>
        <v/>
      </c>
      <c r="S469" s="649"/>
      <c r="T469" s="650"/>
      <c r="U469" s="16"/>
      <c r="V469" s="16"/>
      <c r="W469" s="16"/>
      <c r="X469" s="119"/>
      <c r="Y469" s="119"/>
      <c r="Z469" s="119"/>
      <c r="AA469" s="119"/>
      <c r="AB469" s="119"/>
      <c r="AC469" s="119"/>
      <c r="AD469" s="119"/>
      <c r="AE469" s="119"/>
      <c r="AF469" s="119"/>
    </row>
    <row r="470" ht="18.75" customHeight="1">
      <c r="A470" s="119"/>
      <c r="B470" s="652"/>
      <c r="C470" s="642">
        <f>IF(F470=0,0,(VLOOKUP(F470,'MTRL MSK (TPDP)'!$F$9:$W637,18,0)))</f>
        <v>0</v>
      </c>
      <c r="D470" s="642">
        <f>IF(C470=0,0,(VLOOKUP(C470,'MTRL MSK (TPDP)'!$B$9:$W637,3,0)))</f>
        <v>0</v>
      </c>
      <c r="E470" s="643" t="str">
        <f>iferror(IF(C470="","",(VLOOKUP(C470,'MTRL MSK (TPDP)'!$B$9:$W637,4,0))),"")</f>
        <v/>
      </c>
      <c r="F470" s="644">
        <f>IF(H470=0,0,(VLOOKUP(H470,'MTRL MSK (TPDP)'!$H$9:$X637,17,0)))</f>
        <v>0</v>
      </c>
      <c r="G470" s="645"/>
      <c r="H470" s="646"/>
      <c r="I470" s="446">
        <f>IF(H470=0,0,(VLOOKUP(H470,'MTRL MSK (TPDP)'!$H$9:$U637,2,0)))</f>
        <v>0</v>
      </c>
      <c r="J470" s="448" t="str">
        <f>IFERROR((IF(H470=0,0,(VLOOKUP(H470,'MTRL MSK (TPDP)'!$H$8:$U637,7,0))))/(IF(H470=0,0,(VLOOKUP(H470,'MTRL MSK (TPDP)'!$H$8:$U637,5,0)))),"")</f>
        <v/>
      </c>
      <c r="K470" s="559"/>
      <c r="L470" s="448">
        <f t="shared" si="1"/>
        <v>0</v>
      </c>
      <c r="M470" s="647">
        <f t="shared" si="2"/>
        <v>0</v>
      </c>
      <c r="N470" s="647">
        <f t="shared" si="3"/>
        <v>0</v>
      </c>
      <c r="O470" s="448">
        <f>IF(H470=0,0,(VLOOKUP(H470,'MTRL MSK (TPDP)'!$H$9:$U637,5,0)))</f>
        <v>0</v>
      </c>
      <c r="P470" s="448">
        <f t="shared" si="4"/>
        <v>0</v>
      </c>
      <c r="Q470" s="448">
        <f t="shared" si="5"/>
        <v>0</v>
      </c>
      <c r="R470" s="648" t="str">
        <f>IFERROR(IF(S470="","",(VLOOKUP(S470,'1. BQ RAPL'!$D$14:$K637,8,0))),"")</f>
        <v/>
      </c>
      <c r="S470" s="649"/>
      <c r="T470" s="650"/>
      <c r="U470" s="16"/>
      <c r="V470" s="16"/>
      <c r="W470" s="16"/>
      <c r="X470" s="119"/>
      <c r="Y470" s="119"/>
      <c r="Z470" s="119"/>
      <c r="AA470" s="119"/>
      <c r="AB470" s="119"/>
      <c r="AC470" s="119"/>
      <c r="AD470" s="119"/>
      <c r="AE470" s="119"/>
      <c r="AF470" s="119"/>
    </row>
    <row r="471" ht="18.75" customHeight="1">
      <c r="A471" s="119"/>
      <c r="B471" s="652"/>
      <c r="C471" s="642">
        <f>IF(F471=0,0,(VLOOKUP(F471,'MTRL MSK (TPDP)'!$F$9:$W637,18,0)))</f>
        <v>0</v>
      </c>
      <c r="D471" s="642">
        <f>IF(C471=0,0,(VLOOKUP(C471,'MTRL MSK (TPDP)'!$B$9:$W637,3,0)))</f>
        <v>0</v>
      </c>
      <c r="E471" s="643" t="str">
        <f>iferror(IF(C471="","",(VLOOKUP(C471,'MTRL MSK (TPDP)'!$B$9:$W637,4,0))),"")</f>
        <v/>
      </c>
      <c r="F471" s="644">
        <f>IF(H471=0,0,(VLOOKUP(H471,'MTRL MSK (TPDP)'!$H$9:$X637,17,0)))</f>
        <v>0</v>
      </c>
      <c r="G471" s="645"/>
      <c r="H471" s="646"/>
      <c r="I471" s="446">
        <f>IF(H471=0,0,(VLOOKUP(H471,'MTRL MSK (TPDP)'!$H$9:$U637,2,0)))</f>
        <v>0</v>
      </c>
      <c r="J471" s="448" t="str">
        <f>IFERROR((IF(H471=0,0,(VLOOKUP(H471,'MTRL MSK (TPDP)'!$H$8:$U637,7,0))))/(IF(H471=0,0,(VLOOKUP(H471,'MTRL MSK (TPDP)'!$H$8:$U637,5,0)))),"")</f>
        <v/>
      </c>
      <c r="K471" s="559"/>
      <c r="L471" s="448">
        <f t="shared" si="1"/>
        <v>0</v>
      </c>
      <c r="M471" s="647">
        <f t="shared" si="2"/>
        <v>0</v>
      </c>
      <c r="N471" s="647">
        <f t="shared" si="3"/>
        <v>0</v>
      </c>
      <c r="O471" s="448">
        <f>IF(H471=0,0,(VLOOKUP(H471,'MTRL MSK (TPDP)'!$H$9:$U637,5,0)))</f>
        <v>0</v>
      </c>
      <c r="P471" s="448">
        <f t="shared" si="4"/>
        <v>0</v>
      </c>
      <c r="Q471" s="448">
        <f t="shared" si="5"/>
        <v>0</v>
      </c>
      <c r="R471" s="648" t="str">
        <f>IFERROR(IF(S471="","",(VLOOKUP(S471,'1. BQ RAPL'!$D$14:$K637,8,0))),"")</f>
        <v/>
      </c>
      <c r="S471" s="649"/>
      <c r="T471" s="650"/>
      <c r="U471" s="16"/>
      <c r="V471" s="16"/>
      <c r="W471" s="16"/>
      <c r="X471" s="119"/>
      <c r="Y471" s="119"/>
      <c r="Z471" s="119"/>
      <c r="AA471" s="119"/>
      <c r="AB471" s="119"/>
      <c r="AC471" s="119"/>
      <c r="AD471" s="119"/>
      <c r="AE471" s="119"/>
      <c r="AF471" s="119"/>
    </row>
    <row r="472" ht="18.75" customHeight="1">
      <c r="A472" s="119"/>
      <c r="B472" s="652"/>
      <c r="C472" s="642">
        <f>IF(F472=0,0,(VLOOKUP(F472,'MTRL MSK (TPDP)'!$F$9:$W637,18,0)))</f>
        <v>0</v>
      </c>
      <c r="D472" s="642">
        <f>IF(C472=0,0,(VLOOKUP(C472,'MTRL MSK (TPDP)'!$B$9:$W637,3,0)))</f>
        <v>0</v>
      </c>
      <c r="E472" s="643" t="str">
        <f>iferror(IF(C472="","",(VLOOKUP(C472,'MTRL MSK (TPDP)'!$B$9:$W637,4,0))),"")</f>
        <v/>
      </c>
      <c r="F472" s="644">
        <f>IF(H472=0,0,(VLOOKUP(H472,'MTRL MSK (TPDP)'!$H$9:$X637,17,0)))</f>
        <v>0</v>
      </c>
      <c r="G472" s="645"/>
      <c r="H472" s="646"/>
      <c r="I472" s="446">
        <f>IF(H472=0,0,(VLOOKUP(H472,'MTRL MSK (TPDP)'!$H$9:$U637,2,0)))</f>
        <v>0</v>
      </c>
      <c r="J472" s="448" t="str">
        <f>IFERROR((IF(H472=0,0,(VLOOKUP(H472,'MTRL MSK (TPDP)'!$H$8:$U637,7,0))))/(IF(H472=0,0,(VLOOKUP(H472,'MTRL MSK (TPDP)'!$H$8:$U637,5,0)))),"")</f>
        <v/>
      </c>
      <c r="K472" s="559"/>
      <c r="L472" s="448">
        <f t="shared" si="1"/>
        <v>0</v>
      </c>
      <c r="M472" s="647">
        <f t="shared" si="2"/>
        <v>0</v>
      </c>
      <c r="N472" s="647">
        <f t="shared" si="3"/>
        <v>0</v>
      </c>
      <c r="O472" s="448">
        <f>IF(H472=0,0,(VLOOKUP(H472,'MTRL MSK (TPDP)'!$H$9:$U637,5,0)))</f>
        <v>0</v>
      </c>
      <c r="P472" s="448">
        <f t="shared" si="4"/>
        <v>0</v>
      </c>
      <c r="Q472" s="448">
        <f t="shared" si="5"/>
        <v>0</v>
      </c>
      <c r="R472" s="648" t="str">
        <f>IFERROR(IF(S472="","",(VLOOKUP(S472,'1. BQ RAPL'!$D$14:$K637,8,0))),"")</f>
        <v/>
      </c>
      <c r="S472" s="649"/>
      <c r="T472" s="650"/>
      <c r="U472" s="16"/>
      <c r="V472" s="16"/>
      <c r="W472" s="16"/>
      <c r="X472" s="119"/>
      <c r="Y472" s="119"/>
      <c r="Z472" s="119"/>
      <c r="AA472" s="119"/>
      <c r="AB472" s="119"/>
      <c r="AC472" s="119"/>
      <c r="AD472" s="119"/>
      <c r="AE472" s="119"/>
      <c r="AF472" s="119"/>
    </row>
    <row r="473" ht="18.75" customHeight="1">
      <c r="A473" s="119"/>
      <c r="B473" s="652"/>
      <c r="C473" s="642">
        <f>IF(F473=0,0,(VLOOKUP(F473,'MTRL MSK (TPDP)'!$F$9:$W637,18,0)))</f>
        <v>0</v>
      </c>
      <c r="D473" s="642">
        <f>IF(C473=0,0,(VLOOKUP(C473,'MTRL MSK (TPDP)'!$B$9:$W637,3,0)))</f>
        <v>0</v>
      </c>
      <c r="E473" s="643" t="str">
        <f>iferror(IF(C473="","",(VLOOKUP(C473,'MTRL MSK (TPDP)'!$B$9:$W637,4,0))),"")</f>
        <v/>
      </c>
      <c r="F473" s="644">
        <f>IF(H473=0,0,(VLOOKUP(H473,'MTRL MSK (TPDP)'!$H$9:$X637,17,0)))</f>
        <v>0</v>
      </c>
      <c r="G473" s="645"/>
      <c r="H473" s="646"/>
      <c r="I473" s="446">
        <f>IF(H473=0,0,(VLOOKUP(H473,'MTRL MSK (TPDP)'!$H$9:$U637,2,0)))</f>
        <v>0</v>
      </c>
      <c r="J473" s="448" t="str">
        <f>IFERROR((IF(H473=0,0,(VLOOKUP(H473,'MTRL MSK (TPDP)'!$H$8:$U637,7,0))))/(IF(H473=0,0,(VLOOKUP(H473,'MTRL MSK (TPDP)'!$H$8:$U637,5,0)))),"")</f>
        <v/>
      </c>
      <c r="K473" s="559"/>
      <c r="L473" s="448">
        <f t="shared" si="1"/>
        <v>0</v>
      </c>
      <c r="M473" s="647">
        <f t="shared" si="2"/>
        <v>0</v>
      </c>
      <c r="N473" s="647">
        <f t="shared" si="3"/>
        <v>0</v>
      </c>
      <c r="O473" s="448">
        <f>IF(H473=0,0,(VLOOKUP(H473,'MTRL MSK (TPDP)'!$H$9:$U637,5,0)))</f>
        <v>0</v>
      </c>
      <c r="P473" s="448">
        <f t="shared" si="4"/>
        <v>0</v>
      </c>
      <c r="Q473" s="448">
        <f t="shared" si="5"/>
        <v>0</v>
      </c>
      <c r="R473" s="648" t="str">
        <f>IFERROR(IF(S473="","",(VLOOKUP(S473,'1. BQ RAPL'!$D$14:$K637,8,0))),"")</f>
        <v/>
      </c>
      <c r="S473" s="649"/>
      <c r="T473" s="650"/>
      <c r="U473" s="16"/>
      <c r="V473" s="16"/>
      <c r="W473" s="16"/>
      <c r="X473" s="119"/>
      <c r="Y473" s="119"/>
      <c r="Z473" s="119"/>
      <c r="AA473" s="119"/>
      <c r="AB473" s="119"/>
      <c r="AC473" s="119"/>
      <c r="AD473" s="119"/>
      <c r="AE473" s="119"/>
      <c r="AF473" s="119"/>
    </row>
    <row r="474" ht="18.75" customHeight="1">
      <c r="A474" s="119"/>
      <c r="B474" s="652"/>
      <c r="C474" s="642">
        <f>IF(F474=0,0,(VLOOKUP(F474,'MTRL MSK (TPDP)'!$F$9:$W637,18,0)))</f>
        <v>0</v>
      </c>
      <c r="D474" s="642">
        <f>IF(C474=0,0,(VLOOKUP(C474,'MTRL MSK (TPDP)'!$B$9:$W637,3,0)))</f>
        <v>0</v>
      </c>
      <c r="E474" s="643" t="str">
        <f>iferror(IF(C474="","",(VLOOKUP(C474,'MTRL MSK (TPDP)'!$B$9:$W637,4,0))),"")</f>
        <v/>
      </c>
      <c r="F474" s="644">
        <f>IF(H474=0,0,(VLOOKUP(H474,'MTRL MSK (TPDP)'!$H$9:$X637,17,0)))</f>
        <v>0</v>
      </c>
      <c r="G474" s="645"/>
      <c r="H474" s="646"/>
      <c r="I474" s="446">
        <f>IF(H474=0,0,(VLOOKUP(H474,'MTRL MSK (TPDP)'!$H$9:$U637,2,0)))</f>
        <v>0</v>
      </c>
      <c r="J474" s="448" t="str">
        <f>IFERROR((IF(H474=0,0,(VLOOKUP(H474,'MTRL MSK (TPDP)'!$H$8:$U637,7,0))))/(IF(H474=0,0,(VLOOKUP(H474,'MTRL MSK (TPDP)'!$H$8:$U637,5,0)))),"")</f>
        <v/>
      </c>
      <c r="K474" s="559"/>
      <c r="L474" s="448">
        <f t="shared" si="1"/>
        <v>0</v>
      </c>
      <c r="M474" s="647">
        <f t="shared" si="2"/>
        <v>0</v>
      </c>
      <c r="N474" s="647">
        <f t="shared" si="3"/>
        <v>0</v>
      </c>
      <c r="O474" s="448">
        <f>IF(H474=0,0,(VLOOKUP(H474,'MTRL MSK (TPDP)'!$H$9:$U637,5,0)))</f>
        <v>0</v>
      </c>
      <c r="P474" s="448">
        <f t="shared" si="4"/>
        <v>0</v>
      </c>
      <c r="Q474" s="448">
        <f t="shared" si="5"/>
        <v>0</v>
      </c>
      <c r="R474" s="648" t="str">
        <f>IFERROR(IF(S474="","",(VLOOKUP(S474,'1. BQ RAPL'!$D$14:$K637,8,0))),"")</f>
        <v/>
      </c>
      <c r="S474" s="649"/>
      <c r="T474" s="650"/>
      <c r="U474" s="16"/>
      <c r="V474" s="16"/>
      <c r="W474" s="16"/>
      <c r="X474" s="119"/>
      <c r="Y474" s="119"/>
      <c r="Z474" s="119"/>
      <c r="AA474" s="119"/>
      <c r="AB474" s="119"/>
      <c r="AC474" s="119"/>
      <c r="AD474" s="119"/>
      <c r="AE474" s="119"/>
      <c r="AF474" s="119"/>
    </row>
    <row r="475" ht="18.75" customHeight="1">
      <c r="A475" s="119"/>
      <c r="B475" s="652"/>
      <c r="C475" s="642">
        <f>IF(F475=0,0,(VLOOKUP(F475,'MTRL MSK (TPDP)'!$F$9:$W637,18,0)))</f>
        <v>0</v>
      </c>
      <c r="D475" s="642">
        <f>IF(C475=0,0,(VLOOKUP(C475,'MTRL MSK (TPDP)'!$B$9:$W637,3,0)))</f>
        <v>0</v>
      </c>
      <c r="E475" s="643" t="str">
        <f>iferror(IF(C475="","",(VLOOKUP(C475,'MTRL MSK (TPDP)'!$B$9:$W637,4,0))),"")</f>
        <v/>
      </c>
      <c r="F475" s="644">
        <f>IF(H475=0,0,(VLOOKUP(H475,'MTRL MSK (TPDP)'!$H$9:$X637,17,0)))</f>
        <v>0</v>
      </c>
      <c r="G475" s="645"/>
      <c r="H475" s="646"/>
      <c r="I475" s="446">
        <f>IF(H475=0,0,(VLOOKUP(H475,'MTRL MSK (TPDP)'!$H$9:$U637,2,0)))</f>
        <v>0</v>
      </c>
      <c r="J475" s="448" t="str">
        <f>IFERROR((IF(H475=0,0,(VLOOKUP(H475,'MTRL MSK (TPDP)'!$H$8:$U637,7,0))))/(IF(H475=0,0,(VLOOKUP(H475,'MTRL MSK (TPDP)'!$H$8:$U637,5,0)))),"")</f>
        <v/>
      </c>
      <c r="K475" s="559"/>
      <c r="L475" s="448">
        <f t="shared" si="1"/>
        <v>0</v>
      </c>
      <c r="M475" s="647">
        <f t="shared" si="2"/>
        <v>0</v>
      </c>
      <c r="N475" s="647">
        <f t="shared" si="3"/>
        <v>0</v>
      </c>
      <c r="O475" s="448">
        <f>IF(H475=0,0,(VLOOKUP(H475,'MTRL MSK (TPDP)'!$H$9:$U637,5,0)))</f>
        <v>0</v>
      </c>
      <c r="P475" s="448">
        <f t="shared" si="4"/>
        <v>0</v>
      </c>
      <c r="Q475" s="448">
        <f t="shared" si="5"/>
        <v>0</v>
      </c>
      <c r="R475" s="648" t="str">
        <f>IFERROR(IF(S475="","",(VLOOKUP(S475,'1. BQ RAPL'!$D$14:$K637,8,0))),"")</f>
        <v/>
      </c>
      <c r="S475" s="649"/>
      <c r="T475" s="650"/>
      <c r="U475" s="16"/>
      <c r="V475" s="16"/>
      <c r="W475" s="16"/>
      <c r="X475" s="119"/>
      <c r="Y475" s="119"/>
      <c r="Z475" s="119"/>
      <c r="AA475" s="119"/>
      <c r="AB475" s="119"/>
      <c r="AC475" s="119"/>
      <c r="AD475" s="119"/>
      <c r="AE475" s="119"/>
      <c r="AF475" s="119"/>
    </row>
    <row r="476" ht="18.75" customHeight="1">
      <c r="A476" s="119"/>
      <c r="B476" s="652"/>
      <c r="C476" s="642">
        <f>IF(F476=0,0,(VLOOKUP(F476,'MTRL MSK (TPDP)'!$F$9:$W637,18,0)))</f>
        <v>0</v>
      </c>
      <c r="D476" s="642">
        <f>IF(C476=0,0,(VLOOKUP(C476,'MTRL MSK (TPDP)'!$B$9:$W637,3,0)))</f>
        <v>0</v>
      </c>
      <c r="E476" s="643" t="str">
        <f>iferror(IF(C476="","",(VLOOKUP(C476,'MTRL MSK (TPDP)'!$B$9:$W637,4,0))),"")</f>
        <v/>
      </c>
      <c r="F476" s="644">
        <f>IF(H476=0,0,(VLOOKUP(H476,'MTRL MSK (TPDP)'!$H$9:$X637,17,0)))</f>
        <v>0</v>
      </c>
      <c r="G476" s="645"/>
      <c r="H476" s="646"/>
      <c r="I476" s="446">
        <f>IF(H476=0,0,(VLOOKUP(H476,'MTRL MSK (TPDP)'!$H$9:$U637,2,0)))</f>
        <v>0</v>
      </c>
      <c r="J476" s="448" t="str">
        <f>IFERROR((IF(H476=0,0,(VLOOKUP(H476,'MTRL MSK (TPDP)'!$H$8:$U637,7,0))))/(IF(H476=0,0,(VLOOKUP(H476,'MTRL MSK (TPDP)'!$H$8:$U637,5,0)))),"")</f>
        <v/>
      </c>
      <c r="K476" s="559"/>
      <c r="L476" s="448">
        <f t="shared" si="1"/>
        <v>0</v>
      </c>
      <c r="M476" s="647">
        <f t="shared" si="2"/>
        <v>0</v>
      </c>
      <c r="N476" s="647">
        <f t="shared" si="3"/>
        <v>0</v>
      </c>
      <c r="O476" s="448">
        <f>IF(H476=0,0,(VLOOKUP(H476,'MTRL MSK (TPDP)'!$H$9:$U637,5,0)))</f>
        <v>0</v>
      </c>
      <c r="P476" s="448">
        <f t="shared" si="4"/>
        <v>0</v>
      </c>
      <c r="Q476" s="448">
        <f t="shared" si="5"/>
        <v>0</v>
      </c>
      <c r="R476" s="648" t="str">
        <f>IFERROR(IF(S476="","",(VLOOKUP(S476,'1. BQ RAPL'!$D$14:$K637,8,0))),"")</f>
        <v/>
      </c>
      <c r="S476" s="649"/>
      <c r="T476" s="650"/>
      <c r="U476" s="16"/>
      <c r="V476" s="16"/>
      <c r="W476" s="16"/>
      <c r="X476" s="119"/>
      <c r="Y476" s="119"/>
      <c r="Z476" s="119"/>
      <c r="AA476" s="119"/>
      <c r="AB476" s="119"/>
      <c r="AC476" s="119"/>
      <c r="AD476" s="119"/>
      <c r="AE476" s="119"/>
      <c r="AF476" s="119"/>
    </row>
    <row r="477" ht="18.75" customHeight="1">
      <c r="A477" s="119"/>
      <c r="B477" s="652"/>
      <c r="C477" s="642">
        <f>IF(F477=0,0,(VLOOKUP(F477,'MTRL MSK (TPDP)'!$F$9:$W637,18,0)))</f>
        <v>0</v>
      </c>
      <c r="D477" s="642">
        <f>IF(C477=0,0,(VLOOKUP(C477,'MTRL MSK (TPDP)'!$B$9:$W637,3,0)))</f>
        <v>0</v>
      </c>
      <c r="E477" s="643" t="str">
        <f>iferror(IF(C477="","",(VLOOKUP(C477,'MTRL MSK (TPDP)'!$B$9:$W637,4,0))),"")</f>
        <v/>
      </c>
      <c r="F477" s="644">
        <f>IF(H477=0,0,(VLOOKUP(H477,'MTRL MSK (TPDP)'!$H$9:$X637,17,0)))</f>
        <v>0</v>
      </c>
      <c r="G477" s="645"/>
      <c r="H477" s="646"/>
      <c r="I477" s="446">
        <f>IF(H477=0,0,(VLOOKUP(H477,'MTRL MSK (TPDP)'!$H$9:$U637,2,0)))</f>
        <v>0</v>
      </c>
      <c r="J477" s="448" t="str">
        <f>IFERROR((IF(H477=0,0,(VLOOKUP(H477,'MTRL MSK (TPDP)'!$H$8:$U637,7,0))))/(IF(H477=0,0,(VLOOKUP(H477,'MTRL MSK (TPDP)'!$H$8:$U637,5,0)))),"")</f>
        <v/>
      </c>
      <c r="K477" s="559"/>
      <c r="L477" s="448">
        <f t="shared" si="1"/>
        <v>0</v>
      </c>
      <c r="M477" s="647">
        <f t="shared" si="2"/>
        <v>0</v>
      </c>
      <c r="N477" s="647">
        <f t="shared" si="3"/>
        <v>0</v>
      </c>
      <c r="O477" s="448">
        <f>IF(H477=0,0,(VLOOKUP(H477,'MTRL MSK (TPDP)'!$H$9:$U637,5,0)))</f>
        <v>0</v>
      </c>
      <c r="P477" s="448">
        <f t="shared" si="4"/>
        <v>0</v>
      </c>
      <c r="Q477" s="448">
        <f t="shared" si="5"/>
        <v>0</v>
      </c>
      <c r="R477" s="648" t="str">
        <f>IFERROR(IF(S477="","",(VLOOKUP(S477,'1. BQ RAPL'!$D$14:$K637,8,0))),"")</f>
        <v/>
      </c>
      <c r="S477" s="649"/>
      <c r="T477" s="650"/>
      <c r="U477" s="16"/>
      <c r="V477" s="16"/>
      <c r="W477" s="16"/>
      <c r="X477" s="119"/>
      <c r="Y477" s="119"/>
      <c r="Z477" s="119"/>
      <c r="AA477" s="119"/>
      <c r="AB477" s="119"/>
      <c r="AC477" s="119"/>
      <c r="AD477" s="119"/>
      <c r="AE477" s="119"/>
      <c r="AF477" s="119"/>
    </row>
    <row r="478" ht="18.75" customHeight="1">
      <c r="A478" s="119"/>
      <c r="B478" s="652"/>
      <c r="C478" s="642">
        <f>IF(F478=0,0,(VLOOKUP(F478,'MTRL MSK (TPDP)'!$F$9:$W637,18,0)))</f>
        <v>0</v>
      </c>
      <c r="D478" s="642">
        <f>IF(C478=0,0,(VLOOKUP(C478,'MTRL MSK (TPDP)'!$B$9:$W637,3,0)))</f>
        <v>0</v>
      </c>
      <c r="E478" s="643" t="str">
        <f>iferror(IF(C478="","",(VLOOKUP(C478,'MTRL MSK (TPDP)'!$B$9:$W637,4,0))),"")</f>
        <v/>
      </c>
      <c r="F478" s="644">
        <f>IF(H478=0,0,(VLOOKUP(H478,'MTRL MSK (TPDP)'!$H$9:$X637,17,0)))</f>
        <v>0</v>
      </c>
      <c r="G478" s="645"/>
      <c r="H478" s="646"/>
      <c r="I478" s="446">
        <f>IF(H478=0,0,(VLOOKUP(H478,'MTRL MSK (TPDP)'!$H$9:$U637,2,0)))</f>
        <v>0</v>
      </c>
      <c r="J478" s="448" t="str">
        <f>IFERROR((IF(H478=0,0,(VLOOKUP(H478,'MTRL MSK (TPDP)'!$H$8:$U637,7,0))))/(IF(H478=0,0,(VLOOKUP(H478,'MTRL MSK (TPDP)'!$H$8:$U637,5,0)))),"")</f>
        <v/>
      </c>
      <c r="K478" s="559"/>
      <c r="L478" s="448">
        <f t="shared" si="1"/>
        <v>0</v>
      </c>
      <c r="M478" s="647">
        <f t="shared" si="2"/>
        <v>0</v>
      </c>
      <c r="N478" s="647">
        <f t="shared" si="3"/>
        <v>0</v>
      </c>
      <c r="O478" s="448">
        <f>IF(H478=0,0,(VLOOKUP(H478,'MTRL MSK (TPDP)'!$H$9:$U637,5,0)))</f>
        <v>0</v>
      </c>
      <c r="P478" s="448">
        <f t="shared" si="4"/>
        <v>0</v>
      </c>
      <c r="Q478" s="448">
        <f t="shared" si="5"/>
        <v>0</v>
      </c>
      <c r="R478" s="648" t="str">
        <f>IFERROR(IF(S478="","",(VLOOKUP(S478,'1. BQ RAPL'!$D$14:$K637,8,0))),"")</f>
        <v/>
      </c>
      <c r="S478" s="649"/>
      <c r="T478" s="650"/>
      <c r="U478" s="16"/>
      <c r="V478" s="16"/>
      <c r="W478" s="16"/>
      <c r="X478" s="119"/>
      <c r="Y478" s="119"/>
      <c r="Z478" s="119"/>
      <c r="AA478" s="119"/>
      <c r="AB478" s="119"/>
      <c r="AC478" s="119"/>
      <c r="AD478" s="119"/>
      <c r="AE478" s="119"/>
      <c r="AF478" s="119"/>
    </row>
    <row r="479" ht="18.75" customHeight="1">
      <c r="A479" s="119"/>
      <c r="B479" s="652"/>
      <c r="C479" s="642">
        <f>IF(F479=0,0,(VLOOKUP(F479,'MTRL MSK (TPDP)'!$F$9:$W637,18,0)))</f>
        <v>0</v>
      </c>
      <c r="D479" s="642">
        <f>IF(C479=0,0,(VLOOKUP(C479,'MTRL MSK (TPDP)'!$B$9:$W637,3,0)))</f>
        <v>0</v>
      </c>
      <c r="E479" s="643" t="str">
        <f>iferror(IF(C479="","",(VLOOKUP(C479,'MTRL MSK (TPDP)'!$B$9:$W637,4,0))),"")</f>
        <v/>
      </c>
      <c r="F479" s="644">
        <f>IF(H479=0,0,(VLOOKUP(H479,'MTRL MSK (TPDP)'!$H$9:$X637,17,0)))</f>
        <v>0</v>
      </c>
      <c r="G479" s="645"/>
      <c r="H479" s="646"/>
      <c r="I479" s="446">
        <f>IF(H479=0,0,(VLOOKUP(H479,'MTRL MSK (TPDP)'!$H$9:$U637,2,0)))</f>
        <v>0</v>
      </c>
      <c r="J479" s="448" t="str">
        <f>IFERROR((IF(H479=0,0,(VLOOKUP(H479,'MTRL MSK (TPDP)'!$H$8:$U637,7,0))))/(IF(H479=0,0,(VLOOKUP(H479,'MTRL MSK (TPDP)'!$H$8:$U637,5,0)))),"")</f>
        <v/>
      </c>
      <c r="K479" s="559"/>
      <c r="L479" s="448">
        <f t="shared" si="1"/>
        <v>0</v>
      </c>
      <c r="M479" s="647">
        <f t="shared" si="2"/>
        <v>0</v>
      </c>
      <c r="N479" s="647">
        <f t="shared" si="3"/>
        <v>0</v>
      </c>
      <c r="O479" s="448">
        <f>IF(H479=0,0,(VLOOKUP(H479,'MTRL MSK (TPDP)'!$H$9:$U637,5,0)))</f>
        <v>0</v>
      </c>
      <c r="P479" s="448">
        <f t="shared" si="4"/>
        <v>0</v>
      </c>
      <c r="Q479" s="448">
        <f t="shared" si="5"/>
        <v>0</v>
      </c>
      <c r="R479" s="648" t="str">
        <f>IFERROR(IF(S479="","",(VLOOKUP(S479,'1. BQ RAPL'!$D$14:$K637,8,0))),"")</f>
        <v/>
      </c>
      <c r="S479" s="649"/>
      <c r="T479" s="650"/>
      <c r="U479" s="16"/>
      <c r="V479" s="16"/>
      <c r="W479" s="16"/>
      <c r="X479" s="119"/>
      <c r="Y479" s="119"/>
      <c r="Z479" s="119"/>
      <c r="AA479" s="119"/>
      <c r="AB479" s="119"/>
      <c r="AC479" s="119"/>
      <c r="AD479" s="119"/>
      <c r="AE479" s="119"/>
      <c r="AF479" s="119"/>
    </row>
    <row r="480" ht="18.75" customHeight="1">
      <c r="A480" s="119"/>
      <c r="B480" s="652"/>
      <c r="C480" s="642">
        <f>IF(F480=0,0,(VLOOKUP(F480,'MTRL MSK (TPDP)'!$F$9:$W637,18,0)))</f>
        <v>0</v>
      </c>
      <c r="D480" s="642">
        <f>IF(C480=0,0,(VLOOKUP(C480,'MTRL MSK (TPDP)'!$B$9:$W637,3,0)))</f>
        <v>0</v>
      </c>
      <c r="E480" s="643" t="str">
        <f>iferror(IF(C480="","",(VLOOKUP(C480,'MTRL MSK (TPDP)'!$B$9:$W637,4,0))),"")</f>
        <v/>
      </c>
      <c r="F480" s="644">
        <f>IF(H480=0,0,(VLOOKUP(H480,'MTRL MSK (TPDP)'!$H$9:$X637,17,0)))</f>
        <v>0</v>
      </c>
      <c r="G480" s="645"/>
      <c r="H480" s="646"/>
      <c r="I480" s="446">
        <f>IF(H480=0,0,(VLOOKUP(H480,'MTRL MSK (TPDP)'!$H$9:$U637,2,0)))</f>
        <v>0</v>
      </c>
      <c r="J480" s="448" t="str">
        <f>IFERROR((IF(H480=0,0,(VLOOKUP(H480,'MTRL MSK (TPDP)'!$H$8:$U637,7,0))))/(IF(H480=0,0,(VLOOKUP(H480,'MTRL MSK (TPDP)'!$H$8:$U637,5,0)))),"")</f>
        <v/>
      </c>
      <c r="K480" s="559"/>
      <c r="L480" s="448">
        <f t="shared" si="1"/>
        <v>0</v>
      </c>
      <c r="M480" s="647">
        <f t="shared" si="2"/>
        <v>0</v>
      </c>
      <c r="N480" s="647">
        <f t="shared" si="3"/>
        <v>0</v>
      </c>
      <c r="O480" s="448">
        <f>IF(H480=0,0,(VLOOKUP(H480,'MTRL MSK (TPDP)'!$H$9:$U637,5,0)))</f>
        <v>0</v>
      </c>
      <c r="P480" s="448">
        <f t="shared" si="4"/>
        <v>0</v>
      </c>
      <c r="Q480" s="448">
        <f t="shared" si="5"/>
        <v>0</v>
      </c>
      <c r="R480" s="648" t="str">
        <f>IFERROR(IF(S480="","",(VLOOKUP(S480,'1. BQ RAPL'!$D$14:$K637,8,0))),"")</f>
        <v/>
      </c>
      <c r="S480" s="649"/>
      <c r="T480" s="650"/>
      <c r="U480" s="16"/>
      <c r="V480" s="16"/>
      <c r="W480" s="16"/>
      <c r="X480" s="119"/>
      <c r="Y480" s="119"/>
      <c r="Z480" s="119"/>
      <c r="AA480" s="119"/>
      <c r="AB480" s="119"/>
      <c r="AC480" s="119"/>
      <c r="AD480" s="119"/>
      <c r="AE480" s="119"/>
      <c r="AF480" s="119"/>
    </row>
    <row r="481" ht="18.75" customHeight="1">
      <c r="A481" s="119"/>
      <c r="B481" s="652"/>
      <c r="C481" s="642">
        <f>IF(F481=0,0,(VLOOKUP(F481,'MTRL MSK (TPDP)'!$F$9:$W637,18,0)))</f>
        <v>0</v>
      </c>
      <c r="D481" s="642">
        <f>IF(C481=0,0,(VLOOKUP(C481,'MTRL MSK (TPDP)'!$B$9:$W637,3,0)))</f>
        <v>0</v>
      </c>
      <c r="E481" s="643" t="str">
        <f>iferror(IF(C481="","",(VLOOKUP(C481,'MTRL MSK (TPDP)'!$B$9:$W637,4,0))),"")</f>
        <v/>
      </c>
      <c r="F481" s="644">
        <f>IF(H481=0,0,(VLOOKUP(H481,'MTRL MSK (TPDP)'!$H$9:$X637,17,0)))</f>
        <v>0</v>
      </c>
      <c r="G481" s="645"/>
      <c r="H481" s="646"/>
      <c r="I481" s="446">
        <f>IF(H481=0,0,(VLOOKUP(H481,'MTRL MSK (TPDP)'!$H$9:$U637,2,0)))</f>
        <v>0</v>
      </c>
      <c r="J481" s="448" t="str">
        <f>IFERROR((IF(H481=0,0,(VLOOKUP(H481,'MTRL MSK (TPDP)'!$H$8:$U637,7,0))))/(IF(H481=0,0,(VLOOKUP(H481,'MTRL MSK (TPDP)'!$H$8:$U637,5,0)))),"")</f>
        <v/>
      </c>
      <c r="K481" s="559"/>
      <c r="L481" s="448">
        <f t="shared" si="1"/>
        <v>0</v>
      </c>
      <c r="M481" s="647">
        <f t="shared" si="2"/>
        <v>0</v>
      </c>
      <c r="N481" s="647">
        <f t="shared" si="3"/>
        <v>0</v>
      </c>
      <c r="O481" s="448">
        <f>IF(H481=0,0,(VLOOKUP(H481,'MTRL MSK (TPDP)'!$H$9:$U637,5,0)))</f>
        <v>0</v>
      </c>
      <c r="P481" s="448">
        <f t="shared" si="4"/>
        <v>0</v>
      </c>
      <c r="Q481" s="448">
        <f t="shared" si="5"/>
        <v>0</v>
      </c>
      <c r="R481" s="648" t="str">
        <f>IFERROR(IF(S481="","",(VLOOKUP(S481,'1. BQ RAPL'!$D$14:$K637,8,0))),"")</f>
        <v/>
      </c>
      <c r="S481" s="649"/>
      <c r="T481" s="650"/>
      <c r="U481" s="16"/>
      <c r="V481" s="16"/>
      <c r="W481" s="16"/>
      <c r="X481" s="119"/>
      <c r="Y481" s="119"/>
      <c r="Z481" s="119"/>
      <c r="AA481" s="119"/>
      <c r="AB481" s="119"/>
      <c r="AC481" s="119"/>
      <c r="AD481" s="119"/>
      <c r="AE481" s="119"/>
      <c r="AF481" s="119"/>
    </row>
    <row r="482" ht="18.75" customHeight="1">
      <c r="A482" s="119"/>
      <c r="B482" s="652"/>
      <c r="C482" s="642">
        <f>IF(F482=0,0,(VLOOKUP(F482,'MTRL MSK (TPDP)'!$F$9:$W637,18,0)))</f>
        <v>0</v>
      </c>
      <c r="D482" s="642">
        <f>IF(C482=0,0,(VLOOKUP(C482,'MTRL MSK (TPDP)'!$B$9:$W637,3,0)))</f>
        <v>0</v>
      </c>
      <c r="E482" s="643" t="str">
        <f>iferror(IF(C482="","",(VLOOKUP(C482,'MTRL MSK (TPDP)'!$B$9:$W637,4,0))),"")</f>
        <v/>
      </c>
      <c r="F482" s="644">
        <f>IF(H482=0,0,(VLOOKUP(H482,'MTRL MSK (TPDP)'!$H$9:$X637,17,0)))</f>
        <v>0</v>
      </c>
      <c r="G482" s="645"/>
      <c r="H482" s="646"/>
      <c r="I482" s="446">
        <f>IF(H482=0,0,(VLOOKUP(H482,'MTRL MSK (TPDP)'!$H$9:$U637,2,0)))</f>
        <v>0</v>
      </c>
      <c r="J482" s="448" t="str">
        <f>IFERROR((IF(H482=0,0,(VLOOKUP(H482,'MTRL MSK (TPDP)'!$H$8:$U637,7,0))))/(IF(H482=0,0,(VLOOKUP(H482,'MTRL MSK (TPDP)'!$H$8:$U637,5,0)))),"")</f>
        <v/>
      </c>
      <c r="K482" s="559"/>
      <c r="L482" s="448">
        <f t="shared" si="1"/>
        <v>0</v>
      </c>
      <c r="M482" s="647">
        <f t="shared" si="2"/>
        <v>0</v>
      </c>
      <c r="N482" s="647">
        <f t="shared" si="3"/>
        <v>0</v>
      </c>
      <c r="O482" s="448">
        <f>IF(H482=0,0,(VLOOKUP(H482,'MTRL MSK (TPDP)'!$H$9:$U637,5,0)))</f>
        <v>0</v>
      </c>
      <c r="P482" s="448">
        <f t="shared" si="4"/>
        <v>0</v>
      </c>
      <c r="Q482" s="448">
        <f t="shared" si="5"/>
        <v>0</v>
      </c>
      <c r="R482" s="648" t="str">
        <f>IFERROR(IF(S482="","",(VLOOKUP(S482,'1. BQ RAPL'!$D$14:$K637,8,0))),"")</f>
        <v/>
      </c>
      <c r="S482" s="649"/>
      <c r="T482" s="650"/>
      <c r="U482" s="16"/>
      <c r="V482" s="16"/>
      <c r="W482" s="16"/>
      <c r="X482" s="119"/>
      <c r="Y482" s="119"/>
      <c r="Z482" s="119"/>
      <c r="AA482" s="119"/>
      <c r="AB482" s="119"/>
      <c r="AC482" s="119"/>
      <c r="AD482" s="119"/>
      <c r="AE482" s="119"/>
      <c r="AF482" s="119"/>
    </row>
    <row r="483" ht="18.75" customHeight="1">
      <c r="A483" s="119"/>
      <c r="B483" s="652"/>
      <c r="C483" s="642">
        <f>IF(F483=0,0,(VLOOKUP(F483,'MTRL MSK (TPDP)'!$F$9:$W637,18,0)))</f>
        <v>0</v>
      </c>
      <c r="D483" s="642">
        <f>IF(C483=0,0,(VLOOKUP(C483,'MTRL MSK (TPDP)'!$B$9:$W637,3,0)))</f>
        <v>0</v>
      </c>
      <c r="E483" s="643" t="str">
        <f>iferror(IF(C483="","",(VLOOKUP(C483,'MTRL MSK (TPDP)'!$B$9:$W637,4,0))),"")</f>
        <v/>
      </c>
      <c r="F483" s="644">
        <f>IF(H483=0,0,(VLOOKUP(H483,'MTRL MSK (TPDP)'!$H$9:$X637,17,0)))</f>
        <v>0</v>
      </c>
      <c r="G483" s="645"/>
      <c r="H483" s="646"/>
      <c r="I483" s="446">
        <f>IF(H483=0,0,(VLOOKUP(H483,'MTRL MSK (TPDP)'!$H$9:$U637,2,0)))</f>
        <v>0</v>
      </c>
      <c r="J483" s="448" t="str">
        <f>IFERROR((IF(H483=0,0,(VLOOKUP(H483,'MTRL MSK (TPDP)'!$H$8:$U637,7,0))))/(IF(H483=0,0,(VLOOKUP(H483,'MTRL MSK (TPDP)'!$H$8:$U637,5,0)))),"")</f>
        <v/>
      </c>
      <c r="K483" s="559"/>
      <c r="L483" s="448">
        <f t="shared" si="1"/>
        <v>0</v>
      </c>
      <c r="M483" s="647">
        <f t="shared" si="2"/>
        <v>0</v>
      </c>
      <c r="N483" s="647">
        <f t="shared" si="3"/>
        <v>0</v>
      </c>
      <c r="O483" s="448">
        <f>IF(H483=0,0,(VLOOKUP(H483,'MTRL MSK (TPDP)'!$H$9:$U637,5,0)))</f>
        <v>0</v>
      </c>
      <c r="P483" s="448">
        <f t="shared" si="4"/>
        <v>0</v>
      </c>
      <c r="Q483" s="448">
        <f t="shared" si="5"/>
        <v>0</v>
      </c>
      <c r="R483" s="648" t="str">
        <f>IFERROR(IF(S483="","",(VLOOKUP(S483,'1. BQ RAPL'!$D$14:$K637,8,0))),"")</f>
        <v/>
      </c>
      <c r="S483" s="649"/>
      <c r="T483" s="650"/>
      <c r="U483" s="16"/>
      <c r="V483" s="16"/>
      <c r="W483" s="16"/>
      <c r="X483" s="119"/>
      <c r="Y483" s="119"/>
      <c r="Z483" s="119"/>
      <c r="AA483" s="119"/>
      <c r="AB483" s="119"/>
      <c r="AC483" s="119"/>
      <c r="AD483" s="119"/>
      <c r="AE483" s="119"/>
      <c r="AF483" s="119"/>
    </row>
    <row r="484" ht="18.75" customHeight="1">
      <c r="A484" s="119"/>
      <c r="B484" s="652"/>
      <c r="C484" s="642">
        <f>IF(F484=0,0,(VLOOKUP(F484,'MTRL MSK (TPDP)'!$F$9:$W637,18,0)))</f>
        <v>0</v>
      </c>
      <c r="D484" s="642">
        <f>IF(C484=0,0,(VLOOKUP(C484,'MTRL MSK (TPDP)'!$B$9:$W637,3,0)))</f>
        <v>0</v>
      </c>
      <c r="E484" s="643" t="str">
        <f>iferror(IF(C484="","",(VLOOKUP(C484,'MTRL MSK (TPDP)'!$B$9:$W637,4,0))),"")</f>
        <v/>
      </c>
      <c r="F484" s="644">
        <f>IF(H484=0,0,(VLOOKUP(H484,'MTRL MSK (TPDP)'!$H$9:$X637,17,0)))</f>
        <v>0</v>
      </c>
      <c r="G484" s="645"/>
      <c r="H484" s="646"/>
      <c r="I484" s="446">
        <f>IF(H484=0,0,(VLOOKUP(H484,'MTRL MSK (TPDP)'!$H$9:$U637,2,0)))</f>
        <v>0</v>
      </c>
      <c r="J484" s="448" t="str">
        <f>IFERROR((IF(H484=0,0,(VLOOKUP(H484,'MTRL MSK (TPDP)'!$H$8:$U637,7,0))))/(IF(H484=0,0,(VLOOKUP(H484,'MTRL MSK (TPDP)'!$H$8:$U637,5,0)))),"")</f>
        <v/>
      </c>
      <c r="K484" s="559"/>
      <c r="L484" s="448">
        <f t="shared" si="1"/>
        <v>0</v>
      </c>
      <c r="M484" s="647">
        <f t="shared" si="2"/>
        <v>0</v>
      </c>
      <c r="N484" s="647">
        <f t="shared" si="3"/>
        <v>0</v>
      </c>
      <c r="O484" s="448">
        <f>IF(H484=0,0,(VLOOKUP(H484,'MTRL MSK (TPDP)'!$H$9:$U637,5,0)))</f>
        <v>0</v>
      </c>
      <c r="P484" s="448">
        <f t="shared" si="4"/>
        <v>0</v>
      </c>
      <c r="Q484" s="448">
        <f t="shared" si="5"/>
        <v>0</v>
      </c>
      <c r="R484" s="648" t="str">
        <f>IFERROR(IF(S484="","",(VLOOKUP(S484,'1. BQ RAPL'!$D$14:$K637,8,0))),"")</f>
        <v/>
      </c>
      <c r="S484" s="649"/>
      <c r="T484" s="650"/>
      <c r="U484" s="16"/>
      <c r="V484" s="16"/>
      <c r="W484" s="16"/>
      <c r="X484" s="119"/>
      <c r="Y484" s="119"/>
      <c r="Z484" s="119"/>
      <c r="AA484" s="119"/>
      <c r="AB484" s="119"/>
      <c r="AC484" s="119"/>
      <c r="AD484" s="119"/>
      <c r="AE484" s="119"/>
      <c r="AF484" s="119"/>
    </row>
    <row r="485" ht="18.75" customHeight="1">
      <c r="A485" s="119"/>
      <c r="B485" s="652"/>
      <c r="C485" s="642">
        <f>IF(F485=0,0,(VLOOKUP(F485,'MTRL MSK (TPDP)'!$F$9:$W637,18,0)))</f>
        <v>0</v>
      </c>
      <c r="D485" s="642">
        <f>IF(C485=0,0,(VLOOKUP(C485,'MTRL MSK (TPDP)'!$B$9:$W637,3,0)))</f>
        <v>0</v>
      </c>
      <c r="E485" s="643" t="str">
        <f>iferror(IF(C485="","",(VLOOKUP(C485,'MTRL MSK (TPDP)'!$B$9:$W637,4,0))),"")</f>
        <v/>
      </c>
      <c r="F485" s="644">
        <f>IF(H485=0,0,(VLOOKUP(H485,'MTRL MSK (TPDP)'!$H$9:$X637,17,0)))</f>
        <v>0</v>
      </c>
      <c r="G485" s="645"/>
      <c r="H485" s="646"/>
      <c r="I485" s="446">
        <f>IF(H485=0,0,(VLOOKUP(H485,'MTRL MSK (TPDP)'!$H$9:$U637,2,0)))</f>
        <v>0</v>
      </c>
      <c r="J485" s="448" t="str">
        <f>IFERROR((IF(H485=0,0,(VLOOKUP(H485,'MTRL MSK (TPDP)'!$H$8:$U637,7,0))))/(IF(H485=0,0,(VLOOKUP(H485,'MTRL MSK (TPDP)'!$H$8:$U637,5,0)))),"")</f>
        <v/>
      </c>
      <c r="K485" s="559"/>
      <c r="L485" s="448">
        <f t="shared" si="1"/>
        <v>0</v>
      </c>
      <c r="M485" s="647">
        <f t="shared" si="2"/>
        <v>0</v>
      </c>
      <c r="N485" s="647">
        <f t="shared" si="3"/>
        <v>0</v>
      </c>
      <c r="O485" s="448">
        <f>IF(H485=0,0,(VLOOKUP(H485,'MTRL MSK (TPDP)'!$H$9:$U637,5,0)))</f>
        <v>0</v>
      </c>
      <c r="P485" s="448">
        <f t="shared" si="4"/>
        <v>0</v>
      </c>
      <c r="Q485" s="448">
        <f t="shared" si="5"/>
        <v>0</v>
      </c>
      <c r="R485" s="648" t="str">
        <f>IFERROR(IF(S485="","",(VLOOKUP(S485,'1. BQ RAPL'!$D$14:$K637,8,0))),"")</f>
        <v/>
      </c>
      <c r="S485" s="649"/>
      <c r="T485" s="650"/>
      <c r="U485" s="16"/>
      <c r="V485" s="16"/>
      <c r="W485" s="16"/>
      <c r="X485" s="119"/>
      <c r="Y485" s="119"/>
      <c r="Z485" s="119"/>
      <c r="AA485" s="119"/>
      <c r="AB485" s="119"/>
      <c r="AC485" s="119"/>
      <c r="AD485" s="119"/>
      <c r="AE485" s="119"/>
      <c r="AF485" s="119"/>
    </row>
    <row r="486" ht="18.75" customHeight="1">
      <c r="A486" s="119"/>
      <c r="B486" s="652"/>
      <c r="C486" s="642">
        <f>IF(F486=0,0,(VLOOKUP(F486,'MTRL MSK (TPDP)'!$F$9:$W637,18,0)))</f>
        <v>0</v>
      </c>
      <c r="D486" s="642">
        <f>IF(C486=0,0,(VLOOKUP(C486,'MTRL MSK (TPDP)'!$B$9:$W637,3,0)))</f>
        <v>0</v>
      </c>
      <c r="E486" s="643" t="str">
        <f>iferror(IF(C486="","",(VLOOKUP(C486,'MTRL MSK (TPDP)'!$B$9:$W637,4,0))),"")</f>
        <v/>
      </c>
      <c r="F486" s="644">
        <f>IF(H486=0,0,(VLOOKUP(H486,'MTRL MSK (TPDP)'!$H$9:$X637,17,0)))</f>
        <v>0</v>
      </c>
      <c r="G486" s="645"/>
      <c r="H486" s="646"/>
      <c r="I486" s="446">
        <f>IF(H486=0,0,(VLOOKUP(H486,'MTRL MSK (TPDP)'!$H$9:$U637,2,0)))</f>
        <v>0</v>
      </c>
      <c r="J486" s="448" t="str">
        <f>IFERROR((IF(H486=0,0,(VLOOKUP(H486,'MTRL MSK (TPDP)'!$H$8:$U637,7,0))))/(IF(H486=0,0,(VLOOKUP(H486,'MTRL MSK (TPDP)'!$H$8:$U637,5,0)))),"")</f>
        <v/>
      </c>
      <c r="K486" s="559"/>
      <c r="L486" s="448">
        <f t="shared" si="1"/>
        <v>0</v>
      </c>
      <c r="M486" s="647">
        <f t="shared" si="2"/>
        <v>0</v>
      </c>
      <c r="N486" s="647">
        <f t="shared" si="3"/>
        <v>0</v>
      </c>
      <c r="O486" s="448">
        <f>IF(H486=0,0,(VLOOKUP(H486,'MTRL MSK (TPDP)'!$H$9:$U637,5,0)))</f>
        <v>0</v>
      </c>
      <c r="P486" s="448">
        <f t="shared" si="4"/>
        <v>0</v>
      </c>
      <c r="Q486" s="448">
        <f t="shared" si="5"/>
        <v>0</v>
      </c>
      <c r="R486" s="648" t="str">
        <f>IFERROR(IF(S486="","",(VLOOKUP(S486,'1. BQ RAPL'!$D$14:$K637,8,0))),"")</f>
        <v/>
      </c>
      <c r="S486" s="649"/>
      <c r="T486" s="650"/>
      <c r="U486" s="16"/>
      <c r="V486" s="16"/>
      <c r="W486" s="16"/>
      <c r="X486" s="119"/>
      <c r="Y486" s="119"/>
      <c r="Z486" s="119"/>
      <c r="AA486" s="119"/>
      <c r="AB486" s="119"/>
      <c r="AC486" s="119"/>
      <c r="AD486" s="119"/>
      <c r="AE486" s="119"/>
      <c r="AF486" s="119"/>
    </row>
    <row r="487" ht="18.75" customHeight="1">
      <c r="A487" s="119"/>
      <c r="B487" s="652"/>
      <c r="C487" s="642">
        <f>IF(F487=0,0,(VLOOKUP(F487,'MTRL MSK (TPDP)'!$F$9:$W637,18,0)))</f>
        <v>0</v>
      </c>
      <c r="D487" s="642">
        <f>IF(C487=0,0,(VLOOKUP(C487,'MTRL MSK (TPDP)'!$B$9:$W637,3,0)))</f>
        <v>0</v>
      </c>
      <c r="E487" s="643" t="str">
        <f>iferror(IF(C487="","",(VLOOKUP(C487,'MTRL MSK (TPDP)'!$B$9:$W637,4,0))),"")</f>
        <v/>
      </c>
      <c r="F487" s="644">
        <f>IF(H487=0,0,(VLOOKUP(H487,'MTRL MSK (TPDP)'!$H$9:$X637,17,0)))</f>
        <v>0</v>
      </c>
      <c r="G487" s="645"/>
      <c r="H487" s="646"/>
      <c r="I487" s="446">
        <f>IF(H487=0,0,(VLOOKUP(H487,'MTRL MSK (TPDP)'!$H$9:$U637,2,0)))</f>
        <v>0</v>
      </c>
      <c r="J487" s="448" t="str">
        <f>IFERROR((IF(H487=0,0,(VLOOKUP(H487,'MTRL MSK (TPDP)'!$H$8:$U637,7,0))))/(IF(H487=0,0,(VLOOKUP(H487,'MTRL MSK (TPDP)'!$H$8:$U637,5,0)))),"")</f>
        <v/>
      </c>
      <c r="K487" s="559"/>
      <c r="L487" s="448">
        <f t="shared" si="1"/>
        <v>0</v>
      </c>
      <c r="M487" s="647">
        <f t="shared" si="2"/>
        <v>0</v>
      </c>
      <c r="N487" s="647">
        <f t="shared" si="3"/>
        <v>0</v>
      </c>
      <c r="O487" s="448">
        <f>IF(H487=0,0,(VLOOKUP(H487,'MTRL MSK (TPDP)'!$H$9:$U637,5,0)))</f>
        <v>0</v>
      </c>
      <c r="P487" s="448">
        <f t="shared" si="4"/>
        <v>0</v>
      </c>
      <c r="Q487" s="448">
        <f t="shared" si="5"/>
        <v>0</v>
      </c>
      <c r="R487" s="648" t="str">
        <f>IFERROR(IF(S487="","",(VLOOKUP(S487,'1. BQ RAPL'!$D$14:$K637,8,0))),"")</f>
        <v/>
      </c>
      <c r="S487" s="649"/>
      <c r="T487" s="650"/>
      <c r="U487" s="16"/>
      <c r="V487" s="16"/>
      <c r="W487" s="16"/>
      <c r="X487" s="119"/>
      <c r="Y487" s="119"/>
      <c r="Z487" s="119"/>
      <c r="AA487" s="119"/>
      <c r="AB487" s="119"/>
      <c r="AC487" s="119"/>
      <c r="AD487" s="119"/>
      <c r="AE487" s="119"/>
      <c r="AF487" s="119"/>
    </row>
    <row r="488" ht="18.75" customHeight="1">
      <c r="A488" s="119"/>
      <c r="B488" s="652"/>
      <c r="C488" s="642">
        <f>IF(F488=0,0,(VLOOKUP(F488,'MTRL MSK (TPDP)'!$F$9:$W637,18,0)))</f>
        <v>0</v>
      </c>
      <c r="D488" s="642">
        <f>IF(C488=0,0,(VLOOKUP(C488,'MTRL MSK (TPDP)'!$B$9:$W637,3,0)))</f>
        <v>0</v>
      </c>
      <c r="E488" s="643" t="str">
        <f>iferror(IF(C488="","",(VLOOKUP(C488,'MTRL MSK (TPDP)'!$B$9:$W637,4,0))),"")</f>
        <v/>
      </c>
      <c r="F488" s="644">
        <f>IF(H488=0,0,(VLOOKUP(H488,'MTRL MSK (TPDP)'!$H$9:$X637,17,0)))</f>
        <v>0</v>
      </c>
      <c r="G488" s="645"/>
      <c r="H488" s="646"/>
      <c r="I488" s="446">
        <f>IF(H488=0,0,(VLOOKUP(H488,'MTRL MSK (TPDP)'!$H$9:$U637,2,0)))</f>
        <v>0</v>
      </c>
      <c r="J488" s="448" t="str">
        <f>IFERROR((IF(H488=0,0,(VLOOKUP(H488,'MTRL MSK (TPDP)'!$H$8:$U637,7,0))))/(IF(H488=0,0,(VLOOKUP(H488,'MTRL MSK (TPDP)'!$H$8:$U637,5,0)))),"")</f>
        <v/>
      </c>
      <c r="K488" s="559"/>
      <c r="L488" s="448">
        <f t="shared" si="1"/>
        <v>0</v>
      </c>
      <c r="M488" s="647">
        <f t="shared" si="2"/>
        <v>0</v>
      </c>
      <c r="N488" s="647">
        <f t="shared" si="3"/>
        <v>0</v>
      </c>
      <c r="O488" s="448">
        <f>IF(H488=0,0,(VLOOKUP(H488,'MTRL MSK (TPDP)'!$H$9:$U637,5,0)))</f>
        <v>0</v>
      </c>
      <c r="P488" s="448">
        <f t="shared" si="4"/>
        <v>0</v>
      </c>
      <c r="Q488" s="448">
        <f t="shared" si="5"/>
        <v>0</v>
      </c>
      <c r="R488" s="648" t="str">
        <f>IFERROR(IF(S488="","",(VLOOKUP(S488,'1. BQ RAPL'!$D$14:$K637,8,0))),"")</f>
        <v/>
      </c>
      <c r="S488" s="649"/>
      <c r="T488" s="650"/>
      <c r="U488" s="16"/>
      <c r="V488" s="16"/>
      <c r="W488" s="16"/>
      <c r="X488" s="119"/>
      <c r="Y488" s="119"/>
      <c r="Z488" s="119"/>
      <c r="AA488" s="119"/>
      <c r="AB488" s="119"/>
      <c r="AC488" s="119"/>
      <c r="AD488" s="119"/>
      <c r="AE488" s="119"/>
      <c r="AF488" s="119"/>
    </row>
    <row r="489" ht="18.75" customHeight="1">
      <c r="A489" s="119"/>
      <c r="B489" s="652"/>
      <c r="C489" s="642">
        <f>IF(F489=0,0,(VLOOKUP(F489,'MTRL MSK (TPDP)'!$F$9:$W637,18,0)))</f>
        <v>0</v>
      </c>
      <c r="D489" s="642">
        <f>IF(C489=0,0,(VLOOKUP(C489,'MTRL MSK (TPDP)'!$B$9:$W637,3,0)))</f>
        <v>0</v>
      </c>
      <c r="E489" s="643" t="str">
        <f>iferror(IF(C489="","",(VLOOKUP(C489,'MTRL MSK (TPDP)'!$B$9:$W637,4,0))),"")</f>
        <v/>
      </c>
      <c r="F489" s="644">
        <f>IF(H489=0,0,(VLOOKUP(H489,'MTRL MSK (TPDP)'!$H$9:$X637,17,0)))</f>
        <v>0</v>
      </c>
      <c r="G489" s="645"/>
      <c r="H489" s="646"/>
      <c r="I489" s="446">
        <f>IF(H489=0,0,(VLOOKUP(H489,'MTRL MSK (TPDP)'!$H$9:$U637,2,0)))</f>
        <v>0</v>
      </c>
      <c r="J489" s="448" t="str">
        <f>IFERROR((IF(H489=0,0,(VLOOKUP(H489,'MTRL MSK (TPDP)'!$H$8:$U637,7,0))))/(IF(H489=0,0,(VLOOKUP(H489,'MTRL MSK (TPDP)'!$H$8:$U637,5,0)))),"")</f>
        <v/>
      </c>
      <c r="K489" s="559"/>
      <c r="L489" s="448">
        <f t="shared" si="1"/>
        <v>0</v>
      </c>
      <c r="M489" s="647">
        <f t="shared" si="2"/>
        <v>0</v>
      </c>
      <c r="N489" s="647">
        <f t="shared" si="3"/>
        <v>0</v>
      </c>
      <c r="O489" s="448">
        <f>IF(H489=0,0,(VLOOKUP(H489,'MTRL MSK (TPDP)'!$H$9:$U637,5,0)))</f>
        <v>0</v>
      </c>
      <c r="P489" s="448">
        <f t="shared" si="4"/>
        <v>0</v>
      </c>
      <c r="Q489" s="448">
        <f t="shared" si="5"/>
        <v>0</v>
      </c>
      <c r="R489" s="648" t="str">
        <f>IFERROR(IF(S489="","",(VLOOKUP(S489,'1. BQ RAPL'!$D$14:$K637,8,0))),"")</f>
        <v/>
      </c>
      <c r="S489" s="649"/>
      <c r="T489" s="650"/>
      <c r="U489" s="16"/>
      <c r="V489" s="16"/>
      <c r="W489" s="16"/>
      <c r="X489" s="119"/>
      <c r="Y489" s="119"/>
      <c r="Z489" s="119"/>
      <c r="AA489" s="119"/>
      <c r="AB489" s="119"/>
      <c r="AC489" s="119"/>
      <c r="AD489" s="119"/>
      <c r="AE489" s="119"/>
      <c r="AF489" s="119"/>
    </row>
    <row r="490" ht="18.75" customHeight="1">
      <c r="A490" s="119"/>
      <c r="B490" s="652"/>
      <c r="C490" s="642">
        <f>IF(F490=0,0,(VLOOKUP(F490,'MTRL MSK (TPDP)'!$F$9:$W637,18,0)))</f>
        <v>0</v>
      </c>
      <c r="D490" s="642">
        <f>IF(C490=0,0,(VLOOKUP(C490,'MTRL MSK (TPDP)'!$B$9:$W637,3,0)))</f>
        <v>0</v>
      </c>
      <c r="E490" s="643" t="str">
        <f>iferror(IF(C490="","",(VLOOKUP(C490,'MTRL MSK (TPDP)'!$B$9:$W637,4,0))),"")</f>
        <v/>
      </c>
      <c r="F490" s="644">
        <f>IF(H490=0,0,(VLOOKUP(H490,'MTRL MSK (TPDP)'!$H$9:$X637,17,0)))</f>
        <v>0</v>
      </c>
      <c r="G490" s="645"/>
      <c r="H490" s="646"/>
      <c r="I490" s="446">
        <f>IF(H490=0,0,(VLOOKUP(H490,'MTRL MSK (TPDP)'!$H$9:$U637,2,0)))</f>
        <v>0</v>
      </c>
      <c r="J490" s="448" t="str">
        <f>IFERROR((IF(H490=0,0,(VLOOKUP(H490,'MTRL MSK (TPDP)'!$H$8:$U637,7,0))))/(IF(H490=0,0,(VLOOKUP(H490,'MTRL MSK (TPDP)'!$H$8:$U637,5,0)))),"")</f>
        <v/>
      </c>
      <c r="K490" s="559"/>
      <c r="L490" s="448">
        <f t="shared" si="1"/>
        <v>0</v>
      </c>
      <c r="M490" s="647">
        <f t="shared" si="2"/>
        <v>0</v>
      </c>
      <c r="N490" s="647">
        <f t="shared" si="3"/>
        <v>0</v>
      </c>
      <c r="O490" s="448">
        <f>IF(H490=0,0,(VLOOKUP(H490,'MTRL MSK (TPDP)'!$H$9:$U637,5,0)))</f>
        <v>0</v>
      </c>
      <c r="P490" s="448">
        <f t="shared" si="4"/>
        <v>0</v>
      </c>
      <c r="Q490" s="448">
        <f t="shared" si="5"/>
        <v>0</v>
      </c>
      <c r="R490" s="648" t="str">
        <f>IFERROR(IF(S490="","",(VLOOKUP(S490,'1. BQ RAPL'!$D$14:$K637,8,0))),"")</f>
        <v/>
      </c>
      <c r="S490" s="649"/>
      <c r="T490" s="650"/>
      <c r="U490" s="16"/>
      <c r="V490" s="16"/>
      <c r="W490" s="16"/>
      <c r="X490" s="119"/>
      <c r="Y490" s="119"/>
      <c r="Z490" s="119"/>
      <c r="AA490" s="119"/>
      <c r="AB490" s="119"/>
      <c r="AC490" s="119"/>
      <c r="AD490" s="119"/>
      <c r="AE490" s="119"/>
      <c r="AF490" s="119"/>
    </row>
    <row r="491" ht="18.75" customHeight="1">
      <c r="A491" s="119"/>
      <c r="B491" s="652"/>
      <c r="C491" s="642">
        <f>IF(F491=0,0,(VLOOKUP(F491,'MTRL MSK (TPDP)'!$F$9:$W637,18,0)))</f>
        <v>0</v>
      </c>
      <c r="D491" s="642">
        <f>IF(C491=0,0,(VLOOKUP(C491,'MTRL MSK (TPDP)'!$B$9:$W637,3,0)))</f>
        <v>0</v>
      </c>
      <c r="E491" s="643" t="str">
        <f>iferror(IF(C491="","",(VLOOKUP(C491,'MTRL MSK (TPDP)'!$B$9:$W637,4,0))),"")</f>
        <v/>
      </c>
      <c r="F491" s="644">
        <f>IF(H491=0,0,(VLOOKUP(H491,'MTRL MSK (TPDP)'!$H$9:$X637,17,0)))</f>
        <v>0</v>
      </c>
      <c r="G491" s="645"/>
      <c r="H491" s="646"/>
      <c r="I491" s="446">
        <f>IF(H491=0,0,(VLOOKUP(H491,'MTRL MSK (TPDP)'!$H$9:$U637,2,0)))</f>
        <v>0</v>
      </c>
      <c r="J491" s="448" t="str">
        <f>IFERROR((IF(H491=0,0,(VLOOKUP(H491,'MTRL MSK (TPDP)'!$H$8:$U637,7,0))))/(IF(H491=0,0,(VLOOKUP(H491,'MTRL MSK (TPDP)'!$H$8:$U637,5,0)))),"")</f>
        <v/>
      </c>
      <c r="K491" s="559"/>
      <c r="L491" s="448">
        <f t="shared" si="1"/>
        <v>0</v>
      </c>
      <c r="M491" s="647">
        <f t="shared" si="2"/>
        <v>0</v>
      </c>
      <c r="N491" s="647">
        <f t="shared" si="3"/>
        <v>0</v>
      </c>
      <c r="O491" s="448">
        <f>IF(H491=0,0,(VLOOKUP(H491,'MTRL MSK (TPDP)'!$H$9:$U637,5,0)))</f>
        <v>0</v>
      </c>
      <c r="P491" s="448">
        <f t="shared" si="4"/>
        <v>0</v>
      </c>
      <c r="Q491" s="448">
        <f t="shared" si="5"/>
        <v>0</v>
      </c>
      <c r="R491" s="648" t="str">
        <f>IFERROR(IF(S491="","",(VLOOKUP(S491,'1. BQ RAPL'!$D$14:$K637,8,0))),"")</f>
        <v/>
      </c>
      <c r="S491" s="649"/>
      <c r="T491" s="650"/>
      <c r="U491" s="16"/>
      <c r="V491" s="16"/>
      <c r="W491" s="16"/>
      <c r="X491" s="119"/>
      <c r="Y491" s="119"/>
      <c r="Z491" s="119"/>
      <c r="AA491" s="119"/>
      <c r="AB491" s="119"/>
      <c r="AC491" s="119"/>
      <c r="AD491" s="119"/>
      <c r="AE491" s="119"/>
      <c r="AF491" s="119"/>
    </row>
    <row r="492" ht="18.75" customHeight="1">
      <c r="A492" s="119"/>
      <c r="B492" s="652"/>
      <c r="C492" s="642">
        <f>IF(F492=0,0,(VLOOKUP(F492,'MTRL MSK (TPDP)'!$F$9:$W637,18,0)))</f>
        <v>0</v>
      </c>
      <c r="D492" s="642">
        <f>IF(C492=0,0,(VLOOKUP(C492,'MTRL MSK (TPDP)'!$B$9:$W637,3,0)))</f>
        <v>0</v>
      </c>
      <c r="E492" s="643" t="str">
        <f>iferror(IF(C492="","",(VLOOKUP(C492,'MTRL MSK (TPDP)'!$B$9:$W637,4,0))),"")</f>
        <v/>
      </c>
      <c r="F492" s="644">
        <f>IF(H492=0,0,(VLOOKUP(H492,'MTRL MSK (TPDP)'!$H$9:$X637,17,0)))</f>
        <v>0</v>
      </c>
      <c r="G492" s="645"/>
      <c r="H492" s="646"/>
      <c r="I492" s="446">
        <f>IF(H492=0,0,(VLOOKUP(H492,'MTRL MSK (TPDP)'!$H$9:$U637,2,0)))</f>
        <v>0</v>
      </c>
      <c r="J492" s="448" t="str">
        <f>IFERROR((IF(H492=0,0,(VLOOKUP(H492,'MTRL MSK (TPDP)'!$H$8:$U637,7,0))))/(IF(H492=0,0,(VLOOKUP(H492,'MTRL MSK (TPDP)'!$H$8:$U637,5,0)))),"")</f>
        <v/>
      </c>
      <c r="K492" s="559"/>
      <c r="L492" s="448">
        <f t="shared" si="1"/>
        <v>0</v>
      </c>
      <c r="M492" s="647">
        <f t="shared" si="2"/>
        <v>0</v>
      </c>
      <c r="N492" s="647">
        <f t="shared" si="3"/>
        <v>0</v>
      </c>
      <c r="O492" s="448">
        <f>IF(H492=0,0,(VLOOKUP(H492,'MTRL MSK (TPDP)'!$H$9:$U637,5,0)))</f>
        <v>0</v>
      </c>
      <c r="P492" s="448">
        <f t="shared" si="4"/>
        <v>0</v>
      </c>
      <c r="Q492" s="448">
        <f t="shared" si="5"/>
        <v>0</v>
      </c>
      <c r="R492" s="648" t="str">
        <f>IFERROR(IF(S492="","",(VLOOKUP(S492,'1. BQ RAPL'!$D$14:$K637,8,0))),"")</f>
        <v/>
      </c>
      <c r="S492" s="649"/>
      <c r="T492" s="650"/>
      <c r="U492" s="16"/>
      <c r="V492" s="16"/>
      <c r="W492" s="16"/>
      <c r="X492" s="119"/>
      <c r="Y492" s="119"/>
      <c r="Z492" s="119"/>
      <c r="AA492" s="119"/>
      <c r="AB492" s="119"/>
      <c r="AC492" s="119"/>
      <c r="AD492" s="119"/>
      <c r="AE492" s="119"/>
      <c r="AF492" s="119"/>
    </row>
    <row r="493" ht="18.75" customHeight="1">
      <c r="A493" s="119"/>
      <c r="B493" s="652"/>
      <c r="C493" s="642">
        <f>IF(F493=0,0,(VLOOKUP(F493,'MTRL MSK (TPDP)'!$F$9:$W637,18,0)))</f>
        <v>0</v>
      </c>
      <c r="D493" s="642">
        <f>IF(C493=0,0,(VLOOKUP(C493,'MTRL MSK (TPDP)'!$B$9:$W637,3,0)))</f>
        <v>0</v>
      </c>
      <c r="E493" s="643" t="str">
        <f>iferror(IF(C493="","",(VLOOKUP(C493,'MTRL MSK (TPDP)'!$B$9:$W637,4,0))),"")</f>
        <v/>
      </c>
      <c r="F493" s="644">
        <f>IF(H493=0,0,(VLOOKUP(H493,'MTRL MSK (TPDP)'!$H$9:$X637,17,0)))</f>
        <v>0</v>
      </c>
      <c r="G493" s="645"/>
      <c r="H493" s="646"/>
      <c r="I493" s="446">
        <f>IF(H493=0,0,(VLOOKUP(H493,'MTRL MSK (TPDP)'!$H$9:$U637,2,0)))</f>
        <v>0</v>
      </c>
      <c r="J493" s="448" t="str">
        <f>IFERROR((IF(H493=0,0,(VLOOKUP(H493,'MTRL MSK (TPDP)'!$H$8:$U637,7,0))))/(IF(H493=0,0,(VLOOKUP(H493,'MTRL MSK (TPDP)'!$H$8:$U637,5,0)))),"")</f>
        <v/>
      </c>
      <c r="K493" s="559"/>
      <c r="L493" s="448">
        <f t="shared" si="1"/>
        <v>0</v>
      </c>
      <c r="M493" s="647">
        <f t="shared" si="2"/>
        <v>0</v>
      </c>
      <c r="N493" s="647">
        <f t="shared" si="3"/>
        <v>0</v>
      </c>
      <c r="O493" s="448">
        <f>IF(H493=0,0,(VLOOKUP(H493,'MTRL MSK (TPDP)'!$H$9:$U637,5,0)))</f>
        <v>0</v>
      </c>
      <c r="P493" s="448">
        <f t="shared" si="4"/>
        <v>0</v>
      </c>
      <c r="Q493" s="448">
        <f t="shared" si="5"/>
        <v>0</v>
      </c>
      <c r="R493" s="648" t="str">
        <f>IFERROR(IF(S493="","",(VLOOKUP(S493,'1. BQ RAPL'!$D$14:$K637,8,0))),"")</f>
        <v/>
      </c>
      <c r="S493" s="649"/>
      <c r="T493" s="650"/>
      <c r="U493" s="16"/>
      <c r="V493" s="16"/>
      <c r="W493" s="16"/>
      <c r="X493" s="119"/>
      <c r="Y493" s="119"/>
      <c r="Z493" s="119"/>
      <c r="AA493" s="119"/>
      <c r="AB493" s="119"/>
      <c r="AC493" s="119"/>
      <c r="AD493" s="119"/>
      <c r="AE493" s="119"/>
      <c r="AF493" s="119"/>
    </row>
    <row r="494" ht="18.75" customHeight="1">
      <c r="A494" s="119"/>
      <c r="B494" s="652"/>
      <c r="C494" s="642">
        <f>IF(F494=0,0,(VLOOKUP(F494,'MTRL MSK (TPDP)'!$F$9:$W637,18,0)))</f>
        <v>0</v>
      </c>
      <c r="D494" s="642">
        <f>IF(C494=0,0,(VLOOKUP(C494,'MTRL MSK (TPDP)'!$B$9:$W637,3,0)))</f>
        <v>0</v>
      </c>
      <c r="E494" s="643" t="str">
        <f>iferror(IF(C494="","",(VLOOKUP(C494,'MTRL MSK (TPDP)'!$B$9:$W637,4,0))),"")</f>
        <v/>
      </c>
      <c r="F494" s="644">
        <f>IF(H494=0,0,(VLOOKUP(H494,'MTRL MSK (TPDP)'!$H$9:$X637,17,0)))</f>
        <v>0</v>
      </c>
      <c r="G494" s="645"/>
      <c r="H494" s="646"/>
      <c r="I494" s="446">
        <f>IF(H494=0,0,(VLOOKUP(H494,'MTRL MSK (TPDP)'!$H$9:$U637,2,0)))</f>
        <v>0</v>
      </c>
      <c r="J494" s="448" t="str">
        <f>IFERROR((IF(H494=0,0,(VLOOKUP(H494,'MTRL MSK (TPDP)'!$H$8:$U637,7,0))))/(IF(H494=0,0,(VLOOKUP(H494,'MTRL MSK (TPDP)'!$H$8:$U637,5,0)))),"")</f>
        <v/>
      </c>
      <c r="K494" s="559"/>
      <c r="L494" s="448">
        <f t="shared" si="1"/>
        <v>0</v>
      </c>
      <c r="M494" s="647">
        <f t="shared" si="2"/>
        <v>0</v>
      </c>
      <c r="N494" s="647">
        <f t="shared" si="3"/>
        <v>0</v>
      </c>
      <c r="O494" s="448">
        <f>IF(H494=0,0,(VLOOKUP(H494,'MTRL MSK (TPDP)'!$H$9:$U637,5,0)))</f>
        <v>0</v>
      </c>
      <c r="P494" s="448">
        <f t="shared" si="4"/>
        <v>0</v>
      </c>
      <c r="Q494" s="448">
        <f t="shared" si="5"/>
        <v>0</v>
      </c>
      <c r="R494" s="648" t="str">
        <f>IFERROR(IF(S494="","",(VLOOKUP(S494,'1. BQ RAPL'!$D$14:$K637,8,0))),"")</f>
        <v/>
      </c>
      <c r="S494" s="649"/>
      <c r="T494" s="650"/>
      <c r="U494" s="16"/>
      <c r="V494" s="16"/>
      <c r="W494" s="16"/>
      <c r="X494" s="119"/>
      <c r="Y494" s="119"/>
      <c r="Z494" s="119"/>
      <c r="AA494" s="119"/>
      <c r="AB494" s="119"/>
      <c r="AC494" s="119"/>
      <c r="AD494" s="119"/>
      <c r="AE494" s="119"/>
      <c r="AF494" s="119"/>
    </row>
    <row r="495" ht="18.75" customHeight="1">
      <c r="A495" s="119"/>
      <c r="B495" s="652"/>
      <c r="C495" s="642">
        <f>IF(F495=0,0,(VLOOKUP(F495,'MTRL MSK (TPDP)'!$F$9:$W637,18,0)))</f>
        <v>0</v>
      </c>
      <c r="D495" s="642">
        <f>IF(C495=0,0,(VLOOKUP(C495,'MTRL MSK (TPDP)'!$B$9:$W637,3,0)))</f>
        <v>0</v>
      </c>
      <c r="E495" s="643" t="str">
        <f>iferror(IF(C495="","",(VLOOKUP(C495,'MTRL MSK (TPDP)'!$B$9:$W637,4,0))),"")</f>
        <v/>
      </c>
      <c r="F495" s="644">
        <f>IF(H495=0,0,(VLOOKUP(H495,'MTRL MSK (TPDP)'!$H$9:$X637,17,0)))</f>
        <v>0</v>
      </c>
      <c r="G495" s="645"/>
      <c r="H495" s="646"/>
      <c r="I495" s="446">
        <f>IF(H495=0,0,(VLOOKUP(H495,'MTRL MSK (TPDP)'!$H$9:$U637,2,0)))</f>
        <v>0</v>
      </c>
      <c r="J495" s="448" t="str">
        <f>IFERROR((IF(H495=0,0,(VLOOKUP(H495,'MTRL MSK (TPDP)'!$H$8:$U637,7,0))))/(IF(H495=0,0,(VLOOKUP(H495,'MTRL MSK (TPDP)'!$H$8:$U637,5,0)))),"")</f>
        <v/>
      </c>
      <c r="K495" s="559"/>
      <c r="L495" s="448">
        <f t="shared" si="1"/>
        <v>0</v>
      </c>
      <c r="M495" s="647">
        <f t="shared" si="2"/>
        <v>0</v>
      </c>
      <c r="N495" s="647">
        <f t="shared" si="3"/>
        <v>0</v>
      </c>
      <c r="O495" s="448">
        <f>IF(H495=0,0,(VLOOKUP(H495,'MTRL MSK (TPDP)'!$H$9:$U637,5,0)))</f>
        <v>0</v>
      </c>
      <c r="P495" s="448">
        <f t="shared" si="4"/>
        <v>0</v>
      </c>
      <c r="Q495" s="448">
        <f t="shared" si="5"/>
        <v>0</v>
      </c>
      <c r="R495" s="648" t="str">
        <f>IFERROR(IF(S495="","",(VLOOKUP(S495,'1. BQ RAPL'!$D$14:$K637,8,0))),"")</f>
        <v/>
      </c>
      <c r="S495" s="649"/>
      <c r="T495" s="650"/>
      <c r="U495" s="16"/>
      <c r="V495" s="16"/>
      <c r="W495" s="16"/>
      <c r="X495" s="119"/>
      <c r="Y495" s="119"/>
      <c r="Z495" s="119"/>
      <c r="AA495" s="119"/>
      <c r="AB495" s="119"/>
      <c r="AC495" s="119"/>
      <c r="AD495" s="119"/>
      <c r="AE495" s="119"/>
      <c r="AF495" s="119"/>
    </row>
    <row r="496" ht="18.75" customHeight="1">
      <c r="A496" s="119"/>
      <c r="B496" s="652"/>
      <c r="C496" s="642">
        <f>IF(F496=0,0,(VLOOKUP(F496,'MTRL MSK (TPDP)'!$F$9:$W637,18,0)))</f>
        <v>0</v>
      </c>
      <c r="D496" s="642">
        <f>IF(C496=0,0,(VLOOKUP(C496,'MTRL MSK (TPDP)'!$B$9:$W637,3,0)))</f>
        <v>0</v>
      </c>
      <c r="E496" s="643" t="str">
        <f>iferror(IF(C496="","",(VLOOKUP(C496,'MTRL MSK (TPDP)'!$B$9:$W637,4,0))),"")</f>
        <v/>
      </c>
      <c r="F496" s="644">
        <f>IF(H496=0,0,(VLOOKUP(H496,'MTRL MSK (TPDP)'!$H$9:$X637,17,0)))</f>
        <v>0</v>
      </c>
      <c r="G496" s="645"/>
      <c r="H496" s="646"/>
      <c r="I496" s="446">
        <f>IF(H496=0,0,(VLOOKUP(H496,'MTRL MSK (TPDP)'!$H$9:$U637,2,0)))</f>
        <v>0</v>
      </c>
      <c r="J496" s="448" t="str">
        <f>IFERROR((IF(H496=0,0,(VLOOKUP(H496,'MTRL MSK (TPDP)'!$H$8:$U637,7,0))))/(IF(H496=0,0,(VLOOKUP(H496,'MTRL MSK (TPDP)'!$H$8:$U637,5,0)))),"")</f>
        <v/>
      </c>
      <c r="K496" s="559"/>
      <c r="L496" s="448">
        <f t="shared" si="1"/>
        <v>0</v>
      </c>
      <c r="M496" s="647">
        <f t="shared" si="2"/>
        <v>0</v>
      </c>
      <c r="N496" s="647">
        <f t="shared" si="3"/>
        <v>0</v>
      </c>
      <c r="O496" s="448">
        <f>IF(H496=0,0,(VLOOKUP(H496,'MTRL MSK (TPDP)'!$H$9:$U637,5,0)))</f>
        <v>0</v>
      </c>
      <c r="P496" s="448">
        <f t="shared" si="4"/>
        <v>0</v>
      </c>
      <c r="Q496" s="448">
        <f t="shared" si="5"/>
        <v>0</v>
      </c>
      <c r="R496" s="648" t="str">
        <f>IFERROR(IF(S496="","",(VLOOKUP(S496,'1. BQ RAPL'!$D$14:$K637,8,0))),"")</f>
        <v/>
      </c>
      <c r="S496" s="649"/>
      <c r="T496" s="650"/>
      <c r="U496" s="16"/>
      <c r="V496" s="16"/>
      <c r="W496" s="16"/>
      <c r="X496" s="119"/>
      <c r="Y496" s="119"/>
      <c r="Z496" s="119"/>
      <c r="AA496" s="119"/>
      <c r="AB496" s="119"/>
      <c r="AC496" s="119"/>
      <c r="AD496" s="119"/>
      <c r="AE496" s="119"/>
      <c r="AF496" s="119"/>
    </row>
    <row r="497" ht="18.75" customHeight="1">
      <c r="A497" s="119"/>
      <c r="B497" s="652"/>
      <c r="C497" s="642">
        <f>IF(F497=0,0,(VLOOKUP(F497,'MTRL MSK (TPDP)'!$F$9:$W637,18,0)))</f>
        <v>0</v>
      </c>
      <c r="D497" s="642">
        <f>IF(C497=0,0,(VLOOKUP(C497,'MTRL MSK (TPDP)'!$B$9:$W637,3,0)))</f>
        <v>0</v>
      </c>
      <c r="E497" s="643" t="str">
        <f>iferror(IF(C497="","",(VLOOKUP(C497,'MTRL MSK (TPDP)'!$B$9:$W637,4,0))),"")</f>
        <v/>
      </c>
      <c r="F497" s="644">
        <f>IF(H497=0,0,(VLOOKUP(H497,'MTRL MSK (TPDP)'!$H$9:$X637,17,0)))</f>
        <v>0</v>
      </c>
      <c r="G497" s="645"/>
      <c r="H497" s="646"/>
      <c r="I497" s="446">
        <f>IF(H497=0,0,(VLOOKUP(H497,'MTRL MSK (TPDP)'!$H$9:$U637,2,0)))</f>
        <v>0</v>
      </c>
      <c r="J497" s="448" t="str">
        <f>IFERROR((IF(H497=0,0,(VLOOKUP(H497,'MTRL MSK (TPDP)'!$H$8:$U637,7,0))))/(IF(H497=0,0,(VLOOKUP(H497,'MTRL MSK (TPDP)'!$H$8:$U637,5,0)))),"")</f>
        <v/>
      </c>
      <c r="K497" s="559"/>
      <c r="L497" s="448">
        <f t="shared" si="1"/>
        <v>0</v>
      </c>
      <c r="M497" s="647">
        <f t="shared" si="2"/>
        <v>0</v>
      </c>
      <c r="N497" s="647">
        <f t="shared" si="3"/>
        <v>0</v>
      </c>
      <c r="O497" s="448">
        <f>IF(H497=0,0,(VLOOKUP(H497,'MTRL MSK (TPDP)'!$H$9:$U637,5,0)))</f>
        <v>0</v>
      </c>
      <c r="P497" s="448">
        <f t="shared" si="4"/>
        <v>0</v>
      </c>
      <c r="Q497" s="448">
        <f t="shared" si="5"/>
        <v>0</v>
      </c>
      <c r="R497" s="648" t="str">
        <f>IFERROR(IF(S497="","",(VLOOKUP(S497,'1. BQ RAPL'!$D$14:$K637,8,0))),"")</f>
        <v/>
      </c>
      <c r="S497" s="649"/>
      <c r="T497" s="650"/>
      <c r="U497" s="16"/>
      <c r="V497" s="16"/>
      <c r="W497" s="16"/>
      <c r="X497" s="119"/>
      <c r="Y497" s="119"/>
      <c r="Z497" s="119"/>
      <c r="AA497" s="119"/>
      <c r="AB497" s="119"/>
      <c r="AC497" s="119"/>
      <c r="AD497" s="119"/>
      <c r="AE497" s="119"/>
      <c r="AF497" s="119"/>
    </row>
    <row r="498" ht="18.75" customHeight="1">
      <c r="A498" s="119"/>
      <c r="B498" s="652"/>
      <c r="C498" s="642">
        <f>IF(F498=0,0,(VLOOKUP(F498,'MTRL MSK (TPDP)'!$F$9:$W637,18,0)))</f>
        <v>0</v>
      </c>
      <c r="D498" s="642">
        <f>IF(C498=0,0,(VLOOKUP(C498,'MTRL MSK (TPDP)'!$B$9:$W637,3,0)))</f>
        <v>0</v>
      </c>
      <c r="E498" s="643" t="str">
        <f>iferror(IF(C498="","",(VLOOKUP(C498,'MTRL MSK (TPDP)'!$B$9:$W637,4,0))),"")</f>
        <v/>
      </c>
      <c r="F498" s="644">
        <f>IF(H498=0,0,(VLOOKUP(H498,'MTRL MSK (TPDP)'!$H$9:$X637,17,0)))</f>
        <v>0</v>
      </c>
      <c r="G498" s="645"/>
      <c r="H498" s="646"/>
      <c r="I498" s="446">
        <f>IF(H498=0,0,(VLOOKUP(H498,'MTRL MSK (TPDP)'!$H$9:$U637,2,0)))</f>
        <v>0</v>
      </c>
      <c r="J498" s="448" t="str">
        <f>IFERROR((IF(H498=0,0,(VLOOKUP(H498,'MTRL MSK (TPDP)'!$H$8:$U637,7,0))))/(IF(H498=0,0,(VLOOKUP(H498,'MTRL MSK (TPDP)'!$H$8:$U637,5,0)))),"")</f>
        <v/>
      </c>
      <c r="K498" s="559"/>
      <c r="L498" s="448">
        <f t="shared" si="1"/>
        <v>0</v>
      </c>
      <c r="M498" s="647">
        <f t="shared" si="2"/>
        <v>0</v>
      </c>
      <c r="N498" s="647">
        <f t="shared" si="3"/>
        <v>0</v>
      </c>
      <c r="O498" s="448">
        <f>IF(H498=0,0,(VLOOKUP(H498,'MTRL MSK (TPDP)'!$H$9:$U637,5,0)))</f>
        <v>0</v>
      </c>
      <c r="P498" s="448">
        <f t="shared" si="4"/>
        <v>0</v>
      </c>
      <c r="Q498" s="448">
        <f t="shared" si="5"/>
        <v>0</v>
      </c>
      <c r="R498" s="648" t="str">
        <f>IFERROR(IF(S498="","",(VLOOKUP(S498,'1. BQ RAPL'!$D$14:$K637,8,0))),"")</f>
        <v/>
      </c>
      <c r="S498" s="649"/>
      <c r="T498" s="650"/>
      <c r="U498" s="16"/>
      <c r="V498" s="16"/>
      <c r="W498" s="16"/>
      <c r="X498" s="119"/>
      <c r="Y498" s="119"/>
      <c r="Z498" s="119"/>
      <c r="AA498" s="119"/>
      <c r="AB498" s="119"/>
      <c r="AC498" s="119"/>
      <c r="AD498" s="119"/>
      <c r="AE498" s="119"/>
      <c r="AF498" s="119"/>
    </row>
    <row r="499" ht="18.75" customHeight="1">
      <c r="A499" s="119"/>
      <c r="B499" s="652"/>
      <c r="C499" s="642">
        <f>IF(F499=0,0,(VLOOKUP(F499,'MTRL MSK (TPDP)'!$F$9:$W637,18,0)))</f>
        <v>0</v>
      </c>
      <c r="D499" s="642">
        <f>IF(C499=0,0,(VLOOKUP(C499,'MTRL MSK (TPDP)'!$B$9:$W637,3,0)))</f>
        <v>0</v>
      </c>
      <c r="E499" s="643" t="str">
        <f>iferror(IF(C499="","",(VLOOKUP(C499,'MTRL MSK (TPDP)'!$B$9:$W637,4,0))),"")</f>
        <v/>
      </c>
      <c r="F499" s="644">
        <f>IF(H499=0,0,(VLOOKUP(H499,'MTRL MSK (TPDP)'!$H$9:$X637,17,0)))</f>
        <v>0</v>
      </c>
      <c r="G499" s="645"/>
      <c r="H499" s="646"/>
      <c r="I499" s="446">
        <f>IF(H499=0,0,(VLOOKUP(H499,'MTRL MSK (TPDP)'!$H$9:$U637,2,0)))</f>
        <v>0</v>
      </c>
      <c r="J499" s="448" t="str">
        <f>IFERROR((IF(H499=0,0,(VLOOKUP(H499,'MTRL MSK (TPDP)'!$H$8:$U637,7,0))))/(IF(H499=0,0,(VLOOKUP(H499,'MTRL MSK (TPDP)'!$H$8:$U637,5,0)))),"")</f>
        <v/>
      </c>
      <c r="K499" s="559"/>
      <c r="L499" s="448">
        <f t="shared" si="1"/>
        <v>0</v>
      </c>
      <c r="M499" s="647">
        <f t="shared" si="2"/>
        <v>0</v>
      </c>
      <c r="N499" s="647">
        <f t="shared" si="3"/>
        <v>0</v>
      </c>
      <c r="O499" s="448">
        <f>IF(H499=0,0,(VLOOKUP(H499,'MTRL MSK (TPDP)'!$H$9:$U637,5,0)))</f>
        <v>0</v>
      </c>
      <c r="P499" s="448">
        <f t="shared" si="4"/>
        <v>0</v>
      </c>
      <c r="Q499" s="448">
        <f t="shared" si="5"/>
        <v>0</v>
      </c>
      <c r="R499" s="648" t="str">
        <f>IFERROR(IF(S499="","",(VLOOKUP(S499,'1. BQ RAPL'!$D$14:$K637,8,0))),"")</f>
        <v/>
      </c>
      <c r="S499" s="649"/>
      <c r="T499" s="650"/>
      <c r="U499" s="16"/>
      <c r="V499" s="16"/>
      <c r="W499" s="16"/>
      <c r="X499" s="119"/>
      <c r="Y499" s="119"/>
      <c r="Z499" s="119"/>
      <c r="AA499" s="119"/>
      <c r="AB499" s="119"/>
      <c r="AC499" s="119"/>
      <c r="AD499" s="119"/>
      <c r="AE499" s="119"/>
      <c r="AF499" s="119"/>
    </row>
    <row r="500" ht="18.75" customHeight="1">
      <c r="A500" s="119"/>
      <c r="B500" s="652"/>
      <c r="C500" s="642">
        <f>IF(F500=0,0,(VLOOKUP(F500,'MTRL MSK (TPDP)'!$F$9:$W637,18,0)))</f>
        <v>0</v>
      </c>
      <c r="D500" s="642">
        <f>IF(C500=0,0,(VLOOKUP(C500,'MTRL MSK (TPDP)'!$B$9:$W637,3,0)))</f>
        <v>0</v>
      </c>
      <c r="E500" s="643" t="str">
        <f>iferror(IF(C500="","",(VLOOKUP(C500,'MTRL MSK (TPDP)'!$B$9:$W637,4,0))),"")</f>
        <v/>
      </c>
      <c r="F500" s="644">
        <f>IF(H500=0,0,(VLOOKUP(H500,'MTRL MSK (TPDP)'!$H$9:$X637,17,0)))</f>
        <v>0</v>
      </c>
      <c r="G500" s="645"/>
      <c r="H500" s="646"/>
      <c r="I500" s="446">
        <f>IF(H500=0,0,(VLOOKUP(H500,'MTRL MSK (TPDP)'!$H$9:$U637,2,0)))</f>
        <v>0</v>
      </c>
      <c r="J500" s="448" t="str">
        <f>IFERROR((IF(H500=0,0,(VLOOKUP(H500,'MTRL MSK (TPDP)'!$H$8:$U637,7,0))))/(IF(H500=0,0,(VLOOKUP(H500,'MTRL MSK (TPDP)'!$H$8:$U637,5,0)))),"")</f>
        <v/>
      </c>
      <c r="K500" s="559"/>
      <c r="L500" s="448">
        <f t="shared" si="1"/>
        <v>0</v>
      </c>
      <c r="M500" s="647">
        <f t="shared" si="2"/>
        <v>0</v>
      </c>
      <c r="N500" s="647">
        <f t="shared" si="3"/>
        <v>0</v>
      </c>
      <c r="O500" s="448">
        <f>IF(H500=0,0,(VLOOKUP(H500,'MTRL MSK (TPDP)'!$H$9:$U637,5,0)))</f>
        <v>0</v>
      </c>
      <c r="P500" s="448">
        <f t="shared" si="4"/>
        <v>0</v>
      </c>
      <c r="Q500" s="448">
        <f t="shared" si="5"/>
        <v>0</v>
      </c>
      <c r="R500" s="648" t="str">
        <f>IFERROR(IF(S500="","",(VLOOKUP(S500,'1. BQ RAPL'!$D$14:$K637,8,0))),"")</f>
        <v/>
      </c>
      <c r="S500" s="649"/>
      <c r="T500" s="650"/>
      <c r="U500" s="16"/>
      <c r="V500" s="16"/>
      <c r="W500" s="16"/>
      <c r="X500" s="119"/>
      <c r="Y500" s="119"/>
      <c r="Z500" s="119"/>
      <c r="AA500" s="119"/>
      <c r="AB500" s="119"/>
      <c r="AC500" s="119"/>
      <c r="AD500" s="119"/>
      <c r="AE500" s="119"/>
      <c r="AF500" s="119"/>
    </row>
    <row r="501" ht="18.75" customHeight="1">
      <c r="A501" s="119"/>
      <c r="B501" s="652"/>
      <c r="C501" s="642">
        <f>IF(F501=0,0,(VLOOKUP(F501,'MTRL MSK (TPDP)'!$F$9:$W637,18,0)))</f>
        <v>0</v>
      </c>
      <c r="D501" s="642">
        <f>IF(C501=0,0,(VLOOKUP(C501,'MTRL MSK (TPDP)'!$B$9:$W637,3,0)))</f>
        <v>0</v>
      </c>
      <c r="E501" s="643" t="str">
        <f>iferror(IF(C501="","",(VLOOKUP(C501,'MTRL MSK (TPDP)'!$B$9:$W637,4,0))),"")</f>
        <v/>
      </c>
      <c r="F501" s="644">
        <f>IF(H501=0,0,(VLOOKUP(H501,'MTRL MSK (TPDP)'!$H$9:$X637,17,0)))</f>
        <v>0</v>
      </c>
      <c r="G501" s="645"/>
      <c r="H501" s="646"/>
      <c r="I501" s="446">
        <f>IF(H501=0,0,(VLOOKUP(H501,'MTRL MSK (TPDP)'!$H$9:$U637,2,0)))</f>
        <v>0</v>
      </c>
      <c r="J501" s="448" t="str">
        <f>IFERROR((IF(H501=0,0,(VLOOKUP(H501,'MTRL MSK (TPDP)'!$H$8:$U637,7,0))))/(IF(H501=0,0,(VLOOKUP(H501,'MTRL MSK (TPDP)'!$H$8:$U637,5,0)))),"")</f>
        <v/>
      </c>
      <c r="K501" s="559"/>
      <c r="L501" s="448">
        <f t="shared" si="1"/>
        <v>0</v>
      </c>
      <c r="M501" s="647">
        <f t="shared" si="2"/>
        <v>0</v>
      </c>
      <c r="N501" s="647">
        <f t="shared" si="3"/>
        <v>0</v>
      </c>
      <c r="O501" s="448">
        <f>IF(H501=0,0,(VLOOKUP(H501,'MTRL MSK (TPDP)'!$H$9:$U637,5,0)))</f>
        <v>0</v>
      </c>
      <c r="P501" s="448">
        <f t="shared" si="4"/>
        <v>0</v>
      </c>
      <c r="Q501" s="448">
        <f t="shared" si="5"/>
        <v>0</v>
      </c>
      <c r="R501" s="648" t="str">
        <f>IFERROR(IF(S501="","",(VLOOKUP(S501,'1. BQ RAPL'!$D$14:$K637,8,0))),"")</f>
        <v/>
      </c>
      <c r="S501" s="649"/>
      <c r="T501" s="650"/>
      <c r="U501" s="16"/>
      <c r="V501" s="16"/>
      <c r="W501" s="16"/>
      <c r="X501" s="119"/>
      <c r="Y501" s="119"/>
      <c r="Z501" s="119"/>
      <c r="AA501" s="119"/>
      <c r="AB501" s="119"/>
      <c r="AC501" s="119"/>
      <c r="AD501" s="119"/>
      <c r="AE501" s="119"/>
      <c r="AF501" s="119"/>
    </row>
    <row r="502" ht="18.75" customHeight="1">
      <c r="A502" s="119"/>
      <c r="B502" s="652"/>
      <c r="C502" s="642">
        <f>IF(F502=0,0,(VLOOKUP(F502,'MTRL MSK (TPDP)'!$F$9:$W637,18,0)))</f>
        <v>0</v>
      </c>
      <c r="D502" s="642">
        <f>IF(C502=0,0,(VLOOKUP(C502,'MTRL MSK (TPDP)'!$B$9:$W637,3,0)))</f>
        <v>0</v>
      </c>
      <c r="E502" s="643" t="str">
        <f>iferror(IF(C502="","",(VLOOKUP(C502,'MTRL MSK (TPDP)'!$B$9:$W637,4,0))),"")</f>
        <v/>
      </c>
      <c r="F502" s="644">
        <f>IF(H502=0,0,(VLOOKUP(H502,'MTRL MSK (TPDP)'!$H$9:$X637,17,0)))</f>
        <v>0</v>
      </c>
      <c r="G502" s="645"/>
      <c r="H502" s="646"/>
      <c r="I502" s="446">
        <f>IF(H502=0,0,(VLOOKUP(H502,'MTRL MSK (TPDP)'!$H$9:$U637,2,0)))</f>
        <v>0</v>
      </c>
      <c r="J502" s="448" t="str">
        <f>IFERROR((IF(H502=0,0,(VLOOKUP(H502,'MTRL MSK (TPDP)'!$H$8:$U637,7,0))))/(IF(H502=0,0,(VLOOKUP(H502,'MTRL MSK (TPDP)'!$H$8:$U637,5,0)))),"")</f>
        <v/>
      </c>
      <c r="K502" s="559"/>
      <c r="L502" s="448">
        <f t="shared" si="1"/>
        <v>0</v>
      </c>
      <c r="M502" s="647">
        <f t="shared" si="2"/>
        <v>0</v>
      </c>
      <c r="N502" s="647">
        <f t="shared" si="3"/>
        <v>0</v>
      </c>
      <c r="O502" s="448">
        <f>IF(H502=0,0,(VLOOKUP(H502,'MTRL MSK (TPDP)'!$H$9:$U637,5,0)))</f>
        <v>0</v>
      </c>
      <c r="P502" s="448">
        <f t="shared" si="4"/>
        <v>0</v>
      </c>
      <c r="Q502" s="448">
        <f t="shared" si="5"/>
        <v>0</v>
      </c>
      <c r="R502" s="648" t="str">
        <f>IFERROR(IF(S502="","",(VLOOKUP(S502,'1. BQ RAPL'!$D$14:$K637,8,0))),"")</f>
        <v/>
      </c>
      <c r="S502" s="649"/>
      <c r="T502" s="650"/>
      <c r="U502" s="16"/>
      <c r="V502" s="16"/>
      <c r="W502" s="16"/>
      <c r="X502" s="119"/>
      <c r="Y502" s="119"/>
      <c r="Z502" s="119"/>
      <c r="AA502" s="119"/>
      <c r="AB502" s="119"/>
      <c r="AC502" s="119"/>
      <c r="AD502" s="119"/>
      <c r="AE502" s="119"/>
      <c r="AF502" s="119"/>
    </row>
    <row r="503" ht="18.75" customHeight="1">
      <c r="A503" s="119"/>
      <c r="B503" s="652"/>
      <c r="C503" s="642">
        <f>IF(F503=0,0,(VLOOKUP(F503,'MTRL MSK (TPDP)'!$F$9:$W637,18,0)))</f>
        <v>0</v>
      </c>
      <c r="D503" s="642">
        <f>IF(C503=0,0,(VLOOKUP(C503,'MTRL MSK (TPDP)'!$B$9:$W637,3,0)))</f>
        <v>0</v>
      </c>
      <c r="E503" s="643" t="str">
        <f>iferror(IF(C503="","",(VLOOKUP(C503,'MTRL MSK (TPDP)'!$B$9:$W637,4,0))),"")</f>
        <v/>
      </c>
      <c r="F503" s="644">
        <f>IF(H503=0,0,(VLOOKUP(H503,'MTRL MSK (TPDP)'!$H$9:$X637,17,0)))</f>
        <v>0</v>
      </c>
      <c r="G503" s="645"/>
      <c r="H503" s="646"/>
      <c r="I503" s="446">
        <f>IF(H503=0,0,(VLOOKUP(H503,'MTRL MSK (TPDP)'!$H$9:$U637,2,0)))</f>
        <v>0</v>
      </c>
      <c r="J503" s="448" t="str">
        <f>IFERROR((IF(H503=0,0,(VLOOKUP(H503,'MTRL MSK (TPDP)'!$H$8:$U637,7,0))))/(IF(H503=0,0,(VLOOKUP(H503,'MTRL MSK (TPDP)'!$H$8:$U637,5,0)))),"")</f>
        <v/>
      </c>
      <c r="K503" s="559"/>
      <c r="L503" s="448">
        <f t="shared" si="1"/>
        <v>0</v>
      </c>
      <c r="M503" s="647">
        <f t="shared" si="2"/>
        <v>0</v>
      </c>
      <c r="N503" s="647">
        <f t="shared" si="3"/>
        <v>0</v>
      </c>
      <c r="O503" s="448">
        <f>IF(H503=0,0,(VLOOKUP(H503,'MTRL MSK (TPDP)'!$H$9:$U637,5,0)))</f>
        <v>0</v>
      </c>
      <c r="P503" s="448">
        <f t="shared" si="4"/>
        <v>0</v>
      </c>
      <c r="Q503" s="448">
        <f t="shared" si="5"/>
        <v>0</v>
      </c>
      <c r="R503" s="648" t="str">
        <f>IFERROR(IF(S503="","",(VLOOKUP(S503,'1. BQ RAPL'!$D$14:$K637,8,0))),"")</f>
        <v/>
      </c>
      <c r="S503" s="649"/>
      <c r="T503" s="650"/>
      <c r="U503" s="16"/>
      <c r="V503" s="16"/>
      <c r="W503" s="16"/>
      <c r="X503" s="119"/>
      <c r="Y503" s="119"/>
      <c r="Z503" s="119"/>
      <c r="AA503" s="119"/>
      <c r="AB503" s="119"/>
      <c r="AC503" s="119"/>
      <c r="AD503" s="119"/>
      <c r="AE503" s="119"/>
      <c r="AF503" s="119"/>
    </row>
    <row r="504" ht="18.75" customHeight="1">
      <c r="A504" s="119"/>
      <c r="B504" s="652"/>
      <c r="C504" s="642">
        <f>IF(F504=0,0,(VLOOKUP(F504,'MTRL MSK (TPDP)'!$F$9:$W637,18,0)))</f>
        <v>0</v>
      </c>
      <c r="D504" s="642">
        <f>IF(C504=0,0,(VLOOKUP(C504,'MTRL MSK (TPDP)'!$B$9:$W637,3,0)))</f>
        <v>0</v>
      </c>
      <c r="E504" s="643" t="str">
        <f>iferror(IF(C504="","",(VLOOKUP(C504,'MTRL MSK (TPDP)'!$B$9:$W637,4,0))),"")</f>
        <v/>
      </c>
      <c r="F504" s="644">
        <f>IF(H504=0,0,(VLOOKUP(H504,'MTRL MSK (TPDP)'!$H$9:$X637,17,0)))</f>
        <v>0</v>
      </c>
      <c r="G504" s="645"/>
      <c r="H504" s="646"/>
      <c r="I504" s="446">
        <f>IF(H504=0,0,(VLOOKUP(H504,'MTRL MSK (TPDP)'!$H$9:$U637,2,0)))</f>
        <v>0</v>
      </c>
      <c r="J504" s="448" t="str">
        <f>IFERROR((IF(H504=0,0,(VLOOKUP(H504,'MTRL MSK (TPDP)'!$H$8:$U637,7,0))))/(IF(H504=0,0,(VLOOKUP(H504,'MTRL MSK (TPDP)'!$H$8:$U637,5,0)))),"")</f>
        <v/>
      </c>
      <c r="K504" s="559"/>
      <c r="L504" s="448">
        <f t="shared" si="1"/>
        <v>0</v>
      </c>
      <c r="M504" s="647">
        <f t="shared" si="2"/>
        <v>0</v>
      </c>
      <c r="N504" s="647">
        <f t="shared" si="3"/>
        <v>0</v>
      </c>
      <c r="O504" s="448">
        <f>IF(H504=0,0,(VLOOKUP(H504,'MTRL MSK (TPDP)'!$H$9:$U637,5,0)))</f>
        <v>0</v>
      </c>
      <c r="P504" s="448">
        <f t="shared" si="4"/>
        <v>0</v>
      </c>
      <c r="Q504" s="448">
        <f t="shared" si="5"/>
        <v>0</v>
      </c>
      <c r="R504" s="648" t="str">
        <f>IFERROR(IF(S504="","",(VLOOKUP(S504,'1. BQ RAPL'!$D$14:$K637,8,0))),"")</f>
        <v/>
      </c>
      <c r="S504" s="649"/>
      <c r="T504" s="650"/>
      <c r="U504" s="16"/>
      <c r="V504" s="16"/>
      <c r="W504" s="16"/>
      <c r="X504" s="119"/>
      <c r="Y504" s="119"/>
      <c r="Z504" s="119"/>
      <c r="AA504" s="119"/>
      <c r="AB504" s="119"/>
      <c r="AC504" s="119"/>
      <c r="AD504" s="119"/>
      <c r="AE504" s="119"/>
      <c r="AF504" s="119"/>
    </row>
    <row r="505" ht="18.75" customHeight="1">
      <c r="A505" s="119"/>
      <c r="B505" s="652"/>
      <c r="C505" s="642">
        <f>IF(F505=0,0,(VLOOKUP(F505,'MTRL MSK (TPDP)'!$F$9:$W637,18,0)))</f>
        <v>0</v>
      </c>
      <c r="D505" s="642">
        <f>IF(C505=0,0,(VLOOKUP(C505,'MTRL MSK (TPDP)'!$B$9:$W637,3,0)))</f>
        <v>0</v>
      </c>
      <c r="E505" s="643" t="str">
        <f>iferror(IF(C505="","",(VLOOKUP(C505,'MTRL MSK (TPDP)'!$B$9:$W637,4,0))),"")</f>
        <v/>
      </c>
      <c r="F505" s="644">
        <f>IF(H505=0,0,(VLOOKUP(H505,'MTRL MSK (TPDP)'!$H$9:$X637,17,0)))</f>
        <v>0</v>
      </c>
      <c r="G505" s="645"/>
      <c r="H505" s="646"/>
      <c r="I505" s="446">
        <f>IF(H505=0,0,(VLOOKUP(H505,'MTRL MSK (TPDP)'!$H$9:$U637,2,0)))</f>
        <v>0</v>
      </c>
      <c r="J505" s="448" t="str">
        <f>IFERROR((IF(H505=0,0,(VLOOKUP(H505,'MTRL MSK (TPDP)'!$H$8:$U637,7,0))))/(IF(H505=0,0,(VLOOKUP(H505,'MTRL MSK (TPDP)'!$H$8:$U637,5,0)))),"")</f>
        <v/>
      </c>
      <c r="K505" s="559"/>
      <c r="L505" s="448">
        <f t="shared" si="1"/>
        <v>0</v>
      </c>
      <c r="M505" s="647">
        <f t="shared" si="2"/>
        <v>0</v>
      </c>
      <c r="N505" s="647">
        <f t="shared" si="3"/>
        <v>0</v>
      </c>
      <c r="O505" s="448">
        <f>IF(H505=0,0,(VLOOKUP(H505,'MTRL MSK (TPDP)'!$H$9:$U637,5,0)))</f>
        <v>0</v>
      </c>
      <c r="P505" s="448">
        <f t="shared" si="4"/>
        <v>0</v>
      </c>
      <c r="Q505" s="448">
        <f t="shared" si="5"/>
        <v>0</v>
      </c>
      <c r="R505" s="648" t="str">
        <f>IFERROR(IF(S505="","",(VLOOKUP(S505,'1. BQ RAPL'!$D$14:$K637,8,0))),"")</f>
        <v/>
      </c>
      <c r="S505" s="649"/>
      <c r="T505" s="650"/>
      <c r="U505" s="16"/>
      <c r="V505" s="16"/>
      <c r="W505" s="16"/>
      <c r="X505" s="119"/>
      <c r="Y505" s="119"/>
      <c r="Z505" s="119"/>
      <c r="AA505" s="119"/>
      <c r="AB505" s="119"/>
      <c r="AC505" s="119"/>
      <c r="AD505" s="119"/>
      <c r="AE505" s="119"/>
      <c r="AF505" s="119"/>
    </row>
    <row r="506" ht="18.75" customHeight="1">
      <c r="A506" s="119"/>
      <c r="B506" s="652"/>
      <c r="C506" s="642">
        <f>IF(F506=0,0,(VLOOKUP(F506,'MTRL MSK (TPDP)'!$F$9:$W637,18,0)))</f>
        <v>0</v>
      </c>
      <c r="D506" s="642">
        <f>IF(C506=0,0,(VLOOKUP(C506,'MTRL MSK (TPDP)'!$B$9:$W637,3,0)))</f>
        <v>0</v>
      </c>
      <c r="E506" s="643" t="str">
        <f>iferror(IF(C506="","",(VLOOKUP(C506,'MTRL MSK (TPDP)'!$B$9:$W637,4,0))),"")</f>
        <v/>
      </c>
      <c r="F506" s="644">
        <f>IF(H506=0,0,(VLOOKUP(H506,'MTRL MSK (TPDP)'!$H$9:$X637,17,0)))</f>
        <v>0</v>
      </c>
      <c r="G506" s="645"/>
      <c r="H506" s="646"/>
      <c r="I506" s="446">
        <f>IF(H506=0,0,(VLOOKUP(H506,'MTRL MSK (TPDP)'!$H$9:$U637,2,0)))</f>
        <v>0</v>
      </c>
      <c r="J506" s="448" t="str">
        <f>IFERROR((IF(H506=0,0,(VLOOKUP(H506,'MTRL MSK (TPDP)'!$H$8:$U637,7,0))))/(IF(H506=0,0,(VLOOKUP(H506,'MTRL MSK (TPDP)'!$H$8:$U637,5,0)))),"")</f>
        <v/>
      </c>
      <c r="K506" s="559"/>
      <c r="L506" s="448">
        <f t="shared" si="1"/>
        <v>0</v>
      </c>
      <c r="M506" s="647">
        <f t="shared" si="2"/>
        <v>0</v>
      </c>
      <c r="N506" s="647">
        <f t="shared" si="3"/>
        <v>0</v>
      </c>
      <c r="O506" s="448">
        <f>IF(H506=0,0,(VLOOKUP(H506,'MTRL MSK (TPDP)'!$H$9:$U637,5,0)))</f>
        <v>0</v>
      </c>
      <c r="P506" s="448">
        <f t="shared" si="4"/>
        <v>0</v>
      </c>
      <c r="Q506" s="448">
        <f t="shared" si="5"/>
        <v>0</v>
      </c>
      <c r="R506" s="648" t="str">
        <f>IFERROR(IF(S506="","",(VLOOKUP(S506,'1. BQ RAPL'!$D$14:$K637,8,0))),"")</f>
        <v/>
      </c>
      <c r="S506" s="649"/>
      <c r="T506" s="650"/>
      <c r="U506" s="16"/>
      <c r="V506" s="16"/>
      <c r="W506" s="16"/>
      <c r="X506" s="119"/>
      <c r="Y506" s="119"/>
      <c r="Z506" s="119"/>
      <c r="AA506" s="119"/>
      <c r="AB506" s="119"/>
      <c r="AC506" s="119"/>
      <c r="AD506" s="119"/>
      <c r="AE506" s="119"/>
      <c r="AF506" s="119"/>
    </row>
    <row r="507" ht="18.75" customHeight="1">
      <c r="A507" s="119"/>
      <c r="B507" s="652"/>
      <c r="C507" s="642">
        <f>IF(F507=0,0,(VLOOKUP(F507,'MTRL MSK (TPDP)'!$F$9:$W637,18,0)))</f>
        <v>0</v>
      </c>
      <c r="D507" s="642">
        <f>IF(C507=0,0,(VLOOKUP(C507,'MTRL MSK (TPDP)'!$B$9:$W637,3,0)))</f>
        <v>0</v>
      </c>
      <c r="E507" s="643" t="str">
        <f>iferror(IF(C507="","",(VLOOKUP(C507,'MTRL MSK (TPDP)'!$B$9:$W637,4,0))),"")</f>
        <v/>
      </c>
      <c r="F507" s="644">
        <f>IF(H507=0,0,(VLOOKUP(H507,'MTRL MSK (TPDP)'!$H$9:$X637,17,0)))</f>
        <v>0</v>
      </c>
      <c r="G507" s="645"/>
      <c r="H507" s="646"/>
      <c r="I507" s="446">
        <f>IF(H507=0,0,(VLOOKUP(H507,'MTRL MSK (TPDP)'!$H$9:$U637,2,0)))</f>
        <v>0</v>
      </c>
      <c r="J507" s="448" t="str">
        <f>IFERROR((IF(H507=0,0,(VLOOKUP(H507,'MTRL MSK (TPDP)'!$H$8:$U637,7,0))))/(IF(H507=0,0,(VLOOKUP(H507,'MTRL MSK (TPDP)'!$H$8:$U637,5,0)))),"")</f>
        <v/>
      </c>
      <c r="K507" s="559"/>
      <c r="L507" s="448">
        <f t="shared" si="1"/>
        <v>0</v>
      </c>
      <c r="M507" s="647">
        <f t="shared" si="2"/>
        <v>0</v>
      </c>
      <c r="N507" s="647">
        <f t="shared" si="3"/>
        <v>0</v>
      </c>
      <c r="O507" s="448">
        <f>IF(H507=0,0,(VLOOKUP(H507,'MTRL MSK (TPDP)'!$H$9:$U637,5,0)))</f>
        <v>0</v>
      </c>
      <c r="P507" s="448">
        <f t="shared" si="4"/>
        <v>0</v>
      </c>
      <c r="Q507" s="448">
        <f t="shared" si="5"/>
        <v>0</v>
      </c>
      <c r="R507" s="648" t="str">
        <f>IFERROR(IF(S507="","",(VLOOKUP(S507,'1. BQ RAPL'!$D$14:$K637,8,0))),"")</f>
        <v/>
      </c>
      <c r="S507" s="649"/>
      <c r="T507" s="650"/>
      <c r="U507" s="16"/>
      <c r="V507" s="16"/>
      <c r="W507" s="16"/>
      <c r="X507" s="119"/>
      <c r="Y507" s="119"/>
      <c r="Z507" s="119"/>
      <c r="AA507" s="119"/>
      <c r="AB507" s="119"/>
      <c r="AC507" s="119"/>
      <c r="AD507" s="119"/>
      <c r="AE507" s="119"/>
      <c r="AF507" s="119"/>
    </row>
    <row r="508" ht="18.75" customHeight="1">
      <c r="A508" s="119"/>
      <c r="B508" s="652"/>
      <c r="C508" s="642">
        <f>IF(F508=0,0,(VLOOKUP(F508,'MTRL MSK (TPDP)'!$F$9:$W637,18,0)))</f>
        <v>0</v>
      </c>
      <c r="D508" s="642">
        <f>IF(C508=0,0,(VLOOKUP(C508,'MTRL MSK (TPDP)'!$B$9:$W637,3,0)))</f>
        <v>0</v>
      </c>
      <c r="E508" s="643" t="str">
        <f>iferror(IF(C508="","",(VLOOKUP(C508,'MTRL MSK (TPDP)'!$B$9:$W637,4,0))),"")</f>
        <v/>
      </c>
      <c r="F508" s="644">
        <f>IF(H508=0,0,(VLOOKUP(H508,'MTRL MSK (TPDP)'!$H$9:$X637,17,0)))</f>
        <v>0</v>
      </c>
      <c r="G508" s="645"/>
      <c r="H508" s="646"/>
      <c r="I508" s="446">
        <f>IF(H508=0,0,(VLOOKUP(H508,'MTRL MSK (TPDP)'!$H$9:$U637,2,0)))</f>
        <v>0</v>
      </c>
      <c r="J508" s="448" t="str">
        <f>IFERROR((IF(H508=0,0,(VLOOKUP(H508,'MTRL MSK (TPDP)'!$H$8:$U637,7,0))))/(IF(H508=0,0,(VLOOKUP(H508,'MTRL MSK (TPDP)'!$H$8:$U637,5,0)))),"")</f>
        <v/>
      </c>
      <c r="K508" s="559"/>
      <c r="L508" s="448">
        <f t="shared" si="1"/>
        <v>0</v>
      </c>
      <c r="M508" s="647">
        <f t="shared" si="2"/>
        <v>0</v>
      </c>
      <c r="N508" s="647">
        <f t="shared" si="3"/>
        <v>0</v>
      </c>
      <c r="O508" s="448">
        <f>IF(H508=0,0,(VLOOKUP(H508,'MTRL MSK (TPDP)'!$H$9:$U637,5,0)))</f>
        <v>0</v>
      </c>
      <c r="P508" s="448">
        <f t="shared" si="4"/>
        <v>0</v>
      </c>
      <c r="Q508" s="448">
        <f t="shared" si="5"/>
        <v>0</v>
      </c>
      <c r="R508" s="648" t="str">
        <f>IFERROR(IF(S508="","",(VLOOKUP(S508,'1. BQ RAPL'!$D$14:$K637,8,0))),"")</f>
        <v/>
      </c>
      <c r="S508" s="649"/>
      <c r="T508" s="650"/>
      <c r="U508" s="16"/>
      <c r="V508" s="16"/>
      <c r="W508" s="16"/>
      <c r="X508" s="119"/>
      <c r="Y508" s="119"/>
      <c r="Z508" s="119"/>
      <c r="AA508" s="119"/>
      <c r="AB508" s="119"/>
      <c r="AC508" s="119"/>
      <c r="AD508" s="119"/>
      <c r="AE508" s="119"/>
      <c r="AF508" s="119"/>
    </row>
    <row r="509" ht="18.75" customHeight="1">
      <c r="A509" s="119"/>
      <c r="B509" s="652"/>
      <c r="C509" s="642">
        <f>IF(F509=0,0,(VLOOKUP(F509,'MTRL MSK (TPDP)'!$F$9:$W637,18,0)))</f>
        <v>0</v>
      </c>
      <c r="D509" s="642">
        <f>IF(C509=0,0,(VLOOKUP(C509,'MTRL MSK (TPDP)'!$B$9:$W637,3,0)))</f>
        <v>0</v>
      </c>
      <c r="E509" s="643" t="str">
        <f>iferror(IF(C509="","",(VLOOKUP(C509,'MTRL MSK (TPDP)'!$B$9:$W637,4,0))),"")</f>
        <v/>
      </c>
      <c r="F509" s="644">
        <f>IF(H509=0,0,(VLOOKUP(H509,'MTRL MSK (TPDP)'!$H$9:$X637,17,0)))</f>
        <v>0</v>
      </c>
      <c r="G509" s="645"/>
      <c r="H509" s="646"/>
      <c r="I509" s="446">
        <f>IF(H509=0,0,(VLOOKUP(H509,'MTRL MSK (TPDP)'!$H$9:$U637,2,0)))</f>
        <v>0</v>
      </c>
      <c r="J509" s="448" t="str">
        <f>IFERROR((IF(H509=0,0,(VLOOKUP(H509,'MTRL MSK (TPDP)'!$H$8:$U637,7,0))))/(IF(H509=0,0,(VLOOKUP(H509,'MTRL MSK (TPDP)'!$H$8:$U637,5,0)))),"")</f>
        <v/>
      </c>
      <c r="K509" s="559"/>
      <c r="L509" s="448">
        <f t="shared" si="1"/>
        <v>0</v>
      </c>
      <c r="M509" s="647">
        <f t="shared" si="2"/>
        <v>0</v>
      </c>
      <c r="N509" s="647">
        <f t="shared" si="3"/>
        <v>0</v>
      </c>
      <c r="O509" s="448">
        <f>IF(H509=0,0,(VLOOKUP(H509,'MTRL MSK (TPDP)'!$H$9:$U637,5,0)))</f>
        <v>0</v>
      </c>
      <c r="P509" s="448">
        <f t="shared" si="4"/>
        <v>0</v>
      </c>
      <c r="Q509" s="448">
        <f t="shared" si="5"/>
        <v>0</v>
      </c>
      <c r="R509" s="648" t="str">
        <f>IFERROR(IF(S509="","",(VLOOKUP(S509,'1. BQ RAPL'!$D$14:$K637,8,0))),"")</f>
        <v/>
      </c>
      <c r="S509" s="649"/>
      <c r="T509" s="650"/>
      <c r="U509" s="16"/>
      <c r="V509" s="16"/>
      <c r="W509" s="16"/>
      <c r="X509" s="119"/>
      <c r="Y509" s="119"/>
      <c r="Z509" s="119"/>
      <c r="AA509" s="119"/>
      <c r="AB509" s="119"/>
      <c r="AC509" s="119"/>
      <c r="AD509" s="119"/>
      <c r="AE509" s="119"/>
      <c r="AF509" s="119"/>
    </row>
    <row r="510" ht="18.75" customHeight="1">
      <c r="A510" s="119"/>
      <c r="B510" s="652"/>
      <c r="C510" s="642">
        <f>IF(F510=0,0,(VLOOKUP(F510,'MTRL MSK (TPDP)'!$F$9:$W637,18,0)))</f>
        <v>0</v>
      </c>
      <c r="D510" s="642">
        <f>IF(C510=0,0,(VLOOKUP(C510,'MTRL MSK (TPDP)'!$B$9:$W637,3,0)))</f>
        <v>0</v>
      </c>
      <c r="E510" s="643" t="str">
        <f>iferror(IF(C510="","",(VLOOKUP(C510,'MTRL MSK (TPDP)'!$B$9:$W637,4,0))),"")</f>
        <v/>
      </c>
      <c r="F510" s="644">
        <f>IF(H510=0,0,(VLOOKUP(H510,'MTRL MSK (TPDP)'!$H$9:$X637,17,0)))</f>
        <v>0</v>
      </c>
      <c r="G510" s="645"/>
      <c r="H510" s="646"/>
      <c r="I510" s="446">
        <f>IF(H510=0,0,(VLOOKUP(H510,'MTRL MSK (TPDP)'!$H$9:$U637,2,0)))</f>
        <v>0</v>
      </c>
      <c r="J510" s="448" t="str">
        <f>IFERROR((IF(H510=0,0,(VLOOKUP(H510,'MTRL MSK (TPDP)'!$H$8:$U637,7,0))))/(IF(H510=0,0,(VLOOKUP(H510,'MTRL MSK (TPDP)'!$H$8:$U637,5,0)))),"")</f>
        <v/>
      </c>
      <c r="K510" s="559"/>
      <c r="L510" s="448">
        <f t="shared" si="1"/>
        <v>0</v>
      </c>
      <c r="M510" s="647">
        <f t="shared" si="2"/>
        <v>0</v>
      </c>
      <c r="N510" s="647">
        <f t="shared" si="3"/>
        <v>0</v>
      </c>
      <c r="O510" s="448">
        <f>IF(H510=0,0,(VLOOKUP(H510,'MTRL MSK (TPDP)'!$H$9:$U637,5,0)))</f>
        <v>0</v>
      </c>
      <c r="P510" s="448">
        <f t="shared" si="4"/>
        <v>0</v>
      </c>
      <c r="Q510" s="448">
        <f t="shared" si="5"/>
        <v>0</v>
      </c>
      <c r="R510" s="648" t="str">
        <f>IFERROR(IF(S510="","",(VLOOKUP(S510,'1. BQ RAPL'!$D$14:$K637,8,0))),"")</f>
        <v/>
      </c>
      <c r="S510" s="649"/>
      <c r="T510" s="650"/>
      <c r="U510" s="16"/>
      <c r="V510" s="16"/>
      <c r="W510" s="16"/>
      <c r="X510" s="119"/>
      <c r="Y510" s="119"/>
      <c r="Z510" s="119"/>
      <c r="AA510" s="119"/>
      <c r="AB510" s="119"/>
      <c r="AC510" s="119"/>
      <c r="AD510" s="119"/>
      <c r="AE510" s="119"/>
      <c r="AF510" s="119"/>
    </row>
    <row r="511" ht="18.75" customHeight="1">
      <c r="A511" s="119"/>
      <c r="B511" s="652"/>
      <c r="C511" s="642">
        <f>IF(F511=0,0,(VLOOKUP(F511,'MTRL MSK (TPDP)'!$F$9:$W637,18,0)))</f>
        <v>0</v>
      </c>
      <c r="D511" s="642">
        <f>IF(C511=0,0,(VLOOKUP(C511,'MTRL MSK (TPDP)'!$B$9:$W637,3,0)))</f>
        <v>0</v>
      </c>
      <c r="E511" s="643" t="str">
        <f>iferror(IF(C511="","",(VLOOKUP(C511,'MTRL MSK (TPDP)'!$B$9:$W637,4,0))),"")</f>
        <v/>
      </c>
      <c r="F511" s="644">
        <f>IF(H511=0,0,(VLOOKUP(H511,'MTRL MSK (TPDP)'!$H$9:$X637,17,0)))</f>
        <v>0</v>
      </c>
      <c r="G511" s="645"/>
      <c r="H511" s="646"/>
      <c r="I511" s="446">
        <f>IF(H511=0,0,(VLOOKUP(H511,'MTRL MSK (TPDP)'!$H$9:$U637,2,0)))</f>
        <v>0</v>
      </c>
      <c r="J511" s="448" t="str">
        <f>IFERROR((IF(H511=0,0,(VLOOKUP(H511,'MTRL MSK (TPDP)'!$H$8:$U637,7,0))))/(IF(H511=0,0,(VLOOKUP(H511,'MTRL MSK (TPDP)'!$H$8:$U637,5,0)))),"")</f>
        <v/>
      </c>
      <c r="K511" s="559"/>
      <c r="L511" s="448">
        <f t="shared" si="1"/>
        <v>0</v>
      </c>
      <c r="M511" s="647">
        <f t="shared" si="2"/>
        <v>0</v>
      </c>
      <c r="N511" s="647">
        <f t="shared" si="3"/>
        <v>0</v>
      </c>
      <c r="O511" s="448">
        <f>IF(H511=0,0,(VLOOKUP(H511,'MTRL MSK (TPDP)'!$H$9:$U637,5,0)))</f>
        <v>0</v>
      </c>
      <c r="P511" s="448">
        <f t="shared" si="4"/>
        <v>0</v>
      </c>
      <c r="Q511" s="448">
        <f t="shared" si="5"/>
        <v>0</v>
      </c>
      <c r="R511" s="648" t="str">
        <f>IFERROR(IF(S511="","",(VLOOKUP(S511,'1. BQ RAPL'!$D$14:$K637,8,0))),"")</f>
        <v/>
      </c>
      <c r="S511" s="649"/>
      <c r="T511" s="650"/>
      <c r="U511" s="16"/>
      <c r="V511" s="16"/>
      <c r="W511" s="16"/>
      <c r="X511" s="119"/>
      <c r="Y511" s="119"/>
      <c r="Z511" s="119"/>
      <c r="AA511" s="119"/>
      <c r="AB511" s="119"/>
      <c r="AC511" s="119"/>
      <c r="AD511" s="119"/>
      <c r="AE511" s="119"/>
      <c r="AF511" s="119"/>
    </row>
    <row r="512" ht="18.75" customHeight="1">
      <c r="A512" s="119"/>
      <c r="B512" s="652"/>
      <c r="C512" s="642">
        <f>IF(F512=0,0,(VLOOKUP(F512,'MTRL MSK (TPDP)'!$F$9:$W637,18,0)))</f>
        <v>0</v>
      </c>
      <c r="D512" s="642">
        <f>IF(C512=0,0,(VLOOKUP(C512,'MTRL MSK (TPDP)'!$B$9:$W637,3,0)))</f>
        <v>0</v>
      </c>
      <c r="E512" s="643" t="str">
        <f>iferror(IF(C512="","",(VLOOKUP(C512,'MTRL MSK (TPDP)'!$B$9:$W637,4,0))),"")</f>
        <v/>
      </c>
      <c r="F512" s="644">
        <f>IF(H512=0,0,(VLOOKUP(H512,'MTRL MSK (TPDP)'!$H$9:$X637,17,0)))</f>
        <v>0</v>
      </c>
      <c r="G512" s="645"/>
      <c r="H512" s="646"/>
      <c r="I512" s="446">
        <f>IF(H512=0,0,(VLOOKUP(H512,'MTRL MSK (TPDP)'!$H$9:$U637,2,0)))</f>
        <v>0</v>
      </c>
      <c r="J512" s="448" t="str">
        <f>IFERROR((IF(H512=0,0,(VLOOKUP(H512,'MTRL MSK (TPDP)'!$H$8:$U637,7,0))))/(IF(H512=0,0,(VLOOKUP(H512,'MTRL MSK (TPDP)'!$H$8:$U637,5,0)))),"")</f>
        <v/>
      </c>
      <c r="K512" s="559"/>
      <c r="L512" s="448">
        <f t="shared" si="1"/>
        <v>0</v>
      </c>
      <c r="M512" s="647">
        <f t="shared" si="2"/>
        <v>0</v>
      </c>
      <c r="N512" s="647">
        <f t="shared" si="3"/>
        <v>0</v>
      </c>
      <c r="O512" s="448">
        <f>IF(H512=0,0,(VLOOKUP(H512,'MTRL MSK (TPDP)'!$H$9:$U637,5,0)))</f>
        <v>0</v>
      </c>
      <c r="P512" s="448">
        <f t="shared" si="4"/>
        <v>0</v>
      </c>
      <c r="Q512" s="448">
        <f t="shared" si="5"/>
        <v>0</v>
      </c>
      <c r="R512" s="648" t="str">
        <f>IFERROR(IF(S512="","",(VLOOKUP(S512,'1. BQ RAPL'!$D$14:$K637,8,0))),"")</f>
        <v/>
      </c>
      <c r="S512" s="649"/>
      <c r="T512" s="650"/>
      <c r="U512" s="16"/>
      <c r="V512" s="16"/>
      <c r="W512" s="16"/>
      <c r="X512" s="119"/>
      <c r="Y512" s="119"/>
      <c r="Z512" s="119"/>
      <c r="AA512" s="119"/>
      <c r="AB512" s="119"/>
      <c r="AC512" s="119"/>
      <c r="AD512" s="119"/>
      <c r="AE512" s="119"/>
      <c r="AF512" s="119"/>
    </row>
    <row r="513" ht="18.75" customHeight="1">
      <c r="A513" s="119"/>
      <c r="B513" s="652"/>
      <c r="C513" s="642">
        <f>IF(F513=0,0,(VLOOKUP(F513,'MTRL MSK (TPDP)'!$F$9:$W637,18,0)))</f>
        <v>0</v>
      </c>
      <c r="D513" s="642">
        <f>IF(C513=0,0,(VLOOKUP(C513,'MTRL MSK (TPDP)'!$B$9:$W637,3,0)))</f>
        <v>0</v>
      </c>
      <c r="E513" s="643" t="str">
        <f>iferror(IF(C513="","",(VLOOKUP(C513,'MTRL MSK (TPDP)'!$B$9:$W637,4,0))),"")</f>
        <v/>
      </c>
      <c r="F513" s="644">
        <f>IF(H513=0,0,(VLOOKUP(H513,'MTRL MSK (TPDP)'!$H$9:$X637,17,0)))</f>
        <v>0</v>
      </c>
      <c r="G513" s="645"/>
      <c r="H513" s="646"/>
      <c r="I513" s="446">
        <f>IF(H513=0,0,(VLOOKUP(H513,'MTRL MSK (TPDP)'!$H$9:$U637,2,0)))</f>
        <v>0</v>
      </c>
      <c r="J513" s="448" t="str">
        <f>IFERROR((IF(H513=0,0,(VLOOKUP(H513,'MTRL MSK (TPDP)'!$H$8:$U637,7,0))))/(IF(H513=0,0,(VLOOKUP(H513,'MTRL MSK (TPDP)'!$H$8:$U637,5,0)))),"")</f>
        <v/>
      </c>
      <c r="K513" s="559"/>
      <c r="L513" s="448">
        <f t="shared" si="1"/>
        <v>0</v>
      </c>
      <c r="M513" s="647">
        <f t="shared" si="2"/>
        <v>0</v>
      </c>
      <c r="N513" s="647">
        <f t="shared" si="3"/>
        <v>0</v>
      </c>
      <c r="O513" s="448">
        <f>IF(H513=0,0,(VLOOKUP(H513,'MTRL MSK (TPDP)'!$H$9:$U637,5,0)))</f>
        <v>0</v>
      </c>
      <c r="P513" s="448">
        <f t="shared" si="4"/>
        <v>0</v>
      </c>
      <c r="Q513" s="448">
        <f t="shared" si="5"/>
        <v>0</v>
      </c>
      <c r="R513" s="648" t="str">
        <f>IFERROR(IF(S513="","",(VLOOKUP(S513,'1. BQ RAPL'!$D$14:$K637,8,0))),"")</f>
        <v/>
      </c>
      <c r="S513" s="649"/>
      <c r="T513" s="650"/>
      <c r="U513" s="16"/>
      <c r="V513" s="16"/>
      <c r="W513" s="16"/>
      <c r="X513" s="119"/>
      <c r="Y513" s="119"/>
      <c r="Z513" s="119"/>
      <c r="AA513" s="119"/>
      <c r="AB513" s="119"/>
      <c r="AC513" s="119"/>
      <c r="AD513" s="119"/>
      <c r="AE513" s="119"/>
      <c r="AF513" s="119"/>
    </row>
    <row r="514" ht="18.75" customHeight="1">
      <c r="A514" s="119"/>
      <c r="B514" s="652"/>
      <c r="C514" s="642">
        <f>IF(F514=0,0,(VLOOKUP(F514,'MTRL MSK (TPDP)'!$F$9:$W637,18,0)))</f>
        <v>0</v>
      </c>
      <c r="D514" s="642">
        <f>IF(C514=0,0,(VLOOKUP(C514,'MTRL MSK (TPDP)'!$B$9:$W637,3,0)))</f>
        <v>0</v>
      </c>
      <c r="E514" s="643" t="str">
        <f>iferror(IF(C514="","",(VLOOKUP(C514,'MTRL MSK (TPDP)'!$B$9:$W637,4,0))),"")</f>
        <v/>
      </c>
      <c r="F514" s="644">
        <f>IF(H514=0,0,(VLOOKUP(H514,'MTRL MSK (TPDP)'!$H$9:$X637,17,0)))</f>
        <v>0</v>
      </c>
      <c r="G514" s="645"/>
      <c r="H514" s="646"/>
      <c r="I514" s="446">
        <f>IF(H514=0,0,(VLOOKUP(H514,'MTRL MSK (TPDP)'!$H$9:$U637,2,0)))</f>
        <v>0</v>
      </c>
      <c r="J514" s="448" t="str">
        <f>IFERROR((IF(H514=0,0,(VLOOKUP(H514,'MTRL MSK (TPDP)'!$H$8:$U637,7,0))))/(IF(H514=0,0,(VLOOKUP(H514,'MTRL MSK (TPDP)'!$H$8:$U637,5,0)))),"")</f>
        <v/>
      </c>
      <c r="K514" s="559"/>
      <c r="L514" s="448">
        <f t="shared" si="1"/>
        <v>0</v>
      </c>
      <c r="M514" s="647">
        <f t="shared" si="2"/>
        <v>0</v>
      </c>
      <c r="N514" s="647">
        <f t="shared" si="3"/>
        <v>0</v>
      </c>
      <c r="O514" s="448">
        <f>IF(H514=0,0,(VLOOKUP(H514,'MTRL MSK (TPDP)'!$H$9:$U637,5,0)))</f>
        <v>0</v>
      </c>
      <c r="P514" s="448">
        <f t="shared" si="4"/>
        <v>0</v>
      </c>
      <c r="Q514" s="448">
        <f t="shared" si="5"/>
        <v>0</v>
      </c>
      <c r="R514" s="648" t="str">
        <f>IFERROR(IF(S514="","",(VLOOKUP(S514,'1. BQ RAPL'!$D$14:$K637,8,0))),"")</f>
        <v/>
      </c>
      <c r="S514" s="649"/>
      <c r="T514" s="650"/>
      <c r="U514" s="16"/>
      <c r="V514" s="16"/>
      <c r="W514" s="16"/>
      <c r="X514" s="119"/>
      <c r="Y514" s="119"/>
      <c r="Z514" s="119"/>
      <c r="AA514" s="119"/>
      <c r="AB514" s="119"/>
      <c r="AC514" s="119"/>
      <c r="AD514" s="119"/>
      <c r="AE514" s="119"/>
      <c r="AF514" s="119"/>
    </row>
    <row r="515" ht="18.75" customHeight="1">
      <c r="A515" s="119"/>
      <c r="B515" s="652"/>
      <c r="C515" s="642">
        <f>IF(F515=0,0,(VLOOKUP(F515,'MTRL MSK (TPDP)'!$F$9:$W637,18,0)))</f>
        <v>0</v>
      </c>
      <c r="D515" s="642">
        <f>IF(C515=0,0,(VLOOKUP(C515,'MTRL MSK (TPDP)'!$B$9:$W637,3,0)))</f>
        <v>0</v>
      </c>
      <c r="E515" s="643" t="str">
        <f>iferror(IF(C515="","",(VLOOKUP(C515,'MTRL MSK (TPDP)'!$B$9:$W637,4,0))),"")</f>
        <v/>
      </c>
      <c r="F515" s="644">
        <f>IF(H515=0,0,(VLOOKUP(H515,'MTRL MSK (TPDP)'!$H$9:$X637,17,0)))</f>
        <v>0</v>
      </c>
      <c r="G515" s="645"/>
      <c r="H515" s="646"/>
      <c r="I515" s="446">
        <f>IF(H515=0,0,(VLOOKUP(H515,'MTRL MSK (TPDP)'!$H$9:$U637,2,0)))</f>
        <v>0</v>
      </c>
      <c r="J515" s="448" t="str">
        <f>IFERROR((IF(H515=0,0,(VLOOKUP(H515,'MTRL MSK (TPDP)'!$H$8:$U637,7,0))))/(IF(H515=0,0,(VLOOKUP(H515,'MTRL MSK (TPDP)'!$H$8:$U637,5,0)))),"")</f>
        <v/>
      </c>
      <c r="K515" s="559"/>
      <c r="L515" s="448">
        <f t="shared" si="1"/>
        <v>0</v>
      </c>
      <c r="M515" s="647">
        <f t="shared" si="2"/>
        <v>0</v>
      </c>
      <c r="N515" s="647">
        <f t="shared" si="3"/>
        <v>0</v>
      </c>
      <c r="O515" s="448">
        <f>IF(H515=0,0,(VLOOKUP(H515,'MTRL MSK (TPDP)'!$H$9:$U637,5,0)))</f>
        <v>0</v>
      </c>
      <c r="P515" s="448">
        <f t="shared" si="4"/>
        <v>0</v>
      </c>
      <c r="Q515" s="448">
        <f t="shared" si="5"/>
        <v>0</v>
      </c>
      <c r="R515" s="648" t="str">
        <f>IFERROR(IF(S515="","",(VLOOKUP(S515,'1. BQ RAPL'!$D$14:$K637,8,0))),"")</f>
        <v/>
      </c>
      <c r="S515" s="649"/>
      <c r="T515" s="650"/>
      <c r="U515" s="16"/>
      <c r="V515" s="16"/>
      <c r="W515" s="16"/>
      <c r="X515" s="119"/>
      <c r="Y515" s="119"/>
      <c r="Z515" s="119"/>
      <c r="AA515" s="119"/>
      <c r="AB515" s="119"/>
      <c r="AC515" s="119"/>
      <c r="AD515" s="119"/>
      <c r="AE515" s="119"/>
      <c r="AF515" s="119"/>
    </row>
    <row r="516" ht="18.75" customHeight="1">
      <c r="A516" s="119"/>
      <c r="B516" s="652"/>
      <c r="C516" s="642">
        <f>IF(F516=0,0,(VLOOKUP(F516,'MTRL MSK (TPDP)'!$F$9:$W637,18,0)))</f>
        <v>0</v>
      </c>
      <c r="D516" s="642">
        <f>IF(C516=0,0,(VLOOKUP(C516,'MTRL MSK (TPDP)'!$B$9:$W637,3,0)))</f>
        <v>0</v>
      </c>
      <c r="E516" s="643" t="str">
        <f>iferror(IF(C516="","",(VLOOKUP(C516,'MTRL MSK (TPDP)'!$B$9:$W637,4,0))),"")</f>
        <v/>
      </c>
      <c r="F516" s="644">
        <f>IF(H516=0,0,(VLOOKUP(H516,'MTRL MSK (TPDP)'!$H$9:$X637,17,0)))</f>
        <v>0</v>
      </c>
      <c r="G516" s="645"/>
      <c r="H516" s="646"/>
      <c r="I516" s="446">
        <f>IF(H516=0,0,(VLOOKUP(H516,'MTRL MSK (TPDP)'!$H$9:$U637,2,0)))</f>
        <v>0</v>
      </c>
      <c r="J516" s="448" t="str">
        <f>IFERROR((IF(H516=0,0,(VLOOKUP(H516,'MTRL MSK (TPDP)'!$H$8:$U637,7,0))))/(IF(H516=0,0,(VLOOKUP(H516,'MTRL MSK (TPDP)'!$H$8:$U637,5,0)))),"")</f>
        <v/>
      </c>
      <c r="K516" s="559"/>
      <c r="L516" s="448">
        <f t="shared" si="1"/>
        <v>0</v>
      </c>
      <c r="M516" s="647">
        <f t="shared" si="2"/>
        <v>0</v>
      </c>
      <c r="N516" s="647">
        <f t="shared" si="3"/>
        <v>0</v>
      </c>
      <c r="O516" s="448">
        <f>IF(H516=0,0,(VLOOKUP(H516,'MTRL MSK (TPDP)'!$H$9:$U637,5,0)))</f>
        <v>0</v>
      </c>
      <c r="P516" s="448">
        <f t="shared" si="4"/>
        <v>0</v>
      </c>
      <c r="Q516" s="448">
        <f t="shared" si="5"/>
        <v>0</v>
      </c>
      <c r="R516" s="648" t="str">
        <f>IFERROR(IF(S516="","",(VLOOKUP(S516,'1. BQ RAPL'!$D$14:$K637,8,0))),"")</f>
        <v/>
      </c>
      <c r="S516" s="649"/>
      <c r="T516" s="650"/>
      <c r="U516" s="16"/>
      <c r="V516" s="16"/>
      <c r="W516" s="16"/>
      <c r="X516" s="119"/>
      <c r="Y516" s="119"/>
      <c r="Z516" s="119"/>
      <c r="AA516" s="119"/>
      <c r="AB516" s="119"/>
      <c r="AC516" s="119"/>
      <c r="AD516" s="119"/>
      <c r="AE516" s="119"/>
      <c r="AF516" s="119"/>
    </row>
    <row r="517" ht="18.75" customHeight="1">
      <c r="A517" s="119"/>
      <c r="B517" s="652"/>
      <c r="C517" s="642">
        <f>IF(F517=0,0,(VLOOKUP(F517,'MTRL MSK (TPDP)'!$F$9:$W637,18,0)))</f>
        <v>0</v>
      </c>
      <c r="D517" s="642">
        <f>IF(C517=0,0,(VLOOKUP(C517,'MTRL MSK (TPDP)'!$B$9:$W637,3,0)))</f>
        <v>0</v>
      </c>
      <c r="E517" s="643" t="str">
        <f>iferror(IF(C517="","",(VLOOKUP(C517,'MTRL MSK (TPDP)'!$B$9:$W637,4,0))),"")</f>
        <v/>
      </c>
      <c r="F517" s="644">
        <f>IF(H517=0,0,(VLOOKUP(H517,'MTRL MSK (TPDP)'!$H$9:$X637,17,0)))</f>
        <v>0</v>
      </c>
      <c r="G517" s="645"/>
      <c r="H517" s="646"/>
      <c r="I517" s="446">
        <f>IF(H517=0,0,(VLOOKUP(H517,'MTRL MSK (TPDP)'!$H$9:$U637,2,0)))</f>
        <v>0</v>
      </c>
      <c r="J517" s="448" t="str">
        <f>IFERROR((IF(H517=0,0,(VLOOKUP(H517,'MTRL MSK (TPDP)'!$H$8:$U637,7,0))))/(IF(H517=0,0,(VLOOKUP(H517,'MTRL MSK (TPDP)'!$H$8:$U637,5,0)))),"")</f>
        <v/>
      </c>
      <c r="K517" s="559"/>
      <c r="L517" s="448">
        <f t="shared" si="1"/>
        <v>0</v>
      </c>
      <c r="M517" s="647">
        <f t="shared" si="2"/>
        <v>0</v>
      </c>
      <c r="N517" s="647">
        <f t="shared" si="3"/>
        <v>0</v>
      </c>
      <c r="O517" s="448">
        <f>IF(H517=0,0,(VLOOKUP(H517,'MTRL MSK (TPDP)'!$H$9:$U637,5,0)))</f>
        <v>0</v>
      </c>
      <c r="P517" s="448">
        <f t="shared" si="4"/>
        <v>0</v>
      </c>
      <c r="Q517" s="448">
        <f t="shared" si="5"/>
        <v>0</v>
      </c>
      <c r="R517" s="648" t="str">
        <f>IFERROR(IF(S517="","",(VLOOKUP(S517,'1. BQ RAPL'!$D$14:$K637,8,0))),"")</f>
        <v/>
      </c>
      <c r="S517" s="649"/>
      <c r="T517" s="650"/>
      <c r="U517" s="16"/>
      <c r="V517" s="16"/>
      <c r="W517" s="16"/>
      <c r="X517" s="119"/>
      <c r="Y517" s="119"/>
      <c r="Z517" s="119"/>
      <c r="AA517" s="119"/>
      <c r="AB517" s="119"/>
      <c r="AC517" s="119"/>
      <c r="AD517" s="119"/>
      <c r="AE517" s="119"/>
      <c r="AF517" s="119"/>
    </row>
    <row r="518" ht="18.75" customHeight="1">
      <c r="A518" s="119"/>
      <c r="B518" s="652"/>
      <c r="C518" s="642">
        <f>IF(F518=0,0,(VLOOKUP(F518,'MTRL MSK (TPDP)'!$F$9:$W637,18,0)))</f>
        <v>0</v>
      </c>
      <c r="D518" s="642">
        <f>IF(C518=0,0,(VLOOKUP(C518,'MTRL MSK (TPDP)'!$B$9:$W637,3,0)))</f>
        <v>0</v>
      </c>
      <c r="E518" s="643" t="str">
        <f>iferror(IF(C518="","",(VLOOKUP(C518,'MTRL MSK (TPDP)'!$B$9:$W637,4,0))),"")</f>
        <v/>
      </c>
      <c r="F518" s="644">
        <f>IF(H518=0,0,(VLOOKUP(H518,'MTRL MSK (TPDP)'!$H$9:$X637,17,0)))</f>
        <v>0</v>
      </c>
      <c r="G518" s="645"/>
      <c r="H518" s="646"/>
      <c r="I518" s="446">
        <f>IF(H518=0,0,(VLOOKUP(H518,'MTRL MSK (TPDP)'!$H$9:$U637,2,0)))</f>
        <v>0</v>
      </c>
      <c r="J518" s="448" t="str">
        <f>IFERROR((IF(H518=0,0,(VLOOKUP(H518,'MTRL MSK (TPDP)'!$H$8:$U637,7,0))))/(IF(H518=0,0,(VLOOKUP(H518,'MTRL MSK (TPDP)'!$H$8:$U637,5,0)))),"")</f>
        <v/>
      </c>
      <c r="K518" s="559"/>
      <c r="L518" s="448">
        <f t="shared" si="1"/>
        <v>0</v>
      </c>
      <c r="M518" s="647">
        <f t="shared" si="2"/>
        <v>0</v>
      </c>
      <c r="N518" s="647">
        <f t="shared" si="3"/>
        <v>0</v>
      </c>
      <c r="O518" s="448">
        <f>IF(H518=0,0,(VLOOKUP(H518,'MTRL MSK (TPDP)'!$H$9:$U637,5,0)))</f>
        <v>0</v>
      </c>
      <c r="P518" s="448">
        <f t="shared" si="4"/>
        <v>0</v>
      </c>
      <c r="Q518" s="448">
        <f t="shared" si="5"/>
        <v>0</v>
      </c>
      <c r="R518" s="648" t="str">
        <f>IFERROR(IF(S518="","",(VLOOKUP(S518,'1. BQ RAPL'!$D$14:$K637,8,0))),"")</f>
        <v/>
      </c>
      <c r="S518" s="649"/>
      <c r="T518" s="650"/>
      <c r="U518" s="16"/>
      <c r="V518" s="16"/>
      <c r="W518" s="16"/>
      <c r="X518" s="119"/>
      <c r="Y518" s="119"/>
      <c r="Z518" s="119"/>
      <c r="AA518" s="119"/>
      <c r="AB518" s="119"/>
      <c r="AC518" s="119"/>
      <c r="AD518" s="119"/>
      <c r="AE518" s="119"/>
      <c r="AF518" s="119"/>
    </row>
    <row r="519" ht="18.75" customHeight="1">
      <c r="A519" s="119"/>
      <c r="B519" s="652"/>
      <c r="C519" s="642">
        <f>IF(F519=0,0,(VLOOKUP(F519,'MTRL MSK (TPDP)'!$F$9:$W637,18,0)))</f>
        <v>0</v>
      </c>
      <c r="D519" s="642">
        <f>IF(C519=0,0,(VLOOKUP(C519,'MTRL MSK (TPDP)'!$B$9:$W637,3,0)))</f>
        <v>0</v>
      </c>
      <c r="E519" s="643" t="str">
        <f>iferror(IF(C519="","",(VLOOKUP(C519,'MTRL MSK (TPDP)'!$B$9:$W637,4,0))),"")</f>
        <v/>
      </c>
      <c r="F519" s="644">
        <f>IF(H519=0,0,(VLOOKUP(H519,'MTRL MSK (TPDP)'!$H$9:$X637,17,0)))</f>
        <v>0</v>
      </c>
      <c r="G519" s="645"/>
      <c r="H519" s="646"/>
      <c r="I519" s="446">
        <f>IF(H519=0,0,(VLOOKUP(H519,'MTRL MSK (TPDP)'!$H$9:$U637,2,0)))</f>
        <v>0</v>
      </c>
      <c r="J519" s="448" t="str">
        <f>IFERROR((IF(H519=0,0,(VLOOKUP(H519,'MTRL MSK (TPDP)'!$H$8:$U637,7,0))))/(IF(H519=0,0,(VLOOKUP(H519,'MTRL MSK (TPDP)'!$H$8:$U637,5,0)))),"")</f>
        <v/>
      </c>
      <c r="K519" s="559"/>
      <c r="L519" s="448">
        <f t="shared" si="1"/>
        <v>0</v>
      </c>
      <c r="M519" s="647">
        <f t="shared" si="2"/>
        <v>0</v>
      </c>
      <c r="N519" s="647">
        <f t="shared" si="3"/>
        <v>0</v>
      </c>
      <c r="O519" s="448">
        <f>IF(H519=0,0,(VLOOKUP(H519,'MTRL MSK (TPDP)'!$H$9:$U637,5,0)))</f>
        <v>0</v>
      </c>
      <c r="P519" s="448">
        <f t="shared" si="4"/>
        <v>0</v>
      </c>
      <c r="Q519" s="448">
        <f t="shared" si="5"/>
        <v>0</v>
      </c>
      <c r="R519" s="648" t="str">
        <f>IFERROR(IF(S519="","",(VLOOKUP(S519,'1. BQ RAPL'!$D$14:$K637,8,0))),"")</f>
        <v/>
      </c>
      <c r="S519" s="649"/>
      <c r="T519" s="650"/>
      <c r="U519" s="16"/>
      <c r="V519" s="16"/>
      <c r="W519" s="16"/>
      <c r="X519" s="119"/>
      <c r="Y519" s="119"/>
      <c r="Z519" s="119"/>
      <c r="AA519" s="119"/>
      <c r="AB519" s="119"/>
      <c r="AC519" s="119"/>
      <c r="AD519" s="119"/>
      <c r="AE519" s="119"/>
      <c r="AF519" s="119"/>
    </row>
    <row r="520" ht="18.75" customHeight="1">
      <c r="A520" s="119"/>
      <c r="B520" s="652"/>
      <c r="C520" s="642">
        <f>IF(F520=0,0,(VLOOKUP(F520,'MTRL MSK (TPDP)'!$F$9:$W637,18,0)))</f>
        <v>0</v>
      </c>
      <c r="D520" s="642">
        <f>IF(C520=0,0,(VLOOKUP(C520,'MTRL MSK (TPDP)'!$B$9:$W637,3,0)))</f>
        <v>0</v>
      </c>
      <c r="E520" s="643" t="str">
        <f>iferror(IF(C520="","",(VLOOKUP(C520,'MTRL MSK (TPDP)'!$B$9:$W637,4,0))),"")</f>
        <v/>
      </c>
      <c r="F520" s="644">
        <f>IF(H520=0,0,(VLOOKUP(H520,'MTRL MSK (TPDP)'!$H$9:$X637,17,0)))</f>
        <v>0</v>
      </c>
      <c r="G520" s="645"/>
      <c r="H520" s="646"/>
      <c r="I520" s="446">
        <f>IF(H520=0,0,(VLOOKUP(H520,'MTRL MSK (TPDP)'!$H$9:$U637,2,0)))</f>
        <v>0</v>
      </c>
      <c r="J520" s="448" t="str">
        <f>IFERROR((IF(H520=0,0,(VLOOKUP(H520,'MTRL MSK (TPDP)'!$H$8:$U637,7,0))))/(IF(H520=0,0,(VLOOKUP(H520,'MTRL MSK (TPDP)'!$H$8:$U637,5,0)))),"")</f>
        <v/>
      </c>
      <c r="K520" s="559"/>
      <c r="L520" s="448">
        <f t="shared" si="1"/>
        <v>0</v>
      </c>
      <c r="M520" s="647">
        <f t="shared" si="2"/>
        <v>0</v>
      </c>
      <c r="N520" s="647">
        <f t="shared" si="3"/>
        <v>0</v>
      </c>
      <c r="O520" s="448">
        <f>IF(H520=0,0,(VLOOKUP(H520,'MTRL MSK (TPDP)'!$H$9:$U637,5,0)))</f>
        <v>0</v>
      </c>
      <c r="P520" s="448">
        <f t="shared" si="4"/>
        <v>0</v>
      </c>
      <c r="Q520" s="448">
        <f t="shared" si="5"/>
        <v>0</v>
      </c>
      <c r="R520" s="648" t="str">
        <f>IFERROR(IF(S520="","",(VLOOKUP(S520,'1. BQ RAPL'!$D$14:$K637,8,0))),"")</f>
        <v/>
      </c>
      <c r="S520" s="649"/>
      <c r="T520" s="650"/>
      <c r="U520" s="16"/>
      <c r="V520" s="16"/>
      <c r="W520" s="16"/>
      <c r="X520" s="119"/>
      <c r="Y520" s="119"/>
      <c r="Z520" s="119"/>
      <c r="AA520" s="119"/>
      <c r="AB520" s="119"/>
      <c r="AC520" s="119"/>
      <c r="AD520" s="119"/>
      <c r="AE520" s="119"/>
      <c r="AF520" s="119"/>
    </row>
    <row r="521" ht="18.75" customHeight="1">
      <c r="A521" s="119"/>
      <c r="B521" s="652"/>
      <c r="C521" s="642">
        <f>IF(F521=0,0,(VLOOKUP(F521,'MTRL MSK (TPDP)'!$F$9:$W637,18,0)))</f>
        <v>0</v>
      </c>
      <c r="D521" s="642">
        <f>IF(C521=0,0,(VLOOKUP(C521,'MTRL MSK (TPDP)'!$B$9:$W637,3,0)))</f>
        <v>0</v>
      </c>
      <c r="E521" s="643" t="str">
        <f>iferror(IF(C521="","",(VLOOKUP(C521,'MTRL MSK (TPDP)'!$B$9:$W637,4,0))),"")</f>
        <v/>
      </c>
      <c r="F521" s="644">
        <f>IF(H521=0,0,(VLOOKUP(H521,'MTRL MSK (TPDP)'!$H$9:$X637,17,0)))</f>
        <v>0</v>
      </c>
      <c r="G521" s="645"/>
      <c r="H521" s="646"/>
      <c r="I521" s="446">
        <f>IF(H521=0,0,(VLOOKUP(H521,'MTRL MSK (TPDP)'!$H$9:$U637,2,0)))</f>
        <v>0</v>
      </c>
      <c r="J521" s="448" t="str">
        <f>IFERROR((IF(H521=0,0,(VLOOKUP(H521,'MTRL MSK (TPDP)'!$H$8:$U637,7,0))))/(IF(H521=0,0,(VLOOKUP(H521,'MTRL MSK (TPDP)'!$H$8:$U637,5,0)))),"")</f>
        <v/>
      </c>
      <c r="K521" s="559"/>
      <c r="L521" s="448">
        <f t="shared" si="1"/>
        <v>0</v>
      </c>
      <c r="M521" s="647">
        <f t="shared" si="2"/>
        <v>0</v>
      </c>
      <c r="N521" s="647">
        <f t="shared" si="3"/>
        <v>0</v>
      </c>
      <c r="O521" s="448">
        <f>IF(H521=0,0,(VLOOKUP(H521,'MTRL MSK (TPDP)'!$H$9:$U637,5,0)))</f>
        <v>0</v>
      </c>
      <c r="P521" s="448">
        <f t="shared" si="4"/>
        <v>0</v>
      </c>
      <c r="Q521" s="448">
        <f t="shared" si="5"/>
        <v>0</v>
      </c>
      <c r="R521" s="648" t="str">
        <f>IFERROR(IF(S521="","",(VLOOKUP(S521,'1. BQ RAPL'!$D$14:$K637,8,0))),"")</f>
        <v/>
      </c>
      <c r="S521" s="649"/>
      <c r="T521" s="650"/>
      <c r="U521" s="16"/>
      <c r="V521" s="16"/>
      <c r="W521" s="16"/>
      <c r="X521" s="119"/>
      <c r="Y521" s="119"/>
      <c r="Z521" s="119"/>
      <c r="AA521" s="119"/>
      <c r="AB521" s="119"/>
      <c r="AC521" s="119"/>
      <c r="AD521" s="119"/>
      <c r="AE521" s="119"/>
      <c r="AF521" s="119"/>
    </row>
    <row r="522" ht="18.75" customHeight="1">
      <c r="A522" s="119"/>
      <c r="B522" s="652"/>
      <c r="C522" s="642">
        <f>IF(F522=0,0,(VLOOKUP(F522,'MTRL MSK (TPDP)'!$F$9:$W637,18,0)))</f>
        <v>0</v>
      </c>
      <c r="D522" s="642">
        <f>IF(C522=0,0,(VLOOKUP(C522,'MTRL MSK (TPDP)'!$B$9:$W637,3,0)))</f>
        <v>0</v>
      </c>
      <c r="E522" s="643" t="str">
        <f>iferror(IF(C522="","",(VLOOKUP(C522,'MTRL MSK (TPDP)'!$B$9:$W637,4,0))),"")</f>
        <v/>
      </c>
      <c r="F522" s="644">
        <f>IF(H522=0,0,(VLOOKUP(H522,'MTRL MSK (TPDP)'!$H$9:$X637,17,0)))</f>
        <v>0</v>
      </c>
      <c r="G522" s="645"/>
      <c r="H522" s="646"/>
      <c r="I522" s="446">
        <f>IF(H522=0,0,(VLOOKUP(H522,'MTRL MSK (TPDP)'!$H$9:$U637,2,0)))</f>
        <v>0</v>
      </c>
      <c r="J522" s="448" t="str">
        <f>IFERROR((IF(H522=0,0,(VLOOKUP(H522,'MTRL MSK (TPDP)'!$H$8:$U637,7,0))))/(IF(H522=0,0,(VLOOKUP(H522,'MTRL MSK (TPDP)'!$H$8:$U637,5,0)))),"")</f>
        <v/>
      </c>
      <c r="K522" s="559"/>
      <c r="L522" s="448">
        <f t="shared" si="1"/>
        <v>0</v>
      </c>
      <c r="M522" s="647">
        <f t="shared" si="2"/>
        <v>0</v>
      </c>
      <c r="N522" s="647">
        <f t="shared" si="3"/>
        <v>0</v>
      </c>
      <c r="O522" s="448">
        <f>IF(H522=0,0,(VLOOKUP(H522,'MTRL MSK (TPDP)'!$H$9:$U637,5,0)))</f>
        <v>0</v>
      </c>
      <c r="P522" s="448">
        <f t="shared" si="4"/>
        <v>0</v>
      </c>
      <c r="Q522" s="448">
        <f t="shared" si="5"/>
        <v>0</v>
      </c>
      <c r="R522" s="648" t="str">
        <f>IFERROR(IF(S522="","",(VLOOKUP(S522,'1. BQ RAPL'!$D$14:$K637,8,0))),"")</f>
        <v/>
      </c>
      <c r="S522" s="649"/>
      <c r="T522" s="650"/>
      <c r="U522" s="16"/>
      <c r="V522" s="16"/>
      <c r="W522" s="16"/>
      <c r="X522" s="119"/>
      <c r="Y522" s="119"/>
      <c r="Z522" s="119"/>
      <c r="AA522" s="119"/>
      <c r="AB522" s="119"/>
      <c r="AC522" s="119"/>
      <c r="AD522" s="119"/>
      <c r="AE522" s="119"/>
      <c r="AF522" s="119"/>
    </row>
    <row r="523" ht="18.75" customHeight="1">
      <c r="A523" s="119"/>
      <c r="B523" s="652"/>
      <c r="C523" s="642">
        <f>IF(F523=0,0,(VLOOKUP(F523,'MTRL MSK (TPDP)'!$F$9:$W637,18,0)))</f>
        <v>0</v>
      </c>
      <c r="D523" s="642">
        <f>IF(C523=0,0,(VLOOKUP(C523,'MTRL MSK (TPDP)'!$B$9:$W637,3,0)))</f>
        <v>0</v>
      </c>
      <c r="E523" s="643" t="str">
        <f>iferror(IF(C523="","",(VLOOKUP(C523,'MTRL MSK (TPDP)'!$B$9:$W637,4,0))),"")</f>
        <v/>
      </c>
      <c r="F523" s="644">
        <f>IF(H523=0,0,(VLOOKUP(H523,'MTRL MSK (TPDP)'!$H$9:$X637,17,0)))</f>
        <v>0</v>
      </c>
      <c r="G523" s="645"/>
      <c r="H523" s="646"/>
      <c r="I523" s="446">
        <f>IF(H523=0,0,(VLOOKUP(H523,'MTRL MSK (TPDP)'!$H$9:$U637,2,0)))</f>
        <v>0</v>
      </c>
      <c r="J523" s="448" t="str">
        <f>IFERROR((IF(H523=0,0,(VLOOKUP(H523,'MTRL MSK (TPDP)'!$H$8:$U637,7,0))))/(IF(H523=0,0,(VLOOKUP(H523,'MTRL MSK (TPDP)'!$H$8:$U637,5,0)))),"")</f>
        <v/>
      </c>
      <c r="K523" s="559"/>
      <c r="L523" s="448">
        <f t="shared" si="1"/>
        <v>0</v>
      </c>
      <c r="M523" s="647">
        <f t="shared" si="2"/>
        <v>0</v>
      </c>
      <c r="N523" s="647">
        <f t="shared" si="3"/>
        <v>0</v>
      </c>
      <c r="O523" s="448">
        <f>IF(H523=0,0,(VLOOKUP(H523,'MTRL MSK (TPDP)'!$H$9:$U637,5,0)))</f>
        <v>0</v>
      </c>
      <c r="P523" s="448">
        <f t="shared" si="4"/>
        <v>0</v>
      </c>
      <c r="Q523" s="448">
        <f t="shared" si="5"/>
        <v>0</v>
      </c>
      <c r="R523" s="648" t="str">
        <f>IFERROR(IF(S523="","",(VLOOKUP(S523,'1. BQ RAPL'!$D$14:$K637,8,0))),"")</f>
        <v/>
      </c>
      <c r="S523" s="649"/>
      <c r="T523" s="650"/>
      <c r="U523" s="16"/>
      <c r="V523" s="16"/>
      <c r="W523" s="16"/>
      <c r="X523" s="119"/>
      <c r="Y523" s="119"/>
      <c r="Z523" s="119"/>
      <c r="AA523" s="119"/>
      <c r="AB523" s="119"/>
      <c r="AC523" s="119"/>
      <c r="AD523" s="119"/>
      <c r="AE523" s="119"/>
      <c r="AF523" s="119"/>
    </row>
    <row r="524" ht="18.75" customHeight="1">
      <c r="A524" s="119"/>
      <c r="B524" s="652"/>
      <c r="C524" s="642">
        <f>IF(F524=0,0,(VLOOKUP(F524,'MTRL MSK (TPDP)'!$F$9:$W637,18,0)))</f>
        <v>0</v>
      </c>
      <c r="D524" s="642">
        <f>IF(C524=0,0,(VLOOKUP(C524,'MTRL MSK (TPDP)'!$B$9:$W637,3,0)))</f>
        <v>0</v>
      </c>
      <c r="E524" s="643" t="str">
        <f>iferror(IF(C524="","",(VLOOKUP(C524,'MTRL MSK (TPDP)'!$B$9:$W637,4,0))),"")</f>
        <v/>
      </c>
      <c r="F524" s="644">
        <f>IF(H524=0,0,(VLOOKUP(H524,'MTRL MSK (TPDP)'!$H$9:$X637,17,0)))</f>
        <v>0</v>
      </c>
      <c r="G524" s="645"/>
      <c r="H524" s="646"/>
      <c r="I524" s="446">
        <f>IF(H524=0,0,(VLOOKUP(H524,'MTRL MSK (TPDP)'!$H$9:$U637,2,0)))</f>
        <v>0</v>
      </c>
      <c r="J524" s="448" t="str">
        <f>IFERROR((IF(H524=0,0,(VLOOKUP(H524,'MTRL MSK (TPDP)'!$H$8:$U637,7,0))))/(IF(H524=0,0,(VLOOKUP(H524,'MTRL MSK (TPDP)'!$H$8:$U637,5,0)))),"")</f>
        <v/>
      </c>
      <c r="K524" s="559"/>
      <c r="L524" s="448">
        <f t="shared" si="1"/>
        <v>0</v>
      </c>
      <c r="M524" s="647">
        <f t="shared" si="2"/>
        <v>0</v>
      </c>
      <c r="N524" s="647">
        <f t="shared" si="3"/>
        <v>0</v>
      </c>
      <c r="O524" s="448">
        <f>IF(H524=0,0,(VLOOKUP(H524,'MTRL MSK (TPDP)'!$H$9:$U637,5,0)))</f>
        <v>0</v>
      </c>
      <c r="P524" s="448">
        <f t="shared" si="4"/>
        <v>0</v>
      </c>
      <c r="Q524" s="448">
        <f t="shared" si="5"/>
        <v>0</v>
      </c>
      <c r="R524" s="648" t="str">
        <f>IFERROR(IF(S524="","",(VLOOKUP(S524,'1. BQ RAPL'!$D$14:$K637,8,0))),"")</f>
        <v/>
      </c>
      <c r="S524" s="649"/>
      <c r="T524" s="650"/>
      <c r="U524" s="16"/>
      <c r="V524" s="16"/>
      <c r="W524" s="16"/>
      <c r="X524" s="119"/>
      <c r="Y524" s="119"/>
      <c r="Z524" s="119"/>
      <c r="AA524" s="119"/>
      <c r="AB524" s="119"/>
      <c r="AC524" s="119"/>
      <c r="AD524" s="119"/>
      <c r="AE524" s="119"/>
      <c r="AF524" s="119"/>
    </row>
    <row r="525" ht="18.75" customHeight="1">
      <c r="A525" s="119"/>
      <c r="B525" s="652"/>
      <c r="C525" s="642">
        <f>IF(F525=0,0,(VLOOKUP(F525,'MTRL MSK (TPDP)'!$F$9:$W637,18,0)))</f>
        <v>0</v>
      </c>
      <c r="D525" s="642">
        <f>IF(C525=0,0,(VLOOKUP(C525,'MTRL MSK (TPDP)'!$B$9:$W637,3,0)))</f>
        <v>0</v>
      </c>
      <c r="E525" s="643" t="str">
        <f>iferror(IF(C525="","",(VLOOKUP(C525,'MTRL MSK (TPDP)'!$B$9:$W637,4,0))),"")</f>
        <v/>
      </c>
      <c r="F525" s="644">
        <f>IF(H525=0,0,(VLOOKUP(H525,'MTRL MSK (TPDP)'!$H$9:$X637,17,0)))</f>
        <v>0</v>
      </c>
      <c r="G525" s="645"/>
      <c r="H525" s="646"/>
      <c r="I525" s="446">
        <f>IF(H525=0,0,(VLOOKUP(H525,'MTRL MSK (TPDP)'!$H$9:$U637,2,0)))</f>
        <v>0</v>
      </c>
      <c r="J525" s="448" t="str">
        <f>IFERROR((IF(H525=0,0,(VLOOKUP(H525,'MTRL MSK (TPDP)'!$H$8:$U637,7,0))))/(IF(H525=0,0,(VLOOKUP(H525,'MTRL MSK (TPDP)'!$H$8:$U637,5,0)))),"")</f>
        <v/>
      </c>
      <c r="K525" s="559"/>
      <c r="L525" s="448">
        <f t="shared" si="1"/>
        <v>0</v>
      </c>
      <c r="M525" s="647">
        <f t="shared" si="2"/>
        <v>0</v>
      </c>
      <c r="N525" s="647">
        <f t="shared" si="3"/>
        <v>0</v>
      </c>
      <c r="O525" s="448">
        <f>IF(H525=0,0,(VLOOKUP(H525,'MTRL MSK (TPDP)'!$H$9:$U637,5,0)))</f>
        <v>0</v>
      </c>
      <c r="P525" s="448">
        <f t="shared" si="4"/>
        <v>0</v>
      </c>
      <c r="Q525" s="448">
        <f t="shared" si="5"/>
        <v>0</v>
      </c>
      <c r="R525" s="648" t="str">
        <f>IFERROR(IF(S525="","",(VLOOKUP(S525,'1. BQ RAPL'!$D$14:$K637,8,0))),"")</f>
        <v/>
      </c>
      <c r="S525" s="649"/>
      <c r="T525" s="650"/>
      <c r="U525" s="16"/>
      <c r="V525" s="16"/>
      <c r="W525" s="16"/>
      <c r="X525" s="119"/>
      <c r="Y525" s="119"/>
      <c r="Z525" s="119"/>
      <c r="AA525" s="119"/>
      <c r="AB525" s="119"/>
      <c r="AC525" s="119"/>
      <c r="AD525" s="119"/>
      <c r="AE525" s="119"/>
      <c r="AF525" s="119"/>
    </row>
    <row r="526" ht="18.75" customHeight="1">
      <c r="A526" s="119"/>
      <c r="B526" s="652"/>
      <c r="C526" s="642">
        <f>IF(F526=0,0,(VLOOKUP(F526,'MTRL MSK (TPDP)'!$F$9:$W637,18,0)))</f>
        <v>0</v>
      </c>
      <c r="D526" s="642">
        <f>IF(C526=0,0,(VLOOKUP(C526,'MTRL MSK (TPDP)'!$B$9:$W637,3,0)))</f>
        <v>0</v>
      </c>
      <c r="E526" s="643" t="str">
        <f>iferror(IF(C526="","",(VLOOKUP(C526,'MTRL MSK (TPDP)'!$B$9:$W637,4,0))),"")</f>
        <v/>
      </c>
      <c r="F526" s="644">
        <f>IF(H526=0,0,(VLOOKUP(H526,'MTRL MSK (TPDP)'!$H$9:$X637,17,0)))</f>
        <v>0</v>
      </c>
      <c r="G526" s="645"/>
      <c r="H526" s="646"/>
      <c r="I526" s="446">
        <f>IF(H526=0,0,(VLOOKUP(H526,'MTRL MSK (TPDP)'!$H$9:$U637,2,0)))</f>
        <v>0</v>
      </c>
      <c r="J526" s="448" t="str">
        <f>IFERROR((IF(H526=0,0,(VLOOKUP(H526,'MTRL MSK (TPDP)'!$H$8:$U637,7,0))))/(IF(H526=0,0,(VLOOKUP(H526,'MTRL MSK (TPDP)'!$H$8:$U637,5,0)))),"")</f>
        <v/>
      </c>
      <c r="K526" s="559"/>
      <c r="L526" s="448">
        <f t="shared" si="1"/>
        <v>0</v>
      </c>
      <c r="M526" s="647">
        <f t="shared" si="2"/>
        <v>0</v>
      </c>
      <c r="N526" s="647">
        <f t="shared" si="3"/>
        <v>0</v>
      </c>
      <c r="O526" s="448">
        <f>IF(H526=0,0,(VLOOKUP(H526,'MTRL MSK (TPDP)'!$H$9:$U637,5,0)))</f>
        <v>0</v>
      </c>
      <c r="P526" s="448">
        <f t="shared" si="4"/>
        <v>0</v>
      </c>
      <c r="Q526" s="448">
        <f t="shared" si="5"/>
        <v>0</v>
      </c>
      <c r="R526" s="648" t="str">
        <f>IFERROR(IF(S526="","",(VLOOKUP(S526,'1. BQ RAPL'!$D$14:$K637,8,0))),"")</f>
        <v/>
      </c>
      <c r="S526" s="649"/>
      <c r="T526" s="650"/>
      <c r="U526" s="16"/>
      <c r="V526" s="16"/>
      <c r="W526" s="16"/>
      <c r="X526" s="119"/>
      <c r="Y526" s="119"/>
      <c r="Z526" s="119"/>
      <c r="AA526" s="119"/>
      <c r="AB526" s="119"/>
      <c r="AC526" s="119"/>
      <c r="AD526" s="119"/>
      <c r="AE526" s="119"/>
      <c r="AF526" s="119"/>
    </row>
    <row r="527" ht="18.75" customHeight="1">
      <c r="A527" s="119"/>
      <c r="B527" s="652"/>
      <c r="C527" s="642">
        <f>IF(F527=0,0,(VLOOKUP(F527,'MTRL MSK (TPDP)'!$F$9:$W637,18,0)))</f>
        <v>0</v>
      </c>
      <c r="D527" s="642">
        <f>IF(C527=0,0,(VLOOKUP(C527,'MTRL MSK (TPDP)'!$B$9:$W637,3,0)))</f>
        <v>0</v>
      </c>
      <c r="E527" s="643" t="str">
        <f>iferror(IF(C527="","",(VLOOKUP(C527,'MTRL MSK (TPDP)'!$B$9:$W637,4,0))),"")</f>
        <v/>
      </c>
      <c r="F527" s="644">
        <f>IF(H527=0,0,(VLOOKUP(H527,'MTRL MSK (TPDP)'!$H$9:$X637,17,0)))</f>
        <v>0</v>
      </c>
      <c r="G527" s="645"/>
      <c r="H527" s="646"/>
      <c r="I527" s="446">
        <f>IF(H527=0,0,(VLOOKUP(H527,'MTRL MSK (TPDP)'!$H$9:$U637,2,0)))</f>
        <v>0</v>
      </c>
      <c r="J527" s="448" t="str">
        <f>IFERROR((IF(H527=0,0,(VLOOKUP(H527,'MTRL MSK (TPDP)'!$H$8:$U637,7,0))))/(IF(H527=0,0,(VLOOKUP(H527,'MTRL MSK (TPDP)'!$H$8:$U637,5,0)))),"")</f>
        <v/>
      </c>
      <c r="K527" s="559"/>
      <c r="L527" s="448">
        <f t="shared" si="1"/>
        <v>0</v>
      </c>
      <c r="M527" s="647">
        <f t="shared" si="2"/>
        <v>0</v>
      </c>
      <c r="N527" s="647">
        <f t="shared" si="3"/>
        <v>0</v>
      </c>
      <c r="O527" s="448">
        <f>IF(H527=0,0,(VLOOKUP(H527,'MTRL MSK (TPDP)'!$H$9:$U637,5,0)))</f>
        <v>0</v>
      </c>
      <c r="P527" s="448">
        <f t="shared" si="4"/>
        <v>0</v>
      </c>
      <c r="Q527" s="448">
        <f t="shared" si="5"/>
        <v>0</v>
      </c>
      <c r="R527" s="648" t="str">
        <f>IFERROR(IF(S527="","",(VLOOKUP(S527,'1. BQ RAPL'!$D$14:$K637,8,0))),"")</f>
        <v/>
      </c>
      <c r="S527" s="649"/>
      <c r="T527" s="650"/>
      <c r="U527" s="16"/>
      <c r="V527" s="16"/>
      <c r="W527" s="16"/>
      <c r="X527" s="119"/>
      <c r="Y527" s="119"/>
      <c r="Z527" s="119"/>
      <c r="AA527" s="119"/>
      <c r="AB527" s="119"/>
      <c r="AC527" s="119"/>
      <c r="AD527" s="119"/>
      <c r="AE527" s="119"/>
      <c r="AF527" s="119"/>
    </row>
    <row r="528" ht="18.75" customHeight="1">
      <c r="A528" s="119"/>
      <c r="B528" s="652"/>
      <c r="C528" s="642">
        <f>IF(F528=0,0,(VLOOKUP(F528,'MTRL MSK (TPDP)'!$F$9:$W637,18,0)))</f>
        <v>0</v>
      </c>
      <c r="D528" s="642">
        <f>IF(C528=0,0,(VLOOKUP(C528,'MTRL MSK (TPDP)'!$B$9:$W637,3,0)))</f>
        <v>0</v>
      </c>
      <c r="E528" s="643" t="str">
        <f>iferror(IF(C528="","",(VLOOKUP(C528,'MTRL MSK (TPDP)'!$B$9:$W637,4,0))),"")</f>
        <v/>
      </c>
      <c r="F528" s="644">
        <f>IF(H528=0,0,(VLOOKUP(H528,'MTRL MSK (TPDP)'!$H$9:$X637,17,0)))</f>
        <v>0</v>
      </c>
      <c r="G528" s="645"/>
      <c r="H528" s="646"/>
      <c r="I528" s="446">
        <f>IF(H528=0,0,(VLOOKUP(H528,'MTRL MSK (TPDP)'!$H$9:$U637,2,0)))</f>
        <v>0</v>
      </c>
      <c r="J528" s="448" t="str">
        <f>IFERROR((IF(H528=0,0,(VLOOKUP(H528,'MTRL MSK (TPDP)'!$H$8:$U637,7,0))))/(IF(H528=0,0,(VLOOKUP(H528,'MTRL MSK (TPDP)'!$H$8:$U637,5,0)))),"")</f>
        <v/>
      </c>
      <c r="K528" s="559"/>
      <c r="L528" s="448">
        <f t="shared" si="1"/>
        <v>0</v>
      </c>
      <c r="M528" s="647">
        <f t="shared" si="2"/>
        <v>0</v>
      </c>
      <c r="N528" s="647">
        <f t="shared" si="3"/>
        <v>0</v>
      </c>
      <c r="O528" s="448">
        <f>IF(H528=0,0,(VLOOKUP(H528,'MTRL MSK (TPDP)'!$H$9:$U637,5,0)))</f>
        <v>0</v>
      </c>
      <c r="P528" s="448">
        <f t="shared" si="4"/>
        <v>0</v>
      </c>
      <c r="Q528" s="448">
        <f t="shared" si="5"/>
        <v>0</v>
      </c>
      <c r="R528" s="648" t="str">
        <f>IFERROR(IF(S528="","",(VLOOKUP(S528,'1. BQ RAPL'!$D$14:$K637,8,0))),"")</f>
        <v/>
      </c>
      <c r="S528" s="649"/>
      <c r="T528" s="650"/>
      <c r="U528" s="16"/>
      <c r="V528" s="16"/>
      <c r="W528" s="16"/>
      <c r="X528" s="119"/>
      <c r="Y528" s="119"/>
      <c r="Z528" s="119"/>
      <c r="AA528" s="119"/>
      <c r="AB528" s="119"/>
      <c r="AC528" s="119"/>
      <c r="AD528" s="119"/>
      <c r="AE528" s="119"/>
      <c r="AF528" s="119"/>
    </row>
    <row r="529" ht="18.75" customHeight="1">
      <c r="A529" s="119"/>
      <c r="B529" s="652"/>
      <c r="C529" s="642">
        <f>IF(F529=0,0,(VLOOKUP(F529,'MTRL MSK (TPDP)'!$F$9:$W637,18,0)))</f>
        <v>0</v>
      </c>
      <c r="D529" s="642">
        <f>IF(C529=0,0,(VLOOKUP(C529,'MTRL MSK (TPDP)'!$B$9:$W637,3,0)))</f>
        <v>0</v>
      </c>
      <c r="E529" s="643" t="str">
        <f>iferror(IF(C529="","",(VLOOKUP(C529,'MTRL MSK (TPDP)'!$B$9:$W637,4,0))),"")</f>
        <v/>
      </c>
      <c r="F529" s="644">
        <f>IF(H529=0,0,(VLOOKUP(H529,'MTRL MSK (TPDP)'!$H$9:$X637,17,0)))</f>
        <v>0</v>
      </c>
      <c r="G529" s="645"/>
      <c r="H529" s="646"/>
      <c r="I529" s="446">
        <f>IF(H529=0,0,(VLOOKUP(H529,'MTRL MSK (TPDP)'!$H$9:$U637,2,0)))</f>
        <v>0</v>
      </c>
      <c r="J529" s="448" t="str">
        <f>IFERROR((IF(H529=0,0,(VLOOKUP(H529,'MTRL MSK (TPDP)'!$H$8:$U637,7,0))))/(IF(H529=0,0,(VLOOKUP(H529,'MTRL MSK (TPDP)'!$H$8:$U637,5,0)))),"")</f>
        <v/>
      </c>
      <c r="K529" s="559"/>
      <c r="L529" s="448">
        <f t="shared" si="1"/>
        <v>0</v>
      </c>
      <c r="M529" s="647">
        <f t="shared" si="2"/>
        <v>0</v>
      </c>
      <c r="N529" s="647">
        <f t="shared" si="3"/>
        <v>0</v>
      </c>
      <c r="O529" s="448">
        <f>IF(H529=0,0,(VLOOKUP(H529,'MTRL MSK (TPDP)'!$H$9:$U637,5,0)))</f>
        <v>0</v>
      </c>
      <c r="P529" s="448">
        <f t="shared" si="4"/>
        <v>0</v>
      </c>
      <c r="Q529" s="448">
        <f t="shared" si="5"/>
        <v>0</v>
      </c>
      <c r="R529" s="648" t="str">
        <f>IFERROR(IF(S529="","",(VLOOKUP(S529,'1. BQ RAPL'!$D$14:$K637,8,0))),"")</f>
        <v/>
      </c>
      <c r="S529" s="649"/>
      <c r="T529" s="650"/>
      <c r="U529" s="16"/>
      <c r="V529" s="16"/>
      <c r="W529" s="16"/>
      <c r="X529" s="119"/>
      <c r="Y529" s="119"/>
      <c r="Z529" s="119"/>
      <c r="AA529" s="119"/>
      <c r="AB529" s="119"/>
      <c r="AC529" s="119"/>
      <c r="AD529" s="119"/>
      <c r="AE529" s="119"/>
      <c r="AF529" s="119"/>
    </row>
    <row r="530" ht="18.75" customHeight="1">
      <c r="A530" s="119"/>
      <c r="B530" s="652"/>
      <c r="C530" s="642">
        <f>IF(F530=0,0,(VLOOKUP(F530,'MTRL MSK (TPDP)'!$F$9:$W637,18,0)))</f>
        <v>0</v>
      </c>
      <c r="D530" s="642">
        <f>IF(C530=0,0,(VLOOKUP(C530,'MTRL MSK (TPDP)'!$B$9:$W637,3,0)))</f>
        <v>0</v>
      </c>
      <c r="E530" s="643" t="str">
        <f>iferror(IF(C530="","",(VLOOKUP(C530,'MTRL MSK (TPDP)'!$B$9:$W637,4,0))),"")</f>
        <v/>
      </c>
      <c r="F530" s="644">
        <f>IF(H530=0,0,(VLOOKUP(H530,'MTRL MSK (TPDP)'!$H$9:$X637,17,0)))</f>
        <v>0</v>
      </c>
      <c r="G530" s="645"/>
      <c r="H530" s="646"/>
      <c r="I530" s="446">
        <f>IF(H530=0,0,(VLOOKUP(H530,'MTRL MSK (TPDP)'!$H$9:$U637,2,0)))</f>
        <v>0</v>
      </c>
      <c r="J530" s="448" t="str">
        <f>IFERROR((IF(H530=0,0,(VLOOKUP(H530,'MTRL MSK (TPDP)'!$H$8:$U637,7,0))))/(IF(H530=0,0,(VLOOKUP(H530,'MTRL MSK (TPDP)'!$H$8:$U637,5,0)))),"")</f>
        <v/>
      </c>
      <c r="K530" s="559"/>
      <c r="L530" s="448">
        <f t="shared" si="1"/>
        <v>0</v>
      </c>
      <c r="M530" s="647">
        <f t="shared" si="2"/>
        <v>0</v>
      </c>
      <c r="N530" s="647">
        <f t="shared" si="3"/>
        <v>0</v>
      </c>
      <c r="O530" s="448">
        <f>IF(H530=0,0,(VLOOKUP(H530,'MTRL MSK (TPDP)'!$H$9:$U637,5,0)))</f>
        <v>0</v>
      </c>
      <c r="P530" s="448">
        <f t="shared" si="4"/>
        <v>0</v>
      </c>
      <c r="Q530" s="448">
        <f t="shared" si="5"/>
        <v>0</v>
      </c>
      <c r="R530" s="648" t="str">
        <f>IFERROR(IF(S530="","",(VLOOKUP(S530,'1. BQ RAPL'!$D$14:$K637,8,0))),"")</f>
        <v/>
      </c>
      <c r="S530" s="649"/>
      <c r="T530" s="650"/>
      <c r="U530" s="16"/>
      <c r="V530" s="16"/>
      <c r="W530" s="16"/>
      <c r="X530" s="119"/>
      <c r="Y530" s="119"/>
      <c r="Z530" s="119"/>
      <c r="AA530" s="119"/>
      <c r="AB530" s="119"/>
      <c r="AC530" s="119"/>
      <c r="AD530" s="119"/>
      <c r="AE530" s="119"/>
      <c r="AF530" s="119"/>
    </row>
    <row r="531" ht="18.75" customHeight="1">
      <c r="A531" s="119"/>
      <c r="B531" s="652"/>
      <c r="C531" s="642">
        <f>IF(F531=0,0,(VLOOKUP(F531,'MTRL MSK (TPDP)'!$F$9:$W637,18,0)))</f>
        <v>0</v>
      </c>
      <c r="D531" s="642">
        <f>IF(C531=0,0,(VLOOKUP(C531,'MTRL MSK (TPDP)'!$B$9:$W637,3,0)))</f>
        <v>0</v>
      </c>
      <c r="E531" s="643" t="str">
        <f>iferror(IF(C531="","",(VLOOKUP(C531,'MTRL MSK (TPDP)'!$B$9:$W637,4,0))),"")</f>
        <v/>
      </c>
      <c r="F531" s="644">
        <f>IF(H531=0,0,(VLOOKUP(H531,'MTRL MSK (TPDP)'!$H$9:$X637,17,0)))</f>
        <v>0</v>
      </c>
      <c r="G531" s="645"/>
      <c r="H531" s="646"/>
      <c r="I531" s="446">
        <f>IF(H531=0,0,(VLOOKUP(H531,'MTRL MSK (TPDP)'!$H$9:$U637,2,0)))</f>
        <v>0</v>
      </c>
      <c r="J531" s="448" t="str">
        <f>IFERROR((IF(H531=0,0,(VLOOKUP(H531,'MTRL MSK (TPDP)'!$H$8:$U637,7,0))))/(IF(H531=0,0,(VLOOKUP(H531,'MTRL MSK (TPDP)'!$H$8:$U637,5,0)))),"")</f>
        <v/>
      </c>
      <c r="K531" s="559"/>
      <c r="L531" s="448">
        <f t="shared" si="1"/>
        <v>0</v>
      </c>
      <c r="M531" s="647">
        <f t="shared" si="2"/>
        <v>0</v>
      </c>
      <c r="N531" s="647">
        <f t="shared" si="3"/>
        <v>0</v>
      </c>
      <c r="O531" s="448">
        <f>IF(H531=0,0,(VLOOKUP(H531,'MTRL MSK (TPDP)'!$H$9:$U637,5,0)))</f>
        <v>0</v>
      </c>
      <c r="P531" s="448">
        <f t="shared" si="4"/>
        <v>0</v>
      </c>
      <c r="Q531" s="448">
        <f t="shared" si="5"/>
        <v>0</v>
      </c>
      <c r="R531" s="648" t="str">
        <f>IFERROR(IF(S531="","",(VLOOKUP(S531,'1. BQ RAPL'!$D$14:$K637,8,0))),"")</f>
        <v/>
      </c>
      <c r="S531" s="649"/>
      <c r="T531" s="650"/>
      <c r="U531" s="16"/>
      <c r="V531" s="16"/>
      <c r="W531" s="16"/>
      <c r="X531" s="119"/>
      <c r="Y531" s="119"/>
      <c r="Z531" s="119"/>
      <c r="AA531" s="119"/>
      <c r="AB531" s="119"/>
      <c r="AC531" s="119"/>
      <c r="AD531" s="119"/>
      <c r="AE531" s="119"/>
      <c r="AF531" s="119"/>
    </row>
    <row r="532" ht="18.75" customHeight="1">
      <c r="A532" s="119"/>
      <c r="B532" s="652"/>
      <c r="C532" s="642">
        <f>IF(F532=0,0,(VLOOKUP(F532,'MTRL MSK (TPDP)'!$F$9:$W637,18,0)))</f>
        <v>0</v>
      </c>
      <c r="D532" s="642">
        <f>IF(C532=0,0,(VLOOKUP(C532,'MTRL MSK (TPDP)'!$B$9:$W637,3,0)))</f>
        <v>0</v>
      </c>
      <c r="E532" s="643" t="str">
        <f>iferror(IF(C532="","",(VLOOKUP(C532,'MTRL MSK (TPDP)'!$B$9:$W637,4,0))),"")</f>
        <v/>
      </c>
      <c r="F532" s="644">
        <f>IF(H532=0,0,(VLOOKUP(H532,'MTRL MSK (TPDP)'!$H$9:$X637,17,0)))</f>
        <v>0</v>
      </c>
      <c r="G532" s="645"/>
      <c r="H532" s="646"/>
      <c r="I532" s="446">
        <f>IF(H532=0,0,(VLOOKUP(H532,'MTRL MSK (TPDP)'!$H$9:$U637,2,0)))</f>
        <v>0</v>
      </c>
      <c r="J532" s="448" t="str">
        <f>IFERROR((IF(H532=0,0,(VLOOKUP(H532,'MTRL MSK (TPDP)'!$H$8:$U637,7,0))))/(IF(H532=0,0,(VLOOKUP(H532,'MTRL MSK (TPDP)'!$H$8:$U637,5,0)))),"")</f>
        <v/>
      </c>
      <c r="K532" s="559"/>
      <c r="L532" s="448">
        <f t="shared" si="1"/>
        <v>0</v>
      </c>
      <c r="M532" s="647">
        <f t="shared" si="2"/>
        <v>0</v>
      </c>
      <c r="N532" s="647">
        <f t="shared" si="3"/>
        <v>0</v>
      </c>
      <c r="O532" s="448">
        <f>IF(H532=0,0,(VLOOKUP(H532,'MTRL MSK (TPDP)'!$H$9:$U637,5,0)))</f>
        <v>0</v>
      </c>
      <c r="P532" s="448">
        <f t="shared" si="4"/>
        <v>0</v>
      </c>
      <c r="Q532" s="448">
        <f t="shared" si="5"/>
        <v>0</v>
      </c>
      <c r="R532" s="648" t="str">
        <f>IFERROR(IF(S532="","",(VLOOKUP(S532,'1. BQ RAPL'!$D$14:$K637,8,0))),"")</f>
        <v/>
      </c>
      <c r="S532" s="649"/>
      <c r="T532" s="650"/>
      <c r="U532" s="16"/>
      <c r="V532" s="16"/>
      <c r="W532" s="16"/>
      <c r="X532" s="119"/>
      <c r="Y532" s="119"/>
      <c r="Z532" s="119"/>
      <c r="AA532" s="119"/>
      <c r="AB532" s="119"/>
      <c r="AC532" s="119"/>
      <c r="AD532" s="119"/>
      <c r="AE532" s="119"/>
      <c r="AF532" s="119"/>
    </row>
    <row r="533" ht="18.75" customHeight="1">
      <c r="A533" s="119"/>
      <c r="B533" s="652"/>
      <c r="C533" s="642">
        <f>IF(F533=0,0,(VLOOKUP(F533,'MTRL MSK (TPDP)'!$F$9:$W637,18,0)))</f>
        <v>0</v>
      </c>
      <c r="D533" s="642">
        <f>IF(C533=0,0,(VLOOKUP(C533,'MTRL MSK (TPDP)'!$B$9:$W637,3,0)))</f>
        <v>0</v>
      </c>
      <c r="E533" s="643" t="str">
        <f>iferror(IF(C533="","",(VLOOKUP(C533,'MTRL MSK (TPDP)'!$B$9:$W637,4,0))),"")</f>
        <v/>
      </c>
      <c r="F533" s="644">
        <f>IF(H533=0,0,(VLOOKUP(H533,'MTRL MSK (TPDP)'!$H$9:$X637,17,0)))</f>
        <v>0</v>
      </c>
      <c r="G533" s="645"/>
      <c r="H533" s="646"/>
      <c r="I533" s="446">
        <f>IF(H533=0,0,(VLOOKUP(H533,'MTRL MSK (TPDP)'!$H$9:$U637,2,0)))</f>
        <v>0</v>
      </c>
      <c r="J533" s="448" t="str">
        <f>IFERROR((IF(H533=0,0,(VLOOKUP(H533,'MTRL MSK (TPDP)'!$H$8:$U637,7,0))))/(IF(H533=0,0,(VLOOKUP(H533,'MTRL MSK (TPDP)'!$H$8:$U637,5,0)))),"")</f>
        <v/>
      </c>
      <c r="K533" s="559"/>
      <c r="L533" s="448">
        <f t="shared" si="1"/>
        <v>0</v>
      </c>
      <c r="M533" s="647">
        <f t="shared" si="2"/>
        <v>0</v>
      </c>
      <c r="N533" s="647">
        <f t="shared" si="3"/>
        <v>0</v>
      </c>
      <c r="O533" s="448">
        <f>IF(H533=0,0,(VLOOKUP(H533,'MTRL MSK (TPDP)'!$H$9:$U637,5,0)))</f>
        <v>0</v>
      </c>
      <c r="P533" s="448">
        <f t="shared" si="4"/>
        <v>0</v>
      </c>
      <c r="Q533" s="448">
        <f t="shared" si="5"/>
        <v>0</v>
      </c>
      <c r="R533" s="648" t="str">
        <f>IFERROR(IF(S533="","",(VLOOKUP(S533,'1. BQ RAPL'!$D$14:$K637,8,0))),"")</f>
        <v/>
      </c>
      <c r="S533" s="649"/>
      <c r="T533" s="650"/>
      <c r="U533" s="16"/>
      <c r="V533" s="16"/>
      <c r="W533" s="16"/>
      <c r="X533" s="119"/>
      <c r="Y533" s="119"/>
      <c r="Z533" s="119"/>
      <c r="AA533" s="119"/>
      <c r="AB533" s="119"/>
      <c r="AC533" s="119"/>
      <c r="AD533" s="119"/>
      <c r="AE533" s="119"/>
      <c r="AF533" s="119"/>
    </row>
    <row r="534" ht="18.75" customHeight="1">
      <c r="A534" s="119"/>
      <c r="B534" s="652"/>
      <c r="C534" s="642">
        <f>IF(F534=0,0,(VLOOKUP(F534,'MTRL MSK (TPDP)'!$F$9:$W637,18,0)))</f>
        <v>0</v>
      </c>
      <c r="D534" s="642">
        <f>IF(C534=0,0,(VLOOKUP(C534,'MTRL MSK (TPDP)'!$B$9:$W637,3,0)))</f>
        <v>0</v>
      </c>
      <c r="E534" s="643" t="str">
        <f>iferror(IF(C534="","",(VLOOKUP(C534,'MTRL MSK (TPDP)'!$B$9:$W637,4,0))),"")</f>
        <v/>
      </c>
      <c r="F534" s="644">
        <f>IF(H534=0,0,(VLOOKUP(H534,'MTRL MSK (TPDP)'!$H$9:$X637,17,0)))</f>
        <v>0</v>
      </c>
      <c r="G534" s="645"/>
      <c r="H534" s="646"/>
      <c r="I534" s="446">
        <f>IF(H534=0,0,(VLOOKUP(H534,'MTRL MSK (TPDP)'!$H$9:$U637,2,0)))</f>
        <v>0</v>
      </c>
      <c r="J534" s="448" t="str">
        <f>IFERROR((IF(H534=0,0,(VLOOKUP(H534,'MTRL MSK (TPDP)'!$H$8:$U637,7,0))))/(IF(H534=0,0,(VLOOKUP(H534,'MTRL MSK (TPDP)'!$H$8:$U637,5,0)))),"")</f>
        <v/>
      </c>
      <c r="K534" s="559"/>
      <c r="L534" s="448">
        <f t="shared" si="1"/>
        <v>0</v>
      </c>
      <c r="M534" s="647">
        <f t="shared" si="2"/>
        <v>0</v>
      </c>
      <c r="N534" s="647">
        <f t="shared" si="3"/>
        <v>0</v>
      </c>
      <c r="O534" s="448">
        <f>IF(H534=0,0,(VLOOKUP(H534,'MTRL MSK (TPDP)'!$H$9:$U637,5,0)))</f>
        <v>0</v>
      </c>
      <c r="P534" s="448">
        <f t="shared" si="4"/>
        <v>0</v>
      </c>
      <c r="Q534" s="448">
        <f t="shared" si="5"/>
        <v>0</v>
      </c>
      <c r="R534" s="648" t="str">
        <f>IFERROR(IF(S534="","",(VLOOKUP(S534,'1. BQ RAPL'!$D$14:$K637,8,0))),"")</f>
        <v/>
      </c>
      <c r="S534" s="649"/>
      <c r="T534" s="650"/>
      <c r="U534" s="16"/>
      <c r="V534" s="16"/>
      <c r="W534" s="16"/>
      <c r="X534" s="119"/>
      <c r="Y534" s="119"/>
      <c r="Z534" s="119"/>
      <c r="AA534" s="119"/>
      <c r="AB534" s="119"/>
      <c r="AC534" s="119"/>
      <c r="AD534" s="119"/>
      <c r="AE534" s="119"/>
      <c r="AF534" s="119"/>
    </row>
    <row r="535" ht="18.75" customHeight="1">
      <c r="A535" s="119"/>
      <c r="B535" s="652"/>
      <c r="C535" s="642">
        <f>IF(F535=0,0,(VLOOKUP(F535,'MTRL MSK (TPDP)'!$F$9:$W637,18,0)))</f>
        <v>0</v>
      </c>
      <c r="D535" s="642">
        <f>IF(C535=0,0,(VLOOKUP(C535,'MTRL MSK (TPDP)'!$B$9:$W637,3,0)))</f>
        <v>0</v>
      </c>
      <c r="E535" s="643" t="str">
        <f>iferror(IF(C535="","",(VLOOKUP(C535,'MTRL MSK (TPDP)'!$B$9:$W637,4,0))),"")</f>
        <v/>
      </c>
      <c r="F535" s="644">
        <f>IF(H535=0,0,(VLOOKUP(H535,'MTRL MSK (TPDP)'!$H$9:$X637,17,0)))</f>
        <v>0</v>
      </c>
      <c r="G535" s="645"/>
      <c r="H535" s="646"/>
      <c r="I535" s="446">
        <f>IF(H535=0,0,(VLOOKUP(H535,'MTRL MSK (TPDP)'!$H$9:$U637,2,0)))</f>
        <v>0</v>
      </c>
      <c r="J535" s="448" t="str">
        <f>IFERROR((IF(H535=0,0,(VLOOKUP(H535,'MTRL MSK (TPDP)'!$H$8:$U637,7,0))))/(IF(H535=0,0,(VLOOKUP(H535,'MTRL MSK (TPDP)'!$H$8:$U637,5,0)))),"")</f>
        <v/>
      </c>
      <c r="K535" s="559"/>
      <c r="L535" s="448">
        <f t="shared" si="1"/>
        <v>0</v>
      </c>
      <c r="M535" s="647">
        <f t="shared" si="2"/>
        <v>0</v>
      </c>
      <c r="N535" s="647">
        <f t="shared" si="3"/>
        <v>0</v>
      </c>
      <c r="O535" s="448">
        <f>IF(H535=0,0,(VLOOKUP(H535,'MTRL MSK (TPDP)'!$H$9:$U637,5,0)))</f>
        <v>0</v>
      </c>
      <c r="P535" s="448">
        <f t="shared" si="4"/>
        <v>0</v>
      </c>
      <c r="Q535" s="448">
        <f t="shared" si="5"/>
        <v>0</v>
      </c>
      <c r="R535" s="648" t="str">
        <f>IFERROR(IF(S535="","",(VLOOKUP(S535,'1. BQ RAPL'!$D$14:$K637,8,0))),"")</f>
        <v/>
      </c>
      <c r="S535" s="649"/>
      <c r="T535" s="650"/>
      <c r="U535" s="16"/>
      <c r="V535" s="16"/>
      <c r="W535" s="16"/>
      <c r="X535" s="119"/>
      <c r="Y535" s="119"/>
      <c r="Z535" s="119"/>
      <c r="AA535" s="119"/>
      <c r="AB535" s="119"/>
      <c r="AC535" s="119"/>
      <c r="AD535" s="119"/>
      <c r="AE535" s="119"/>
      <c r="AF535" s="119"/>
    </row>
    <row r="536" ht="18.75" customHeight="1">
      <c r="A536" s="119"/>
      <c r="B536" s="652"/>
      <c r="C536" s="642">
        <f>IF(F536=0,0,(VLOOKUP(F536,'MTRL MSK (TPDP)'!$F$9:$W637,18,0)))</f>
        <v>0</v>
      </c>
      <c r="D536" s="642">
        <f>IF(C536=0,0,(VLOOKUP(C536,'MTRL MSK (TPDP)'!$B$9:$W637,3,0)))</f>
        <v>0</v>
      </c>
      <c r="E536" s="643" t="str">
        <f>iferror(IF(C536="","",(VLOOKUP(C536,'MTRL MSK (TPDP)'!$B$9:$W637,4,0))),"")</f>
        <v/>
      </c>
      <c r="F536" s="644">
        <f>IF(H536=0,0,(VLOOKUP(H536,'MTRL MSK (TPDP)'!$H$9:$X637,17,0)))</f>
        <v>0</v>
      </c>
      <c r="G536" s="645"/>
      <c r="H536" s="646"/>
      <c r="I536" s="446">
        <f>IF(H536=0,0,(VLOOKUP(H536,'MTRL MSK (TPDP)'!$H$9:$U637,2,0)))</f>
        <v>0</v>
      </c>
      <c r="J536" s="448" t="str">
        <f>IFERROR((IF(H536=0,0,(VLOOKUP(H536,'MTRL MSK (TPDP)'!$H$8:$U637,7,0))))/(IF(H536=0,0,(VLOOKUP(H536,'MTRL MSK (TPDP)'!$H$8:$U637,5,0)))),"")</f>
        <v/>
      </c>
      <c r="K536" s="559"/>
      <c r="L536" s="448">
        <f t="shared" si="1"/>
        <v>0</v>
      </c>
      <c r="M536" s="647">
        <f t="shared" si="2"/>
        <v>0</v>
      </c>
      <c r="N536" s="647">
        <f t="shared" si="3"/>
        <v>0</v>
      </c>
      <c r="O536" s="448">
        <f>IF(H536=0,0,(VLOOKUP(H536,'MTRL MSK (TPDP)'!$H$9:$U637,5,0)))</f>
        <v>0</v>
      </c>
      <c r="P536" s="448">
        <f t="shared" si="4"/>
        <v>0</v>
      </c>
      <c r="Q536" s="448">
        <f t="shared" si="5"/>
        <v>0</v>
      </c>
      <c r="R536" s="648" t="str">
        <f>IFERROR(IF(S536="","",(VLOOKUP(S536,'1. BQ RAPL'!$D$14:$K637,8,0))),"")</f>
        <v/>
      </c>
      <c r="S536" s="649"/>
      <c r="T536" s="650"/>
      <c r="U536" s="16"/>
      <c r="V536" s="16"/>
      <c r="W536" s="16"/>
      <c r="X536" s="119"/>
      <c r="Y536" s="119"/>
      <c r="Z536" s="119"/>
      <c r="AA536" s="119"/>
      <c r="AB536" s="119"/>
      <c r="AC536" s="119"/>
      <c r="AD536" s="119"/>
      <c r="AE536" s="119"/>
      <c r="AF536" s="119"/>
    </row>
    <row r="537" ht="18.75" customHeight="1">
      <c r="A537" s="119"/>
      <c r="B537" s="652"/>
      <c r="C537" s="642">
        <f>IF(F537=0,0,(VLOOKUP(F537,'MTRL MSK (TPDP)'!$F$9:$W637,18,0)))</f>
        <v>0</v>
      </c>
      <c r="D537" s="642">
        <f>IF(C537=0,0,(VLOOKUP(C537,'MTRL MSK (TPDP)'!$B$9:$W637,3,0)))</f>
        <v>0</v>
      </c>
      <c r="E537" s="643" t="str">
        <f>iferror(IF(C537="","",(VLOOKUP(C537,'MTRL MSK (TPDP)'!$B$9:$W637,4,0))),"")</f>
        <v/>
      </c>
      <c r="F537" s="644">
        <f>IF(H537=0,0,(VLOOKUP(H537,'MTRL MSK (TPDP)'!$H$9:$X637,17,0)))</f>
        <v>0</v>
      </c>
      <c r="G537" s="645"/>
      <c r="H537" s="646"/>
      <c r="I537" s="446">
        <f>IF(H537=0,0,(VLOOKUP(H537,'MTRL MSK (TPDP)'!$H$9:$U637,2,0)))</f>
        <v>0</v>
      </c>
      <c r="J537" s="448" t="str">
        <f>IFERROR((IF(H537=0,0,(VLOOKUP(H537,'MTRL MSK (TPDP)'!$H$8:$U637,7,0))))/(IF(H537=0,0,(VLOOKUP(H537,'MTRL MSK (TPDP)'!$H$8:$U637,5,0)))),"")</f>
        <v/>
      </c>
      <c r="K537" s="559"/>
      <c r="L537" s="448">
        <f t="shared" si="1"/>
        <v>0</v>
      </c>
      <c r="M537" s="647">
        <f t="shared" si="2"/>
        <v>0</v>
      </c>
      <c r="N537" s="647">
        <f t="shared" si="3"/>
        <v>0</v>
      </c>
      <c r="O537" s="448">
        <f>IF(H537=0,0,(VLOOKUP(H537,'MTRL MSK (TPDP)'!$H$9:$U637,5,0)))</f>
        <v>0</v>
      </c>
      <c r="P537" s="448">
        <f t="shared" si="4"/>
        <v>0</v>
      </c>
      <c r="Q537" s="448">
        <f t="shared" si="5"/>
        <v>0</v>
      </c>
      <c r="R537" s="648" t="str">
        <f>IFERROR(IF(S537="","",(VLOOKUP(S537,'1. BQ RAPL'!$D$14:$K637,8,0))),"")</f>
        <v/>
      </c>
      <c r="S537" s="649"/>
      <c r="T537" s="650"/>
      <c r="U537" s="16"/>
      <c r="V537" s="16"/>
      <c r="W537" s="16"/>
      <c r="X537" s="119"/>
      <c r="Y537" s="119"/>
      <c r="Z537" s="119"/>
      <c r="AA537" s="119"/>
      <c r="AB537" s="119"/>
      <c r="AC537" s="119"/>
      <c r="AD537" s="119"/>
      <c r="AE537" s="119"/>
      <c r="AF537" s="119"/>
    </row>
    <row r="538" ht="18.75" customHeight="1">
      <c r="A538" s="119"/>
      <c r="B538" s="652"/>
      <c r="C538" s="642">
        <f>IF(F538=0,0,(VLOOKUP(F538,'MTRL MSK (TPDP)'!$F$9:$W637,18,0)))</f>
        <v>0</v>
      </c>
      <c r="D538" s="642">
        <f>IF(C538=0,0,(VLOOKUP(C538,'MTRL MSK (TPDP)'!$B$9:$W637,3,0)))</f>
        <v>0</v>
      </c>
      <c r="E538" s="643" t="str">
        <f>iferror(IF(C538="","",(VLOOKUP(C538,'MTRL MSK (TPDP)'!$B$9:$W637,4,0))),"")</f>
        <v/>
      </c>
      <c r="F538" s="644">
        <f>IF(H538=0,0,(VLOOKUP(H538,'MTRL MSK (TPDP)'!$H$9:$X637,17,0)))</f>
        <v>0</v>
      </c>
      <c r="G538" s="645"/>
      <c r="H538" s="646"/>
      <c r="I538" s="446">
        <f>IF(H538=0,0,(VLOOKUP(H538,'MTRL MSK (TPDP)'!$H$9:$U637,2,0)))</f>
        <v>0</v>
      </c>
      <c r="J538" s="448" t="str">
        <f>IFERROR((IF(H538=0,0,(VLOOKUP(H538,'MTRL MSK (TPDP)'!$H$8:$U637,7,0))))/(IF(H538=0,0,(VLOOKUP(H538,'MTRL MSK (TPDP)'!$H$8:$U637,5,0)))),"")</f>
        <v/>
      </c>
      <c r="K538" s="559"/>
      <c r="L538" s="448">
        <f t="shared" si="1"/>
        <v>0</v>
      </c>
      <c r="M538" s="647">
        <f t="shared" si="2"/>
        <v>0</v>
      </c>
      <c r="N538" s="647">
        <f t="shared" si="3"/>
        <v>0</v>
      </c>
      <c r="O538" s="448">
        <f>IF(H538=0,0,(VLOOKUP(H538,'MTRL MSK (TPDP)'!$H$9:$U637,5,0)))</f>
        <v>0</v>
      </c>
      <c r="P538" s="448">
        <f t="shared" si="4"/>
        <v>0</v>
      </c>
      <c r="Q538" s="448">
        <f t="shared" si="5"/>
        <v>0</v>
      </c>
      <c r="R538" s="648" t="str">
        <f>IFERROR(IF(S538="","",(VLOOKUP(S538,'1. BQ RAPL'!$D$14:$K637,8,0))),"")</f>
        <v/>
      </c>
      <c r="S538" s="649"/>
      <c r="T538" s="650"/>
      <c r="U538" s="16"/>
      <c r="V538" s="16"/>
      <c r="W538" s="16"/>
      <c r="X538" s="119"/>
      <c r="Y538" s="119"/>
      <c r="Z538" s="119"/>
      <c r="AA538" s="119"/>
      <c r="AB538" s="119"/>
      <c r="AC538" s="119"/>
      <c r="AD538" s="119"/>
      <c r="AE538" s="119"/>
      <c r="AF538" s="119"/>
    </row>
    <row r="539" ht="18.75" customHeight="1">
      <c r="A539" s="119"/>
      <c r="B539" s="652"/>
      <c r="C539" s="642">
        <f>IF(F539=0,0,(VLOOKUP(F539,'MTRL MSK (TPDP)'!$F$9:$W637,18,0)))</f>
        <v>0</v>
      </c>
      <c r="D539" s="642">
        <f>IF(C539=0,0,(VLOOKUP(C539,'MTRL MSK (TPDP)'!$B$9:$W637,3,0)))</f>
        <v>0</v>
      </c>
      <c r="E539" s="643" t="str">
        <f>iferror(IF(C539="","",(VLOOKUP(C539,'MTRL MSK (TPDP)'!$B$9:$W637,4,0))),"")</f>
        <v/>
      </c>
      <c r="F539" s="644">
        <f>IF(H539=0,0,(VLOOKUP(H539,'MTRL MSK (TPDP)'!$H$9:$X637,17,0)))</f>
        <v>0</v>
      </c>
      <c r="G539" s="645"/>
      <c r="H539" s="646"/>
      <c r="I539" s="446">
        <f>IF(H539=0,0,(VLOOKUP(H539,'MTRL MSK (TPDP)'!$H$9:$U637,2,0)))</f>
        <v>0</v>
      </c>
      <c r="J539" s="448" t="str">
        <f>IFERROR((IF(H539=0,0,(VLOOKUP(H539,'MTRL MSK (TPDP)'!$H$8:$U637,7,0))))/(IF(H539=0,0,(VLOOKUP(H539,'MTRL MSK (TPDP)'!$H$8:$U637,5,0)))),"")</f>
        <v/>
      </c>
      <c r="K539" s="559"/>
      <c r="L539" s="448">
        <f t="shared" si="1"/>
        <v>0</v>
      </c>
      <c r="M539" s="647">
        <f t="shared" si="2"/>
        <v>0</v>
      </c>
      <c r="N539" s="647">
        <f t="shared" si="3"/>
        <v>0</v>
      </c>
      <c r="O539" s="448">
        <f>IF(H539=0,0,(VLOOKUP(H539,'MTRL MSK (TPDP)'!$H$9:$U637,5,0)))</f>
        <v>0</v>
      </c>
      <c r="P539" s="448">
        <f t="shared" si="4"/>
        <v>0</v>
      </c>
      <c r="Q539" s="448">
        <f t="shared" si="5"/>
        <v>0</v>
      </c>
      <c r="R539" s="648" t="str">
        <f>IFERROR(IF(S539="","",(VLOOKUP(S539,'1. BQ RAPL'!$D$14:$K637,8,0))),"")</f>
        <v/>
      </c>
      <c r="S539" s="649"/>
      <c r="T539" s="650"/>
      <c r="U539" s="16"/>
      <c r="V539" s="16"/>
      <c r="W539" s="16"/>
      <c r="X539" s="119"/>
      <c r="Y539" s="119"/>
      <c r="Z539" s="119"/>
      <c r="AA539" s="119"/>
      <c r="AB539" s="119"/>
      <c r="AC539" s="119"/>
      <c r="AD539" s="119"/>
      <c r="AE539" s="119"/>
      <c r="AF539" s="119"/>
    </row>
    <row r="540" ht="18.75" customHeight="1">
      <c r="A540" s="119"/>
      <c r="B540" s="652"/>
      <c r="C540" s="642">
        <f>IF(F540=0,0,(VLOOKUP(F540,'MTRL MSK (TPDP)'!$F$9:$W637,18,0)))</f>
        <v>0</v>
      </c>
      <c r="D540" s="642">
        <f>IF(C540=0,0,(VLOOKUP(C540,'MTRL MSK (TPDP)'!$B$9:$W637,3,0)))</f>
        <v>0</v>
      </c>
      <c r="E540" s="643" t="str">
        <f>iferror(IF(C540="","",(VLOOKUP(C540,'MTRL MSK (TPDP)'!$B$9:$W637,4,0))),"")</f>
        <v/>
      </c>
      <c r="F540" s="644">
        <f>IF(H540=0,0,(VLOOKUP(H540,'MTRL MSK (TPDP)'!$H$9:$X637,17,0)))</f>
        <v>0</v>
      </c>
      <c r="G540" s="645"/>
      <c r="H540" s="646"/>
      <c r="I540" s="446">
        <f>IF(H540=0,0,(VLOOKUP(H540,'MTRL MSK (TPDP)'!$H$9:$U637,2,0)))</f>
        <v>0</v>
      </c>
      <c r="J540" s="448" t="str">
        <f>IFERROR((IF(H540=0,0,(VLOOKUP(H540,'MTRL MSK (TPDP)'!$H$8:$U637,7,0))))/(IF(H540=0,0,(VLOOKUP(H540,'MTRL MSK (TPDP)'!$H$8:$U637,5,0)))),"")</f>
        <v/>
      </c>
      <c r="K540" s="559"/>
      <c r="L540" s="448">
        <f t="shared" si="1"/>
        <v>0</v>
      </c>
      <c r="M540" s="647">
        <f t="shared" si="2"/>
        <v>0</v>
      </c>
      <c r="N540" s="647">
        <f t="shared" si="3"/>
        <v>0</v>
      </c>
      <c r="O540" s="448">
        <f>IF(H540=0,0,(VLOOKUP(H540,'MTRL MSK (TPDP)'!$H$9:$U637,5,0)))</f>
        <v>0</v>
      </c>
      <c r="P540" s="448">
        <f t="shared" si="4"/>
        <v>0</v>
      </c>
      <c r="Q540" s="448">
        <f t="shared" si="5"/>
        <v>0</v>
      </c>
      <c r="R540" s="648" t="str">
        <f>IFERROR(IF(S540="","",(VLOOKUP(S540,'1. BQ RAPL'!$D$14:$K637,8,0))),"")</f>
        <v/>
      </c>
      <c r="S540" s="649"/>
      <c r="T540" s="650"/>
      <c r="U540" s="16"/>
      <c r="V540" s="16"/>
      <c r="W540" s="16"/>
      <c r="X540" s="119"/>
      <c r="Y540" s="119"/>
      <c r="Z540" s="119"/>
      <c r="AA540" s="119"/>
      <c r="AB540" s="119"/>
      <c r="AC540" s="119"/>
      <c r="AD540" s="119"/>
      <c r="AE540" s="119"/>
      <c r="AF540" s="119"/>
    </row>
    <row r="541" ht="18.75" customHeight="1">
      <c r="A541" s="119"/>
      <c r="B541" s="652"/>
      <c r="C541" s="642">
        <f>IF(F541=0,0,(VLOOKUP(F541,'MTRL MSK (TPDP)'!$F$9:$W637,18,0)))</f>
        <v>0</v>
      </c>
      <c r="D541" s="642">
        <f>IF(C541=0,0,(VLOOKUP(C541,'MTRL MSK (TPDP)'!$B$9:$W637,3,0)))</f>
        <v>0</v>
      </c>
      <c r="E541" s="643" t="str">
        <f>iferror(IF(C541="","",(VLOOKUP(C541,'MTRL MSK (TPDP)'!$B$9:$W637,4,0))),"")</f>
        <v/>
      </c>
      <c r="F541" s="644">
        <f>IF(H541=0,0,(VLOOKUP(H541,'MTRL MSK (TPDP)'!$H$9:$X637,17,0)))</f>
        <v>0</v>
      </c>
      <c r="G541" s="645"/>
      <c r="H541" s="646"/>
      <c r="I541" s="446">
        <f>IF(H541=0,0,(VLOOKUP(H541,'MTRL MSK (TPDP)'!$H$9:$U637,2,0)))</f>
        <v>0</v>
      </c>
      <c r="J541" s="448" t="str">
        <f>IFERROR((IF(H541=0,0,(VLOOKUP(H541,'MTRL MSK (TPDP)'!$H$8:$U637,7,0))))/(IF(H541=0,0,(VLOOKUP(H541,'MTRL MSK (TPDP)'!$H$8:$U637,5,0)))),"")</f>
        <v/>
      </c>
      <c r="K541" s="559"/>
      <c r="L541" s="448">
        <f t="shared" si="1"/>
        <v>0</v>
      </c>
      <c r="M541" s="647">
        <f t="shared" si="2"/>
        <v>0</v>
      </c>
      <c r="N541" s="647">
        <f t="shared" si="3"/>
        <v>0</v>
      </c>
      <c r="O541" s="448">
        <f>IF(H541=0,0,(VLOOKUP(H541,'MTRL MSK (TPDP)'!$H$9:$U637,5,0)))</f>
        <v>0</v>
      </c>
      <c r="P541" s="448">
        <f t="shared" si="4"/>
        <v>0</v>
      </c>
      <c r="Q541" s="448">
        <f t="shared" si="5"/>
        <v>0</v>
      </c>
      <c r="R541" s="648" t="str">
        <f>IFERROR(IF(S541="","",(VLOOKUP(S541,'1. BQ RAPL'!$D$14:$K637,8,0))),"")</f>
        <v/>
      </c>
      <c r="S541" s="649"/>
      <c r="T541" s="650"/>
      <c r="U541" s="16"/>
      <c r="V541" s="16"/>
      <c r="W541" s="16"/>
      <c r="X541" s="119"/>
      <c r="Y541" s="119"/>
      <c r="Z541" s="119"/>
      <c r="AA541" s="119"/>
      <c r="AB541" s="119"/>
      <c r="AC541" s="119"/>
      <c r="AD541" s="119"/>
      <c r="AE541" s="119"/>
      <c r="AF541" s="119"/>
    </row>
    <row r="542" ht="18.75" customHeight="1">
      <c r="A542" s="119"/>
      <c r="B542" s="652"/>
      <c r="C542" s="642">
        <f>IF(F542=0,0,(VLOOKUP(F542,'MTRL MSK (TPDP)'!$F$9:$W637,18,0)))</f>
        <v>0</v>
      </c>
      <c r="D542" s="642">
        <f>IF(C542=0,0,(VLOOKUP(C542,'MTRL MSK (TPDP)'!$B$9:$W637,3,0)))</f>
        <v>0</v>
      </c>
      <c r="E542" s="643" t="str">
        <f>iferror(IF(C542="","",(VLOOKUP(C542,'MTRL MSK (TPDP)'!$B$9:$W637,4,0))),"")</f>
        <v/>
      </c>
      <c r="F542" s="644">
        <f>IF(H542=0,0,(VLOOKUP(H542,'MTRL MSK (TPDP)'!$H$9:$X637,17,0)))</f>
        <v>0</v>
      </c>
      <c r="G542" s="645"/>
      <c r="H542" s="646"/>
      <c r="I542" s="446">
        <f>IF(H542=0,0,(VLOOKUP(H542,'MTRL MSK (TPDP)'!$H$9:$U637,2,0)))</f>
        <v>0</v>
      </c>
      <c r="J542" s="448" t="str">
        <f>IFERROR((IF(H542=0,0,(VLOOKUP(H542,'MTRL MSK (TPDP)'!$H$8:$U637,7,0))))/(IF(H542=0,0,(VLOOKUP(H542,'MTRL MSK (TPDP)'!$H$8:$U637,5,0)))),"")</f>
        <v/>
      </c>
      <c r="K542" s="559"/>
      <c r="L542" s="448">
        <f t="shared" si="1"/>
        <v>0</v>
      </c>
      <c r="M542" s="647">
        <f t="shared" si="2"/>
        <v>0</v>
      </c>
      <c r="N542" s="647">
        <f t="shared" si="3"/>
        <v>0</v>
      </c>
      <c r="O542" s="448">
        <f>IF(H542=0,0,(VLOOKUP(H542,'MTRL MSK (TPDP)'!$H$9:$U637,5,0)))</f>
        <v>0</v>
      </c>
      <c r="P542" s="448">
        <f t="shared" si="4"/>
        <v>0</v>
      </c>
      <c r="Q542" s="448">
        <f t="shared" si="5"/>
        <v>0</v>
      </c>
      <c r="R542" s="648" t="str">
        <f>IFERROR(IF(S542="","",(VLOOKUP(S542,'1. BQ RAPL'!$D$14:$K637,8,0))),"")</f>
        <v/>
      </c>
      <c r="S542" s="649"/>
      <c r="T542" s="650"/>
      <c r="U542" s="16"/>
      <c r="V542" s="16"/>
      <c r="W542" s="16"/>
      <c r="X542" s="119"/>
      <c r="Y542" s="119"/>
      <c r="Z542" s="119"/>
      <c r="AA542" s="119"/>
      <c r="AB542" s="119"/>
      <c r="AC542" s="119"/>
      <c r="AD542" s="119"/>
      <c r="AE542" s="119"/>
      <c r="AF542" s="119"/>
    </row>
    <row r="543" ht="18.75" customHeight="1">
      <c r="A543" s="119"/>
      <c r="B543" s="652"/>
      <c r="C543" s="642">
        <f>IF(F543=0,0,(VLOOKUP(F543,'MTRL MSK (TPDP)'!$F$9:$W637,18,0)))</f>
        <v>0</v>
      </c>
      <c r="D543" s="642">
        <f>IF(C543=0,0,(VLOOKUP(C543,'MTRL MSK (TPDP)'!$B$9:$W637,3,0)))</f>
        <v>0</v>
      </c>
      <c r="E543" s="643" t="str">
        <f>iferror(IF(C543="","",(VLOOKUP(C543,'MTRL MSK (TPDP)'!$B$9:$W637,4,0))),"")</f>
        <v/>
      </c>
      <c r="F543" s="644">
        <f>IF(H543=0,0,(VLOOKUP(H543,'MTRL MSK (TPDP)'!$H$9:$X637,17,0)))</f>
        <v>0</v>
      </c>
      <c r="G543" s="645"/>
      <c r="H543" s="646"/>
      <c r="I543" s="446">
        <f>IF(H543=0,0,(VLOOKUP(H543,'MTRL MSK (TPDP)'!$H$9:$U637,2,0)))</f>
        <v>0</v>
      </c>
      <c r="J543" s="448" t="str">
        <f>IFERROR((IF(H543=0,0,(VLOOKUP(H543,'MTRL MSK (TPDP)'!$H$8:$U637,7,0))))/(IF(H543=0,0,(VLOOKUP(H543,'MTRL MSK (TPDP)'!$H$8:$U637,5,0)))),"")</f>
        <v/>
      </c>
      <c r="K543" s="559"/>
      <c r="L543" s="448">
        <f t="shared" si="1"/>
        <v>0</v>
      </c>
      <c r="M543" s="647">
        <f t="shared" si="2"/>
        <v>0</v>
      </c>
      <c r="N543" s="647">
        <f t="shared" si="3"/>
        <v>0</v>
      </c>
      <c r="O543" s="448">
        <f>IF(H543=0,0,(VLOOKUP(H543,'MTRL MSK (TPDP)'!$H$9:$U637,5,0)))</f>
        <v>0</v>
      </c>
      <c r="P543" s="448">
        <f t="shared" si="4"/>
        <v>0</v>
      </c>
      <c r="Q543" s="448">
        <f t="shared" si="5"/>
        <v>0</v>
      </c>
      <c r="R543" s="648" t="str">
        <f>IFERROR(IF(S543="","",(VLOOKUP(S543,'1. BQ RAPL'!$D$14:$K637,8,0))),"")</f>
        <v/>
      </c>
      <c r="S543" s="649"/>
      <c r="T543" s="650"/>
      <c r="U543" s="16"/>
      <c r="V543" s="16"/>
      <c r="W543" s="16"/>
      <c r="X543" s="119"/>
      <c r="Y543" s="119"/>
      <c r="Z543" s="119"/>
      <c r="AA543" s="119"/>
      <c r="AB543" s="119"/>
      <c r="AC543" s="119"/>
      <c r="AD543" s="119"/>
      <c r="AE543" s="119"/>
      <c r="AF543" s="119"/>
    </row>
    <row r="544" ht="18.75" customHeight="1">
      <c r="A544" s="119"/>
      <c r="B544" s="652"/>
      <c r="C544" s="642">
        <f>IF(F544=0,0,(VLOOKUP(F544,'MTRL MSK (TPDP)'!$F$9:$W637,18,0)))</f>
        <v>0</v>
      </c>
      <c r="D544" s="642">
        <f>IF(C544=0,0,(VLOOKUP(C544,'MTRL MSK (TPDP)'!$B$9:$W637,3,0)))</f>
        <v>0</v>
      </c>
      <c r="E544" s="643" t="str">
        <f>iferror(IF(C544="","",(VLOOKUP(C544,'MTRL MSK (TPDP)'!$B$9:$W637,4,0))),"")</f>
        <v/>
      </c>
      <c r="F544" s="644">
        <f>IF(H544=0,0,(VLOOKUP(H544,'MTRL MSK (TPDP)'!$H$9:$X637,17,0)))</f>
        <v>0</v>
      </c>
      <c r="G544" s="645"/>
      <c r="H544" s="646"/>
      <c r="I544" s="446">
        <f>IF(H544=0,0,(VLOOKUP(H544,'MTRL MSK (TPDP)'!$H$9:$U637,2,0)))</f>
        <v>0</v>
      </c>
      <c r="J544" s="448" t="str">
        <f>IFERROR((IF(H544=0,0,(VLOOKUP(H544,'MTRL MSK (TPDP)'!$H$8:$U637,7,0))))/(IF(H544=0,0,(VLOOKUP(H544,'MTRL MSK (TPDP)'!$H$8:$U637,5,0)))),"")</f>
        <v/>
      </c>
      <c r="K544" s="559"/>
      <c r="L544" s="448">
        <f t="shared" si="1"/>
        <v>0</v>
      </c>
      <c r="M544" s="647">
        <f t="shared" si="2"/>
        <v>0</v>
      </c>
      <c r="N544" s="647">
        <f t="shared" si="3"/>
        <v>0</v>
      </c>
      <c r="O544" s="448">
        <f>IF(H544=0,0,(VLOOKUP(H544,'MTRL MSK (TPDP)'!$H$9:$U637,5,0)))</f>
        <v>0</v>
      </c>
      <c r="P544" s="448">
        <f t="shared" si="4"/>
        <v>0</v>
      </c>
      <c r="Q544" s="448">
        <f t="shared" si="5"/>
        <v>0</v>
      </c>
      <c r="R544" s="648" t="str">
        <f>IFERROR(IF(S544="","",(VLOOKUP(S544,'1. BQ RAPL'!$D$14:$K637,8,0))),"")</f>
        <v/>
      </c>
      <c r="S544" s="649"/>
      <c r="T544" s="650"/>
      <c r="U544" s="16"/>
      <c r="V544" s="16"/>
      <c r="W544" s="16"/>
      <c r="X544" s="119"/>
      <c r="Y544" s="119"/>
      <c r="Z544" s="119"/>
      <c r="AA544" s="119"/>
      <c r="AB544" s="119"/>
      <c r="AC544" s="119"/>
      <c r="AD544" s="119"/>
      <c r="AE544" s="119"/>
      <c r="AF544" s="119"/>
    </row>
    <row r="545" ht="18.75" customHeight="1">
      <c r="A545" s="119"/>
      <c r="B545" s="652"/>
      <c r="C545" s="642">
        <f>IF(F545=0,0,(VLOOKUP(F545,'MTRL MSK (TPDP)'!$F$9:$W637,18,0)))</f>
        <v>0</v>
      </c>
      <c r="D545" s="642">
        <f>IF(C545=0,0,(VLOOKUP(C545,'MTRL MSK (TPDP)'!$B$9:$W637,3,0)))</f>
        <v>0</v>
      </c>
      <c r="E545" s="643" t="str">
        <f>iferror(IF(C545="","",(VLOOKUP(C545,'MTRL MSK (TPDP)'!$B$9:$W637,4,0))),"")</f>
        <v/>
      </c>
      <c r="F545" s="644">
        <f>IF(H545=0,0,(VLOOKUP(H545,'MTRL MSK (TPDP)'!$H$9:$X637,17,0)))</f>
        <v>0</v>
      </c>
      <c r="G545" s="645"/>
      <c r="H545" s="646"/>
      <c r="I545" s="446">
        <f>IF(H545=0,0,(VLOOKUP(H545,'MTRL MSK (TPDP)'!$H$9:$U637,2,0)))</f>
        <v>0</v>
      </c>
      <c r="J545" s="448" t="str">
        <f>IFERROR((IF(H545=0,0,(VLOOKUP(H545,'MTRL MSK (TPDP)'!$H$8:$U637,7,0))))/(IF(H545=0,0,(VLOOKUP(H545,'MTRL MSK (TPDP)'!$H$8:$U637,5,0)))),"")</f>
        <v/>
      </c>
      <c r="K545" s="559"/>
      <c r="L545" s="448">
        <f t="shared" si="1"/>
        <v>0</v>
      </c>
      <c r="M545" s="647">
        <f t="shared" si="2"/>
        <v>0</v>
      </c>
      <c r="N545" s="647">
        <f t="shared" si="3"/>
        <v>0</v>
      </c>
      <c r="O545" s="448">
        <f>IF(H545=0,0,(VLOOKUP(H545,'MTRL MSK (TPDP)'!$H$9:$U637,5,0)))</f>
        <v>0</v>
      </c>
      <c r="P545" s="448">
        <f t="shared" si="4"/>
        <v>0</v>
      </c>
      <c r="Q545" s="448">
        <f t="shared" si="5"/>
        <v>0</v>
      </c>
      <c r="R545" s="648" t="str">
        <f>IFERROR(IF(S545="","",(VLOOKUP(S545,'1. BQ RAPL'!$D$14:$K637,8,0))),"")</f>
        <v/>
      </c>
      <c r="S545" s="649"/>
      <c r="T545" s="650"/>
      <c r="U545" s="16"/>
      <c r="V545" s="16"/>
      <c r="W545" s="16"/>
      <c r="X545" s="119"/>
      <c r="Y545" s="119"/>
      <c r="Z545" s="119"/>
      <c r="AA545" s="119"/>
      <c r="AB545" s="119"/>
      <c r="AC545" s="119"/>
      <c r="AD545" s="119"/>
      <c r="AE545" s="119"/>
      <c r="AF545" s="119"/>
    </row>
    <row r="546" ht="18.75" customHeight="1">
      <c r="A546" s="119"/>
      <c r="B546" s="652"/>
      <c r="C546" s="642">
        <f>IF(F546=0,0,(VLOOKUP(F546,'MTRL MSK (TPDP)'!$F$9:$W637,18,0)))</f>
        <v>0</v>
      </c>
      <c r="D546" s="642">
        <f>IF(C546=0,0,(VLOOKUP(C546,'MTRL MSK (TPDP)'!$B$9:$W637,3,0)))</f>
        <v>0</v>
      </c>
      <c r="E546" s="643" t="str">
        <f>iferror(IF(C546="","",(VLOOKUP(C546,'MTRL MSK (TPDP)'!$B$9:$W637,4,0))),"")</f>
        <v/>
      </c>
      <c r="F546" s="644">
        <f>IF(H546=0,0,(VLOOKUP(H546,'MTRL MSK (TPDP)'!$H$9:$X637,17,0)))</f>
        <v>0</v>
      </c>
      <c r="G546" s="645"/>
      <c r="H546" s="646"/>
      <c r="I546" s="446">
        <f>IF(H546=0,0,(VLOOKUP(H546,'MTRL MSK (TPDP)'!$H$9:$U637,2,0)))</f>
        <v>0</v>
      </c>
      <c r="J546" s="448" t="str">
        <f>IFERROR((IF(H546=0,0,(VLOOKUP(H546,'MTRL MSK (TPDP)'!$H$8:$U637,7,0))))/(IF(H546=0,0,(VLOOKUP(H546,'MTRL MSK (TPDP)'!$H$8:$U637,5,0)))),"")</f>
        <v/>
      </c>
      <c r="K546" s="559"/>
      <c r="L546" s="448">
        <f t="shared" si="1"/>
        <v>0</v>
      </c>
      <c r="M546" s="647">
        <f t="shared" si="2"/>
        <v>0</v>
      </c>
      <c r="N546" s="647">
        <f t="shared" si="3"/>
        <v>0</v>
      </c>
      <c r="O546" s="448">
        <f>IF(H546=0,0,(VLOOKUP(H546,'MTRL MSK (TPDP)'!$H$9:$U637,5,0)))</f>
        <v>0</v>
      </c>
      <c r="P546" s="448">
        <f t="shared" si="4"/>
        <v>0</v>
      </c>
      <c r="Q546" s="448">
        <f t="shared" si="5"/>
        <v>0</v>
      </c>
      <c r="R546" s="648" t="str">
        <f>IFERROR(IF(S546="","",(VLOOKUP(S546,'1. BQ RAPL'!$D$14:$K637,8,0))),"")</f>
        <v/>
      </c>
      <c r="S546" s="649"/>
      <c r="T546" s="650"/>
      <c r="U546" s="16"/>
      <c r="V546" s="16"/>
      <c r="W546" s="16"/>
      <c r="X546" s="119"/>
      <c r="Y546" s="119"/>
      <c r="Z546" s="119"/>
      <c r="AA546" s="119"/>
      <c r="AB546" s="119"/>
      <c r="AC546" s="119"/>
      <c r="AD546" s="119"/>
      <c r="AE546" s="119"/>
      <c r="AF546" s="119"/>
    </row>
    <row r="547" ht="18.75" customHeight="1">
      <c r="A547" s="119"/>
      <c r="B547" s="652"/>
      <c r="C547" s="642">
        <f>IF(F547=0,0,(VLOOKUP(F547,'MTRL MSK (TPDP)'!$F$9:$W637,18,0)))</f>
        <v>0</v>
      </c>
      <c r="D547" s="642">
        <f>IF(C547=0,0,(VLOOKUP(C547,'MTRL MSK (TPDP)'!$B$9:$W637,3,0)))</f>
        <v>0</v>
      </c>
      <c r="E547" s="643" t="str">
        <f>iferror(IF(C547="","",(VLOOKUP(C547,'MTRL MSK (TPDP)'!$B$9:$W637,4,0))),"")</f>
        <v/>
      </c>
      <c r="F547" s="644">
        <f>IF(H547=0,0,(VLOOKUP(H547,'MTRL MSK (TPDP)'!$H$9:$X637,17,0)))</f>
        <v>0</v>
      </c>
      <c r="G547" s="645"/>
      <c r="H547" s="646"/>
      <c r="I547" s="446">
        <f>IF(H547=0,0,(VLOOKUP(H547,'MTRL MSK (TPDP)'!$H$9:$U637,2,0)))</f>
        <v>0</v>
      </c>
      <c r="J547" s="448" t="str">
        <f>IFERROR((IF(H547=0,0,(VLOOKUP(H547,'MTRL MSK (TPDP)'!$H$8:$U637,7,0))))/(IF(H547=0,0,(VLOOKUP(H547,'MTRL MSK (TPDP)'!$H$8:$U637,5,0)))),"")</f>
        <v/>
      </c>
      <c r="K547" s="559"/>
      <c r="L547" s="448">
        <f t="shared" si="1"/>
        <v>0</v>
      </c>
      <c r="M547" s="647">
        <f t="shared" si="2"/>
        <v>0</v>
      </c>
      <c r="N547" s="647">
        <f t="shared" si="3"/>
        <v>0</v>
      </c>
      <c r="O547" s="448">
        <f>IF(H547=0,0,(VLOOKUP(H547,'MTRL MSK (TPDP)'!$H$9:$U637,5,0)))</f>
        <v>0</v>
      </c>
      <c r="P547" s="448">
        <f t="shared" si="4"/>
        <v>0</v>
      </c>
      <c r="Q547" s="448">
        <f t="shared" si="5"/>
        <v>0</v>
      </c>
      <c r="R547" s="648" t="str">
        <f>IFERROR(IF(S547="","",(VLOOKUP(S547,'1. BQ RAPL'!$D$14:$K637,8,0))),"")</f>
        <v/>
      </c>
      <c r="S547" s="649"/>
      <c r="T547" s="650"/>
      <c r="U547" s="16"/>
      <c r="V547" s="16"/>
      <c r="W547" s="16"/>
      <c r="X547" s="119"/>
      <c r="Y547" s="119"/>
      <c r="Z547" s="119"/>
      <c r="AA547" s="119"/>
      <c r="AB547" s="119"/>
      <c r="AC547" s="119"/>
      <c r="AD547" s="119"/>
      <c r="AE547" s="119"/>
      <c r="AF547" s="119"/>
    </row>
    <row r="548" ht="18.75" customHeight="1">
      <c r="A548" s="119"/>
      <c r="B548" s="652"/>
      <c r="C548" s="642">
        <f>IF(F548=0,0,(VLOOKUP(F548,'MTRL MSK (TPDP)'!$F$9:$W637,18,0)))</f>
        <v>0</v>
      </c>
      <c r="D548" s="642">
        <f>IF(C548=0,0,(VLOOKUP(C548,'MTRL MSK (TPDP)'!$B$9:$W637,3,0)))</f>
        <v>0</v>
      </c>
      <c r="E548" s="643" t="str">
        <f>iferror(IF(C548="","",(VLOOKUP(C548,'MTRL MSK (TPDP)'!$B$9:$W637,4,0))),"")</f>
        <v/>
      </c>
      <c r="F548" s="644">
        <f>IF(H548=0,0,(VLOOKUP(H548,'MTRL MSK (TPDP)'!$H$9:$X637,17,0)))</f>
        <v>0</v>
      </c>
      <c r="G548" s="645"/>
      <c r="H548" s="646"/>
      <c r="I548" s="446">
        <f>IF(H548=0,0,(VLOOKUP(H548,'MTRL MSK (TPDP)'!$H$9:$U637,2,0)))</f>
        <v>0</v>
      </c>
      <c r="J548" s="448" t="str">
        <f>IFERROR((IF(H548=0,0,(VLOOKUP(H548,'MTRL MSK (TPDP)'!$H$8:$U637,7,0))))/(IF(H548=0,0,(VLOOKUP(H548,'MTRL MSK (TPDP)'!$H$8:$U637,5,0)))),"")</f>
        <v/>
      </c>
      <c r="K548" s="559"/>
      <c r="L548" s="448">
        <f t="shared" si="1"/>
        <v>0</v>
      </c>
      <c r="M548" s="647">
        <f t="shared" si="2"/>
        <v>0</v>
      </c>
      <c r="N548" s="647">
        <f t="shared" si="3"/>
        <v>0</v>
      </c>
      <c r="O548" s="448">
        <f>IF(H548=0,0,(VLOOKUP(H548,'MTRL MSK (TPDP)'!$H$9:$U637,5,0)))</f>
        <v>0</v>
      </c>
      <c r="P548" s="448">
        <f t="shared" si="4"/>
        <v>0</v>
      </c>
      <c r="Q548" s="448">
        <f t="shared" si="5"/>
        <v>0</v>
      </c>
      <c r="R548" s="648" t="str">
        <f>IFERROR(IF(S548="","",(VLOOKUP(S548,'1. BQ RAPL'!$D$14:$K637,8,0))),"")</f>
        <v/>
      </c>
      <c r="S548" s="649"/>
      <c r="T548" s="650"/>
      <c r="U548" s="16"/>
      <c r="V548" s="16"/>
      <c r="W548" s="16"/>
      <c r="X548" s="119"/>
      <c r="Y548" s="119"/>
      <c r="Z548" s="119"/>
      <c r="AA548" s="119"/>
      <c r="AB548" s="119"/>
      <c r="AC548" s="119"/>
      <c r="AD548" s="119"/>
      <c r="AE548" s="119"/>
      <c r="AF548" s="119"/>
    </row>
    <row r="549" ht="18.75" customHeight="1">
      <c r="A549" s="119"/>
      <c r="B549" s="652"/>
      <c r="C549" s="642">
        <f>IF(F549=0,0,(VLOOKUP(F549,'MTRL MSK (TPDP)'!$F$9:$W637,18,0)))</f>
        <v>0</v>
      </c>
      <c r="D549" s="642">
        <f>IF(C549=0,0,(VLOOKUP(C549,'MTRL MSK (TPDP)'!$B$9:$W637,3,0)))</f>
        <v>0</v>
      </c>
      <c r="E549" s="643" t="str">
        <f>iferror(IF(C549="","",(VLOOKUP(C549,'MTRL MSK (TPDP)'!$B$9:$W637,4,0))),"")</f>
        <v/>
      </c>
      <c r="F549" s="644">
        <f>IF(H549=0,0,(VLOOKUP(H549,'MTRL MSK (TPDP)'!$H$9:$X637,17,0)))</f>
        <v>0</v>
      </c>
      <c r="G549" s="645"/>
      <c r="H549" s="646"/>
      <c r="I549" s="446">
        <f>IF(H549=0,0,(VLOOKUP(H549,'MTRL MSK (TPDP)'!$H$9:$U637,2,0)))</f>
        <v>0</v>
      </c>
      <c r="J549" s="448" t="str">
        <f>IFERROR((IF(H549=0,0,(VLOOKUP(H549,'MTRL MSK (TPDP)'!$H$8:$U637,7,0))))/(IF(H549=0,0,(VLOOKUP(H549,'MTRL MSK (TPDP)'!$H$8:$U637,5,0)))),"")</f>
        <v/>
      </c>
      <c r="K549" s="559"/>
      <c r="L549" s="448">
        <f t="shared" si="1"/>
        <v>0</v>
      </c>
      <c r="M549" s="647">
        <f t="shared" si="2"/>
        <v>0</v>
      </c>
      <c r="N549" s="647">
        <f t="shared" si="3"/>
        <v>0</v>
      </c>
      <c r="O549" s="448">
        <f>IF(H549=0,0,(VLOOKUP(H549,'MTRL MSK (TPDP)'!$H$9:$U637,5,0)))</f>
        <v>0</v>
      </c>
      <c r="P549" s="448">
        <f t="shared" si="4"/>
        <v>0</v>
      </c>
      <c r="Q549" s="448">
        <f t="shared" si="5"/>
        <v>0</v>
      </c>
      <c r="R549" s="648" t="str">
        <f>IFERROR(IF(S549="","",(VLOOKUP(S549,'1. BQ RAPL'!$D$14:$K637,8,0))),"")</f>
        <v/>
      </c>
      <c r="S549" s="649"/>
      <c r="T549" s="650"/>
      <c r="U549" s="16"/>
      <c r="V549" s="16"/>
      <c r="W549" s="16"/>
      <c r="X549" s="119"/>
      <c r="Y549" s="119"/>
      <c r="Z549" s="119"/>
      <c r="AA549" s="119"/>
      <c r="AB549" s="119"/>
      <c r="AC549" s="119"/>
      <c r="AD549" s="119"/>
      <c r="AE549" s="119"/>
      <c r="AF549" s="119"/>
    </row>
    <row r="550" ht="18.75" customHeight="1">
      <c r="A550" s="119"/>
      <c r="B550" s="652"/>
      <c r="C550" s="642">
        <f>IF(F550=0,0,(VLOOKUP(F550,'MTRL MSK (TPDP)'!$F$9:$W637,18,0)))</f>
        <v>0</v>
      </c>
      <c r="D550" s="642">
        <f>IF(C550=0,0,(VLOOKUP(C550,'MTRL MSK (TPDP)'!$B$9:$W637,3,0)))</f>
        <v>0</v>
      </c>
      <c r="E550" s="643" t="str">
        <f>iferror(IF(C550="","",(VLOOKUP(C550,'MTRL MSK (TPDP)'!$B$9:$W637,4,0))),"")</f>
        <v/>
      </c>
      <c r="F550" s="644">
        <f>IF(H550=0,0,(VLOOKUP(H550,'MTRL MSK (TPDP)'!$H$9:$X637,17,0)))</f>
        <v>0</v>
      </c>
      <c r="G550" s="645"/>
      <c r="H550" s="646"/>
      <c r="I550" s="446">
        <f>IF(H550=0,0,(VLOOKUP(H550,'MTRL MSK (TPDP)'!$H$9:$U637,2,0)))</f>
        <v>0</v>
      </c>
      <c r="J550" s="448" t="str">
        <f>IFERROR((IF(H550=0,0,(VLOOKUP(H550,'MTRL MSK (TPDP)'!$H$8:$U637,7,0))))/(IF(H550=0,0,(VLOOKUP(H550,'MTRL MSK (TPDP)'!$H$8:$U637,5,0)))),"")</f>
        <v/>
      </c>
      <c r="K550" s="559"/>
      <c r="L550" s="448">
        <f t="shared" si="1"/>
        <v>0</v>
      </c>
      <c r="M550" s="647">
        <f t="shared" si="2"/>
        <v>0</v>
      </c>
      <c r="N550" s="647">
        <f t="shared" si="3"/>
        <v>0</v>
      </c>
      <c r="O550" s="448">
        <f>IF(H550=0,0,(VLOOKUP(H550,'MTRL MSK (TPDP)'!$H$9:$U637,5,0)))</f>
        <v>0</v>
      </c>
      <c r="P550" s="448">
        <f t="shared" si="4"/>
        <v>0</v>
      </c>
      <c r="Q550" s="448">
        <f t="shared" si="5"/>
        <v>0</v>
      </c>
      <c r="R550" s="648" t="str">
        <f>IFERROR(IF(S550="","",(VLOOKUP(S550,'1. BQ RAPL'!$D$14:$K637,8,0))),"")</f>
        <v/>
      </c>
      <c r="S550" s="649"/>
      <c r="T550" s="650"/>
      <c r="U550" s="16"/>
      <c r="V550" s="16"/>
      <c r="W550" s="16"/>
      <c r="X550" s="119"/>
      <c r="Y550" s="119"/>
      <c r="Z550" s="119"/>
      <c r="AA550" s="119"/>
      <c r="AB550" s="119"/>
      <c r="AC550" s="119"/>
      <c r="AD550" s="119"/>
      <c r="AE550" s="119"/>
      <c r="AF550" s="119"/>
    </row>
    <row r="551" ht="18.75" customHeight="1">
      <c r="A551" s="119"/>
      <c r="B551" s="652"/>
      <c r="C551" s="642">
        <f>IF(F551=0,0,(VLOOKUP(F551,'MTRL MSK (TPDP)'!$F$9:$W637,18,0)))</f>
        <v>0</v>
      </c>
      <c r="D551" s="642">
        <f>IF(C551=0,0,(VLOOKUP(C551,'MTRL MSK (TPDP)'!$B$9:$W637,3,0)))</f>
        <v>0</v>
      </c>
      <c r="E551" s="643" t="str">
        <f>iferror(IF(C551="","",(VLOOKUP(C551,'MTRL MSK (TPDP)'!$B$9:$W637,4,0))),"")</f>
        <v/>
      </c>
      <c r="F551" s="644">
        <f>IF(H551=0,0,(VLOOKUP(H551,'MTRL MSK (TPDP)'!$H$9:$X637,17,0)))</f>
        <v>0</v>
      </c>
      <c r="G551" s="645"/>
      <c r="H551" s="646"/>
      <c r="I551" s="446">
        <f>IF(H551=0,0,(VLOOKUP(H551,'MTRL MSK (TPDP)'!$H$9:$U637,2,0)))</f>
        <v>0</v>
      </c>
      <c r="J551" s="448" t="str">
        <f>IFERROR((IF(H551=0,0,(VLOOKUP(H551,'MTRL MSK (TPDP)'!$H$8:$U637,7,0))))/(IF(H551=0,0,(VLOOKUP(H551,'MTRL MSK (TPDP)'!$H$8:$U637,5,0)))),"")</f>
        <v/>
      </c>
      <c r="K551" s="559"/>
      <c r="L551" s="448">
        <f t="shared" si="1"/>
        <v>0</v>
      </c>
      <c r="M551" s="647">
        <f t="shared" si="2"/>
        <v>0</v>
      </c>
      <c r="N551" s="647">
        <f t="shared" si="3"/>
        <v>0</v>
      </c>
      <c r="O551" s="448">
        <f>IF(H551=0,0,(VLOOKUP(H551,'MTRL MSK (TPDP)'!$H$9:$U637,5,0)))</f>
        <v>0</v>
      </c>
      <c r="P551" s="448">
        <f t="shared" si="4"/>
        <v>0</v>
      </c>
      <c r="Q551" s="448">
        <f t="shared" si="5"/>
        <v>0</v>
      </c>
      <c r="R551" s="648" t="str">
        <f>IFERROR(IF(S551="","",(VLOOKUP(S551,'1. BQ RAPL'!$D$14:$K637,8,0))),"")</f>
        <v/>
      </c>
      <c r="S551" s="649"/>
      <c r="T551" s="650"/>
      <c r="U551" s="16"/>
      <c r="V551" s="16"/>
      <c r="W551" s="16"/>
      <c r="X551" s="119"/>
      <c r="Y551" s="119"/>
      <c r="Z551" s="119"/>
      <c r="AA551" s="119"/>
      <c r="AB551" s="119"/>
      <c r="AC551" s="119"/>
      <c r="AD551" s="119"/>
      <c r="AE551" s="119"/>
      <c r="AF551" s="119"/>
    </row>
    <row r="552" ht="18.75" customHeight="1">
      <c r="A552" s="119"/>
      <c r="B552" s="652"/>
      <c r="C552" s="642">
        <f>IF(F552=0,0,(VLOOKUP(F552,'MTRL MSK (TPDP)'!$F$9:$W637,18,0)))</f>
        <v>0</v>
      </c>
      <c r="D552" s="642">
        <f>IF(C552=0,0,(VLOOKUP(C552,'MTRL MSK (TPDP)'!$B$9:$W637,3,0)))</f>
        <v>0</v>
      </c>
      <c r="E552" s="643" t="str">
        <f>iferror(IF(C552="","",(VLOOKUP(C552,'MTRL MSK (TPDP)'!$B$9:$W637,4,0))),"")</f>
        <v/>
      </c>
      <c r="F552" s="644">
        <f>IF(H552=0,0,(VLOOKUP(H552,'MTRL MSK (TPDP)'!$H$9:$X637,17,0)))</f>
        <v>0</v>
      </c>
      <c r="G552" s="645"/>
      <c r="H552" s="646"/>
      <c r="I552" s="446">
        <f>IF(H552=0,0,(VLOOKUP(H552,'MTRL MSK (TPDP)'!$H$9:$U637,2,0)))</f>
        <v>0</v>
      </c>
      <c r="J552" s="448" t="str">
        <f>IFERROR((IF(H552=0,0,(VLOOKUP(H552,'MTRL MSK (TPDP)'!$H$8:$U637,7,0))))/(IF(H552=0,0,(VLOOKUP(H552,'MTRL MSK (TPDP)'!$H$8:$U637,5,0)))),"")</f>
        <v/>
      </c>
      <c r="K552" s="559"/>
      <c r="L552" s="448">
        <f t="shared" si="1"/>
        <v>0</v>
      </c>
      <c r="M552" s="647">
        <f t="shared" si="2"/>
        <v>0</v>
      </c>
      <c r="N552" s="647">
        <f t="shared" si="3"/>
        <v>0</v>
      </c>
      <c r="O552" s="448">
        <f>IF(H552=0,0,(VLOOKUP(H552,'MTRL MSK (TPDP)'!$H$9:$U637,5,0)))</f>
        <v>0</v>
      </c>
      <c r="P552" s="448">
        <f t="shared" si="4"/>
        <v>0</v>
      </c>
      <c r="Q552" s="448">
        <f t="shared" si="5"/>
        <v>0</v>
      </c>
      <c r="R552" s="648" t="str">
        <f>IFERROR(IF(S552="","",(VLOOKUP(S552,'1. BQ RAPL'!$D$14:$K637,8,0))),"")</f>
        <v/>
      </c>
      <c r="S552" s="649"/>
      <c r="T552" s="650"/>
      <c r="U552" s="16"/>
      <c r="V552" s="16"/>
      <c r="W552" s="16"/>
      <c r="X552" s="119"/>
      <c r="Y552" s="119"/>
      <c r="Z552" s="119"/>
      <c r="AA552" s="119"/>
      <c r="AB552" s="119"/>
      <c r="AC552" s="119"/>
      <c r="AD552" s="119"/>
      <c r="AE552" s="119"/>
      <c r="AF552" s="119"/>
    </row>
    <row r="553" ht="18.75" customHeight="1">
      <c r="A553" s="119"/>
      <c r="B553" s="652"/>
      <c r="C553" s="642">
        <f>IF(F553=0,0,(VLOOKUP(F553,'MTRL MSK (TPDP)'!$F$9:$W637,18,0)))</f>
        <v>0</v>
      </c>
      <c r="D553" s="642">
        <f>IF(C553=0,0,(VLOOKUP(C553,'MTRL MSK (TPDP)'!$B$9:$W637,3,0)))</f>
        <v>0</v>
      </c>
      <c r="E553" s="643" t="str">
        <f>iferror(IF(C553="","",(VLOOKUP(C553,'MTRL MSK (TPDP)'!$B$9:$W637,4,0))),"")</f>
        <v/>
      </c>
      <c r="F553" s="644">
        <f>IF(H553=0,0,(VLOOKUP(H553,'MTRL MSK (TPDP)'!$H$9:$X637,17,0)))</f>
        <v>0</v>
      </c>
      <c r="G553" s="645"/>
      <c r="H553" s="646"/>
      <c r="I553" s="446">
        <f>IF(H553=0,0,(VLOOKUP(H553,'MTRL MSK (TPDP)'!$H$9:$U637,2,0)))</f>
        <v>0</v>
      </c>
      <c r="J553" s="448" t="str">
        <f>IFERROR((IF(H553=0,0,(VLOOKUP(H553,'MTRL MSK (TPDP)'!$H$8:$U637,7,0))))/(IF(H553=0,0,(VLOOKUP(H553,'MTRL MSK (TPDP)'!$H$8:$U637,5,0)))),"")</f>
        <v/>
      </c>
      <c r="K553" s="559"/>
      <c r="L553" s="448">
        <f t="shared" si="1"/>
        <v>0</v>
      </c>
      <c r="M553" s="647">
        <f t="shared" si="2"/>
        <v>0</v>
      </c>
      <c r="N553" s="647">
        <f t="shared" si="3"/>
        <v>0</v>
      </c>
      <c r="O553" s="448">
        <f>IF(H553=0,0,(VLOOKUP(H553,'MTRL MSK (TPDP)'!$H$9:$U637,5,0)))</f>
        <v>0</v>
      </c>
      <c r="P553" s="448">
        <f t="shared" si="4"/>
        <v>0</v>
      </c>
      <c r="Q553" s="448">
        <f t="shared" si="5"/>
        <v>0</v>
      </c>
      <c r="R553" s="648" t="str">
        <f>IFERROR(IF(S553="","",(VLOOKUP(S553,'1. BQ RAPL'!$D$14:$K637,8,0))),"")</f>
        <v/>
      </c>
      <c r="S553" s="649"/>
      <c r="T553" s="650"/>
      <c r="U553" s="16"/>
      <c r="V553" s="16"/>
      <c r="W553" s="16"/>
      <c r="X553" s="119"/>
      <c r="Y553" s="119"/>
      <c r="Z553" s="119"/>
      <c r="AA553" s="119"/>
      <c r="AB553" s="119"/>
      <c r="AC553" s="119"/>
      <c r="AD553" s="119"/>
      <c r="AE553" s="119"/>
      <c r="AF553" s="119"/>
    </row>
    <row r="554" ht="18.75" customHeight="1">
      <c r="A554" s="119"/>
      <c r="B554" s="652"/>
      <c r="C554" s="642">
        <f>IF(F554=0,0,(VLOOKUP(F554,'MTRL MSK (TPDP)'!$F$9:$W637,18,0)))</f>
        <v>0</v>
      </c>
      <c r="D554" s="642">
        <f>IF(C554=0,0,(VLOOKUP(C554,'MTRL MSK (TPDP)'!$B$9:$W637,3,0)))</f>
        <v>0</v>
      </c>
      <c r="E554" s="643" t="str">
        <f>iferror(IF(C554="","",(VLOOKUP(C554,'MTRL MSK (TPDP)'!$B$9:$W637,4,0))),"")</f>
        <v/>
      </c>
      <c r="F554" s="644">
        <f>IF(H554=0,0,(VLOOKUP(H554,'MTRL MSK (TPDP)'!$H$9:$X637,17,0)))</f>
        <v>0</v>
      </c>
      <c r="G554" s="645"/>
      <c r="H554" s="646"/>
      <c r="I554" s="446">
        <f>IF(H554=0,0,(VLOOKUP(H554,'MTRL MSK (TPDP)'!$H$9:$U637,2,0)))</f>
        <v>0</v>
      </c>
      <c r="J554" s="448" t="str">
        <f>IFERROR((IF(H554=0,0,(VLOOKUP(H554,'MTRL MSK (TPDP)'!$H$8:$U637,7,0))))/(IF(H554=0,0,(VLOOKUP(H554,'MTRL MSK (TPDP)'!$H$8:$U637,5,0)))),"")</f>
        <v/>
      </c>
      <c r="K554" s="559"/>
      <c r="L554" s="448">
        <f t="shared" si="1"/>
        <v>0</v>
      </c>
      <c r="M554" s="647">
        <f t="shared" si="2"/>
        <v>0</v>
      </c>
      <c r="N554" s="647">
        <f t="shared" si="3"/>
        <v>0</v>
      </c>
      <c r="O554" s="448">
        <f>IF(H554=0,0,(VLOOKUP(H554,'MTRL MSK (TPDP)'!$H$9:$U637,5,0)))</f>
        <v>0</v>
      </c>
      <c r="P554" s="448">
        <f t="shared" si="4"/>
        <v>0</v>
      </c>
      <c r="Q554" s="448">
        <f t="shared" si="5"/>
        <v>0</v>
      </c>
      <c r="R554" s="648" t="str">
        <f>IFERROR(IF(S554="","",(VLOOKUP(S554,'1. BQ RAPL'!$D$14:$K637,8,0))),"")</f>
        <v/>
      </c>
      <c r="S554" s="649"/>
      <c r="T554" s="650"/>
      <c r="U554" s="16"/>
      <c r="V554" s="16"/>
      <c r="W554" s="16"/>
      <c r="X554" s="119"/>
      <c r="Y554" s="119"/>
      <c r="Z554" s="119"/>
      <c r="AA554" s="119"/>
      <c r="AB554" s="119"/>
      <c r="AC554" s="119"/>
      <c r="AD554" s="119"/>
      <c r="AE554" s="119"/>
      <c r="AF554" s="119"/>
    </row>
    <row r="555" ht="18.75" customHeight="1">
      <c r="A555" s="119"/>
      <c r="B555" s="652"/>
      <c r="C555" s="642">
        <f>IF(F555=0,0,(VLOOKUP(F555,'MTRL MSK (TPDP)'!$F$9:$W637,18,0)))</f>
        <v>0</v>
      </c>
      <c r="D555" s="642">
        <f>IF(C555=0,0,(VLOOKUP(C555,'MTRL MSK (TPDP)'!$B$9:$W637,3,0)))</f>
        <v>0</v>
      </c>
      <c r="E555" s="643" t="str">
        <f>iferror(IF(C555="","",(VLOOKUP(C555,'MTRL MSK (TPDP)'!$B$9:$W637,4,0))),"")</f>
        <v/>
      </c>
      <c r="F555" s="644">
        <f>IF(H555=0,0,(VLOOKUP(H555,'MTRL MSK (TPDP)'!$H$9:$X637,17,0)))</f>
        <v>0</v>
      </c>
      <c r="G555" s="645"/>
      <c r="H555" s="646"/>
      <c r="I555" s="446">
        <f>IF(H555=0,0,(VLOOKUP(H555,'MTRL MSK (TPDP)'!$H$9:$U637,2,0)))</f>
        <v>0</v>
      </c>
      <c r="J555" s="448" t="str">
        <f>IFERROR((IF(H555=0,0,(VLOOKUP(H555,'MTRL MSK (TPDP)'!$H$8:$U637,7,0))))/(IF(H555=0,0,(VLOOKUP(H555,'MTRL MSK (TPDP)'!$H$8:$U637,5,0)))),"")</f>
        <v/>
      </c>
      <c r="K555" s="559"/>
      <c r="L555" s="448">
        <f t="shared" si="1"/>
        <v>0</v>
      </c>
      <c r="M555" s="647">
        <f t="shared" si="2"/>
        <v>0</v>
      </c>
      <c r="N555" s="647">
        <f t="shared" si="3"/>
        <v>0</v>
      </c>
      <c r="O555" s="448">
        <f>IF(H555=0,0,(VLOOKUP(H555,'MTRL MSK (TPDP)'!$H$9:$U637,5,0)))</f>
        <v>0</v>
      </c>
      <c r="P555" s="448">
        <f t="shared" si="4"/>
        <v>0</v>
      </c>
      <c r="Q555" s="448">
        <f t="shared" si="5"/>
        <v>0</v>
      </c>
      <c r="R555" s="648" t="str">
        <f>IFERROR(IF(S555="","",(VLOOKUP(S555,'1. BQ RAPL'!$D$14:$K637,8,0))),"")</f>
        <v/>
      </c>
      <c r="S555" s="649"/>
      <c r="T555" s="650"/>
      <c r="U555" s="16"/>
      <c r="V555" s="16"/>
      <c r="W555" s="16"/>
      <c r="X555" s="119"/>
      <c r="Y555" s="119"/>
      <c r="Z555" s="119"/>
      <c r="AA555" s="119"/>
      <c r="AB555" s="119"/>
      <c r="AC555" s="119"/>
      <c r="AD555" s="119"/>
      <c r="AE555" s="119"/>
      <c r="AF555" s="119"/>
    </row>
    <row r="556" ht="18.75" customHeight="1">
      <c r="A556" s="119"/>
      <c r="B556" s="652"/>
      <c r="C556" s="642">
        <f>IF(F556=0,0,(VLOOKUP(F556,'MTRL MSK (TPDP)'!$F$9:$W637,18,0)))</f>
        <v>0</v>
      </c>
      <c r="D556" s="642">
        <f>IF(C556=0,0,(VLOOKUP(C556,'MTRL MSK (TPDP)'!$B$9:$W637,3,0)))</f>
        <v>0</v>
      </c>
      <c r="E556" s="643" t="str">
        <f>iferror(IF(C556="","",(VLOOKUP(C556,'MTRL MSK (TPDP)'!$B$9:$W637,4,0))),"")</f>
        <v/>
      </c>
      <c r="F556" s="644">
        <f>IF(H556=0,0,(VLOOKUP(H556,'MTRL MSK (TPDP)'!$H$9:$X637,17,0)))</f>
        <v>0</v>
      </c>
      <c r="G556" s="645"/>
      <c r="H556" s="646"/>
      <c r="I556" s="446">
        <f>IF(H556=0,0,(VLOOKUP(H556,'MTRL MSK (TPDP)'!$H$9:$U637,2,0)))</f>
        <v>0</v>
      </c>
      <c r="J556" s="448" t="str">
        <f>IFERROR((IF(H556=0,0,(VLOOKUP(H556,'MTRL MSK (TPDP)'!$H$8:$U637,7,0))))/(IF(H556=0,0,(VLOOKUP(H556,'MTRL MSK (TPDP)'!$H$8:$U637,5,0)))),"")</f>
        <v/>
      </c>
      <c r="K556" s="559"/>
      <c r="L556" s="448">
        <f t="shared" si="1"/>
        <v>0</v>
      </c>
      <c r="M556" s="647">
        <f t="shared" si="2"/>
        <v>0</v>
      </c>
      <c r="N556" s="647">
        <f t="shared" si="3"/>
        <v>0</v>
      </c>
      <c r="O556" s="448">
        <f>IF(H556=0,0,(VLOOKUP(H556,'MTRL MSK (TPDP)'!$H$9:$U637,5,0)))</f>
        <v>0</v>
      </c>
      <c r="P556" s="448">
        <f t="shared" si="4"/>
        <v>0</v>
      </c>
      <c r="Q556" s="448">
        <f t="shared" si="5"/>
        <v>0</v>
      </c>
      <c r="R556" s="648" t="str">
        <f>IFERROR(IF(S556="","",(VLOOKUP(S556,'1. BQ RAPL'!$D$14:$K637,8,0))),"")</f>
        <v/>
      </c>
      <c r="S556" s="649"/>
      <c r="T556" s="650"/>
      <c r="U556" s="16"/>
      <c r="V556" s="16"/>
      <c r="W556" s="16"/>
      <c r="X556" s="119"/>
      <c r="Y556" s="119"/>
      <c r="Z556" s="119"/>
      <c r="AA556" s="119"/>
      <c r="AB556" s="119"/>
      <c r="AC556" s="119"/>
      <c r="AD556" s="119"/>
      <c r="AE556" s="119"/>
      <c r="AF556" s="119"/>
    </row>
    <row r="557" ht="18.75" customHeight="1">
      <c r="A557" s="119"/>
      <c r="B557" s="652"/>
      <c r="C557" s="642">
        <f>IF(F557=0,0,(VLOOKUP(F557,'MTRL MSK (TPDP)'!$F$9:$W637,18,0)))</f>
        <v>0</v>
      </c>
      <c r="D557" s="642">
        <f>IF(C557=0,0,(VLOOKUP(C557,'MTRL MSK (TPDP)'!$B$9:$W637,3,0)))</f>
        <v>0</v>
      </c>
      <c r="E557" s="643" t="str">
        <f>iferror(IF(C557="","",(VLOOKUP(C557,'MTRL MSK (TPDP)'!$B$9:$W637,4,0))),"")</f>
        <v/>
      </c>
      <c r="F557" s="644">
        <f>IF(H557=0,0,(VLOOKUP(H557,'MTRL MSK (TPDP)'!$H$9:$X637,17,0)))</f>
        <v>0</v>
      </c>
      <c r="G557" s="645"/>
      <c r="H557" s="646"/>
      <c r="I557" s="446">
        <f>IF(H557=0,0,(VLOOKUP(H557,'MTRL MSK (TPDP)'!$H$9:$U637,2,0)))</f>
        <v>0</v>
      </c>
      <c r="J557" s="448" t="str">
        <f>IFERROR((IF(H557=0,0,(VLOOKUP(H557,'MTRL MSK (TPDP)'!$H$8:$U637,7,0))))/(IF(H557=0,0,(VLOOKUP(H557,'MTRL MSK (TPDP)'!$H$8:$U637,5,0)))),"")</f>
        <v/>
      </c>
      <c r="K557" s="559"/>
      <c r="L557" s="448">
        <f t="shared" si="1"/>
        <v>0</v>
      </c>
      <c r="M557" s="647">
        <f t="shared" si="2"/>
        <v>0</v>
      </c>
      <c r="N557" s="647">
        <f t="shared" si="3"/>
        <v>0</v>
      </c>
      <c r="O557" s="448">
        <f>IF(H557=0,0,(VLOOKUP(H557,'MTRL MSK (TPDP)'!$H$9:$U637,5,0)))</f>
        <v>0</v>
      </c>
      <c r="P557" s="448">
        <f t="shared" si="4"/>
        <v>0</v>
      </c>
      <c r="Q557" s="448">
        <f t="shared" si="5"/>
        <v>0</v>
      </c>
      <c r="R557" s="648" t="str">
        <f>IFERROR(IF(S557="","",(VLOOKUP(S557,'1. BQ RAPL'!$D$14:$K637,8,0))),"")</f>
        <v/>
      </c>
      <c r="S557" s="649"/>
      <c r="T557" s="650"/>
      <c r="U557" s="16"/>
      <c r="V557" s="16"/>
      <c r="W557" s="16"/>
      <c r="X557" s="119"/>
      <c r="Y557" s="119"/>
      <c r="Z557" s="119"/>
      <c r="AA557" s="119"/>
      <c r="AB557" s="119"/>
      <c r="AC557" s="119"/>
      <c r="AD557" s="119"/>
      <c r="AE557" s="119"/>
      <c r="AF557" s="119"/>
    </row>
    <row r="558" ht="18.75" customHeight="1">
      <c r="A558" s="119"/>
      <c r="B558" s="652"/>
      <c r="C558" s="642">
        <f>IF(F558=0,0,(VLOOKUP(F558,'MTRL MSK (TPDP)'!$F$9:$W637,18,0)))</f>
        <v>0</v>
      </c>
      <c r="D558" s="642">
        <f>IF(C558=0,0,(VLOOKUP(C558,'MTRL MSK (TPDP)'!$B$9:$W637,3,0)))</f>
        <v>0</v>
      </c>
      <c r="E558" s="643" t="str">
        <f>iferror(IF(C558="","",(VLOOKUP(C558,'MTRL MSK (TPDP)'!$B$9:$W637,4,0))),"")</f>
        <v/>
      </c>
      <c r="F558" s="644">
        <f>IF(H558=0,0,(VLOOKUP(H558,'MTRL MSK (TPDP)'!$H$9:$X637,17,0)))</f>
        <v>0</v>
      </c>
      <c r="G558" s="645"/>
      <c r="H558" s="646"/>
      <c r="I558" s="446">
        <f>IF(H558=0,0,(VLOOKUP(H558,'MTRL MSK (TPDP)'!$H$9:$U637,2,0)))</f>
        <v>0</v>
      </c>
      <c r="J558" s="448" t="str">
        <f>IFERROR((IF(H558=0,0,(VLOOKUP(H558,'MTRL MSK (TPDP)'!$H$8:$U637,7,0))))/(IF(H558=0,0,(VLOOKUP(H558,'MTRL MSK (TPDP)'!$H$8:$U637,5,0)))),"")</f>
        <v/>
      </c>
      <c r="K558" s="559"/>
      <c r="L558" s="448">
        <f t="shared" si="1"/>
        <v>0</v>
      </c>
      <c r="M558" s="647">
        <f t="shared" si="2"/>
        <v>0</v>
      </c>
      <c r="N558" s="647">
        <f t="shared" si="3"/>
        <v>0</v>
      </c>
      <c r="O558" s="448">
        <f>IF(H558=0,0,(VLOOKUP(H558,'MTRL MSK (TPDP)'!$H$9:$U637,5,0)))</f>
        <v>0</v>
      </c>
      <c r="P558" s="448">
        <f t="shared" si="4"/>
        <v>0</v>
      </c>
      <c r="Q558" s="448">
        <f t="shared" si="5"/>
        <v>0</v>
      </c>
      <c r="R558" s="648" t="str">
        <f>IFERROR(IF(S558="","",(VLOOKUP(S558,'1. BQ RAPL'!$D$14:$K637,8,0))),"")</f>
        <v/>
      </c>
      <c r="S558" s="649"/>
      <c r="T558" s="650"/>
      <c r="U558" s="16"/>
      <c r="V558" s="16"/>
      <c r="W558" s="16"/>
      <c r="X558" s="119"/>
      <c r="Y558" s="119"/>
      <c r="Z558" s="119"/>
      <c r="AA558" s="119"/>
      <c r="AB558" s="119"/>
      <c r="AC558" s="119"/>
      <c r="AD558" s="119"/>
      <c r="AE558" s="119"/>
      <c r="AF558" s="119"/>
    </row>
    <row r="559" ht="18.75" customHeight="1">
      <c r="A559" s="119"/>
      <c r="B559" s="652"/>
      <c r="C559" s="642">
        <f>IF(F559=0,0,(VLOOKUP(F559,'MTRL MSK (TPDP)'!$F$9:$W637,18,0)))</f>
        <v>0</v>
      </c>
      <c r="D559" s="642">
        <f>IF(C559=0,0,(VLOOKUP(C559,'MTRL MSK (TPDP)'!$B$9:$W637,3,0)))</f>
        <v>0</v>
      </c>
      <c r="E559" s="643" t="str">
        <f>iferror(IF(C559="","",(VLOOKUP(C559,'MTRL MSK (TPDP)'!$B$9:$W637,4,0))),"")</f>
        <v/>
      </c>
      <c r="F559" s="644">
        <f>IF(H559=0,0,(VLOOKUP(H559,'MTRL MSK (TPDP)'!$H$9:$X637,17,0)))</f>
        <v>0</v>
      </c>
      <c r="G559" s="645"/>
      <c r="H559" s="646"/>
      <c r="I559" s="446">
        <f>IF(H559=0,0,(VLOOKUP(H559,'MTRL MSK (TPDP)'!$H$9:$U637,2,0)))</f>
        <v>0</v>
      </c>
      <c r="J559" s="448" t="str">
        <f>IFERROR((IF(H559=0,0,(VLOOKUP(H559,'MTRL MSK (TPDP)'!$H$8:$U637,7,0))))/(IF(H559=0,0,(VLOOKUP(H559,'MTRL MSK (TPDP)'!$H$8:$U637,5,0)))),"")</f>
        <v/>
      </c>
      <c r="K559" s="559"/>
      <c r="L559" s="448">
        <f t="shared" si="1"/>
        <v>0</v>
      </c>
      <c r="M559" s="647">
        <f t="shared" si="2"/>
        <v>0</v>
      </c>
      <c r="N559" s="647">
        <f t="shared" si="3"/>
        <v>0</v>
      </c>
      <c r="O559" s="448">
        <f>IF(H559=0,0,(VLOOKUP(H559,'MTRL MSK (TPDP)'!$H$9:$U637,5,0)))</f>
        <v>0</v>
      </c>
      <c r="P559" s="448">
        <f t="shared" si="4"/>
        <v>0</v>
      </c>
      <c r="Q559" s="448">
        <f t="shared" si="5"/>
        <v>0</v>
      </c>
      <c r="R559" s="648" t="str">
        <f>IFERROR(IF(S559="","",(VLOOKUP(S559,'1. BQ RAPL'!$D$14:$K637,8,0))),"")</f>
        <v/>
      </c>
      <c r="S559" s="649"/>
      <c r="T559" s="650"/>
      <c r="U559" s="16"/>
      <c r="V559" s="16"/>
      <c r="W559" s="16"/>
      <c r="X559" s="119"/>
      <c r="Y559" s="119"/>
      <c r="Z559" s="119"/>
      <c r="AA559" s="119"/>
      <c r="AB559" s="119"/>
      <c r="AC559" s="119"/>
      <c r="AD559" s="119"/>
      <c r="AE559" s="119"/>
      <c r="AF559" s="119"/>
    </row>
    <row r="560" ht="18.75" customHeight="1">
      <c r="A560" s="119"/>
      <c r="B560" s="652"/>
      <c r="C560" s="642">
        <f>IF(F560=0,0,(VLOOKUP(F560,'MTRL MSK (TPDP)'!$F$9:$W637,18,0)))</f>
        <v>0</v>
      </c>
      <c r="D560" s="642">
        <f>IF(C560=0,0,(VLOOKUP(C560,'MTRL MSK (TPDP)'!$B$9:$W637,3,0)))</f>
        <v>0</v>
      </c>
      <c r="E560" s="643" t="str">
        <f>iferror(IF(C560="","",(VLOOKUP(C560,'MTRL MSK (TPDP)'!$B$9:$W637,4,0))),"")</f>
        <v/>
      </c>
      <c r="F560" s="644">
        <f>IF(H560=0,0,(VLOOKUP(H560,'MTRL MSK (TPDP)'!$H$9:$X637,17,0)))</f>
        <v>0</v>
      </c>
      <c r="G560" s="645"/>
      <c r="H560" s="646"/>
      <c r="I560" s="446">
        <f>IF(H560=0,0,(VLOOKUP(H560,'MTRL MSK (TPDP)'!$H$9:$U637,2,0)))</f>
        <v>0</v>
      </c>
      <c r="J560" s="448" t="str">
        <f>IFERROR((IF(H560=0,0,(VLOOKUP(H560,'MTRL MSK (TPDP)'!$H$8:$U637,7,0))))/(IF(H560=0,0,(VLOOKUP(H560,'MTRL MSK (TPDP)'!$H$8:$U637,5,0)))),"")</f>
        <v/>
      </c>
      <c r="K560" s="559"/>
      <c r="L560" s="448">
        <f t="shared" si="1"/>
        <v>0</v>
      </c>
      <c r="M560" s="647">
        <f t="shared" si="2"/>
        <v>0</v>
      </c>
      <c r="N560" s="647">
        <f t="shared" si="3"/>
        <v>0</v>
      </c>
      <c r="O560" s="448">
        <f>IF(H560=0,0,(VLOOKUP(H560,'MTRL MSK (TPDP)'!$H$9:$U637,5,0)))</f>
        <v>0</v>
      </c>
      <c r="P560" s="448">
        <f t="shared" si="4"/>
        <v>0</v>
      </c>
      <c r="Q560" s="448">
        <f t="shared" si="5"/>
        <v>0</v>
      </c>
      <c r="R560" s="648" t="str">
        <f>IFERROR(IF(S560="","",(VLOOKUP(S560,'1. BQ RAPL'!$D$14:$K637,8,0))),"")</f>
        <v/>
      </c>
      <c r="S560" s="649"/>
      <c r="T560" s="650"/>
      <c r="U560" s="16"/>
      <c r="V560" s="16"/>
      <c r="W560" s="16"/>
      <c r="X560" s="119"/>
      <c r="Y560" s="119"/>
      <c r="Z560" s="119"/>
      <c r="AA560" s="119"/>
      <c r="AB560" s="119"/>
      <c r="AC560" s="119"/>
      <c r="AD560" s="119"/>
      <c r="AE560" s="119"/>
      <c r="AF560" s="119"/>
    </row>
    <row r="561" ht="18.75" customHeight="1">
      <c r="A561" s="119"/>
      <c r="B561" s="652"/>
      <c r="C561" s="642">
        <f>IF(F561=0,0,(VLOOKUP(F561,'MTRL MSK (TPDP)'!$F$9:$W637,18,0)))</f>
        <v>0</v>
      </c>
      <c r="D561" s="642">
        <f>IF(C561=0,0,(VLOOKUP(C561,'MTRL MSK (TPDP)'!$B$9:$W637,3,0)))</f>
        <v>0</v>
      </c>
      <c r="E561" s="643" t="str">
        <f>iferror(IF(C561="","",(VLOOKUP(C561,'MTRL MSK (TPDP)'!$B$9:$W637,4,0))),"")</f>
        <v/>
      </c>
      <c r="F561" s="644">
        <f>IF(H561=0,0,(VLOOKUP(H561,'MTRL MSK (TPDP)'!$H$9:$X637,17,0)))</f>
        <v>0</v>
      </c>
      <c r="G561" s="645"/>
      <c r="H561" s="646"/>
      <c r="I561" s="446">
        <f>IF(H561=0,0,(VLOOKUP(H561,'MTRL MSK (TPDP)'!$H$9:$U637,2,0)))</f>
        <v>0</v>
      </c>
      <c r="J561" s="448" t="str">
        <f>IFERROR((IF(H561=0,0,(VLOOKUP(H561,'MTRL MSK (TPDP)'!$H$8:$U637,7,0))))/(IF(H561=0,0,(VLOOKUP(H561,'MTRL MSK (TPDP)'!$H$8:$U637,5,0)))),"")</f>
        <v/>
      </c>
      <c r="K561" s="559"/>
      <c r="L561" s="448">
        <f t="shared" si="1"/>
        <v>0</v>
      </c>
      <c r="M561" s="647">
        <f t="shared" si="2"/>
        <v>0</v>
      </c>
      <c r="N561" s="647">
        <f t="shared" si="3"/>
        <v>0</v>
      </c>
      <c r="O561" s="448">
        <f>IF(H561=0,0,(VLOOKUP(H561,'MTRL MSK (TPDP)'!$H$9:$U637,5,0)))</f>
        <v>0</v>
      </c>
      <c r="P561" s="448">
        <f t="shared" si="4"/>
        <v>0</v>
      </c>
      <c r="Q561" s="448">
        <f t="shared" si="5"/>
        <v>0</v>
      </c>
      <c r="R561" s="648" t="str">
        <f>IFERROR(IF(S561="","",(VLOOKUP(S561,'1. BQ RAPL'!$D$14:$K637,8,0))),"")</f>
        <v/>
      </c>
      <c r="S561" s="649"/>
      <c r="T561" s="650"/>
      <c r="U561" s="16"/>
      <c r="V561" s="16"/>
      <c r="W561" s="16"/>
      <c r="X561" s="119"/>
      <c r="Y561" s="119"/>
      <c r="Z561" s="119"/>
      <c r="AA561" s="119"/>
      <c r="AB561" s="119"/>
      <c r="AC561" s="119"/>
      <c r="AD561" s="119"/>
      <c r="AE561" s="119"/>
      <c r="AF561" s="119"/>
    </row>
    <row r="562" ht="18.75" customHeight="1">
      <c r="A562" s="119"/>
      <c r="B562" s="652"/>
      <c r="C562" s="642">
        <f>IF(F562=0,0,(VLOOKUP(F562,'MTRL MSK (TPDP)'!$F$9:$W637,18,0)))</f>
        <v>0</v>
      </c>
      <c r="D562" s="642">
        <f>IF(C562=0,0,(VLOOKUP(C562,'MTRL MSK (TPDP)'!$B$9:$W637,3,0)))</f>
        <v>0</v>
      </c>
      <c r="E562" s="643" t="str">
        <f>iferror(IF(C562="","",(VLOOKUP(C562,'MTRL MSK (TPDP)'!$B$9:$W637,4,0))),"")</f>
        <v/>
      </c>
      <c r="F562" s="644">
        <f>IF(H562=0,0,(VLOOKUP(H562,'MTRL MSK (TPDP)'!$H$9:$X637,17,0)))</f>
        <v>0</v>
      </c>
      <c r="G562" s="645"/>
      <c r="H562" s="646"/>
      <c r="I562" s="446">
        <f>IF(H562=0,0,(VLOOKUP(H562,'MTRL MSK (TPDP)'!$H$9:$U637,2,0)))</f>
        <v>0</v>
      </c>
      <c r="J562" s="448" t="str">
        <f>IFERROR((IF(H562=0,0,(VLOOKUP(H562,'MTRL MSK (TPDP)'!$H$8:$U637,7,0))))/(IF(H562=0,0,(VLOOKUP(H562,'MTRL MSK (TPDP)'!$H$8:$U637,5,0)))),"")</f>
        <v/>
      </c>
      <c r="K562" s="559"/>
      <c r="L562" s="448">
        <f t="shared" si="1"/>
        <v>0</v>
      </c>
      <c r="M562" s="647">
        <f t="shared" si="2"/>
        <v>0</v>
      </c>
      <c r="N562" s="647">
        <f t="shared" si="3"/>
        <v>0</v>
      </c>
      <c r="O562" s="448">
        <f>IF(H562=0,0,(VLOOKUP(H562,'MTRL MSK (TPDP)'!$H$9:$U637,5,0)))</f>
        <v>0</v>
      </c>
      <c r="P562" s="448">
        <f t="shared" si="4"/>
        <v>0</v>
      </c>
      <c r="Q562" s="448">
        <f t="shared" si="5"/>
        <v>0</v>
      </c>
      <c r="R562" s="648" t="str">
        <f>IFERROR(IF(S562="","",(VLOOKUP(S562,'1. BQ RAPL'!$D$14:$K637,8,0))),"")</f>
        <v/>
      </c>
      <c r="S562" s="649"/>
      <c r="T562" s="650"/>
      <c r="U562" s="16"/>
      <c r="V562" s="16"/>
      <c r="W562" s="16"/>
      <c r="X562" s="119"/>
      <c r="Y562" s="119"/>
      <c r="Z562" s="119"/>
      <c r="AA562" s="119"/>
      <c r="AB562" s="119"/>
      <c r="AC562" s="119"/>
      <c r="AD562" s="119"/>
      <c r="AE562" s="119"/>
      <c r="AF562" s="119"/>
    </row>
    <row r="563" ht="18.75" customHeight="1">
      <c r="A563" s="119"/>
      <c r="B563" s="652"/>
      <c r="C563" s="642">
        <f>IF(F563=0,0,(VLOOKUP(F563,'MTRL MSK (TPDP)'!$F$9:$W637,18,0)))</f>
        <v>0</v>
      </c>
      <c r="D563" s="642">
        <f>IF(C563=0,0,(VLOOKUP(C563,'MTRL MSK (TPDP)'!$B$9:$W637,3,0)))</f>
        <v>0</v>
      </c>
      <c r="E563" s="643" t="str">
        <f>iferror(IF(C563="","",(VLOOKUP(C563,'MTRL MSK (TPDP)'!$B$9:$W637,4,0))),"")</f>
        <v/>
      </c>
      <c r="F563" s="644">
        <f>IF(H563=0,0,(VLOOKUP(H563,'MTRL MSK (TPDP)'!$H$9:$X637,17,0)))</f>
        <v>0</v>
      </c>
      <c r="G563" s="645"/>
      <c r="H563" s="646"/>
      <c r="I563" s="446">
        <f>IF(H563=0,0,(VLOOKUP(H563,'MTRL MSK (TPDP)'!$H$9:$U637,2,0)))</f>
        <v>0</v>
      </c>
      <c r="J563" s="448" t="str">
        <f>IFERROR((IF(H563=0,0,(VLOOKUP(H563,'MTRL MSK (TPDP)'!$H$8:$U637,7,0))))/(IF(H563=0,0,(VLOOKUP(H563,'MTRL MSK (TPDP)'!$H$8:$U637,5,0)))),"")</f>
        <v/>
      </c>
      <c r="K563" s="559"/>
      <c r="L563" s="448">
        <f t="shared" si="1"/>
        <v>0</v>
      </c>
      <c r="M563" s="647">
        <f t="shared" si="2"/>
        <v>0</v>
      </c>
      <c r="N563" s="647">
        <f t="shared" si="3"/>
        <v>0</v>
      </c>
      <c r="O563" s="448">
        <f>IF(H563=0,0,(VLOOKUP(H563,'MTRL MSK (TPDP)'!$H$9:$U637,5,0)))</f>
        <v>0</v>
      </c>
      <c r="P563" s="448">
        <f t="shared" si="4"/>
        <v>0</v>
      </c>
      <c r="Q563" s="448">
        <f t="shared" si="5"/>
        <v>0</v>
      </c>
      <c r="R563" s="648" t="str">
        <f>IFERROR(IF(S563="","",(VLOOKUP(S563,'1. BQ RAPL'!$D$14:$K637,8,0))),"")</f>
        <v/>
      </c>
      <c r="S563" s="649"/>
      <c r="T563" s="650"/>
      <c r="U563" s="16"/>
      <c r="V563" s="16"/>
      <c r="W563" s="16"/>
      <c r="X563" s="119"/>
      <c r="Y563" s="119"/>
      <c r="Z563" s="119"/>
      <c r="AA563" s="119"/>
      <c r="AB563" s="119"/>
      <c r="AC563" s="119"/>
      <c r="AD563" s="119"/>
      <c r="AE563" s="119"/>
      <c r="AF563" s="119"/>
    </row>
    <row r="564" ht="18.75" customHeight="1">
      <c r="A564" s="119"/>
      <c r="B564" s="652"/>
      <c r="C564" s="642">
        <f>IF(F564=0,0,(VLOOKUP(F564,'MTRL MSK (TPDP)'!$F$9:$W637,18,0)))</f>
        <v>0</v>
      </c>
      <c r="D564" s="642">
        <f>IF(C564=0,0,(VLOOKUP(C564,'MTRL MSK (TPDP)'!$B$9:$W637,3,0)))</f>
        <v>0</v>
      </c>
      <c r="E564" s="643" t="str">
        <f>iferror(IF(C564="","",(VLOOKUP(C564,'MTRL MSK (TPDP)'!$B$9:$W637,4,0))),"")</f>
        <v/>
      </c>
      <c r="F564" s="644">
        <f>IF(H564=0,0,(VLOOKUP(H564,'MTRL MSK (TPDP)'!$H$9:$X637,17,0)))</f>
        <v>0</v>
      </c>
      <c r="G564" s="645"/>
      <c r="H564" s="646"/>
      <c r="I564" s="446">
        <f>IF(H564=0,0,(VLOOKUP(H564,'MTRL MSK (TPDP)'!$H$9:$U637,2,0)))</f>
        <v>0</v>
      </c>
      <c r="J564" s="448" t="str">
        <f>IFERROR((IF(H564=0,0,(VLOOKUP(H564,'MTRL MSK (TPDP)'!$H$8:$U637,7,0))))/(IF(H564=0,0,(VLOOKUP(H564,'MTRL MSK (TPDP)'!$H$8:$U637,5,0)))),"")</f>
        <v/>
      </c>
      <c r="K564" s="559"/>
      <c r="L564" s="448">
        <f t="shared" si="1"/>
        <v>0</v>
      </c>
      <c r="M564" s="647">
        <f t="shared" si="2"/>
        <v>0</v>
      </c>
      <c r="N564" s="647">
        <f t="shared" si="3"/>
        <v>0</v>
      </c>
      <c r="O564" s="448">
        <f>IF(H564=0,0,(VLOOKUP(H564,'MTRL MSK (TPDP)'!$H$9:$U637,5,0)))</f>
        <v>0</v>
      </c>
      <c r="P564" s="448">
        <f t="shared" si="4"/>
        <v>0</v>
      </c>
      <c r="Q564" s="448">
        <f t="shared" si="5"/>
        <v>0</v>
      </c>
      <c r="R564" s="648" t="str">
        <f>IFERROR(IF(S564="","",(VLOOKUP(S564,'1. BQ RAPL'!$D$14:$K637,8,0))),"")</f>
        <v/>
      </c>
      <c r="S564" s="649"/>
      <c r="T564" s="650"/>
      <c r="U564" s="16"/>
      <c r="V564" s="16"/>
      <c r="W564" s="16"/>
      <c r="X564" s="119"/>
      <c r="Y564" s="119"/>
      <c r="Z564" s="119"/>
      <c r="AA564" s="119"/>
      <c r="AB564" s="119"/>
      <c r="AC564" s="119"/>
      <c r="AD564" s="119"/>
      <c r="AE564" s="119"/>
      <c r="AF564" s="119"/>
    </row>
    <row r="565" ht="18.75" customHeight="1">
      <c r="A565" s="119"/>
      <c r="B565" s="652"/>
      <c r="C565" s="642">
        <f>IF(F565=0,0,(VLOOKUP(F565,'MTRL MSK (TPDP)'!$F$9:$W637,18,0)))</f>
        <v>0</v>
      </c>
      <c r="D565" s="642">
        <f>IF(C565=0,0,(VLOOKUP(C565,'MTRL MSK (TPDP)'!$B$9:$W637,3,0)))</f>
        <v>0</v>
      </c>
      <c r="E565" s="643" t="str">
        <f>iferror(IF(C565="","",(VLOOKUP(C565,'MTRL MSK (TPDP)'!$B$9:$W637,4,0))),"")</f>
        <v/>
      </c>
      <c r="F565" s="644">
        <f>IF(H565=0,0,(VLOOKUP(H565,'MTRL MSK (TPDP)'!$H$9:$X637,17,0)))</f>
        <v>0</v>
      </c>
      <c r="G565" s="645"/>
      <c r="H565" s="646"/>
      <c r="I565" s="446">
        <f>IF(H565=0,0,(VLOOKUP(H565,'MTRL MSK (TPDP)'!$H$9:$U637,2,0)))</f>
        <v>0</v>
      </c>
      <c r="J565" s="448" t="str">
        <f>IFERROR((IF(H565=0,0,(VLOOKUP(H565,'MTRL MSK (TPDP)'!$H$8:$U637,7,0))))/(IF(H565=0,0,(VLOOKUP(H565,'MTRL MSK (TPDP)'!$H$8:$U637,5,0)))),"")</f>
        <v/>
      </c>
      <c r="K565" s="559"/>
      <c r="L565" s="448">
        <f t="shared" si="1"/>
        <v>0</v>
      </c>
      <c r="M565" s="647">
        <f t="shared" si="2"/>
        <v>0</v>
      </c>
      <c r="N565" s="647">
        <f t="shared" si="3"/>
        <v>0</v>
      </c>
      <c r="O565" s="448">
        <f>IF(H565=0,0,(VLOOKUP(H565,'MTRL MSK (TPDP)'!$H$9:$U637,5,0)))</f>
        <v>0</v>
      </c>
      <c r="P565" s="448">
        <f t="shared" si="4"/>
        <v>0</v>
      </c>
      <c r="Q565" s="448">
        <f t="shared" si="5"/>
        <v>0</v>
      </c>
      <c r="R565" s="648" t="str">
        <f>IFERROR(IF(S565="","",(VLOOKUP(S565,'1. BQ RAPL'!$D$14:$K637,8,0))),"")</f>
        <v/>
      </c>
      <c r="S565" s="649"/>
      <c r="T565" s="650"/>
      <c r="U565" s="16"/>
      <c r="V565" s="16"/>
      <c r="W565" s="16"/>
      <c r="X565" s="119"/>
      <c r="Y565" s="119"/>
      <c r="Z565" s="119"/>
      <c r="AA565" s="119"/>
      <c r="AB565" s="119"/>
      <c r="AC565" s="119"/>
      <c r="AD565" s="119"/>
      <c r="AE565" s="119"/>
      <c r="AF565" s="119"/>
    </row>
    <row r="566" ht="18.75" customHeight="1">
      <c r="A566" s="119"/>
      <c r="B566" s="652"/>
      <c r="C566" s="642">
        <f>IF(F566=0,0,(VLOOKUP(F566,'MTRL MSK (TPDP)'!$F$9:$W637,18,0)))</f>
        <v>0</v>
      </c>
      <c r="D566" s="642">
        <f>IF(C566=0,0,(VLOOKUP(C566,'MTRL MSK (TPDP)'!$B$9:$W637,3,0)))</f>
        <v>0</v>
      </c>
      <c r="E566" s="643" t="str">
        <f>iferror(IF(C566="","",(VLOOKUP(C566,'MTRL MSK (TPDP)'!$B$9:$W637,4,0))),"")</f>
        <v/>
      </c>
      <c r="F566" s="644">
        <f>IF(H566=0,0,(VLOOKUP(H566,'MTRL MSK (TPDP)'!$H$9:$X637,17,0)))</f>
        <v>0</v>
      </c>
      <c r="G566" s="645"/>
      <c r="H566" s="646"/>
      <c r="I566" s="446">
        <f>IF(H566=0,0,(VLOOKUP(H566,'MTRL MSK (TPDP)'!$H$9:$U637,2,0)))</f>
        <v>0</v>
      </c>
      <c r="J566" s="448" t="str">
        <f>IFERROR((IF(H566=0,0,(VLOOKUP(H566,'MTRL MSK (TPDP)'!$H$8:$U637,7,0))))/(IF(H566=0,0,(VLOOKUP(H566,'MTRL MSK (TPDP)'!$H$8:$U637,5,0)))),"")</f>
        <v/>
      </c>
      <c r="K566" s="559"/>
      <c r="L566" s="448">
        <f t="shared" si="1"/>
        <v>0</v>
      </c>
      <c r="M566" s="647">
        <f t="shared" si="2"/>
        <v>0</v>
      </c>
      <c r="N566" s="647">
        <f t="shared" si="3"/>
        <v>0</v>
      </c>
      <c r="O566" s="448">
        <f>IF(H566=0,0,(VLOOKUP(H566,'MTRL MSK (TPDP)'!$H$9:$U637,5,0)))</f>
        <v>0</v>
      </c>
      <c r="P566" s="448">
        <f t="shared" si="4"/>
        <v>0</v>
      </c>
      <c r="Q566" s="448">
        <f t="shared" si="5"/>
        <v>0</v>
      </c>
      <c r="R566" s="648" t="str">
        <f>IFERROR(IF(S566="","",(VLOOKUP(S566,'1. BQ RAPL'!$D$14:$K637,8,0))),"")</f>
        <v/>
      </c>
      <c r="S566" s="649"/>
      <c r="T566" s="650"/>
      <c r="U566" s="16"/>
      <c r="V566" s="16"/>
      <c r="W566" s="16"/>
      <c r="X566" s="119"/>
      <c r="Y566" s="119"/>
      <c r="Z566" s="119"/>
      <c r="AA566" s="119"/>
      <c r="AB566" s="119"/>
      <c r="AC566" s="119"/>
      <c r="AD566" s="119"/>
      <c r="AE566" s="119"/>
      <c r="AF566" s="119"/>
    </row>
    <row r="567" ht="18.75" customHeight="1">
      <c r="A567" s="119"/>
      <c r="B567" s="652"/>
      <c r="C567" s="642">
        <f>IF(F567=0,0,(VLOOKUP(F567,'MTRL MSK (TPDP)'!$F$9:$W637,18,0)))</f>
        <v>0</v>
      </c>
      <c r="D567" s="642">
        <f>IF(C567=0,0,(VLOOKUP(C567,'MTRL MSK (TPDP)'!$B$9:$W637,3,0)))</f>
        <v>0</v>
      </c>
      <c r="E567" s="643" t="str">
        <f>iferror(IF(C567="","",(VLOOKUP(C567,'MTRL MSK (TPDP)'!$B$9:$W637,4,0))),"")</f>
        <v/>
      </c>
      <c r="F567" s="644">
        <f>IF(H567=0,0,(VLOOKUP(H567,'MTRL MSK (TPDP)'!$H$9:$X637,17,0)))</f>
        <v>0</v>
      </c>
      <c r="G567" s="645"/>
      <c r="H567" s="646"/>
      <c r="I567" s="446">
        <f>IF(H567=0,0,(VLOOKUP(H567,'MTRL MSK (TPDP)'!$H$9:$U637,2,0)))</f>
        <v>0</v>
      </c>
      <c r="J567" s="448" t="str">
        <f>IFERROR((IF(H567=0,0,(VLOOKUP(H567,'MTRL MSK (TPDP)'!$H$8:$U637,7,0))))/(IF(H567=0,0,(VLOOKUP(H567,'MTRL MSK (TPDP)'!$H$8:$U637,5,0)))),"")</f>
        <v/>
      </c>
      <c r="K567" s="559"/>
      <c r="L567" s="448">
        <f t="shared" si="1"/>
        <v>0</v>
      </c>
      <c r="M567" s="647">
        <f t="shared" si="2"/>
        <v>0</v>
      </c>
      <c r="N567" s="647">
        <f t="shared" si="3"/>
        <v>0</v>
      </c>
      <c r="O567" s="448">
        <f>IF(H567=0,0,(VLOOKUP(H567,'MTRL MSK (TPDP)'!$H$9:$U637,5,0)))</f>
        <v>0</v>
      </c>
      <c r="P567" s="448">
        <f t="shared" si="4"/>
        <v>0</v>
      </c>
      <c r="Q567" s="448">
        <f t="shared" si="5"/>
        <v>0</v>
      </c>
      <c r="R567" s="648" t="str">
        <f>IFERROR(IF(S567="","",(VLOOKUP(S567,'1. BQ RAPL'!$D$14:$K637,8,0))),"")</f>
        <v/>
      </c>
      <c r="S567" s="649"/>
      <c r="T567" s="650"/>
      <c r="U567" s="16"/>
      <c r="V567" s="16"/>
      <c r="W567" s="16"/>
      <c r="X567" s="119"/>
      <c r="Y567" s="119"/>
      <c r="Z567" s="119"/>
      <c r="AA567" s="119"/>
      <c r="AB567" s="119"/>
      <c r="AC567" s="119"/>
      <c r="AD567" s="119"/>
      <c r="AE567" s="119"/>
      <c r="AF567" s="119"/>
    </row>
    <row r="568" ht="18.75" customHeight="1">
      <c r="A568" s="119"/>
      <c r="B568" s="652"/>
      <c r="C568" s="642">
        <f>IF(F568=0,0,(VLOOKUP(F568,'MTRL MSK (TPDP)'!$F$9:$W637,18,0)))</f>
        <v>0</v>
      </c>
      <c r="D568" s="642">
        <f>IF(C568=0,0,(VLOOKUP(C568,'MTRL MSK (TPDP)'!$B$9:$W637,3,0)))</f>
        <v>0</v>
      </c>
      <c r="E568" s="643" t="str">
        <f>iferror(IF(C568="","",(VLOOKUP(C568,'MTRL MSK (TPDP)'!$B$9:$W637,4,0))),"")</f>
        <v/>
      </c>
      <c r="F568" s="644">
        <f>IF(H568=0,0,(VLOOKUP(H568,'MTRL MSK (TPDP)'!$H$9:$X637,17,0)))</f>
        <v>0</v>
      </c>
      <c r="G568" s="645"/>
      <c r="H568" s="646"/>
      <c r="I568" s="446">
        <f>IF(H568=0,0,(VLOOKUP(H568,'MTRL MSK (TPDP)'!$H$9:$U637,2,0)))</f>
        <v>0</v>
      </c>
      <c r="J568" s="448" t="str">
        <f>IFERROR((IF(H568=0,0,(VLOOKUP(H568,'MTRL MSK (TPDP)'!$H$8:$U637,7,0))))/(IF(H568=0,0,(VLOOKUP(H568,'MTRL MSK (TPDP)'!$H$8:$U637,5,0)))),"")</f>
        <v/>
      </c>
      <c r="K568" s="559"/>
      <c r="L568" s="448">
        <f t="shared" si="1"/>
        <v>0</v>
      </c>
      <c r="M568" s="647">
        <f t="shared" si="2"/>
        <v>0</v>
      </c>
      <c r="N568" s="647">
        <f t="shared" si="3"/>
        <v>0</v>
      </c>
      <c r="O568" s="448">
        <f>IF(H568=0,0,(VLOOKUP(H568,'MTRL MSK (TPDP)'!$H$9:$U637,5,0)))</f>
        <v>0</v>
      </c>
      <c r="P568" s="448">
        <f t="shared" si="4"/>
        <v>0</v>
      </c>
      <c r="Q568" s="448">
        <f t="shared" si="5"/>
        <v>0</v>
      </c>
      <c r="R568" s="648" t="str">
        <f>IFERROR(IF(S568="","",(VLOOKUP(S568,'1. BQ RAPL'!$D$14:$K637,8,0))),"")</f>
        <v/>
      </c>
      <c r="S568" s="649"/>
      <c r="T568" s="650"/>
      <c r="U568" s="16"/>
      <c r="V568" s="16"/>
      <c r="W568" s="16"/>
      <c r="X568" s="119"/>
      <c r="Y568" s="119"/>
      <c r="Z568" s="119"/>
      <c r="AA568" s="119"/>
      <c r="AB568" s="119"/>
      <c r="AC568" s="119"/>
      <c r="AD568" s="119"/>
      <c r="AE568" s="119"/>
      <c r="AF568" s="119"/>
    </row>
    <row r="569" ht="18.75" customHeight="1">
      <c r="A569" s="119"/>
      <c r="B569" s="652"/>
      <c r="C569" s="642">
        <f>IF(F569=0,0,(VLOOKUP(F569,'MTRL MSK (TPDP)'!$F$9:$W637,18,0)))</f>
        <v>0</v>
      </c>
      <c r="D569" s="642">
        <f>IF(C569=0,0,(VLOOKUP(C569,'MTRL MSK (TPDP)'!$B$9:$W637,3,0)))</f>
        <v>0</v>
      </c>
      <c r="E569" s="643" t="str">
        <f>iferror(IF(C569="","",(VLOOKUP(C569,'MTRL MSK (TPDP)'!$B$9:$W637,4,0))),"")</f>
        <v/>
      </c>
      <c r="F569" s="644">
        <f>IF(H569=0,0,(VLOOKUP(H569,'MTRL MSK (TPDP)'!$H$9:$X637,17,0)))</f>
        <v>0</v>
      </c>
      <c r="G569" s="645"/>
      <c r="H569" s="646"/>
      <c r="I569" s="446">
        <f>IF(H569=0,0,(VLOOKUP(H569,'MTRL MSK (TPDP)'!$H$9:$U637,2,0)))</f>
        <v>0</v>
      </c>
      <c r="J569" s="448" t="str">
        <f>IFERROR((IF(H569=0,0,(VLOOKUP(H569,'MTRL MSK (TPDP)'!$H$8:$U637,7,0))))/(IF(H569=0,0,(VLOOKUP(H569,'MTRL MSK (TPDP)'!$H$8:$U637,5,0)))),"")</f>
        <v/>
      </c>
      <c r="K569" s="559"/>
      <c r="L569" s="448">
        <f t="shared" si="1"/>
        <v>0</v>
      </c>
      <c r="M569" s="647">
        <f t="shared" si="2"/>
        <v>0</v>
      </c>
      <c r="N569" s="647">
        <f t="shared" si="3"/>
        <v>0</v>
      </c>
      <c r="O569" s="448">
        <f>IF(H569=0,0,(VLOOKUP(H569,'MTRL MSK (TPDP)'!$H$9:$U637,5,0)))</f>
        <v>0</v>
      </c>
      <c r="P569" s="448">
        <f t="shared" si="4"/>
        <v>0</v>
      </c>
      <c r="Q569" s="448">
        <f t="shared" si="5"/>
        <v>0</v>
      </c>
      <c r="R569" s="648" t="str">
        <f>IFERROR(IF(S569="","",(VLOOKUP(S569,'1. BQ RAPL'!$D$14:$K637,8,0))),"")</f>
        <v/>
      </c>
      <c r="S569" s="649"/>
      <c r="T569" s="650"/>
      <c r="U569" s="16"/>
      <c r="V569" s="16"/>
      <c r="W569" s="16"/>
      <c r="X569" s="119"/>
      <c r="Y569" s="119"/>
      <c r="Z569" s="119"/>
      <c r="AA569" s="119"/>
      <c r="AB569" s="119"/>
      <c r="AC569" s="119"/>
      <c r="AD569" s="119"/>
      <c r="AE569" s="119"/>
      <c r="AF569" s="119"/>
    </row>
    <row r="570" ht="18.75" customHeight="1">
      <c r="A570" s="119"/>
      <c r="B570" s="652"/>
      <c r="C570" s="642">
        <f>IF(F570=0,0,(VLOOKUP(F570,'MTRL MSK (TPDP)'!$F$9:$W637,18,0)))</f>
        <v>0</v>
      </c>
      <c r="D570" s="642">
        <f>IF(C570=0,0,(VLOOKUP(C570,'MTRL MSK (TPDP)'!$B$9:$W637,3,0)))</f>
        <v>0</v>
      </c>
      <c r="E570" s="643" t="str">
        <f>iferror(IF(C570="","",(VLOOKUP(C570,'MTRL MSK (TPDP)'!$B$9:$W637,4,0))),"")</f>
        <v/>
      </c>
      <c r="F570" s="644">
        <f>IF(H570=0,0,(VLOOKUP(H570,'MTRL MSK (TPDP)'!$H$9:$X637,17,0)))</f>
        <v>0</v>
      </c>
      <c r="G570" s="645"/>
      <c r="H570" s="646"/>
      <c r="I570" s="446">
        <f>IF(H570=0,0,(VLOOKUP(H570,'MTRL MSK (TPDP)'!$H$9:$U637,2,0)))</f>
        <v>0</v>
      </c>
      <c r="J570" s="448" t="str">
        <f>IFERROR((IF(H570=0,0,(VLOOKUP(H570,'MTRL MSK (TPDP)'!$H$8:$U637,7,0))))/(IF(H570=0,0,(VLOOKUP(H570,'MTRL MSK (TPDP)'!$H$8:$U637,5,0)))),"")</f>
        <v/>
      </c>
      <c r="K570" s="559"/>
      <c r="L570" s="448">
        <f t="shared" si="1"/>
        <v>0</v>
      </c>
      <c r="M570" s="647">
        <f t="shared" si="2"/>
        <v>0</v>
      </c>
      <c r="N570" s="647">
        <f t="shared" si="3"/>
        <v>0</v>
      </c>
      <c r="O570" s="448">
        <f>IF(H570=0,0,(VLOOKUP(H570,'MTRL MSK (TPDP)'!$H$9:$U637,5,0)))</f>
        <v>0</v>
      </c>
      <c r="P570" s="448">
        <f t="shared" si="4"/>
        <v>0</v>
      </c>
      <c r="Q570" s="448">
        <f t="shared" si="5"/>
        <v>0</v>
      </c>
      <c r="R570" s="648" t="str">
        <f>IFERROR(IF(S570="","",(VLOOKUP(S570,'1. BQ RAPL'!$D$14:$K637,8,0))),"")</f>
        <v/>
      </c>
      <c r="S570" s="649"/>
      <c r="T570" s="650"/>
      <c r="U570" s="16"/>
      <c r="V570" s="16"/>
      <c r="W570" s="16"/>
      <c r="X570" s="119"/>
      <c r="Y570" s="119"/>
      <c r="Z570" s="119"/>
      <c r="AA570" s="119"/>
      <c r="AB570" s="119"/>
      <c r="AC570" s="119"/>
      <c r="AD570" s="119"/>
      <c r="AE570" s="119"/>
      <c r="AF570" s="119"/>
    </row>
    <row r="571" ht="18.75" customHeight="1">
      <c r="A571" s="119"/>
      <c r="B571" s="652"/>
      <c r="C571" s="642">
        <f>IF(F571=0,0,(VLOOKUP(F571,'MTRL MSK (TPDP)'!$F$9:$W637,18,0)))</f>
        <v>0</v>
      </c>
      <c r="D571" s="642">
        <f>IF(C571=0,0,(VLOOKUP(C571,'MTRL MSK (TPDP)'!$B$9:$W637,3,0)))</f>
        <v>0</v>
      </c>
      <c r="E571" s="643" t="str">
        <f>iferror(IF(C571="","",(VLOOKUP(C571,'MTRL MSK (TPDP)'!$B$9:$W637,4,0))),"")</f>
        <v/>
      </c>
      <c r="F571" s="644">
        <f>IF(H571=0,0,(VLOOKUP(H571,'MTRL MSK (TPDP)'!$H$9:$X637,17,0)))</f>
        <v>0</v>
      </c>
      <c r="G571" s="645"/>
      <c r="H571" s="646"/>
      <c r="I571" s="446">
        <f>IF(H571=0,0,(VLOOKUP(H571,'MTRL MSK (TPDP)'!$H$9:$U637,2,0)))</f>
        <v>0</v>
      </c>
      <c r="J571" s="448" t="str">
        <f>IFERROR((IF(H571=0,0,(VLOOKUP(H571,'MTRL MSK (TPDP)'!$H$8:$U637,7,0))))/(IF(H571=0,0,(VLOOKUP(H571,'MTRL MSK (TPDP)'!$H$8:$U637,5,0)))),"")</f>
        <v/>
      </c>
      <c r="K571" s="559"/>
      <c r="L571" s="448">
        <f t="shared" si="1"/>
        <v>0</v>
      </c>
      <c r="M571" s="647">
        <f t="shared" si="2"/>
        <v>0</v>
      </c>
      <c r="N571" s="647">
        <f t="shared" si="3"/>
        <v>0</v>
      </c>
      <c r="O571" s="448">
        <f>IF(H571=0,0,(VLOOKUP(H571,'MTRL MSK (TPDP)'!$H$9:$U637,5,0)))</f>
        <v>0</v>
      </c>
      <c r="P571" s="448">
        <f t="shared" si="4"/>
        <v>0</v>
      </c>
      <c r="Q571" s="448">
        <f t="shared" si="5"/>
        <v>0</v>
      </c>
      <c r="R571" s="648" t="str">
        <f>IFERROR(IF(S571="","",(VLOOKUP(S571,'1. BQ RAPL'!$D$14:$K637,8,0))),"")</f>
        <v/>
      </c>
      <c r="S571" s="649"/>
      <c r="T571" s="650"/>
      <c r="U571" s="16"/>
      <c r="V571" s="16"/>
      <c r="W571" s="16"/>
      <c r="X571" s="119"/>
      <c r="Y571" s="119"/>
      <c r="Z571" s="119"/>
      <c r="AA571" s="119"/>
      <c r="AB571" s="119"/>
      <c r="AC571" s="119"/>
      <c r="AD571" s="119"/>
      <c r="AE571" s="119"/>
      <c r="AF571" s="119"/>
    </row>
    <row r="572" ht="18.75" customHeight="1">
      <c r="A572" s="119"/>
      <c r="B572" s="652"/>
      <c r="C572" s="642">
        <f>IF(F572=0,0,(VLOOKUP(F572,'MTRL MSK (TPDP)'!$F$9:$W637,18,0)))</f>
        <v>0</v>
      </c>
      <c r="D572" s="642">
        <f>IF(C572=0,0,(VLOOKUP(C572,'MTRL MSK (TPDP)'!$B$9:$W637,3,0)))</f>
        <v>0</v>
      </c>
      <c r="E572" s="643" t="str">
        <f>iferror(IF(C572="","",(VLOOKUP(C572,'MTRL MSK (TPDP)'!$B$9:$W637,4,0))),"")</f>
        <v/>
      </c>
      <c r="F572" s="644">
        <f>IF(H572=0,0,(VLOOKUP(H572,'MTRL MSK (TPDP)'!$H$9:$X637,17,0)))</f>
        <v>0</v>
      </c>
      <c r="G572" s="645"/>
      <c r="H572" s="646"/>
      <c r="I572" s="446">
        <f>IF(H572=0,0,(VLOOKUP(H572,'MTRL MSK (TPDP)'!$H$9:$U637,2,0)))</f>
        <v>0</v>
      </c>
      <c r="J572" s="448" t="str">
        <f>IFERROR((IF(H572=0,0,(VLOOKUP(H572,'MTRL MSK (TPDP)'!$H$8:$U637,7,0))))/(IF(H572=0,0,(VLOOKUP(H572,'MTRL MSK (TPDP)'!$H$8:$U637,5,0)))),"")</f>
        <v/>
      </c>
      <c r="K572" s="559"/>
      <c r="L572" s="448">
        <f t="shared" si="1"/>
        <v>0</v>
      </c>
      <c r="M572" s="647">
        <f t="shared" si="2"/>
        <v>0</v>
      </c>
      <c r="N572" s="647">
        <f t="shared" si="3"/>
        <v>0</v>
      </c>
      <c r="O572" s="448">
        <f>IF(H572=0,0,(VLOOKUP(H572,'MTRL MSK (TPDP)'!$H$9:$U637,5,0)))</f>
        <v>0</v>
      </c>
      <c r="P572" s="448">
        <f t="shared" si="4"/>
        <v>0</v>
      </c>
      <c r="Q572" s="448">
        <f t="shared" si="5"/>
        <v>0</v>
      </c>
      <c r="R572" s="648" t="str">
        <f>IFERROR(IF(S572="","",(VLOOKUP(S572,'1. BQ RAPL'!$D$14:$K637,8,0))),"")</f>
        <v/>
      </c>
      <c r="S572" s="649"/>
      <c r="T572" s="650"/>
      <c r="U572" s="16"/>
      <c r="V572" s="16"/>
      <c r="W572" s="16"/>
      <c r="X572" s="119"/>
      <c r="Y572" s="119"/>
      <c r="Z572" s="119"/>
      <c r="AA572" s="119"/>
      <c r="AB572" s="119"/>
      <c r="AC572" s="119"/>
      <c r="AD572" s="119"/>
      <c r="AE572" s="119"/>
      <c r="AF572" s="119"/>
    </row>
    <row r="573" ht="18.75" customHeight="1">
      <c r="A573" s="119"/>
      <c r="B573" s="652"/>
      <c r="C573" s="642">
        <f>IF(F573=0,0,(VLOOKUP(F573,'MTRL MSK (TPDP)'!$F$9:$W637,18,0)))</f>
        <v>0</v>
      </c>
      <c r="D573" s="642">
        <f>IF(C573=0,0,(VLOOKUP(C573,'MTRL MSK (TPDP)'!$B$9:$W637,3,0)))</f>
        <v>0</v>
      </c>
      <c r="E573" s="643" t="str">
        <f>iferror(IF(C573="","",(VLOOKUP(C573,'MTRL MSK (TPDP)'!$B$9:$W637,4,0))),"")</f>
        <v/>
      </c>
      <c r="F573" s="644">
        <f>IF(H573=0,0,(VLOOKUP(H573,'MTRL MSK (TPDP)'!$H$9:$X637,17,0)))</f>
        <v>0</v>
      </c>
      <c r="G573" s="645"/>
      <c r="H573" s="646"/>
      <c r="I573" s="446">
        <f>IF(H573=0,0,(VLOOKUP(H573,'MTRL MSK (TPDP)'!$H$9:$U637,2,0)))</f>
        <v>0</v>
      </c>
      <c r="J573" s="448" t="str">
        <f>IFERROR((IF(H573=0,0,(VLOOKUP(H573,'MTRL MSK (TPDP)'!$H$8:$U637,7,0))))/(IF(H573=0,0,(VLOOKUP(H573,'MTRL MSK (TPDP)'!$H$8:$U637,5,0)))),"")</f>
        <v/>
      </c>
      <c r="K573" s="559"/>
      <c r="L573" s="448">
        <f t="shared" si="1"/>
        <v>0</v>
      </c>
      <c r="M573" s="647">
        <f t="shared" si="2"/>
        <v>0</v>
      </c>
      <c r="N573" s="647">
        <f t="shared" si="3"/>
        <v>0</v>
      </c>
      <c r="O573" s="448">
        <f>IF(H573=0,0,(VLOOKUP(H573,'MTRL MSK (TPDP)'!$H$9:$U637,5,0)))</f>
        <v>0</v>
      </c>
      <c r="P573" s="448">
        <f t="shared" si="4"/>
        <v>0</v>
      </c>
      <c r="Q573" s="448">
        <f t="shared" si="5"/>
        <v>0</v>
      </c>
      <c r="R573" s="648" t="str">
        <f>IFERROR(IF(S573="","",(VLOOKUP(S573,'1. BQ RAPL'!$D$14:$K637,8,0))),"")</f>
        <v/>
      </c>
      <c r="S573" s="649"/>
      <c r="T573" s="650"/>
      <c r="U573" s="16"/>
      <c r="V573" s="16"/>
      <c r="W573" s="16"/>
      <c r="X573" s="119"/>
      <c r="Y573" s="119"/>
      <c r="Z573" s="119"/>
      <c r="AA573" s="119"/>
      <c r="AB573" s="119"/>
      <c r="AC573" s="119"/>
      <c r="AD573" s="119"/>
      <c r="AE573" s="119"/>
      <c r="AF573" s="119"/>
    </row>
    <row r="574" ht="18.75" customHeight="1">
      <c r="A574" s="119"/>
      <c r="B574" s="652"/>
      <c r="C574" s="642">
        <f>IF(F574=0,0,(VLOOKUP(F574,'MTRL MSK (TPDP)'!$F$9:$W637,18,0)))</f>
        <v>0</v>
      </c>
      <c r="D574" s="642">
        <f>IF(C574=0,0,(VLOOKUP(C574,'MTRL MSK (TPDP)'!$B$9:$W637,3,0)))</f>
        <v>0</v>
      </c>
      <c r="E574" s="643" t="str">
        <f>iferror(IF(C574="","",(VLOOKUP(C574,'MTRL MSK (TPDP)'!$B$9:$W637,4,0))),"")</f>
        <v/>
      </c>
      <c r="F574" s="644">
        <f>IF(H574=0,0,(VLOOKUP(H574,'MTRL MSK (TPDP)'!$H$9:$X637,17,0)))</f>
        <v>0</v>
      </c>
      <c r="G574" s="645"/>
      <c r="H574" s="646"/>
      <c r="I574" s="446">
        <f>IF(H574=0,0,(VLOOKUP(H574,'MTRL MSK (TPDP)'!$H$9:$U637,2,0)))</f>
        <v>0</v>
      </c>
      <c r="J574" s="448" t="str">
        <f>IFERROR((IF(H574=0,0,(VLOOKUP(H574,'MTRL MSK (TPDP)'!$H$8:$U637,7,0))))/(IF(H574=0,0,(VLOOKUP(H574,'MTRL MSK (TPDP)'!$H$8:$U637,5,0)))),"")</f>
        <v/>
      </c>
      <c r="K574" s="559"/>
      <c r="L574" s="448">
        <f t="shared" si="1"/>
        <v>0</v>
      </c>
      <c r="M574" s="647">
        <f t="shared" si="2"/>
        <v>0</v>
      </c>
      <c r="N574" s="647">
        <f t="shared" si="3"/>
        <v>0</v>
      </c>
      <c r="O574" s="448">
        <f>IF(H574=0,0,(VLOOKUP(H574,'MTRL MSK (TPDP)'!$H$9:$U637,5,0)))</f>
        <v>0</v>
      </c>
      <c r="P574" s="448">
        <f t="shared" si="4"/>
        <v>0</v>
      </c>
      <c r="Q574" s="448">
        <f t="shared" si="5"/>
        <v>0</v>
      </c>
      <c r="R574" s="648" t="str">
        <f>IFERROR(IF(S574="","",(VLOOKUP(S574,'1. BQ RAPL'!$D$14:$K637,8,0))),"")</f>
        <v/>
      </c>
      <c r="S574" s="649"/>
      <c r="T574" s="650"/>
      <c r="U574" s="16"/>
      <c r="V574" s="16"/>
      <c r="W574" s="16"/>
      <c r="X574" s="119"/>
      <c r="Y574" s="119"/>
      <c r="Z574" s="119"/>
      <c r="AA574" s="119"/>
      <c r="AB574" s="119"/>
      <c r="AC574" s="119"/>
      <c r="AD574" s="119"/>
      <c r="AE574" s="119"/>
      <c r="AF574" s="119"/>
    </row>
    <row r="575" ht="18.75" customHeight="1">
      <c r="A575" s="119"/>
      <c r="B575" s="652"/>
      <c r="C575" s="642">
        <f>IF(F575=0,0,(VLOOKUP(F575,'MTRL MSK (TPDP)'!$F$9:$W637,18,0)))</f>
        <v>0</v>
      </c>
      <c r="D575" s="642">
        <f>IF(C575=0,0,(VLOOKUP(C575,'MTRL MSK (TPDP)'!$B$9:$W637,3,0)))</f>
        <v>0</v>
      </c>
      <c r="E575" s="643" t="str">
        <f>iferror(IF(C575="","",(VLOOKUP(C575,'MTRL MSK (TPDP)'!$B$9:$W637,4,0))),"")</f>
        <v/>
      </c>
      <c r="F575" s="644">
        <f>IF(H575=0,0,(VLOOKUP(H575,'MTRL MSK (TPDP)'!$H$9:$X637,17,0)))</f>
        <v>0</v>
      </c>
      <c r="G575" s="645"/>
      <c r="H575" s="646"/>
      <c r="I575" s="446">
        <f>IF(H575=0,0,(VLOOKUP(H575,'MTRL MSK (TPDP)'!$H$9:$U637,2,0)))</f>
        <v>0</v>
      </c>
      <c r="J575" s="448" t="str">
        <f>IFERROR((IF(H575=0,0,(VLOOKUP(H575,'MTRL MSK (TPDP)'!$H$8:$U637,7,0))))/(IF(H575=0,0,(VLOOKUP(H575,'MTRL MSK (TPDP)'!$H$8:$U637,5,0)))),"")</f>
        <v/>
      </c>
      <c r="K575" s="559"/>
      <c r="L575" s="448">
        <f t="shared" si="1"/>
        <v>0</v>
      </c>
      <c r="M575" s="647">
        <f t="shared" si="2"/>
        <v>0</v>
      </c>
      <c r="N575" s="647">
        <f t="shared" si="3"/>
        <v>0</v>
      </c>
      <c r="O575" s="448">
        <f>IF(H575=0,0,(VLOOKUP(H575,'MTRL MSK (TPDP)'!$H$9:$U637,5,0)))</f>
        <v>0</v>
      </c>
      <c r="P575" s="448">
        <f t="shared" si="4"/>
        <v>0</v>
      </c>
      <c r="Q575" s="448">
        <f t="shared" si="5"/>
        <v>0</v>
      </c>
      <c r="R575" s="648" t="str">
        <f>IFERROR(IF(S575="","",(VLOOKUP(S575,'1. BQ RAPL'!$D$14:$K637,8,0))),"")</f>
        <v/>
      </c>
      <c r="S575" s="649"/>
      <c r="T575" s="650"/>
      <c r="U575" s="16"/>
      <c r="V575" s="16"/>
      <c r="W575" s="16"/>
      <c r="X575" s="119"/>
      <c r="Y575" s="119"/>
      <c r="Z575" s="119"/>
      <c r="AA575" s="119"/>
      <c r="AB575" s="119"/>
      <c r="AC575" s="119"/>
      <c r="AD575" s="119"/>
      <c r="AE575" s="119"/>
      <c r="AF575" s="119"/>
    </row>
    <row r="576" ht="18.75" customHeight="1">
      <c r="A576" s="119"/>
      <c r="B576" s="652"/>
      <c r="C576" s="642">
        <f>IF(F576=0,0,(VLOOKUP(F576,'MTRL MSK (TPDP)'!$F$9:$W637,18,0)))</f>
        <v>0</v>
      </c>
      <c r="D576" s="642">
        <f>IF(C576=0,0,(VLOOKUP(C576,'MTRL MSK (TPDP)'!$B$9:$W637,3,0)))</f>
        <v>0</v>
      </c>
      <c r="E576" s="643" t="str">
        <f>iferror(IF(C576="","",(VLOOKUP(C576,'MTRL MSK (TPDP)'!$B$9:$W637,4,0))),"")</f>
        <v/>
      </c>
      <c r="F576" s="644">
        <f>IF(H576=0,0,(VLOOKUP(H576,'MTRL MSK (TPDP)'!$H$9:$X637,17,0)))</f>
        <v>0</v>
      </c>
      <c r="G576" s="645"/>
      <c r="H576" s="646"/>
      <c r="I576" s="446">
        <f>IF(H576=0,0,(VLOOKUP(H576,'MTRL MSK (TPDP)'!$H$9:$U637,2,0)))</f>
        <v>0</v>
      </c>
      <c r="J576" s="448" t="str">
        <f>IFERROR((IF(H576=0,0,(VLOOKUP(H576,'MTRL MSK (TPDP)'!$H$8:$U637,7,0))))/(IF(H576=0,0,(VLOOKUP(H576,'MTRL MSK (TPDP)'!$H$8:$U637,5,0)))),"")</f>
        <v/>
      </c>
      <c r="K576" s="559"/>
      <c r="L576" s="448">
        <f t="shared" si="1"/>
        <v>0</v>
      </c>
      <c r="M576" s="647">
        <f t="shared" si="2"/>
        <v>0</v>
      </c>
      <c r="N576" s="647">
        <f t="shared" si="3"/>
        <v>0</v>
      </c>
      <c r="O576" s="448">
        <f>IF(H576=0,0,(VLOOKUP(H576,'MTRL MSK (TPDP)'!$H$9:$U637,5,0)))</f>
        <v>0</v>
      </c>
      <c r="P576" s="448">
        <f t="shared" si="4"/>
        <v>0</v>
      </c>
      <c r="Q576" s="448">
        <f t="shared" si="5"/>
        <v>0</v>
      </c>
      <c r="R576" s="648" t="str">
        <f>IFERROR(IF(S576="","",(VLOOKUP(S576,'1. BQ RAPL'!$D$14:$K637,8,0))),"")</f>
        <v/>
      </c>
      <c r="S576" s="649"/>
      <c r="T576" s="650"/>
      <c r="U576" s="16"/>
      <c r="V576" s="16"/>
      <c r="W576" s="16"/>
      <c r="X576" s="119"/>
      <c r="Y576" s="119"/>
      <c r="Z576" s="119"/>
      <c r="AA576" s="119"/>
      <c r="AB576" s="119"/>
      <c r="AC576" s="119"/>
      <c r="AD576" s="119"/>
      <c r="AE576" s="119"/>
      <c r="AF576" s="119"/>
    </row>
    <row r="577" ht="18.75" customHeight="1">
      <c r="A577" s="119"/>
      <c r="B577" s="652"/>
      <c r="C577" s="642">
        <f>IF(F577=0,0,(VLOOKUP(F577,'MTRL MSK (TPDP)'!$F$9:$W637,18,0)))</f>
        <v>0</v>
      </c>
      <c r="D577" s="642">
        <f>IF(C577=0,0,(VLOOKUP(C577,'MTRL MSK (TPDP)'!$B$9:$W637,3,0)))</f>
        <v>0</v>
      </c>
      <c r="E577" s="643" t="str">
        <f>iferror(IF(C577="","",(VLOOKUP(C577,'MTRL MSK (TPDP)'!$B$9:$W637,4,0))),"")</f>
        <v/>
      </c>
      <c r="F577" s="644">
        <f>IF(H577=0,0,(VLOOKUP(H577,'MTRL MSK (TPDP)'!$H$9:$X637,17,0)))</f>
        <v>0</v>
      </c>
      <c r="G577" s="645"/>
      <c r="H577" s="646"/>
      <c r="I577" s="446">
        <f>IF(H577=0,0,(VLOOKUP(H577,'MTRL MSK (TPDP)'!$H$9:$U637,2,0)))</f>
        <v>0</v>
      </c>
      <c r="J577" s="448" t="str">
        <f>IFERROR((IF(H577=0,0,(VLOOKUP(H577,'MTRL MSK (TPDP)'!$H$8:$U637,7,0))))/(IF(H577=0,0,(VLOOKUP(H577,'MTRL MSK (TPDP)'!$H$8:$U637,5,0)))),"")</f>
        <v/>
      </c>
      <c r="K577" s="559"/>
      <c r="L577" s="448">
        <f t="shared" si="1"/>
        <v>0</v>
      </c>
      <c r="M577" s="647">
        <f t="shared" si="2"/>
        <v>0</v>
      </c>
      <c r="N577" s="647">
        <f t="shared" si="3"/>
        <v>0</v>
      </c>
      <c r="O577" s="448">
        <f>IF(H577=0,0,(VLOOKUP(H577,'MTRL MSK (TPDP)'!$H$9:$U637,5,0)))</f>
        <v>0</v>
      </c>
      <c r="P577" s="448">
        <f t="shared" si="4"/>
        <v>0</v>
      </c>
      <c r="Q577" s="448">
        <f t="shared" si="5"/>
        <v>0</v>
      </c>
      <c r="R577" s="648" t="str">
        <f>IFERROR(IF(S577="","",(VLOOKUP(S577,'1. BQ RAPL'!$D$14:$K637,8,0))),"")</f>
        <v/>
      </c>
      <c r="S577" s="649"/>
      <c r="T577" s="650"/>
      <c r="U577" s="16"/>
      <c r="V577" s="16"/>
      <c r="W577" s="16"/>
      <c r="X577" s="119"/>
      <c r="Y577" s="119"/>
      <c r="Z577" s="119"/>
      <c r="AA577" s="119"/>
      <c r="AB577" s="119"/>
      <c r="AC577" s="119"/>
      <c r="AD577" s="119"/>
      <c r="AE577" s="119"/>
      <c r="AF577" s="119"/>
    </row>
    <row r="578" ht="18.75" customHeight="1">
      <c r="A578" s="119"/>
      <c r="B578" s="652"/>
      <c r="C578" s="642">
        <f>IF(F578=0,0,(VLOOKUP(F578,'MTRL MSK (TPDP)'!$F$9:$W637,18,0)))</f>
        <v>0</v>
      </c>
      <c r="D578" s="642">
        <f>IF(C578=0,0,(VLOOKUP(C578,'MTRL MSK (TPDP)'!$B$9:$W637,3,0)))</f>
        <v>0</v>
      </c>
      <c r="E578" s="643" t="str">
        <f>iferror(IF(C578="","",(VLOOKUP(C578,'MTRL MSK (TPDP)'!$B$9:$W637,4,0))),"")</f>
        <v/>
      </c>
      <c r="F578" s="644">
        <f>IF(H578=0,0,(VLOOKUP(H578,'MTRL MSK (TPDP)'!$H$9:$X637,17,0)))</f>
        <v>0</v>
      </c>
      <c r="G578" s="645"/>
      <c r="H578" s="646"/>
      <c r="I578" s="446">
        <f>IF(H578=0,0,(VLOOKUP(H578,'MTRL MSK (TPDP)'!$H$9:$U637,2,0)))</f>
        <v>0</v>
      </c>
      <c r="J578" s="448" t="str">
        <f>IFERROR((IF(H578=0,0,(VLOOKUP(H578,'MTRL MSK (TPDP)'!$H$8:$U637,7,0))))/(IF(H578=0,0,(VLOOKUP(H578,'MTRL MSK (TPDP)'!$H$8:$U637,5,0)))),"")</f>
        <v/>
      </c>
      <c r="K578" s="559"/>
      <c r="L578" s="448">
        <f t="shared" si="1"/>
        <v>0</v>
      </c>
      <c r="M578" s="647">
        <f t="shared" si="2"/>
        <v>0</v>
      </c>
      <c r="N578" s="647">
        <f t="shared" si="3"/>
        <v>0</v>
      </c>
      <c r="O578" s="448">
        <f>IF(H578=0,0,(VLOOKUP(H578,'MTRL MSK (TPDP)'!$H$9:$U637,5,0)))</f>
        <v>0</v>
      </c>
      <c r="P578" s="448">
        <f t="shared" si="4"/>
        <v>0</v>
      </c>
      <c r="Q578" s="448">
        <f t="shared" si="5"/>
        <v>0</v>
      </c>
      <c r="R578" s="648" t="str">
        <f>IFERROR(IF(S578="","",(VLOOKUP(S578,'1. BQ RAPL'!$D$14:$K637,8,0))),"")</f>
        <v/>
      </c>
      <c r="S578" s="649"/>
      <c r="T578" s="650"/>
      <c r="U578" s="16"/>
      <c r="V578" s="16"/>
      <c r="W578" s="16"/>
      <c r="X578" s="119"/>
      <c r="Y578" s="119"/>
      <c r="Z578" s="119"/>
      <c r="AA578" s="119"/>
      <c r="AB578" s="119"/>
      <c r="AC578" s="119"/>
      <c r="AD578" s="119"/>
      <c r="AE578" s="119"/>
      <c r="AF578" s="119"/>
    </row>
    <row r="579" ht="18.75" customHeight="1">
      <c r="A579" s="119"/>
      <c r="B579" s="652"/>
      <c r="C579" s="642">
        <f>IF(F579=0,0,(VLOOKUP(F579,'MTRL MSK (TPDP)'!$F$9:$W637,18,0)))</f>
        <v>0</v>
      </c>
      <c r="D579" s="642">
        <f>IF(C579=0,0,(VLOOKUP(C579,'MTRL MSK (TPDP)'!$B$9:$W637,3,0)))</f>
        <v>0</v>
      </c>
      <c r="E579" s="643" t="str">
        <f>iferror(IF(C579="","",(VLOOKUP(C579,'MTRL MSK (TPDP)'!$B$9:$W637,4,0))),"")</f>
        <v/>
      </c>
      <c r="F579" s="644">
        <f>IF(H579=0,0,(VLOOKUP(H579,'MTRL MSK (TPDP)'!$H$9:$X637,17,0)))</f>
        <v>0</v>
      </c>
      <c r="G579" s="645"/>
      <c r="H579" s="646"/>
      <c r="I579" s="446">
        <f>IF(H579=0,0,(VLOOKUP(H579,'MTRL MSK (TPDP)'!$H$9:$U637,2,0)))</f>
        <v>0</v>
      </c>
      <c r="J579" s="448" t="str">
        <f>IFERROR((IF(H579=0,0,(VLOOKUP(H579,'MTRL MSK (TPDP)'!$H$8:$U637,7,0))))/(IF(H579=0,0,(VLOOKUP(H579,'MTRL MSK (TPDP)'!$H$8:$U637,5,0)))),"")</f>
        <v/>
      </c>
      <c r="K579" s="559"/>
      <c r="L579" s="448">
        <f t="shared" si="1"/>
        <v>0</v>
      </c>
      <c r="M579" s="647">
        <f t="shared" si="2"/>
        <v>0</v>
      </c>
      <c r="N579" s="647">
        <f t="shared" si="3"/>
        <v>0</v>
      </c>
      <c r="O579" s="448">
        <f>IF(H579=0,0,(VLOOKUP(H579,'MTRL MSK (TPDP)'!$H$9:$U637,5,0)))</f>
        <v>0</v>
      </c>
      <c r="P579" s="448">
        <f t="shared" si="4"/>
        <v>0</v>
      </c>
      <c r="Q579" s="448">
        <f t="shared" si="5"/>
        <v>0</v>
      </c>
      <c r="R579" s="648" t="str">
        <f>IFERROR(IF(S579="","",(VLOOKUP(S579,'1. BQ RAPL'!$D$14:$K637,8,0))),"")</f>
        <v/>
      </c>
      <c r="S579" s="649"/>
      <c r="T579" s="650"/>
      <c r="U579" s="16"/>
      <c r="V579" s="16"/>
      <c r="W579" s="16"/>
      <c r="X579" s="119"/>
      <c r="Y579" s="119"/>
      <c r="Z579" s="119"/>
      <c r="AA579" s="119"/>
      <c r="AB579" s="119"/>
      <c r="AC579" s="119"/>
      <c r="AD579" s="119"/>
      <c r="AE579" s="119"/>
      <c r="AF579" s="119"/>
    </row>
    <row r="580" ht="18.75" customHeight="1">
      <c r="A580" s="119"/>
      <c r="B580" s="652"/>
      <c r="C580" s="642">
        <f>IF(F580=0,0,(VLOOKUP(F580,'MTRL MSK (TPDP)'!$F$9:$W637,18,0)))</f>
        <v>0</v>
      </c>
      <c r="D580" s="642">
        <f>IF(C580=0,0,(VLOOKUP(C580,'MTRL MSK (TPDP)'!$B$9:$W637,3,0)))</f>
        <v>0</v>
      </c>
      <c r="E580" s="643" t="str">
        <f>iferror(IF(C580="","",(VLOOKUP(C580,'MTRL MSK (TPDP)'!$B$9:$W637,4,0))),"")</f>
        <v/>
      </c>
      <c r="F580" s="644">
        <f>IF(H580=0,0,(VLOOKUP(H580,'MTRL MSK (TPDP)'!$H$9:$X637,17,0)))</f>
        <v>0</v>
      </c>
      <c r="G580" s="645"/>
      <c r="H580" s="646"/>
      <c r="I580" s="446">
        <f>IF(H580=0,0,(VLOOKUP(H580,'MTRL MSK (TPDP)'!$H$9:$U637,2,0)))</f>
        <v>0</v>
      </c>
      <c r="J580" s="448" t="str">
        <f>IFERROR((IF(H580=0,0,(VLOOKUP(H580,'MTRL MSK (TPDP)'!$H$8:$U637,7,0))))/(IF(H580=0,0,(VLOOKUP(H580,'MTRL MSK (TPDP)'!$H$8:$U637,5,0)))),"")</f>
        <v/>
      </c>
      <c r="K580" s="559"/>
      <c r="L580" s="448">
        <f t="shared" si="1"/>
        <v>0</v>
      </c>
      <c r="M580" s="647">
        <f t="shared" si="2"/>
        <v>0</v>
      </c>
      <c r="N580" s="647">
        <f t="shared" si="3"/>
        <v>0</v>
      </c>
      <c r="O580" s="448">
        <f>IF(H580=0,0,(VLOOKUP(H580,'MTRL MSK (TPDP)'!$H$9:$U637,5,0)))</f>
        <v>0</v>
      </c>
      <c r="P580" s="448">
        <f t="shared" si="4"/>
        <v>0</v>
      </c>
      <c r="Q580" s="448">
        <f t="shared" si="5"/>
        <v>0</v>
      </c>
      <c r="R580" s="648" t="str">
        <f>IFERROR(IF(S580="","",(VLOOKUP(S580,'1. BQ RAPL'!$D$14:$K637,8,0))),"")</f>
        <v/>
      </c>
      <c r="S580" s="649"/>
      <c r="T580" s="650"/>
      <c r="U580" s="16"/>
      <c r="V580" s="16"/>
      <c r="W580" s="16"/>
      <c r="X580" s="119"/>
      <c r="Y580" s="119"/>
      <c r="Z580" s="119"/>
      <c r="AA580" s="119"/>
      <c r="AB580" s="119"/>
      <c r="AC580" s="119"/>
      <c r="AD580" s="119"/>
      <c r="AE580" s="119"/>
      <c r="AF580" s="119"/>
    </row>
    <row r="581" ht="18.75" customHeight="1">
      <c r="A581" s="119"/>
      <c r="B581" s="652"/>
      <c r="C581" s="642">
        <f>IF(F581=0,0,(VLOOKUP(F581,'MTRL MSK (TPDP)'!$F$9:$W637,18,0)))</f>
        <v>0</v>
      </c>
      <c r="D581" s="642">
        <f>IF(C581=0,0,(VLOOKUP(C581,'MTRL MSK (TPDP)'!$B$9:$W637,3,0)))</f>
        <v>0</v>
      </c>
      <c r="E581" s="643" t="str">
        <f>iferror(IF(C581="","",(VLOOKUP(C581,'MTRL MSK (TPDP)'!$B$9:$W637,4,0))),"")</f>
        <v/>
      </c>
      <c r="F581" s="644">
        <f>IF(H581=0,0,(VLOOKUP(H581,'MTRL MSK (TPDP)'!$H$9:$X637,17,0)))</f>
        <v>0</v>
      </c>
      <c r="G581" s="645"/>
      <c r="H581" s="646"/>
      <c r="I581" s="446">
        <f>IF(H581=0,0,(VLOOKUP(H581,'MTRL MSK (TPDP)'!$H$9:$U637,2,0)))</f>
        <v>0</v>
      </c>
      <c r="J581" s="448" t="str">
        <f>IFERROR((IF(H581=0,0,(VLOOKUP(H581,'MTRL MSK (TPDP)'!$H$8:$U637,7,0))))/(IF(H581=0,0,(VLOOKUP(H581,'MTRL MSK (TPDP)'!$H$8:$U637,5,0)))),"")</f>
        <v/>
      </c>
      <c r="K581" s="559"/>
      <c r="L581" s="448">
        <f t="shared" si="1"/>
        <v>0</v>
      </c>
      <c r="M581" s="647">
        <f t="shared" si="2"/>
        <v>0</v>
      </c>
      <c r="N581" s="647">
        <f t="shared" si="3"/>
        <v>0</v>
      </c>
      <c r="O581" s="448">
        <f>IF(H581=0,0,(VLOOKUP(H581,'MTRL MSK (TPDP)'!$H$9:$U637,5,0)))</f>
        <v>0</v>
      </c>
      <c r="P581" s="448">
        <f t="shared" si="4"/>
        <v>0</v>
      </c>
      <c r="Q581" s="448">
        <f t="shared" si="5"/>
        <v>0</v>
      </c>
      <c r="R581" s="648" t="str">
        <f>IFERROR(IF(S581="","",(VLOOKUP(S581,'1. BQ RAPL'!$D$14:$K637,8,0))),"")</f>
        <v/>
      </c>
      <c r="S581" s="649"/>
      <c r="T581" s="650"/>
      <c r="U581" s="16"/>
      <c r="V581" s="16"/>
      <c r="W581" s="16"/>
      <c r="X581" s="119"/>
      <c r="Y581" s="119"/>
      <c r="Z581" s="119"/>
      <c r="AA581" s="119"/>
      <c r="AB581" s="119"/>
      <c r="AC581" s="119"/>
      <c r="AD581" s="119"/>
      <c r="AE581" s="119"/>
      <c r="AF581" s="119"/>
    </row>
    <row r="582" ht="18.75" customHeight="1">
      <c r="A582" s="119"/>
      <c r="B582" s="652"/>
      <c r="C582" s="642">
        <f>IF(F582=0,0,(VLOOKUP(F582,'MTRL MSK (TPDP)'!$F$9:$W637,18,0)))</f>
        <v>0</v>
      </c>
      <c r="D582" s="642">
        <f>IF(C582=0,0,(VLOOKUP(C582,'MTRL MSK (TPDP)'!$B$9:$W637,3,0)))</f>
        <v>0</v>
      </c>
      <c r="E582" s="643" t="str">
        <f>iferror(IF(C582="","",(VLOOKUP(C582,'MTRL MSK (TPDP)'!$B$9:$W637,4,0))),"")</f>
        <v/>
      </c>
      <c r="F582" s="644">
        <f>IF(H582=0,0,(VLOOKUP(H582,'MTRL MSK (TPDP)'!$H$9:$X637,17,0)))</f>
        <v>0</v>
      </c>
      <c r="G582" s="645"/>
      <c r="H582" s="646"/>
      <c r="I582" s="446">
        <f>IF(H582=0,0,(VLOOKUP(H582,'MTRL MSK (TPDP)'!$H$9:$U637,2,0)))</f>
        <v>0</v>
      </c>
      <c r="J582" s="448" t="str">
        <f>IFERROR((IF(H582=0,0,(VLOOKUP(H582,'MTRL MSK (TPDP)'!$H$8:$U637,7,0))))/(IF(H582=0,0,(VLOOKUP(H582,'MTRL MSK (TPDP)'!$H$8:$U637,5,0)))),"")</f>
        <v/>
      </c>
      <c r="K582" s="559"/>
      <c r="L582" s="448">
        <f t="shared" si="1"/>
        <v>0</v>
      </c>
      <c r="M582" s="647">
        <f t="shared" si="2"/>
        <v>0</v>
      </c>
      <c r="N582" s="647">
        <f t="shared" si="3"/>
        <v>0</v>
      </c>
      <c r="O582" s="448">
        <f>IF(H582=0,0,(VLOOKUP(H582,'MTRL MSK (TPDP)'!$H$9:$U637,5,0)))</f>
        <v>0</v>
      </c>
      <c r="P582" s="448">
        <f t="shared" si="4"/>
        <v>0</v>
      </c>
      <c r="Q582" s="448">
        <f t="shared" si="5"/>
        <v>0</v>
      </c>
      <c r="R582" s="648" t="str">
        <f>IFERROR(IF(S582="","",(VLOOKUP(S582,'1. BQ RAPL'!$D$14:$K637,8,0))),"")</f>
        <v/>
      </c>
      <c r="S582" s="649"/>
      <c r="T582" s="650"/>
      <c r="U582" s="16"/>
      <c r="V582" s="16"/>
      <c r="W582" s="16"/>
      <c r="X582" s="119"/>
      <c r="Y582" s="119"/>
      <c r="Z582" s="119"/>
      <c r="AA582" s="119"/>
      <c r="AB582" s="119"/>
      <c r="AC582" s="119"/>
      <c r="AD582" s="119"/>
      <c r="AE582" s="119"/>
      <c r="AF582" s="119"/>
    </row>
    <row r="583" ht="18.75" customHeight="1">
      <c r="A583" s="119"/>
      <c r="B583" s="652"/>
      <c r="C583" s="642">
        <f>IF(F583=0,0,(VLOOKUP(F583,'MTRL MSK (TPDP)'!$F$9:$W637,18,0)))</f>
        <v>0</v>
      </c>
      <c r="D583" s="642">
        <f>IF(C583=0,0,(VLOOKUP(C583,'MTRL MSK (TPDP)'!$B$9:$W637,3,0)))</f>
        <v>0</v>
      </c>
      <c r="E583" s="643" t="str">
        <f>iferror(IF(C583="","",(VLOOKUP(C583,'MTRL MSK (TPDP)'!$B$9:$W637,4,0))),"")</f>
        <v/>
      </c>
      <c r="F583" s="644">
        <f>IF(H583=0,0,(VLOOKUP(H583,'MTRL MSK (TPDP)'!$H$9:$X637,17,0)))</f>
        <v>0</v>
      </c>
      <c r="G583" s="645"/>
      <c r="H583" s="646"/>
      <c r="I583" s="446">
        <f>IF(H583=0,0,(VLOOKUP(H583,'MTRL MSK (TPDP)'!$H$9:$U637,2,0)))</f>
        <v>0</v>
      </c>
      <c r="J583" s="448" t="str">
        <f>IFERROR((IF(H583=0,0,(VLOOKUP(H583,'MTRL MSK (TPDP)'!$H$8:$U637,7,0))))/(IF(H583=0,0,(VLOOKUP(H583,'MTRL MSK (TPDP)'!$H$8:$U637,5,0)))),"")</f>
        <v/>
      </c>
      <c r="K583" s="559"/>
      <c r="L583" s="448">
        <f t="shared" si="1"/>
        <v>0</v>
      </c>
      <c r="M583" s="647">
        <f t="shared" si="2"/>
        <v>0</v>
      </c>
      <c r="N583" s="647">
        <f t="shared" si="3"/>
        <v>0</v>
      </c>
      <c r="O583" s="448">
        <f>IF(H583=0,0,(VLOOKUP(H583,'MTRL MSK (TPDP)'!$H$9:$U637,5,0)))</f>
        <v>0</v>
      </c>
      <c r="P583" s="448">
        <f t="shared" si="4"/>
        <v>0</v>
      </c>
      <c r="Q583" s="448">
        <f t="shared" si="5"/>
        <v>0</v>
      </c>
      <c r="R583" s="648" t="str">
        <f>IFERROR(IF(S583="","",(VLOOKUP(S583,'1. BQ RAPL'!$D$14:$K637,8,0))),"")</f>
        <v/>
      </c>
      <c r="S583" s="649"/>
      <c r="T583" s="650"/>
      <c r="U583" s="16"/>
      <c r="V583" s="16"/>
      <c r="W583" s="16"/>
      <c r="X583" s="119"/>
      <c r="Y583" s="119"/>
      <c r="Z583" s="119"/>
      <c r="AA583" s="119"/>
      <c r="AB583" s="119"/>
      <c r="AC583" s="119"/>
      <c r="AD583" s="119"/>
      <c r="AE583" s="119"/>
      <c r="AF583" s="119"/>
    </row>
    <row r="584" ht="18.75" customHeight="1">
      <c r="A584" s="119"/>
      <c r="B584" s="652"/>
      <c r="C584" s="642">
        <f>IF(F584=0,0,(VLOOKUP(F584,'MTRL MSK (TPDP)'!$F$9:$W637,18,0)))</f>
        <v>0</v>
      </c>
      <c r="D584" s="642">
        <f>IF(C584=0,0,(VLOOKUP(C584,'MTRL MSK (TPDP)'!$B$9:$W637,3,0)))</f>
        <v>0</v>
      </c>
      <c r="E584" s="643" t="str">
        <f>iferror(IF(C584="","",(VLOOKUP(C584,'MTRL MSK (TPDP)'!$B$9:$W637,4,0))),"")</f>
        <v/>
      </c>
      <c r="F584" s="644">
        <f>IF(H584=0,0,(VLOOKUP(H584,'MTRL MSK (TPDP)'!$H$9:$X637,17,0)))</f>
        <v>0</v>
      </c>
      <c r="G584" s="645"/>
      <c r="H584" s="646"/>
      <c r="I584" s="446">
        <f>IF(H584=0,0,(VLOOKUP(H584,'MTRL MSK (TPDP)'!$H$9:$U637,2,0)))</f>
        <v>0</v>
      </c>
      <c r="J584" s="448" t="str">
        <f>IFERROR((IF(H584=0,0,(VLOOKUP(H584,'MTRL MSK (TPDP)'!$H$8:$U637,7,0))))/(IF(H584=0,0,(VLOOKUP(H584,'MTRL MSK (TPDP)'!$H$8:$U637,5,0)))),"")</f>
        <v/>
      </c>
      <c r="K584" s="559"/>
      <c r="L584" s="448">
        <f t="shared" si="1"/>
        <v>0</v>
      </c>
      <c r="M584" s="647">
        <f t="shared" si="2"/>
        <v>0</v>
      </c>
      <c r="N584" s="647">
        <f t="shared" si="3"/>
        <v>0</v>
      </c>
      <c r="O584" s="448">
        <f>IF(H584=0,0,(VLOOKUP(H584,'MTRL MSK (TPDP)'!$H$9:$U637,5,0)))</f>
        <v>0</v>
      </c>
      <c r="P584" s="448">
        <f t="shared" si="4"/>
        <v>0</v>
      </c>
      <c r="Q584" s="448">
        <f t="shared" si="5"/>
        <v>0</v>
      </c>
      <c r="R584" s="648" t="str">
        <f>IFERROR(IF(S584="","",(VLOOKUP(S584,'1. BQ RAPL'!$D$14:$K637,8,0))),"")</f>
        <v/>
      </c>
      <c r="S584" s="649"/>
      <c r="T584" s="650"/>
      <c r="U584" s="16"/>
      <c r="V584" s="16"/>
      <c r="W584" s="16"/>
      <c r="X584" s="119"/>
      <c r="Y584" s="119"/>
      <c r="Z584" s="119"/>
      <c r="AA584" s="119"/>
      <c r="AB584" s="119"/>
      <c r="AC584" s="119"/>
      <c r="AD584" s="119"/>
      <c r="AE584" s="119"/>
      <c r="AF584" s="119"/>
    </row>
    <row r="585" ht="18.75" customHeight="1">
      <c r="A585" s="119"/>
      <c r="B585" s="652"/>
      <c r="C585" s="642">
        <f>IF(F585=0,0,(VLOOKUP(F585,'MTRL MSK (TPDP)'!$F$9:$W637,18,0)))</f>
        <v>0</v>
      </c>
      <c r="D585" s="642">
        <f>IF(C585=0,0,(VLOOKUP(C585,'MTRL MSK (TPDP)'!$B$9:$W637,3,0)))</f>
        <v>0</v>
      </c>
      <c r="E585" s="643" t="str">
        <f>iferror(IF(C585="","",(VLOOKUP(C585,'MTRL MSK (TPDP)'!$B$9:$W637,4,0))),"")</f>
        <v/>
      </c>
      <c r="F585" s="644">
        <f>IF(H585=0,0,(VLOOKUP(H585,'MTRL MSK (TPDP)'!$H$9:$X637,17,0)))</f>
        <v>0</v>
      </c>
      <c r="G585" s="645"/>
      <c r="H585" s="646"/>
      <c r="I585" s="446">
        <f>IF(H585=0,0,(VLOOKUP(H585,'MTRL MSK (TPDP)'!$H$9:$U637,2,0)))</f>
        <v>0</v>
      </c>
      <c r="J585" s="448" t="str">
        <f>IFERROR((IF(H585=0,0,(VLOOKUP(H585,'MTRL MSK (TPDP)'!$H$8:$U637,7,0))))/(IF(H585=0,0,(VLOOKUP(H585,'MTRL MSK (TPDP)'!$H$8:$U637,5,0)))),"")</f>
        <v/>
      </c>
      <c r="K585" s="559"/>
      <c r="L585" s="448">
        <f t="shared" si="1"/>
        <v>0</v>
      </c>
      <c r="M585" s="647">
        <f t="shared" si="2"/>
        <v>0</v>
      </c>
      <c r="N585" s="647">
        <f t="shared" si="3"/>
        <v>0</v>
      </c>
      <c r="O585" s="448">
        <f>IF(H585=0,0,(VLOOKUP(H585,'MTRL MSK (TPDP)'!$H$9:$U637,5,0)))</f>
        <v>0</v>
      </c>
      <c r="P585" s="448">
        <f t="shared" si="4"/>
        <v>0</v>
      </c>
      <c r="Q585" s="448">
        <f t="shared" si="5"/>
        <v>0</v>
      </c>
      <c r="R585" s="648" t="str">
        <f>IFERROR(IF(S585="","",(VLOOKUP(S585,'1. BQ RAPL'!$D$14:$K637,8,0))),"")</f>
        <v/>
      </c>
      <c r="S585" s="649"/>
      <c r="T585" s="650"/>
      <c r="U585" s="16"/>
      <c r="V585" s="16"/>
      <c r="W585" s="16"/>
      <c r="X585" s="119"/>
      <c r="Y585" s="119"/>
      <c r="Z585" s="119"/>
      <c r="AA585" s="119"/>
      <c r="AB585" s="119"/>
      <c r="AC585" s="119"/>
      <c r="AD585" s="119"/>
      <c r="AE585" s="119"/>
      <c r="AF585" s="119"/>
    </row>
    <row r="586" ht="18.75" customHeight="1">
      <c r="A586" s="119"/>
      <c r="B586" s="652"/>
      <c r="C586" s="642">
        <f>IF(F586=0,0,(VLOOKUP(F586,'MTRL MSK (TPDP)'!$F$9:$W637,18,0)))</f>
        <v>0</v>
      </c>
      <c r="D586" s="642">
        <f>IF(C586=0,0,(VLOOKUP(C586,'MTRL MSK (TPDP)'!$B$9:$W637,3,0)))</f>
        <v>0</v>
      </c>
      <c r="E586" s="643" t="str">
        <f>iferror(IF(C586="","",(VLOOKUP(C586,'MTRL MSK (TPDP)'!$B$9:$W637,4,0))),"")</f>
        <v/>
      </c>
      <c r="F586" s="644">
        <f>IF(H586=0,0,(VLOOKUP(H586,'MTRL MSK (TPDP)'!$H$9:$X637,17,0)))</f>
        <v>0</v>
      </c>
      <c r="G586" s="645"/>
      <c r="H586" s="646"/>
      <c r="I586" s="446">
        <f>IF(H586=0,0,(VLOOKUP(H586,'MTRL MSK (TPDP)'!$H$9:$U637,2,0)))</f>
        <v>0</v>
      </c>
      <c r="J586" s="448" t="str">
        <f>IFERROR((IF(H586=0,0,(VLOOKUP(H586,'MTRL MSK (TPDP)'!$H$8:$U637,7,0))))/(IF(H586=0,0,(VLOOKUP(H586,'MTRL MSK (TPDP)'!$H$8:$U637,5,0)))),"")</f>
        <v/>
      </c>
      <c r="K586" s="559"/>
      <c r="L586" s="448">
        <f t="shared" si="1"/>
        <v>0</v>
      </c>
      <c r="M586" s="647">
        <f t="shared" si="2"/>
        <v>0</v>
      </c>
      <c r="N586" s="647">
        <f t="shared" si="3"/>
        <v>0</v>
      </c>
      <c r="O586" s="448">
        <f>IF(H586=0,0,(VLOOKUP(H586,'MTRL MSK (TPDP)'!$H$9:$U637,5,0)))</f>
        <v>0</v>
      </c>
      <c r="P586" s="448">
        <f t="shared" si="4"/>
        <v>0</v>
      </c>
      <c r="Q586" s="448">
        <f t="shared" si="5"/>
        <v>0</v>
      </c>
      <c r="R586" s="648" t="str">
        <f>IFERROR(IF(S586="","",(VLOOKUP(S586,'1. BQ RAPL'!$D$14:$K637,8,0))),"")</f>
        <v/>
      </c>
      <c r="S586" s="649"/>
      <c r="T586" s="650"/>
      <c r="U586" s="16"/>
      <c r="V586" s="16"/>
      <c r="W586" s="16"/>
      <c r="X586" s="119"/>
      <c r="Y586" s="119"/>
      <c r="Z586" s="119"/>
      <c r="AA586" s="119"/>
      <c r="AB586" s="119"/>
      <c r="AC586" s="119"/>
      <c r="AD586" s="119"/>
      <c r="AE586" s="119"/>
      <c r="AF586" s="119"/>
    </row>
    <row r="587" ht="18.75" customHeight="1">
      <c r="A587" s="119"/>
      <c r="B587" s="652"/>
      <c r="C587" s="642">
        <f>IF(F587=0,0,(VLOOKUP(F587,'MTRL MSK (TPDP)'!$F$9:$W637,18,0)))</f>
        <v>0</v>
      </c>
      <c r="D587" s="642">
        <f>IF(C587=0,0,(VLOOKUP(C587,'MTRL MSK (TPDP)'!$B$9:$W637,3,0)))</f>
        <v>0</v>
      </c>
      <c r="E587" s="643" t="str">
        <f>iferror(IF(C587="","",(VLOOKUP(C587,'MTRL MSK (TPDP)'!$B$9:$W637,4,0))),"")</f>
        <v/>
      </c>
      <c r="F587" s="644">
        <f>IF(H587=0,0,(VLOOKUP(H587,'MTRL MSK (TPDP)'!$H$9:$X637,17,0)))</f>
        <v>0</v>
      </c>
      <c r="G587" s="645"/>
      <c r="H587" s="646"/>
      <c r="I587" s="446">
        <f>IF(H587=0,0,(VLOOKUP(H587,'MTRL MSK (TPDP)'!$H$9:$U637,2,0)))</f>
        <v>0</v>
      </c>
      <c r="J587" s="448" t="str">
        <f>IFERROR((IF(H587=0,0,(VLOOKUP(H587,'MTRL MSK (TPDP)'!$H$8:$U637,7,0))))/(IF(H587=0,0,(VLOOKUP(H587,'MTRL MSK (TPDP)'!$H$8:$U637,5,0)))),"")</f>
        <v/>
      </c>
      <c r="K587" s="559"/>
      <c r="L587" s="448">
        <f t="shared" si="1"/>
        <v>0</v>
      </c>
      <c r="M587" s="647">
        <f t="shared" si="2"/>
        <v>0</v>
      </c>
      <c r="N587" s="647">
        <f t="shared" si="3"/>
        <v>0</v>
      </c>
      <c r="O587" s="448">
        <f>IF(H587=0,0,(VLOOKUP(H587,'MTRL MSK (TPDP)'!$H$9:$U637,5,0)))</f>
        <v>0</v>
      </c>
      <c r="P587" s="448">
        <f t="shared" si="4"/>
        <v>0</v>
      </c>
      <c r="Q587" s="448">
        <f t="shared" si="5"/>
        <v>0</v>
      </c>
      <c r="R587" s="648" t="str">
        <f>IFERROR(IF(S587="","",(VLOOKUP(S587,'1. BQ RAPL'!$D$14:$K637,8,0))),"")</f>
        <v/>
      </c>
      <c r="S587" s="649"/>
      <c r="T587" s="650"/>
      <c r="U587" s="16"/>
      <c r="V587" s="16"/>
      <c r="W587" s="16"/>
      <c r="X587" s="119"/>
      <c r="Y587" s="119"/>
      <c r="Z587" s="119"/>
      <c r="AA587" s="119"/>
      <c r="AB587" s="119"/>
      <c r="AC587" s="119"/>
      <c r="AD587" s="119"/>
      <c r="AE587" s="119"/>
      <c r="AF587" s="119"/>
    </row>
    <row r="588" ht="18.75" customHeight="1">
      <c r="A588" s="119"/>
      <c r="B588" s="652"/>
      <c r="C588" s="642">
        <f>IF(F588=0,0,(VLOOKUP(F588,'MTRL MSK (TPDP)'!$F$9:$W637,18,0)))</f>
        <v>0</v>
      </c>
      <c r="D588" s="642">
        <f>IF(C588=0,0,(VLOOKUP(C588,'MTRL MSK (TPDP)'!$B$9:$W637,3,0)))</f>
        <v>0</v>
      </c>
      <c r="E588" s="643" t="str">
        <f>iferror(IF(C588="","",(VLOOKUP(C588,'MTRL MSK (TPDP)'!$B$9:$W637,4,0))),"")</f>
        <v/>
      </c>
      <c r="F588" s="644">
        <f>IF(H588=0,0,(VLOOKUP(H588,'MTRL MSK (TPDP)'!$H$9:$X637,17,0)))</f>
        <v>0</v>
      </c>
      <c r="G588" s="645"/>
      <c r="H588" s="646"/>
      <c r="I588" s="446">
        <f>IF(H588=0,0,(VLOOKUP(H588,'MTRL MSK (TPDP)'!$H$9:$U637,2,0)))</f>
        <v>0</v>
      </c>
      <c r="J588" s="448" t="str">
        <f>IFERROR((IF(H588=0,0,(VLOOKUP(H588,'MTRL MSK (TPDP)'!$H$8:$U637,7,0))))/(IF(H588=0,0,(VLOOKUP(H588,'MTRL MSK (TPDP)'!$H$8:$U637,5,0)))),"")</f>
        <v/>
      </c>
      <c r="K588" s="559"/>
      <c r="L588" s="448">
        <f t="shared" si="1"/>
        <v>0</v>
      </c>
      <c r="M588" s="647">
        <f t="shared" si="2"/>
        <v>0</v>
      </c>
      <c r="N588" s="647">
        <f t="shared" si="3"/>
        <v>0</v>
      </c>
      <c r="O588" s="448">
        <f>IF(H588=0,0,(VLOOKUP(H588,'MTRL MSK (TPDP)'!$H$9:$U637,5,0)))</f>
        <v>0</v>
      </c>
      <c r="P588" s="448">
        <f t="shared" si="4"/>
        <v>0</v>
      </c>
      <c r="Q588" s="448">
        <f t="shared" si="5"/>
        <v>0</v>
      </c>
      <c r="R588" s="648" t="str">
        <f>IFERROR(IF(S588="","",(VLOOKUP(S588,'1. BQ RAPL'!$D$14:$K637,8,0))),"")</f>
        <v/>
      </c>
      <c r="S588" s="649"/>
      <c r="T588" s="650"/>
      <c r="U588" s="16"/>
      <c r="V588" s="16"/>
      <c r="W588" s="16"/>
      <c r="X588" s="119"/>
      <c r="Y588" s="119"/>
      <c r="Z588" s="119"/>
      <c r="AA588" s="119"/>
      <c r="AB588" s="119"/>
      <c r="AC588" s="119"/>
      <c r="AD588" s="119"/>
      <c r="AE588" s="119"/>
      <c r="AF588" s="119"/>
    </row>
    <row r="589" ht="18.75" customHeight="1">
      <c r="A589" s="119"/>
      <c r="B589" s="652"/>
      <c r="C589" s="642">
        <f>IF(F589=0,0,(VLOOKUP(F589,'MTRL MSK (TPDP)'!$F$9:$W637,18,0)))</f>
        <v>0</v>
      </c>
      <c r="D589" s="642">
        <f>IF(C589=0,0,(VLOOKUP(C589,'MTRL MSK (TPDP)'!$B$9:$W637,3,0)))</f>
        <v>0</v>
      </c>
      <c r="E589" s="643" t="str">
        <f>iferror(IF(C589="","",(VLOOKUP(C589,'MTRL MSK (TPDP)'!$B$9:$W637,4,0))),"")</f>
        <v/>
      </c>
      <c r="F589" s="644">
        <f>IF(H589=0,0,(VLOOKUP(H589,'MTRL MSK (TPDP)'!$H$9:$X637,17,0)))</f>
        <v>0</v>
      </c>
      <c r="G589" s="645"/>
      <c r="H589" s="646"/>
      <c r="I589" s="446">
        <f>IF(H589=0,0,(VLOOKUP(H589,'MTRL MSK (TPDP)'!$H$9:$U637,2,0)))</f>
        <v>0</v>
      </c>
      <c r="J589" s="448" t="str">
        <f>IFERROR((IF(H589=0,0,(VLOOKUP(H589,'MTRL MSK (TPDP)'!$H$8:$U637,7,0))))/(IF(H589=0,0,(VLOOKUP(H589,'MTRL MSK (TPDP)'!$H$8:$U637,5,0)))),"")</f>
        <v/>
      </c>
      <c r="K589" s="559"/>
      <c r="L589" s="448">
        <f t="shared" si="1"/>
        <v>0</v>
      </c>
      <c r="M589" s="647">
        <f t="shared" si="2"/>
        <v>0</v>
      </c>
      <c r="N589" s="647">
        <f t="shared" si="3"/>
        <v>0</v>
      </c>
      <c r="O589" s="448">
        <f>IF(H589=0,0,(VLOOKUP(H589,'MTRL MSK (TPDP)'!$H$9:$U637,5,0)))</f>
        <v>0</v>
      </c>
      <c r="P589" s="448">
        <f t="shared" si="4"/>
        <v>0</v>
      </c>
      <c r="Q589" s="448">
        <f t="shared" si="5"/>
        <v>0</v>
      </c>
      <c r="R589" s="648" t="str">
        <f>IFERROR(IF(S589="","",(VLOOKUP(S589,'1. BQ RAPL'!$D$14:$K637,8,0))),"")</f>
        <v/>
      </c>
      <c r="S589" s="649"/>
      <c r="T589" s="650"/>
      <c r="U589" s="16"/>
      <c r="V589" s="16"/>
      <c r="W589" s="16"/>
      <c r="X589" s="119"/>
      <c r="Y589" s="119"/>
      <c r="Z589" s="119"/>
      <c r="AA589" s="119"/>
      <c r="AB589" s="119"/>
      <c r="AC589" s="119"/>
      <c r="AD589" s="119"/>
      <c r="AE589" s="119"/>
      <c r="AF589" s="119"/>
    </row>
    <row r="590" ht="18.75" customHeight="1">
      <c r="A590" s="119"/>
      <c r="B590" s="652"/>
      <c r="C590" s="642">
        <f>IF(F590=0,0,(VLOOKUP(F590,'MTRL MSK (TPDP)'!$F$9:$W637,18,0)))</f>
        <v>0</v>
      </c>
      <c r="D590" s="642">
        <f>IF(C590=0,0,(VLOOKUP(C590,'MTRL MSK (TPDP)'!$B$9:$W637,3,0)))</f>
        <v>0</v>
      </c>
      <c r="E590" s="643" t="str">
        <f>iferror(IF(C590="","",(VLOOKUP(C590,'MTRL MSK (TPDP)'!$B$9:$W637,4,0))),"")</f>
        <v/>
      </c>
      <c r="F590" s="644">
        <f>IF(H590=0,0,(VLOOKUP(H590,'MTRL MSK (TPDP)'!$H$9:$X637,17,0)))</f>
        <v>0</v>
      </c>
      <c r="G590" s="645"/>
      <c r="H590" s="646"/>
      <c r="I590" s="446">
        <f>IF(H590=0,0,(VLOOKUP(H590,'MTRL MSK (TPDP)'!$H$9:$U637,2,0)))</f>
        <v>0</v>
      </c>
      <c r="J590" s="448" t="str">
        <f>IFERROR((IF(H590=0,0,(VLOOKUP(H590,'MTRL MSK (TPDP)'!$H$8:$U637,7,0))))/(IF(H590=0,0,(VLOOKUP(H590,'MTRL MSK (TPDP)'!$H$8:$U637,5,0)))),"")</f>
        <v/>
      </c>
      <c r="K590" s="559"/>
      <c r="L590" s="448">
        <f t="shared" si="1"/>
        <v>0</v>
      </c>
      <c r="M590" s="647">
        <f t="shared" si="2"/>
        <v>0</v>
      </c>
      <c r="N590" s="647">
        <f t="shared" si="3"/>
        <v>0</v>
      </c>
      <c r="O590" s="448">
        <f>IF(H590=0,0,(VLOOKUP(H590,'MTRL MSK (TPDP)'!$H$9:$U637,5,0)))</f>
        <v>0</v>
      </c>
      <c r="P590" s="448">
        <f t="shared" si="4"/>
        <v>0</v>
      </c>
      <c r="Q590" s="448">
        <f t="shared" si="5"/>
        <v>0</v>
      </c>
      <c r="R590" s="648" t="str">
        <f>IFERROR(IF(S590="","",(VLOOKUP(S590,'1. BQ RAPL'!$D$14:$K637,8,0))),"")</f>
        <v/>
      </c>
      <c r="S590" s="649"/>
      <c r="T590" s="650"/>
      <c r="U590" s="16"/>
      <c r="V590" s="16"/>
      <c r="W590" s="16"/>
      <c r="X590" s="119"/>
      <c r="Y590" s="119"/>
      <c r="Z590" s="119"/>
      <c r="AA590" s="119"/>
      <c r="AB590" s="119"/>
      <c r="AC590" s="119"/>
      <c r="AD590" s="119"/>
      <c r="AE590" s="119"/>
      <c r="AF590" s="119"/>
    </row>
    <row r="591" ht="18.75" customHeight="1">
      <c r="A591" s="119"/>
      <c r="B591" s="652"/>
      <c r="C591" s="642">
        <f>IF(F591=0,0,(VLOOKUP(F591,'MTRL MSK (TPDP)'!$F$9:$W637,18,0)))</f>
        <v>0</v>
      </c>
      <c r="D591" s="642">
        <f>IF(C591=0,0,(VLOOKUP(C591,'MTRL MSK (TPDP)'!$B$9:$W637,3,0)))</f>
        <v>0</v>
      </c>
      <c r="E591" s="643" t="str">
        <f>iferror(IF(C591="","",(VLOOKUP(C591,'MTRL MSK (TPDP)'!$B$9:$W637,4,0))),"")</f>
        <v/>
      </c>
      <c r="F591" s="644">
        <f>IF(H591=0,0,(VLOOKUP(H591,'MTRL MSK (TPDP)'!$H$9:$X637,17,0)))</f>
        <v>0</v>
      </c>
      <c r="G591" s="645"/>
      <c r="H591" s="646"/>
      <c r="I591" s="446">
        <f>IF(H591=0,0,(VLOOKUP(H591,'MTRL MSK (TPDP)'!$H$9:$U637,2,0)))</f>
        <v>0</v>
      </c>
      <c r="J591" s="448" t="str">
        <f>IFERROR((IF(H591=0,0,(VLOOKUP(H591,'MTRL MSK (TPDP)'!$H$8:$U637,7,0))))/(IF(H591=0,0,(VLOOKUP(H591,'MTRL MSK (TPDP)'!$H$8:$U637,5,0)))),"")</f>
        <v/>
      </c>
      <c r="K591" s="559"/>
      <c r="L591" s="448">
        <f t="shared" si="1"/>
        <v>0</v>
      </c>
      <c r="M591" s="647">
        <f t="shared" si="2"/>
        <v>0</v>
      </c>
      <c r="N591" s="647">
        <f t="shared" si="3"/>
        <v>0</v>
      </c>
      <c r="O591" s="448">
        <f>IF(H591=0,0,(VLOOKUP(H591,'MTRL MSK (TPDP)'!$H$9:$U637,5,0)))</f>
        <v>0</v>
      </c>
      <c r="P591" s="448">
        <f t="shared" si="4"/>
        <v>0</v>
      </c>
      <c r="Q591" s="448">
        <f t="shared" si="5"/>
        <v>0</v>
      </c>
      <c r="R591" s="648" t="str">
        <f>IFERROR(IF(S591="","",(VLOOKUP(S591,'1. BQ RAPL'!$D$14:$K637,8,0))),"")</f>
        <v/>
      </c>
      <c r="S591" s="649"/>
      <c r="T591" s="650"/>
      <c r="U591" s="16"/>
      <c r="V591" s="16"/>
      <c r="W591" s="16"/>
      <c r="X591" s="119"/>
      <c r="Y591" s="119"/>
      <c r="Z591" s="119"/>
      <c r="AA591" s="119"/>
      <c r="AB591" s="119"/>
      <c r="AC591" s="119"/>
      <c r="AD591" s="119"/>
      <c r="AE591" s="119"/>
      <c r="AF591" s="119"/>
    </row>
    <row r="592" ht="18.75" customHeight="1">
      <c r="A592" s="119"/>
      <c r="B592" s="652"/>
      <c r="C592" s="642">
        <f>IF(F592=0,0,(VLOOKUP(F592,'MTRL MSK (TPDP)'!$F$9:$W637,18,0)))</f>
        <v>0</v>
      </c>
      <c r="D592" s="642">
        <f>IF(C592=0,0,(VLOOKUP(C592,'MTRL MSK (TPDP)'!$B$9:$W637,3,0)))</f>
        <v>0</v>
      </c>
      <c r="E592" s="643" t="str">
        <f>iferror(IF(C592="","",(VLOOKUP(C592,'MTRL MSK (TPDP)'!$B$9:$W637,4,0))),"")</f>
        <v/>
      </c>
      <c r="F592" s="644">
        <f>IF(H592=0,0,(VLOOKUP(H592,'MTRL MSK (TPDP)'!$H$9:$X637,17,0)))</f>
        <v>0</v>
      </c>
      <c r="G592" s="645"/>
      <c r="H592" s="646"/>
      <c r="I592" s="446">
        <f>IF(H592=0,0,(VLOOKUP(H592,'MTRL MSK (TPDP)'!$H$9:$U637,2,0)))</f>
        <v>0</v>
      </c>
      <c r="J592" s="448" t="str">
        <f>IFERROR((IF(H592=0,0,(VLOOKUP(H592,'MTRL MSK (TPDP)'!$H$8:$U637,7,0))))/(IF(H592=0,0,(VLOOKUP(H592,'MTRL MSK (TPDP)'!$H$8:$U637,5,0)))),"")</f>
        <v/>
      </c>
      <c r="K592" s="559"/>
      <c r="L592" s="448">
        <f t="shared" si="1"/>
        <v>0</v>
      </c>
      <c r="M592" s="647">
        <f t="shared" si="2"/>
        <v>0</v>
      </c>
      <c r="N592" s="647">
        <f t="shared" si="3"/>
        <v>0</v>
      </c>
      <c r="O592" s="448">
        <f>IF(H592=0,0,(VLOOKUP(H592,'MTRL MSK (TPDP)'!$H$9:$U637,5,0)))</f>
        <v>0</v>
      </c>
      <c r="P592" s="448">
        <f t="shared" si="4"/>
        <v>0</v>
      </c>
      <c r="Q592" s="448">
        <f t="shared" si="5"/>
        <v>0</v>
      </c>
      <c r="R592" s="648" t="str">
        <f>IFERROR(IF(S592="","",(VLOOKUP(S592,'1. BQ RAPL'!$D$14:$K637,8,0))),"")</f>
        <v/>
      </c>
      <c r="S592" s="649"/>
      <c r="T592" s="650"/>
      <c r="U592" s="16"/>
      <c r="V592" s="16"/>
      <c r="W592" s="16"/>
      <c r="X592" s="119"/>
      <c r="Y592" s="119"/>
      <c r="Z592" s="119"/>
      <c r="AA592" s="119"/>
      <c r="AB592" s="119"/>
      <c r="AC592" s="119"/>
      <c r="AD592" s="119"/>
      <c r="AE592" s="119"/>
      <c r="AF592" s="119"/>
    </row>
    <row r="593" ht="18.75" customHeight="1">
      <c r="A593" s="119"/>
      <c r="B593" s="652"/>
      <c r="C593" s="642">
        <f>IF(F593=0,0,(VLOOKUP(F593,'MTRL MSK (TPDP)'!$F$9:$W637,18,0)))</f>
        <v>0</v>
      </c>
      <c r="D593" s="642">
        <f>IF(C593=0,0,(VLOOKUP(C593,'MTRL MSK (TPDP)'!$B$9:$W637,3,0)))</f>
        <v>0</v>
      </c>
      <c r="E593" s="643" t="str">
        <f>iferror(IF(C593="","",(VLOOKUP(C593,'MTRL MSK (TPDP)'!$B$9:$W637,4,0))),"")</f>
        <v/>
      </c>
      <c r="F593" s="644">
        <f>IF(H593=0,0,(VLOOKUP(H593,'MTRL MSK (TPDP)'!$H$9:$X637,17,0)))</f>
        <v>0</v>
      </c>
      <c r="G593" s="645"/>
      <c r="H593" s="646"/>
      <c r="I593" s="446">
        <f>IF(H593=0,0,(VLOOKUP(H593,'MTRL MSK (TPDP)'!$H$9:$U637,2,0)))</f>
        <v>0</v>
      </c>
      <c r="J593" s="448" t="str">
        <f>IFERROR((IF(H593=0,0,(VLOOKUP(H593,'MTRL MSK (TPDP)'!$H$8:$U637,7,0))))/(IF(H593=0,0,(VLOOKUP(H593,'MTRL MSK (TPDP)'!$H$8:$U637,5,0)))),"")</f>
        <v/>
      </c>
      <c r="K593" s="559"/>
      <c r="L593" s="448">
        <f t="shared" si="1"/>
        <v>0</v>
      </c>
      <c r="M593" s="647">
        <f t="shared" si="2"/>
        <v>0</v>
      </c>
      <c r="N593" s="647">
        <f t="shared" si="3"/>
        <v>0</v>
      </c>
      <c r="O593" s="448">
        <f>IF(H593=0,0,(VLOOKUP(H593,'MTRL MSK (TPDP)'!$H$9:$U637,5,0)))</f>
        <v>0</v>
      </c>
      <c r="P593" s="448">
        <f t="shared" si="4"/>
        <v>0</v>
      </c>
      <c r="Q593" s="448">
        <f t="shared" si="5"/>
        <v>0</v>
      </c>
      <c r="R593" s="648" t="str">
        <f>IFERROR(IF(S593="","",(VLOOKUP(S593,'1. BQ RAPL'!$D$14:$K637,8,0))),"")</f>
        <v/>
      </c>
      <c r="S593" s="649"/>
      <c r="T593" s="650"/>
      <c r="U593" s="16"/>
      <c r="V593" s="16"/>
      <c r="W593" s="16"/>
      <c r="X593" s="119"/>
      <c r="Y593" s="119"/>
      <c r="Z593" s="119"/>
      <c r="AA593" s="119"/>
      <c r="AB593" s="119"/>
      <c r="AC593" s="119"/>
      <c r="AD593" s="119"/>
      <c r="AE593" s="119"/>
      <c r="AF593" s="119"/>
    </row>
    <row r="594" ht="18.75" customHeight="1">
      <c r="A594" s="119"/>
      <c r="B594" s="652"/>
      <c r="C594" s="642">
        <f>IF(F594=0,0,(VLOOKUP(F594,'MTRL MSK (TPDP)'!$F$9:$W637,18,0)))</f>
        <v>0</v>
      </c>
      <c r="D594" s="642">
        <f>IF(C594=0,0,(VLOOKUP(C594,'MTRL MSK (TPDP)'!$B$9:$W637,3,0)))</f>
        <v>0</v>
      </c>
      <c r="E594" s="643" t="str">
        <f>iferror(IF(C594="","",(VLOOKUP(C594,'MTRL MSK (TPDP)'!$B$9:$W637,4,0))),"")</f>
        <v/>
      </c>
      <c r="F594" s="644">
        <f>IF(H594=0,0,(VLOOKUP(H594,'MTRL MSK (TPDP)'!$H$9:$X637,17,0)))</f>
        <v>0</v>
      </c>
      <c r="G594" s="645"/>
      <c r="H594" s="646"/>
      <c r="I594" s="446">
        <f>IF(H594=0,0,(VLOOKUP(H594,'MTRL MSK (TPDP)'!$H$9:$U637,2,0)))</f>
        <v>0</v>
      </c>
      <c r="J594" s="448" t="str">
        <f>IFERROR((IF(H594=0,0,(VLOOKUP(H594,'MTRL MSK (TPDP)'!$H$8:$U637,7,0))))/(IF(H594=0,0,(VLOOKUP(H594,'MTRL MSK (TPDP)'!$H$8:$U637,5,0)))),"")</f>
        <v/>
      </c>
      <c r="K594" s="559"/>
      <c r="L594" s="448">
        <f t="shared" si="1"/>
        <v>0</v>
      </c>
      <c r="M594" s="647">
        <f t="shared" si="2"/>
        <v>0</v>
      </c>
      <c r="N594" s="647">
        <f t="shared" si="3"/>
        <v>0</v>
      </c>
      <c r="O594" s="448">
        <f>IF(H594=0,0,(VLOOKUP(H594,'MTRL MSK (TPDP)'!$H$9:$U637,5,0)))</f>
        <v>0</v>
      </c>
      <c r="P594" s="448">
        <f t="shared" si="4"/>
        <v>0</v>
      </c>
      <c r="Q594" s="448">
        <f t="shared" si="5"/>
        <v>0</v>
      </c>
      <c r="R594" s="648" t="str">
        <f>IFERROR(IF(S594="","",(VLOOKUP(S594,'1. BQ RAPL'!$D$14:$K637,8,0))),"")</f>
        <v/>
      </c>
      <c r="S594" s="649"/>
      <c r="T594" s="650"/>
      <c r="U594" s="16"/>
      <c r="V594" s="16"/>
      <c r="W594" s="16"/>
      <c r="X594" s="119"/>
      <c r="Y594" s="119"/>
      <c r="Z594" s="119"/>
      <c r="AA594" s="119"/>
      <c r="AB594" s="119"/>
      <c r="AC594" s="119"/>
      <c r="AD594" s="119"/>
      <c r="AE594" s="119"/>
      <c r="AF594" s="119"/>
    </row>
    <row r="595" ht="18.75" customHeight="1">
      <c r="A595" s="119"/>
      <c r="B595" s="652"/>
      <c r="C595" s="642">
        <f>IF(F595=0,0,(VLOOKUP(F595,'MTRL MSK (TPDP)'!$F$9:$W637,18,0)))</f>
        <v>0</v>
      </c>
      <c r="D595" s="642">
        <f>IF(C595=0,0,(VLOOKUP(C595,'MTRL MSK (TPDP)'!$B$9:$W637,3,0)))</f>
        <v>0</v>
      </c>
      <c r="E595" s="643" t="str">
        <f>iferror(IF(C595="","",(VLOOKUP(C595,'MTRL MSK (TPDP)'!$B$9:$W637,4,0))),"")</f>
        <v/>
      </c>
      <c r="F595" s="644">
        <f>IF(H595=0,0,(VLOOKUP(H595,'MTRL MSK (TPDP)'!$H$9:$X637,17,0)))</f>
        <v>0</v>
      </c>
      <c r="G595" s="645"/>
      <c r="H595" s="646"/>
      <c r="I595" s="446">
        <f>IF(H595=0,0,(VLOOKUP(H595,'MTRL MSK (TPDP)'!$H$9:$U637,2,0)))</f>
        <v>0</v>
      </c>
      <c r="J595" s="448" t="str">
        <f>IFERROR((IF(H595=0,0,(VLOOKUP(H595,'MTRL MSK (TPDP)'!$H$8:$U637,7,0))))/(IF(H595=0,0,(VLOOKUP(H595,'MTRL MSK (TPDP)'!$H$8:$U637,5,0)))),"")</f>
        <v/>
      </c>
      <c r="K595" s="559"/>
      <c r="L595" s="448">
        <f t="shared" si="1"/>
        <v>0</v>
      </c>
      <c r="M595" s="647">
        <f t="shared" si="2"/>
        <v>0</v>
      </c>
      <c r="N595" s="647">
        <f t="shared" si="3"/>
        <v>0</v>
      </c>
      <c r="O595" s="448">
        <f>IF(H595=0,0,(VLOOKUP(H595,'MTRL MSK (TPDP)'!$H$9:$U637,5,0)))</f>
        <v>0</v>
      </c>
      <c r="P595" s="448">
        <f t="shared" si="4"/>
        <v>0</v>
      </c>
      <c r="Q595" s="448">
        <f t="shared" si="5"/>
        <v>0</v>
      </c>
      <c r="R595" s="648" t="str">
        <f>IFERROR(IF(S595="","",(VLOOKUP(S595,'1. BQ RAPL'!$D$14:$K637,8,0))),"")</f>
        <v/>
      </c>
      <c r="S595" s="649"/>
      <c r="T595" s="650"/>
      <c r="U595" s="16"/>
      <c r="V595" s="16"/>
      <c r="W595" s="16"/>
      <c r="X595" s="119"/>
      <c r="Y595" s="119"/>
      <c r="Z595" s="119"/>
      <c r="AA595" s="119"/>
      <c r="AB595" s="119"/>
      <c r="AC595" s="119"/>
      <c r="AD595" s="119"/>
      <c r="AE595" s="119"/>
      <c r="AF595" s="119"/>
    </row>
    <row r="596" ht="18.75" customHeight="1">
      <c r="A596" s="119"/>
      <c r="B596" s="652"/>
      <c r="C596" s="642">
        <f>IF(F596=0,0,(VLOOKUP(F596,'MTRL MSK (TPDP)'!$F$9:$W637,18,0)))</f>
        <v>0</v>
      </c>
      <c r="D596" s="642">
        <f>IF(C596=0,0,(VLOOKUP(C596,'MTRL MSK (TPDP)'!$B$9:$W637,3,0)))</f>
        <v>0</v>
      </c>
      <c r="E596" s="643" t="str">
        <f>iferror(IF(C596="","",(VLOOKUP(C596,'MTRL MSK (TPDP)'!$B$9:$W637,4,0))),"")</f>
        <v/>
      </c>
      <c r="F596" s="644">
        <f>IF(H596=0,0,(VLOOKUP(H596,'MTRL MSK (TPDP)'!$H$9:$X637,17,0)))</f>
        <v>0</v>
      </c>
      <c r="G596" s="645"/>
      <c r="H596" s="646"/>
      <c r="I596" s="446">
        <f>IF(H596=0,0,(VLOOKUP(H596,'MTRL MSK (TPDP)'!$H$9:$U637,2,0)))</f>
        <v>0</v>
      </c>
      <c r="J596" s="448" t="str">
        <f>IFERROR((IF(H596=0,0,(VLOOKUP(H596,'MTRL MSK (TPDP)'!$H$8:$U637,7,0))))/(IF(H596=0,0,(VLOOKUP(H596,'MTRL MSK (TPDP)'!$H$8:$U637,5,0)))),"")</f>
        <v/>
      </c>
      <c r="K596" s="559"/>
      <c r="L596" s="448">
        <f t="shared" si="1"/>
        <v>0</v>
      </c>
      <c r="M596" s="647">
        <f t="shared" si="2"/>
        <v>0</v>
      </c>
      <c r="N596" s="647">
        <f t="shared" si="3"/>
        <v>0</v>
      </c>
      <c r="O596" s="448">
        <f>IF(H596=0,0,(VLOOKUP(H596,'MTRL MSK (TPDP)'!$H$9:$U637,5,0)))</f>
        <v>0</v>
      </c>
      <c r="P596" s="448">
        <f t="shared" si="4"/>
        <v>0</v>
      </c>
      <c r="Q596" s="448">
        <f t="shared" si="5"/>
        <v>0</v>
      </c>
      <c r="R596" s="648" t="str">
        <f>IFERROR(IF(S596="","",(VLOOKUP(S596,'1. BQ RAPL'!$D$14:$K637,8,0))),"")</f>
        <v/>
      </c>
      <c r="S596" s="649"/>
      <c r="T596" s="650"/>
      <c r="U596" s="16"/>
      <c r="V596" s="16"/>
      <c r="W596" s="16"/>
      <c r="X596" s="119"/>
      <c r="Y596" s="119"/>
      <c r="Z596" s="119"/>
      <c r="AA596" s="119"/>
      <c r="AB596" s="119"/>
      <c r="AC596" s="119"/>
      <c r="AD596" s="119"/>
      <c r="AE596" s="119"/>
      <c r="AF596" s="119"/>
    </row>
    <row r="597" ht="18.75" customHeight="1">
      <c r="A597" s="119"/>
      <c r="B597" s="652"/>
      <c r="C597" s="642">
        <f>IF(F597=0,0,(VLOOKUP(F597,'MTRL MSK (TPDP)'!$F$9:$W637,18,0)))</f>
        <v>0</v>
      </c>
      <c r="D597" s="642">
        <f>IF(C597=0,0,(VLOOKUP(C597,'MTRL MSK (TPDP)'!$B$9:$W637,3,0)))</f>
        <v>0</v>
      </c>
      <c r="E597" s="643" t="str">
        <f>iferror(IF(C597="","",(VLOOKUP(C597,'MTRL MSK (TPDP)'!$B$9:$W637,4,0))),"")</f>
        <v/>
      </c>
      <c r="F597" s="644">
        <f>IF(H597=0,0,(VLOOKUP(H597,'MTRL MSK (TPDP)'!$H$9:$X637,17,0)))</f>
        <v>0</v>
      </c>
      <c r="G597" s="645"/>
      <c r="H597" s="646"/>
      <c r="I597" s="446">
        <f>IF(H597=0,0,(VLOOKUP(H597,'MTRL MSK (TPDP)'!$H$9:$U637,2,0)))</f>
        <v>0</v>
      </c>
      <c r="J597" s="448" t="str">
        <f>IFERROR((IF(H597=0,0,(VLOOKUP(H597,'MTRL MSK (TPDP)'!$H$8:$U637,7,0))))/(IF(H597=0,0,(VLOOKUP(H597,'MTRL MSK (TPDP)'!$H$8:$U637,5,0)))),"")</f>
        <v/>
      </c>
      <c r="K597" s="559"/>
      <c r="L597" s="448">
        <f t="shared" si="1"/>
        <v>0</v>
      </c>
      <c r="M597" s="647">
        <f t="shared" si="2"/>
        <v>0</v>
      </c>
      <c r="N597" s="647">
        <f t="shared" si="3"/>
        <v>0</v>
      </c>
      <c r="O597" s="448">
        <f>IF(H597=0,0,(VLOOKUP(H597,'MTRL MSK (TPDP)'!$H$9:$U637,5,0)))</f>
        <v>0</v>
      </c>
      <c r="P597" s="448">
        <f t="shared" si="4"/>
        <v>0</v>
      </c>
      <c r="Q597" s="448">
        <f t="shared" si="5"/>
        <v>0</v>
      </c>
      <c r="R597" s="648" t="str">
        <f>IFERROR(IF(S597="","",(VLOOKUP(S597,'1. BQ RAPL'!$D$14:$K637,8,0))),"")</f>
        <v/>
      </c>
      <c r="S597" s="649"/>
      <c r="T597" s="650"/>
      <c r="U597" s="16"/>
      <c r="V597" s="16"/>
      <c r="W597" s="16"/>
      <c r="X597" s="119"/>
      <c r="Y597" s="119"/>
      <c r="Z597" s="119"/>
      <c r="AA597" s="119"/>
      <c r="AB597" s="119"/>
      <c r="AC597" s="119"/>
      <c r="AD597" s="119"/>
      <c r="AE597" s="119"/>
      <c r="AF597" s="119"/>
    </row>
    <row r="598" ht="18.75" customHeight="1">
      <c r="A598" s="119"/>
      <c r="B598" s="652"/>
      <c r="C598" s="642">
        <f>IF(F598=0,0,(VLOOKUP(F598,'MTRL MSK (TPDP)'!$F$9:$W637,18,0)))</f>
        <v>0</v>
      </c>
      <c r="D598" s="642">
        <f>IF(C598=0,0,(VLOOKUP(C598,'MTRL MSK (TPDP)'!$B$9:$W637,3,0)))</f>
        <v>0</v>
      </c>
      <c r="E598" s="643" t="str">
        <f>iferror(IF(C598="","",(VLOOKUP(C598,'MTRL MSK (TPDP)'!$B$9:$W637,4,0))),"")</f>
        <v/>
      </c>
      <c r="F598" s="644">
        <f>IF(H598=0,0,(VLOOKUP(H598,'MTRL MSK (TPDP)'!$H$9:$X637,17,0)))</f>
        <v>0</v>
      </c>
      <c r="G598" s="645"/>
      <c r="H598" s="646"/>
      <c r="I598" s="446">
        <f>IF(H598=0,0,(VLOOKUP(H598,'MTRL MSK (TPDP)'!$H$9:$U637,2,0)))</f>
        <v>0</v>
      </c>
      <c r="J598" s="448" t="str">
        <f>IFERROR((IF(H598=0,0,(VLOOKUP(H598,'MTRL MSK (TPDP)'!$H$8:$U637,7,0))))/(IF(H598=0,0,(VLOOKUP(H598,'MTRL MSK (TPDP)'!$H$8:$U637,5,0)))),"")</f>
        <v/>
      </c>
      <c r="K598" s="559"/>
      <c r="L598" s="448">
        <f t="shared" si="1"/>
        <v>0</v>
      </c>
      <c r="M598" s="647">
        <f t="shared" si="2"/>
        <v>0</v>
      </c>
      <c r="N598" s="647">
        <f t="shared" si="3"/>
        <v>0</v>
      </c>
      <c r="O598" s="448">
        <f>IF(H598=0,0,(VLOOKUP(H598,'MTRL MSK (TPDP)'!$H$9:$U637,5,0)))</f>
        <v>0</v>
      </c>
      <c r="P598" s="448">
        <f t="shared" si="4"/>
        <v>0</v>
      </c>
      <c r="Q598" s="448">
        <f t="shared" si="5"/>
        <v>0</v>
      </c>
      <c r="R598" s="648" t="str">
        <f>IFERROR(IF(S598="","",(VLOOKUP(S598,'1. BQ RAPL'!$D$14:$K637,8,0))),"")</f>
        <v/>
      </c>
      <c r="S598" s="649"/>
      <c r="T598" s="650"/>
      <c r="U598" s="16"/>
      <c r="V598" s="16"/>
      <c r="W598" s="16"/>
      <c r="X598" s="119"/>
      <c r="Y598" s="119"/>
      <c r="Z598" s="119"/>
      <c r="AA598" s="119"/>
      <c r="AB598" s="119"/>
      <c r="AC598" s="119"/>
      <c r="AD598" s="119"/>
      <c r="AE598" s="119"/>
      <c r="AF598" s="119"/>
    </row>
    <row r="599" ht="18.75" customHeight="1">
      <c r="A599" s="119"/>
      <c r="B599" s="652"/>
      <c r="C599" s="642">
        <f>IF(F599=0,0,(VLOOKUP(F599,'MTRL MSK (TPDP)'!$F$9:$W637,18,0)))</f>
        <v>0</v>
      </c>
      <c r="D599" s="642">
        <f>IF(C599=0,0,(VLOOKUP(C599,'MTRL MSK (TPDP)'!$B$9:$W637,3,0)))</f>
        <v>0</v>
      </c>
      <c r="E599" s="643" t="str">
        <f>iferror(IF(C599="","",(VLOOKUP(C599,'MTRL MSK (TPDP)'!$B$9:$W637,4,0))),"")</f>
        <v/>
      </c>
      <c r="F599" s="644">
        <f>IF(H599=0,0,(VLOOKUP(H599,'MTRL MSK (TPDP)'!$H$9:$X637,17,0)))</f>
        <v>0</v>
      </c>
      <c r="G599" s="645"/>
      <c r="H599" s="646"/>
      <c r="I599" s="446">
        <f>IF(H599=0,0,(VLOOKUP(H599,'MTRL MSK (TPDP)'!$H$9:$U637,2,0)))</f>
        <v>0</v>
      </c>
      <c r="J599" s="448" t="str">
        <f>IFERROR((IF(H599=0,0,(VLOOKUP(H599,'MTRL MSK (TPDP)'!$H$8:$U637,7,0))))/(IF(H599=0,0,(VLOOKUP(H599,'MTRL MSK (TPDP)'!$H$8:$U637,5,0)))),"")</f>
        <v/>
      </c>
      <c r="K599" s="559"/>
      <c r="L599" s="448">
        <f t="shared" si="1"/>
        <v>0</v>
      </c>
      <c r="M599" s="647">
        <f t="shared" si="2"/>
        <v>0</v>
      </c>
      <c r="N599" s="647">
        <f t="shared" si="3"/>
        <v>0</v>
      </c>
      <c r="O599" s="448">
        <f>IF(H599=0,0,(VLOOKUP(H599,'MTRL MSK (TPDP)'!$H$9:$U637,5,0)))</f>
        <v>0</v>
      </c>
      <c r="P599" s="448">
        <f t="shared" si="4"/>
        <v>0</v>
      </c>
      <c r="Q599" s="448">
        <f t="shared" si="5"/>
        <v>0</v>
      </c>
      <c r="R599" s="648" t="str">
        <f>IFERROR(IF(S599="","",(VLOOKUP(S599,'1. BQ RAPL'!$D$14:$K637,8,0))),"")</f>
        <v/>
      </c>
      <c r="S599" s="649"/>
      <c r="T599" s="650"/>
      <c r="U599" s="16"/>
      <c r="V599" s="16"/>
      <c r="W599" s="16"/>
      <c r="X599" s="119"/>
      <c r="Y599" s="119"/>
      <c r="Z599" s="119"/>
      <c r="AA599" s="119"/>
      <c r="AB599" s="119"/>
      <c r="AC599" s="119"/>
      <c r="AD599" s="119"/>
      <c r="AE599" s="119"/>
      <c r="AF599" s="119"/>
    </row>
    <row r="600" ht="18.75" customHeight="1">
      <c r="A600" s="119"/>
      <c r="B600" s="652"/>
      <c r="C600" s="642">
        <f>IF(F600=0,0,(VLOOKUP(F600,'MTRL MSK (TPDP)'!$F$9:$W637,18,0)))</f>
        <v>0</v>
      </c>
      <c r="D600" s="642">
        <f>IF(C600=0,0,(VLOOKUP(C600,'MTRL MSK (TPDP)'!$B$9:$W637,3,0)))</f>
        <v>0</v>
      </c>
      <c r="E600" s="643" t="str">
        <f>iferror(IF(C600="","",(VLOOKUP(C600,'MTRL MSK (TPDP)'!$B$9:$W637,4,0))),"")</f>
        <v/>
      </c>
      <c r="F600" s="644">
        <f>IF(H600=0,0,(VLOOKUP(H600,'MTRL MSK (TPDP)'!$H$9:$X637,17,0)))</f>
        <v>0</v>
      </c>
      <c r="G600" s="645"/>
      <c r="H600" s="646"/>
      <c r="I600" s="446">
        <f>IF(H600=0,0,(VLOOKUP(H600,'MTRL MSK (TPDP)'!$H$9:$U637,2,0)))</f>
        <v>0</v>
      </c>
      <c r="J600" s="448" t="str">
        <f>IFERROR((IF(H600=0,0,(VLOOKUP(H600,'MTRL MSK (TPDP)'!$H$8:$U637,7,0))))/(IF(H600=0,0,(VLOOKUP(H600,'MTRL MSK (TPDP)'!$H$8:$U637,5,0)))),"")</f>
        <v/>
      </c>
      <c r="K600" s="559"/>
      <c r="L600" s="448">
        <f t="shared" si="1"/>
        <v>0</v>
      </c>
      <c r="M600" s="647">
        <f t="shared" si="2"/>
        <v>0</v>
      </c>
      <c r="N600" s="647">
        <f t="shared" si="3"/>
        <v>0</v>
      </c>
      <c r="O600" s="448">
        <f>IF(H600=0,0,(VLOOKUP(H600,'MTRL MSK (TPDP)'!$H$9:$U637,5,0)))</f>
        <v>0</v>
      </c>
      <c r="P600" s="448">
        <f t="shared" si="4"/>
        <v>0</v>
      </c>
      <c r="Q600" s="448">
        <f t="shared" si="5"/>
        <v>0</v>
      </c>
      <c r="R600" s="648" t="str">
        <f>IFERROR(IF(S600="","",(VLOOKUP(S600,'1. BQ RAPL'!$D$14:$K637,8,0))),"")</f>
        <v/>
      </c>
      <c r="S600" s="649"/>
      <c r="T600" s="650"/>
      <c r="U600" s="16"/>
      <c r="V600" s="16"/>
      <c r="W600" s="16"/>
      <c r="X600" s="119"/>
      <c r="Y600" s="119"/>
      <c r="Z600" s="119"/>
      <c r="AA600" s="119"/>
      <c r="AB600" s="119"/>
      <c r="AC600" s="119"/>
      <c r="AD600" s="119"/>
      <c r="AE600" s="119"/>
      <c r="AF600" s="119"/>
    </row>
    <row r="601" ht="18.75" customHeight="1">
      <c r="A601" s="119"/>
      <c r="B601" s="652"/>
      <c r="C601" s="642">
        <f>IF(F601=0,0,(VLOOKUP(F601,'MTRL MSK (TPDP)'!$F$9:$W637,18,0)))</f>
        <v>0</v>
      </c>
      <c r="D601" s="642">
        <f>IF(C601=0,0,(VLOOKUP(C601,'MTRL MSK (TPDP)'!$B$9:$W637,3,0)))</f>
        <v>0</v>
      </c>
      <c r="E601" s="643" t="str">
        <f>iferror(IF(C601="","",(VLOOKUP(C601,'MTRL MSK (TPDP)'!$B$9:$W637,4,0))),"")</f>
        <v/>
      </c>
      <c r="F601" s="644">
        <f>IF(H601=0,0,(VLOOKUP(H601,'MTRL MSK (TPDP)'!$H$9:$X637,17,0)))</f>
        <v>0</v>
      </c>
      <c r="G601" s="645"/>
      <c r="H601" s="646"/>
      <c r="I601" s="446">
        <f>IF(H601=0,0,(VLOOKUP(H601,'MTRL MSK (TPDP)'!$H$9:$U637,2,0)))</f>
        <v>0</v>
      </c>
      <c r="J601" s="448" t="str">
        <f>IFERROR((IF(H601=0,0,(VLOOKUP(H601,'MTRL MSK (TPDP)'!$H$8:$U637,7,0))))/(IF(H601=0,0,(VLOOKUP(H601,'MTRL MSK (TPDP)'!$H$8:$U637,5,0)))),"")</f>
        <v/>
      </c>
      <c r="K601" s="559"/>
      <c r="L601" s="448">
        <f t="shared" si="1"/>
        <v>0</v>
      </c>
      <c r="M601" s="647">
        <f t="shared" si="2"/>
        <v>0</v>
      </c>
      <c r="N601" s="647">
        <f t="shared" si="3"/>
        <v>0</v>
      </c>
      <c r="O601" s="448">
        <f>IF(H601=0,0,(VLOOKUP(H601,'MTRL MSK (TPDP)'!$H$9:$U637,5,0)))</f>
        <v>0</v>
      </c>
      <c r="P601" s="448">
        <f t="shared" si="4"/>
        <v>0</v>
      </c>
      <c r="Q601" s="448">
        <f t="shared" si="5"/>
        <v>0</v>
      </c>
      <c r="R601" s="648" t="str">
        <f>IFERROR(IF(S601="","",(VLOOKUP(S601,'1. BQ RAPL'!$D$14:$K637,8,0))),"")</f>
        <v/>
      </c>
      <c r="S601" s="649"/>
      <c r="T601" s="650"/>
      <c r="U601" s="16"/>
      <c r="V601" s="16"/>
      <c r="W601" s="16"/>
      <c r="X601" s="119"/>
      <c r="Y601" s="119"/>
      <c r="Z601" s="119"/>
      <c r="AA601" s="119"/>
      <c r="AB601" s="119"/>
      <c r="AC601" s="119"/>
      <c r="AD601" s="119"/>
      <c r="AE601" s="119"/>
      <c r="AF601" s="119"/>
    </row>
    <row r="602" ht="18.75" customHeight="1">
      <c r="A602" s="119"/>
      <c r="B602" s="652"/>
      <c r="C602" s="642">
        <f>IF(F602=0,0,(VLOOKUP(F602,'MTRL MSK (TPDP)'!$F$9:$W637,18,0)))</f>
        <v>0</v>
      </c>
      <c r="D602" s="642">
        <f>IF(C602=0,0,(VLOOKUP(C602,'MTRL MSK (TPDP)'!$B$9:$W637,3,0)))</f>
        <v>0</v>
      </c>
      <c r="E602" s="643" t="str">
        <f>iferror(IF(C602="","",(VLOOKUP(C602,'MTRL MSK (TPDP)'!$B$9:$W637,4,0))),"")</f>
        <v/>
      </c>
      <c r="F602" s="644">
        <f>IF(H602=0,0,(VLOOKUP(H602,'MTRL MSK (TPDP)'!$H$9:$X637,17,0)))</f>
        <v>0</v>
      </c>
      <c r="G602" s="645"/>
      <c r="H602" s="646"/>
      <c r="I602" s="446">
        <f>IF(H602=0,0,(VLOOKUP(H602,'MTRL MSK (TPDP)'!$H$9:$U637,2,0)))</f>
        <v>0</v>
      </c>
      <c r="J602" s="448" t="str">
        <f>IFERROR((IF(H602=0,0,(VLOOKUP(H602,'MTRL MSK (TPDP)'!$H$8:$U637,7,0))))/(IF(H602=0,0,(VLOOKUP(H602,'MTRL MSK (TPDP)'!$H$8:$U637,5,0)))),"")</f>
        <v/>
      </c>
      <c r="K602" s="559"/>
      <c r="L602" s="448">
        <f t="shared" si="1"/>
        <v>0</v>
      </c>
      <c r="M602" s="647">
        <f t="shared" si="2"/>
        <v>0</v>
      </c>
      <c r="N602" s="647">
        <f t="shared" si="3"/>
        <v>0</v>
      </c>
      <c r="O602" s="448">
        <f>IF(H602=0,0,(VLOOKUP(H602,'MTRL MSK (TPDP)'!$H$9:$U637,5,0)))</f>
        <v>0</v>
      </c>
      <c r="P602" s="448">
        <f t="shared" si="4"/>
        <v>0</v>
      </c>
      <c r="Q602" s="448">
        <f t="shared" si="5"/>
        <v>0</v>
      </c>
      <c r="R602" s="648" t="str">
        <f>IFERROR(IF(S602="","",(VLOOKUP(S602,'1. BQ RAPL'!$D$14:$K637,8,0))),"")</f>
        <v/>
      </c>
      <c r="S602" s="649"/>
      <c r="T602" s="650"/>
      <c r="U602" s="16"/>
      <c r="V602" s="16"/>
      <c r="W602" s="16"/>
      <c r="X602" s="119"/>
      <c r="Y602" s="119"/>
      <c r="Z602" s="119"/>
      <c r="AA602" s="119"/>
      <c r="AB602" s="119"/>
      <c r="AC602" s="119"/>
      <c r="AD602" s="119"/>
      <c r="AE602" s="119"/>
      <c r="AF602" s="119"/>
    </row>
    <row r="603" ht="18.75" customHeight="1">
      <c r="A603" s="119"/>
      <c r="B603" s="652"/>
      <c r="C603" s="642">
        <f>IF(F603=0,0,(VLOOKUP(F603,'MTRL MSK (TPDP)'!$F$9:$W637,18,0)))</f>
        <v>0</v>
      </c>
      <c r="D603" s="642">
        <f>IF(C603=0,0,(VLOOKUP(C603,'MTRL MSK (TPDP)'!$B$9:$W637,3,0)))</f>
        <v>0</v>
      </c>
      <c r="E603" s="643" t="str">
        <f>iferror(IF(C603="","",(VLOOKUP(C603,'MTRL MSK (TPDP)'!$B$9:$W637,4,0))),"")</f>
        <v/>
      </c>
      <c r="F603" s="644">
        <f>IF(H603=0,0,(VLOOKUP(H603,'MTRL MSK (TPDP)'!$H$9:$X637,17,0)))</f>
        <v>0</v>
      </c>
      <c r="G603" s="645"/>
      <c r="H603" s="646"/>
      <c r="I603" s="446">
        <f>IF(H603=0,0,(VLOOKUP(H603,'MTRL MSK (TPDP)'!$H$9:$U637,2,0)))</f>
        <v>0</v>
      </c>
      <c r="J603" s="448" t="str">
        <f>IFERROR((IF(H603=0,0,(VLOOKUP(H603,'MTRL MSK (TPDP)'!$H$8:$U637,7,0))))/(IF(H603=0,0,(VLOOKUP(H603,'MTRL MSK (TPDP)'!$H$8:$U637,5,0)))),"")</f>
        <v/>
      </c>
      <c r="K603" s="559"/>
      <c r="L603" s="448">
        <f t="shared" si="1"/>
        <v>0</v>
      </c>
      <c r="M603" s="647">
        <f t="shared" si="2"/>
        <v>0</v>
      </c>
      <c r="N603" s="647">
        <f t="shared" si="3"/>
        <v>0</v>
      </c>
      <c r="O603" s="448">
        <f>IF(H603=0,0,(VLOOKUP(H603,'MTRL MSK (TPDP)'!$H$9:$U637,5,0)))</f>
        <v>0</v>
      </c>
      <c r="P603" s="448">
        <f t="shared" si="4"/>
        <v>0</v>
      </c>
      <c r="Q603" s="448">
        <f t="shared" si="5"/>
        <v>0</v>
      </c>
      <c r="R603" s="648" t="str">
        <f>IFERROR(IF(S603="","",(VLOOKUP(S603,'1. BQ RAPL'!$D$14:$K637,8,0))),"")</f>
        <v/>
      </c>
      <c r="S603" s="649"/>
      <c r="T603" s="650"/>
      <c r="U603" s="16"/>
      <c r="V603" s="16"/>
      <c r="W603" s="16"/>
      <c r="X603" s="119"/>
      <c r="Y603" s="119"/>
      <c r="Z603" s="119"/>
      <c r="AA603" s="119"/>
      <c r="AB603" s="119"/>
      <c r="AC603" s="119"/>
      <c r="AD603" s="119"/>
      <c r="AE603" s="119"/>
      <c r="AF603" s="119"/>
    </row>
    <row r="604" ht="18.75" customHeight="1">
      <c r="A604" s="119"/>
      <c r="B604" s="652"/>
      <c r="C604" s="642">
        <f>IF(F604=0,0,(VLOOKUP(F604,'MTRL MSK (TPDP)'!$F$9:$W637,18,0)))</f>
        <v>0</v>
      </c>
      <c r="D604" s="642">
        <f>IF(C604=0,0,(VLOOKUP(C604,'MTRL MSK (TPDP)'!$B$9:$W637,3,0)))</f>
        <v>0</v>
      </c>
      <c r="E604" s="643" t="str">
        <f>iferror(IF(C604="","",(VLOOKUP(C604,'MTRL MSK (TPDP)'!$B$9:$W637,4,0))),"")</f>
        <v/>
      </c>
      <c r="F604" s="644">
        <f>IF(H604=0,0,(VLOOKUP(H604,'MTRL MSK (TPDP)'!$H$9:$X637,17,0)))</f>
        <v>0</v>
      </c>
      <c r="G604" s="645"/>
      <c r="H604" s="646"/>
      <c r="I604" s="446">
        <f>IF(H604=0,0,(VLOOKUP(H604,'MTRL MSK (TPDP)'!$H$9:$U637,2,0)))</f>
        <v>0</v>
      </c>
      <c r="J604" s="448" t="str">
        <f>IFERROR((IF(H604=0,0,(VLOOKUP(H604,'MTRL MSK (TPDP)'!$H$8:$U637,7,0))))/(IF(H604=0,0,(VLOOKUP(H604,'MTRL MSK (TPDP)'!$H$8:$U637,5,0)))),"")</f>
        <v/>
      </c>
      <c r="K604" s="559"/>
      <c r="L604" s="448">
        <f t="shared" si="1"/>
        <v>0</v>
      </c>
      <c r="M604" s="647">
        <f t="shared" si="2"/>
        <v>0</v>
      </c>
      <c r="N604" s="647">
        <f t="shared" si="3"/>
        <v>0</v>
      </c>
      <c r="O604" s="448">
        <f>IF(H604=0,0,(VLOOKUP(H604,'MTRL MSK (TPDP)'!$H$9:$U637,5,0)))</f>
        <v>0</v>
      </c>
      <c r="P604" s="448">
        <f t="shared" si="4"/>
        <v>0</v>
      </c>
      <c r="Q604" s="448">
        <f t="shared" si="5"/>
        <v>0</v>
      </c>
      <c r="R604" s="648" t="str">
        <f>IFERROR(IF(S604="","",(VLOOKUP(S604,'1. BQ RAPL'!$D$14:$K637,8,0))),"")</f>
        <v/>
      </c>
      <c r="S604" s="649"/>
      <c r="T604" s="650"/>
      <c r="U604" s="16"/>
      <c r="V604" s="16"/>
      <c r="W604" s="16"/>
      <c r="X604" s="119"/>
      <c r="Y604" s="119"/>
      <c r="Z604" s="119"/>
      <c r="AA604" s="119"/>
      <c r="AB604" s="119"/>
      <c r="AC604" s="119"/>
      <c r="AD604" s="119"/>
      <c r="AE604" s="119"/>
      <c r="AF604" s="119"/>
    </row>
    <row r="605" ht="18.75" customHeight="1">
      <c r="A605" s="119"/>
      <c r="B605" s="652"/>
      <c r="C605" s="642">
        <f>IF(F605=0,0,(VLOOKUP(F605,'MTRL MSK (TPDP)'!$F$9:$W637,18,0)))</f>
        <v>0</v>
      </c>
      <c r="D605" s="642">
        <f>IF(C605=0,0,(VLOOKUP(C605,'MTRL MSK (TPDP)'!$B$9:$W637,3,0)))</f>
        <v>0</v>
      </c>
      <c r="E605" s="643" t="str">
        <f>iferror(IF(C605="","",(VLOOKUP(C605,'MTRL MSK (TPDP)'!$B$9:$W637,4,0))),"")</f>
        <v/>
      </c>
      <c r="F605" s="644">
        <f>IF(H605=0,0,(VLOOKUP(H605,'MTRL MSK (TPDP)'!$H$9:$X637,17,0)))</f>
        <v>0</v>
      </c>
      <c r="G605" s="645"/>
      <c r="H605" s="646"/>
      <c r="I605" s="446">
        <f>IF(H605=0,0,(VLOOKUP(H605,'MTRL MSK (TPDP)'!$H$9:$U637,2,0)))</f>
        <v>0</v>
      </c>
      <c r="J605" s="448" t="str">
        <f>IFERROR((IF(H605=0,0,(VLOOKUP(H605,'MTRL MSK (TPDP)'!$H$8:$U637,7,0))))/(IF(H605=0,0,(VLOOKUP(H605,'MTRL MSK (TPDP)'!$H$8:$U637,5,0)))),"")</f>
        <v/>
      </c>
      <c r="K605" s="559"/>
      <c r="L605" s="448">
        <f t="shared" si="1"/>
        <v>0</v>
      </c>
      <c r="M605" s="647">
        <f t="shared" si="2"/>
        <v>0</v>
      </c>
      <c r="N605" s="647">
        <f t="shared" si="3"/>
        <v>0</v>
      </c>
      <c r="O605" s="448">
        <f>IF(H605=0,0,(VLOOKUP(H605,'MTRL MSK (TPDP)'!$H$9:$U637,5,0)))</f>
        <v>0</v>
      </c>
      <c r="P605" s="448">
        <f t="shared" si="4"/>
        <v>0</v>
      </c>
      <c r="Q605" s="448">
        <f t="shared" si="5"/>
        <v>0</v>
      </c>
      <c r="R605" s="648" t="str">
        <f>IFERROR(IF(S605="","",(VLOOKUP(S605,'1. BQ RAPL'!$D$14:$K637,8,0))),"")</f>
        <v/>
      </c>
      <c r="S605" s="649"/>
      <c r="T605" s="650"/>
      <c r="U605" s="16"/>
      <c r="V605" s="16"/>
      <c r="W605" s="16"/>
      <c r="X605" s="119"/>
      <c r="Y605" s="119"/>
      <c r="Z605" s="119"/>
      <c r="AA605" s="119"/>
      <c r="AB605" s="119"/>
      <c r="AC605" s="119"/>
      <c r="AD605" s="119"/>
      <c r="AE605" s="119"/>
      <c r="AF605" s="119"/>
    </row>
    <row r="606" ht="18.75" customHeight="1">
      <c r="A606" s="119"/>
      <c r="B606" s="652"/>
      <c r="C606" s="642">
        <f>IF(F606=0,0,(VLOOKUP(F606,'MTRL MSK (TPDP)'!$F$9:$W637,18,0)))</f>
        <v>0</v>
      </c>
      <c r="D606" s="642">
        <f>IF(C606=0,0,(VLOOKUP(C606,'MTRL MSK (TPDP)'!$B$9:$W637,3,0)))</f>
        <v>0</v>
      </c>
      <c r="E606" s="643" t="str">
        <f>iferror(IF(C606="","",(VLOOKUP(C606,'MTRL MSK (TPDP)'!$B$9:$W637,4,0))),"")</f>
        <v/>
      </c>
      <c r="F606" s="644">
        <f>IF(H606=0,0,(VLOOKUP(H606,'MTRL MSK (TPDP)'!$H$9:$X637,17,0)))</f>
        <v>0</v>
      </c>
      <c r="G606" s="645"/>
      <c r="H606" s="646"/>
      <c r="I606" s="446">
        <f>IF(H606=0,0,(VLOOKUP(H606,'MTRL MSK (TPDP)'!$H$9:$U637,2,0)))</f>
        <v>0</v>
      </c>
      <c r="J606" s="448" t="str">
        <f>IFERROR((IF(H606=0,0,(VLOOKUP(H606,'MTRL MSK (TPDP)'!$H$8:$U637,7,0))))/(IF(H606=0,0,(VLOOKUP(H606,'MTRL MSK (TPDP)'!$H$8:$U637,5,0)))),"")</f>
        <v/>
      </c>
      <c r="K606" s="559"/>
      <c r="L606" s="448">
        <f t="shared" si="1"/>
        <v>0</v>
      </c>
      <c r="M606" s="647">
        <f t="shared" si="2"/>
        <v>0</v>
      </c>
      <c r="N606" s="647">
        <f t="shared" si="3"/>
        <v>0</v>
      </c>
      <c r="O606" s="448">
        <f>IF(H606=0,0,(VLOOKUP(H606,'MTRL MSK (TPDP)'!$H$9:$U637,5,0)))</f>
        <v>0</v>
      </c>
      <c r="P606" s="448">
        <f t="shared" si="4"/>
        <v>0</v>
      </c>
      <c r="Q606" s="448">
        <f t="shared" si="5"/>
        <v>0</v>
      </c>
      <c r="R606" s="648" t="str">
        <f>IFERROR(IF(S606="","",(VLOOKUP(S606,'1. BQ RAPL'!$D$14:$K637,8,0))),"")</f>
        <v/>
      </c>
      <c r="S606" s="649"/>
      <c r="T606" s="650"/>
      <c r="U606" s="16"/>
      <c r="V606" s="16"/>
      <c r="W606" s="16"/>
      <c r="X606" s="119"/>
      <c r="Y606" s="119"/>
      <c r="Z606" s="119"/>
      <c r="AA606" s="119"/>
      <c r="AB606" s="119"/>
      <c r="AC606" s="119"/>
      <c r="AD606" s="119"/>
      <c r="AE606" s="119"/>
      <c r="AF606" s="119"/>
    </row>
    <row r="607" ht="18.75" customHeight="1">
      <c r="A607" s="119"/>
      <c r="B607" s="652"/>
      <c r="C607" s="642">
        <f>IF(F607=0,0,(VLOOKUP(F607,'MTRL MSK (TPDP)'!$F$9:$W637,18,0)))</f>
        <v>0</v>
      </c>
      <c r="D607" s="642">
        <f>IF(C607=0,0,(VLOOKUP(C607,'MTRL MSK (TPDP)'!$B$9:$W637,3,0)))</f>
        <v>0</v>
      </c>
      <c r="E607" s="643" t="str">
        <f>iferror(IF(C607="","",(VLOOKUP(C607,'MTRL MSK (TPDP)'!$B$9:$W637,4,0))),"")</f>
        <v/>
      </c>
      <c r="F607" s="644">
        <f>IF(H607=0,0,(VLOOKUP(H607,'MTRL MSK (TPDP)'!$H$9:$X637,17,0)))</f>
        <v>0</v>
      </c>
      <c r="G607" s="645"/>
      <c r="H607" s="646"/>
      <c r="I607" s="446">
        <f>IF(H607=0,0,(VLOOKUP(H607,'MTRL MSK (TPDP)'!$H$9:$U637,2,0)))</f>
        <v>0</v>
      </c>
      <c r="J607" s="448" t="str">
        <f>IFERROR((IF(H607=0,0,(VLOOKUP(H607,'MTRL MSK (TPDP)'!$H$8:$U637,7,0))))/(IF(H607=0,0,(VLOOKUP(H607,'MTRL MSK (TPDP)'!$H$8:$U637,5,0)))),"")</f>
        <v/>
      </c>
      <c r="K607" s="559"/>
      <c r="L607" s="448">
        <f t="shared" si="1"/>
        <v>0</v>
      </c>
      <c r="M607" s="647">
        <f t="shared" si="2"/>
        <v>0</v>
      </c>
      <c r="N607" s="647">
        <f t="shared" si="3"/>
        <v>0</v>
      </c>
      <c r="O607" s="448">
        <f>IF(H607=0,0,(VLOOKUP(H607,'MTRL MSK (TPDP)'!$H$9:$U637,5,0)))</f>
        <v>0</v>
      </c>
      <c r="P607" s="448">
        <f t="shared" si="4"/>
        <v>0</v>
      </c>
      <c r="Q607" s="448">
        <f t="shared" si="5"/>
        <v>0</v>
      </c>
      <c r="R607" s="648" t="str">
        <f>IFERROR(IF(S607="","",(VLOOKUP(S607,'1. BQ RAPL'!$D$14:$K637,8,0))),"")</f>
        <v/>
      </c>
      <c r="S607" s="649"/>
      <c r="T607" s="650"/>
      <c r="U607" s="16"/>
      <c r="V607" s="16"/>
      <c r="W607" s="16"/>
      <c r="X607" s="119"/>
      <c r="Y607" s="119"/>
      <c r="Z607" s="119"/>
      <c r="AA607" s="119"/>
      <c r="AB607" s="119"/>
      <c r="AC607" s="119"/>
      <c r="AD607" s="119"/>
      <c r="AE607" s="119"/>
      <c r="AF607" s="119"/>
    </row>
    <row r="608" ht="18.75" customHeight="1">
      <c r="A608" s="119"/>
      <c r="B608" s="652"/>
      <c r="C608" s="642">
        <f>IF(F608=0,0,(VLOOKUP(F608,'MTRL MSK (TPDP)'!$F$9:$W637,18,0)))</f>
        <v>0</v>
      </c>
      <c r="D608" s="642">
        <f>IF(C608=0,0,(VLOOKUP(C608,'MTRL MSK (TPDP)'!$B$9:$W637,3,0)))</f>
        <v>0</v>
      </c>
      <c r="E608" s="643" t="str">
        <f>iferror(IF(C608="","",(VLOOKUP(C608,'MTRL MSK (TPDP)'!$B$9:$W637,4,0))),"")</f>
        <v/>
      </c>
      <c r="F608" s="644">
        <f>IF(H608=0,0,(VLOOKUP(H608,'MTRL MSK (TPDP)'!$H$9:$X637,17,0)))</f>
        <v>0</v>
      </c>
      <c r="G608" s="645"/>
      <c r="H608" s="646"/>
      <c r="I608" s="446">
        <f>IF(H608=0,0,(VLOOKUP(H608,'MTRL MSK (TPDP)'!$H$9:$U637,2,0)))</f>
        <v>0</v>
      </c>
      <c r="J608" s="448" t="str">
        <f>IFERROR((IF(H608=0,0,(VLOOKUP(H608,'MTRL MSK (TPDP)'!$H$8:$U637,7,0))))/(IF(H608=0,0,(VLOOKUP(H608,'MTRL MSK (TPDP)'!$H$8:$U637,5,0)))),"")</f>
        <v/>
      </c>
      <c r="K608" s="559"/>
      <c r="L608" s="448">
        <f t="shared" si="1"/>
        <v>0</v>
      </c>
      <c r="M608" s="647">
        <f t="shared" si="2"/>
        <v>0</v>
      </c>
      <c r="N608" s="647">
        <f t="shared" si="3"/>
        <v>0</v>
      </c>
      <c r="O608" s="448">
        <f>IF(H608=0,0,(VLOOKUP(H608,'MTRL MSK (TPDP)'!$H$9:$U637,5,0)))</f>
        <v>0</v>
      </c>
      <c r="P608" s="448">
        <f t="shared" si="4"/>
        <v>0</v>
      </c>
      <c r="Q608" s="448">
        <f t="shared" si="5"/>
        <v>0</v>
      </c>
      <c r="R608" s="648" t="str">
        <f>IFERROR(IF(S608="","",(VLOOKUP(S608,'1. BQ RAPL'!$D$14:$K637,8,0))),"")</f>
        <v/>
      </c>
      <c r="S608" s="649"/>
      <c r="T608" s="650"/>
      <c r="U608" s="16"/>
      <c r="V608" s="16"/>
      <c r="W608" s="16"/>
      <c r="X608" s="119"/>
      <c r="Y608" s="119"/>
      <c r="Z608" s="119"/>
      <c r="AA608" s="119"/>
      <c r="AB608" s="119"/>
      <c r="AC608" s="119"/>
      <c r="AD608" s="119"/>
      <c r="AE608" s="119"/>
      <c r="AF608" s="119"/>
    </row>
    <row r="609" ht="18.75" customHeight="1">
      <c r="A609" s="119"/>
      <c r="B609" s="652"/>
      <c r="C609" s="642">
        <f>IF(F609=0,0,(VLOOKUP(F609,'MTRL MSK (TPDP)'!$F$9:$W637,18,0)))</f>
        <v>0</v>
      </c>
      <c r="D609" s="642">
        <f>IF(C609=0,0,(VLOOKUP(C609,'MTRL MSK (TPDP)'!$B$9:$W637,3,0)))</f>
        <v>0</v>
      </c>
      <c r="E609" s="643" t="str">
        <f>iferror(IF(C609="","",(VLOOKUP(C609,'MTRL MSK (TPDP)'!$B$9:$W637,4,0))),"")</f>
        <v/>
      </c>
      <c r="F609" s="644">
        <f>IF(H609=0,0,(VLOOKUP(H609,'MTRL MSK (TPDP)'!$H$9:$X637,17,0)))</f>
        <v>0</v>
      </c>
      <c r="G609" s="645"/>
      <c r="H609" s="646"/>
      <c r="I609" s="446">
        <f>IF(H609=0,0,(VLOOKUP(H609,'MTRL MSK (TPDP)'!$H$9:$U637,2,0)))</f>
        <v>0</v>
      </c>
      <c r="J609" s="448" t="str">
        <f>IFERROR((IF(H609=0,0,(VLOOKUP(H609,'MTRL MSK (TPDP)'!$H$8:$U637,7,0))))/(IF(H609=0,0,(VLOOKUP(H609,'MTRL MSK (TPDP)'!$H$8:$U637,5,0)))),"")</f>
        <v/>
      </c>
      <c r="K609" s="559"/>
      <c r="L609" s="448">
        <f t="shared" si="1"/>
        <v>0</v>
      </c>
      <c r="M609" s="647">
        <f t="shared" si="2"/>
        <v>0</v>
      </c>
      <c r="N609" s="647">
        <f t="shared" si="3"/>
        <v>0</v>
      </c>
      <c r="O609" s="448">
        <f>IF(H609=0,0,(VLOOKUP(H609,'MTRL MSK (TPDP)'!$H$9:$U637,5,0)))</f>
        <v>0</v>
      </c>
      <c r="P609" s="448">
        <f t="shared" si="4"/>
        <v>0</v>
      </c>
      <c r="Q609" s="448">
        <f t="shared" si="5"/>
        <v>0</v>
      </c>
      <c r="R609" s="648" t="str">
        <f>IFERROR(IF(S609="","",(VLOOKUP(S609,'1. BQ RAPL'!$D$14:$K637,8,0))),"")</f>
        <v/>
      </c>
      <c r="S609" s="649"/>
      <c r="T609" s="650"/>
      <c r="U609" s="16"/>
      <c r="V609" s="16"/>
      <c r="W609" s="16"/>
      <c r="X609" s="119"/>
      <c r="Y609" s="119"/>
      <c r="Z609" s="119"/>
      <c r="AA609" s="119"/>
      <c r="AB609" s="119"/>
      <c r="AC609" s="119"/>
      <c r="AD609" s="119"/>
      <c r="AE609" s="119"/>
      <c r="AF609" s="119"/>
    </row>
    <row r="610" ht="18.75" customHeight="1">
      <c r="A610" s="119"/>
      <c r="B610" s="652"/>
      <c r="C610" s="642">
        <f>IF(F610=0,0,(VLOOKUP(F610,'MTRL MSK (TPDP)'!$F$9:$W637,18,0)))</f>
        <v>0</v>
      </c>
      <c r="D610" s="642">
        <f>IF(C610=0,0,(VLOOKUP(C610,'MTRL MSK (TPDP)'!$B$9:$W637,3,0)))</f>
        <v>0</v>
      </c>
      <c r="E610" s="643" t="str">
        <f>iferror(IF(C610="","",(VLOOKUP(C610,'MTRL MSK (TPDP)'!$B$9:$W637,4,0))),"")</f>
        <v/>
      </c>
      <c r="F610" s="644">
        <f>IF(H610=0,0,(VLOOKUP(H610,'MTRL MSK (TPDP)'!$H$9:$X637,17,0)))</f>
        <v>0</v>
      </c>
      <c r="G610" s="645"/>
      <c r="H610" s="646"/>
      <c r="I610" s="446">
        <f>IF(H610=0,0,(VLOOKUP(H610,'MTRL MSK (TPDP)'!$H$9:$U637,2,0)))</f>
        <v>0</v>
      </c>
      <c r="J610" s="448" t="str">
        <f>IFERROR((IF(H610=0,0,(VLOOKUP(H610,'MTRL MSK (TPDP)'!$H$8:$U637,7,0))))/(IF(H610=0,0,(VLOOKUP(H610,'MTRL MSK (TPDP)'!$H$8:$U637,5,0)))),"")</f>
        <v/>
      </c>
      <c r="K610" s="559"/>
      <c r="L610" s="448">
        <f t="shared" si="1"/>
        <v>0</v>
      </c>
      <c r="M610" s="647">
        <f t="shared" si="2"/>
        <v>0</v>
      </c>
      <c r="N610" s="647">
        <f t="shared" si="3"/>
        <v>0</v>
      </c>
      <c r="O610" s="448">
        <f>IF(H610=0,0,(VLOOKUP(H610,'MTRL MSK (TPDP)'!$H$9:$U637,5,0)))</f>
        <v>0</v>
      </c>
      <c r="P610" s="448">
        <f t="shared" si="4"/>
        <v>0</v>
      </c>
      <c r="Q610" s="448">
        <f t="shared" si="5"/>
        <v>0</v>
      </c>
      <c r="R610" s="648" t="str">
        <f>IFERROR(IF(S610="","",(VLOOKUP(S610,'1. BQ RAPL'!$D$14:$K637,8,0))),"")</f>
        <v/>
      </c>
      <c r="S610" s="649"/>
      <c r="T610" s="650"/>
      <c r="U610" s="16"/>
      <c r="V610" s="16"/>
      <c r="W610" s="16"/>
      <c r="X610" s="119"/>
      <c r="Y610" s="119"/>
      <c r="Z610" s="119"/>
      <c r="AA610" s="119"/>
      <c r="AB610" s="119"/>
      <c r="AC610" s="119"/>
      <c r="AD610" s="119"/>
      <c r="AE610" s="119"/>
      <c r="AF610" s="119"/>
    </row>
    <row r="611" ht="18.75" customHeight="1">
      <c r="A611" s="119"/>
      <c r="B611" s="652"/>
      <c r="C611" s="642">
        <f>IF(F611=0,0,(VLOOKUP(F611,'MTRL MSK (TPDP)'!$F$9:$W637,18,0)))</f>
        <v>0</v>
      </c>
      <c r="D611" s="642">
        <f>IF(C611=0,0,(VLOOKUP(C611,'MTRL MSK (TPDP)'!$B$9:$W637,3,0)))</f>
        <v>0</v>
      </c>
      <c r="E611" s="643" t="str">
        <f>iferror(IF(C611="","",(VLOOKUP(C611,'MTRL MSK (TPDP)'!$B$9:$W637,4,0))),"")</f>
        <v/>
      </c>
      <c r="F611" s="644">
        <f>IF(H611=0,0,(VLOOKUP(H611,'MTRL MSK (TPDP)'!$H$9:$X637,17,0)))</f>
        <v>0</v>
      </c>
      <c r="G611" s="645"/>
      <c r="H611" s="646"/>
      <c r="I611" s="446">
        <f>IF(H611=0,0,(VLOOKUP(H611,'MTRL MSK (TPDP)'!$H$9:$U637,2,0)))</f>
        <v>0</v>
      </c>
      <c r="J611" s="448" t="str">
        <f>IFERROR((IF(H611=0,0,(VLOOKUP(H611,'MTRL MSK (TPDP)'!$H$8:$U637,7,0))))/(IF(H611=0,0,(VLOOKUP(H611,'MTRL MSK (TPDP)'!$H$8:$U637,5,0)))),"")</f>
        <v/>
      </c>
      <c r="K611" s="559"/>
      <c r="L611" s="448">
        <f t="shared" si="1"/>
        <v>0</v>
      </c>
      <c r="M611" s="647">
        <f t="shared" si="2"/>
        <v>0</v>
      </c>
      <c r="N611" s="647">
        <f t="shared" si="3"/>
        <v>0</v>
      </c>
      <c r="O611" s="448">
        <f>IF(H611=0,0,(VLOOKUP(H611,'MTRL MSK (TPDP)'!$H$9:$U637,5,0)))</f>
        <v>0</v>
      </c>
      <c r="P611" s="448">
        <f t="shared" si="4"/>
        <v>0</v>
      </c>
      <c r="Q611" s="448">
        <f t="shared" si="5"/>
        <v>0</v>
      </c>
      <c r="R611" s="648" t="str">
        <f>IFERROR(IF(S611="","",(VLOOKUP(S611,'1. BQ RAPL'!$D$14:$K637,8,0))),"")</f>
        <v/>
      </c>
      <c r="S611" s="649"/>
      <c r="T611" s="650"/>
      <c r="U611" s="16"/>
      <c r="V611" s="16"/>
      <c r="W611" s="16"/>
      <c r="X611" s="119"/>
      <c r="Y611" s="119"/>
      <c r="Z611" s="119"/>
      <c r="AA611" s="119"/>
      <c r="AB611" s="119"/>
      <c r="AC611" s="119"/>
      <c r="AD611" s="119"/>
      <c r="AE611" s="119"/>
      <c r="AF611" s="119"/>
    </row>
    <row r="612" ht="18.75" customHeight="1">
      <c r="A612" s="119"/>
      <c r="B612" s="652"/>
      <c r="C612" s="642">
        <f>IF(F612=0,0,(VLOOKUP(F612,'MTRL MSK (TPDP)'!$F$9:$W637,18,0)))</f>
        <v>0</v>
      </c>
      <c r="D612" s="642">
        <f>IF(C612=0,0,(VLOOKUP(C612,'MTRL MSK (TPDP)'!$B$9:$W637,3,0)))</f>
        <v>0</v>
      </c>
      <c r="E612" s="643" t="str">
        <f>iferror(IF(C612="","",(VLOOKUP(C612,'MTRL MSK (TPDP)'!$B$9:$W637,4,0))),"")</f>
        <v/>
      </c>
      <c r="F612" s="644">
        <f>IF(H612=0,0,(VLOOKUP(H612,'MTRL MSK (TPDP)'!$H$9:$X637,17,0)))</f>
        <v>0</v>
      </c>
      <c r="G612" s="645"/>
      <c r="H612" s="646"/>
      <c r="I612" s="446">
        <f>IF(H612=0,0,(VLOOKUP(H612,'MTRL MSK (TPDP)'!$H$9:$U637,2,0)))</f>
        <v>0</v>
      </c>
      <c r="J612" s="448" t="str">
        <f>IFERROR((IF(H612=0,0,(VLOOKUP(H612,'MTRL MSK (TPDP)'!$H$8:$U637,7,0))))/(IF(H612=0,0,(VLOOKUP(H612,'MTRL MSK (TPDP)'!$H$8:$U637,5,0)))),"")</f>
        <v/>
      </c>
      <c r="K612" s="559"/>
      <c r="L612" s="448">
        <f t="shared" si="1"/>
        <v>0</v>
      </c>
      <c r="M612" s="647">
        <f t="shared" si="2"/>
        <v>0</v>
      </c>
      <c r="N612" s="647">
        <f t="shared" si="3"/>
        <v>0</v>
      </c>
      <c r="O612" s="448">
        <f>IF(H612=0,0,(VLOOKUP(H612,'MTRL MSK (TPDP)'!$H$9:$U637,5,0)))</f>
        <v>0</v>
      </c>
      <c r="P612" s="448">
        <f t="shared" si="4"/>
        <v>0</v>
      </c>
      <c r="Q612" s="448">
        <f t="shared" si="5"/>
        <v>0</v>
      </c>
      <c r="R612" s="648" t="str">
        <f>IFERROR(IF(S612="","",(VLOOKUP(S612,'1. BQ RAPL'!$D$14:$K637,8,0))),"")</f>
        <v/>
      </c>
      <c r="S612" s="649"/>
      <c r="T612" s="650"/>
      <c r="U612" s="16"/>
      <c r="V612" s="16"/>
      <c r="W612" s="16"/>
      <c r="X612" s="119"/>
      <c r="Y612" s="119"/>
      <c r="Z612" s="119"/>
      <c r="AA612" s="119"/>
      <c r="AB612" s="119"/>
      <c r="AC612" s="119"/>
      <c r="AD612" s="119"/>
      <c r="AE612" s="119"/>
      <c r="AF612" s="119"/>
    </row>
    <row r="613" ht="18.75" customHeight="1">
      <c r="A613" s="119"/>
      <c r="B613" s="652"/>
      <c r="C613" s="642">
        <f>IF(F613=0,0,(VLOOKUP(F613,'MTRL MSK (TPDP)'!$F$9:$W637,18,0)))</f>
        <v>0</v>
      </c>
      <c r="D613" s="642">
        <f>IF(C613=0,0,(VLOOKUP(C613,'MTRL MSK (TPDP)'!$B$9:$W637,3,0)))</f>
        <v>0</v>
      </c>
      <c r="E613" s="643" t="str">
        <f>iferror(IF(C613="","",(VLOOKUP(C613,'MTRL MSK (TPDP)'!$B$9:$W637,4,0))),"")</f>
        <v/>
      </c>
      <c r="F613" s="644">
        <f>IF(H613=0,0,(VLOOKUP(H613,'MTRL MSK (TPDP)'!$H$9:$X637,17,0)))</f>
        <v>0</v>
      </c>
      <c r="G613" s="645"/>
      <c r="H613" s="646"/>
      <c r="I613" s="446">
        <f>IF(H613=0,0,(VLOOKUP(H613,'MTRL MSK (TPDP)'!$H$9:$U637,2,0)))</f>
        <v>0</v>
      </c>
      <c r="J613" s="448" t="str">
        <f>IFERROR((IF(H613=0,0,(VLOOKUP(H613,'MTRL MSK (TPDP)'!$H$8:$U637,7,0))))/(IF(H613=0,0,(VLOOKUP(H613,'MTRL MSK (TPDP)'!$H$8:$U637,5,0)))),"")</f>
        <v/>
      </c>
      <c r="K613" s="559"/>
      <c r="L613" s="448">
        <f t="shared" si="1"/>
        <v>0</v>
      </c>
      <c r="M613" s="647">
        <f t="shared" si="2"/>
        <v>0</v>
      </c>
      <c r="N613" s="647">
        <f t="shared" si="3"/>
        <v>0</v>
      </c>
      <c r="O613" s="448">
        <f>IF(H613=0,0,(VLOOKUP(H613,'MTRL MSK (TPDP)'!$H$9:$U637,5,0)))</f>
        <v>0</v>
      </c>
      <c r="P613" s="448">
        <f t="shared" si="4"/>
        <v>0</v>
      </c>
      <c r="Q613" s="448">
        <f t="shared" si="5"/>
        <v>0</v>
      </c>
      <c r="R613" s="648" t="str">
        <f>IFERROR(IF(S613="","",(VLOOKUP(S613,'1. BQ RAPL'!$D$14:$K637,8,0))),"")</f>
        <v/>
      </c>
      <c r="S613" s="649"/>
      <c r="T613" s="650"/>
      <c r="U613" s="16"/>
      <c r="V613" s="16"/>
      <c r="W613" s="16"/>
      <c r="X613" s="119"/>
      <c r="Y613" s="119"/>
      <c r="Z613" s="119"/>
      <c r="AA613" s="119"/>
      <c r="AB613" s="119"/>
      <c r="AC613" s="119"/>
      <c r="AD613" s="119"/>
      <c r="AE613" s="119"/>
      <c r="AF613" s="119"/>
    </row>
    <row r="614" ht="18.75" customHeight="1">
      <c r="A614" s="119"/>
      <c r="B614" s="652"/>
      <c r="C614" s="642">
        <f>IF(F614=0,0,(VLOOKUP(F614,'MTRL MSK (TPDP)'!$F$9:$W637,18,0)))</f>
        <v>0</v>
      </c>
      <c r="D614" s="642">
        <f>IF(C614=0,0,(VLOOKUP(C614,'MTRL MSK (TPDP)'!$B$9:$W637,3,0)))</f>
        <v>0</v>
      </c>
      <c r="E614" s="643" t="str">
        <f>iferror(IF(C614="","",(VLOOKUP(C614,'MTRL MSK (TPDP)'!$B$9:$W637,4,0))),"")</f>
        <v/>
      </c>
      <c r="F614" s="644">
        <f>IF(H614=0,0,(VLOOKUP(H614,'MTRL MSK (TPDP)'!$H$9:$X637,17,0)))</f>
        <v>0</v>
      </c>
      <c r="G614" s="645"/>
      <c r="H614" s="646"/>
      <c r="I614" s="446">
        <f>IF(H614=0,0,(VLOOKUP(H614,'MTRL MSK (TPDP)'!$H$9:$U637,2,0)))</f>
        <v>0</v>
      </c>
      <c r="J614" s="448" t="str">
        <f>IFERROR((IF(H614=0,0,(VLOOKUP(H614,'MTRL MSK (TPDP)'!$H$8:$U637,7,0))))/(IF(H614=0,0,(VLOOKUP(H614,'MTRL MSK (TPDP)'!$H$8:$U637,5,0)))),"")</f>
        <v/>
      </c>
      <c r="K614" s="559"/>
      <c r="L614" s="448">
        <f t="shared" si="1"/>
        <v>0</v>
      </c>
      <c r="M614" s="647">
        <f t="shared" si="2"/>
        <v>0</v>
      </c>
      <c r="N614" s="647">
        <f t="shared" si="3"/>
        <v>0</v>
      </c>
      <c r="O614" s="448">
        <f>IF(H614=0,0,(VLOOKUP(H614,'MTRL MSK (TPDP)'!$H$9:$U637,5,0)))</f>
        <v>0</v>
      </c>
      <c r="P614" s="448">
        <f t="shared" si="4"/>
        <v>0</v>
      </c>
      <c r="Q614" s="448">
        <f t="shared" si="5"/>
        <v>0</v>
      </c>
      <c r="R614" s="648" t="str">
        <f>IFERROR(IF(S614="","",(VLOOKUP(S614,'1. BQ RAPL'!$D$14:$K637,8,0))),"")</f>
        <v/>
      </c>
      <c r="S614" s="649"/>
      <c r="T614" s="650"/>
      <c r="U614" s="16"/>
      <c r="V614" s="16"/>
      <c r="W614" s="16"/>
      <c r="X614" s="119"/>
      <c r="Y614" s="119"/>
      <c r="Z614" s="119"/>
      <c r="AA614" s="119"/>
      <c r="AB614" s="119"/>
      <c r="AC614" s="119"/>
      <c r="AD614" s="119"/>
      <c r="AE614" s="119"/>
      <c r="AF614" s="119"/>
    </row>
    <row r="615" ht="18.75" customHeight="1">
      <c r="A615" s="119"/>
      <c r="B615" s="652"/>
      <c r="C615" s="642">
        <f>IF(F615=0,0,(VLOOKUP(F615,'MTRL MSK (TPDP)'!$F$9:$W637,18,0)))</f>
        <v>0</v>
      </c>
      <c r="D615" s="642">
        <f>IF(C615=0,0,(VLOOKUP(C615,'MTRL MSK (TPDP)'!$B$9:$W637,3,0)))</f>
        <v>0</v>
      </c>
      <c r="E615" s="643" t="str">
        <f>iferror(IF(C615="","",(VLOOKUP(C615,'MTRL MSK (TPDP)'!$B$9:$W637,4,0))),"")</f>
        <v/>
      </c>
      <c r="F615" s="644">
        <f>IF(H615=0,0,(VLOOKUP(H615,'MTRL MSK (TPDP)'!$H$9:$X637,17,0)))</f>
        <v>0</v>
      </c>
      <c r="G615" s="645"/>
      <c r="H615" s="646"/>
      <c r="I615" s="446">
        <f>IF(H615=0,0,(VLOOKUP(H615,'MTRL MSK (TPDP)'!$H$9:$U637,2,0)))</f>
        <v>0</v>
      </c>
      <c r="J615" s="448" t="str">
        <f>IFERROR((IF(H615=0,0,(VLOOKUP(H615,'MTRL MSK (TPDP)'!$H$8:$U637,7,0))))/(IF(H615=0,0,(VLOOKUP(H615,'MTRL MSK (TPDP)'!$H$8:$U637,5,0)))),"")</f>
        <v/>
      </c>
      <c r="K615" s="559"/>
      <c r="L615" s="448">
        <f t="shared" si="1"/>
        <v>0</v>
      </c>
      <c r="M615" s="647">
        <f t="shared" si="2"/>
        <v>0</v>
      </c>
      <c r="N615" s="647">
        <f t="shared" si="3"/>
        <v>0</v>
      </c>
      <c r="O615" s="448">
        <f>IF(H615=0,0,(VLOOKUP(H615,'MTRL MSK (TPDP)'!$H$9:$U637,5,0)))</f>
        <v>0</v>
      </c>
      <c r="P615" s="448">
        <f t="shared" si="4"/>
        <v>0</v>
      </c>
      <c r="Q615" s="448">
        <f t="shared" si="5"/>
        <v>0</v>
      </c>
      <c r="R615" s="648" t="str">
        <f>IFERROR(IF(S615="","",(VLOOKUP(S615,'1. BQ RAPL'!$D$14:$K637,8,0))),"")</f>
        <v/>
      </c>
      <c r="S615" s="649"/>
      <c r="T615" s="650"/>
      <c r="U615" s="16"/>
      <c r="V615" s="16"/>
      <c r="W615" s="16"/>
      <c r="X615" s="119"/>
      <c r="Y615" s="119"/>
      <c r="Z615" s="119"/>
      <c r="AA615" s="119"/>
      <c r="AB615" s="119"/>
      <c r="AC615" s="119"/>
      <c r="AD615" s="119"/>
      <c r="AE615" s="119"/>
      <c r="AF615" s="119"/>
    </row>
    <row r="616" ht="18.75" customHeight="1">
      <c r="A616" s="119"/>
      <c r="B616" s="652"/>
      <c r="C616" s="642">
        <f>IF(F616=0,0,(VLOOKUP(F616,'MTRL MSK (TPDP)'!$F$9:$W637,18,0)))</f>
        <v>0</v>
      </c>
      <c r="D616" s="642">
        <f>IF(C616=0,0,(VLOOKUP(C616,'MTRL MSK (TPDP)'!$B$9:$W637,3,0)))</f>
        <v>0</v>
      </c>
      <c r="E616" s="643" t="str">
        <f>iferror(IF(C616="","",(VLOOKUP(C616,'MTRL MSK (TPDP)'!$B$9:$W637,4,0))),"")</f>
        <v/>
      </c>
      <c r="F616" s="644">
        <f>IF(H616=0,0,(VLOOKUP(H616,'MTRL MSK (TPDP)'!$H$9:$X637,17,0)))</f>
        <v>0</v>
      </c>
      <c r="G616" s="645"/>
      <c r="H616" s="646"/>
      <c r="I616" s="446">
        <f>IF(H616=0,0,(VLOOKUP(H616,'MTRL MSK (TPDP)'!$H$9:$U637,2,0)))</f>
        <v>0</v>
      </c>
      <c r="J616" s="448" t="str">
        <f>IFERROR((IF(H616=0,0,(VLOOKUP(H616,'MTRL MSK (TPDP)'!$H$8:$U637,7,0))))/(IF(H616=0,0,(VLOOKUP(H616,'MTRL MSK (TPDP)'!$H$8:$U637,5,0)))),"")</f>
        <v/>
      </c>
      <c r="K616" s="559"/>
      <c r="L616" s="448">
        <f t="shared" si="1"/>
        <v>0</v>
      </c>
      <c r="M616" s="647">
        <f t="shared" si="2"/>
        <v>0</v>
      </c>
      <c r="N616" s="647">
        <f t="shared" si="3"/>
        <v>0</v>
      </c>
      <c r="O616" s="448">
        <f>IF(H616=0,0,(VLOOKUP(H616,'MTRL MSK (TPDP)'!$H$9:$U637,5,0)))</f>
        <v>0</v>
      </c>
      <c r="P616" s="448">
        <f t="shared" si="4"/>
        <v>0</v>
      </c>
      <c r="Q616" s="448">
        <f t="shared" si="5"/>
        <v>0</v>
      </c>
      <c r="R616" s="648" t="str">
        <f>IFERROR(IF(S616="","",(VLOOKUP(S616,'1. BQ RAPL'!$D$14:$K637,8,0))),"")</f>
        <v/>
      </c>
      <c r="S616" s="649"/>
      <c r="T616" s="650"/>
      <c r="U616" s="16"/>
      <c r="V616" s="16"/>
      <c r="W616" s="16"/>
      <c r="X616" s="119"/>
      <c r="Y616" s="119"/>
      <c r="Z616" s="119"/>
      <c r="AA616" s="119"/>
      <c r="AB616" s="119"/>
      <c r="AC616" s="119"/>
      <c r="AD616" s="119"/>
      <c r="AE616" s="119"/>
      <c r="AF616" s="119"/>
    </row>
    <row r="617" ht="18.75" customHeight="1">
      <c r="A617" s="119"/>
      <c r="B617" s="652"/>
      <c r="C617" s="642">
        <f>IF(F617=0,0,(VLOOKUP(F617,'MTRL MSK (TPDP)'!$F$9:$W637,18,0)))</f>
        <v>0</v>
      </c>
      <c r="D617" s="642">
        <f>IF(C617=0,0,(VLOOKUP(C617,'MTRL MSK (TPDP)'!$B$9:$W637,3,0)))</f>
        <v>0</v>
      </c>
      <c r="E617" s="643" t="str">
        <f>iferror(IF(C617="","",(VLOOKUP(C617,'MTRL MSK (TPDP)'!$B$9:$W637,4,0))),"")</f>
        <v/>
      </c>
      <c r="F617" s="644">
        <f>IF(H617=0,0,(VLOOKUP(H617,'MTRL MSK (TPDP)'!$H$9:$X637,17,0)))</f>
        <v>0</v>
      </c>
      <c r="G617" s="645"/>
      <c r="H617" s="646"/>
      <c r="I617" s="446">
        <f>IF(H617=0,0,(VLOOKUP(H617,'MTRL MSK (TPDP)'!$H$9:$U637,2,0)))</f>
        <v>0</v>
      </c>
      <c r="J617" s="448" t="str">
        <f>IFERROR((IF(H617=0,0,(VLOOKUP(H617,'MTRL MSK (TPDP)'!$H$8:$U637,7,0))))/(IF(H617=0,0,(VLOOKUP(H617,'MTRL MSK (TPDP)'!$H$8:$U637,5,0)))),"")</f>
        <v/>
      </c>
      <c r="K617" s="559"/>
      <c r="L617" s="448">
        <f t="shared" si="1"/>
        <v>0</v>
      </c>
      <c r="M617" s="647">
        <f t="shared" si="2"/>
        <v>0</v>
      </c>
      <c r="N617" s="647">
        <f t="shared" si="3"/>
        <v>0</v>
      </c>
      <c r="O617" s="448">
        <f>IF(H617=0,0,(VLOOKUP(H617,'MTRL MSK (TPDP)'!$H$9:$U637,5,0)))</f>
        <v>0</v>
      </c>
      <c r="P617" s="448">
        <f t="shared" si="4"/>
        <v>0</v>
      </c>
      <c r="Q617" s="448">
        <f t="shared" si="5"/>
        <v>0</v>
      </c>
      <c r="R617" s="648" t="str">
        <f>IFERROR(IF(S617="","",(VLOOKUP(S617,'1. BQ RAPL'!$D$14:$K637,8,0))),"")</f>
        <v/>
      </c>
      <c r="S617" s="649"/>
      <c r="T617" s="650"/>
      <c r="U617" s="16"/>
      <c r="V617" s="16"/>
      <c r="W617" s="16"/>
      <c r="X617" s="119"/>
      <c r="Y617" s="119"/>
      <c r="Z617" s="119"/>
      <c r="AA617" s="119"/>
      <c r="AB617" s="119"/>
      <c r="AC617" s="119"/>
      <c r="AD617" s="119"/>
      <c r="AE617" s="119"/>
      <c r="AF617" s="119"/>
    </row>
    <row r="618" ht="18.75" customHeight="1">
      <c r="A618" s="119"/>
      <c r="B618" s="652"/>
      <c r="C618" s="642">
        <f>IF(F618=0,0,(VLOOKUP(F618,'MTRL MSK (TPDP)'!$F$9:$W637,18,0)))</f>
        <v>0</v>
      </c>
      <c r="D618" s="642">
        <f>IF(C618=0,0,(VLOOKUP(C618,'MTRL MSK (TPDP)'!$B$9:$W637,3,0)))</f>
        <v>0</v>
      </c>
      <c r="E618" s="643" t="str">
        <f>iferror(IF(C618="","",(VLOOKUP(C618,'MTRL MSK (TPDP)'!$B$9:$W637,4,0))),"")</f>
        <v/>
      </c>
      <c r="F618" s="644">
        <f>IF(H618=0,0,(VLOOKUP(H618,'MTRL MSK (TPDP)'!$H$9:$X637,17,0)))</f>
        <v>0</v>
      </c>
      <c r="G618" s="645"/>
      <c r="H618" s="646"/>
      <c r="I618" s="446">
        <f>IF(H618=0,0,(VLOOKUP(H618,'MTRL MSK (TPDP)'!$H$9:$U637,2,0)))</f>
        <v>0</v>
      </c>
      <c r="J618" s="448" t="str">
        <f>IFERROR((IF(H618=0,0,(VLOOKUP(H618,'MTRL MSK (TPDP)'!$H$8:$U637,7,0))))/(IF(H618=0,0,(VLOOKUP(H618,'MTRL MSK (TPDP)'!$H$8:$U637,5,0)))),"")</f>
        <v/>
      </c>
      <c r="K618" s="559"/>
      <c r="L618" s="448">
        <f t="shared" si="1"/>
        <v>0</v>
      </c>
      <c r="M618" s="647">
        <f t="shared" si="2"/>
        <v>0</v>
      </c>
      <c r="N618" s="647">
        <f t="shared" si="3"/>
        <v>0</v>
      </c>
      <c r="O618" s="448">
        <f>IF(H618=0,0,(VLOOKUP(H618,'MTRL MSK (TPDP)'!$H$9:$U637,5,0)))</f>
        <v>0</v>
      </c>
      <c r="P618" s="448">
        <f t="shared" si="4"/>
        <v>0</v>
      </c>
      <c r="Q618" s="448">
        <f t="shared" si="5"/>
        <v>0</v>
      </c>
      <c r="R618" s="648" t="str">
        <f>IFERROR(IF(S618="","",(VLOOKUP(S618,'1. BQ RAPL'!$D$14:$K637,8,0))),"")</f>
        <v/>
      </c>
      <c r="S618" s="649"/>
      <c r="T618" s="650"/>
      <c r="U618" s="16"/>
      <c r="V618" s="16"/>
      <c r="W618" s="16"/>
      <c r="X618" s="119"/>
      <c r="Y618" s="119"/>
      <c r="Z618" s="119"/>
      <c r="AA618" s="119"/>
      <c r="AB618" s="119"/>
      <c r="AC618" s="119"/>
      <c r="AD618" s="119"/>
      <c r="AE618" s="119"/>
      <c r="AF618" s="119"/>
    </row>
    <row r="619" ht="18.75" customHeight="1">
      <c r="A619" s="119"/>
      <c r="B619" s="652"/>
      <c r="C619" s="642">
        <f>IF(F619=0,0,(VLOOKUP(F619,'MTRL MSK (TPDP)'!$F$9:$W637,18,0)))</f>
        <v>0</v>
      </c>
      <c r="D619" s="642">
        <f>IF(C619=0,0,(VLOOKUP(C619,'MTRL MSK (TPDP)'!$B$9:$W637,3,0)))</f>
        <v>0</v>
      </c>
      <c r="E619" s="643" t="str">
        <f>iferror(IF(C619="","",(VLOOKUP(C619,'MTRL MSK (TPDP)'!$B$9:$W637,4,0))),"")</f>
        <v/>
      </c>
      <c r="F619" s="644">
        <f>IF(H619=0,0,(VLOOKUP(H619,'MTRL MSK (TPDP)'!$H$9:$X637,17,0)))</f>
        <v>0</v>
      </c>
      <c r="G619" s="645"/>
      <c r="H619" s="646"/>
      <c r="I619" s="446">
        <f>IF(H619=0,0,(VLOOKUP(H619,'MTRL MSK (TPDP)'!$H$9:$U637,2,0)))</f>
        <v>0</v>
      </c>
      <c r="J619" s="448" t="str">
        <f>IFERROR((IF(H619=0,0,(VLOOKUP(H619,'MTRL MSK (TPDP)'!$H$8:$U637,7,0))))/(IF(H619=0,0,(VLOOKUP(H619,'MTRL MSK (TPDP)'!$H$8:$U637,5,0)))),"")</f>
        <v/>
      </c>
      <c r="K619" s="559"/>
      <c r="L619" s="448">
        <f t="shared" si="1"/>
        <v>0</v>
      </c>
      <c r="M619" s="647">
        <f t="shared" si="2"/>
        <v>0</v>
      </c>
      <c r="N619" s="647">
        <f t="shared" si="3"/>
        <v>0</v>
      </c>
      <c r="O619" s="448">
        <f>IF(H619=0,0,(VLOOKUP(H619,'MTRL MSK (TPDP)'!$H$9:$U637,5,0)))</f>
        <v>0</v>
      </c>
      <c r="P619" s="448">
        <f t="shared" si="4"/>
        <v>0</v>
      </c>
      <c r="Q619" s="448">
        <f t="shared" si="5"/>
        <v>0</v>
      </c>
      <c r="R619" s="648" t="str">
        <f>IFERROR(IF(S619="","",(VLOOKUP(S619,'1. BQ RAPL'!$D$14:$K637,8,0))),"")</f>
        <v/>
      </c>
      <c r="S619" s="649"/>
      <c r="T619" s="650"/>
      <c r="U619" s="16"/>
      <c r="V619" s="16"/>
      <c r="W619" s="16"/>
      <c r="X619" s="119"/>
      <c r="Y619" s="119"/>
      <c r="Z619" s="119"/>
      <c r="AA619" s="119"/>
      <c r="AB619" s="119"/>
      <c r="AC619" s="119"/>
      <c r="AD619" s="119"/>
      <c r="AE619" s="119"/>
      <c r="AF619" s="119"/>
    </row>
    <row r="620" ht="18.75" customHeight="1">
      <c r="A620" s="119"/>
      <c r="B620" s="652"/>
      <c r="C620" s="642">
        <f>IF(F620=0,0,(VLOOKUP(F620,'MTRL MSK (TPDP)'!$F$9:$W637,18,0)))</f>
        <v>0</v>
      </c>
      <c r="D620" s="642">
        <f>IF(C620=0,0,(VLOOKUP(C620,'MTRL MSK (TPDP)'!$B$9:$W637,3,0)))</f>
        <v>0</v>
      </c>
      <c r="E620" s="643" t="str">
        <f>iferror(IF(C620="","",(VLOOKUP(C620,'MTRL MSK (TPDP)'!$B$9:$W637,4,0))),"")</f>
        <v/>
      </c>
      <c r="F620" s="644">
        <f>IF(H620=0,0,(VLOOKUP(H620,'MTRL MSK (TPDP)'!$H$9:$X637,17,0)))</f>
        <v>0</v>
      </c>
      <c r="G620" s="645"/>
      <c r="H620" s="646"/>
      <c r="I620" s="446">
        <f>IF(H620=0,0,(VLOOKUP(H620,'MTRL MSK (TPDP)'!$H$9:$U637,2,0)))</f>
        <v>0</v>
      </c>
      <c r="J620" s="448" t="str">
        <f>IFERROR((IF(H620=0,0,(VLOOKUP(H620,'MTRL MSK (TPDP)'!$H$8:$U637,7,0))))/(IF(H620=0,0,(VLOOKUP(H620,'MTRL MSK (TPDP)'!$H$8:$U637,5,0)))),"")</f>
        <v/>
      </c>
      <c r="K620" s="559"/>
      <c r="L620" s="448">
        <f t="shared" si="1"/>
        <v>0</v>
      </c>
      <c r="M620" s="647">
        <f t="shared" si="2"/>
        <v>0</v>
      </c>
      <c r="N620" s="647">
        <f t="shared" si="3"/>
        <v>0</v>
      </c>
      <c r="O620" s="448">
        <f>IF(H620=0,0,(VLOOKUP(H620,'MTRL MSK (TPDP)'!$H$9:$U637,5,0)))</f>
        <v>0</v>
      </c>
      <c r="P620" s="448">
        <f t="shared" si="4"/>
        <v>0</v>
      </c>
      <c r="Q620" s="448">
        <f t="shared" si="5"/>
        <v>0</v>
      </c>
      <c r="R620" s="648" t="str">
        <f>IFERROR(IF(S620="","",(VLOOKUP(S620,'1. BQ RAPL'!$D$14:$K637,8,0))),"")</f>
        <v/>
      </c>
      <c r="S620" s="649"/>
      <c r="T620" s="650"/>
      <c r="U620" s="16"/>
      <c r="V620" s="16"/>
      <c r="W620" s="16"/>
      <c r="X620" s="119"/>
      <c r="Y620" s="119"/>
      <c r="Z620" s="119"/>
      <c r="AA620" s="119"/>
      <c r="AB620" s="119"/>
      <c r="AC620" s="119"/>
      <c r="AD620" s="119"/>
      <c r="AE620" s="119"/>
      <c r="AF620" s="119"/>
    </row>
    <row r="621" ht="18.75" customHeight="1">
      <c r="A621" s="119"/>
      <c r="B621" s="652"/>
      <c r="C621" s="642">
        <f>IF(F621=0,0,(VLOOKUP(F621,'MTRL MSK (TPDP)'!$F$9:$W637,18,0)))</f>
        <v>0</v>
      </c>
      <c r="D621" s="642">
        <f>IF(C621=0,0,(VLOOKUP(C621,'MTRL MSK (TPDP)'!$B$9:$W637,3,0)))</f>
        <v>0</v>
      </c>
      <c r="E621" s="643" t="str">
        <f>iferror(IF(C621="","",(VLOOKUP(C621,'MTRL MSK (TPDP)'!$B$9:$W637,4,0))),"")</f>
        <v/>
      </c>
      <c r="F621" s="644">
        <f>IF(H621=0,0,(VLOOKUP(H621,'MTRL MSK (TPDP)'!$H$9:$X637,17,0)))</f>
        <v>0</v>
      </c>
      <c r="G621" s="645"/>
      <c r="H621" s="646"/>
      <c r="I621" s="446">
        <f>IF(H621=0,0,(VLOOKUP(H621,'MTRL MSK (TPDP)'!$H$9:$U637,2,0)))</f>
        <v>0</v>
      </c>
      <c r="J621" s="448" t="str">
        <f>IFERROR((IF(H621=0,0,(VLOOKUP(H621,'MTRL MSK (TPDP)'!$H$8:$U637,7,0))))/(IF(H621=0,0,(VLOOKUP(H621,'MTRL MSK (TPDP)'!$H$8:$U637,5,0)))),"")</f>
        <v/>
      </c>
      <c r="K621" s="559"/>
      <c r="L621" s="448">
        <f t="shared" si="1"/>
        <v>0</v>
      </c>
      <c r="M621" s="647">
        <f t="shared" si="2"/>
        <v>0</v>
      </c>
      <c r="N621" s="647">
        <f t="shared" si="3"/>
        <v>0</v>
      </c>
      <c r="O621" s="448">
        <f>IF(H621=0,0,(VLOOKUP(H621,'MTRL MSK (TPDP)'!$H$9:$U637,5,0)))</f>
        <v>0</v>
      </c>
      <c r="P621" s="448">
        <f t="shared" si="4"/>
        <v>0</v>
      </c>
      <c r="Q621" s="448">
        <f t="shared" si="5"/>
        <v>0</v>
      </c>
      <c r="R621" s="648" t="str">
        <f>IFERROR(IF(S621="","",(VLOOKUP(S621,'1. BQ RAPL'!$D$14:$K637,8,0))),"")</f>
        <v/>
      </c>
      <c r="S621" s="649"/>
      <c r="T621" s="650"/>
      <c r="U621" s="16"/>
      <c r="V621" s="16"/>
      <c r="W621" s="16"/>
      <c r="X621" s="119"/>
      <c r="Y621" s="119"/>
      <c r="Z621" s="119"/>
      <c r="AA621" s="119"/>
      <c r="AB621" s="119"/>
      <c r="AC621" s="119"/>
      <c r="AD621" s="119"/>
      <c r="AE621" s="119"/>
      <c r="AF621" s="119"/>
    </row>
    <row r="622" ht="18.75" customHeight="1">
      <c r="A622" s="119"/>
      <c r="B622" s="652"/>
      <c r="C622" s="642">
        <f>IF(F622=0,0,(VLOOKUP(F622,'MTRL MSK (TPDP)'!$F$9:$W637,18,0)))</f>
        <v>0</v>
      </c>
      <c r="D622" s="642">
        <f>IF(C622=0,0,(VLOOKUP(C622,'MTRL MSK (TPDP)'!$B$9:$W637,3,0)))</f>
        <v>0</v>
      </c>
      <c r="E622" s="643" t="str">
        <f>iferror(IF(C622="","",(VLOOKUP(C622,'MTRL MSK (TPDP)'!$B$9:$W637,4,0))),"")</f>
        <v/>
      </c>
      <c r="F622" s="644">
        <f>IF(H622=0,0,(VLOOKUP(H622,'MTRL MSK (TPDP)'!$H$9:$X637,17,0)))</f>
        <v>0</v>
      </c>
      <c r="G622" s="645"/>
      <c r="H622" s="646"/>
      <c r="I622" s="446">
        <f>IF(H622=0,0,(VLOOKUP(H622,'MTRL MSK (TPDP)'!$H$9:$U637,2,0)))</f>
        <v>0</v>
      </c>
      <c r="J622" s="448" t="str">
        <f>IFERROR((IF(H622=0,0,(VLOOKUP(H622,'MTRL MSK (TPDP)'!$H$8:$U637,7,0))))/(IF(H622=0,0,(VLOOKUP(H622,'MTRL MSK (TPDP)'!$H$8:$U637,5,0)))),"")</f>
        <v/>
      </c>
      <c r="K622" s="559"/>
      <c r="L622" s="448">
        <f t="shared" si="1"/>
        <v>0</v>
      </c>
      <c r="M622" s="647">
        <f t="shared" si="2"/>
        <v>0</v>
      </c>
      <c r="N622" s="647">
        <f t="shared" si="3"/>
        <v>0</v>
      </c>
      <c r="O622" s="448">
        <f>IF(H622=0,0,(VLOOKUP(H622,'MTRL MSK (TPDP)'!$H$9:$U637,5,0)))</f>
        <v>0</v>
      </c>
      <c r="P622" s="448">
        <f t="shared" si="4"/>
        <v>0</v>
      </c>
      <c r="Q622" s="448">
        <f t="shared" si="5"/>
        <v>0</v>
      </c>
      <c r="R622" s="648" t="str">
        <f>IFERROR(IF(S622="","",(VLOOKUP(S622,'1. BQ RAPL'!$D$14:$K637,8,0))),"")</f>
        <v/>
      </c>
      <c r="S622" s="649"/>
      <c r="T622" s="650"/>
      <c r="U622" s="16"/>
      <c r="V622" s="16"/>
      <c r="W622" s="16"/>
      <c r="X622" s="119"/>
      <c r="Y622" s="119"/>
      <c r="Z622" s="119"/>
      <c r="AA622" s="119"/>
      <c r="AB622" s="119"/>
      <c r="AC622" s="119"/>
      <c r="AD622" s="119"/>
      <c r="AE622" s="119"/>
      <c r="AF622" s="119"/>
    </row>
    <row r="623" ht="18.75" customHeight="1">
      <c r="A623" s="119"/>
      <c r="B623" s="652"/>
      <c r="C623" s="642">
        <f>IF(F623=0,0,(VLOOKUP(F623,'MTRL MSK (TPDP)'!$F$9:$W637,18,0)))</f>
        <v>0</v>
      </c>
      <c r="D623" s="642">
        <f>IF(C623=0,0,(VLOOKUP(C623,'MTRL MSK (TPDP)'!$B$9:$W637,3,0)))</f>
        <v>0</v>
      </c>
      <c r="E623" s="643" t="str">
        <f>iferror(IF(C623="","",(VLOOKUP(C623,'MTRL MSK (TPDP)'!$B$9:$W637,4,0))),"")</f>
        <v/>
      </c>
      <c r="F623" s="644">
        <f>IF(H623=0,0,(VLOOKUP(H623,'MTRL MSK (TPDP)'!$H$9:$X637,17,0)))</f>
        <v>0</v>
      </c>
      <c r="G623" s="645"/>
      <c r="H623" s="646"/>
      <c r="I623" s="446">
        <f>IF(H623=0,0,(VLOOKUP(H623,'MTRL MSK (TPDP)'!$H$9:$U637,2,0)))</f>
        <v>0</v>
      </c>
      <c r="J623" s="448" t="str">
        <f>IFERROR((IF(H623=0,0,(VLOOKUP(H623,'MTRL MSK (TPDP)'!$H$8:$U637,7,0))))/(IF(H623=0,0,(VLOOKUP(H623,'MTRL MSK (TPDP)'!$H$8:$U637,5,0)))),"")</f>
        <v/>
      </c>
      <c r="K623" s="559"/>
      <c r="L623" s="448">
        <f t="shared" si="1"/>
        <v>0</v>
      </c>
      <c r="M623" s="647">
        <f t="shared" si="2"/>
        <v>0</v>
      </c>
      <c r="N623" s="647">
        <f t="shared" si="3"/>
        <v>0</v>
      </c>
      <c r="O623" s="448">
        <f>IF(H623=0,0,(VLOOKUP(H623,'MTRL MSK (TPDP)'!$H$9:$U637,5,0)))</f>
        <v>0</v>
      </c>
      <c r="P623" s="448">
        <f t="shared" si="4"/>
        <v>0</v>
      </c>
      <c r="Q623" s="448">
        <f t="shared" si="5"/>
        <v>0</v>
      </c>
      <c r="R623" s="648" t="str">
        <f>IFERROR(IF(S623="","",(VLOOKUP(S623,'1. BQ RAPL'!$D$14:$K637,8,0))),"")</f>
        <v/>
      </c>
      <c r="S623" s="649"/>
      <c r="T623" s="650"/>
      <c r="U623" s="16"/>
      <c r="V623" s="16"/>
      <c r="W623" s="16"/>
      <c r="X623" s="119"/>
      <c r="Y623" s="119"/>
      <c r="Z623" s="119"/>
      <c r="AA623" s="119"/>
      <c r="AB623" s="119"/>
      <c r="AC623" s="119"/>
      <c r="AD623" s="119"/>
      <c r="AE623" s="119"/>
      <c r="AF623" s="119"/>
    </row>
    <row r="624" ht="18.75" customHeight="1">
      <c r="A624" s="119"/>
      <c r="B624" s="652"/>
      <c r="C624" s="642">
        <f>IF(F624=0,0,(VLOOKUP(F624,'MTRL MSK (TPDP)'!$F$9:$W637,18,0)))</f>
        <v>0</v>
      </c>
      <c r="D624" s="642">
        <f>IF(C624=0,0,(VLOOKUP(C624,'MTRL MSK (TPDP)'!$B$9:$W637,3,0)))</f>
        <v>0</v>
      </c>
      <c r="E624" s="643" t="str">
        <f>iferror(IF(C624="","",(VLOOKUP(C624,'MTRL MSK (TPDP)'!$B$9:$W637,4,0))),"")</f>
        <v/>
      </c>
      <c r="F624" s="644">
        <f>IF(H624=0,0,(VLOOKUP(H624,'MTRL MSK (TPDP)'!$H$9:$X637,17,0)))</f>
        <v>0</v>
      </c>
      <c r="G624" s="645"/>
      <c r="H624" s="646"/>
      <c r="I624" s="446">
        <f>IF(H624=0,0,(VLOOKUP(H624,'MTRL MSK (TPDP)'!$H$9:$U637,2,0)))</f>
        <v>0</v>
      </c>
      <c r="J624" s="448" t="str">
        <f>IFERROR((IF(H624=0,0,(VLOOKUP(H624,'MTRL MSK (TPDP)'!$H$8:$U637,7,0))))/(IF(H624=0,0,(VLOOKUP(H624,'MTRL MSK (TPDP)'!$H$8:$U637,5,0)))),"")</f>
        <v/>
      </c>
      <c r="K624" s="559"/>
      <c r="L624" s="448">
        <f t="shared" si="1"/>
        <v>0</v>
      </c>
      <c r="M624" s="647">
        <f t="shared" si="2"/>
        <v>0</v>
      </c>
      <c r="N624" s="647">
        <f t="shared" si="3"/>
        <v>0</v>
      </c>
      <c r="O624" s="448">
        <f>IF(H624=0,0,(VLOOKUP(H624,'MTRL MSK (TPDP)'!$H$9:$U637,5,0)))</f>
        <v>0</v>
      </c>
      <c r="P624" s="448">
        <f t="shared" si="4"/>
        <v>0</v>
      </c>
      <c r="Q624" s="448">
        <f t="shared" si="5"/>
        <v>0</v>
      </c>
      <c r="R624" s="648" t="str">
        <f>IFERROR(IF(S624="","",(VLOOKUP(S624,'1. BQ RAPL'!$D$14:$K637,8,0))),"")</f>
        <v/>
      </c>
      <c r="S624" s="649"/>
      <c r="T624" s="650"/>
      <c r="U624" s="16"/>
      <c r="V624" s="16"/>
      <c r="W624" s="16"/>
      <c r="X624" s="119"/>
      <c r="Y624" s="119"/>
      <c r="Z624" s="119"/>
      <c r="AA624" s="119"/>
      <c r="AB624" s="119"/>
      <c r="AC624" s="119"/>
      <c r="AD624" s="119"/>
      <c r="AE624" s="119"/>
      <c r="AF624" s="119"/>
    </row>
    <row r="625" ht="18.75" customHeight="1">
      <c r="A625" s="119"/>
      <c r="B625" s="652"/>
      <c r="C625" s="642">
        <f>IF(F625=0,0,(VLOOKUP(F625,'MTRL MSK (TPDP)'!$F$9:$W637,18,0)))</f>
        <v>0</v>
      </c>
      <c r="D625" s="642">
        <f>IF(C625=0,0,(VLOOKUP(C625,'MTRL MSK (TPDP)'!$B$9:$W637,3,0)))</f>
        <v>0</v>
      </c>
      <c r="E625" s="643" t="str">
        <f>iferror(IF(C625="","",(VLOOKUP(C625,'MTRL MSK (TPDP)'!$B$9:$W637,4,0))),"")</f>
        <v/>
      </c>
      <c r="F625" s="644">
        <f>IF(H625=0,0,(VLOOKUP(H625,'MTRL MSK (TPDP)'!$H$9:$X637,17,0)))</f>
        <v>0</v>
      </c>
      <c r="G625" s="645"/>
      <c r="H625" s="646"/>
      <c r="I625" s="446">
        <f>IF(H625=0,0,(VLOOKUP(H625,'MTRL MSK (TPDP)'!$H$9:$U637,2,0)))</f>
        <v>0</v>
      </c>
      <c r="J625" s="448" t="str">
        <f>IFERROR((IF(H625=0,0,(VLOOKUP(H625,'MTRL MSK (TPDP)'!$H$8:$U637,7,0))))/(IF(H625=0,0,(VLOOKUP(H625,'MTRL MSK (TPDP)'!$H$8:$U637,5,0)))),"")</f>
        <v/>
      </c>
      <c r="K625" s="559"/>
      <c r="L625" s="448">
        <f t="shared" si="1"/>
        <v>0</v>
      </c>
      <c r="M625" s="647">
        <f t="shared" si="2"/>
        <v>0</v>
      </c>
      <c r="N625" s="647">
        <f t="shared" si="3"/>
        <v>0</v>
      </c>
      <c r="O625" s="448">
        <f>IF(H625=0,0,(VLOOKUP(H625,'MTRL MSK (TPDP)'!$H$9:$U637,5,0)))</f>
        <v>0</v>
      </c>
      <c r="P625" s="448">
        <f t="shared" si="4"/>
        <v>0</v>
      </c>
      <c r="Q625" s="448">
        <f t="shared" si="5"/>
        <v>0</v>
      </c>
      <c r="R625" s="648" t="str">
        <f>IFERROR(IF(S625="","",(VLOOKUP(S625,'1. BQ RAPL'!$D$14:$K637,8,0))),"")</f>
        <v/>
      </c>
      <c r="S625" s="649"/>
      <c r="T625" s="650"/>
      <c r="U625" s="16"/>
      <c r="V625" s="16"/>
      <c r="W625" s="16"/>
      <c r="X625" s="119"/>
      <c r="Y625" s="119"/>
      <c r="Z625" s="119"/>
      <c r="AA625" s="119"/>
      <c r="AB625" s="119"/>
      <c r="AC625" s="119"/>
      <c r="AD625" s="119"/>
      <c r="AE625" s="119"/>
      <c r="AF625" s="119"/>
    </row>
    <row r="626" ht="18.75" customHeight="1">
      <c r="A626" s="119"/>
      <c r="B626" s="652"/>
      <c r="C626" s="642">
        <f>IF(F626=0,0,(VLOOKUP(F626,'MTRL MSK (TPDP)'!$F$9:$W637,18,0)))</f>
        <v>0</v>
      </c>
      <c r="D626" s="642">
        <f>IF(C626=0,0,(VLOOKUP(C626,'MTRL MSK (TPDP)'!$B$9:$W637,3,0)))</f>
        <v>0</v>
      </c>
      <c r="E626" s="643" t="str">
        <f>iferror(IF(C626="","",(VLOOKUP(C626,'MTRL MSK (TPDP)'!$B$9:$W637,4,0))),"")</f>
        <v/>
      </c>
      <c r="F626" s="644">
        <f>IF(H626=0,0,(VLOOKUP(H626,'MTRL MSK (TPDP)'!$H$9:$X637,17,0)))</f>
        <v>0</v>
      </c>
      <c r="G626" s="645"/>
      <c r="H626" s="646"/>
      <c r="I626" s="446">
        <f>IF(H626=0,0,(VLOOKUP(H626,'MTRL MSK (TPDP)'!$H$9:$U637,2,0)))</f>
        <v>0</v>
      </c>
      <c r="J626" s="448" t="str">
        <f>IFERROR((IF(H626=0,0,(VLOOKUP(H626,'MTRL MSK (TPDP)'!$H$8:$U637,7,0))))/(IF(H626=0,0,(VLOOKUP(H626,'MTRL MSK (TPDP)'!$H$8:$U637,5,0)))),"")</f>
        <v/>
      </c>
      <c r="K626" s="559"/>
      <c r="L626" s="448">
        <f t="shared" si="1"/>
        <v>0</v>
      </c>
      <c r="M626" s="647">
        <f t="shared" si="2"/>
        <v>0</v>
      </c>
      <c r="N626" s="647">
        <f t="shared" si="3"/>
        <v>0</v>
      </c>
      <c r="O626" s="448">
        <f>IF(H626=0,0,(VLOOKUP(H626,'MTRL MSK (TPDP)'!$H$9:$U637,5,0)))</f>
        <v>0</v>
      </c>
      <c r="P626" s="448">
        <f t="shared" si="4"/>
        <v>0</v>
      </c>
      <c r="Q626" s="448">
        <f t="shared" si="5"/>
        <v>0</v>
      </c>
      <c r="R626" s="648" t="str">
        <f>IFERROR(IF(S626="","",(VLOOKUP(S626,'1. BQ RAPL'!$D$14:$K637,8,0))),"")</f>
        <v/>
      </c>
      <c r="S626" s="649"/>
      <c r="T626" s="650"/>
      <c r="U626" s="16"/>
      <c r="V626" s="16"/>
      <c r="W626" s="16"/>
      <c r="X626" s="119"/>
      <c r="Y626" s="119"/>
      <c r="Z626" s="119"/>
      <c r="AA626" s="119"/>
      <c r="AB626" s="119"/>
      <c r="AC626" s="119"/>
      <c r="AD626" s="119"/>
      <c r="AE626" s="119"/>
      <c r="AF626" s="119"/>
    </row>
    <row r="627" ht="18.75" customHeight="1">
      <c r="A627" s="119"/>
      <c r="B627" s="652"/>
      <c r="C627" s="642">
        <f>IF(F627=0,0,(VLOOKUP(F627,'MTRL MSK (TPDP)'!$F$9:$W637,18,0)))</f>
        <v>0</v>
      </c>
      <c r="D627" s="642">
        <f>IF(C627=0,0,(VLOOKUP(C627,'MTRL MSK (TPDP)'!$B$9:$W637,3,0)))</f>
        <v>0</v>
      </c>
      <c r="E627" s="643" t="str">
        <f>iferror(IF(C627="","",(VLOOKUP(C627,'MTRL MSK (TPDP)'!$B$9:$W637,4,0))),"")</f>
        <v/>
      </c>
      <c r="F627" s="644">
        <f>IF(H627=0,0,(VLOOKUP(H627,'MTRL MSK (TPDP)'!$H$9:$X637,17,0)))</f>
        <v>0</v>
      </c>
      <c r="G627" s="645"/>
      <c r="H627" s="646"/>
      <c r="I627" s="446">
        <f>IF(H627=0,0,(VLOOKUP(H627,'MTRL MSK (TPDP)'!$H$9:$U637,2,0)))</f>
        <v>0</v>
      </c>
      <c r="J627" s="448" t="str">
        <f>IFERROR((IF(H627=0,0,(VLOOKUP(H627,'MTRL MSK (TPDP)'!$H$8:$U637,7,0))))/(IF(H627=0,0,(VLOOKUP(H627,'MTRL MSK (TPDP)'!$H$8:$U637,5,0)))),"")</f>
        <v/>
      </c>
      <c r="K627" s="559"/>
      <c r="L627" s="448">
        <f t="shared" si="1"/>
        <v>0</v>
      </c>
      <c r="M627" s="647">
        <f t="shared" si="2"/>
        <v>0</v>
      </c>
      <c r="N627" s="647">
        <f t="shared" si="3"/>
        <v>0</v>
      </c>
      <c r="O627" s="448">
        <f>IF(H627=0,0,(VLOOKUP(H627,'MTRL MSK (TPDP)'!$H$9:$U637,5,0)))</f>
        <v>0</v>
      </c>
      <c r="P627" s="448">
        <f t="shared" si="4"/>
        <v>0</v>
      </c>
      <c r="Q627" s="448">
        <f t="shared" si="5"/>
        <v>0</v>
      </c>
      <c r="R627" s="648" t="str">
        <f>IFERROR(IF(S627="","",(VLOOKUP(S627,'1. BQ RAPL'!$D$14:$K637,8,0))),"")</f>
        <v/>
      </c>
      <c r="S627" s="649"/>
      <c r="T627" s="650"/>
      <c r="U627" s="16"/>
      <c r="V627" s="16"/>
      <c r="W627" s="16"/>
      <c r="X627" s="119"/>
      <c r="Y627" s="119"/>
      <c r="Z627" s="119"/>
      <c r="AA627" s="119"/>
      <c r="AB627" s="119"/>
      <c r="AC627" s="119"/>
      <c r="AD627" s="119"/>
      <c r="AE627" s="119"/>
      <c r="AF627" s="119"/>
    </row>
    <row r="628" ht="18.75" customHeight="1">
      <c r="A628" s="119"/>
      <c r="B628" s="652"/>
      <c r="C628" s="642">
        <f>IF(F628=0,0,(VLOOKUP(F628,'MTRL MSK (TPDP)'!$F$9:$W637,18,0)))</f>
        <v>0</v>
      </c>
      <c r="D628" s="642">
        <f>IF(C628=0,0,(VLOOKUP(C628,'MTRL MSK (TPDP)'!$B$9:$W637,3,0)))</f>
        <v>0</v>
      </c>
      <c r="E628" s="643" t="str">
        <f>iferror(IF(C628="","",(VLOOKUP(C628,'MTRL MSK (TPDP)'!$B$9:$W637,4,0))),"")</f>
        <v/>
      </c>
      <c r="F628" s="644">
        <f>IF(H628=0,0,(VLOOKUP(H628,'MTRL MSK (TPDP)'!$H$9:$X637,17,0)))</f>
        <v>0</v>
      </c>
      <c r="G628" s="645"/>
      <c r="H628" s="646"/>
      <c r="I628" s="446">
        <f>IF(H628=0,0,(VLOOKUP(H628,'MTRL MSK (TPDP)'!$H$9:$U637,2,0)))</f>
        <v>0</v>
      </c>
      <c r="J628" s="448" t="str">
        <f>IFERROR((IF(H628=0,0,(VLOOKUP(H628,'MTRL MSK (TPDP)'!$H$8:$U637,7,0))))/(IF(H628=0,0,(VLOOKUP(H628,'MTRL MSK (TPDP)'!$H$8:$U637,5,0)))),"")</f>
        <v/>
      </c>
      <c r="K628" s="559"/>
      <c r="L628" s="448">
        <f t="shared" si="1"/>
        <v>0</v>
      </c>
      <c r="M628" s="647">
        <f t="shared" si="2"/>
        <v>0</v>
      </c>
      <c r="N628" s="647">
        <f t="shared" si="3"/>
        <v>0</v>
      </c>
      <c r="O628" s="448">
        <f>IF(H628=0,0,(VLOOKUP(H628,'MTRL MSK (TPDP)'!$H$9:$U637,5,0)))</f>
        <v>0</v>
      </c>
      <c r="P628" s="448">
        <f t="shared" si="4"/>
        <v>0</v>
      </c>
      <c r="Q628" s="448">
        <f t="shared" si="5"/>
        <v>0</v>
      </c>
      <c r="R628" s="648" t="str">
        <f>IFERROR(IF(S628="","",(VLOOKUP(S628,'1. BQ RAPL'!$D$14:$K637,8,0))),"")</f>
        <v/>
      </c>
      <c r="S628" s="649"/>
      <c r="T628" s="650"/>
      <c r="U628" s="16"/>
      <c r="V628" s="16"/>
      <c r="W628" s="16"/>
      <c r="X628" s="119"/>
      <c r="Y628" s="119"/>
      <c r="Z628" s="119"/>
      <c r="AA628" s="119"/>
      <c r="AB628" s="119"/>
      <c r="AC628" s="119"/>
      <c r="AD628" s="119"/>
      <c r="AE628" s="119"/>
      <c r="AF628" s="119"/>
    </row>
    <row r="629" ht="18.75" customHeight="1">
      <c r="A629" s="119"/>
      <c r="B629" s="652"/>
      <c r="C629" s="642">
        <f>IF(F629=0,0,(VLOOKUP(F629,'MTRL MSK (TPDP)'!$F$9:$W637,18,0)))</f>
        <v>0</v>
      </c>
      <c r="D629" s="642">
        <f>IF(C629=0,0,(VLOOKUP(C629,'MTRL MSK (TPDP)'!$B$9:$W637,3,0)))</f>
        <v>0</v>
      </c>
      <c r="E629" s="643" t="str">
        <f>iferror(IF(C629="","",(VLOOKUP(C629,'MTRL MSK (TPDP)'!$B$9:$W637,4,0))),"")</f>
        <v/>
      </c>
      <c r="F629" s="644">
        <f>IF(H629=0,0,(VLOOKUP(H629,'MTRL MSK (TPDP)'!$H$9:$X637,17,0)))</f>
        <v>0</v>
      </c>
      <c r="G629" s="645"/>
      <c r="H629" s="646"/>
      <c r="I629" s="446">
        <f>IF(H629=0,0,(VLOOKUP(H629,'MTRL MSK (TPDP)'!$H$9:$U637,2,0)))</f>
        <v>0</v>
      </c>
      <c r="J629" s="448" t="str">
        <f>IFERROR((IF(H629=0,0,(VLOOKUP(H629,'MTRL MSK (TPDP)'!$H$8:$U637,7,0))))/(IF(H629=0,0,(VLOOKUP(H629,'MTRL MSK (TPDP)'!$H$8:$U637,5,0)))),"")</f>
        <v/>
      </c>
      <c r="K629" s="559"/>
      <c r="L629" s="448">
        <f t="shared" si="1"/>
        <v>0</v>
      </c>
      <c r="M629" s="647">
        <f t="shared" si="2"/>
        <v>0</v>
      </c>
      <c r="N629" s="647">
        <f t="shared" si="3"/>
        <v>0</v>
      </c>
      <c r="O629" s="448">
        <f>IF(H629=0,0,(VLOOKUP(H629,'MTRL MSK (TPDP)'!$H$9:$U637,5,0)))</f>
        <v>0</v>
      </c>
      <c r="P629" s="448">
        <f t="shared" si="4"/>
        <v>0</v>
      </c>
      <c r="Q629" s="448">
        <f t="shared" si="5"/>
        <v>0</v>
      </c>
      <c r="R629" s="648" t="str">
        <f>IFERROR(IF(S629="","",(VLOOKUP(S629,'1. BQ RAPL'!$D$14:$K637,8,0))),"")</f>
        <v/>
      </c>
      <c r="S629" s="649"/>
      <c r="T629" s="650"/>
      <c r="U629" s="16"/>
      <c r="V629" s="16"/>
      <c r="W629" s="16"/>
      <c r="X629" s="119"/>
      <c r="Y629" s="119"/>
      <c r="Z629" s="119"/>
      <c r="AA629" s="119"/>
      <c r="AB629" s="119"/>
      <c r="AC629" s="119"/>
      <c r="AD629" s="119"/>
      <c r="AE629" s="119"/>
      <c r="AF629" s="119"/>
    </row>
    <row r="630" ht="18.75" customHeight="1">
      <c r="A630" s="119"/>
      <c r="B630" s="652"/>
      <c r="C630" s="642">
        <f>IF(F630=0,0,(VLOOKUP(F630,'MTRL MSK (TPDP)'!$F$9:$W637,18,0)))</f>
        <v>0</v>
      </c>
      <c r="D630" s="642">
        <f>IF(C630=0,0,(VLOOKUP(C630,'MTRL MSK (TPDP)'!$B$9:$W637,3,0)))</f>
        <v>0</v>
      </c>
      <c r="E630" s="643" t="str">
        <f>iferror(IF(C630="","",(VLOOKUP(C630,'MTRL MSK (TPDP)'!$B$9:$W637,4,0))),"")</f>
        <v/>
      </c>
      <c r="F630" s="644">
        <f>IF(H630=0,0,(VLOOKUP(H630,'MTRL MSK (TPDP)'!$H$9:$X637,17,0)))</f>
        <v>0</v>
      </c>
      <c r="G630" s="645"/>
      <c r="H630" s="646"/>
      <c r="I630" s="446">
        <f>IF(H630=0,0,(VLOOKUP(H630,'MTRL MSK (TPDP)'!$H$9:$U637,2,0)))</f>
        <v>0</v>
      </c>
      <c r="J630" s="448" t="str">
        <f>IFERROR((IF(H630=0,0,(VLOOKUP(H630,'MTRL MSK (TPDP)'!$H$8:$U637,7,0))))/(IF(H630=0,0,(VLOOKUP(H630,'MTRL MSK (TPDP)'!$H$8:$U637,5,0)))),"")</f>
        <v/>
      </c>
      <c r="K630" s="559"/>
      <c r="L630" s="448">
        <f t="shared" si="1"/>
        <v>0</v>
      </c>
      <c r="M630" s="647">
        <f t="shared" si="2"/>
        <v>0</v>
      </c>
      <c r="N630" s="647">
        <f t="shared" si="3"/>
        <v>0</v>
      </c>
      <c r="O630" s="448">
        <f>IF(H630=0,0,(VLOOKUP(H630,'MTRL MSK (TPDP)'!$H$9:$U637,5,0)))</f>
        <v>0</v>
      </c>
      <c r="P630" s="448">
        <f t="shared" si="4"/>
        <v>0</v>
      </c>
      <c r="Q630" s="448">
        <f t="shared" si="5"/>
        <v>0</v>
      </c>
      <c r="R630" s="648" t="str">
        <f>IFERROR(IF(S630="","",(VLOOKUP(S630,'1. BQ RAPL'!$D$14:$K637,8,0))),"")</f>
        <v/>
      </c>
      <c r="S630" s="649"/>
      <c r="T630" s="650"/>
      <c r="U630" s="16"/>
      <c r="V630" s="16"/>
      <c r="W630" s="16"/>
      <c r="X630" s="119"/>
      <c r="Y630" s="119"/>
      <c r="Z630" s="119"/>
      <c r="AA630" s="119"/>
      <c r="AB630" s="119"/>
      <c r="AC630" s="119"/>
      <c r="AD630" s="119"/>
      <c r="AE630" s="119"/>
      <c r="AF630" s="119"/>
    </row>
    <row r="631" ht="18.75" customHeight="1">
      <c r="A631" s="119"/>
      <c r="B631" s="652"/>
      <c r="C631" s="642">
        <f>IF(F631=0,0,(VLOOKUP(F631,'MTRL MSK (TPDP)'!$F$9:$W637,18,0)))</f>
        <v>0</v>
      </c>
      <c r="D631" s="642">
        <f>IF(C631=0,0,(VLOOKUP(C631,'MTRL MSK (TPDP)'!$B$9:$W637,3,0)))</f>
        <v>0</v>
      </c>
      <c r="E631" s="643" t="str">
        <f>iferror(IF(C631="","",(VLOOKUP(C631,'MTRL MSK (TPDP)'!$B$9:$W637,4,0))),"")</f>
        <v/>
      </c>
      <c r="F631" s="644">
        <f>IF(H631=0,0,(VLOOKUP(H631,'MTRL MSK (TPDP)'!$H$9:$X637,17,0)))</f>
        <v>0</v>
      </c>
      <c r="G631" s="645"/>
      <c r="H631" s="646"/>
      <c r="I631" s="446">
        <f>IF(H631=0,0,(VLOOKUP(H631,'MTRL MSK (TPDP)'!$H$9:$U637,2,0)))</f>
        <v>0</v>
      </c>
      <c r="J631" s="448" t="str">
        <f>IFERROR((IF(H631=0,0,(VLOOKUP(H631,'MTRL MSK (TPDP)'!$H$8:$U637,7,0))))/(IF(H631=0,0,(VLOOKUP(H631,'MTRL MSK (TPDP)'!$H$8:$U637,5,0)))),"")</f>
        <v/>
      </c>
      <c r="K631" s="559"/>
      <c r="L631" s="448">
        <f t="shared" si="1"/>
        <v>0</v>
      </c>
      <c r="M631" s="647">
        <f t="shared" si="2"/>
        <v>0</v>
      </c>
      <c r="N631" s="647">
        <f t="shared" si="3"/>
        <v>0</v>
      </c>
      <c r="O631" s="448">
        <f>IF(H631=0,0,(VLOOKUP(H631,'MTRL MSK (TPDP)'!$H$9:$U637,5,0)))</f>
        <v>0</v>
      </c>
      <c r="P631" s="448">
        <f t="shared" si="4"/>
        <v>0</v>
      </c>
      <c r="Q631" s="448">
        <f t="shared" si="5"/>
        <v>0</v>
      </c>
      <c r="R631" s="648" t="str">
        <f>IFERROR(IF(S631="","",(VLOOKUP(S631,'1. BQ RAPL'!$D$14:$K637,8,0))),"")</f>
        <v/>
      </c>
      <c r="S631" s="649"/>
      <c r="T631" s="650"/>
      <c r="U631" s="16"/>
      <c r="V631" s="16"/>
      <c r="W631" s="16"/>
      <c r="X631" s="119"/>
      <c r="Y631" s="119"/>
      <c r="Z631" s="119"/>
      <c r="AA631" s="119"/>
      <c r="AB631" s="119"/>
      <c r="AC631" s="119"/>
      <c r="AD631" s="119"/>
      <c r="AE631" s="119"/>
      <c r="AF631" s="119"/>
    </row>
    <row r="632" ht="18.75" customHeight="1">
      <c r="A632" s="119"/>
      <c r="B632" s="652"/>
      <c r="C632" s="642">
        <f>IF(F632=0,0,(VLOOKUP(F632,'MTRL MSK (TPDP)'!$F$9:$W637,18,0)))</f>
        <v>0</v>
      </c>
      <c r="D632" s="642">
        <f>IF(C632=0,0,(VLOOKUP(C632,'MTRL MSK (TPDP)'!$B$9:$W637,3,0)))</f>
        <v>0</v>
      </c>
      <c r="E632" s="643" t="str">
        <f>iferror(IF(C632="","",(VLOOKUP(C632,'MTRL MSK (TPDP)'!$B$9:$W637,4,0))),"")</f>
        <v/>
      </c>
      <c r="F632" s="644">
        <f>IF(H632=0,0,(VLOOKUP(H632,'MTRL MSK (TPDP)'!$H$9:$X637,17,0)))</f>
        <v>0</v>
      </c>
      <c r="G632" s="645"/>
      <c r="H632" s="646"/>
      <c r="I632" s="446">
        <f>IF(H632=0,0,(VLOOKUP(H632,'MTRL MSK (TPDP)'!$H$9:$U637,2,0)))</f>
        <v>0</v>
      </c>
      <c r="J632" s="448" t="str">
        <f>IFERROR((IF(H632=0,0,(VLOOKUP(H632,'MTRL MSK (TPDP)'!$H$8:$U637,7,0))))/(IF(H632=0,0,(VLOOKUP(H632,'MTRL MSK (TPDP)'!$H$8:$U637,5,0)))),"")</f>
        <v/>
      </c>
      <c r="K632" s="559"/>
      <c r="L632" s="448">
        <f t="shared" si="1"/>
        <v>0</v>
      </c>
      <c r="M632" s="647">
        <f t="shared" si="2"/>
        <v>0</v>
      </c>
      <c r="N632" s="647">
        <f t="shared" si="3"/>
        <v>0</v>
      </c>
      <c r="O632" s="448">
        <f>IF(H632=0,0,(VLOOKUP(H632,'MTRL MSK (TPDP)'!$H$9:$U637,5,0)))</f>
        <v>0</v>
      </c>
      <c r="P632" s="448">
        <f t="shared" si="4"/>
        <v>0</v>
      </c>
      <c r="Q632" s="448">
        <f t="shared" si="5"/>
        <v>0</v>
      </c>
      <c r="R632" s="648" t="str">
        <f>IFERROR(IF(S632="","",(VLOOKUP(S632,'1. BQ RAPL'!$D$14:$K637,8,0))),"")</f>
        <v/>
      </c>
      <c r="S632" s="649"/>
      <c r="T632" s="650"/>
      <c r="U632" s="16"/>
      <c r="V632" s="16"/>
      <c r="W632" s="16"/>
      <c r="X632" s="119"/>
      <c r="Y632" s="119"/>
      <c r="Z632" s="119"/>
      <c r="AA632" s="119"/>
      <c r="AB632" s="119"/>
      <c r="AC632" s="119"/>
      <c r="AD632" s="119"/>
      <c r="AE632" s="119"/>
      <c r="AF632" s="119"/>
    </row>
    <row r="633" ht="17.25" customHeight="1">
      <c r="A633" s="119"/>
      <c r="B633" s="656"/>
      <c r="C633" s="657"/>
      <c r="D633" s="658"/>
      <c r="E633" s="659"/>
      <c r="F633" s="659"/>
      <c r="G633" s="565"/>
      <c r="H633" s="660"/>
      <c r="I633" s="567"/>
      <c r="J633" s="661"/>
      <c r="K633" s="567"/>
      <c r="L633" s="567"/>
      <c r="M633" s="662"/>
      <c r="N633" s="662"/>
      <c r="O633" s="567"/>
      <c r="P633" s="567"/>
      <c r="Q633" s="660"/>
      <c r="R633" s="660"/>
      <c r="S633" s="568"/>
      <c r="T633" s="569"/>
      <c r="U633" s="16"/>
      <c r="V633" s="16"/>
      <c r="W633" s="16"/>
      <c r="X633" s="119"/>
      <c r="Y633" s="119"/>
      <c r="Z633" s="119"/>
      <c r="AA633" s="119"/>
      <c r="AB633" s="119"/>
      <c r="AC633" s="119"/>
      <c r="AD633" s="119"/>
      <c r="AE633" s="119"/>
      <c r="AF633" s="119"/>
    </row>
    <row r="634" ht="17.25" customHeight="1">
      <c r="A634" s="119"/>
      <c r="B634" s="663"/>
      <c r="C634" s="664"/>
      <c r="D634" s="665"/>
      <c r="E634" s="666"/>
      <c r="F634" s="666"/>
      <c r="G634" s="570" t="s">
        <v>55</v>
      </c>
      <c r="H634" s="486"/>
      <c r="I634" s="485"/>
      <c r="J634" s="667"/>
      <c r="K634" s="485"/>
      <c r="L634" s="485"/>
      <c r="M634" s="668"/>
      <c r="N634" s="668"/>
      <c r="O634" s="485"/>
      <c r="P634" s="485"/>
      <c r="Q634" s="486"/>
      <c r="R634" s="486"/>
      <c r="S634" s="571"/>
      <c r="T634" s="488"/>
      <c r="U634" s="16"/>
      <c r="V634" s="16"/>
      <c r="W634" s="16"/>
      <c r="X634" s="119"/>
      <c r="Y634" s="119"/>
      <c r="Z634" s="119"/>
      <c r="AA634" s="119"/>
      <c r="AB634" s="119"/>
      <c r="AC634" s="119"/>
      <c r="AD634" s="119"/>
      <c r="AE634" s="119"/>
      <c r="AF634" s="119"/>
    </row>
    <row r="635" ht="17.25" customHeight="1">
      <c r="A635" s="119"/>
      <c r="B635" s="119"/>
      <c r="C635" s="119"/>
      <c r="D635" s="119"/>
      <c r="E635" s="119"/>
      <c r="F635" s="119"/>
      <c r="G635" s="119"/>
      <c r="H635" s="1"/>
      <c r="I635" s="119"/>
      <c r="J635" s="669"/>
      <c r="K635" s="119"/>
      <c r="L635" s="119"/>
      <c r="M635" s="119"/>
      <c r="N635" s="119"/>
      <c r="O635" s="119"/>
      <c r="P635" s="119"/>
      <c r="Q635" s="1"/>
      <c r="R635" s="1"/>
      <c r="S635" s="1"/>
      <c r="T635" s="119"/>
      <c r="U635" s="16"/>
      <c r="V635" s="16"/>
      <c r="W635" s="16"/>
      <c r="X635" s="119"/>
      <c r="Y635" s="119"/>
      <c r="Z635" s="119"/>
      <c r="AA635" s="119"/>
      <c r="AB635" s="119"/>
      <c r="AC635" s="119"/>
      <c r="AD635" s="119"/>
      <c r="AE635" s="119"/>
      <c r="AF635" s="119"/>
    </row>
    <row r="636" ht="17.25" customHeight="1">
      <c r="A636" s="119"/>
      <c r="B636" s="508"/>
      <c r="C636" s="508"/>
      <c r="D636" s="508"/>
      <c r="E636" s="670"/>
      <c r="F636" s="670"/>
      <c r="G636" s="670"/>
      <c r="H636" s="671"/>
      <c r="I636" s="670"/>
      <c r="J636" s="672"/>
      <c r="K636" s="670"/>
      <c r="L636" s="670"/>
      <c r="M636" s="172"/>
      <c r="N636" s="172"/>
      <c r="O636" s="673"/>
      <c r="P636" s="673"/>
      <c r="Q636" s="671"/>
      <c r="R636" s="671"/>
      <c r="S636" s="1"/>
      <c r="T636" s="119"/>
      <c r="U636" s="16"/>
      <c r="V636" s="16"/>
      <c r="W636" s="16"/>
      <c r="X636" s="119"/>
      <c r="Y636" s="119"/>
      <c r="Z636" s="119"/>
      <c r="AA636" s="119"/>
      <c r="AB636" s="119"/>
      <c r="AC636" s="119"/>
      <c r="AD636" s="119"/>
      <c r="AE636" s="119"/>
      <c r="AF636" s="119"/>
    </row>
    <row r="637" ht="17.25" customHeight="1">
      <c r="A637" s="119"/>
      <c r="B637" s="508"/>
      <c r="C637" s="508"/>
      <c r="D637" s="508"/>
      <c r="E637" s="670"/>
      <c r="F637" s="670"/>
      <c r="G637" s="670"/>
      <c r="H637" s="671"/>
      <c r="I637" s="670"/>
      <c r="J637" s="672"/>
      <c r="K637" s="670"/>
      <c r="L637" s="670"/>
      <c r="M637" s="172"/>
      <c r="N637" s="172"/>
      <c r="O637" s="673"/>
      <c r="P637" s="673"/>
      <c r="Q637" s="671"/>
      <c r="R637" s="671"/>
      <c r="S637" s="1"/>
      <c r="T637" s="119"/>
      <c r="U637" s="16"/>
      <c r="V637" s="16"/>
      <c r="W637" s="16"/>
      <c r="X637" s="119"/>
      <c r="Y637" s="119"/>
      <c r="Z637" s="119"/>
      <c r="AA637" s="119"/>
      <c r="AB637" s="119"/>
      <c r="AC637" s="119"/>
      <c r="AD637" s="119"/>
      <c r="AE637" s="119"/>
      <c r="AF637" s="119"/>
    </row>
  </sheetData>
  <mergeCells count="6">
    <mergeCell ref="S1:T2"/>
    <mergeCell ref="C2:D2"/>
    <mergeCell ref="V4:V5"/>
    <mergeCell ref="K5:L5"/>
    <mergeCell ref="M5:N5"/>
    <mergeCell ref="R5:S5"/>
  </mergeCells>
  <dataValidations>
    <dataValidation type="list" allowBlank="1" showErrorMessage="1" sqref="S9:S632">
      <formula1>'1. BQ RAPL'!$D$15:$D637</formula1>
    </dataValidation>
    <dataValidation type="list" allowBlank="1" showErrorMessage="1" sqref="H9:H632">
      <formula1>'2. SMDA BHN'!$B$12:$B637</formula1>
    </dataValidation>
  </dataValidations>
  <printOptions/>
  <pageMargins bottom="0.75" footer="0.0" header="0.0" left="0.7" right="0.7" top="0.75"/>
  <pageSetup orientation="landscape"/>
  <drawing r:id="rId1"/>
</worksheet>
</file>