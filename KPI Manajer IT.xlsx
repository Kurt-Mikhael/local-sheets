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codeName="ThisWorkbook" defaultThemeVersion="124226"/>
  <mc:AlternateContent xmlns:mc="http://schemas.openxmlformats.org/markup-compatibility/2006">
    <mc:Choice Requires="x15">
      <x15ac:absPath xmlns:x15ac="http://schemas.microsoft.com/office/spreadsheetml/2010/11/ac" url="C:\Users\PCC\Downloads\"/>
    </mc:Choice>
  </mc:AlternateContent>
  <xr:revisionPtr revIDLastSave="0" documentId="13_ncr:1_{CAA1F851-CE50-4EBD-A2EE-1D31D0F94CCC}" xr6:coauthVersionLast="47" xr6:coauthVersionMax="47" xr10:uidLastSave="{00000000-0000-0000-0000-000000000000}"/>
  <bookViews>
    <workbookView xWindow="-110" yWindow="-110" windowWidth="19420" windowHeight="10300" tabRatio="740" firstSheet="5" activeTab="7" xr2:uid="{00000000-000D-0000-FFFF-FFFF00000000}"/>
  </bookViews>
  <sheets>
    <sheet name="Pedoman" sheetId="9" state="hidden" r:id="rId1"/>
    <sheet name="Cover" sheetId="1" state="hidden" r:id="rId2"/>
    <sheet name="Bag 1 (KPI &amp; PA)" sheetId="2" state="hidden" r:id="rId3"/>
    <sheet name="Bag 1 (KPI &amp; PA) strata" sheetId="10" state="hidden" r:id="rId4"/>
    <sheet name="Bag 2 (Kompetensi)-Dev" sheetId="5" state="hidden" r:id="rId5"/>
    <sheet name="MODAL SETELAH LOGIN KPI" sheetId="14" r:id="rId6"/>
    <sheet name="I. PM" sheetId="19" r:id="rId7"/>
    <sheet name="II. IDP" sheetId="16" r:id="rId8"/>
    <sheet name="I. KPI" sheetId="18" state="hidden" r:id="rId9"/>
    <sheet name="Rekapitulasi dan Checklist" sheetId="13" state="hidden" r:id="rId10"/>
    <sheet name="Bag 4 Final Rating" sheetId="8" state="hidden" r:id="rId11"/>
  </sheets>
  <definedNames>
    <definedName name="_xlnm.Print_Area" localSheetId="2">'Bag 1 (KPI &amp; PA)'!$A$1:$AA$42</definedName>
    <definedName name="_xlnm.Print_Area" localSheetId="3">'Bag 1 (KPI &amp; PA) strata'!$B$1:$AB$49</definedName>
    <definedName name="_xlnm.Print_Area" localSheetId="4">'Bag 2 (Kompetensi)-Dev'!$A$4:$O$83</definedName>
    <definedName name="_xlnm.Print_Area" localSheetId="10">'Bag 4 Final Rating'!$A$1:$O$54</definedName>
    <definedName name="_xlnm.Print_Area" localSheetId="1">Cover!$A$1:$G$34</definedName>
    <definedName name="_xlnm.Print_Area" localSheetId="8">'I. KPI'!$A$1:$AA$34</definedName>
    <definedName name="_xlnm.Print_Area" localSheetId="6">'I. PM'!$A$1:$U$44</definedName>
    <definedName name="_xlnm.Print_Area" localSheetId="7">'II. IDP'!$A$1:$I$58</definedName>
    <definedName name="_xlnm.Print_Area" localSheetId="0">Pedoman!$A$2:$C$13</definedName>
    <definedName name="_xlnm.Print_Area" localSheetId="9">'Rekapitulasi dan Checklist'!$A$1:$K$25</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8" i="19" l="1"/>
  <c r="P32" i="19"/>
  <c r="P33" i="19"/>
  <c r="P29" i="19"/>
  <c r="P30" i="19"/>
  <c r="P34" i="19"/>
  <c r="P36" i="19"/>
  <c r="O5" i="19"/>
  <c r="P18" i="19"/>
  <c r="P15" i="19"/>
  <c r="P16" i="19"/>
  <c r="P17" i="19"/>
  <c r="P19" i="19"/>
  <c r="P20" i="19"/>
  <c r="P26" i="19"/>
  <c r="P27" i="19"/>
  <c r="H34" i="19"/>
  <c r="H20" i="19"/>
  <c r="Y14" i="18"/>
  <c r="Y15" i="18"/>
  <c r="Y16" i="18"/>
  <c r="Y13" i="18"/>
  <c r="I17" i="18"/>
  <c r="Z3" i="18"/>
  <c r="Z6" i="18"/>
  <c r="W15" i="10"/>
  <c r="E43" i="10"/>
  <c r="W39" i="10"/>
  <c r="W33" i="10"/>
  <c r="W27" i="10"/>
  <c r="W21" i="10"/>
  <c r="Y3" i="10"/>
  <c r="Y6" i="10"/>
  <c r="M83" i="5"/>
  <c r="B74" i="5"/>
  <c r="B66" i="5"/>
  <c r="B52" i="5"/>
  <c r="B44" i="5"/>
  <c r="B36" i="5"/>
  <c r="B26" i="5"/>
  <c r="B21" i="5"/>
  <c r="B16" i="5"/>
  <c r="U14" i="2"/>
  <c r="G83" i="5"/>
  <c r="O5" i="5"/>
  <c r="P6" i="5"/>
  <c r="E18" i="8"/>
  <c r="E25" i="8"/>
  <c r="U38" i="2"/>
  <c r="W38" i="2"/>
  <c r="U32" i="2"/>
  <c r="W32" i="2"/>
  <c r="U26" i="2"/>
  <c r="W26" i="2"/>
  <c r="U20" i="2"/>
  <c r="W20" i="2"/>
  <c r="W14" i="2"/>
  <c r="Y3" i="2"/>
  <c r="AA4" i="2"/>
  <c r="B18" i="8"/>
  <c r="B25" i="8"/>
  <c r="E42" i="2"/>
  <c r="I19" i="8"/>
  <c r="L19" i="8"/>
</calcChain>
</file>

<file path=xl/sharedStrings.xml><?xml version="1.0" encoding="utf-8"?>
<sst xmlns="http://schemas.openxmlformats.org/spreadsheetml/2006/main" count="702" uniqueCount="466">
  <si>
    <t>Nama Karyawan</t>
  </si>
  <si>
    <t>Nomor Induk Karyawan</t>
  </si>
  <si>
    <t>Tanggal Pengangkatan</t>
  </si>
  <si>
    <t>Departemen</t>
  </si>
  <si>
    <t>Periode Penilaian</t>
  </si>
  <si>
    <t>Januari-Juni</t>
  </si>
  <si>
    <t>Posisi</t>
  </si>
  <si>
    <t>Atasan Langsung</t>
  </si>
  <si>
    <t>Rating Tahun Sebelumnya</t>
  </si>
  <si>
    <t>Nilai Tahun Sebelumnya</t>
  </si>
  <si>
    <t>Antonius Hermawan Susilo</t>
  </si>
  <si>
    <t>NIK</t>
  </si>
  <si>
    <t>Divisi</t>
  </si>
  <si>
    <t>Wight per KPI</t>
  </si>
  <si>
    <t>Performance Target (SMART)</t>
  </si>
  <si>
    <t>Specific Measurement (Criteria of Success)</t>
  </si>
  <si>
    <t>Score</t>
  </si>
  <si>
    <t>3-5 major performance target for the whole year</t>
  </si>
  <si>
    <t>Poor</t>
  </si>
  <si>
    <t>Fair</t>
  </si>
  <si>
    <t>Good</t>
  </si>
  <si>
    <t>Very Good</t>
  </si>
  <si>
    <t>Excellent</t>
  </si>
  <si>
    <t>Weight                          (Total 100%)</t>
  </si>
  <si>
    <t>Performance Rating</t>
  </si>
  <si>
    <t>Rating</t>
  </si>
  <si>
    <t>Achievement</t>
  </si>
  <si>
    <t>KPI 1</t>
  </si>
  <si>
    <t>KPI 2</t>
  </si>
  <si>
    <t>KPI 3</t>
  </si>
  <si>
    <t>KPI 4</t>
  </si>
  <si>
    <t>KPI 5</t>
  </si>
  <si>
    <t>Total Weight</t>
  </si>
  <si>
    <t>Total Score</t>
  </si>
  <si>
    <t>:</t>
  </si>
  <si>
    <t>A</t>
  </si>
  <si>
    <t>B</t>
  </si>
  <si>
    <t>C</t>
  </si>
  <si>
    <t xml:space="preserve">Nama </t>
  </si>
  <si>
    <t>Poor (≤69)</t>
  </si>
  <si>
    <t>Fair (70 - ≤89)</t>
  </si>
  <si>
    <t>Good (90 - ≤100)</t>
  </si>
  <si>
    <t>Very Good (100 - ≤110)</t>
  </si>
  <si>
    <t>Excellence (&gt;110)</t>
  </si>
  <si>
    <t>Kriteria Rating</t>
  </si>
  <si>
    <t>TECHNICAL KNOWLEDGE/SKILL</t>
  </si>
  <si>
    <t>Proyek</t>
  </si>
  <si>
    <t>Memahami pekerjaannya saat ini, dan mampu menerapkan pengetahuan dan/atau keterampilan kerja yang dimilikinya dengan baik sesuai dengan tujuan unit/perusahaan.</t>
  </si>
  <si>
    <t>Memahami pekerjaanya saat ini. Pengetahuan dan/atau keterampilan yang dimiliki melebihi yang diperlukan saat ini, dan mampu menerapkannya sesuai dengan kebutuhan unit/perusahaan.</t>
  </si>
  <si>
    <t>Sangat memahami pekerjaanya saat ini. Bahkan memiliki pengetahuan dan/atau keterampilan yang  jauh melebihi yang diperlukan saat ini, dan mampu menerapkannya sesuai dengan kebutuhan unit/perusahaan.</t>
  </si>
  <si>
    <t>Reviewer</t>
  </si>
  <si>
    <t>Competency</t>
  </si>
  <si>
    <t xml:space="preserve">Belum memiliki standar  pengetahuan dan/atau keterampilan kerja yang diperlukan. </t>
  </si>
  <si>
    <t>Kurang memahami pekerjaan saat ini, serta kurang didukung oleh standar pengetahuan dan/atau keterampilan kerja yang diperlukan.</t>
  </si>
  <si>
    <t xml:space="preserve">Tingkat kemampuan karyawan dalam hal menerapkan pengetahuan atau keterampilan teknis utama untuk menjalankan pekerjaan. </t>
  </si>
  <si>
    <t>Dept</t>
  </si>
  <si>
    <t>Discussed and agreed at the beginning of the year</t>
  </si>
  <si>
    <t>Discussed and agreed during the Mid-Year Feedback</t>
  </si>
  <si>
    <t>Employee (Name, Signature)</t>
  </si>
  <si>
    <t>Direct Superior (Name, Signature)</t>
  </si>
  <si>
    <t>Reviewer (Name, Signature)</t>
  </si>
  <si>
    <t>Predikat</t>
  </si>
  <si>
    <t>Juli-Desember</t>
  </si>
  <si>
    <t>Section 4:  Kesimpulan dan Final Rating</t>
  </si>
  <si>
    <t>Tanggal</t>
  </si>
  <si>
    <t>Komentar Karyawan</t>
  </si>
  <si>
    <t>Komentar Atasan</t>
  </si>
  <si>
    <t>Komentar Reviewer</t>
  </si>
  <si>
    <t>Penilaian Tengah Tahun (Mid-Year Feedback)</t>
  </si>
  <si>
    <t>Penilaian Akhir Tahun (Performance Appraisal)</t>
  </si>
  <si>
    <t>Nilai Bagian 1</t>
  </si>
  <si>
    <t>Nilai Bagian 2</t>
  </si>
  <si>
    <t>Nilai TOTAL</t>
  </si>
  <si>
    <t>Nilai TOTAL = (Nilai Bagian 1 x 0.50) + (Nilai Bagian 2 x 0.50)</t>
  </si>
  <si>
    <t>Nilai Bagian 1 - KPI berkontribusi 50% terhadap Nilai Total</t>
  </si>
  <si>
    <t>Nilai Bagian 2 - Kompetensi berkontribusi 50% terhadap Nilai Total</t>
  </si>
  <si>
    <t>Nama, Tanda Tangan Karyawan</t>
  </si>
  <si>
    <t>Nama, Tanda Tangan Atasan</t>
  </si>
  <si>
    <t>Nama, Tanda Tangan Reviewer</t>
  </si>
  <si>
    <t>Cover</t>
  </si>
  <si>
    <t>Data-data karyawan yang harus diisi dan penjelasan umum mengenai PA Tool.</t>
  </si>
  <si>
    <t>Pedoman Proses Performance Management 2017</t>
  </si>
  <si>
    <r>
      <t xml:space="preserve">Bagian 1:
</t>
    </r>
    <r>
      <rPr>
        <b/>
        <sz val="14"/>
        <rFont val="Calibri"/>
        <family val="2"/>
      </rPr>
      <t>2017 KPI &amp; PA</t>
    </r>
  </si>
  <si>
    <r>
      <t xml:space="preserve">Bagian 2 :
</t>
    </r>
    <r>
      <rPr>
        <b/>
        <sz val="14"/>
        <rFont val="Calibri"/>
        <family val="2"/>
      </rPr>
      <t>Kompetensi</t>
    </r>
  </si>
  <si>
    <r>
      <t xml:space="preserve">Bagian 4 :
</t>
    </r>
    <r>
      <rPr>
        <b/>
        <sz val="14"/>
        <rFont val="Calibri"/>
        <family val="2"/>
      </rPr>
      <t>Final Rating</t>
    </r>
  </si>
  <si>
    <t>Pada bagian ini, atasan dan karyawan menuliskan target-target kinerja yang disepakati untuk dicapai di tahun berjalan - secara S.M.A.R.T.
Setiap target yang akan dicapai harus disepakati bobot-nya masing-masing, dengan total 100%.
Kemudian proses penilaian dilakukan terhadap target yang telah disetujui, masing-masing target diberikan rating kinerja berdasarkan indikator kinerja yang telah dituliskan.</t>
  </si>
  <si>
    <t>Hasil penilaian atas setiap kompetensi yang dipersyaratkan.
Penilaian atas setiap kompetensi dilakukan dengan menuliskan angka di kotak yang dimaksud (1,2, 3, 4 atau 5).
Tool ini akan secara otomatis menjumlahkan Nilai Total penilaian dari seluruh kompetensi yang relevan.</t>
  </si>
  <si>
    <t xml:space="preserve">Pada bagian ini, atasan dan karyawan menetapkan Program Pengembangan yang diperlukan untuk Kompetensi Teknis maupun Umum.
</t>
  </si>
  <si>
    <t>Adalah Nilai Total yang dihitung secara otomatis berdasarkan penilaian atas pencapaian KPI (Bagian 1) dan setiap kompetensi di Bagian 2.
Atasan dan Karyawan dapat menuliskan komentar dan menanda-tangani hasil penilaian yang disetujui melalui diskusi.</t>
  </si>
  <si>
    <t>Min</t>
  </si>
  <si>
    <t xml:space="preserve">Rating </t>
  </si>
  <si>
    <t>TOTAL RATING</t>
  </si>
  <si>
    <t>TOTAL COMPETENCY DILENGKAPI</t>
  </si>
  <si>
    <r>
      <t xml:space="preserve">Bagian 3 : 
</t>
    </r>
    <r>
      <rPr>
        <b/>
        <sz val="14"/>
        <color theme="0"/>
        <rFont val="Calibri"/>
        <family val="2"/>
      </rPr>
      <t xml:space="preserve"> Rencana Pengembangan Individu 2018</t>
    </r>
  </si>
  <si>
    <t>CORE COMPETENCIES</t>
  </si>
  <si>
    <t>Mencapai standar atau target yang ditetapkan.</t>
  </si>
  <si>
    <t>Belum mencapai standar atau target yang ditetapkan.</t>
  </si>
  <si>
    <t>Mencapai hasil kerja melebihi standar atau target.</t>
  </si>
  <si>
    <t>Proaktif dan memotivasi rekan kerja dan dirinya sendiri dalam mencapai sasaran yang menantang.</t>
  </si>
  <si>
    <t>Menjadi teladan untuk orang lain dalam pencapaian sasaran atau prestasi yang melebili target perusahaan</t>
  </si>
  <si>
    <t>Indikator Perilaku</t>
  </si>
  <si>
    <t>Kurang bersungguh-sungguh dalam menjalankan tugas (tidak menunjukkan tanggung jawabnya).</t>
  </si>
  <si>
    <t>Bekerja sebatas pada instruksi yang diberikan, tetapi target tidak tercapai.</t>
  </si>
  <si>
    <t>Mudah menyerah jika menghadapi kesulitan atau tantangan baru.</t>
  </si>
  <si>
    <t>Menjalankan tugas sesuai dengan tanggung jawabnya dan memberikan hasil kerja sesuai target</t>
  </si>
  <si>
    <t>Bekerja keras dan memberikan standar kerja yang sesuai dengan target.</t>
  </si>
  <si>
    <t>Menganggap kerja sebagai beban yang harus dikerjakan.</t>
  </si>
  <si>
    <t>Mampu mencapai target di atas target perusahaan.</t>
  </si>
  <si>
    <t>Melakukan sesuatu lebih baik, lebih cepat, lebih efisien untuk meningkatkan kualitas.</t>
  </si>
  <si>
    <t>Melakukan perbaikan-perbaikan terhadap kinerja selama ini sehingga mencapai ahsil kerja yang melampaui target.</t>
  </si>
  <si>
    <t>Proaktif untuk mencari tantangan, sebagai upaya meningkatkan kemampuan dan prestasi kerjanya.</t>
  </si>
  <si>
    <t>Menetapkan sasaran yang belum pernah dicapai sebelumnya.</t>
  </si>
  <si>
    <t>Membimbing dan memotivasi orang lain dalam menetapkan standar kerja dan mencapai kinerja di atas target perusahaan.</t>
  </si>
  <si>
    <t>Menjadi teladan abgi orang lain dalam berprestasi.</t>
  </si>
  <si>
    <t>Menginvestasikan sumber daya dan waktu yang signifikan untuk meningkatkan prestasi.</t>
  </si>
  <si>
    <t>Membuat keputusan, menetapkan prioritas atau memilih sasaran berdasarkan perhitungan input dan output.</t>
  </si>
  <si>
    <t>Belum memiliki mental pelayanan kepada pelanggan.</t>
  </si>
  <si>
    <t>Mampu memberikan pelayanan sesuai dengan standar kualitas.</t>
  </si>
  <si>
    <t>Fokus kepada kebutuhan pelanggan.</t>
  </si>
  <si>
    <t>Memberikan pelayanan yang memuaskan secara konsisten kepada pelanggan.</t>
  </si>
  <si>
    <t>Mengembangkan metode baru dan menggunakan perspektif jangka panjang dalam melakukan pelayanan bernilai tambah.</t>
  </si>
  <si>
    <t>Belum memahami arti pentingnya pelanggan bagi perusahaan.</t>
  </si>
  <si>
    <t>Memberikan pelayanan, tetapi tidak sesuai kebutuhan pelanggan.</t>
  </si>
  <si>
    <t>Menyalahkan pelanggan jika muncul hasil yang tidak memuaskan.</t>
  </si>
  <si>
    <t>Mengetahui aturan-aturan yang berlaku dalam rangka pemenuhan kebutuhan pelanggan.</t>
  </si>
  <si>
    <t>Memahami pentingnya memberikan pelayanan.</t>
  </si>
  <si>
    <t>Tidak pernah jenuh untuk mengatasi keluhan pelanggan.</t>
  </si>
  <si>
    <t>Memberikan pelayanan sesuai kebutuhan pelanggan.</t>
  </si>
  <si>
    <t>Menindaklanjuti permintaan, pelayanan dan keluhan pelanggan secara cepat dan tepat.</t>
  </si>
  <si>
    <t>Mengetahui cara-cara memuaskan pelanggan dan melakukannya dengan hal yang dirasa cukup penting.</t>
  </si>
  <si>
    <t>Mempertahankan hubungan dengan pelanggan dalam jangka panjang.</t>
  </si>
  <si>
    <t>Memberikan pelayanan memuaskan secara konsisten yang menumbuhkan loyalitas pelanggan.</t>
  </si>
  <si>
    <t>Mampu memberikan saran atau pandangan yang membantu pelanggan dalam menyelesaikan masalah.</t>
  </si>
  <si>
    <t>Bekerja dengan menggunakan perspektif jangka panjang (antisipasi kebutuhan) dalam menjawab masalah pelanggan.</t>
  </si>
  <si>
    <t>Mengembangkan cara-cara (solusi) untuk meningkatkan kualitas pelayanan.</t>
  </si>
  <si>
    <t>Berinisiatif menanyakan keperluan atau kebutuhan serta mencoba membuat perencanaan pemenuhan kebutuhan pelanggan di masa yang akan datang.</t>
  </si>
  <si>
    <r>
      <t xml:space="preserve">STRIVE FOR EXCELLENCE                                              </t>
    </r>
    <r>
      <rPr>
        <i/>
        <sz val="12"/>
        <color theme="1"/>
        <rFont val="Corbel"/>
        <family val="2"/>
      </rPr>
      <t>Kemampuan bekerja yang efektif dan efisien untuk mencapai sasaran (hasil) dan prestasi yang lebih baik/melebihi standar.</t>
    </r>
  </si>
  <si>
    <r>
      <rPr>
        <b/>
        <sz val="12"/>
        <color theme="1"/>
        <rFont val="Corbel"/>
        <family val="2"/>
      </rPr>
      <t xml:space="preserve">SERVICE QUALITY ORIENTED   </t>
    </r>
    <r>
      <rPr>
        <sz val="12"/>
        <color theme="1"/>
        <rFont val="Corbel"/>
        <family val="2"/>
      </rPr>
      <t xml:space="preserve">                                                      </t>
    </r>
    <r>
      <rPr>
        <i/>
        <sz val="12"/>
        <color theme="1"/>
        <rFont val="Corbel"/>
        <family val="2"/>
      </rPr>
      <t>Keinginan untuk membantu atau melayani orang lain (pelanggan eksternal dan internal) secara total sesuai dengan kebutuhan mereka.</t>
    </r>
  </si>
  <si>
    <t>Belum bertindak sesuai dengan kode etik dan nilai-nilai (values) perusahaan.</t>
  </si>
  <si>
    <t>Memahami dan mengenali perilaku sesuai kode etik dan nilai-nilai (values) perusahaan.</t>
  </si>
  <si>
    <t>Melakukan tindakan yang konsisten dengan nilai (values) dan keyakinannya.</t>
  </si>
  <si>
    <t>Bertindak berdasarkan nilai (values) meskipun sulit untuk melakukan itu.</t>
  </si>
  <si>
    <t>Bertindak berdasarkan nilai (values) walaupun ada risiko yang harus ditanggung.</t>
  </si>
  <si>
    <t>Belum mengikuti kode etik profesi dan values perusahaan.</t>
  </si>
  <si>
    <t>Tidak konsisten dalam kata dan tindakan.</t>
  </si>
  <si>
    <t>Sulit untuk mendapatkan kepercayaan orang lain.</t>
  </si>
  <si>
    <r>
      <rPr>
        <b/>
        <sz val="12"/>
        <color theme="1"/>
        <rFont val="Corbel"/>
        <family val="2"/>
      </rPr>
      <t xml:space="preserve">INTEGRITY        </t>
    </r>
    <r>
      <rPr>
        <sz val="12"/>
        <color theme="1"/>
        <rFont val="Corbel"/>
        <family val="2"/>
      </rPr>
      <t xml:space="preserve">                        </t>
    </r>
    <r>
      <rPr>
        <i/>
        <sz val="12"/>
        <color theme="1"/>
        <rFont val="Corbel"/>
        <family val="2"/>
      </rPr>
      <t>Berperilaku secara jujur, adil, beretika dan menunjukkan konsistensi dalam kata dan tindakan sesuai dengan nilai-nilai sehingga dapat membangun kepercayaan orang lain. Nilai-nilai ini berupa nilai moral, nilai masyarakat, nilai kode etik profesi atau bisnis.</t>
    </r>
  </si>
  <si>
    <t>Mengikuti kode etik profesi dan values perusahaan.</t>
  </si>
  <si>
    <t>Menggunakan dan mengolah sumberdaya di dalam lingkup dan otoritasnya.</t>
  </si>
  <si>
    <t>Kadang orang lain sulit untuk percaya.</t>
  </si>
  <si>
    <t>Melakukan tindakan yang cukup konsisten dengan nilai dan keyakinan.</t>
  </si>
  <si>
    <t>Menyimpan rahasia informasi organisasi dan probadi.</t>
  </si>
  <si>
    <t>Melakukan pendekatan dengan orang lain secara tulus dan positif.</t>
  </si>
  <si>
    <t>Bertindak konsisten dengan nilai-nilai meskipun sulit melakukannya.</t>
  </si>
  <si>
    <t>Secara terbuka mengakui telah melakukan kesalahan.</t>
  </si>
  <si>
    <t>Dapat dipercaya oleh orang lain.</t>
  </si>
  <si>
    <t>Mengambil tindakan atas perilaku orang lain yang tidak etis, meskipun ada risiko yang signifikan untuk diri sendiri dan pekerjaan.</t>
  </si>
  <si>
    <t>Bersedia untuk mundur atau menarik produk/jasa karena praktik bisnis yang tidak etis.</t>
  </si>
  <si>
    <t>Menentang orang-orang yang mempunyai kekuasaan demi menegakkan nilai.</t>
  </si>
  <si>
    <t>Perilaku yang Ditunjukkan</t>
  </si>
  <si>
    <t>LEADERSHIP/INTERPERSONAL COMPETENCIES</t>
  </si>
  <si>
    <t>Belum mampu menunjukkan perannya sebagai pemimpin dalam kelompok.</t>
  </si>
  <si>
    <t>Mempunyai sasaran atau tujuan dan mengorganisasi kelompok dengan baik.</t>
  </si>
  <si>
    <t>Mampu mengefektifkan dan melindungi reputasi kelompok.</t>
  </si>
  <si>
    <t>Melakukan tindakan-tindakan yang bertujuan untuk menumbuhkan komitmen anggotanya untuk membangun dan melindungi reputasi kelompok.</t>
  </si>
  <si>
    <t>Mampu melakukan kontrol, evaluasi dan melakukan tindakan korektif dalam kelompoknya.</t>
  </si>
  <si>
    <t>Melepaskan tanggung jawab, emnolak atau gagal memimpin bawahannya.</t>
  </si>
  <si>
    <t>Belum mempunyai program kerja atau tujuan yang akan dicapai.</t>
  </si>
  <si>
    <t>Belum bisa membagi tugas kepada anggota kelompok.</t>
  </si>
  <si>
    <t>Mampu mengemukakan secara jelas tujuan dan agenda dalam pertemuan.</t>
  </si>
  <si>
    <t>Mampu mengatur alokasi waktu dengan efisien sehingga anggota kelompok dapat bekerja dengan maksimal.</t>
  </si>
  <si>
    <t>Mampu membagi tugas kepada anggota kelompok sesuai keahlian dan potensi masing-masing anggota.</t>
  </si>
  <si>
    <t>Memastikan anggota kelompok mendapatkan informasi yang diperlukan.</t>
  </si>
  <si>
    <t>Mengatasi konflik dan perbedaan pendapat yang ada dalam kelompok untuk mendapatkan win-win solution.</t>
  </si>
  <si>
    <t>Melakukan kontrol terhadap kendala atau hambatan yang muncul dalam kelompok dan melakukan tindakan korektif untuk mencapai tujuan.</t>
  </si>
  <si>
    <t>Meningkatkan efektifitas kerja dan produktivitas kelompok (merekrut, mengeluarkan anggota, memberi pelatihan, dll).</t>
  </si>
  <si>
    <t>Memastikan kebutuhan praktis kelompok terpenuhi: mendapatkan orang yang tepat, sumber daya dan informasi.</t>
  </si>
  <si>
    <t>Melakukan tindakan-tindakan yang bertujuan untuk membangun dan melindungi reputasi kelompok.</t>
  </si>
  <si>
    <t>Mampu memberikan teladan kepada anggota kelompok dengan menunjukkan perilaku seorang pemimpin yang mengayomi.</t>
  </si>
  <si>
    <t>Menetapkan norma bagi perilaku kelompok dan memberikan sanksi bagi mereka yang melanggar.</t>
  </si>
  <si>
    <t>Menyampaikan visi dan misi perusahaan yang menimbulkan antusiasme, energi dan komitmen bagi kelompoknya.</t>
  </si>
  <si>
    <r>
      <rPr>
        <b/>
        <sz val="12"/>
        <color theme="1"/>
        <rFont val="Corbel"/>
        <family val="2"/>
      </rPr>
      <t xml:space="preserve">INCLUSIVENESS </t>
    </r>
    <r>
      <rPr>
        <sz val="12"/>
        <color theme="1"/>
        <rFont val="Corbel"/>
        <family val="2"/>
      </rPr>
      <t xml:space="preserve">                                </t>
    </r>
    <r>
      <rPr>
        <i/>
        <sz val="12"/>
        <color theme="1"/>
        <rFont val="Corbel"/>
        <family val="2"/>
      </rPr>
      <t xml:space="preserve">     Kemampuan menjalin dan mengembangkan hubungan kemitraan yang saling menguntungkan dengan klien dan unit kerja (para pihak) sebagai prioritas utama.</t>
    </r>
  </si>
  <si>
    <r>
      <rPr>
        <b/>
        <sz val="12"/>
        <color theme="1"/>
        <rFont val="Corbel"/>
        <family val="2"/>
      </rPr>
      <t xml:space="preserve">LEADERSHIP (SPV-above)   </t>
    </r>
    <r>
      <rPr>
        <sz val="12"/>
        <color theme="1"/>
        <rFont val="Corbel"/>
        <family val="2"/>
      </rPr>
      <t xml:space="preserve">                                    </t>
    </r>
    <r>
      <rPr>
        <i/>
        <sz val="12"/>
        <color theme="1"/>
        <rFont val="Corbel"/>
        <family val="2"/>
      </rPr>
      <t xml:space="preserve">Kemampuan untuk mengambil peran sebagai pemimpin dalam suatu kelompok dan memastikan adanya kejelasan di antara anggota kelompok. Kepemimpinan kelompok umumnya (tetapi tidak selalu) muncul dari posisi atau otoritas formal. </t>
    </r>
  </si>
  <si>
    <t>Belum mampu menjalin dan mengembangkan hubungan baik dengan para pihak.</t>
  </si>
  <si>
    <t>Mampu menjalin dan mengembangkan hubungan baik dengan para pihak yang terkait dengan pekerjaannya.</t>
  </si>
  <si>
    <t>Mampu menjalin dan mengambangkan hubungan kemitraan dengan para pihak sebagai prioritas utama yang tidak sebatas pada bidang pekerjaannya (lebih luas).</t>
  </si>
  <si>
    <t>Mampu memengaruhi (lobi) dan menggerakkan para pihak untuk kemajuan perusahaan.</t>
  </si>
  <si>
    <t>Menunjukkan ide dan gagasan baru untuk menjalin dan mengembangkan hubungan kemitraan sebagai prioritas utama.</t>
  </si>
  <si>
    <t>Jarang menghubungi/berkomunikasi dengan para pihak.</t>
  </si>
  <si>
    <t>Tidak mencari atau mengenali peluang untuk mengembangkan hubungan dengan para pihak.</t>
  </si>
  <si>
    <t>Sering tidak menindaklanjuti komitmen dengan para pihak.</t>
  </si>
  <si>
    <t>Mampu membangun hubungan baik dengan para pihak sesuai bidang pekerjaannya dalam jangka waktu panjang.</t>
  </si>
  <si>
    <t>Berinisiatif menghubungi para pihak dalam upaya menyelesaikan pekerjaannya.</t>
  </si>
  <si>
    <t>Menunjukkan perhatian dan antusiasme dalam berinteraksi dengan para pihak.</t>
  </si>
  <si>
    <t>Menjalin dan mengembangkan hubungan kemitraan dengan para pihak yang tidak sebatas pada tuntutan pekerjaannya.</t>
  </si>
  <si>
    <t>Merespons kebutuhan para pihak dengan cepat, tepat dan mampu berempati terhadap para pihak.</t>
  </si>
  <si>
    <t>Bermitra dengan orang lain untuk mencapai tujuan dan saling menguntungkan.</t>
  </si>
  <si>
    <t>Memberikan rasa percaya kepada pihak demi kemajuan perusahaan.</t>
  </si>
  <si>
    <t>Mampu memengaruhi pihak-pihak yang berpengaruh signifikan untuk melakukan kerjasama dengan perusahaan.</t>
  </si>
  <si>
    <t>Mengusulkan dan membahas berbagai pendekatan kemitraan dan memfasilitasi kerjasama.</t>
  </si>
  <si>
    <t>Menghasilkan pendekatan, ide atau gagasan kemitraan yang menghasilkan keuntungan strategis yang signifikan bagi kedua belah pihak.</t>
  </si>
  <si>
    <t>Efektif mengembangkan cara untuk menyederhanakan atau menambahkan nilai untuk bekerja bersama.</t>
  </si>
  <si>
    <t>Mampu memotivasi lingkungan kerja untuk menjalin dan mengembangkan hubungan baik dengan pihak lain demi kemajuan perusahaan.</t>
  </si>
  <si>
    <t>Evidence Document</t>
  </si>
  <si>
    <t>(Poor)</t>
  </si>
  <si>
    <t>(Fair)</t>
  </si>
  <si>
    <t>(Good)</t>
  </si>
  <si>
    <t>(Very Good)</t>
  </si>
  <si>
    <t>(Excellent)</t>
  </si>
  <si>
    <t>TOTAL SCORE</t>
  </si>
  <si>
    <t>Discussed and agreed as a final score at the end of year</t>
  </si>
  <si>
    <t>Discussed and agreed during the mid-year feedback</t>
  </si>
  <si>
    <t>3-5 Major Performance Target for the Whole Year</t>
  </si>
  <si>
    <t>Reviewer                     (Name, Signature)</t>
  </si>
  <si>
    <t>Employee                              (Name, Signature)</t>
  </si>
  <si>
    <t>NO</t>
  </si>
  <si>
    <t>NAMA KARYAWAN</t>
  </si>
  <si>
    <t>POSISI</t>
  </si>
  <si>
    <t>DEPARTEMEN</t>
  </si>
  <si>
    <t>KELENGKAPAN KPI</t>
  </si>
  <si>
    <t>KELENGKAPAN DATA</t>
  </si>
  <si>
    <t>KETERANGAN</t>
  </si>
  <si>
    <t>REKAPITULASI SCORE MID YEAR KPI REVIEW</t>
  </si>
  <si>
    <t>DIVISI     :</t>
  </si>
  <si>
    <t>Division Head</t>
  </si>
  <si>
    <t>JAKARTA, _______________</t>
  </si>
  <si>
    <t>√ LENGKAP</t>
  </si>
  <si>
    <t>√ TIDAK LENGKAP</t>
  </si>
  <si>
    <t>Dibuat oleh,</t>
  </si>
  <si>
    <t>Diverifikasi oleh,</t>
  </si>
  <si>
    <t>Kuntjoro Rendra</t>
  </si>
  <si>
    <t>Corp HR Director</t>
  </si>
  <si>
    <t>MID REVIEW SCORE</t>
  </si>
  <si>
    <t>BOBOT 
(WEIGHT)</t>
  </si>
  <si>
    <t>PENGUKURAN
(CRITERIA OF SUCCESS)</t>
  </si>
  <si>
    <t>SKALA PENCAPAIAN 
(PERFORMANCE RATING)</t>
  </si>
  <si>
    <t>:   _____________________</t>
  </si>
  <si>
    <t>Atasan Langsung/Direct Superior 
(Nama, ttd/Name, Signature)</t>
  </si>
  <si>
    <t>Pemeriksa/Reviewer
(Nama, ttd/Name, Signature)</t>
  </si>
  <si>
    <t>PENCAPAIAN
(ACHIEVEMENT)</t>
  </si>
  <si>
    <t>SKALA
(RATING)</t>
  </si>
  <si>
    <t>NILAI 
(SCORE)</t>
  </si>
  <si>
    <t>CATATAN/NOTE</t>
  </si>
  <si>
    <t>CATATAN/NOTES:</t>
  </si>
  <si>
    <t>DOCUMENT PENDUKUNG
(EVIDENCE DOCUMENTS) ***</t>
  </si>
  <si>
    <t xml:space="preserve">*            </t>
  </si>
  <si>
    <t xml:space="preserve">**         </t>
  </si>
  <si>
    <t xml:space="preserve">***       </t>
  </si>
  <si>
    <t>DIISI PADA PERTENGAHAN TAHUN DAN AKHIR TAHUN</t>
  </si>
  <si>
    <t>FORMULIR INI TERDIRI DARI 2 BAGIAN: 1) TEMPLATE KPI, 2) TEMPLATE PENILAIAN KINERJA</t>
  </si>
  <si>
    <t xml:space="preserve"> TAHUN/YEAR</t>
  </si>
  <si>
    <t>JABATAN/POSITION</t>
  </si>
  <si>
    <t>NAMA/NAME</t>
  </si>
  <si>
    <t>NIK/EMPLOYEE ID</t>
  </si>
  <si>
    <t>DEPT./DEPARTMENT</t>
  </si>
  <si>
    <t>DIVISI/DIVISION</t>
  </si>
  <si>
    <t>EVALUASI KEBERHASILAN PENGEMBANGAN
(DEVELOPMENT PROGRAM EVALUATION)</t>
  </si>
  <si>
    <t>TARGET WAKTU
(TIME TARGET)</t>
  </si>
  <si>
    <t>Karyawan/Employee                             
(Nama, ttd/Name, Signature)</t>
  </si>
  <si>
    <t>DIDISKUSIKAN DAN DISEPAKATI SAAT PENILAIAN KINERJA AKHIR TAHUN 
(Discussed and agreed on performance evaluation at the end of the year)</t>
  </si>
  <si>
    <t>KOMPETENSI YANG PERLU DIKEMBANGKAN
(COMPETENCE TO BE DEVELOPED)</t>
  </si>
  <si>
    <t>INDIVIDUAL KEY PERFORMANCE INDICATOR (KPI)*</t>
  </si>
  <si>
    <t>Memonitor kinerja karyawan sekaligus memberikan feedback secara formal terhadap pencapaian KPI.</t>
  </si>
  <si>
    <t>Mendiskusikan program pengembangan yang dibutuhkan untuk meningkatkan kompetensi yang menjadi landasan pendukung pertumbuhan perusahaan.</t>
  </si>
  <si>
    <t>Atur pertemuan dengan anak buah.</t>
  </si>
  <si>
    <t>Kumpulkan dokumen untuk memberikan feedback.</t>
  </si>
  <si>
    <t>Mintalah anak buah untuk membawa dokumennya sendiri.</t>
  </si>
  <si>
    <t>Diskusikan target yang telah tercapai dan target yang belum tercapai.</t>
  </si>
  <si>
    <t>Tanyakan hambatan anak buah dalam mencapai kinerja yang diharapkan.</t>
  </si>
  <si>
    <t>Diskusikan solusi dan program pengembangan kompetensi yang diperlukan.</t>
  </si>
  <si>
    <t>Lengkapi dokumen penilaian.</t>
  </si>
  <si>
    <t>Komitmen bersama untuk melakukan follow up hasil diskusi.</t>
  </si>
  <si>
    <t>KEGIATAN PENGEMBANGAN*
(DEVELOPMENT ACTIVITIES)</t>
  </si>
  <si>
    <t xml:space="preserve">INDIVIDUAL DEVELOPMENT PLAN
</t>
  </si>
  <si>
    <t>Strenghts
(Kelebihan)</t>
  </si>
  <si>
    <t>SUPERVISOR COMMENTS - can be written among other sheets of paper if necessary
(Komentar Atasan dapat dituliskan di lembar lain apabila diperlukan)</t>
  </si>
  <si>
    <t>B. DEVELOPMENT - The Program to Prepare Employee to The Level of a Higher Position
    (PENGEMBANGAN - Program yang Membantu Mempersiapkan Karyawan ke Jenjang Posisi yang Lebih Tinggi)</t>
  </si>
  <si>
    <t>KEGIATAN PERBAIKAN*
(IMPROVEMENT ACTIVITIES)</t>
  </si>
  <si>
    <t>KOMPETENSI YANG PERLU DIPERBAIKI
(COMPETENCE TO BE IMPROVED)</t>
  </si>
  <si>
    <t>NO.</t>
  </si>
  <si>
    <t>KPI
 (MAJOR PERFORMANCE TARGET)</t>
  </si>
  <si>
    <t>DIREVIEW PADA PERTENGAHAN TAHUN (Reviewed at mid year)***
DIREVIEW PADA AKHIR TAHUN (Reviewed at the end of the year)***</t>
  </si>
  <si>
    <t>BAGIAN I-T E M P L A T E    K P I  
(PART I-KPI TEMPLATE)**</t>
  </si>
  <si>
    <t>BAGIAN II-TEMPLATE PENILAIAN KINERJA 
(PART II-PERFORMANCE APPRAISAL TEMPLATE)***</t>
  </si>
  <si>
    <t>DIISI PADA AWAL TAHUN</t>
  </si>
  <si>
    <t>DIDISKUSIKAN DAN DISEPAKATI AWAL TAHUN**
(Discussed and agreed at the beginning of the year)</t>
  </si>
  <si>
    <t>A. IMPROVEMENT - The Program for Employee to Support Improving Performances in The Current Position
    (PERBAIKAN - Program yang Menunjang Perbaikan/Peningkatan Kinerja Karyawan di Posisi Saat Ini)</t>
  </si>
  <si>
    <t xml:space="preserve">Beberapa Contoh Rencana Pengembangan Individu (*) </t>
  </si>
  <si>
    <t>Aturan 70/20/10 dalam Pengembangan Individu</t>
  </si>
  <si>
    <t>Mendapatkan suatu umpan balik (feedback) ataupun pendampingan (coaching)</t>
  </si>
  <si>
    <t>Menjalankan penugasan yang lebih memberikan kesempatan berinteraksi dengan tanggung jawab baru.</t>
  </si>
  <si>
    <t>Menjalankan suatu inisiatif atau aktivitas baru.</t>
  </si>
  <si>
    <t>Memimpin atau terlibat dalam suatu proyek.</t>
  </si>
  <si>
    <t>Mendapatkan tanggung jawab yang lebih berat.</t>
  </si>
  <si>
    <t>Mengelola tim secara berbeda.</t>
  </si>
  <si>
    <t>Berperan sebagai konsumen dari suatu unit kerja lain dan memberikan masukan kepada mereka.</t>
  </si>
  <si>
    <t>Bekerja dalam suatu tim lintas departemen atau fungsional.</t>
  </si>
  <si>
    <t>Membina hubungan profesional yang lebih luas.</t>
  </si>
  <si>
    <t>Melakukan tugas kemanusiaan secara sukarela.</t>
  </si>
  <si>
    <t>Berpindah ke suatu peran kerja baru.</t>
  </si>
  <si>
    <t>Mengikuti pelatihan di kelas.</t>
  </si>
  <si>
    <t>-</t>
  </si>
  <si>
    <t>BSC ASPECTS</t>
  </si>
  <si>
    <t>TARGET</t>
  </si>
  <si>
    <t>MANUAL
(√ )</t>
  </si>
  <si>
    <t>FINANCE</t>
  </si>
  <si>
    <t>F1</t>
  </si>
  <si>
    <t>Laporan keuangan project</t>
  </si>
  <si>
    <t>CUSTOMER</t>
  </si>
  <si>
    <t>C1</t>
  </si>
  <si>
    <t>INTERNAL BUSINESS
PROCESS</t>
  </si>
  <si>
    <t>IBP 1</t>
  </si>
  <si>
    <t>LEARNINNG &amp; GROWTH</t>
  </si>
  <si>
    <t>L1</t>
  </si>
  <si>
    <t>LG1</t>
  </si>
  <si>
    <t xml:space="preserve">Karyawan/Employee    
(Nama, ttd/Name, Signature)                       </t>
  </si>
  <si>
    <t xml:space="preserve"> TAHUN: </t>
  </si>
  <si>
    <t>Memimpin tim yang lebih besar.</t>
  </si>
  <si>
    <r>
      <t>70%</t>
    </r>
    <r>
      <rPr>
        <sz val="12"/>
        <rFont val="Calibri"/>
        <family val="2"/>
        <scheme val="minor"/>
      </rPr>
      <t xml:space="preserve"> dari pengembangan dilakukan dengan memberikan suatu tugas/pengalaman/aktivitas pemecahan masalah dalam suatu situasi kerja nyata.</t>
    </r>
  </si>
  <si>
    <r>
      <t xml:space="preserve">20% </t>
    </r>
    <r>
      <rPr>
        <sz val="12"/>
        <rFont val="Calibri"/>
        <family val="2"/>
        <scheme val="minor"/>
      </rPr>
      <t>dari pengembangan dilakukan dengan memberikan umpan balik (feedback), mengamati atau kesempatan bekerja sama dengan pimpinan, rekan kerja senior atau terpilih yang memiliki kinerja yang baik.</t>
    </r>
  </si>
  <si>
    <r>
      <rPr>
        <b/>
        <sz val="12"/>
        <rFont val="Calibri"/>
        <family val="2"/>
        <scheme val="minor"/>
      </rPr>
      <t>10%</t>
    </r>
    <r>
      <rPr>
        <sz val="12"/>
        <rFont val="Calibri"/>
        <family val="2"/>
        <scheme val="minor"/>
      </rPr>
      <t xml:space="preserve"> dari pengembangan dilakukan dengan memberikan pelatihan di kelas.</t>
    </r>
  </si>
  <si>
    <t>SASARAN STRATEGIS
(STRATEGIC GOALS)</t>
  </si>
  <si>
    <t>DEFINISI KPI
(DEFINITION OF KPI)</t>
  </si>
  <si>
    <t>SUMBER DATA
(SOURCE OF DATA)</t>
  </si>
  <si>
    <t>SYSTEM
(√ )</t>
  </si>
  <si>
    <t>Memberikan apresiasi atas prestasi yang telah dicapai dan  motivasi untuk target yang belum tercapai.</t>
  </si>
  <si>
    <t>Weaknesses
(Kelemahan)</t>
  </si>
  <si>
    <t xml:space="preserve">I. </t>
  </si>
  <si>
    <t xml:space="preserve">A. </t>
  </si>
  <si>
    <t>TUJUAN</t>
  </si>
  <si>
    <t xml:space="preserve">B. </t>
  </si>
  <si>
    <t>TAHAPAN</t>
  </si>
  <si>
    <t xml:space="preserve">II. </t>
  </si>
  <si>
    <t>a.</t>
  </si>
  <si>
    <t>b.</t>
  </si>
  <si>
    <t>PEDOMAN PELAKSANAAN PENILAIAN KINERJA INDIVIDU</t>
  </si>
  <si>
    <t>PEDOMAN PENYUSUNAN TARGET/KPI INDIVIDU</t>
  </si>
  <si>
    <t>KPI Individu diturunkan dari KPI atasan karyawan yang bersangkutan (cascading down).</t>
  </si>
  <si>
    <t>KPI disiapkan sampai dengan level Staff.</t>
  </si>
  <si>
    <t>KPI merupakan target kerja individu untuk satu tahun, atau untuk periode 1 Januari-31 Desember.</t>
  </si>
  <si>
    <t>Penyusunan KPI adalah dengan berpedoman pada aspek Balance Score Card, yang terdiri dari aspek:</t>
  </si>
  <si>
    <t xml:space="preserve">Keuangan (Financial), </t>
  </si>
  <si>
    <t xml:space="preserve">Pelanggan (Customer), </t>
  </si>
  <si>
    <t>c.</t>
  </si>
  <si>
    <t>d.</t>
  </si>
  <si>
    <t xml:space="preserve">Proses Bisnis Internal (Internal Business Process), </t>
  </si>
  <si>
    <t xml:space="preserve">Pembelajaran dan Pertumbuhan (Learning &amp; Growth). </t>
  </si>
  <si>
    <t>Satuan Target Kerja yang ditetapkan adalah satuan yang terukur, agar mudah melakukan evaluasi dan penilaian.</t>
  </si>
  <si>
    <t xml:space="preserve"> Laporan serah terima unit</t>
  </si>
  <si>
    <r>
      <t>INDIVIDUAL KEY PERFORMANCE INDICATOR (KPI)* --</t>
    </r>
    <r>
      <rPr>
        <b/>
        <sz val="18"/>
        <color rgb="FFFF0000"/>
        <rFont val="Calibri"/>
        <family val="2"/>
        <scheme val="minor"/>
      </rPr>
      <t xml:space="preserve"> Contoh Pengisian</t>
    </r>
  </si>
  <si>
    <t>V</t>
  </si>
  <si>
    <t>Terlampir</t>
  </si>
  <si>
    <t>KOMPETENSI TEKNIS</t>
  </si>
  <si>
    <t>DEFINISI KOMPETENSI</t>
  </si>
  <si>
    <t>KOMPETENSI</t>
  </si>
  <si>
    <t>KOMPETENSI  MANAGERIAL</t>
  </si>
  <si>
    <t>KOMPETENSI INTI</t>
  </si>
  <si>
    <t>KECOCOKAN</t>
  </si>
  <si>
    <t xml:space="preserve">
(EVIDENCE DOCUMENTS) ***</t>
  </si>
  <si>
    <t>TOTAL SCORE
 KPI (60%) &amp; K (40%)</t>
  </si>
  <si>
    <t>Persetujuan KPI adalah sesuai dengan struktur yang berlaku, yakni oleh atasan langsung dan atasan berikutnya.</t>
  </si>
  <si>
    <t>I. KPI (60%) / RESULT</t>
  </si>
  <si>
    <t>II. KOMPETENSI (40%) / PROSES</t>
  </si>
  <si>
    <t>SKALA KECOCOKAN</t>
  </si>
  <si>
    <t>Penghitungan Penilaian</t>
  </si>
  <si>
    <t>4.60 - 5.00</t>
  </si>
  <si>
    <t>Istimewa</t>
  </si>
  <si>
    <t>3.60 - 4.59</t>
  </si>
  <si>
    <t>Sangat Memuaskan</t>
  </si>
  <si>
    <t>2.60 - 3.59</t>
  </si>
  <si>
    <t>Memuaskan</t>
  </si>
  <si>
    <t>2.00 - 2.59</t>
  </si>
  <si>
    <t>1.00 - 1.99</t>
  </si>
  <si>
    <t>Tidak Memuaskan</t>
  </si>
  <si>
    <t>Kurang</t>
  </si>
  <si>
    <t>% Kepatuhan terhadap SOP</t>
  </si>
  <si>
    <t>Mengukur proporsi pemenuhan operasional dari standar, prosedur berdasarkan kebijakan, standar dan SOP yang telah disusun.</t>
  </si>
  <si>
    <t>INISIATIF</t>
  </si>
  <si>
    <t>DORONGAN BERPRESTASI</t>
  </si>
  <si>
    <t>PEMECAHAN MASALAH</t>
  </si>
  <si>
    <t>PERENCANAAN &amp; PENGORGANISASIAN</t>
  </si>
  <si>
    <t>Inisiatif adalah kecenderungan untuk mengambil suatu tindakan, tanpa diminta terlebih dahulu, dan untuk meningkatkan hasil yang terorganisasi.</t>
  </si>
  <si>
    <t>Fokus pada tugas yang diberikan</t>
  </si>
  <si>
    <t>Kemampuan dalam menyelesaikan masalah atau kasus hukum berdasarkan peraturan dan perundang undangan yang berlaku.</t>
  </si>
  <si>
    <t xml:space="preserve">Menetapkan  strategi antisipasi penanganan permasalahan hukum dan mewakili perusahaan dalam penyelesaian hukum </t>
  </si>
  <si>
    <r>
      <rPr>
        <b/>
        <sz val="12"/>
        <color theme="1"/>
        <rFont val="Arial"/>
        <family val="2"/>
      </rPr>
      <t>(A/B) * 100</t>
    </r>
    <r>
      <rPr>
        <sz val="12"/>
        <color theme="1"/>
        <rFont val="Arial"/>
        <family val="2"/>
      </rPr>
      <t xml:space="preserve">
Dimana:                   
A = Aktual pengunaan budget 
B = Total budget </t>
    </r>
  </si>
  <si>
    <t xml:space="preserve"> &lt; 70% SOP dijalankan</t>
  </si>
  <si>
    <t xml:space="preserve"> 70% - &lt;80% SOP dijalankan</t>
  </si>
  <si>
    <t xml:space="preserve"> 80% - &lt;90% SOP dijalankan</t>
  </si>
  <si>
    <t xml:space="preserve"> 90% - &lt;100% SOP dijalankan</t>
  </si>
  <si>
    <t xml:space="preserve"> 100% SOP dijalankan</t>
  </si>
  <si>
    <t>IBP 2</t>
  </si>
  <si>
    <t>Laporan Realisasi Budget Legal</t>
  </si>
  <si>
    <t>Laporan Audit Compliance</t>
  </si>
  <si>
    <t>Laporan Audit Compliance+</t>
  </si>
  <si>
    <r>
      <rPr>
        <b/>
        <sz val="12"/>
        <color theme="1"/>
        <rFont val="Arial"/>
        <family val="2"/>
      </rPr>
      <t>(A/B) * 100%</t>
    </r>
    <r>
      <rPr>
        <sz val="12"/>
        <color theme="1"/>
        <rFont val="Arial"/>
        <family val="2"/>
      </rPr>
      <t xml:space="preserve">
Dimana :
A = Pelaksanaan / Jumlah temuan 
      prosedur yang memenuhi prinsip, 
      kebijakan dan proses yang 
      berlaku
B = Total SOP </t>
    </r>
  </si>
  <si>
    <t xml:space="preserve"> &lt; 70% Pra Kualifikasi /Tender diselesaikan tepat waktu</t>
  </si>
  <si>
    <t xml:space="preserve"> 70% - &lt;80% Pra Kualifikasi /Tender diselesaikan tepat waktu</t>
  </si>
  <si>
    <t xml:space="preserve"> 90% - &lt;100% Pra Kualifikasi /Tender diselesaikan tepat waktu</t>
  </si>
  <si>
    <t>Laporan tender</t>
  </si>
  <si>
    <t>Laporan Anggaran Proyek</t>
  </si>
  <si>
    <t xml:space="preserve"> 80% - &lt;90% Pra Kualifikasi /Tender diselesaikan tepat waktu</t>
  </si>
  <si>
    <t>Laporan Tenik/ Pra Kualifikasi/ Tender</t>
  </si>
  <si>
    <t>% Ketepatan waktu dalam penyelesaian perbaikan hardware &amp; Software</t>
  </si>
  <si>
    <t>Kepuasan user terhadap layanan IT</t>
  </si>
  <si>
    <t>% Deviasi Anggaran IT</t>
  </si>
  <si>
    <t>Mengukur persentase penyelesaian perbaikan hardware dan software tepat waktu
SLA;</t>
  </si>
  <si>
    <t>Mengukur kepuasan maanajeman terhadap pelayanan legal termasuk; legal advice, penyelesaian dispute dan lain -lainya; dikukur dengan menggunakan survey</t>
  </si>
  <si>
    <t>% Ketepatan waktu dalam software/ aplikasi development</t>
  </si>
  <si>
    <t>Mengukur persentase ketepatan waktu dalam melakukan pengembangan software/ aplikasi sesuai dengan permintaan user</t>
  </si>
  <si>
    <r>
      <rPr>
        <b/>
        <sz val="12"/>
        <color theme="1"/>
        <rFont val="Arial"/>
        <family val="2"/>
      </rPr>
      <t>(A/B) * 100 %</t>
    </r>
    <r>
      <rPr>
        <sz val="12"/>
        <color theme="1"/>
        <rFont val="Arial"/>
        <family val="2"/>
      </rPr>
      <t xml:space="preserve">
Dimana:
A = Pengembangan  tepat waktu
B = Schedule pengebangan </t>
    </r>
  </si>
  <si>
    <r>
      <rPr>
        <b/>
        <sz val="12"/>
        <color theme="1"/>
        <rFont val="Arial"/>
        <family val="2"/>
      </rPr>
      <t>A,  Angka</t>
    </r>
    <r>
      <rPr>
        <sz val="12"/>
        <color theme="1"/>
        <rFont val="Arial"/>
        <family val="2"/>
      </rPr>
      <t xml:space="preserve"> ; Berdasarkan hasil survey
Dimana :
A = Hasil penilaian dari  pengukuran  
      survey kuesioner oleh manajemen
</t>
    </r>
  </si>
  <si>
    <t>Score 5</t>
  </si>
  <si>
    <t>Score 3</t>
  </si>
  <si>
    <t>Score 2</t>
  </si>
  <si>
    <t>Score 4</t>
  </si>
  <si>
    <t>Score 1</t>
  </si>
  <si>
    <r>
      <rPr>
        <b/>
        <sz val="12"/>
        <color theme="1"/>
        <rFont val="Arial"/>
        <family val="2"/>
      </rPr>
      <t>(A/B) * 100 %</t>
    </r>
    <r>
      <rPr>
        <sz val="12"/>
        <color theme="1"/>
        <rFont val="Arial"/>
        <family val="2"/>
      </rPr>
      <t xml:space="preserve">
Dimana:
A = Jumlah perbaikan tepat waktu
B = Jumlah permintaan perbaikan</t>
    </r>
  </si>
  <si>
    <t>Kemampuan untuk melakukan kegiatan pemeliharaan, perbaikan atau trouble shooting untuk menjaga keandalan aplikasi IT (hardware &amp; software).</t>
  </si>
  <si>
    <t>Merencanakan dan mereview efektivitas kegiatan pemeliharaan atau trouble shooting</t>
  </si>
  <si>
    <t>Melakukan instalasi, konfigurasi, dan maintenance untuk desktop Windows dan Linux, serta perangkat pendukungnya (printer, modem, scanner, dll).</t>
  </si>
  <si>
    <t>Melakukan troubleshooting terhadap permasalahan di desktop Windows dan Linux, serta perangkat pendukungnya (printer, modem, scanner, dll).</t>
  </si>
  <si>
    <t xml:space="preserve">Melakukan optimalisasi dan recovery Server </t>
  </si>
  <si>
    <t>PENGETAHUAN KOMPUTER &amp; SERVER</t>
  </si>
  <si>
    <t xml:space="preserve">Melakukan maintenance pada Server </t>
  </si>
  <si>
    <t xml:space="preserve">Membuat program dengan bahasa pemrograman </t>
  </si>
  <si>
    <t>Membuat dan melakukan testing program</t>
  </si>
  <si>
    <t xml:space="preserve">Memberikan support dan melakukan perubahan pada program yang sudah ada </t>
  </si>
  <si>
    <t xml:space="preserve">Membuat dan melakukan testing dengan hasil optimal dengan </t>
  </si>
  <si>
    <t>Memberikan support dan melakukan perubahan pada program yang sudah ada</t>
  </si>
  <si>
    <t>PEMOGRAMAN</t>
  </si>
  <si>
    <t xml:space="preserve"> &lt; 70% Jumlah perbaikan tepat waktu</t>
  </si>
  <si>
    <t xml:space="preserve"> 70% - &lt;80% Jumlah perbaikan tepat waktu</t>
  </si>
  <si>
    <t xml:space="preserve"> 80% - &lt;90% Jumlah perbaikan tepat waktu</t>
  </si>
  <si>
    <t xml:space="preserve"> 90% - &lt;100% Jumlah perbaikan tepat waktu</t>
  </si>
  <si>
    <t xml:space="preserve"> 100% Jumlah perbaikan tepat waktu</t>
  </si>
  <si>
    <t>:  2026</t>
  </si>
  <si>
    <t xml:space="preserve">Tingkat kepedulian seseorang atas pekerjaan, yang membuat dirinya termotivasi untuk bekerja lebih keras dalam mencapai tujuan dengan hasil yang memuaskan atau hasil diatas kualitas standar
</t>
  </si>
  <si>
    <t>Memahami tahapan - tahapan dalam membuat perencanaan</t>
  </si>
  <si>
    <t>Mampu menyusun rencana kerja yang sederhana dengan menggunakan alat dan bahan pendukung untuk melaksanakan kegiatan</t>
  </si>
  <si>
    <t>Mampu menyusun rencana  kerja dan kegiatan, serta menguraikan lebih rinci dengan mengidentifikasi masalah yang akan timbul</t>
  </si>
  <si>
    <t>Mempu menyediakan cara untuk penyelesaian masalah secara sistemstis dangan membuatkan alternatif untuk meningkatkan kinerja</t>
  </si>
  <si>
    <t>Membuat perencanaan dan
pengorganisasian yang bersifat 
jangka panjang dalam lingkup organisasi</t>
  </si>
  <si>
    <t>Mampu menghasilkan solusi yang  tepat untuk masalah-masalah yang sulit. Mereka mempertimbangkan banyak  sumber informasi, secara sistematis mengolah dan mengevaluasi informasi  dengan membandingkan berbagai arah tindakan, dan secara hati-hati  mendiskusikannya sebelum membuat keputusan akhir.</t>
  </si>
  <si>
    <t>Mengumpulkan dan mempertimbangkan 
informasi yang dibutuhkan dalam mencari 
solusi.</t>
  </si>
  <si>
    <t>Memecahkan masalah dan mengambil keputusan bukan saja mengacu pada panduan yang sudah ada,</t>
  </si>
  <si>
    <t xml:space="preserve">
Menyelesaikan masalah
yang  berdasarkan pengalaman untuk kemudian disesuaikan dengan permasalahan yang dihadapi</t>
  </si>
  <si>
    <t xml:space="preserve">
Melakukan pemecahan masalah dan pengambilan keputusan berdasarkan analisa menyeluruh dengan memanfaatkan informasi berbagai sumber</t>
  </si>
  <si>
    <t>Mempu menyusun tindakan perbaikan terhadap masalah yang dihadapi dengan pemecahannya secara sistematis dan terukur</t>
  </si>
  <si>
    <t>Melakukan analisa pemecahan masalah dan pengambilan keputusan untuk mengantisipasi penyelesaian masalah yang akan datang</t>
  </si>
  <si>
    <t>Tingkat kepedulian seseorang atas pekerjaan, yang membuat dirinya termotivasi untuk bekerja lebih keras dalam mencapai tujuan dengan hasil yang memuaskan atau hasil diatas kualitas standar.</t>
  </si>
  <si>
    <t>Berusaha mengerjakan tugas lebih baik agar mencapai standar kerja minimun yang telah ditetapkan.</t>
  </si>
  <si>
    <t>Mampu menetapkan ukuran prestasi  dengan menadiri tanpa perlu adanya pedoman dari atasan</t>
  </si>
  <si>
    <t>Mampu melakukan langkah - langkah perbaikan untuk mencapai kinerja yang optimal dan efektif</t>
  </si>
  <si>
    <t>Mampu mencari cara baru untuk  meningkatkan kualitas pekerjaan dengan menggunkan sumber daya atau waktu yang siginifikan</t>
  </si>
  <si>
    <t>Bekerja menunggu perintah  dan menyelesaikan tugas rutin berdasarkan prosedur</t>
  </si>
  <si>
    <t>Melakukan langkah aktif falam menyelesaikan pekerjaan</t>
  </si>
  <si>
    <t xml:space="preserve">
Mengambil tindakan yang sesuai  dilingkungan kerja, untuk memperbaiki   proses atau hasil, atau untuk merespon isu-isu atau masalah</t>
  </si>
  <si>
    <t xml:space="preserve">
Mengusulkan dan/atau melakukan tindakan yang akan menambah hasil atau mengatasi masalah </t>
  </si>
  <si>
    <t>Mampu mengembangkan ide baru yang menyelesaikan tugas yang lebih baik</t>
  </si>
  <si>
    <t xml:space="preserve">&gt;110% Penggunaan Budget </t>
  </si>
  <si>
    <t xml:space="preserve">Penggunaan Budget 
101 %≤  Actual ≤ 110% </t>
  </si>
  <si>
    <t xml:space="preserve">100% ;Penggunaan Budget </t>
  </si>
  <si>
    <t xml:space="preserve">
90% ≤ Actual ≤ 99% ; Penggunaan Budget</t>
  </si>
  <si>
    <t>Penggunaan Budge &lt; 90%</t>
  </si>
  <si>
    <t xml:space="preserve">Mengukur persentase realisasi anggaran IT terhadap rencana anggaran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</si>
</sst>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409]d\-mmm\-yy;@"/>
  </numFmts>
  <fonts count="103" x14ac:knownFonts="1">
    <font>
      <sz val="11"/>
      <color theme="1"/>
      <name val="Calibri"/>
      <family val="2"/>
      <scheme val="minor"/>
    </font>
    <font>
      <b/>
      <sz val="11"/>
      <color theme="1"/>
      <name val="Calibri"/>
      <family val="2"/>
      <scheme val="minor"/>
    </font>
    <font>
      <b/>
      <sz val="11"/>
      <color theme="1"/>
      <name val="Corbel"/>
      <family val="2"/>
    </font>
    <font>
      <sz val="10"/>
      <color theme="1"/>
      <name val="Corbel"/>
      <family val="2"/>
    </font>
    <font>
      <sz val="11"/>
      <color theme="1"/>
      <name val="Corbel"/>
      <family val="2"/>
    </font>
    <font>
      <sz val="10"/>
      <name val="Arial"/>
      <family val="2"/>
    </font>
    <font>
      <sz val="10"/>
      <name val="Corbel"/>
      <family val="2"/>
    </font>
    <font>
      <b/>
      <sz val="10"/>
      <name val="Corbel"/>
      <family val="2"/>
    </font>
    <font>
      <sz val="8"/>
      <name val="Corbel"/>
      <family val="2"/>
    </font>
    <font>
      <b/>
      <sz val="8"/>
      <name val="Corbel"/>
      <family val="2"/>
    </font>
    <font>
      <b/>
      <sz val="12"/>
      <name val="Corbel"/>
      <family val="2"/>
    </font>
    <font>
      <b/>
      <sz val="16"/>
      <name val="Corbel"/>
      <family val="2"/>
    </font>
    <font>
      <b/>
      <sz val="8"/>
      <color indexed="9"/>
      <name val="Corbel"/>
      <family val="2"/>
    </font>
    <font>
      <sz val="9"/>
      <color theme="1"/>
      <name val="Corbel"/>
      <family val="2"/>
    </font>
    <font>
      <sz val="8"/>
      <color theme="1"/>
      <name val="Corbel"/>
      <family val="2"/>
    </font>
    <font>
      <b/>
      <sz val="8"/>
      <color theme="1"/>
      <name val="Corbel"/>
      <family val="2"/>
    </font>
    <font>
      <b/>
      <sz val="10"/>
      <color theme="1"/>
      <name val="Corbel"/>
      <family val="2"/>
    </font>
    <font>
      <b/>
      <sz val="10"/>
      <color indexed="9"/>
      <name val="Corbel"/>
      <family val="2"/>
    </font>
    <font>
      <sz val="8"/>
      <color theme="1"/>
      <name val="Calibri"/>
      <family val="2"/>
      <scheme val="minor"/>
    </font>
    <font>
      <sz val="16"/>
      <color theme="1"/>
      <name val="Corbel"/>
      <family val="2"/>
    </font>
    <font>
      <sz val="16"/>
      <color theme="1"/>
      <name val="Calibri"/>
      <family val="2"/>
      <scheme val="minor"/>
    </font>
    <font>
      <sz val="11"/>
      <color rgb="FFFF0000"/>
      <name val="Corbel"/>
      <family val="2"/>
    </font>
    <font>
      <b/>
      <sz val="12"/>
      <color theme="1"/>
      <name val="Corbel"/>
      <family val="2"/>
    </font>
    <font>
      <sz val="24"/>
      <color theme="1"/>
      <name val="Corbel"/>
      <family val="2"/>
    </font>
    <font>
      <sz val="8"/>
      <color rgb="FFFF0000"/>
      <name val="Corbel"/>
      <family val="2"/>
    </font>
    <font>
      <b/>
      <sz val="12"/>
      <color theme="1"/>
      <name val="Calibri"/>
      <family val="2"/>
      <scheme val="minor"/>
    </font>
    <font>
      <sz val="11"/>
      <color theme="0" tint="-0.249977111117893"/>
      <name val="Corbel"/>
      <family val="2"/>
    </font>
    <font>
      <b/>
      <sz val="11"/>
      <color indexed="10"/>
      <name val="Corbel"/>
      <family val="2"/>
    </font>
    <font>
      <sz val="11"/>
      <name val="Corbel"/>
      <family val="2"/>
    </font>
    <font>
      <sz val="12"/>
      <color theme="1"/>
      <name val="Calibri"/>
      <family val="2"/>
      <scheme val="minor"/>
    </font>
    <font>
      <b/>
      <sz val="20"/>
      <name val="Corbel"/>
      <family val="2"/>
    </font>
    <font>
      <b/>
      <sz val="16"/>
      <color theme="1"/>
      <name val="Corbel"/>
      <family val="2"/>
    </font>
    <font>
      <b/>
      <sz val="24"/>
      <name val="Corbel"/>
      <family val="2"/>
    </font>
    <font>
      <u/>
      <sz val="10"/>
      <name val="Corbel"/>
      <family val="2"/>
    </font>
    <font>
      <u/>
      <sz val="11"/>
      <color theme="1"/>
      <name val="Corbel"/>
      <family val="2"/>
    </font>
    <font>
      <u/>
      <sz val="8"/>
      <name val="Corbel"/>
      <family val="2"/>
    </font>
    <font>
      <b/>
      <sz val="16"/>
      <color theme="0"/>
      <name val="Corbel"/>
      <family val="2"/>
    </font>
    <font>
      <b/>
      <sz val="20"/>
      <name val="Calibri"/>
      <family val="2"/>
    </font>
    <font>
      <b/>
      <sz val="12"/>
      <name val="Calibri"/>
      <family val="2"/>
    </font>
    <font>
      <sz val="10"/>
      <name val="Calibri"/>
      <family val="2"/>
    </font>
    <font>
      <b/>
      <sz val="12"/>
      <color indexed="9"/>
      <name val="Calibri"/>
      <family val="2"/>
    </font>
    <font>
      <b/>
      <sz val="14"/>
      <name val="Calibri"/>
      <family val="2"/>
    </font>
    <font>
      <b/>
      <sz val="12"/>
      <color theme="0"/>
      <name val="Calibri"/>
      <family val="2"/>
    </font>
    <font>
      <b/>
      <sz val="14"/>
      <color theme="0"/>
      <name val="Calibri"/>
      <family val="2"/>
    </font>
    <font>
      <sz val="16"/>
      <color theme="0"/>
      <name val="Calibri"/>
      <family val="2"/>
      <scheme val="minor"/>
    </font>
    <font>
      <sz val="11"/>
      <color theme="0"/>
      <name val="Corbel"/>
      <family val="2"/>
    </font>
    <font>
      <b/>
      <sz val="11"/>
      <color theme="0"/>
      <name val="Corbel"/>
      <family val="2"/>
    </font>
    <font>
      <b/>
      <i/>
      <sz val="11"/>
      <color theme="0"/>
      <name val="Corbel"/>
      <family val="2"/>
    </font>
    <font>
      <b/>
      <sz val="48"/>
      <color theme="1"/>
      <name val="Corbel"/>
      <family val="2"/>
    </font>
    <font>
      <b/>
      <sz val="48"/>
      <name val="Corbel"/>
      <family val="2"/>
    </font>
    <font>
      <b/>
      <sz val="8"/>
      <color theme="0"/>
      <name val="Corbel"/>
      <family val="2"/>
    </font>
    <font>
      <i/>
      <sz val="12"/>
      <color theme="1"/>
      <name val="Corbel"/>
      <family val="2"/>
    </font>
    <font>
      <sz val="12"/>
      <color theme="1"/>
      <name val="Corbel"/>
      <family val="2"/>
    </font>
    <font>
      <b/>
      <sz val="11"/>
      <name val="Corbel"/>
      <family val="2"/>
    </font>
    <font>
      <b/>
      <sz val="11"/>
      <color indexed="9"/>
      <name val="Corbel"/>
      <family val="2"/>
    </font>
    <font>
      <sz val="36"/>
      <color theme="1"/>
      <name val="Corbel"/>
      <family val="2"/>
    </font>
    <font>
      <b/>
      <sz val="24"/>
      <color theme="1"/>
      <name val="Corbel"/>
      <family val="2"/>
    </font>
    <font>
      <b/>
      <sz val="16"/>
      <color theme="1"/>
      <name val="Calibri"/>
      <family val="2"/>
      <scheme val="minor"/>
    </font>
    <font>
      <sz val="8"/>
      <color theme="1"/>
      <name val="Calibri"/>
      <family val="2"/>
    </font>
    <font>
      <b/>
      <sz val="10"/>
      <color theme="1"/>
      <name val="Calibri"/>
      <family val="2"/>
      <scheme val="minor"/>
    </font>
    <font>
      <sz val="10"/>
      <color theme="1"/>
      <name val="Calibri"/>
      <family val="2"/>
      <scheme val="minor"/>
    </font>
    <font>
      <sz val="11"/>
      <color theme="0"/>
      <name val="Calibri"/>
      <family val="2"/>
      <scheme val="minor"/>
    </font>
    <font>
      <sz val="36"/>
      <color theme="1"/>
      <name val="Calibri"/>
      <family val="2"/>
      <scheme val="minor"/>
    </font>
    <font>
      <b/>
      <sz val="24"/>
      <color theme="1"/>
      <name val="Calibri"/>
      <family val="2"/>
      <scheme val="minor"/>
    </font>
    <font>
      <b/>
      <sz val="11"/>
      <name val="Calibri"/>
      <family val="2"/>
      <scheme val="minor"/>
    </font>
    <font>
      <sz val="11"/>
      <name val="Calibri"/>
      <family val="2"/>
      <scheme val="minor"/>
    </font>
    <font>
      <sz val="8"/>
      <name val="Calibri"/>
      <family val="2"/>
      <scheme val="minor"/>
    </font>
    <font>
      <b/>
      <sz val="12"/>
      <color theme="0"/>
      <name val="Calibri"/>
      <family val="2"/>
      <scheme val="minor"/>
    </font>
    <font>
      <b/>
      <sz val="12"/>
      <name val="Calibri"/>
      <family val="2"/>
      <scheme val="minor"/>
    </font>
    <font>
      <b/>
      <sz val="25"/>
      <color theme="1"/>
      <name val="Calibri"/>
      <family val="2"/>
      <scheme val="minor"/>
    </font>
    <font>
      <sz val="12"/>
      <name val="Calibri"/>
      <family val="2"/>
      <scheme val="minor"/>
    </font>
    <font>
      <sz val="11"/>
      <color theme="1"/>
      <name val="Calibri"/>
      <family val="2"/>
      <scheme val="minor"/>
    </font>
    <font>
      <b/>
      <sz val="11"/>
      <color theme="0"/>
      <name val="Calibri"/>
      <family val="2"/>
      <scheme val="minor"/>
    </font>
    <font>
      <b/>
      <sz val="18"/>
      <color theme="1"/>
      <name val="Calibri"/>
      <family val="2"/>
      <scheme val="minor"/>
    </font>
    <font>
      <b/>
      <sz val="10"/>
      <color theme="0"/>
      <name val="Calibri"/>
      <family val="2"/>
      <scheme val="minor"/>
    </font>
    <font>
      <b/>
      <sz val="10"/>
      <name val="Calibri"/>
      <family val="2"/>
      <scheme val="minor"/>
    </font>
    <font>
      <sz val="10"/>
      <color theme="7" tint="-0.249977111117893"/>
      <name val="Calibri"/>
      <family val="2"/>
      <scheme val="minor"/>
    </font>
    <font>
      <sz val="10"/>
      <name val="Calibri"/>
      <family val="2"/>
      <scheme val="minor"/>
    </font>
    <font>
      <sz val="10"/>
      <color theme="9" tint="-0.249977111117893"/>
      <name val="Calibri"/>
      <family val="2"/>
      <scheme val="minor"/>
    </font>
    <font>
      <sz val="10"/>
      <color theme="8" tint="-0.249977111117893"/>
      <name val="Calibri"/>
      <family val="2"/>
      <scheme val="minor"/>
    </font>
    <font>
      <sz val="10"/>
      <color rgb="FFFF0000"/>
      <name val="Calibri"/>
      <family val="2"/>
      <scheme val="minor"/>
    </font>
    <font>
      <sz val="13"/>
      <color theme="1"/>
      <name val="Calibri"/>
      <family val="2"/>
      <scheme val="minor"/>
    </font>
    <font>
      <b/>
      <sz val="13"/>
      <name val="Calibri"/>
      <family val="2"/>
      <scheme val="minor"/>
    </font>
    <font>
      <b/>
      <sz val="15"/>
      <color theme="3" tint="-0.249977111117893"/>
      <name val="Calibri"/>
      <family val="2"/>
      <scheme val="minor"/>
    </font>
    <font>
      <b/>
      <sz val="13"/>
      <color theme="1"/>
      <name val="Calibri"/>
      <family val="2"/>
      <scheme val="minor"/>
    </font>
    <font>
      <sz val="13"/>
      <color theme="1"/>
      <name val="Calibri"/>
      <family val="2"/>
    </font>
    <font>
      <sz val="13"/>
      <color theme="1"/>
      <name val="Wingdings"/>
      <charset val="2"/>
    </font>
    <font>
      <b/>
      <sz val="14"/>
      <color theme="1"/>
      <name val="Calibri"/>
      <family val="2"/>
      <scheme val="minor"/>
    </font>
    <font>
      <b/>
      <sz val="18"/>
      <color rgb="FFFF0000"/>
      <name val="Calibri"/>
      <family val="2"/>
      <scheme val="minor"/>
    </font>
    <font>
      <b/>
      <sz val="14"/>
      <color theme="0"/>
      <name val="Arial"/>
      <family val="2"/>
    </font>
    <font>
      <b/>
      <sz val="12"/>
      <color theme="0"/>
      <name val="Arial"/>
      <family val="2"/>
    </font>
    <font>
      <b/>
      <sz val="10"/>
      <name val="Arial"/>
      <family val="2"/>
    </font>
    <font>
      <sz val="12"/>
      <color theme="1"/>
      <name val="Arial"/>
      <family val="2"/>
    </font>
    <font>
      <sz val="10"/>
      <color theme="1"/>
      <name val="Arial"/>
      <family val="2"/>
    </font>
    <font>
      <sz val="12"/>
      <name val="Arial"/>
      <family val="2"/>
    </font>
    <font>
      <b/>
      <sz val="14"/>
      <color theme="7" tint="-0.249977111117893"/>
      <name val="Arial"/>
      <family val="2"/>
    </font>
    <font>
      <sz val="12"/>
      <color theme="7" tint="-0.249977111117893"/>
      <name val="Arial"/>
      <family val="2"/>
    </font>
    <font>
      <b/>
      <sz val="12"/>
      <color theme="1"/>
      <name val="Arial"/>
      <family val="2"/>
    </font>
    <font>
      <sz val="12"/>
      <color theme="9" tint="-0.249977111117893"/>
      <name val="Arial"/>
      <family val="2"/>
    </font>
    <font>
      <sz val="12"/>
      <color theme="8" tint="-0.249977111117893"/>
      <name val="Arial"/>
      <family val="2"/>
    </font>
    <font>
      <sz val="12"/>
      <color rgb="FFFF0000"/>
      <name val="Arial"/>
      <family val="2"/>
    </font>
    <font>
      <b/>
      <sz val="12"/>
      <name val="Arial"/>
      <family val="2"/>
    </font>
    <font>
      <b/>
      <sz val="20"/>
      <color theme="1"/>
      <name val="Calibri"/>
      <family val="2"/>
      <scheme val="minor"/>
    </font>
  </fonts>
  <fills count="30">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theme="8" tint="0.59999389629810485"/>
        <bgColor indexed="64"/>
      </patternFill>
    </fill>
    <fill>
      <patternFill patternType="solid">
        <fgColor theme="3"/>
        <bgColor indexed="64"/>
      </patternFill>
    </fill>
    <fill>
      <patternFill patternType="solid">
        <fgColor indexed="19"/>
        <bgColor indexed="64"/>
      </patternFill>
    </fill>
    <fill>
      <patternFill patternType="solid">
        <fgColor indexed="29"/>
        <bgColor indexed="64"/>
      </patternFill>
    </fill>
    <fill>
      <patternFill patternType="solid">
        <fgColor indexed="11"/>
        <bgColor indexed="64"/>
      </patternFill>
    </fill>
    <fill>
      <patternFill patternType="solid">
        <fgColor indexed="49"/>
        <bgColor indexed="64"/>
      </patternFill>
    </fill>
    <fill>
      <patternFill patternType="solid">
        <fgColor indexed="36"/>
        <bgColor indexed="64"/>
      </patternFill>
    </fill>
    <fill>
      <patternFill patternType="solid">
        <fgColor theme="1"/>
        <bgColor indexed="64"/>
      </patternFill>
    </fill>
    <fill>
      <patternFill patternType="solid">
        <fgColor theme="0"/>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1" tint="0.499984740745262"/>
        <bgColor indexed="64"/>
      </patternFill>
    </fill>
    <fill>
      <patternFill patternType="solid">
        <fgColor theme="3" tint="0.59999389629810485"/>
        <bgColor indexed="64"/>
      </patternFill>
    </fill>
    <fill>
      <patternFill patternType="solid">
        <fgColor theme="0" tint="-4.9989318521683403E-2"/>
        <bgColor indexed="64"/>
      </patternFill>
    </fill>
    <fill>
      <patternFill patternType="solid">
        <fgColor indexed="65"/>
        <bgColor theme="0"/>
      </patternFill>
    </fill>
    <fill>
      <patternFill patternType="solid">
        <fgColor theme="0"/>
        <bgColor theme="0"/>
      </patternFill>
    </fill>
    <fill>
      <patternFill patternType="solid">
        <fgColor theme="0" tint="-0.249977111117893"/>
        <bgColor theme="0"/>
      </patternFill>
    </fill>
    <fill>
      <patternFill patternType="solid">
        <fgColor theme="3" tint="0.59999389629810485"/>
        <bgColor theme="0"/>
      </patternFill>
    </fill>
    <fill>
      <patternFill patternType="solid">
        <fgColor theme="1" tint="0.499984740745262"/>
        <bgColor theme="0"/>
      </patternFill>
    </fill>
    <fill>
      <patternFill patternType="solid">
        <fgColor theme="0" tint="-0.499984740745262"/>
        <bgColor theme="0"/>
      </patternFill>
    </fill>
    <fill>
      <patternFill patternType="solid">
        <fgColor theme="0" tint="-4.9989318521683403E-2"/>
        <bgColor theme="0"/>
      </patternFill>
    </fill>
    <fill>
      <patternFill patternType="solid">
        <fgColor theme="6" tint="0.39997558519241921"/>
        <bgColor indexed="64"/>
      </patternFill>
    </fill>
    <fill>
      <patternFill patternType="solid">
        <fgColor theme="3" tint="0.39997558519241921"/>
        <bgColor indexed="64"/>
      </patternFill>
    </fill>
    <fill>
      <patternFill patternType="solid">
        <fgColor theme="1" tint="0.34998626667073579"/>
        <bgColor indexed="64"/>
      </patternFill>
    </fill>
    <fill>
      <patternFill patternType="solid">
        <fgColor theme="0" tint="-0.34998626667073579"/>
        <bgColor indexed="64"/>
      </patternFill>
    </fill>
  </fills>
  <borders count="129">
    <border>
      <left/>
      <right/>
      <top/>
      <bottom/>
      <diagonal/>
    </border>
    <border>
      <left style="medium">
        <color indexed="64"/>
      </left>
      <right style="medium">
        <color indexed="64"/>
      </right>
      <top style="medium">
        <color indexed="64"/>
      </top>
      <bottom style="medium">
        <color indexed="64"/>
      </bottom>
      <diagonal/>
    </border>
    <border>
      <left style="thick">
        <color theme="0"/>
      </left>
      <right style="thick">
        <color theme="0"/>
      </right>
      <top style="thick">
        <color theme="0"/>
      </top>
      <bottom style="thick">
        <color theme="0"/>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ck">
        <color theme="0"/>
      </left>
      <right/>
      <top style="thick">
        <color theme="0"/>
      </top>
      <bottom style="thick">
        <color theme="0"/>
      </bottom>
      <diagonal/>
    </border>
    <border>
      <left/>
      <right/>
      <top style="thick">
        <color theme="0"/>
      </top>
      <bottom style="thick">
        <color theme="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bottom style="double">
        <color indexed="64"/>
      </bottom>
      <diagonal/>
    </border>
    <border>
      <left/>
      <right/>
      <top style="double">
        <color indexed="64"/>
      </top>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bottom style="dotted">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theme="0" tint="-0.24994659260841701"/>
      </left>
      <right style="medium">
        <color theme="0" tint="-0.24994659260841701"/>
      </right>
      <top style="thick">
        <color theme="0" tint="-0.34998626667073579"/>
      </top>
      <bottom style="medium">
        <color theme="0" tint="-0.24994659260841701"/>
      </bottom>
      <diagonal/>
    </border>
    <border>
      <left style="medium">
        <color theme="0" tint="-0.24994659260841701"/>
      </left>
      <right style="medium">
        <color theme="0" tint="-0.24994659260841701"/>
      </right>
      <top/>
      <bottom/>
      <diagonal/>
    </border>
    <border>
      <left style="medium">
        <color theme="0" tint="-0.24994659260841701"/>
      </left>
      <right style="medium">
        <color theme="0" tint="-0.24994659260841701"/>
      </right>
      <top/>
      <bottom style="medium">
        <color theme="0" tint="-0.24994659260841701"/>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thick">
        <color theme="0" tint="-0.24994659260841701"/>
      </left>
      <right/>
      <top style="thick">
        <color theme="0" tint="-0.24994659260841701"/>
      </top>
      <bottom style="thick">
        <color theme="0" tint="-0.24994659260841701"/>
      </bottom>
      <diagonal/>
    </border>
    <border>
      <left/>
      <right/>
      <top style="thick">
        <color theme="0" tint="-0.24994659260841701"/>
      </top>
      <bottom style="thick">
        <color theme="0" tint="-0.24994659260841701"/>
      </bottom>
      <diagonal/>
    </border>
    <border>
      <left/>
      <right style="thick">
        <color theme="0" tint="-0.24994659260841701"/>
      </right>
      <top style="thick">
        <color theme="0" tint="-0.24994659260841701"/>
      </top>
      <bottom style="thick">
        <color theme="0" tint="-0.24994659260841701"/>
      </bottom>
      <diagonal/>
    </border>
    <border>
      <left style="thick">
        <color theme="0" tint="-0.34998626667073579"/>
      </left>
      <right style="thick">
        <color theme="0" tint="-0.34998626667073579"/>
      </right>
      <top style="thick">
        <color theme="0" tint="-0.34998626667073579"/>
      </top>
      <bottom style="thick">
        <color theme="0" tint="-0.34998626667073579"/>
      </bottom>
      <diagonal/>
    </border>
    <border>
      <left style="thick">
        <color theme="0" tint="-0.34998626667073579"/>
      </left>
      <right/>
      <top style="thick">
        <color theme="0" tint="-0.34998626667073579"/>
      </top>
      <bottom style="thick">
        <color theme="0" tint="-0.34998626667073579"/>
      </bottom>
      <diagonal/>
    </border>
    <border>
      <left/>
      <right/>
      <top style="thick">
        <color theme="0" tint="-0.34998626667073579"/>
      </top>
      <bottom style="thick">
        <color theme="0" tint="-0.34998626667073579"/>
      </bottom>
      <diagonal/>
    </border>
    <border>
      <left/>
      <right style="thick">
        <color theme="0" tint="-0.34998626667073579"/>
      </right>
      <top style="thick">
        <color theme="0" tint="-0.34998626667073579"/>
      </top>
      <bottom style="thick">
        <color theme="0" tint="-0.34998626667073579"/>
      </bottom>
      <diagonal/>
    </border>
    <border>
      <left style="thick">
        <color theme="0" tint="-0.34998626667073579"/>
      </left>
      <right/>
      <top style="thick">
        <color theme="0" tint="-0.34998626667073579"/>
      </top>
      <bottom/>
      <diagonal/>
    </border>
    <border>
      <left/>
      <right/>
      <top style="thick">
        <color theme="0" tint="-0.34998626667073579"/>
      </top>
      <bottom/>
      <diagonal/>
    </border>
    <border>
      <left style="medium">
        <color theme="0" tint="-0.24994659260841701"/>
      </left>
      <right/>
      <top/>
      <bottom/>
      <diagonal/>
    </border>
    <border>
      <left/>
      <right style="medium">
        <color theme="0" tint="-0.24994659260841701"/>
      </right>
      <top/>
      <bottom/>
      <diagonal/>
    </border>
    <border>
      <left style="medium">
        <color theme="0" tint="-0.24994659260841701"/>
      </left>
      <right/>
      <top/>
      <bottom style="medium">
        <color theme="0" tint="-0.24994659260841701"/>
      </bottom>
      <diagonal/>
    </border>
    <border>
      <left/>
      <right style="medium">
        <color theme="0" tint="-0.24994659260841701"/>
      </right>
      <top/>
      <bottom style="medium">
        <color theme="0" tint="-0.24994659260841701"/>
      </bottom>
      <diagonal/>
    </border>
    <border>
      <left style="thick">
        <color theme="0" tint="-0.24994659260841701"/>
      </left>
      <right style="thin">
        <color indexed="64"/>
      </right>
      <top style="thick">
        <color theme="0" tint="-0.24994659260841701"/>
      </top>
      <bottom style="thin">
        <color indexed="64"/>
      </bottom>
      <diagonal/>
    </border>
    <border>
      <left style="thin">
        <color indexed="64"/>
      </left>
      <right/>
      <top style="thick">
        <color theme="0" tint="-0.24994659260841701"/>
      </top>
      <bottom style="thin">
        <color indexed="64"/>
      </bottom>
      <diagonal/>
    </border>
    <border>
      <left style="thin">
        <color theme="0"/>
      </left>
      <right style="thin">
        <color theme="0"/>
      </right>
      <top style="thick">
        <color theme="0" tint="-0.24994659260841701"/>
      </top>
      <bottom style="thin">
        <color indexed="64"/>
      </bottom>
      <diagonal/>
    </border>
    <border>
      <left/>
      <right style="thin">
        <color indexed="64"/>
      </right>
      <top style="thick">
        <color theme="0" tint="-0.24994659260841701"/>
      </top>
      <bottom style="thin">
        <color indexed="64"/>
      </bottom>
      <diagonal/>
    </border>
    <border>
      <left style="thin">
        <color indexed="64"/>
      </left>
      <right style="thick">
        <color theme="0" tint="-0.24994659260841701"/>
      </right>
      <top style="thick">
        <color theme="0" tint="-0.24994659260841701"/>
      </top>
      <bottom style="thin">
        <color indexed="64"/>
      </bottom>
      <diagonal/>
    </border>
    <border>
      <left style="thick">
        <color theme="0" tint="-0.24994659260841701"/>
      </left>
      <right style="thin">
        <color indexed="64"/>
      </right>
      <top style="thin">
        <color indexed="64"/>
      </top>
      <bottom style="thick">
        <color theme="0" tint="-0.24994659260841701"/>
      </bottom>
      <diagonal/>
    </border>
    <border>
      <left style="thin">
        <color indexed="64"/>
      </left>
      <right/>
      <top style="thin">
        <color indexed="64"/>
      </top>
      <bottom style="thick">
        <color theme="0" tint="-0.24994659260841701"/>
      </bottom>
      <diagonal/>
    </border>
    <border>
      <left style="thin">
        <color theme="0"/>
      </left>
      <right style="thin">
        <color theme="0"/>
      </right>
      <top style="thin">
        <color indexed="64"/>
      </top>
      <bottom style="thick">
        <color theme="0" tint="-0.24994659260841701"/>
      </bottom>
      <diagonal/>
    </border>
    <border>
      <left/>
      <right style="thin">
        <color indexed="64"/>
      </right>
      <top style="thin">
        <color indexed="64"/>
      </top>
      <bottom style="thick">
        <color theme="0" tint="-0.24994659260841701"/>
      </bottom>
      <diagonal/>
    </border>
    <border>
      <left style="thin">
        <color indexed="64"/>
      </left>
      <right style="thick">
        <color theme="0" tint="-0.24994659260841701"/>
      </right>
      <top style="thin">
        <color indexed="64"/>
      </top>
      <bottom style="thick">
        <color theme="0" tint="-0.24994659260841701"/>
      </bottom>
      <diagonal/>
    </border>
    <border>
      <left style="thick">
        <color theme="0" tint="-0.24994659260841701"/>
      </left>
      <right/>
      <top style="thick">
        <color theme="0" tint="-0.24994659260841701"/>
      </top>
      <bottom style="thin">
        <color indexed="64"/>
      </bottom>
      <diagonal/>
    </border>
    <border>
      <left style="thin">
        <color theme="0"/>
      </left>
      <right style="thin">
        <color theme="0"/>
      </right>
      <top style="thick">
        <color theme="0" tint="-0.24994659260841701"/>
      </top>
      <bottom style="thin">
        <color theme="0"/>
      </bottom>
      <diagonal/>
    </border>
    <border>
      <left style="thin">
        <color theme="0"/>
      </left>
      <right style="thick">
        <color theme="0" tint="-0.24994659260841701"/>
      </right>
      <top style="thick">
        <color theme="0" tint="-0.24994659260841701"/>
      </top>
      <bottom style="thin">
        <color theme="0"/>
      </bottom>
      <diagonal/>
    </border>
    <border>
      <left style="thick">
        <color theme="0" tint="-0.24994659260841701"/>
      </left>
      <right/>
      <top style="thin">
        <color indexed="64"/>
      </top>
      <bottom style="thick">
        <color theme="0" tint="-0.24994659260841701"/>
      </bottom>
      <diagonal/>
    </border>
    <border>
      <left style="thin">
        <color theme="0"/>
      </left>
      <right style="thin">
        <color theme="0"/>
      </right>
      <top style="thin">
        <color theme="0"/>
      </top>
      <bottom style="thick">
        <color theme="0" tint="-0.24994659260841701"/>
      </bottom>
      <diagonal/>
    </border>
    <border>
      <left style="thin">
        <color theme="0"/>
      </left>
      <right style="thick">
        <color theme="0" tint="-0.24994659260841701"/>
      </right>
      <top style="thin">
        <color theme="0"/>
      </top>
      <bottom style="thick">
        <color theme="0" tint="-0.24994659260841701"/>
      </bottom>
      <diagonal/>
    </border>
    <border>
      <left/>
      <right style="thick">
        <color theme="0" tint="-0.34998626667073579"/>
      </right>
      <top style="thick">
        <color theme="0" tint="-0.34998626667073579"/>
      </top>
      <bottom/>
      <diagonal/>
    </border>
    <border>
      <left style="thick">
        <color theme="0" tint="-0.24994659260841701"/>
      </left>
      <right style="thin">
        <color theme="0"/>
      </right>
      <top style="thick">
        <color theme="0" tint="-0.24994659260841701"/>
      </top>
      <bottom style="thin">
        <color indexed="64"/>
      </bottom>
      <diagonal/>
    </border>
    <border>
      <left style="thin">
        <color theme="0"/>
      </left>
      <right style="thick">
        <color theme="0" tint="-0.24994659260841701"/>
      </right>
      <top style="thick">
        <color theme="0" tint="-0.24994659260841701"/>
      </top>
      <bottom style="thin">
        <color indexed="64"/>
      </bottom>
      <diagonal/>
    </border>
    <border>
      <left style="thick">
        <color theme="0" tint="-0.24994659260841701"/>
      </left>
      <right style="thin">
        <color theme="0"/>
      </right>
      <top style="thin">
        <color indexed="64"/>
      </top>
      <bottom style="thick">
        <color theme="0" tint="-0.24994659260841701"/>
      </bottom>
      <diagonal/>
    </border>
    <border>
      <left style="thin">
        <color theme="0"/>
      </left>
      <right style="thick">
        <color theme="0" tint="-0.24994659260841701"/>
      </right>
      <top style="thin">
        <color indexed="64"/>
      </top>
      <bottom style="thick">
        <color theme="0" tint="-0.24994659260841701"/>
      </bottom>
      <diagonal/>
    </border>
    <border>
      <left style="thick">
        <color theme="0" tint="-0.24994659260841701"/>
      </left>
      <right style="medium">
        <color theme="0"/>
      </right>
      <top style="thick">
        <color theme="0" tint="-0.24994659260841701"/>
      </top>
      <bottom/>
      <diagonal/>
    </border>
    <border>
      <left style="medium">
        <color theme="0"/>
      </left>
      <right style="medium">
        <color theme="0"/>
      </right>
      <top style="thick">
        <color theme="0" tint="-0.24994659260841701"/>
      </top>
      <bottom/>
      <diagonal/>
    </border>
    <border>
      <left style="medium">
        <color theme="0"/>
      </left>
      <right style="thick">
        <color theme="0" tint="-0.24994659260841701"/>
      </right>
      <top style="thick">
        <color theme="0" tint="-0.24994659260841701"/>
      </top>
      <bottom/>
      <diagonal/>
    </border>
    <border>
      <left style="thick">
        <color theme="0" tint="-0.24994659260841701"/>
      </left>
      <right style="medium">
        <color theme="0"/>
      </right>
      <top/>
      <bottom style="thick">
        <color theme="0" tint="-0.24994659260841701"/>
      </bottom>
      <diagonal/>
    </border>
    <border>
      <left style="medium">
        <color theme="0"/>
      </left>
      <right style="medium">
        <color theme="0"/>
      </right>
      <top/>
      <bottom style="thick">
        <color theme="0" tint="-0.24994659260841701"/>
      </bottom>
      <diagonal/>
    </border>
    <border>
      <left style="medium">
        <color theme="0"/>
      </left>
      <right style="thick">
        <color theme="0" tint="-0.24994659260841701"/>
      </right>
      <top/>
      <bottom style="thick">
        <color theme="0" tint="-0.24994659260841701"/>
      </bottom>
      <diagonal/>
    </border>
    <border>
      <left/>
      <right/>
      <top style="thin">
        <color theme="0" tint="-0.499984740745262"/>
      </top>
      <bottom style="thin">
        <color theme="0" tint="-0.499984740745262"/>
      </bottom>
      <diagonal/>
    </border>
    <border>
      <left style="medium">
        <color theme="0" tint="-0.34998626667073579"/>
      </left>
      <right/>
      <top style="thin">
        <color theme="0" tint="-0.499984740745262"/>
      </top>
      <bottom style="medium">
        <color theme="0" tint="-0.34998626667073579"/>
      </bottom>
      <diagonal/>
    </border>
    <border>
      <left/>
      <right/>
      <top style="thin">
        <color theme="0" tint="-0.499984740745262"/>
      </top>
      <bottom style="medium">
        <color theme="0" tint="-0.34998626667073579"/>
      </bottom>
      <diagonal/>
    </border>
    <border>
      <left/>
      <right style="medium">
        <color theme="0" tint="-0.34998626667073579"/>
      </right>
      <top style="thin">
        <color theme="0" tint="-0.499984740745262"/>
      </top>
      <bottom style="medium">
        <color theme="0" tint="-0.34998626667073579"/>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style="thin">
        <color theme="0" tint="-0.499984740745262"/>
      </bottom>
      <diagonal/>
    </border>
    <border>
      <left/>
      <right/>
      <top style="medium">
        <color theme="0" tint="-0.34998626667073579"/>
      </top>
      <bottom style="thin">
        <color theme="0" tint="-0.499984740745262"/>
      </bottom>
      <diagonal/>
    </border>
    <border>
      <left/>
      <right style="medium">
        <color theme="0" tint="-0.34998626667073579"/>
      </right>
      <top style="medium">
        <color theme="0" tint="-0.34998626667073579"/>
      </top>
      <bottom style="thin">
        <color theme="0" tint="-0.499984740745262"/>
      </bottom>
      <diagonal/>
    </border>
    <border>
      <left style="medium">
        <color theme="0" tint="-0.34998626667073579"/>
      </left>
      <right/>
      <top style="thin">
        <color theme="0" tint="-0.499984740745262"/>
      </top>
      <bottom style="thin">
        <color theme="0" tint="-0.499984740745262"/>
      </bottom>
      <diagonal/>
    </border>
    <border>
      <left/>
      <right style="medium">
        <color theme="0" tint="-0.34998626667073579"/>
      </right>
      <top style="thin">
        <color theme="0" tint="-0.499984740745262"/>
      </top>
      <bottom style="thin">
        <color theme="0" tint="-0.499984740745262"/>
      </bottom>
      <diagonal/>
    </border>
    <border>
      <left style="mediumDashed">
        <color theme="0" tint="-0.34998626667073579"/>
      </left>
      <right/>
      <top/>
      <bottom/>
      <diagonal/>
    </border>
    <border>
      <left style="medium">
        <color theme="0"/>
      </left>
      <right style="medium">
        <color theme="0"/>
      </right>
      <top style="thick">
        <color theme="0" tint="-0.34998626667073579"/>
      </top>
      <bottom style="thick">
        <color theme="0" tint="-0.34998626667073579"/>
      </bottom>
      <diagonal/>
    </border>
    <border>
      <left/>
      <right/>
      <top style="thin">
        <color indexed="64"/>
      </top>
      <bottom style="thick">
        <color theme="0" tint="-0.34998626667073579"/>
      </bottom>
      <diagonal/>
    </border>
    <border>
      <left/>
      <right style="thin">
        <color indexed="64"/>
      </right>
      <top style="thin">
        <color indexed="64"/>
      </top>
      <bottom style="thick">
        <color theme="0" tint="-0.34998626667073579"/>
      </bottom>
      <diagonal/>
    </border>
    <border>
      <left style="thin">
        <color indexed="64"/>
      </left>
      <right/>
      <top style="thin">
        <color indexed="64"/>
      </top>
      <bottom style="thick">
        <color theme="0" tint="-0.34998626667073579"/>
      </bottom>
      <diagonal/>
    </border>
    <border>
      <left style="thin">
        <color indexed="64"/>
      </left>
      <right/>
      <top/>
      <bottom style="thick">
        <color theme="0" tint="-0.34998626667073579"/>
      </bottom>
      <diagonal/>
    </border>
    <border>
      <left/>
      <right/>
      <top/>
      <bottom style="thick">
        <color theme="0" tint="-0.34998626667073579"/>
      </bottom>
      <diagonal/>
    </border>
    <border>
      <left/>
      <right style="thin">
        <color indexed="64"/>
      </right>
      <top/>
      <bottom style="thick">
        <color theme="0" tint="-0.34998626667073579"/>
      </bottom>
      <diagonal/>
    </border>
    <border>
      <left/>
      <right style="thin">
        <color indexed="64"/>
      </right>
      <top style="medium">
        <color indexed="64"/>
      </top>
      <bottom/>
      <diagonal/>
    </border>
    <border>
      <left/>
      <right style="thin">
        <color indexed="64"/>
      </right>
      <top/>
      <bottom style="medium">
        <color indexed="64"/>
      </bottom>
      <diagonal/>
    </border>
    <border>
      <left/>
      <right/>
      <top style="medium">
        <color indexed="64"/>
      </top>
      <bottom style="medium">
        <color indexed="64"/>
      </bottom>
      <diagonal/>
    </border>
  </borders>
  <cellStyleXfs count="5">
    <xf numFmtId="0" fontId="0" fillId="0" borderId="0"/>
    <xf numFmtId="0" fontId="5" fillId="0" borderId="0"/>
    <xf numFmtId="9" fontId="5" fillId="0" borderId="0" applyFont="0" applyFill="0" applyBorder="0" applyAlignment="0" applyProtection="0"/>
    <xf numFmtId="9" fontId="71" fillId="0" borderId="0" applyFont="0" applyFill="0" applyBorder="0" applyAlignment="0" applyProtection="0"/>
    <xf numFmtId="164" fontId="71" fillId="0" borderId="0" applyFont="0" applyFill="0" applyBorder="0" applyAlignment="0" applyProtection="0"/>
  </cellStyleXfs>
  <cellXfs count="796">
    <xf numFmtId="0" fontId="0" fillId="0" borderId="0" xfId="0"/>
    <xf numFmtId="0" fontId="2" fillId="0" borderId="0" xfId="0" applyFont="1"/>
    <xf numFmtId="0" fontId="2" fillId="0" borderId="0" xfId="0" applyFont="1" applyAlignment="1">
      <alignment vertical="center"/>
    </xf>
    <xf numFmtId="0" fontId="3" fillId="2" borderId="2" xfId="0" applyFont="1" applyFill="1" applyBorder="1" applyAlignment="1">
      <alignment vertical="center"/>
    </xf>
    <xf numFmtId="0" fontId="4" fillId="0" borderId="0" xfId="0" applyFont="1" applyAlignment="1">
      <alignment vertical="center"/>
    </xf>
    <xf numFmtId="0" fontId="4" fillId="0" borderId="0" xfId="0" applyFont="1"/>
    <xf numFmtId="0" fontId="3" fillId="2" borderId="2" xfId="0" applyFont="1" applyFill="1" applyBorder="1" applyAlignment="1" applyProtection="1">
      <alignment vertical="center"/>
      <protection locked="0"/>
    </xf>
    <xf numFmtId="0" fontId="6" fillId="0" borderId="0" xfId="1" applyFont="1" applyAlignment="1">
      <alignment horizontal="center"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4" fillId="0" borderId="0" xfId="0" applyFont="1" applyAlignment="1">
      <alignment horizontal="center" vertical="center" wrapText="1"/>
    </xf>
    <xf numFmtId="0" fontId="9" fillId="0" borderId="0" xfId="1" applyFont="1" applyAlignment="1">
      <alignment vertical="center" wrapText="1"/>
    </xf>
    <xf numFmtId="0" fontId="12" fillId="0" borderId="0" xfId="1" applyFont="1" applyAlignment="1">
      <alignment vertical="center" wrapText="1"/>
    </xf>
    <xf numFmtId="0" fontId="16" fillId="2" borderId="0" xfId="0" applyFont="1" applyFill="1" applyAlignment="1">
      <alignment horizontal="center" vertical="center" wrapText="1"/>
    </xf>
    <xf numFmtId="0" fontId="3" fillId="0" borderId="0" xfId="0" applyFont="1" applyAlignment="1">
      <alignment horizontal="center" wrapText="1"/>
    </xf>
    <xf numFmtId="0" fontId="7" fillId="3" borderId="0" xfId="1" applyFont="1" applyFill="1" applyAlignment="1">
      <alignment horizontal="center" vertical="center" wrapText="1"/>
    </xf>
    <xf numFmtId="0" fontId="16" fillId="0" borderId="0" xfId="0" applyFont="1" applyAlignment="1">
      <alignment horizontal="center"/>
    </xf>
    <xf numFmtId="0" fontId="3" fillId="0" borderId="0" xfId="0" applyFont="1" applyAlignment="1">
      <alignment horizontal="center"/>
    </xf>
    <xf numFmtId="0" fontId="6" fillId="0" borderId="0" xfId="1" applyFont="1" applyAlignment="1">
      <alignment vertical="center" wrapText="1"/>
    </xf>
    <xf numFmtId="0" fontId="16" fillId="4" borderId="0" xfId="0" applyFont="1" applyFill="1" applyAlignment="1">
      <alignment horizontal="center" vertical="center" wrapText="1"/>
    </xf>
    <xf numFmtId="0" fontId="3" fillId="0" borderId="0" xfId="0" applyFont="1" applyAlignment="1">
      <alignment horizontal="center" vertical="center" wrapText="1"/>
    </xf>
    <xf numFmtId="0" fontId="7" fillId="4" borderId="0" xfId="1" applyFont="1" applyFill="1" applyAlignment="1">
      <alignment horizontal="center" vertical="center" wrapText="1"/>
    </xf>
    <xf numFmtId="0" fontId="17" fillId="0" borderId="0" xfId="1" applyFont="1" applyAlignment="1">
      <alignment vertical="center" wrapText="1"/>
    </xf>
    <xf numFmtId="0" fontId="7" fillId="0" borderId="0" xfId="1" applyFont="1" applyAlignment="1">
      <alignment vertical="center" wrapText="1"/>
    </xf>
    <xf numFmtId="0" fontId="2" fillId="2" borderId="0" xfId="0" applyFont="1" applyFill="1" applyAlignment="1">
      <alignment horizontal="left" vertical="top"/>
    </xf>
    <xf numFmtId="0" fontId="4" fillId="2" borderId="0" xfId="0" applyFont="1" applyFill="1" applyAlignment="1">
      <alignment horizontal="left" vertical="top"/>
    </xf>
    <xf numFmtId="0" fontId="4" fillId="2" borderId="0" xfId="0" applyFont="1" applyFill="1"/>
    <xf numFmtId="0" fontId="22" fillId="0" borderId="0" xfId="0" applyFont="1"/>
    <xf numFmtId="0" fontId="15" fillId="0" borderId="0" xfId="0" applyFont="1" applyAlignment="1">
      <alignment vertical="center"/>
    </xf>
    <xf numFmtId="0" fontId="4" fillId="4" borderId="0" xfId="0" applyFont="1" applyFill="1"/>
    <xf numFmtId="0" fontId="4" fillId="4" borderId="1" xfId="0" applyFont="1" applyFill="1" applyBorder="1"/>
    <xf numFmtId="0" fontId="2" fillId="0" borderId="1" xfId="0" applyFont="1" applyBorder="1" applyAlignment="1">
      <alignment horizontal="center" vertical="center"/>
    </xf>
    <xf numFmtId="9" fontId="24" fillId="0" borderId="0" xfId="0" applyNumberFormat="1" applyFont="1" applyAlignment="1">
      <alignment horizontal="left"/>
    </xf>
    <xf numFmtId="0" fontId="19" fillId="2" borderId="0" xfId="0" applyFont="1" applyFill="1" applyAlignment="1">
      <alignment horizontal="left" vertical="top"/>
    </xf>
    <xf numFmtId="0" fontId="4" fillId="0" borderId="0" xfId="0" applyFont="1" applyAlignment="1">
      <alignment horizontal="left" vertical="top"/>
    </xf>
    <xf numFmtId="0" fontId="19" fillId="0" borderId="0" xfId="0" applyFont="1" applyAlignment="1">
      <alignment horizontal="left" vertical="top"/>
    </xf>
    <xf numFmtId="0" fontId="25" fillId="0" borderId="0" xfId="0" applyFont="1"/>
    <xf numFmtId="0" fontId="25" fillId="0" borderId="0" xfId="0" applyFont="1" applyAlignment="1">
      <alignment horizontal="center"/>
    </xf>
    <xf numFmtId="0" fontId="1" fillId="0" borderId="0" xfId="0" applyFont="1" applyAlignment="1">
      <alignment horizontal="center"/>
    </xf>
    <xf numFmtId="0" fontId="13" fillId="4" borderId="1" xfId="0" applyFont="1" applyFill="1" applyBorder="1" applyAlignment="1">
      <alignment horizontal="center" vertical="center"/>
    </xf>
    <xf numFmtId="0" fontId="4" fillId="0" borderId="0" xfId="0" applyFont="1" applyAlignment="1">
      <alignment vertical="top"/>
    </xf>
    <xf numFmtId="0" fontId="2" fillId="0" borderId="3" xfId="0" applyFont="1" applyBorder="1" applyAlignment="1">
      <alignment vertical="center"/>
    </xf>
    <xf numFmtId="0" fontId="2" fillId="0" borderId="0" xfId="0" applyFont="1" applyAlignment="1">
      <alignment horizontal="center" vertical="center" wrapText="1"/>
    </xf>
    <xf numFmtId="0" fontId="25" fillId="0" borderId="8" xfId="0" applyFont="1" applyBorder="1"/>
    <xf numFmtId="0" fontId="2" fillId="0" borderId="0" xfId="0" applyFont="1" applyAlignment="1">
      <alignment horizontal="center" vertical="center"/>
    </xf>
    <xf numFmtId="0" fontId="23" fillId="0" borderId="0" xfId="0" applyFont="1" applyAlignment="1">
      <alignment vertical="center" wrapText="1"/>
    </xf>
    <xf numFmtId="0" fontId="2" fillId="2" borderId="0" xfId="0" applyFont="1" applyFill="1" applyAlignment="1">
      <alignment horizontal="center" vertical="center"/>
    </xf>
    <xf numFmtId="0" fontId="8" fillId="0" borderId="0" xfId="0" applyFont="1" applyAlignment="1">
      <alignment vertical="center"/>
    </xf>
    <xf numFmtId="0" fontId="8" fillId="0" borderId="0" xfId="0" applyFont="1"/>
    <xf numFmtId="0" fontId="4" fillId="0" borderId="3" xfId="0" applyFont="1" applyBorder="1"/>
    <xf numFmtId="0" fontId="26" fillId="2" borderId="0" xfId="0" applyFont="1" applyFill="1" applyAlignment="1">
      <alignment horizontal="center" vertical="top"/>
    </xf>
    <xf numFmtId="0" fontId="27" fillId="0" borderId="0" xfId="0" quotePrefix="1" applyFont="1" applyAlignment="1">
      <alignment horizontal="left" vertical="center"/>
    </xf>
    <xf numFmtId="0" fontId="28" fillId="0" borderId="0" xfId="0" applyFont="1" applyAlignment="1">
      <alignment vertical="center"/>
    </xf>
    <xf numFmtId="0" fontId="28" fillId="0" borderId="3" xfId="0" applyFont="1" applyBorder="1"/>
    <xf numFmtId="0" fontId="28" fillId="0" borderId="0" xfId="0" applyFont="1"/>
    <xf numFmtId="0" fontId="28" fillId="0" borderId="23" xfId="0" applyFont="1" applyBorder="1"/>
    <xf numFmtId="0" fontId="7" fillId="0" borderId="0" xfId="0" applyFont="1"/>
    <xf numFmtId="0" fontId="6" fillId="0" borderId="0" xfId="0" applyFont="1"/>
    <xf numFmtId="10" fontId="6" fillId="0" borderId="0" xfId="0" applyNumberFormat="1" applyFont="1"/>
    <xf numFmtId="0" fontId="6" fillId="0" borderId="10" xfId="0" applyFont="1" applyBorder="1"/>
    <xf numFmtId="0" fontId="7" fillId="0" borderId="28" xfId="0" applyFont="1" applyBorder="1"/>
    <xf numFmtId="0" fontId="4" fillId="0" borderId="9" xfId="0" applyFont="1" applyBorder="1"/>
    <xf numFmtId="0" fontId="4" fillId="0" borderId="29" xfId="0" applyFont="1" applyBorder="1"/>
    <xf numFmtId="0" fontId="11" fillId="0" borderId="0" xfId="0" applyFont="1"/>
    <xf numFmtId="0" fontId="4" fillId="0" borderId="27" xfId="0" applyFont="1" applyBorder="1"/>
    <xf numFmtId="0" fontId="4" fillId="0" borderId="28" xfId="0" applyFont="1" applyBorder="1"/>
    <xf numFmtId="0" fontId="7" fillId="4" borderId="26" xfId="0" applyFont="1" applyFill="1" applyBorder="1"/>
    <xf numFmtId="0" fontId="7" fillId="4" borderId="31" xfId="0" applyFont="1" applyFill="1" applyBorder="1"/>
    <xf numFmtId="0" fontId="7" fillId="4" borderId="9" xfId="0" applyFont="1" applyFill="1" applyBorder="1"/>
    <xf numFmtId="0" fontId="7" fillId="4" borderId="0" xfId="0" applyFont="1" applyFill="1"/>
    <xf numFmtId="0" fontId="4" fillId="4" borderId="9" xfId="0" applyFont="1" applyFill="1" applyBorder="1"/>
    <xf numFmtId="10" fontId="6" fillId="4" borderId="0" xfId="0" applyNumberFormat="1" applyFont="1" applyFill="1"/>
    <xf numFmtId="0" fontId="8" fillId="4" borderId="0" xfId="0" applyFont="1" applyFill="1" applyAlignment="1">
      <alignment horizontal="center"/>
    </xf>
    <xf numFmtId="0" fontId="7" fillId="4" borderId="28" xfId="0" applyFont="1" applyFill="1" applyBorder="1"/>
    <xf numFmtId="0" fontId="7" fillId="4" borderId="30" xfId="0" applyFont="1" applyFill="1" applyBorder="1"/>
    <xf numFmtId="0" fontId="7" fillId="4" borderId="27" xfId="0" applyFont="1" applyFill="1" applyBorder="1"/>
    <xf numFmtId="10" fontId="6" fillId="4" borderId="28" xfId="0" applyNumberFormat="1" applyFont="1" applyFill="1" applyBorder="1"/>
    <xf numFmtId="0" fontId="8" fillId="4" borderId="28" xfId="0" applyFont="1" applyFill="1" applyBorder="1" applyAlignment="1">
      <alignment horizontal="center"/>
    </xf>
    <xf numFmtId="0" fontId="4" fillId="0" borderId="26" xfId="0" applyFont="1" applyBorder="1"/>
    <xf numFmtId="0" fontId="4" fillId="0" borderId="31" xfId="0" applyFont="1" applyBorder="1"/>
    <xf numFmtId="0" fontId="32" fillId="4" borderId="28" xfId="0" applyFont="1" applyFill="1" applyBorder="1" applyAlignment="1">
      <alignment vertical="center"/>
    </xf>
    <xf numFmtId="0" fontId="4" fillId="0" borderId="10" xfId="0" applyFont="1" applyBorder="1"/>
    <xf numFmtId="0" fontId="7" fillId="0" borderId="0" xfId="0" applyFont="1" applyAlignment="1">
      <alignment horizontal="center" vertical="center" wrapText="1"/>
    </xf>
    <xf numFmtId="0" fontId="7" fillId="0" borderId="0" xfId="0" applyFont="1" applyAlignment="1">
      <alignment horizontal="left" vertical="center" wrapText="1"/>
    </xf>
    <xf numFmtId="165" fontId="6" fillId="0" borderId="0" xfId="0" applyNumberFormat="1" applyFont="1" applyAlignment="1">
      <alignment horizontal="center" vertical="center" wrapText="1"/>
    </xf>
    <xf numFmtId="10" fontId="6" fillId="0" borderId="0" xfId="0" applyNumberFormat="1" applyFont="1" applyAlignment="1">
      <alignment horizontal="center" vertical="center" wrapText="1"/>
    </xf>
    <xf numFmtId="10" fontId="33" fillId="0" borderId="0" xfId="0" applyNumberFormat="1" applyFont="1"/>
    <xf numFmtId="0" fontId="34" fillId="0" borderId="0" xfId="0" applyFont="1"/>
    <xf numFmtId="0" fontId="33" fillId="0" borderId="0" xfId="0" applyFont="1"/>
    <xf numFmtId="0" fontId="35" fillId="0" borderId="0" xfId="0" applyFont="1" applyAlignment="1">
      <alignment horizontal="center"/>
    </xf>
    <xf numFmtId="0" fontId="6" fillId="4" borderId="0" xfId="0" applyFont="1" applyFill="1"/>
    <xf numFmtId="0" fontId="6" fillId="4" borderId="28" xfId="0" applyFont="1" applyFill="1" applyBorder="1"/>
    <xf numFmtId="0" fontId="7" fillId="4" borderId="29" xfId="0" applyFont="1" applyFill="1" applyBorder="1"/>
    <xf numFmtId="0" fontId="7" fillId="4" borderId="10" xfId="0" applyFont="1" applyFill="1" applyBorder="1"/>
    <xf numFmtId="0" fontId="30" fillId="0" borderId="0" xfId="0" applyFont="1"/>
    <xf numFmtId="0" fontId="4" fillId="0" borderId="30" xfId="0" applyFont="1" applyBorder="1"/>
    <xf numFmtId="0" fontId="7" fillId="0" borderId="33" xfId="0" applyFont="1" applyBorder="1" applyAlignment="1">
      <alignment horizontal="center" vertical="center" wrapText="1"/>
    </xf>
    <xf numFmtId="0" fontId="4" fillId="0" borderId="33" xfId="0" applyFont="1" applyBorder="1"/>
    <xf numFmtId="10" fontId="6" fillId="0" borderId="10" xfId="0" applyNumberFormat="1" applyFont="1" applyBorder="1"/>
    <xf numFmtId="0" fontId="38" fillId="0" borderId="0" xfId="0" applyFont="1" applyAlignment="1">
      <alignment horizontal="center" vertical="center"/>
    </xf>
    <xf numFmtId="0" fontId="39" fillId="0" borderId="0" xfId="0" applyFont="1"/>
    <xf numFmtId="0" fontId="39" fillId="0" borderId="0" xfId="0" applyFont="1" applyAlignment="1">
      <alignment vertical="top" wrapText="1"/>
    </xf>
    <xf numFmtId="0" fontId="40" fillId="6" borderId="0" xfId="0" applyFont="1" applyFill="1" applyAlignment="1">
      <alignment horizontal="center" vertical="center" wrapText="1"/>
    </xf>
    <xf numFmtId="0" fontId="38" fillId="0" borderId="0" xfId="0" applyFont="1" applyAlignment="1">
      <alignment horizontal="center" vertical="center" wrapText="1"/>
    </xf>
    <xf numFmtId="0" fontId="38" fillId="7" borderId="0" xfId="0" applyFont="1" applyFill="1" applyAlignment="1">
      <alignment horizontal="center" vertical="center" wrapText="1"/>
    </xf>
    <xf numFmtId="0" fontId="38" fillId="8" borderId="0" xfId="0" applyFont="1" applyFill="1" applyAlignment="1">
      <alignment horizontal="center" vertical="center" wrapText="1"/>
    </xf>
    <xf numFmtId="0" fontId="38" fillId="9" borderId="0" xfId="0" applyFont="1" applyFill="1" applyAlignment="1">
      <alignment horizontal="center" vertical="center" wrapText="1"/>
    </xf>
    <xf numFmtId="0" fontId="39" fillId="0" borderId="0" xfId="0" applyFont="1" applyAlignment="1">
      <alignment vertical="center" wrapText="1"/>
    </xf>
    <xf numFmtId="0" fontId="42" fillId="10" borderId="0" xfId="0" applyFont="1" applyFill="1" applyAlignment="1">
      <alignment horizontal="center" vertical="center" wrapText="1"/>
    </xf>
    <xf numFmtId="0" fontId="4" fillId="0" borderId="0" xfId="0" applyFont="1" applyAlignment="1">
      <alignment vertical="top" wrapText="1"/>
    </xf>
    <xf numFmtId="0" fontId="2" fillId="12" borderId="0" xfId="0" applyFont="1" applyFill="1" applyAlignment="1">
      <alignment vertical="center"/>
    </xf>
    <xf numFmtId="0" fontId="4" fillId="12" borderId="0" xfId="0" applyFont="1" applyFill="1"/>
    <xf numFmtId="0" fontId="2" fillId="12" borderId="0" xfId="0" applyFont="1" applyFill="1" applyAlignment="1">
      <alignment horizontal="center" vertical="center"/>
    </xf>
    <xf numFmtId="0" fontId="2" fillId="12" borderId="0" xfId="0" applyFont="1" applyFill="1"/>
    <xf numFmtId="0" fontId="2" fillId="12" borderId="0" xfId="0" applyFont="1" applyFill="1" applyAlignment="1">
      <alignment horizontal="center"/>
    </xf>
    <xf numFmtId="0" fontId="4" fillId="0" borderId="4" xfId="0" applyFont="1" applyBorder="1" applyAlignment="1">
      <alignment horizontal="center"/>
    </xf>
    <xf numFmtId="0" fontId="4" fillId="0" borderId="0" xfId="0" applyFont="1" applyAlignment="1">
      <alignment horizontal="center"/>
    </xf>
    <xf numFmtId="0" fontId="26" fillId="2" borderId="0" xfId="0" applyFont="1" applyFill="1"/>
    <xf numFmtId="0" fontId="45" fillId="0" borderId="0" xfId="0" applyFont="1"/>
    <xf numFmtId="0" fontId="46" fillId="12" borderId="0" xfId="0" applyFont="1" applyFill="1" applyAlignment="1">
      <alignment horizontal="center" vertical="center"/>
    </xf>
    <xf numFmtId="0" fontId="47" fillId="12" borderId="0" xfId="0" applyFont="1" applyFill="1" applyAlignment="1">
      <alignment horizontal="center" vertical="center"/>
    </xf>
    <xf numFmtId="0" fontId="46" fillId="12" borderId="0" xfId="0" applyFont="1" applyFill="1"/>
    <xf numFmtId="0" fontId="4" fillId="0" borderId="4" xfId="0" applyFont="1" applyBorder="1" applyAlignment="1">
      <alignment horizontal="center" vertical="center"/>
    </xf>
    <xf numFmtId="0" fontId="14" fillId="0" borderId="7" xfId="0" applyFont="1" applyBorder="1" applyAlignment="1">
      <alignment horizontal="left" vertical="top" wrapText="1"/>
    </xf>
    <xf numFmtId="0" fontId="14" fillId="0" borderId="35" xfId="0" applyFont="1" applyBorder="1" applyAlignment="1">
      <alignment horizontal="left" vertical="top" wrapText="1"/>
    </xf>
    <xf numFmtId="0" fontId="14" fillId="0" borderId="36" xfId="0" applyFont="1" applyBorder="1" applyAlignment="1">
      <alignment horizontal="left" vertical="top" wrapText="1"/>
    </xf>
    <xf numFmtId="0" fontId="50" fillId="13" borderId="6" xfId="0" applyFont="1" applyFill="1" applyBorder="1" applyAlignment="1">
      <alignment horizontal="center" vertical="center" wrapText="1"/>
    </xf>
    <xf numFmtId="0" fontId="28" fillId="0" borderId="3" xfId="0" applyFont="1" applyBorder="1" applyProtection="1">
      <protection locked="0"/>
    </xf>
    <xf numFmtId="0" fontId="28" fillId="0" borderId="23" xfId="0" applyFont="1" applyBorder="1" applyProtection="1">
      <protection locked="0"/>
    </xf>
    <xf numFmtId="0" fontId="2" fillId="2" borderId="0" xfId="0" applyFont="1" applyFill="1" applyAlignment="1">
      <alignment horizontal="center" vertical="center" wrapText="1"/>
    </xf>
    <xf numFmtId="0" fontId="4" fillId="0" borderId="0" xfId="0" applyFont="1" applyAlignment="1">
      <alignment horizontal="center" wrapText="1"/>
    </xf>
    <xf numFmtId="0" fontId="53" fillId="3" borderId="0" xfId="1" applyFont="1" applyFill="1" applyAlignment="1">
      <alignment horizontal="center" vertical="center" wrapText="1"/>
    </xf>
    <xf numFmtId="0" fontId="28" fillId="0" borderId="0" xfId="1" applyFont="1" applyAlignment="1">
      <alignment horizontal="center" vertical="center" wrapText="1"/>
    </xf>
    <xf numFmtId="0" fontId="54" fillId="0" borderId="0" xfId="1" applyFont="1" applyAlignment="1">
      <alignment vertical="center" wrapText="1"/>
    </xf>
    <xf numFmtId="0" fontId="2" fillId="0" borderId="0" xfId="0" applyFont="1" applyAlignment="1">
      <alignment horizontal="center"/>
    </xf>
    <xf numFmtId="0" fontId="28" fillId="0" borderId="0" xfId="1" applyFont="1" applyAlignment="1">
      <alignment vertical="center" wrapText="1"/>
    </xf>
    <xf numFmtId="0" fontId="53" fillId="0" borderId="0" xfId="1" applyFont="1" applyAlignment="1">
      <alignment horizontal="center" vertical="center" wrapText="1"/>
    </xf>
    <xf numFmtId="0" fontId="53" fillId="4" borderId="0" xfId="1" applyFont="1" applyFill="1" applyAlignment="1">
      <alignment horizontal="center" vertical="center" wrapText="1"/>
    </xf>
    <xf numFmtId="0" fontId="53" fillId="4" borderId="0" xfId="1" applyFont="1" applyFill="1" applyAlignment="1">
      <alignment horizontal="center" vertical="top" wrapText="1"/>
    </xf>
    <xf numFmtId="0" fontId="53" fillId="0" borderId="0" xfId="1" applyFont="1" applyAlignment="1">
      <alignment horizontal="center" vertical="top" wrapText="1"/>
    </xf>
    <xf numFmtId="0" fontId="28" fillId="0" borderId="0" xfId="1" applyFont="1" applyAlignment="1">
      <alignment horizontal="center" vertical="top" wrapText="1"/>
    </xf>
    <xf numFmtId="0" fontId="53" fillId="0" borderId="0" xfId="1" applyFont="1" applyAlignment="1">
      <alignment vertical="center" wrapText="1"/>
    </xf>
    <xf numFmtId="9" fontId="21" fillId="0" borderId="0" xfId="0" applyNumberFormat="1" applyFont="1" applyAlignment="1">
      <alignment horizontal="left"/>
    </xf>
    <xf numFmtId="0" fontId="0" fillId="0" borderId="3" xfId="0" applyBorder="1"/>
    <xf numFmtId="0" fontId="0" fillId="0" borderId="45" xfId="0" applyBorder="1"/>
    <xf numFmtId="0" fontId="0" fillId="0" borderId="46" xfId="0" applyBorder="1"/>
    <xf numFmtId="0" fontId="0" fillId="15" borderId="46" xfId="0" applyFill="1" applyBorder="1"/>
    <xf numFmtId="0" fontId="0" fillId="0" borderId="47" xfId="0" applyBorder="1"/>
    <xf numFmtId="0" fontId="0" fillId="0" borderId="48" xfId="0" applyBorder="1"/>
    <xf numFmtId="0" fontId="0" fillId="0" borderId="49" xfId="0" applyBorder="1"/>
    <xf numFmtId="0" fontId="0" fillId="15" borderId="49" xfId="0" applyFill="1" applyBorder="1"/>
    <xf numFmtId="0" fontId="0" fillId="0" borderId="50" xfId="0" applyBorder="1"/>
    <xf numFmtId="0" fontId="0" fillId="0" borderId="51" xfId="0" applyBorder="1"/>
    <xf numFmtId="0" fontId="0" fillId="0" borderId="52" xfId="0" applyBorder="1"/>
    <xf numFmtId="0" fontId="0" fillId="15" borderId="52" xfId="0" applyFill="1" applyBorder="1"/>
    <xf numFmtId="0" fontId="0" fillId="0" borderId="53" xfId="0" applyBorder="1"/>
    <xf numFmtId="0" fontId="58" fillId="0" borderId="42" xfId="0" applyFont="1" applyBorder="1" applyAlignment="1">
      <alignment horizontal="center" vertical="center"/>
    </xf>
    <xf numFmtId="0" fontId="0" fillId="12" borderId="0" xfId="0" applyFill="1" applyAlignment="1">
      <alignment vertical="center"/>
    </xf>
    <xf numFmtId="0" fontId="60" fillId="0" borderId="0" xfId="0" applyFont="1" applyAlignment="1">
      <alignment vertical="center"/>
    </xf>
    <xf numFmtId="0" fontId="1" fillId="0" borderId="0" xfId="0" applyFont="1" applyAlignment="1">
      <alignment vertical="center"/>
    </xf>
    <xf numFmtId="0" fontId="1" fillId="12" borderId="0" xfId="0" applyFont="1" applyFill="1" applyAlignment="1">
      <alignment vertical="center"/>
    </xf>
    <xf numFmtId="0" fontId="0" fillId="12" borderId="0" xfId="0" applyFill="1"/>
    <xf numFmtId="0" fontId="1" fillId="0" borderId="0" xfId="0" applyFont="1"/>
    <xf numFmtId="0" fontId="63" fillId="12" borderId="0" xfId="0" applyFont="1" applyFill="1" applyAlignment="1">
      <alignment vertical="center"/>
    </xf>
    <xf numFmtId="0" fontId="63" fillId="12" borderId="0" xfId="0" applyFont="1" applyFill="1" applyAlignment="1">
      <alignment horizontal="center" vertical="center"/>
    </xf>
    <xf numFmtId="0" fontId="59" fillId="12" borderId="0" xfId="0" applyFont="1" applyFill="1" applyAlignment="1">
      <alignment vertical="center"/>
    </xf>
    <xf numFmtId="0" fontId="60" fillId="12" borderId="0" xfId="0" applyFont="1" applyFill="1" applyAlignment="1">
      <alignment vertical="center"/>
    </xf>
    <xf numFmtId="0" fontId="0" fillId="0" borderId="0" xfId="0" applyAlignment="1">
      <alignment vertical="center" wrapText="1"/>
    </xf>
    <xf numFmtId="0" fontId="0" fillId="0" borderId="14" xfId="0" applyBorder="1" applyProtection="1">
      <protection locked="0"/>
    </xf>
    <xf numFmtId="0" fontId="0" fillId="0" borderId="15" xfId="0" applyBorder="1" applyProtection="1">
      <protection locked="0"/>
    </xf>
    <xf numFmtId="0" fontId="0" fillId="0" borderId="17" xfId="0" applyBorder="1" applyProtection="1">
      <protection locked="0"/>
    </xf>
    <xf numFmtId="0" fontId="1" fillId="0" borderId="0" xfId="0" applyFont="1" applyProtection="1">
      <protection locked="0"/>
    </xf>
    <xf numFmtId="0" fontId="0" fillId="0" borderId="0" xfId="0" applyProtection="1">
      <protection locked="0"/>
    </xf>
    <xf numFmtId="0" fontId="0" fillId="0" borderId="0" xfId="0" applyAlignment="1" applyProtection="1">
      <alignment vertical="top"/>
      <protection locked="0"/>
    </xf>
    <xf numFmtId="0" fontId="6" fillId="0" borderId="0" xfId="1" applyFont="1" applyAlignment="1" applyProtection="1">
      <alignment horizontal="left" vertical="center" wrapText="1"/>
      <protection locked="0"/>
    </xf>
    <xf numFmtId="0" fontId="6" fillId="0" borderId="0" xfId="1" applyFont="1" applyAlignment="1" applyProtection="1">
      <alignment horizontal="center" vertical="center" wrapText="1"/>
      <protection locked="0"/>
    </xf>
    <xf numFmtId="0" fontId="6" fillId="0" borderId="0" xfId="1" applyFont="1" applyAlignment="1" applyProtection="1">
      <alignment horizontal="center" vertical="center"/>
      <protection locked="0"/>
    </xf>
    <xf numFmtId="0" fontId="6" fillId="0" borderId="0" xfId="1" applyFont="1" applyAlignment="1" applyProtection="1">
      <alignment horizontal="left" vertical="center"/>
      <protection locked="0"/>
    </xf>
    <xf numFmtId="0" fontId="8" fillId="0" borderId="0" xfId="1" applyFont="1" applyAlignment="1" applyProtection="1">
      <alignment horizontal="center"/>
      <protection locked="0"/>
    </xf>
    <xf numFmtId="0" fontId="6" fillId="0" borderId="0" xfId="1" applyFont="1" applyAlignment="1" applyProtection="1">
      <alignment wrapText="1"/>
      <protection locked="0"/>
    </xf>
    <xf numFmtId="0" fontId="65" fillId="0" borderId="0" xfId="1" applyFont="1" applyAlignment="1" applyProtection="1">
      <alignment horizontal="left" vertical="center" wrapText="1"/>
      <protection locked="0"/>
    </xf>
    <xf numFmtId="0" fontId="65" fillId="0" borderId="0" xfId="1" applyFont="1" applyAlignment="1" applyProtection="1">
      <alignment vertical="top" wrapText="1"/>
      <protection locked="0"/>
    </xf>
    <xf numFmtId="0" fontId="65" fillId="0" borderId="0" xfId="1" applyFont="1" applyAlignment="1" applyProtection="1">
      <alignment horizontal="left" vertical="top" wrapText="1"/>
      <protection locked="0"/>
    </xf>
    <xf numFmtId="0" fontId="65" fillId="0" borderId="0" xfId="1" applyFont="1" applyAlignment="1" applyProtection="1">
      <alignment horizontal="left" vertical="top"/>
      <protection locked="0"/>
    </xf>
    <xf numFmtId="0" fontId="69" fillId="0" borderId="0" xfId="0" applyFont="1" applyAlignment="1" applyProtection="1">
      <alignment horizontal="left" vertical="top"/>
      <protection locked="0"/>
    </xf>
    <xf numFmtId="0" fontId="1" fillId="12" borderId="0" xfId="0" applyFont="1" applyFill="1" applyAlignment="1" applyProtection="1">
      <alignment vertical="top"/>
      <protection locked="0"/>
    </xf>
    <xf numFmtId="0" fontId="1" fillId="12" borderId="0" xfId="0" applyFont="1" applyFill="1" applyAlignment="1" applyProtection="1">
      <alignment vertical="center"/>
      <protection locked="0"/>
    </xf>
    <xf numFmtId="0" fontId="1" fillId="0" borderId="13" xfId="0" applyFont="1" applyBorder="1" applyProtection="1">
      <protection locked="0"/>
    </xf>
    <xf numFmtId="0" fontId="1" fillId="0" borderId="25" xfId="0" applyFont="1" applyBorder="1" applyProtection="1">
      <protection locked="0"/>
    </xf>
    <xf numFmtId="0" fontId="2" fillId="0" borderId="0" xfId="0" applyFont="1" applyAlignment="1" applyProtection="1">
      <alignment vertical="center"/>
      <protection locked="0"/>
    </xf>
    <xf numFmtId="0" fontId="1" fillId="0" borderId="8" xfId="0" applyFont="1" applyBorder="1" applyProtection="1">
      <protection locked="0"/>
    </xf>
    <xf numFmtId="0" fontId="1" fillId="0" borderId="16" xfId="0" applyFont="1" applyBorder="1" applyProtection="1">
      <protection locked="0"/>
    </xf>
    <xf numFmtId="0" fontId="1" fillId="0" borderId="3" xfId="0" applyFont="1" applyBorder="1" applyProtection="1">
      <protection locked="0"/>
    </xf>
    <xf numFmtId="0" fontId="10" fillId="0" borderId="0" xfId="1" applyFont="1" applyAlignment="1" applyProtection="1">
      <alignment vertical="top"/>
      <protection locked="0"/>
    </xf>
    <xf numFmtId="0" fontId="8" fillId="0" borderId="0" xfId="1" applyFont="1" applyAlignment="1" applyProtection="1">
      <alignment vertical="top" wrapText="1"/>
      <protection locked="0"/>
    </xf>
    <xf numFmtId="0" fontId="6" fillId="0" borderId="0" xfId="1" applyFont="1" applyAlignment="1" applyProtection="1">
      <alignment horizontal="left" vertical="top" wrapText="1"/>
      <protection locked="0"/>
    </xf>
    <xf numFmtId="0" fontId="8" fillId="0" borderId="0" xfId="1" applyFont="1" applyProtection="1">
      <protection locked="0"/>
    </xf>
    <xf numFmtId="0" fontId="9" fillId="0" borderId="0" xfId="1" applyFont="1" applyProtection="1">
      <protection locked="0"/>
    </xf>
    <xf numFmtId="0" fontId="10" fillId="0" borderId="0" xfId="1" applyFont="1" applyAlignment="1" applyProtection="1">
      <alignment horizontal="left" vertical="center" wrapText="1"/>
      <protection locked="0"/>
    </xf>
    <xf numFmtId="0" fontId="6" fillId="0" borderId="0" xfId="1" applyFont="1" applyAlignment="1" applyProtection="1">
      <alignment horizontal="justify" vertical="center" wrapText="1"/>
      <protection locked="0"/>
    </xf>
    <xf numFmtId="0" fontId="6" fillId="0" borderId="0" xfId="1" applyFont="1" applyAlignment="1" applyProtection="1">
      <alignment vertical="top" wrapText="1"/>
      <protection locked="0"/>
    </xf>
    <xf numFmtId="0" fontId="68" fillId="0" borderId="0" xfId="0" applyFont="1" applyAlignment="1" applyProtection="1">
      <alignment horizontal="center" vertical="top" wrapText="1"/>
      <protection locked="0"/>
    </xf>
    <xf numFmtId="0" fontId="66" fillId="0" borderId="0" xfId="0" applyFont="1" applyProtection="1">
      <protection locked="0"/>
    </xf>
    <xf numFmtId="0" fontId="65" fillId="0" borderId="0" xfId="1" applyFont="1" applyAlignment="1" applyProtection="1">
      <alignment horizontal="justify" vertical="top" wrapText="1"/>
      <protection locked="0"/>
    </xf>
    <xf numFmtId="0" fontId="64" fillId="0" borderId="0" xfId="1" applyFont="1" applyAlignment="1" applyProtection="1">
      <alignment horizontal="center" vertical="center" wrapText="1"/>
      <protection locked="0"/>
    </xf>
    <xf numFmtId="0" fontId="0" fillId="0" borderId="0" xfId="0" applyAlignment="1">
      <alignment horizontal="left" vertical="center" wrapText="1"/>
    </xf>
    <xf numFmtId="0" fontId="64" fillId="0" borderId="0" xfId="0" applyFont="1" applyAlignment="1" applyProtection="1">
      <alignment horizontal="left" vertical="top"/>
      <protection locked="0"/>
    </xf>
    <xf numFmtId="0" fontId="65" fillId="0" borderId="0" xfId="0" applyFont="1" applyAlignment="1" applyProtection="1">
      <alignment horizontal="center" vertical="top"/>
      <protection locked="0"/>
    </xf>
    <xf numFmtId="0" fontId="0" fillId="0" borderId="0" xfId="0" applyAlignment="1">
      <alignment vertical="center"/>
    </xf>
    <xf numFmtId="0" fontId="69" fillId="0" borderId="0" xfId="0" applyFont="1" applyAlignment="1">
      <alignment horizontal="center" vertical="center"/>
    </xf>
    <xf numFmtId="0" fontId="0" fillId="0" borderId="0" xfId="0" applyAlignment="1">
      <alignment horizontal="center" vertical="center" wrapText="1"/>
    </xf>
    <xf numFmtId="0" fontId="25" fillId="0" borderId="0" xfId="0" applyFont="1" applyAlignment="1">
      <alignment vertical="center"/>
    </xf>
    <xf numFmtId="0" fontId="25" fillId="0" borderId="0" xfId="0" applyFont="1" applyAlignment="1" applyProtection="1">
      <alignment horizontal="left" vertical="center"/>
      <protection locked="0"/>
    </xf>
    <xf numFmtId="0" fontId="25" fillId="0" borderId="0" xfId="0" applyFont="1" applyAlignment="1">
      <alignment horizontal="center" vertical="center"/>
    </xf>
    <xf numFmtId="0" fontId="25" fillId="12" borderId="0" xfId="0" applyFont="1" applyFill="1" applyAlignment="1">
      <alignment vertical="center"/>
    </xf>
    <xf numFmtId="0" fontId="25" fillId="0" borderId="0" xfId="0" applyFont="1" applyAlignment="1">
      <alignment horizontal="center" vertical="center" wrapText="1"/>
    </xf>
    <xf numFmtId="0" fontId="25" fillId="0" borderId="0" xfId="0" applyFont="1" applyAlignment="1">
      <alignment vertical="center" wrapText="1"/>
    </xf>
    <xf numFmtId="0" fontId="60" fillId="0" borderId="0" xfId="0" applyFont="1" applyAlignment="1">
      <alignment horizontal="center" vertical="center"/>
    </xf>
    <xf numFmtId="0" fontId="64" fillId="0" borderId="100" xfId="0" applyFont="1" applyBorder="1" applyAlignment="1" applyProtection="1">
      <alignment horizontal="left" vertical="top"/>
      <protection locked="0"/>
    </xf>
    <xf numFmtId="0" fontId="0" fillId="0" borderId="14" xfId="0" applyBorder="1"/>
    <xf numFmtId="0" fontId="0" fillId="0" borderId="15" xfId="0" applyBorder="1"/>
    <xf numFmtId="0" fontId="0" fillId="12" borderId="0" xfId="0" applyFill="1" applyAlignment="1">
      <alignment vertical="center" wrapText="1"/>
    </xf>
    <xf numFmtId="0" fontId="25" fillId="12" borderId="0" xfId="0" applyFont="1" applyFill="1" applyAlignment="1">
      <alignment vertical="center" wrapText="1"/>
    </xf>
    <xf numFmtId="0" fontId="67" fillId="12" borderId="0" xfId="0" applyFont="1" applyFill="1" applyAlignment="1">
      <alignment horizontal="center" vertical="top" wrapText="1"/>
    </xf>
    <xf numFmtId="0" fontId="75" fillId="12" borderId="0" xfId="1" applyFont="1" applyFill="1" applyAlignment="1">
      <alignment horizontal="center" vertical="top" wrapText="1"/>
    </xf>
    <xf numFmtId="0" fontId="25" fillId="0" borderId="118" xfId="0" applyFont="1" applyBorder="1" applyAlignment="1">
      <alignment vertical="center" wrapText="1"/>
    </xf>
    <xf numFmtId="0" fontId="0" fillId="0" borderId="118" xfId="0" applyBorder="1"/>
    <xf numFmtId="0" fontId="60" fillId="0" borderId="118" xfId="0" applyFont="1" applyBorder="1" applyAlignment="1">
      <alignment vertical="center"/>
    </xf>
    <xf numFmtId="0" fontId="60" fillId="12" borderId="118" xfId="0" applyFont="1" applyFill="1" applyBorder="1" applyAlignment="1">
      <alignment vertical="center"/>
    </xf>
    <xf numFmtId="0" fontId="64" fillId="17" borderId="64" xfId="1" applyFont="1" applyFill="1" applyBorder="1" applyAlignment="1">
      <alignment horizontal="center" vertical="center"/>
    </xf>
    <xf numFmtId="0" fontId="64" fillId="17" borderId="119" xfId="1" applyFont="1" applyFill="1" applyBorder="1" applyAlignment="1">
      <alignment horizontal="center" vertical="center" wrapText="1"/>
    </xf>
    <xf numFmtId="0" fontId="77" fillId="0" borderId="54" xfId="1" applyFont="1" applyBorder="1" applyAlignment="1" applyProtection="1">
      <alignment horizontal="center" vertical="center"/>
      <protection locked="0"/>
    </xf>
    <xf numFmtId="0" fontId="77" fillId="0" borderId="54" xfId="1" applyFont="1" applyBorder="1" applyAlignment="1" applyProtection="1">
      <alignment horizontal="left" vertical="center"/>
      <protection locked="0"/>
    </xf>
    <xf numFmtId="0" fontId="77" fillId="0" borderId="0" xfId="1" applyFont="1" applyAlignment="1" applyProtection="1">
      <alignment horizontal="left" vertical="center"/>
      <protection locked="0"/>
    </xf>
    <xf numFmtId="0" fontId="77" fillId="0" borderId="59" xfId="1" applyFont="1" applyBorder="1" applyAlignment="1" applyProtection="1">
      <alignment horizontal="center" vertical="center"/>
      <protection locked="0"/>
    </xf>
    <xf numFmtId="0" fontId="77" fillId="0" borderId="59" xfId="1" applyFont="1" applyBorder="1" applyAlignment="1" applyProtection="1">
      <alignment horizontal="left" vertical="center" wrapText="1"/>
      <protection locked="0"/>
    </xf>
    <xf numFmtId="0" fontId="60" fillId="0" borderId="0" xfId="0" applyFont="1" applyProtection="1">
      <protection locked="0"/>
    </xf>
    <xf numFmtId="0" fontId="0" fillId="18" borderId="107" xfId="0" applyFill="1" applyBorder="1" applyProtection="1">
      <protection locked="0"/>
    </xf>
    <xf numFmtId="0" fontId="1" fillId="18" borderId="108" xfId="0" applyFont="1" applyFill="1" applyBorder="1" applyProtection="1">
      <protection locked="0"/>
    </xf>
    <xf numFmtId="0" fontId="0" fillId="18" borderId="108" xfId="0" applyFill="1" applyBorder="1" applyProtection="1">
      <protection locked="0"/>
    </xf>
    <xf numFmtId="0" fontId="0" fillId="18" borderId="109" xfId="0" applyFill="1" applyBorder="1" applyProtection="1">
      <protection locked="0"/>
    </xf>
    <xf numFmtId="0" fontId="64" fillId="0" borderId="108" xfId="0" applyFont="1" applyBorder="1" applyAlignment="1" applyProtection="1">
      <alignment horizontal="left" vertical="top"/>
      <protection locked="0"/>
    </xf>
    <xf numFmtId="0" fontId="65" fillId="0" borderId="108" xfId="0" applyFont="1" applyBorder="1" applyAlignment="1" applyProtection="1">
      <alignment vertical="top"/>
      <protection locked="0"/>
    </xf>
    <xf numFmtId="0" fontId="0" fillId="0" borderId="110" xfId="0" applyBorder="1" applyProtection="1">
      <protection locked="0"/>
    </xf>
    <xf numFmtId="0" fontId="66" fillId="0" borderId="111" xfId="0" applyFont="1" applyBorder="1" applyProtection="1">
      <protection locked="0"/>
    </xf>
    <xf numFmtId="0" fontId="66" fillId="0" borderId="112" xfId="0" applyFont="1" applyBorder="1" applyProtection="1">
      <protection locked="0"/>
    </xf>
    <xf numFmtId="0" fontId="64" fillId="0" borderId="100" xfId="0" applyFont="1" applyBorder="1" applyAlignment="1" applyProtection="1">
      <alignment horizontal="right" vertical="top"/>
      <protection locked="0"/>
    </xf>
    <xf numFmtId="0" fontId="64" fillId="0" borderId="117" xfId="0" applyFont="1" applyBorder="1" applyAlignment="1" applyProtection="1">
      <alignment horizontal="left" vertical="top"/>
      <protection locked="0"/>
    </xf>
    <xf numFmtId="0" fontId="29" fillId="0" borderId="0" xfId="0" applyFont="1" applyAlignment="1" applyProtection="1">
      <alignment horizontal="left" vertical="top"/>
      <protection locked="0"/>
    </xf>
    <xf numFmtId="0" fontId="29" fillId="0" borderId="0" xfId="0" applyFont="1" applyAlignment="1">
      <alignment vertical="top"/>
    </xf>
    <xf numFmtId="0" fontId="29" fillId="0" borderId="0" xfId="0" applyFont="1" applyAlignment="1" applyProtection="1">
      <alignment vertical="top"/>
      <protection locked="0"/>
    </xf>
    <xf numFmtId="0" fontId="25" fillId="0" borderId="0" xfId="0" quotePrefix="1" applyFont="1" applyAlignment="1">
      <alignment horizontal="left" vertical="top"/>
    </xf>
    <xf numFmtId="0" fontId="29" fillId="0" borderId="0" xfId="0" applyFont="1" applyAlignment="1">
      <alignment horizontal="left" vertical="top"/>
    </xf>
    <xf numFmtId="0" fontId="70" fillId="0" borderId="0" xfId="1" applyFont="1" applyAlignment="1">
      <alignment vertical="top" wrapText="1"/>
    </xf>
    <xf numFmtId="0" fontId="70" fillId="0" borderId="0" xfId="1" applyFont="1" applyAlignment="1" applyProtection="1">
      <alignment vertical="top" wrapText="1"/>
      <protection locked="0"/>
    </xf>
    <xf numFmtId="0" fontId="68" fillId="0" borderId="0" xfId="1" applyFont="1" applyAlignment="1">
      <alignment vertical="top" wrapText="1"/>
    </xf>
    <xf numFmtId="0" fontId="70" fillId="0" borderId="0" xfId="1" applyFont="1" applyAlignment="1" applyProtection="1">
      <alignment horizontal="left" vertical="top" wrapText="1"/>
      <protection locked="0"/>
    </xf>
    <xf numFmtId="0" fontId="29" fillId="0" borderId="0" xfId="0" applyFont="1" applyAlignment="1" applyProtection="1">
      <alignment horizontal="left"/>
      <protection locked="0"/>
    </xf>
    <xf numFmtId="0" fontId="29" fillId="0" borderId="0" xfId="0" applyFont="1" applyAlignment="1">
      <alignment horizontal="left"/>
    </xf>
    <xf numFmtId="0" fontId="29" fillId="0" borderId="0" xfId="0" applyFont="1"/>
    <xf numFmtId="0" fontId="70" fillId="0" borderId="0" xfId="1" applyFont="1" applyAlignment="1">
      <alignment horizontal="left" vertical="top"/>
    </xf>
    <xf numFmtId="0" fontId="29" fillId="0" borderId="0" xfId="0" applyFont="1" applyProtection="1">
      <protection locked="0"/>
    </xf>
    <xf numFmtId="0" fontId="81" fillId="0" borderId="0" xfId="0" applyFont="1" applyProtection="1">
      <protection locked="0"/>
    </xf>
    <xf numFmtId="0" fontId="81" fillId="0" borderId="0" xfId="0" applyFont="1"/>
    <xf numFmtId="0" fontId="81" fillId="0" borderId="0" xfId="0" applyFont="1" applyAlignment="1">
      <alignment vertical="center"/>
    </xf>
    <xf numFmtId="0" fontId="81" fillId="0" borderId="0" xfId="0" applyFont="1" applyAlignment="1">
      <alignment horizontal="left" vertical="center"/>
    </xf>
    <xf numFmtId="0" fontId="81" fillId="0" borderId="0" xfId="0" applyFont="1" applyAlignment="1">
      <alignment vertical="top" wrapText="1"/>
    </xf>
    <xf numFmtId="0" fontId="0" fillId="0" borderId="0" xfId="0" applyAlignment="1">
      <alignment horizontal="left" vertical="center"/>
    </xf>
    <xf numFmtId="0" fontId="0" fillId="0" borderId="13" xfId="0" applyBorder="1" applyAlignment="1">
      <alignment vertical="center"/>
    </xf>
    <xf numFmtId="0" fontId="0" fillId="0" borderId="25" xfId="0" applyBorder="1" applyAlignment="1">
      <alignment horizontal="left" vertical="center"/>
    </xf>
    <xf numFmtId="0" fontId="0" fillId="0" borderId="25" xfId="0" applyBorder="1" applyAlignment="1">
      <alignment vertical="center"/>
    </xf>
    <xf numFmtId="0" fontId="0" fillId="0" borderId="8" xfId="0" applyBorder="1" applyAlignment="1">
      <alignment vertical="center"/>
    </xf>
    <xf numFmtId="0" fontId="83" fillId="0" borderId="8" xfId="0" applyFont="1" applyBorder="1" applyAlignment="1">
      <alignment vertical="center"/>
    </xf>
    <xf numFmtId="0" fontId="83" fillId="0" borderId="0" xfId="0" applyFont="1" applyAlignment="1">
      <alignment horizontal="left" vertical="center"/>
    </xf>
    <xf numFmtId="0" fontId="83" fillId="0" borderId="0" xfId="0" applyFont="1" applyAlignment="1">
      <alignment vertical="center"/>
    </xf>
    <xf numFmtId="0" fontId="84" fillId="0" borderId="8" xfId="0" applyFont="1" applyBorder="1" applyAlignment="1">
      <alignment vertical="center"/>
    </xf>
    <xf numFmtId="0" fontId="84" fillId="0" borderId="0" xfId="0" applyFont="1" applyAlignment="1">
      <alignment horizontal="left" vertical="center"/>
    </xf>
    <xf numFmtId="0" fontId="84" fillId="0" borderId="0" xfId="0" applyFont="1" applyAlignment="1">
      <alignment vertical="center"/>
    </xf>
    <xf numFmtId="0" fontId="81" fillId="0" borderId="8" xfId="0" applyFont="1" applyBorder="1" applyAlignment="1">
      <alignment horizontal="center" vertical="center"/>
    </xf>
    <xf numFmtId="0" fontId="81" fillId="0" borderId="8" xfId="0" applyFont="1" applyBorder="1" applyAlignment="1">
      <alignment vertical="center"/>
    </xf>
    <xf numFmtId="0" fontId="81" fillId="0" borderId="15" xfId="0" applyFont="1" applyBorder="1" applyAlignment="1">
      <alignment vertical="top" wrapText="1"/>
    </xf>
    <xf numFmtId="0" fontId="83" fillId="0" borderId="8" xfId="0" applyFont="1" applyBorder="1" applyAlignment="1">
      <alignment horizontal="left" vertical="center"/>
    </xf>
    <xf numFmtId="0" fontId="85" fillId="0" borderId="0" xfId="0" applyFont="1" applyAlignment="1">
      <alignment vertical="center"/>
    </xf>
    <xf numFmtId="0" fontId="85" fillId="0" borderId="15" xfId="0" applyFont="1" applyBorder="1" applyAlignment="1">
      <alignment vertical="center"/>
    </xf>
    <xf numFmtId="0" fontId="81" fillId="0" borderId="15" xfId="0" applyFont="1" applyBorder="1"/>
    <xf numFmtId="0" fontId="85" fillId="0" borderId="0" xfId="0" applyFont="1" applyAlignment="1">
      <alignment horizontal="left" vertical="center"/>
    </xf>
    <xf numFmtId="0" fontId="81" fillId="0" borderId="16" xfId="0" applyFont="1" applyBorder="1" applyAlignment="1">
      <alignment vertical="center"/>
    </xf>
    <xf numFmtId="0" fontId="81" fillId="0" borderId="3" xfId="0" applyFont="1" applyBorder="1" applyAlignment="1">
      <alignment horizontal="left" vertical="center"/>
    </xf>
    <xf numFmtId="0" fontId="85" fillId="0" borderId="3" xfId="0" applyFont="1" applyBorder="1" applyAlignment="1">
      <alignment horizontal="left" vertical="center"/>
    </xf>
    <xf numFmtId="0" fontId="86" fillId="0" borderId="3" xfId="0" applyFont="1" applyBorder="1" applyAlignment="1">
      <alignment vertical="center"/>
    </xf>
    <xf numFmtId="0" fontId="81" fillId="0" borderId="17" xfId="0" applyFont="1" applyBorder="1"/>
    <xf numFmtId="0" fontId="25" fillId="0" borderId="0" xfId="0" applyFont="1" applyAlignment="1" applyProtection="1">
      <alignment horizontal="center" vertical="center"/>
      <protection locked="0"/>
    </xf>
    <xf numFmtId="0" fontId="0" fillId="19" borderId="0" xfId="0" applyFill="1" applyAlignment="1">
      <alignment vertical="center"/>
    </xf>
    <xf numFmtId="0" fontId="69" fillId="19" borderId="0" xfId="0" applyFont="1" applyFill="1" applyAlignment="1">
      <alignment horizontal="center" vertical="center"/>
    </xf>
    <xf numFmtId="0" fontId="1" fillId="19" borderId="0" xfId="0" applyFont="1" applyFill="1" applyAlignment="1">
      <alignment vertical="center"/>
    </xf>
    <xf numFmtId="0" fontId="1" fillId="20" borderId="0" xfId="0" applyFont="1" applyFill="1" applyAlignment="1">
      <alignment vertical="center"/>
    </xf>
    <xf numFmtId="0" fontId="0" fillId="19" borderId="0" xfId="0" applyFill="1" applyAlignment="1">
      <alignment horizontal="center" vertical="center" wrapText="1"/>
    </xf>
    <xf numFmtId="0" fontId="0" fillId="19" borderId="0" xfId="0" applyFill="1" applyAlignment="1">
      <alignment vertical="center" wrapText="1"/>
    </xf>
    <xf numFmtId="0" fontId="0" fillId="20" borderId="0" xfId="0" applyFill="1" applyAlignment="1">
      <alignment vertical="center" wrapText="1"/>
    </xf>
    <xf numFmtId="0" fontId="25" fillId="19" borderId="0" xfId="0" applyFont="1" applyFill="1" applyAlignment="1">
      <alignment vertical="center"/>
    </xf>
    <xf numFmtId="0" fontId="25" fillId="19" borderId="0" xfId="0" applyFont="1" applyFill="1" applyAlignment="1" applyProtection="1">
      <alignment horizontal="center" vertical="center"/>
      <protection locked="0"/>
    </xf>
    <xf numFmtId="0" fontId="25" fillId="19" borderId="0" xfId="0" applyFont="1" applyFill="1" applyAlignment="1" applyProtection="1">
      <alignment horizontal="left" vertical="center"/>
      <protection locked="0"/>
    </xf>
    <xf numFmtId="0" fontId="25" fillId="19" borderId="0" xfId="0" applyFont="1" applyFill="1" applyAlignment="1">
      <alignment horizontal="center" vertical="center"/>
    </xf>
    <xf numFmtId="0" fontId="25" fillId="20" borderId="0" xfId="0" applyFont="1" applyFill="1" applyAlignment="1">
      <alignment vertical="center"/>
    </xf>
    <xf numFmtId="0" fontId="25" fillId="19" borderId="0" xfId="0" applyFont="1" applyFill="1" applyAlignment="1">
      <alignment horizontal="center" vertical="center" wrapText="1"/>
    </xf>
    <xf numFmtId="0" fontId="25" fillId="19" borderId="0" xfId="0" applyFont="1" applyFill="1" applyAlignment="1">
      <alignment vertical="center" wrapText="1"/>
    </xf>
    <xf numFmtId="0" fontId="25" fillId="20" borderId="0" xfId="0" applyFont="1" applyFill="1" applyAlignment="1">
      <alignment vertical="center" wrapText="1"/>
    </xf>
    <xf numFmtId="0" fontId="25" fillId="19" borderId="118" xfId="0" applyFont="1" applyFill="1" applyBorder="1" applyAlignment="1">
      <alignment vertical="center" wrapText="1"/>
    </xf>
    <xf numFmtId="0" fontId="0" fillId="19" borderId="0" xfId="0" applyFill="1"/>
    <xf numFmtId="0" fontId="1" fillId="19" borderId="13" xfId="0" applyFont="1" applyFill="1" applyBorder="1"/>
    <xf numFmtId="0" fontId="1" fillId="19" borderId="25" xfId="0" applyFont="1" applyFill="1" applyBorder="1"/>
    <xf numFmtId="0" fontId="0" fillId="19" borderId="25" xfId="0" applyFill="1" applyBorder="1" applyProtection="1">
      <protection locked="0"/>
    </xf>
    <xf numFmtId="0" fontId="0" fillId="19" borderId="14" xfId="0" applyFill="1" applyBorder="1"/>
    <xf numFmtId="0" fontId="0" fillId="19" borderId="0" xfId="0" applyFill="1" applyAlignment="1">
      <alignment horizontal="left" vertical="center" wrapText="1"/>
    </xf>
    <xf numFmtId="0" fontId="62" fillId="20" borderId="0" xfId="0" applyFont="1" applyFill="1" applyAlignment="1">
      <alignment vertical="center" wrapText="1"/>
    </xf>
    <xf numFmtId="0" fontId="0" fillId="20" borderId="0" xfId="0" applyFill="1"/>
    <xf numFmtId="0" fontId="0" fillId="19" borderId="118" xfId="0" applyFill="1" applyBorder="1"/>
    <xf numFmtId="0" fontId="1" fillId="19" borderId="8" xfId="0" applyFont="1" applyFill="1" applyBorder="1"/>
    <xf numFmtId="0" fontId="1" fillId="19" borderId="0" xfId="0" applyFont="1" applyFill="1"/>
    <xf numFmtId="0" fontId="0" fillId="19" borderId="0" xfId="0" applyFill="1" applyProtection="1">
      <protection locked="0"/>
    </xf>
    <xf numFmtId="0" fontId="0" fillId="19" borderId="15" xfId="0" applyFill="1" applyBorder="1"/>
    <xf numFmtId="0" fontId="63" fillId="20" borderId="0" xfId="0" applyFont="1" applyFill="1" applyAlignment="1">
      <alignment vertical="center"/>
    </xf>
    <xf numFmtId="0" fontId="1" fillId="19" borderId="16" xfId="0" applyFont="1" applyFill="1" applyBorder="1"/>
    <xf numFmtId="0" fontId="1" fillId="19" borderId="3" xfId="0" applyFont="1" applyFill="1" applyBorder="1"/>
    <xf numFmtId="0" fontId="0" fillId="19" borderId="3" xfId="0" applyFill="1" applyBorder="1" applyProtection="1">
      <protection locked="0"/>
    </xf>
    <xf numFmtId="0" fontId="0" fillId="19" borderId="17" xfId="0" applyFill="1" applyBorder="1"/>
    <xf numFmtId="0" fontId="63" fillId="20" borderId="0" xfId="0" applyFont="1" applyFill="1" applyAlignment="1">
      <alignment horizontal="center" vertical="center"/>
    </xf>
    <xf numFmtId="0" fontId="67" fillId="20" borderId="0" xfId="0" applyFont="1" applyFill="1" applyAlignment="1">
      <alignment horizontal="center" vertical="top" wrapText="1"/>
    </xf>
    <xf numFmtId="0" fontId="60" fillId="19" borderId="0" xfId="0" applyFont="1" applyFill="1" applyAlignment="1">
      <alignment vertical="center"/>
    </xf>
    <xf numFmtId="0" fontId="74" fillId="20" borderId="0" xfId="1" applyFont="1" applyFill="1" applyAlignment="1">
      <alignment horizontal="center" vertical="center" wrapText="1"/>
    </xf>
    <xf numFmtId="0" fontId="75" fillId="20" borderId="0" xfId="1" applyFont="1" applyFill="1" applyAlignment="1">
      <alignment horizontal="center" vertical="top" wrapText="1"/>
    </xf>
    <xf numFmtId="0" fontId="60" fillId="19" borderId="118" xfId="0" applyFont="1" applyFill="1" applyBorder="1" applyAlignment="1">
      <alignment vertical="center"/>
    </xf>
    <xf numFmtId="0" fontId="75" fillId="22" borderId="87" xfId="1" applyFont="1" applyFill="1" applyBorder="1" applyAlignment="1">
      <alignment horizontal="center" vertical="center" wrapText="1"/>
    </xf>
    <xf numFmtId="0" fontId="75" fillId="22" borderId="88" xfId="1" applyFont="1" applyFill="1" applyBorder="1" applyAlignment="1">
      <alignment horizontal="center" vertical="center" wrapText="1"/>
    </xf>
    <xf numFmtId="0" fontId="60" fillId="20" borderId="69" xfId="0" applyFont="1" applyFill="1" applyBorder="1" applyAlignment="1">
      <alignment horizontal="center" vertical="center"/>
    </xf>
    <xf numFmtId="9" fontId="60" fillId="19" borderId="70" xfId="0" applyNumberFormat="1" applyFont="1" applyFill="1" applyBorder="1" applyAlignment="1" applyProtection="1">
      <alignment vertical="center" wrapText="1"/>
      <protection locked="0"/>
    </xf>
    <xf numFmtId="0" fontId="76" fillId="19" borderId="56" xfId="0" applyFont="1" applyFill="1" applyBorder="1" applyAlignment="1">
      <alignment horizontal="center" vertical="center" wrapText="1"/>
    </xf>
    <xf numFmtId="0" fontId="76" fillId="19" borderId="71" xfId="0" applyFont="1" applyFill="1" applyBorder="1" applyAlignment="1">
      <alignment horizontal="center" vertical="center" wrapText="1"/>
    </xf>
    <xf numFmtId="0" fontId="60" fillId="19" borderId="72" xfId="0" applyFont="1" applyFill="1" applyBorder="1" applyAlignment="1">
      <alignment vertical="center" wrapText="1"/>
    </xf>
    <xf numFmtId="0" fontId="60" fillId="19" borderId="55" xfId="0" applyFont="1" applyFill="1" applyBorder="1" applyAlignment="1">
      <alignment vertical="center"/>
    </xf>
    <xf numFmtId="9" fontId="77" fillId="19" borderId="56" xfId="0" applyNumberFormat="1" applyFont="1" applyFill="1" applyBorder="1" applyAlignment="1">
      <alignment horizontal="center" vertical="center"/>
    </xf>
    <xf numFmtId="0" fontId="77" fillId="19" borderId="56" xfId="0" applyFont="1" applyFill="1" applyBorder="1" applyAlignment="1">
      <alignment horizontal="center" vertical="center"/>
    </xf>
    <xf numFmtId="9" fontId="77" fillId="19" borderId="56" xfId="0" applyNumberFormat="1" applyFont="1" applyFill="1" applyBorder="1" applyAlignment="1" applyProtection="1">
      <alignment horizontal="center" vertical="center" wrapText="1"/>
      <protection locked="0"/>
    </xf>
    <xf numFmtId="0" fontId="77" fillId="19" borderId="56" xfId="0" applyFont="1" applyFill="1" applyBorder="1" applyAlignment="1" applyProtection="1">
      <alignment horizontal="center" vertical="center" wrapText="1"/>
      <protection locked="0"/>
    </xf>
    <xf numFmtId="0" fontId="60" fillId="19" borderId="56" xfId="0" applyFont="1" applyFill="1" applyBorder="1" applyAlignment="1">
      <alignment vertical="center" wrapText="1"/>
    </xf>
    <xf numFmtId="0" fontId="60" fillId="19" borderId="56" xfId="0" applyFont="1" applyFill="1" applyBorder="1" applyAlignment="1">
      <alignment horizontal="center" vertical="center" wrapText="1"/>
    </xf>
    <xf numFmtId="0" fontId="60" fillId="19" borderId="56" xfId="0" applyFont="1" applyFill="1" applyBorder="1" applyAlignment="1">
      <alignment vertical="center"/>
    </xf>
    <xf numFmtId="0" fontId="60" fillId="20" borderId="0" xfId="0" applyFont="1" applyFill="1" applyAlignment="1">
      <alignment vertical="center"/>
    </xf>
    <xf numFmtId="0" fontId="60" fillId="20" borderId="57" xfId="0" applyFont="1" applyFill="1" applyBorder="1" applyAlignment="1">
      <alignment horizontal="center" vertical="center"/>
    </xf>
    <xf numFmtId="9" fontId="60" fillId="19" borderId="58" xfId="0" applyNumberFormat="1" applyFont="1" applyFill="1" applyBorder="1" applyAlignment="1" applyProtection="1">
      <alignment horizontal="left" vertical="center" wrapText="1"/>
      <protection locked="0"/>
    </xf>
    <xf numFmtId="9" fontId="78" fillId="19" borderId="59" xfId="0" applyNumberFormat="1" applyFont="1" applyFill="1" applyBorder="1" applyAlignment="1" applyProtection="1">
      <alignment horizontal="center" vertical="center" wrapText="1"/>
      <protection locked="0"/>
    </xf>
    <xf numFmtId="9" fontId="78" fillId="19" borderId="57" xfId="0" applyNumberFormat="1" applyFont="1" applyFill="1" applyBorder="1" applyAlignment="1" applyProtection="1">
      <alignment horizontal="center" vertical="center" wrapText="1"/>
      <protection locked="0"/>
    </xf>
    <xf numFmtId="9" fontId="60" fillId="20" borderId="58" xfId="0" applyNumberFormat="1" applyFont="1" applyFill="1" applyBorder="1" applyAlignment="1" applyProtection="1">
      <alignment horizontal="left" vertical="center" wrapText="1"/>
      <protection locked="0"/>
    </xf>
    <xf numFmtId="9" fontId="60" fillId="19" borderId="55" xfId="0" applyNumberFormat="1" applyFont="1" applyFill="1" applyBorder="1" applyAlignment="1" applyProtection="1">
      <alignment horizontal="left" vertical="center" wrapText="1"/>
      <protection locked="0"/>
    </xf>
    <xf numFmtId="9" fontId="77" fillId="20" borderId="59" xfId="0" applyNumberFormat="1" applyFont="1" applyFill="1" applyBorder="1" applyAlignment="1" applyProtection="1">
      <alignment horizontal="center" vertical="center" wrapText="1"/>
      <protection locked="0"/>
    </xf>
    <xf numFmtId="9" fontId="77" fillId="19" borderId="59" xfId="0" applyNumberFormat="1" applyFont="1" applyFill="1" applyBorder="1" applyAlignment="1">
      <alignment horizontal="center" vertical="center"/>
    </xf>
    <xf numFmtId="9" fontId="77" fillId="19" borderId="59" xfId="0" applyNumberFormat="1" applyFont="1" applyFill="1" applyBorder="1" applyAlignment="1" applyProtection="1">
      <alignment horizontal="center" vertical="center" wrapText="1"/>
      <protection locked="0"/>
    </xf>
    <xf numFmtId="9" fontId="77" fillId="19" borderId="59" xfId="3" applyFont="1" applyFill="1" applyBorder="1" applyAlignment="1" applyProtection="1">
      <alignment horizontal="center" vertical="center" wrapText="1"/>
      <protection locked="0"/>
    </xf>
    <xf numFmtId="9" fontId="60" fillId="20" borderId="59" xfId="0" applyNumberFormat="1" applyFont="1" applyFill="1" applyBorder="1" applyAlignment="1" applyProtection="1">
      <alignment horizontal="left" vertical="center" wrapText="1"/>
      <protection locked="0"/>
    </xf>
    <xf numFmtId="0" fontId="60" fillId="19" borderId="59" xfId="0" applyFont="1" applyFill="1" applyBorder="1" applyAlignment="1">
      <alignment vertical="center" wrapText="1"/>
    </xf>
    <xf numFmtId="0" fontId="60" fillId="19" borderId="59" xfId="0" applyFont="1" applyFill="1" applyBorder="1" applyAlignment="1">
      <alignment horizontal="center" vertical="center" wrapText="1"/>
    </xf>
    <xf numFmtId="0" fontId="60" fillId="19" borderId="59" xfId="0" applyFont="1" applyFill="1" applyBorder="1" applyAlignment="1">
      <alignment vertical="center"/>
    </xf>
    <xf numFmtId="0" fontId="79" fillId="19" borderId="59" xfId="0" applyFont="1" applyFill="1" applyBorder="1" applyAlignment="1">
      <alignment horizontal="center" vertical="center" wrapText="1"/>
    </xf>
    <xf numFmtId="0" fontId="79" fillId="19" borderId="57" xfId="0" applyFont="1" applyFill="1" applyBorder="1" applyAlignment="1">
      <alignment horizontal="center" vertical="center" wrapText="1"/>
    </xf>
    <xf numFmtId="0" fontId="60" fillId="19" borderId="58" xfId="4" applyNumberFormat="1" applyFont="1" applyFill="1" applyBorder="1" applyAlignment="1" applyProtection="1">
      <alignment horizontal="left" vertical="center" wrapText="1"/>
      <protection locked="0"/>
    </xf>
    <xf numFmtId="0" fontId="60" fillId="19" borderId="55" xfId="4" applyNumberFormat="1" applyFont="1" applyFill="1" applyBorder="1" applyAlignment="1" applyProtection="1">
      <alignment horizontal="left" vertical="center" wrapText="1"/>
      <protection locked="0"/>
    </xf>
    <xf numFmtId="9" fontId="60" fillId="19" borderId="59" xfId="0" applyNumberFormat="1" applyFont="1" applyFill="1" applyBorder="1" applyAlignment="1">
      <alignment horizontal="left" vertical="center" wrapText="1"/>
    </xf>
    <xf numFmtId="9" fontId="60" fillId="19" borderId="59" xfId="0" applyNumberFormat="1" applyFont="1" applyFill="1" applyBorder="1" applyAlignment="1">
      <alignment horizontal="center" vertical="center" wrapText="1"/>
    </xf>
    <xf numFmtId="9" fontId="60" fillId="19" borderId="58" xfId="0" applyNumberFormat="1" applyFont="1" applyFill="1" applyBorder="1" applyAlignment="1" applyProtection="1">
      <alignment vertical="center" wrapText="1"/>
      <protection locked="0"/>
    </xf>
    <xf numFmtId="9" fontId="80" fillId="20" borderId="59" xfId="0" applyNumberFormat="1" applyFont="1" applyFill="1" applyBorder="1" applyAlignment="1" applyProtection="1">
      <alignment horizontal="center" vertical="center" wrapText="1"/>
      <protection locked="0"/>
    </xf>
    <xf numFmtId="9" fontId="80" fillId="20" borderId="57" xfId="0" applyNumberFormat="1" applyFont="1" applyFill="1" applyBorder="1" applyAlignment="1" applyProtection="1">
      <alignment horizontal="center" vertical="center" wrapText="1"/>
      <protection locked="0"/>
    </xf>
    <xf numFmtId="0" fontId="60" fillId="19" borderId="58" xfId="0" applyFont="1" applyFill="1" applyBorder="1" applyAlignment="1">
      <alignment vertical="center" wrapText="1"/>
    </xf>
    <xf numFmtId="0" fontId="60" fillId="19" borderId="55" xfId="0" applyFont="1" applyFill="1" applyBorder="1" applyAlignment="1">
      <alignment vertical="center" wrapText="1"/>
    </xf>
    <xf numFmtId="9" fontId="77" fillId="19" borderId="59" xfId="0" applyNumberFormat="1" applyFont="1" applyFill="1" applyBorder="1" applyAlignment="1">
      <alignment horizontal="center" vertical="center" wrapText="1"/>
    </xf>
    <xf numFmtId="0" fontId="77" fillId="19" borderId="59" xfId="0" applyFont="1" applyFill="1" applyBorder="1" applyAlignment="1" applyProtection="1">
      <alignment horizontal="center" vertical="center" wrapText="1"/>
      <protection locked="0"/>
    </xf>
    <xf numFmtId="0" fontId="77" fillId="19" borderId="59" xfId="0" applyFont="1" applyFill="1" applyBorder="1" applyAlignment="1">
      <alignment horizontal="center" vertical="center"/>
    </xf>
    <xf numFmtId="0" fontId="59" fillId="19" borderId="0" xfId="0" applyFont="1" applyFill="1" applyAlignment="1">
      <alignment vertical="center"/>
    </xf>
    <xf numFmtId="0" fontId="60" fillId="19" borderId="0" xfId="0" applyFont="1" applyFill="1" applyAlignment="1">
      <alignment horizontal="left" vertical="center"/>
    </xf>
    <xf numFmtId="0" fontId="60" fillId="19" borderId="0" xfId="0" applyFont="1" applyFill="1" applyAlignment="1">
      <alignment horizontal="center" vertical="center"/>
    </xf>
    <xf numFmtId="9" fontId="74" fillId="24" borderId="0" xfId="0" applyNumberFormat="1" applyFont="1" applyFill="1" applyAlignment="1">
      <alignment horizontal="center" vertical="center"/>
    </xf>
    <xf numFmtId="0" fontId="60" fillId="20" borderId="118" xfId="0" applyFont="1" applyFill="1" applyBorder="1" applyAlignment="1">
      <alignment vertical="center"/>
    </xf>
    <xf numFmtId="0" fontId="0" fillId="20" borderId="0" xfId="0" applyFill="1" applyAlignment="1">
      <alignment vertical="center"/>
    </xf>
    <xf numFmtId="9" fontId="68" fillId="20" borderId="0" xfId="0" applyNumberFormat="1" applyFont="1" applyFill="1" applyAlignment="1">
      <alignment vertical="center"/>
    </xf>
    <xf numFmtId="9" fontId="67" fillId="20" borderId="0" xfId="0" applyNumberFormat="1" applyFont="1" applyFill="1" applyAlignment="1">
      <alignment horizontal="center" vertical="center"/>
    </xf>
    <xf numFmtId="9" fontId="61" fillId="20" borderId="0" xfId="0" applyNumberFormat="1" applyFont="1" applyFill="1" applyAlignment="1">
      <alignment horizontal="left"/>
    </xf>
    <xf numFmtId="9" fontId="61" fillId="20" borderId="0" xfId="0" applyNumberFormat="1" applyFont="1" applyFill="1" applyAlignment="1">
      <alignment horizontal="left" vertical="center"/>
    </xf>
    <xf numFmtId="0" fontId="0" fillId="20" borderId="118" xfId="0" applyFill="1" applyBorder="1" applyAlignment="1">
      <alignment vertical="center"/>
    </xf>
    <xf numFmtId="0" fontId="59" fillId="20" borderId="0" xfId="0" applyFont="1" applyFill="1" applyAlignment="1">
      <alignment vertical="center"/>
    </xf>
    <xf numFmtId="0" fontId="60" fillId="19" borderId="0" xfId="0" applyFont="1" applyFill="1" applyAlignment="1">
      <alignment horizontal="left" vertical="center" wrapText="1"/>
    </xf>
    <xf numFmtId="0" fontId="59" fillId="20" borderId="0" xfId="0" applyFont="1" applyFill="1" applyAlignment="1">
      <alignment horizontal="center" vertical="center"/>
    </xf>
    <xf numFmtId="0" fontId="60" fillId="19" borderId="0" xfId="0" applyFont="1" applyFill="1" applyAlignment="1">
      <alignment vertical="center" wrapText="1"/>
    </xf>
    <xf numFmtId="0" fontId="60" fillId="19" borderId="0" xfId="0" applyFont="1" applyFill="1"/>
    <xf numFmtId="0" fontId="60" fillId="19" borderId="0" xfId="0" applyFont="1" applyFill="1" applyAlignment="1">
      <alignment horizontal="left"/>
    </xf>
    <xf numFmtId="0" fontId="68" fillId="20" borderId="111" xfId="0" applyFont="1" applyFill="1" applyBorder="1" applyAlignment="1">
      <alignment vertical="center" wrapText="1"/>
    </xf>
    <xf numFmtId="0" fontId="68" fillId="20" borderId="0" xfId="0" applyFont="1" applyFill="1" applyAlignment="1">
      <alignment horizontal="center" vertical="center" wrapText="1"/>
    </xf>
    <xf numFmtId="0" fontId="68" fillId="20" borderId="118" xfId="0" applyFont="1" applyFill="1" applyBorder="1" applyAlignment="1">
      <alignment vertical="center" wrapText="1"/>
    </xf>
    <xf numFmtId="0" fontId="64" fillId="19" borderId="114" xfId="0" applyFont="1" applyFill="1" applyBorder="1" applyAlignment="1">
      <alignment horizontal="left" vertical="top" wrapText="1"/>
    </xf>
    <xf numFmtId="0" fontId="64" fillId="19" borderId="0" xfId="0" applyFont="1" applyFill="1" applyAlignment="1">
      <alignment vertical="top"/>
    </xf>
    <xf numFmtId="0" fontId="64" fillId="19" borderId="114" xfId="0" applyFont="1" applyFill="1" applyBorder="1" applyAlignment="1">
      <alignment vertical="top"/>
    </xf>
    <xf numFmtId="0" fontId="64" fillId="19" borderId="114" xfId="0" applyFont="1" applyFill="1" applyBorder="1" applyAlignment="1">
      <alignment vertical="top" wrapText="1"/>
    </xf>
    <xf numFmtId="0" fontId="65" fillId="19" borderId="114" xfId="0" applyFont="1" applyFill="1" applyBorder="1" applyAlignment="1">
      <alignment horizontal="center" vertical="top" wrapText="1"/>
    </xf>
    <xf numFmtId="0" fontId="0" fillId="19" borderId="114" xfId="0" applyFill="1" applyBorder="1" applyAlignment="1">
      <alignment vertical="top"/>
    </xf>
    <xf numFmtId="0" fontId="0" fillId="19" borderId="115" xfId="0" applyFill="1" applyBorder="1" applyAlignment="1">
      <alignment vertical="top"/>
    </xf>
    <xf numFmtId="0" fontId="1" fillId="19" borderId="113" xfId="0" applyFont="1" applyFill="1" applyBorder="1" applyAlignment="1">
      <alignment vertical="top" wrapText="1"/>
    </xf>
    <xf numFmtId="0" fontId="1" fillId="19" borderId="114" xfId="0" applyFont="1" applyFill="1" applyBorder="1" applyAlignment="1">
      <alignment vertical="top" wrapText="1"/>
    </xf>
    <xf numFmtId="0" fontId="0" fillId="19" borderId="109" xfId="0" applyFill="1" applyBorder="1" applyAlignment="1">
      <alignment vertical="top"/>
    </xf>
    <xf numFmtId="0" fontId="64" fillId="19" borderId="102" xfId="0" applyFont="1" applyFill="1" applyBorder="1" applyAlignment="1">
      <alignment vertical="top" wrapText="1"/>
    </xf>
    <xf numFmtId="0" fontId="64" fillId="19" borderId="102" xfId="0" applyFont="1" applyFill="1" applyBorder="1" applyAlignment="1" applyProtection="1">
      <alignment horizontal="left" vertical="top"/>
      <protection locked="0"/>
    </xf>
    <xf numFmtId="0" fontId="64" fillId="20" borderId="0" xfId="0" applyFont="1" applyFill="1" applyAlignment="1" applyProtection="1">
      <alignment vertical="top" wrapText="1"/>
      <protection locked="0"/>
    </xf>
    <xf numFmtId="0" fontId="64" fillId="20" borderId="102" xfId="0" applyFont="1" applyFill="1" applyBorder="1" applyAlignment="1" applyProtection="1">
      <alignment vertical="top" wrapText="1"/>
      <protection locked="0"/>
    </xf>
    <xf numFmtId="0" fontId="1" fillId="19" borderId="102" xfId="0" applyFont="1" applyFill="1" applyBorder="1" applyAlignment="1">
      <alignment vertical="top" wrapText="1"/>
    </xf>
    <xf numFmtId="0" fontId="65" fillId="19" borderId="102" xfId="0" applyFont="1" applyFill="1" applyBorder="1" applyAlignment="1" applyProtection="1">
      <alignment vertical="top"/>
      <protection locked="0"/>
    </xf>
    <xf numFmtId="0" fontId="0" fillId="19" borderId="102" xfId="0" applyFill="1" applyBorder="1" applyAlignment="1">
      <alignment vertical="top"/>
    </xf>
    <xf numFmtId="0" fontId="0" fillId="19" borderId="103" xfId="0" applyFill="1" applyBorder="1" applyAlignment="1">
      <alignment vertical="top"/>
    </xf>
    <xf numFmtId="0" fontId="64" fillId="19" borderId="101" xfId="0" applyFont="1" applyFill="1" applyBorder="1" applyAlignment="1">
      <alignment vertical="top" wrapText="1"/>
    </xf>
    <xf numFmtId="0" fontId="0" fillId="19" borderId="0" xfId="0" applyFill="1" applyAlignment="1">
      <alignment vertical="top"/>
    </xf>
    <xf numFmtId="0" fontId="0" fillId="20" borderId="0" xfId="0" applyFill="1" applyAlignment="1">
      <alignment vertical="top"/>
    </xf>
    <xf numFmtId="0" fontId="0" fillId="19" borderId="118" xfId="0" applyFill="1" applyBorder="1" applyAlignment="1">
      <alignment vertical="top"/>
    </xf>
    <xf numFmtId="0" fontId="64" fillId="19" borderId="108" xfId="0" applyFont="1" applyFill="1" applyBorder="1" applyAlignment="1">
      <alignment horizontal="left" vertical="top" wrapText="1"/>
    </xf>
    <xf numFmtId="0" fontId="64" fillId="19" borderId="100" xfId="0" applyFont="1" applyFill="1" applyBorder="1" applyAlignment="1">
      <alignment vertical="top" wrapText="1"/>
    </xf>
    <xf numFmtId="0" fontId="64" fillId="19" borderId="100" xfId="0" applyFont="1" applyFill="1" applyBorder="1" applyAlignment="1" applyProtection="1">
      <alignment horizontal="left" vertical="top"/>
      <protection locked="0"/>
    </xf>
    <xf numFmtId="0" fontId="64" fillId="20" borderId="100" xfId="0" applyFont="1" applyFill="1" applyBorder="1" applyAlignment="1" applyProtection="1">
      <alignment vertical="top" wrapText="1"/>
      <protection locked="0"/>
    </xf>
    <xf numFmtId="0" fontId="1" fillId="19" borderId="100" xfId="0" applyFont="1" applyFill="1" applyBorder="1" applyAlignment="1">
      <alignment vertical="top" wrapText="1"/>
    </xf>
    <xf numFmtId="0" fontId="65" fillId="19" borderId="100" xfId="0" applyFont="1" applyFill="1" applyBorder="1" applyAlignment="1" applyProtection="1">
      <alignment vertical="top"/>
      <protection locked="0"/>
    </xf>
    <xf numFmtId="0" fontId="0" fillId="19" borderId="100" xfId="0" applyFill="1" applyBorder="1" applyAlignment="1">
      <alignment vertical="top"/>
    </xf>
    <xf numFmtId="0" fontId="0" fillId="19" borderId="117" xfId="0" applyFill="1" applyBorder="1" applyAlignment="1">
      <alignment vertical="top"/>
    </xf>
    <xf numFmtId="0" fontId="1" fillId="19" borderId="100" xfId="0" applyFont="1" applyFill="1" applyBorder="1" applyAlignment="1">
      <alignment horizontal="left" vertical="top"/>
    </xf>
    <xf numFmtId="0" fontId="72" fillId="20" borderId="102" xfId="0" applyFont="1" applyFill="1" applyBorder="1" applyAlignment="1">
      <alignment vertical="top" wrapText="1"/>
    </xf>
    <xf numFmtId="0" fontId="1" fillId="19" borderId="111" xfId="0" applyFont="1" applyFill="1" applyBorder="1" applyAlignment="1">
      <alignment horizontal="left" vertical="top"/>
    </xf>
    <xf numFmtId="0" fontId="0" fillId="19" borderId="112" xfId="0" applyFill="1" applyBorder="1" applyAlignment="1">
      <alignment vertical="top"/>
    </xf>
    <xf numFmtId="0" fontId="87" fillId="21" borderId="19" xfId="0" applyFont="1" applyFill="1" applyBorder="1" applyAlignment="1">
      <alignment horizontal="center" vertical="center"/>
    </xf>
    <xf numFmtId="0" fontId="1" fillId="12" borderId="0" xfId="0" applyFont="1" applyFill="1" applyAlignment="1">
      <alignment horizontal="center" vertical="center"/>
    </xf>
    <xf numFmtId="0" fontId="62" fillId="12" borderId="0" xfId="0" applyFont="1" applyFill="1" applyAlignment="1">
      <alignment horizontal="center" vertical="center" wrapText="1"/>
    </xf>
    <xf numFmtId="0" fontId="75" fillId="12" borderId="0" xfId="1" applyFont="1" applyFill="1" applyAlignment="1">
      <alignment horizontal="center" vertical="center" wrapText="1"/>
    </xf>
    <xf numFmtId="0" fontId="67" fillId="12" borderId="0" xfId="0" applyFont="1" applyFill="1" applyAlignment="1">
      <alignment vertical="top" wrapText="1"/>
    </xf>
    <xf numFmtId="0" fontId="67" fillId="16" borderId="13" xfId="0" applyFont="1" applyFill="1" applyBorder="1" applyAlignment="1">
      <alignment vertical="top" wrapText="1"/>
    </xf>
    <xf numFmtId="0" fontId="67" fillId="16" borderId="25" xfId="0" applyFont="1" applyFill="1" applyBorder="1" applyAlignment="1">
      <alignment vertical="top" wrapText="1"/>
    </xf>
    <xf numFmtId="0" fontId="67" fillId="16" borderId="14" xfId="0" applyFont="1" applyFill="1" applyBorder="1" applyAlignment="1">
      <alignment vertical="top" wrapText="1"/>
    </xf>
    <xf numFmtId="0" fontId="60" fillId="0" borderId="13" xfId="0" applyFont="1" applyBorder="1" applyAlignment="1">
      <alignment vertical="center"/>
    </xf>
    <xf numFmtId="0" fontId="60" fillId="0" borderId="8" xfId="0" applyFont="1" applyBorder="1" applyAlignment="1">
      <alignment vertical="center"/>
    </xf>
    <xf numFmtId="0" fontId="60" fillId="0" borderId="4" xfId="0" applyFont="1" applyBorder="1" applyAlignment="1">
      <alignment horizontal="center" vertical="center"/>
    </xf>
    <xf numFmtId="0" fontId="60" fillId="12" borderId="4" xfId="0" applyFont="1" applyFill="1" applyBorder="1" applyAlignment="1">
      <alignment horizontal="center" vertical="center"/>
    </xf>
    <xf numFmtId="0" fontId="60" fillId="12" borderId="0" xfId="0" applyFont="1" applyFill="1" applyAlignment="1">
      <alignment horizontal="left" vertical="center"/>
    </xf>
    <xf numFmtId="0" fontId="60" fillId="12" borderId="0" xfId="0" applyFont="1" applyFill="1" applyAlignment="1">
      <alignment horizontal="center" vertical="center"/>
    </xf>
    <xf numFmtId="9" fontId="74" fillId="12" borderId="0" xfId="0" applyNumberFormat="1" applyFont="1" applyFill="1" applyAlignment="1">
      <alignment horizontal="center" vertical="center"/>
    </xf>
    <xf numFmtId="0" fontId="60" fillId="12" borderId="8" xfId="0" applyFont="1" applyFill="1" applyBorder="1" applyAlignment="1">
      <alignment vertical="center"/>
    </xf>
    <xf numFmtId="0" fontId="90" fillId="12" borderId="0" xfId="0" applyFont="1" applyFill="1" applyAlignment="1">
      <alignment vertical="top" wrapText="1"/>
    </xf>
    <xf numFmtId="0" fontId="90" fillId="16" borderId="13" xfId="0" applyFont="1" applyFill="1" applyBorder="1" applyAlignment="1">
      <alignment vertical="top" wrapText="1"/>
    </xf>
    <xf numFmtId="0" fontId="90" fillId="16" borderId="25" xfId="0" applyFont="1" applyFill="1" applyBorder="1" applyAlignment="1">
      <alignment vertical="top" wrapText="1"/>
    </xf>
    <xf numFmtId="0" fontId="92" fillId="12" borderId="4" xfId="0" applyFont="1" applyFill="1" applyBorder="1" applyAlignment="1">
      <alignment horizontal="center" vertical="center"/>
    </xf>
    <xf numFmtId="0" fontId="92" fillId="12" borderId="4" xfId="0" applyFont="1" applyFill="1" applyBorder="1" applyAlignment="1">
      <alignment horizontal="center" vertical="center" wrapText="1"/>
    </xf>
    <xf numFmtId="0" fontId="93" fillId="12" borderId="0" xfId="0" applyFont="1" applyFill="1" applyAlignment="1">
      <alignment horizontal="center" vertical="center"/>
    </xf>
    <xf numFmtId="0" fontId="93" fillId="12" borderId="4" xfId="0" applyFont="1" applyFill="1" applyBorder="1" applyAlignment="1">
      <alignment horizontal="center" vertical="center" wrapText="1"/>
    </xf>
    <xf numFmtId="0" fontId="93" fillId="12" borderId="4" xfId="0" applyFont="1" applyFill="1" applyBorder="1" applyAlignment="1">
      <alignment vertical="center"/>
    </xf>
    <xf numFmtId="0" fontId="92" fillId="0" borderId="4" xfId="0" applyFont="1" applyBorder="1" applyAlignment="1">
      <alignment horizontal="center" vertical="center"/>
    </xf>
    <xf numFmtId="0" fontId="92" fillId="0" borderId="4" xfId="0" applyFont="1" applyBorder="1" applyAlignment="1">
      <alignment horizontal="center" vertical="center" wrapText="1"/>
    </xf>
    <xf numFmtId="9" fontId="92" fillId="0" borderId="4" xfId="0" applyNumberFormat="1" applyFont="1" applyBorder="1" applyAlignment="1" applyProtection="1">
      <alignment horizontal="left" vertical="center" wrapText="1"/>
      <protection locked="0"/>
    </xf>
    <xf numFmtId="0" fontId="93" fillId="0" borderId="4" xfId="0" applyFont="1" applyBorder="1" applyAlignment="1">
      <alignment horizontal="center" vertical="center" wrapText="1"/>
    </xf>
    <xf numFmtId="0" fontId="93" fillId="0" borderId="4" xfId="0" applyFont="1" applyBorder="1" applyAlignment="1">
      <alignment vertical="center"/>
    </xf>
    <xf numFmtId="9" fontId="92" fillId="0" borderId="4" xfId="0" applyNumberFormat="1" applyFont="1" applyBorder="1" applyAlignment="1">
      <alignment horizontal="center" vertical="center" wrapText="1"/>
    </xf>
    <xf numFmtId="0" fontId="92" fillId="0" borderId="4" xfId="0" applyFont="1" applyBorder="1" applyAlignment="1">
      <alignment vertical="center"/>
    </xf>
    <xf numFmtId="0" fontId="93" fillId="0" borderId="0" xfId="0" applyFont="1" applyAlignment="1">
      <alignment vertical="center"/>
    </xf>
    <xf numFmtId="0" fontId="92" fillId="0" borderId="0" xfId="0" applyFont="1" applyAlignment="1">
      <alignment horizontal="center" vertical="center"/>
    </xf>
    <xf numFmtId="0" fontId="95" fillId="0" borderId="0" xfId="0" applyFont="1" applyAlignment="1">
      <alignment horizontal="left" vertical="center" wrapText="1"/>
    </xf>
    <xf numFmtId="0" fontId="92" fillId="0" borderId="0" xfId="0" applyFont="1" applyAlignment="1">
      <alignment horizontal="left" vertical="top" wrapText="1"/>
    </xf>
    <xf numFmtId="0" fontId="92" fillId="0" borderId="0" xfId="0" applyFont="1" applyAlignment="1" applyProtection="1">
      <alignment horizontal="left" vertical="top" wrapText="1"/>
      <protection locked="0"/>
    </xf>
    <xf numFmtId="9" fontId="94" fillId="0" borderId="0" xfId="0" applyNumberFormat="1" applyFont="1" applyAlignment="1">
      <alignment horizontal="center" vertical="center" wrapText="1"/>
    </xf>
    <xf numFmtId="0" fontId="92" fillId="0" borderId="0" xfId="0" applyFont="1" applyAlignment="1" applyProtection="1">
      <alignment horizontal="center" vertical="center" wrapText="1"/>
      <protection locked="0"/>
    </xf>
    <xf numFmtId="0" fontId="92" fillId="0" borderId="0" xfId="0" applyFont="1" applyAlignment="1">
      <alignment horizontal="center" vertical="center" wrapText="1"/>
    </xf>
    <xf numFmtId="0" fontId="93" fillId="0" borderId="0" xfId="0" applyFont="1" applyAlignment="1">
      <alignment horizontal="center" vertical="center" wrapText="1"/>
    </xf>
    <xf numFmtId="0" fontId="92" fillId="0" borderId="8" xfId="0" applyFont="1" applyBorder="1" applyAlignment="1">
      <alignment vertical="center"/>
    </xf>
    <xf numFmtId="0" fontId="96" fillId="0" borderId="4" xfId="0" applyFont="1" applyBorder="1" applyAlignment="1">
      <alignment horizontal="center" vertical="center" wrapText="1"/>
    </xf>
    <xf numFmtId="0" fontId="92" fillId="0" borderId="4" xfId="0" applyFont="1" applyBorder="1" applyAlignment="1">
      <alignment vertical="center" wrapText="1"/>
    </xf>
    <xf numFmtId="0" fontId="92" fillId="12" borderId="0" xfId="0" applyFont="1" applyFill="1" applyAlignment="1">
      <alignment horizontal="center" vertical="center"/>
    </xf>
    <xf numFmtId="0" fontId="92" fillId="12" borderId="0" xfId="0" applyFont="1" applyFill="1" applyAlignment="1">
      <alignment vertical="center"/>
    </xf>
    <xf numFmtId="0" fontId="92" fillId="0" borderId="118" xfId="0" applyFont="1" applyBorder="1" applyAlignment="1">
      <alignment vertical="center"/>
    </xf>
    <xf numFmtId="0" fontId="92" fillId="0" borderId="0" xfId="0" applyFont="1" applyAlignment="1">
      <alignment vertical="center"/>
    </xf>
    <xf numFmtId="9" fontId="98" fillId="0" borderId="4" xfId="0" applyNumberFormat="1" applyFont="1" applyBorder="1" applyAlignment="1" applyProtection="1">
      <alignment horizontal="center" vertical="center" wrapText="1"/>
      <protection locked="0"/>
    </xf>
    <xf numFmtId="0" fontId="99" fillId="0" borderId="4" xfId="0" applyFont="1" applyBorder="1" applyAlignment="1">
      <alignment horizontal="center" vertical="center" wrapText="1"/>
    </xf>
    <xf numFmtId="0" fontId="92" fillId="0" borderId="4" xfId="4" applyNumberFormat="1" applyFont="1" applyFill="1" applyBorder="1" applyAlignment="1" applyProtection="1">
      <alignment horizontal="left" vertical="center" wrapText="1"/>
      <protection locked="0"/>
    </xf>
    <xf numFmtId="9" fontId="92" fillId="0" borderId="4" xfId="0" applyNumberFormat="1" applyFont="1" applyBorder="1" applyAlignment="1">
      <alignment horizontal="left" vertical="center" wrapText="1"/>
    </xf>
    <xf numFmtId="9" fontId="100" fillId="12" borderId="4" xfId="0" applyNumberFormat="1" applyFont="1" applyFill="1" applyBorder="1" applyAlignment="1" applyProtection="1">
      <alignment horizontal="center" vertical="center" wrapText="1"/>
      <protection locked="0"/>
    </xf>
    <xf numFmtId="0" fontId="97" fillId="0" borderId="0" xfId="0" applyFont="1" applyAlignment="1">
      <alignment vertical="center"/>
    </xf>
    <xf numFmtId="0" fontId="92" fillId="0" borderId="0" xfId="0" applyFont="1" applyAlignment="1">
      <alignment horizontal="left" vertical="center"/>
    </xf>
    <xf numFmtId="0" fontId="92" fillId="12" borderId="118" xfId="0" applyFont="1" applyFill="1" applyBorder="1" applyAlignment="1">
      <alignment vertical="center"/>
    </xf>
    <xf numFmtId="0" fontId="90" fillId="16" borderId="4" xfId="0" applyFont="1" applyFill="1" applyBorder="1" applyAlignment="1">
      <alignment horizontal="center" vertical="center"/>
    </xf>
    <xf numFmtId="9" fontId="90" fillId="28" borderId="0" xfId="0" applyNumberFormat="1" applyFont="1" applyFill="1" applyAlignment="1">
      <alignment horizontal="center" vertical="center"/>
    </xf>
    <xf numFmtId="0" fontId="62" fillId="12" borderId="0" xfId="0" applyFont="1" applyFill="1" applyAlignment="1">
      <alignment vertical="center" wrapText="1"/>
    </xf>
    <xf numFmtId="0" fontId="25" fillId="0" borderId="31"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62" fillId="12" borderId="28" xfId="0" applyFont="1" applyFill="1" applyBorder="1" applyAlignment="1">
      <alignment vertical="center" wrapText="1"/>
    </xf>
    <xf numFmtId="0" fontId="62" fillId="12" borderId="10" xfId="0" applyFont="1" applyFill="1" applyBorder="1" applyAlignment="1">
      <alignment vertical="center" wrapText="1"/>
    </xf>
    <xf numFmtId="0" fontId="62" fillId="12" borderId="30" xfId="0" applyFont="1" applyFill="1" applyBorder="1" applyAlignment="1">
      <alignment vertical="center" wrapText="1"/>
    </xf>
    <xf numFmtId="0" fontId="97" fillId="0" borderId="31" xfId="0" applyFont="1" applyBorder="1"/>
    <xf numFmtId="0" fontId="97" fillId="0" borderId="4" xfId="0" applyFont="1" applyBorder="1" applyAlignment="1" applyProtection="1">
      <alignment horizontal="center" vertical="center" wrapText="1"/>
      <protection locked="0"/>
    </xf>
    <xf numFmtId="9" fontId="97" fillId="0" borderId="4" xfId="0" applyNumberFormat="1" applyFont="1" applyBorder="1" applyAlignment="1" applyProtection="1">
      <alignment horizontal="center" vertical="center" wrapText="1"/>
      <protection locked="0"/>
    </xf>
    <xf numFmtId="0" fontId="94" fillId="0" borderId="0" xfId="0" applyFont="1" applyAlignment="1">
      <alignment horizontal="center"/>
    </xf>
    <xf numFmtId="0" fontId="94" fillId="0" borderId="0" xfId="0" applyFont="1"/>
    <xf numFmtId="0" fontId="92" fillId="0" borderId="9" xfId="0" applyFont="1" applyBorder="1" applyAlignment="1">
      <alignment horizontal="center" vertical="center"/>
    </xf>
    <xf numFmtId="0" fontId="95" fillId="0" borderId="28" xfId="0" applyFont="1" applyBorder="1" applyAlignment="1">
      <alignment horizontal="left" vertical="center" wrapText="1"/>
    </xf>
    <xf numFmtId="0" fontId="92" fillId="0" borderId="29" xfId="0" applyFont="1" applyBorder="1" applyAlignment="1">
      <alignment horizontal="center" vertical="center"/>
    </xf>
    <xf numFmtId="0" fontId="95" fillId="0" borderId="30" xfId="0" applyFont="1" applyBorder="1" applyAlignment="1">
      <alignment horizontal="left" vertical="center" wrapText="1"/>
    </xf>
    <xf numFmtId="0" fontId="94" fillId="0" borderId="10" xfId="0" applyFont="1" applyBorder="1" applyAlignment="1">
      <alignment horizontal="center"/>
    </xf>
    <xf numFmtId="0" fontId="94" fillId="0" borderId="10" xfId="0" applyFont="1" applyBorder="1"/>
    <xf numFmtId="0" fontId="91" fillId="17" borderId="4" xfId="1" applyFont="1" applyFill="1" applyBorder="1" applyAlignment="1">
      <alignment horizontal="center" vertical="center" wrapText="1"/>
    </xf>
    <xf numFmtId="0" fontId="97" fillId="12" borderId="4" xfId="0" applyFont="1" applyFill="1" applyBorder="1" applyAlignment="1" applyProtection="1">
      <alignment horizontal="center" vertical="center" wrapText="1"/>
      <protection locked="0"/>
    </xf>
    <xf numFmtId="9" fontId="97" fillId="0" borderId="4" xfId="0" applyNumberFormat="1" applyFont="1" applyBorder="1" applyAlignment="1">
      <alignment horizontal="center" vertical="center" wrapText="1"/>
    </xf>
    <xf numFmtId="9" fontId="101" fillId="0" borderId="4" xfId="0" applyNumberFormat="1" applyFont="1" applyBorder="1" applyAlignment="1">
      <alignment horizontal="center" vertical="center" wrapText="1"/>
    </xf>
    <xf numFmtId="9" fontId="97" fillId="0" borderId="4" xfId="4" applyNumberFormat="1" applyFont="1" applyFill="1" applyBorder="1" applyAlignment="1" applyProtection="1">
      <alignment horizontal="center" vertical="center" wrapText="1"/>
      <protection locked="0"/>
    </xf>
    <xf numFmtId="0" fontId="29" fillId="0" borderId="13" xfId="0" applyFont="1" applyBorder="1" applyAlignment="1">
      <alignment vertical="center"/>
    </xf>
    <xf numFmtId="0" fontId="101" fillId="26" borderId="4" xfId="1" applyFont="1" applyFill="1" applyBorder="1" applyAlignment="1">
      <alignment horizontal="center" vertical="center" wrapText="1"/>
    </xf>
    <xf numFmtId="0" fontId="101" fillId="12" borderId="0" xfId="1" applyFont="1" applyFill="1" applyAlignment="1">
      <alignment horizontal="center" vertical="center" wrapText="1"/>
    </xf>
    <xf numFmtId="0" fontId="68" fillId="12" borderId="0" xfId="1" applyFont="1" applyFill="1" applyAlignment="1">
      <alignment horizontal="center" vertical="top" wrapText="1"/>
    </xf>
    <xf numFmtId="0" fontId="29" fillId="0" borderId="118" xfId="0" applyFont="1" applyBorder="1" applyAlignment="1">
      <alignment vertical="center"/>
    </xf>
    <xf numFmtId="0" fontId="29" fillId="0" borderId="0" xfId="0" applyFont="1" applyAlignment="1">
      <alignment vertical="center"/>
    </xf>
    <xf numFmtId="0" fontId="29" fillId="0" borderId="8" xfId="0" applyFont="1" applyBorder="1" applyAlignment="1">
      <alignment vertical="center"/>
    </xf>
    <xf numFmtId="9" fontId="97" fillId="12" borderId="4" xfId="0" applyNumberFormat="1" applyFont="1" applyFill="1" applyBorder="1" applyAlignment="1">
      <alignment horizontal="center" vertical="center" wrapText="1"/>
    </xf>
    <xf numFmtId="0" fontId="92" fillId="0" borderId="4" xfId="0" applyFont="1" applyBorder="1" applyAlignment="1">
      <alignment horizontal="left" vertical="center" wrapText="1"/>
    </xf>
    <xf numFmtId="0" fontId="92" fillId="0" borderId="4" xfId="0" applyFont="1" applyBorder="1" applyAlignment="1">
      <alignment horizontal="left" vertical="top" wrapText="1"/>
    </xf>
    <xf numFmtId="9" fontId="92" fillId="0" borderId="4" xfId="0" applyNumberFormat="1" applyFont="1" applyBorder="1" applyAlignment="1">
      <alignment horizontal="left" vertical="top" wrapText="1"/>
    </xf>
    <xf numFmtId="0" fontId="97" fillId="0" borderId="4" xfId="0" applyFont="1" applyBorder="1" applyAlignment="1">
      <alignment horizontal="center" vertical="center" wrapText="1"/>
    </xf>
    <xf numFmtId="0" fontId="97" fillId="0" borderId="4" xfId="0" applyFont="1" applyBorder="1" applyAlignment="1" applyProtection="1">
      <alignment horizontal="center" vertical="top" wrapText="1"/>
      <protection locked="0"/>
    </xf>
    <xf numFmtId="0" fontId="37" fillId="0" borderId="0" xfId="0" applyFont="1" applyAlignment="1">
      <alignment horizontal="center" vertical="center"/>
    </xf>
    <xf numFmtId="0" fontId="23" fillId="0" borderId="19"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20" xfId="0" applyFont="1" applyBorder="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7" fillId="4" borderId="0" xfId="1" applyFont="1" applyFill="1" applyAlignment="1">
      <alignment horizontal="center" vertical="center" wrapText="1"/>
    </xf>
    <xf numFmtId="9" fontId="19" fillId="0" borderId="0" xfId="0" applyNumberFormat="1" applyFont="1" applyAlignment="1">
      <alignment horizontal="center" vertical="center" wrapText="1"/>
    </xf>
    <xf numFmtId="9" fontId="20" fillId="0" borderId="0" xfId="0" applyNumberFormat="1" applyFont="1" applyAlignment="1">
      <alignment horizontal="center" vertical="center" wrapText="1"/>
    </xf>
    <xf numFmtId="0" fontId="14" fillId="0" borderId="0" xfId="0" applyFont="1" applyAlignment="1">
      <alignment horizontal="center" vertical="center" wrapText="1"/>
    </xf>
    <xf numFmtId="0" fontId="18" fillId="0" borderId="0" xfId="0" applyFont="1" applyAlignment="1">
      <alignment horizontal="center" vertical="center" wrapText="1"/>
    </xf>
    <xf numFmtId="0" fontId="36" fillId="11" borderId="0" xfId="0" applyFont="1" applyFill="1" applyAlignment="1">
      <alignment horizontal="center" vertical="center" wrapText="1"/>
    </xf>
    <xf numFmtId="0" fontId="44" fillId="11" borderId="0" xfId="0" applyFont="1" applyFill="1" applyAlignment="1">
      <alignment horizontal="center" vertical="center" wrapText="1"/>
    </xf>
    <xf numFmtId="0" fontId="7" fillId="2" borderId="0" xfId="1" applyFont="1" applyFill="1" applyAlignment="1">
      <alignment horizontal="center" vertical="center" wrapText="1"/>
    </xf>
    <xf numFmtId="0" fontId="17" fillId="4" borderId="0" xfId="1" applyFont="1" applyFill="1" applyAlignment="1">
      <alignment horizontal="center" vertical="center" wrapText="1"/>
    </xf>
    <xf numFmtId="0" fontId="4" fillId="2" borderId="21" xfId="0" applyFont="1" applyFill="1" applyBorder="1" applyAlignment="1">
      <alignment horizontal="center" wrapText="1"/>
    </xf>
    <xf numFmtId="0" fontId="4" fillId="2" borderId="22" xfId="0" applyFont="1" applyFill="1" applyBorder="1" applyAlignment="1">
      <alignment horizontal="center" wrapText="1"/>
    </xf>
    <xf numFmtId="0" fontId="28" fillId="0" borderId="0" xfId="0" applyFont="1" applyAlignment="1">
      <alignment horizontal="left" wrapText="1"/>
    </xf>
    <xf numFmtId="0" fontId="0" fillId="0" borderId="0" xfId="0" applyAlignment="1">
      <alignment horizontal="left" wrapText="1"/>
    </xf>
    <xf numFmtId="0" fontId="53" fillId="4" borderId="0" xfId="1" applyFont="1" applyFill="1" applyAlignment="1">
      <alignment horizontal="center" vertical="center" wrapText="1"/>
    </xf>
    <xf numFmtId="0" fontId="4" fillId="0" borderId="12" xfId="0" applyFont="1" applyBorder="1" applyAlignment="1" applyProtection="1">
      <alignment horizontal="left" vertical="center" wrapText="1"/>
      <protection locked="0"/>
    </xf>
    <xf numFmtId="0" fontId="4" fillId="0" borderId="23" xfId="0" applyFont="1" applyBorder="1" applyAlignment="1" applyProtection="1">
      <alignment horizontal="left" vertical="center" wrapText="1"/>
      <protection locked="0"/>
    </xf>
    <xf numFmtId="0" fontId="4" fillId="0" borderId="24" xfId="0" applyFont="1" applyBorder="1" applyAlignment="1" applyProtection="1">
      <alignment horizontal="left" vertical="center" wrapText="1"/>
      <protection locked="0"/>
    </xf>
    <xf numFmtId="0" fontId="4" fillId="0" borderId="8" xfId="0" applyFont="1" applyBorder="1" applyAlignment="1" applyProtection="1">
      <alignment horizontal="left" vertical="center" wrapText="1"/>
      <protection locked="0"/>
    </xf>
    <xf numFmtId="0" fontId="4" fillId="0" borderId="0" xfId="0" applyFont="1" applyAlignment="1" applyProtection="1">
      <alignment horizontal="left" vertical="center" wrapText="1"/>
      <protection locked="0"/>
    </xf>
    <xf numFmtId="0" fontId="4" fillId="0" borderId="15" xfId="0" applyFont="1" applyBorder="1" applyAlignment="1" applyProtection="1">
      <alignment horizontal="left" vertical="center" wrapText="1"/>
      <protection locked="0"/>
    </xf>
    <xf numFmtId="0" fontId="2" fillId="2" borderId="26"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27" xfId="0" applyFont="1" applyFill="1" applyBorder="1" applyAlignment="1">
      <alignment horizontal="center" vertical="center"/>
    </xf>
    <xf numFmtId="0" fontId="55" fillId="0" borderId="9" xfId="0" applyFont="1" applyBorder="1" applyAlignment="1">
      <alignment horizontal="center" vertical="center" wrapText="1"/>
    </xf>
    <xf numFmtId="0" fontId="55" fillId="0" borderId="0" xfId="0" applyFont="1" applyAlignment="1">
      <alignment horizontal="center" vertical="center" wrapText="1"/>
    </xf>
    <xf numFmtId="0" fontId="55" fillId="0" borderId="28" xfId="0" applyFont="1" applyBorder="1" applyAlignment="1">
      <alignment horizontal="center" vertical="center" wrapText="1"/>
    </xf>
    <xf numFmtId="0" fontId="56" fillId="4" borderId="29" xfId="0" applyFont="1" applyFill="1" applyBorder="1" applyAlignment="1">
      <alignment horizontal="center" vertical="center"/>
    </xf>
    <xf numFmtId="0" fontId="56" fillId="4" borderId="10" xfId="0" applyFont="1" applyFill="1" applyBorder="1" applyAlignment="1">
      <alignment horizontal="center" vertical="center"/>
    </xf>
    <xf numFmtId="0" fontId="56" fillId="4" borderId="30" xfId="0" applyFont="1" applyFill="1" applyBorder="1" applyAlignment="1">
      <alignment horizontal="center" vertical="center"/>
    </xf>
    <xf numFmtId="0" fontId="53" fillId="2" borderId="0" xfId="1" applyFont="1" applyFill="1" applyAlignment="1">
      <alignment horizontal="center" vertical="center" wrapText="1"/>
    </xf>
    <xf numFmtId="0" fontId="54" fillId="4" borderId="0" xfId="1" applyFont="1" applyFill="1" applyAlignment="1">
      <alignment horizontal="center" vertical="center" wrapText="1"/>
    </xf>
    <xf numFmtId="0" fontId="4" fillId="0" borderId="0" xfId="0" applyFont="1" applyAlignment="1" applyProtection="1">
      <alignment horizontal="center" vertical="center" wrapText="1"/>
      <protection locked="0"/>
    </xf>
    <xf numFmtId="9" fontId="4" fillId="0" borderId="0" xfId="0" applyNumberFormat="1" applyFont="1" applyAlignment="1" applyProtection="1">
      <alignment horizontal="center" vertical="center" wrapText="1"/>
      <protection locked="0"/>
    </xf>
    <xf numFmtId="0" fontId="46" fillId="11" borderId="0" xfId="0" applyFont="1" applyFill="1" applyAlignment="1">
      <alignment horizontal="center" vertical="center" wrapText="1"/>
    </xf>
    <xf numFmtId="0" fontId="45" fillId="11" borderId="0" xfId="0" applyFont="1" applyFill="1" applyAlignment="1">
      <alignment horizontal="center" vertical="center" wrapText="1"/>
    </xf>
    <xf numFmtId="0" fontId="4" fillId="0" borderId="0" xfId="0" applyFont="1" applyAlignment="1">
      <alignment horizontal="center" vertical="center" wrapText="1"/>
    </xf>
    <xf numFmtId="0" fontId="28" fillId="0" borderId="3" xfId="0" applyFont="1" applyBorder="1" applyAlignment="1" applyProtection="1">
      <alignment horizontal="center"/>
      <protection locked="0"/>
    </xf>
    <xf numFmtId="0" fontId="28" fillId="0" borderId="23" xfId="0" applyFont="1" applyBorder="1" applyAlignment="1" applyProtection="1">
      <alignment horizontal="center"/>
      <protection locked="0"/>
    </xf>
    <xf numFmtId="0" fontId="2" fillId="4" borderId="0" xfId="0" applyFont="1" applyFill="1" applyAlignment="1">
      <alignment horizontal="center" vertical="center" wrapText="1"/>
    </xf>
    <xf numFmtId="0" fontId="4" fillId="0" borderId="0" xfId="0" applyFont="1" applyAlignment="1">
      <alignment horizontal="left" wrapText="1"/>
    </xf>
    <xf numFmtId="0" fontId="15" fillId="14" borderId="5" xfId="0" applyFont="1" applyFill="1" applyBorder="1" applyAlignment="1">
      <alignment horizontal="center" vertical="center" wrapText="1"/>
    </xf>
    <xf numFmtId="0" fontId="15" fillId="14" borderId="6" xfId="0" applyFont="1" applyFill="1" applyBorder="1" applyAlignment="1">
      <alignment horizontal="center" vertical="center" wrapText="1"/>
    </xf>
    <xf numFmtId="0" fontId="45" fillId="12" borderId="0" xfId="0" applyFont="1" applyFill="1" applyAlignment="1">
      <alignment horizontal="center" vertical="center"/>
    </xf>
    <xf numFmtId="0" fontId="52" fillId="0" borderId="5" xfId="0" applyFont="1" applyBorder="1" applyAlignment="1">
      <alignment horizontal="center" vertical="center" wrapText="1"/>
    </xf>
    <xf numFmtId="0" fontId="52" fillId="0" borderId="6" xfId="0" applyFont="1" applyBorder="1" applyAlignment="1">
      <alignment horizontal="center" vertical="center" wrapText="1"/>
    </xf>
    <xf numFmtId="0" fontId="52" fillId="0" borderId="7" xfId="0" applyFont="1" applyBorder="1" applyAlignment="1">
      <alignment horizontal="center" vertical="center" wrapText="1"/>
    </xf>
    <xf numFmtId="0" fontId="2" fillId="12" borderId="0" xfId="0" applyFont="1" applyFill="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22" fillId="0" borderId="5"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7" xfId="0" applyFont="1" applyBorder="1" applyAlignment="1">
      <alignment horizontal="center" vertical="center" wrapText="1"/>
    </xf>
    <xf numFmtId="0" fontId="2" fillId="2" borderId="0" xfId="0" applyFont="1" applyFill="1" applyAlignment="1">
      <alignment horizontal="center"/>
    </xf>
    <xf numFmtId="0" fontId="14" fillId="0" borderId="5" xfId="0" applyFont="1" applyBorder="1" applyAlignment="1">
      <alignment horizontal="left" vertical="top" wrapText="1"/>
    </xf>
    <xf numFmtId="0" fontId="14" fillId="0" borderId="6" xfId="0" applyFont="1" applyBorder="1" applyAlignment="1">
      <alignment horizontal="left" vertical="top" wrapText="1"/>
    </xf>
    <xf numFmtId="0" fontId="14" fillId="0" borderId="7" xfId="0" applyFont="1" applyBorder="1" applyAlignment="1">
      <alignment horizontal="left" vertical="top" wrapText="1"/>
    </xf>
    <xf numFmtId="0" fontId="4" fillId="0" borderId="0" xfId="0" applyFont="1" applyAlignment="1">
      <alignment horizontal="left" vertical="top" wrapText="1"/>
    </xf>
    <xf numFmtId="9" fontId="21" fillId="0" borderId="0" xfId="0" applyNumberFormat="1" applyFont="1" applyAlignment="1">
      <alignment horizontal="center"/>
    </xf>
    <xf numFmtId="0" fontId="4" fillId="12" borderId="5" xfId="0" applyFont="1" applyFill="1" applyBorder="1" applyAlignment="1">
      <alignment horizontal="center"/>
    </xf>
    <xf numFmtId="0" fontId="4" fillId="12" borderId="6" xfId="0" applyFont="1" applyFill="1" applyBorder="1" applyAlignment="1">
      <alignment horizontal="center"/>
    </xf>
    <xf numFmtId="0" fontId="4" fillId="12" borderId="7" xfId="0" applyFont="1" applyFill="1" applyBorder="1" applyAlignment="1">
      <alignment horizontal="center"/>
    </xf>
    <xf numFmtId="0" fontId="2" fillId="2" borderId="22" xfId="0" applyFont="1" applyFill="1" applyBorder="1" applyAlignment="1">
      <alignment horizontal="center" vertical="center" wrapText="1"/>
    </xf>
    <xf numFmtId="0" fontId="4" fillId="12" borderId="5" xfId="0" applyFont="1" applyFill="1" applyBorder="1" applyAlignment="1">
      <alignment horizontal="center" vertical="center"/>
    </xf>
    <xf numFmtId="0" fontId="4" fillId="12" borderId="6" xfId="0" applyFont="1" applyFill="1" applyBorder="1" applyAlignment="1">
      <alignment horizontal="center" vertical="center"/>
    </xf>
    <xf numFmtId="0" fontId="4" fillId="12" borderId="7" xfId="0" applyFont="1" applyFill="1" applyBorder="1" applyAlignment="1">
      <alignment horizontal="center" vertical="center"/>
    </xf>
    <xf numFmtId="0" fontId="81" fillId="0" borderId="0" xfId="0" applyFont="1" applyAlignment="1">
      <alignment horizontal="left" vertical="top" wrapText="1"/>
    </xf>
    <xf numFmtId="0" fontId="81" fillId="0" borderId="15" xfId="0" applyFont="1" applyBorder="1" applyAlignment="1">
      <alignment horizontal="left" vertical="top" wrapText="1"/>
    </xf>
    <xf numFmtId="0" fontId="63" fillId="12" borderId="0" xfId="0" applyFont="1" applyFill="1" applyAlignment="1">
      <alignment horizontal="center" vertical="center"/>
    </xf>
    <xf numFmtId="0" fontId="91" fillId="17" borderId="4" xfId="1" applyFont="1" applyFill="1" applyBorder="1" applyAlignment="1">
      <alignment horizontal="center" vertical="top" wrapText="1"/>
    </xf>
    <xf numFmtId="0" fontId="75" fillId="17" borderId="4" xfId="1" applyFont="1" applyFill="1" applyBorder="1" applyAlignment="1">
      <alignment horizontal="center" vertical="center" wrapText="1"/>
    </xf>
    <xf numFmtId="0" fontId="73" fillId="0" borderId="0" xfId="0" applyFont="1" applyAlignment="1">
      <alignment horizontal="left" vertical="center"/>
    </xf>
    <xf numFmtId="0" fontId="91" fillId="17" borderId="4" xfId="1" applyFont="1" applyFill="1" applyBorder="1" applyAlignment="1">
      <alignment horizontal="center" vertical="center" wrapText="1"/>
    </xf>
    <xf numFmtId="0" fontId="87" fillId="21" borderId="32" xfId="0" applyFont="1" applyFill="1" applyBorder="1" applyAlignment="1">
      <alignment horizontal="center" vertical="center"/>
    </xf>
    <xf numFmtId="0" fontId="87" fillId="21" borderId="18" xfId="0" applyFont="1" applyFill="1" applyBorder="1" applyAlignment="1">
      <alignment horizontal="center" vertical="center"/>
    </xf>
    <xf numFmtId="0" fontId="62" fillId="19" borderId="9" xfId="0"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02" fillId="21" borderId="26" xfId="0" applyFont="1" applyFill="1" applyBorder="1" applyAlignment="1">
      <alignment horizontal="center" vertical="center"/>
    </xf>
    <xf numFmtId="0" fontId="102" fillId="21" borderId="27" xfId="0" applyFont="1" applyFill="1" applyBorder="1" applyAlignment="1">
      <alignment horizontal="center" vertical="center"/>
    </xf>
    <xf numFmtId="0" fontId="102" fillId="21" borderId="29" xfId="0" applyFont="1" applyFill="1" applyBorder="1" applyAlignment="1">
      <alignment horizontal="center" vertical="center"/>
    </xf>
    <xf numFmtId="0" fontId="102" fillId="21" borderId="30" xfId="0" applyFont="1" applyFill="1" applyBorder="1" applyAlignment="1">
      <alignment horizontal="center" vertical="center"/>
    </xf>
    <xf numFmtId="0" fontId="97" fillId="0" borderId="26" xfId="0" applyFont="1" applyBorder="1" applyAlignment="1">
      <alignment horizontal="left"/>
    </xf>
    <xf numFmtId="0" fontId="97" fillId="0" borderId="31" xfId="0" applyFont="1" applyBorder="1" applyAlignment="1">
      <alignment horizontal="left"/>
    </xf>
    <xf numFmtId="0" fontId="89" fillId="27" borderId="67" xfId="0" applyFont="1" applyFill="1" applyBorder="1" applyAlignment="1">
      <alignment horizontal="left" vertical="center" wrapText="1"/>
    </xf>
    <xf numFmtId="0" fontId="89" fillId="27" borderId="68" xfId="0" applyFont="1" applyFill="1" applyBorder="1" applyAlignment="1">
      <alignment horizontal="left" vertical="center" wrapText="1"/>
    </xf>
    <xf numFmtId="0" fontId="97" fillId="0" borderId="29" xfId="0" applyFont="1" applyBorder="1" applyAlignment="1">
      <alignment horizontal="left"/>
    </xf>
    <xf numFmtId="0" fontId="97" fillId="0" borderId="10" xfId="0" applyFont="1" applyBorder="1" applyAlignment="1">
      <alignment horizontal="left"/>
    </xf>
    <xf numFmtId="0" fontId="101" fillId="17" borderId="4" xfId="1" applyFont="1" applyFill="1" applyBorder="1" applyAlignment="1">
      <alignment horizontal="center" vertical="center" wrapText="1"/>
    </xf>
    <xf numFmtId="0" fontId="68" fillId="17" borderId="4" xfId="1" applyFont="1" applyFill="1" applyBorder="1" applyAlignment="1">
      <alignment horizontal="center" vertical="center" wrapText="1"/>
    </xf>
    <xf numFmtId="0" fontId="101" fillId="26" borderId="4" xfId="1" applyFont="1" applyFill="1" applyBorder="1" applyAlignment="1">
      <alignment horizontal="center" vertical="center" wrapText="1"/>
    </xf>
    <xf numFmtId="0" fontId="62" fillId="12" borderId="0" xfId="0" applyFont="1" applyFill="1" applyAlignment="1">
      <alignment horizontal="center" vertical="center" wrapText="1"/>
    </xf>
    <xf numFmtId="0" fontId="62" fillId="0" borderId="0" xfId="0" applyFont="1" applyAlignment="1">
      <alignment horizontal="center" vertical="center" wrapText="1"/>
    </xf>
    <xf numFmtId="0" fontId="89" fillId="16" borderId="67" xfId="0" applyFont="1" applyFill="1" applyBorder="1" applyAlignment="1">
      <alignment horizontal="left" vertical="top" wrapText="1"/>
    </xf>
    <xf numFmtId="0" fontId="89" fillId="16" borderId="68" xfId="0" applyFont="1" applyFill="1" applyBorder="1" applyAlignment="1">
      <alignment horizontal="left" vertical="top" wrapText="1"/>
    </xf>
    <xf numFmtId="0" fontId="89" fillId="16" borderId="0" xfId="0" applyFont="1" applyFill="1" applyAlignment="1">
      <alignment horizontal="left" vertical="top" wrapText="1"/>
    </xf>
    <xf numFmtId="0" fontId="101" fillId="26" borderId="13" xfId="1" applyFont="1" applyFill="1" applyBorder="1" applyAlignment="1">
      <alignment horizontal="center" vertical="center" wrapText="1"/>
    </xf>
    <xf numFmtId="0" fontId="101" fillId="26" borderId="25" xfId="1" applyFont="1" applyFill="1" applyBorder="1" applyAlignment="1">
      <alignment horizontal="center" vertical="center" wrapText="1"/>
    </xf>
    <xf numFmtId="0" fontId="101" fillId="26" borderId="14" xfId="1" applyFont="1" applyFill="1" applyBorder="1" applyAlignment="1">
      <alignment horizontal="center" vertical="center" wrapText="1"/>
    </xf>
    <xf numFmtId="0" fontId="101" fillId="26" borderId="123" xfId="1" applyFont="1" applyFill="1" applyBorder="1" applyAlignment="1">
      <alignment horizontal="center" vertical="center" wrapText="1"/>
    </xf>
    <xf numFmtId="0" fontId="101" fillId="26" borderId="124" xfId="1" applyFont="1" applyFill="1" applyBorder="1" applyAlignment="1">
      <alignment horizontal="center" vertical="center" wrapText="1"/>
    </xf>
    <xf numFmtId="0" fontId="101" fillId="26" borderId="125" xfId="1" applyFont="1" applyFill="1" applyBorder="1" applyAlignment="1">
      <alignment horizontal="center" vertical="center" wrapText="1"/>
    </xf>
    <xf numFmtId="0" fontId="95" fillId="0" borderId="12" xfId="0" applyFont="1" applyBorder="1" applyAlignment="1">
      <alignment horizontal="left" vertical="center" wrapText="1"/>
    </xf>
    <xf numFmtId="0" fontId="95" fillId="0" borderId="23" xfId="0" applyFont="1" applyBorder="1" applyAlignment="1">
      <alignment horizontal="left" vertical="center" wrapText="1"/>
    </xf>
    <xf numFmtId="0" fontId="97" fillId="12" borderId="43" xfId="0" applyFont="1" applyFill="1" applyBorder="1" applyAlignment="1">
      <alignment horizontal="center" vertical="center"/>
    </xf>
    <xf numFmtId="0" fontId="97" fillId="12" borderId="44" xfId="0" applyFont="1" applyFill="1" applyBorder="1" applyAlignment="1">
      <alignment horizontal="center" vertical="center"/>
    </xf>
    <xf numFmtId="0" fontId="97" fillId="29" borderId="26" xfId="0" applyFont="1" applyFill="1" applyBorder="1" applyAlignment="1" applyProtection="1">
      <alignment horizontal="center" vertical="center" wrapText="1"/>
      <protection locked="0"/>
    </xf>
    <xf numFmtId="0" fontId="97" fillId="29" borderId="31" xfId="0" applyFont="1" applyFill="1" applyBorder="1" applyAlignment="1" applyProtection="1">
      <alignment horizontal="center" vertical="center" wrapText="1"/>
      <protection locked="0"/>
    </xf>
    <xf numFmtId="0" fontId="97" fillId="29" borderId="126" xfId="0" applyFont="1" applyFill="1" applyBorder="1" applyAlignment="1" applyProtection="1">
      <alignment horizontal="center" vertical="center" wrapText="1"/>
      <protection locked="0"/>
    </xf>
    <xf numFmtId="0" fontId="97" fillId="29" borderId="29" xfId="0" applyFont="1" applyFill="1" applyBorder="1" applyAlignment="1" applyProtection="1">
      <alignment horizontal="center" vertical="center" wrapText="1"/>
      <protection locked="0"/>
    </xf>
    <xf numFmtId="0" fontId="97" fillId="29" borderId="10" xfId="0" applyFont="1" applyFill="1" applyBorder="1" applyAlignment="1" applyProtection="1">
      <alignment horizontal="center" vertical="center" wrapText="1"/>
      <protection locked="0"/>
    </xf>
    <xf numFmtId="0" fontId="97" fillId="29" borderId="127" xfId="0" applyFont="1" applyFill="1" applyBorder="1" applyAlignment="1" applyProtection="1">
      <alignment horizontal="center" vertical="center" wrapText="1"/>
      <protection locked="0"/>
    </xf>
    <xf numFmtId="0" fontId="101" fillId="26" borderId="16" xfId="1" applyFont="1" applyFill="1" applyBorder="1" applyAlignment="1">
      <alignment horizontal="center" vertical="center" wrapText="1"/>
    </xf>
    <xf numFmtId="0" fontId="101" fillId="26" borderId="17" xfId="1" applyFont="1" applyFill="1" applyBorder="1" applyAlignment="1">
      <alignment horizontal="center" vertical="center" wrapText="1"/>
    </xf>
    <xf numFmtId="0" fontId="92" fillId="0" borderId="12" xfId="0" applyFont="1" applyBorder="1" applyAlignment="1">
      <alignment horizontal="left" vertical="center" wrapText="1"/>
    </xf>
    <xf numFmtId="0" fontId="92" fillId="0" borderId="24" xfId="0" applyFont="1" applyBorder="1" applyAlignment="1">
      <alignment horizontal="left" vertical="center" wrapText="1"/>
    </xf>
    <xf numFmtId="0" fontId="92" fillId="0" borderId="4" xfId="0" applyFont="1" applyBorder="1" applyAlignment="1">
      <alignment horizontal="left" vertical="center" wrapText="1"/>
    </xf>
    <xf numFmtId="0" fontId="95" fillId="0" borderId="24" xfId="0" applyFont="1" applyBorder="1" applyAlignment="1">
      <alignment horizontal="left" vertical="center" wrapText="1"/>
    </xf>
    <xf numFmtId="0" fontId="92" fillId="12" borderId="4" xfId="0" applyFont="1" applyFill="1" applyBorder="1" applyAlignment="1">
      <alignment horizontal="left" vertical="center" wrapText="1"/>
    </xf>
    <xf numFmtId="0" fontId="92" fillId="12" borderId="4" xfId="0" applyFont="1" applyFill="1" applyBorder="1" applyAlignment="1">
      <alignment vertical="center" wrapText="1"/>
    </xf>
    <xf numFmtId="0" fontId="95" fillId="0" borderId="122" xfId="0" applyFont="1" applyBorder="1" applyAlignment="1">
      <alignment horizontal="left" vertical="center" wrapText="1"/>
    </xf>
    <xf numFmtId="0" fontId="95" fillId="0" borderId="120" xfId="0" applyFont="1" applyBorder="1" applyAlignment="1">
      <alignment horizontal="left" vertical="center" wrapText="1"/>
    </xf>
    <xf numFmtId="0" fontId="95" fillId="0" borderId="121" xfId="0" applyFont="1" applyBorder="1" applyAlignment="1">
      <alignment horizontal="left" vertical="center" wrapText="1"/>
    </xf>
    <xf numFmtId="0" fontId="101" fillId="0" borderId="32" xfId="0" applyFont="1" applyBorder="1" applyAlignment="1">
      <alignment horizontal="center"/>
    </xf>
    <xf numFmtId="0" fontId="101" fillId="0" borderId="128" xfId="0" applyFont="1" applyBorder="1" applyAlignment="1">
      <alignment horizontal="center"/>
    </xf>
    <xf numFmtId="0" fontId="101" fillId="0" borderId="18" xfId="0" applyFont="1" applyBorder="1" applyAlignment="1">
      <alignment horizontal="center"/>
    </xf>
    <xf numFmtId="0" fontId="97" fillId="0" borderId="9" xfId="0" applyFont="1" applyBorder="1" applyAlignment="1">
      <alignment horizontal="left"/>
    </xf>
    <xf numFmtId="0" fontId="97" fillId="0" borderId="0" xfId="0" applyFont="1" applyAlignment="1">
      <alignment horizontal="left"/>
    </xf>
    <xf numFmtId="9" fontId="82" fillId="12" borderId="0" xfId="0" applyNumberFormat="1" applyFont="1" applyFill="1" applyAlignment="1">
      <alignment horizontal="left" vertical="center"/>
    </xf>
    <xf numFmtId="0" fontId="68" fillId="0" borderId="0" xfId="1" applyFont="1" applyAlignment="1">
      <alignment horizontal="left" vertical="top" wrapText="1"/>
    </xf>
    <xf numFmtId="0" fontId="70" fillId="0" borderId="0" xfId="1" applyFont="1" applyAlignment="1">
      <alignment vertical="top" wrapText="1"/>
    </xf>
    <xf numFmtId="0" fontId="70" fillId="0" borderId="0" xfId="1" applyFont="1" applyAlignment="1" applyProtection="1">
      <alignment horizontal="left" vertical="top" wrapText="1"/>
      <protection locked="0"/>
    </xf>
    <xf numFmtId="0" fontId="64" fillId="0" borderId="107" xfId="0" applyFont="1" applyBorder="1" applyAlignment="1" applyProtection="1">
      <alignment horizontal="left" vertical="top" wrapText="1"/>
      <protection locked="0"/>
    </xf>
    <xf numFmtId="0" fontId="64" fillId="0" borderId="108" xfId="0" applyFont="1" applyBorder="1" applyAlignment="1" applyProtection="1">
      <alignment horizontal="left" vertical="top" wrapText="1"/>
      <protection locked="0"/>
    </xf>
    <xf numFmtId="0" fontId="8" fillId="0" borderId="22" xfId="1" applyFont="1" applyBorder="1" applyAlignment="1" applyProtection="1">
      <alignment horizontal="center"/>
      <protection locked="0"/>
    </xf>
    <xf numFmtId="0" fontId="10" fillId="0" borderId="0" xfId="1" applyFont="1" applyAlignment="1">
      <alignment horizontal="left" vertical="center" wrapText="1"/>
    </xf>
    <xf numFmtId="0" fontId="77" fillId="0" borderId="59" xfId="1" applyFont="1" applyBorder="1" applyAlignment="1" applyProtection="1">
      <alignment horizontal="center" vertical="center" wrapText="1"/>
      <protection locked="0"/>
    </xf>
    <xf numFmtId="0" fontId="77" fillId="0" borderId="59" xfId="1" applyFont="1" applyBorder="1" applyAlignment="1" applyProtection="1">
      <alignment horizontal="left" vertical="center"/>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center" wrapText="1"/>
      <protection locked="0"/>
    </xf>
    <xf numFmtId="0" fontId="77" fillId="0" borderId="54" xfId="1" applyFont="1" applyBorder="1" applyAlignment="1" applyProtection="1">
      <alignment horizontal="center" vertical="center" wrapText="1"/>
      <protection locked="0"/>
    </xf>
    <xf numFmtId="0" fontId="77" fillId="0" borderId="54" xfId="1" applyFont="1" applyBorder="1" applyAlignment="1" applyProtection="1">
      <alignment horizontal="left" vertical="center"/>
      <protection locked="0"/>
    </xf>
    <xf numFmtId="0" fontId="64" fillId="17" borderId="119" xfId="1" applyFont="1" applyFill="1" applyBorder="1" applyAlignment="1">
      <alignment horizontal="center" vertical="center" wrapText="1"/>
    </xf>
    <xf numFmtId="0" fontId="64" fillId="17" borderId="66" xfId="1" applyFont="1" applyFill="1" applyBorder="1" applyAlignment="1">
      <alignment horizontal="center" vertical="center" wrapText="1"/>
    </xf>
    <xf numFmtId="0" fontId="64" fillId="17" borderId="63" xfId="1" applyFont="1" applyFill="1" applyBorder="1" applyAlignment="1">
      <alignment horizontal="center" vertical="center" wrapText="1"/>
    </xf>
    <xf numFmtId="0" fontId="64" fillId="0" borderId="116" xfId="0" applyFont="1" applyBorder="1" applyAlignment="1" applyProtection="1">
      <alignment horizontal="left" vertical="top" wrapText="1"/>
      <protection locked="0"/>
    </xf>
    <xf numFmtId="0" fontId="64" fillId="0" borderId="100" xfId="0" applyFont="1" applyBorder="1" applyAlignment="1" applyProtection="1">
      <alignment horizontal="left" vertical="top" wrapText="1"/>
      <protection locked="0"/>
    </xf>
    <xf numFmtId="0" fontId="69" fillId="0" borderId="0" xfId="0" applyFont="1" applyAlignment="1" applyProtection="1">
      <alignment horizontal="left" vertical="top" wrapText="1"/>
      <protection locked="0"/>
    </xf>
    <xf numFmtId="0" fontId="69" fillId="0" borderId="0" xfId="0" applyFont="1" applyAlignment="1" applyProtection="1">
      <alignment horizontal="left" vertical="top"/>
      <protection locked="0"/>
    </xf>
    <xf numFmtId="0" fontId="68" fillId="18" borderId="110" xfId="0" applyFont="1" applyFill="1" applyBorder="1" applyAlignment="1" applyProtection="1">
      <alignment horizontal="center" vertical="top" wrapText="1"/>
      <protection locked="0"/>
    </xf>
    <xf numFmtId="0" fontId="68" fillId="18" borderId="111" xfId="0" applyFont="1" applyFill="1" applyBorder="1" applyAlignment="1" applyProtection="1">
      <alignment horizontal="center" vertical="top" wrapText="1"/>
      <protection locked="0"/>
    </xf>
    <xf numFmtId="0" fontId="68" fillId="18" borderId="112" xfId="0" applyFont="1" applyFill="1" applyBorder="1" applyAlignment="1" applyProtection="1">
      <alignment horizontal="center" vertical="top" wrapText="1"/>
      <protection locked="0"/>
    </xf>
    <xf numFmtId="0" fontId="65" fillId="0" borderId="108" xfId="0" applyFont="1" applyBorder="1" applyAlignment="1" applyProtection="1">
      <alignment horizontal="center" vertical="top"/>
      <protection locked="0"/>
    </xf>
    <xf numFmtId="0" fontId="65" fillId="0" borderId="109" xfId="0" applyFont="1" applyBorder="1" applyAlignment="1" applyProtection="1">
      <alignment horizontal="center" vertical="top"/>
      <protection locked="0"/>
    </xf>
    <xf numFmtId="0" fontId="64" fillId="17" borderId="65" xfId="1" applyFont="1" applyFill="1" applyBorder="1" applyAlignment="1">
      <alignment horizontal="center" vertical="center" wrapText="1"/>
    </xf>
    <xf numFmtId="0" fontId="62" fillId="19" borderId="0" xfId="0" applyFont="1" applyFill="1" applyAlignment="1">
      <alignment horizontal="center" vertical="center" wrapText="1"/>
    </xf>
    <xf numFmtId="0" fontId="63" fillId="20" borderId="0" xfId="0" applyFont="1" applyFill="1" applyAlignment="1">
      <alignment horizontal="center" vertical="center"/>
    </xf>
    <xf numFmtId="0" fontId="73" fillId="19" borderId="0" xfId="0" applyFont="1" applyFill="1" applyAlignment="1">
      <alignment horizontal="left" vertical="center"/>
    </xf>
    <xf numFmtId="0" fontId="64" fillId="19" borderId="116" xfId="0" applyFont="1" applyFill="1" applyBorder="1" applyAlignment="1">
      <alignment horizontal="left" vertical="top" wrapText="1"/>
    </xf>
    <xf numFmtId="0" fontId="64" fillId="19" borderId="100" xfId="0" applyFont="1" applyFill="1" applyBorder="1" applyAlignment="1">
      <alignment horizontal="left" vertical="top" wrapText="1"/>
    </xf>
    <xf numFmtId="0" fontId="62" fillId="19" borderId="11" xfId="0" applyFont="1" applyFill="1" applyBorder="1" applyAlignment="1">
      <alignment horizontal="center" vertical="center" wrapText="1"/>
    </xf>
    <xf numFmtId="0" fontId="63" fillId="22" borderId="11" xfId="0" applyFont="1" applyFill="1" applyBorder="1" applyAlignment="1">
      <alignment horizontal="center" vertical="center"/>
    </xf>
    <xf numFmtId="0" fontId="63" fillId="22" borderId="20" xfId="0" applyFont="1" applyFill="1" applyBorder="1" applyAlignment="1">
      <alignment horizontal="center" vertical="center"/>
    </xf>
    <xf numFmtId="0" fontId="67" fillId="23" borderId="67" xfId="0" applyFont="1" applyFill="1" applyBorder="1" applyAlignment="1">
      <alignment horizontal="center" vertical="top" wrapText="1"/>
    </xf>
    <xf numFmtId="0" fontId="67" fillId="23" borderId="68" xfId="0" applyFont="1" applyFill="1" applyBorder="1" applyAlignment="1">
      <alignment horizontal="center" vertical="top" wrapText="1"/>
    </xf>
    <xf numFmtId="0" fontId="67" fillId="23" borderId="65" xfId="0" applyFont="1" applyFill="1" applyBorder="1" applyAlignment="1">
      <alignment horizontal="center" vertical="top" wrapText="1"/>
    </xf>
    <xf numFmtId="0" fontId="67" fillId="23" borderId="89" xfId="0" applyFont="1" applyFill="1" applyBorder="1" applyAlignment="1">
      <alignment horizontal="center" vertical="top" wrapText="1"/>
    </xf>
    <xf numFmtId="0" fontId="67" fillId="24" borderId="60" xfId="0" applyFont="1" applyFill="1" applyBorder="1" applyAlignment="1">
      <alignment horizontal="center" vertical="top" wrapText="1"/>
    </xf>
    <xf numFmtId="0" fontId="67" fillId="24" borderId="61" xfId="0" applyFont="1" applyFill="1" applyBorder="1" applyAlignment="1">
      <alignment horizontal="center" vertical="top" wrapText="1"/>
    </xf>
    <xf numFmtId="0" fontId="67" fillId="24" borderId="62" xfId="0" applyFont="1" applyFill="1" applyBorder="1" applyAlignment="1">
      <alignment horizontal="center" vertical="top" wrapText="1"/>
    </xf>
    <xf numFmtId="0" fontId="75" fillId="22" borderId="73" xfId="1" applyFont="1" applyFill="1" applyBorder="1" applyAlignment="1">
      <alignment horizontal="center" vertical="center" wrapText="1"/>
    </xf>
    <xf numFmtId="0" fontId="75" fillId="22" borderId="74" xfId="1" applyFont="1" applyFill="1" applyBorder="1" applyAlignment="1">
      <alignment horizontal="center" vertical="center" wrapText="1"/>
    </xf>
    <xf numFmtId="0" fontId="75" fillId="22" borderId="78" xfId="1" applyFont="1" applyFill="1" applyBorder="1" applyAlignment="1">
      <alignment horizontal="center" vertical="center" wrapText="1"/>
    </xf>
    <xf numFmtId="0" fontId="75" fillId="22" borderId="79" xfId="1" applyFont="1" applyFill="1" applyBorder="1" applyAlignment="1">
      <alignment horizontal="center" vertical="center" wrapText="1"/>
    </xf>
    <xf numFmtId="0" fontId="75" fillId="22" borderId="75" xfId="1" applyFont="1" applyFill="1" applyBorder="1" applyAlignment="1">
      <alignment horizontal="center" vertical="center" wrapText="1"/>
    </xf>
    <xf numFmtId="0" fontId="75" fillId="22" borderId="80" xfId="1" applyFont="1" applyFill="1" applyBorder="1" applyAlignment="1">
      <alignment horizontal="center" vertical="center" wrapText="1"/>
    </xf>
    <xf numFmtId="0" fontId="75" fillId="22" borderId="76" xfId="1" applyFont="1" applyFill="1" applyBorder="1" applyAlignment="1">
      <alignment horizontal="center" vertical="center" wrapText="1"/>
    </xf>
    <xf numFmtId="0" fontId="75" fillId="22" borderId="77" xfId="1" applyFont="1" applyFill="1" applyBorder="1" applyAlignment="1">
      <alignment horizontal="center" vertical="center" wrapText="1"/>
    </xf>
    <xf numFmtId="0" fontId="75" fillId="22" borderId="81" xfId="1" applyFont="1" applyFill="1" applyBorder="1" applyAlignment="1">
      <alignment horizontal="center" vertical="center" wrapText="1"/>
    </xf>
    <xf numFmtId="0" fontId="75" fillId="22" borderId="82" xfId="1" applyFont="1" applyFill="1" applyBorder="1" applyAlignment="1">
      <alignment horizontal="center" vertical="center" wrapText="1"/>
    </xf>
    <xf numFmtId="0" fontId="75" fillId="22" borderId="83" xfId="1" applyFont="1" applyFill="1" applyBorder="1" applyAlignment="1">
      <alignment horizontal="center" vertical="center" wrapText="1"/>
    </xf>
    <xf numFmtId="0" fontId="75" fillId="22" borderId="86" xfId="1" applyFont="1" applyFill="1" applyBorder="1" applyAlignment="1">
      <alignment horizontal="center" vertical="center" wrapText="1"/>
    </xf>
    <xf numFmtId="0" fontId="75" fillId="22" borderId="84" xfId="1" applyFont="1" applyFill="1" applyBorder="1" applyAlignment="1">
      <alignment horizontal="center" vertical="center" wrapText="1"/>
    </xf>
    <xf numFmtId="0" fontId="75" fillId="22" borderId="87" xfId="1" applyFont="1" applyFill="1" applyBorder="1" applyAlignment="1">
      <alignment horizontal="center" vertical="center" wrapText="1"/>
    </xf>
    <xf numFmtId="0" fontId="75" fillId="22" borderId="85" xfId="1" applyFont="1" applyFill="1" applyBorder="1" applyAlignment="1">
      <alignment horizontal="center" vertical="center" wrapText="1"/>
    </xf>
    <xf numFmtId="0" fontId="75" fillId="22" borderId="90" xfId="1" applyFont="1" applyFill="1" applyBorder="1" applyAlignment="1">
      <alignment horizontal="center" vertical="center" wrapText="1"/>
    </xf>
    <xf numFmtId="0" fontId="75" fillId="22" borderId="92" xfId="1" applyFont="1" applyFill="1" applyBorder="1" applyAlignment="1">
      <alignment horizontal="center" vertical="center" wrapText="1"/>
    </xf>
    <xf numFmtId="0" fontId="75" fillId="22" borderId="95" xfId="1" applyFont="1" applyFill="1" applyBorder="1" applyAlignment="1">
      <alignment horizontal="center" vertical="center" wrapText="1"/>
    </xf>
    <xf numFmtId="0" fontId="75" fillId="22" borderId="98" xfId="1" applyFont="1" applyFill="1" applyBorder="1" applyAlignment="1">
      <alignment horizontal="center" vertical="center" wrapText="1"/>
    </xf>
    <xf numFmtId="0" fontId="75" fillId="22" borderId="96" xfId="1" applyFont="1" applyFill="1" applyBorder="1" applyAlignment="1">
      <alignment horizontal="center" vertical="center" wrapText="1"/>
    </xf>
    <xf numFmtId="0" fontId="75" fillId="22" borderId="99" xfId="1" applyFont="1" applyFill="1" applyBorder="1" applyAlignment="1">
      <alignment horizontal="center" vertical="center" wrapText="1"/>
    </xf>
    <xf numFmtId="0" fontId="60" fillId="19" borderId="0" xfId="0" applyFont="1" applyFill="1" applyAlignment="1">
      <alignment horizontal="left" vertical="center" wrapText="1"/>
    </xf>
    <xf numFmtId="0" fontId="75" fillId="22" borderId="91" xfId="1" applyFont="1" applyFill="1" applyBorder="1" applyAlignment="1">
      <alignment horizontal="center" vertical="center" wrapText="1"/>
    </xf>
    <xf numFmtId="0" fontId="75" fillId="22" borderId="93" xfId="1" applyFont="1" applyFill="1" applyBorder="1" applyAlignment="1">
      <alignment horizontal="center" vertical="center" wrapText="1"/>
    </xf>
    <xf numFmtId="0" fontId="75" fillId="22" borderId="94" xfId="1" applyFont="1" applyFill="1" applyBorder="1" applyAlignment="1">
      <alignment horizontal="center" vertical="center" wrapText="1"/>
    </xf>
    <xf numFmtId="0" fontId="75" fillId="22" borderId="97" xfId="1" applyFont="1" applyFill="1" applyBorder="1" applyAlignment="1">
      <alignment horizontal="center" vertical="center" wrapText="1"/>
    </xf>
    <xf numFmtId="0" fontId="64" fillId="19" borderId="101" xfId="0" applyFont="1" applyFill="1" applyBorder="1" applyAlignment="1">
      <alignment horizontal="left" vertical="top" wrapText="1"/>
    </xf>
    <xf numFmtId="0" fontId="64" fillId="19" borderId="102" xfId="0" applyFont="1" applyFill="1" applyBorder="1" applyAlignment="1">
      <alignment horizontal="left" vertical="top" wrapText="1"/>
    </xf>
    <xf numFmtId="0" fontId="68" fillId="25" borderId="104" xfId="0" applyFont="1" applyFill="1" applyBorder="1" applyAlignment="1">
      <alignment horizontal="center" vertical="center" wrapText="1"/>
    </xf>
    <xf numFmtId="0" fontId="68" fillId="25" borderId="105" xfId="0" applyFont="1" applyFill="1" applyBorder="1" applyAlignment="1">
      <alignment horizontal="center" vertical="center" wrapText="1"/>
    </xf>
    <xf numFmtId="0" fontId="68" fillId="25" borderId="106" xfId="0" applyFont="1" applyFill="1" applyBorder="1" applyAlignment="1">
      <alignment horizontal="center" vertical="center" wrapText="1"/>
    </xf>
    <xf numFmtId="0" fontId="1" fillId="19" borderId="116" xfId="0" applyFont="1" applyFill="1" applyBorder="1" applyAlignment="1">
      <alignment horizontal="left" vertical="top" wrapText="1"/>
    </xf>
    <xf numFmtId="0" fontId="1" fillId="19" borderId="100" xfId="0" applyFont="1" applyFill="1" applyBorder="1" applyAlignment="1">
      <alignment horizontal="left" vertical="top" wrapText="1"/>
    </xf>
    <xf numFmtId="0" fontId="1" fillId="19" borderId="113" xfId="0" applyFont="1" applyFill="1" applyBorder="1" applyAlignment="1">
      <alignment horizontal="left" vertical="top" wrapText="1"/>
    </xf>
    <xf numFmtId="0" fontId="1" fillId="19" borderId="114" xfId="0" applyFont="1" applyFill="1" applyBorder="1" applyAlignment="1">
      <alignment horizontal="left" vertical="top" wrapText="1"/>
    </xf>
    <xf numFmtId="0" fontId="1" fillId="19" borderId="101" xfId="0" applyFont="1" applyFill="1" applyBorder="1" applyAlignment="1">
      <alignment horizontal="left" vertical="top" wrapText="1"/>
    </xf>
    <xf numFmtId="0" fontId="1" fillId="19" borderId="102" xfId="0" applyFont="1" applyFill="1" applyBorder="1" applyAlignment="1">
      <alignment horizontal="left" vertical="top" wrapText="1"/>
    </xf>
    <xf numFmtId="0" fontId="68" fillId="25" borderId="107" xfId="0" applyFont="1" applyFill="1" applyBorder="1" applyAlignment="1">
      <alignment horizontal="center" vertical="center" wrapText="1"/>
    </xf>
    <xf numFmtId="0" fontId="68" fillId="25" borderId="108" xfId="0" applyFont="1" applyFill="1" applyBorder="1" applyAlignment="1">
      <alignment horizontal="center" vertical="center" wrapText="1"/>
    </xf>
    <xf numFmtId="0" fontId="68" fillId="25" borderId="109" xfId="0" applyFont="1" applyFill="1" applyBorder="1" applyAlignment="1">
      <alignment horizontal="center" vertical="center" wrapText="1"/>
    </xf>
    <xf numFmtId="0" fontId="68" fillId="25" borderId="110" xfId="0" applyFont="1" applyFill="1" applyBorder="1" applyAlignment="1">
      <alignment horizontal="center" vertical="center" wrapText="1"/>
    </xf>
    <xf numFmtId="0" fontId="68" fillId="25" borderId="111" xfId="0" applyFont="1" applyFill="1" applyBorder="1" applyAlignment="1">
      <alignment horizontal="center" vertical="center" wrapText="1"/>
    </xf>
    <xf numFmtId="0" fontId="68" fillId="25" borderId="112" xfId="0" applyFont="1" applyFill="1" applyBorder="1" applyAlignment="1">
      <alignment horizontal="center" vertical="center" wrapText="1"/>
    </xf>
    <xf numFmtId="0" fontId="64" fillId="19" borderId="107" xfId="0" applyFont="1" applyFill="1" applyBorder="1" applyAlignment="1">
      <alignment horizontal="left" vertical="top" wrapText="1"/>
    </xf>
    <xf numFmtId="0" fontId="64" fillId="19" borderId="108" xfId="0" applyFont="1" applyFill="1" applyBorder="1" applyAlignment="1">
      <alignment horizontal="left" vertical="top" wrapText="1"/>
    </xf>
    <xf numFmtId="0" fontId="57" fillId="0" borderId="0" xfId="0" applyFont="1" applyAlignment="1">
      <alignment horizontal="center" vertical="center"/>
    </xf>
    <xf numFmtId="0" fontId="1" fillId="0" borderId="37" xfId="0" applyFont="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xf>
    <xf numFmtId="0" fontId="1" fillId="0" borderId="40" xfId="0" applyFont="1" applyBorder="1" applyAlignment="1">
      <alignment horizontal="center" vertical="center"/>
    </xf>
    <xf numFmtId="0" fontId="1" fillId="0" borderId="41" xfId="0" applyFont="1" applyBorder="1" applyAlignment="1">
      <alignment horizontal="center" vertical="center"/>
    </xf>
    <xf numFmtId="0" fontId="1" fillId="0" borderId="42" xfId="0" applyFont="1" applyBorder="1" applyAlignment="1">
      <alignment horizontal="center" vertical="center"/>
    </xf>
    <xf numFmtId="0" fontId="1" fillId="0" borderId="41"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36" fillId="5" borderId="12" xfId="0" applyFont="1" applyFill="1" applyBorder="1" applyAlignment="1">
      <alignment horizontal="center"/>
    </xf>
    <xf numFmtId="0" fontId="36" fillId="5" borderId="24" xfId="0" applyFont="1" applyFill="1" applyBorder="1" applyAlignment="1">
      <alignment horizontal="center"/>
    </xf>
    <xf numFmtId="0" fontId="36" fillId="5" borderId="12" xfId="0" applyFont="1" applyFill="1" applyBorder="1" applyAlignment="1">
      <alignment horizontal="center" vertical="center"/>
    </xf>
    <xf numFmtId="0" fontId="36" fillId="5" borderId="23" xfId="0" applyFont="1" applyFill="1" applyBorder="1" applyAlignment="1">
      <alignment horizontal="center" vertical="center"/>
    </xf>
    <xf numFmtId="0" fontId="36" fillId="5" borderId="24" xfId="0" applyFont="1" applyFill="1" applyBorder="1" applyAlignment="1">
      <alignment horizontal="center" vertical="center"/>
    </xf>
    <xf numFmtId="0" fontId="32" fillId="0" borderId="26" xfId="0" applyFont="1" applyBorder="1" applyAlignment="1">
      <alignment horizontal="center" vertical="center"/>
    </xf>
    <xf numFmtId="0" fontId="32" fillId="0" borderId="27" xfId="0" applyFont="1" applyBorder="1" applyAlignment="1">
      <alignment horizontal="center" vertical="center"/>
    </xf>
    <xf numFmtId="0" fontId="32" fillId="0" borderId="9" xfId="0" applyFont="1" applyBorder="1" applyAlignment="1">
      <alignment horizontal="center" vertical="center"/>
    </xf>
    <xf numFmtId="0" fontId="32" fillId="0" borderId="28" xfId="0" applyFont="1" applyBorder="1" applyAlignment="1">
      <alignment horizontal="center" vertical="center"/>
    </xf>
    <xf numFmtId="0" fontId="32" fillId="0" borderId="29" xfId="0" applyFont="1" applyBorder="1" applyAlignment="1">
      <alignment horizontal="center" vertical="center"/>
    </xf>
    <xf numFmtId="0" fontId="32" fillId="0" borderId="30" xfId="0" applyFont="1" applyBorder="1" applyAlignment="1">
      <alignment horizontal="center" vertical="center"/>
    </xf>
    <xf numFmtId="0" fontId="31" fillId="0" borderId="32" xfId="0" applyFont="1" applyBorder="1" applyAlignment="1">
      <alignment horizontal="center" vertical="center"/>
    </xf>
    <xf numFmtId="0" fontId="31" fillId="0" borderId="18" xfId="0" applyFont="1" applyBorder="1" applyAlignment="1">
      <alignment horizontal="center" vertical="center"/>
    </xf>
    <xf numFmtId="0" fontId="48" fillId="0" borderId="26" xfId="0" applyFont="1" applyBorder="1" applyAlignment="1">
      <alignment horizontal="center" vertical="center"/>
    </xf>
    <xf numFmtId="0" fontId="48" fillId="0" borderId="27" xfId="0" applyFont="1" applyBorder="1" applyAlignment="1">
      <alignment horizontal="center" vertical="center"/>
    </xf>
    <xf numFmtId="0" fontId="48" fillId="0" borderId="9" xfId="0" applyFont="1" applyBorder="1" applyAlignment="1">
      <alignment horizontal="center" vertical="center"/>
    </xf>
    <xf numFmtId="0" fontId="48" fillId="0" borderId="28" xfId="0" applyFont="1" applyBorder="1" applyAlignment="1">
      <alignment horizontal="center" vertical="center"/>
    </xf>
    <xf numFmtId="0" fontId="48" fillId="0" borderId="29" xfId="0" applyFont="1" applyBorder="1" applyAlignment="1">
      <alignment horizontal="center" vertical="center"/>
    </xf>
    <xf numFmtId="0" fontId="48" fillId="0" borderId="30" xfId="0" applyFont="1" applyBorder="1" applyAlignment="1">
      <alignment horizontal="center" vertical="center"/>
    </xf>
    <xf numFmtId="0" fontId="31" fillId="0" borderId="32" xfId="0" applyFont="1" applyBorder="1" applyAlignment="1">
      <alignment horizontal="center"/>
    </xf>
    <xf numFmtId="0" fontId="31" fillId="0" borderId="18" xfId="0" applyFont="1" applyBorder="1" applyAlignment="1">
      <alignment horizontal="center"/>
    </xf>
    <xf numFmtId="0" fontId="11" fillId="4" borderId="0" xfId="0" applyFont="1" applyFill="1" applyAlignment="1">
      <alignment horizontal="center"/>
    </xf>
    <xf numFmtId="0" fontId="49" fillId="0" borderId="26" xfId="0" applyFont="1" applyBorder="1" applyAlignment="1">
      <alignment horizontal="center" vertical="center"/>
    </xf>
    <xf numFmtId="0" fontId="49" fillId="0" borderId="27" xfId="0" applyFont="1" applyBorder="1" applyAlignment="1">
      <alignment horizontal="center" vertical="center"/>
    </xf>
    <xf numFmtId="0" fontId="49" fillId="0" borderId="9" xfId="0" applyFont="1" applyBorder="1" applyAlignment="1">
      <alignment horizontal="center" vertical="center"/>
    </xf>
    <xf numFmtId="0" fontId="49" fillId="0" borderId="28" xfId="0" applyFont="1" applyBorder="1" applyAlignment="1">
      <alignment horizontal="center" vertical="center"/>
    </xf>
    <xf numFmtId="0" fontId="49" fillId="0" borderId="29" xfId="0" applyFont="1" applyBorder="1" applyAlignment="1">
      <alignment horizontal="center" vertical="center"/>
    </xf>
    <xf numFmtId="0" fontId="49" fillId="0" borderId="30" xfId="0" applyFont="1" applyBorder="1" applyAlignment="1">
      <alignment horizontal="center" vertical="center"/>
    </xf>
    <xf numFmtId="0" fontId="11" fillId="4" borderId="10" xfId="0" applyFont="1" applyFill="1" applyBorder="1" applyAlignment="1">
      <alignment horizontal="center"/>
    </xf>
    <xf numFmtId="10" fontId="6" fillId="0" borderId="34" xfId="0" applyNumberFormat="1" applyFont="1" applyBorder="1" applyAlignment="1">
      <alignment horizontal="center" vertical="center"/>
    </xf>
    <xf numFmtId="0" fontId="4" fillId="0" borderId="34" xfId="0" applyFont="1" applyBorder="1" applyAlignment="1">
      <alignment horizontal="center"/>
    </xf>
    <xf numFmtId="0" fontId="10" fillId="0" borderId="4" xfId="0" applyFont="1" applyBorder="1" applyAlignment="1">
      <alignment horizontal="center" vertical="center" wrapText="1"/>
    </xf>
    <xf numFmtId="0" fontId="29" fillId="0" borderId="4"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25" xfId="0" applyFont="1" applyBorder="1" applyAlignment="1">
      <alignment horizontal="center" vertical="center" wrapText="1"/>
    </xf>
    <xf numFmtId="0" fontId="10" fillId="0" borderId="0" xfId="0" applyFont="1" applyAlignment="1">
      <alignment horizontal="center" vertical="center" wrapText="1"/>
    </xf>
    <xf numFmtId="0" fontId="10" fillId="0" borderId="3" xfId="0" applyFont="1" applyBorder="1" applyAlignment="1">
      <alignment horizontal="center" vertical="center" wrapText="1"/>
    </xf>
  </cellXfs>
  <cellStyles count="5">
    <cellStyle name="Comma" xfId="4" builtinId="3"/>
    <cellStyle name="Normal" xfId="0" builtinId="0"/>
    <cellStyle name="Normal 2" xfId="1" xr:uid="{00000000-0005-0000-0000-000001000000}"/>
    <cellStyle name="Percent" xfId="3" builtinId="5"/>
    <cellStyle name="Percent 2"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25" b="1" i="0" u="none" strike="noStrike" baseline="0">
                <a:solidFill>
                  <a:srgbClr val="000000"/>
                </a:solidFill>
                <a:latin typeface="Arial"/>
                <a:ea typeface="Arial"/>
                <a:cs typeface="Arial"/>
              </a:defRPr>
            </a:pPr>
            <a:r>
              <a:rPr lang="en-US"/>
              <a:t>Performance/Potential 9-Box Grid</a:t>
            </a:r>
          </a:p>
        </c:rich>
      </c:tx>
      <c:layout>
        <c:manualLayout>
          <c:xMode val="edge"/>
          <c:yMode val="edge"/>
          <c:x val="0.17253521126760568"/>
          <c:y val="3.5971223021582746E-2"/>
        </c:manualLayout>
      </c:layout>
      <c:overlay val="0"/>
      <c:spPr>
        <a:noFill/>
        <a:ln w="25400">
          <a:noFill/>
        </a:ln>
      </c:spPr>
    </c:title>
    <c:autoTitleDeleted val="0"/>
    <c:plotArea>
      <c:layout>
        <c:manualLayout>
          <c:layoutTarget val="inner"/>
          <c:xMode val="edge"/>
          <c:yMode val="edge"/>
          <c:x val="7.0422535211267623E-2"/>
          <c:y val="0.11870503597122309"/>
          <c:w val="0.87323943661971892"/>
          <c:h val="0.80935251798561147"/>
        </c:manualLayout>
      </c:layout>
      <c:scatterChart>
        <c:scatterStyle val="lineMarker"/>
        <c:varyColors val="0"/>
        <c:ser>
          <c:idx val="0"/>
          <c:order val="0"/>
          <c:tx>
            <c:v>Talent</c:v>
          </c:tx>
          <c:spPr>
            <a:ln w="28575">
              <a:noFill/>
            </a:ln>
          </c:spPr>
          <c:marker>
            <c:symbol val="diamond"/>
            <c:size val="5"/>
            <c:spPr>
              <a:solidFill>
                <a:srgbClr val="000080"/>
              </a:solidFill>
              <a:ln>
                <a:solidFill>
                  <a:srgbClr val="000080"/>
                </a:solidFill>
                <a:prstDash val="solid"/>
              </a:ln>
            </c:spPr>
          </c:marker>
          <c:xVal>
            <c:numRef>
              <c:f>'Bag 4 Final Rating'!$E$25</c:f>
              <c:numCache>
                <c:formatCode>General</c:formatCode>
                <c:ptCount val="1"/>
                <c:pt idx="0">
                  <c:v>3.5999999999999996</c:v>
                </c:pt>
              </c:numCache>
            </c:numRef>
          </c:xVal>
          <c:yVal>
            <c:numRef>
              <c:f>'Bag 4 Final Rating'!$B$25</c:f>
              <c:numCache>
                <c:formatCode>General</c:formatCode>
                <c:ptCount val="1"/>
                <c:pt idx="0">
                  <c:v>3.5999999999999996</c:v>
                </c:pt>
              </c:numCache>
            </c:numRef>
          </c:yVal>
          <c:smooth val="0"/>
          <c:extLst>
            <c:ext xmlns:c16="http://schemas.microsoft.com/office/drawing/2014/chart" uri="{C3380CC4-5D6E-409C-BE32-E72D297353CC}">
              <c16:uniqueId val="{00000000-DC9D-436E-82FB-604E08974BF1}"/>
            </c:ext>
          </c:extLst>
        </c:ser>
        <c:dLbls>
          <c:showLegendKey val="0"/>
          <c:showVal val="0"/>
          <c:showCatName val="0"/>
          <c:showSerName val="0"/>
          <c:showPercent val="0"/>
          <c:showBubbleSize val="0"/>
        </c:dLbls>
        <c:axId val="-566451280"/>
        <c:axId val="-566461616"/>
      </c:scatterChart>
      <c:valAx>
        <c:axId val="-566451280"/>
        <c:scaling>
          <c:orientation val="minMax"/>
          <c:max val="6"/>
          <c:min val="1.2"/>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US"/>
                  <a:t>Potential</a:t>
                </a:r>
              </a:p>
            </c:rich>
          </c:tx>
          <c:layout>
            <c:manualLayout>
              <c:xMode val="edge"/>
              <c:yMode val="edge"/>
              <c:x val="0.41549295774647887"/>
              <c:y val="0.91007194244604339"/>
            </c:manualLayout>
          </c:layout>
          <c:overlay val="0"/>
          <c:spPr>
            <a:noFill/>
            <a:ln w="25400">
              <a:noFill/>
            </a:ln>
          </c:spPr>
        </c:title>
        <c:numFmt formatCode="General" sourceLinked="1"/>
        <c:majorTickMark val="none"/>
        <c:minorTickMark val="none"/>
        <c:tickLblPos val="none"/>
        <c:spPr>
          <a:ln w="3175">
            <a:solidFill>
              <a:srgbClr val="000000"/>
            </a:solidFill>
            <a:prstDash val="solid"/>
          </a:ln>
        </c:spPr>
        <c:crossAx val="-566461616"/>
        <c:crossesAt val="0"/>
        <c:crossBetween val="midCat"/>
        <c:majorUnit val="1.6"/>
        <c:minorUnit val="0.1"/>
      </c:valAx>
      <c:valAx>
        <c:axId val="-566461616"/>
        <c:scaling>
          <c:orientation val="minMax"/>
          <c:max val="6"/>
          <c:min val="1.2"/>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US"/>
                  <a:t>Performance</a:t>
                </a:r>
              </a:p>
            </c:rich>
          </c:tx>
          <c:layout>
            <c:manualLayout>
              <c:xMode val="edge"/>
              <c:yMode val="edge"/>
              <c:x val="1.7605633802816902E-2"/>
              <c:y val="0.38489208633093541"/>
            </c:manualLayout>
          </c:layout>
          <c:overlay val="0"/>
          <c:spPr>
            <a:noFill/>
            <a:ln w="25400">
              <a:noFill/>
            </a:ln>
          </c:spPr>
        </c:title>
        <c:numFmt formatCode="General" sourceLinked="1"/>
        <c:majorTickMark val="none"/>
        <c:minorTickMark val="none"/>
        <c:tickLblPos val="none"/>
        <c:spPr>
          <a:ln w="3175">
            <a:solidFill>
              <a:srgbClr val="000000"/>
            </a:solidFill>
            <a:prstDash val="solid"/>
          </a:ln>
        </c:spPr>
        <c:crossAx val="-566451280"/>
        <c:crossesAt val="0"/>
        <c:crossBetween val="midCat"/>
        <c:majorUnit val="1.6"/>
        <c:minorUnit val="0.1"/>
      </c:valAx>
      <c:spPr>
        <a:noFill/>
        <a:ln w="12700">
          <a:solidFill>
            <a:srgbClr val="808080"/>
          </a:solidFill>
          <a:prstDash val="solid"/>
        </a:ln>
      </c:spPr>
    </c:plotArea>
    <c:plotVisOnly val="1"/>
    <c:dispBlanksAs val="gap"/>
    <c:showDLblsOverMax val="0"/>
  </c:chart>
  <c:spPr>
    <a:solidFill>
      <a:srgbClr val="FFFFFF"/>
    </a:solidFill>
    <a:ln w="38100">
      <a:solidFill>
        <a:srgbClr val="000000"/>
      </a:solidFill>
      <a:prstDash val="solid"/>
    </a:ln>
  </c:spPr>
  <c:txPr>
    <a:bodyPr/>
    <a:lstStyle/>
    <a:p>
      <a:pPr>
        <a:defRPr sz="575" b="0" i="0" u="none" strike="noStrike" baseline="0">
          <a:solidFill>
            <a:srgbClr val="000000"/>
          </a:solidFill>
          <a:latin typeface="Arial"/>
          <a:ea typeface="Arial"/>
          <a:cs typeface="Arial"/>
        </a:defRPr>
      </a:pPr>
      <a:endParaRPr lang="en-US"/>
    </a:p>
  </c:txPr>
  <c:printSettings>
    <c:headerFooter alignWithMargins="0"/>
    <c:pageMargins b="1" l="0.75000000000000022" r="0.75000000000000022" t="1" header="0.5" footer="0.5"/>
    <c:pageSetup orientation="landscape"/>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9.jpeg"/><Relationship Id="rId4"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19049</xdr:rowOff>
    </xdr:from>
    <xdr:to>
      <xdr:col>0</xdr:col>
      <xdr:colOff>923925</xdr:colOff>
      <xdr:row>32</xdr:row>
      <xdr:rowOff>47625</xdr:rowOff>
    </xdr:to>
    <xdr:grpSp>
      <xdr:nvGrpSpPr>
        <xdr:cNvPr id="21" name="Group 20">
          <a:extLst>
            <a:ext uri="{FF2B5EF4-FFF2-40B4-BE49-F238E27FC236}">
              <a16:creationId xmlns:a16="http://schemas.microsoft.com/office/drawing/2014/main" id="{00000000-0008-0000-0100-000015000000}"/>
            </a:ext>
          </a:extLst>
        </xdr:cNvPr>
        <xdr:cNvGrpSpPr/>
      </xdr:nvGrpSpPr>
      <xdr:grpSpPr>
        <a:xfrm>
          <a:off x="9525" y="19049"/>
          <a:ext cx="914400" cy="7473951"/>
          <a:chOff x="9525" y="19049"/>
          <a:chExt cx="914400" cy="7489826"/>
        </a:xfrm>
      </xdr:grpSpPr>
      <xdr:sp macro="" textlink="">
        <xdr:nvSpPr>
          <xdr:cNvPr id="6" name="Rectangle 5">
            <a:extLst>
              <a:ext uri="{FF2B5EF4-FFF2-40B4-BE49-F238E27FC236}">
                <a16:creationId xmlns:a16="http://schemas.microsoft.com/office/drawing/2014/main" id="{00000000-0008-0000-0100-000006000000}"/>
              </a:ext>
            </a:extLst>
          </xdr:cNvPr>
          <xdr:cNvSpPr/>
        </xdr:nvSpPr>
        <xdr:spPr>
          <a:xfrm>
            <a:off x="9525" y="19049"/>
            <a:ext cx="914400" cy="7451725"/>
          </a:xfrm>
          <a:prstGeom prst="rect">
            <a:avLst/>
          </a:prstGeom>
          <a:gradFill flip="none" rotWithShape="1">
            <a:gsLst>
              <a:gs pos="0">
                <a:schemeClr val="tx2">
                  <a:shade val="30000"/>
                  <a:satMod val="115000"/>
                </a:schemeClr>
              </a:gs>
              <a:gs pos="50000">
                <a:schemeClr val="tx2">
                  <a:shade val="67500"/>
                  <a:satMod val="115000"/>
                </a:schemeClr>
              </a:gs>
              <a:gs pos="100000">
                <a:schemeClr val="tx2">
                  <a:shade val="100000"/>
                  <a:satMod val="115000"/>
                </a:schemeClr>
              </a:gs>
            </a:gsLst>
            <a:lin ang="108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xnSp macro="">
        <xdr:nvCxnSpPr>
          <xdr:cNvPr id="13" name="Straight Connector 12">
            <a:extLst>
              <a:ext uri="{FF2B5EF4-FFF2-40B4-BE49-F238E27FC236}">
                <a16:creationId xmlns:a16="http://schemas.microsoft.com/office/drawing/2014/main" id="{00000000-0008-0000-0100-00000D000000}"/>
              </a:ext>
            </a:extLst>
          </xdr:cNvPr>
          <xdr:cNvCxnSpPr/>
        </xdr:nvCxnSpPr>
        <xdr:spPr>
          <a:xfrm>
            <a:off x="638175" y="19050"/>
            <a:ext cx="0" cy="748982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4" name="Straight Connector 13">
            <a:extLst>
              <a:ext uri="{FF2B5EF4-FFF2-40B4-BE49-F238E27FC236}">
                <a16:creationId xmlns:a16="http://schemas.microsoft.com/office/drawing/2014/main" id="{00000000-0008-0000-0100-00000E000000}"/>
              </a:ext>
            </a:extLst>
          </xdr:cNvPr>
          <xdr:cNvCxnSpPr/>
        </xdr:nvCxnSpPr>
        <xdr:spPr>
          <a:xfrm>
            <a:off x="742950" y="19050"/>
            <a:ext cx="0" cy="7461250"/>
          </a:xfrm>
          <a:prstGeom prst="line">
            <a:avLst/>
          </a:prstGeom>
          <a:ln w="28575">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428625</xdr:colOff>
      <xdr:row>1</xdr:row>
      <xdr:rowOff>104776</xdr:rowOff>
    </xdr:from>
    <xdr:to>
      <xdr:col>6</xdr:col>
      <xdr:colOff>11906</xdr:colOff>
      <xdr:row>4</xdr:row>
      <xdr:rowOff>142876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8667750" y="533401"/>
          <a:ext cx="2762250"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latin typeface="Corbel" pitchFamily="34" charset="0"/>
            </a:rPr>
            <a:t>Performance Management Form</a:t>
          </a:r>
        </a:p>
        <a:p>
          <a:pPr algn="r"/>
          <a:r>
            <a:rPr lang="en-US" sz="1100" b="1">
              <a:latin typeface="Corbel" pitchFamily="34" charset="0"/>
            </a:rPr>
            <a:t>Role Family: </a:t>
          </a:r>
          <a:r>
            <a:rPr lang="en-US" sz="1100" b="1" baseline="0">
              <a:solidFill>
                <a:srgbClr val="FF0000"/>
              </a:solidFill>
              <a:latin typeface="Corbel" pitchFamily="34" charset="0"/>
            </a:rPr>
            <a:t> Service</a:t>
          </a:r>
          <a:r>
            <a:rPr lang="en-US" sz="1100" b="1">
              <a:solidFill>
                <a:srgbClr val="FF0000"/>
              </a:solidFill>
              <a:latin typeface="Corbel" pitchFamily="34" charset="0"/>
            </a:rPr>
            <a:t> Delivery</a:t>
          </a:r>
        </a:p>
      </xdr:txBody>
    </xdr:sp>
    <xdr:clientData/>
  </xdr:twoCellAnchor>
  <xdr:twoCellAnchor editAs="oneCell">
    <xdr:from>
      <xdr:col>0</xdr:col>
      <xdr:colOff>1173953</xdr:colOff>
      <xdr:row>0</xdr:row>
      <xdr:rowOff>241122</xdr:rowOff>
    </xdr:from>
    <xdr:to>
      <xdr:col>2</xdr:col>
      <xdr:colOff>1157019</xdr:colOff>
      <xdr:row>3</xdr:row>
      <xdr:rowOff>184313</xdr:rowOff>
    </xdr:to>
    <xdr:pic>
      <xdr:nvPicPr>
        <xdr:cNvPr id="3" name="Picture 2" descr="http://www.fatmawaticitycenter.net/uploads/5/4/9/8/54987465/1881603_orig.png">
          <a:extLst>
            <a:ext uri="{FF2B5EF4-FFF2-40B4-BE49-F238E27FC236}">
              <a16:creationId xmlns:a16="http://schemas.microsoft.com/office/drawing/2014/main" id="{00000000-0008-0000-0100-000003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1546"/>
        <a:stretch/>
      </xdr:blipFill>
      <xdr:spPr bwMode="auto">
        <a:xfrm>
          <a:off x="1173953" y="241122"/>
          <a:ext cx="2935816" cy="752816"/>
        </a:xfrm>
        <a:prstGeom prst="rect">
          <a:avLst/>
        </a:prstGeom>
        <a:ln>
          <a:noFill/>
        </a:ln>
        <a:effectLst/>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1409699</xdr:colOff>
      <xdr:row>20</xdr:row>
      <xdr:rowOff>171450</xdr:rowOff>
    </xdr:from>
    <xdr:to>
      <xdr:col>6</xdr:col>
      <xdr:colOff>19049</xdr:colOff>
      <xdr:row>32</xdr:row>
      <xdr:rowOff>19050</xdr:rowOff>
    </xdr:to>
    <xdr:sp macro="" textlink="">
      <xdr:nvSpPr>
        <xdr:cNvPr id="15" name="Text Box 50">
          <a:extLst>
            <a:ext uri="{FF2B5EF4-FFF2-40B4-BE49-F238E27FC236}">
              <a16:creationId xmlns:a16="http://schemas.microsoft.com/office/drawing/2014/main" id="{00000000-0008-0000-0100-00000F000000}"/>
            </a:ext>
          </a:extLst>
        </xdr:cNvPr>
        <xdr:cNvSpPr txBox="1">
          <a:spLocks noChangeArrowheads="1"/>
        </xdr:cNvSpPr>
      </xdr:nvSpPr>
      <xdr:spPr bwMode="auto">
        <a:xfrm>
          <a:off x="1409699" y="5057775"/>
          <a:ext cx="9858375" cy="2143125"/>
        </a:xfrm>
        <a:prstGeom prst="rect">
          <a:avLst/>
        </a:prstGeom>
        <a:solidFill>
          <a:srgbClr val="C0C0C0"/>
        </a:solidFill>
        <a:ln w="9525">
          <a:noFill/>
          <a:miter lim="800000"/>
          <a:headEnd/>
          <a:tailEnd/>
        </a:ln>
      </xdr:spPr>
      <xdr:txBody>
        <a:bodyPr vertOverflow="clip" wrap="square" lIns="91440" tIns="45720" rIns="91440" bIns="45720" anchor="t" upright="1"/>
        <a:lstStyle/>
        <a:p>
          <a:pPr algn="l" rtl="0">
            <a:defRPr sz="1000"/>
          </a:pPr>
          <a:r>
            <a:rPr lang="en-US" sz="1100" b="1" i="0" strike="noStrike">
              <a:solidFill>
                <a:srgbClr val="000000"/>
              </a:solidFill>
              <a:latin typeface="Corbel"/>
            </a:rPr>
            <a:t>Performance Management Form ini terdiri dari 4 bagian: </a:t>
          </a:r>
        </a:p>
        <a:p>
          <a:pPr algn="l" rtl="0">
            <a:defRPr sz="1000"/>
          </a:pPr>
          <a:endParaRPr lang="en-US" sz="1200" b="0" i="0" strike="noStrike">
            <a:solidFill>
              <a:srgbClr val="000000"/>
            </a:solidFill>
            <a:latin typeface="Corbel"/>
          </a:endParaRPr>
        </a:p>
        <a:p>
          <a:pPr algn="l" rtl="0">
            <a:defRPr sz="1000"/>
          </a:pPr>
          <a:r>
            <a:rPr lang="en-US" sz="1000" b="1" i="0" strike="noStrike">
              <a:solidFill>
                <a:srgbClr val="000000"/>
              </a:solidFill>
              <a:latin typeface="Corbel"/>
            </a:rPr>
            <a:t>Bagian I: </a:t>
          </a:r>
          <a:endParaRPr lang="en-US" sz="1000" b="0" i="0" strike="noStrike">
            <a:solidFill>
              <a:srgbClr val="000000"/>
            </a:solidFill>
            <a:latin typeface="Corbel"/>
          </a:endParaRPr>
        </a:p>
        <a:p>
          <a:pPr algn="l" rtl="0">
            <a:defRPr sz="1000"/>
          </a:pPr>
          <a:r>
            <a:rPr lang="en-US" sz="1000" b="0" i="0" strike="noStrike">
              <a:solidFill>
                <a:srgbClr val="000000"/>
              </a:solidFill>
              <a:latin typeface="Corbel"/>
            </a:rPr>
            <a:t>Evaluasi pencapaian kerja, target, aktivitas utama karyawan yang disusun secara S.M.A.R.T. (Specific, Measureable, Achieveable, Relevant, Timeliness)</a:t>
          </a:r>
        </a:p>
        <a:p>
          <a:pPr algn="l" rtl="0">
            <a:defRPr sz="1000"/>
          </a:pPr>
          <a:r>
            <a:rPr lang="en-US" sz="1000" b="1" i="0" strike="noStrike">
              <a:solidFill>
                <a:srgbClr val="000000"/>
              </a:solidFill>
              <a:latin typeface="Corbel"/>
            </a:rPr>
            <a:t>Bagian II:</a:t>
          </a:r>
          <a:endParaRPr lang="en-US" sz="1000" b="0" i="0" strike="noStrike">
            <a:solidFill>
              <a:srgbClr val="000000"/>
            </a:solidFill>
            <a:latin typeface="Corbel"/>
          </a:endParaRPr>
        </a:p>
        <a:p>
          <a:pPr algn="l" rtl="0">
            <a:defRPr sz="1000"/>
          </a:pPr>
          <a:r>
            <a:rPr lang="en-US" sz="1000" b="0" i="0" strike="noStrike">
              <a:solidFill>
                <a:srgbClr val="000000"/>
              </a:solidFill>
              <a:latin typeface="Corbel"/>
            </a:rPr>
            <a:t>Indikator Kompetensi - Kompetensi umum yang dipersyaratkan dalam pencapaian kinerja - sesuai dengan masing-masing role family.</a:t>
          </a:r>
        </a:p>
        <a:p>
          <a:pPr algn="l" rtl="0">
            <a:defRPr sz="1000"/>
          </a:pPr>
          <a:r>
            <a:rPr lang="en-US" sz="1000" b="1" i="0" strike="noStrike">
              <a:solidFill>
                <a:srgbClr val="000000"/>
              </a:solidFill>
              <a:latin typeface="Corbel"/>
            </a:rPr>
            <a:t>Bagian III:</a:t>
          </a:r>
          <a:endParaRPr lang="en-US" sz="1000" b="0" i="0" strike="noStrike">
            <a:solidFill>
              <a:srgbClr val="000000"/>
            </a:solidFill>
            <a:latin typeface="Corbel"/>
          </a:endParaRPr>
        </a:p>
        <a:p>
          <a:pPr algn="l" rtl="0">
            <a:defRPr sz="1000"/>
          </a:pPr>
          <a:r>
            <a:rPr lang="en-US" sz="1000" b="0" i="0" strike="noStrike">
              <a:solidFill>
                <a:srgbClr val="000000"/>
              </a:solidFill>
              <a:latin typeface="Corbel"/>
            </a:rPr>
            <a:t>Rencana Pelatihan dan Pengembangan Kompetensi - Identifikasi kebutuhan pengembangan kompetensi teknis dan umum. Susun kegiatan pengembangan kompetensi. Tentukan pula sumber referensi atau monitoring tools yang relevan yang akan digunakan.</a:t>
          </a:r>
        </a:p>
        <a:p>
          <a:pPr algn="l" rtl="0">
            <a:defRPr sz="1000"/>
          </a:pPr>
          <a:r>
            <a:rPr lang="en-US" sz="1000" b="1" i="0" strike="noStrike">
              <a:solidFill>
                <a:srgbClr val="000000"/>
              </a:solidFill>
              <a:latin typeface="Corbel"/>
            </a:rPr>
            <a:t>Bagian IV:</a:t>
          </a:r>
          <a:endParaRPr lang="en-US" sz="1000" b="0" i="0" strike="noStrike">
            <a:solidFill>
              <a:srgbClr val="000000"/>
            </a:solidFill>
            <a:latin typeface="Corbel"/>
          </a:endParaRPr>
        </a:p>
        <a:p>
          <a:pPr algn="l" rtl="0">
            <a:defRPr sz="1000"/>
          </a:pPr>
          <a:r>
            <a:rPr lang="en-US" sz="1000" b="0" i="0" strike="noStrike">
              <a:solidFill>
                <a:srgbClr val="000000"/>
              </a:solidFill>
              <a:latin typeface="Corbel"/>
            </a:rPr>
            <a:t>Kesimpulan &amp; Final Rating - Penilaian akan diberikan kepada karyawan sesuai dengan pencapaian kinerja individu dan tingkat kompetensinya yang tercantum di dalam Bagian I dan Bagian II. Penilaian Interim (Tengah Tahun)  dapat dilakukan bulan Juli/Agustus dan Penilaian Akhir dilakukan bulan November/Desember.</a:t>
          </a:r>
        </a:p>
      </xdr:txBody>
    </xdr:sp>
    <xdr:clientData/>
  </xdr:twoCellAnchor>
  <xdr:twoCellAnchor>
    <xdr:from>
      <xdr:col>0</xdr:col>
      <xdr:colOff>11906</xdr:colOff>
      <xdr:row>5</xdr:row>
      <xdr:rowOff>0</xdr:rowOff>
    </xdr:from>
    <xdr:to>
      <xdr:col>6</xdr:col>
      <xdr:colOff>338138</xdr:colOff>
      <xdr:row>12</xdr:row>
      <xdr:rowOff>31750</xdr:rowOff>
    </xdr:to>
    <xdr:grpSp>
      <xdr:nvGrpSpPr>
        <xdr:cNvPr id="22" name="Group 21">
          <a:extLst>
            <a:ext uri="{FF2B5EF4-FFF2-40B4-BE49-F238E27FC236}">
              <a16:creationId xmlns:a16="http://schemas.microsoft.com/office/drawing/2014/main" id="{00000000-0008-0000-0100-000016000000}"/>
            </a:ext>
          </a:extLst>
        </xdr:cNvPr>
        <xdr:cNvGrpSpPr/>
      </xdr:nvGrpSpPr>
      <xdr:grpSpPr>
        <a:xfrm>
          <a:off x="11906" y="1158875"/>
          <a:ext cx="12295982" cy="1309688"/>
          <a:chOff x="11906" y="952500"/>
          <a:chExt cx="11746707" cy="1365250"/>
        </a:xfrm>
      </xdr:grpSpPr>
      <xdr:pic>
        <xdr:nvPicPr>
          <xdr:cNvPr id="7" name="Picture 6" descr="http://nistmep.blogs.govdelivery.com/wp-content/uploads/2016/06/performance-BlogFeaturedImage702x330-702x330.jpg?8dfe71">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06" y="952500"/>
            <a:ext cx="2836690" cy="136525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5" name="Picture 4" descr="http://www.livingsport.co.uk/wp-content/uploads/2014/07/Racing-colleagues.jpg">
            <a:extLst>
              <a:ext uri="{FF2B5EF4-FFF2-40B4-BE49-F238E27FC236}">
                <a16:creationId xmlns:a16="http://schemas.microsoft.com/office/drawing/2014/main" id="{00000000-0008-0000-0100-000005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4616"/>
          <a:stretch/>
        </xdr:blipFill>
        <xdr:spPr bwMode="auto">
          <a:xfrm>
            <a:off x="2850356" y="952500"/>
            <a:ext cx="2360590" cy="136525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8" name="Picture 7" descr="https://media.licdn.com/mpr/mpr/p/3/005/096/097/2660069.jpg">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06816" y="952500"/>
            <a:ext cx="2171847" cy="1362807"/>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10" name="Picture 9" descr="http://www.juilliard.edu/sites/juilliard.edu/files/landing-pages/2015/historicalperformance_4.jpg">
            <a:extLst>
              <a:ext uri="{FF2B5EF4-FFF2-40B4-BE49-F238E27FC236}">
                <a16:creationId xmlns:a16="http://schemas.microsoft.com/office/drawing/2014/main" id="{00000000-0008-0000-0100-00000A000000}"/>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7031" b="18324"/>
          <a:stretch/>
        </xdr:blipFill>
        <xdr:spPr bwMode="auto">
          <a:xfrm>
            <a:off x="7381145" y="952501"/>
            <a:ext cx="4377468" cy="1364104"/>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47626</xdr:colOff>
      <xdr:row>0</xdr:row>
      <xdr:rowOff>168150</xdr:rowOff>
    </xdr:from>
    <xdr:to>
      <xdr:col>14</xdr:col>
      <xdr:colOff>585109</xdr:colOff>
      <xdr:row>6</xdr:row>
      <xdr:rowOff>176892</xdr:rowOff>
    </xdr:to>
    <xdr:grpSp>
      <xdr:nvGrpSpPr>
        <xdr:cNvPr id="4" name="Group 3">
          <a:extLst>
            <a:ext uri="{FF2B5EF4-FFF2-40B4-BE49-F238E27FC236}">
              <a16:creationId xmlns:a16="http://schemas.microsoft.com/office/drawing/2014/main" id="{00000000-0008-0000-0200-000004000000}"/>
            </a:ext>
          </a:extLst>
        </xdr:cNvPr>
        <xdr:cNvGrpSpPr/>
      </xdr:nvGrpSpPr>
      <xdr:grpSpPr>
        <a:xfrm>
          <a:off x="451717" y="168150"/>
          <a:ext cx="11147756" cy="1532742"/>
          <a:chOff x="273660" y="168151"/>
          <a:chExt cx="9429934" cy="1812656"/>
        </a:xfrm>
      </xdr:grpSpPr>
      <xdr:pic>
        <xdr:nvPicPr>
          <xdr:cNvPr id="2" name="Picture 1" descr="http://yoursmallbusinessgrowth.com/wp-content/uploads/2011/05/Improve-Performance.jpg">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3660" y="168151"/>
            <a:ext cx="2774340" cy="181265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3048000" y="190500"/>
            <a:ext cx="6655594" cy="1785938"/>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Corbel" pitchFamily="34" charset="0"/>
              </a:rPr>
              <a:t>Section 1: Key Performance Indicator</a:t>
            </a:r>
            <a:r>
              <a:rPr lang="en-US" sz="2400" b="1" baseline="0">
                <a:solidFill>
                  <a:schemeClr val="bg1"/>
                </a:solidFill>
                <a:latin typeface="Corbel" pitchFamily="34" charset="0"/>
              </a:rPr>
              <a:t> (KPI)</a:t>
            </a:r>
          </a:p>
          <a:p>
            <a:r>
              <a:rPr lang="en-US" sz="1200" b="0">
                <a:solidFill>
                  <a:schemeClr val="bg1"/>
                </a:solidFill>
                <a:latin typeface="Corbel" pitchFamily="34" charset="0"/>
              </a:rPr>
              <a:t>KPI adalah target kinerja utama, </a:t>
            </a:r>
            <a:r>
              <a:rPr lang="en-US" sz="1200" b="0" baseline="0">
                <a:solidFill>
                  <a:schemeClr val="bg1"/>
                </a:solidFill>
                <a:latin typeface="Corbel" pitchFamily="34" charset="0"/>
              </a:rPr>
              <a:t>yang disetujui di akhir tahun dan dievaluasi secara reguler. KPI harus memenuhi unsur SMART. Perubahan pada target kinerja yang telah disetujui hanya bisa dilakukan jika terdapat alasan yang jelas dan mendapatkan persetujuan ulang oleh atasan.</a:t>
            </a:r>
            <a:endParaRPr lang="en-US" sz="1200" b="0">
              <a:solidFill>
                <a:schemeClr val="bg1"/>
              </a:solidFill>
              <a:latin typeface="Corbel" pitchFamily="34"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47626</xdr:colOff>
      <xdr:row>0</xdr:row>
      <xdr:rowOff>158624</xdr:rowOff>
    </xdr:from>
    <xdr:to>
      <xdr:col>14</xdr:col>
      <xdr:colOff>575584</xdr:colOff>
      <xdr:row>6</xdr:row>
      <xdr:rowOff>190501</xdr:rowOff>
    </xdr:to>
    <xdr:grpSp>
      <xdr:nvGrpSpPr>
        <xdr:cNvPr id="2" name="Group 1">
          <a:extLst>
            <a:ext uri="{FF2B5EF4-FFF2-40B4-BE49-F238E27FC236}">
              <a16:creationId xmlns:a16="http://schemas.microsoft.com/office/drawing/2014/main" id="{00000000-0008-0000-0300-000002000000}"/>
            </a:ext>
          </a:extLst>
        </xdr:cNvPr>
        <xdr:cNvGrpSpPr/>
      </xdr:nvGrpSpPr>
      <xdr:grpSpPr>
        <a:xfrm>
          <a:off x="446769" y="158624"/>
          <a:ext cx="11758386" cy="2075670"/>
          <a:chOff x="273660" y="159793"/>
          <a:chExt cx="9421939" cy="1832992"/>
        </a:xfrm>
      </xdr:grpSpPr>
      <xdr:pic>
        <xdr:nvPicPr>
          <xdr:cNvPr id="3" name="Picture 2" descr="http://yoursmallbusinessgrowth.com/wp-content/uploads/2011/05/Improve-Performance.jpg">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3660" y="159793"/>
            <a:ext cx="2774340" cy="183299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3040005" y="190500"/>
            <a:ext cx="6655594" cy="1802285"/>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Corbel" pitchFamily="34" charset="0"/>
              </a:rPr>
              <a:t>Key Performance Indicator</a:t>
            </a:r>
            <a:r>
              <a:rPr lang="en-US" sz="2400" b="1" baseline="0">
                <a:solidFill>
                  <a:schemeClr val="bg1"/>
                </a:solidFill>
                <a:latin typeface="Corbel" pitchFamily="34" charset="0"/>
              </a:rPr>
              <a:t> (KPI)</a:t>
            </a:r>
          </a:p>
          <a:p>
            <a:r>
              <a:rPr lang="en-US" sz="1200" b="0">
                <a:solidFill>
                  <a:schemeClr val="bg1"/>
                </a:solidFill>
                <a:latin typeface="Corbel" pitchFamily="34" charset="0"/>
              </a:rPr>
              <a:t>KPI adalah target kinerja utama, </a:t>
            </a:r>
            <a:r>
              <a:rPr lang="en-US" sz="1200" b="0" baseline="0">
                <a:solidFill>
                  <a:schemeClr val="bg1"/>
                </a:solidFill>
                <a:latin typeface="Corbel" pitchFamily="34" charset="0"/>
              </a:rPr>
              <a:t>yang disetujui di awal tahun dan dievaluasi secara reguler. KPI harus memenuhi unsur SMART. Perubahan pada target kinerja yang telah disetujui hanya bisa dilakukan jika terdapat alasan yang jelas dan mendapatkan persetujuan ulang oleh atasan.</a:t>
            </a:r>
            <a:endParaRPr lang="en-US" sz="1200" b="0">
              <a:solidFill>
                <a:schemeClr val="bg1"/>
              </a:solidFill>
              <a:latin typeface="Corbel" pitchFamily="34"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21432</xdr:colOff>
      <xdr:row>2</xdr:row>
      <xdr:rowOff>190501</xdr:rowOff>
    </xdr:from>
    <xdr:to>
      <xdr:col>4</xdr:col>
      <xdr:colOff>1412081</xdr:colOff>
      <xdr:row>8</xdr:row>
      <xdr:rowOff>67438</xdr:rowOff>
    </xdr:to>
    <xdr:pic>
      <xdr:nvPicPr>
        <xdr:cNvPr id="2" name="Picture 1" descr="http://maydaybaiden.com/wp-content/uploads/2016/02/performance-management_mayday-pm.jpg">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51" y="571501"/>
          <a:ext cx="2057399" cy="1389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1403147</xdr:colOff>
      <xdr:row>3</xdr:row>
      <xdr:rowOff>0</xdr:rowOff>
    </xdr:from>
    <xdr:to>
      <xdr:col>8</xdr:col>
      <xdr:colOff>1428750</xdr:colOff>
      <xdr:row>8</xdr:row>
      <xdr:rowOff>47623</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2677116" y="583406"/>
          <a:ext cx="6562134" cy="1357311"/>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i="0">
              <a:solidFill>
                <a:schemeClr val="bg1"/>
              </a:solidFill>
              <a:effectLst/>
              <a:latin typeface="Corbel" pitchFamily="34" charset="0"/>
              <a:ea typeface="+mn-ea"/>
              <a:cs typeface="+mn-cs"/>
            </a:rPr>
            <a:t>Section 2: Indikator Kompetensi </a:t>
          </a:r>
        </a:p>
        <a:p>
          <a:pPr marL="0" marR="0" indent="0" defTabSz="914400" eaLnBrk="1" fontAlgn="auto" latinLnBrk="0" hangingPunct="1">
            <a:lnSpc>
              <a:spcPct val="100000"/>
            </a:lnSpc>
            <a:spcBef>
              <a:spcPts val="0"/>
            </a:spcBef>
            <a:spcAft>
              <a:spcPts val="0"/>
            </a:spcAft>
            <a:buClrTx/>
            <a:buSzTx/>
            <a:buFontTx/>
            <a:buNone/>
            <a:tabLst/>
            <a:defRPr/>
          </a:pPr>
          <a:r>
            <a:rPr lang="en-US" sz="1100" b="0">
              <a:solidFill>
                <a:schemeClr val="bg1"/>
              </a:solidFill>
              <a:effectLst/>
              <a:latin typeface="+mn-lt"/>
              <a:ea typeface="+mn-ea"/>
              <a:cs typeface="+mn-cs"/>
            </a:rPr>
            <a:t>Indikator Kompetensi adalah</a:t>
          </a:r>
          <a:r>
            <a:rPr lang="en-US" sz="1100" b="0" baseline="0">
              <a:solidFill>
                <a:schemeClr val="bg1"/>
              </a:solidFill>
              <a:effectLst/>
              <a:latin typeface="+mn-lt"/>
              <a:ea typeface="+mn-ea"/>
              <a:cs typeface="+mn-cs"/>
            </a:rPr>
            <a:t> kriteria yang harus dimiliki oleh seorang pemangku pekerjaan sebagai syarat utama agar pekerjaan bisa berjalan dengan baik.</a:t>
          </a:r>
          <a:endParaRPr lang="en-US" sz="2000">
            <a:solidFill>
              <a:schemeClr val="bg1"/>
            </a:solidFill>
            <a:effectLst/>
          </a:endParaRPr>
        </a:p>
        <a:p>
          <a:endParaRPr lang="en-US" sz="2000" b="1">
            <a:solidFill>
              <a:schemeClr val="bg1"/>
            </a:solidFill>
            <a:latin typeface="Corbel"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xdr:row>
      <xdr:rowOff>43107</xdr:rowOff>
    </xdr:from>
    <xdr:to>
      <xdr:col>0</xdr:col>
      <xdr:colOff>0</xdr:colOff>
      <xdr:row>4</xdr:row>
      <xdr:rowOff>175772</xdr:rowOff>
    </xdr:to>
    <xdr:sp macro="" textlink="">
      <xdr:nvSpPr>
        <xdr:cNvPr id="4" name="TextBox 8">
          <a:extLst>
            <a:ext uri="{FF2B5EF4-FFF2-40B4-BE49-F238E27FC236}">
              <a16:creationId xmlns:a16="http://schemas.microsoft.com/office/drawing/2014/main" id="{00000000-0008-0000-0500-000004000000}"/>
            </a:ext>
          </a:extLst>
        </xdr:cNvPr>
        <xdr:cNvSpPr txBox="1"/>
      </xdr:nvSpPr>
      <xdr:spPr>
        <a:xfrm>
          <a:off x="0" y="614607"/>
          <a:ext cx="1894796" cy="323165"/>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500" b="1">
              <a:solidFill>
                <a:srgbClr val="021E5E"/>
              </a:solidFill>
            </a:rPr>
            <a:t>Agung Sedayu Group</a:t>
          </a:r>
        </a:p>
      </xdr:txBody>
    </xdr:sp>
    <xdr:clientData/>
  </xdr:twoCellAnchor>
  <xdr:twoCellAnchor>
    <xdr:from>
      <xdr:col>0</xdr:col>
      <xdr:colOff>0</xdr:colOff>
      <xdr:row>11</xdr:row>
      <xdr:rowOff>103966</xdr:rowOff>
    </xdr:from>
    <xdr:to>
      <xdr:col>0</xdr:col>
      <xdr:colOff>0</xdr:colOff>
      <xdr:row>15</xdr:row>
      <xdr:rowOff>70349</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1460499" y="2083049"/>
          <a:ext cx="6933329" cy="686050"/>
        </a:xfrm>
        <a:prstGeom prst="rect">
          <a:avLst/>
        </a:prstGeom>
        <a:solidFill>
          <a:schemeClr val="lt1">
            <a:alpha val="76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lumMod val="50000"/>
                </a:schemeClr>
              </a:solidFill>
            </a:rPr>
            <a:t>PEDOMAN PELAKSANAAN PENILAIAN</a:t>
          </a:r>
          <a:r>
            <a:rPr lang="en-US" sz="1800" b="1" baseline="0">
              <a:solidFill>
                <a:schemeClr val="accent1">
                  <a:lumMod val="50000"/>
                </a:schemeClr>
              </a:solidFill>
            </a:rPr>
            <a:t> KINERJA INDIVIDU</a:t>
          </a:r>
          <a:endParaRPr lang="en-US" sz="1800" b="1">
            <a:solidFill>
              <a:schemeClr val="accent1">
                <a:lumMod val="50000"/>
              </a:schemeClr>
            </a:solidFill>
          </a:endParaRPr>
        </a:p>
      </xdr:txBody>
    </xdr:sp>
    <xdr:clientData/>
  </xdr:twoCellAnchor>
  <xdr:twoCellAnchor>
    <xdr:from>
      <xdr:col>4</xdr:col>
      <xdr:colOff>347415</xdr:colOff>
      <xdr:row>9</xdr:row>
      <xdr:rowOff>99786</xdr:rowOff>
    </xdr:from>
    <xdr:to>
      <xdr:col>11</xdr:col>
      <xdr:colOff>1433259</xdr:colOff>
      <xdr:row>13</xdr:row>
      <xdr:rowOff>60122</xdr:rowOff>
    </xdr:to>
    <xdr:sp macro="" textlink="">
      <xdr:nvSpPr>
        <xdr:cNvPr id="9" name="TextBox 8">
          <a:extLst>
            <a:ext uri="{FF2B5EF4-FFF2-40B4-BE49-F238E27FC236}">
              <a16:creationId xmlns:a16="http://schemas.microsoft.com/office/drawing/2014/main" id="{A9605DF6-BD6E-4BDE-BF13-911E91AAE600}"/>
            </a:ext>
          </a:extLst>
        </xdr:cNvPr>
        <xdr:cNvSpPr txBox="1"/>
      </xdr:nvSpPr>
      <xdr:spPr>
        <a:xfrm>
          <a:off x="1880486" y="1732643"/>
          <a:ext cx="5594344" cy="686050"/>
        </a:xfrm>
        <a:prstGeom prst="rect">
          <a:avLst/>
        </a:prstGeom>
        <a:solidFill>
          <a:schemeClr val="lt1">
            <a:alpha val="76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1">
                  <a:lumMod val="50000"/>
                </a:schemeClr>
              </a:solidFill>
            </a:rPr>
            <a:t>PEDOMAN PENYUSUNAN</a:t>
          </a:r>
          <a:r>
            <a:rPr lang="en-US" sz="1800" b="1" baseline="0">
              <a:solidFill>
                <a:schemeClr val="accent1">
                  <a:lumMod val="50000"/>
                </a:schemeClr>
              </a:solidFill>
            </a:rPr>
            <a:t> TARGET/KPI INDIVIDU DAN </a:t>
          </a:r>
        </a:p>
        <a:p>
          <a:pPr algn="ctr"/>
          <a:r>
            <a:rPr lang="en-US" sz="1800" b="1">
              <a:solidFill>
                <a:schemeClr val="accent1">
                  <a:lumMod val="50000"/>
                </a:schemeClr>
              </a:solidFill>
            </a:rPr>
            <a:t>PENILAIAN</a:t>
          </a:r>
          <a:r>
            <a:rPr lang="en-US" sz="1800" b="1" baseline="0">
              <a:solidFill>
                <a:schemeClr val="accent1">
                  <a:lumMod val="50000"/>
                </a:schemeClr>
              </a:solidFill>
            </a:rPr>
            <a:t> KINERJA/KPI INDIVIDU</a:t>
          </a:r>
          <a:endParaRPr lang="en-US" sz="1800" b="1">
            <a:solidFill>
              <a:schemeClr val="accent1">
                <a:lumMod val="50000"/>
              </a:schemeClr>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5</xdr:col>
      <xdr:colOff>198059</xdr:colOff>
      <xdr:row>4</xdr:row>
      <xdr:rowOff>181316</xdr:rowOff>
    </xdr:to>
    <xdr:pic>
      <xdr:nvPicPr>
        <xdr:cNvPr id="3" name="Picture 2" descr="http://www.fatmawaticitycenter.net/uploads/5/4/9/8/54987465/1881603_orig.png">
          <a:extLst>
            <a:ext uri="{FF2B5EF4-FFF2-40B4-BE49-F238E27FC236}">
              <a16:creationId xmlns:a16="http://schemas.microsoft.com/office/drawing/2014/main" id="{00000000-0008-0000-0800-000003000000}"/>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1546"/>
        <a:stretch/>
      </xdr:blipFill>
      <xdr:spPr bwMode="auto">
        <a:xfrm>
          <a:off x="28572" y="190500"/>
          <a:ext cx="2935816" cy="752816"/>
        </a:xfrm>
        <a:prstGeom prst="rect">
          <a:avLst/>
        </a:prstGeom>
        <a:ln>
          <a:noFill/>
        </a:ln>
        <a:effectLst/>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925287</xdr:colOff>
      <xdr:row>5</xdr:row>
      <xdr:rowOff>168453</xdr:rowOff>
    </xdr:from>
    <xdr:to>
      <xdr:col>14</xdr:col>
      <xdr:colOff>40823</xdr:colOff>
      <xdr:row>12</xdr:row>
      <xdr:rowOff>0</xdr:rowOff>
    </xdr:to>
    <xdr:grpSp>
      <xdr:nvGrpSpPr>
        <xdr:cNvPr id="4" name="Group 3">
          <a:extLst>
            <a:ext uri="{FF2B5EF4-FFF2-40B4-BE49-F238E27FC236}">
              <a16:creationId xmlns:a16="http://schemas.microsoft.com/office/drawing/2014/main" id="{00000000-0008-0000-0800-000004000000}"/>
            </a:ext>
          </a:extLst>
        </xdr:cNvPr>
        <xdr:cNvGrpSpPr/>
      </xdr:nvGrpSpPr>
      <xdr:grpSpPr>
        <a:xfrm>
          <a:off x="614137" y="1120953"/>
          <a:ext cx="11923486" cy="1165047"/>
          <a:chOff x="11906" y="952500"/>
          <a:chExt cx="11746707" cy="1365250"/>
        </a:xfrm>
      </xdr:grpSpPr>
      <xdr:pic>
        <xdr:nvPicPr>
          <xdr:cNvPr id="5" name="Picture 4" descr="http://nistmep.blogs.govdelivery.com/wp-content/uploads/2016/06/performance-BlogFeaturedImage702x330-702x330.jpg?8dfe71">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906" y="952500"/>
            <a:ext cx="2836690" cy="136525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6" name="Picture 5" descr="http://www.livingsport.co.uk/wp-content/uploads/2014/07/Racing-colleagues.jpg">
            <a:extLst>
              <a:ext uri="{FF2B5EF4-FFF2-40B4-BE49-F238E27FC236}">
                <a16:creationId xmlns:a16="http://schemas.microsoft.com/office/drawing/2014/main" id="{00000000-0008-0000-0800-000006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4616"/>
          <a:stretch/>
        </xdr:blipFill>
        <xdr:spPr bwMode="auto">
          <a:xfrm>
            <a:off x="2850356" y="952500"/>
            <a:ext cx="2360590" cy="1365250"/>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7" name="Picture 6" descr="https://media.licdn.com/mpr/mpr/p/3/005/096/097/2660069.jpg">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206816" y="952500"/>
            <a:ext cx="2171847" cy="1362807"/>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pic>
        <xdr:nvPicPr>
          <xdr:cNvPr id="8" name="Picture 7" descr="http://www.juilliard.edu/sites/juilliard.edu/files/landing-pages/2015/historicalperformance_4.jpg">
            <a:extLst>
              <a:ext uri="{FF2B5EF4-FFF2-40B4-BE49-F238E27FC236}">
                <a16:creationId xmlns:a16="http://schemas.microsoft.com/office/drawing/2014/main" id="{00000000-0008-0000-0800-000008000000}"/>
              </a:ext>
            </a:extLst>
          </xdr:cNvPr>
          <xdr:cNvPicPr>
            <a:picLocks noChangeAspect="1" noChangeArrowheads="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7031" b="18324"/>
          <a:stretch/>
        </xdr:blipFill>
        <xdr:spPr bwMode="auto">
          <a:xfrm>
            <a:off x="7381145" y="952501"/>
            <a:ext cx="4377468" cy="1364104"/>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449035</xdr:colOff>
      <xdr:row>25</xdr:row>
      <xdr:rowOff>13609</xdr:rowOff>
    </xdr:from>
    <xdr:to>
      <xdr:col>5</xdr:col>
      <xdr:colOff>381000</xdr:colOff>
      <xdr:row>33</xdr:row>
      <xdr:rowOff>544287</xdr:rowOff>
    </xdr:to>
    <xdr:graphicFrame macro="">
      <xdr:nvGraphicFramePr>
        <xdr:cNvPr id="9" name="Chart 75">
          <a:extLst>
            <a:ext uri="{FF2B5EF4-FFF2-40B4-BE49-F238E27FC236}">
              <a16:creationId xmlns:a16="http://schemas.microsoft.com/office/drawing/2014/main" id="{00000000-0008-0000-0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C15"/>
  <sheetViews>
    <sheetView showGridLines="0" showRowColHeaders="0" topLeftCell="A4" zoomScale="90" zoomScaleNormal="90" workbookViewId="0">
      <selection activeCell="G8" sqref="G8"/>
    </sheetView>
  </sheetViews>
  <sheetFormatPr defaultRowHeight="14.5" x14ac:dyDescent="0.35"/>
  <cols>
    <col min="1" max="1" width="37.26953125" customWidth="1"/>
    <col min="2" max="2" width="3.81640625" customWidth="1"/>
    <col min="3" max="3" width="64.453125" customWidth="1"/>
  </cols>
  <sheetData>
    <row r="2" spans="1:3" ht="26" x14ac:dyDescent="0.35">
      <c r="A2" s="523" t="s">
        <v>81</v>
      </c>
      <c r="B2" s="523"/>
      <c r="C2" s="523"/>
    </row>
    <row r="3" spans="1:3" ht="15.5" x14ac:dyDescent="0.35">
      <c r="A3" s="99"/>
      <c r="B3" s="100"/>
      <c r="C3" s="101"/>
    </row>
    <row r="4" spans="1:3" ht="30.75" customHeight="1" x14ac:dyDescent="0.35">
      <c r="A4" s="102" t="s">
        <v>79</v>
      </c>
      <c r="B4" s="100"/>
      <c r="C4" s="101" t="s">
        <v>80</v>
      </c>
    </row>
    <row r="5" spans="1:3" ht="15.5" x14ac:dyDescent="0.35">
      <c r="A5" s="103"/>
      <c r="B5" s="100"/>
      <c r="C5" s="101"/>
    </row>
    <row r="6" spans="1:3" ht="108" customHeight="1" x14ac:dyDescent="0.35">
      <c r="A6" s="104" t="s">
        <v>82</v>
      </c>
      <c r="B6" s="100"/>
      <c r="C6" s="101" t="s">
        <v>85</v>
      </c>
    </row>
    <row r="7" spans="1:3" ht="15.5" x14ac:dyDescent="0.35">
      <c r="A7" s="103"/>
      <c r="B7" s="100"/>
      <c r="C7" s="101"/>
    </row>
    <row r="8" spans="1:3" ht="87" customHeight="1" x14ac:dyDescent="0.35">
      <c r="A8" s="105" t="s">
        <v>83</v>
      </c>
      <c r="B8" s="100"/>
      <c r="C8" s="101" t="s">
        <v>86</v>
      </c>
    </row>
    <row r="9" spans="1:3" ht="15.5" x14ac:dyDescent="0.35">
      <c r="A9" s="103"/>
      <c r="B9" s="100"/>
      <c r="C9" s="101"/>
    </row>
    <row r="10" spans="1:3" ht="76.5" customHeight="1" x14ac:dyDescent="0.35">
      <c r="A10" s="108" t="s">
        <v>93</v>
      </c>
      <c r="B10" s="100"/>
      <c r="C10" s="107" t="s">
        <v>87</v>
      </c>
    </row>
    <row r="11" spans="1:3" ht="15.5" x14ac:dyDescent="0.35">
      <c r="A11" s="103"/>
      <c r="B11" s="100"/>
      <c r="C11" s="101"/>
    </row>
    <row r="12" spans="1:3" ht="75" customHeight="1" x14ac:dyDescent="0.35">
      <c r="A12" s="106" t="s">
        <v>84</v>
      </c>
      <c r="B12" s="100"/>
      <c r="C12" s="101" t="s">
        <v>88</v>
      </c>
    </row>
    <row r="13" spans="1:3" ht="15.5" x14ac:dyDescent="0.35">
      <c r="A13" s="103"/>
      <c r="B13" s="100"/>
      <c r="C13" s="101"/>
    </row>
    <row r="14" spans="1:3" ht="69" customHeight="1" x14ac:dyDescent="0.35"/>
    <row r="15" spans="1:3" ht="15.5" x14ac:dyDescent="0.35">
      <c r="A15" s="103"/>
      <c r="B15" s="100"/>
      <c r="C15" s="101"/>
    </row>
  </sheetData>
  <mergeCells count="1">
    <mergeCell ref="A2:C2"/>
  </mergeCells>
  <pageMargins left="0.7" right="0.7" top="0.75" bottom="0.75" header="0.3" footer="0.3"/>
  <pageSetup paperSize="8" orientation="landscape" horizontalDpi="4294967294"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B1:L23"/>
  <sheetViews>
    <sheetView showGridLines="0" showRowColHeaders="0" topLeftCell="A4" zoomScale="80" zoomScaleNormal="80" workbookViewId="0">
      <selection activeCell="J14" sqref="J14"/>
    </sheetView>
  </sheetViews>
  <sheetFormatPr defaultRowHeight="14.5" x14ac:dyDescent="0.35"/>
  <cols>
    <col min="1" max="1" width="21" customWidth="1"/>
    <col min="2" max="2" width="23.26953125" customWidth="1"/>
    <col min="3" max="3" width="47.7265625" customWidth="1"/>
    <col min="4" max="4" width="3.1796875" customWidth="1"/>
    <col min="5" max="5" width="28.453125" customWidth="1"/>
    <col min="6" max="6" width="47.7265625" customWidth="1"/>
    <col min="7" max="7" width="10.1796875" customWidth="1"/>
    <col min="12" max="13" width="0" hidden="1" customWidth="1"/>
  </cols>
  <sheetData>
    <row r="1" spans="2:12" ht="33.75" customHeight="1" x14ac:dyDescent="0.35"/>
    <row r="13" spans="2:12" ht="33" customHeight="1" thickBot="1" x14ac:dyDescent="0.4"/>
    <row r="14" spans="2:12" ht="27" customHeight="1" thickTop="1" thickBot="1" x14ac:dyDescent="0.4">
      <c r="B14" s="2" t="s">
        <v>0</v>
      </c>
      <c r="C14" s="6" t="s">
        <v>10</v>
      </c>
      <c r="E14" s="2" t="s">
        <v>7</v>
      </c>
      <c r="F14" s="6"/>
      <c r="L14" t="s">
        <v>25</v>
      </c>
    </row>
    <row r="15" spans="2:12" ht="27" customHeight="1" thickTop="1" thickBot="1" x14ac:dyDescent="0.4">
      <c r="B15" s="2" t="s">
        <v>6</v>
      </c>
      <c r="C15" s="6"/>
      <c r="E15" s="2" t="s">
        <v>6</v>
      </c>
      <c r="F15" s="6"/>
      <c r="L15" t="s">
        <v>18</v>
      </c>
    </row>
    <row r="16" spans="2:12" ht="27" customHeight="1" thickTop="1" thickBot="1" x14ac:dyDescent="0.4">
      <c r="B16" s="2" t="s">
        <v>1</v>
      </c>
      <c r="C16" s="6"/>
      <c r="E16" s="2" t="s">
        <v>50</v>
      </c>
      <c r="F16" s="6"/>
      <c r="L16" t="s">
        <v>19</v>
      </c>
    </row>
    <row r="17" spans="2:12" ht="27" customHeight="1" thickTop="1" thickBot="1" x14ac:dyDescent="0.4">
      <c r="B17" s="2" t="s">
        <v>2</v>
      </c>
      <c r="C17" s="6"/>
      <c r="E17" s="2" t="s">
        <v>6</v>
      </c>
      <c r="F17" s="6"/>
      <c r="L17" t="s">
        <v>20</v>
      </c>
    </row>
    <row r="18" spans="2:12" ht="27" customHeight="1" thickTop="1" thickBot="1" x14ac:dyDescent="0.4">
      <c r="B18" s="2" t="s">
        <v>3</v>
      </c>
      <c r="C18" s="6"/>
      <c r="E18" s="2" t="s">
        <v>9</v>
      </c>
      <c r="F18" s="6"/>
      <c r="L18" t="s">
        <v>21</v>
      </c>
    </row>
    <row r="19" spans="2:12" ht="27" customHeight="1" thickTop="1" thickBot="1" x14ac:dyDescent="0.4">
      <c r="B19" s="2" t="s">
        <v>12</v>
      </c>
      <c r="C19" s="6"/>
      <c r="E19" s="2" t="s">
        <v>8</v>
      </c>
      <c r="F19" s="6"/>
      <c r="L19" t="s">
        <v>22</v>
      </c>
    </row>
    <row r="20" spans="2:12" ht="27" customHeight="1" thickTop="1" thickBot="1" x14ac:dyDescent="0.4">
      <c r="B20" s="2" t="s">
        <v>46</v>
      </c>
      <c r="C20" s="3"/>
      <c r="E20" s="2" t="s">
        <v>4</v>
      </c>
      <c r="F20" s="6"/>
    </row>
    <row r="21" spans="2:12" ht="15" thickTop="1" x14ac:dyDescent="0.35"/>
    <row r="22" spans="2:12" x14ac:dyDescent="0.35">
      <c r="L22" t="s">
        <v>5</v>
      </c>
    </row>
    <row r="23" spans="2:12" x14ac:dyDescent="0.35">
      <c r="L23" t="s">
        <v>62</v>
      </c>
    </row>
  </sheetData>
  <sheetProtection selectLockedCells="1"/>
  <dataValidations count="2">
    <dataValidation type="list" allowBlank="1" showInputMessage="1" showErrorMessage="1" sqref="F19" xr:uid="{00000000-0002-0000-0100-000000000000}">
      <formula1>$L$15:$L$19</formula1>
    </dataValidation>
    <dataValidation type="list" allowBlank="1" showInputMessage="1" showErrorMessage="1" sqref="F20" xr:uid="{00000000-0002-0000-0100-000001000000}">
      <formula1>$L$22:$L$23</formula1>
    </dataValidation>
  </dataValidations>
  <pageMargins left="0.7" right="0.7" top="0.75" bottom="0.75" header="0.3" footer="0.3"/>
  <pageSetup paperSize="8" orientation="landscape" horizontalDpi="4294967294"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B1:AB48"/>
  <sheetViews>
    <sheetView zoomScale="55" zoomScaleNormal="55" workbookViewId="0">
      <selection activeCell="Y6" sqref="Y6"/>
    </sheetView>
  </sheetViews>
  <sheetFormatPr defaultColWidth="9.1796875" defaultRowHeight="14.5" x14ac:dyDescent="0.35"/>
  <cols>
    <col min="1" max="1" width="5.7265625" style="5" customWidth="1"/>
    <col min="2" max="2" width="2" style="5" customWidth="1"/>
    <col min="3" max="3" width="12.7265625" style="5" customWidth="1"/>
    <col min="4" max="4" width="2.1796875" style="5" customWidth="1"/>
    <col min="5" max="5" width="50.54296875" style="5" customWidth="1"/>
    <col min="6" max="6" width="2.1796875" style="5" customWidth="1"/>
    <col min="7" max="7" width="39.453125" style="5" customWidth="1"/>
    <col min="8" max="8" width="2.1796875" style="5" customWidth="1"/>
    <col min="9" max="9" width="12.1796875" style="5" customWidth="1"/>
    <col min="10" max="10" width="1.26953125" style="5" customWidth="1"/>
    <col min="11" max="11" width="12.1796875" style="5" customWidth="1"/>
    <col min="12" max="12" width="1.26953125" style="5" customWidth="1"/>
    <col min="13" max="13" width="12.1796875" style="5" customWidth="1"/>
    <col min="14" max="14" width="1.26953125" style="5" customWidth="1"/>
    <col min="15" max="15" width="12.1796875" style="5" customWidth="1"/>
    <col min="16" max="16" width="1.26953125" style="5" customWidth="1"/>
    <col min="17" max="17" width="12.1796875" style="5" customWidth="1"/>
    <col min="18" max="18" width="2.1796875" style="5" customWidth="1"/>
    <col min="19" max="19" width="12.54296875" style="5" customWidth="1"/>
    <col min="20" max="20" width="2.1796875" style="5" customWidth="1"/>
    <col min="21" max="21" width="12.1796875" style="5" customWidth="1"/>
    <col min="22" max="22" width="2.1796875" style="5" customWidth="1"/>
    <col min="23" max="23" width="12.1796875" style="5" customWidth="1"/>
    <col min="24" max="24" width="2.1796875" style="5" customWidth="1"/>
    <col min="25" max="25" width="12.453125" style="5" customWidth="1"/>
    <col min="26" max="26" width="2" style="5" customWidth="1"/>
    <col min="27" max="27" width="21.26953125" style="5" customWidth="1"/>
    <col min="28" max="28" width="3.54296875" style="5" customWidth="1"/>
    <col min="29" max="16384" width="9.1796875" style="5"/>
  </cols>
  <sheetData>
    <row r="1" spans="2:28" ht="15" thickBot="1" x14ac:dyDescent="0.4"/>
    <row r="2" spans="2:28" ht="21" customHeight="1" thickTop="1" thickBot="1" x14ac:dyDescent="0.4">
      <c r="Q2" s="2" t="s">
        <v>38</v>
      </c>
      <c r="R2" s="538"/>
      <c r="S2" s="539"/>
      <c r="T2" s="539"/>
      <c r="U2" s="539"/>
      <c r="V2" s="539"/>
      <c r="W2" s="539"/>
      <c r="Y2" s="31" t="s">
        <v>33</v>
      </c>
      <c r="AA2" s="26"/>
      <c r="AB2" s="26"/>
    </row>
    <row r="3" spans="2:28" ht="21" customHeight="1" thickTop="1" thickBot="1" x14ac:dyDescent="0.4">
      <c r="Q3" s="2" t="s">
        <v>6</v>
      </c>
      <c r="R3" s="538"/>
      <c r="S3" s="539"/>
      <c r="T3" s="539"/>
      <c r="U3" s="539"/>
      <c r="V3" s="539"/>
      <c r="W3" s="539"/>
      <c r="Y3" s="524">
        <f>W14+W20+W26+W32+W38</f>
        <v>3</v>
      </c>
      <c r="AA3" s="26"/>
      <c r="AB3" s="26"/>
    </row>
    <row r="4" spans="2:28" ht="21" customHeight="1" thickTop="1" thickBot="1" x14ac:dyDescent="0.4">
      <c r="Q4" s="2" t="s">
        <v>11</v>
      </c>
      <c r="R4" s="538"/>
      <c r="S4" s="539"/>
      <c r="T4" s="539"/>
      <c r="U4" s="539"/>
      <c r="V4" s="539"/>
      <c r="W4" s="539"/>
      <c r="Y4" s="525"/>
      <c r="AA4" s="117">
        <f>Y3</f>
        <v>3</v>
      </c>
      <c r="AB4" s="26"/>
    </row>
    <row r="5" spans="2:28" ht="21" customHeight="1" thickTop="1" thickBot="1" x14ac:dyDescent="0.4">
      <c r="Q5" s="2" t="s">
        <v>55</v>
      </c>
      <c r="R5" s="538"/>
      <c r="S5" s="539"/>
      <c r="T5" s="539"/>
      <c r="U5" s="539"/>
      <c r="V5" s="539"/>
      <c r="W5" s="539"/>
      <c r="Y5" s="526"/>
      <c r="AA5" s="26"/>
      <c r="AB5" s="26"/>
    </row>
    <row r="6" spans="2:28" ht="21" customHeight="1" thickTop="1" thickBot="1" x14ac:dyDescent="0.4">
      <c r="Q6" s="2" t="s">
        <v>12</v>
      </c>
      <c r="R6" s="538"/>
      <c r="S6" s="539"/>
      <c r="T6" s="539"/>
      <c r="U6" s="539"/>
      <c r="V6" s="539"/>
      <c r="W6" s="539"/>
      <c r="Y6" s="39"/>
      <c r="AA6" s="26"/>
      <c r="AB6" s="26"/>
    </row>
    <row r="7" spans="2:28" ht="15" thickTop="1" x14ac:dyDescent="0.35"/>
    <row r="9" spans="2:28" ht="32.25" customHeight="1" x14ac:dyDescent="0.35">
      <c r="B9" s="26"/>
      <c r="C9" s="13" t="s">
        <v>23</v>
      </c>
      <c r="D9" s="14"/>
      <c r="E9" s="15" t="s">
        <v>14</v>
      </c>
      <c r="F9" s="7"/>
      <c r="G9" s="529" t="s">
        <v>15</v>
      </c>
      <c r="H9" s="7"/>
      <c r="I9" s="536" t="s">
        <v>24</v>
      </c>
      <c r="J9" s="536"/>
      <c r="K9" s="536"/>
      <c r="L9" s="536"/>
      <c r="M9" s="536"/>
      <c r="N9" s="536"/>
      <c r="O9" s="536"/>
      <c r="P9" s="536"/>
      <c r="Q9" s="536"/>
      <c r="R9" s="12"/>
      <c r="S9" s="529" t="s">
        <v>26</v>
      </c>
      <c r="T9" s="22"/>
      <c r="U9" s="529" t="s">
        <v>25</v>
      </c>
      <c r="V9" s="7"/>
      <c r="W9" s="529" t="s">
        <v>16</v>
      </c>
      <c r="X9" s="7"/>
      <c r="Y9" s="529" t="s">
        <v>203</v>
      </c>
      <c r="Z9" s="529"/>
      <c r="AA9" s="529"/>
      <c r="AB9" s="529"/>
    </row>
    <row r="10" spans="2:28" ht="5.25" customHeight="1" x14ac:dyDescent="0.35">
      <c r="C10" s="16"/>
      <c r="D10" s="17"/>
      <c r="E10" s="18"/>
      <c r="F10" s="18"/>
      <c r="G10" s="529"/>
      <c r="H10" s="18"/>
      <c r="I10" s="7"/>
      <c r="J10" s="7"/>
      <c r="K10" s="7"/>
      <c r="L10" s="7"/>
      <c r="M10" s="7"/>
      <c r="N10" s="7"/>
      <c r="O10" s="7"/>
      <c r="P10" s="7"/>
      <c r="Q10" s="7"/>
      <c r="R10" s="8"/>
      <c r="S10" s="537"/>
      <c r="T10" s="7"/>
      <c r="U10" s="529"/>
      <c r="V10" s="7"/>
      <c r="W10" s="529"/>
      <c r="X10" s="7"/>
      <c r="Y10" s="529"/>
      <c r="Z10" s="529"/>
      <c r="AA10" s="529"/>
      <c r="AB10" s="529"/>
    </row>
    <row r="11" spans="2:28" ht="25.5" customHeight="1" x14ac:dyDescent="0.35">
      <c r="B11" s="29"/>
      <c r="C11" s="19" t="s">
        <v>13</v>
      </c>
      <c r="D11" s="20"/>
      <c r="E11" s="21" t="s">
        <v>17</v>
      </c>
      <c r="F11" s="18"/>
      <c r="G11" s="529"/>
      <c r="H11" s="18"/>
      <c r="I11" s="21" t="s">
        <v>18</v>
      </c>
      <c r="J11" s="9"/>
      <c r="K11" s="21" t="s">
        <v>19</v>
      </c>
      <c r="L11" s="7"/>
      <c r="M11" s="21" t="s">
        <v>20</v>
      </c>
      <c r="N11" s="9"/>
      <c r="O11" s="21" t="s">
        <v>21</v>
      </c>
      <c r="P11" s="7"/>
      <c r="Q11" s="21" t="s">
        <v>22</v>
      </c>
      <c r="R11" s="11"/>
      <c r="S11" s="537"/>
      <c r="T11" s="23"/>
      <c r="U11" s="529"/>
      <c r="V11" s="7"/>
      <c r="W11" s="529"/>
      <c r="X11" s="7"/>
      <c r="Y11" s="529"/>
      <c r="Z11" s="529"/>
      <c r="AA11" s="529"/>
      <c r="AB11" s="529"/>
    </row>
    <row r="12" spans="2:28" ht="7.5" customHeight="1" x14ac:dyDescent="0.35">
      <c r="C12" s="10"/>
      <c r="D12" s="10"/>
    </row>
    <row r="13" spans="2:28" ht="15" customHeight="1" x14ac:dyDescent="0.35">
      <c r="B13" s="26"/>
      <c r="C13" s="24" t="s">
        <v>27</v>
      </c>
      <c r="D13" s="25"/>
      <c r="E13" s="25"/>
      <c r="F13" s="25"/>
      <c r="G13" s="25"/>
      <c r="H13" s="25"/>
      <c r="I13" s="50">
        <v>1</v>
      </c>
      <c r="J13" s="50"/>
      <c r="K13" s="50">
        <v>2</v>
      </c>
      <c r="L13" s="50"/>
      <c r="M13" s="50">
        <v>3</v>
      </c>
      <c r="N13" s="50"/>
      <c r="O13" s="50">
        <v>4</v>
      </c>
      <c r="P13" s="50"/>
      <c r="Q13" s="50">
        <v>5</v>
      </c>
      <c r="R13" s="25"/>
      <c r="S13" s="25"/>
      <c r="T13" s="25"/>
      <c r="U13" s="25"/>
      <c r="V13" s="25"/>
      <c r="W13" s="25"/>
      <c r="X13" s="25"/>
      <c r="Y13" s="25"/>
      <c r="Z13" s="26"/>
      <c r="AA13" s="26"/>
      <c r="AB13" s="26"/>
    </row>
    <row r="14" spans="2:28" ht="25.5" customHeight="1" x14ac:dyDescent="0.35">
      <c r="B14" s="26"/>
      <c r="C14" s="530">
        <v>1</v>
      </c>
      <c r="D14" s="25"/>
      <c r="E14" s="532"/>
      <c r="F14" s="25"/>
      <c r="G14" s="532"/>
      <c r="H14" s="25"/>
      <c r="I14" s="534" t="s">
        <v>89</v>
      </c>
      <c r="J14" s="33"/>
      <c r="K14" s="527">
        <v>5</v>
      </c>
      <c r="L14" s="33"/>
      <c r="M14" s="527">
        <v>10</v>
      </c>
      <c r="N14" s="33"/>
      <c r="O14" s="527">
        <v>15</v>
      </c>
      <c r="P14" s="33"/>
      <c r="Q14" s="527">
        <v>20</v>
      </c>
      <c r="R14" s="33"/>
      <c r="S14" s="527">
        <v>10</v>
      </c>
      <c r="T14" s="33"/>
      <c r="U14" s="527">
        <f>IF(K14&lt;M14,IF(S14=0,0,IF(S14&lt;K14,1,IF(S14&gt;Q14,5,IF(M14&lt;K14,1,IF(M14&lt;M14,2,IF(M14&lt;O14,3,IF(M14&lt;Q14,4,5))))+((S14-M14)/(O14-M14))*(O13-M13)))),IF(S14=0,0,IF(S14&gt;K14,1,IF(S14&lt;Q14,5,IF(M14&gt;K14,1,IF(M14&gt;M14,2,IF(M14&gt;O14,3,IF(M14&gt;Q14,4,5))))+((S14-M14)/(O14-M14))*(O13-M13)))))</f>
        <v>3</v>
      </c>
      <c r="V14" s="33"/>
      <c r="W14" s="527">
        <f>U14*C14</f>
        <v>3</v>
      </c>
      <c r="X14" s="25"/>
      <c r="Y14" s="532"/>
      <c r="Z14" s="532"/>
      <c r="AA14" s="532"/>
      <c r="AB14" s="26"/>
    </row>
    <row r="15" spans="2:28" ht="25.5" customHeight="1" x14ac:dyDescent="0.35">
      <c r="B15" s="26"/>
      <c r="C15" s="531"/>
      <c r="D15" s="25"/>
      <c r="E15" s="533"/>
      <c r="F15" s="25"/>
      <c r="G15" s="533"/>
      <c r="H15" s="25"/>
      <c r="I15" s="535"/>
      <c r="J15" s="33"/>
      <c r="K15" s="528"/>
      <c r="L15" s="33"/>
      <c r="M15" s="528"/>
      <c r="N15" s="33"/>
      <c r="O15" s="528"/>
      <c r="P15" s="33"/>
      <c r="Q15" s="528"/>
      <c r="R15" s="33"/>
      <c r="S15" s="528"/>
      <c r="T15" s="33"/>
      <c r="U15" s="528"/>
      <c r="V15" s="33"/>
      <c r="W15" s="528"/>
      <c r="X15" s="25"/>
      <c r="Y15" s="532"/>
      <c r="Z15" s="532"/>
      <c r="AA15" s="532"/>
      <c r="AB15" s="26"/>
    </row>
    <row r="16" spans="2:28" ht="25.5" customHeight="1" x14ac:dyDescent="0.35">
      <c r="B16" s="26"/>
      <c r="C16" s="531"/>
      <c r="D16" s="25"/>
      <c r="E16" s="533"/>
      <c r="F16" s="25"/>
      <c r="G16" s="533"/>
      <c r="H16" s="25"/>
      <c r="I16" s="535"/>
      <c r="J16" s="33"/>
      <c r="K16" s="528"/>
      <c r="L16" s="33"/>
      <c r="M16" s="528"/>
      <c r="N16" s="33"/>
      <c r="O16" s="528"/>
      <c r="P16" s="33"/>
      <c r="Q16" s="528"/>
      <c r="R16" s="33"/>
      <c r="S16" s="528"/>
      <c r="T16" s="33"/>
      <c r="U16" s="528"/>
      <c r="V16" s="33"/>
      <c r="W16" s="528"/>
      <c r="X16" s="25"/>
      <c r="Y16" s="532"/>
      <c r="Z16" s="532"/>
      <c r="AA16" s="532"/>
      <c r="AB16" s="26"/>
    </row>
    <row r="17" spans="2:28" ht="15" customHeight="1" x14ac:dyDescent="0.35">
      <c r="B17" s="26"/>
      <c r="C17" s="25"/>
      <c r="D17" s="25"/>
      <c r="E17" s="25"/>
      <c r="F17" s="25"/>
      <c r="G17" s="25"/>
      <c r="H17" s="25"/>
      <c r="I17" s="33"/>
      <c r="J17" s="33"/>
      <c r="K17" s="33"/>
      <c r="L17" s="33"/>
      <c r="M17" s="33"/>
      <c r="N17" s="33"/>
      <c r="O17" s="33"/>
      <c r="P17" s="33"/>
      <c r="Q17" s="33"/>
      <c r="R17" s="33"/>
      <c r="S17" s="33"/>
      <c r="T17" s="33"/>
      <c r="U17" s="33"/>
      <c r="V17" s="33"/>
      <c r="W17" s="33"/>
      <c r="X17" s="25"/>
      <c r="Y17" s="25"/>
      <c r="Z17" s="26"/>
      <c r="AA17" s="26"/>
      <c r="AB17" s="26"/>
    </row>
    <row r="18" spans="2:28" ht="5.25" customHeight="1" x14ac:dyDescent="0.35">
      <c r="C18" s="34"/>
      <c r="D18" s="34"/>
      <c r="E18" s="34"/>
      <c r="F18" s="34"/>
      <c r="G18" s="34"/>
      <c r="H18" s="34"/>
      <c r="I18" s="35"/>
      <c r="J18" s="35"/>
      <c r="K18" s="35"/>
      <c r="L18" s="35"/>
      <c r="M18" s="35"/>
      <c r="N18" s="35"/>
      <c r="O18" s="35"/>
      <c r="P18" s="35"/>
      <c r="Q18" s="35"/>
      <c r="R18" s="35"/>
      <c r="S18" s="35"/>
      <c r="T18" s="35"/>
      <c r="U18" s="35"/>
      <c r="V18" s="35"/>
      <c r="W18" s="35"/>
      <c r="X18" s="34"/>
      <c r="Y18" s="34"/>
    </row>
    <row r="19" spans="2:28" ht="15" customHeight="1" x14ac:dyDescent="0.35">
      <c r="B19" s="26"/>
      <c r="C19" s="24" t="s">
        <v>28</v>
      </c>
      <c r="D19" s="25"/>
      <c r="E19" s="25"/>
      <c r="F19" s="25"/>
      <c r="G19" s="25"/>
      <c r="H19" s="25"/>
      <c r="I19" s="50"/>
      <c r="J19" s="50"/>
      <c r="K19" s="50"/>
      <c r="L19" s="50"/>
      <c r="M19" s="50"/>
      <c r="N19" s="50"/>
      <c r="O19" s="50"/>
      <c r="P19" s="50"/>
      <c r="Q19" s="50"/>
      <c r="R19" s="33"/>
      <c r="S19" s="33"/>
      <c r="T19" s="33"/>
      <c r="U19" s="33"/>
      <c r="V19" s="33"/>
      <c r="W19" s="33"/>
      <c r="X19" s="25"/>
      <c r="Y19" s="25"/>
      <c r="Z19" s="26"/>
      <c r="AA19" s="26"/>
      <c r="AB19" s="26"/>
    </row>
    <row r="20" spans="2:28" ht="25.5" customHeight="1" x14ac:dyDescent="0.35">
      <c r="B20" s="26"/>
      <c r="C20" s="530"/>
      <c r="D20" s="25"/>
      <c r="E20" s="532"/>
      <c r="F20" s="25"/>
      <c r="G20" s="532"/>
      <c r="H20" s="25"/>
      <c r="I20" s="534" t="s">
        <v>89</v>
      </c>
      <c r="J20" s="33"/>
      <c r="K20" s="527"/>
      <c r="L20" s="33"/>
      <c r="M20" s="527"/>
      <c r="N20" s="33"/>
      <c r="O20" s="527"/>
      <c r="P20" s="33"/>
      <c r="Q20" s="527"/>
      <c r="R20" s="33"/>
      <c r="S20" s="527"/>
      <c r="T20" s="33"/>
      <c r="U20" s="527">
        <f>IF(K20&lt;M20,IF(S20=0,0,IF(S20&lt;K20,1,IF(S20&gt;Q20,5,IF(M20&lt;K20,1,IF(M20&lt;M20,2,IF(M20&lt;O20,3,IF(M20&lt;Q20,4,5))))+((S20-M20)/(O20-M20))*(O19-M19)))),IF(S20=0,0,IF(S20&gt;K20,1,IF(S20&lt;Q20,5,IF(M20&gt;K20,1,IF(M20&gt;M20,2,IF(M20&gt;O20,3,IF(M20&gt;Q20,4,5))))+((S20-M20)/(O20-M20))*(O19-M19)))))</f>
        <v>0</v>
      </c>
      <c r="V20" s="33"/>
      <c r="W20" s="527">
        <f>U20*C20</f>
        <v>0</v>
      </c>
      <c r="X20" s="25"/>
      <c r="Y20" s="532"/>
      <c r="Z20" s="532"/>
      <c r="AA20" s="532"/>
      <c r="AB20" s="26"/>
    </row>
    <row r="21" spans="2:28" ht="25.5" customHeight="1" x14ac:dyDescent="0.35">
      <c r="B21" s="26"/>
      <c r="C21" s="531"/>
      <c r="D21" s="25"/>
      <c r="E21" s="533"/>
      <c r="F21" s="25"/>
      <c r="G21" s="533"/>
      <c r="H21" s="25"/>
      <c r="I21" s="535"/>
      <c r="J21" s="33"/>
      <c r="K21" s="528"/>
      <c r="L21" s="33"/>
      <c r="M21" s="528"/>
      <c r="N21" s="33"/>
      <c r="O21" s="528"/>
      <c r="P21" s="33"/>
      <c r="Q21" s="528"/>
      <c r="R21" s="33"/>
      <c r="S21" s="528"/>
      <c r="T21" s="33"/>
      <c r="U21" s="528"/>
      <c r="V21" s="33"/>
      <c r="W21" s="528"/>
      <c r="X21" s="25"/>
      <c r="Y21" s="532"/>
      <c r="Z21" s="532"/>
      <c r="AA21" s="532"/>
      <c r="AB21" s="26"/>
    </row>
    <row r="22" spans="2:28" ht="25.5" customHeight="1" x14ac:dyDescent="0.35">
      <c r="B22" s="26"/>
      <c r="C22" s="531"/>
      <c r="D22" s="25"/>
      <c r="E22" s="533"/>
      <c r="F22" s="25"/>
      <c r="G22" s="533"/>
      <c r="H22" s="25"/>
      <c r="I22" s="535"/>
      <c r="J22" s="33"/>
      <c r="K22" s="528"/>
      <c r="L22" s="33"/>
      <c r="M22" s="528"/>
      <c r="N22" s="33"/>
      <c r="O22" s="528"/>
      <c r="P22" s="33"/>
      <c r="Q22" s="528"/>
      <c r="R22" s="33"/>
      <c r="S22" s="528"/>
      <c r="T22" s="33"/>
      <c r="U22" s="528"/>
      <c r="V22" s="33"/>
      <c r="W22" s="528"/>
      <c r="X22" s="25"/>
      <c r="Y22" s="532"/>
      <c r="Z22" s="532"/>
      <c r="AA22" s="532"/>
      <c r="AB22" s="26"/>
    </row>
    <row r="23" spans="2:28" ht="15" customHeight="1" x14ac:dyDescent="0.35">
      <c r="B23" s="26"/>
      <c r="C23" s="25"/>
      <c r="D23" s="25"/>
      <c r="E23" s="25"/>
      <c r="F23" s="25"/>
      <c r="G23" s="25"/>
      <c r="H23" s="25"/>
      <c r="I23" s="33"/>
      <c r="J23" s="33"/>
      <c r="K23" s="33"/>
      <c r="L23" s="33"/>
      <c r="M23" s="33"/>
      <c r="N23" s="33"/>
      <c r="O23" s="33"/>
      <c r="P23" s="33"/>
      <c r="Q23" s="33"/>
      <c r="R23" s="33"/>
      <c r="S23" s="33"/>
      <c r="T23" s="33"/>
      <c r="U23" s="33"/>
      <c r="V23" s="33"/>
      <c r="W23" s="33"/>
      <c r="X23" s="25"/>
      <c r="Y23" s="25"/>
      <c r="Z23" s="26"/>
      <c r="AA23" s="26"/>
      <c r="AB23" s="26"/>
    </row>
    <row r="24" spans="2:28" ht="5.25" customHeight="1" x14ac:dyDescent="0.35">
      <c r="C24" s="34"/>
      <c r="D24" s="34"/>
      <c r="E24" s="34"/>
      <c r="F24" s="34"/>
      <c r="G24" s="34"/>
      <c r="H24" s="34"/>
      <c r="I24" s="35"/>
      <c r="J24" s="35"/>
      <c r="K24" s="35"/>
      <c r="L24" s="35"/>
      <c r="M24" s="35"/>
      <c r="N24" s="35"/>
      <c r="O24" s="35"/>
      <c r="P24" s="35"/>
      <c r="Q24" s="35"/>
      <c r="R24" s="35"/>
      <c r="S24" s="35"/>
      <c r="T24" s="35"/>
      <c r="U24" s="35"/>
      <c r="V24" s="35"/>
      <c r="W24" s="35"/>
      <c r="X24" s="34"/>
      <c r="Y24" s="34"/>
    </row>
    <row r="25" spans="2:28" ht="15" customHeight="1" x14ac:dyDescent="0.35">
      <c r="B25" s="26"/>
      <c r="C25" s="24" t="s">
        <v>29</v>
      </c>
      <c r="D25" s="25"/>
      <c r="E25" s="25"/>
      <c r="F25" s="25"/>
      <c r="G25" s="25"/>
      <c r="H25" s="25"/>
      <c r="I25" s="50">
        <v>1</v>
      </c>
      <c r="J25" s="50"/>
      <c r="K25" s="50">
        <v>2</v>
      </c>
      <c r="L25" s="50"/>
      <c r="M25" s="50">
        <v>3</v>
      </c>
      <c r="N25" s="50"/>
      <c r="O25" s="50">
        <v>4</v>
      </c>
      <c r="P25" s="50"/>
      <c r="Q25" s="50">
        <v>5</v>
      </c>
      <c r="R25" s="33"/>
      <c r="S25" s="33"/>
      <c r="T25" s="33"/>
      <c r="U25" s="33"/>
      <c r="V25" s="33"/>
      <c r="W25" s="33"/>
      <c r="X25" s="25"/>
      <c r="Y25" s="25"/>
      <c r="Z25" s="26"/>
      <c r="AA25" s="26"/>
      <c r="AB25" s="26"/>
    </row>
    <row r="26" spans="2:28" ht="25.5" customHeight="1" x14ac:dyDescent="0.35">
      <c r="B26" s="26"/>
      <c r="C26" s="530"/>
      <c r="D26" s="25"/>
      <c r="E26" s="532"/>
      <c r="F26" s="25"/>
      <c r="G26" s="532"/>
      <c r="H26" s="25"/>
      <c r="I26" s="534" t="s">
        <v>89</v>
      </c>
      <c r="J26" s="33"/>
      <c r="K26" s="527"/>
      <c r="L26" s="33"/>
      <c r="M26" s="527"/>
      <c r="N26" s="33"/>
      <c r="O26" s="527"/>
      <c r="P26" s="33"/>
      <c r="Q26" s="527"/>
      <c r="R26" s="33"/>
      <c r="S26" s="527"/>
      <c r="T26" s="33"/>
      <c r="U26" s="527">
        <f>IF(K26&lt;M26,IF(S26=0,0,IF(S26&lt;K26,1,IF(S26&gt;Q26,5,IF(M26&lt;K26,1,IF(M26&lt;M26,2,IF(M26&lt;O26,3,IF(M26&lt;Q26,4,5))))+((S26-M26)/(O26-M26))*(O25-M25)))),IF(S26=0,0,IF(S26&gt;K26,1,IF(S26&lt;Q26,5,IF(M26&gt;K26,1,IF(M26&gt;M26,2,IF(M26&gt;O26,3,IF(M26&gt;Q26,4,5))))+((S26-M26)/(O26-M26))*(O25-M25)))))</f>
        <v>0</v>
      </c>
      <c r="V26" s="33"/>
      <c r="W26" s="527">
        <f>U26*C26</f>
        <v>0</v>
      </c>
      <c r="X26" s="25"/>
      <c r="Y26" s="532"/>
      <c r="Z26" s="532"/>
      <c r="AA26" s="532"/>
      <c r="AB26" s="26"/>
    </row>
    <row r="27" spans="2:28" ht="25.5" customHeight="1" x14ac:dyDescent="0.35">
      <c r="B27" s="26"/>
      <c r="C27" s="531"/>
      <c r="D27" s="25"/>
      <c r="E27" s="533"/>
      <c r="F27" s="25"/>
      <c r="G27" s="533"/>
      <c r="H27" s="25"/>
      <c r="I27" s="535"/>
      <c r="J27" s="33"/>
      <c r="K27" s="528"/>
      <c r="L27" s="33"/>
      <c r="M27" s="528"/>
      <c r="N27" s="33"/>
      <c r="O27" s="528"/>
      <c r="P27" s="33"/>
      <c r="Q27" s="528"/>
      <c r="R27" s="33"/>
      <c r="S27" s="528"/>
      <c r="T27" s="33"/>
      <c r="U27" s="528"/>
      <c r="V27" s="33"/>
      <c r="W27" s="528"/>
      <c r="X27" s="25"/>
      <c r="Y27" s="532"/>
      <c r="Z27" s="532"/>
      <c r="AA27" s="532"/>
      <c r="AB27" s="26"/>
    </row>
    <row r="28" spans="2:28" ht="25.5" customHeight="1" x14ac:dyDescent="0.35">
      <c r="B28" s="26"/>
      <c r="C28" s="531"/>
      <c r="D28" s="25"/>
      <c r="E28" s="533"/>
      <c r="F28" s="25"/>
      <c r="G28" s="533"/>
      <c r="H28" s="25"/>
      <c r="I28" s="535"/>
      <c r="J28" s="33"/>
      <c r="K28" s="528"/>
      <c r="L28" s="33"/>
      <c r="M28" s="528"/>
      <c r="N28" s="33"/>
      <c r="O28" s="528"/>
      <c r="P28" s="33"/>
      <c r="Q28" s="528"/>
      <c r="R28" s="33"/>
      <c r="S28" s="528"/>
      <c r="T28" s="33"/>
      <c r="U28" s="528"/>
      <c r="V28" s="33"/>
      <c r="W28" s="528"/>
      <c r="X28" s="25"/>
      <c r="Y28" s="532"/>
      <c r="Z28" s="532"/>
      <c r="AA28" s="532"/>
      <c r="AB28" s="26"/>
    </row>
    <row r="29" spans="2:28" ht="15" customHeight="1" x14ac:dyDescent="0.35">
      <c r="B29" s="26"/>
      <c r="C29" s="25"/>
      <c r="D29" s="25"/>
      <c r="E29" s="25"/>
      <c r="F29" s="25"/>
      <c r="G29" s="25"/>
      <c r="H29" s="25"/>
      <c r="I29" s="33"/>
      <c r="J29" s="33"/>
      <c r="K29" s="33"/>
      <c r="L29" s="33"/>
      <c r="M29" s="33"/>
      <c r="N29" s="33"/>
      <c r="O29" s="33"/>
      <c r="P29" s="33"/>
      <c r="Q29" s="33"/>
      <c r="R29" s="33"/>
      <c r="S29" s="33"/>
      <c r="T29" s="33"/>
      <c r="U29" s="33"/>
      <c r="V29" s="33"/>
      <c r="W29" s="33"/>
      <c r="X29" s="25"/>
      <c r="Y29" s="25"/>
      <c r="Z29" s="26"/>
      <c r="AA29" s="26"/>
      <c r="AB29" s="26"/>
    </row>
    <row r="30" spans="2:28" ht="5.25" customHeight="1" x14ac:dyDescent="0.35">
      <c r="C30" s="34"/>
      <c r="D30" s="34"/>
      <c r="E30" s="34"/>
      <c r="F30" s="34"/>
      <c r="G30" s="34"/>
      <c r="H30" s="34"/>
      <c r="I30" s="35"/>
      <c r="J30" s="35"/>
      <c r="K30" s="35"/>
      <c r="L30" s="35"/>
      <c r="M30" s="35"/>
      <c r="N30" s="35"/>
      <c r="O30" s="35"/>
      <c r="P30" s="35"/>
      <c r="Q30" s="35"/>
      <c r="R30" s="35"/>
      <c r="S30" s="35"/>
      <c r="T30" s="35"/>
      <c r="U30" s="35"/>
      <c r="V30" s="35"/>
      <c r="W30" s="35"/>
      <c r="X30" s="34"/>
      <c r="Y30" s="34"/>
    </row>
    <row r="31" spans="2:28" ht="15" customHeight="1" x14ac:dyDescent="0.35">
      <c r="B31" s="26"/>
      <c r="C31" s="24" t="s">
        <v>30</v>
      </c>
      <c r="D31" s="25"/>
      <c r="E31" s="25"/>
      <c r="F31" s="25"/>
      <c r="G31" s="25"/>
      <c r="H31" s="25"/>
      <c r="I31" s="50">
        <v>1</v>
      </c>
      <c r="J31" s="50"/>
      <c r="K31" s="50">
        <v>2</v>
      </c>
      <c r="L31" s="50"/>
      <c r="M31" s="50">
        <v>3</v>
      </c>
      <c r="N31" s="50"/>
      <c r="O31" s="50">
        <v>4</v>
      </c>
      <c r="P31" s="50"/>
      <c r="Q31" s="50">
        <v>5</v>
      </c>
      <c r="R31" s="33"/>
      <c r="S31" s="33"/>
      <c r="T31" s="33"/>
      <c r="U31" s="33"/>
      <c r="V31" s="33"/>
      <c r="W31" s="33"/>
      <c r="X31" s="25"/>
      <c r="Y31" s="25"/>
      <c r="Z31" s="26"/>
      <c r="AA31" s="26"/>
      <c r="AB31" s="26"/>
    </row>
    <row r="32" spans="2:28" ht="25.5" customHeight="1" x14ac:dyDescent="0.35">
      <c r="B32" s="26"/>
      <c r="C32" s="530"/>
      <c r="D32" s="25"/>
      <c r="E32" s="532"/>
      <c r="F32" s="25"/>
      <c r="G32" s="532"/>
      <c r="H32" s="25"/>
      <c r="I32" s="534" t="s">
        <v>89</v>
      </c>
      <c r="J32" s="33"/>
      <c r="K32" s="527"/>
      <c r="L32" s="33"/>
      <c r="M32" s="527"/>
      <c r="N32" s="33"/>
      <c r="O32" s="527"/>
      <c r="P32" s="33"/>
      <c r="Q32" s="527"/>
      <c r="R32" s="33"/>
      <c r="S32" s="527"/>
      <c r="T32" s="33"/>
      <c r="U32" s="527">
        <f>IF(K32&lt;M32,IF(S32=0,0,IF(S32&lt;K32,1,IF(S32&gt;Q32,5,IF(M32&lt;K32,1,IF(M32&lt;M32,2,IF(M32&lt;O32,3,IF(M32&lt;Q32,4,5))))+((S32-M32)/(O32-M32))*(O31-M31)))),IF(S32=0,0,IF(S32&gt;K32,1,IF(S32&lt;Q32,5,IF(M32&gt;K32,1,IF(M32&gt;M32,2,IF(M32&gt;O32,3,IF(M32&gt;Q32,4,5))))+((S32-M32)/(O32-M32))*(O31-M31)))))</f>
        <v>0</v>
      </c>
      <c r="V32" s="33"/>
      <c r="W32" s="527">
        <f>U32*C32</f>
        <v>0</v>
      </c>
      <c r="X32" s="25"/>
      <c r="Y32" s="532"/>
      <c r="Z32" s="532"/>
      <c r="AA32" s="532"/>
      <c r="AB32" s="26"/>
    </row>
    <row r="33" spans="2:28" ht="25.5" customHeight="1" x14ac:dyDescent="0.35">
      <c r="B33" s="26"/>
      <c r="C33" s="531"/>
      <c r="D33" s="25"/>
      <c r="E33" s="533"/>
      <c r="F33" s="25"/>
      <c r="G33" s="533"/>
      <c r="H33" s="25"/>
      <c r="I33" s="535"/>
      <c r="J33" s="33"/>
      <c r="K33" s="528"/>
      <c r="L33" s="33"/>
      <c r="M33" s="528"/>
      <c r="N33" s="33"/>
      <c r="O33" s="528"/>
      <c r="P33" s="33"/>
      <c r="Q33" s="528"/>
      <c r="R33" s="33"/>
      <c r="S33" s="528"/>
      <c r="T33" s="33"/>
      <c r="U33" s="528"/>
      <c r="V33" s="33"/>
      <c r="W33" s="528"/>
      <c r="X33" s="25"/>
      <c r="Y33" s="532"/>
      <c r="Z33" s="532"/>
      <c r="AA33" s="532"/>
      <c r="AB33" s="26"/>
    </row>
    <row r="34" spans="2:28" ht="25.5" customHeight="1" x14ac:dyDescent="0.35">
      <c r="B34" s="26"/>
      <c r="C34" s="531"/>
      <c r="D34" s="25"/>
      <c r="E34" s="533"/>
      <c r="F34" s="25"/>
      <c r="G34" s="533"/>
      <c r="H34" s="25"/>
      <c r="I34" s="535"/>
      <c r="J34" s="33"/>
      <c r="K34" s="528"/>
      <c r="L34" s="33"/>
      <c r="M34" s="528"/>
      <c r="N34" s="33"/>
      <c r="O34" s="528"/>
      <c r="P34" s="33"/>
      <c r="Q34" s="528"/>
      <c r="R34" s="33"/>
      <c r="S34" s="528"/>
      <c r="T34" s="33"/>
      <c r="U34" s="528"/>
      <c r="V34" s="33"/>
      <c r="W34" s="528"/>
      <c r="X34" s="25"/>
      <c r="Y34" s="532"/>
      <c r="Z34" s="532"/>
      <c r="AA34" s="532"/>
      <c r="AB34" s="26"/>
    </row>
    <row r="35" spans="2:28" ht="15" customHeight="1" x14ac:dyDescent="0.35">
      <c r="B35" s="26"/>
      <c r="C35" s="25"/>
      <c r="D35" s="25"/>
      <c r="E35" s="25"/>
      <c r="F35" s="25"/>
      <c r="G35" s="25"/>
      <c r="H35" s="25"/>
      <c r="I35" s="33"/>
      <c r="J35" s="33"/>
      <c r="K35" s="33"/>
      <c r="L35" s="33"/>
      <c r="M35" s="33"/>
      <c r="N35" s="33"/>
      <c r="O35" s="33"/>
      <c r="P35" s="33"/>
      <c r="Q35" s="33"/>
      <c r="R35" s="33"/>
      <c r="S35" s="33"/>
      <c r="T35" s="33"/>
      <c r="U35" s="33"/>
      <c r="V35" s="33"/>
      <c r="W35" s="33"/>
      <c r="X35" s="25"/>
      <c r="Y35" s="25"/>
      <c r="Z35" s="26"/>
      <c r="AA35" s="26"/>
      <c r="AB35" s="26"/>
    </row>
    <row r="36" spans="2:28" ht="5.25" customHeight="1" x14ac:dyDescent="0.35">
      <c r="C36" s="34"/>
      <c r="D36" s="34"/>
      <c r="E36" s="34"/>
      <c r="F36" s="34"/>
      <c r="G36" s="34"/>
      <c r="H36" s="34"/>
      <c r="I36" s="35"/>
      <c r="J36" s="35"/>
      <c r="K36" s="35"/>
      <c r="L36" s="35"/>
      <c r="M36" s="35"/>
      <c r="N36" s="35"/>
      <c r="O36" s="35"/>
      <c r="P36" s="35"/>
      <c r="Q36" s="35"/>
      <c r="R36" s="35"/>
      <c r="S36" s="35"/>
      <c r="T36" s="35"/>
      <c r="U36" s="35"/>
      <c r="V36" s="35"/>
      <c r="W36" s="35"/>
      <c r="X36" s="34"/>
      <c r="Y36" s="34"/>
    </row>
    <row r="37" spans="2:28" ht="15" customHeight="1" x14ac:dyDescent="0.35">
      <c r="B37" s="26"/>
      <c r="C37" s="24" t="s">
        <v>31</v>
      </c>
      <c r="D37" s="25"/>
      <c r="E37" s="25"/>
      <c r="F37" s="25"/>
      <c r="G37" s="25"/>
      <c r="H37" s="25"/>
      <c r="I37" s="50">
        <v>1</v>
      </c>
      <c r="J37" s="50"/>
      <c r="K37" s="50">
        <v>2</v>
      </c>
      <c r="L37" s="50"/>
      <c r="M37" s="50">
        <v>3</v>
      </c>
      <c r="N37" s="50"/>
      <c r="O37" s="50">
        <v>4</v>
      </c>
      <c r="P37" s="50"/>
      <c r="Q37" s="50">
        <v>5</v>
      </c>
      <c r="R37" s="33"/>
      <c r="S37" s="33"/>
      <c r="T37" s="33"/>
      <c r="U37" s="33"/>
      <c r="V37" s="33"/>
      <c r="W37" s="33"/>
      <c r="X37" s="25"/>
      <c r="Y37" s="25"/>
      <c r="Z37" s="26"/>
      <c r="AA37" s="26"/>
      <c r="AB37" s="26"/>
    </row>
    <row r="38" spans="2:28" ht="25.5" customHeight="1" x14ac:dyDescent="0.35">
      <c r="B38" s="26"/>
      <c r="C38" s="530"/>
      <c r="D38" s="25"/>
      <c r="E38" s="532"/>
      <c r="F38" s="25"/>
      <c r="G38" s="532"/>
      <c r="H38" s="25"/>
      <c r="I38" s="534" t="s">
        <v>89</v>
      </c>
      <c r="J38" s="33"/>
      <c r="K38" s="527"/>
      <c r="L38" s="33"/>
      <c r="M38" s="527"/>
      <c r="N38" s="33"/>
      <c r="O38" s="527"/>
      <c r="P38" s="33"/>
      <c r="Q38" s="527"/>
      <c r="R38" s="33"/>
      <c r="S38" s="527"/>
      <c r="T38" s="33"/>
      <c r="U38" s="527">
        <f>IF(K38&lt;M38,IF(S38=0,0,IF(S38&lt;K38,1,IF(S38&gt;Q38,5,IF(M38&lt;K38,1,IF(M38&lt;M38,2,IF(M38&lt;O38,3,IF(M38&lt;Q38,4,5))))+((S38-M38)/(O38-M38))*(O37-M37)))),IF(S38=0,0,IF(S38&gt;K38,1,IF(S38&lt;Q38,5,IF(M38&gt;K38,1,IF(M38&gt;M38,2,IF(M38&gt;O38,3,IF(M38&gt;Q38,4,5))))+((S38-M38)/(O38-M38))*(O37-M37)))))</f>
        <v>0</v>
      </c>
      <c r="V38" s="33"/>
      <c r="W38" s="527">
        <f>U38*C38</f>
        <v>0</v>
      </c>
      <c r="X38" s="25"/>
      <c r="Y38" s="532"/>
      <c r="Z38" s="532"/>
      <c r="AA38" s="532"/>
      <c r="AB38" s="26"/>
    </row>
    <row r="39" spans="2:28" ht="25.5" customHeight="1" x14ac:dyDescent="0.35">
      <c r="B39" s="26"/>
      <c r="C39" s="531"/>
      <c r="D39" s="25"/>
      <c r="E39" s="533"/>
      <c r="F39" s="25"/>
      <c r="G39" s="533"/>
      <c r="H39" s="25"/>
      <c r="I39" s="535"/>
      <c r="J39" s="33"/>
      <c r="K39" s="528"/>
      <c r="L39" s="33"/>
      <c r="M39" s="528"/>
      <c r="N39" s="33"/>
      <c r="O39" s="528"/>
      <c r="P39" s="33"/>
      <c r="Q39" s="528"/>
      <c r="R39" s="33"/>
      <c r="S39" s="528"/>
      <c r="T39" s="33"/>
      <c r="U39" s="528"/>
      <c r="V39" s="33"/>
      <c r="W39" s="528"/>
      <c r="X39" s="25"/>
      <c r="Y39" s="532"/>
      <c r="Z39" s="532"/>
      <c r="AA39" s="532"/>
      <c r="AB39" s="26"/>
    </row>
    <row r="40" spans="2:28" ht="25.5" customHeight="1" x14ac:dyDescent="0.35">
      <c r="B40" s="26"/>
      <c r="C40" s="531"/>
      <c r="D40" s="25"/>
      <c r="E40" s="533"/>
      <c r="F40" s="25"/>
      <c r="G40" s="533"/>
      <c r="H40" s="25"/>
      <c r="I40" s="535"/>
      <c r="J40" s="33"/>
      <c r="K40" s="528"/>
      <c r="L40" s="33"/>
      <c r="M40" s="528"/>
      <c r="N40" s="33"/>
      <c r="O40" s="528"/>
      <c r="P40" s="33"/>
      <c r="Q40" s="528"/>
      <c r="R40" s="33"/>
      <c r="S40" s="528"/>
      <c r="T40" s="33"/>
      <c r="U40" s="528"/>
      <c r="V40" s="33"/>
      <c r="W40" s="528"/>
      <c r="X40" s="25"/>
      <c r="Y40" s="532"/>
      <c r="Z40" s="532"/>
      <c r="AA40" s="532"/>
      <c r="AB40" s="26"/>
    </row>
    <row r="41" spans="2:28" ht="15" customHeight="1" x14ac:dyDescent="0.35">
      <c r="B41" s="26"/>
      <c r="C41" s="26"/>
      <c r="D41" s="26"/>
      <c r="E41" s="26"/>
      <c r="F41" s="26"/>
      <c r="G41" s="26"/>
      <c r="H41" s="26"/>
      <c r="I41" s="26"/>
      <c r="J41" s="26"/>
      <c r="K41" s="26"/>
      <c r="L41" s="26"/>
      <c r="M41" s="26"/>
      <c r="N41" s="26"/>
      <c r="O41" s="26"/>
      <c r="P41" s="26"/>
      <c r="Q41" s="26"/>
      <c r="R41" s="26"/>
      <c r="S41" s="26"/>
      <c r="T41" s="26"/>
      <c r="U41" s="26"/>
      <c r="V41" s="26"/>
      <c r="W41" s="26"/>
      <c r="X41" s="26"/>
      <c r="Y41" s="25"/>
      <c r="Z41" s="26"/>
      <c r="AA41" s="26"/>
      <c r="AB41" s="26"/>
    </row>
    <row r="42" spans="2:28" x14ac:dyDescent="0.35">
      <c r="C42" s="28" t="s">
        <v>32</v>
      </c>
      <c r="D42" s="1" t="s">
        <v>34</v>
      </c>
      <c r="E42" s="32">
        <f>SUM(C14,C20,C26,C32,C38)</f>
        <v>1</v>
      </c>
    </row>
    <row r="43" spans="2:28" x14ac:dyDescent="0.35">
      <c r="C43" s="1"/>
      <c r="W43" s="1"/>
    </row>
    <row r="44" spans="2:28" ht="15" customHeight="1" x14ac:dyDescent="0.35">
      <c r="C44" s="51"/>
      <c r="D44" s="52"/>
      <c r="E44" s="52" t="s">
        <v>56</v>
      </c>
      <c r="F44" s="52"/>
      <c r="G44" s="52"/>
      <c r="H44" s="52"/>
      <c r="I44" s="52" t="s">
        <v>57</v>
      </c>
      <c r="J44" s="52"/>
      <c r="K44" s="52"/>
      <c r="L44" s="52"/>
      <c r="M44" s="52"/>
      <c r="P44" s="47"/>
      <c r="W44" s="27"/>
    </row>
    <row r="45" spans="2:28" ht="50.25" customHeight="1" x14ac:dyDescent="0.35">
      <c r="C45" s="540" t="s">
        <v>58</v>
      </c>
      <c r="D45" s="540"/>
      <c r="E45" s="53"/>
      <c r="F45" s="53"/>
      <c r="G45" s="54"/>
      <c r="H45" s="54"/>
      <c r="I45" s="53"/>
      <c r="J45" s="53"/>
      <c r="K45" s="53"/>
      <c r="L45" s="53"/>
      <c r="M45" s="49"/>
      <c r="N45" s="49"/>
      <c r="O45" s="49"/>
      <c r="P45" s="48"/>
      <c r="W45" s="27"/>
    </row>
    <row r="46" spans="2:28" ht="50.25" customHeight="1" x14ac:dyDescent="0.35">
      <c r="C46" s="540" t="s">
        <v>59</v>
      </c>
      <c r="D46" s="540"/>
      <c r="E46" s="55"/>
      <c r="F46" s="55"/>
      <c r="G46" s="54"/>
      <c r="H46" s="54"/>
      <c r="I46" s="53"/>
      <c r="J46" s="53"/>
      <c r="K46" s="53"/>
      <c r="L46" s="53"/>
      <c r="M46" s="49"/>
      <c r="N46" s="49"/>
      <c r="O46" s="49"/>
      <c r="P46" s="48"/>
    </row>
    <row r="47" spans="2:28" ht="50.25" customHeight="1" x14ac:dyDescent="0.35">
      <c r="C47" s="540" t="s">
        <v>60</v>
      </c>
      <c r="D47" s="541"/>
      <c r="E47" s="55"/>
      <c r="F47" s="55"/>
      <c r="G47" s="54"/>
      <c r="H47" s="54"/>
      <c r="I47" s="53"/>
      <c r="J47" s="53"/>
      <c r="K47" s="53"/>
      <c r="L47" s="53"/>
      <c r="M47" s="49"/>
      <c r="N47" s="49"/>
      <c r="O47" s="49"/>
      <c r="P47" s="48"/>
    </row>
    <row r="48" spans="2:28" x14ac:dyDescent="0.35">
      <c r="C48" s="48"/>
      <c r="D48" s="48"/>
      <c r="E48" s="48"/>
      <c r="F48" s="48"/>
      <c r="G48" s="48"/>
      <c r="H48" s="48"/>
      <c r="I48" s="48"/>
      <c r="J48" s="48"/>
      <c r="K48" s="48"/>
      <c r="L48" s="48"/>
      <c r="M48" s="48"/>
      <c r="N48" s="48"/>
      <c r="O48" s="48"/>
      <c r="P48" s="48"/>
    </row>
  </sheetData>
  <mergeCells count="75">
    <mergeCell ref="S14:S16"/>
    <mergeCell ref="U14:U16"/>
    <mergeCell ref="I20:I22"/>
    <mergeCell ref="K20:K22"/>
    <mergeCell ref="M20:M22"/>
    <mergeCell ref="O20:O22"/>
    <mergeCell ref="Q20:Q22"/>
    <mergeCell ref="S20:S22"/>
    <mergeCell ref="U20:U22"/>
    <mergeCell ref="I14:I16"/>
    <mergeCell ref="K14:K16"/>
    <mergeCell ref="M14:M16"/>
    <mergeCell ref="O14:O16"/>
    <mergeCell ref="Q14:Q16"/>
    <mergeCell ref="C45:D45"/>
    <mergeCell ref="C46:D46"/>
    <mergeCell ref="C47:D47"/>
    <mergeCell ref="Y14:AA16"/>
    <mergeCell ref="Y20:AA22"/>
    <mergeCell ref="Y26:AA28"/>
    <mergeCell ref="Y32:AA34"/>
    <mergeCell ref="Y38:AA40"/>
    <mergeCell ref="C20:C22"/>
    <mergeCell ref="E20:E22"/>
    <mergeCell ref="G20:G22"/>
    <mergeCell ref="C14:C16"/>
    <mergeCell ref="E14:E16"/>
    <mergeCell ref="G14:G16"/>
    <mergeCell ref="C26:C28"/>
    <mergeCell ref="E26:E28"/>
    <mergeCell ref="R2:W2"/>
    <mergeCell ref="R3:W3"/>
    <mergeCell ref="R4:W4"/>
    <mergeCell ref="R5:W5"/>
    <mergeCell ref="R6:W6"/>
    <mergeCell ref="G9:G11"/>
    <mergeCell ref="W9:W11"/>
    <mergeCell ref="I9:Q9"/>
    <mergeCell ref="U9:U11"/>
    <mergeCell ref="S9:S11"/>
    <mergeCell ref="G26:G28"/>
    <mergeCell ref="I26:I28"/>
    <mergeCell ref="K26:K28"/>
    <mergeCell ref="C32:C34"/>
    <mergeCell ref="E32:E34"/>
    <mergeCell ref="G32:G34"/>
    <mergeCell ref="I32:I34"/>
    <mergeCell ref="K32:K34"/>
    <mergeCell ref="C38:C40"/>
    <mergeCell ref="E38:E40"/>
    <mergeCell ref="G38:G40"/>
    <mergeCell ref="I38:I40"/>
    <mergeCell ref="K38:K40"/>
    <mergeCell ref="W38:W40"/>
    <mergeCell ref="M38:M40"/>
    <mergeCell ref="O38:O40"/>
    <mergeCell ref="Q38:Q40"/>
    <mergeCell ref="S38:S40"/>
    <mergeCell ref="U38:U40"/>
    <mergeCell ref="Y3:Y5"/>
    <mergeCell ref="W26:W28"/>
    <mergeCell ref="M32:M34"/>
    <mergeCell ref="O32:O34"/>
    <mergeCell ref="Q32:Q34"/>
    <mergeCell ref="S32:S34"/>
    <mergeCell ref="U32:U34"/>
    <mergeCell ref="W32:W34"/>
    <mergeCell ref="M26:M28"/>
    <mergeCell ref="O26:O28"/>
    <mergeCell ref="Q26:Q28"/>
    <mergeCell ref="S26:S28"/>
    <mergeCell ref="U26:U28"/>
    <mergeCell ref="W20:W22"/>
    <mergeCell ref="Y9:AB11"/>
    <mergeCell ref="W14:W16"/>
  </mergeCells>
  <pageMargins left="0.25" right="0.25" top="0.75" bottom="0.75" header="0.3" footer="0.3"/>
  <pageSetup paperSize="8" scale="86" orientation="landscape" horizontalDpi="4294967294"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AB49"/>
  <sheetViews>
    <sheetView showGridLines="0" showRowColHeaders="0" topLeftCell="A7" zoomScale="70" zoomScaleNormal="70" workbookViewId="0">
      <selection activeCell="C46" sqref="C46:D48"/>
    </sheetView>
  </sheetViews>
  <sheetFormatPr defaultColWidth="9.1796875" defaultRowHeight="14.5" x14ac:dyDescent="0.35"/>
  <cols>
    <col min="1" max="1" width="5.7265625" style="5" customWidth="1"/>
    <col min="2" max="2" width="2.54296875" style="5" customWidth="1"/>
    <col min="3" max="3" width="15.1796875" style="5" customWidth="1"/>
    <col min="4" max="4" width="2.1796875" style="5" customWidth="1"/>
    <col min="5" max="5" width="50.54296875" style="5" customWidth="1"/>
    <col min="6" max="6" width="2.1796875" style="5" customWidth="1"/>
    <col min="7" max="7" width="39.453125" style="5" customWidth="1"/>
    <col min="8" max="8" width="2.1796875" style="5" customWidth="1"/>
    <col min="9" max="9" width="14.1796875" style="5" customWidth="1"/>
    <col min="10" max="10" width="1.26953125" style="5" customWidth="1"/>
    <col min="11" max="11" width="14.1796875" style="5" customWidth="1"/>
    <col min="12" max="12" width="1.26953125" style="5" customWidth="1"/>
    <col min="13" max="13" width="14.1796875" style="5" customWidth="1"/>
    <col min="14" max="14" width="1.26953125" style="5" customWidth="1"/>
    <col min="15" max="15" width="14.1796875" style="5" customWidth="1"/>
    <col min="16" max="16" width="1.26953125" style="5" customWidth="1"/>
    <col min="17" max="17" width="14.1796875" style="5" customWidth="1"/>
    <col min="18" max="18" width="2.1796875" style="5" customWidth="1"/>
    <col min="19" max="19" width="13.81640625" style="5" customWidth="1"/>
    <col min="20" max="20" width="2.1796875" style="5" customWidth="1"/>
    <col min="21" max="21" width="12.1796875" style="5" customWidth="1"/>
    <col min="22" max="22" width="2.1796875" style="5" customWidth="1"/>
    <col min="23" max="23" width="12.1796875" style="5" customWidth="1"/>
    <col min="24" max="24" width="2.1796875" style="5" customWidth="1"/>
    <col min="25" max="25" width="15.81640625" style="5" customWidth="1"/>
    <col min="26" max="26" width="2" style="5" customWidth="1"/>
    <col min="27" max="27" width="5" style="5" customWidth="1"/>
    <col min="28" max="28" width="2.7265625" style="5" customWidth="1"/>
    <col min="29" max="16384" width="9.1796875" style="5"/>
  </cols>
  <sheetData>
    <row r="1" spans="2:28" ht="15" thickBot="1" x14ac:dyDescent="0.4"/>
    <row r="2" spans="2:28" ht="29.25" customHeight="1" x14ac:dyDescent="0.35">
      <c r="Q2" s="2" t="s">
        <v>38</v>
      </c>
      <c r="R2" s="543"/>
      <c r="S2" s="544"/>
      <c r="T2" s="544"/>
      <c r="U2" s="544"/>
      <c r="V2" s="544"/>
      <c r="W2" s="545"/>
      <c r="Y2" s="549" t="s">
        <v>209</v>
      </c>
      <c r="Z2" s="550"/>
      <c r="AA2" s="551"/>
    </row>
    <row r="3" spans="2:28" ht="29.25" customHeight="1" x14ac:dyDescent="0.35">
      <c r="Q3" s="2" t="s">
        <v>6</v>
      </c>
      <c r="R3" s="546"/>
      <c r="S3" s="547"/>
      <c r="T3" s="547"/>
      <c r="U3" s="547"/>
      <c r="V3" s="547"/>
      <c r="W3" s="548"/>
      <c r="Y3" s="552">
        <f>W15+W21+W27+W33+W39</f>
        <v>0</v>
      </c>
      <c r="Z3" s="553"/>
      <c r="AA3" s="554"/>
    </row>
    <row r="4" spans="2:28" ht="29.25" customHeight="1" x14ac:dyDescent="0.35">
      <c r="Q4" s="2" t="s">
        <v>11</v>
      </c>
      <c r="R4" s="543"/>
      <c r="S4" s="544"/>
      <c r="T4" s="544"/>
      <c r="U4" s="544"/>
      <c r="V4" s="544"/>
      <c r="W4" s="545"/>
      <c r="Y4" s="552"/>
      <c r="Z4" s="553"/>
      <c r="AA4" s="554"/>
    </row>
    <row r="5" spans="2:28" ht="29.25" customHeight="1" x14ac:dyDescent="0.35">
      <c r="Q5" s="2" t="s">
        <v>55</v>
      </c>
      <c r="R5" s="546"/>
      <c r="S5" s="547"/>
      <c r="T5" s="547"/>
      <c r="U5" s="547"/>
      <c r="V5" s="547"/>
      <c r="W5" s="548"/>
      <c r="Y5" s="552"/>
      <c r="Z5" s="553"/>
      <c r="AA5" s="554"/>
    </row>
    <row r="6" spans="2:28" ht="29.25" customHeight="1" thickBot="1" x14ac:dyDescent="0.4">
      <c r="Q6" s="2" t="s">
        <v>12</v>
      </c>
      <c r="R6" s="543"/>
      <c r="S6" s="544"/>
      <c r="T6" s="544"/>
      <c r="U6" s="544"/>
      <c r="V6" s="544"/>
      <c r="W6" s="545"/>
      <c r="Y6" s="555" t="str">
        <f>IF(Y3&gt;=5,"Excellent",IF(Y3&gt;=4,"Very Good",IF(Y3&gt;=3,"Good",IF(Y3&gt;=2,"Fair",IF(Y3&lt;2,"Poor")))))</f>
        <v>Poor</v>
      </c>
      <c r="Z6" s="556"/>
      <c r="AA6" s="557"/>
    </row>
    <row r="9" spans="2:28" ht="26.25" customHeight="1" x14ac:dyDescent="0.35">
      <c r="B9" s="26"/>
      <c r="C9" s="129" t="s">
        <v>23</v>
      </c>
      <c r="D9" s="130"/>
      <c r="E9" s="131" t="s">
        <v>14</v>
      </c>
      <c r="F9" s="132"/>
      <c r="G9" s="542" t="s">
        <v>15</v>
      </c>
      <c r="H9" s="132"/>
      <c r="I9" s="558" t="s">
        <v>24</v>
      </c>
      <c r="J9" s="558"/>
      <c r="K9" s="558"/>
      <c r="L9" s="558"/>
      <c r="M9" s="558"/>
      <c r="N9" s="558"/>
      <c r="O9" s="558"/>
      <c r="P9" s="558"/>
      <c r="Q9" s="558"/>
      <c r="R9" s="133"/>
      <c r="S9" s="542" t="s">
        <v>26</v>
      </c>
      <c r="T9" s="133"/>
      <c r="U9" s="542" t="s">
        <v>25</v>
      </c>
      <c r="V9" s="132"/>
      <c r="W9" s="542" t="s">
        <v>16</v>
      </c>
      <c r="X9" s="132"/>
      <c r="Y9" s="542" t="s">
        <v>203</v>
      </c>
      <c r="Z9" s="542"/>
      <c r="AA9" s="542"/>
      <c r="AB9" s="542"/>
    </row>
    <row r="10" spans="2:28" ht="5.25" customHeight="1" x14ac:dyDescent="0.35">
      <c r="C10" s="134"/>
      <c r="D10" s="116"/>
      <c r="E10" s="135"/>
      <c r="F10" s="135"/>
      <c r="G10" s="542"/>
      <c r="H10" s="135"/>
      <c r="I10" s="132"/>
      <c r="J10" s="132"/>
      <c r="K10" s="136"/>
      <c r="L10" s="136"/>
      <c r="M10" s="136"/>
      <c r="N10" s="136"/>
      <c r="O10" s="136"/>
      <c r="P10" s="136"/>
      <c r="Q10" s="136"/>
      <c r="R10" s="132"/>
      <c r="S10" s="559"/>
      <c r="T10" s="132"/>
      <c r="U10" s="542"/>
      <c r="V10" s="132"/>
      <c r="W10" s="542"/>
      <c r="X10" s="132"/>
      <c r="Y10" s="542"/>
      <c r="Z10" s="542"/>
      <c r="AA10" s="542"/>
      <c r="AB10" s="542"/>
    </row>
    <row r="11" spans="2:28" ht="14.25" customHeight="1" x14ac:dyDescent="0.35">
      <c r="B11" s="567" t="s">
        <v>13</v>
      </c>
      <c r="C11" s="567"/>
      <c r="D11" s="116"/>
      <c r="E11" s="542" t="s">
        <v>212</v>
      </c>
      <c r="F11" s="135"/>
      <c r="G11" s="542"/>
      <c r="H11" s="135"/>
      <c r="I11" s="137">
        <v>1</v>
      </c>
      <c r="J11" s="132"/>
      <c r="K11" s="137">
        <v>2</v>
      </c>
      <c r="L11" s="136"/>
      <c r="M11" s="137">
        <v>3</v>
      </c>
      <c r="N11" s="136"/>
      <c r="O11" s="137">
        <v>4</v>
      </c>
      <c r="P11" s="136"/>
      <c r="Q11" s="137">
        <v>5</v>
      </c>
      <c r="R11" s="132"/>
      <c r="S11" s="559"/>
      <c r="T11" s="132"/>
      <c r="U11" s="542"/>
      <c r="V11" s="132"/>
      <c r="W11" s="542"/>
      <c r="X11" s="132"/>
      <c r="Y11" s="542"/>
      <c r="Z11" s="542"/>
      <c r="AA11" s="542"/>
      <c r="AB11" s="542"/>
    </row>
    <row r="12" spans="2:28" ht="18" customHeight="1" x14ac:dyDescent="0.35">
      <c r="B12" s="567"/>
      <c r="C12" s="567"/>
      <c r="D12" s="10"/>
      <c r="E12" s="542"/>
      <c r="F12" s="135"/>
      <c r="G12" s="542"/>
      <c r="H12" s="135"/>
      <c r="I12" s="138" t="s">
        <v>204</v>
      </c>
      <c r="J12" s="139"/>
      <c r="K12" s="138" t="s">
        <v>205</v>
      </c>
      <c r="L12" s="140"/>
      <c r="M12" s="138" t="s">
        <v>206</v>
      </c>
      <c r="N12" s="139"/>
      <c r="O12" s="138" t="s">
        <v>207</v>
      </c>
      <c r="P12" s="140"/>
      <c r="Q12" s="138" t="s">
        <v>208</v>
      </c>
      <c r="R12" s="141"/>
      <c r="S12" s="559"/>
      <c r="T12" s="141"/>
      <c r="U12" s="542"/>
      <c r="V12" s="132"/>
      <c r="W12" s="542"/>
      <c r="X12" s="132"/>
      <c r="Y12" s="542"/>
      <c r="Z12" s="542"/>
      <c r="AA12" s="542"/>
      <c r="AB12" s="542"/>
    </row>
    <row r="13" spans="2:28" ht="7.5" customHeight="1" x14ac:dyDescent="0.35">
      <c r="C13" s="10"/>
      <c r="D13" s="10"/>
    </row>
    <row r="14" spans="2:28" ht="15" customHeight="1" x14ac:dyDescent="0.35">
      <c r="B14" s="26"/>
      <c r="C14" s="24" t="s">
        <v>27</v>
      </c>
      <c r="D14" s="25"/>
      <c r="E14" s="25"/>
      <c r="F14" s="25"/>
      <c r="G14" s="25"/>
      <c r="H14" s="25"/>
      <c r="I14" s="50">
        <v>1</v>
      </c>
      <c r="J14" s="50"/>
      <c r="K14" s="50">
        <v>2</v>
      </c>
      <c r="L14" s="50"/>
      <c r="M14" s="50">
        <v>3</v>
      </c>
      <c r="N14" s="50"/>
      <c r="O14" s="50">
        <v>4</v>
      </c>
      <c r="P14" s="50"/>
      <c r="Q14" s="50">
        <v>5</v>
      </c>
      <c r="R14" s="25"/>
      <c r="S14" s="25"/>
      <c r="T14" s="25"/>
      <c r="U14" s="25"/>
      <c r="V14" s="25"/>
      <c r="W14" s="25"/>
      <c r="X14" s="25"/>
      <c r="Y14" s="25"/>
      <c r="Z14" s="26"/>
      <c r="AA14" s="26"/>
      <c r="AB14" s="26"/>
    </row>
    <row r="15" spans="2:28" ht="25.5" customHeight="1" x14ac:dyDescent="0.35">
      <c r="B15" s="26"/>
      <c r="C15" s="561"/>
      <c r="D15" s="25"/>
      <c r="E15" s="560"/>
      <c r="F15" s="25"/>
      <c r="G15" s="560"/>
      <c r="H15" s="25"/>
      <c r="I15" s="562" t="s">
        <v>89</v>
      </c>
      <c r="J15" s="25"/>
      <c r="K15" s="560"/>
      <c r="L15" s="25"/>
      <c r="M15" s="560"/>
      <c r="N15" s="25"/>
      <c r="O15" s="560"/>
      <c r="P15" s="25"/>
      <c r="Q15" s="560"/>
      <c r="R15" s="25"/>
      <c r="S15" s="560"/>
      <c r="T15" s="25"/>
      <c r="U15" s="560"/>
      <c r="V15" s="25"/>
      <c r="W15" s="564">
        <f>U15*C15</f>
        <v>0</v>
      </c>
      <c r="X15" s="25"/>
      <c r="Y15" s="560"/>
      <c r="Z15" s="560"/>
      <c r="AA15" s="560"/>
      <c r="AB15" s="26"/>
    </row>
    <row r="16" spans="2:28" ht="25.5" customHeight="1" x14ac:dyDescent="0.35">
      <c r="B16" s="26"/>
      <c r="C16" s="561"/>
      <c r="D16" s="25"/>
      <c r="E16" s="560"/>
      <c r="F16" s="25"/>
      <c r="G16" s="560"/>
      <c r="H16" s="25"/>
      <c r="I16" s="563"/>
      <c r="J16" s="25"/>
      <c r="K16" s="560"/>
      <c r="L16" s="25"/>
      <c r="M16" s="560"/>
      <c r="N16" s="25"/>
      <c r="O16" s="560"/>
      <c r="P16" s="25"/>
      <c r="Q16" s="560"/>
      <c r="R16" s="25"/>
      <c r="S16" s="560"/>
      <c r="T16" s="25"/>
      <c r="U16" s="560"/>
      <c r="V16" s="25"/>
      <c r="W16" s="564"/>
      <c r="X16" s="25"/>
      <c r="Y16" s="560"/>
      <c r="Z16" s="560"/>
      <c r="AA16" s="560"/>
      <c r="AB16" s="26"/>
    </row>
    <row r="17" spans="2:28" ht="25.5" customHeight="1" x14ac:dyDescent="0.35">
      <c r="B17" s="26"/>
      <c r="C17" s="561"/>
      <c r="D17" s="25"/>
      <c r="E17" s="560"/>
      <c r="F17" s="25"/>
      <c r="G17" s="560"/>
      <c r="H17" s="25"/>
      <c r="I17" s="563"/>
      <c r="J17" s="25"/>
      <c r="K17" s="560"/>
      <c r="L17" s="25"/>
      <c r="M17" s="560"/>
      <c r="N17" s="25"/>
      <c r="O17" s="560"/>
      <c r="P17" s="25"/>
      <c r="Q17" s="560"/>
      <c r="R17" s="25"/>
      <c r="S17" s="560"/>
      <c r="T17" s="25"/>
      <c r="U17" s="560"/>
      <c r="V17" s="25"/>
      <c r="W17" s="564"/>
      <c r="X17" s="25"/>
      <c r="Y17" s="560"/>
      <c r="Z17" s="560"/>
      <c r="AA17" s="560"/>
      <c r="AB17" s="26"/>
    </row>
    <row r="18" spans="2:28" ht="15" customHeight="1" x14ac:dyDescent="0.35">
      <c r="B18" s="26"/>
      <c r="C18" s="25"/>
      <c r="D18" s="25"/>
      <c r="E18" s="25"/>
      <c r="F18" s="25"/>
      <c r="G18" s="25"/>
      <c r="H18" s="25"/>
      <c r="I18" s="25"/>
      <c r="J18" s="25"/>
      <c r="K18" s="25"/>
      <c r="L18" s="25"/>
      <c r="M18" s="25"/>
      <c r="N18" s="25"/>
      <c r="O18" s="25"/>
      <c r="P18" s="25"/>
      <c r="Q18" s="25"/>
      <c r="R18" s="25"/>
      <c r="S18" s="25"/>
      <c r="T18" s="25"/>
      <c r="U18" s="25"/>
      <c r="V18" s="25"/>
      <c r="W18" s="25"/>
      <c r="X18" s="25"/>
      <c r="Y18" s="25"/>
      <c r="Z18" s="26"/>
      <c r="AA18" s="26"/>
      <c r="AB18" s="26"/>
    </row>
    <row r="19" spans="2:28" ht="5.25" customHeight="1" x14ac:dyDescent="0.35">
      <c r="C19" s="34"/>
      <c r="D19" s="34"/>
      <c r="E19" s="34"/>
      <c r="F19" s="34"/>
      <c r="G19" s="34"/>
      <c r="H19" s="34"/>
      <c r="I19" s="34"/>
      <c r="J19" s="34"/>
      <c r="K19" s="34"/>
      <c r="L19" s="34"/>
      <c r="M19" s="34"/>
      <c r="N19" s="34"/>
      <c r="O19" s="34"/>
      <c r="P19" s="34"/>
      <c r="Q19" s="34"/>
      <c r="R19" s="34"/>
      <c r="S19" s="34"/>
      <c r="T19" s="34"/>
      <c r="U19" s="34"/>
      <c r="V19" s="34"/>
      <c r="W19" s="34"/>
      <c r="X19" s="34"/>
      <c r="Y19" s="34"/>
    </row>
    <row r="20" spans="2:28" ht="15" customHeight="1" x14ac:dyDescent="0.35">
      <c r="B20" s="26"/>
      <c r="C20" s="24" t="s">
        <v>28</v>
      </c>
      <c r="D20" s="25"/>
      <c r="E20" s="25"/>
      <c r="F20" s="25"/>
      <c r="G20" s="25"/>
      <c r="H20" s="25"/>
      <c r="I20" s="50"/>
      <c r="J20" s="50"/>
      <c r="K20" s="50"/>
      <c r="L20" s="50"/>
      <c r="M20" s="50"/>
      <c r="N20" s="50"/>
      <c r="O20" s="50"/>
      <c r="P20" s="50"/>
      <c r="Q20" s="50"/>
      <c r="R20" s="25"/>
      <c r="S20" s="25"/>
      <c r="T20" s="25"/>
      <c r="U20" s="25"/>
      <c r="V20" s="25"/>
      <c r="W20" s="25"/>
      <c r="X20" s="25"/>
      <c r="Y20" s="25"/>
      <c r="Z20" s="26"/>
      <c r="AA20" s="26"/>
      <c r="AB20" s="26"/>
    </row>
    <row r="21" spans="2:28" ht="25.5" customHeight="1" x14ac:dyDescent="0.35">
      <c r="B21" s="26"/>
      <c r="C21" s="561"/>
      <c r="D21" s="25"/>
      <c r="E21" s="560"/>
      <c r="F21" s="25"/>
      <c r="G21" s="560"/>
      <c r="H21" s="25"/>
      <c r="I21" s="562" t="s">
        <v>89</v>
      </c>
      <c r="J21" s="25"/>
      <c r="K21" s="560"/>
      <c r="L21" s="25"/>
      <c r="M21" s="560"/>
      <c r="N21" s="25"/>
      <c r="O21" s="560"/>
      <c r="P21" s="25"/>
      <c r="Q21" s="560"/>
      <c r="R21" s="25"/>
      <c r="S21" s="560"/>
      <c r="T21" s="25"/>
      <c r="U21" s="560"/>
      <c r="V21" s="25"/>
      <c r="W21" s="564">
        <f>U21*C21</f>
        <v>0</v>
      </c>
      <c r="X21" s="25"/>
      <c r="Y21" s="560"/>
      <c r="Z21" s="560"/>
      <c r="AA21" s="560"/>
      <c r="AB21" s="26"/>
    </row>
    <row r="22" spans="2:28" ht="25.5" customHeight="1" x14ac:dyDescent="0.35">
      <c r="B22" s="26"/>
      <c r="C22" s="561"/>
      <c r="D22" s="25"/>
      <c r="E22" s="560"/>
      <c r="F22" s="25"/>
      <c r="G22" s="560"/>
      <c r="H22" s="25"/>
      <c r="I22" s="563"/>
      <c r="J22" s="25"/>
      <c r="K22" s="560"/>
      <c r="L22" s="25"/>
      <c r="M22" s="560"/>
      <c r="N22" s="25"/>
      <c r="O22" s="560"/>
      <c r="P22" s="25"/>
      <c r="Q22" s="560"/>
      <c r="R22" s="25"/>
      <c r="S22" s="560"/>
      <c r="T22" s="25"/>
      <c r="U22" s="560"/>
      <c r="V22" s="25"/>
      <c r="W22" s="564"/>
      <c r="X22" s="25"/>
      <c r="Y22" s="560"/>
      <c r="Z22" s="560"/>
      <c r="AA22" s="560"/>
      <c r="AB22" s="26"/>
    </row>
    <row r="23" spans="2:28" ht="25.5" customHeight="1" x14ac:dyDescent="0.35">
      <c r="B23" s="26"/>
      <c r="C23" s="561"/>
      <c r="D23" s="25"/>
      <c r="E23" s="560"/>
      <c r="F23" s="25"/>
      <c r="G23" s="560"/>
      <c r="H23" s="25"/>
      <c r="I23" s="563"/>
      <c r="J23" s="25"/>
      <c r="K23" s="560"/>
      <c r="L23" s="25"/>
      <c r="M23" s="560"/>
      <c r="N23" s="25"/>
      <c r="O23" s="560"/>
      <c r="P23" s="25"/>
      <c r="Q23" s="560"/>
      <c r="R23" s="25"/>
      <c r="S23" s="560"/>
      <c r="T23" s="25"/>
      <c r="U23" s="560"/>
      <c r="V23" s="25"/>
      <c r="W23" s="564"/>
      <c r="X23" s="25"/>
      <c r="Y23" s="560"/>
      <c r="Z23" s="560"/>
      <c r="AA23" s="560"/>
      <c r="AB23" s="26"/>
    </row>
    <row r="24" spans="2:28" ht="15" customHeight="1" x14ac:dyDescent="0.35">
      <c r="B24" s="26"/>
      <c r="C24" s="25"/>
      <c r="D24" s="25"/>
      <c r="E24" s="25"/>
      <c r="F24" s="25"/>
      <c r="G24" s="25"/>
      <c r="H24" s="25"/>
      <c r="I24" s="25"/>
      <c r="J24" s="25"/>
      <c r="K24" s="25"/>
      <c r="L24" s="25"/>
      <c r="M24" s="25"/>
      <c r="N24" s="25"/>
      <c r="O24" s="25"/>
      <c r="P24" s="25"/>
      <c r="Q24" s="25"/>
      <c r="R24" s="25"/>
      <c r="S24" s="25"/>
      <c r="T24" s="25"/>
      <c r="U24" s="25"/>
      <c r="V24" s="25"/>
      <c r="W24" s="25"/>
      <c r="X24" s="25"/>
      <c r="Y24" s="25"/>
      <c r="Z24" s="26"/>
      <c r="AA24" s="26"/>
      <c r="AB24" s="26"/>
    </row>
    <row r="25" spans="2:28" ht="5.25" customHeight="1" x14ac:dyDescent="0.35">
      <c r="C25" s="34"/>
      <c r="D25" s="34"/>
      <c r="E25" s="34"/>
      <c r="F25" s="34"/>
      <c r="G25" s="34"/>
      <c r="H25" s="34"/>
      <c r="I25" s="34"/>
      <c r="J25" s="34"/>
      <c r="K25" s="34"/>
      <c r="L25" s="34"/>
      <c r="M25" s="34"/>
      <c r="N25" s="34"/>
      <c r="O25" s="34"/>
      <c r="P25" s="34"/>
      <c r="Q25" s="34"/>
      <c r="R25" s="34"/>
      <c r="S25" s="34"/>
      <c r="T25" s="34"/>
      <c r="U25" s="34"/>
      <c r="V25" s="34"/>
      <c r="W25" s="34"/>
      <c r="X25" s="34"/>
      <c r="Y25" s="34"/>
    </row>
    <row r="26" spans="2:28" ht="15" customHeight="1" x14ac:dyDescent="0.35">
      <c r="B26" s="26"/>
      <c r="C26" s="24" t="s">
        <v>29</v>
      </c>
      <c r="D26" s="25"/>
      <c r="E26" s="25"/>
      <c r="F26" s="25"/>
      <c r="G26" s="25"/>
      <c r="H26" s="25"/>
      <c r="I26" s="50">
        <v>1</v>
      </c>
      <c r="J26" s="50"/>
      <c r="K26" s="50">
        <v>2</v>
      </c>
      <c r="L26" s="50"/>
      <c r="M26" s="50">
        <v>3</v>
      </c>
      <c r="N26" s="50"/>
      <c r="O26" s="50">
        <v>4</v>
      </c>
      <c r="P26" s="50"/>
      <c r="Q26" s="50">
        <v>5</v>
      </c>
      <c r="R26" s="25"/>
      <c r="S26" s="25"/>
      <c r="T26" s="25"/>
      <c r="U26" s="25"/>
      <c r="V26" s="25"/>
      <c r="W26" s="25"/>
      <c r="X26" s="25"/>
      <c r="Y26" s="25"/>
      <c r="Z26" s="26"/>
      <c r="AA26" s="26"/>
      <c r="AB26" s="26"/>
    </row>
    <row r="27" spans="2:28" ht="25.5" customHeight="1" x14ac:dyDescent="0.35">
      <c r="B27" s="26"/>
      <c r="C27" s="561"/>
      <c r="D27" s="25"/>
      <c r="E27" s="560"/>
      <c r="F27" s="25"/>
      <c r="G27" s="560"/>
      <c r="H27" s="25"/>
      <c r="I27" s="562" t="s">
        <v>89</v>
      </c>
      <c r="J27" s="25"/>
      <c r="K27" s="560"/>
      <c r="L27" s="25"/>
      <c r="M27" s="560"/>
      <c r="N27" s="25"/>
      <c r="O27" s="560"/>
      <c r="P27" s="25"/>
      <c r="Q27" s="560"/>
      <c r="R27" s="25"/>
      <c r="S27" s="560"/>
      <c r="T27" s="25"/>
      <c r="U27" s="560"/>
      <c r="V27" s="25"/>
      <c r="W27" s="564">
        <f>U27*C27</f>
        <v>0</v>
      </c>
      <c r="X27" s="25"/>
      <c r="Y27" s="560"/>
      <c r="Z27" s="560"/>
      <c r="AA27" s="560"/>
      <c r="AB27" s="26"/>
    </row>
    <row r="28" spans="2:28" ht="25.5" customHeight="1" x14ac:dyDescent="0.35">
      <c r="B28" s="26"/>
      <c r="C28" s="561"/>
      <c r="D28" s="25"/>
      <c r="E28" s="560"/>
      <c r="F28" s="25"/>
      <c r="G28" s="560"/>
      <c r="H28" s="25"/>
      <c r="I28" s="563"/>
      <c r="J28" s="25"/>
      <c r="K28" s="560"/>
      <c r="L28" s="25"/>
      <c r="M28" s="560"/>
      <c r="N28" s="25"/>
      <c r="O28" s="560"/>
      <c r="P28" s="25"/>
      <c r="Q28" s="560"/>
      <c r="R28" s="25"/>
      <c r="S28" s="560"/>
      <c r="T28" s="25"/>
      <c r="U28" s="560"/>
      <c r="V28" s="25"/>
      <c r="W28" s="564"/>
      <c r="X28" s="25"/>
      <c r="Y28" s="560"/>
      <c r="Z28" s="560"/>
      <c r="AA28" s="560"/>
      <c r="AB28" s="26"/>
    </row>
    <row r="29" spans="2:28" ht="25.5" customHeight="1" x14ac:dyDescent="0.35">
      <c r="B29" s="26"/>
      <c r="C29" s="561"/>
      <c r="D29" s="25"/>
      <c r="E29" s="560"/>
      <c r="F29" s="25"/>
      <c r="G29" s="560"/>
      <c r="H29" s="25"/>
      <c r="I29" s="563"/>
      <c r="J29" s="25"/>
      <c r="K29" s="560"/>
      <c r="L29" s="25"/>
      <c r="M29" s="560"/>
      <c r="N29" s="25"/>
      <c r="O29" s="560"/>
      <c r="P29" s="25"/>
      <c r="Q29" s="560"/>
      <c r="R29" s="25"/>
      <c r="S29" s="560"/>
      <c r="T29" s="25"/>
      <c r="U29" s="560"/>
      <c r="V29" s="25"/>
      <c r="W29" s="564"/>
      <c r="X29" s="25"/>
      <c r="Y29" s="560"/>
      <c r="Z29" s="560"/>
      <c r="AA29" s="560"/>
      <c r="AB29" s="26"/>
    </row>
    <row r="30" spans="2:28" ht="15" customHeight="1" x14ac:dyDescent="0.35">
      <c r="B30" s="26"/>
      <c r="C30" s="25"/>
      <c r="D30" s="25"/>
      <c r="E30" s="25"/>
      <c r="F30" s="25"/>
      <c r="G30" s="25"/>
      <c r="H30" s="25"/>
      <c r="I30" s="25"/>
      <c r="J30" s="25"/>
      <c r="K30" s="25"/>
      <c r="L30" s="25"/>
      <c r="M30" s="25"/>
      <c r="N30" s="25"/>
      <c r="O30" s="25"/>
      <c r="P30" s="25"/>
      <c r="Q30" s="25"/>
      <c r="R30" s="25"/>
      <c r="S30" s="25"/>
      <c r="T30" s="25"/>
      <c r="U30" s="25"/>
      <c r="V30" s="25"/>
      <c r="W30" s="25"/>
      <c r="X30" s="25"/>
      <c r="Y30" s="25"/>
      <c r="Z30" s="26"/>
      <c r="AA30" s="26"/>
      <c r="AB30" s="26"/>
    </row>
    <row r="31" spans="2:28" ht="5.25" customHeight="1" x14ac:dyDescent="0.35">
      <c r="C31" s="34"/>
      <c r="D31" s="34"/>
      <c r="E31" s="34"/>
      <c r="F31" s="34"/>
      <c r="G31" s="34"/>
      <c r="H31" s="34"/>
      <c r="I31" s="34"/>
      <c r="J31" s="34"/>
      <c r="K31" s="34"/>
      <c r="L31" s="34"/>
      <c r="M31" s="34"/>
      <c r="N31" s="34"/>
      <c r="O31" s="34"/>
      <c r="P31" s="34"/>
      <c r="Q31" s="34"/>
      <c r="R31" s="34"/>
      <c r="S31" s="34"/>
      <c r="T31" s="34"/>
      <c r="U31" s="34"/>
      <c r="V31" s="34"/>
      <c r="W31" s="34"/>
      <c r="X31" s="34"/>
      <c r="Y31" s="34"/>
    </row>
    <row r="32" spans="2:28" ht="15" customHeight="1" x14ac:dyDescent="0.35">
      <c r="B32" s="26"/>
      <c r="C32" s="24" t="s">
        <v>30</v>
      </c>
      <c r="D32" s="25"/>
      <c r="E32" s="25"/>
      <c r="F32" s="25"/>
      <c r="G32" s="25"/>
      <c r="H32" s="25"/>
      <c r="I32" s="50">
        <v>1</v>
      </c>
      <c r="J32" s="50"/>
      <c r="K32" s="50">
        <v>2</v>
      </c>
      <c r="L32" s="50"/>
      <c r="M32" s="50">
        <v>3</v>
      </c>
      <c r="N32" s="50"/>
      <c r="O32" s="50">
        <v>4</v>
      </c>
      <c r="P32" s="50"/>
      <c r="Q32" s="50">
        <v>5</v>
      </c>
      <c r="R32" s="25"/>
      <c r="S32" s="25"/>
      <c r="T32" s="25"/>
      <c r="U32" s="25"/>
      <c r="V32" s="25"/>
      <c r="W32" s="25"/>
      <c r="X32" s="25"/>
      <c r="Y32" s="25"/>
      <c r="Z32" s="26"/>
      <c r="AA32" s="26"/>
      <c r="AB32" s="26"/>
    </row>
    <row r="33" spans="2:28" ht="25.5" customHeight="1" x14ac:dyDescent="0.35">
      <c r="B33" s="26"/>
      <c r="C33" s="561"/>
      <c r="D33" s="25"/>
      <c r="E33" s="560"/>
      <c r="F33" s="25"/>
      <c r="G33" s="560"/>
      <c r="H33" s="25"/>
      <c r="I33" s="562" t="s">
        <v>89</v>
      </c>
      <c r="J33" s="25"/>
      <c r="K33" s="560"/>
      <c r="L33" s="25"/>
      <c r="M33" s="560"/>
      <c r="N33" s="25"/>
      <c r="O33" s="560"/>
      <c r="P33" s="25"/>
      <c r="Q33" s="560"/>
      <c r="R33" s="25"/>
      <c r="S33" s="560"/>
      <c r="T33" s="25"/>
      <c r="U33" s="560"/>
      <c r="V33" s="25"/>
      <c r="W33" s="564">
        <f>U33*C33</f>
        <v>0</v>
      </c>
      <c r="X33" s="25"/>
      <c r="Y33" s="560"/>
      <c r="Z33" s="560"/>
      <c r="AA33" s="560"/>
      <c r="AB33" s="26"/>
    </row>
    <row r="34" spans="2:28" ht="25.5" customHeight="1" x14ac:dyDescent="0.35">
      <c r="B34" s="26"/>
      <c r="C34" s="561"/>
      <c r="D34" s="25"/>
      <c r="E34" s="560"/>
      <c r="F34" s="25"/>
      <c r="G34" s="560"/>
      <c r="H34" s="25"/>
      <c r="I34" s="563"/>
      <c r="J34" s="25"/>
      <c r="K34" s="560"/>
      <c r="L34" s="25"/>
      <c r="M34" s="560"/>
      <c r="N34" s="25"/>
      <c r="O34" s="560"/>
      <c r="P34" s="25"/>
      <c r="Q34" s="560"/>
      <c r="R34" s="25"/>
      <c r="S34" s="560"/>
      <c r="T34" s="25"/>
      <c r="U34" s="560"/>
      <c r="V34" s="25"/>
      <c r="W34" s="564"/>
      <c r="X34" s="25"/>
      <c r="Y34" s="560"/>
      <c r="Z34" s="560"/>
      <c r="AA34" s="560"/>
      <c r="AB34" s="26"/>
    </row>
    <row r="35" spans="2:28" ht="25.5" customHeight="1" x14ac:dyDescent="0.35">
      <c r="B35" s="26"/>
      <c r="C35" s="561"/>
      <c r="D35" s="25"/>
      <c r="E35" s="560"/>
      <c r="F35" s="25"/>
      <c r="G35" s="560"/>
      <c r="H35" s="25"/>
      <c r="I35" s="563"/>
      <c r="J35" s="25"/>
      <c r="K35" s="560"/>
      <c r="L35" s="25"/>
      <c r="M35" s="560"/>
      <c r="N35" s="25"/>
      <c r="O35" s="560"/>
      <c r="P35" s="25"/>
      <c r="Q35" s="560"/>
      <c r="R35" s="25"/>
      <c r="S35" s="560"/>
      <c r="T35" s="25"/>
      <c r="U35" s="560"/>
      <c r="V35" s="25"/>
      <c r="W35" s="564"/>
      <c r="X35" s="25"/>
      <c r="Y35" s="560"/>
      <c r="Z35" s="560"/>
      <c r="AA35" s="560"/>
      <c r="AB35" s="26"/>
    </row>
    <row r="36" spans="2:28" ht="15" customHeight="1" x14ac:dyDescent="0.35">
      <c r="B36" s="26"/>
      <c r="C36" s="25"/>
      <c r="D36" s="25"/>
      <c r="E36" s="25"/>
      <c r="F36" s="25"/>
      <c r="G36" s="25"/>
      <c r="H36" s="25"/>
      <c r="I36" s="25"/>
      <c r="J36" s="25"/>
      <c r="K36" s="25"/>
      <c r="L36" s="25"/>
      <c r="M36" s="25"/>
      <c r="N36" s="25"/>
      <c r="O36" s="25"/>
      <c r="P36" s="25"/>
      <c r="Q36" s="25"/>
      <c r="R36" s="25"/>
      <c r="S36" s="25"/>
      <c r="T36" s="25"/>
      <c r="U36" s="25"/>
      <c r="V36" s="25"/>
      <c r="W36" s="25"/>
      <c r="X36" s="25"/>
      <c r="Y36" s="25"/>
      <c r="Z36" s="26"/>
      <c r="AA36" s="26"/>
      <c r="AB36" s="26"/>
    </row>
    <row r="37" spans="2:28" ht="5.25" customHeight="1" x14ac:dyDescent="0.35">
      <c r="C37" s="34"/>
      <c r="D37" s="34"/>
      <c r="E37" s="34"/>
      <c r="F37" s="34"/>
      <c r="G37" s="34"/>
      <c r="H37" s="34"/>
      <c r="I37" s="34"/>
      <c r="J37" s="34"/>
      <c r="K37" s="34"/>
      <c r="L37" s="34"/>
      <c r="M37" s="34"/>
      <c r="N37" s="34"/>
      <c r="O37" s="34"/>
      <c r="P37" s="34"/>
      <c r="Q37" s="34"/>
      <c r="R37" s="34"/>
      <c r="S37" s="34"/>
      <c r="T37" s="34"/>
      <c r="U37" s="34"/>
      <c r="V37" s="34"/>
      <c r="W37" s="34"/>
      <c r="X37" s="34"/>
      <c r="Y37" s="34"/>
    </row>
    <row r="38" spans="2:28" ht="15" customHeight="1" x14ac:dyDescent="0.35">
      <c r="B38" s="26"/>
      <c r="C38" s="24" t="s">
        <v>31</v>
      </c>
      <c r="D38" s="25"/>
      <c r="E38" s="25"/>
      <c r="F38" s="25"/>
      <c r="G38" s="25"/>
      <c r="H38" s="25"/>
      <c r="I38" s="50">
        <v>1</v>
      </c>
      <c r="J38" s="50"/>
      <c r="K38" s="50">
        <v>2</v>
      </c>
      <c r="L38" s="50"/>
      <c r="M38" s="50">
        <v>3</v>
      </c>
      <c r="N38" s="50"/>
      <c r="O38" s="50">
        <v>4</v>
      </c>
      <c r="P38" s="50"/>
      <c r="Q38" s="50">
        <v>5</v>
      </c>
      <c r="R38" s="25"/>
      <c r="S38" s="25"/>
      <c r="T38" s="25"/>
      <c r="U38" s="25"/>
      <c r="V38" s="25"/>
      <c r="W38" s="25"/>
      <c r="X38" s="25"/>
      <c r="Y38" s="25"/>
      <c r="Z38" s="26"/>
      <c r="AA38" s="26"/>
      <c r="AB38" s="26"/>
    </row>
    <row r="39" spans="2:28" ht="25.5" customHeight="1" x14ac:dyDescent="0.35">
      <c r="B39" s="26"/>
      <c r="C39" s="561"/>
      <c r="D39" s="25"/>
      <c r="E39" s="560"/>
      <c r="F39" s="25"/>
      <c r="G39" s="560"/>
      <c r="H39" s="25"/>
      <c r="I39" s="562" t="s">
        <v>89</v>
      </c>
      <c r="J39" s="25"/>
      <c r="K39" s="560"/>
      <c r="L39" s="25"/>
      <c r="M39" s="560"/>
      <c r="N39" s="25"/>
      <c r="O39" s="560"/>
      <c r="P39" s="25"/>
      <c r="Q39" s="560"/>
      <c r="R39" s="25"/>
      <c r="S39" s="560"/>
      <c r="T39" s="25"/>
      <c r="U39" s="560"/>
      <c r="V39" s="25"/>
      <c r="W39" s="564">
        <f>U39*C39</f>
        <v>0</v>
      </c>
      <c r="X39" s="25"/>
      <c r="Y39" s="560"/>
      <c r="Z39" s="560"/>
      <c r="AA39" s="560"/>
      <c r="AB39" s="26"/>
    </row>
    <row r="40" spans="2:28" ht="25.5" customHeight="1" x14ac:dyDescent="0.35">
      <c r="B40" s="26"/>
      <c r="C40" s="561"/>
      <c r="D40" s="25"/>
      <c r="E40" s="560"/>
      <c r="F40" s="25"/>
      <c r="G40" s="560"/>
      <c r="H40" s="25"/>
      <c r="I40" s="563"/>
      <c r="J40" s="25"/>
      <c r="K40" s="560"/>
      <c r="L40" s="25"/>
      <c r="M40" s="560"/>
      <c r="N40" s="25"/>
      <c r="O40" s="560"/>
      <c r="P40" s="25"/>
      <c r="Q40" s="560"/>
      <c r="R40" s="25"/>
      <c r="S40" s="560"/>
      <c r="T40" s="25"/>
      <c r="U40" s="560"/>
      <c r="V40" s="25"/>
      <c r="W40" s="564"/>
      <c r="X40" s="25"/>
      <c r="Y40" s="560"/>
      <c r="Z40" s="560"/>
      <c r="AA40" s="560"/>
      <c r="AB40" s="26"/>
    </row>
    <row r="41" spans="2:28" ht="25.5" customHeight="1" x14ac:dyDescent="0.35">
      <c r="B41" s="26"/>
      <c r="C41" s="561"/>
      <c r="D41" s="25"/>
      <c r="E41" s="560"/>
      <c r="F41" s="25"/>
      <c r="G41" s="560"/>
      <c r="H41" s="25"/>
      <c r="I41" s="563"/>
      <c r="J41" s="25"/>
      <c r="K41" s="560"/>
      <c r="L41" s="25"/>
      <c r="M41" s="560"/>
      <c r="N41" s="25"/>
      <c r="O41" s="560"/>
      <c r="P41" s="25"/>
      <c r="Q41" s="560"/>
      <c r="R41" s="25"/>
      <c r="S41" s="560"/>
      <c r="T41" s="25"/>
      <c r="U41" s="560"/>
      <c r="V41" s="25"/>
      <c r="W41" s="564"/>
      <c r="X41" s="25"/>
      <c r="Y41" s="560"/>
      <c r="Z41" s="560"/>
      <c r="AA41" s="560"/>
      <c r="AB41" s="26"/>
    </row>
    <row r="42" spans="2:28" ht="15" customHeight="1" x14ac:dyDescent="0.35">
      <c r="B42" s="26"/>
      <c r="C42" s="26"/>
      <c r="D42" s="26"/>
      <c r="E42" s="26"/>
      <c r="F42" s="26"/>
      <c r="G42" s="26"/>
      <c r="H42" s="26"/>
      <c r="I42" s="26"/>
      <c r="J42" s="26"/>
      <c r="K42" s="26"/>
      <c r="L42" s="26"/>
      <c r="M42" s="26"/>
      <c r="N42" s="26"/>
      <c r="O42" s="26"/>
      <c r="P42" s="26"/>
      <c r="Q42" s="26"/>
      <c r="R42" s="26"/>
      <c r="S42" s="26"/>
      <c r="T42" s="26"/>
      <c r="U42" s="26"/>
      <c r="V42" s="26"/>
      <c r="W42" s="26"/>
      <c r="X42" s="26"/>
      <c r="Y42" s="25"/>
      <c r="Z42" s="26"/>
      <c r="AA42" s="26"/>
      <c r="AB42" s="26"/>
    </row>
    <row r="43" spans="2:28" x14ac:dyDescent="0.35">
      <c r="C43" s="2" t="s">
        <v>32</v>
      </c>
      <c r="D43" s="1" t="s">
        <v>34</v>
      </c>
      <c r="E43" s="142">
        <f>SUM(C15,C21,C27,C33,C39)</f>
        <v>0</v>
      </c>
    </row>
    <row r="44" spans="2:28" x14ac:dyDescent="0.35">
      <c r="C44" s="1"/>
      <c r="W44" s="1"/>
    </row>
    <row r="45" spans="2:28" ht="15" customHeight="1" x14ac:dyDescent="0.35">
      <c r="C45" s="51"/>
      <c r="D45" s="52"/>
      <c r="E45" s="52" t="s">
        <v>56</v>
      </c>
      <c r="F45" s="52"/>
      <c r="G45" s="52"/>
      <c r="H45" s="52"/>
      <c r="I45" s="52" t="s">
        <v>211</v>
      </c>
      <c r="J45" s="52"/>
      <c r="K45" s="52"/>
      <c r="L45" s="52"/>
      <c r="M45" s="52"/>
      <c r="P45" s="52"/>
      <c r="U45" s="52" t="s">
        <v>210</v>
      </c>
      <c r="V45" s="52"/>
      <c r="W45" s="52"/>
      <c r="X45" s="52"/>
      <c r="Y45" s="52"/>
    </row>
    <row r="46" spans="2:28" ht="50.25" customHeight="1" x14ac:dyDescent="0.35">
      <c r="C46" s="540" t="s">
        <v>214</v>
      </c>
      <c r="D46" s="540"/>
      <c r="E46" s="127"/>
      <c r="F46" s="53"/>
      <c r="G46" s="54"/>
      <c r="H46" s="54"/>
      <c r="I46" s="565"/>
      <c r="J46" s="565"/>
      <c r="K46" s="565"/>
      <c r="L46" s="565"/>
      <c r="M46" s="565"/>
      <c r="N46" s="565"/>
      <c r="O46" s="565"/>
      <c r="P46" s="54"/>
      <c r="U46" s="565"/>
      <c r="V46" s="565"/>
      <c r="W46" s="565"/>
      <c r="X46" s="565"/>
      <c r="Y46" s="565"/>
      <c r="Z46" s="565"/>
      <c r="AA46" s="565"/>
    </row>
    <row r="47" spans="2:28" ht="50.25" customHeight="1" x14ac:dyDescent="0.35">
      <c r="C47" s="540" t="s">
        <v>59</v>
      </c>
      <c r="D47" s="540"/>
      <c r="E47" s="128"/>
      <c r="F47" s="55"/>
      <c r="G47" s="54"/>
      <c r="H47" s="54"/>
      <c r="I47" s="566"/>
      <c r="J47" s="566"/>
      <c r="K47" s="566"/>
      <c r="L47" s="566"/>
      <c r="M47" s="566"/>
      <c r="N47" s="566"/>
      <c r="O47" s="566"/>
      <c r="P47" s="54"/>
      <c r="U47" s="566"/>
      <c r="V47" s="566"/>
      <c r="W47" s="566"/>
      <c r="X47" s="566"/>
      <c r="Y47" s="566"/>
      <c r="Z47" s="566"/>
      <c r="AA47" s="566"/>
    </row>
    <row r="48" spans="2:28" ht="50.25" customHeight="1" x14ac:dyDescent="0.35">
      <c r="C48" s="540" t="s">
        <v>213</v>
      </c>
      <c r="D48" s="568"/>
      <c r="E48" s="128"/>
      <c r="F48" s="55"/>
      <c r="G48" s="54"/>
      <c r="H48" s="54"/>
      <c r="I48" s="566"/>
      <c r="J48" s="566"/>
      <c r="K48" s="566"/>
      <c r="L48" s="566"/>
      <c r="M48" s="566"/>
      <c r="N48" s="566"/>
      <c r="O48" s="566"/>
      <c r="P48" s="54"/>
      <c r="U48" s="566"/>
      <c r="V48" s="566"/>
      <c r="W48" s="566"/>
      <c r="X48" s="566"/>
      <c r="Y48" s="566"/>
      <c r="Z48" s="566"/>
      <c r="AA48" s="566"/>
    </row>
    <row r="49" spans="3:16" x14ac:dyDescent="0.35">
      <c r="C49" s="48"/>
      <c r="D49" s="48"/>
      <c r="E49" s="48"/>
      <c r="F49" s="48"/>
      <c r="G49" s="48"/>
      <c r="H49" s="48"/>
      <c r="I49" s="48"/>
      <c r="J49" s="48"/>
      <c r="K49" s="48"/>
      <c r="L49" s="48"/>
      <c r="M49" s="48"/>
      <c r="N49" s="48"/>
      <c r="O49" s="48"/>
      <c r="P49" s="48"/>
    </row>
  </sheetData>
  <sheetProtection selectLockedCells="1"/>
  <mergeCells count="85">
    <mergeCell ref="U46:AA46"/>
    <mergeCell ref="U47:AA47"/>
    <mergeCell ref="U48:AA48"/>
    <mergeCell ref="B11:C12"/>
    <mergeCell ref="E11:E12"/>
    <mergeCell ref="C48:D48"/>
    <mergeCell ref="I48:O48"/>
    <mergeCell ref="I39:I41"/>
    <mergeCell ref="K39:K41"/>
    <mergeCell ref="M39:M41"/>
    <mergeCell ref="O33:O35"/>
    <mergeCell ref="Q33:Q35"/>
    <mergeCell ref="S33:S35"/>
    <mergeCell ref="U33:U35"/>
    <mergeCell ref="W33:W35"/>
    <mergeCell ref="Y33:AA35"/>
    <mergeCell ref="Q39:Q41"/>
    <mergeCell ref="S39:S41"/>
    <mergeCell ref="U39:U41"/>
    <mergeCell ref="W39:W41"/>
    <mergeCell ref="Y39:AA41"/>
    <mergeCell ref="C46:D46"/>
    <mergeCell ref="C47:D47"/>
    <mergeCell ref="I46:O46"/>
    <mergeCell ref="I47:O47"/>
    <mergeCell ref="O39:O41"/>
    <mergeCell ref="C39:C41"/>
    <mergeCell ref="E39:E41"/>
    <mergeCell ref="G39:G41"/>
    <mergeCell ref="C33:C35"/>
    <mergeCell ref="E33:E35"/>
    <mergeCell ref="G33:G35"/>
    <mergeCell ref="I33:I35"/>
    <mergeCell ref="K33:K35"/>
    <mergeCell ref="M33:M35"/>
    <mergeCell ref="O27:O29"/>
    <mergeCell ref="Q27:Q29"/>
    <mergeCell ref="S27:S29"/>
    <mergeCell ref="U27:U29"/>
    <mergeCell ref="W27:W29"/>
    <mergeCell ref="Y27:AA29"/>
    <mergeCell ref="C27:C29"/>
    <mergeCell ref="E27:E29"/>
    <mergeCell ref="G27:G29"/>
    <mergeCell ref="I27:I29"/>
    <mergeCell ref="K27:K29"/>
    <mergeCell ref="M27:M29"/>
    <mergeCell ref="Y21:AA23"/>
    <mergeCell ref="C21:C23"/>
    <mergeCell ref="E21:E23"/>
    <mergeCell ref="G21:G23"/>
    <mergeCell ref="I21:I23"/>
    <mergeCell ref="K21:K23"/>
    <mergeCell ref="M21:M23"/>
    <mergeCell ref="O21:O23"/>
    <mergeCell ref="Q21:Q23"/>
    <mergeCell ref="S21:S23"/>
    <mergeCell ref="U21:U23"/>
    <mergeCell ref="W21:W23"/>
    <mergeCell ref="Y15:AA17"/>
    <mergeCell ref="C15:C17"/>
    <mergeCell ref="E15:E17"/>
    <mergeCell ref="G15:G17"/>
    <mergeCell ref="I15:I17"/>
    <mergeCell ref="K15:K17"/>
    <mergeCell ref="M15:M17"/>
    <mergeCell ref="O15:O17"/>
    <mergeCell ref="Q15:Q17"/>
    <mergeCell ref="S15:S17"/>
    <mergeCell ref="U15:U17"/>
    <mergeCell ref="W15:W17"/>
    <mergeCell ref="G9:G12"/>
    <mergeCell ref="I9:Q9"/>
    <mergeCell ref="S9:S12"/>
    <mergeCell ref="U9:U12"/>
    <mergeCell ref="W9:W12"/>
    <mergeCell ref="Y9:AB12"/>
    <mergeCell ref="R2:W2"/>
    <mergeCell ref="R3:W3"/>
    <mergeCell ref="R4:W4"/>
    <mergeCell ref="R5:W5"/>
    <mergeCell ref="R6:W6"/>
    <mergeCell ref="Y2:AA2"/>
    <mergeCell ref="Y3:AA5"/>
    <mergeCell ref="Y6:AA6"/>
  </mergeCells>
  <pageMargins left="0.25" right="0.25" top="0.75" bottom="0.75" header="0.3" footer="0.3"/>
  <pageSetup paperSize="9" scale="49" orientation="landscape" horizontalDpi="4294967294"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B3:T85"/>
  <sheetViews>
    <sheetView showGridLines="0" topLeftCell="B1" zoomScale="20" zoomScaleNormal="20" zoomScaleSheetLayoutView="90" workbookViewId="0">
      <selection activeCell="I82" sqref="I82"/>
    </sheetView>
  </sheetViews>
  <sheetFormatPr defaultColWidth="9.1796875" defaultRowHeight="14.5" x14ac:dyDescent="0.35"/>
  <cols>
    <col min="1" max="1" width="0" style="5" hidden="1" customWidth="1"/>
    <col min="2" max="2" width="3" style="5" customWidth="1"/>
    <col min="3" max="3" width="5.26953125" style="5" customWidth="1"/>
    <col min="4" max="4" width="1.54296875" style="5" customWidth="1"/>
    <col min="5" max="5" width="34.81640625" style="5" customWidth="1"/>
    <col min="6" max="6" width="1.81640625" style="5" customWidth="1"/>
    <col min="7" max="7" width="29.81640625" style="5" customWidth="1"/>
    <col min="8" max="11" width="31.54296875" style="5" customWidth="1"/>
    <col min="12" max="12" width="1.7265625" style="5" customWidth="1"/>
    <col min="13" max="13" width="14.1796875" style="5" customWidth="1"/>
    <col min="14" max="14" width="1.54296875" style="5" customWidth="1"/>
    <col min="15" max="15" width="73.453125" style="5" customWidth="1"/>
    <col min="16" max="16" width="9.1796875" style="5"/>
    <col min="17" max="17" width="12.7265625" style="5" customWidth="1"/>
    <col min="18" max="19" width="9.1796875" style="5"/>
    <col min="20" max="20" width="8.1796875" style="5" customWidth="1"/>
    <col min="21" max="21" width="2.81640625" style="5" customWidth="1"/>
    <col min="22" max="16384" width="9.1796875" style="5"/>
  </cols>
  <sheetData>
    <row r="3" spans="2:19" ht="15" thickBot="1" x14ac:dyDescent="0.4">
      <c r="Q3" s="44"/>
      <c r="S3" s="2"/>
    </row>
    <row r="4" spans="2:19" ht="21" customHeight="1" thickTop="1" thickBot="1" x14ac:dyDescent="0.4">
      <c r="J4" s="2" t="s">
        <v>0</v>
      </c>
      <c r="K4" s="591"/>
      <c r="L4" s="591"/>
      <c r="M4" s="591"/>
      <c r="O4" s="31" t="s">
        <v>33</v>
      </c>
      <c r="Q4" s="45"/>
      <c r="S4" s="2"/>
    </row>
    <row r="5" spans="2:19" ht="21" customHeight="1" thickTop="1" thickBot="1" x14ac:dyDescent="0.4">
      <c r="J5" s="2" t="s">
        <v>6</v>
      </c>
      <c r="K5" s="591"/>
      <c r="L5" s="591"/>
      <c r="M5" s="591"/>
      <c r="O5" s="524">
        <f>M83/G83</f>
        <v>3</v>
      </c>
      <c r="Q5" s="45"/>
      <c r="S5" s="2"/>
    </row>
    <row r="6" spans="2:19" ht="21" customHeight="1" thickTop="1" thickBot="1" x14ac:dyDescent="0.4">
      <c r="J6" s="2" t="s">
        <v>11</v>
      </c>
      <c r="K6" s="591"/>
      <c r="L6" s="591"/>
      <c r="M6" s="591"/>
      <c r="O6" s="525"/>
      <c r="P6" s="118">
        <f>O5</f>
        <v>3</v>
      </c>
      <c r="Q6" s="45"/>
      <c r="S6" s="2"/>
    </row>
    <row r="7" spans="2:19" ht="21" customHeight="1" thickTop="1" thickBot="1" x14ac:dyDescent="0.4">
      <c r="J7" s="2" t="s">
        <v>3</v>
      </c>
      <c r="K7" s="591"/>
      <c r="L7" s="591"/>
      <c r="M7" s="591"/>
      <c r="O7" s="526"/>
      <c r="S7" s="2"/>
    </row>
    <row r="8" spans="2:19" ht="21" customHeight="1" thickTop="1" thickBot="1" x14ac:dyDescent="0.4">
      <c r="J8" s="2" t="s">
        <v>12</v>
      </c>
      <c r="K8" s="591"/>
      <c r="L8" s="591"/>
      <c r="M8" s="591"/>
      <c r="O8" s="30"/>
    </row>
    <row r="9" spans="2:19" ht="15" thickTop="1" x14ac:dyDescent="0.35"/>
    <row r="11" spans="2:19" x14ac:dyDescent="0.35">
      <c r="C11" s="1" t="s">
        <v>35</v>
      </c>
      <c r="E11" s="1" t="s">
        <v>45</v>
      </c>
      <c r="F11" s="1"/>
      <c r="G11" s="1"/>
    </row>
    <row r="12" spans="2:19" ht="24" customHeight="1" x14ac:dyDescent="0.35">
      <c r="D12" s="109"/>
      <c r="E12" s="586" t="s">
        <v>54</v>
      </c>
      <c r="F12" s="586"/>
      <c r="G12" s="586"/>
      <c r="H12" s="586"/>
      <c r="I12" s="586"/>
      <c r="J12" s="586"/>
      <c r="K12" s="586"/>
      <c r="O12" s="111"/>
    </row>
    <row r="13" spans="2:19" x14ac:dyDescent="0.35">
      <c r="B13" s="575"/>
      <c r="C13" s="575"/>
      <c r="D13" s="1"/>
      <c r="E13" s="46" t="s">
        <v>51</v>
      </c>
      <c r="F13" s="1"/>
      <c r="G13" s="582" t="s">
        <v>44</v>
      </c>
      <c r="H13" s="582"/>
      <c r="I13" s="582"/>
      <c r="J13" s="582"/>
      <c r="K13" s="582"/>
      <c r="M13" s="46" t="s">
        <v>90</v>
      </c>
      <c r="O13" s="46" t="s">
        <v>159</v>
      </c>
    </row>
    <row r="14" spans="2:19" s="111" customFormat="1" x14ac:dyDescent="0.35">
      <c r="B14" s="112"/>
      <c r="C14" s="112"/>
      <c r="D14" s="113"/>
      <c r="E14" s="112"/>
      <c r="F14" s="113"/>
      <c r="G14" s="114">
        <v>1</v>
      </c>
      <c r="H14" s="114">
        <v>2</v>
      </c>
      <c r="I14" s="114">
        <v>3</v>
      </c>
      <c r="J14" s="114">
        <v>4</v>
      </c>
      <c r="K14" s="114">
        <v>5</v>
      </c>
      <c r="M14" s="112"/>
      <c r="O14" s="112"/>
    </row>
    <row r="15" spans="2:19" ht="16.5" customHeight="1" x14ac:dyDescent="0.35">
      <c r="B15" s="2"/>
      <c r="C15" s="2"/>
      <c r="D15" s="1"/>
      <c r="E15" s="41"/>
      <c r="F15" s="1"/>
      <c r="G15" s="42" t="s">
        <v>39</v>
      </c>
      <c r="H15" s="42" t="s">
        <v>40</v>
      </c>
      <c r="I15" s="42" t="s">
        <v>41</v>
      </c>
      <c r="J15" s="42" t="s">
        <v>42</v>
      </c>
      <c r="K15" s="42" t="s">
        <v>43</v>
      </c>
      <c r="M15" s="4"/>
      <c r="O15" s="111"/>
    </row>
    <row r="16" spans="2:19" x14ac:dyDescent="0.35">
      <c r="B16" s="571">
        <f>IF(M16&gt;0,1,IF(M16=0,0))</f>
        <v>1</v>
      </c>
      <c r="C16" s="571"/>
      <c r="D16" s="4"/>
      <c r="E16" s="576"/>
      <c r="F16" s="4"/>
      <c r="G16" s="583" t="s">
        <v>52</v>
      </c>
      <c r="H16" s="583" t="s">
        <v>53</v>
      </c>
      <c r="I16" s="583" t="s">
        <v>47</v>
      </c>
      <c r="J16" s="583" t="s">
        <v>48</v>
      </c>
      <c r="K16" s="583" t="s">
        <v>49</v>
      </c>
      <c r="M16" s="576">
        <v>3</v>
      </c>
      <c r="O16" s="576"/>
    </row>
    <row r="17" spans="2:20" x14ac:dyDescent="0.35">
      <c r="B17" s="571"/>
      <c r="C17" s="571"/>
      <c r="D17" s="4"/>
      <c r="E17" s="577"/>
      <c r="F17" s="4"/>
      <c r="G17" s="584"/>
      <c r="H17" s="584"/>
      <c r="I17" s="584"/>
      <c r="J17" s="584"/>
      <c r="K17" s="584"/>
      <c r="M17" s="577"/>
      <c r="O17" s="577"/>
    </row>
    <row r="18" spans="2:20" x14ac:dyDescent="0.35">
      <c r="B18" s="571"/>
      <c r="C18" s="571"/>
      <c r="D18" s="4"/>
      <c r="E18" s="577"/>
      <c r="F18" s="4"/>
      <c r="G18" s="584"/>
      <c r="H18" s="584"/>
      <c r="I18" s="584"/>
      <c r="J18" s="584"/>
      <c r="K18" s="584"/>
      <c r="M18" s="577"/>
      <c r="O18" s="577"/>
    </row>
    <row r="19" spans="2:20" ht="26.25" customHeight="1" x14ac:dyDescent="0.35">
      <c r="B19" s="571"/>
      <c r="C19" s="571"/>
      <c r="D19" s="4"/>
      <c r="E19" s="578"/>
      <c r="F19" s="4"/>
      <c r="G19" s="585"/>
      <c r="H19" s="585"/>
      <c r="I19" s="585"/>
      <c r="J19" s="585"/>
      <c r="K19" s="585"/>
      <c r="M19" s="578"/>
      <c r="O19" s="578"/>
    </row>
    <row r="20" spans="2:20" ht="4.5" customHeight="1" x14ac:dyDescent="0.35">
      <c r="B20" s="4"/>
      <c r="C20" s="4"/>
      <c r="D20" s="4"/>
      <c r="E20" s="4"/>
      <c r="F20" s="4"/>
      <c r="G20" s="40"/>
      <c r="H20" s="40"/>
      <c r="I20" s="40"/>
      <c r="J20" s="40"/>
      <c r="K20" s="40"/>
      <c r="M20" s="4"/>
      <c r="O20" s="111"/>
    </row>
    <row r="21" spans="2:20" ht="15" customHeight="1" x14ac:dyDescent="0.35">
      <c r="B21" s="571">
        <f>IF(M21&gt;0,1,IF(M21=0,0))</f>
        <v>0</v>
      </c>
      <c r="C21" s="571"/>
      <c r="D21" s="4"/>
      <c r="E21" s="576"/>
      <c r="F21" s="4"/>
      <c r="G21" s="583" t="s">
        <v>52</v>
      </c>
      <c r="H21" s="583" t="s">
        <v>53</v>
      </c>
      <c r="I21" s="583" t="s">
        <v>47</v>
      </c>
      <c r="J21" s="583" t="s">
        <v>48</v>
      </c>
      <c r="K21" s="583" t="s">
        <v>49</v>
      </c>
      <c r="M21" s="576"/>
      <c r="O21" s="576"/>
    </row>
    <row r="22" spans="2:20" ht="15.5" x14ac:dyDescent="0.35">
      <c r="B22" s="571"/>
      <c r="C22" s="571"/>
      <c r="D22" s="4"/>
      <c r="E22" s="577"/>
      <c r="F22" s="4"/>
      <c r="G22" s="584"/>
      <c r="H22" s="584"/>
      <c r="I22" s="584"/>
      <c r="J22" s="584"/>
      <c r="K22" s="584"/>
      <c r="L22" s="36"/>
      <c r="M22" s="577"/>
      <c r="N22" s="43"/>
      <c r="O22" s="577"/>
      <c r="P22" s="36"/>
      <c r="Q22" s="37"/>
      <c r="R22" s="37"/>
      <c r="S22" s="37"/>
      <c r="T22" s="38"/>
    </row>
    <row r="23" spans="2:20" x14ac:dyDescent="0.35">
      <c r="B23" s="571"/>
      <c r="C23" s="571"/>
      <c r="D23" s="4"/>
      <c r="E23" s="577"/>
      <c r="F23" s="4"/>
      <c r="G23" s="584"/>
      <c r="H23" s="584"/>
      <c r="I23" s="584"/>
      <c r="J23" s="584"/>
      <c r="K23" s="584"/>
      <c r="M23" s="577"/>
      <c r="O23" s="577"/>
    </row>
    <row r="24" spans="2:20" ht="26.25" customHeight="1" x14ac:dyDescent="0.35">
      <c r="B24" s="571"/>
      <c r="C24" s="571"/>
      <c r="D24" s="4"/>
      <c r="E24" s="578"/>
      <c r="F24" s="4"/>
      <c r="G24" s="585"/>
      <c r="H24" s="585"/>
      <c r="I24" s="585"/>
      <c r="J24" s="585"/>
      <c r="K24" s="585"/>
      <c r="M24" s="578"/>
      <c r="O24" s="578"/>
    </row>
    <row r="25" spans="2:20" ht="4.5" customHeight="1" x14ac:dyDescent="0.35">
      <c r="B25" s="4"/>
      <c r="C25" s="4"/>
      <c r="D25" s="4"/>
      <c r="E25" s="4"/>
      <c r="F25" s="4"/>
      <c r="G25" s="40"/>
      <c r="H25" s="40"/>
      <c r="I25" s="40"/>
      <c r="J25" s="40"/>
      <c r="K25" s="40"/>
      <c r="M25" s="4"/>
      <c r="O25" s="111"/>
    </row>
    <row r="26" spans="2:20" ht="15" customHeight="1" x14ac:dyDescent="0.35">
      <c r="B26" s="571">
        <f>IF(M26&gt;0,1,IF(M26=0,0))</f>
        <v>0</v>
      </c>
      <c r="C26" s="571"/>
      <c r="D26" s="4"/>
      <c r="E26" s="576"/>
      <c r="F26" s="4"/>
      <c r="G26" s="583" t="s">
        <v>52</v>
      </c>
      <c r="H26" s="583" t="s">
        <v>53</v>
      </c>
      <c r="I26" s="583" t="s">
        <v>47</v>
      </c>
      <c r="J26" s="583" t="s">
        <v>48</v>
      </c>
      <c r="K26" s="583" t="s">
        <v>49</v>
      </c>
      <c r="M26" s="576"/>
      <c r="O26" s="576"/>
    </row>
    <row r="27" spans="2:20" x14ac:dyDescent="0.35">
      <c r="B27" s="571"/>
      <c r="C27" s="571"/>
      <c r="D27" s="4"/>
      <c r="E27" s="577"/>
      <c r="F27" s="4"/>
      <c r="G27" s="584"/>
      <c r="H27" s="584"/>
      <c r="I27" s="584"/>
      <c r="J27" s="584"/>
      <c r="K27" s="584"/>
      <c r="M27" s="577"/>
      <c r="O27" s="577"/>
    </row>
    <row r="28" spans="2:20" x14ac:dyDescent="0.35">
      <c r="B28" s="571"/>
      <c r="C28" s="571"/>
      <c r="D28" s="4"/>
      <c r="E28" s="577"/>
      <c r="F28" s="4"/>
      <c r="G28" s="584"/>
      <c r="H28" s="584"/>
      <c r="I28" s="584"/>
      <c r="J28" s="584"/>
      <c r="K28" s="584"/>
      <c r="M28" s="577"/>
      <c r="O28" s="577"/>
    </row>
    <row r="29" spans="2:20" ht="26.25" customHeight="1" x14ac:dyDescent="0.35">
      <c r="B29" s="571"/>
      <c r="C29" s="571"/>
      <c r="D29" s="4"/>
      <c r="E29" s="578"/>
      <c r="F29" s="4"/>
      <c r="G29" s="585"/>
      <c r="H29" s="585"/>
      <c r="I29" s="585"/>
      <c r="J29" s="585"/>
      <c r="K29" s="585"/>
      <c r="M29" s="578"/>
      <c r="O29" s="578"/>
    </row>
    <row r="30" spans="2:20" x14ac:dyDescent="0.35">
      <c r="M30" s="4"/>
      <c r="O30" s="111"/>
    </row>
    <row r="31" spans="2:20" x14ac:dyDescent="0.35">
      <c r="C31" s="1" t="s">
        <v>36</v>
      </c>
      <c r="D31" s="1"/>
      <c r="E31" s="1" t="s">
        <v>94</v>
      </c>
      <c r="M31" s="4"/>
      <c r="O31" s="111"/>
    </row>
    <row r="32" spans="2:20" x14ac:dyDescent="0.35">
      <c r="M32" s="4"/>
      <c r="O32" s="111"/>
    </row>
    <row r="33" spans="2:15" x14ac:dyDescent="0.35">
      <c r="B33" s="575"/>
      <c r="C33" s="575"/>
      <c r="D33" s="1"/>
      <c r="E33" s="46" t="s">
        <v>51</v>
      </c>
      <c r="F33" s="1"/>
      <c r="G33" s="582" t="s">
        <v>44</v>
      </c>
      <c r="H33" s="582"/>
      <c r="I33" s="582"/>
      <c r="J33" s="582"/>
      <c r="K33" s="582"/>
      <c r="M33" s="46" t="s">
        <v>90</v>
      </c>
      <c r="O33" s="46" t="s">
        <v>159</v>
      </c>
    </row>
    <row r="34" spans="2:15" s="111" customFormat="1" x14ac:dyDescent="0.35">
      <c r="B34" s="112"/>
      <c r="C34" s="112"/>
      <c r="D34" s="113"/>
      <c r="E34" s="112"/>
      <c r="F34" s="113"/>
      <c r="G34" s="114">
        <v>1</v>
      </c>
      <c r="H34" s="114">
        <v>2</v>
      </c>
      <c r="I34" s="114">
        <v>3</v>
      </c>
      <c r="J34" s="114">
        <v>4</v>
      </c>
      <c r="K34" s="114">
        <v>5</v>
      </c>
      <c r="M34" s="112"/>
      <c r="O34" s="112"/>
    </row>
    <row r="35" spans="2:15" x14ac:dyDescent="0.35">
      <c r="B35" s="110"/>
      <c r="C35" s="110"/>
      <c r="D35" s="2"/>
      <c r="E35" s="41"/>
      <c r="F35" s="2"/>
      <c r="G35" s="42" t="s">
        <v>39</v>
      </c>
      <c r="H35" s="42" t="s">
        <v>40</v>
      </c>
      <c r="I35" s="42" t="s">
        <v>41</v>
      </c>
      <c r="J35" s="42" t="s">
        <v>42</v>
      </c>
      <c r="K35" s="42" t="s">
        <v>43</v>
      </c>
      <c r="M35" s="4"/>
      <c r="O35" s="111"/>
    </row>
    <row r="36" spans="2:15" ht="15" customHeight="1" x14ac:dyDescent="0.35">
      <c r="B36" s="571">
        <f>IF(M36&gt;0,1,IF(M36=0,0))</f>
        <v>0</v>
      </c>
      <c r="C36" s="571"/>
      <c r="D36" s="4"/>
      <c r="E36" s="579" t="s">
        <v>136</v>
      </c>
      <c r="F36" s="4"/>
      <c r="G36" s="569" t="s">
        <v>96</v>
      </c>
      <c r="H36" s="569" t="s">
        <v>95</v>
      </c>
      <c r="I36" s="569" t="s">
        <v>97</v>
      </c>
      <c r="J36" s="569" t="s">
        <v>98</v>
      </c>
      <c r="K36" s="569" t="s">
        <v>99</v>
      </c>
      <c r="M36" s="576"/>
      <c r="O36" s="592"/>
    </row>
    <row r="37" spans="2:15" x14ac:dyDescent="0.35">
      <c r="B37" s="571"/>
      <c r="C37" s="571"/>
      <c r="D37" s="4"/>
      <c r="E37" s="580"/>
      <c r="F37" s="4"/>
      <c r="G37" s="570"/>
      <c r="H37" s="570"/>
      <c r="I37" s="570"/>
      <c r="J37" s="570"/>
      <c r="K37" s="570"/>
      <c r="M37" s="577"/>
      <c r="O37" s="593"/>
    </row>
    <row r="38" spans="2:15" x14ac:dyDescent="0.35">
      <c r="B38" s="571"/>
      <c r="C38" s="571"/>
      <c r="D38" s="4"/>
      <c r="E38" s="580"/>
      <c r="F38" s="4"/>
      <c r="G38" s="570"/>
      <c r="H38" s="570"/>
      <c r="I38" s="570"/>
      <c r="J38" s="570"/>
      <c r="K38" s="570"/>
      <c r="M38" s="577"/>
      <c r="O38" s="593"/>
    </row>
    <row r="39" spans="2:15" x14ac:dyDescent="0.35">
      <c r="B39" s="571"/>
      <c r="C39" s="571"/>
      <c r="D39" s="4"/>
      <c r="E39" s="580"/>
      <c r="F39" s="4"/>
      <c r="G39" s="126" t="s">
        <v>100</v>
      </c>
      <c r="H39" s="126" t="s">
        <v>100</v>
      </c>
      <c r="I39" s="126" t="s">
        <v>100</v>
      </c>
      <c r="J39" s="126" t="s">
        <v>100</v>
      </c>
      <c r="K39" s="126" t="s">
        <v>100</v>
      </c>
      <c r="M39" s="577"/>
      <c r="O39" s="593"/>
    </row>
    <row r="40" spans="2:15" ht="31.5" x14ac:dyDescent="0.35">
      <c r="B40" s="571"/>
      <c r="C40" s="571"/>
      <c r="D40" s="4"/>
      <c r="E40" s="580"/>
      <c r="F40" s="4"/>
      <c r="G40" s="125" t="s">
        <v>101</v>
      </c>
      <c r="H40" s="125" t="s">
        <v>104</v>
      </c>
      <c r="I40" s="125" t="s">
        <v>107</v>
      </c>
      <c r="J40" s="125" t="s">
        <v>110</v>
      </c>
      <c r="K40" s="125" t="s">
        <v>113</v>
      </c>
      <c r="M40" s="577"/>
      <c r="O40" s="593"/>
    </row>
    <row r="41" spans="2:15" ht="21" x14ac:dyDescent="0.35">
      <c r="B41" s="571"/>
      <c r="C41" s="571"/>
      <c r="D41" s="4"/>
      <c r="E41" s="580"/>
      <c r="F41" s="4"/>
      <c r="G41" s="124" t="s">
        <v>102</v>
      </c>
      <c r="H41" s="124" t="s">
        <v>105</v>
      </c>
      <c r="I41" s="124" t="s">
        <v>108</v>
      </c>
      <c r="J41" s="124" t="s">
        <v>111</v>
      </c>
      <c r="K41" s="124" t="s">
        <v>114</v>
      </c>
      <c r="M41" s="577"/>
      <c r="O41" s="593"/>
    </row>
    <row r="42" spans="2:15" ht="31.5" x14ac:dyDescent="0.35">
      <c r="B42" s="571"/>
      <c r="C42" s="571"/>
      <c r="D42" s="4"/>
      <c r="E42" s="581"/>
      <c r="F42" s="4"/>
      <c r="G42" s="123" t="s">
        <v>103</v>
      </c>
      <c r="H42" s="123" t="s">
        <v>106</v>
      </c>
      <c r="I42" s="123" t="s">
        <v>109</v>
      </c>
      <c r="J42" s="123" t="s">
        <v>112</v>
      </c>
      <c r="K42" s="123" t="s">
        <v>115</v>
      </c>
      <c r="M42" s="578"/>
      <c r="O42" s="594"/>
    </row>
    <row r="43" spans="2:15" ht="6" customHeight="1" x14ac:dyDescent="0.35">
      <c r="B43" s="111"/>
      <c r="C43" s="111"/>
      <c r="G43" s="34"/>
      <c r="H43" s="34"/>
      <c r="I43" s="34"/>
      <c r="J43" s="34"/>
      <c r="K43" s="34"/>
      <c r="M43" s="4"/>
      <c r="O43" s="111"/>
    </row>
    <row r="44" spans="2:15" ht="15" customHeight="1" x14ac:dyDescent="0.35">
      <c r="B44" s="571">
        <f>IF(M44&gt;0,1,IF(M44=0,0))</f>
        <v>0</v>
      </c>
      <c r="C44" s="571"/>
      <c r="D44" s="4"/>
      <c r="E44" s="572" t="s">
        <v>137</v>
      </c>
      <c r="F44" s="4"/>
      <c r="G44" s="569" t="s">
        <v>116</v>
      </c>
      <c r="H44" s="569" t="s">
        <v>117</v>
      </c>
      <c r="I44" s="569" t="s">
        <v>118</v>
      </c>
      <c r="J44" s="569" t="s">
        <v>119</v>
      </c>
      <c r="K44" s="569" t="s">
        <v>120</v>
      </c>
      <c r="M44" s="576"/>
      <c r="O44" s="588"/>
    </row>
    <row r="45" spans="2:15" x14ac:dyDescent="0.35">
      <c r="B45" s="571"/>
      <c r="C45" s="571"/>
      <c r="D45" s="4"/>
      <c r="E45" s="573"/>
      <c r="F45" s="4"/>
      <c r="G45" s="570"/>
      <c r="H45" s="570"/>
      <c r="I45" s="570"/>
      <c r="J45" s="570"/>
      <c r="K45" s="570"/>
      <c r="M45" s="577"/>
      <c r="O45" s="589"/>
    </row>
    <row r="46" spans="2:15" x14ac:dyDescent="0.35">
      <c r="B46" s="571"/>
      <c r="C46" s="571"/>
      <c r="D46" s="4"/>
      <c r="E46" s="573"/>
      <c r="F46" s="4"/>
      <c r="G46" s="570"/>
      <c r="H46" s="570"/>
      <c r="I46" s="570"/>
      <c r="J46" s="570"/>
      <c r="K46" s="570"/>
      <c r="M46" s="577"/>
      <c r="O46" s="589"/>
    </row>
    <row r="47" spans="2:15" x14ac:dyDescent="0.35">
      <c r="B47" s="571"/>
      <c r="C47" s="571"/>
      <c r="D47" s="4"/>
      <c r="E47" s="573"/>
      <c r="F47" s="4"/>
      <c r="G47" s="126" t="s">
        <v>100</v>
      </c>
      <c r="H47" s="126" t="s">
        <v>100</v>
      </c>
      <c r="I47" s="126" t="s">
        <v>100</v>
      </c>
      <c r="J47" s="126" t="s">
        <v>100</v>
      </c>
      <c r="K47" s="126" t="s">
        <v>100</v>
      </c>
      <c r="M47" s="577"/>
      <c r="O47" s="589"/>
    </row>
    <row r="48" spans="2:15" ht="31.5" x14ac:dyDescent="0.35">
      <c r="B48" s="571"/>
      <c r="C48" s="571"/>
      <c r="D48" s="4"/>
      <c r="E48" s="573"/>
      <c r="F48" s="4"/>
      <c r="G48" s="125" t="s">
        <v>121</v>
      </c>
      <c r="H48" s="125" t="s">
        <v>124</v>
      </c>
      <c r="I48" s="125" t="s">
        <v>127</v>
      </c>
      <c r="J48" s="125" t="s">
        <v>130</v>
      </c>
      <c r="K48" s="125" t="s">
        <v>133</v>
      </c>
      <c r="M48" s="577"/>
      <c r="O48" s="589"/>
    </row>
    <row r="49" spans="2:15" ht="31.5" x14ac:dyDescent="0.35">
      <c r="B49" s="571"/>
      <c r="C49" s="571"/>
      <c r="D49" s="4"/>
      <c r="E49" s="573"/>
      <c r="F49" s="4"/>
      <c r="G49" s="124" t="s">
        <v>122</v>
      </c>
      <c r="H49" s="124" t="s">
        <v>125</v>
      </c>
      <c r="I49" s="124" t="s">
        <v>128</v>
      </c>
      <c r="J49" s="124" t="s">
        <v>131</v>
      </c>
      <c r="K49" s="124" t="s">
        <v>134</v>
      </c>
      <c r="M49" s="577"/>
      <c r="O49" s="589"/>
    </row>
    <row r="50" spans="2:15" ht="42" x14ac:dyDescent="0.35">
      <c r="B50" s="571"/>
      <c r="C50" s="571"/>
      <c r="D50" s="4"/>
      <c r="E50" s="574"/>
      <c r="F50" s="4"/>
      <c r="G50" s="123" t="s">
        <v>123</v>
      </c>
      <c r="H50" s="123" t="s">
        <v>126</v>
      </c>
      <c r="I50" s="123" t="s">
        <v>129</v>
      </c>
      <c r="J50" s="123" t="s">
        <v>132</v>
      </c>
      <c r="K50" s="123" t="s">
        <v>135</v>
      </c>
      <c r="M50" s="578"/>
      <c r="O50" s="590"/>
    </row>
    <row r="51" spans="2:15" ht="6" customHeight="1" x14ac:dyDescent="0.35">
      <c r="B51" s="111"/>
      <c r="C51" s="111"/>
      <c r="G51" s="34"/>
      <c r="H51" s="34"/>
      <c r="I51" s="34"/>
      <c r="J51" s="34"/>
      <c r="K51" s="34"/>
      <c r="M51" s="4"/>
      <c r="O51" s="111"/>
    </row>
    <row r="52" spans="2:15" x14ac:dyDescent="0.35">
      <c r="B52" s="571">
        <f>IF(M52&gt;0,1,IF(M52=0,0))</f>
        <v>0</v>
      </c>
      <c r="C52" s="571"/>
      <c r="D52" s="4"/>
      <c r="E52" s="572" t="s">
        <v>146</v>
      </c>
      <c r="F52" s="4"/>
      <c r="G52" s="569" t="s">
        <v>138</v>
      </c>
      <c r="H52" s="569" t="s">
        <v>139</v>
      </c>
      <c r="I52" s="569" t="s">
        <v>140</v>
      </c>
      <c r="J52" s="569" t="s">
        <v>141</v>
      </c>
      <c r="K52" s="569" t="s">
        <v>142</v>
      </c>
      <c r="M52" s="576"/>
      <c r="O52" s="576"/>
    </row>
    <row r="53" spans="2:15" x14ac:dyDescent="0.35">
      <c r="B53" s="571"/>
      <c r="C53" s="571"/>
      <c r="D53" s="4"/>
      <c r="E53" s="573"/>
      <c r="F53" s="4"/>
      <c r="G53" s="570"/>
      <c r="H53" s="570"/>
      <c r="I53" s="570"/>
      <c r="J53" s="570"/>
      <c r="K53" s="570"/>
      <c r="M53" s="577"/>
      <c r="O53" s="577"/>
    </row>
    <row r="54" spans="2:15" x14ac:dyDescent="0.35">
      <c r="B54" s="571"/>
      <c r="C54" s="571"/>
      <c r="D54" s="4"/>
      <c r="E54" s="573"/>
      <c r="F54" s="4"/>
      <c r="G54" s="570"/>
      <c r="H54" s="570"/>
      <c r="I54" s="570"/>
      <c r="J54" s="570"/>
      <c r="K54" s="570"/>
      <c r="M54" s="577"/>
      <c r="O54" s="577"/>
    </row>
    <row r="55" spans="2:15" x14ac:dyDescent="0.35">
      <c r="B55" s="571"/>
      <c r="C55" s="571"/>
      <c r="D55" s="4"/>
      <c r="E55" s="573"/>
      <c r="F55" s="4"/>
      <c r="G55" s="126" t="s">
        <v>100</v>
      </c>
      <c r="H55" s="126" t="s">
        <v>100</v>
      </c>
      <c r="I55" s="126" t="s">
        <v>100</v>
      </c>
      <c r="J55" s="126" t="s">
        <v>100</v>
      </c>
      <c r="K55" s="126" t="s">
        <v>100</v>
      </c>
      <c r="M55" s="577"/>
      <c r="O55" s="577"/>
    </row>
    <row r="56" spans="2:15" ht="31.5" x14ac:dyDescent="0.35">
      <c r="B56" s="571"/>
      <c r="C56" s="571"/>
      <c r="D56" s="4"/>
      <c r="E56" s="573"/>
      <c r="F56" s="4"/>
      <c r="G56" s="125" t="s">
        <v>143</v>
      </c>
      <c r="H56" s="125" t="s">
        <v>147</v>
      </c>
      <c r="I56" s="125" t="s">
        <v>150</v>
      </c>
      <c r="J56" s="125" t="s">
        <v>153</v>
      </c>
      <c r="K56" s="125" t="s">
        <v>156</v>
      </c>
      <c r="M56" s="577"/>
      <c r="O56" s="577"/>
    </row>
    <row r="57" spans="2:15" ht="21" x14ac:dyDescent="0.35">
      <c r="B57" s="571"/>
      <c r="C57" s="571"/>
      <c r="D57" s="4"/>
      <c r="E57" s="573"/>
      <c r="F57" s="4"/>
      <c r="G57" s="124" t="s">
        <v>144</v>
      </c>
      <c r="H57" s="124" t="s">
        <v>148</v>
      </c>
      <c r="I57" s="124" t="s">
        <v>151</v>
      </c>
      <c r="J57" s="124" t="s">
        <v>154</v>
      </c>
      <c r="K57" s="124" t="s">
        <v>157</v>
      </c>
      <c r="M57" s="577"/>
      <c r="O57" s="577"/>
    </row>
    <row r="58" spans="2:15" ht="21" x14ac:dyDescent="0.35">
      <c r="B58" s="571"/>
      <c r="C58" s="571"/>
      <c r="D58" s="4"/>
      <c r="E58" s="574"/>
      <c r="F58" s="4"/>
      <c r="G58" s="123" t="s">
        <v>145</v>
      </c>
      <c r="H58" s="123" t="s">
        <v>149</v>
      </c>
      <c r="I58" s="123" t="s">
        <v>152</v>
      </c>
      <c r="J58" s="123" t="s">
        <v>155</v>
      </c>
      <c r="K58" s="123" t="s">
        <v>158</v>
      </c>
      <c r="M58" s="578"/>
      <c r="O58" s="578"/>
    </row>
    <row r="59" spans="2:15" ht="6" customHeight="1" x14ac:dyDescent="0.35">
      <c r="B59" s="111"/>
      <c r="C59" s="111"/>
      <c r="G59" s="34"/>
      <c r="H59" s="34"/>
      <c r="I59" s="34"/>
      <c r="J59" s="34"/>
      <c r="K59" s="34"/>
      <c r="M59" s="4"/>
      <c r="O59" s="111"/>
    </row>
    <row r="60" spans="2:15" ht="66" customHeight="1" x14ac:dyDescent="0.35">
      <c r="M60" s="4"/>
      <c r="O60" s="111"/>
    </row>
    <row r="61" spans="2:15" x14ac:dyDescent="0.35">
      <c r="C61" s="1" t="s">
        <v>37</v>
      </c>
      <c r="D61" s="1"/>
      <c r="E61" s="1" t="s">
        <v>160</v>
      </c>
      <c r="M61" s="4"/>
      <c r="O61" s="111"/>
    </row>
    <row r="62" spans="2:15" x14ac:dyDescent="0.35">
      <c r="M62" s="4"/>
      <c r="O62" s="111"/>
    </row>
    <row r="63" spans="2:15" x14ac:dyDescent="0.35">
      <c r="B63" s="575"/>
      <c r="C63" s="575"/>
      <c r="D63" s="1"/>
      <c r="E63" s="46" t="s">
        <v>51</v>
      </c>
      <c r="F63" s="1"/>
      <c r="G63" s="582" t="s">
        <v>44</v>
      </c>
      <c r="H63" s="582"/>
      <c r="I63" s="582"/>
      <c r="J63" s="582"/>
      <c r="K63" s="582"/>
      <c r="M63" s="46" t="s">
        <v>90</v>
      </c>
      <c r="O63" s="46" t="s">
        <v>159</v>
      </c>
    </row>
    <row r="64" spans="2:15" s="111" customFormat="1" x14ac:dyDescent="0.35">
      <c r="B64" s="112"/>
      <c r="C64" s="112"/>
      <c r="D64" s="113"/>
      <c r="E64" s="112"/>
      <c r="F64" s="113"/>
      <c r="G64" s="114">
        <v>1</v>
      </c>
      <c r="H64" s="114">
        <v>2</v>
      </c>
      <c r="I64" s="114">
        <v>3</v>
      </c>
      <c r="J64" s="114">
        <v>4</v>
      </c>
      <c r="K64" s="114">
        <v>5</v>
      </c>
      <c r="M64" s="112"/>
      <c r="O64" s="112"/>
    </row>
    <row r="65" spans="2:15" x14ac:dyDescent="0.35">
      <c r="B65" s="110"/>
      <c r="C65" s="110"/>
      <c r="D65" s="2"/>
      <c r="E65" s="41"/>
      <c r="F65" s="2"/>
      <c r="G65" s="42" t="s">
        <v>39</v>
      </c>
      <c r="H65" s="42" t="s">
        <v>40</v>
      </c>
      <c r="I65" s="42" t="s">
        <v>41</v>
      </c>
      <c r="J65" s="42" t="s">
        <v>42</v>
      </c>
      <c r="K65" s="42" t="s">
        <v>43</v>
      </c>
      <c r="M65" s="4"/>
      <c r="O65" s="111"/>
    </row>
    <row r="66" spans="2:15" ht="15" customHeight="1" x14ac:dyDescent="0.35">
      <c r="B66" s="571">
        <f>IF(M66&gt;0,1,IF(M66=0,0))</f>
        <v>0</v>
      </c>
      <c r="C66" s="571"/>
      <c r="D66" s="4"/>
      <c r="E66" s="572" t="s">
        <v>182</v>
      </c>
      <c r="F66" s="4"/>
      <c r="G66" s="569" t="s">
        <v>161</v>
      </c>
      <c r="H66" s="569" t="s">
        <v>162</v>
      </c>
      <c r="I66" s="569" t="s">
        <v>165</v>
      </c>
      <c r="J66" s="569" t="s">
        <v>163</v>
      </c>
      <c r="K66" s="569" t="s">
        <v>164</v>
      </c>
      <c r="M66" s="576"/>
      <c r="O66" s="576"/>
    </row>
    <row r="67" spans="2:15" x14ac:dyDescent="0.35">
      <c r="B67" s="571"/>
      <c r="C67" s="571"/>
      <c r="D67" s="4"/>
      <c r="E67" s="573"/>
      <c r="F67" s="4"/>
      <c r="G67" s="570"/>
      <c r="H67" s="570"/>
      <c r="I67" s="570"/>
      <c r="J67" s="570"/>
      <c r="K67" s="570"/>
      <c r="M67" s="577"/>
      <c r="O67" s="577"/>
    </row>
    <row r="68" spans="2:15" x14ac:dyDescent="0.35">
      <c r="B68" s="571"/>
      <c r="C68" s="571"/>
      <c r="D68" s="4"/>
      <c r="E68" s="573"/>
      <c r="F68" s="4"/>
      <c r="G68" s="570"/>
      <c r="H68" s="570"/>
      <c r="I68" s="570"/>
      <c r="J68" s="570"/>
      <c r="K68" s="570"/>
      <c r="M68" s="577"/>
      <c r="O68" s="577"/>
    </row>
    <row r="69" spans="2:15" x14ac:dyDescent="0.35">
      <c r="B69" s="571"/>
      <c r="C69" s="571"/>
      <c r="D69" s="4"/>
      <c r="E69" s="573"/>
      <c r="F69" s="4"/>
      <c r="G69" s="126" t="s">
        <v>100</v>
      </c>
      <c r="H69" s="126" t="s">
        <v>100</v>
      </c>
      <c r="I69" s="126" t="s">
        <v>100</v>
      </c>
      <c r="J69" s="126" t="s">
        <v>100</v>
      </c>
      <c r="K69" s="126" t="s">
        <v>100</v>
      </c>
      <c r="M69" s="577"/>
      <c r="O69" s="577"/>
    </row>
    <row r="70" spans="2:15" ht="31.5" x14ac:dyDescent="0.35">
      <c r="B70" s="571"/>
      <c r="C70" s="571"/>
      <c r="D70" s="4"/>
      <c r="E70" s="573"/>
      <c r="F70" s="4"/>
      <c r="G70" s="125" t="s">
        <v>166</v>
      </c>
      <c r="H70" s="125" t="s">
        <v>169</v>
      </c>
      <c r="I70" s="125" t="s">
        <v>172</v>
      </c>
      <c r="J70" s="125" t="s">
        <v>175</v>
      </c>
      <c r="K70" s="125" t="s">
        <v>178</v>
      </c>
      <c r="M70" s="577"/>
      <c r="O70" s="577"/>
    </row>
    <row r="71" spans="2:15" ht="31.5" x14ac:dyDescent="0.35">
      <c r="B71" s="571"/>
      <c r="C71" s="571"/>
      <c r="D71" s="4"/>
      <c r="E71" s="573"/>
      <c r="F71" s="4"/>
      <c r="G71" s="124" t="s">
        <v>167</v>
      </c>
      <c r="H71" s="124" t="s">
        <v>170</v>
      </c>
      <c r="I71" s="124" t="s">
        <v>173</v>
      </c>
      <c r="J71" s="124" t="s">
        <v>176</v>
      </c>
      <c r="K71" s="124" t="s">
        <v>179</v>
      </c>
      <c r="M71" s="577"/>
      <c r="O71" s="577"/>
    </row>
    <row r="72" spans="2:15" ht="42" x14ac:dyDescent="0.35">
      <c r="B72" s="571"/>
      <c r="C72" s="571"/>
      <c r="D72" s="4"/>
      <c r="E72" s="574"/>
      <c r="F72" s="4"/>
      <c r="G72" s="123" t="s">
        <v>168</v>
      </c>
      <c r="H72" s="123" t="s">
        <v>171</v>
      </c>
      <c r="I72" s="123" t="s">
        <v>174</v>
      </c>
      <c r="J72" s="123" t="s">
        <v>177</v>
      </c>
      <c r="K72" s="123" t="s">
        <v>180</v>
      </c>
      <c r="M72" s="578"/>
      <c r="O72" s="578"/>
    </row>
    <row r="73" spans="2:15" ht="5.25" customHeight="1" x14ac:dyDescent="0.35">
      <c r="B73" s="111"/>
      <c r="C73" s="111"/>
      <c r="G73" s="34"/>
      <c r="H73" s="34"/>
      <c r="I73" s="34"/>
      <c r="J73" s="34"/>
      <c r="K73" s="34"/>
      <c r="M73" s="4"/>
      <c r="O73" s="111"/>
    </row>
    <row r="74" spans="2:15" x14ac:dyDescent="0.35">
      <c r="B74" s="571">
        <f>IF(M74&gt;0,1,IF(M74=0,0))</f>
        <v>0</v>
      </c>
      <c r="C74" s="571"/>
      <c r="D74" s="4"/>
      <c r="E74" s="572" t="s">
        <v>181</v>
      </c>
      <c r="F74" s="4"/>
      <c r="G74" s="569" t="s">
        <v>183</v>
      </c>
      <c r="H74" s="569" t="s">
        <v>184</v>
      </c>
      <c r="I74" s="569" t="s">
        <v>185</v>
      </c>
      <c r="J74" s="569" t="s">
        <v>186</v>
      </c>
      <c r="K74" s="569" t="s">
        <v>187</v>
      </c>
      <c r="M74" s="576"/>
      <c r="O74" s="588"/>
    </row>
    <row r="75" spans="2:15" x14ac:dyDescent="0.35">
      <c r="B75" s="571"/>
      <c r="C75" s="571"/>
      <c r="D75" s="4"/>
      <c r="E75" s="573"/>
      <c r="F75" s="4"/>
      <c r="G75" s="570"/>
      <c r="H75" s="570"/>
      <c r="I75" s="570"/>
      <c r="J75" s="570"/>
      <c r="K75" s="570"/>
      <c r="M75" s="577"/>
      <c r="O75" s="589"/>
    </row>
    <row r="76" spans="2:15" ht="42" customHeight="1" x14ac:dyDescent="0.35">
      <c r="B76" s="571"/>
      <c r="C76" s="571"/>
      <c r="D76" s="4"/>
      <c r="E76" s="573"/>
      <c r="F76" s="4"/>
      <c r="G76" s="570"/>
      <c r="H76" s="570"/>
      <c r="I76" s="570"/>
      <c r="J76" s="570"/>
      <c r="K76" s="570"/>
      <c r="M76" s="577"/>
      <c r="O76" s="589"/>
    </row>
    <row r="77" spans="2:15" x14ac:dyDescent="0.35">
      <c r="B77" s="571"/>
      <c r="C77" s="571"/>
      <c r="D77" s="4"/>
      <c r="E77" s="573"/>
      <c r="F77" s="4"/>
      <c r="G77" s="126" t="s">
        <v>100</v>
      </c>
      <c r="H77" s="126" t="s">
        <v>100</v>
      </c>
      <c r="I77" s="126" t="s">
        <v>100</v>
      </c>
      <c r="J77" s="126" t="s">
        <v>100</v>
      </c>
      <c r="K77" s="126" t="s">
        <v>100</v>
      </c>
      <c r="M77" s="577"/>
      <c r="O77" s="589"/>
    </row>
    <row r="78" spans="2:15" ht="31.5" x14ac:dyDescent="0.35">
      <c r="B78" s="571"/>
      <c r="C78" s="571"/>
      <c r="D78" s="4"/>
      <c r="E78" s="573"/>
      <c r="F78" s="4"/>
      <c r="G78" s="125" t="s">
        <v>188</v>
      </c>
      <c r="H78" s="125" t="s">
        <v>191</v>
      </c>
      <c r="I78" s="125" t="s">
        <v>194</v>
      </c>
      <c r="J78" s="125" t="s">
        <v>197</v>
      </c>
      <c r="K78" s="125" t="s">
        <v>200</v>
      </c>
      <c r="M78" s="577"/>
      <c r="O78" s="589"/>
    </row>
    <row r="79" spans="2:15" ht="31.5" x14ac:dyDescent="0.35">
      <c r="B79" s="571"/>
      <c r="C79" s="571"/>
      <c r="D79" s="4"/>
      <c r="E79" s="573"/>
      <c r="F79" s="4"/>
      <c r="G79" s="124" t="s">
        <v>189</v>
      </c>
      <c r="H79" s="124" t="s">
        <v>192</v>
      </c>
      <c r="I79" s="124" t="s">
        <v>195</v>
      </c>
      <c r="J79" s="124" t="s">
        <v>198</v>
      </c>
      <c r="K79" s="124" t="s">
        <v>201</v>
      </c>
      <c r="M79" s="577"/>
      <c r="O79" s="589"/>
    </row>
    <row r="80" spans="2:15" ht="31.5" x14ac:dyDescent="0.35">
      <c r="B80" s="571"/>
      <c r="C80" s="571"/>
      <c r="D80" s="4"/>
      <c r="E80" s="574"/>
      <c r="F80" s="4"/>
      <c r="G80" s="123" t="s">
        <v>190</v>
      </c>
      <c r="H80" s="123" t="s">
        <v>193</v>
      </c>
      <c r="I80" s="123" t="s">
        <v>196</v>
      </c>
      <c r="J80" s="123" t="s">
        <v>199</v>
      </c>
      <c r="K80" s="123" t="s">
        <v>202</v>
      </c>
      <c r="M80" s="578"/>
      <c r="O80" s="590"/>
    </row>
    <row r="81" spans="2:15" ht="5.25" customHeight="1" x14ac:dyDescent="0.35">
      <c r="B81" s="111"/>
      <c r="C81" s="111"/>
      <c r="G81" s="34"/>
      <c r="H81" s="34"/>
      <c r="I81" s="34"/>
      <c r="J81" s="34"/>
      <c r="K81" s="34"/>
      <c r="M81" s="4"/>
      <c r="O81" s="111"/>
    </row>
    <row r="82" spans="2:15" x14ac:dyDescent="0.35">
      <c r="M82" s="4"/>
    </row>
    <row r="83" spans="2:15" x14ac:dyDescent="0.35">
      <c r="B83" s="28"/>
      <c r="C83" s="28"/>
      <c r="D83" s="28"/>
      <c r="E83" s="1" t="s">
        <v>92</v>
      </c>
      <c r="G83" s="115">
        <f>H86+B74+B66+B52+B44+B36+B26+B21+B16</f>
        <v>1</v>
      </c>
      <c r="K83" s="1" t="s">
        <v>91</v>
      </c>
      <c r="M83" s="122">
        <f>M74+M66+M52+M44+M36+M16+M21+M26</f>
        <v>3</v>
      </c>
    </row>
    <row r="84" spans="2:15" x14ac:dyDescent="0.35">
      <c r="B84" s="587"/>
      <c r="C84" s="587"/>
      <c r="D84" s="587"/>
    </row>
    <row r="85" spans="2:15" x14ac:dyDescent="0.35">
      <c r="K85" s="1"/>
      <c r="M85" s="116"/>
    </row>
  </sheetData>
  <sheetProtection selectLockedCells="1"/>
  <mergeCells count="86">
    <mergeCell ref="O5:O7"/>
    <mergeCell ref="M66:M72"/>
    <mergeCell ref="O66:O72"/>
    <mergeCell ref="M74:M80"/>
    <mergeCell ref="O74:O80"/>
    <mergeCell ref="M36:M42"/>
    <mergeCell ref="O36:O42"/>
    <mergeCell ref="M21:M24"/>
    <mergeCell ref="O21:O24"/>
    <mergeCell ref="M26:M29"/>
    <mergeCell ref="K4:M4"/>
    <mergeCell ref="K5:M5"/>
    <mergeCell ref="K6:M6"/>
    <mergeCell ref="K7:M7"/>
    <mergeCell ref="K8:M8"/>
    <mergeCell ref="E12:K12"/>
    <mergeCell ref="B84:D84"/>
    <mergeCell ref="M44:M50"/>
    <mergeCell ref="O44:O50"/>
    <mergeCell ref="M52:M58"/>
    <mergeCell ref="O52:O58"/>
    <mergeCell ref="B13:C13"/>
    <mergeCell ref="G13:K13"/>
    <mergeCell ref="E16:E19"/>
    <mergeCell ref="G16:G19"/>
    <mergeCell ref="H16:H19"/>
    <mergeCell ref="I16:I19"/>
    <mergeCell ref="J16:J19"/>
    <mergeCell ref="K16:K19"/>
    <mergeCell ref="M16:M19"/>
    <mergeCell ref="O16:O19"/>
    <mergeCell ref="K21:K24"/>
    <mergeCell ref="B26:C29"/>
    <mergeCell ref="O26:O29"/>
    <mergeCell ref="B33:C33"/>
    <mergeCell ref="G33:K33"/>
    <mergeCell ref="G21:G24"/>
    <mergeCell ref="H21:H24"/>
    <mergeCell ref="I21:I24"/>
    <mergeCell ref="J21:J24"/>
    <mergeCell ref="J26:J29"/>
    <mergeCell ref="K26:K29"/>
    <mergeCell ref="G26:G29"/>
    <mergeCell ref="H26:H29"/>
    <mergeCell ref="I26:I29"/>
    <mergeCell ref="K44:K46"/>
    <mergeCell ref="K36:K38"/>
    <mergeCell ref="H36:H38"/>
    <mergeCell ref="I36:I38"/>
    <mergeCell ref="J36:J38"/>
    <mergeCell ref="G36:G38"/>
    <mergeCell ref="G66:G68"/>
    <mergeCell ref="H66:H68"/>
    <mergeCell ref="I66:I68"/>
    <mergeCell ref="J66:J68"/>
    <mergeCell ref="H44:H46"/>
    <mergeCell ref="I44:I46"/>
    <mergeCell ref="J44:J46"/>
    <mergeCell ref="G63:K63"/>
    <mergeCell ref="H52:H54"/>
    <mergeCell ref="I52:I54"/>
    <mergeCell ref="J52:J54"/>
    <mergeCell ref="K52:K54"/>
    <mergeCell ref="G52:G54"/>
    <mergeCell ref="G44:G46"/>
    <mergeCell ref="K66:K68"/>
    <mergeCell ref="B16:C19"/>
    <mergeCell ref="B74:C80"/>
    <mergeCell ref="E74:E80"/>
    <mergeCell ref="B66:C72"/>
    <mergeCell ref="E66:E72"/>
    <mergeCell ref="B63:C63"/>
    <mergeCell ref="B21:C24"/>
    <mergeCell ref="E21:E24"/>
    <mergeCell ref="B52:C58"/>
    <mergeCell ref="E52:E58"/>
    <mergeCell ref="B44:C50"/>
    <mergeCell ref="E44:E50"/>
    <mergeCell ref="B36:C42"/>
    <mergeCell ref="E36:E42"/>
    <mergeCell ref="E26:E29"/>
    <mergeCell ref="G74:G76"/>
    <mergeCell ref="H74:H76"/>
    <mergeCell ref="I74:I76"/>
    <mergeCell ref="J74:J76"/>
    <mergeCell ref="K74:K76"/>
  </mergeCells>
  <pageMargins left="0.7" right="0.7" top="0.75" bottom="0.75" header="0.3" footer="0.3"/>
  <pageSetup paperSize="8" scale="67" fitToHeight="0" orientation="landscape" horizontalDpi="4294967294" verticalDpi="0" r:id="rId1"/>
  <rowBreaks count="1" manualBreakCount="1">
    <brk id="60" max="14"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79998168889431442"/>
  </sheetPr>
  <dimension ref="B2:R59"/>
  <sheetViews>
    <sheetView showGridLines="0" topLeftCell="A22" zoomScale="70" zoomScaleNormal="70" zoomScaleSheetLayoutView="70" workbookViewId="0">
      <selection activeCell="R30" sqref="R30"/>
    </sheetView>
  </sheetViews>
  <sheetFormatPr defaultColWidth="9.1796875" defaultRowHeight="14.5" x14ac:dyDescent="0.35"/>
  <cols>
    <col min="1" max="1" width="2.54296875" customWidth="1"/>
    <col min="2" max="2" width="5.54296875" style="208" customWidth="1"/>
    <col min="3" max="3" width="3.81640625" style="267" customWidth="1"/>
    <col min="4" max="4" width="4.26953125" style="208" customWidth="1"/>
    <col min="5" max="11" width="9.1796875" style="208"/>
    <col min="12" max="12" width="22.81640625" style="208" customWidth="1"/>
    <col min="13" max="13" width="6.81640625" style="208" customWidth="1"/>
    <col min="14" max="14" width="9.1796875" customWidth="1"/>
    <col min="15" max="15" width="3.08984375" customWidth="1"/>
  </cols>
  <sheetData>
    <row r="2" spans="2:14" x14ac:dyDescent="0.35">
      <c r="B2" s="268"/>
      <c r="C2" s="269"/>
      <c r="D2" s="270"/>
      <c r="E2" s="270"/>
      <c r="F2" s="270"/>
      <c r="G2" s="270"/>
      <c r="H2" s="270"/>
      <c r="I2" s="270"/>
      <c r="J2" s="270"/>
      <c r="K2" s="270"/>
      <c r="L2" s="270"/>
      <c r="M2" s="270"/>
      <c r="N2" s="219"/>
    </row>
    <row r="3" spans="2:14" x14ac:dyDescent="0.35">
      <c r="B3" s="271"/>
      <c r="N3" s="220"/>
    </row>
    <row r="4" spans="2:14" x14ac:dyDescent="0.35">
      <c r="B4" s="271"/>
      <c r="N4" s="220"/>
    </row>
    <row r="5" spans="2:14" x14ac:dyDescent="0.35">
      <c r="B5" s="271"/>
      <c r="N5" s="220"/>
    </row>
    <row r="6" spans="2:14" x14ac:dyDescent="0.35">
      <c r="B6" s="271"/>
      <c r="N6" s="220"/>
    </row>
    <row r="7" spans="2:14" x14ac:dyDescent="0.35">
      <c r="B7" s="271"/>
      <c r="N7" s="220"/>
    </row>
    <row r="8" spans="2:14" x14ac:dyDescent="0.35">
      <c r="B8" s="271"/>
      <c r="N8" s="220"/>
    </row>
    <row r="9" spans="2:14" x14ac:dyDescent="0.35">
      <c r="B9" s="271"/>
      <c r="N9" s="220"/>
    </row>
    <row r="10" spans="2:14" x14ac:dyDescent="0.35">
      <c r="B10" s="271"/>
      <c r="N10" s="220"/>
    </row>
    <row r="11" spans="2:14" x14ac:dyDescent="0.35">
      <c r="B11" s="271"/>
      <c r="N11" s="220"/>
    </row>
    <row r="12" spans="2:14" x14ac:dyDescent="0.35">
      <c r="B12" s="271"/>
      <c r="N12" s="220"/>
    </row>
    <row r="13" spans="2:14" x14ac:dyDescent="0.35">
      <c r="B13" s="271"/>
      <c r="N13" s="220"/>
    </row>
    <row r="14" spans="2:14" x14ac:dyDescent="0.35">
      <c r="B14" s="271"/>
      <c r="N14" s="220"/>
    </row>
    <row r="15" spans="2:14" x14ac:dyDescent="0.35">
      <c r="B15" s="271"/>
      <c r="N15" s="220"/>
    </row>
    <row r="16" spans="2:14" x14ac:dyDescent="0.35">
      <c r="B16" s="271"/>
      <c r="N16" s="220"/>
    </row>
    <row r="17" spans="2:18" ht="24" customHeight="1" x14ac:dyDescent="0.35">
      <c r="B17" s="271"/>
      <c r="N17" s="220"/>
    </row>
    <row r="18" spans="2:18" ht="19.5" x14ac:dyDescent="0.35">
      <c r="B18" s="272" t="s">
        <v>327</v>
      </c>
      <c r="C18" s="273" t="s">
        <v>335</v>
      </c>
      <c r="D18" s="274"/>
      <c r="E18" s="274"/>
      <c r="F18" s="274"/>
      <c r="G18" s="274"/>
      <c r="H18" s="274"/>
      <c r="I18" s="274"/>
      <c r="J18" s="274"/>
      <c r="K18" s="274"/>
      <c r="L18" s="274"/>
      <c r="M18" s="274"/>
      <c r="N18" s="220"/>
    </row>
    <row r="19" spans="2:18" ht="19.5" x14ac:dyDescent="0.35">
      <c r="B19" s="272"/>
      <c r="C19" s="273"/>
      <c r="D19" s="274"/>
      <c r="E19" s="274"/>
      <c r="F19" s="274"/>
      <c r="G19" s="274"/>
      <c r="H19" s="274"/>
      <c r="I19" s="274"/>
      <c r="J19" s="274"/>
      <c r="K19" s="274"/>
      <c r="L19" s="274"/>
      <c r="M19" s="274"/>
      <c r="N19" s="220"/>
    </row>
    <row r="20" spans="2:18" ht="17" x14ac:dyDescent="0.35">
      <c r="B20" s="275"/>
      <c r="C20" s="276" t="s">
        <v>328</v>
      </c>
      <c r="D20" s="277" t="s">
        <v>329</v>
      </c>
      <c r="E20" s="264"/>
      <c r="F20" s="264"/>
      <c r="G20" s="264"/>
      <c r="H20" s="264"/>
      <c r="I20" s="264"/>
      <c r="J20" s="264"/>
      <c r="K20" s="264"/>
      <c r="L20" s="264"/>
      <c r="M20" s="264"/>
      <c r="N20" s="220"/>
    </row>
    <row r="21" spans="2:18" ht="21" customHeight="1" x14ac:dyDescent="0.35">
      <c r="B21" s="278"/>
      <c r="C21" s="265"/>
      <c r="D21" s="265">
        <v>1</v>
      </c>
      <c r="E21" s="595" t="s">
        <v>262</v>
      </c>
      <c r="F21" s="595"/>
      <c r="G21" s="595"/>
      <c r="H21" s="595"/>
      <c r="I21" s="595"/>
      <c r="J21" s="595"/>
      <c r="K21" s="595"/>
      <c r="L21" s="595"/>
      <c r="M21" s="595"/>
      <c r="N21" s="596"/>
      <c r="O21" s="266"/>
      <c r="P21" s="266"/>
      <c r="Q21" s="266"/>
      <c r="R21" s="266"/>
    </row>
    <row r="22" spans="2:18" ht="21" customHeight="1" x14ac:dyDescent="0.35">
      <c r="B22" s="278"/>
      <c r="C22" s="265"/>
      <c r="D22" s="265">
        <v>2</v>
      </c>
      <c r="E22" s="595" t="s">
        <v>325</v>
      </c>
      <c r="F22" s="595"/>
      <c r="G22" s="595"/>
      <c r="H22" s="595"/>
      <c r="I22" s="595"/>
      <c r="J22" s="595"/>
      <c r="K22" s="595"/>
      <c r="L22" s="595"/>
      <c r="M22" s="595"/>
      <c r="N22" s="596"/>
      <c r="O22" s="266"/>
      <c r="P22" s="266"/>
      <c r="Q22" s="266"/>
      <c r="R22" s="266"/>
    </row>
    <row r="23" spans="2:18" ht="37.5" customHeight="1" x14ac:dyDescent="0.35">
      <c r="B23" s="278"/>
      <c r="C23" s="265"/>
      <c r="D23" s="265">
        <v>3</v>
      </c>
      <c r="E23" s="595" t="s">
        <v>263</v>
      </c>
      <c r="F23" s="595"/>
      <c r="G23" s="595"/>
      <c r="H23" s="595"/>
      <c r="I23" s="595"/>
      <c r="J23" s="595"/>
      <c r="K23" s="595"/>
      <c r="L23" s="595"/>
      <c r="M23" s="595"/>
      <c r="N23" s="596"/>
      <c r="O23" s="266"/>
      <c r="P23" s="266"/>
      <c r="Q23" s="266"/>
      <c r="R23" s="266"/>
    </row>
    <row r="24" spans="2:18" ht="16.5" customHeight="1" x14ac:dyDescent="0.35">
      <c r="B24" s="279"/>
      <c r="C24" s="265"/>
      <c r="D24" s="264"/>
      <c r="E24" s="266"/>
      <c r="F24" s="266"/>
      <c r="G24" s="266"/>
      <c r="H24" s="266"/>
      <c r="I24" s="266"/>
      <c r="J24" s="266"/>
      <c r="K24" s="266"/>
      <c r="L24" s="266"/>
      <c r="M24" s="266"/>
      <c r="N24" s="280"/>
      <c r="O24" s="266"/>
      <c r="P24" s="266"/>
      <c r="Q24" s="266"/>
      <c r="R24" s="266"/>
    </row>
    <row r="25" spans="2:18" ht="17" x14ac:dyDescent="0.35">
      <c r="B25" s="279"/>
      <c r="C25" s="276" t="s">
        <v>330</v>
      </c>
      <c r="D25" s="277" t="s">
        <v>331</v>
      </c>
      <c r="E25" s="264"/>
      <c r="F25" s="264"/>
      <c r="G25" s="264"/>
      <c r="H25" s="264"/>
      <c r="I25" s="264"/>
      <c r="J25" s="264"/>
      <c r="K25" s="264"/>
      <c r="L25" s="264"/>
      <c r="M25" s="264"/>
      <c r="N25" s="220"/>
    </row>
    <row r="26" spans="2:18" ht="17" x14ac:dyDescent="0.4">
      <c r="B26" s="278"/>
      <c r="C26" s="265"/>
      <c r="D26" s="265">
        <v>1</v>
      </c>
      <c r="E26" s="263" t="s">
        <v>264</v>
      </c>
      <c r="F26" s="264"/>
      <c r="G26" s="264"/>
      <c r="H26" s="264"/>
      <c r="I26" s="264"/>
      <c r="J26" s="264"/>
      <c r="K26" s="264"/>
      <c r="L26" s="264"/>
      <c r="M26" s="264"/>
      <c r="N26" s="220"/>
    </row>
    <row r="27" spans="2:18" ht="17" x14ac:dyDescent="0.4">
      <c r="B27" s="278"/>
      <c r="C27" s="265"/>
      <c r="D27" s="265">
        <v>2</v>
      </c>
      <c r="E27" s="263" t="s">
        <v>265</v>
      </c>
      <c r="F27" s="264"/>
      <c r="G27" s="264"/>
      <c r="H27" s="264"/>
      <c r="I27" s="264"/>
      <c r="J27" s="264"/>
      <c r="K27" s="264"/>
      <c r="L27" s="264"/>
      <c r="M27" s="264"/>
      <c r="N27" s="220"/>
    </row>
    <row r="28" spans="2:18" ht="17" x14ac:dyDescent="0.4">
      <c r="B28" s="278"/>
      <c r="C28" s="265"/>
      <c r="D28" s="265">
        <v>3</v>
      </c>
      <c r="E28" s="263" t="s">
        <v>266</v>
      </c>
      <c r="F28" s="264"/>
      <c r="G28" s="264"/>
      <c r="H28" s="264"/>
      <c r="I28" s="264"/>
      <c r="J28" s="264"/>
      <c r="K28" s="264"/>
      <c r="L28" s="264"/>
      <c r="M28" s="264"/>
      <c r="N28" s="220"/>
    </row>
    <row r="29" spans="2:18" ht="17" x14ac:dyDescent="0.4">
      <c r="B29" s="278"/>
      <c r="C29" s="265"/>
      <c r="D29" s="265">
        <v>4</v>
      </c>
      <c r="E29" s="263" t="s">
        <v>267</v>
      </c>
      <c r="F29" s="264"/>
      <c r="G29" s="264"/>
      <c r="H29" s="264"/>
      <c r="I29" s="264"/>
      <c r="J29" s="264"/>
      <c r="K29" s="264"/>
      <c r="L29" s="264"/>
      <c r="M29" s="264"/>
      <c r="N29" s="220"/>
    </row>
    <row r="30" spans="2:18" ht="17" x14ac:dyDescent="0.4">
      <c r="B30" s="278"/>
      <c r="C30" s="265"/>
      <c r="D30" s="265">
        <v>5</v>
      </c>
      <c r="E30" s="263" t="s">
        <v>268</v>
      </c>
      <c r="F30" s="264"/>
      <c r="G30" s="264"/>
      <c r="H30" s="264"/>
      <c r="I30" s="264"/>
      <c r="J30" s="264"/>
      <c r="K30" s="264"/>
      <c r="L30" s="264"/>
      <c r="M30" s="264"/>
      <c r="N30" s="220"/>
    </row>
    <row r="31" spans="2:18" ht="17" x14ac:dyDescent="0.4">
      <c r="B31" s="278"/>
      <c r="C31" s="265"/>
      <c r="D31" s="265">
        <v>6</v>
      </c>
      <c r="E31" s="263" t="s">
        <v>269</v>
      </c>
      <c r="F31" s="264"/>
      <c r="G31" s="264"/>
      <c r="H31" s="264"/>
      <c r="I31" s="264"/>
      <c r="J31" s="264"/>
      <c r="K31" s="264"/>
      <c r="L31" s="264"/>
      <c r="M31" s="264"/>
      <c r="N31" s="220"/>
    </row>
    <row r="32" spans="2:18" ht="17" x14ac:dyDescent="0.4">
      <c r="B32" s="278"/>
      <c r="C32" s="265"/>
      <c r="D32" s="265">
        <v>7</v>
      </c>
      <c r="E32" s="263" t="s">
        <v>270</v>
      </c>
      <c r="F32" s="264"/>
      <c r="G32" s="264"/>
      <c r="H32" s="264"/>
      <c r="I32" s="264"/>
      <c r="J32" s="264"/>
      <c r="K32" s="264"/>
      <c r="L32" s="264"/>
      <c r="M32" s="264"/>
      <c r="N32" s="220"/>
    </row>
    <row r="33" spans="2:14" ht="17" x14ac:dyDescent="0.4">
      <c r="B33" s="278"/>
      <c r="C33" s="265"/>
      <c r="D33" s="265">
        <v>8</v>
      </c>
      <c r="E33" s="263" t="s">
        <v>271</v>
      </c>
      <c r="F33" s="264"/>
      <c r="G33" s="264"/>
      <c r="H33" s="264"/>
      <c r="I33" s="264"/>
      <c r="J33" s="264"/>
      <c r="K33" s="264"/>
      <c r="L33" s="264"/>
      <c r="M33" s="264"/>
      <c r="N33" s="220"/>
    </row>
    <row r="34" spans="2:14" ht="17" x14ac:dyDescent="0.35">
      <c r="B34" s="278"/>
      <c r="C34" s="265"/>
      <c r="D34" s="264"/>
      <c r="E34" s="264"/>
      <c r="F34" s="264"/>
      <c r="G34" s="264"/>
      <c r="H34" s="264"/>
      <c r="I34" s="264"/>
      <c r="J34" s="264"/>
      <c r="K34" s="264"/>
      <c r="L34" s="264"/>
      <c r="M34" s="264"/>
      <c r="N34" s="220"/>
    </row>
    <row r="35" spans="2:14" ht="19.5" x14ac:dyDescent="0.35">
      <c r="B35" s="281" t="s">
        <v>332</v>
      </c>
      <c r="C35" s="273" t="s">
        <v>336</v>
      </c>
      <c r="D35" s="274"/>
      <c r="E35" s="274"/>
      <c r="F35" s="274"/>
      <c r="G35" s="274"/>
      <c r="H35" s="274"/>
      <c r="I35" s="274"/>
      <c r="J35" s="274"/>
      <c r="K35" s="274"/>
      <c r="L35" s="274"/>
      <c r="M35" s="274"/>
      <c r="N35" s="220"/>
    </row>
    <row r="36" spans="2:14" ht="15" customHeight="1" x14ac:dyDescent="0.35">
      <c r="B36" s="281"/>
      <c r="C36" s="273"/>
      <c r="D36" s="274"/>
      <c r="E36" s="274"/>
      <c r="F36" s="274"/>
      <c r="G36" s="274"/>
      <c r="H36" s="274"/>
      <c r="I36" s="274"/>
      <c r="J36" s="274"/>
      <c r="K36" s="274"/>
      <c r="L36" s="274"/>
      <c r="M36" s="274"/>
      <c r="N36" s="220"/>
    </row>
    <row r="37" spans="2:14" s="263" customFormat="1" ht="17" x14ac:dyDescent="0.4">
      <c r="B37" s="279"/>
      <c r="C37" s="265">
        <v>1</v>
      </c>
      <c r="D37" s="282" t="s">
        <v>337</v>
      </c>
      <c r="E37" s="282"/>
      <c r="F37" s="282"/>
      <c r="G37" s="282"/>
      <c r="H37" s="282"/>
      <c r="I37" s="282"/>
      <c r="J37" s="282"/>
      <c r="K37" s="282"/>
      <c r="L37" s="282"/>
      <c r="M37" s="282"/>
      <c r="N37" s="283"/>
    </row>
    <row r="38" spans="2:14" s="263" customFormat="1" ht="17" x14ac:dyDescent="0.4">
      <c r="B38" s="279"/>
      <c r="C38" s="265">
        <v>2</v>
      </c>
      <c r="D38" s="282" t="s">
        <v>338</v>
      </c>
      <c r="E38" s="282"/>
      <c r="F38" s="282"/>
      <c r="G38" s="282"/>
      <c r="H38" s="282"/>
      <c r="I38" s="282"/>
      <c r="J38" s="282"/>
      <c r="K38" s="282"/>
      <c r="L38" s="282"/>
      <c r="M38" s="282"/>
      <c r="N38" s="283"/>
    </row>
    <row r="39" spans="2:14" s="263" customFormat="1" ht="17" x14ac:dyDescent="0.4">
      <c r="B39" s="279"/>
      <c r="C39" s="265">
        <v>3</v>
      </c>
      <c r="D39" s="282" t="s">
        <v>339</v>
      </c>
      <c r="E39" s="282"/>
      <c r="F39" s="282"/>
      <c r="G39" s="282"/>
      <c r="H39" s="282"/>
      <c r="I39" s="282"/>
      <c r="J39" s="282"/>
      <c r="K39" s="282"/>
      <c r="L39" s="282"/>
      <c r="M39" s="282"/>
      <c r="N39" s="283"/>
    </row>
    <row r="40" spans="2:14" s="263" customFormat="1" ht="17" x14ac:dyDescent="0.4">
      <c r="B40" s="279"/>
      <c r="C40" s="265">
        <v>4</v>
      </c>
      <c r="D40" s="282" t="s">
        <v>340</v>
      </c>
      <c r="E40" s="282"/>
      <c r="F40" s="282"/>
      <c r="G40" s="282"/>
      <c r="H40" s="282"/>
      <c r="I40" s="282"/>
      <c r="J40" s="282"/>
      <c r="K40" s="282"/>
      <c r="L40" s="282"/>
      <c r="M40" s="282"/>
      <c r="N40" s="283"/>
    </row>
    <row r="41" spans="2:14" s="263" customFormat="1" ht="17" x14ac:dyDescent="0.4">
      <c r="B41" s="279"/>
      <c r="C41" s="265"/>
      <c r="D41" s="264" t="s">
        <v>333</v>
      </c>
      <c r="E41" s="282" t="s">
        <v>341</v>
      </c>
      <c r="F41" s="282"/>
      <c r="G41" s="282"/>
      <c r="H41" s="282"/>
      <c r="I41" s="264"/>
      <c r="J41" s="264"/>
      <c r="K41" s="264"/>
      <c r="L41" s="264"/>
      <c r="M41" s="264"/>
      <c r="N41" s="284"/>
    </row>
    <row r="42" spans="2:14" s="263" customFormat="1" ht="17" x14ac:dyDescent="0.4">
      <c r="B42" s="279"/>
      <c r="C42" s="265"/>
      <c r="D42" s="264" t="s">
        <v>334</v>
      </c>
      <c r="E42" s="282" t="s">
        <v>342</v>
      </c>
      <c r="F42" s="282"/>
      <c r="G42" s="282"/>
      <c r="H42" s="264"/>
      <c r="I42" s="264"/>
      <c r="J42" s="264"/>
      <c r="K42" s="264"/>
      <c r="L42" s="264"/>
      <c r="M42" s="264"/>
      <c r="N42" s="284"/>
    </row>
    <row r="43" spans="2:14" s="263" customFormat="1" ht="17" x14ac:dyDescent="0.4">
      <c r="B43" s="279"/>
      <c r="C43" s="265"/>
      <c r="D43" s="264" t="s">
        <v>343</v>
      </c>
      <c r="E43" s="282" t="s">
        <v>345</v>
      </c>
      <c r="F43" s="282"/>
      <c r="G43" s="282"/>
      <c r="H43" s="264"/>
      <c r="I43" s="264"/>
      <c r="J43" s="264"/>
      <c r="K43" s="264"/>
      <c r="L43" s="264"/>
      <c r="M43" s="264"/>
      <c r="N43" s="284"/>
    </row>
    <row r="44" spans="2:14" s="263" customFormat="1" ht="17" x14ac:dyDescent="0.4">
      <c r="B44" s="279"/>
      <c r="C44" s="265"/>
      <c r="D44" s="264" t="s">
        <v>344</v>
      </c>
      <c r="E44" s="282" t="s">
        <v>346</v>
      </c>
      <c r="F44" s="282"/>
      <c r="G44" s="264"/>
      <c r="H44" s="264"/>
      <c r="I44" s="264"/>
      <c r="J44" s="264"/>
      <c r="K44" s="264"/>
      <c r="L44" s="264"/>
      <c r="M44" s="264"/>
      <c r="N44" s="284"/>
    </row>
    <row r="45" spans="2:14" s="263" customFormat="1" ht="17" x14ac:dyDescent="0.4">
      <c r="B45" s="279"/>
      <c r="C45" s="265">
        <v>5</v>
      </c>
      <c r="D45" s="285" t="s">
        <v>347</v>
      </c>
      <c r="E45" s="282"/>
      <c r="F45" s="282"/>
      <c r="G45" s="282"/>
      <c r="H45" s="282"/>
      <c r="I45" s="282"/>
      <c r="J45" s="282"/>
      <c r="K45" s="282"/>
      <c r="L45" s="282"/>
      <c r="M45" s="282"/>
      <c r="N45" s="284"/>
    </row>
    <row r="46" spans="2:14" s="263" customFormat="1" ht="17" x14ac:dyDescent="0.4">
      <c r="B46" s="286"/>
      <c r="C46" s="287">
        <v>6</v>
      </c>
      <c r="D46" s="288" t="s">
        <v>360</v>
      </c>
      <c r="E46" s="289"/>
      <c r="F46" s="289"/>
      <c r="G46" s="289"/>
      <c r="H46" s="289"/>
      <c r="I46" s="289"/>
      <c r="J46" s="289"/>
      <c r="K46" s="289"/>
      <c r="L46" s="289"/>
      <c r="M46" s="289"/>
      <c r="N46" s="290"/>
    </row>
    <row r="47" spans="2:14" s="263" customFormat="1" ht="17" x14ac:dyDescent="0.4">
      <c r="B47" s="264"/>
      <c r="C47" s="265"/>
      <c r="D47" s="264"/>
      <c r="E47" s="264"/>
      <c r="F47" s="264"/>
      <c r="G47" s="264"/>
      <c r="H47" s="264"/>
      <c r="I47" s="264"/>
      <c r="J47" s="264"/>
      <c r="K47" s="264"/>
      <c r="L47" s="264"/>
      <c r="M47" s="264"/>
    </row>
    <row r="48" spans="2:14" s="263" customFormat="1" ht="17" x14ac:dyDescent="0.4">
      <c r="B48" s="264"/>
      <c r="C48" s="265"/>
      <c r="D48" s="264"/>
      <c r="E48" s="264"/>
      <c r="F48" s="264"/>
      <c r="G48" s="264"/>
      <c r="H48" s="264"/>
      <c r="I48" s="264"/>
      <c r="J48" s="264"/>
      <c r="K48" s="264"/>
      <c r="L48" s="264"/>
      <c r="M48" s="264"/>
    </row>
    <row r="49" spans="2:13" s="263" customFormat="1" ht="17" x14ac:dyDescent="0.4">
      <c r="B49" s="264"/>
      <c r="C49" s="265"/>
      <c r="D49" s="264"/>
      <c r="E49" s="264"/>
      <c r="F49" s="264"/>
      <c r="G49" s="264"/>
      <c r="H49" s="264"/>
      <c r="I49" s="264"/>
      <c r="J49" s="264"/>
      <c r="K49" s="264"/>
      <c r="L49" s="264"/>
      <c r="M49" s="264"/>
    </row>
    <row r="50" spans="2:13" s="263" customFormat="1" ht="17" x14ac:dyDescent="0.4">
      <c r="B50" s="264"/>
      <c r="C50" s="265"/>
      <c r="D50" s="264"/>
      <c r="E50" s="264"/>
      <c r="F50" s="264"/>
      <c r="G50" s="264"/>
      <c r="H50" s="264"/>
      <c r="I50" s="264"/>
      <c r="J50" s="264"/>
      <c r="K50" s="264"/>
      <c r="L50" s="264"/>
      <c r="M50" s="264"/>
    </row>
    <row r="51" spans="2:13" s="263" customFormat="1" ht="17" x14ac:dyDescent="0.4">
      <c r="B51" s="264"/>
      <c r="C51" s="265"/>
      <c r="D51" s="264"/>
      <c r="E51" s="264"/>
      <c r="F51" s="264"/>
      <c r="G51" s="264"/>
      <c r="H51" s="264"/>
      <c r="I51" s="264"/>
      <c r="J51" s="264"/>
      <c r="K51" s="264"/>
      <c r="L51" s="264"/>
      <c r="M51" s="264"/>
    </row>
    <row r="52" spans="2:13" s="263" customFormat="1" ht="17" x14ac:dyDescent="0.4">
      <c r="B52" s="264"/>
      <c r="C52" s="265"/>
      <c r="D52" s="264"/>
      <c r="E52" s="264"/>
      <c r="F52" s="264"/>
      <c r="G52" s="264"/>
      <c r="H52" s="264"/>
      <c r="I52" s="264"/>
      <c r="J52" s="264"/>
      <c r="K52" s="264"/>
      <c r="L52" s="264"/>
      <c r="M52" s="264"/>
    </row>
    <row r="53" spans="2:13" s="263" customFormat="1" ht="17" x14ac:dyDescent="0.4">
      <c r="B53" s="264"/>
      <c r="C53" s="265"/>
      <c r="D53" s="264"/>
      <c r="E53" s="264"/>
      <c r="F53" s="264"/>
      <c r="G53" s="264"/>
      <c r="H53" s="264"/>
      <c r="I53" s="264"/>
      <c r="J53" s="264"/>
      <c r="K53" s="264"/>
      <c r="L53" s="264"/>
      <c r="M53" s="264"/>
    </row>
    <row r="54" spans="2:13" s="263" customFormat="1" ht="17" x14ac:dyDescent="0.4">
      <c r="B54" s="264"/>
      <c r="C54" s="265"/>
      <c r="D54" s="264"/>
      <c r="E54" s="264"/>
      <c r="F54" s="264"/>
      <c r="G54" s="264"/>
      <c r="H54" s="264"/>
      <c r="I54" s="264"/>
      <c r="J54" s="264"/>
      <c r="K54" s="264"/>
      <c r="L54" s="264"/>
      <c r="M54" s="264"/>
    </row>
    <row r="55" spans="2:13" s="263" customFormat="1" ht="17" x14ac:dyDescent="0.4">
      <c r="B55" s="264"/>
      <c r="C55" s="265"/>
      <c r="D55" s="264"/>
      <c r="E55" s="264"/>
      <c r="F55" s="264"/>
      <c r="G55" s="264"/>
      <c r="H55" s="264"/>
      <c r="I55" s="264"/>
      <c r="J55" s="264"/>
      <c r="K55" s="264"/>
      <c r="L55" s="264"/>
      <c r="M55" s="264"/>
    </row>
    <row r="56" spans="2:13" s="263" customFormat="1" ht="17" x14ac:dyDescent="0.4">
      <c r="B56" s="264"/>
      <c r="C56" s="265"/>
      <c r="D56" s="264"/>
      <c r="E56" s="264"/>
      <c r="F56" s="264"/>
      <c r="G56" s="264"/>
      <c r="H56" s="264"/>
      <c r="I56" s="264"/>
      <c r="J56" s="264"/>
      <c r="K56" s="264"/>
      <c r="L56" s="264"/>
      <c r="M56" s="264"/>
    </row>
    <row r="57" spans="2:13" s="263" customFormat="1" ht="17" x14ac:dyDescent="0.4">
      <c r="B57" s="264"/>
      <c r="C57" s="265"/>
      <c r="D57" s="264"/>
      <c r="E57" s="264"/>
      <c r="F57" s="264"/>
      <c r="G57" s="264"/>
      <c r="H57" s="264"/>
      <c r="I57" s="264"/>
      <c r="J57" s="264"/>
      <c r="K57" s="264"/>
      <c r="L57" s="264"/>
      <c r="M57" s="264"/>
    </row>
    <row r="58" spans="2:13" s="263" customFormat="1" ht="17" x14ac:dyDescent="0.4">
      <c r="B58" s="264"/>
      <c r="C58" s="265"/>
      <c r="D58" s="264"/>
      <c r="E58" s="264"/>
      <c r="F58" s="264"/>
      <c r="G58" s="264"/>
      <c r="H58" s="264"/>
      <c r="I58" s="264"/>
      <c r="J58" s="264"/>
      <c r="K58" s="264"/>
      <c r="L58" s="264"/>
      <c r="M58" s="264"/>
    </row>
    <row r="59" spans="2:13" s="263" customFormat="1" ht="17" x14ac:dyDescent="0.4">
      <c r="B59" s="264"/>
      <c r="C59" s="265"/>
      <c r="D59" s="264"/>
      <c r="E59" s="264"/>
      <c r="F59" s="264"/>
      <c r="G59" s="264"/>
      <c r="H59" s="264"/>
      <c r="I59" s="264"/>
      <c r="J59" s="264"/>
      <c r="K59" s="264"/>
      <c r="L59" s="264"/>
      <c r="M59" s="264"/>
    </row>
  </sheetData>
  <mergeCells count="3">
    <mergeCell ref="E23:N23"/>
    <mergeCell ref="E21:N21"/>
    <mergeCell ref="E22:N22"/>
  </mergeCells>
  <printOptions horizontalCentered="1"/>
  <pageMargins left="0.31496062992125984" right="0.31496062992125984" top="0.74803149606299213" bottom="0.74803149606299213" header="0.31496062992125984" footer="0.31496062992125984"/>
  <pageSetup paperSize="9" scale="75"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EE3F1-F7F2-4994-9622-975F2F59223D}">
  <sheetPr>
    <tabColor theme="9" tint="0.79998168889431442"/>
  </sheetPr>
  <dimension ref="A1:X47"/>
  <sheetViews>
    <sheetView showGridLines="0" view="pageBreakPreview" topLeftCell="B33" zoomScale="70" zoomScaleNormal="70" zoomScaleSheetLayoutView="70" workbookViewId="0">
      <selection activeCell="O8" sqref="O8:P9"/>
    </sheetView>
  </sheetViews>
  <sheetFormatPr defaultColWidth="9.1796875" defaultRowHeight="13" x14ac:dyDescent="0.35"/>
  <cols>
    <col min="1" max="1" width="6.26953125" style="158" customWidth="1"/>
    <col min="2" max="2" width="11.26953125" style="158" customWidth="1"/>
    <col min="3" max="3" width="17.54296875" style="158" customWidth="1"/>
    <col min="4" max="4" width="5.90625" style="217" customWidth="1"/>
    <col min="5" max="5" width="27.81640625" style="158" customWidth="1"/>
    <col min="6" max="6" width="35.90625" style="166" customWidth="1"/>
    <col min="7" max="7" width="38.81640625" style="158" customWidth="1"/>
    <col min="8" max="8" width="10.26953125" style="217" customWidth="1"/>
    <col min="9" max="13" width="33.36328125" style="217" customWidth="1"/>
    <col min="14" max="14" width="30.08984375" style="158" customWidth="1"/>
    <col min="15" max="16" width="19.36328125" style="158" customWidth="1"/>
    <col min="17" max="17" width="25.6328125" style="158" customWidth="1"/>
    <col min="18" max="18" width="4.1796875" style="166" customWidth="1"/>
    <col min="19" max="19" width="20.54296875" style="158" customWidth="1"/>
    <col min="20" max="21" width="16.81640625" style="158" customWidth="1"/>
    <col min="22" max="22" width="1.6328125" style="166" customWidth="1"/>
    <col min="23" max="23" width="1.6328125" style="158" customWidth="1"/>
    <col min="24" max="16384" width="9.1796875" style="158"/>
  </cols>
  <sheetData>
    <row r="1" spans="1:24" s="208" customFormat="1" ht="27.5" customHeight="1" x14ac:dyDescent="0.35">
      <c r="B1" s="600" t="s">
        <v>349</v>
      </c>
      <c r="C1" s="600"/>
      <c r="D1" s="600"/>
      <c r="E1" s="600"/>
      <c r="F1" s="600"/>
      <c r="G1" s="600"/>
      <c r="H1" s="600"/>
      <c r="I1" s="600"/>
      <c r="J1" s="600"/>
      <c r="K1" s="600"/>
      <c r="L1" s="600"/>
      <c r="M1" s="209"/>
      <c r="N1" s="167"/>
      <c r="O1" s="167"/>
      <c r="R1" s="157"/>
      <c r="S1" s="160"/>
      <c r="T1" s="210"/>
      <c r="U1" s="167"/>
      <c r="V1" s="221"/>
      <c r="W1" s="167"/>
    </row>
    <row r="2" spans="1:24" s="211" customFormat="1" ht="15.5" x14ac:dyDescent="0.35">
      <c r="B2" s="211" t="s">
        <v>316</v>
      </c>
      <c r="C2" s="212" t="s">
        <v>436</v>
      </c>
      <c r="D2" s="212"/>
      <c r="E2" s="212"/>
      <c r="H2" s="213"/>
      <c r="I2" s="213"/>
      <c r="J2" s="213"/>
      <c r="K2" s="213"/>
      <c r="L2" s="213"/>
      <c r="M2" s="213"/>
      <c r="N2" s="216"/>
      <c r="O2" s="216"/>
      <c r="R2" s="214"/>
      <c r="S2" s="214"/>
      <c r="T2" s="215"/>
      <c r="U2" s="216"/>
      <c r="V2" s="222"/>
      <c r="W2" s="216"/>
    </row>
    <row r="3" spans="1:24" s="211" customFormat="1" ht="16" thickBot="1" x14ac:dyDescent="0.4">
      <c r="C3" s="291"/>
      <c r="D3" s="212"/>
      <c r="E3" s="212"/>
      <c r="H3" s="213"/>
      <c r="I3" s="213"/>
      <c r="J3" s="213"/>
      <c r="K3" s="213"/>
      <c r="L3" s="213"/>
      <c r="M3" s="213"/>
      <c r="N3" s="216"/>
      <c r="O3" s="216"/>
      <c r="P3" s="431"/>
      <c r="Q3" s="214"/>
      <c r="R3" s="214"/>
      <c r="S3" s="214"/>
      <c r="T3" s="215"/>
      <c r="U3" s="216"/>
      <c r="V3" s="222"/>
      <c r="W3" s="216"/>
    </row>
    <row r="4" spans="1:24" s="211" customFormat="1" ht="19" thickBot="1" x14ac:dyDescent="0.4">
      <c r="B4" s="610" t="s">
        <v>252</v>
      </c>
      <c r="C4" s="611"/>
      <c r="D4" s="494" t="s">
        <v>34</v>
      </c>
      <c r="E4" s="494"/>
      <c r="F4" s="488"/>
      <c r="G4" s="489"/>
      <c r="H4" s="213"/>
      <c r="I4" s="213"/>
      <c r="J4" s="213"/>
      <c r="K4" s="213"/>
      <c r="L4" s="213"/>
      <c r="M4" s="213"/>
      <c r="N4" s="216"/>
      <c r="O4" s="602" t="s">
        <v>209</v>
      </c>
      <c r="P4" s="603"/>
      <c r="Q4" s="431"/>
      <c r="R4" s="431"/>
      <c r="S4" s="214"/>
      <c r="T4" s="215"/>
      <c r="U4" s="216"/>
      <c r="V4" s="222"/>
      <c r="W4" s="225"/>
    </row>
    <row r="5" spans="1:24" s="211" customFormat="1" ht="15.5" customHeight="1" x14ac:dyDescent="0.35">
      <c r="B5" s="654" t="s">
        <v>251</v>
      </c>
      <c r="C5" s="655" t="s">
        <v>34</v>
      </c>
      <c r="D5" s="655" t="s">
        <v>34</v>
      </c>
      <c r="E5" s="655"/>
      <c r="G5" s="490"/>
      <c r="H5" s="213"/>
      <c r="I5" s="213"/>
      <c r="J5" s="213"/>
      <c r="K5" s="213"/>
      <c r="L5" s="213"/>
      <c r="M5" s="213"/>
      <c r="N5" s="216"/>
      <c r="O5" s="604">
        <f>P36</f>
        <v>5</v>
      </c>
      <c r="P5" s="605"/>
      <c r="Q5" s="431"/>
      <c r="R5" s="431"/>
      <c r="S5" s="214"/>
      <c r="T5" s="215"/>
      <c r="U5" s="216"/>
      <c r="V5" s="222"/>
      <c r="W5" s="225"/>
    </row>
    <row r="6" spans="1:24" customFormat="1" ht="20.149999999999999" customHeight="1" x14ac:dyDescent="0.35">
      <c r="B6" s="654" t="s">
        <v>253</v>
      </c>
      <c r="C6" s="655" t="s">
        <v>34</v>
      </c>
      <c r="D6" s="655" t="s">
        <v>34</v>
      </c>
      <c r="E6" s="655"/>
      <c r="F6" s="487"/>
      <c r="G6" s="491"/>
      <c r="J6" s="159"/>
      <c r="K6" s="160"/>
      <c r="L6" s="205"/>
      <c r="M6" s="205"/>
      <c r="O6" s="604"/>
      <c r="P6" s="605"/>
      <c r="Q6" s="619"/>
      <c r="R6" s="432"/>
      <c r="S6" s="620"/>
      <c r="T6" s="620"/>
      <c r="V6" s="161"/>
      <c r="W6" s="226"/>
    </row>
    <row r="7" spans="1:24" customFormat="1" ht="20.149999999999999" customHeight="1" thickBot="1" x14ac:dyDescent="0.4">
      <c r="B7" s="654" t="s">
        <v>254</v>
      </c>
      <c r="C7" s="655" t="s">
        <v>34</v>
      </c>
      <c r="D7" s="655" t="s">
        <v>34</v>
      </c>
      <c r="E7" s="655"/>
      <c r="F7" s="487"/>
      <c r="G7" s="491"/>
      <c r="J7" s="159"/>
      <c r="K7" s="160"/>
      <c r="L7" s="205"/>
      <c r="M7" s="205"/>
      <c r="O7" s="604"/>
      <c r="P7" s="605"/>
      <c r="Q7" s="619"/>
      <c r="R7" s="432"/>
      <c r="S7" s="620"/>
      <c r="T7" s="620"/>
      <c r="V7" s="161"/>
      <c r="W7" s="226"/>
    </row>
    <row r="8" spans="1:24" customFormat="1" ht="20" customHeight="1" thickBot="1" x14ac:dyDescent="0.4">
      <c r="B8" s="614" t="s">
        <v>255</v>
      </c>
      <c r="C8" s="615" t="s">
        <v>34</v>
      </c>
      <c r="D8" s="615" t="s">
        <v>34</v>
      </c>
      <c r="E8" s="615"/>
      <c r="F8" s="492"/>
      <c r="G8" s="493"/>
      <c r="J8" s="159"/>
      <c r="K8" s="160"/>
      <c r="L8" s="167"/>
      <c r="M8" s="167"/>
      <c r="O8" s="606" t="str">
        <f>IF(P36&gt;=4.6,"Istimewa",IF(P36&gt;=3.6,"Sangat Memuaskan",IF(P36&gt;=2.6,"Memuaskan",IF(P36&gt;=2,"Kurang",IF(P36&lt;2,"Tidak Memuaskan")))))</f>
        <v>Istimewa</v>
      </c>
      <c r="P8" s="607"/>
      <c r="Q8" s="619"/>
      <c r="R8" s="432"/>
      <c r="S8" s="620"/>
      <c r="T8" s="620"/>
      <c r="V8" s="161"/>
      <c r="W8" s="226"/>
    </row>
    <row r="9" spans="1:24" customFormat="1" ht="16.5" customHeight="1" thickBot="1" x14ac:dyDescent="0.4">
      <c r="F9" s="161"/>
      <c r="G9" s="163"/>
      <c r="J9" s="159"/>
      <c r="K9" s="160"/>
      <c r="L9" s="167"/>
      <c r="M9" s="167"/>
      <c r="O9" s="608"/>
      <c r="P9" s="609"/>
      <c r="Q9" s="164"/>
      <c r="R9" s="164"/>
      <c r="S9" s="597"/>
      <c r="T9" s="597"/>
      <c r="V9" s="161"/>
      <c r="W9" s="226"/>
    </row>
    <row r="10" spans="1:24" customFormat="1" ht="20.149999999999999" customHeight="1" x14ac:dyDescent="0.35">
      <c r="F10" s="163"/>
      <c r="G10" s="163"/>
      <c r="J10" s="159"/>
      <c r="K10" s="160"/>
      <c r="L10" s="205"/>
      <c r="M10" s="205"/>
      <c r="P10" s="161"/>
      <c r="Q10" s="164"/>
      <c r="R10" s="164"/>
      <c r="S10" s="597"/>
      <c r="T10" s="597"/>
      <c r="V10" s="161"/>
      <c r="W10" s="226"/>
    </row>
    <row r="11" spans="1:24" customFormat="1" ht="20.149999999999999" customHeight="1" thickBot="1" x14ac:dyDescent="0.4">
      <c r="B11" s="162"/>
      <c r="C11" s="172"/>
      <c r="D11" s="172"/>
      <c r="F11" s="163"/>
      <c r="G11" s="163"/>
      <c r="J11" s="159"/>
      <c r="K11" s="160"/>
      <c r="L11" s="205"/>
      <c r="M11" s="205"/>
      <c r="R11" s="161"/>
      <c r="S11" s="164"/>
      <c r="T11" s="164"/>
      <c r="V11" s="161"/>
      <c r="W11" s="226"/>
    </row>
    <row r="12" spans="1:24" customFormat="1" ht="36" customHeight="1" thickTop="1" x14ac:dyDescent="0.35">
      <c r="B12" s="612" t="s">
        <v>361</v>
      </c>
      <c r="C12" s="613"/>
      <c r="D12" s="613"/>
      <c r="E12" s="613"/>
      <c r="F12" s="613"/>
      <c r="G12" s="613"/>
      <c r="H12" s="613"/>
      <c r="I12" s="613"/>
      <c r="J12" s="613"/>
      <c r="K12" s="613"/>
      <c r="L12" s="613"/>
      <c r="M12" s="613"/>
      <c r="N12" s="613"/>
      <c r="O12" s="613"/>
      <c r="P12" s="613"/>
      <c r="Q12" s="613"/>
      <c r="R12" s="434"/>
      <c r="S12" s="435"/>
      <c r="T12" s="436"/>
      <c r="U12" s="437"/>
      <c r="V12" s="223"/>
      <c r="W12" s="226"/>
    </row>
    <row r="13" spans="1:24" ht="27.5" customHeight="1" x14ac:dyDescent="0.35">
      <c r="A13" s="438"/>
      <c r="B13" s="601" t="s">
        <v>215</v>
      </c>
      <c r="C13" s="601" t="s">
        <v>302</v>
      </c>
      <c r="D13" s="601" t="s">
        <v>280</v>
      </c>
      <c r="E13" s="601"/>
      <c r="F13" s="601" t="s">
        <v>322</v>
      </c>
      <c r="G13" s="601" t="s">
        <v>234</v>
      </c>
      <c r="H13" s="601" t="s">
        <v>233</v>
      </c>
      <c r="I13" s="601" t="s">
        <v>235</v>
      </c>
      <c r="J13" s="601"/>
      <c r="K13" s="601"/>
      <c r="L13" s="601"/>
      <c r="M13" s="601"/>
      <c r="N13" s="601" t="s">
        <v>239</v>
      </c>
      <c r="O13" s="601" t="s">
        <v>240</v>
      </c>
      <c r="P13" s="601" t="s">
        <v>241</v>
      </c>
      <c r="Q13" s="598" t="s">
        <v>358</v>
      </c>
      <c r="R13" s="433"/>
      <c r="S13" s="599" t="s">
        <v>323</v>
      </c>
      <c r="T13" s="599" t="s">
        <v>304</v>
      </c>
      <c r="U13" s="599" t="s">
        <v>324</v>
      </c>
      <c r="V13" s="224"/>
      <c r="W13" s="227"/>
    </row>
    <row r="14" spans="1:24" ht="13.5" customHeight="1" x14ac:dyDescent="0.35">
      <c r="A14" s="439"/>
      <c r="B14" s="601"/>
      <c r="C14" s="601"/>
      <c r="D14" s="601"/>
      <c r="E14" s="601"/>
      <c r="F14" s="601"/>
      <c r="G14" s="601"/>
      <c r="H14" s="601"/>
      <c r="I14" s="505">
        <v>1</v>
      </c>
      <c r="J14" s="505">
        <v>2</v>
      </c>
      <c r="K14" s="505">
        <v>3</v>
      </c>
      <c r="L14" s="505">
        <v>4</v>
      </c>
      <c r="M14" s="505">
        <v>5</v>
      </c>
      <c r="N14" s="601"/>
      <c r="O14" s="601"/>
      <c r="P14" s="601"/>
      <c r="Q14" s="598"/>
      <c r="R14" s="433"/>
      <c r="S14" s="599"/>
      <c r="T14" s="599"/>
      <c r="U14" s="599"/>
      <c r="V14" s="224"/>
      <c r="W14" s="227"/>
    </row>
    <row r="15" spans="1:24" s="476" customFormat="1" ht="62" x14ac:dyDescent="0.35">
      <c r="A15" s="470"/>
      <c r="B15" s="454">
        <v>1</v>
      </c>
      <c r="C15" s="471" t="s">
        <v>305</v>
      </c>
      <c r="D15" s="471" t="s">
        <v>306</v>
      </c>
      <c r="E15" s="472" t="s">
        <v>405</v>
      </c>
      <c r="F15" s="518" t="s">
        <v>465</v>
      </c>
      <c r="G15" s="472" t="s">
        <v>385</v>
      </c>
      <c r="H15" s="507">
        <v>0.2</v>
      </c>
      <c r="I15" s="495" t="s">
        <v>460</v>
      </c>
      <c r="J15" s="495" t="s">
        <v>461</v>
      </c>
      <c r="K15" s="495" t="s">
        <v>462</v>
      </c>
      <c r="L15" s="495" t="s">
        <v>463</v>
      </c>
      <c r="M15" s="495" t="s">
        <v>464</v>
      </c>
      <c r="N15" s="495" t="s">
        <v>464</v>
      </c>
      <c r="O15" s="455">
        <v>5</v>
      </c>
      <c r="P15" s="454">
        <f t="shared" ref="P15:P19" si="0">H15*O15</f>
        <v>1</v>
      </c>
      <c r="Q15" s="454" t="s">
        <v>351</v>
      </c>
      <c r="R15" s="473"/>
      <c r="S15" s="455" t="s">
        <v>392</v>
      </c>
      <c r="T15" s="460"/>
      <c r="U15" s="454"/>
      <c r="V15" s="474"/>
      <c r="W15" s="475"/>
    </row>
    <row r="16" spans="1:24" s="476" customFormat="1" ht="93" x14ac:dyDescent="0.35">
      <c r="A16" s="470"/>
      <c r="B16" s="454">
        <v>2</v>
      </c>
      <c r="C16" s="477" t="s">
        <v>308</v>
      </c>
      <c r="D16" s="477" t="s">
        <v>309</v>
      </c>
      <c r="E16" s="456" t="s">
        <v>404</v>
      </c>
      <c r="F16" s="456" t="s">
        <v>407</v>
      </c>
      <c r="G16" s="472" t="s">
        <v>411</v>
      </c>
      <c r="H16" s="508">
        <v>0.2</v>
      </c>
      <c r="I16" s="495" t="s">
        <v>416</v>
      </c>
      <c r="J16" s="495" t="s">
        <v>414</v>
      </c>
      <c r="K16" s="495" t="s">
        <v>413</v>
      </c>
      <c r="L16" s="495" t="s">
        <v>415</v>
      </c>
      <c r="M16" s="495" t="s">
        <v>412</v>
      </c>
      <c r="N16" s="495" t="s">
        <v>412</v>
      </c>
      <c r="O16" s="455">
        <v>5</v>
      </c>
      <c r="P16" s="454">
        <f t="shared" si="0"/>
        <v>1</v>
      </c>
      <c r="Q16" s="454" t="s">
        <v>351</v>
      </c>
      <c r="R16" s="473"/>
      <c r="S16" s="455" t="s">
        <v>399</v>
      </c>
      <c r="T16" s="460"/>
      <c r="U16" s="454"/>
      <c r="V16" s="474"/>
      <c r="W16" s="475"/>
      <c r="X16" s="476" t="s">
        <v>394</v>
      </c>
    </row>
    <row r="17" spans="1:23" s="476" customFormat="1" ht="62" x14ac:dyDescent="0.35">
      <c r="A17" s="470"/>
      <c r="B17" s="454">
        <v>3</v>
      </c>
      <c r="C17" s="478" t="s">
        <v>310</v>
      </c>
      <c r="D17" s="478" t="s">
        <v>311</v>
      </c>
      <c r="E17" s="472" t="s">
        <v>403</v>
      </c>
      <c r="F17" s="518" t="s">
        <v>406</v>
      </c>
      <c r="G17" s="472" t="s">
        <v>417</v>
      </c>
      <c r="H17" s="508">
        <v>0.2</v>
      </c>
      <c r="I17" s="495" t="s">
        <v>431</v>
      </c>
      <c r="J17" s="495" t="s">
        <v>432</v>
      </c>
      <c r="K17" s="495" t="s">
        <v>433</v>
      </c>
      <c r="L17" s="495" t="s">
        <v>434</v>
      </c>
      <c r="M17" s="495" t="s">
        <v>435</v>
      </c>
      <c r="N17" s="495" t="s">
        <v>435</v>
      </c>
      <c r="O17" s="455">
        <v>5</v>
      </c>
      <c r="P17" s="454">
        <f t="shared" si="0"/>
        <v>1</v>
      </c>
      <c r="Q17" s="454" t="s">
        <v>351</v>
      </c>
      <c r="R17" s="473"/>
      <c r="S17" s="455" t="s">
        <v>400</v>
      </c>
      <c r="T17" s="460"/>
      <c r="U17" s="454"/>
      <c r="V17" s="474"/>
      <c r="W17" s="475"/>
    </row>
    <row r="18" spans="1:23" s="476" customFormat="1" ht="77.5" customHeight="1" x14ac:dyDescent="0.35">
      <c r="A18" s="470"/>
      <c r="B18" s="454">
        <v>4</v>
      </c>
      <c r="C18" s="478" t="s">
        <v>310</v>
      </c>
      <c r="D18" s="478" t="s">
        <v>391</v>
      </c>
      <c r="E18" s="472" t="s">
        <v>408</v>
      </c>
      <c r="F18" s="519" t="s">
        <v>409</v>
      </c>
      <c r="G18" s="472" t="s">
        <v>410</v>
      </c>
      <c r="H18" s="508">
        <v>0.2</v>
      </c>
      <c r="I18" s="495" t="s">
        <v>396</v>
      </c>
      <c r="J18" s="495" t="s">
        <v>397</v>
      </c>
      <c r="K18" s="495" t="s">
        <v>401</v>
      </c>
      <c r="L18" s="495" t="s">
        <v>398</v>
      </c>
      <c r="M18" s="495" t="s">
        <v>398</v>
      </c>
      <c r="N18" s="495" t="s">
        <v>398</v>
      </c>
      <c r="O18" s="521">
        <v>5</v>
      </c>
      <c r="P18" s="454">
        <f t="shared" ref="P18" si="1">H18*O18</f>
        <v>1</v>
      </c>
      <c r="Q18" s="454" t="s">
        <v>351</v>
      </c>
      <c r="R18" s="473"/>
      <c r="S18" s="455" t="s">
        <v>402</v>
      </c>
      <c r="T18" s="460"/>
      <c r="U18" s="454"/>
      <c r="V18" s="474"/>
      <c r="W18" s="475"/>
    </row>
    <row r="19" spans="1:23" s="476" customFormat="1" ht="119" customHeight="1" x14ac:dyDescent="0.35">
      <c r="A19" s="470"/>
      <c r="B19" s="449">
        <v>5</v>
      </c>
      <c r="C19" s="481" t="s">
        <v>312</v>
      </c>
      <c r="D19" s="481" t="s">
        <v>313</v>
      </c>
      <c r="E19" s="479" t="s">
        <v>375</v>
      </c>
      <c r="F19" s="520" t="s">
        <v>376</v>
      </c>
      <c r="G19" s="480" t="s">
        <v>395</v>
      </c>
      <c r="H19" s="509">
        <v>0.2</v>
      </c>
      <c r="I19" s="495" t="s">
        <v>386</v>
      </c>
      <c r="J19" s="495" t="s">
        <v>387</v>
      </c>
      <c r="K19" s="495" t="s">
        <v>388</v>
      </c>
      <c r="L19" s="495" t="s">
        <v>389</v>
      </c>
      <c r="M19" s="496" t="s">
        <v>390</v>
      </c>
      <c r="N19" s="496" t="s">
        <v>390</v>
      </c>
      <c r="O19" s="455">
        <v>5</v>
      </c>
      <c r="P19" s="454">
        <f t="shared" si="0"/>
        <v>1</v>
      </c>
      <c r="Q19" s="454" t="s">
        <v>351</v>
      </c>
      <c r="R19" s="473"/>
      <c r="S19" s="459" t="s">
        <v>393</v>
      </c>
      <c r="T19" s="454"/>
      <c r="U19" s="454"/>
      <c r="V19" s="474"/>
      <c r="W19" s="475"/>
    </row>
    <row r="20" spans="1:23" s="474" customFormat="1" ht="19" customHeight="1" x14ac:dyDescent="0.35">
      <c r="B20" s="476"/>
      <c r="C20" s="482"/>
      <c r="D20" s="483"/>
      <c r="E20" s="483"/>
      <c r="H20" s="486">
        <f>SUM(H15:H19)</f>
        <v>1</v>
      </c>
      <c r="I20" s="462"/>
      <c r="J20" s="462"/>
      <c r="K20" s="462"/>
      <c r="L20" s="462"/>
      <c r="M20" s="462"/>
      <c r="P20" s="485">
        <f>SUM(P15:P19)</f>
        <v>5</v>
      </c>
      <c r="W20" s="484"/>
    </row>
    <row r="21" spans="1:23" s="166" customFormat="1" ht="19" customHeight="1" thickBot="1" x14ac:dyDescent="0.4">
      <c r="C21" s="165"/>
      <c r="D21" s="442"/>
      <c r="E21" s="442"/>
      <c r="H21" s="444"/>
      <c r="I21" s="443"/>
      <c r="J21" s="443"/>
      <c r="K21" s="443"/>
      <c r="L21" s="443"/>
      <c r="M21" s="443"/>
      <c r="P21" s="444"/>
      <c r="W21" s="228"/>
    </row>
    <row r="22" spans="1:23" customFormat="1" ht="31" customHeight="1" thickTop="1" x14ac:dyDescent="0.35">
      <c r="B22" s="612" t="s">
        <v>362</v>
      </c>
      <c r="C22" s="613"/>
      <c r="D22" s="613"/>
      <c r="E22" s="613"/>
      <c r="F22" s="613"/>
      <c r="G22" s="613"/>
      <c r="H22" s="613"/>
      <c r="I22" s="613"/>
      <c r="J22" s="613"/>
      <c r="K22" s="613"/>
      <c r="L22" s="613"/>
      <c r="M22" s="613"/>
      <c r="N22" s="613"/>
      <c r="O22" s="613"/>
      <c r="P22" s="613"/>
      <c r="Q22" s="613"/>
      <c r="R22" s="446"/>
      <c r="S22" s="447"/>
      <c r="T22" s="448"/>
      <c r="U22" s="437"/>
      <c r="V22" s="223"/>
      <c r="W22" s="226"/>
    </row>
    <row r="23" spans="1:23" s="515" customFormat="1" ht="27.5" customHeight="1" x14ac:dyDescent="0.35">
      <c r="A23" s="510"/>
      <c r="B23" s="618" t="s">
        <v>215</v>
      </c>
      <c r="C23" s="624" t="s">
        <v>354</v>
      </c>
      <c r="D23" s="625"/>
      <c r="E23" s="626"/>
      <c r="F23" s="624" t="s">
        <v>353</v>
      </c>
      <c r="G23" s="626"/>
      <c r="H23" s="618" t="s">
        <v>233</v>
      </c>
      <c r="I23" s="618" t="s">
        <v>363</v>
      </c>
      <c r="J23" s="618"/>
      <c r="K23" s="618"/>
      <c r="L23" s="618"/>
      <c r="M23" s="618"/>
      <c r="N23" s="618" t="s">
        <v>357</v>
      </c>
      <c r="O23" s="618" t="s">
        <v>240</v>
      </c>
      <c r="P23" s="618" t="s">
        <v>241</v>
      </c>
      <c r="Q23" s="618" t="s">
        <v>244</v>
      </c>
      <c r="R23" s="512"/>
      <c r="S23" s="616" t="s">
        <v>323</v>
      </c>
      <c r="T23" s="616" t="s">
        <v>304</v>
      </c>
      <c r="U23" s="617" t="s">
        <v>324</v>
      </c>
      <c r="V23" s="513"/>
      <c r="W23" s="514"/>
    </row>
    <row r="24" spans="1:23" s="515" customFormat="1" ht="13.5" customHeight="1" thickBot="1" x14ac:dyDescent="0.4">
      <c r="A24" s="516"/>
      <c r="B24" s="618"/>
      <c r="C24" s="627"/>
      <c r="D24" s="628"/>
      <c r="E24" s="629"/>
      <c r="F24" s="640"/>
      <c r="G24" s="641"/>
      <c r="H24" s="618"/>
      <c r="I24" s="511">
        <v>1</v>
      </c>
      <c r="J24" s="511">
        <v>2</v>
      </c>
      <c r="K24" s="511">
        <v>3</v>
      </c>
      <c r="L24" s="511">
        <v>4</v>
      </c>
      <c r="M24" s="511">
        <v>5</v>
      </c>
      <c r="N24" s="618"/>
      <c r="O24" s="618"/>
      <c r="P24" s="618"/>
      <c r="Q24" s="618"/>
      <c r="R24" s="512"/>
      <c r="S24" s="616"/>
      <c r="T24" s="616"/>
      <c r="U24" s="617"/>
      <c r="V24" s="513"/>
      <c r="W24" s="514"/>
    </row>
    <row r="25" spans="1:23" customFormat="1" ht="21.5" customHeight="1" thickTop="1" x14ac:dyDescent="0.35">
      <c r="B25" s="621" t="s">
        <v>352</v>
      </c>
      <c r="C25" s="622"/>
      <c r="D25" s="622"/>
      <c r="E25" s="622"/>
      <c r="F25" s="622"/>
      <c r="G25" s="622"/>
      <c r="H25" s="622"/>
      <c r="I25" s="622"/>
      <c r="J25" s="622"/>
      <c r="K25" s="622"/>
      <c r="L25" s="622"/>
      <c r="M25" s="622"/>
      <c r="N25" s="622"/>
      <c r="O25" s="622"/>
      <c r="P25" s="622"/>
      <c r="Q25" s="622"/>
      <c r="R25" s="446"/>
      <c r="S25" s="447"/>
      <c r="T25" s="448"/>
      <c r="U25" s="437"/>
      <c r="V25" s="223"/>
      <c r="W25" s="226"/>
    </row>
    <row r="26" spans="1:23" s="166" customFormat="1" ht="124.5" customHeight="1" x14ac:dyDescent="0.35">
      <c r="A26" s="445"/>
      <c r="B26" s="449">
        <v>1</v>
      </c>
      <c r="C26" s="630" t="s">
        <v>430</v>
      </c>
      <c r="D26" s="631"/>
      <c r="E26" s="631"/>
      <c r="F26" s="646" t="s">
        <v>418</v>
      </c>
      <c r="G26" s="646"/>
      <c r="H26" s="517">
        <v>0.2</v>
      </c>
      <c r="I26" s="506" t="s">
        <v>425</v>
      </c>
      <c r="J26" s="506" t="s">
        <v>426</v>
      </c>
      <c r="K26" s="495" t="s">
        <v>427</v>
      </c>
      <c r="L26" s="506" t="s">
        <v>428</v>
      </c>
      <c r="M26" s="506" t="s">
        <v>429</v>
      </c>
      <c r="N26" s="506" t="s">
        <v>429</v>
      </c>
      <c r="O26" s="450">
        <v>5</v>
      </c>
      <c r="P26" s="449">
        <f>H26*O26</f>
        <v>1</v>
      </c>
      <c r="Q26" s="449" t="s">
        <v>351</v>
      </c>
      <c r="R26" s="451"/>
      <c r="S26" s="452" t="s">
        <v>307</v>
      </c>
      <c r="T26" s="453"/>
      <c r="U26" s="441" t="s">
        <v>350</v>
      </c>
      <c r="W26" s="228"/>
    </row>
    <row r="27" spans="1:23" ht="93.5" thickBot="1" x14ac:dyDescent="0.4">
      <c r="A27" s="439"/>
      <c r="B27" s="454">
        <v>2</v>
      </c>
      <c r="C27" s="630" t="s">
        <v>423</v>
      </c>
      <c r="D27" s="631"/>
      <c r="E27" s="631"/>
      <c r="F27" s="647" t="s">
        <v>383</v>
      </c>
      <c r="G27" s="647"/>
      <c r="H27" s="508">
        <v>0.2</v>
      </c>
      <c r="I27" s="495" t="s">
        <v>420</v>
      </c>
      <c r="J27" s="495" t="s">
        <v>421</v>
      </c>
      <c r="K27" s="495" t="s">
        <v>424</v>
      </c>
      <c r="L27" s="495" t="s">
        <v>419</v>
      </c>
      <c r="M27" s="506" t="s">
        <v>422</v>
      </c>
      <c r="N27" s="506" t="s">
        <v>384</v>
      </c>
      <c r="O27" s="455">
        <v>5</v>
      </c>
      <c r="P27" s="449">
        <f>H27*O27</f>
        <v>1</v>
      </c>
      <c r="Q27" s="454" t="s">
        <v>351</v>
      </c>
      <c r="R27" s="451"/>
      <c r="S27" s="457" t="s">
        <v>348</v>
      </c>
      <c r="T27" s="458"/>
      <c r="U27" s="440" t="s">
        <v>350</v>
      </c>
      <c r="W27" s="227"/>
    </row>
    <row r="28" spans="1:23" customFormat="1" ht="20.5" customHeight="1" thickTop="1" x14ac:dyDescent="0.35">
      <c r="B28" s="621" t="s">
        <v>355</v>
      </c>
      <c r="C28" s="622"/>
      <c r="D28" s="622"/>
      <c r="E28" s="622"/>
      <c r="F28" s="623"/>
      <c r="G28" s="623"/>
      <c r="H28" s="622"/>
      <c r="I28" s="622"/>
      <c r="J28" s="622"/>
      <c r="K28" s="622"/>
      <c r="L28" s="622"/>
      <c r="M28" s="622"/>
      <c r="N28" s="622"/>
      <c r="O28" s="622"/>
      <c r="P28" s="622"/>
      <c r="Q28" s="622"/>
      <c r="R28" s="446"/>
      <c r="S28" s="447"/>
      <c r="T28" s="448"/>
      <c r="U28" s="437"/>
      <c r="V28" s="223"/>
      <c r="W28" s="226"/>
    </row>
    <row r="29" spans="1:23" ht="93" customHeight="1" x14ac:dyDescent="0.35">
      <c r="A29" s="439"/>
      <c r="B29" s="454">
        <v>3</v>
      </c>
      <c r="C29" s="630" t="s">
        <v>380</v>
      </c>
      <c r="D29" s="631"/>
      <c r="E29" s="631"/>
      <c r="F29" s="642" t="s">
        <v>437</v>
      </c>
      <c r="G29" s="643"/>
      <c r="H29" s="507">
        <v>0.2</v>
      </c>
      <c r="I29" s="495" t="s">
        <v>438</v>
      </c>
      <c r="J29" s="495" t="s">
        <v>439</v>
      </c>
      <c r="K29" s="495" t="s">
        <v>440</v>
      </c>
      <c r="L29" s="506" t="s">
        <v>441</v>
      </c>
      <c r="M29" s="495" t="s">
        <v>442</v>
      </c>
      <c r="N29" s="495" t="s">
        <v>442</v>
      </c>
      <c r="O29" s="455">
        <v>5</v>
      </c>
      <c r="P29" s="449">
        <f>H29*O29</f>
        <v>1</v>
      </c>
      <c r="Q29" s="454" t="s">
        <v>351</v>
      </c>
      <c r="R29" s="451"/>
      <c r="S29" s="457" t="s">
        <v>307</v>
      </c>
      <c r="T29" s="458"/>
      <c r="U29" s="440" t="s">
        <v>350</v>
      </c>
      <c r="W29" s="227"/>
    </row>
    <row r="30" spans="1:23" ht="109" customHeight="1" thickBot="1" x14ac:dyDescent="0.4">
      <c r="A30" s="439"/>
      <c r="B30" s="454">
        <v>4</v>
      </c>
      <c r="C30" s="648" t="s">
        <v>379</v>
      </c>
      <c r="D30" s="649"/>
      <c r="E30" s="650"/>
      <c r="F30" s="644" t="s">
        <v>443</v>
      </c>
      <c r="G30" s="644"/>
      <c r="H30" s="508">
        <v>0.2</v>
      </c>
      <c r="I30" s="495" t="s">
        <v>444</v>
      </c>
      <c r="J30" s="495" t="s">
        <v>445</v>
      </c>
      <c r="K30" s="522" t="s">
        <v>446</v>
      </c>
      <c r="L30" s="506" t="s">
        <v>447</v>
      </c>
      <c r="M30" s="495" t="s">
        <v>448</v>
      </c>
      <c r="N30" s="495" t="s">
        <v>449</v>
      </c>
      <c r="O30" s="455">
        <v>5</v>
      </c>
      <c r="P30" s="454">
        <f>H30*O30</f>
        <v>1</v>
      </c>
      <c r="Q30" s="454" t="s">
        <v>351</v>
      </c>
      <c r="R30" s="451"/>
      <c r="S30" s="457" t="s">
        <v>348</v>
      </c>
      <c r="T30" s="458"/>
      <c r="U30" s="440" t="s">
        <v>350</v>
      </c>
      <c r="W30" s="227"/>
    </row>
    <row r="31" spans="1:23" customFormat="1" ht="20.5" customHeight="1" thickTop="1" x14ac:dyDescent="0.35">
      <c r="B31" s="621" t="s">
        <v>356</v>
      </c>
      <c r="C31" s="622"/>
      <c r="D31" s="622"/>
      <c r="E31" s="622"/>
      <c r="F31" s="623"/>
      <c r="G31" s="623"/>
      <c r="H31" s="622"/>
      <c r="I31" s="622"/>
      <c r="J31" s="622"/>
      <c r="K31" s="622"/>
      <c r="L31" s="622"/>
      <c r="M31" s="622"/>
      <c r="N31" s="622"/>
      <c r="O31" s="622"/>
      <c r="P31" s="622"/>
      <c r="Q31" s="622"/>
      <c r="R31" s="446"/>
      <c r="S31" s="447"/>
      <c r="T31" s="448"/>
      <c r="U31" s="437"/>
      <c r="V31" s="223"/>
      <c r="W31" s="226"/>
    </row>
    <row r="32" spans="1:23" ht="77.5" customHeight="1" x14ac:dyDescent="0.35">
      <c r="A32" s="439"/>
      <c r="B32" s="454">
        <v>5</v>
      </c>
      <c r="C32" s="630" t="s">
        <v>378</v>
      </c>
      <c r="D32" s="631"/>
      <c r="E32" s="645"/>
      <c r="F32" s="642" t="s">
        <v>450</v>
      </c>
      <c r="G32" s="643"/>
      <c r="H32" s="508">
        <v>0.1</v>
      </c>
      <c r="I32" s="495" t="s">
        <v>382</v>
      </c>
      <c r="J32" s="495" t="s">
        <v>451</v>
      </c>
      <c r="K32" s="495" t="s">
        <v>452</v>
      </c>
      <c r="L32" s="495" t="s">
        <v>453</v>
      </c>
      <c r="M32" s="495" t="s">
        <v>454</v>
      </c>
      <c r="N32" s="495" t="s">
        <v>454</v>
      </c>
      <c r="O32" s="455">
        <v>5</v>
      </c>
      <c r="P32" s="449">
        <f>H32*O32</f>
        <v>0.5</v>
      </c>
      <c r="Q32" s="454" t="s">
        <v>351</v>
      </c>
      <c r="R32" s="451"/>
      <c r="S32" s="457" t="s">
        <v>307</v>
      </c>
      <c r="T32" s="458"/>
      <c r="U32" s="440" t="s">
        <v>350</v>
      </c>
      <c r="W32" s="227"/>
    </row>
    <row r="33" spans="1:23" ht="109" customHeight="1" x14ac:dyDescent="0.35">
      <c r="A33" s="439"/>
      <c r="B33" s="454">
        <v>6</v>
      </c>
      <c r="C33" s="630" t="s">
        <v>377</v>
      </c>
      <c r="D33" s="631"/>
      <c r="E33" s="645"/>
      <c r="F33" s="642" t="s">
        <v>381</v>
      </c>
      <c r="G33" s="643"/>
      <c r="H33" s="508">
        <v>0.1</v>
      </c>
      <c r="I33" s="495" t="s">
        <v>455</v>
      </c>
      <c r="J33" s="495" t="s">
        <v>456</v>
      </c>
      <c r="K33" s="495" t="s">
        <v>457</v>
      </c>
      <c r="L33" s="495" t="s">
        <v>458</v>
      </c>
      <c r="M33" s="495" t="s">
        <v>459</v>
      </c>
      <c r="N33" s="495" t="s">
        <v>459</v>
      </c>
      <c r="O33" s="455">
        <v>5</v>
      </c>
      <c r="P33" s="449">
        <f>H33*O33</f>
        <v>0.5</v>
      </c>
      <c r="Q33" s="454" t="s">
        <v>351</v>
      </c>
      <c r="R33" s="451"/>
      <c r="S33" s="457" t="s">
        <v>348</v>
      </c>
      <c r="T33" s="458"/>
      <c r="U33" s="440" t="s">
        <v>350</v>
      </c>
      <c r="W33" s="227"/>
    </row>
    <row r="34" spans="1:23" ht="18.5" customHeight="1" x14ac:dyDescent="0.35">
      <c r="B34" s="462"/>
      <c r="C34" s="463"/>
      <c r="D34" s="463"/>
      <c r="E34" s="463"/>
      <c r="F34" s="464"/>
      <c r="G34" s="464"/>
      <c r="H34" s="486">
        <f>H33+H32+H29+H27+H26+H30</f>
        <v>1</v>
      </c>
      <c r="I34" s="465"/>
      <c r="J34" s="465"/>
      <c r="K34" s="465"/>
      <c r="L34" s="465"/>
      <c r="M34" s="465"/>
      <c r="N34" s="467"/>
      <c r="O34" s="468"/>
      <c r="P34" s="485">
        <f>SUM(P26:P33)</f>
        <v>5</v>
      </c>
      <c r="Q34" s="462"/>
      <c r="R34" s="451"/>
      <c r="S34" s="469"/>
      <c r="T34" s="461"/>
      <c r="U34" s="217"/>
      <c r="W34" s="227"/>
    </row>
    <row r="35" spans="1:23" ht="23" customHeight="1" thickBot="1" x14ac:dyDescent="0.4">
      <c r="B35" s="462"/>
      <c r="C35" s="463"/>
      <c r="D35" s="463"/>
      <c r="E35" s="463"/>
      <c r="F35" s="464"/>
      <c r="G35" s="464"/>
      <c r="H35" s="466"/>
      <c r="I35" s="465"/>
      <c r="J35" s="465"/>
      <c r="K35" s="465"/>
      <c r="L35" s="465"/>
      <c r="M35" s="465"/>
      <c r="N35" s="467"/>
      <c r="O35" s="468"/>
      <c r="P35" s="462"/>
      <c r="Q35" s="462"/>
      <c r="R35" s="451"/>
      <c r="S35" s="469"/>
      <c r="T35" s="461"/>
      <c r="U35" s="217"/>
      <c r="W35" s="227"/>
    </row>
    <row r="36" spans="1:23" ht="16" thickBot="1" x14ac:dyDescent="0.4">
      <c r="B36" s="651" t="s">
        <v>364</v>
      </c>
      <c r="C36" s="652"/>
      <c r="D36" s="652"/>
      <c r="E36" s="653"/>
      <c r="F36" s="464"/>
      <c r="G36" s="464"/>
      <c r="H36" s="466"/>
      <c r="I36" s="465"/>
      <c r="J36" s="465"/>
      <c r="K36" s="465"/>
      <c r="L36" s="465"/>
      <c r="M36" s="634" t="s">
        <v>359</v>
      </c>
      <c r="N36" s="635"/>
      <c r="O36" s="636"/>
      <c r="P36" s="632">
        <f>(0.6*P20)+(0.4*P34)</f>
        <v>5</v>
      </c>
      <c r="Q36" s="462"/>
      <c r="R36" s="451"/>
      <c r="S36" s="469"/>
      <c r="T36" s="461"/>
      <c r="U36" s="217"/>
      <c r="W36" s="227"/>
    </row>
    <row r="37" spans="1:23" ht="18.5" thickBot="1" x14ac:dyDescent="0.4">
      <c r="B37" s="499"/>
      <c r="C37" s="497" t="s">
        <v>365</v>
      </c>
      <c r="D37" s="498" t="s">
        <v>366</v>
      </c>
      <c r="E37" s="500"/>
      <c r="F37" s="464"/>
      <c r="G37" s="464"/>
      <c r="H37" s="466"/>
      <c r="I37" s="465"/>
      <c r="J37" s="465"/>
      <c r="K37" s="465"/>
      <c r="L37" s="465"/>
      <c r="M37" s="637"/>
      <c r="N37" s="638"/>
      <c r="O37" s="639"/>
      <c r="P37" s="633"/>
      <c r="Q37" s="462"/>
      <c r="R37" s="451"/>
      <c r="S37" s="469"/>
      <c r="T37" s="461"/>
      <c r="U37" s="217"/>
      <c r="W37" s="227"/>
    </row>
    <row r="38" spans="1:23" ht="18" x14ac:dyDescent="0.35">
      <c r="B38" s="499"/>
      <c r="C38" s="497" t="s">
        <v>367</v>
      </c>
      <c r="D38" s="498" t="s">
        <v>368</v>
      </c>
      <c r="E38" s="500"/>
      <c r="F38" s="464"/>
      <c r="G38" s="464"/>
      <c r="H38" s="466"/>
      <c r="I38" s="465"/>
      <c r="J38" s="465"/>
      <c r="K38" s="465"/>
      <c r="L38" s="465"/>
      <c r="M38" s="465"/>
      <c r="N38" s="467"/>
      <c r="O38" s="468"/>
      <c r="P38" s="462"/>
      <c r="Q38" s="462"/>
      <c r="R38" s="451"/>
      <c r="S38" s="469"/>
      <c r="T38" s="461"/>
      <c r="U38" s="217"/>
      <c r="W38" s="227"/>
    </row>
    <row r="39" spans="1:23" ht="18" x14ac:dyDescent="0.35">
      <c r="B39" s="499"/>
      <c r="C39" s="497" t="s">
        <v>369</v>
      </c>
      <c r="D39" s="498" t="s">
        <v>370</v>
      </c>
      <c r="E39" s="500"/>
      <c r="F39" s="464"/>
      <c r="G39" s="464"/>
      <c r="H39" s="466"/>
      <c r="I39" s="465"/>
      <c r="J39" s="465"/>
      <c r="K39" s="465"/>
      <c r="L39" s="465"/>
      <c r="M39" s="465"/>
      <c r="N39" s="467"/>
      <c r="O39" s="468"/>
      <c r="P39" s="462"/>
      <c r="Q39" s="462"/>
      <c r="R39" s="451"/>
      <c r="S39" s="469"/>
      <c r="T39" s="461"/>
      <c r="U39" s="217"/>
      <c r="W39" s="227"/>
    </row>
    <row r="40" spans="1:23" ht="18" x14ac:dyDescent="0.35">
      <c r="B40" s="499"/>
      <c r="C40" s="497" t="s">
        <v>371</v>
      </c>
      <c r="D40" s="498" t="s">
        <v>374</v>
      </c>
      <c r="E40" s="500"/>
      <c r="F40" s="464"/>
      <c r="G40" s="464"/>
      <c r="H40" s="466"/>
      <c r="I40" s="465"/>
      <c r="J40" s="465"/>
      <c r="K40" s="465"/>
      <c r="L40" s="465"/>
      <c r="M40" s="465"/>
      <c r="N40" s="467"/>
      <c r="O40" s="468"/>
      <c r="P40" s="462"/>
      <c r="Q40" s="462"/>
      <c r="R40" s="451"/>
      <c r="S40" s="469"/>
      <c r="T40" s="461"/>
      <c r="U40" s="217"/>
      <c r="W40" s="227"/>
    </row>
    <row r="41" spans="1:23" ht="18.5" thickBot="1" x14ac:dyDescent="0.4">
      <c r="B41" s="501"/>
      <c r="C41" s="503" t="s">
        <v>372</v>
      </c>
      <c r="D41" s="504" t="s">
        <v>373</v>
      </c>
      <c r="E41" s="502"/>
      <c r="F41" s="464"/>
      <c r="G41" s="464"/>
      <c r="H41" s="466"/>
      <c r="I41" s="465"/>
      <c r="J41" s="465"/>
      <c r="K41" s="465"/>
      <c r="L41" s="465"/>
      <c r="M41" s="465"/>
      <c r="N41" s="467"/>
      <c r="O41" s="468"/>
      <c r="P41" s="462"/>
      <c r="Q41" s="462"/>
      <c r="R41" s="451"/>
      <c r="S41" s="469"/>
      <c r="T41" s="461"/>
      <c r="U41" s="217"/>
      <c r="W41" s="227"/>
    </row>
    <row r="42" spans="1:23" ht="18" x14ac:dyDescent="0.35">
      <c r="B42" s="462"/>
      <c r="C42" s="463"/>
      <c r="D42" s="463"/>
      <c r="E42" s="463"/>
      <c r="F42" s="464"/>
      <c r="G42" s="464"/>
      <c r="H42" s="466"/>
      <c r="I42" s="465"/>
      <c r="J42" s="465"/>
      <c r="K42" s="465"/>
      <c r="L42" s="465"/>
      <c r="M42" s="465"/>
      <c r="N42" s="467"/>
      <c r="O42" s="468"/>
      <c r="P42" s="462"/>
      <c r="Q42" s="462"/>
      <c r="R42" s="451"/>
      <c r="S42" s="469"/>
      <c r="T42" s="461"/>
      <c r="U42" s="217"/>
      <c r="W42" s="227"/>
    </row>
    <row r="43" spans="1:23" ht="18" x14ac:dyDescent="0.35">
      <c r="B43" s="462"/>
      <c r="C43" s="463"/>
      <c r="D43" s="463"/>
      <c r="E43" s="463"/>
      <c r="F43" s="464"/>
      <c r="G43" s="464"/>
      <c r="H43" s="466"/>
      <c r="I43" s="465"/>
      <c r="J43" s="465"/>
      <c r="K43" s="465"/>
      <c r="L43" s="465"/>
      <c r="M43" s="465"/>
      <c r="N43" s="467"/>
      <c r="O43" s="468"/>
      <c r="P43" s="462"/>
      <c r="Q43" s="462"/>
      <c r="R43" s="451"/>
      <c r="S43" s="469"/>
      <c r="T43" s="461"/>
      <c r="U43" s="217"/>
      <c r="W43" s="227"/>
    </row>
    <row r="44" spans="1:23" ht="18" x14ac:dyDescent="0.35">
      <c r="B44" s="462"/>
      <c r="C44" s="463"/>
      <c r="D44" s="463"/>
      <c r="E44" s="463"/>
      <c r="F44" s="464"/>
      <c r="G44" s="464"/>
      <c r="H44" s="466"/>
      <c r="I44" s="465"/>
      <c r="J44" s="465"/>
      <c r="K44" s="465"/>
      <c r="L44" s="465"/>
      <c r="M44" s="465"/>
      <c r="N44" s="467"/>
      <c r="O44" s="468"/>
      <c r="P44" s="462"/>
      <c r="Q44" s="462"/>
      <c r="R44" s="451"/>
      <c r="S44" s="469"/>
      <c r="T44" s="461"/>
      <c r="U44" s="217"/>
      <c r="W44" s="227"/>
    </row>
    <row r="45" spans="1:23" customFormat="1" ht="14.5" x14ac:dyDescent="0.35">
      <c r="K45" s="161"/>
      <c r="R45" s="161"/>
      <c r="V45" s="161"/>
      <c r="W45" s="226"/>
    </row>
    <row r="46" spans="1:23" customFormat="1" ht="14.5" x14ac:dyDescent="0.35">
      <c r="K46" s="161"/>
      <c r="R46" s="161"/>
      <c r="V46" s="161"/>
      <c r="W46" s="226"/>
    </row>
    <row r="47" spans="1:23" ht="14.5" x14ac:dyDescent="0.35">
      <c r="V47" s="161"/>
    </row>
  </sheetData>
  <mergeCells count="62">
    <mergeCell ref="B5:C5"/>
    <mergeCell ref="D5:E5"/>
    <mergeCell ref="B6:C6"/>
    <mergeCell ref="D6:E6"/>
    <mergeCell ref="B7:C7"/>
    <mergeCell ref="D7:E7"/>
    <mergeCell ref="P36:P37"/>
    <mergeCell ref="M36:O37"/>
    <mergeCell ref="C29:E29"/>
    <mergeCell ref="F23:G24"/>
    <mergeCell ref="F29:G29"/>
    <mergeCell ref="F30:G30"/>
    <mergeCell ref="C32:E32"/>
    <mergeCell ref="C33:E33"/>
    <mergeCell ref="F32:G32"/>
    <mergeCell ref="F33:G33"/>
    <mergeCell ref="F26:G26"/>
    <mergeCell ref="F27:G27"/>
    <mergeCell ref="C30:E30"/>
    <mergeCell ref="B25:Q25"/>
    <mergeCell ref="C26:E26"/>
    <mergeCell ref="B36:E36"/>
    <mergeCell ref="B31:Q31"/>
    <mergeCell ref="B28:Q28"/>
    <mergeCell ref="P23:P24"/>
    <mergeCell ref="Q23:Q24"/>
    <mergeCell ref="S23:S24"/>
    <mergeCell ref="B23:B24"/>
    <mergeCell ref="C23:E24"/>
    <mergeCell ref="C27:E27"/>
    <mergeCell ref="B22:Q22"/>
    <mergeCell ref="B8:C8"/>
    <mergeCell ref="D8:E8"/>
    <mergeCell ref="T23:T24"/>
    <mergeCell ref="U23:U24"/>
    <mergeCell ref="H23:H24"/>
    <mergeCell ref="I23:M23"/>
    <mergeCell ref="N23:N24"/>
    <mergeCell ref="O23:O24"/>
    <mergeCell ref="U13:U14"/>
    <mergeCell ref="N13:N14"/>
    <mergeCell ref="O13:O14"/>
    <mergeCell ref="P13:P14"/>
    <mergeCell ref="Q6:Q8"/>
    <mergeCell ref="B12:Q12"/>
    <mergeCell ref="S6:T8"/>
    <mergeCell ref="S9:T10"/>
    <mergeCell ref="Q13:Q14"/>
    <mergeCell ref="S13:S14"/>
    <mergeCell ref="T13:T14"/>
    <mergeCell ref="B1:L1"/>
    <mergeCell ref="C13:C14"/>
    <mergeCell ref="D13:E14"/>
    <mergeCell ref="H13:H14"/>
    <mergeCell ref="I13:M13"/>
    <mergeCell ref="F13:F14"/>
    <mergeCell ref="G13:G14"/>
    <mergeCell ref="B13:B14"/>
    <mergeCell ref="O4:P4"/>
    <mergeCell ref="O5:P7"/>
    <mergeCell ref="O8:P9"/>
    <mergeCell ref="B4:C4"/>
  </mergeCells>
  <phoneticPr fontId="66" type="noConversion"/>
  <pageMargins left="0.31496062992126" right="0.31496062992126" top="0.55118110236220497" bottom="0.35433070866141703" header="0.31496062992126" footer="0.31496062992126"/>
  <pageSetup paperSize="8" scale="37" orientation="landscape" r:id="rId1"/>
  <colBreaks count="1" manualBreakCount="1">
    <brk id="17" max="4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79998168889431442"/>
  </sheetPr>
  <dimension ref="A1:M58"/>
  <sheetViews>
    <sheetView showGridLines="0" tabSelected="1" zoomScale="60" zoomScaleNormal="60" workbookViewId="0">
      <selection activeCell="E17" sqref="E17"/>
    </sheetView>
  </sheetViews>
  <sheetFormatPr defaultColWidth="9.1796875" defaultRowHeight="14.5" x14ac:dyDescent="0.35"/>
  <cols>
    <col min="1" max="1" width="2.453125" style="172" customWidth="1"/>
    <col min="2" max="2" width="6.26953125" style="172" customWidth="1"/>
    <col min="3" max="3" width="32.81640625" style="172" customWidth="1"/>
    <col min="4" max="4" width="49.453125" style="172" customWidth="1"/>
    <col min="5" max="5" width="71" style="172" customWidth="1"/>
    <col min="6" max="6" width="25.26953125" style="172" customWidth="1"/>
    <col min="7" max="7" width="9.1796875" style="172"/>
    <col min="8" max="8" width="54.7265625" style="172" customWidth="1"/>
    <col min="9" max="9" width="3" style="172" customWidth="1"/>
    <col min="10" max="16384" width="9.1796875" style="172"/>
  </cols>
  <sheetData>
    <row r="1" spans="2:13" s="173" customFormat="1" ht="29.25" customHeight="1" x14ac:dyDescent="0.35">
      <c r="B1" s="675" t="s">
        <v>273</v>
      </c>
      <c r="C1" s="676"/>
      <c r="D1" s="676"/>
      <c r="E1" s="676"/>
      <c r="F1" s="676"/>
      <c r="G1" s="676"/>
      <c r="H1" s="676"/>
      <c r="I1" s="184"/>
      <c r="J1" s="185"/>
      <c r="K1" s="666"/>
      <c r="L1" s="666"/>
      <c r="M1" s="666"/>
    </row>
    <row r="2" spans="2:13" ht="21.75" customHeight="1" x14ac:dyDescent="0.35">
      <c r="B2" s="171" t="s">
        <v>250</v>
      </c>
      <c r="C2" s="171"/>
      <c r="D2" s="171" t="s">
        <v>236</v>
      </c>
      <c r="J2" s="186"/>
      <c r="K2" s="667"/>
      <c r="L2" s="667"/>
      <c r="M2" s="667"/>
    </row>
    <row r="3" spans="2:13" ht="15" thickBot="1" x14ac:dyDescent="0.4"/>
    <row r="4" spans="2:13" ht="24.75" customHeight="1" thickTop="1" thickBot="1" x14ac:dyDescent="0.4">
      <c r="B4" s="187" t="s">
        <v>252</v>
      </c>
      <c r="C4" s="188"/>
      <c r="D4" s="168" t="s">
        <v>34</v>
      </c>
      <c r="F4" s="189"/>
      <c r="G4" s="662"/>
      <c r="H4" s="662"/>
      <c r="I4" s="178"/>
    </row>
    <row r="5" spans="2:13" ht="24.75" customHeight="1" thickTop="1" thickBot="1" x14ac:dyDescent="0.4">
      <c r="B5" s="190" t="s">
        <v>251</v>
      </c>
      <c r="C5" s="171"/>
      <c r="D5" s="169" t="s">
        <v>34</v>
      </c>
      <c r="F5" s="189"/>
      <c r="G5" s="662"/>
      <c r="H5" s="662"/>
      <c r="I5" s="178"/>
    </row>
    <row r="6" spans="2:13" ht="24.75" customHeight="1" thickTop="1" thickBot="1" x14ac:dyDescent="0.4">
      <c r="B6" s="190" t="s">
        <v>253</v>
      </c>
      <c r="C6" s="171"/>
      <c r="D6" s="169" t="s">
        <v>34</v>
      </c>
      <c r="F6" s="189"/>
      <c r="G6" s="662"/>
      <c r="H6" s="662"/>
      <c r="I6" s="178"/>
    </row>
    <row r="7" spans="2:13" ht="24.75" customHeight="1" thickTop="1" thickBot="1" x14ac:dyDescent="0.4">
      <c r="B7" s="190" t="s">
        <v>254</v>
      </c>
      <c r="C7" s="171"/>
      <c r="D7" s="169" t="s">
        <v>34</v>
      </c>
      <c r="F7" s="189"/>
      <c r="G7" s="662"/>
      <c r="H7" s="662"/>
      <c r="I7" s="178"/>
    </row>
    <row r="8" spans="2:13" ht="24.75" customHeight="1" thickTop="1" thickBot="1" x14ac:dyDescent="0.4">
      <c r="B8" s="191" t="s">
        <v>255</v>
      </c>
      <c r="C8" s="192"/>
      <c r="D8" s="170" t="s">
        <v>34</v>
      </c>
      <c r="F8" s="189"/>
      <c r="G8" s="662"/>
      <c r="H8" s="662"/>
      <c r="I8" s="178"/>
    </row>
    <row r="9" spans="2:13" ht="19.5" customHeight="1" thickTop="1" x14ac:dyDescent="0.35">
      <c r="B9" s="193"/>
      <c r="C9" s="194"/>
      <c r="D9" s="195"/>
      <c r="E9" s="195"/>
      <c r="F9" s="196"/>
      <c r="G9" s="196"/>
      <c r="H9" s="197"/>
      <c r="I9" s="197"/>
    </row>
    <row r="10" spans="2:13" ht="49.5" customHeight="1" thickBot="1" x14ac:dyDescent="0.4">
      <c r="B10" s="663" t="s">
        <v>286</v>
      </c>
      <c r="C10" s="663"/>
      <c r="D10" s="663"/>
      <c r="E10" s="663"/>
      <c r="F10" s="663"/>
      <c r="G10" s="663"/>
      <c r="H10" s="663"/>
      <c r="I10" s="198"/>
    </row>
    <row r="11" spans="2:13" ht="44.5" thickTop="1" thickBot="1" x14ac:dyDescent="0.4">
      <c r="B11" s="229" t="s">
        <v>279</v>
      </c>
      <c r="C11" s="230" t="s">
        <v>278</v>
      </c>
      <c r="D11" s="670" t="s">
        <v>277</v>
      </c>
      <c r="E11" s="670"/>
      <c r="F11" s="230" t="s">
        <v>257</v>
      </c>
      <c r="G11" s="671" t="s">
        <v>256</v>
      </c>
      <c r="H11" s="672"/>
      <c r="I11" s="204"/>
    </row>
    <row r="12" spans="2:13" s="236" customFormat="1" ht="34.5" customHeight="1" thickTop="1" thickBot="1" x14ac:dyDescent="0.35">
      <c r="B12" s="231">
        <v>1</v>
      </c>
      <c r="C12" s="232"/>
      <c r="D12" s="668"/>
      <c r="E12" s="668"/>
      <c r="F12" s="231"/>
      <c r="G12" s="669"/>
      <c r="H12" s="669"/>
      <c r="I12" s="233"/>
    </row>
    <row r="13" spans="2:13" s="236" customFormat="1" ht="34.5" customHeight="1" thickBot="1" x14ac:dyDescent="0.35">
      <c r="B13" s="234">
        <v>2</v>
      </c>
      <c r="C13" s="235"/>
      <c r="D13" s="664"/>
      <c r="E13" s="664"/>
      <c r="F13" s="234"/>
      <c r="G13" s="665"/>
      <c r="H13" s="665"/>
      <c r="I13" s="233"/>
    </row>
    <row r="14" spans="2:13" s="236" customFormat="1" ht="34.5" customHeight="1" thickBot="1" x14ac:dyDescent="0.35">
      <c r="B14" s="234">
        <v>3</v>
      </c>
      <c r="C14" s="235"/>
      <c r="D14" s="664"/>
      <c r="E14" s="664"/>
      <c r="F14" s="234"/>
      <c r="G14" s="665"/>
      <c r="H14" s="665"/>
      <c r="I14" s="233"/>
    </row>
    <row r="15" spans="2:13" s="236" customFormat="1" ht="34.5" customHeight="1" thickBot="1" x14ac:dyDescent="0.35">
      <c r="B15" s="234">
        <v>4</v>
      </c>
      <c r="C15" s="235"/>
      <c r="D15" s="664"/>
      <c r="E15" s="664"/>
      <c r="F15" s="234"/>
      <c r="G15" s="665"/>
      <c r="H15" s="665"/>
      <c r="I15" s="233"/>
    </row>
    <row r="16" spans="2:13" s="236" customFormat="1" ht="34.5" customHeight="1" thickBot="1" x14ac:dyDescent="0.35">
      <c r="B16" s="234">
        <v>5</v>
      </c>
      <c r="C16" s="235"/>
      <c r="D16" s="664"/>
      <c r="E16" s="664"/>
      <c r="F16" s="234"/>
      <c r="G16" s="665"/>
      <c r="H16" s="665"/>
      <c r="I16" s="233"/>
    </row>
    <row r="17" spans="2:9" ht="23.25" customHeight="1" x14ac:dyDescent="0.35">
      <c r="B17" s="176"/>
      <c r="C17" s="174"/>
      <c r="D17" s="175"/>
      <c r="E17" s="175"/>
      <c r="F17" s="176"/>
      <c r="G17" s="177"/>
      <c r="H17" s="177"/>
      <c r="I17" s="177"/>
    </row>
    <row r="18" spans="2:9" ht="45" customHeight="1" thickBot="1" x14ac:dyDescent="0.4">
      <c r="B18" s="663" t="s">
        <v>276</v>
      </c>
      <c r="C18" s="663"/>
      <c r="D18" s="663"/>
      <c r="E18" s="663"/>
      <c r="F18" s="663"/>
      <c r="G18" s="663"/>
      <c r="H18" s="663"/>
      <c r="I18" s="198"/>
    </row>
    <row r="19" spans="2:9" ht="44.5" thickTop="1" thickBot="1" x14ac:dyDescent="0.4">
      <c r="B19" s="229" t="s">
        <v>279</v>
      </c>
      <c r="C19" s="230" t="s">
        <v>260</v>
      </c>
      <c r="D19" s="670" t="s">
        <v>272</v>
      </c>
      <c r="E19" s="670"/>
      <c r="F19" s="230" t="s">
        <v>257</v>
      </c>
      <c r="G19" s="682" t="s">
        <v>256</v>
      </c>
      <c r="H19" s="671"/>
      <c r="I19" s="204"/>
    </row>
    <row r="20" spans="2:9" ht="34.5" customHeight="1" thickTop="1" thickBot="1" x14ac:dyDescent="0.4">
      <c r="B20" s="231">
        <v>1</v>
      </c>
      <c r="C20" s="232"/>
      <c r="D20" s="668"/>
      <c r="E20" s="668"/>
      <c r="F20" s="231"/>
      <c r="G20" s="669"/>
      <c r="H20" s="669"/>
      <c r="I20" s="177"/>
    </row>
    <row r="21" spans="2:9" ht="34.5" customHeight="1" thickBot="1" x14ac:dyDescent="0.4">
      <c r="B21" s="234">
        <v>2</v>
      </c>
      <c r="C21" s="235"/>
      <c r="D21" s="664"/>
      <c r="E21" s="664"/>
      <c r="F21" s="234"/>
      <c r="G21" s="665"/>
      <c r="H21" s="665"/>
      <c r="I21" s="177"/>
    </row>
    <row r="22" spans="2:9" ht="34.5" customHeight="1" thickBot="1" x14ac:dyDescent="0.4">
      <c r="B22" s="234">
        <v>3</v>
      </c>
      <c r="C22" s="235"/>
      <c r="D22" s="664"/>
      <c r="E22" s="664"/>
      <c r="F22" s="234"/>
      <c r="G22" s="665"/>
      <c r="H22" s="665"/>
      <c r="I22" s="177"/>
    </row>
    <row r="23" spans="2:9" ht="34.5" customHeight="1" thickBot="1" x14ac:dyDescent="0.4">
      <c r="B23" s="234">
        <v>4</v>
      </c>
      <c r="C23" s="235"/>
      <c r="D23" s="664"/>
      <c r="E23" s="664"/>
      <c r="F23" s="234"/>
      <c r="G23" s="665"/>
      <c r="H23" s="665"/>
      <c r="I23" s="177"/>
    </row>
    <row r="24" spans="2:9" ht="34.5" customHeight="1" thickBot="1" x14ac:dyDescent="0.4">
      <c r="B24" s="234">
        <v>5</v>
      </c>
      <c r="C24" s="235"/>
      <c r="D24" s="664"/>
      <c r="E24" s="664"/>
      <c r="F24" s="234"/>
      <c r="G24" s="665"/>
      <c r="H24" s="665"/>
      <c r="I24" s="177"/>
    </row>
    <row r="25" spans="2:9" ht="19.5" customHeight="1" x14ac:dyDescent="0.35">
      <c r="B25" s="179"/>
      <c r="C25" s="179"/>
      <c r="D25" s="199"/>
      <c r="E25" s="199"/>
      <c r="F25" s="199"/>
      <c r="G25" s="199"/>
      <c r="H25" s="179"/>
      <c r="I25" s="179"/>
    </row>
    <row r="26" spans="2:9" ht="19.5" customHeight="1" thickBot="1" x14ac:dyDescent="0.4">
      <c r="B26" s="200"/>
      <c r="C26" s="174"/>
      <c r="D26" s="200"/>
      <c r="E26" s="200"/>
      <c r="F26" s="200"/>
      <c r="G26" s="179"/>
      <c r="H26" s="200"/>
      <c r="I26" s="200"/>
    </row>
    <row r="27" spans="2:9" ht="5" customHeight="1" x14ac:dyDescent="0.35">
      <c r="B27" s="237"/>
      <c r="C27" s="238"/>
      <c r="D27" s="238"/>
      <c r="E27" s="239"/>
      <c r="F27" s="239"/>
      <c r="G27" s="239"/>
      <c r="H27" s="240"/>
    </row>
    <row r="28" spans="2:9" ht="41" customHeight="1" thickBot="1" x14ac:dyDescent="0.4">
      <c r="B28" s="677" t="s">
        <v>259</v>
      </c>
      <c r="C28" s="678"/>
      <c r="D28" s="678"/>
      <c r="E28" s="678"/>
      <c r="F28" s="678"/>
      <c r="G28" s="678"/>
      <c r="H28" s="679"/>
      <c r="I28" s="201"/>
    </row>
    <row r="29" spans="2:9" s="173" customFormat="1" ht="45" customHeight="1" x14ac:dyDescent="0.35">
      <c r="B29" s="660" t="s">
        <v>258</v>
      </c>
      <c r="C29" s="661"/>
      <c r="D29" s="241" t="s">
        <v>34</v>
      </c>
      <c r="E29" s="241"/>
      <c r="F29" s="242"/>
      <c r="G29" s="680"/>
      <c r="H29" s="681"/>
      <c r="I29" s="207"/>
    </row>
    <row r="30" spans="2:9" s="173" customFormat="1" ht="45" customHeight="1" x14ac:dyDescent="0.35">
      <c r="B30" s="673" t="s">
        <v>237</v>
      </c>
      <c r="C30" s="674"/>
      <c r="D30" s="218" t="s">
        <v>34</v>
      </c>
      <c r="E30" s="246" t="s">
        <v>242</v>
      </c>
      <c r="F30" s="218" t="s">
        <v>34</v>
      </c>
      <c r="G30" s="218"/>
      <c r="H30" s="247"/>
      <c r="I30" s="206"/>
    </row>
    <row r="31" spans="2:9" s="173" customFormat="1" ht="45" customHeight="1" x14ac:dyDescent="0.35">
      <c r="B31" s="673" t="s">
        <v>238</v>
      </c>
      <c r="C31" s="674"/>
      <c r="D31" s="218" t="s">
        <v>34</v>
      </c>
      <c r="E31" s="246" t="s">
        <v>242</v>
      </c>
      <c r="F31" s="218" t="s">
        <v>34</v>
      </c>
      <c r="G31" s="218"/>
      <c r="H31" s="247"/>
      <c r="I31" s="206"/>
    </row>
    <row r="32" spans="2:9" ht="15" thickBot="1" x14ac:dyDescent="0.4">
      <c r="B32" s="243"/>
      <c r="C32" s="244"/>
      <c r="D32" s="244"/>
      <c r="E32" s="244"/>
      <c r="F32" s="244"/>
      <c r="G32" s="244"/>
      <c r="H32" s="245"/>
      <c r="I32" s="202"/>
    </row>
    <row r="33" spans="1:8" x14ac:dyDescent="0.35">
      <c r="C33" s="179"/>
    </row>
    <row r="34" spans="1:8" x14ac:dyDescent="0.35">
      <c r="C34" s="179"/>
    </row>
    <row r="35" spans="1:8" s="262" customFormat="1" ht="30.75" customHeight="1" x14ac:dyDescent="0.4">
      <c r="B35" s="656" t="s">
        <v>243</v>
      </c>
      <c r="C35" s="656"/>
      <c r="D35" s="263"/>
      <c r="E35" s="263"/>
      <c r="F35" s="263"/>
      <c r="G35" s="263"/>
      <c r="H35" s="263"/>
    </row>
    <row r="36" spans="1:8" s="250" customFormat="1" ht="21" customHeight="1" x14ac:dyDescent="0.35">
      <c r="A36" s="248"/>
      <c r="B36" s="657" t="s">
        <v>287</v>
      </c>
      <c r="C36" s="657"/>
      <c r="D36" s="657"/>
      <c r="E36" s="657"/>
      <c r="F36" s="249"/>
      <c r="G36" s="249"/>
      <c r="H36" s="249"/>
    </row>
    <row r="37" spans="1:8" s="250" customFormat="1" ht="20" customHeight="1" x14ac:dyDescent="0.35">
      <c r="A37" s="248"/>
      <c r="B37" s="251" t="s">
        <v>301</v>
      </c>
      <c r="C37" s="658" t="s">
        <v>289</v>
      </c>
      <c r="D37" s="658"/>
      <c r="E37" s="658"/>
      <c r="F37" s="249"/>
      <c r="G37" s="249"/>
      <c r="H37" s="249"/>
    </row>
    <row r="38" spans="1:8" s="250" customFormat="1" ht="20" customHeight="1" x14ac:dyDescent="0.35">
      <c r="A38" s="248"/>
      <c r="B38" s="251" t="s">
        <v>301</v>
      </c>
      <c r="C38" s="658" t="s">
        <v>290</v>
      </c>
      <c r="D38" s="658"/>
      <c r="E38" s="658"/>
      <c r="F38" s="249"/>
      <c r="G38" s="249"/>
      <c r="H38" s="249"/>
    </row>
    <row r="39" spans="1:8" s="250" customFormat="1" ht="20" customHeight="1" x14ac:dyDescent="0.35">
      <c r="A39" s="248"/>
      <c r="B39" s="251" t="s">
        <v>301</v>
      </c>
      <c r="C39" s="658" t="s">
        <v>291</v>
      </c>
      <c r="D39" s="658"/>
      <c r="E39" s="658"/>
      <c r="F39" s="249"/>
      <c r="G39" s="249"/>
      <c r="H39" s="249"/>
    </row>
    <row r="40" spans="1:8" s="250" customFormat="1" ht="20" customHeight="1" x14ac:dyDescent="0.35">
      <c r="A40" s="248"/>
      <c r="B40" s="251" t="s">
        <v>301</v>
      </c>
      <c r="C40" s="658" t="s">
        <v>292</v>
      </c>
      <c r="D40" s="658"/>
      <c r="E40" s="658"/>
      <c r="F40" s="249"/>
      <c r="G40" s="249"/>
      <c r="H40" s="249"/>
    </row>
    <row r="41" spans="1:8" s="250" customFormat="1" ht="20" customHeight="1" x14ac:dyDescent="0.35">
      <c r="A41" s="248"/>
      <c r="B41" s="251" t="s">
        <v>301</v>
      </c>
      <c r="C41" s="658" t="s">
        <v>293</v>
      </c>
      <c r="D41" s="658"/>
      <c r="E41" s="658"/>
      <c r="F41" s="249"/>
      <c r="G41" s="249"/>
      <c r="H41" s="249"/>
    </row>
    <row r="42" spans="1:8" s="250" customFormat="1" ht="20" customHeight="1" x14ac:dyDescent="0.35">
      <c r="A42" s="248"/>
      <c r="B42" s="251" t="s">
        <v>301</v>
      </c>
      <c r="C42" s="658" t="s">
        <v>294</v>
      </c>
      <c r="D42" s="658"/>
      <c r="E42" s="658"/>
      <c r="F42" s="249"/>
      <c r="G42" s="249"/>
      <c r="H42" s="249"/>
    </row>
    <row r="43" spans="1:8" s="250" customFormat="1" ht="20" customHeight="1" x14ac:dyDescent="0.35">
      <c r="A43" s="248"/>
      <c r="B43" s="251" t="s">
        <v>301</v>
      </c>
      <c r="C43" s="658" t="s">
        <v>317</v>
      </c>
      <c r="D43" s="658"/>
      <c r="E43" s="658"/>
      <c r="F43" s="249"/>
      <c r="G43" s="249"/>
      <c r="H43" s="249"/>
    </row>
    <row r="44" spans="1:8" s="250" customFormat="1" ht="20" customHeight="1" x14ac:dyDescent="0.35">
      <c r="A44" s="248"/>
      <c r="B44" s="251" t="s">
        <v>301</v>
      </c>
      <c r="C44" s="658" t="s">
        <v>295</v>
      </c>
      <c r="D44" s="658"/>
      <c r="E44" s="658"/>
      <c r="F44" s="249"/>
      <c r="G44" s="249"/>
      <c r="H44" s="249"/>
    </row>
    <row r="45" spans="1:8" s="250" customFormat="1" ht="20" customHeight="1" x14ac:dyDescent="0.35">
      <c r="A45" s="248"/>
      <c r="B45" s="251" t="s">
        <v>301</v>
      </c>
      <c r="C45" s="658" t="s">
        <v>296</v>
      </c>
      <c r="D45" s="658"/>
      <c r="E45" s="658"/>
      <c r="F45" s="249"/>
      <c r="G45" s="249"/>
      <c r="H45" s="249"/>
    </row>
    <row r="46" spans="1:8" s="250" customFormat="1" ht="20" customHeight="1" x14ac:dyDescent="0.35">
      <c r="A46" s="248"/>
      <c r="B46" s="251" t="s">
        <v>301</v>
      </c>
      <c r="C46" s="658" t="s">
        <v>297</v>
      </c>
      <c r="D46" s="658"/>
      <c r="E46" s="658"/>
      <c r="F46" s="249"/>
      <c r="G46" s="249"/>
      <c r="H46" s="249"/>
    </row>
    <row r="47" spans="1:8" s="250" customFormat="1" ht="20" customHeight="1" x14ac:dyDescent="0.35">
      <c r="A47" s="248"/>
      <c r="B47" s="251" t="s">
        <v>301</v>
      </c>
      <c r="C47" s="658" t="s">
        <v>298</v>
      </c>
      <c r="D47" s="658"/>
      <c r="E47" s="658"/>
      <c r="F47" s="249"/>
      <c r="G47" s="249"/>
      <c r="H47" s="249"/>
    </row>
    <row r="48" spans="1:8" s="250" customFormat="1" ht="20" customHeight="1" x14ac:dyDescent="0.35">
      <c r="A48" s="248"/>
      <c r="B48" s="251" t="s">
        <v>301</v>
      </c>
      <c r="C48" s="658" t="s">
        <v>299</v>
      </c>
      <c r="D48" s="658"/>
      <c r="E48" s="658"/>
      <c r="F48" s="249"/>
      <c r="G48" s="249"/>
      <c r="H48" s="249"/>
    </row>
    <row r="49" spans="1:9" s="250" customFormat="1" ht="20" customHeight="1" x14ac:dyDescent="0.35">
      <c r="A49" s="248"/>
      <c r="B49" s="251" t="s">
        <v>301</v>
      </c>
      <c r="C49" s="658" t="s">
        <v>300</v>
      </c>
      <c r="D49" s="658"/>
      <c r="E49" s="658"/>
      <c r="F49" s="249"/>
      <c r="G49" s="249"/>
      <c r="H49" s="249"/>
    </row>
    <row r="50" spans="1:9" s="250" customFormat="1" ht="20" customHeight="1" x14ac:dyDescent="0.35">
      <c r="A50" s="248"/>
      <c r="B50" s="252"/>
      <c r="C50" s="253"/>
      <c r="D50" s="253"/>
      <c r="E50" s="253"/>
      <c r="F50" s="249"/>
      <c r="G50" s="249"/>
      <c r="H50" s="249"/>
    </row>
    <row r="51" spans="1:9" s="250" customFormat="1" ht="15.5" x14ac:dyDescent="0.35">
      <c r="A51" s="248"/>
      <c r="B51" s="657" t="s">
        <v>288</v>
      </c>
      <c r="C51" s="657"/>
      <c r="D51" s="657"/>
      <c r="E51" s="657"/>
      <c r="F51" s="249"/>
      <c r="G51" s="253"/>
      <c r="H51" s="253"/>
      <c r="I51" s="254"/>
    </row>
    <row r="52" spans="1:9" s="250" customFormat="1" ht="21" customHeight="1" x14ac:dyDescent="0.35">
      <c r="A52" s="248"/>
      <c r="B52" s="251" t="s">
        <v>301</v>
      </c>
      <c r="C52" s="657" t="s">
        <v>318</v>
      </c>
      <c r="D52" s="657"/>
      <c r="E52" s="657"/>
      <c r="F52" s="657"/>
      <c r="G52" s="255"/>
      <c r="H52" s="255"/>
      <c r="I52" s="256"/>
    </row>
    <row r="53" spans="1:9" s="250" customFormat="1" ht="15.5" x14ac:dyDescent="0.35">
      <c r="A53" s="248"/>
      <c r="B53" s="251" t="s">
        <v>301</v>
      </c>
      <c r="C53" s="657" t="s">
        <v>319</v>
      </c>
      <c r="D53" s="657"/>
      <c r="E53" s="657"/>
      <c r="F53" s="657"/>
      <c r="G53" s="657"/>
      <c r="H53" s="657"/>
      <c r="I53" s="256"/>
    </row>
    <row r="54" spans="1:9" s="250" customFormat="1" ht="15.5" x14ac:dyDescent="0.35">
      <c r="A54" s="248"/>
      <c r="B54" s="251" t="s">
        <v>301</v>
      </c>
      <c r="C54" s="659" t="s">
        <v>320</v>
      </c>
      <c r="D54" s="659"/>
      <c r="E54" s="659"/>
      <c r="F54" s="659"/>
      <c r="G54" s="255"/>
      <c r="H54" s="255"/>
      <c r="I54" s="254"/>
    </row>
    <row r="55" spans="1:9" s="261" customFormat="1" ht="45.75" customHeight="1" x14ac:dyDescent="0.35">
      <c r="A55" s="257"/>
      <c r="B55" s="258"/>
      <c r="C55" s="259"/>
      <c r="D55" s="253"/>
      <c r="E55" s="253"/>
      <c r="F55" s="260"/>
      <c r="G55" s="253"/>
      <c r="H55" s="253"/>
      <c r="I55" s="254"/>
    </row>
    <row r="56" spans="1:9" x14ac:dyDescent="0.35">
      <c r="C56" s="180"/>
      <c r="D56" s="181"/>
      <c r="E56" s="182"/>
      <c r="F56" s="183"/>
      <c r="G56" s="181"/>
      <c r="H56" s="181"/>
      <c r="I56" s="181"/>
    </row>
    <row r="57" spans="1:9" x14ac:dyDescent="0.35">
      <c r="D57" s="181"/>
      <c r="E57" s="182"/>
      <c r="F57" s="183"/>
      <c r="G57" s="181"/>
      <c r="H57" s="181"/>
      <c r="I57" s="181"/>
    </row>
    <row r="58" spans="1:9" x14ac:dyDescent="0.35">
      <c r="C58" s="180"/>
      <c r="D58" s="181"/>
      <c r="E58" s="182"/>
      <c r="F58" s="203"/>
      <c r="G58" s="181"/>
      <c r="H58" s="181"/>
      <c r="I58" s="181"/>
    </row>
  </sheetData>
  <sheetProtection selectLockedCells="1"/>
  <mergeCells count="58">
    <mergeCell ref="G5:H5"/>
    <mergeCell ref="G6:H6"/>
    <mergeCell ref="B31:C31"/>
    <mergeCell ref="B30:C30"/>
    <mergeCell ref="B1:H1"/>
    <mergeCell ref="B28:H28"/>
    <mergeCell ref="G29:H29"/>
    <mergeCell ref="D24:E24"/>
    <mergeCell ref="G24:H24"/>
    <mergeCell ref="D16:E16"/>
    <mergeCell ref="G16:H16"/>
    <mergeCell ref="D22:E22"/>
    <mergeCell ref="G22:H22"/>
    <mergeCell ref="D19:E19"/>
    <mergeCell ref="G19:H19"/>
    <mergeCell ref="D14:E14"/>
    <mergeCell ref="K1:M1"/>
    <mergeCell ref="K2:M2"/>
    <mergeCell ref="D23:E23"/>
    <mergeCell ref="G23:H23"/>
    <mergeCell ref="D20:E20"/>
    <mergeCell ref="G20:H20"/>
    <mergeCell ref="D21:E21"/>
    <mergeCell ref="G21:H21"/>
    <mergeCell ref="D11:E11"/>
    <mergeCell ref="G11:H11"/>
    <mergeCell ref="D12:E12"/>
    <mergeCell ref="G12:H12"/>
    <mergeCell ref="G4:H4"/>
    <mergeCell ref="G14:H14"/>
    <mergeCell ref="D15:E15"/>
    <mergeCell ref="G15:H15"/>
    <mergeCell ref="B29:C29"/>
    <mergeCell ref="G7:H7"/>
    <mergeCell ref="G8:H8"/>
    <mergeCell ref="B10:H10"/>
    <mergeCell ref="B18:H18"/>
    <mergeCell ref="D13:E13"/>
    <mergeCell ref="G13:H13"/>
    <mergeCell ref="C54:F54"/>
    <mergeCell ref="C37:E37"/>
    <mergeCell ref="C38:E38"/>
    <mergeCell ref="C39:E39"/>
    <mergeCell ref="C40:E40"/>
    <mergeCell ref="C41:E41"/>
    <mergeCell ref="C42:E42"/>
    <mergeCell ref="C43:E43"/>
    <mergeCell ref="C44:E44"/>
    <mergeCell ref="B35:C35"/>
    <mergeCell ref="B36:E36"/>
    <mergeCell ref="B51:E51"/>
    <mergeCell ref="C52:F52"/>
    <mergeCell ref="C53:H53"/>
    <mergeCell ref="C45:E45"/>
    <mergeCell ref="C46:E46"/>
    <mergeCell ref="C47:E47"/>
    <mergeCell ref="C48:E48"/>
    <mergeCell ref="C49:E49"/>
  </mergeCells>
  <printOptions horizontalCentered="1"/>
  <pageMargins left="0.19685039370078741" right="0.19685039370078741" top="0.39370078740157483" bottom="0.15748031496062992" header="0.31496062992125984" footer="0.31496062992125984"/>
  <pageSetup paperSize="9" scale="55" orientation="landscape" r:id="rId1"/>
  <rowBreaks count="1" manualBreakCount="1">
    <brk id="33"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59999389629810485"/>
  </sheetPr>
  <dimension ref="B1:Z35"/>
  <sheetViews>
    <sheetView showGridLines="0" view="pageBreakPreview" topLeftCell="E16" zoomScale="60" zoomScaleNormal="60" workbookViewId="0">
      <selection activeCell="Z6" sqref="Z6:Z7"/>
    </sheetView>
  </sheetViews>
  <sheetFormatPr defaultColWidth="9.1796875" defaultRowHeight="13" x14ac:dyDescent="0.35"/>
  <cols>
    <col min="1" max="1" width="1.6328125" style="328" customWidth="1"/>
    <col min="2" max="2" width="2.81640625" style="328" bestFit="1" customWidth="1"/>
    <col min="3" max="3" width="19.6328125" style="328" customWidth="1"/>
    <col min="4" max="4" width="11.36328125" style="328" customWidth="1"/>
    <col min="5" max="5" width="5.90625" style="378" customWidth="1"/>
    <col min="6" max="6" width="26" style="328" customWidth="1"/>
    <col min="7" max="7" width="0.54296875" style="328" customWidth="1"/>
    <col min="8" max="14" width="8.6328125" style="378" customWidth="1"/>
    <col min="15" max="15" width="0.54296875" style="328" customWidth="1"/>
    <col min="16" max="16" width="16.26953125" style="347" bestFit="1" customWidth="1"/>
    <col min="17" max="17" width="18.453125" style="328" bestFit="1" customWidth="1"/>
    <col min="18" max="18" width="15.453125" style="328" bestFit="1" customWidth="1"/>
    <col min="19" max="19" width="7.81640625" style="328" bestFit="1" customWidth="1"/>
    <col min="20" max="20" width="6.90625" style="328" bestFit="1" customWidth="1"/>
    <col min="21" max="21" width="1.6328125" style="347" customWidth="1"/>
    <col min="22" max="22" width="1.6328125" style="328" customWidth="1"/>
    <col min="23" max="23" width="13.1796875" style="328" bestFit="1" customWidth="1"/>
    <col min="24" max="25" width="9.1796875" style="328"/>
    <col min="26" max="26" width="23.453125" style="328" bestFit="1" customWidth="1"/>
    <col min="27" max="27" width="1.6328125" style="328" customWidth="1"/>
    <col min="28" max="16384" width="9.1796875" style="328"/>
  </cols>
  <sheetData>
    <row r="1" spans="2:26" s="292" customFormat="1" ht="27.5" customHeight="1" thickBot="1" x14ac:dyDescent="0.4">
      <c r="B1" s="685" t="s">
        <v>261</v>
      </c>
      <c r="C1" s="685"/>
      <c r="D1" s="685"/>
      <c r="E1" s="685"/>
      <c r="F1" s="685"/>
      <c r="G1" s="685"/>
      <c r="H1" s="685"/>
      <c r="I1" s="685"/>
      <c r="J1" s="685"/>
      <c r="K1" s="685"/>
      <c r="L1" s="685"/>
      <c r="M1" s="685"/>
      <c r="N1" s="293"/>
      <c r="Q1" s="294"/>
      <c r="R1" s="295"/>
      <c r="S1" s="296"/>
      <c r="T1" s="297"/>
      <c r="U1" s="298"/>
      <c r="V1" s="297"/>
      <c r="W1" s="297"/>
      <c r="X1" s="297"/>
    </row>
    <row r="2" spans="2:26" s="299" customFormat="1" ht="18.5" x14ac:dyDescent="0.35">
      <c r="B2" s="299" t="s">
        <v>316</v>
      </c>
      <c r="D2" s="300"/>
      <c r="E2" s="301"/>
      <c r="F2" s="301"/>
      <c r="H2" s="302"/>
      <c r="I2" s="302"/>
      <c r="J2" s="302"/>
      <c r="K2" s="302"/>
      <c r="L2" s="302"/>
      <c r="M2" s="302"/>
      <c r="N2" s="302"/>
      <c r="R2" s="303"/>
      <c r="S2" s="304"/>
      <c r="T2" s="305"/>
      <c r="U2" s="306"/>
      <c r="V2" s="307"/>
      <c r="W2" s="305"/>
      <c r="X2" s="305"/>
      <c r="Z2" s="430" t="s">
        <v>209</v>
      </c>
    </row>
    <row r="3" spans="2:26" s="299" customFormat="1" ht="15.5" x14ac:dyDescent="0.35">
      <c r="D3" s="300"/>
      <c r="E3" s="301"/>
      <c r="F3" s="301"/>
      <c r="H3" s="302"/>
      <c r="I3" s="302"/>
      <c r="J3" s="302"/>
      <c r="K3" s="302"/>
      <c r="L3" s="302"/>
      <c r="M3" s="302"/>
      <c r="N3" s="302"/>
      <c r="R3" s="303"/>
      <c r="S3" s="304"/>
      <c r="T3" s="305"/>
      <c r="U3" s="306"/>
      <c r="V3" s="307"/>
      <c r="W3" s="305"/>
      <c r="X3" s="305"/>
      <c r="Z3" s="688">
        <f>Y13+Y14+Y15+Y16</f>
        <v>0</v>
      </c>
    </row>
    <row r="4" spans="2:26" s="308" customFormat="1" ht="20.149999999999999" customHeight="1" x14ac:dyDescent="0.35">
      <c r="B4" s="309" t="s">
        <v>252</v>
      </c>
      <c r="C4" s="310"/>
      <c r="D4" s="311" t="s">
        <v>34</v>
      </c>
      <c r="E4" s="311"/>
      <c r="F4" s="312"/>
      <c r="K4" s="294"/>
      <c r="L4" s="295"/>
      <c r="M4" s="313"/>
      <c r="N4" s="313"/>
      <c r="P4" s="314"/>
      <c r="Q4" s="314"/>
      <c r="R4" s="683"/>
      <c r="S4" s="683"/>
      <c r="U4" s="315"/>
      <c r="V4" s="316"/>
      <c r="Z4" s="688"/>
    </row>
    <row r="5" spans="2:26" s="308" customFormat="1" ht="20.149999999999999" customHeight="1" x14ac:dyDescent="0.35">
      <c r="B5" s="317" t="s">
        <v>251</v>
      </c>
      <c r="C5" s="318"/>
      <c r="D5" s="319" t="s">
        <v>34</v>
      </c>
      <c r="E5" s="319"/>
      <c r="F5" s="320"/>
      <c r="K5" s="294"/>
      <c r="L5" s="295"/>
      <c r="M5" s="313"/>
      <c r="N5" s="313"/>
      <c r="P5" s="314"/>
      <c r="Q5" s="314"/>
      <c r="R5" s="683"/>
      <c r="S5" s="683"/>
      <c r="U5" s="315"/>
      <c r="V5" s="316"/>
      <c r="Z5" s="688"/>
    </row>
    <row r="6" spans="2:26" s="308" customFormat="1" ht="20.149999999999999" customHeight="1" x14ac:dyDescent="0.35">
      <c r="B6" s="317" t="s">
        <v>253</v>
      </c>
      <c r="C6" s="318"/>
      <c r="D6" s="319" t="s">
        <v>34</v>
      </c>
      <c r="E6" s="319"/>
      <c r="F6" s="320"/>
      <c r="K6" s="294"/>
      <c r="L6" s="295"/>
      <c r="M6" s="297"/>
      <c r="N6" s="297"/>
      <c r="P6" s="314"/>
      <c r="Q6" s="314"/>
      <c r="R6" s="683"/>
      <c r="S6" s="683"/>
      <c r="U6" s="315"/>
      <c r="V6" s="316"/>
      <c r="Z6" s="689" t="str">
        <f>IF(Z3&gt;=5,"Excellent",IF(Z3&gt;=4,"Very Good",IF(Z3&gt;=3,"Good",IF(Z3&gt;=2,"Fair",IF(Z3&lt;2,"Poor")))))</f>
        <v>Poor</v>
      </c>
    </row>
    <row r="7" spans="2:26" s="308" customFormat="1" ht="20.149999999999999" customHeight="1" thickBot="1" x14ac:dyDescent="0.4">
      <c r="B7" s="317" t="s">
        <v>254</v>
      </c>
      <c r="C7" s="318"/>
      <c r="D7" s="319" t="s">
        <v>34</v>
      </c>
      <c r="E7" s="319"/>
      <c r="F7" s="320"/>
      <c r="K7" s="294"/>
      <c r="L7" s="295"/>
      <c r="M7" s="297"/>
      <c r="N7" s="297"/>
      <c r="P7" s="315"/>
      <c r="Q7" s="321"/>
      <c r="R7" s="684"/>
      <c r="S7" s="684"/>
      <c r="U7" s="315"/>
      <c r="V7" s="316"/>
      <c r="Z7" s="690"/>
    </row>
    <row r="8" spans="2:26" s="308" customFormat="1" ht="20.149999999999999" customHeight="1" x14ac:dyDescent="0.35">
      <c r="B8" s="322" t="s">
        <v>255</v>
      </c>
      <c r="C8" s="323"/>
      <c r="D8" s="324" t="s">
        <v>34</v>
      </c>
      <c r="E8" s="324"/>
      <c r="F8" s="325"/>
      <c r="K8" s="294"/>
      <c r="L8" s="295"/>
      <c r="M8" s="313"/>
      <c r="N8" s="313"/>
      <c r="P8" s="321"/>
      <c r="Q8" s="321"/>
      <c r="R8" s="684"/>
      <c r="S8" s="684"/>
      <c r="U8" s="315"/>
      <c r="V8" s="316"/>
    </row>
    <row r="9" spans="2:26" s="308" customFormat="1" ht="20.149999999999999" customHeight="1" thickBot="1" x14ac:dyDescent="0.4">
      <c r="B9" s="318"/>
      <c r="C9" s="318"/>
      <c r="D9" s="319"/>
      <c r="E9" s="319"/>
      <c r="K9" s="294"/>
      <c r="L9" s="295"/>
      <c r="M9" s="313"/>
      <c r="N9" s="313"/>
      <c r="P9" s="321"/>
      <c r="Q9" s="321"/>
      <c r="R9" s="326"/>
      <c r="S9" s="326"/>
      <c r="U9" s="315"/>
      <c r="V9" s="316"/>
    </row>
    <row r="10" spans="2:26" s="308" customFormat="1" ht="36" customHeight="1" thickTop="1" thickBot="1" x14ac:dyDescent="0.4">
      <c r="B10" s="691" t="s">
        <v>282</v>
      </c>
      <c r="C10" s="692"/>
      <c r="D10" s="692"/>
      <c r="E10" s="692"/>
      <c r="F10" s="692"/>
      <c r="G10" s="693"/>
      <c r="H10" s="692"/>
      <c r="I10" s="692"/>
      <c r="J10" s="692"/>
      <c r="K10" s="692"/>
      <c r="L10" s="692"/>
      <c r="M10" s="692"/>
      <c r="N10" s="692"/>
      <c r="O10" s="693"/>
      <c r="P10" s="692"/>
      <c r="Q10" s="692"/>
      <c r="R10" s="692"/>
      <c r="S10" s="692"/>
      <c r="T10" s="694"/>
      <c r="U10" s="327"/>
      <c r="V10" s="316"/>
      <c r="W10" s="695" t="s">
        <v>283</v>
      </c>
      <c r="X10" s="696"/>
      <c r="Y10" s="696"/>
      <c r="Z10" s="697"/>
    </row>
    <row r="11" spans="2:26" ht="27.5" customHeight="1" thickTop="1" x14ac:dyDescent="0.35">
      <c r="B11" s="698" t="s">
        <v>321</v>
      </c>
      <c r="C11" s="699"/>
      <c r="D11" s="702" t="s">
        <v>302</v>
      </c>
      <c r="E11" s="704" t="s">
        <v>280</v>
      </c>
      <c r="F11" s="705"/>
      <c r="G11" s="329"/>
      <c r="H11" s="708" t="s">
        <v>303</v>
      </c>
      <c r="I11" s="710" t="s">
        <v>233</v>
      </c>
      <c r="J11" s="710" t="s">
        <v>235</v>
      </c>
      <c r="K11" s="710"/>
      <c r="L11" s="710"/>
      <c r="M11" s="710"/>
      <c r="N11" s="712"/>
      <c r="O11" s="329"/>
      <c r="P11" s="713" t="s">
        <v>322</v>
      </c>
      <c r="Q11" s="702" t="s">
        <v>234</v>
      </c>
      <c r="R11" s="702" t="s">
        <v>323</v>
      </c>
      <c r="S11" s="702" t="s">
        <v>304</v>
      </c>
      <c r="T11" s="720" t="s">
        <v>324</v>
      </c>
      <c r="U11" s="330"/>
      <c r="V11" s="331"/>
      <c r="W11" s="722" t="s">
        <v>239</v>
      </c>
      <c r="X11" s="715" t="s">
        <v>240</v>
      </c>
      <c r="Y11" s="715" t="s">
        <v>241</v>
      </c>
      <c r="Z11" s="717" t="s">
        <v>244</v>
      </c>
    </row>
    <row r="12" spans="2:26" ht="13.5" customHeight="1" thickBot="1" x14ac:dyDescent="0.4">
      <c r="B12" s="700"/>
      <c r="C12" s="701"/>
      <c r="D12" s="703"/>
      <c r="E12" s="706"/>
      <c r="F12" s="707"/>
      <c r="G12" s="329"/>
      <c r="H12" s="709"/>
      <c r="I12" s="711"/>
      <c r="J12" s="332">
        <v>1</v>
      </c>
      <c r="K12" s="332">
        <v>2</v>
      </c>
      <c r="L12" s="332">
        <v>3</v>
      </c>
      <c r="M12" s="332">
        <v>4</v>
      </c>
      <c r="N12" s="333">
        <v>5</v>
      </c>
      <c r="O12" s="329"/>
      <c r="P12" s="714"/>
      <c r="Q12" s="703"/>
      <c r="R12" s="703"/>
      <c r="S12" s="703"/>
      <c r="T12" s="721"/>
      <c r="U12" s="330"/>
      <c r="V12" s="331"/>
      <c r="W12" s="723"/>
      <c r="X12" s="716"/>
      <c r="Y12" s="716"/>
      <c r="Z12" s="718"/>
    </row>
    <row r="13" spans="2:26" ht="50" customHeight="1" thickTop="1" thickBot="1" x14ac:dyDescent="0.4">
      <c r="B13" s="334"/>
      <c r="C13" s="335"/>
      <c r="D13" s="336" t="s">
        <v>305</v>
      </c>
      <c r="E13" s="337" t="s">
        <v>306</v>
      </c>
      <c r="F13" s="338"/>
      <c r="G13" s="339"/>
      <c r="H13" s="340"/>
      <c r="I13" s="340"/>
      <c r="J13" s="341"/>
      <c r="K13" s="342"/>
      <c r="L13" s="342"/>
      <c r="M13" s="342"/>
      <c r="N13" s="343"/>
      <c r="O13" s="339"/>
      <c r="P13" s="344"/>
      <c r="Q13" s="344"/>
      <c r="R13" s="345"/>
      <c r="S13" s="346"/>
      <c r="T13" s="346"/>
      <c r="V13" s="331"/>
      <c r="W13" s="344"/>
      <c r="X13" s="345"/>
      <c r="Y13" s="346">
        <f>I13*X13</f>
        <v>0</v>
      </c>
      <c r="Z13" s="346"/>
    </row>
    <row r="14" spans="2:26" ht="50" customHeight="1" thickBot="1" x14ac:dyDescent="0.4">
      <c r="B14" s="348"/>
      <c r="C14" s="349"/>
      <c r="D14" s="350" t="s">
        <v>308</v>
      </c>
      <c r="E14" s="351" t="s">
        <v>309</v>
      </c>
      <c r="F14" s="352"/>
      <c r="G14" s="353"/>
      <c r="H14" s="354"/>
      <c r="I14" s="355"/>
      <c r="J14" s="356"/>
      <c r="K14" s="357"/>
      <c r="L14" s="357"/>
      <c r="M14" s="356"/>
      <c r="N14" s="356"/>
      <c r="O14" s="353"/>
      <c r="P14" s="358"/>
      <c r="Q14" s="359"/>
      <c r="R14" s="360"/>
      <c r="S14" s="361"/>
      <c r="T14" s="361"/>
      <c r="V14" s="331"/>
      <c r="W14" s="359"/>
      <c r="X14" s="360"/>
      <c r="Y14" s="346">
        <f t="shared" ref="Y14:Y16" si="0">I14*X14</f>
        <v>0</v>
      </c>
      <c r="Z14" s="361"/>
    </row>
    <row r="15" spans="2:26" ht="50" customHeight="1" thickBot="1" x14ac:dyDescent="0.4">
      <c r="B15" s="348"/>
      <c r="C15" s="349"/>
      <c r="D15" s="362" t="s">
        <v>310</v>
      </c>
      <c r="E15" s="363" t="s">
        <v>311</v>
      </c>
      <c r="F15" s="364"/>
      <c r="G15" s="365"/>
      <c r="H15" s="354"/>
      <c r="I15" s="355"/>
      <c r="J15" s="356"/>
      <c r="K15" s="357"/>
      <c r="L15" s="356"/>
      <c r="M15" s="356"/>
      <c r="N15" s="355"/>
      <c r="O15" s="365"/>
      <c r="P15" s="366"/>
      <c r="Q15" s="366"/>
      <c r="R15" s="367"/>
      <c r="S15" s="361"/>
      <c r="T15" s="361"/>
      <c r="V15" s="331"/>
      <c r="W15" s="366"/>
      <c r="X15" s="360"/>
      <c r="Y15" s="346">
        <f t="shared" si="0"/>
        <v>0</v>
      </c>
      <c r="Z15" s="361"/>
    </row>
    <row r="16" spans="2:26" ht="50" customHeight="1" thickBot="1" x14ac:dyDescent="0.4">
      <c r="B16" s="348"/>
      <c r="C16" s="368"/>
      <c r="D16" s="369" t="s">
        <v>312</v>
      </c>
      <c r="E16" s="370" t="s">
        <v>314</v>
      </c>
      <c r="F16" s="371"/>
      <c r="G16" s="372"/>
      <c r="H16" s="373"/>
      <c r="I16" s="355"/>
      <c r="J16" s="374"/>
      <c r="K16" s="357"/>
      <c r="L16" s="356"/>
      <c r="M16" s="356"/>
      <c r="N16" s="375"/>
      <c r="O16" s="372"/>
      <c r="P16" s="358"/>
      <c r="Q16" s="366"/>
      <c r="R16" s="360"/>
      <c r="S16" s="361"/>
      <c r="T16" s="361"/>
      <c r="V16" s="331"/>
      <c r="W16" s="366"/>
      <c r="X16" s="360"/>
      <c r="Y16" s="346">
        <f t="shared" si="0"/>
        <v>0</v>
      </c>
      <c r="Z16" s="361"/>
    </row>
    <row r="17" spans="2:26" s="347" customFormat="1" x14ac:dyDescent="0.35">
      <c r="B17" s="328"/>
      <c r="C17" s="376"/>
      <c r="D17" s="376"/>
      <c r="E17" s="377"/>
      <c r="F17" s="377"/>
      <c r="G17" s="376"/>
      <c r="H17" s="378"/>
      <c r="I17" s="379">
        <f>SUM(I15:I16,I13:I14)</f>
        <v>0</v>
      </c>
      <c r="J17" s="378"/>
      <c r="K17" s="378"/>
      <c r="L17" s="378"/>
      <c r="M17" s="378"/>
      <c r="N17" s="378"/>
      <c r="O17" s="376"/>
      <c r="V17" s="380"/>
    </row>
    <row r="18" spans="2:26" s="347" customFormat="1" x14ac:dyDescent="0.35">
      <c r="B18" s="328"/>
      <c r="C18" s="376"/>
      <c r="D18" s="376"/>
      <c r="E18" s="377"/>
      <c r="F18" s="377"/>
      <c r="G18" s="376"/>
      <c r="H18" s="378"/>
      <c r="I18" s="378"/>
      <c r="J18" s="378"/>
      <c r="K18" s="378"/>
      <c r="L18" s="378"/>
      <c r="M18" s="378"/>
      <c r="N18" s="378"/>
      <c r="O18" s="376"/>
      <c r="V18" s="380"/>
    </row>
    <row r="19" spans="2:26" s="381" customFormat="1" ht="13.5" customHeight="1" x14ac:dyDescent="0.35">
      <c r="B19" s="382" t="s">
        <v>243</v>
      </c>
      <c r="C19" s="383"/>
      <c r="D19" s="383"/>
      <c r="E19" s="384"/>
      <c r="F19" s="385"/>
      <c r="V19" s="386"/>
    </row>
    <row r="20" spans="2:26" x14ac:dyDescent="0.35">
      <c r="B20" s="328" t="s">
        <v>245</v>
      </c>
      <c r="C20" s="377" t="s">
        <v>249</v>
      </c>
      <c r="D20" s="377"/>
      <c r="E20" s="377"/>
      <c r="F20" s="377"/>
      <c r="H20" s="328"/>
      <c r="I20" s="328"/>
      <c r="J20" s="328"/>
      <c r="K20" s="376"/>
      <c r="L20" s="387"/>
      <c r="M20" s="388"/>
      <c r="N20" s="388"/>
      <c r="O20" s="388"/>
      <c r="P20" s="389"/>
      <c r="Q20" s="389"/>
      <c r="R20" s="389"/>
      <c r="S20" s="389"/>
      <c r="T20" s="347"/>
      <c r="V20" s="331"/>
    </row>
    <row r="21" spans="2:26" ht="12.75" customHeight="1" x14ac:dyDescent="0.35">
      <c r="B21" s="390" t="s">
        <v>246</v>
      </c>
      <c r="C21" s="719" t="s">
        <v>284</v>
      </c>
      <c r="D21" s="719"/>
      <c r="E21" s="719"/>
      <c r="F21" s="719"/>
      <c r="G21" s="390"/>
      <c r="H21" s="390"/>
      <c r="I21" s="328"/>
      <c r="J21" s="328"/>
      <c r="K21" s="376"/>
      <c r="L21" s="387"/>
      <c r="M21" s="719"/>
      <c r="N21" s="719"/>
      <c r="O21" s="719"/>
      <c r="P21" s="719"/>
      <c r="Q21" s="719"/>
      <c r="R21" s="719"/>
      <c r="S21" s="719"/>
      <c r="T21" s="347"/>
      <c r="V21" s="331"/>
    </row>
    <row r="22" spans="2:26" ht="12.75" customHeight="1" x14ac:dyDescent="0.35">
      <c r="B22" s="390" t="s">
        <v>247</v>
      </c>
      <c r="C22" s="719" t="s">
        <v>248</v>
      </c>
      <c r="D22" s="719"/>
      <c r="E22" s="719"/>
      <c r="F22" s="719"/>
      <c r="G22" s="388"/>
      <c r="H22" s="388"/>
      <c r="I22" s="328"/>
      <c r="J22" s="328"/>
      <c r="K22" s="376"/>
      <c r="L22" s="387"/>
      <c r="M22" s="388"/>
      <c r="N22" s="388"/>
      <c r="O22" s="388"/>
      <c r="P22" s="388"/>
      <c r="Q22" s="388"/>
      <c r="R22" s="388"/>
      <c r="S22" s="388"/>
      <c r="T22" s="347"/>
      <c r="V22" s="331"/>
    </row>
    <row r="23" spans="2:26" s="308" customFormat="1" ht="15" customHeight="1" thickBot="1" x14ac:dyDescent="0.4">
      <c r="B23" s="391"/>
      <c r="C23" s="392"/>
      <c r="D23" s="392"/>
      <c r="E23" s="392"/>
      <c r="F23" s="392"/>
      <c r="G23" s="391"/>
      <c r="H23" s="391"/>
      <c r="L23" s="315"/>
      <c r="O23" s="318"/>
      <c r="U23" s="315"/>
      <c r="V23" s="316"/>
      <c r="W23" s="393"/>
      <c r="X23" s="393"/>
      <c r="Y23" s="393"/>
      <c r="Z23" s="393"/>
    </row>
    <row r="24" spans="2:26" s="308" customFormat="1" ht="61" customHeight="1" thickBot="1" x14ac:dyDescent="0.4">
      <c r="B24" s="726" t="s">
        <v>285</v>
      </c>
      <c r="C24" s="727"/>
      <c r="D24" s="727"/>
      <c r="E24" s="727"/>
      <c r="F24" s="727"/>
      <c r="G24" s="727"/>
      <c r="H24" s="727"/>
      <c r="I24" s="727"/>
      <c r="J24" s="727"/>
      <c r="K24" s="727"/>
      <c r="L24" s="727"/>
      <c r="M24" s="727"/>
      <c r="N24" s="727"/>
      <c r="O24" s="727"/>
      <c r="P24" s="727"/>
      <c r="Q24" s="727"/>
      <c r="R24" s="727"/>
      <c r="S24" s="727"/>
      <c r="T24" s="728"/>
      <c r="U24" s="394"/>
      <c r="V24" s="395"/>
      <c r="W24" s="726" t="s">
        <v>275</v>
      </c>
      <c r="X24" s="727"/>
      <c r="Y24" s="727"/>
      <c r="Z24" s="728"/>
    </row>
    <row r="25" spans="2:26" s="308" customFormat="1" ht="45" customHeight="1" x14ac:dyDescent="0.35">
      <c r="B25" s="731" t="s">
        <v>274</v>
      </c>
      <c r="C25" s="732"/>
      <c r="D25" s="732"/>
      <c r="E25" s="396" t="s">
        <v>34</v>
      </c>
      <c r="F25" s="396"/>
      <c r="G25" s="397"/>
      <c r="H25" s="398"/>
      <c r="I25" s="399"/>
      <c r="J25" s="399"/>
      <c r="K25" s="399"/>
      <c r="L25" s="400"/>
      <c r="M25" s="401"/>
      <c r="N25" s="401"/>
      <c r="O25" s="397"/>
      <c r="P25" s="401"/>
      <c r="Q25" s="401"/>
      <c r="R25" s="401"/>
      <c r="S25" s="401"/>
      <c r="T25" s="402"/>
      <c r="U25" s="315"/>
      <c r="V25" s="316"/>
      <c r="W25" s="403" t="s">
        <v>274</v>
      </c>
      <c r="X25" s="404" t="s">
        <v>34</v>
      </c>
      <c r="Y25" s="396"/>
      <c r="Z25" s="405"/>
    </row>
    <row r="26" spans="2:26" s="308" customFormat="1" ht="45" customHeight="1" thickBot="1" x14ac:dyDescent="0.4">
      <c r="B26" s="724" t="s">
        <v>326</v>
      </c>
      <c r="C26" s="725"/>
      <c r="D26" s="725"/>
      <c r="E26" s="406" t="s">
        <v>34</v>
      </c>
      <c r="F26" s="407"/>
      <c r="G26" s="408"/>
      <c r="H26" s="409"/>
      <c r="I26" s="410"/>
      <c r="J26" s="410"/>
      <c r="K26" s="410"/>
      <c r="L26" s="411"/>
      <c r="M26" s="412"/>
      <c r="N26" s="412"/>
      <c r="O26" s="408"/>
      <c r="P26" s="412"/>
      <c r="Q26" s="412"/>
      <c r="R26" s="412"/>
      <c r="S26" s="412"/>
      <c r="T26" s="413"/>
      <c r="U26" s="315"/>
      <c r="V26" s="316"/>
      <c r="W26" s="414" t="s">
        <v>326</v>
      </c>
      <c r="X26" s="406" t="s">
        <v>34</v>
      </c>
      <c r="Y26" s="406"/>
      <c r="Z26" s="413"/>
    </row>
    <row r="27" spans="2:26" s="308" customFormat="1" ht="15" customHeight="1" thickBot="1" x14ac:dyDescent="0.4">
      <c r="C27" s="318"/>
      <c r="D27" s="318"/>
      <c r="L27" s="315"/>
      <c r="O27" s="318"/>
      <c r="U27" s="315"/>
      <c r="V27" s="316"/>
    </row>
    <row r="28" spans="2:26" s="308" customFormat="1" ht="5.25" customHeight="1" x14ac:dyDescent="0.35">
      <c r="B28" s="735" t="s">
        <v>285</v>
      </c>
      <c r="C28" s="736"/>
      <c r="D28" s="736"/>
      <c r="E28" s="736"/>
      <c r="F28" s="736"/>
      <c r="G28" s="736"/>
      <c r="H28" s="736"/>
      <c r="I28" s="736"/>
      <c r="J28" s="736"/>
      <c r="K28" s="736"/>
      <c r="L28" s="736"/>
      <c r="M28" s="736"/>
      <c r="N28" s="736"/>
      <c r="O28" s="736"/>
      <c r="P28" s="736"/>
      <c r="Q28" s="736"/>
      <c r="R28" s="736"/>
      <c r="S28" s="736"/>
      <c r="T28" s="737"/>
      <c r="U28" s="394"/>
      <c r="V28" s="316"/>
      <c r="W28" s="735" t="s">
        <v>281</v>
      </c>
      <c r="X28" s="736"/>
      <c r="Y28" s="736"/>
      <c r="Z28" s="737"/>
    </row>
    <row r="29" spans="2:26" s="308" customFormat="1" ht="39" customHeight="1" thickBot="1" x14ac:dyDescent="0.4">
      <c r="B29" s="738"/>
      <c r="C29" s="739"/>
      <c r="D29" s="739"/>
      <c r="E29" s="739"/>
      <c r="F29" s="739"/>
      <c r="G29" s="739"/>
      <c r="H29" s="739"/>
      <c r="I29" s="739"/>
      <c r="J29" s="739"/>
      <c r="K29" s="739"/>
      <c r="L29" s="739"/>
      <c r="M29" s="739"/>
      <c r="N29" s="739"/>
      <c r="O29" s="739"/>
      <c r="P29" s="739"/>
      <c r="Q29" s="739"/>
      <c r="R29" s="739"/>
      <c r="S29" s="739"/>
      <c r="T29" s="740"/>
      <c r="U29" s="394"/>
      <c r="V29" s="316"/>
      <c r="W29" s="738"/>
      <c r="X29" s="739"/>
      <c r="Y29" s="739"/>
      <c r="Z29" s="740"/>
    </row>
    <row r="30" spans="2:26" s="415" customFormat="1" ht="45" customHeight="1" x14ac:dyDescent="0.35">
      <c r="B30" s="731" t="s">
        <v>315</v>
      </c>
      <c r="C30" s="732"/>
      <c r="D30" s="732"/>
      <c r="E30" s="396" t="s">
        <v>34</v>
      </c>
      <c r="F30" s="396"/>
      <c r="G30" s="398"/>
      <c r="H30" s="398"/>
      <c r="I30" s="399"/>
      <c r="J30" s="399"/>
      <c r="K30" s="399"/>
      <c r="L30" s="400"/>
      <c r="M30" s="401"/>
      <c r="N30" s="401"/>
      <c r="O30" s="401"/>
      <c r="P30" s="401"/>
      <c r="Q30" s="401"/>
      <c r="R30" s="401"/>
      <c r="S30" s="401"/>
      <c r="T30" s="402"/>
      <c r="U30" s="416"/>
      <c r="V30" s="417"/>
      <c r="W30" s="741" t="s">
        <v>315</v>
      </c>
      <c r="X30" s="742"/>
      <c r="Y30" s="418" t="s">
        <v>34</v>
      </c>
      <c r="Z30" s="405"/>
    </row>
    <row r="31" spans="2:26" s="415" customFormat="1" ht="45" customHeight="1" x14ac:dyDescent="0.35">
      <c r="B31" s="686" t="s">
        <v>237</v>
      </c>
      <c r="C31" s="687"/>
      <c r="D31" s="687"/>
      <c r="E31" s="419" t="s">
        <v>34</v>
      </c>
      <c r="F31" s="420"/>
      <c r="G31" s="421"/>
      <c r="H31" s="421"/>
      <c r="I31" s="422"/>
      <c r="J31" s="422"/>
      <c r="K31" s="422"/>
      <c r="L31" s="423"/>
      <c r="M31" s="424"/>
      <c r="N31" s="424"/>
      <c r="O31" s="424"/>
      <c r="P31" s="424"/>
      <c r="Q31" s="424"/>
      <c r="R31" s="424"/>
      <c r="S31" s="424"/>
      <c r="T31" s="425"/>
      <c r="U31" s="416"/>
      <c r="V31" s="417"/>
      <c r="W31" s="729" t="s">
        <v>237</v>
      </c>
      <c r="X31" s="730"/>
      <c r="Y31" s="426" t="s">
        <v>34</v>
      </c>
      <c r="Z31" s="425"/>
    </row>
    <row r="32" spans="2:26" s="415" customFormat="1" ht="45" customHeight="1" thickBot="1" x14ac:dyDescent="0.4">
      <c r="B32" s="724" t="s">
        <v>238</v>
      </c>
      <c r="C32" s="725"/>
      <c r="D32" s="725"/>
      <c r="E32" s="406" t="s">
        <v>34</v>
      </c>
      <c r="F32" s="407"/>
      <c r="G32" s="409"/>
      <c r="H32" s="427"/>
      <c r="I32" s="410"/>
      <c r="J32" s="410"/>
      <c r="K32" s="410"/>
      <c r="L32" s="411"/>
      <c r="M32" s="412"/>
      <c r="N32" s="412"/>
      <c r="O32" s="412"/>
      <c r="P32" s="412"/>
      <c r="Q32" s="412"/>
      <c r="R32" s="412"/>
      <c r="S32" s="412"/>
      <c r="T32" s="413"/>
      <c r="U32" s="416"/>
      <c r="V32" s="417"/>
      <c r="W32" s="733" t="s">
        <v>238</v>
      </c>
      <c r="X32" s="734"/>
      <c r="Y32" s="428" t="s">
        <v>34</v>
      </c>
      <c r="Z32" s="429"/>
    </row>
    <row r="33" spans="12:22" s="308" customFormat="1" ht="14.5" x14ac:dyDescent="0.35">
      <c r="L33" s="315"/>
      <c r="U33" s="315"/>
      <c r="V33" s="316"/>
    </row>
    <row r="34" spans="12:22" s="308" customFormat="1" ht="14.5" x14ac:dyDescent="0.35">
      <c r="L34" s="315"/>
      <c r="U34" s="315"/>
      <c r="V34" s="316"/>
    </row>
    <row r="35" spans="12:22" ht="14.5" x14ac:dyDescent="0.35">
      <c r="U35" s="315"/>
    </row>
  </sheetData>
  <sheetProtection selectLockedCells="1"/>
  <mergeCells count="37">
    <mergeCell ref="B32:D32"/>
    <mergeCell ref="W32:X32"/>
    <mergeCell ref="B28:T29"/>
    <mergeCell ref="W28:Z29"/>
    <mergeCell ref="B30:D30"/>
    <mergeCell ref="W30:X30"/>
    <mergeCell ref="B26:D26"/>
    <mergeCell ref="B24:T24"/>
    <mergeCell ref="W24:Z24"/>
    <mergeCell ref="W31:X31"/>
    <mergeCell ref="B25:D25"/>
    <mergeCell ref="Y11:Y12"/>
    <mergeCell ref="Z11:Z12"/>
    <mergeCell ref="C21:F21"/>
    <mergeCell ref="M21:S21"/>
    <mergeCell ref="C22:F22"/>
    <mergeCell ref="R11:R12"/>
    <mergeCell ref="S11:S12"/>
    <mergeCell ref="T11:T12"/>
    <mergeCell ref="W11:W12"/>
    <mergeCell ref="X11:X12"/>
    <mergeCell ref="R4:S6"/>
    <mergeCell ref="R7:S8"/>
    <mergeCell ref="B1:M1"/>
    <mergeCell ref="B31:D31"/>
    <mergeCell ref="Z3:Z5"/>
    <mergeCell ref="Z6:Z7"/>
    <mergeCell ref="B10:T10"/>
    <mergeCell ref="W10:Z10"/>
    <mergeCell ref="B11:C12"/>
    <mergeCell ref="D11:D12"/>
    <mergeCell ref="E11:F12"/>
    <mergeCell ref="H11:H12"/>
    <mergeCell ref="I11:I12"/>
    <mergeCell ref="J11:N11"/>
    <mergeCell ref="P11:P12"/>
    <mergeCell ref="Q11:Q12"/>
  </mergeCells>
  <printOptions horizontalCentered="1"/>
  <pageMargins left="0.19685039370078741" right="0.11811023622047245" top="0.39370078740157483" bottom="0.19685039370078741" header="0.31496062992125984" footer="0.31496062992125984"/>
  <pageSetup paperSize="9" scale="53"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25"/>
  <sheetViews>
    <sheetView showGridLines="0" zoomScaleNormal="100" workbookViewId="0">
      <selection activeCell="J14" sqref="J14"/>
    </sheetView>
  </sheetViews>
  <sheetFormatPr defaultRowHeight="14.5" x14ac:dyDescent="0.35"/>
  <cols>
    <col min="1" max="1" width="4.54296875" customWidth="1"/>
    <col min="2" max="2" width="27.7265625" customWidth="1"/>
    <col min="3" max="3" width="20.1796875" customWidth="1"/>
    <col min="4" max="4" width="8.453125" customWidth="1"/>
    <col min="5" max="5" width="13.1796875" bestFit="1" customWidth="1"/>
    <col min="6" max="6" width="12.1796875" customWidth="1"/>
    <col min="7" max="7" width="15.453125" customWidth="1"/>
    <col min="8" max="8" width="9.1796875" customWidth="1"/>
    <col min="9" max="9" width="12.1796875" customWidth="1"/>
    <col min="10" max="10" width="15.453125" customWidth="1"/>
    <col min="11" max="11" width="13.1796875" bestFit="1" customWidth="1"/>
  </cols>
  <sheetData>
    <row r="1" spans="1:11" ht="34.5" customHeight="1" x14ac:dyDescent="0.35">
      <c r="A1" s="743" t="s">
        <v>222</v>
      </c>
      <c r="B1" s="743"/>
      <c r="C1" s="743"/>
      <c r="D1" s="743"/>
      <c r="E1" s="743"/>
      <c r="F1" s="743"/>
      <c r="G1" s="743"/>
      <c r="H1" s="743"/>
      <c r="I1" s="743"/>
      <c r="J1" s="743"/>
      <c r="K1" s="743"/>
    </row>
    <row r="2" spans="1:11" x14ac:dyDescent="0.35">
      <c r="A2" t="s">
        <v>223</v>
      </c>
    </row>
    <row r="3" spans="1:11" ht="15" thickBot="1" x14ac:dyDescent="0.4"/>
    <row r="4" spans="1:11" ht="30" customHeight="1" x14ac:dyDescent="0.35">
      <c r="A4" s="746" t="s">
        <v>215</v>
      </c>
      <c r="B4" s="748" t="s">
        <v>216</v>
      </c>
      <c r="C4" s="748" t="s">
        <v>217</v>
      </c>
      <c r="D4" s="748" t="s">
        <v>11</v>
      </c>
      <c r="E4" s="748" t="s">
        <v>218</v>
      </c>
      <c r="F4" s="744" t="s">
        <v>219</v>
      </c>
      <c r="G4" s="745"/>
      <c r="H4" s="750" t="s">
        <v>232</v>
      </c>
      <c r="I4" s="744" t="s">
        <v>220</v>
      </c>
      <c r="J4" s="745"/>
      <c r="K4" s="752" t="s">
        <v>221</v>
      </c>
    </row>
    <row r="5" spans="1:11" ht="15" thickBot="1" x14ac:dyDescent="0.4">
      <c r="A5" s="747"/>
      <c r="B5" s="749"/>
      <c r="C5" s="749"/>
      <c r="D5" s="749"/>
      <c r="E5" s="749"/>
      <c r="F5" s="156" t="s">
        <v>226</v>
      </c>
      <c r="G5" s="156" t="s">
        <v>227</v>
      </c>
      <c r="H5" s="751"/>
      <c r="I5" s="156" t="s">
        <v>226</v>
      </c>
      <c r="J5" s="156" t="s">
        <v>227</v>
      </c>
      <c r="K5" s="753"/>
    </row>
    <row r="6" spans="1:11" x14ac:dyDescent="0.35">
      <c r="A6" s="144"/>
      <c r="B6" s="145"/>
      <c r="C6" s="145"/>
      <c r="D6" s="145"/>
      <c r="E6" s="145"/>
      <c r="F6" s="145"/>
      <c r="G6" s="145"/>
      <c r="H6" s="146"/>
      <c r="I6" s="145"/>
      <c r="J6" s="145"/>
      <c r="K6" s="147"/>
    </row>
    <row r="7" spans="1:11" x14ac:dyDescent="0.35">
      <c r="A7" s="148"/>
      <c r="B7" s="149"/>
      <c r="C7" s="149"/>
      <c r="D7" s="149"/>
      <c r="E7" s="149"/>
      <c r="F7" s="149"/>
      <c r="G7" s="149"/>
      <c r="H7" s="150"/>
      <c r="I7" s="149"/>
      <c r="J7" s="149"/>
      <c r="K7" s="151"/>
    </row>
    <row r="8" spans="1:11" x14ac:dyDescent="0.35">
      <c r="A8" s="148"/>
      <c r="B8" s="149"/>
      <c r="C8" s="149"/>
      <c r="D8" s="149"/>
      <c r="E8" s="149"/>
      <c r="F8" s="149"/>
      <c r="G8" s="149"/>
      <c r="H8" s="150"/>
      <c r="I8" s="149"/>
      <c r="J8" s="149"/>
      <c r="K8" s="151"/>
    </row>
    <row r="9" spans="1:11" x14ac:dyDescent="0.35">
      <c r="A9" s="148"/>
      <c r="B9" s="149"/>
      <c r="C9" s="149"/>
      <c r="D9" s="149"/>
      <c r="E9" s="149"/>
      <c r="F9" s="149"/>
      <c r="G9" s="149"/>
      <c r="H9" s="150"/>
      <c r="I9" s="149"/>
      <c r="J9" s="149"/>
      <c r="K9" s="151"/>
    </row>
    <row r="10" spans="1:11" x14ac:dyDescent="0.35">
      <c r="A10" s="148"/>
      <c r="B10" s="149"/>
      <c r="C10" s="149"/>
      <c r="D10" s="149"/>
      <c r="E10" s="149"/>
      <c r="F10" s="149"/>
      <c r="G10" s="149"/>
      <c r="H10" s="150"/>
      <c r="I10" s="149"/>
      <c r="J10" s="149"/>
      <c r="K10" s="151"/>
    </row>
    <row r="11" spans="1:11" x14ac:dyDescent="0.35">
      <c r="A11" s="148"/>
      <c r="B11" s="149"/>
      <c r="C11" s="149"/>
      <c r="D11" s="149"/>
      <c r="E11" s="149"/>
      <c r="F11" s="149"/>
      <c r="G11" s="149"/>
      <c r="H11" s="150"/>
      <c r="I11" s="149"/>
      <c r="J11" s="149"/>
      <c r="K11" s="151"/>
    </row>
    <row r="12" spans="1:11" x14ac:dyDescent="0.35">
      <c r="A12" s="148"/>
      <c r="B12" s="149"/>
      <c r="C12" s="149"/>
      <c r="D12" s="149"/>
      <c r="E12" s="149"/>
      <c r="F12" s="149"/>
      <c r="G12" s="149"/>
      <c r="H12" s="150"/>
      <c r="I12" s="149"/>
      <c r="J12" s="149"/>
      <c r="K12" s="151"/>
    </row>
    <row r="13" spans="1:11" x14ac:dyDescent="0.35">
      <c r="A13" s="148"/>
      <c r="B13" s="149"/>
      <c r="C13" s="149"/>
      <c r="D13" s="149"/>
      <c r="E13" s="149"/>
      <c r="F13" s="149"/>
      <c r="G13" s="149"/>
      <c r="H13" s="150"/>
      <c r="I13" s="149"/>
      <c r="J13" s="149"/>
      <c r="K13" s="151"/>
    </row>
    <row r="14" spans="1:11" x14ac:dyDescent="0.35">
      <c r="A14" s="148"/>
      <c r="B14" s="149"/>
      <c r="C14" s="149"/>
      <c r="D14" s="149"/>
      <c r="E14" s="149"/>
      <c r="F14" s="149"/>
      <c r="G14" s="149"/>
      <c r="H14" s="150"/>
      <c r="I14" s="149"/>
      <c r="J14" s="149"/>
      <c r="K14" s="151"/>
    </row>
    <row r="15" spans="1:11" x14ac:dyDescent="0.35">
      <c r="A15" s="148"/>
      <c r="B15" s="149"/>
      <c r="C15" s="149"/>
      <c r="D15" s="149"/>
      <c r="E15" s="149"/>
      <c r="F15" s="149"/>
      <c r="G15" s="149"/>
      <c r="H15" s="150"/>
      <c r="I15" s="149"/>
      <c r="J15" s="149"/>
      <c r="K15" s="151"/>
    </row>
    <row r="16" spans="1:11" x14ac:dyDescent="0.35">
      <c r="A16" s="148"/>
      <c r="B16" s="149"/>
      <c r="C16" s="149"/>
      <c r="D16" s="149"/>
      <c r="E16" s="149"/>
      <c r="F16" s="149"/>
      <c r="G16" s="149"/>
      <c r="H16" s="150"/>
      <c r="I16" s="149"/>
      <c r="J16" s="149"/>
      <c r="K16" s="151"/>
    </row>
    <row r="17" spans="1:11" x14ac:dyDescent="0.35">
      <c r="A17" s="148"/>
      <c r="B17" s="149"/>
      <c r="C17" s="149"/>
      <c r="D17" s="149"/>
      <c r="E17" s="149"/>
      <c r="F17" s="149"/>
      <c r="G17" s="149"/>
      <c r="H17" s="150"/>
      <c r="I17" s="149"/>
      <c r="J17" s="149"/>
      <c r="K17" s="151"/>
    </row>
    <row r="18" spans="1:11" ht="15" thickBot="1" x14ac:dyDescent="0.4">
      <c r="A18" s="152"/>
      <c r="B18" s="153"/>
      <c r="C18" s="153"/>
      <c r="D18" s="153"/>
      <c r="E18" s="153"/>
      <c r="F18" s="153"/>
      <c r="G18" s="153"/>
      <c r="H18" s="154"/>
      <c r="I18" s="153"/>
      <c r="J18" s="153"/>
      <c r="K18" s="155"/>
    </row>
    <row r="20" spans="1:11" x14ac:dyDescent="0.35">
      <c r="B20" t="s">
        <v>225</v>
      </c>
    </row>
    <row r="22" spans="1:11" x14ac:dyDescent="0.35">
      <c r="B22" t="s">
        <v>228</v>
      </c>
      <c r="I22" t="s">
        <v>229</v>
      </c>
    </row>
    <row r="23" spans="1:11" ht="48" customHeight="1" x14ac:dyDescent="0.35"/>
    <row r="24" spans="1:11" x14ac:dyDescent="0.35">
      <c r="B24" s="143"/>
      <c r="I24" t="s">
        <v>230</v>
      </c>
    </row>
    <row r="25" spans="1:11" x14ac:dyDescent="0.35">
      <c r="B25" t="s">
        <v>224</v>
      </c>
      <c r="I25" t="s">
        <v>231</v>
      </c>
    </row>
  </sheetData>
  <mergeCells count="10">
    <mergeCell ref="A1:K1"/>
    <mergeCell ref="F4:G4"/>
    <mergeCell ref="I4:J4"/>
    <mergeCell ref="A4:A5"/>
    <mergeCell ref="B4:B5"/>
    <mergeCell ref="C4:C5"/>
    <mergeCell ref="D4:D5"/>
    <mergeCell ref="E4:E5"/>
    <mergeCell ref="H4:H5"/>
    <mergeCell ref="K4:K5"/>
  </mergeCells>
  <pageMargins left="0.7" right="0.7" top="0.75" bottom="0.75" header="0.3" footer="0.3"/>
  <pageSetup paperSize="9" scale="88" orientation="landscape" horizontalDpi="4294967294"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pageSetUpPr fitToPage="1"/>
  </sheetPr>
  <dimension ref="A1:R57"/>
  <sheetViews>
    <sheetView showGridLines="0" showRowColHeaders="0" topLeftCell="A12" zoomScale="50" zoomScaleNormal="50" workbookViewId="0">
      <selection activeCell="S30" sqref="S30"/>
    </sheetView>
  </sheetViews>
  <sheetFormatPr defaultColWidth="9.1796875" defaultRowHeight="14.5" x14ac:dyDescent="0.35"/>
  <cols>
    <col min="1" max="1" width="8.81640625" style="5" customWidth="1"/>
    <col min="2" max="3" width="11.54296875" style="5" customWidth="1"/>
    <col min="4" max="4" width="6.26953125" style="5" customWidth="1"/>
    <col min="5" max="6" width="11.54296875" style="5" customWidth="1"/>
    <col min="7" max="7" width="23.1796875" style="5" customWidth="1"/>
    <col min="8" max="8" width="11.453125" style="5" customWidth="1"/>
    <col min="9" max="9" width="2" style="5" customWidth="1"/>
    <col min="10" max="10" width="21.453125" style="5" customWidth="1"/>
    <col min="11" max="11" width="20.1796875" style="5" customWidth="1"/>
    <col min="12" max="12" width="2.26953125" style="5" customWidth="1"/>
    <col min="13" max="13" width="24.453125" style="5" customWidth="1"/>
    <col min="14" max="14" width="11.81640625" style="5" customWidth="1"/>
    <col min="15" max="19" width="10.26953125" style="5" customWidth="1"/>
    <col min="20" max="16384" width="9.1796875" style="5"/>
  </cols>
  <sheetData>
    <row r="1" spans="1:15" x14ac:dyDescent="0.35">
      <c r="A1" s="78"/>
      <c r="B1" s="79"/>
      <c r="C1" s="79"/>
      <c r="D1" s="79"/>
      <c r="E1" s="79"/>
      <c r="F1" s="79"/>
      <c r="G1" s="79"/>
      <c r="H1" s="79"/>
      <c r="I1" s="79"/>
      <c r="J1" s="79"/>
      <c r="K1" s="79"/>
      <c r="L1" s="79"/>
      <c r="M1" s="79"/>
      <c r="N1" s="79"/>
      <c r="O1" s="64"/>
    </row>
    <row r="2" spans="1:15" x14ac:dyDescent="0.35">
      <c r="A2" s="61"/>
      <c r="O2" s="65"/>
    </row>
    <row r="3" spans="1:15" x14ac:dyDescent="0.35">
      <c r="A3" s="61"/>
      <c r="O3" s="65"/>
    </row>
    <row r="4" spans="1:15" x14ac:dyDescent="0.35">
      <c r="A4" s="61"/>
      <c r="O4" s="65"/>
    </row>
    <row r="5" spans="1:15" x14ac:dyDescent="0.35">
      <c r="A5" s="61"/>
      <c r="O5" s="65"/>
    </row>
    <row r="6" spans="1:15" x14ac:dyDescent="0.35">
      <c r="A6" s="61"/>
      <c r="O6" s="65"/>
    </row>
    <row r="7" spans="1:15" x14ac:dyDescent="0.35">
      <c r="A7" s="61"/>
      <c r="O7" s="65"/>
    </row>
    <row r="8" spans="1:15" x14ac:dyDescent="0.35">
      <c r="A8" s="61"/>
      <c r="O8" s="65"/>
    </row>
    <row r="9" spans="1:15" x14ac:dyDescent="0.35">
      <c r="A9" s="61"/>
      <c r="O9" s="65"/>
    </row>
    <row r="10" spans="1:15" x14ac:dyDescent="0.35">
      <c r="A10" s="61"/>
      <c r="O10" s="65"/>
    </row>
    <row r="11" spans="1:15" x14ac:dyDescent="0.35">
      <c r="A11" s="61"/>
      <c r="O11" s="65"/>
    </row>
    <row r="12" spans="1:15" x14ac:dyDescent="0.35">
      <c r="A12" s="61"/>
      <c r="O12" s="65"/>
    </row>
    <row r="13" spans="1:15" x14ac:dyDescent="0.35">
      <c r="A13" s="61"/>
      <c r="O13" s="65"/>
    </row>
    <row r="14" spans="1:15" x14ac:dyDescent="0.35">
      <c r="A14" s="61"/>
      <c r="O14" s="65"/>
    </row>
    <row r="15" spans="1:15" ht="26" x14ac:dyDescent="0.6">
      <c r="A15" s="61"/>
      <c r="B15" s="94" t="s">
        <v>63</v>
      </c>
      <c r="O15" s="65"/>
    </row>
    <row r="16" spans="1:15" ht="27.75" customHeight="1" thickBot="1" x14ac:dyDescent="0.4">
      <c r="A16" s="61"/>
      <c r="H16" s="81"/>
      <c r="I16" s="81"/>
      <c r="J16" s="81"/>
      <c r="K16" s="81"/>
      <c r="L16" s="81"/>
      <c r="M16" s="81"/>
      <c r="N16" s="81"/>
      <c r="O16" s="65"/>
    </row>
    <row r="17" spans="1:18" ht="21.5" thickBot="1" x14ac:dyDescent="0.55000000000000004">
      <c r="A17" s="61"/>
      <c r="B17" s="765" t="s">
        <v>70</v>
      </c>
      <c r="C17" s="766"/>
      <c r="E17" s="773" t="s">
        <v>71</v>
      </c>
      <c r="F17" s="774"/>
      <c r="H17" s="66"/>
      <c r="I17" s="67"/>
      <c r="J17" s="67"/>
      <c r="K17" s="67"/>
      <c r="L17" s="67"/>
      <c r="M17" s="67"/>
      <c r="N17" s="75"/>
      <c r="O17" s="65"/>
    </row>
    <row r="18" spans="1:18" ht="21.5" thickBot="1" x14ac:dyDescent="0.55000000000000004">
      <c r="A18" s="61"/>
      <c r="B18" s="767">
        <f>'Bag 1 (KPI &amp; PA)'!AA4</f>
        <v>3</v>
      </c>
      <c r="C18" s="768"/>
      <c r="D18" s="1"/>
      <c r="E18" s="767">
        <f>'Bag 2 (Kompetensi)-Dev'!P6</f>
        <v>3</v>
      </c>
      <c r="F18" s="768"/>
      <c r="G18" s="1"/>
      <c r="H18" s="68"/>
      <c r="I18" s="782" t="s">
        <v>72</v>
      </c>
      <c r="J18" s="782"/>
      <c r="K18" s="69"/>
      <c r="L18" s="775" t="s">
        <v>61</v>
      </c>
      <c r="M18" s="775"/>
      <c r="N18" s="73"/>
      <c r="O18" s="65"/>
    </row>
    <row r="19" spans="1:18" ht="15" customHeight="1" x14ac:dyDescent="0.35">
      <c r="A19" s="61"/>
      <c r="B19" s="769"/>
      <c r="C19" s="770"/>
      <c r="D19" s="1"/>
      <c r="E19" s="769"/>
      <c r="F19" s="770"/>
      <c r="G19" s="1"/>
      <c r="H19" s="68"/>
      <c r="I19" s="776">
        <f>(B18*50%)+(E18*50%)</f>
        <v>3</v>
      </c>
      <c r="J19" s="777"/>
      <c r="K19" s="69"/>
      <c r="L19" s="759" t="str">
        <f>IF(I19&lt;2,"Poor",IF(I19&lt;3,"Fair",IF(I19&lt;4,"Good",IF(I19&lt;5,"Very Good",IF(I19=1,"Poor",IF(I19=2,"Fair",IF(I19=3,"Good",IF(I19=4,"Very Good",IF(I19&lt;=1,"Poor",IF(I19&gt;=5,"Excellent","False"))))))))))</f>
        <v>Good</v>
      </c>
      <c r="M19" s="760"/>
      <c r="N19" s="80"/>
      <c r="O19" s="65"/>
    </row>
    <row r="20" spans="1:18" ht="15" customHeight="1" x14ac:dyDescent="0.35">
      <c r="A20" s="61"/>
      <c r="B20" s="769"/>
      <c r="C20" s="770"/>
      <c r="D20" s="1"/>
      <c r="E20" s="769"/>
      <c r="F20" s="770"/>
      <c r="H20" s="68"/>
      <c r="I20" s="778"/>
      <c r="J20" s="779"/>
      <c r="K20" s="69"/>
      <c r="L20" s="761"/>
      <c r="M20" s="762"/>
      <c r="N20" s="80"/>
      <c r="O20" s="65"/>
    </row>
    <row r="21" spans="1:18" ht="15.75" customHeight="1" thickBot="1" x14ac:dyDescent="0.4">
      <c r="A21" s="61"/>
      <c r="B21" s="769"/>
      <c r="C21" s="770"/>
      <c r="D21" s="1"/>
      <c r="E21" s="769"/>
      <c r="F21" s="770"/>
      <c r="G21" s="44"/>
      <c r="H21" s="68"/>
      <c r="I21" s="778"/>
      <c r="J21" s="779"/>
      <c r="K21" s="69"/>
      <c r="L21" s="763"/>
      <c r="M21" s="764"/>
      <c r="N21" s="80"/>
      <c r="O21" s="65"/>
    </row>
    <row r="22" spans="1:18" x14ac:dyDescent="0.35">
      <c r="A22" s="61"/>
      <c r="B22" s="769"/>
      <c r="C22" s="770"/>
      <c r="D22" s="1"/>
      <c r="E22" s="769"/>
      <c r="F22" s="770"/>
      <c r="G22" s="44"/>
      <c r="H22" s="68"/>
      <c r="I22" s="778"/>
      <c r="J22" s="779"/>
      <c r="K22" s="69"/>
      <c r="L22" s="69"/>
      <c r="M22" s="69"/>
      <c r="N22" s="73"/>
      <c r="O22" s="65"/>
    </row>
    <row r="23" spans="1:18" x14ac:dyDescent="0.35">
      <c r="A23" s="61"/>
      <c r="B23" s="769"/>
      <c r="C23" s="770"/>
      <c r="D23" s="1"/>
      <c r="E23" s="769"/>
      <c r="F23" s="770"/>
      <c r="G23" s="44"/>
      <c r="H23" s="68"/>
      <c r="I23" s="778"/>
      <c r="J23" s="779"/>
      <c r="K23" s="69"/>
      <c r="L23" s="69"/>
      <c r="M23" s="69"/>
      <c r="N23" s="73"/>
      <c r="O23" s="65"/>
    </row>
    <row r="24" spans="1:18" ht="15" thickBot="1" x14ac:dyDescent="0.4">
      <c r="A24" s="61"/>
      <c r="B24" s="771"/>
      <c r="C24" s="772"/>
      <c r="D24" s="1"/>
      <c r="E24" s="771"/>
      <c r="F24" s="772"/>
      <c r="G24" s="44"/>
      <c r="H24" s="70"/>
      <c r="I24" s="778"/>
      <c r="J24" s="779"/>
      <c r="K24" s="71"/>
      <c r="L24" s="71"/>
      <c r="M24" s="71"/>
      <c r="N24" s="76"/>
      <c r="O24" s="65"/>
    </row>
    <row r="25" spans="1:18" x14ac:dyDescent="0.35">
      <c r="A25" s="61"/>
      <c r="B25" s="119">
        <f>(B18)*1.2</f>
        <v>3.5999999999999996</v>
      </c>
      <c r="C25" s="120"/>
      <c r="D25" s="121"/>
      <c r="E25" s="119">
        <f>(E18)*1.2</f>
        <v>3.5999999999999996</v>
      </c>
      <c r="F25" s="44"/>
      <c r="G25" s="44"/>
      <c r="H25" s="70"/>
      <c r="I25" s="778"/>
      <c r="J25" s="779"/>
      <c r="K25" s="71"/>
      <c r="L25" s="71"/>
      <c r="M25" s="71"/>
      <c r="N25" s="76"/>
      <c r="O25" s="65"/>
    </row>
    <row r="26" spans="1:18" ht="15" thickBot="1" x14ac:dyDescent="0.4">
      <c r="A26" s="61"/>
      <c r="B26" s="56"/>
      <c r="C26" s="56"/>
      <c r="D26" s="56"/>
      <c r="E26" s="56"/>
      <c r="F26" s="56"/>
      <c r="G26" s="56"/>
      <c r="H26" s="70"/>
      <c r="I26" s="780"/>
      <c r="J26" s="781"/>
      <c r="K26" s="72"/>
      <c r="L26" s="72"/>
      <c r="M26" s="72"/>
      <c r="N26" s="77"/>
      <c r="O26" s="60"/>
      <c r="P26" s="56"/>
      <c r="Q26" s="56"/>
      <c r="R26" s="56"/>
    </row>
    <row r="27" spans="1:18" x14ac:dyDescent="0.35">
      <c r="A27" s="61"/>
      <c r="C27" s="57"/>
      <c r="D27" s="57"/>
      <c r="E27" s="56"/>
      <c r="F27" s="56"/>
      <c r="G27" s="56"/>
      <c r="H27" s="70"/>
      <c r="I27" s="90"/>
      <c r="J27" s="90"/>
      <c r="K27" s="90"/>
      <c r="L27" s="90"/>
      <c r="M27" s="90"/>
      <c r="N27" s="91"/>
      <c r="O27" s="60"/>
      <c r="P27" s="56"/>
      <c r="Q27" s="56"/>
      <c r="R27" s="56"/>
    </row>
    <row r="28" spans="1:18" ht="15" thickBot="1" x14ac:dyDescent="0.4">
      <c r="A28" s="61"/>
      <c r="C28" s="57"/>
      <c r="D28" s="57"/>
      <c r="E28" s="56"/>
      <c r="F28" s="56"/>
      <c r="G28" s="56"/>
      <c r="H28" s="92"/>
      <c r="I28" s="93"/>
      <c r="J28" s="93"/>
      <c r="K28" s="93"/>
      <c r="L28" s="93"/>
      <c r="M28" s="93"/>
      <c r="N28" s="74"/>
      <c r="O28" s="60"/>
      <c r="P28" s="56"/>
      <c r="Q28" s="56"/>
      <c r="R28" s="56"/>
    </row>
    <row r="29" spans="1:18" ht="24.75" customHeight="1" x14ac:dyDescent="0.35">
      <c r="A29" s="61"/>
      <c r="C29" s="57"/>
      <c r="D29" s="57"/>
      <c r="E29" s="56"/>
      <c r="F29" s="56"/>
      <c r="G29" s="56"/>
      <c r="M29" s="56"/>
      <c r="N29" s="56"/>
      <c r="O29" s="60"/>
      <c r="P29" s="56"/>
      <c r="Q29" s="56"/>
      <c r="R29" s="56"/>
    </row>
    <row r="30" spans="1:18" ht="18" customHeight="1" x14ac:dyDescent="0.35">
      <c r="A30" s="61"/>
      <c r="B30" s="56"/>
      <c r="C30" s="56"/>
      <c r="D30" s="56"/>
      <c r="E30" s="56"/>
      <c r="F30" s="56"/>
      <c r="G30" s="56"/>
      <c r="H30" s="56" t="s">
        <v>73</v>
      </c>
      <c r="I30" s="56"/>
      <c r="J30" s="56"/>
      <c r="K30" s="56"/>
      <c r="L30" s="56"/>
      <c r="M30" s="56"/>
      <c r="N30" s="56"/>
      <c r="O30" s="60"/>
      <c r="P30" s="56"/>
      <c r="Q30" s="56"/>
      <c r="R30" s="56"/>
    </row>
    <row r="31" spans="1:18" ht="18" customHeight="1" x14ac:dyDescent="0.5">
      <c r="A31" s="61"/>
      <c r="B31" s="63"/>
      <c r="C31" s="63"/>
      <c r="D31" s="63"/>
      <c r="E31" s="63"/>
      <c r="F31" s="63"/>
      <c r="G31" s="56"/>
      <c r="H31" s="57" t="s">
        <v>74</v>
      </c>
      <c r="I31" s="56"/>
      <c r="J31" s="56"/>
      <c r="K31" s="56"/>
      <c r="L31" s="56"/>
      <c r="M31" s="56"/>
      <c r="N31" s="56"/>
      <c r="O31" s="60"/>
      <c r="P31" s="56"/>
      <c r="Q31" s="56"/>
      <c r="R31" s="56"/>
    </row>
    <row r="32" spans="1:18" ht="18" customHeight="1" x14ac:dyDescent="0.5">
      <c r="A32" s="61"/>
      <c r="B32" s="63"/>
      <c r="C32" s="63"/>
      <c r="D32" s="63"/>
      <c r="E32" s="63"/>
      <c r="F32" s="63"/>
      <c r="G32" s="56"/>
      <c r="H32" s="57" t="s">
        <v>75</v>
      </c>
      <c r="I32" s="56"/>
      <c r="J32" s="56"/>
      <c r="K32" s="56"/>
      <c r="L32" s="56"/>
      <c r="M32" s="56"/>
      <c r="N32" s="56"/>
      <c r="O32" s="60"/>
      <c r="P32" s="56"/>
      <c r="Q32" s="56"/>
      <c r="R32" s="56"/>
    </row>
    <row r="33" spans="1:18" ht="15" customHeight="1" x14ac:dyDescent="0.5">
      <c r="A33" s="61"/>
      <c r="B33" s="63"/>
      <c r="C33" s="63"/>
      <c r="D33" s="63"/>
      <c r="E33" s="63"/>
      <c r="F33" s="63"/>
      <c r="G33" s="56"/>
      <c r="H33" s="56"/>
      <c r="I33" s="56"/>
      <c r="J33" s="56"/>
      <c r="K33" s="56"/>
      <c r="L33" s="56"/>
      <c r="M33" s="56"/>
      <c r="N33" s="56"/>
      <c r="O33" s="60"/>
      <c r="P33" s="56"/>
      <c r="Q33" s="56"/>
      <c r="R33" s="56"/>
    </row>
    <row r="34" spans="1:18" ht="58.5" customHeight="1" x14ac:dyDescent="0.5">
      <c r="A34" s="61"/>
      <c r="B34" s="63"/>
      <c r="C34" s="63"/>
      <c r="D34" s="63"/>
      <c r="E34" s="63"/>
      <c r="F34" s="63"/>
      <c r="G34" s="56"/>
      <c r="H34" s="56"/>
      <c r="I34" s="56"/>
      <c r="J34" s="56"/>
      <c r="K34" s="56"/>
      <c r="L34" s="56"/>
      <c r="M34" s="56"/>
      <c r="N34" s="56"/>
      <c r="O34" s="60"/>
      <c r="P34" s="56"/>
      <c r="Q34" s="56"/>
      <c r="R34" s="56"/>
    </row>
    <row r="35" spans="1:18" ht="25.5" customHeight="1" x14ac:dyDescent="0.5">
      <c r="A35" s="61"/>
      <c r="B35" s="754"/>
      <c r="C35" s="755"/>
      <c r="D35" s="756" t="s">
        <v>64</v>
      </c>
      <c r="E35" s="758"/>
      <c r="F35" s="756" t="s">
        <v>65</v>
      </c>
      <c r="G35" s="757"/>
      <c r="H35" s="758"/>
      <c r="I35" s="756" t="s">
        <v>66</v>
      </c>
      <c r="J35" s="757"/>
      <c r="K35" s="758"/>
      <c r="L35" s="756" t="s">
        <v>67</v>
      </c>
      <c r="M35" s="757"/>
      <c r="N35" s="758"/>
      <c r="O35" s="60"/>
      <c r="P35" s="56"/>
      <c r="Q35" s="56"/>
      <c r="R35" s="56"/>
    </row>
    <row r="36" spans="1:18" ht="15" customHeight="1" x14ac:dyDescent="0.35">
      <c r="A36" s="61"/>
      <c r="B36" s="785" t="s">
        <v>68</v>
      </c>
      <c r="C36" s="785"/>
      <c r="D36" s="787"/>
      <c r="E36" s="788"/>
      <c r="F36" s="787"/>
      <c r="G36" s="793"/>
      <c r="H36" s="788"/>
      <c r="I36" s="787"/>
      <c r="J36" s="793"/>
      <c r="K36" s="788"/>
      <c r="L36" s="787"/>
      <c r="M36" s="793"/>
      <c r="N36" s="788"/>
      <c r="O36" s="60"/>
      <c r="P36" s="56"/>
      <c r="Q36" s="56"/>
      <c r="R36" s="56"/>
    </row>
    <row r="37" spans="1:18" ht="15" customHeight="1" x14ac:dyDescent="0.35">
      <c r="A37" s="61"/>
      <c r="B37" s="785"/>
      <c r="C37" s="785"/>
      <c r="D37" s="789"/>
      <c r="E37" s="790"/>
      <c r="F37" s="789"/>
      <c r="G37" s="794"/>
      <c r="H37" s="790"/>
      <c r="I37" s="789"/>
      <c r="J37" s="794"/>
      <c r="K37" s="790"/>
      <c r="L37" s="789"/>
      <c r="M37" s="794"/>
      <c r="N37" s="790"/>
      <c r="O37" s="60"/>
      <c r="P37" s="56"/>
      <c r="Q37" s="56"/>
      <c r="R37" s="56"/>
    </row>
    <row r="38" spans="1:18" ht="15" customHeight="1" x14ac:dyDescent="0.35">
      <c r="A38" s="61"/>
      <c r="B38" s="785"/>
      <c r="C38" s="785"/>
      <c r="D38" s="789"/>
      <c r="E38" s="790"/>
      <c r="F38" s="789"/>
      <c r="G38" s="794"/>
      <c r="H38" s="790"/>
      <c r="I38" s="789"/>
      <c r="J38" s="794"/>
      <c r="K38" s="790"/>
      <c r="L38" s="789"/>
      <c r="M38" s="794"/>
      <c r="N38" s="790"/>
      <c r="O38" s="60"/>
      <c r="P38" s="56"/>
      <c r="Q38" s="56"/>
      <c r="R38" s="56"/>
    </row>
    <row r="39" spans="1:18" ht="15" customHeight="1" x14ac:dyDescent="0.35">
      <c r="A39" s="61"/>
      <c r="B39" s="786"/>
      <c r="C39" s="786"/>
      <c r="D39" s="789"/>
      <c r="E39" s="790"/>
      <c r="F39" s="789"/>
      <c r="G39" s="794"/>
      <c r="H39" s="790"/>
      <c r="I39" s="789"/>
      <c r="J39" s="794"/>
      <c r="K39" s="790"/>
      <c r="L39" s="789"/>
      <c r="M39" s="794"/>
      <c r="N39" s="790"/>
      <c r="O39" s="60"/>
      <c r="P39" s="56"/>
      <c r="Q39" s="56"/>
      <c r="R39" s="56"/>
    </row>
    <row r="40" spans="1:18" ht="13.5" customHeight="1" x14ac:dyDescent="0.35">
      <c r="A40" s="61"/>
      <c r="B40" s="786"/>
      <c r="C40" s="786"/>
      <c r="D40" s="791"/>
      <c r="E40" s="792"/>
      <c r="F40" s="791"/>
      <c r="G40" s="795"/>
      <c r="H40" s="792"/>
      <c r="I40" s="791"/>
      <c r="J40" s="795"/>
      <c r="K40" s="792"/>
      <c r="L40" s="791"/>
      <c r="M40" s="795"/>
      <c r="N40" s="792"/>
      <c r="O40" s="65"/>
    </row>
    <row r="41" spans="1:18" ht="15" customHeight="1" x14ac:dyDescent="0.35">
      <c r="A41" s="61"/>
      <c r="B41" s="785" t="s">
        <v>69</v>
      </c>
      <c r="C41" s="785"/>
      <c r="D41" s="787"/>
      <c r="E41" s="788"/>
      <c r="F41" s="787"/>
      <c r="G41" s="793"/>
      <c r="H41" s="788"/>
      <c r="I41" s="787"/>
      <c r="J41" s="793"/>
      <c r="K41" s="788"/>
      <c r="L41" s="787"/>
      <c r="M41" s="793"/>
      <c r="N41" s="788"/>
      <c r="O41" s="65"/>
    </row>
    <row r="42" spans="1:18" ht="15" customHeight="1" x14ac:dyDescent="0.35">
      <c r="A42" s="61"/>
      <c r="B42" s="785"/>
      <c r="C42" s="785"/>
      <c r="D42" s="789"/>
      <c r="E42" s="790"/>
      <c r="F42" s="789"/>
      <c r="G42" s="794"/>
      <c r="H42" s="790"/>
      <c r="I42" s="789"/>
      <c r="J42" s="794"/>
      <c r="K42" s="790"/>
      <c r="L42" s="789"/>
      <c r="M42" s="794"/>
      <c r="N42" s="790"/>
      <c r="O42" s="65"/>
    </row>
    <row r="43" spans="1:18" ht="15" customHeight="1" x14ac:dyDescent="0.35">
      <c r="A43" s="61"/>
      <c r="B43" s="785"/>
      <c r="C43" s="785"/>
      <c r="D43" s="789"/>
      <c r="E43" s="790"/>
      <c r="F43" s="789"/>
      <c r="G43" s="794"/>
      <c r="H43" s="790"/>
      <c r="I43" s="789"/>
      <c r="J43" s="794"/>
      <c r="K43" s="790"/>
      <c r="L43" s="789"/>
      <c r="M43" s="794"/>
      <c r="N43" s="790"/>
      <c r="O43" s="65"/>
    </row>
    <row r="44" spans="1:18" ht="15" customHeight="1" x14ac:dyDescent="0.35">
      <c r="A44" s="61"/>
      <c r="B44" s="786"/>
      <c r="C44" s="786"/>
      <c r="D44" s="789"/>
      <c r="E44" s="790"/>
      <c r="F44" s="789"/>
      <c r="G44" s="794"/>
      <c r="H44" s="790"/>
      <c r="I44" s="789"/>
      <c r="J44" s="794"/>
      <c r="K44" s="790"/>
      <c r="L44" s="789"/>
      <c r="M44" s="794"/>
      <c r="N44" s="790"/>
      <c r="O44" s="65"/>
    </row>
    <row r="45" spans="1:18" ht="30" customHeight="1" x14ac:dyDescent="0.35">
      <c r="A45" s="61"/>
      <c r="B45" s="786"/>
      <c r="C45" s="786"/>
      <c r="D45" s="791"/>
      <c r="E45" s="792"/>
      <c r="F45" s="791"/>
      <c r="G45" s="795"/>
      <c r="H45" s="792"/>
      <c r="I45" s="791"/>
      <c r="J45" s="795"/>
      <c r="K45" s="792"/>
      <c r="L45" s="791"/>
      <c r="M45" s="795"/>
      <c r="N45" s="792"/>
      <c r="O45" s="65"/>
    </row>
    <row r="46" spans="1:18" x14ac:dyDescent="0.35">
      <c r="A46" s="61"/>
      <c r="O46" s="65"/>
    </row>
    <row r="47" spans="1:18" x14ac:dyDescent="0.35">
      <c r="A47" s="61"/>
      <c r="O47" s="65"/>
    </row>
    <row r="48" spans="1:18" x14ac:dyDescent="0.35">
      <c r="A48" s="61"/>
      <c r="O48" s="65"/>
    </row>
    <row r="49" spans="1:15" x14ac:dyDescent="0.35">
      <c r="A49" s="61"/>
      <c r="O49" s="65"/>
    </row>
    <row r="50" spans="1:15" x14ac:dyDescent="0.35">
      <c r="A50" s="61"/>
      <c r="O50" s="65"/>
    </row>
    <row r="51" spans="1:15" ht="15" thickBot="1" x14ac:dyDescent="0.4">
      <c r="A51" s="61"/>
      <c r="B51" s="82"/>
      <c r="C51" s="82"/>
      <c r="D51" s="82"/>
      <c r="E51" s="82"/>
      <c r="F51" s="96"/>
      <c r="G51" s="96"/>
      <c r="H51" s="97"/>
      <c r="J51" s="97"/>
      <c r="K51" s="97"/>
      <c r="M51" s="97"/>
      <c r="N51" s="97"/>
      <c r="O51" s="65"/>
    </row>
    <row r="52" spans="1:15" ht="15" thickTop="1" x14ac:dyDescent="0.35">
      <c r="A52" s="61"/>
      <c r="B52" s="83"/>
      <c r="C52" s="84"/>
      <c r="D52" s="85"/>
      <c r="E52" s="85"/>
      <c r="F52" s="783" t="s">
        <v>76</v>
      </c>
      <c r="G52" s="783"/>
      <c r="H52" s="783"/>
      <c r="J52" s="784" t="s">
        <v>77</v>
      </c>
      <c r="K52" s="784"/>
      <c r="M52" s="784" t="s">
        <v>78</v>
      </c>
      <c r="N52" s="784"/>
      <c r="O52" s="65"/>
    </row>
    <row r="53" spans="1:15" x14ac:dyDescent="0.35">
      <c r="A53" s="61"/>
      <c r="B53" s="83"/>
      <c r="C53" s="84"/>
      <c r="D53" s="85"/>
      <c r="E53" s="85"/>
      <c r="F53" s="85"/>
      <c r="G53" s="85"/>
      <c r="O53" s="65"/>
    </row>
    <row r="54" spans="1:15" ht="15" thickBot="1" x14ac:dyDescent="0.4">
      <c r="A54" s="62"/>
      <c r="B54" s="59"/>
      <c r="C54" s="98"/>
      <c r="D54" s="98"/>
      <c r="E54" s="98"/>
      <c r="F54" s="98"/>
      <c r="G54" s="98"/>
      <c r="H54" s="81"/>
      <c r="I54" s="81"/>
      <c r="J54" s="81"/>
      <c r="K54" s="81"/>
      <c r="L54" s="81"/>
      <c r="M54" s="81"/>
      <c r="N54" s="81"/>
      <c r="O54" s="95"/>
    </row>
    <row r="55" spans="1:15" x14ac:dyDescent="0.35">
      <c r="B55" s="57"/>
      <c r="C55" s="58"/>
      <c r="D55" s="58"/>
      <c r="E55" s="58"/>
      <c r="F55" s="58"/>
      <c r="G55" s="58"/>
    </row>
    <row r="56" spans="1:15" x14ac:dyDescent="0.35">
      <c r="B56" s="57"/>
      <c r="C56" s="86"/>
      <c r="D56" s="86"/>
      <c r="E56" s="86"/>
      <c r="F56" s="86"/>
      <c r="G56" s="86"/>
      <c r="H56" s="87"/>
    </row>
    <row r="57" spans="1:15" x14ac:dyDescent="0.35">
      <c r="B57" s="57"/>
      <c r="C57" s="88"/>
      <c r="D57" s="89"/>
      <c r="E57" s="89"/>
      <c r="F57" s="89"/>
      <c r="G57" s="89"/>
      <c r="H57" s="87"/>
    </row>
  </sheetData>
  <protectedRanges>
    <protectedRange sqref="J21:N25 C37:G40 C42:G45 I37:J40 I42:J45 L37:M40 L42:M45" name="Range1"/>
    <protectedRange sqref="C52:G56" name="Range1_1"/>
  </protectedRanges>
  <mergeCells count="26">
    <mergeCell ref="F52:H52"/>
    <mergeCell ref="J52:K52"/>
    <mergeCell ref="M52:N52"/>
    <mergeCell ref="B36:C40"/>
    <mergeCell ref="B41:C45"/>
    <mergeCell ref="D36:E40"/>
    <mergeCell ref="F36:H40"/>
    <mergeCell ref="I36:K40"/>
    <mergeCell ref="L36:N40"/>
    <mergeCell ref="F41:H45"/>
    <mergeCell ref="L41:N45"/>
    <mergeCell ref="I41:K45"/>
    <mergeCell ref="D41:E45"/>
    <mergeCell ref="B17:C17"/>
    <mergeCell ref="B18:C24"/>
    <mergeCell ref="E18:F24"/>
    <mergeCell ref="E17:F17"/>
    <mergeCell ref="L18:M18"/>
    <mergeCell ref="I19:J26"/>
    <mergeCell ref="I18:J18"/>
    <mergeCell ref="B35:C35"/>
    <mergeCell ref="F35:H35"/>
    <mergeCell ref="L19:M21"/>
    <mergeCell ref="D35:E35"/>
    <mergeCell ref="I35:K35"/>
    <mergeCell ref="L35:N35"/>
  </mergeCells>
  <pageMargins left="0.7" right="0.7" top="0.75" bottom="0.75" header="0.3" footer="0.3"/>
  <pageSetup paperSize="8" scale="80" orientation="landscape" horizont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10</vt:i4>
      </vt:variant>
    </vt:vector>
  </HeadingPairs>
  <TitlesOfParts>
    <vt:vector size="21" baseType="lpstr">
      <vt:lpstr>Pedoman</vt:lpstr>
      <vt:lpstr>Cover</vt:lpstr>
      <vt:lpstr>Bag 1 (KPI &amp; PA)</vt:lpstr>
      <vt:lpstr>Bag 1 (KPI &amp; PA) strata</vt:lpstr>
      <vt:lpstr>Bag 2 (Kompetensi)-Dev</vt:lpstr>
      <vt:lpstr>MODAL SETELAH LOGIN KPI</vt:lpstr>
      <vt:lpstr>I. PM</vt:lpstr>
      <vt:lpstr>II. IDP</vt:lpstr>
      <vt:lpstr>I. KPI</vt:lpstr>
      <vt:lpstr>Rekapitulasi dan Checklist</vt:lpstr>
      <vt:lpstr>Bag 4 Final Rating</vt:lpstr>
      <vt:lpstr>'Bag 1 (KPI &amp; PA)'!Print_Area</vt:lpstr>
      <vt:lpstr>'Bag 1 (KPI &amp; PA) strata'!Print_Area</vt:lpstr>
      <vt:lpstr>'Bag 2 (Kompetensi)-Dev'!Print_Area</vt:lpstr>
      <vt:lpstr>'Bag 4 Final Rating'!Print_Area</vt:lpstr>
      <vt:lpstr>Cover!Print_Area</vt:lpstr>
      <vt:lpstr>'I. KPI'!Print_Area</vt:lpstr>
      <vt:lpstr>'I. PM'!Print_Area</vt:lpstr>
      <vt:lpstr>'II. IDP'!Print_Area</vt:lpstr>
      <vt:lpstr>Pedoman!Print_Area</vt:lpstr>
      <vt:lpstr>'Rekapitulasi dan Checklist'!Print_Area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cp:lastModifiedBy>
  <cp:lastPrinted>2026-01-18T18:39:02Z</cp:lastPrinted>
  <dcterms:created xsi:type="dcterms:W3CDTF">2017-02-07T01:55:50Z</dcterms:created>
  <dcterms:modified xsi:type="dcterms:W3CDTF">2026-07-04T06:38:54Z</dcterms:modified>
</cp:coreProperties>
</file>