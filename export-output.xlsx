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oman" state="visible" r:id="rId4"/>
    <sheet sheetId="2" name="Cover" state="visible" r:id="rId5"/>
    <sheet sheetId="3" name="Bag 1 (KPI &amp; PA)" state="visible" r:id="rId6"/>
    <sheet sheetId="4" name="Bag 1 (KPI &amp; PA) strata" state="visible" r:id="rId7"/>
    <sheet sheetId="5" name="Bag 2 (Kompetensi)-Dev" state="visible" r:id="rId8"/>
    <sheet sheetId="6" name="MODAL SETELAH LOGIN KPI" state="visible" r:id="rId9"/>
    <sheet sheetId="7" name="I. PM" state="visible" r:id="rId10"/>
    <sheet sheetId="8" name="II. IDP" state="visible" r:id="rId11"/>
    <sheet sheetId="9" name="I. KPI" state="visible" r:id="rId12"/>
    <sheet sheetId="10" name="Rekapitulasi dan Checklist" state="visible" r:id="rId13"/>
    <sheet sheetId="11" name="Bag 4 Final Rating" state="visible" r:id="rId14"/>
  </sheets>
  <calcPr calcId="171027"/>
</workbook>
</file>

<file path=xl/sharedStrings.xml><?xml version="1.0" encoding="utf-8"?>
<sst xmlns="http://schemas.openxmlformats.org/spreadsheetml/2006/main" count="698" uniqueCount="466">
  <si>
    <t>Pedoman Proses Performance Management 2017</t>
  </si>
  <si>
    <t>Cover</t>
  </si>
  <si>
    <t>Data-data karyawan yang harus diisi dan penjelasan umum mengenai PA Tool.</t>
  </si>
  <si>
    <t xml:space="preserve">Bagian 1:
2017 KPI &amp; PA</t>
  </si>
  <si>
    <t xml:space="preserve">Pada bagian ini, atasan dan karyawan menuliskan target-target kinerja yang disepakati untuk dicapai di tahun berjalan - secara S.M.A.R.T.
Setiap target yang akan dicapai harus disepakati bobot-nya masing-masing, dengan total 100%.
Kemudian proses penilaian dilakukan terhadap target yang telah disetujui, masing-masing target diberikan rating kinerja berdasarkan indikator kinerja yang telah dituliskan.</t>
  </si>
  <si>
    <t xml:space="preserve">Bagian 2 :
Kompetensi</t>
  </si>
  <si>
    <t xml:space="preserve">Hasil penilaian atas setiap kompetensi yang dipersyaratkan.
Penilaian atas setiap kompetensi dilakukan dengan menuliskan angka di kotak yang dimaksud (1,2, 3, 4 atau 5).
Tool ini akan secara otomatis menjumlahkan Nilai Total penilaian dari seluruh kompetensi yang relevan.</t>
  </si>
  <si>
    <t xml:space="preserve">Bagian 3 : 
 Rencana Pengembangan Individu 2018</t>
  </si>
  <si>
    <t xml:space="preserve">Pada bagian ini, atasan dan karyawan menetapkan Program Pengembangan yang diperlukan untuk Kompetensi Teknis maupun Umum.
</t>
  </si>
  <si>
    <t xml:space="preserve">Bagian 4 :
Final Rating</t>
  </si>
  <si>
    <t xml:space="preserve">Adalah Nilai Total yang dihitung secara otomatis berdasarkan penilaian atas pencapaian KPI (Bagian 1) dan setiap kompetensi di Bagian 2.
Atasan dan Karyawan dapat menuliskan komentar dan menanda-tangani hasil penilaian yang disetujui melalui diskusi.</t>
  </si>
  <si>
    <t>Nama Karyawan</t>
  </si>
  <si>
    <t>Antonius Hermawan Susilo</t>
  </si>
  <si>
    <t>Atasan Langsung</t>
  </si>
  <si>
    <t>Rating</t>
  </si>
  <si>
    <t>Posisi</t>
  </si>
  <si>
    <t>Poor</t>
  </si>
  <si>
    <t>Nomor Induk Karyawan</t>
  </si>
  <si>
    <t>Reviewer</t>
  </si>
  <si>
    <t>Fair</t>
  </si>
  <si>
    <t>Tanggal Pengangkatan</t>
  </si>
  <si>
    <t>Good</t>
  </si>
  <si>
    <t>Departemen</t>
  </si>
  <si>
    <t>Nilai Tahun Sebelumnya</t>
  </si>
  <si>
    <t>Very Good</t>
  </si>
  <si>
    <t>Divisi</t>
  </si>
  <si>
    <t>Rating Tahun Sebelumnya</t>
  </si>
  <si>
    <t>Excellent</t>
  </si>
  <si>
    <t>Proyek</t>
  </si>
  <si>
    <t>Periode Penilaian</t>
  </si>
  <si>
    <t>Januari-Juni</t>
  </si>
  <si>
    <t>Juli-Desember</t>
  </si>
  <si>
    <t xml:space="preserve">Nama </t>
  </si>
  <si>
    <t>Total Score</t>
  </si>
  <si>
    <t>NIK</t>
  </si>
  <si>
    <t>Dept</t>
  </si>
  <si>
    <t>Weight                          (Total 100%)</t>
  </si>
  <si>
    <t>Performance Target (SMART)</t>
  </si>
  <si>
    <t>Specific Measurement (Criteria of Success)</t>
  </si>
  <si>
    <t>Performance Rating</t>
  </si>
  <si>
    <t>Achievement</t>
  </si>
  <si>
    <t>Score</t>
  </si>
  <si>
    <t>Evidence Document</t>
  </si>
  <si>
    <t>Wight per KPI</t>
  </si>
  <si>
    <t>3-5 major performance target for the whole year</t>
  </si>
  <si>
    <t>KPI 1</t>
  </si>
  <si>
    <t>Min</t>
  </si>
  <si>
    <t>KPI 2</t>
  </si>
  <si>
    <t>KPI 3</t>
  </si>
  <si>
    <t>KPI 4</t>
  </si>
  <si>
    <t>KPI 5</t>
  </si>
  <si>
    <t>Total Weight</t>
  </si>
  <si>
    <t>:</t>
  </si>
  <si>
    <t>Discussed and agreed at the beginning of the year</t>
  </si>
  <si>
    <t>Discussed and agreed during the Mid-Year Feedback</t>
  </si>
  <si>
    <t>Employee (Name, Signature)</t>
  </si>
  <si>
    <t>Direct Superior (Name, Signature)</t>
  </si>
  <si>
    <t>Reviewer (Name, Signature)</t>
  </si>
  <si>
    <t>TOTAL SCORE</t>
  </si>
  <si>
    <t>3-5 Major Performance Target for the Whole Year</t>
  </si>
  <si>
    <t>(Poor)</t>
  </si>
  <si>
    <t>(Fair)</t>
  </si>
  <si>
    <t>(Good)</t>
  </si>
  <si>
    <t>(Very Good)</t>
  </si>
  <si>
    <t>(Excellent)</t>
  </si>
  <si>
    <t>Discussed and agreed during the mid-year feedback</t>
  </si>
  <si>
    <t>Discussed and agreed as a final score at the end of year</t>
  </si>
  <si>
    <t>Employee                              (Name, Signature)</t>
  </si>
  <si>
    <t>Reviewer                     (Name, Signature)</t>
  </si>
  <si>
    <t>A</t>
  </si>
  <si>
    <t>TECHNICAL KNOWLEDGE/SKILL</t>
  </si>
  <si>
    <t xml:space="preserve">Tingkat kemampuan karyawan dalam hal menerapkan pengetahuan atau keterampilan teknis utama untuk menjalankan pekerjaan. </t>
  </si>
  <si>
    <t>Competency</t>
  </si>
  <si>
    <t>Kriteria Rating</t>
  </si>
  <si>
    <t xml:space="preserve">Rating </t>
  </si>
  <si>
    <t>Perilaku yang Ditunjukkan</t>
  </si>
  <si>
    <t>Poor (≤69)</t>
  </si>
  <si>
    <t>Fair (70 - ≤89)</t>
  </si>
  <si>
    <t>Good (90 - ≤100)</t>
  </si>
  <si>
    <t>Very Good (100 - ≤110)</t>
  </si>
  <si>
    <t>Excellence (&gt;110)</t>
  </si>
  <si>
    <t xml:space="preserve">Belum memiliki standar  pengetahuan dan/atau keterampilan kerja yang diperlukan. </t>
  </si>
  <si>
    <t>Kurang memahami pekerjaan saat ini, serta kurang didukung oleh standar pengetahuan dan/atau keterampilan kerja yang diperlukan.</t>
  </si>
  <si>
    <t>Memahami pekerjaannya saat ini, dan mampu menerapkan pengetahuan dan/atau keterampilan kerja yang dimilikinya dengan baik sesuai dengan tujuan unit/perusahaan.</t>
  </si>
  <si>
    <t>Memahami pekerjaanya saat ini. Pengetahuan dan/atau keterampilan yang dimiliki melebihi yang diperlukan saat ini, dan mampu menerapkannya sesuai dengan kebutuhan unit/perusahaan.</t>
  </si>
  <si>
    <t>Sangat memahami pekerjaanya saat ini. Bahkan memiliki pengetahuan dan/atau keterampilan yang  jauh melebihi yang diperlukan saat ini, dan mampu menerapkannya sesuai dengan kebutuhan unit/perusahaan.</t>
  </si>
  <si>
    <t>B</t>
  </si>
  <si>
    <t>CORE COMPETENCIES</t>
  </si>
  <si>
    <t>STRIVE FOR EXCELLENCE                                              Kemampuan bekerja yang efektif dan efisien untuk mencapai sasaran (hasil) dan prestasi yang lebih baik/melebihi standar.</t>
  </si>
  <si>
    <t>Belum mencapai standar atau target yang ditetapkan.</t>
  </si>
  <si>
    <t>Mencapai standar atau target yang ditetapkan.</t>
  </si>
  <si>
    <t>Mencapai hasil kerja melebihi standar atau target.</t>
  </si>
  <si>
    <t>Proaktif dan memotivasi rekan kerja dan dirinya sendiri dalam mencapai sasaran yang menantang.</t>
  </si>
  <si>
    <t>Menjadi teladan untuk orang lain dalam pencapaian sasaran atau prestasi yang melebili target perusahaan</t>
  </si>
  <si>
    <t>Indikator Perilaku</t>
  </si>
  <si>
    <t>Kurang bersungguh-sungguh dalam menjalankan tugas (tidak menunjukkan tanggung jawabnya).</t>
  </si>
  <si>
    <t>Menjalankan tugas sesuai dengan tanggung jawabnya dan memberikan hasil kerja sesuai target</t>
  </si>
  <si>
    <t>Mampu mencapai target di atas target perusahaan.</t>
  </si>
  <si>
    <t>Proaktif untuk mencari tantangan, sebagai upaya meningkatkan kemampuan dan prestasi kerjanya.</t>
  </si>
  <si>
    <t>Menjadi teladan abgi orang lain dalam berprestasi.</t>
  </si>
  <si>
    <t>Bekerja sebatas pada instruksi yang diberikan, tetapi target tidak tercapai.</t>
  </si>
  <si>
    <t>Bekerja keras dan memberikan standar kerja yang sesuai dengan target.</t>
  </si>
  <si>
    <t>Melakukan sesuatu lebih baik, lebih cepat, lebih efisien untuk meningkatkan kualitas.</t>
  </si>
  <si>
    <t>Menetapkan sasaran yang belum pernah dicapai sebelumnya.</t>
  </si>
  <si>
    <t>Menginvestasikan sumber daya dan waktu yang signifikan untuk meningkatkan prestasi.</t>
  </si>
  <si>
    <t>Mudah menyerah jika menghadapi kesulitan atau tantangan baru.</t>
  </si>
  <si>
    <t>Menganggap kerja sebagai beban yang harus dikerjakan.</t>
  </si>
  <si>
    <t>Melakukan perbaikan-perbaikan terhadap kinerja selama ini sehingga mencapai ahsil kerja yang melampaui target.</t>
  </si>
  <si>
    <t>Membimbing dan memotivasi orang lain dalam menetapkan standar kerja dan mencapai kinerja di atas target perusahaan.</t>
  </si>
  <si>
    <t>Membuat keputusan, menetapkan prioritas atau memilih sasaran berdasarkan perhitungan input dan output.</t>
  </si>
  <si>
    <t>SERVICE QUALITY ORIENTED                                                         Keinginan untuk membantu atau melayani orang lain (pelanggan eksternal dan internal) secara total sesuai dengan kebutuhan mereka.</t>
  </si>
  <si>
    <t>Belum memiliki mental pelayanan kepada pelanggan.</t>
  </si>
  <si>
    <t>Mampu memberikan pelayanan sesuai dengan standar kualitas.</t>
  </si>
  <si>
    <t>Fokus kepada kebutuhan pelanggan.</t>
  </si>
  <si>
    <t>Memberikan pelayanan yang memuaskan secara konsisten kepada pelanggan.</t>
  </si>
  <si>
    <t>Mengembangkan metode baru dan menggunakan perspektif jangka panjang dalam melakukan pelayanan bernilai tambah.</t>
  </si>
  <si>
    <t>Belum memahami arti pentingnya pelanggan bagi perusahaan.</t>
  </si>
  <si>
    <t>Mengetahui aturan-aturan yang berlaku dalam rangka pemenuhan kebutuhan pelanggan.</t>
  </si>
  <si>
    <t>Memberikan pelayanan sesuai kebutuhan pelanggan.</t>
  </si>
  <si>
    <t>Mempertahankan hubungan dengan pelanggan dalam jangka panjang.</t>
  </si>
  <si>
    <t>Bekerja dengan menggunakan perspektif jangka panjang (antisipasi kebutuhan) dalam menjawab masalah pelanggan.</t>
  </si>
  <si>
    <t>Memberikan pelayanan, tetapi tidak sesuai kebutuhan pelanggan.</t>
  </si>
  <si>
    <t>Memahami pentingnya memberikan pelayanan.</t>
  </si>
  <si>
    <t>Menindaklanjuti permintaan, pelayanan dan keluhan pelanggan secara cepat dan tepat.</t>
  </si>
  <si>
    <t>Memberikan pelayanan memuaskan secara konsisten yang menumbuhkan loyalitas pelanggan.</t>
  </si>
  <si>
    <t>Mengembangkan cara-cara (solusi) untuk meningkatkan kualitas pelayanan.</t>
  </si>
  <si>
    <t>Menyalahkan pelanggan jika muncul hasil yang tidak memuaskan.</t>
  </si>
  <si>
    <t>Tidak pernah jenuh untuk mengatasi keluhan pelanggan.</t>
  </si>
  <si>
    <t>Mengetahui cara-cara memuaskan pelanggan dan melakukannya dengan hal yang dirasa cukup penting.</t>
  </si>
  <si>
    <t>Mampu memberikan saran atau pandangan yang membantu pelanggan dalam menyelesaikan masalah.</t>
  </si>
  <si>
    <t>Berinisiatif menanyakan keperluan atau kebutuhan serta mencoba membuat perencanaan pemenuhan kebutuhan pelanggan di masa yang akan datang.</t>
  </si>
  <si>
    <t>INTEGRITY                                Berperilaku secara jujur, adil, beretika dan menunjukkan konsistensi dalam kata dan tindakan sesuai dengan nilai-nilai sehingga dapat membangun kepercayaan orang lain. Nilai-nilai ini berupa nilai moral, nilai masyarakat, nilai kode etik profesi atau bisnis.</t>
  </si>
  <si>
    <t>Belum bertindak sesuai dengan kode etik dan nilai-nilai (values) perusahaan.</t>
  </si>
  <si>
    <t>Memahami dan mengenali perilaku sesuai kode etik dan nilai-nilai (values) perusahaan.</t>
  </si>
  <si>
    <t>Melakukan tindakan yang konsisten dengan nilai (values) dan keyakinannya.</t>
  </si>
  <si>
    <t>Bertindak berdasarkan nilai (values) meskipun sulit untuk melakukan itu.</t>
  </si>
  <si>
    <t>Bertindak berdasarkan nilai (values) walaupun ada risiko yang harus ditanggung.</t>
  </si>
  <si>
    <t>Belum mengikuti kode etik profesi dan values perusahaan.</t>
  </si>
  <si>
    <t>Mengikuti kode etik profesi dan values perusahaan.</t>
  </si>
  <si>
    <t>Melakukan tindakan yang cukup konsisten dengan nilai dan keyakinan.</t>
  </si>
  <si>
    <t>Bertindak konsisten dengan nilai-nilai meskipun sulit melakukannya.</t>
  </si>
  <si>
    <t>Mengambil tindakan atas perilaku orang lain yang tidak etis, meskipun ada risiko yang signifikan untuk diri sendiri dan pekerjaan.</t>
  </si>
  <si>
    <t>Tidak konsisten dalam kata dan tindakan.</t>
  </si>
  <si>
    <t>Menggunakan dan mengolah sumberdaya di dalam lingkup dan otoritasnya.</t>
  </si>
  <si>
    <t>Menyimpan rahasia informasi organisasi dan probadi.</t>
  </si>
  <si>
    <t>Secara terbuka mengakui telah melakukan kesalahan.</t>
  </si>
  <si>
    <t>Bersedia untuk mundur atau menarik produk/jasa karena praktik bisnis yang tidak etis.</t>
  </si>
  <si>
    <t>Sulit untuk mendapatkan kepercayaan orang lain.</t>
  </si>
  <si>
    <t>Kadang orang lain sulit untuk percaya.</t>
  </si>
  <si>
    <t>Melakukan pendekatan dengan orang lain secara tulus dan positif.</t>
  </si>
  <si>
    <t>Dapat dipercaya oleh orang lain.</t>
  </si>
  <si>
    <t>Menentang orang-orang yang mempunyai kekuasaan demi menegakkan nilai.</t>
  </si>
  <si>
    <t>C</t>
  </si>
  <si>
    <t>LEADERSHIP/INTERPERSONAL COMPETENCIES</t>
  </si>
  <si>
    <t xml:space="preserve">LEADERSHIP (SPV-above)                                       Kemampuan untuk mengambil peran sebagai pemimpin dalam suatu kelompok dan memastikan adanya kejelasan di antara anggota kelompok. Kepemimpinan kelompok umumnya (tetapi tidak selalu) muncul dari posisi atau otoritas formal. </t>
  </si>
  <si>
    <t>Belum mampu menunjukkan perannya sebagai pemimpin dalam kelompok.</t>
  </si>
  <si>
    <t>Mempunyai sasaran atau tujuan dan mengorganisasi kelompok dengan baik.</t>
  </si>
  <si>
    <t>Mampu melakukan kontrol, evaluasi dan melakukan tindakan korektif dalam kelompoknya.</t>
  </si>
  <si>
    <t>Mampu mengefektifkan dan melindungi reputasi kelompok.</t>
  </si>
  <si>
    <t>Melakukan tindakan-tindakan yang bertujuan untuk menumbuhkan komitmen anggotanya untuk membangun dan melindungi reputasi kelompok.</t>
  </si>
  <si>
    <t>Melepaskan tanggung jawab, emnolak atau gagal memimpin bawahannya.</t>
  </si>
  <si>
    <t>Mampu mengemukakan secara jelas tujuan dan agenda dalam pertemuan.</t>
  </si>
  <si>
    <t>Memastikan anggota kelompok mendapatkan informasi yang diperlukan.</t>
  </si>
  <si>
    <t>Meningkatkan efektifitas kerja dan produktivitas kelompok (merekrut, mengeluarkan anggota, memberi pelatihan, dll).</t>
  </si>
  <si>
    <t>Mampu memberikan teladan kepada anggota kelompok dengan menunjukkan perilaku seorang pemimpin yang mengayomi.</t>
  </si>
  <si>
    <t>Belum mempunyai program kerja atau tujuan yang akan dicapai.</t>
  </si>
  <si>
    <t>Mampu mengatur alokasi waktu dengan efisien sehingga anggota kelompok dapat bekerja dengan maksimal.</t>
  </si>
  <si>
    <t>Mengatasi konflik dan perbedaan pendapat yang ada dalam kelompok untuk mendapatkan win-win solution.</t>
  </si>
  <si>
    <t>Memastikan kebutuhan praktis kelompok terpenuhi: mendapatkan orang yang tepat, sumber daya dan informasi.</t>
  </si>
  <si>
    <t>Menetapkan norma bagi perilaku kelompok dan memberikan sanksi bagi mereka yang melanggar.</t>
  </si>
  <si>
    <t>Belum bisa membagi tugas kepada anggota kelompok.</t>
  </si>
  <si>
    <t>Mampu membagi tugas kepada anggota kelompok sesuai keahlian dan potensi masing-masing anggota.</t>
  </si>
  <si>
    <t>Melakukan kontrol terhadap kendala atau hambatan yang muncul dalam kelompok dan melakukan tindakan korektif untuk mencapai tujuan.</t>
  </si>
  <si>
    <t>Melakukan tindakan-tindakan yang bertujuan untuk membangun dan melindungi reputasi kelompok.</t>
  </si>
  <si>
    <t>Menyampaikan visi dan misi perusahaan yang menimbulkan antusiasme, energi dan komitmen bagi kelompoknya.</t>
  </si>
  <si>
    <t>INCLUSIVENESS                                      Kemampuan menjalin dan mengembangkan hubungan kemitraan yang saling menguntungkan dengan klien dan unit kerja (para pihak) sebagai prioritas utama.</t>
  </si>
  <si>
    <t>Belum mampu menjalin dan mengembangkan hubungan baik dengan para pihak.</t>
  </si>
  <si>
    <t>Mampu menjalin dan mengembangkan hubungan baik dengan para pihak yang terkait dengan pekerjaannya.</t>
  </si>
  <si>
    <t>Mampu menjalin dan mengambangkan hubungan kemitraan dengan para pihak sebagai prioritas utama yang tidak sebatas pada bidang pekerjaannya (lebih luas).</t>
  </si>
  <si>
    <t>Mampu memengaruhi (lobi) dan menggerakkan para pihak untuk kemajuan perusahaan.</t>
  </si>
  <si>
    <t>Menunjukkan ide dan gagasan baru untuk menjalin dan mengembangkan hubungan kemitraan sebagai prioritas utama.</t>
  </si>
  <si>
    <t>Jarang menghubungi/berkomunikasi dengan para pihak.</t>
  </si>
  <si>
    <t>Mampu membangun hubungan baik dengan para pihak sesuai bidang pekerjaannya dalam jangka waktu panjang.</t>
  </si>
  <si>
    <t>Menjalin dan mengembangkan hubungan kemitraan dengan para pihak yang tidak sebatas pada tuntutan pekerjaannya.</t>
  </si>
  <si>
    <t>Memberikan rasa percaya kepada pihak demi kemajuan perusahaan.</t>
  </si>
  <si>
    <t>Menghasilkan pendekatan, ide atau gagasan kemitraan yang menghasilkan keuntungan strategis yang signifikan bagi kedua belah pihak.</t>
  </si>
  <si>
    <t>Tidak mencari atau mengenali peluang untuk mengembangkan hubungan dengan para pihak.</t>
  </si>
  <si>
    <t>Berinisiatif menghubungi para pihak dalam upaya menyelesaikan pekerjaannya.</t>
  </si>
  <si>
    <t>Merespons kebutuhan para pihak dengan cepat, tepat dan mampu berempati terhadap para pihak.</t>
  </si>
  <si>
    <t>Mampu memengaruhi pihak-pihak yang berpengaruh signifikan untuk melakukan kerjasama dengan perusahaan.</t>
  </si>
  <si>
    <t>Efektif mengembangkan cara untuk menyederhanakan atau menambahkan nilai untuk bekerja bersama.</t>
  </si>
  <si>
    <t>Sering tidak menindaklanjuti komitmen dengan para pihak.</t>
  </si>
  <si>
    <t>Menunjukkan perhatian dan antusiasme dalam berinteraksi dengan para pihak.</t>
  </si>
  <si>
    <t>Bermitra dengan orang lain untuk mencapai tujuan dan saling menguntungkan.</t>
  </si>
  <si>
    <t>Mengusulkan dan membahas berbagai pendekatan kemitraan dan memfasilitasi kerjasama.</t>
  </si>
  <si>
    <t>Mampu memotivasi lingkungan kerja untuk menjalin dan mengembangkan hubungan baik dengan pihak lain demi kemajuan perusahaan.</t>
  </si>
  <si>
    <t>TOTAL COMPETENCY DILENGKAPI</t>
  </si>
  <si>
    <t>TOTAL RATING</t>
  </si>
  <si>
    <t xml:space="preserve">I. </t>
  </si>
  <si>
    <t>PEDOMAN PELAKSANAAN PENILAIAN KINERJA INDIVIDU</t>
  </si>
  <si>
    <t xml:space="preserve">A. </t>
  </si>
  <si>
    <t>TUJUAN</t>
  </si>
  <si>
    <t>Memonitor kinerja karyawan sekaligus memberikan feedback secara formal terhadap pencapaian KPI.</t>
  </si>
  <si>
    <t>Memberikan apresiasi atas prestasi yang telah dicapai dan  motivasi untuk target yang belum tercapai.</t>
  </si>
  <si>
    <t>Mendiskusikan program pengembangan yang dibutuhkan untuk meningkatkan kompetensi yang menjadi landasan pendukung pertumbuhan perusahaan.</t>
  </si>
  <si>
    <t xml:space="preserve">B. </t>
  </si>
  <si>
    <t>TAHAPAN</t>
  </si>
  <si>
    <t>Atur pertemuan dengan anak buah.</t>
  </si>
  <si>
    <t>Kumpulkan dokumen untuk memberikan feedback.</t>
  </si>
  <si>
    <t>Mintalah anak buah untuk membawa dokumennya sendiri.</t>
  </si>
  <si>
    <t>Diskusikan target yang telah tercapai dan target yang belum tercapai.</t>
  </si>
  <si>
    <t>Tanyakan hambatan anak buah dalam mencapai kinerja yang diharapkan.</t>
  </si>
  <si>
    <t>Diskusikan solusi dan program pengembangan kompetensi yang diperlukan.</t>
  </si>
  <si>
    <t>Lengkapi dokumen penilaian.</t>
  </si>
  <si>
    <t>Komitmen bersama untuk melakukan follow up hasil diskusi.</t>
  </si>
  <si>
    <t xml:space="preserve">II. </t>
  </si>
  <si>
    <t>PEDOMAN PENYUSUNAN TARGET/KPI INDIVIDU</t>
  </si>
  <si>
    <t>KPI Individu diturunkan dari KPI atasan karyawan yang bersangkutan (cascading down).</t>
  </si>
  <si>
    <t>KPI disiapkan sampai dengan level Staff.</t>
  </si>
  <si>
    <t>KPI merupakan target kerja individu untuk satu tahun, atau untuk periode 1 Januari-31 Desember.</t>
  </si>
  <si>
    <t>Penyusunan KPI adalah dengan berpedoman pada aspek Balance Score Card, yang terdiri dari aspek:</t>
  </si>
  <si>
    <t>a.</t>
  </si>
  <si>
    <t xml:space="preserve">Keuangan (Financial), </t>
  </si>
  <si>
    <t>b.</t>
  </si>
  <si>
    <t xml:space="preserve">Pelanggan (Customer), </t>
  </si>
  <si>
    <t>c.</t>
  </si>
  <si>
    <t xml:space="preserve">Proses Bisnis Internal (Internal Business Process), </t>
  </si>
  <si>
    <t>d.</t>
  </si>
  <si>
    <t xml:space="preserve">Pembelajaran dan Pertumbuhan (Learning &amp; Growth). </t>
  </si>
  <si>
    <t>Satuan Target Kerja yang ditetapkan adalah satuan yang terukur, agar mudah melakukan evaluasi dan penilaian.</t>
  </si>
  <si>
    <t>Persetujuan KPI adalah sesuai dengan struktur yang berlaku, yakni oleh atasan langsung dan atasan berikutnya.</t>
  </si>
  <si>
    <t>INDIVIDUAL KEY PERFORMANCE INDICATOR (KPI)* -- Contoh Pengisian</t>
  </si>
  <si>
    <t xml:space="preserve"> TAHUN: </t>
  </si>
  <si>
    <t>:  2026</t>
  </si>
  <si>
    <t>NAMA/NAME</t>
  </si>
  <si>
    <t>JABATAN/POSITION</t>
  </si>
  <si>
    <t>NIK/EMPLOYEE ID</t>
  </si>
  <si>
    <t>DEPT./DEPARTMENT</t>
  </si>
  <si>
    <t>DIVISI/DIVISION</t>
  </si>
  <si>
    <t>I. KPI (60%) / RESULT</t>
  </si>
  <si>
    <t>NO</t>
  </si>
  <si>
    <t>BSC ASPECTS</t>
  </si>
  <si>
    <t xml:space="preserve">KPI
 (MAJOR PERFORMANCE TARGET)</t>
  </si>
  <si>
    <t xml:space="preserve">DEFINISI KPI
(DEFINITION OF KPI)</t>
  </si>
  <si>
    <t xml:space="preserve">PENGUKURAN
(CRITERIA OF SUCCESS)</t>
  </si>
  <si>
    <t xml:space="preserve">BOBOT 
(WEIGHT)</t>
  </si>
  <si>
    <t xml:space="preserve">SKALA PENCAPAIAN 
(PERFORMANCE RATING)</t>
  </si>
  <si>
    <t xml:space="preserve">PENCAPAIAN
(ACHIEVEMENT)</t>
  </si>
  <si>
    <t xml:space="preserve">SKALA
(RATING)</t>
  </si>
  <si>
    <t xml:space="preserve">NILAI 
(SCORE)</t>
  </si>
  <si>
    <t xml:space="preserve">
(EVIDENCE DOCUMENTS) ***</t>
  </si>
  <si>
    <t xml:space="preserve">SUMBER DATA
(SOURCE OF DATA)</t>
  </si>
  <si>
    <t xml:space="preserve">MANUAL
(√ )</t>
  </si>
  <si>
    <t xml:space="preserve">SYSTEM
(√ )</t>
  </si>
  <si>
    <t>FINANCE</t>
  </si>
  <si>
    <t>F1</t>
  </si>
  <si>
    <t>% Deviasi Anggaran IT</t>
  </si>
  <si>
    <t xml:space="preserve">Mengukur persentase realisasi anggaran IT terhadap rencana anggaran  </t>
  </si>
  <si>
    <t xml:space="preserve">(A/B) * 100
Dimana:                   
A = Aktual pengunaan budget 
B = Total budget </t>
  </si>
  <si>
    <t xml:space="preserve">&gt;110% Penggunaan Budget </t>
  </si>
  <si>
    <t xml:space="preserve">Penggunaan Budget 
101 %≤  Actual ≤ 110% </t>
  </si>
  <si>
    <t xml:space="preserve">100% ;Penggunaan Budget </t>
  </si>
  <si>
    <t xml:space="preserve">
90% ≤ Actual ≤ 99% ; Penggunaan Budget</t>
  </si>
  <si>
    <t>Penggunaan Budge &lt; 90%</t>
  </si>
  <si>
    <t>Terlampir</t>
  </si>
  <si>
    <t>Laporan Realisasi Budget Legal</t>
  </si>
  <si>
    <t>CUSTOMER</t>
  </si>
  <si>
    <t>C1</t>
  </si>
  <si>
    <t>Kepuasan user terhadap layanan IT</t>
  </si>
  <si>
    <t>Mengukur kepuasan maanajeman terhadap pelayanan legal termasuk; legal advice, penyelesaian dispute dan lain -lainya; dikukur dengan menggunakan survey</t>
  </si>
  <si>
    <t xml:space="preserve">A,  Angka ; Berdasarkan hasil survey
Dimana :
A = Hasil penilaian dari  pengukuran  
      survey kuesioner oleh manajemen
</t>
  </si>
  <si>
    <t>Score 1</t>
  </si>
  <si>
    <t>Score 2</t>
  </si>
  <si>
    <t>Score 3</t>
  </si>
  <si>
    <t>Score 4</t>
  </si>
  <si>
    <t>Score 5</t>
  </si>
  <si>
    <t>Laporan tender</t>
  </si>
  <si>
    <t>Laporan Audit Compliance+</t>
  </si>
  <si>
    <t xml:space="preserve">INTERNAL BUSINESS
PROCESS</t>
  </si>
  <si>
    <t>IBP 1</t>
  </si>
  <si>
    <t>% Ketepatan waktu dalam penyelesaian perbaikan hardware &amp; Software</t>
  </si>
  <si>
    <t xml:space="preserve">Mengukur persentase penyelesaian perbaikan hardware dan software tepat waktu
SLA;</t>
  </si>
  <si>
    <t xml:space="preserve">(A/B) * 100 %
Dimana:
A = Jumlah perbaikan tepat waktu
B = Jumlah permintaan perbaikan</t>
  </si>
  <si>
    <t xml:space="preserve"> &lt; 70% Jumlah perbaikan tepat waktu</t>
  </si>
  <si>
    <t xml:space="preserve"> 70% - &lt;80% Jumlah perbaikan tepat waktu</t>
  </si>
  <si>
    <t xml:space="preserve"> 80% - &lt;90% Jumlah perbaikan tepat waktu</t>
  </si>
  <si>
    <t xml:space="preserve"> 90% - &lt;100% Jumlah perbaikan tepat waktu</t>
  </si>
  <si>
    <t xml:space="preserve"> 100% Jumlah perbaikan tepat waktu</t>
  </si>
  <si>
    <t>Laporan Anggaran Proyek</t>
  </si>
  <si>
    <t>IBP 2</t>
  </si>
  <si>
    <t>% Ketepatan waktu dalam software/ aplikasi development</t>
  </si>
  <si>
    <t>Mengukur persentase ketepatan waktu dalam melakukan pengembangan software/ aplikasi sesuai dengan permintaan user</t>
  </si>
  <si>
    <t xml:space="preserve">(A/B) * 100 %
Dimana:
A = Pengembangan  tepat waktu
B = Schedule pengebangan </t>
  </si>
  <si>
    <t xml:space="preserve"> &lt; 70% Pra Kualifikasi /Tender diselesaikan tepat waktu</t>
  </si>
  <si>
    <t xml:space="preserve"> 70% - &lt;80% Pra Kualifikasi /Tender diselesaikan tepat waktu</t>
  </si>
  <si>
    <t xml:space="preserve"> 80% - &lt;90% Pra Kualifikasi /Tender diselesaikan tepat waktu</t>
  </si>
  <si>
    <t xml:space="preserve"> 90% - &lt;100% Pra Kualifikasi /Tender diselesaikan tepat waktu</t>
  </si>
  <si>
    <t>Laporan Tenik/ Pra Kualifikasi/ Tender</t>
  </si>
  <si>
    <t>LEARNINNG &amp; GROWTH</t>
  </si>
  <si>
    <t>L1</t>
  </si>
  <si>
    <t>% Kepatuhan terhadap SOP</t>
  </si>
  <si>
    <t>Mengukur proporsi pemenuhan operasional dari standar, prosedur berdasarkan kebijakan, standar dan SOP yang telah disusun.</t>
  </si>
  <si>
    <t xml:space="preserve">(A/B) * 100%
Dimana :
A = Pelaksanaan / Jumlah temuan 
      prosedur yang memenuhi prinsip, 
      kebijakan dan proses yang 
      berlaku
B = Total SOP </t>
  </si>
  <si>
    <t xml:space="preserve"> &lt; 70% SOP dijalankan</t>
  </si>
  <si>
    <t xml:space="preserve"> 70% - &lt;80% SOP dijalankan</t>
  </si>
  <si>
    <t xml:space="preserve"> 80% - &lt;90% SOP dijalankan</t>
  </si>
  <si>
    <t xml:space="preserve"> 90% - &lt;100% SOP dijalankan</t>
  </si>
  <si>
    <t xml:space="preserve"> 100% SOP dijalankan</t>
  </si>
  <si>
    <t>Laporan Audit Compliance</t>
  </si>
  <si>
    <t>II. KOMPETENSI (40%) / PROSES</t>
  </si>
  <si>
    <t>KOMPETENSI</t>
  </si>
  <si>
    <t>DEFINISI KOMPETENSI</t>
  </si>
  <si>
    <t>SKALA KECOCOKAN</t>
  </si>
  <si>
    <t>KECOCOKAN</t>
  </si>
  <si>
    <t xml:space="preserve">DOCUMENT PENDUKUNG
(EVIDENCE DOCUMENTS) ***</t>
  </si>
  <si>
    <t>KOMPETENSI TEKNIS</t>
  </si>
  <si>
    <t>PEMOGRAMAN</t>
  </si>
  <si>
    <t>Kemampuan untuk melakukan kegiatan pemeliharaan, perbaikan atau trouble shooting untuk menjaga keandalan aplikasi IT (hardware &amp; software).</t>
  </si>
  <si>
    <t xml:space="preserve">Membuat program dengan bahasa pemrograman </t>
  </si>
  <si>
    <t>Membuat dan melakukan testing program</t>
  </si>
  <si>
    <t xml:space="preserve">Memberikan support dan melakukan perubahan pada program yang sudah ada </t>
  </si>
  <si>
    <t xml:space="preserve">Membuat dan melakukan testing dengan hasil optimal dengan </t>
  </si>
  <si>
    <t>Memberikan support dan melakukan perubahan pada program yang sudah ada</t>
  </si>
  <si>
    <t>Laporan keuangan project</t>
  </si>
  <si>
    <t>V</t>
  </si>
  <si>
    <t>PENGETAHUAN KOMPUTER &amp; SERVER</t>
  </si>
  <si>
    <t>Kemampuan dalam menyelesaikan masalah atau kasus hukum berdasarkan peraturan dan perundang undangan yang berlaku.</t>
  </si>
  <si>
    <t>Melakukan instalasi, konfigurasi, dan maintenance untuk desktop Windows dan Linux, serta perangkat pendukungnya (printer, modem, scanner, dll).</t>
  </si>
  <si>
    <t>Melakukan troubleshooting terhadap permasalahan di desktop Windows dan Linux, serta perangkat pendukungnya (printer, modem, scanner, dll).</t>
  </si>
  <si>
    <t xml:space="preserve">Melakukan maintenance pada Server </t>
  </si>
  <si>
    <t>Merencanakan dan mereview efektivitas kegiatan pemeliharaan atau trouble shooting</t>
  </si>
  <si>
    <t xml:space="preserve">Melakukan optimalisasi dan recovery Server </t>
  </si>
  <si>
    <t xml:space="preserve">Menetapkan  strategi antisipasi penanganan permasalahan hukum dan mewakili perusahaan dalam penyelesaian hukum </t>
  </si>
  <si>
    <t xml:space="preserve"> Laporan serah terima unit</t>
  </si>
  <si>
    <t>KOMPETENSI  MANAGERIAL</t>
  </si>
  <si>
    <t>PERENCANAAN &amp; PENGORGANISASIAN</t>
  </si>
  <si>
    <t xml:space="preserve">Tingkat kepedulian seseorang atas pekerjaan, yang membuat dirinya termotivasi untuk bekerja lebih keras dalam mencapai tujuan dengan hasil yang memuaskan atau hasil diatas kualitas standar
</t>
  </si>
  <si>
    <t>Memahami tahapan - tahapan dalam membuat perencanaan</t>
  </si>
  <si>
    <t>Mampu menyusun rencana kerja yang sederhana dengan menggunakan alat dan bahan pendukung untuk melaksanakan kegiatan</t>
  </si>
  <si>
    <t>Mampu menyusun rencana  kerja dan kegiatan, serta menguraikan lebih rinci dengan mengidentifikasi masalah yang akan timbul</t>
  </si>
  <si>
    <t>Mempu menyediakan cara untuk penyelesaian masalah secara sistemstis dangan membuatkan alternatif untuk meningkatkan kinerja</t>
  </si>
  <si>
    <t xml:space="preserve">Membuat perencanaan dan
pengorganisasian yang bersifat 
jangka panjang dalam lingkup organisasi</t>
  </si>
  <si>
    <t>PEMECAHAN MASALAH</t>
  </si>
  <si>
    <t>Mampu menghasilkan solusi yang  tepat untuk masalah-masalah yang sulit. Mereka mempertimbangkan banyak  sumber informasi, secara sistematis mengolah dan mengevaluasi informasi  dengan membandingkan berbagai arah tindakan, dan secara hati-hati  mendiskusikannya sebelum membuat keputusan akhir.</t>
  </si>
  <si>
    <t xml:space="preserve">Mengumpulkan dan mempertimbangkan 
informasi yang dibutuhkan dalam mencari 
solusi.</t>
  </si>
  <si>
    <t>Memecahkan masalah dan mengambil keputusan bukan saja mengacu pada panduan yang sudah ada,</t>
  </si>
  <si>
    <t xml:space="preserve">
Menyelesaikan masalah
yang  berdasarkan pengalaman untuk kemudian disesuaikan dengan permasalahan yang dihadapi</t>
  </si>
  <si>
    <t xml:space="preserve">
Melakukan pemecahan masalah dan pengambilan keputusan berdasarkan analisa menyeluruh dengan memanfaatkan informasi berbagai sumber</t>
  </si>
  <si>
    <t>Mempu menyusun tindakan perbaikan terhadap masalah yang dihadapi dengan pemecahannya secara sistematis dan terukur</t>
  </si>
  <si>
    <t>Melakukan analisa pemecahan masalah dan pengambilan keputusan untuk mengantisipasi penyelesaian masalah yang akan datang</t>
  </si>
  <si>
    <t>KOMPETENSI INTI</t>
  </si>
  <si>
    <t>DORONGAN BERPRESTASI</t>
  </si>
  <si>
    <t>Tingkat kepedulian seseorang atas pekerjaan, yang membuat dirinya termotivasi untuk bekerja lebih keras dalam mencapai tujuan dengan hasil yang memuaskan atau hasil diatas kualitas standar.</t>
  </si>
  <si>
    <t>Fokus pada tugas yang diberikan</t>
  </si>
  <si>
    <t>Berusaha mengerjakan tugas lebih baik agar mencapai standar kerja minimun yang telah ditetapkan.</t>
  </si>
  <si>
    <t>Mampu menetapkan ukuran prestasi  dengan menadiri tanpa perlu adanya pedoman dari atasan</t>
  </si>
  <si>
    <t>Mampu melakukan langkah - langkah perbaikan untuk mencapai kinerja yang optimal dan efektif</t>
  </si>
  <si>
    <t>Mampu mencari cara baru untuk  meningkatkan kualitas pekerjaan dengan menggunkan sumber daya atau waktu yang siginifikan</t>
  </si>
  <si>
    <t>INISIATIF</t>
  </si>
  <si>
    <t>Inisiatif adalah kecenderungan untuk mengambil suatu tindakan, tanpa diminta terlebih dahulu, dan untuk meningkatkan hasil yang terorganisasi.</t>
  </si>
  <si>
    <t>Bekerja menunggu perintah  dan menyelesaikan tugas rutin berdasarkan prosedur</t>
  </si>
  <si>
    <t>Melakukan langkah aktif falam menyelesaikan pekerjaan</t>
  </si>
  <si>
    <t xml:space="preserve">
Mengambil tindakan yang sesuai  dilingkungan kerja, untuk memperbaiki   proses atau hasil, atau untuk merespon isu-isu atau masalah</t>
  </si>
  <si>
    <t xml:space="preserve">
Mengusulkan dan/atau melakukan tindakan yang akan menambah hasil atau mengatasi masalah </t>
  </si>
  <si>
    <t>Mampu mengembangkan ide baru yang menyelesaikan tugas yang lebih baik</t>
  </si>
  <si>
    <t>Penghitungan Penilaian</t>
  </si>
  <si>
    <t xml:space="preserve">TOTAL SCORE
 KPI (60%) &amp; K (40%)</t>
  </si>
  <si>
    <t>4.60 - 5.00</t>
  </si>
  <si>
    <t>Istimewa</t>
  </si>
  <si>
    <t>3.60 - 4.59</t>
  </si>
  <si>
    <t>Sangat Memuaskan</t>
  </si>
  <si>
    <t>2.60 - 3.59</t>
  </si>
  <si>
    <t>Memuaskan</t>
  </si>
  <si>
    <t>2.00 - 2.59</t>
  </si>
  <si>
    <t>Kurang</t>
  </si>
  <si>
    <t>1.00 - 1.99</t>
  </si>
  <si>
    <t>Tidak Memuaskan</t>
  </si>
  <si>
    <t xml:space="preserve">INDIVIDUAL DEVELOPMENT PLAN
</t>
  </si>
  <si>
    <t xml:space="preserve"> TAHUN/YEAR</t>
  </si>
  <si>
    <t>:   _____________________</t>
  </si>
  <si>
    <t xml:space="preserve">A. IMPROVEMENT - The Program for Employee to Support Improving Performances in The Current Position
    (PERBAIKAN - Program yang Menunjang Perbaikan/Peningkatan Kinerja Karyawan di Posisi Saat Ini)</t>
  </si>
  <si>
    <t>NO.</t>
  </si>
  <si>
    <t xml:space="preserve">KOMPETENSI YANG PERLU DIPERBAIKI
(COMPETENCE TO BE IMPROVED)</t>
  </si>
  <si>
    <t xml:space="preserve">KEGIATAN PERBAIKAN*
(IMPROVEMENT ACTIVITIES)</t>
  </si>
  <si>
    <t xml:space="preserve">TARGET WAKTU
(TIME TARGET)</t>
  </si>
  <si>
    <t xml:space="preserve">EVALUASI KEBERHASILAN PENGEMBANGAN
(DEVELOPMENT PROGRAM EVALUATION)</t>
  </si>
  <si>
    <t xml:space="preserve">B. DEVELOPMENT - The Program to Prepare Employee to The Level of a Higher Position
    (PENGEMBANGAN - Program yang Membantu Mempersiapkan Karyawan ke Jenjang Posisi yang Lebih Tinggi)</t>
  </si>
  <si>
    <t xml:space="preserve">KOMPETENSI YANG PERLU DIKEMBANGKAN
(COMPETENCE TO BE DEVELOPED)</t>
  </si>
  <si>
    <t xml:space="preserve">KEGIATAN PENGEMBANGAN*
(DEVELOPMENT ACTIVITIES)</t>
  </si>
  <si>
    <t xml:space="preserve">DIDISKUSIKAN DAN DISEPAKATI SAAT PENILAIAN KINERJA AKHIR TAHUN 
(Discussed and agreed on performance evaluation at the end of the year)</t>
  </si>
  <si>
    <t xml:space="preserve">Karyawan/Employee                             
(Nama, ttd/Name, Signature)</t>
  </si>
  <si>
    <t xml:space="preserve">Atasan Langsung/Direct Superior 
(Nama, ttd/Name, Signature)</t>
  </si>
  <si>
    <t>CATATAN/NOTE</t>
  </si>
  <si>
    <t xml:space="preserve">Pemeriksa/Reviewer
(Nama, ttd/Name, Signature)</t>
  </si>
  <si>
    <t>CATATAN/NOTES:</t>
  </si>
  <si>
    <t xml:space="preserve">Beberapa Contoh Rencana Pengembangan Individu (*) </t>
  </si>
  <si>
    <t>-</t>
  </si>
  <si>
    <t>Mendapatkan suatu umpan balik (feedback) ataupun pendampingan (coaching)</t>
  </si>
  <si>
    <t>Menjalankan penugasan yang lebih memberikan kesempatan berinteraksi dengan tanggung jawab baru.</t>
  </si>
  <si>
    <t>Menjalankan suatu inisiatif atau aktivitas baru.</t>
  </si>
  <si>
    <t>Memimpin atau terlibat dalam suatu proyek.</t>
  </si>
  <si>
    <t>Mendapatkan tanggung jawab yang lebih berat.</t>
  </si>
  <si>
    <t>Mengelola tim secara berbeda.</t>
  </si>
  <si>
    <t>Memimpin tim yang lebih besar.</t>
  </si>
  <si>
    <t>Berperan sebagai konsumen dari suatu unit kerja lain dan memberikan masukan kepada mereka.</t>
  </si>
  <si>
    <t>Bekerja dalam suatu tim lintas departemen atau fungsional.</t>
  </si>
  <si>
    <t>Membina hubungan profesional yang lebih luas.</t>
  </si>
  <si>
    <t>Melakukan tugas kemanusiaan secara sukarela.</t>
  </si>
  <si>
    <t>Berpindah ke suatu peran kerja baru.</t>
  </si>
  <si>
    <t>Mengikuti pelatihan di kelas.</t>
  </si>
  <si>
    <t>Aturan 70/20/10 dalam Pengembangan Individu</t>
  </si>
  <si>
    <t>70% dari pengembangan dilakukan dengan memberikan suatu tugas/pengalaman/aktivitas pemecahan masalah dalam suatu situasi kerja nyata.</t>
  </si>
  <si>
    <t>20% dari pengembangan dilakukan dengan memberikan umpan balik (feedback), mengamati atau kesempatan bekerja sama dengan pimpinan, rekan kerja senior atau terpilih yang memiliki kinerja yang baik.</t>
  </si>
  <si>
    <t>10% dari pengembangan dilakukan dengan memberikan pelatihan di kelas.</t>
  </si>
  <si>
    <t>INDIVIDUAL KEY PERFORMANCE INDICATOR (KPI)*</t>
  </si>
  <si>
    <t xml:space="preserve">BAGIAN I-T E M P L A T E    K P I  
(PART I-KPI TEMPLATE)**</t>
  </si>
  <si>
    <t xml:space="preserve">BAGIAN II-TEMPLATE PENILAIAN KINERJA 
(PART II-PERFORMANCE APPRAISAL TEMPLATE)***</t>
  </si>
  <si>
    <t xml:space="preserve">SASARAN STRATEGIS
(STRATEGIC GOALS)</t>
  </si>
  <si>
    <t>TARGET</t>
  </si>
  <si>
    <t>LG1</t>
  </si>
  <si>
    <t xml:space="preserve">*            </t>
  </si>
  <si>
    <t>FORMULIR INI TERDIRI DARI 2 BAGIAN: 1) TEMPLATE KPI, 2) TEMPLATE PENILAIAN KINERJA</t>
  </si>
  <si>
    <t xml:space="preserve">**         </t>
  </si>
  <si>
    <t>DIISI PADA AWAL TAHUN</t>
  </si>
  <si>
    <t xml:space="preserve">***       </t>
  </si>
  <si>
    <t>DIISI PADA PERTENGAHAN TAHUN DAN AKHIR TAHUN</t>
  </si>
  <si>
    <t xml:space="preserve">DIDISKUSIKAN DAN DISEPAKATI AWAL TAHUN**
(Discussed and agreed at the beginning of the year)</t>
  </si>
  <si>
    <t xml:space="preserve">SUPERVISOR COMMENTS - can be written among other sheets of paper if necessary
(Komentar Atasan dapat dituliskan di lembar lain apabila diperlukan)</t>
  </si>
  <si>
    <t xml:space="preserve">Strenghts
(Kelebihan)</t>
  </si>
  <si>
    <t xml:space="preserve">Weaknesses
(Kelemahan)</t>
  </si>
  <si>
    <t xml:space="preserve">DIREVIEW PADA PERTENGAHAN TAHUN (Reviewed at mid year)***
DIREVIEW PADA AKHIR TAHUN (Reviewed at the end of the year)***</t>
  </si>
  <si>
    <t xml:space="preserve">Karyawan/Employee    
(Nama, ttd/Name, Signature)                       </t>
  </si>
  <si>
    <t>REKAPITULASI SCORE MID YEAR KPI REVIEW</t>
  </si>
  <si>
    <t>DIVISI     :</t>
  </si>
  <si>
    <t>NAMA KARYAWAN</t>
  </si>
  <si>
    <t>POSISI</t>
  </si>
  <si>
    <t>DEPARTEMEN</t>
  </si>
  <si>
    <t>KELENGKAPAN KPI</t>
  </si>
  <si>
    <t>MID REVIEW SCORE</t>
  </si>
  <si>
    <t>KELENGKAPAN DATA</t>
  </si>
  <si>
    <t>KETERANGAN</t>
  </si>
  <si>
    <t>√ LENGKAP</t>
  </si>
  <si>
    <t>√ TIDAK LENGKAP</t>
  </si>
  <si>
    <t>JAKARTA, _______________</t>
  </si>
  <si>
    <t>Dibuat oleh,</t>
  </si>
  <si>
    <t>Diverifikasi oleh,</t>
  </si>
  <si>
    <t>Kuntjoro Rendra</t>
  </si>
  <si>
    <t>Division Head</t>
  </si>
  <si>
    <t>Corp HR Director</t>
  </si>
  <si>
    <t>Section 4:  Kesimpulan dan Final Rating</t>
  </si>
  <si>
    <t>Nilai Bagian 1</t>
  </si>
  <si>
    <t>Nilai Bagian 2</t>
  </si>
  <si>
    <t>Nilai TOTAL</t>
  </si>
  <si>
    <t>Predikat</t>
  </si>
  <si>
    <t>Nilai TOTAL = (Nilai Bagian 1 x 0.50) + (Nilai Bagian 2 x 0.50)</t>
  </si>
  <si>
    <t>Nilai Bagian 1 - KPI berkontribusi 50% terhadap Nilai Total</t>
  </si>
  <si>
    <t>Nilai Bagian 2 - Kompetensi berkontribusi 50% terhadap Nilai Total</t>
  </si>
  <si>
    <t>Tanggal</t>
  </si>
  <si>
    <t>Komentar Karyawan</t>
  </si>
  <si>
    <t>Komentar Atasan</t>
  </si>
  <si>
    <t>Komentar Reviewer</t>
  </si>
  <si>
    <t>Penilaian Tengah Tahun (Mid-Year Feedback)</t>
  </si>
  <si>
    <t>Penilaian Akhir Tahun (Performance Appraisal)</t>
  </si>
  <si>
    <t>Nama, Tanda Tangan Karyawan</t>
  </si>
  <si>
    <t>Nama, Tanda Tangan Atasan</t>
  </si>
  <si>
    <t>Nama, Tanda Tangan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</si>
</sst>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4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sz val="12"/>
      <name val="Calibri"/>
    </font>
    <font>
      <sz val="10"/>
      <name val="Calibri"/>
    </font>
    <font>
      <b/>
      <color rgb="FFffffff"/>
      <sz val="12"/>
      <name val="Calibri"/>
    </font>
    <font>
      <b/>
      <color rgb="FF000000"/>
      <sz val="11"/>
      <name val="Corbel"/>
    </font>
    <font>
      <color rgb="FF000000"/>
      <sz val="10"/>
      <name val="Corbel"/>
    </font>
    <font>
      <color rgb="FF000000"/>
      <sz val="11"/>
      <name val="Corbel"/>
    </font>
    <font>
      <color rgb="FF000000"/>
      <sz val="24"/>
      <name val="Corbel"/>
    </font>
    <font>
      <color rgb="FFbfbfbf"/>
      <sz val="11"/>
      <name val="Corbel"/>
    </font>
    <font>
      <color rgb="FF000000"/>
      <sz val="9"/>
      <name val="Corbel"/>
    </font>
    <font>
      <b/>
      <color rgb="FF000000"/>
      <sz val="10"/>
      <name val="Corbel"/>
    </font>
    <font>
      <b/>
      <sz val="10"/>
      <name val="Corbel"/>
    </font>
    <font>
      <sz val="10"/>
      <name val="Corbel"/>
    </font>
    <font>
      <b/>
      <color rgb="FFffffff"/>
      <sz val="8"/>
      <name val="Corbel"/>
    </font>
    <font>
      <b/>
      <color rgb="FFffffff"/>
      <sz val="10"/>
      <name val="Corbel"/>
    </font>
    <font>
      <sz val="8"/>
      <name val="Corbel"/>
    </font>
    <font>
      <b/>
      <sz val="8"/>
      <name val="Corbel"/>
    </font>
    <font>
      <color rgb="FF000000"/>
      <sz val="16"/>
      <name val="Corbel"/>
    </font>
    <font>
      <color rgb="FF000000"/>
      <sz val="8"/>
      <name val="Corbel"/>
    </font>
    <font>
      <b/>
      <color rgb="FFffffff"/>
      <sz val="16"/>
      <name val="Corbel"/>
    </font>
    <font>
      <b/>
      <color rgb="FF000000"/>
      <sz val="8"/>
      <name val="Corbel"/>
    </font>
    <font>
      <color rgb="FFff0000"/>
      <sz val="8"/>
      <name val="Corbel"/>
    </font>
    <font>
      <b/>
      <color rgb="FFff0000"/>
      <sz val="11"/>
      <name val="Corbel"/>
    </font>
    <font>
      <sz val="11"/>
      <name val="Corbel"/>
    </font>
    <font>
      <b/>
      <color rgb="FF000000"/>
      <sz val="12"/>
      <name val="Corbel"/>
    </font>
    <font>
      <color rgb="FF000000"/>
      <sz val="36"/>
      <name val="Corbel"/>
    </font>
    <font>
      <b/>
      <color rgb="FF000000"/>
      <sz val="24"/>
      <name val="Corbel"/>
    </font>
    <font>
      <b/>
      <sz val="11"/>
      <name val="Corbel"/>
    </font>
    <font>
      <b/>
      <color rgb="FFffffff"/>
      <sz val="11"/>
      <name val="Corbel"/>
    </font>
    <font>
      <color rgb="FFff0000"/>
      <sz val="11"/>
      <name val="Corbel"/>
    </font>
    <font>
      <color rgb="FFffffff"/>
      <sz val="11"/>
      <name val="Corbel"/>
    </font>
    <font>
      <b/>
      <color rgb="FF000000"/>
      <sz val="12"/>
      <name val="Calibri"/>
    </font>
    <font>
      <b/>
      <color rgb="FF000000"/>
      <sz val="11"/>
      <name val="Calibri"/>
    </font>
    <font>
      <color rgb="FF000000"/>
      <sz val="12"/>
      <name val="Corbel"/>
    </font>
    <font>
      <b/>
      <color rgb="FF333f50"/>
      <sz val="15"/>
      <name val="Calibri"/>
    </font>
    <font>
      <b/>
      <color rgb="FF000000"/>
      <sz val="13"/>
      <name val="Calibri"/>
    </font>
    <font>
      <color rgb="FF000000"/>
      <sz val="13"/>
      <name val="Calibri"/>
    </font>
    <font>
      <color rgb="FF000000"/>
      <sz val="13"/>
      <name val="Wingdings"/>
    </font>
    <font>
      <b/>
      <color rgb="FF000000"/>
      <sz val="18"/>
      <name val="Calibri"/>
    </font>
    <font>
      <b/>
      <color rgb="FF000000"/>
      <sz val="25"/>
      <name val="Calibri"/>
    </font>
    <font>
      <b/>
      <color rgb="FF000000"/>
      <sz val="12"/>
      <name val="Arial"/>
    </font>
    <font>
      <b/>
      <color rgb="FF000000"/>
      <sz val="14"/>
      <name val="Calibri"/>
    </font>
    <font>
      <color rgb="FF000000"/>
      <sz val="36"/>
      <name val="Calibri"/>
    </font>
    <font>
      <b/>
      <color rgb="FF000000"/>
      <sz val="20"/>
      <name val="Calibri"/>
    </font>
    <font>
      <b/>
      <color rgb="FF000000"/>
      <sz val="24"/>
      <name val="Calibri"/>
    </font>
    <font>
      <b/>
      <color rgb="FFffffff"/>
      <sz val="14"/>
      <name val="Arial"/>
    </font>
    <font>
      <color rgb="FF000000"/>
      <sz val="10"/>
      <name val="Calibri"/>
    </font>
    <font>
      <b/>
      <sz val="10"/>
      <name val="Arial"/>
    </font>
    <font>
      <b/>
      <sz val="10"/>
      <name val="Calibri"/>
    </font>
    <font>
      <color rgb="FF000000"/>
      <sz val="12"/>
      <name val="Arial"/>
    </font>
    <font>
      <color rgb="FFbf9000"/>
      <sz val="12"/>
      <name val="Arial"/>
    </font>
    <font>
      <color rgb="FF548235"/>
      <sz val="12"/>
      <name val="Arial"/>
    </font>
    <font>
      <b/>
      <sz val="12"/>
      <name val="Arial"/>
    </font>
    <font>
      <color rgb="FF4474a0"/>
      <sz val="12"/>
      <name val="Arial"/>
    </font>
    <font>
      <color rgb="FFff0000"/>
      <sz val="12"/>
      <name val="Arial"/>
    </font>
    <font>
      <b/>
      <color rgb="FFffffff"/>
      <sz val="12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2"/>
      <name val="Calibri"/>
    </font>
    <font>
      <b/>
      <color rgb="FFbf9000"/>
      <sz val="14"/>
      <name val="Arial"/>
    </font>
    <font>
      <color rgb="FF000000"/>
      <sz val="10"/>
      <name val="Arial"/>
    </font>
    <font>
      <sz val="12"/>
      <name val="Arial"/>
    </font>
    <font>
      <b/>
      <sz val="12"/>
      <name val="Corbel"/>
    </font>
    <font>
      <b/>
      <sz val="11"/>
      <name val="Calibri"/>
    </font>
    <font>
      <sz val="11"/>
      <name val="Calibri"/>
    </font>
    <font>
      <sz val="8"/>
      <name val="Calibri"/>
    </font>
    <font>
      <b/>
      <sz val="13"/>
      <name val="Calibri"/>
    </font>
    <font>
      <sz val="12"/>
      <name val="Calibri"/>
    </font>
    <font>
      <color rgb="FFbf9000"/>
      <sz val="10"/>
      <name val="Calibri"/>
    </font>
    <font>
      <color rgb="FF548235"/>
      <sz val="10"/>
      <name val="Calibri"/>
    </font>
    <font>
      <color rgb="FF4474a0"/>
      <sz val="10"/>
      <name val="Calibri"/>
    </font>
    <font>
      <color rgb="FFff0000"/>
      <sz val="10"/>
      <name val="Calibri"/>
    </font>
    <font>
      <color rgb="FFffffff"/>
      <sz val="11"/>
      <name val="Calibri"/>
    </font>
    <font>
      <b/>
      <color rgb="FFffffff"/>
      <sz val="11"/>
      <name val="Calibri"/>
    </font>
    <font>
      <b/>
      <color rgb="FF000000"/>
      <sz val="16"/>
      <name val="Calibri"/>
    </font>
    <font>
      <color rgb="FF000000"/>
      <sz val="8"/>
      <name val="Calibri"/>
    </font>
    <font>
      <b/>
      <sz val="20"/>
      <name val="Corbel"/>
    </font>
    <font>
      <b/>
      <color rgb="FF000000"/>
      <sz val="16"/>
      <name val="Corbel"/>
    </font>
    <font>
      <b/>
      <color rgb="FF000000"/>
      <sz val="48"/>
      <name val="Corbel"/>
    </font>
    <font>
      <b/>
      <sz val="16"/>
      <name val="Corbel"/>
    </font>
    <font>
      <b/>
      <sz val="48"/>
      <name val="Corbel"/>
    </font>
    <font>
      <b/>
      <sz val="24"/>
      <name val="Corbel"/>
    </font>
    <font>
      <b/>
      <i/>
      <color rgb="FFffffff"/>
      <sz val="11"/>
      <name val="Corbel"/>
    </font>
  </fonts>
  <fills count="2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000080"/>
      </patternFill>
    </fill>
    <fill>
      <patternFill patternType="solid">
        <fgColor rgb="FF00ff00"/>
      </patternFill>
    </fill>
    <fill>
      <patternFill patternType="solid">
        <fgColor rgb="FF3366ff"/>
      </patternFill>
    </fill>
    <fill>
      <patternFill patternType="solid">
        <fgColor rgb="FF00ffff"/>
      </patternFill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003300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223962"/>
      </patternFill>
    </fill>
    <fill>
      <patternFill patternType="solid">
        <fgColor rgb="FFffcc00"/>
      </patternFill>
    </fill>
    <fill>
      <patternFill patternType="solid">
        <fgColor rgb="FF8f98a6"/>
      </patternFill>
    </fill>
    <fill>
      <patternFill patternType="solid">
        <fgColor rgb="FF7f7f7f"/>
      </patternFill>
    </fill>
    <fill>
      <patternFill patternType="solid">
        <fgColor rgb="FFb4bbc3"/>
      </patternFill>
    </fill>
    <fill>
      <patternFill patternType="solid">
        <fgColor rgb="FF595959"/>
      </patternFill>
    </fill>
    <fill>
      <patternFill patternType="solid">
        <fgColor rgb="FFc9c9c9"/>
      </patternFill>
    </fill>
    <fill>
      <patternFill patternType="solid">
        <fgColor rgb="FFa6a6a6"/>
      </patternFill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dadde1"/>
      </patternFill>
    </fill>
    <fill>
      <patternFill patternType="solid">
        <fgColor rgb="FF44546a"/>
      </patternFill>
    </fill>
  </fills>
  <borders count="9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medium">
        <color rgb="FF99cc00"/>
      </left>
      <right style="medium">
        <color rgb="FF99cc00"/>
      </right>
      <top style="medium">
        <color rgb="FF99cc00"/>
      </top>
      <bottom style="medium">
        <color rgb="FF99cc00"/>
      </bottom>
      <diagonal/>
    </border>
    <border>
      <left style="medium">
        <color rgb="FF99cc00"/>
      </left>
      <right style="medium">
        <color rgb="FF99cc00"/>
      </right>
      <top style="medium">
        <color rgb="FF99cc00"/>
      </top>
      <bottom/>
      <diagonal/>
    </border>
    <border>
      <left/>
      <right/>
      <top/>
      <bottom style="thin">
        <color rgb="FF99cc00"/>
      </bottom>
      <diagonal/>
    </border>
    <border>
      <left/>
      <right/>
      <top style="thin">
        <color rgb="FF99cc00"/>
      </top>
      <bottom style="thin">
        <color rgb="FF99cc00"/>
      </bottom>
      <diagonal/>
    </border>
    <border>
      <left style="thin">
        <color rgb="FF99cc00"/>
      </left>
      <right/>
      <top style="thin">
        <color rgb="FF99cc00"/>
      </top>
      <bottom style="thin">
        <color rgb="FF99cc00"/>
      </bottom>
      <diagonal/>
    </border>
    <border>
      <left style="medium">
        <color rgb="FF99cc00"/>
      </left>
      <right/>
      <top style="medium">
        <color rgb="FF99cc00"/>
      </top>
      <bottom/>
      <diagonal/>
    </border>
    <border>
      <left style="thin">
        <color rgb="FF99cc00"/>
      </left>
      <right/>
      <top/>
      <bottom/>
      <diagonal/>
    </border>
    <border>
      <left style="medium">
        <color rgb="FF99cc00"/>
      </left>
      <right/>
      <top/>
      <bottom/>
      <diagonal/>
    </border>
    <border>
      <left style="medium">
        <color rgb="FF99cc00"/>
      </left>
      <right/>
      <top/>
      <bottom style="medium">
        <color rgb="FF99cc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n">
        <color rgb="FF99cc00"/>
      </left>
      <right style="thin">
        <color rgb="FF99cc00"/>
      </right>
      <top style="thin">
        <color rgb="FF99cc00"/>
      </top>
      <bottom/>
      <diagonal/>
    </border>
    <border>
      <left style="thin">
        <color rgb="FF99cc00"/>
      </left>
      <right style="thin">
        <color rgb="FF99cc00"/>
      </right>
      <top/>
      <bottom/>
      <diagonal/>
    </border>
    <border>
      <left style="thin">
        <color rgb="FF99cc00"/>
      </left>
      <right style="thin">
        <color rgb="FF99cc00"/>
      </right>
      <top/>
      <bottom style="dotted">
        <color rgb="FF99cc00"/>
      </bottom>
      <diagonal/>
    </border>
    <border>
      <left style="thin">
        <color rgb="FF99cc00"/>
      </left>
      <right style="thin">
        <color rgb="FF99cc00"/>
      </right>
      <top style="dotted">
        <color rgb="FF99cc00"/>
      </top>
      <bottom style="dotted">
        <color rgb="FF99cc00"/>
      </bottom>
      <diagonal/>
    </border>
    <border>
      <left style="thin">
        <color rgb="FF99cc00"/>
      </left>
      <right style="thin">
        <color rgb="FF99cc00"/>
      </right>
      <top/>
      <bottom style="thin">
        <color rgb="FF99cc00"/>
      </bottom>
      <diagonal/>
    </border>
    <border>
      <left style="thin">
        <color rgb="FF99cc00"/>
      </left>
      <right style="thin">
        <color rgb="FF99cc00"/>
      </right>
      <top style="thin">
        <color rgb="FF99cc00"/>
      </top>
      <bottom style="thin">
        <color rgb="FF99cc00"/>
      </bottom>
      <diagonal/>
    </border>
    <border>
      <left style="thin">
        <color rgb="FF99cc00"/>
      </left>
      <right/>
      <top style="thin">
        <color rgb="FF99cc00"/>
      </top>
      <bottom/>
      <diagonal/>
    </border>
    <border>
      <left/>
      <right/>
      <top style="thin">
        <color rgb="FF99cc00"/>
      </top>
      <bottom/>
      <diagonal/>
    </border>
    <border>
      <left/>
      <right style="thin">
        <color rgb="FF99cc00"/>
      </right>
      <top style="thin">
        <color rgb="FF99cc00"/>
      </top>
      <bottom/>
      <diagonal/>
    </border>
    <border>
      <left/>
      <right style="thin">
        <color rgb="FF99cc00"/>
      </right>
      <top/>
      <bottom/>
      <diagonal/>
    </border>
    <border>
      <left style="thin">
        <color rgb="FF99cc00"/>
      </left>
      <right/>
      <top/>
      <bottom style="thin">
        <color rgb="FF99cc00"/>
      </bottom>
      <diagonal/>
    </border>
    <border>
      <left/>
      <right style="thin">
        <color rgb="FF99cc00"/>
      </right>
      <top/>
      <bottom style="thin">
        <color rgb="FF99cc00"/>
      </bottom>
      <diagonal/>
    </border>
    <border>
      <left/>
      <right/>
      <top style="medium">
        <color rgb="FF99cc00"/>
      </top>
      <bottom/>
      <diagonal/>
    </border>
    <border>
      <left/>
      <right style="medium">
        <color rgb="FF99cc00"/>
      </right>
      <top style="medium">
        <color rgb="FF99cc00"/>
      </top>
      <bottom/>
      <diagonal/>
    </border>
    <border>
      <left style="medium">
        <color rgb="FF99cc00"/>
      </left>
      <right/>
      <top style="medium">
        <color rgb="FF99cc00"/>
      </top>
      <bottom style="medium">
        <color rgb="FF99cc00"/>
      </bottom>
      <diagonal/>
    </border>
    <border>
      <left/>
      <right style="medium">
        <color rgb="FF99cc00"/>
      </right>
      <top/>
      <bottom/>
      <diagonal/>
    </border>
    <border>
      <left/>
      <right/>
      <top/>
      <bottom style="medium">
        <color rgb="FF99cc00"/>
      </bottom>
      <diagonal/>
    </border>
    <border>
      <left/>
      <right style="medium">
        <color rgb="FF99cc00"/>
      </right>
      <top/>
      <bottom style="medium">
        <color rgb="FF99cc00"/>
      </bottom>
      <diagonal/>
    </border>
    <border>
      <left style="thick">
        <color rgb="FFa6a6a6"/>
      </left>
      <right/>
      <top style="thick">
        <color rgb="FFa6a6a6"/>
      </top>
      <bottom/>
      <diagonal/>
    </border>
    <border>
      <left style="thin">
        <color rgb="FF99cc00"/>
      </left>
      <right/>
      <top style="thin">
        <color rgb="FF99cc00"/>
      </top>
      <bottom style="thick">
        <color rgb="FFa6a6a6"/>
      </bottom>
      <diagonal/>
    </border>
    <border>
      <left style="thin">
        <color rgb="FF99cc00"/>
      </left>
      <right style="medium">
        <color rgb="FF99cc00"/>
      </right>
      <top style="medium">
        <color rgb="FF99cc00"/>
      </top>
      <bottom/>
      <diagonal/>
    </border>
    <border>
      <left style="thick">
        <color rgb="FFa6a6a6"/>
      </left>
      <right/>
      <top style="thick">
        <color rgb="FFa6a6a6"/>
      </top>
      <bottom style="thick">
        <color rgb="FFa6a6a6"/>
      </bottom>
      <diagonal/>
    </border>
    <border>
      <left style="medium">
        <color rgb="FFffffff"/>
      </left>
      <right style="medium">
        <color rgb="FFffffff"/>
      </right>
      <top style="thick">
        <color rgb="FFa6a6a6"/>
      </top>
      <bottom style="thick">
        <color rgb="FFa6a6a6"/>
      </bottom>
      <diagonal/>
    </border>
    <border>
      <left/>
      <right style="thick">
        <color rgb="FFa6a6a6"/>
      </right>
      <top style="thick">
        <color rgb="FFa6a6a6"/>
      </top>
      <bottom style="thick">
        <color rgb="FFa6a6a6"/>
      </bottom>
      <diagonal/>
    </border>
    <border>
      <left style="medium">
        <color rgb="FFbfbfbf"/>
      </left>
      <right style="medium">
        <color rgb="FFbfbfbf"/>
      </right>
      <top style="thick">
        <color rgb="FFa6a6a6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thick">
        <color rgb="FFa6a6a6"/>
      </top>
      <bottom style="thick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a6a6a6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99cc00"/>
      </left>
      <right style="medium">
        <color rgb="FF99cc00"/>
      </right>
      <top/>
      <bottom/>
      <diagonal/>
    </border>
    <border>
      <left style="thick">
        <color rgb="FFbfbfbf"/>
      </left>
      <right/>
      <top style="thick">
        <color rgb="FFbfbfbf"/>
      </top>
      <bottom style="thick">
        <color rgb="FFbfbfbf"/>
      </bottom>
      <diagonal/>
    </border>
    <border>
      <left style="thick">
        <color rgb="FFbfbfbf"/>
      </left>
      <right style="thin">
        <color rgb="FF99cc00"/>
      </right>
      <top style="thick">
        <color rgb="FFbfbfbf"/>
      </top>
      <bottom style="thin">
        <color rgb="FF99cc00"/>
      </bottom>
      <diagonal/>
    </border>
    <border>
      <left style="thin">
        <color rgb="FFffffff"/>
      </left>
      <right style="thin">
        <color rgb="FFffffff"/>
      </right>
      <top style="thick">
        <color rgb="FFbfbfbf"/>
      </top>
      <bottom style="thin">
        <color rgb="FF99cc00"/>
      </bottom>
      <diagonal/>
    </border>
    <border>
      <left/>
      <right style="thin">
        <color rgb="FF99cc00"/>
      </right>
      <top style="thick">
        <color rgb="FFbfbfbf"/>
      </top>
      <bottom style="thin">
        <color rgb="FF99cc00"/>
      </bottom>
      <diagonal/>
    </border>
    <border>
      <left style="thick">
        <color rgb="FFbfbfbf"/>
      </left>
      <right/>
      <top style="thick">
        <color rgb="FFbfbfbf"/>
      </top>
      <bottom style="thin">
        <color rgb="FF99cc00"/>
      </bottom>
      <diagonal/>
    </border>
    <border>
      <left style="thin">
        <color rgb="FFffffff"/>
      </left>
      <right style="thin">
        <color rgb="FFffffff"/>
      </right>
      <top style="thick">
        <color rgb="FFbfbfbf"/>
      </top>
      <bottom style="thin">
        <color rgb="FFffffff"/>
      </bottom>
      <diagonal/>
    </border>
    <border>
      <left style="thick">
        <color rgb="FFbfbfbf"/>
      </left>
      <right style="thin">
        <color rgb="FFffffff"/>
      </right>
      <top style="thick">
        <color rgb="FFbfbfbf"/>
      </top>
      <bottom style="thin">
        <color rgb="FF99cc00"/>
      </bottom>
      <diagonal/>
    </border>
    <border>
      <left style="thin">
        <color rgb="FFffffff"/>
      </left>
      <right style="thick">
        <color rgb="FFbfbfbf"/>
      </right>
      <top style="thick">
        <color rgb="FFbfbfbf"/>
      </top>
      <bottom style="thin">
        <color rgb="FF99cc00"/>
      </bottom>
      <diagonal/>
    </border>
    <border>
      <left style="thick">
        <color rgb="FFbfbfbf"/>
      </left>
      <right style="medium">
        <color rgb="FFffffff"/>
      </right>
      <top style="thick">
        <color rgb="FFbfbfbf"/>
      </top>
      <bottom/>
      <diagonal/>
    </border>
    <border>
      <left style="medium">
        <color rgb="FFffffff"/>
      </left>
      <right style="medium">
        <color rgb="FFffffff"/>
      </right>
      <top style="thick">
        <color rgb="FFbfbfbf"/>
      </top>
      <bottom/>
      <diagonal/>
    </border>
    <border>
      <left style="medium">
        <color rgb="FFffffff"/>
      </left>
      <right style="thick">
        <color rgb="FFbfbfbf"/>
      </right>
      <top style="thick">
        <color rgb="FFbfbf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bfbfbf"/>
      </bottom>
      <diagonal/>
    </border>
    <border>
      <left style="thin">
        <color rgb="FFffffff"/>
      </left>
      <right style="thick">
        <color rgb="FFbfbfbf"/>
      </right>
      <top style="thin">
        <color rgb="FFffffff"/>
      </top>
      <bottom style="thick">
        <color rgb="FFbfbfbf"/>
      </bottom>
      <diagonal/>
    </border>
    <border>
      <left style="medium">
        <color rgb="FFbfbfbf"/>
      </left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a6a6a6"/>
      </left>
      <right/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 style="thin">
        <color rgb="FF808080"/>
      </bottom>
      <diagonal/>
    </border>
    <border>
      <left/>
      <right/>
      <top style="medium">
        <color rgb="FFa6a6a6"/>
      </top>
      <bottom style="thin">
        <color rgb="FF808080"/>
      </bottom>
      <diagonal/>
    </border>
    <border>
      <left/>
      <right style="medium">
        <color rgb="FFa6a6a6"/>
      </right>
      <top style="medium">
        <color rgb="FFa6a6a6"/>
      </top>
      <bottom style="thin">
        <color rgb="FF808080"/>
      </bottom>
      <diagonal/>
    </border>
    <border>
      <left style="medium">
        <color rgb="FFa6a6a6"/>
      </left>
      <right/>
      <top style="thin">
        <color rgb="FF808080"/>
      </top>
      <bottom style="medium">
        <color rgb="FFa6a6a6"/>
      </bottom>
      <diagonal/>
    </border>
    <border>
      <left/>
      <right/>
      <top style="thin">
        <color rgb="FF808080"/>
      </top>
      <bottom style="medium">
        <color rgb="FFa6a6a6"/>
      </bottom>
      <diagonal/>
    </border>
    <border>
      <left/>
      <right style="medium">
        <color rgb="FFa6a6a6"/>
      </right>
      <top style="thin">
        <color rgb="FF808080"/>
      </top>
      <bottom style="medium">
        <color rgb="FFa6a6a6"/>
      </bottom>
      <diagonal/>
    </border>
    <border>
      <left style="medium">
        <color rgb="FF99cc00"/>
      </left>
      <right style="thin">
        <color rgb="FF99cc00"/>
      </right>
      <top style="medium">
        <color rgb="FF99cc00"/>
      </top>
      <bottom/>
      <diagonal/>
    </border>
    <border>
      <left style="thin">
        <color rgb="FF99cc00"/>
      </left>
      <right style="thin">
        <color rgb="FF99cc00"/>
      </right>
      <top style="medium">
        <color rgb="FF99cc00"/>
      </top>
      <bottom/>
      <diagonal/>
    </border>
    <border>
      <left style="thin">
        <color rgb="FF99cc00"/>
      </left>
      <right/>
      <top style="medium">
        <color rgb="FF99cc00"/>
      </top>
      <bottom style="thin">
        <color rgb="FF99cc00"/>
      </bottom>
      <diagonal/>
    </border>
    <border>
      <left style="thin">
        <color rgb="FF99cc00"/>
      </left>
      <right style="thin">
        <color rgb="FF99cc00"/>
      </right>
      <top/>
      <bottom style="medium">
        <color rgb="FF99cc00"/>
      </bottom>
      <diagonal/>
    </border>
    <border>
      <left style="medium">
        <color rgb="FF99cc00"/>
      </left>
      <right style="thin">
        <color rgb="FF99cc00"/>
      </right>
      <top style="medium">
        <color rgb="FF99cc00"/>
      </top>
      <bottom style="hair">
        <color rgb="FF99cc00"/>
      </bottom>
      <diagonal/>
    </border>
    <border>
      <left style="thin">
        <color rgb="FF99cc00"/>
      </left>
      <right style="thin">
        <color rgb="FF99cc00"/>
      </right>
      <top style="medium">
        <color rgb="FF99cc00"/>
      </top>
      <bottom style="hair">
        <color rgb="FF99cc00"/>
      </bottom>
      <diagonal/>
    </border>
    <border>
      <left style="thin">
        <color rgb="FF99cc00"/>
      </left>
      <right style="medium">
        <color rgb="FF99cc00"/>
      </right>
      <top style="medium">
        <color rgb="FF99cc00"/>
      </top>
      <bottom style="hair">
        <color rgb="FF99cc00"/>
      </bottom>
      <diagonal/>
    </border>
    <border>
      <left style="medium">
        <color rgb="FF99cc00"/>
      </left>
      <right style="thin">
        <color rgb="FF99cc00"/>
      </right>
      <top style="hair">
        <color rgb="FF99cc00"/>
      </top>
      <bottom style="hair">
        <color rgb="FF99cc00"/>
      </bottom>
      <diagonal/>
    </border>
    <border>
      <left style="thin">
        <color rgb="FF99cc00"/>
      </left>
      <right style="thin">
        <color rgb="FF99cc00"/>
      </right>
      <top style="hair">
        <color rgb="FF99cc00"/>
      </top>
      <bottom style="hair">
        <color rgb="FF99cc00"/>
      </bottom>
      <diagonal/>
    </border>
    <border>
      <left style="thin">
        <color rgb="FF99cc00"/>
      </left>
      <right style="medium">
        <color rgb="FF99cc00"/>
      </right>
      <top style="hair">
        <color rgb="FF99cc00"/>
      </top>
      <bottom style="hair">
        <color rgb="FF99cc00"/>
      </bottom>
      <diagonal/>
    </border>
    <border>
      <left style="medium">
        <color rgb="FF99cc00"/>
      </left>
      <right style="thin">
        <color rgb="FF99cc00"/>
      </right>
      <top style="hair">
        <color rgb="FF99cc00"/>
      </top>
      <bottom style="medium">
        <color rgb="FF99cc00"/>
      </bottom>
      <diagonal/>
    </border>
    <border>
      <left style="thin">
        <color rgb="FF99cc00"/>
      </left>
      <right style="thin">
        <color rgb="FF99cc00"/>
      </right>
      <top style="hair">
        <color rgb="FF99cc00"/>
      </top>
      <bottom style="medium">
        <color rgb="FF99cc00"/>
      </bottom>
      <diagonal/>
    </border>
    <border>
      <left style="thin">
        <color rgb="FF99cc00"/>
      </left>
      <right style="medium">
        <color rgb="FF99cc00"/>
      </right>
      <top style="hair">
        <color rgb="FF99cc00"/>
      </top>
      <bottom style="medium">
        <color rgb="FF99cc00"/>
      </bottom>
      <diagonal/>
    </border>
    <border>
      <left/>
      <right/>
      <top/>
      <bottom style="double">
        <color rgb="FF99cc00"/>
      </bottom>
      <diagonal/>
    </border>
    <border>
      <left/>
      <right/>
      <top style="double">
        <color rgb="FF99cc00"/>
      </top>
      <bottom/>
      <diagonal/>
    </border>
  </borders>
  <cellStyleXfs count="1">
    <xf numFmtId="0" fontId="0" fillId="0" borderId="0"/>
  </cellStyleXfs>
  <cellXfs count="5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6" borderId="0" xfId="0" applyFont="1" applyFill="1" applyAlignment="1">
      <alignment horizontal="center" wrapText="1"/>
    </xf>
    <xf numFmtId="0" fontId="5" fillId="0" borderId="0" xfId="0" applyFont="1" applyAlignment="1"/>
    <xf numFmtId="0" fontId="6" fillId="7" borderId="1" xfId="0" applyFont="1" applyFill="1" applyBorder="1" applyAlignment="1"/>
    <xf numFmtId="0" fontId="7" fillId="7" borderId="2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7" fillId="7" borderId="0" xfId="0" applyFont="1" applyFill="1"/>
    <xf numFmtId="0" fontId="8" fillId="0" borderId="4" xfId="0" applyFont="1" applyBorder="1" applyAlignment="1">
      <alignment horizontal="center" wrapText="1"/>
    </xf>
    <xf numFmtId="0" fontId="9" fillId="7" borderId="0" xfId="0" applyFont="1" applyFill="1"/>
    <xf numFmtId="0" fontId="10" fillId="8" borderId="3" xfId="0" applyFont="1" applyFill="1" applyBorder="1" applyAlignment="1">
      <alignment horizontal="center"/>
    </xf>
    <xf numFmtId="0" fontId="11" fillId="7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12" fillId="9" borderId="0" xfId="0" applyFont="1" applyFill="1" applyAlignment="1">
      <alignment horizontal="center" wrapText="1"/>
    </xf>
    <xf numFmtId="0" fontId="13" fillId="0" borderId="0" xfId="0" applyFont="1" applyAlignment="1">
      <alignment horizontal="center" wrapText="1"/>
    </xf>
    <xf numFmtId="0" fontId="12" fillId="8" borderId="0" xfId="0" applyFont="1" applyFill="1" applyAlignment="1">
      <alignment horizontal="center" wrapText="1"/>
    </xf>
    <xf numFmtId="0" fontId="12" fillId="7" borderId="0" xfId="0" applyFont="1" applyFill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7" fillId="8" borderId="0" xfId="0" applyFont="1" applyFill="1"/>
    <xf numFmtId="0" fontId="11" fillId="8" borderId="0" xfId="0" applyFont="1" applyFill="1" applyAlignment="1">
      <alignment horizontal="center" wrapText="1"/>
    </xf>
    <xf numFmtId="0" fontId="12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5" fillId="7" borderId="0" xfId="0" applyFont="1" applyFill="1" applyAlignment="1">
      <alignment horizontal="left" vertical="top"/>
    </xf>
    <xf numFmtId="0" fontId="7" fillId="7" borderId="0" xfId="0" applyFont="1" applyFill="1" applyAlignment="1">
      <alignment horizontal="left" vertical="top"/>
    </xf>
    <xf numFmtId="0" fontId="9" fillId="7" borderId="0" xfId="0" applyFont="1" applyFill="1" applyAlignment="1">
      <alignment horizontal="center" vertical="top"/>
    </xf>
    <xf numFmtId="9" fontId="18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10" borderId="0" xfId="0" applyFont="1" applyFill="1" applyAlignment="1">
      <alignment horizontal="center" wrapText="1"/>
    </xf>
    <xf numFmtId="0" fontId="18" fillId="7" borderId="0" xfId="0" applyFont="1" applyFill="1" applyAlignment="1">
      <alignment horizontal="left" vertical="top"/>
    </xf>
    <xf numFmtId="0" fontId="18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21" fillId="0" borderId="0" xfId="0" applyFont="1" applyAlignment="1"/>
    <xf numFmtId="0" fontId="5" fillId="0" borderId="0" xfId="0" applyFont="1"/>
    <xf numFmtId="9" fontId="22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/>
    <xf numFmtId="0" fontId="16" fillId="0" borderId="0" xfId="0" applyFont="1" applyAlignment="1"/>
    <xf numFmtId="0" fontId="25" fillId="0" borderId="0" xfId="0" applyFont="1"/>
    <xf numFmtId="0" fontId="24" fillId="0" borderId="0" xfId="0" applyFont="1" applyAlignment="1">
      <alignment horizontal="left" wrapText="1"/>
    </xf>
    <xf numFmtId="0" fontId="24" fillId="0" borderId="5" xfId="0" applyFont="1" applyBorder="1"/>
    <xf numFmtId="0" fontId="24" fillId="0" borderId="0" xfId="0" applyFont="1"/>
    <xf numFmtId="0" fontId="7" fillId="0" borderId="5" xfId="0" applyFont="1" applyBorder="1"/>
    <xf numFmtId="0" fontId="16" fillId="0" borderId="0" xfId="0" applyFont="1"/>
    <xf numFmtId="0" fontId="24" fillId="0" borderId="6" xfId="0" applyFont="1" applyBorder="1"/>
    <xf numFmtId="0" fontId="7" fillId="0" borderId="7" xfId="0" applyFont="1" applyBorder="1" applyAlignment="1">
      <alignment horizontal="left" wrapText="1"/>
    </xf>
    <xf numFmtId="0" fontId="5" fillId="7" borderId="8" xfId="0" applyFont="1" applyFill="1" applyBorder="1" applyAlignment="1">
      <alignment horizontal="center"/>
    </xf>
    <xf numFmtId="0" fontId="7" fillId="0" borderId="9" xfId="0" applyFont="1" applyBorder="1" applyAlignment="1">
      <alignment horizontal="left" wrapText="1"/>
    </xf>
    <xf numFmtId="0" fontId="26" fillId="0" borderId="10" xfId="0" applyFont="1" applyBorder="1" applyAlignment="1">
      <alignment horizontal="center" wrapText="1"/>
    </xf>
    <xf numFmtId="0" fontId="27" fillId="8" borderId="11" xfId="0" applyFont="1" applyFill="1" applyBorder="1" applyAlignment="1">
      <alignment horizontal="center"/>
    </xf>
    <xf numFmtId="0" fontId="5" fillId="7" borderId="0" xfId="0" applyFont="1" applyFill="1" applyAlignment="1">
      <alignment horizontal="center" wrapText="1"/>
    </xf>
    <xf numFmtId="0" fontId="28" fillId="9" borderId="0" xfId="0" applyFont="1" applyFill="1" applyAlignment="1">
      <alignment horizontal="center" wrapText="1"/>
    </xf>
    <xf numFmtId="0" fontId="24" fillId="0" borderId="0" xfId="0" applyFont="1" applyAlignment="1">
      <alignment horizontal="center" wrapText="1"/>
    </xf>
    <xf numFmtId="0" fontId="28" fillId="8" borderId="0" xfId="0" applyFont="1" applyFill="1" applyAlignment="1">
      <alignment horizontal="center" wrapText="1"/>
    </xf>
    <xf numFmtId="0" fontId="28" fillId="7" borderId="0" xfId="0" applyFont="1" applyFill="1" applyAlignment="1">
      <alignment horizontal="center" wrapText="1"/>
    </xf>
    <xf numFmtId="0" fontId="29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28" fillId="8" borderId="0" xfId="0" applyFont="1" applyFill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8" fillId="0" borderId="0" xfId="0" applyFont="1" applyAlignment="1">
      <alignment wrapText="1"/>
    </xf>
    <xf numFmtId="9" fontId="7" fillId="0" borderId="0" xfId="0" applyNumberFormat="1" applyFont="1" applyAlignment="1">
      <alignment horizontal="center" wrapText="1"/>
    </xf>
    <xf numFmtId="0" fontId="29" fillId="10" borderId="0" xfId="0" applyFont="1" applyFill="1" applyAlignment="1">
      <alignment horizontal="center" wrapText="1"/>
    </xf>
    <xf numFmtId="9" fontId="30" fillId="0" borderId="0" xfId="0" applyNumberFormat="1" applyFont="1" applyAlignment="1">
      <alignment horizontal="left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5" fillId="7" borderId="12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31" fillId="0" borderId="0" xfId="0" applyFont="1"/>
    <xf numFmtId="0" fontId="7" fillId="8" borderId="3" xfId="0" applyFont="1" applyFill="1" applyBorder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7" fillId="11" borderId="0" xfId="0" applyFont="1" applyFill="1"/>
    <xf numFmtId="0" fontId="5" fillId="11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11" borderId="0" xfId="0" applyFont="1" applyFill="1"/>
    <xf numFmtId="0" fontId="5" fillId="0" borderId="5" xfId="0" applyFont="1" applyBorder="1" applyAlignment="1"/>
    <xf numFmtId="0" fontId="5" fillId="0" borderId="0" xfId="0" applyFont="1" applyAlignment="1">
      <alignment horizontal="center" wrapText="1"/>
    </xf>
    <xf numFmtId="0" fontId="7" fillId="0" borderId="0" xfId="0" applyFont="1" applyAlignment="1"/>
    <xf numFmtId="0" fontId="31" fillId="11" borderId="0" xfId="0" applyFont="1" applyFill="1" applyAlignment="1">
      <alignment horizontal="center"/>
    </xf>
    <xf numFmtId="0" fontId="7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left" vertical="top" wrapText="1"/>
    </xf>
    <xf numFmtId="0" fontId="7" fillId="0" borderId="0" xfId="0" applyFont="1" applyAlignment="1">
      <alignment vertical="top"/>
    </xf>
    <xf numFmtId="0" fontId="32" fillId="0" borderId="0" xfId="0" applyFont="1"/>
    <xf numFmtId="0" fontId="32" fillId="0" borderId="9" xfId="0" applyFont="1" applyBorder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5" fillId="11" borderId="0" xfId="0" applyFont="1" applyFill="1" applyAlignment="1"/>
    <xf numFmtId="0" fontId="25" fillId="0" borderId="13" xfId="0" applyFont="1" applyBorder="1" applyAlignment="1">
      <alignment horizontal="center" wrapText="1"/>
    </xf>
    <xf numFmtId="0" fontId="21" fillId="12" borderId="13" xfId="0" applyFont="1" applyFill="1" applyBorder="1" applyAlignment="1">
      <alignment horizontal="center" wrapText="1"/>
    </xf>
    <xf numFmtId="0" fontId="7" fillId="11" borderId="13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 wrapText="1"/>
    </xf>
    <xf numFmtId="0" fontId="19" fillId="0" borderId="15" xfId="0" applyFont="1" applyBorder="1" applyAlignment="1">
      <alignment horizontal="left" vertical="top" wrapText="1"/>
    </xf>
    <xf numFmtId="0" fontId="19" fillId="0" borderId="16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34" fillId="0" borderId="13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9" fontId="30" fillId="0" borderId="0" xfId="0" applyNumberFormat="1" applyFont="1" applyAlignment="1">
      <alignment horizontal="center"/>
    </xf>
    <xf numFmtId="0" fontId="0" fillId="0" borderId="19" xfId="0" applyBorder="1" applyAlignment="1"/>
    <xf numFmtId="0" fontId="0" fillId="0" borderId="20" xfId="0" applyBorder="1" applyAlignment="1">
      <alignment horizontal="left"/>
    </xf>
    <xf numFmtId="0" fontId="0" fillId="0" borderId="20" xfId="0" applyBorder="1" applyAlignment="1"/>
    <xf numFmtId="0" fontId="0" fillId="0" borderId="21" xfId="0" applyBorder="1"/>
    <xf numFmtId="0" fontId="0" fillId="0" borderId="9" xfId="0" applyBorder="1" applyAlignment="1"/>
    <xf numFmtId="0" fontId="0" fillId="0" borderId="22" xfId="0" applyBorder="1"/>
    <xf numFmtId="0" fontId="35" fillId="0" borderId="9" xfId="0" applyFont="1" applyBorder="1" applyAlignment="1"/>
    <xf numFmtId="0" fontId="35" fillId="0" borderId="0" xfId="0" applyFont="1" applyAlignment="1">
      <alignment horizontal="left"/>
    </xf>
    <xf numFmtId="0" fontId="35" fillId="0" borderId="0" xfId="0" applyFont="1" applyAlignment="1"/>
    <xf numFmtId="0" fontId="36" fillId="0" borderId="9" xfId="0" applyFont="1" applyBorder="1" applyAlignment="1"/>
    <xf numFmtId="0" fontId="36" fillId="0" borderId="0" xfId="0" applyFont="1" applyAlignment="1">
      <alignment horizontal="left"/>
    </xf>
    <xf numFmtId="0" fontId="36" fillId="0" borderId="0" xfId="0" applyFont="1" applyAlignment="1"/>
    <xf numFmtId="0" fontId="37" fillId="0" borderId="0" xfId="0" applyFont="1" applyAlignment="1"/>
    <xf numFmtId="0" fontId="37" fillId="0" borderId="9" xfId="0" applyFont="1" applyBorder="1" applyAlignment="1">
      <alignment horizontal="center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top" wrapText="1"/>
    </xf>
    <xf numFmtId="0" fontId="37" fillId="0" borderId="0" xfId="0" applyFont="1" applyAlignment="1">
      <alignment vertical="top" wrapText="1"/>
    </xf>
    <xf numFmtId="0" fontId="37" fillId="0" borderId="9" xfId="0" applyFont="1" applyBorder="1" applyAlignment="1"/>
    <xf numFmtId="0" fontId="37" fillId="0" borderId="22" xfId="0" applyFont="1" applyBorder="1" applyAlignment="1">
      <alignment vertical="top" wrapText="1"/>
    </xf>
    <xf numFmtId="0" fontId="37" fillId="0" borderId="0" xfId="0" applyFont="1"/>
    <xf numFmtId="0" fontId="35" fillId="0" borderId="9" xfId="0" applyFont="1" applyBorder="1" applyAlignment="1">
      <alignment horizontal="left"/>
    </xf>
    <xf numFmtId="0" fontId="37" fillId="0" borderId="22" xfId="0" applyFont="1" applyBorder="1" applyAlignment="1"/>
    <xf numFmtId="0" fontId="37" fillId="0" borderId="22" xfId="0" applyFont="1" applyBorder="1"/>
    <xf numFmtId="0" fontId="37" fillId="0" borderId="23" xfId="0" applyFont="1" applyBorder="1" applyAlignment="1"/>
    <xf numFmtId="0" fontId="37" fillId="0" borderId="5" xfId="0" applyFont="1" applyBorder="1" applyAlignment="1">
      <alignment horizontal="left"/>
    </xf>
    <xf numFmtId="0" fontId="38" fillId="0" borderId="5" xfId="0" applyFont="1" applyBorder="1" applyAlignment="1"/>
    <xf numFmtId="0" fontId="37" fillId="0" borderId="24" xfId="0" applyFont="1" applyBorder="1"/>
    <xf numFmtId="0" fontId="39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11" borderId="0" xfId="0" applyFill="1" applyAlignment="1"/>
    <xf numFmtId="0" fontId="33" fillId="11" borderId="0" xfId="0" applyFont="1" applyFill="1" applyAlignment="1"/>
    <xf numFmtId="0" fontId="0" fillId="0" borderId="0" xfId="0" applyAlignment="1">
      <alignment horizontal="center" wrapText="1"/>
    </xf>
    <xf numFmtId="0" fontId="0" fillId="11" borderId="0" xfId="0" applyFill="1" applyAlignment="1">
      <alignment wrapText="1"/>
    </xf>
    <xf numFmtId="0" fontId="32" fillId="0" borderId="0" xfId="0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wrapText="1"/>
    </xf>
    <xf numFmtId="0" fontId="32" fillId="11" borderId="0" xfId="0" applyFont="1" applyFill="1" applyAlignment="1"/>
    <xf numFmtId="0" fontId="32" fillId="0" borderId="0" xfId="0" applyFont="1" applyAlignment="1">
      <alignment horizontal="center" wrapText="1"/>
    </xf>
    <xf numFmtId="0" fontId="32" fillId="11" borderId="0" xfId="0" applyFont="1" applyFill="1" applyAlignment="1">
      <alignment wrapText="1"/>
    </xf>
    <xf numFmtId="0" fontId="33" fillId="11" borderId="0" xfId="0" applyFont="1" applyFill="1" applyAlignment="1">
      <alignment horizontal="center"/>
    </xf>
    <xf numFmtId="0" fontId="41" fillId="0" borderId="8" xfId="0" applyFont="1" applyBorder="1" applyAlignment="1">
      <alignment horizontal="left"/>
    </xf>
    <xf numFmtId="0" fontId="41" fillId="0" borderId="25" xfId="0" applyFont="1" applyBorder="1"/>
    <xf numFmtId="0" fontId="32" fillId="0" borderId="25" xfId="0" applyFont="1" applyBorder="1" applyAlignment="1"/>
    <xf numFmtId="0" fontId="32" fillId="0" borderId="26" xfId="0" applyFont="1" applyBorder="1" applyAlignment="1"/>
    <xf numFmtId="0" fontId="42" fillId="7" borderId="27" xfId="0" applyFont="1" applyFill="1" applyBorder="1" applyAlignment="1">
      <alignment horizontal="center"/>
    </xf>
    <xf numFmtId="0" fontId="41" fillId="0" borderId="10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32" fillId="0" borderId="28" xfId="0" applyFont="1" applyBorder="1" applyAlignment="1"/>
    <xf numFmtId="0" fontId="43" fillId="14" borderId="10" xfId="0" applyFont="1" applyFill="1" applyBorder="1" applyAlignment="1">
      <alignment horizontal="center" wrapText="1"/>
    </xf>
    <xf numFmtId="0" fontId="43" fillId="11" borderId="0" xfId="0" applyFont="1" applyFill="1" applyAlignment="1">
      <alignment wrapText="1"/>
    </xf>
    <xf numFmtId="0" fontId="43" fillId="11" borderId="28" xfId="0" applyFont="1" applyFill="1" applyBorder="1" applyAlignment="1">
      <alignment wrapText="1"/>
    </xf>
    <xf numFmtId="0" fontId="33" fillId="0" borderId="0" xfId="0" applyFont="1" applyAlignment="1"/>
    <xf numFmtId="0" fontId="0" fillId="0" borderId="0" xfId="0" applyAlignment="1">
      <alignment horizontal="left" wrapText="1"/>
    </xf>
    <xf numFmtId="0" fontId="43" fillId="11" borderId="0" xfId="0" applyFont="1" applyFill="1" applyAlignment="1">
      <alignment horizontal="center" wrapText="1"/>
    </xf>
    <xf numFmtId="0" fontId="43" fillId="0" borderId="0" xfId="0" applyFont="1" applyAlignment="1">
      <alignment horizontal="center" wrapText="1"/>
    </xf>
    <xf numFmtId="0" fontId="0" fillId="11" borderId="0" xfId="0" applyFill="1"/>
    <xf numFmtId="0" fontId="41" fillId="0" borderId="11" xfId="0" applyFont="1" applyBorder="1" applyAlignment="1">
      <alignment horizontal="left"/>
    </xf>
    <xf numFmtId="0" fontId="41" fillId="0" borderId="29" xfId="0" applyFont="1" applyBorder="1" applyAlignment="1">
      <alignment horizontal="left"/>
    </xf>
    <xf numFmtId="0" fontId="43" fillId="11" borderId="29" xfId="0" applyFont="1" applyFill="1" applyBorder="1" applyAlignment="1">
      <alignment wrapText="1"/>
    </xf>
    <xf numFmtId="0" fontId="43" fillId="11" borderId="30" xfId="0" applyFont="1" applyFill="1" applyBorder="1" applyAlignment="1">
      <alignment wrapText="1"/>
    </xf>
    <xf numFmtId="0" fontId="44" fillId="7" borderId="8" xfId="0" applyFont="1" applyFill="1" applyBorder="1" applyAlignment="1">
      <alignment horizontal="center"/>
    </xf>
    <xf numFmtId="0" fontId="45" fillId="11" borderId="0" xfId="0" applyFont="1" applyFill="1" applyAlignment="1"/>
    <xf numFmtId="0" fontId="45" fillId="11" borderId="0" xfId="0" applyFont="1" applyFill="1" applyAlignment="1">
      <alignment horizontal="center"/>
    </xf>
    <xf numFmtId="0" fontId="33" fillId="0" borderId="0" xfId="0" applyFont="1"/>
    <xf numFmtId="0" fontId="46" fillId="15" borderId="31" xfId="0" applyFont="1" applyFill="1" applyBorder="1" applyAlignment="1">
      <alignment horizontal="left" wrapText="1"/>
    </xf>
    <xf numFmtId="0" fontId="4" fillId="11" borderId="0" xfId="0" applyFont="1" applyFill="1" applyAlignment="1">
      <alignment vertical="top" wrapText="1"/>
    </xf>
    <xf numFmtId="0" fontId="4" fillId="16" borderId="19" xfId="0" applyFont="1" applyFill="1" applyBorder="1" applyAlignment="1">
      <alignment vertical="top" wrapText="1"/>
    </xf>
    <xf numFmtId="0" fontId="4" fillId="16" borderId="20" xfId="0" applyFont="1" applyFill="1" applyBorder="1" applyAlignment="1">
      <alignment vertical="top" wrapText="1"/>
    </xf>
    <xf numFmtId="0" fontId="4" fillId="16" borderId="21" xfId="0" applyFont="1" applyFill="1" applyBorder="1" applyAlignment="1">
      <alignment vertical="top" wrapText="1"/>
    </xf>
    <xf numFmtId="0" fontId="4" fillId="11" borderId="0" xfId="0" applyFont="1" applyFill="1" applyAlignment="1">
      <alignment horizontal="center" vertical="top" wrapText="1"/>
    </xf>
    <xf numFmtId="0" fontId="47" fillId="0" borderId="19" xfId="0" applyFont="1" applyBorder="1" applyAlignment="1"/>
    <xf numFmtId="0" fontId="48" fillId="17" borderId="18" xfId="0" applyFont="1" applyFill="1" applyBorder="1" applyAlignment="1">
      <alignment horizontal="center" wrapText="1"/>
    </xf>
    <xf numFmtId="0" fontId="48" fillId="17" borderId="18" xfId="0" applyFont="1" applyFill="1" applyBorder="1" applyAlignment="1">
      <alignment horizontal="center" vertical="top" wrapText="1"/>
    </xf>
    <xf numFmtId="0" fontId="49" fillId="11" borderId="0" xfId="0" applyFont="1" applyFill="1" applyAlignment="1">
      <alignment horizontal="center" wrapText="1"/>
    </xf>
    <xf numFmtId="0" fontId="49" fillId="17" borderId="18" xfId="0" applyFont="1" applyFill="1" applyBorder="1" applyAlignment="1">
      <alignment horizontal="center" wrapText="1"/>
    </xf>
    <xf numFmtId="0" fontId="49" fillId="11" borderId="0" xfId="0" applyFont="1" applyFill="1" applyAlignment="1">
      <alignment horizontal="center" vertical="top" wrapText="1"/>
    </xf>
    <xf numFmtId="0" fontId="47" fillId="0" borderId="0" xfId="0" applyFont="1" applyAlignment="1"/>
    <xf numFmtId="0" fontId="47" fillId="0" borderId="9" xfId="0" applyFont="1" applyBorder="1" applyAlignment="1"/>
    <xf numFmtId="0" fontId="50" fillId="0" borderId="9" xfId="0" applyFont="1" applyBorder="1" applyAlignment="1"/>
    <xf numFmtId="0" fontId="50" fillId="0" borderId="18" xfId="0" applyFont="1" applyBorder="1" applyAlignment="1">
      <alignment horizontal="center"/>
    </xf>
    <xf numFmtId="0" fontId="51" fillId="0" borderId="18" xfId="0" applyFont="1" applyBorder="1" applyAlignment="1">
      <alignment horizontal="center" wrapText="1"/>
    </xf>
    <xf numFmtId="0" fontId="50" fillId="0" borderId="18" xfId="0" applyFont="1" applyBorder="1" applyAlignment="1">
      <alignment wrapText="1"/>
    </xf>
    <xf numFmtId="0" fontId="50" fillId="0" borderId="18" xfId="0" applyFont="1" applyBorder="1" applyAlignment="1">
      <alignment horizontal="left" wrapText="1"/>
    </xf>
    <xf numFmtId="9" fontId="41" fillId="0" borderId="18" xfId="0" applyNumberFormat="1" applyFont="1" applyBorder="1" applyAlignment="1">
      <alignment horizontal="center" wrapText="1"/>
    </xf>
    <xf numFmtId="0" fontId="41" fillId="0" borderId="18" xfId="0" applyFont="1" applyBorder="1" applyAlignment="1">
      <alignment horizontal="center" wrapText="1"/>
    </xf>
    <xf numFmtId="0" fontId="50" fillId="0" borderId="18" xfId="0" applyFont="1" applyBorder="1" applyAlignment="1">
      <alignment horizontal="center" wrapText="1"/>
    </xf>
    <xf numFmtId="0" fontId="50" fillId="11" borderId="0" xfId="0" applyFont="1" applyFill="1" applyAlignment="1">
      <alignment horizontal="center"/>
    </xf>
    <xf numFmtId="0" fontId="50" fillId="0" borderId="18" xfId="0" applyFont="1" applyBorder="1" applyAlignment="1"/>
    <xf numFmtId="0" fontId="50" fillId="11" borderId="0" xfId="0" applyFont="1" applyFill="1" applyAlignment="1"/>
    <xf numFmtId="0" fontId="50" fillId="0" borderId="0" xfId="0" applyFont="1" applyAlignment="1"/>
    <xf numFmtId="9" fontId="52" fillId="0" borderId="18" xfId="0" applyNumberFormat="1" applyFont="1" applyBorder="1" applyAlignment="1">
      <alignment horizontal="center" wrapText="1"/>
    </xf>
    <xf numFmtId="9" fontId="50" fillId="0" borderId="18" xfId="0" applyNumberFormat="1" applyFont="1" applyBorder="1" applyAlignment="1">
      <alignment horizontal="left" wrapText="1"/>
    </xf>
    <xf numFmtId="9" fontId="53" fillId="0" borderId="18" xfId="0" applyNumberFormat="1" applyFont="1" applyBorder="1" applyAlignment="1">
      <alignment horizontal="center" wrapText="1"/>
    </xf>
    <xf numFmtId="0" fontId="54" fillId="0" borderId="18" xfId="0" applyFont="1" applyBorder="1" applyAlignment="1">
      <alignment horizontal="center" wrapText="1"/>
    </xf>
    <xf numFmtId="0" fontId="50" fillId="0" borderId="18" xfId="0" applyFont="1" applyBorder="1" applyAlignment="1">
      <alignment horizontal="left" vertical="top" wrapText="1"/>
    </xf>
    <xf numFmtId="0" fontId="50" fillId="11" borderId="18" xfId="0" applyFont="1" applyFill="1" applyBorder="1" applyAlignment="1">
      <alignment horizontal="center"/>
    </xf>
    <xf numFmtId="9" fontId="55" fillId="11" borderId="18" xfId="0" applyNumberFormat="1" applyFont="1" applyFill="1" applyBorder="1" applyAlignment="1">
      <alignment horizontal="center" wrapText="1"/>
    </xf>
    <xf numFmtId="9" fontId="50" fillId="0" borderId="18" xfId="0" applyNumberFormat="1" applyFont="1" applyBorder="1" applyAlignment="1">
      <alignment horizontal="left" vertical="top" wrapText="1"/>
    </xf>
    <xf numFmtId="9" fontId="50" fillId="0" borderId="18" xfId="0" applyNumberFormat="1" applyFont="1" applyBorder="1" applyAlignment="1">
      <alignment horizontal="center" wrapText="1"/>
    </xf>
    <xf numFmtId="0" fontId="41" fillId="0" borderId="0" xfId="0" applyFont="1" applyAlignment="1"/>
    <xf numFmtId="0" fontId="50" fillId="0" borderId="0" xfId="0" applyFont="1" applyAlignment="1">
      <alignment horizontal="left"/>
    </xf>
    <xf numFmtId="9" fontId="56" fillId="18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56" fillId="16" borderId="18" xfId="0" applyFont="1" applyFill="1" applyBorder="1" applyAlignment="1">
      <alignment horizontal="center"/>
    </xf>
    <xf numFmtId="0" fontId="57" fillId="11" borderId="0" xfId="0" applyFont="1" applyFill="1" applyAlignment="1"/>
    <xf numFmtId="0" fontId="47" fillId="11" borderId="0" xfId="0" applyFont="1" applyFill="1" applyAlignment="1">
      <alignment horizontal="left"/>
    </xf>
    <xf numFmtId="9" fontId="58" fillId="11" borderId="0" xfId="0" applyNumberFormat="1" applyFont="1" applyFill="1" applyAlignment="1">
      <alignment horizontal="center"/>
    </xf>
    <xf numFmtId="0" fontId="47" fillId="11" borderId="0" xfId="0" applyFont="1" applyFill="1" applyAlignment="1">
      <alignment horizontal="center"/>
    </xf>
    <xf numFmtId="0" fontId="47" fillId="11" borderId="0" xfId="0" applyFont="1" applyFill="1" applyAlignment="1"/>
    <xf numFmtId="0" fontId="56" fillId="11" borderId="0" xfId="0" applyFont="1" applyFill="1" applyAlignment="1">
      <alignment vertical="top" wrapText="1"/>
    </xf>
    <xf numFmtId="0" fontId="56" fillId="16" borderId="19" xfId="0" applyFont="1" applyFill="1" applyBorder="1" applyAlignment="1">
      <alignment vertical="top" wrapText="1"/>
    </xf>
    <xf numFmtId="0" fontId="56" fillId="16" borderId="20" xfId="0" applyFont="1" applyFill="1" applyBorder="1" applyAlignment="1">
      <alignment vertical="top" wrapText="1"/>
    </xf>
    <xf numFmtId="0" fontId="59" fillId="0" borderId="19" xfId="0" applyFont="1" applyBorder="1" applyAlignment="1"/>
    <xf numFmtId="0" fontId="53" fillId="19" borderId="18" xfId="0" applyFont="1" applyFill="1" applyBorder="1" applyAlignment="1">
      <alignment horizontal="center" wrapText="1"/>
    </xf>
    <xf numFmtId="0" fontId="53" fillId="19" borderId="19" xfId="0" applyFont="1" applyFill="1" applyBorder="1" applyAlignment="1">
      <alignment horizontal="center" wrapText="1"/>
    </xf>
    <xf numFmtId="0" fontId="53" fillId="11" borderId="0" xfId="0" applyFont="1" applyFill="1" applyAlignment="1">
      <alignment horizontal="center" wrapText="1"/>
    </xf>
    <xf numFmtId="0" fontId="53" fillId="17" borderId="18" xfId="0" applyFont="1" applyFill="1" applyBorder="1" applyAlignment="1">
      <alignment horizontal="center" wrapText="1"/>
    </xf>
    <xf numFmtId="0" fontId="2" fillId="17" borderId="18" xfId="0" applyFont="1" applyFill="1" applyBorder="1" applyAlignment="1">
      <alignment horizontal="center" wrapText="1"/>
    </xf>
    <xf numFmtId="0" fontId="2" fillId="11" borderId="0" xfId="0" applyFont="1" applyFill="1" applyAlignment="1">
      <alignment horizontal="center" vertical="top" wrapText="1"/>
    </xf>
    <xf numFmtId="0" fontId="59" fillId="0" borderId="0" xfId="0" applyFont="1" applyAlignment="1"/>
    <xf numFmtId="0" fontId="59" fillId="0" borderId="9" xfId="0" applyFont="1" applyBorder="1" applyAlignment="1"/>
    <xf numFmtId="0" fontId="46" fillId="16" borderId="31" xfId="0" applyFont="1" applyFill="1" applyBorder="1" applyAlignment="1">
      <alignment horizontal="left" vertical="top" wrapText="1"/>
    </xf>
    <xf numFmtId="0" fontId="47" fillId="11" borderId="9" xfId="0" applyFont="1" applyFill="1" applyBorder="1" applyAlignment="1"/>
    <xf numFmtId="0" fontId="60" fillId="0" borderId="7" xfId="0" applyFont="1" applyBorder="1" applyAlignment="1">
      <alignment horizontal="left" wrapText="1"/>
    </xf>
    <xf numFmtId="0" fontId="50" fillId="11" borderId="18" xfId="0" applyFont="1" applyFill="1" applyBorder="1" applyAlignment="1">
      <alignment horizontal="left" wrapText="1"/>
    </xf>
    <xf numFmtId="9" fontId="41" fillId="11" borderId="18" xfId="0" applyNumberFormat="1" applyFont="1" applyFill="1" applyBorder="1" applyAlignment="1">
      <alignment horizontal="center" wrapText="1"/>
    </xf>
    <xf numFmtId="0" fontId="41" fillId="11" borderId="18" xfId="0" applyFont="1" applyFill="1" applyBorder="1" applyAlignment="1">
      <alignment horizontal="center" wrapText="1"/>
    </xf>
    <xf numFmtId="0" fontId="50" fillId="11" borderId="18" xfId="0" applyFont="1" applyFill="1" applyBorder="1" applyAlignment="1">
      <alignment horizontal="center" wrapText="1"/>
    </xf>
    <xf numFmtId="0" fontId="61" fillId="11" borderId="0" xfId="0" applyFont="1" applyFill="1" applyAlignment="1">
      <alignment horizontal="center"/>
    </xf>
    <xf numFmtId="0" fontId="61" fillId="11" borderId="18" xfId="0" applyFont="1" applyFill="1" applyBorder="1" applyAlignment="1">
      <alignment horizontal="center" wrapText="1"/>
    </xf>
    <xf numFmtId="0" fontId="61" fillId="11" borderId="18" xfId="0" applyFont="1" applyFill="1" applyBorder="1" applyAlignment="1"/>
    <xf numFmtId="0" fontId="47" fillId="11" borderId="18" xfId="0" applyFont="1" applyFill="1" applyBorder="1" applyAlignment="1">
      <alignment horizontal="center"/>
    </xf>
    <xf numFmtId="0" fontId="50" fillId="11" borderId="18" xfId="0" applyFont="1" applyFill="1" applyBorder="1" applyAlignment="1">
      <alignment wrapText="1"/>
    </xf>
    <xf numFmtId="0" fontId="61" fillId="0" borderId="18" xfId="0" applyFont="1" applyBorder="1" applyAlignment="1">
      <alignment horizontal="center" wrapText="1"/>
    </xf>
    <xf numFmtId="0" fontId="61" fillId="0" borderId="18" xfId="0" applyFont="1" applyBorder="1" applyAlignment="1"/>
    <xf numFmtId="0" fontId="47" fillId="0" borderId="18" xfId="0" applyFont="1" applyBorder="1" applyAlignment="1">
      <alignment horizontal="center"/>
    </xf>
    <xf numFmtId="0" fontId="50" fillId="0" borderId="7" xfId="0" applyFont="1" applyBorder="1" applyAlignment="1">
      <alignment horizontal="left" wrapText="1"/>
    </xf>
    <xf numFmtId="0" fontId="60" fillId="0" borderId="32" xfId="0" applyFont="1" applyBorder="1" applyAlignment="1">
      <alignment horizontal="left" wrapText="1"/>
    </xf>
    <xf numFmtId="0" fontId="41" fillId="0" borderId="18" xfId="0" applyFont="1" applyBorder="1" applyAlignment="1">
      <alignment horizontal="center" vertical="top" wrapText="1"/>
    </xf>
    <xf numFmtId="0" fontId="60" fillId="0" borderId="0" xfId="0" applyFont="1" applyAlignment="1">
      <alignment horizontal="left" wrapText="1"/>
    </xf>
    <xf numFmtId="0" fontId="50" fillId="0" borderId="0" xfId="0" applyFont="1" applyAlignment="1">
      <alignment horizontal="left" vertical="top" wrapText="1"/>
    </xf>
    <xf numFmtId="0" fontId="50" fillId="0" borderId="0" xfId="0" applyFont="1" applyAlignment="1">
      <alignment horizontal="center" wrapText="1"/>
    </xf>
    <xf numFmtId="0" fontId="61" fillId="0" borderId="0" xfId="0" applyFont="1" applyAlignment="1">
      <alignment horizontal="center" wrapText="1"/>
    </xf>
    <xf numFmtId="0" fontId="61" fillId="0" borderId="0" xfId="0" applyFont="1" applyAlignment="1"/>
    <xf numFmtId="0" fontId="47" fillId="0" borderId="0" xfId="0" applyFont="1" applyAlignment="1">
      <alignment horizontal="center"/>
    </xf>
    <xf numFmtId="9" fontId="62" fillId="0" borderId="0" xfId="0" applyNumberFormat="1" applyFont="1" applyAlignment="1">
      <alignment horizontal="center" wrapText="1"/>
    </xf>
    <xf numFmtId="0" fontId="53" fillId="0" borderId="27" xfId="0" applyFont="1" applyBorder="1" applyAlignment="1">
      <alignment horizontal="center"/>
    </xf>
    <xf numFmtId="0" fontId="41" fillId="20" borderId="8" xfId="0" applyFont="1" applyFill="1" applyBorder="1" applyAlignment="1">
      <alignment horizontal="center" wrapText="1"/>
    </xf>
    <xf numFmtId="0" fontId="41" fillId="11" borderId="33" xfId="0" applyFont="1" applyFill="1" applyBorder="1" applyAlignment="1">
      <alignment horizontal="center"/>
    </xf>
    <xf numFmtId="0" fontId="50" fillId="0" borderId="10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2" fillId="0" borderId="0" xfId="0" applyFont="1"/>
    <xf numFmtId="0" fontId="60" fillId="0" borderId="28" xfId="0" applyFont="1" applyBorder="1" applyAlignment="1">
      <alignment horizontal="left" wrapText="1"/>
    </xf>
    <xf numFmtId="0" fontId="50" fillId="0" borderId="11" xfId="0" applyFont="1" applyBorder="1" applyAlignment="1">
      <alignment horizontal="center"/>
    </xf>
    <xf numFmtId="0" fontId="62" fillId="0" borderId="29" xfId="0" applyFont="1" applyBorder="1" applyAlignment="1">
      <alignment horizontal="center"/>
    </xf>
    <xf numFmtId="0" fontId="62" fillId="0" borderId="29" xfId="0" applyFont="1" applyBorder="1"/>
    <xf numFmtId="0" fontId="60" fillId="0" borderId="30" xfId="0" applyFont="1" applyBorder="1" applyAlignment="1">
      <alignment horizontal="left" wrapText="1"/>
    </xf>
    <xf numFmtId="0" fontId="40" fillId="0" borderId="0" xfId="0" applyFont="1" applyAlignment="1">
      <alignment horizontal="left" vertical="top" wrapText="1"/>
    </xf>
    <xf numFmtId="0" fontId="40" fillId="0" borderId="0" xfId="0" applyFont="1" applyAlignment="1">
      <alignment horizontal="left" vertical="top"/>
    </xf>
    <xf numFmtId="0" fontId="33" fillId="11" borderId="0" xfId="0" applyFont="1" applyFill="1" applyAlignment="1">
      <alignment vertical="top"/>
    </xf>
    <xf numFmtId="0" fontId="0" fillId="0" borderId="0" xfId="0" applyAlignment="1">
      <alignment horizontal="left" vertical="top" wrapText="1"/>
    </xf>
    <xf numFmtId="0" fontId="33" fillId="0" borderId="19" xfId="0" applyFont="1" applyBorder="1"/>
    <xf numFmtId="0" fontId="33" fillId="0" borderId="20" xfId="0" applyFont="1" applyBorder="1"/>
    <xf numFmtId="0" fontId="1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3" fillId="0" borderId="9" xfId="0" applyFont="1" applyBorder="1"/>
    <xf numFmtId="0" fontId="33" fillId="0" borderId="23" xfId="0" applyFont="1" applyBorder="1"/>
    <xf numFmtId="0" fontId="33" fillId="0" borderId="5" xfId="0" applyFont="1" applyBorder="1"/>
    <xf numFmtId="0" fontId="0" fillId="0" borderId="24" xfId="0" applyBorder="1"/>
    <xf numFmtId="0" fontId="6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/>
    </xf>
    <xf numFmtId="0" fontId="17" fillId="0" borderId="0" xfId="0" applyFont="1"/>
    <xf numFmtId="0" fontId="63" fillId="0" borderId="0" xfId="0" applyFont="1" applyAlignment="1">
      <alignment horizontal="left" wrapText="1"/>
    </xf>
    <xf numFmtId="0" fontId="64" fillId="17" borderId="34" xfId="0" applyFont="1" applyFill="1" applyBorder="1" applyAlignment="1">
      <alignment horizontal="center"/>
    </xf>
    <xf numFmtId="0" fontId="64" fillId="17" borderId="35" xfId="0" applyFont="1" applyFill="1" applyBorder="1" applyAlignment="1">
      <alignment horizontal="center" wrapText="1"/>
    </xf>
    <xf numFmtId="0" fontId="64" fillId="17" borderId="36" xfId="0" applyFont="1" applyFill="1" applyBorder="1" applyAlignment="1">
      <alignment horizontal="center" wrapText="1"/>
    </xf>
    <xf numFmtId="0" fontId="64" fillId="0" borderId="0" xfId="0" applyFont="1" applyAlignment="1">
      <alignment horizontal="center" wrapText="1"/>
    </xf>
    <xf numFmtId="0" fontId="3" fillId="0" borderId="37" xfId="0" applyFont="1" applyBorder="1" applyAlignment="1">
      <alignment horizontal="center"/>
    </xf>
    <xf numFmtId="0" fontId="3" fillId="0" borderId="37" xfId="0" applyFont="1" applyBorder="1" applyAlignment="1">
      <alignment horizontal="left"/>
    </xf>
    <xf numFmtId="0" fontId="3" fillId="0" borderId="37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38" xfId="0" applyFont="1" applyBorder="1" applyAlignment="1">
      <alignment horizontal="center"/>
    </xf>
    <xf numFmtId="0" fontId="3" fillId="0" borderId="38" xfId="0" applyFont="1" applyBorder="1" applyAlignment="1">
      <alignment horizontal="left" wrapText="1"/>
    </xf>
    <xf numFmtId="0" fontId="3" fillId="0" borderId="38" xfId="0" applyFont="1" applyBorder="1" applyAlignment="1">
      <alignment horizontal="center" wrapText="1"/>
    </xf>
    <xf numFmtId="0" fontId="3" fillId="0" borderId="3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64" fillId="17" borderId="39" xfId="0" applyFont="1" applyFill="1" applyBorder="1" applyAlignment="1">
      <alignment horizontal="center" wrapText="1"/>
    </xf>
    <xf numFmtId="0" fontId="13" fillId="0" borderId="0" xfId="0" applyFont="1" applyAlignment="1">
      <alignment vertical="top" wrapText="1"/>
    </xf>
    <xf numFmtId="0" fontId="0" fillId="21" borderId="40" xfId="0" applyFill="1" applyBorder="1"/>
    <xf numFmtId="0" fontId="33" fillId="21" borderId="41" xfId="0" applyFont="1" applyFill="1" applyBorder="1"/>
    <xf numFmtId="0" fontId="0" fillId="21" borderId="41" xfId="0" applyFill="1" applyBorder="1"/>
    <xf numFmtId="0" fontId="0" fillId="21" borderId="42" xfId="0" applyFill="1" applyBorder="1"/>
    <xf numFmtId="0" fontId="2" fillId="21" borderId="43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4" fillId="0" borderId="40" xfId="0" applyFont="1" applyBorder="1" applyAlignment="1">
      <alignment horizontal="left" vertical="top" wrapText="1"/>
    </xf>
    <xf numFmtId="0" fontId="64" fillId="0" borderId="41" xfId="0" applyFont="1" applyBorder="1" applyAlignment="1">
      <alignment horizontal="left" vertical="top"/>
    </xf>
    <xf numFmtId="0" fontId="65" fillId="0" borderId="41" xfId="0" applyFont="1" applyBorder="1" applyAlignment="1">
      <alignment vertical="top"/>
    </xf>
    <xf numFmtId="0" fontId="65" fillId="0" borderId="41" xfId="0" applyFont="1" applyBorder="1" applyAlignment="1">
      <alignment horizontal="center" vertical="top"/>
    </xf>
    <xf numFmtId="0" fontId="65" fillId="0" borderId="0" xfId="0" applyFont="1" applyAlignment="1">
      <alignment horizontal="center" vertical="top"/>
    </xf>
    <xf numFmtId="0" fontId="64" fillId="0" borderId="44" xfId="0" applyFont="1" applyBorder="1" applyAlignment="1">
      <alignment horizontal="left" vertical="top" wrapText="1"/>
    </xf>
    <xf numFmtId="0" fontId="64" fillId="0" borderId="45" xfId="0" applyFont="1" applyBorder="1" applyAlignment="1">
      <alignment horizontal="left" vertical="top"/>
    </xf>
    <xf numFmtId="0" fontId="64" fillId="0" borderId="45" xfId="0" applyFont="1" applyBorder="1" applyAlignment="1">
      <alignment horizontal="right" vertical="top"/>
    </xf>
    <xf numFmtId="0" fontId="64" fillId="0" borderId="46" xfId="0" applyFont="1" applyBorder="1" applyAlignment="1">
      <alignment horizontal="left" vertical="top"/>
    </xf>
    <xf numFmtId="0" fontId="64" fillId="0" borderId="0" xfId="0" applyFont="1" applyAlignment="1">
      <alignment horizontal="left" vertical="top"/>
    </xf>
    <xf numFmtId="0" fontId="0" fillId="0" borderId="43" xfId="0" applyBorder="1"/>
    <xf numFmtId="0" fontId="66" fillId="0" borderId="47" xfId="0" applyFont="1" applyBorder="1"/>
    <xf numFmtId="0" fontId="66" fillId="0" borderId="48" xfId="0" applyFont="1" applyBorder="1"/>
    <xf numFmtId="0" fontId="66" fillId="0" borderId="0" xfId="0" applyFont="1"/>
    <xf numFmtId="9" fontId="67" fillId="11" borderId="0" xfId="0" applyNumberFormat="1" applyFont="1" applyFill="1" applyAlignment="1">
      <alignment horizontal="left"/>
    </xf>
    <xf numFmtId="0" fontId="59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9" fillId="0" borderId="0" xfId="0" applyFont="1" applyAlignment="1">
      <alignment vertical="top"/>
    </xf>
    <xf numFmtId="0" fontId="32" fillId="0" borderId="0" xfId="0" applyFont="1" applyAlignment="1">
      <alignment horizontal="left" vertical="top"/>
    </xf>
    <xf numFmtId="0" fontId="6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68" fillId="0" borderId="0" xfId="0" applyFont="1" applyAlignment="1">
      <alignment horizontal="left" vertical="top" wrapText="1"/>
    </xf>
    <xf numFmtId="0" fontId="59" fillId="0" borderId="0" xfId="0" applyFont="1" applyAlignment="1">
      <alignment horizontal="left"/>
    </xf>
    <xf numFmtId="0" fontId="59" fillId="0" borderId="0" xfId="0" applyFont="1"/>
    <xf numFmtId="0" fontId="68" fillId="0" borderId="0" xfId="0" applyFont="1" applyAlignment="1">
      <alignment horizontal="left" vertical="top"/>
    </xf>
    <xf numFmtId="0" fontId="65" fillId="0" borderId="0" xfId="0" applyFont="1" applyAlignment="1">
      <alignment horizontal="left" wrapText="1"/>
    </xf>
    <xf numFmtId="0" fontId="65" fillId="0" borderId="0" xfId="0" applyFont="1" applyAlignment="1">
      <alignment vertical="top" wrapText="1"/>
    </xf>
    <xf numFmtId="0" fontId="65" fillId="0" borderId="0" xfId="0" applyFont="1" applyAlignment="1">
      <alignment horizontal="left" vertical="top" wrapText="1"/>
    </xf>
    <xf numFmtId="0" fontId="65" fillId="0" borderId="0" xfId="0" applyFont="1" applyAlignment="1">
      <alignment horizontal="left" vertical="top"/>
    </xf>
    <xf numFmtId="0" fontId="39" fillId="14" borderId="0" xfId="0" applyFont="1" applyFill="1" applyAlignment="1">
      <alignment horizontal="left"/>
    </xf>
    <xf numFmtId="0" fontId="40" fillId="14" borderId="0" xfId="0" applyFont="1" applyFill="1" applyAlignment="1">
      <alignment horizontal="center"/>
    </xf>
    <xf numFmtId="0" fontId="33" fillId="14" borderId="0" xfId="0" applyFont="1" applyFill="1" applyAlignment="1"/>
    <xf numFmtId="0" fontId="0" fillId="14" borderId="0" xfId="0" applyFill="1" applyAlignment="1">
      <alignment horizontal="center" wrapText="1"/>
    </xf>
    <xf numFmtId="0" fontId="0" fillId="14" borderId="0" xfId="0" applyFill="1" applyAlignment="1">
      <alignment wrapText="1"/>
    </xf>
    <xf numFmtId="0" fontId="32" fillId="14" borderId="0" xfId="0" applyFont="1" applyFill="1" applyAlignment="1"/>
    <xf numFmtId="0" fontId="32" fillId="14" borderId="0" xfId="0" applyFont="1" applyFill="1" applyAlignment="1">
      <alignment horizontal="center"/>
    </xf>
    <xf numFmtId="0" fontId="32" fillId="14" borderId="0" xfId="0" applyFont="1" applyFill="1" applyAlignment="1">
      <alignment horizontal="left"/>
    </xf>
    <xf numFmtId="0" fontId="32" fillId="14" borderId="0" xfId="0" applyFont="1" applyFill="1" applyAlignment="1">
      <alignment horizontal="center" wrapText="1"/>
    </xf>
    <xf numFmtId="0" fontId="32" fillId="14" borderId="0" xfId="0" applyFont="1" applyFill="1" applyAlignment="1">
      <alignment wrapText="1"/>
    </xf>
    <xf numFmtId="0" fontId="42" fillId="7" borderId="4" xfId="0" applyFont="1" applyFill="1" applyBorder="1" applyAlignment="1">
      <alignment horizontal="center"/>
    </xf>
    <xf numFmtId="0" fontId="43" fillId="14" borderId="49" xfId="0" applyFont="1" applyFill="1" applyBorder="1" applyAlignment="1">
      <alignment horizontal="center" wrapText="1"/>
    </xf>
    <xf numFmtId="0" fontId="33" fillId="14" borderId="19" xfId="0" applyFont="1" applyFill="1" applyBorder="1"/>
    <xf numFmtId="0" fontId="33" fillId="14" borderId="20" xfId="0" applyFont="1" applyFill="1" applyBorder="1"/>
    <xf numFmtId="0" fontId="0" fillId="14" borderId="20" xfId="0" applyFill="1" applyBorder="1"/>
    <xf numFmtId="0" fontId="0" fillId="14" borderId="21" xfId="0" applyFill="1" applyBorder="1"/>
    <xf numFmtId="0" fontId="0" fillId="14" borderId="0" xfId="0" applyFill="1" applyAlignment="1">
      <alignment horizontal="left" wrapText="1"/>
    </xf>
    <xf numFmtId="0" fontId="43" fillId="14" borderId="0" xfId="0" applyFont="1" applyFill="1" applyAlignment="1">
      <alignment horizontal="center" wrapText="1"/>
    </xf>
    <xf numFmtId="0" fontId="0" fillId="14" borderId="0" xfId="0" applyFill="1"/>
    <xf numFmtId="0" fontId="33" fillId="14" borderId="9" xfId="0" applyFont="1" applyFill="1" applyBorder="1"/>
    <xf numFmtId="0" fontId="33" fillId="14" borderId="0" xfId="0" applyFont="1" applyFill="1"/>
    <xf numFmtId="0" fontId="0" fillId="14" borderId="22" xfId="0" applyFill="1" applyBorder="1"/>
    <xf numFmtId="0" fontId="45" fillId="17" borderId="49" xfId="0" applyFont="1" applyFill="1" applyBorder="1" applyAlignment="1">
      <alignment horizontal="center"/>
    </xf>
    <xf numFmtId="0" fontId="33" fillId="14" borderId="23" xfId="0" applyFont="1" applyFill="1" applyBorder="1"/>
    <xf numFmtId="0" fontId="33" fillId="14" borderId="5" xfId="0" applyFont="1" applyFill="1" applyBorder="1"/>
    <xf numFmtId="0" fontId="0" fillId="14" borderId="5" xfId="0" applyFill="1" applyBorder="1"/>
    <xf numFmtId="0" fontId="0" fillId="14" borderId="24" xfId="0" applyFill="1" applyBorder="1"/>
    <xf numFmtId="0" fontId="4" fillId="16" borderId="31" xfId="0" applyFont="1" applyFill="1" applyBorder="1" applyAlignment="1">
      <alignment horizontal="center" vertical="top" wrapText="1"/>
    </xf>
    <xf numFmtId="0" fontId="4" fillId="22" borderId="50" xfId="0" applyFont="1" applyFill="1" applyBorder="1" applyAlignment="1">
      <alignment horizontal="center" vertical="top" wrapText="1"/>
    </xf>
    <xf numFmtId="0" fontId="49" fillId="17" borderId="51" xfId="0" applyFont="1" applyFill="1" applyBorder="1" applyAlignment="1">
      <alignment horizontal="center" wrapText="1"/>
    </xf>
    <xf numFmtId="0" fontId="49" fillId="17" borderId="52" xfId="0" applyFont="1" applyFill="1" applyBorder="1" applyAlignment="1">
      <alignment horizontal="center" wrapText="1"/>
    </xf>
    <xf numFmtId="0" fontId="49" fillId="17" borderId="53" xfId="0" applyFont="1" applyFill="1" applyBorder="1" applyAlignment="1">
      <alignment horizontal="center" wrapText="1"/>
    </xf>
    <xf numFmtId="0" fontId="58" fillId="11" borderId="0" xfId="0" applyFont="1" applyFill="1" applyAlignment="1">
      <alignment horizontal="center" wrapText="1"/>
    </xf>
    <xf numFmtId="0" fontId="49" fillId="17" borderId="54" xfId="0" applyFont="1" applyFill="1" applyBorder="1" applyAlignment="1">
      <alignment horizontal="center" wrapText="1"/>
    </xf>
    <xf numFmtId="0" fontId="49" fillId="17" borderId="55" xfId="0" applyFont="1" applyFill="1" applyBorder="1" applyAlignment="1">
      <alignment horizontal="center" wrapText="1"/>
    </xf>
    <xf numFmtId="0" fontId="49" fillId="17" borderId="56" xfId="0" applyFont="1" applyFill="1" applyBorder="1" applyAlignment="1">
      <alignment horizontal="center" wrapText="1"/>
    </xf>
    <xf numFmtId="0" fontId="49" fillId="17" borderId="57" xfId="0" applyFont="1" applyFill="1" applyBorder="1" applyAlignment="1">
      <alignment horizontal="center" wrapText="1"/>
    </xf>
    <xf numFmtId="0" fontId="47" fillId="14" borderId="0" xfId="0" applyFont="1" applyFill="1" applyAlignment="1"/>
    <xf numFmtId="0" fontId="49" fillId="17" borderId="58" xfId="0" applyFont="1" applyFill="1" applyBorder="1" applyAlignment="1">
      <alignment horizontal="center" wrapText="1"/>
    </xf>
    <xf numFmtId="0" fontId="49" fillId="17" borderId="59" xfId="0" applyFont="1" applyFill="1" applyBorder="1" applyAlignment="1">
      <alignment horizontal="center" wrapText="1"/>
    </xf>
    <xf numFmtId="0" fontId="49" fillId="17" borderId="60" xfId="0" applyFont="1" applyFill="1" applyBorder="1" applyAlignment="1">
      <alignment horizontal="center" wrapText="1"/>
    </xf>
    <xf numFmtId="0" fontId="49" fillId="17" borderId="61" xfId="0" applyFont="1" applyFill="1" applyBorder="1" applyAlignment="1">
      <alignment horizontal="center" wrapText="1"/>
    </xf>
    <xf numFmtId="0" fontId="49" fillId="17" borderId="62" xfId="0" applyFont="1" applyFill="1" applyBorder="1" applyAlignment="1">
      <alignment horizontal="center" wrapText="1"/>
    </xf>
    <xf numFmtId="0" fontId="47" fillId="11" borderId="63" xfId="0" applyFont="1" applyFill="1" applyBorder="1" applyAlignment="1">
      <alignment horizontal="center"/>
    </xf>
    <xf numFmtId="9" fontId="47" fillId="14" borderId="64" xfId="0" applyNumberFormat="1" applyFont="1" applyFill="1" applyBorder="1" applyAlignment="1">
      <alignment wrapText="1"/>
    </xf>
    <xf numFmtId="0" fontId="69" fillId="14" borderId="65" xfId="0" applyFont="1" applyFill="1" applyBorder="1" applyAlignment="1">
      <alignment horizontal="center" wrapText="1"/>
    </xf>
    <xf numFmtId="0" fontId="69" fillId="14" borderId="66" xfId="0" applyFont="1" applyFill="1" applyBorder="1" applyAlignment="1">
      <alignment horizontal="center" wrapText="1"/>
    </xf>
    <xf numFmtId="0" fontId="47" fillId="14" borderId="67" xfId="0" applyFont="1" applyFill="1" applyBorder="1" applyAlignment="1">
      <alignment wrapText="1"/>
    </xf>
    <xf numFmtId="0" fontId="47" fillId="14" borderId="68" xfId="0" applyFont="1" applyFill="1" applyBorder="1" applyAlignment="1"/>
    <xf numFmtId="9" fontId="3" fillId="14" borderId="65" xfId="0" applyNumberFormat="1" applyFont="1" applyFill="1" applyBorder="1" applyAlignment="1">
      <alignment horizontal="center"/>
    </xf>
    <xf numFmtId="0" fontId="3" fillId="14" borderId="65" xfId="0" applyFont="1" applyFill="1" applyBorder="1" applyAlignment="1">
      <alignment horizontal="center"/>
    </xf>
    <xf numFmtId="9" fontId="3" fillId="14" borderId="65" xfId="0" applyNumberFormat="1" applyFont="1" applyFill="1" applyBorder="1" applyAlignment="1">
      <alignment horizontal="center" wrapText="1"/>
    </xf>
    <xf numFmtId="0" fontId="3" fillId="14" borderId="65" xfId="0" applyFont="1" applyFill="1" applyBorder="1" applyAlignment="1">
      <alignment horizontal="center" wrapText="1"/>
    </xf>
    <xf numFmtId="0" fontId="47" fillId="14" borderId="65" xfId="0" applyFont="1" applyFill="1" applyBorder="1" applyAlignment="1">
      <alignment wrapText="1"/>
    </xf>
    <xf numFmtId="0" fontId="47" fillId="14" borderId="65" xfId="0" applyFont="1" applyFill="1" applyBorder="1" applyAlignment="1">
      <alignment horizontal="center" wrapText="1"/>
    </xf>
    <xf numFmtId="0" fontId="47" fillId="14" borderId="65" xfId="0" applyFont="1" applyFill="1" applyBorder="1" applyAlignment="1"/>
    <xf numFmtId="0" fontId="47" fillId="11" borderId="69" xfId="0" applyFont="1" applyFill="1" applyBorder="1" applyAlignment="1">
      <alignment horizontal="center"/>
    </xf>
    <xf numFmtId="9" fontId="47" fillId="14" borderId="70" xfId="0" applyNumberFormat="1" applyFont="1" applyFill="1" applyBorder="1" applyAlignment="1">
      <alignment horizontal="left" wrapText="1"/>
    </xf>
    <xf numFmtId="9" fontId="70" fillId="14" borderId="38" xfId="0" applyNumberFormat="1" applyFont="1" applyFill="1" applyBorder="1" applyAlignment="1">
      <alignment horizontal="center" wrapText="1"/>
    </xf>
    <xf numFmtId="9" fontId="70" fillId="14" borderId="69" xfId="0" applyNumberFormat="1" applyFont="1" applyFill="1" applyBorder="1" applyAlignment="1">
      <alignment horizontal="center" wrapText="1"/>
    </xf>
    <xf numFmtId="9" fontId="47" fillId="11" borderId="70" xfId="0" applyNumberFormat="1" applyFont="1" applyFill="1" applyBorder="1" applyAlignment="1">
      <alignment horizontal="left" wrapText="1"/>
    </xf>
    <xf numFmtId="9" fontId="47" fillId="14" borderId="68" xfId="0" applyNumberFormat="1" applyFont="1" applyFill="1" applyBorder="1" applyAlignment="1">
      <alignment horizontal="left" wrapText="1"/>
    </xf>
    <xf numFmtId="9" fontId="3" fillId="11" borderId="38" xfId="0" applyNumberFormat="1" applyFont="1" applyFill="1" applyBorder="1" applyAlignment="1">
      <alignment horizontal="center" wrapText="1"/>
    </xf>
    <xf numFmtId="9" fontId="3" fillId="14" borderId="38" xfId="0" applyNumberFormat="1" applyFont="1" applyFill="1" applyBorder="1" applyAlignment="1">
      <alignment horizontal="center"/>
    </xf>
    <xf numFmtId="9" fontId="3" fillId="14" borderId="38" xfId="0" applyNumberFormat="1" applyFont="1" applyFill="1" applyBorder="1" applyAlignment="1">
      <alignment horizontal="center" wrapText="1"/>
    </xf>
    <xf numFmtId="9" fontId="47" fillId="11" borderId="38" xfId="0" applyNumberFormat="1" applyFont="1" applyFill="1" applyBorder="1" applyAlignment="1">
      <alignment horizontal="left" wrapText="1"/>
    </xf>
    <xf numFmtId="0" fontId="47" fillId="14" borderId="38" xfId="0" applyFont="1" applyFill="1" applyBorder="1" applyAlignment="1">
      <alignment wrapText="1"/>
    </xf>
    <xf numFmtId="0" fontId="47" fillId="14" borderId="38" xfId="0" applyFont="1" applyFill="1" applyBorder="1" applyAlignment="1">
      <alignment horizontal="center" wrapText="1"/>
    </xf>
    <xf numFmtId="0" fontId="47" fillId="14" borderId="38" xfId="0" applyFont="1" applyFill="1" applyBorder="1" applyAlignment="1"/>
    <xf numFmtId="0" fontId="71" fillId="14" borderId="38" xfId="0" applyFont="1" applyFill="1" applyBorder="1" applyAlignment="1">
      <alignment horizontal="center" wrapText="1"/>
    </xf>
    <xf numFmtId="0" fontId="71" fillId="14" borderId="69" xfId="0" applyFont="1" applyFill="1" applyBorder="1" applyAlignment="1">
      <alignment horizontal="center" wrapText="1"/>
    </xf>
    <xf numFmtId="0" fontId="47" fillId="14" borderId="70" xfId="0" applyFont="1" applyFill="1" applyBorder="1" applyAlignment="1">
      <alignment horizontal="left" wrapText="1"/>
    </xf>
    <xf numFmtId="0" fontId="47" fillId="14" borderId="68" xfId="0" applyFont="1" applyFill="1" applyBorder="1" applyAlignment="1">
      <alignment horizontal="left" wrapText="1"/>
    </xf>
    <xf numFmtId="9" fontId="47" fillId="14" borderId="38" xfId="0" applyNumberFormat="1" applyFont="1" applyFill="1" applyBorder="1" applyAlignment="1">
      <alignment horizontal="left" wrapText="1"/>
    </xf>
    <xf numFmtId="9" fontId="47" fillId="14" borderId="38" xfId="0" applyNumberFormat="1" applyFont="1" applyFill="1" applyBorder="1" applyAlignment="1">
      <alignment horizontal="center" wrapText="1"/>
    </xf>
    <xf numFmtId="9" fontId="47" fillId="14" borderId="70" xfId="0" applyNumberFormat="1" applyFont="1" applyFill="1" applyBorder="1" applyAlignment="1">
      <alignment wrapText="1"/>
    </xf>
    <xf numFmtId="9" fontId="72" fillId="11" borderId="38" xfId="0" applyNumberFormat="1" applyFont="1" applyFill="1" applyBorder="1" applyAlignment="1">
      <alignment horizontal="center" wrapText="1"/>
    </xf>
    <xf numFmtId="9" fontId="72" fillId="11" borderId="69" xfId="0" applyNumberFormat="1" applyFont="1" applyFill="1" applyBorder="1" applyAlignment="1">
      <alignment horizontal="center" wrapText="1"/>
    </xf>
    <xf numFmtId="0" fontId="47" fillId="14" borderId="70" xfId="0" applyFont="1" applyFill="1" applyBorder="1" applyAlignment="1">
      <alignment wrapText="1"/>
    </xf>
    <xf numFmtId="0" fontId="47" fillId="14" borderId="68" xfId="0" applyFont="1" applyFill="1" applyBorder="1" applyAlignment="1">
      <alignment wrapText="1"/>
    </xf>
    <xf numFmtId="0" fontId="3" fillId="14" borderId="38" xfId="0" applyFont="1" applyFill="1" applyBorder="1" applyAlignment="1">
      <alignment horizontal="center" wrapText="1"/>
    </xf>
    <xf numFmtId="0" fontId="3" fillId="14" borderId="38" xfId="0" applyFont="1" applyFill="1" applyBorder="1" applyAlignment="1">
      <alignment horizontal="center"/>
    </xf>
    <xf numFmtId="0" fontId="57" fillId="14" borderId="0" xfId="0" applyFont="1" applyFill="1" applyAlignment="1"/>
    <xf numFmtId="0" fontId="47" fillId="14" borderId="0" xfId="0" applyFont="1" applyFill="1" applyAlignment="1">
      <alignment horizontal="left"/>
    </xf>
    <xf numFmtId="0" fontId="47" fillId="14" borderId="0" xfId="0" applyFont="1" applyFill="1" applyAlignment="1">
      <alignment horizontal="center"/>
    </xf>
    <xf numFmtId="9" fontId="58" fillId="22" borderId="0" xfId="0" applyNumberFormat="1" applyFont="1" applyFill="1" applyAlignment="1">
      <alignment horizontal="center"/>
    </xf>
    <xf numFmtId="9" fontId="2" fillId="11" borderId="0" xfId="0" applyNumberFormat="1" applyFont="1" applyFill="1" applyAlignment="1"/>
    <xf numFmtId="9" fontId="4" fillId="11" borderId="0" xfId="0" applyNumberFormat="1" applyFont="1" applyFill="1" applyAlignment="1">
      <alignment horizontal="center"/>
    </xf>
    <xf numFmtId="9" fontId="73" fillId="11" borderId="0" xfId="0" applyNumberFormat="1" applyFont="1" applyFill="1" applyAlignment="1">
      <alignment horizontal="left"/>
    </xf>
    <xf numFmtId="0" fontId="47" fillId="14" borderId="0" xfId="0" applyFont="1" applyFill="1" applyAlignment="1">
      <alignment horizontal="left" wrapText="1"/>
    </xf>
    <xf numFmtId="0" fontId="57" fillId="11" borderId="0" xfId="0" applyFont="1" applyFill="1" applyAlignment="1">
      <alignment horizontal="center"/>
    </xf>
    <xf numFmtId="0" fontId="47" fillId="14" borderId="0" xfId="0" applyFont="1" applyFill="1" applyAlignment="1">
      <alignment wrapText="1"/>
    </xf>
    <xf numFmtId="0" fontId="47" fillId="14" borderId="0" xfId="0" applyFont="1" applyFill="1"/>
    <xf numFmtId="0" fontId="2" fillId="11" borderId="47" xfId="0" applyFont="1" applyFill="1" applyBorder="1" applyAlignment="1">
      <alignment wrapText="1"/>
    </xf>
    <xf numFmtId="0" fontId="2" fillId="21" borderId="71" xfId="0" applyFont="1" applyFill="1" applyBorder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 applyAlignment="1">
      <alignment wrapText="1"/>
    </xf>
    <xf numFmtId="0" fontId="33" fillId="14" borderId="72" xfId="0" applyFont="1" applyFill="1" applyBorder="1" applyAlignment="1">
      <alignment horizontal="left" vertical="top" wrapText="1"/>
    </xf>
    <xf numFmtId="0" fontId="64" fillId="14" borderId="73" xfId="0" applyFont="1" applyFill="1" applyBorder="1" applyAlignment="1">
      <alignment horizontal="left" vertical="top" wrapText="1"/>
    </xf>
    <xf numFmtId="0" fontId="64" fillId="14" borderId="0" xfId="0" applyFont="1" applyFill="1" applyAlignment="1">
      <alignment vertical="top"/>
    </xf>
    <xf numFmtId="0" fontId="64" fillId="14" borderId="73" xfId="0" applyFont="1" applyFill="1" applyBorder="1" applyAlignment="1">
      <alignment vertical="top"/>
    </xf>
    <xf numFmtId="0" fontId="64" fillId="14" borderId="73" xfId="0" applyFont="1" applyFill="1" applyBorder="1" applyAlignment="1">
      <alignment vertical="top" wrapText="1"/>
    </xf>
    <xf numFmtId="0" fontId="65" fillId="14" borderId="73" xfId="0" applyFont="1" applyFill="1" applyBorder="1" applyAlignment="1">
      <alignment horizontal="center" vertical="top" wrapText="1"/>
    </xf>
    <xf numFmtId="0" fontId="0" fillId="14" borderId="73" xfId="0" applyFill="1" applyBorder="1" applyAlignment="1">
      <alignment vertical="top"/>
    </xf>
    <xf numFmtId="0" fontId="0" fillId="14" borderId="74" xfId="0" applyFill="1" applyBorder="1" applyAlignment="1">
      <alignment vertical="top"/>
    </xf>
    <xf numFmtId="0" fontId="33" fillId="14" borderId="72" xfId="0" applyFont="1" applyFill="1" applyBorder="1" applyAlignment="1">
      <alignment vertical="top" wrapText="1"/>
    </xf>
    <xf numFmtId="0" fontId="33" fillId="14" borderId="73" xfId="0" applyFont="1" applyFill="1" applyBorder="1" applyAlignment="1">
      <alignment vertical="top" wrapText="1"/>
    </xf>
    <xf numFmtId="0" fontId="0" fillId="14" borderId="42" xfId="0" applyFill="1" applyBorder="1" applyAlignment="1">
      <alignment vertical="top"/>
    </xf>
    <xf numFmtId="0" fontId="64" fillId="14" borderId="75" xfId="0" applyFont="1" applyFill="1" applyBorder="1" applyAlignment="1">
      <alignment horizontal="left" vertical="top" wrapText="1"/>
    </xf>
    <xf numFmtId="0" fontId="64" fillId="14" borderId="76" xfId="0" applyFont="1" applyFill="1" applyBorder="1" applyAlignment="1">
      <alignment vertical="top" wrapText="1"/>
    </xf>
    <xf numFmtId="0" fontId="64" fillId="14" borderId="76" xfId="0" applyFont="1" applyFill="1" applyBorder="1" applyAlignment="1">
      <alignment horizontal="left" vertical="top"/>
    </xf>
    <xf numFmtId="0" fontId="64" fillId="11" borderId="0" xfId="0" applyFont="1" applyFill="1" applyAlignment="1">
      <alignment vertical="top" wrapText="1"/>
    </xf>
    <xf numFmtId="0" fontId="64" fillId="11" borderId="76" xfId="0" applyFont="1" applyFill="1" applyBorder="1" applyAlignment="1">
      <alignment vertical="top" wrapText="1"/>
    </xf>
    <xf numFmtId="0" fontId="33" fillId="14" borderId="76" xfId="0" applyFont="1" applyFill="1" applyBorder="1" applyAlignment="1">
      <alignment vertical="top" wrapText="1"/>
    </xf>
    <xf numFmtId="0" fontId="65" fillId="14" borderId="76" xfId="0" applyFont="1" applyFill="1" applyBorder="1" applyAlignment="1">
      <alignment vertical="top"/>
    </xf>
    <xf numFmtId="0" fontId="0" fillId="14" borderId="76" xfId="0" applyFill="1" applyBorder="1" applyAlignment="1">
      <alignment vertical="top"/>
    </xf>
    <xf numFmtId="0" fontId="0" fillId="14" borderId="77" xfId="0" applyFill="1" applyBorder="1" applyAlignment="1">
      <alignment vertical="top"/>
    </xf>
    <xf numFmtId="0" fontId="64" fillId="14" borderId="75" xfId="0" applyFont="1" applyFill="1" applyBorder="1" applyAlignment="1">
      <alignment vertical="top" wrapText="1"/>
    </xf>
    <xf numFmtId="0" fontId="2" fillId="21" borderId="40" xfId="0" applyFont="1" applyFill="1" applyBorder="1" applyAlignment="1">
      <alignment horizontal="center" wrapText="1"/>
    </xf>
    <xf numFmtId="0" fontId="0" fillId="11" borderId="0" xfId="0" applyFill="1" applyAlignment="1">
      <alignment vertical="top"/>
    </xf>
    <xf numFmtId="0" fontId="0" fillId="14" borderId="0" xfId="0" applyFill="1" applyAlignment="1">
      <alignment vertical="top"/>
    </xf>
    <xf numFmtId="0" fontId="64" fillId="14" borderId="40" xfId="0" applyFont="1" applyFill="1" applyBorder="1" applyAlignment="1">
      <alignment horizontal="left" vertical="top" wrapText="1"/>
    </xf>
    <xf numFmtId="0" fontId="64" fillId="14" borderId="41" xfId="0" applyFont="1" applyFill="1" applyBorder="1" applyAlignment="1">
      <alignment horizontal="left" vertical="top" wrapText="1"/>
    </xf>
    <xf numFmtId="0" fontId="64" fillId="14" borderId="44" xfId="0" applyFont="1" applyFill="1" applyBorder="1" applyAlignment="1">
      <alignment horizontal="left" vertical="top" wrapText="1"/>
    </xf>
    <xf numFmtId="0" fontId="64" fillId="14" borderId="45" xfId="0" applyFont="1" applyFill="1" applyBorder="1" applyAlignment="1">
      <alignment vertical="top" wrapText="1"/>
    </xf>
    <xf numFmtId="0" fontId="64" fillId="14" borderId="45" xfId="0" applyFont="1" applyFill="1" applyBorder="1" applyAlignment="1">
      <alignment horizontal="left" vertical="top"/>
    </xf>
    <xf numFmtId="0" fontId="64" fillId="11" borderId="45" xfId="0" applyFont="1" applyFill="1" applyBorder="1" applyAlignment="1">
      <alignment vertical="top" wrapText="1"/>
    </xf>
    <xf numFmtId="0" fontId="33" fillId="14" borderId="45" xfId="0" applyFont="1" applyFill="1" applyBorder="1" applyAlignment="1">
      <alignment vertical="top" wrapText="1"/>
    </xf>
    <xf numFmtId="0" fontId="65" fillId="14" borderId="45" xfId="0" applyFont="1" applyFill="1" applyBorder="1" applyAlignment="1">
      <alignment vertical="top"/>
    </xf>
    <xf numFmtId="0" fontId="0" fillId="14" borderId="45" xfId="0" applyFill="1" applyBorder="1" applyAlignment="1">
      <alignment vertical="top"/>
    </xf>
    <xf numFmtId="0" fontId="0" fillId="14" borderId="46" xfId="0" applyFill="1" applyBorder="1" applyAlignment="1">
      <alignment vertical="top"/>
    </xf>
    <xf numFmtId="0" fontId="33" fillId="14" borderId="44" xfId="0" applyFont="1" applyFill="1" applyBorder="1" applyAlignment="1">
      <alignment horizontal="left" vertical="top" wrapText="1"/>
    </xf>
    <xf numFmtId="0" fontId="33" fillId="14" borderId="45" xfId="0" applyFont="1" applyFill="1" applyBorder="1" applyAlignment="1">
      <alignment horizontal="left" vertical="top"/>
    </xf>
    <xf numFmtId="0" fontId="74" fillId="11" borderId="76" xfId="0" applyFont="1" applyFill="1" applyBorder="1" applyAlignment="1">
      <alignment vertical="top" wrapText="1"/>
    </xf>
    <xf numFmtId="0" fontId="33" fillId="14" borderId="75" xfId="0" applyFont="1" applyFill="1" applyBorder="1" applyAlignment="1">
      <alignment horizontal="left" vertical="top" wrapText="1"/>
    </xf>
    <xf numFmtId="0" fontId="33" fillId="14" borderId="47" xfId="0" applyFont="1" applyFill="1" applyBorder="1" applyAlignment="1">
      <alignment horizontal="left" vertical="top"/>
    </xf>
    <xf numFmtId="0" fontId="0" fillId="14" borderId="48" xfId="0" applyFill="1" applyBorder="1" applyAlignment="1">
      <alignment vertical="top"/>
    </xf>
    <xf numFmtId="0" fontId="75" fillId="0" borderId="0" xfId="0" applyFont="1" applyAlignment="1">
      <alignment horizontal="center"/>
    </xf>
    <xf numFmtId="0" fontId="33" fillId="0" borderId="78" xfId="0" applyFont="1" applyBorder="1" applyAlignment="1">
      <alignment horizontal="center"/>
    </xf>
    <xf numFmtId="0" fontId="33" fillId="0" borderId="79" xfId="0" applyFont="1" applyBorder="1" applyAlignment="1">
      <alignment horizontal="center"/>
    </xf>
    <xf numFmtId="0" fontId="33" fillId="0" borderId="80" xfId="0" applyFont="1" applyBorder="1" applyAlignment="1">
      <alignment horizontal="center" wrapText="1"/>
    </xf>
    <xf numFmtId="0" fontId="33" fillId="0" borderId="79" xfId="0" applyFont="1" applyBorder="1" applyAlignment="1">
      <alignment horizontal="center" wrapText="1"/>
    </xf>
    <xf numFmtId="0" fontId="33" fillId="0" borderId="33" xfId="0" applyFont="1" applyBorder="1" applyAlignment="1">
      <alignment horizontal="center"/>
    </xf>
    <xf numFmtId="0" fontId="76" fillId="0" borderId="81" xfId="0" applyFont="1" applyBorder="1" applyAlignment="1">
      <alignment horizontal="center"/>
    </xf>
    <xf numFmtId="0" fontId="0" fillId="0" borderId="82" xfId="0" applyBorder="1"/>
    <xf numFmtId="0" fontId="0" fillId="0" borderId="83" xfId="0" applyBorder="1"/>
    <xf numFmtId="0" fontId="0" fillId="23" borderId="83" xfId="0" applyFill="1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23" borderId="86" xfId="0" applyFill="1" applyBorder="1"/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23" borderId="89" xfId="0" applyFill="1" applyBorder="1"/>
    <xf numFmtId="0" fontId="0" fillId="0" borderId="90" xfId="0" applyBorder="1"/>
    <xf numFmtId="0" fontId="0" fillId="0" borderId="5" xfId="0" applyBorder="1"/>
    <xf numFmtId="0" fontId="7" fillId="0" borderId="8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10" xfId="0" applyFont="1" applyBorder="1"/>
    <xf numFmtId="0" fontId="7" fillId="0" borderId="28" xfId="0" applyFont="1" applyBorder="1"/>
    <xf numFmtId="0" fontId="77" fillId="0" borderId="0" xfId="0" applyFont="1"/>
    <xf numFmtId="0" fontId="7" fillId="0" borderId="29" xfId="0" applyFont="1" applyBorder="1"/>
    <xf numFmtId="0" fontId="78" fillId="0" borderId="27" xfId="0" applyFont="1" applyBorder="1" applyAlignment="1">
      <alignment horizontal="center"/>
    </xf>
    <xf numFmtId="0" fontId="12" fillId="8" borderId="8" xfId="0" applyFont="1" applyFill="1" applyBorder="1"/>
    <xf numFmtId="0" fontId="12" fillId="8" borderId="25" xfId="0" applyFont="1" applyFill="1" applyBorder="1"/>
    <xf numFmtId="0" fontId="12" fillId="8" borderId="26" xfId="0" applyFont="1" applyFill="1" applyBorder="1"/>
    <xf numFmtId="0" fontId="79" fillId="0" borderId="8" xfId="0" applyFont="1" applyBorder="1" applyAlignment="1">
      <alignment horizontal="center"/>
    </xf>
    <xf numFmtId="0" fontId="12" fillId="8" borderId="10" xfId="0" applyFont="1" applyFill="1" applyBorder="1"/>
    <xf numFmtId="0" fontId="80" fillId="8" borderId="29" xfId="0" applyFont="1" applyFill="1" applyBorder="1" applyAlignment="1">
      <alignment horizontal="center"/>
    </xf>
    <xf numFmtId="0" fontId="12" fillId="8" borderId="0" xfId="0" applyFont="1" applyFill="1"/>
    <xf numFmtId="0" fontId="80" fillId="8" borderId="0" xfId="0" applyFont="1" applyFill="1" applyAlignment="1">
      <alignment horizontal="center"/>
    </xf>
    <xf numFmtId="0" fontId="12" fillId="8" borderId="28" xfId="0" applyFont="1" applyFill="1" applyBorder="1"/>
    <xf numFmtId="0" fontId="81" fillId="0" borderId="8" xfId="0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0" fontId="82" fillId="8" borderId="28" xfId="0" applyFont="1" applyFill="1" applyBorder="1" applyAlignment="1"/>
    <xf numFmtId="0" fontId="7" fillId="8" borderId="10" xfId="0" applyFont="1" applyFill="1" applyBorder="1"/>
    <xf numFmtId="10" fontId="13" fillId="8" borderId="0" xfId="0" applyNumberFormat="1" applyFont="1" applyFill="1"/>
    <xf numFmtId="10" fontId="13" fillId="8" borderId="28" xfId="0" applyNumberFormat="1" applyFont="1" applyFill="1" applyBorder="1"/>
    <xf numFmtId="0" fontId="29" fillId="11" borderId="0" xfId="0" applyFont="1" applyFill="1" applyAlignment="1">
      <alignment horizontal="center"/>
    </xf>
    <xf numFmtId="0" fontId="83" fillId="11" borderId="0" xfId="0" applyFont="1" applyFill="1" applyAlignment="1">
      <alignment horizontal="center"/>
    </xf>
    <xf numFmtId="0" fontId="29" fillId="11" borderId="0" xfId="0" applyFont="1" applyFill="1"/>
    <xf numFmtId="0" fontId="12" fillId="0" borderId="0" xfId="0" applyFont="1"/>
    <xf numFmtId="0" fontId="16" fillId="8" borderId="0" xfId="0" applyFont="1" applyFill="1" applyAlignment="1">
      <alignment horizontal="center"/>
    </xf>
    <xf numFmtId="0" fontId="16" fillId="8" borderId="28" xfId="0" applyFont="1" applyFill="1" applyBorder="1" applyAlignment="1">
      <alignment horizontal="center"/>
    </xf>
    <xf numFmtId="0" fontId="12" fillId="0" borderId="28" xfId="0" applyFont="1" applyBorder="1"/>
    <xf numFmtId="0" fontId="13" fillId="0" borderId="0" xfId="0" applyFont="1"/>
    <xf numFmtId="0" fontId="13" fillId="8" borderId="0" xfId="0" applyFont="1" applyFill="1"/>
    <xf numFmtId="0" fontId="13" fillId="8" borderId="28" xfId="0" applyFont="1" applyFill="1" applyBorder="1"/>
    <xf numFmtId="0" fontId="12" fillId="8" borderId="11" xfId="0" applyFont="1" applyFill="1" applyBorder="1"/>
    <xf numFmtId="0" fontId="12" fillId="8" borderId="29" xfId="0" applyFont="1" applyFill="1" applyBorder="1"/>
    <xf numFmtId="0" fontId="12" fillId="8" borderId="30" xfId="0" applyFont="1" applyFill="1" applyBorder="1"/>
    <xf numFmtId="0" fontId="80" fillId="0" borderId="0" xfId="0" applyFont="1"/>
    <xf numFmtId="0" fontId="20" fillId="24" borderId="7" xfId="0" applyFont="1" applyFill="1" applyBorder="1" applyAlignment="1">
      <alignment horizontal="center"/>
    </xf>
    <xf numFmtId="0" fontId="63" fillId="0" borderId="18" xfId="0" applyFont="1" applyBorder="1" applyAlignment="1">
      <alignment horizontal="center" wrapText="1"/>
    </xf>
    <xf numFmtId="0" fontId="63" fillId="0" borderId="19" xfId="0" applyFont="1" applyBorder="1" applyAlignment="1">
      <alignment horizontal="center" wrapText="1"/>
    </xf>
    <xf numFmtId="0" fontId="12" fillId="0" borderId="91" xfId="0" applyFont="1" applyBorder="1" applyAlignment="1">
      <alignment horizontal="center" wrapText="1"/>
    </xf>
    <xf numFmtId="0" fontId="7" fillId="0" borderId="91" xfId="0" applyFont="1" applyBorder="1"/>
    <xf numFmtId="0" fontId="12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center" wrapText="1"/>
    </xf>
    <xf numFmtId="10" fontId="13" fillId="0" borderId="0" xfId="0" applyNumberFormat="1" applyFont="1" applyAlignment="1">
      <alignment horizontal="center" wrapText="1"/>
    </xf>
    <xf numFmtId="10" fontId="13" fillId="0" borderId="92" xfId="0" applyNumberFormat="1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7" fillId="0" borderId="11" xfId="0" applyFont="1" applyBorder="1"/>
    <xf numFmtId="0" fontId="13" fillId="0" borderId="29" xfId="0" applyFont="1" applyBorder="1"/>
    <xf numFmtId="10" fontId="13" fillId="0" borderId="29" xfId="0" applyNumberFormat="1" applyFont="1" applyBorder="1"/>
    <xf numFmtId="0" fontId="7" fillId="0" borderId="30" xfId="0" applyFont="1" applyBorder="1"/>
    <xf numFmtId="10" fontId="13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FormatPr defaultRowHeight="15" outlineLevelRow="0" outlineLevelCol="0" x14ac:dyDescent="55"/>
  <cols>
    <col min="1" max="1" width="70" customWidth="1"/>
    <col min="2" max="2" width="7" customWidth="1"/>
    <col min="3" max="3" width="122" customWidth="1"/>
  </cols>
  <sheetData>
    <row r="2" ht="26" customHeight="1" spans="1:3" x14ac:dyDescent="0.25">
      <c r="A2" s="1" t="s">
        <v>0</v>
      </c>
      <c r="B2" s="1"/>
      <c r="C2" s="1"/>
    </row>
    <row r="3" ht="15.5" customHeight="1" spans="1:3" x14ac:dyDescent="0.25">
      <c r="A3" s="2"/>
      <c r="B3" s="3"/>
      <c r="C3" s="4"/>
    </row>
    <row r="4" ht="30.75" customHeight="1" spans="1:3" x14ac:dyDescent="0.25">
      <c r="A4" s="5" t="s">
        <v>1</v>
      </c>
      <c r="B4" s="3"/>
      <c r="C4" s="4" t="s">
        <v>2</v>
      </c>
    </row>
    <row r="5" ht="15.5" customHeight="1" spans="1:3" x14ac:dyDescent="0.25">
      <c r="A5" s="6"/>
      <c r="B5" s="3"/>
      <c r="C5" s="4"/>
    </row>
    <row r="6" ht="108" customHeight="1" spans="1:3" x14ac:dyDescent="0.25">
      <c r="A6" s="7" t="s">
        <v>3</v>
      </c>
      <c r="B6" s="3"/>
      <c r="C6" s="4" t="s">
        <v>4</v>
      </c>
    </row>
    <row r="7" ht="15.5" customHeight="1" spans="1:3" x14ac:dyDescent="0.25">
      <c r="A7" s="6"/>
      <c r="B7" s="3"/>
      <c r="C7" s="4"/>
    </row>
    <row r="8" ht="87" customHeight="1" spans="1:3" x14ac:dyDescent="0.25">
      <c r="A8" s="8" t="s">
        <v>5</v>
      </c>
      <c r="B8" s="3"/>
      <c r="C8" s="4" t="s">
        <v>6</v>
      </c>
    </row>
    <row r="9" ht="15.5" customHeight="1" spans="1:3" x14ac:dyDescent="0.25">
      <c r="A9" s="6"/>
      <c r="B9" s="3"/>
      <c r="C9" s="4"/>
    </row>
    <row r="10" ht="76.5" customHeight="1" spans="1:3" x14ac:dyDescent="0.25">
      <c r="A10" s="9" t="s">
        <v>7</v>
      </c>
      <c r="B10" s="3"/>
      <c r="C10" s="10" t="s">
        <v>8</v>
      </c>
    </row>
    <row r="11" ht="15.5" customHeight="1" spans="1:3" x14ac:dyDescent="0.25">
      <c r="A11" s="6"/>
      <c r="B11" s="3"/>
      <c r="C11" s="4"/>
    </row>
    <row r="12" ht="75" customHeight="1" spans="1:3" x14ac:dyDescent="0.25">
      <c r="A12" s="11" t="s">
        <v>9</v>
      </c>
      <c r="B12" s="3"/>
      <c r="C12" s="4" t="s">
        <v>10</v>
      </c>
    </row>
    <row r="13" ht="15.5" customHeight="1" spans="1:3" x14ac:dyDescent="0.25">
      <c r="A13" s="6"/>
      <c r="B13" s="3"/>
      <c r="C13" s="4"/>
    </row>
    <row r="15" ht="15.5" customHeight="1" spans="1:3" x14ac:dyDescent="0.25">
      <c r="A15" s="6"/>
      <c r="B15" s="3"/>
      <c r="C15" s="4"/>
    </row>
  </sheetData>
  <mergeCells count="1"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L23"/>
  <sheetFormatPr defaultRowHeight="15" outlineLevelRow="0" outlineLevelCol="0" x14ac:dyDescent="55"/>
  <cols>
    <col min="1" max="1" width="40" customWidth="1"/>
    <col min="2" max="2" width="44" customWidth="1"/>
    <col min="3" max="3" width="90" customWidth="1"/>
    <col min="4" max="4" width="6" customWidth="1"/>
    <col min="5" max="5" width="54" customWidth="1"/>
    <col min="6" max="6" width="90" customWidth="1"/>
    <col min="7" max="7" width="19" customWidth="1"/>
  </cols>
  <sheetData>
    <row r="14" ht="27" customHeight="1" spans="2:12" x14ac:dyDescent="0.25">
      <c r="B14" s="12" t="s">
        <v>11</v>
      </c>
      <c r="C14" s="13" t="s">
        <v>12</v>
      </c>
      <c r="E14" s="12" t="s">
        <v>13</v>
      </c>
      <c r="F14" s="13"/>
      <c r="L14" t="s">
        <v>14</v>
      </c>
    </row>
    <row r="15" ht="27" customHeight="1" spans="2:12" x14ac:dyDescent="0.25">
      <c r="B15" s="12" t="s">
        <v>15</v>
      </c>
      <c r="C15" s="13"/>
      <c r="E15" s="12" t="s">
        <v>15</v>
      </c>
      <c r="F15" s="13"/>
      <c r="L15" t="s">
        <v>16</v>
      </c>
    </row>
    <row r="16" ht="27" customHeight="1" spans="2:12" x14ac:dyDescent="0.25">
      <c r="B16" s="12" t="s">
        <v>17</v>
      </c>
      <c r="C16" s="13"/>
      <c r="E16" s="12" t="s">
        <v>18</v>
      </c>
      <c r="F16" s="13"/>
      <c r="L16" t="s">
        <v>19</v>
      </c>
    </row>
    <row r="17" ht="27" customHeight="1" spans="2:12" x14ac:dyDescent="0.25">
      <c r="B17" s="12" t="s">
        <v>20</v>
      </c>
      <c r="C17" s="13"/>
      <c r="E17" s="12" t="s">
        <v>15</v>
      </c>
      <c r="F17" s="13"/>
      <c r="L17" t="s">
        <v>21</v>
      </c>
    </row>
    <row r="18" ht="27" customHeight="1" spans="2:12" x14ac:dyDescent="0.25">
      <c r="B18" s="12" t="s">
        <v>22</v>
      </c>
      <c r="C18" s="13"/>
      <c r="E18" s="12" t="s">
        <v>23</v>
      </c>
      <c r="F18" s="13"/>
      <c r="L18" t="s">
        <v>24</v>
      </c>
    </row>
    <row r="19" ht="27" customHeight="1" spans="2:12" x14ac:dyDescent="0.25">
      <c r="B19" s="12" t="s">
        <v>25</v>
      </c>
      <c r="C19" s="13"/>
      <c r="E19" s="12" t="s">
        <v>26</v>
      </c>
      <c r="F19" s="13"/>
      <c r="L19" t="s">
        <v>27</v>
      </c>
    </row>
    <row r="20" ht="27" customHeight="1" spans="2:6" x14ac:dyDescent="0.25">
      <c r="B20" s="12" t="s">
        <v>28</v>
      </c>
      <c r="C20" s="13"/>
      <c r="E20" s="12" t="s">
        <v>29</v>
      </c>
      <c r="F20" s="13"/>
    </row>
    <row r="22" spans="12:12" x14ac:dyDescent="0.25">
      <c r="L22" t="s">
        <v>30</v>
      </c>
    </row>
    <row r="23" spans="12:12" x14ac:dyDescent="0.25">
      <c r="L2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8"/>
  <sheetFormatPr defaultRowHeight="15" outlineLevelRow="0" outlineLevelCol="0" x14ac:dyDescent="55"/>
  <cols>
    <col min="1" max="1" width="11" customWidth="1"/>
    <col min="2" max="2" width="4" customWidth="1"/>
    <col min="3" max="3" width="24" customWidth="1"/>
    <col min="4" max="4" width="4" customWidth="1"/>
    <col min="5" max="5" width="95" customWidth="1"/>
    <col min="6" max="6" width="4" customWidth="1"/>
    <col min="7" max="7" width="74" customWidth="1"/>
    <col min="8" max="8" width="4" customWidth="1"/>
    <col min="9" max="9" width="23" customWidth="1"/>
    <col min="10" max="10" width="2" customWidth="1"/>
    <col min="11" max="11" width="23" customWidth="1"/>
    <col min="12" max="12" width="2" customWidth="1"/>
    <col min="13" max="13" width="23" customWidth="1"/>
    <col min="14" max="14" width="2" customWidth="1"/>
    <col min="15" max="15" width="23" customWidth="1"/>
    <col min="16" max="16" width="2" customWidth="1"/>
    <col min="17" max="17" width="23" customWidth="1"/>
    <col min="18" max="18" width="4" customWidth="1"/>
    <col min="19" max="19" width="24" customWidth="1"/>
    <col min="20" max="20" width="4" customWidth="1"/>
    <col min="21" max="21" width="23" customWidth="1"/>
    <col min="22" max="22" width="4" customWidth="1"/>
    <col min="23" max="23" width="23" customWidth="1"/>
    <col min="24" max="24" width="4" customWidth="1"/>
    <col min="25" max="25" width="23" customWidth="1"/>
    <col min="26" max="26" width="4" customWidth="1"/>
    <col min="27" max="27" width="40" customWidth="1"/>
    <col min="28" max="28" width="7" customWidth="1"/>
    <col min="29" max="16384" width="17" customWidth="1"/>
  </cols>
  <sheetData>
    <row r="2" ht="21" customHeight="1" spans="17:28" x14ac:dyDescent="0.25">
      <c r="Q2" s="12" t="s">
        <v>32</v>
      </c>
      <c r="R2" s="14"/>
      <c r="S2" s="14"/>
      <c r="T2" s="14"/>
      <c r="U2" s="14"/>
      <c r="V2" s="14"/>
      <c r="W2" s="14"/>
      <c r="Y2" s="15" t="s">
        <v>33</v>
      </c>
      <c r="AA2" s="16"/>
      <c r="AB2" s="16"/>
    </row>
    <row r="3" ht="21" customHeight="1" spans="17:28" x14ac:dyDescent="0.25">
      <c r="Q3" s="12" t="s">
        <v>15</v>
      </c>
      <c r="R3" s="14"/>
      <c r="S3" s="14"/>
      <c r="T3" s="14"/>
      <c r="U3" s="14"/>
      <c r="V3" s="14"/>
      <c r="W3" s="14"/>
      <c r="Y3" s="17">
        <f>W14+W20+W26+W32+W38</f>
        <v>3</v>
      </c>
      <c r="AA3" s="16"/>
      <c r="AB3" s="16"/>
    </row>
    <row r="4" ht="21" customHeight="1" spans="17:28" x14ac:dyDescent="0.25">
      <c r="Q4" s="12" t="s">
        <v>34</v>
      </c>
      <c r="R4" s="14"/>
      <c r="S4" s="14"/>
      <c r="T4" s="14"/>
      <c r="U4" s="14"/>
      <c r="V4" s="14"/>
      <c r="W4" s="14"/>
      <c r="Y4" s="17"/>
      <c r="AA4" s="18">
        <f>Y3</f>
        <v>3</v>
      </c>
      <c r="AB4" s="16"/>
    </row>
    <row r="5" ht="21" customHeight="1" spans="17:28" x14ac:dyDescent="0.25">
      <c r="Q5" s="12" t="s">
        <v>35</v>
      </c>
      <c r="R5" s="14"/>
      <c r="S5" s="14"/>
      <c r="T5" s="14"/>
      <c r="U5" s="14"/>
      <c r="V5" s="14"/>
      <c r="W5" s="14"/>
      <c r="Y5" s="17"/>
      <c r="AA5" s="16"/>
      <c r="AB5" s="16"/>
    </row>
    <row r="6" ht="21" customHeight="1" spans="17:28" x14ac:dyDescent="0.25">
      <c r="Q6" s="12" t="s">
        <v>25</v>
      </c>
      <c r="R6" s="14"/>
      <c r="S6" s="14"/>
      <c r="T6" s="14"/>
      <c r="U6" s="14"/>
      <c r="V6" s="14"/>
      <c r="W6" s="14"/>
      <c r="Y6" s="19"/>
      <c r="AA6" s="16"/>
      <c r="AB6" s="16"/>
    </row>
    <row r="9" ht="32.25" customHeight="1" spans="2:28" x14ac:dyDescent="0.25">
      <c r="B9" s="16"/>
      <c r="C9" s="20" t="s">
        <v>36</v>
      </c>
      <c r="D9" s="21"/>
      <c r="E9" s="22" t="s">
        <v>37</v>
      </c>
      <c r="F9" s="23"/>
      <c r="G9" s="24" t="s">
        <v>38</v>
      </c>
      <c r="H9" s="23"/>
      <c r="I9" s="25" t="s">
        <v>39</v>
      </c>
      <c r="J9" s="25"/>
      <c r="K9" s="25"/>
      <c r="L9" s="25"/>
      <c r="M9" s="25"/>
      <c r="N9" s="25"/>
      <c r="O9" s="25"/>
      <c r="P9" s="25"/>
      <c r="Q9" s="25"/>
      <c r="R9" s="26"/>
      <c r="S9" s="24" t="s">
        <v>40</v>
      </c>
      <c r="T9" s="27"/>
      <c r="U9" s="24" t="s">
        <v>14</v>
      </c>
      <c r="V9" s="23"/>
      <c r="W9" s="24" t="s">
        <v>41</v>
      </c>
      <c r="X9" s="23"/>
      <c r="Y9" s="24" t="s">
        <v>42</v>
      </c>
      <c r="Z9" s="24"/>
      <c r="AA9" s="24"/>
      <c r="AB9" s="24"/>
    </row>
    <row r="10" ht="5.25" customHeight="1" spans="3:28" x14ac:dyDescent="0.25">
      <c r="C10" s="28"/>
      <c r="D10" s="29"/>
      <c r="E10" s="30"/>
      <c r="F10" s="30"/>
      <c r="G10" s="24"/>
      <c r="H10" s="30"/>
      <c r="I10" s="23"/>
      <c r="J10" s="23"/>
      <c r="K10" s="23"/>
      <c r="L10" s="23"/>
      <c r="M10" s="23"/>
      <c r="N10" s="23"/>
      <c r="O10" s="23"/>
      <c r="P10" s="23"/>
      <c r="Q10" s="23"/>
      <c r="R10" s="31"/>
      <c r="S10" s="24"/>
      <c r="T10" s="23"/>
      <c r="U10" s="24"/>
      <c r="V10" s="23"/>
      <c r="W10" s="24"/>
      <c r="X10" s="23"/>
      <c r="Y10" s="24"/>
      <c r="Z10" s="24"/>
      <c r="AA10" s="24"/>
      <c r="AB10" s="24"/>
    </row>
    <row r="11" ht="25.5" customHeight="1" spans="2:28" x14ac:dyDescent="0.25">
      <c r="B11" s="32"/>
      <c r="C11" s="33" t="s">
        <v>43</v>
      </c>
      <c r="D11" s="21"/>
      <c r="E11" s="24" t="s">
        <v>44</v>
      </c>
      <c r="F11" s="30"/>
      <c r="G11" s="24"/>
      <c r="H11" s="30"/>
      <c r="I11" s="24" t="s">
        <v>16</v>
      </c>
      <c r="J11" s="34"/>
      <c r="K11" s="24" t="s">
        <v>19</v>
      </c>
      <c r="L11" s="23"/>
      <c r="M11" s="24" t="s">
        <v>21</v>
      </c>
      <c r="N11" s="34"/>
      <c r="O11" s="24" t="s">
        <v>24</v>
      </c>
      <c r="P11" s="23"/>
      <c r="Q11" s="24" t="s">
        <v>27</v>
      </c>
      <c r="R11" s="35"/>
      <c r="S11" s="24"/>
      <c r="T11" s="36"/>
      <c r="U11" s="24"/>
      <c r="V11" s="23"/>
      <c r="W11" s="24"/>
      <c r="X11" s="23"/>
      <c r="Y11" s="24"/>
      <c r="Z11" s="24"/>
      <c r="AA11" s="24"/>
      <c r="AB11" s="24"/>
    </row>
    <row r="12" ht="7.5" customHeight="1" spans="3:4" x14ac:dyDescent="0.25">
      <c r="C12" s="37"/>
      <c r="D12" s="37"/>
    </row>
    <row r="13" ht="15" customHeight="1" spans="2:28" x14ac:dyDescent="0.25">
      <c r="B13" s="16"/>
      <c r="C13" s="38" t="s">
        <v>45</v>
      </c>
      <c r="D13" s="39"/>
      <c r="E13" s="39"/>
      <c r="F13" s="39"/>
      <c r="G13" s="39"/>
      <c r="H13" s="39"/>
      <c r="I13" s="40">
        <v>1</v>
      </c>
      <c r="J13" s="40"/>
      <c r="K13" s="40">
        <v>2</v>
      </c>
      <c r="L13" s="40"/>
      <c r="M13" s="40">
        <v>3</v>
      </c>
      <c r="N13" s="40"/>
      <c r="O13" s="40">
        <v>4</v>
      </c>
      <c r="P13" s="40"/>
      <c r="Q13" s="40">
        <v>5</v>
      </c>
      <c r="R13" s="39"/>
      <c r="S13" s="39"/>
      <c r="T13" s="39"/>
      <c r="U13" s="39"/>
      <c r="V13" s="39"/>
      <c r="W13" s="39"/>
      <c r="X13" s="39"/>
      <c r="Y13" s="39"/>
      <c r="Z13" s="16"/>
      <c r="AA13" s="16"/>
      <c r="AB13" s="16"/>
    </row>
    <row r="14" ht="25.5" customHeight="1" spans="2:28" x14ac:dyDescent="0.25">
      <c r="B14" s="16"/>
      <c r="C14" s="41">
        <v>1</v>
      </c>
      <c r="D14" s="39"/>
      <c r="E14" s="42"/>
      <c r="F14" s="39"/>
      <c r="G14" s="42"/>
      <c r="H14" s="39"/>
      <c r="I14" s="43" t="s">
        <v>46</v>
      </c>
      <c r="J14" s="44"/>
      <c r="K14" s="45">
        <v>5</v>
      </c>
      <c r="L14" s="44"/>
      <c r="M14" s="45">
        <v>10</v>
      </c>
      <c r="N14" s="44"/>
      <c r="O14" s="45">
        <v>15</v>
      </c>
      <c r="P14" s="44"/>
      <c r="Q14" s="45">
        <v>20</v>
      </c>
      <c r="R14" s="44"/>
      <c r="S14" s="45">
        <v>10</v>
      </c>
      <c r="T14" s="44"/>
      <c r="U14" s="45">
        <f>IF(K14&lt;M14,IF(S14=0,0,IF(S14&lt;K14,1,IF(S14&gt;Q14,5,IF(M14&lt;K14,1,IF(M14&lt;M14,2,IF(M14&lt;O14,3,IF(M14&lt;Q14,4,5))))+((S14-M14)/(O14-M14))*(O13-M13)))),IF(S14=0,0,IF(S14&gt;K14,1,IF(S14&lt;Q14,5,IF(M14&gt;K14,1,IF(M14&gt;M14,2,IF(M14&gt;O14,3,IF(M14&gt;Q14,4,5))))+((S14-M14)/(O14-M14))*(O13-M13)))))</f>
        <v>3</v>
      </c>
      <c r="V14" s="44"/>
      <c r="W14" s="45">
        <f>U14*C14</f>
        <v>3</v>
      </c>
      <c r="X14" s="39"/>
      <c r="Y14" s="42"/>
      <c r="Z14" s="42"/>
      <c r="AA14" s="42"/>
      <c r="AB14" s="16"/>
    </row>
    <row r="15" ht="25.5" customHeight="1" spans="2:28" x14ac:dyDescent="0.25">
      <c r="B15" s="16"/>
      <c r="C15" s="41"/>
      <c r="D15" s="39"/>
      <c r="E15" s="42"/>
      <c r="F15" s="39"/>
      <c r="G15" s="42"/>
      <c r="H15" s="39"/>
      <c r="I15" s="43"/>
      <c r="J15" s="44"/>
      <c r="K15" s="45"/>
      <c r="L15" s="44"/>
      <c r="M15" s="45"/>
      <c r="N15" s="44"/>
      <c r="O15" s="45"/>
      <c r="P15" s="44"/>
      <c r="Q15" s="45"/>
      <c r="R15" s="44"/>
      <c r="S15" s="45"/>
      <c r="T15" s="44"/>
      <c r="U15" s="45"/>
      <c r="V15" s="44"/>
      <c r="W15" s="45"/>
      <c r="X15" s="39"/>
      <c r="Y15" s="42"/>
      <c r="Z15" s="42"/>
      <c r="AA15" s="42"/>
      <c r="AB15" s="16"/>
    </row>
    <row r="16" ht="25.5" customHeight="1" spans="2:28" x14ac:dyDescent="0.25">
      <c r="B16" s="16"/>
      <c r="C16" s="41"/>
      <c r="D16" s="39"/>
      <c r="E16" s="42"/>
      <c r="F16" s="39"/>
      <c r="G16" s="42"/>
      <c r="H16" s="39"/>
      <c r="I16" s="43"/>
      <c r="J16" s="44"/>
      <c r="K16" s="45"/>
      <c r="L16" s="44"/>
      <c r="M16" s="45"/>
      <c r="N16" s="44"/>
      <c r="O16" s="45"/>
      <c r="P16" s="44"/>
      <c r="Q16" s="45"/>
      <c r="R16" s="44"/>
      <c r="S16" s="45"/>
      <c r="T16" s="44"/>
      <c r="U16" s="45"/>
      <c r="V16" s="44"/>
      <c r="W16" s="45"/>
      <c r="X16" s="39"/>
      <c r="Y16" s="42"/>
      <c r="Z16" s="42"/>
      <c r="AA16" s="42"/>
      <c r="AB16" s="16"/>
    </row>
    <row r="17" ht="15" customHeight="1" spans="2:28" x14ac:dyDescent="0.25">
      <c r="B17" s="16"/>
      <c r="C17" s="39"/>
      <c r="D17" s="39"/>
      <c r="E17" s="39"/>
      <c r="F17" s="39"/>
      <c r="G17" s="39"/>
      <c r="H17" s="39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39"/>
      <c r="Y17" s="39"/>
      <c r="Z17" s="16"/>
      <c r="AA17" s="16"/>
      <c r="AB17" s="16"/>
    </row>
    <row r="18" ht="5.25" customHeight="1" spans="3:25" x14ac:dyDescent="0.25">
      <c r="C18" s="46"/>
      <c r="D18" s="46"/>
      <c r="E18" s="46"/>
      <c r="F18" s="46"/>
      <c r="G18" s="46"/>
      <c r="H18" s="46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6"/>
      <c r="Y18" s="46"/>
    </row>
    <row r="19" ht="15" customHeight="1" spans="2:28" x14ac:dyDescent="0.25">
      <c r="B19" s="16"/>
      <c r="C19" s="38" t="s">
        <v>47</v>
      </c>
      <c r="D19" s="39"/>
      <c r="E19" s="39"/>
      <c r="F19" s="39"/>
      <c r="G19" s="39"/>
      <c r="H19" s="39"/>
      <c r="I19" s="40"/>
      <c r="J19" s="40"/>
      <c r="K19" s="40"/>
      <c r="L19" s="40"/>
      <c r="M19" s="40"/>
      <c r="N19" s="40"/>
      <c r="O19" s="40"/>
      <c r="P19" s="40"/>
      <c r="Q19" s="40"/>
      <c r="R19" s="44"/>
      <c r="S19" s="44"/>
      <c r="T19" s="44"/>
      <c r="U19" s="44"/>
      <c r="V19" s="44"/>
      <c r="W19" s="44"/>
      <c r="X19" s="39"/>
      <c r="Y19" s="39"/>
      <c r="Z19" s="16"/>
      <c r="AA19" s="16"/>
      <c r="AB19" s="16"/>
    </row>
    <row r="20" ht="25.5" customHeight="1" spans="2:28" x14ac:dyDescent="0.25">
      <c r="B20" s="16"/>
      <c r="C20" s="41"/>
      <c r="D20" s="39"/>
      <c r="E20" s="42"/>
      <c r="F20" s="39"/>
      <c r="G20" s="42"/>
      <c r="H20" s="39"/>
      <c r="I20" s="43" t="s">
        <v>46</v>
      </c>
      <c r="J20" s="44"/>
      <c r="K20" s="45"/>
      <c r="L20" s="44"/>
      <c r="M20" s="45"/>
      <c r="N20" s="44"/>
      <c r="O20" s="45"/>
      <c r="P20" s="44"/>
      <c r="Q20" s="45"/>
      <c r="R20" s="44"/>
      <c r="S20" s="45"/>
      <c r="T20" s="44"/>
      <c r="U20" s="45">
        <f>IF(K20&lt;M20,IF(S20=0,0,IF(S20&lt;K20,1,IF(S20&gt;Q20,5,IF(M20&lt;K20,1,IF(M20&lt;M20,2,IF(M20&lt;O20,3,IF(M20&lt;Q20,4,5))))+((S20-M20)/(O20-M20))*(O19-M19)))),IF(S20=0,0,IF(S20&gt;K20,1,IF(S20&lt;Q20,5,IF(M20&gt;K20,1,IF(M20&gt;M20,2,IF(M20&gt;O20,3,IF(M20&gt;Q20,4,5))))+((S20-M20)/(O20-M20))*(O19-M19)))))</f>
        <v>0</v>
      </c>
      <c r="V20" s="44"/>
      <c r="W20" s="45">
        <f>U20*C20</f>
        <v>0</v>
      </c>
      <c r="X20" s="39"/>
      <c r="Y20" s="42"/>
      <c r="Z20" s="42"/>
      <c r="AA20" s="42"/>
      <c r="AB20" s="16"/>
    </row>
    <row r="21" ht="25.5" customHeight="1" spans="2:28" x14ac:dyDescent="0.25">
      <c r="B21" s="16"/>
      <c r="C21" s="41"/>
      <c r="D21" s="39"/>
      <c r="E21" s="42"/>
      <c r="F21" s="39"/>
      <c r="G21" s="42"/>
      <c r="H21" s="39"/>
      <c r="I21" s="43"/>
      <c r="J21" s="44"/>
      <c r="K21" s="45"/>
      <c r="L21" s="44"/>
      <c r="M21" s="45"/>
      <c r="N21" s="44"/>
      <c r="O21" s="45"/>
      <c r="P21" s="44"/>
      <c r="Q21" s="45"/>
      <c r="R21" s="44"/>
      <c r="S21" s="45"/>
      <c r="T21" s="44"/>
      <c r="U21" s="45"/>
      <c r="V21" s="44"/>
      <c r="W21" s="45"/>
      <c r="X21" s="39"/>
      <c r="Y21" s="42"/>
      <c r="Z21" s="42"/>
      <c r="AA21" s="42"/>
      <c r="AB21" s="16"/>
    </row>
    <row r="22" ht="25.5" customHeight="1" spans="2:28" x14ac:dyDescent="0.25">
      <c r="B22" s="16"/>
      <c r="C22" s="41"/>
      <c r="D22" s="39"/>
      <c r="E22" s="42"/>
      <c r="F22" s="39"/>
      <c r="G22" s="42"/>
      <c r="H22" s="39"/>
      <c r="I22" s="43"/>
      <c r="J22" s="44"/>
      <c r="K22" s="45"/>
      <c r="L22" s="44"/>
      <c r="M22" s="45"/>
      <c r="N22" s="44"/>
      <c r="O22" s="45"/>
      <c r="P22" s="44"/>
      <c r="Q22" s="45"/>
      <c r="R22" s="44"/>
      <c r="S22" s="45"/>
      <c r="T22" s="44"/>
      <c r="U22" s="45"/>
      <c r="V22" s="44"/>
      <c r="W22" s="45"/>
      <c r="X22" s="39"/>
      <c r="Y22" s="42"/>
      <c r="Z22" s="42"/>
      <c r="AA22" s="42"/>
      <c r="AB22" s="16"/>
    </row>
    <row r="23" ht="15" customHeight="1" spans="2:28" x14ac:dyDescent="0.25">
      <c r="B23" s="16"/>
      <c r="C23" s="39"/>
      <c r="D23" s="39"/>
      <c r="E23" s="39"/>
      <c r="F23" s="39"/>
      <c r="G23" s="39"/>
      <c r="H23" s="39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39"/>
      <c r="Y23" s="39"/>
      <c r="Z23" s="16"/>
      <c r="AA23" s="16"/>
      <c r="AB23" s="16"/>
    </row>
    <row r="24" ht="5.25" customHeight="1" spans="3:25" x14ac:dyDescent="0.25">
      <c r="C24" s="46"/>
      <c r="D24" s="46"/>
      <c r="E24" s="46"/>
      <c r="F24" s="46"/>
      <c r="G24" s="46"/>
      <c r="H24" s="46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6"/>
      <c r="Y24" s="46"/>
    </row>
    <row r="25" ht="15" customHeight="1" spans="2:28" x14ac:dyDescent="0.25">
      <c r="B25" s="16"/>
      <c r="C25" s="38" t="s">
        <v>48</v>
      </c>
      <c r="D25" s="39"/>
      <c r="E25" s="39"/>
      <c r="F25" s="39"/>
      <c r="G25" s="39"/>
      <c r="H25" s="39"/>
      <c r="I25" s="40">
        <v>1</v>
      </c>
      <c r="J25" s="40"/>
      <c r="K25" s="40">
        <v>2</v>
      </c>
      <c r="L25" s="40"/>
      <c r="M25" s="40">
        <v>3</v>
      </c>
      <c r="N25" s="40"/>
      <c r="O25" s="40">
        <v>4</v>
      </c>
      <c r="P25" s="40"/>
      <c r="Q25" s="40">
        <v>5</v>
      </c>
      <c r="R25" s="44"/>
      <c r="S25" s="44"/>
      <c r="T25" s="44"/>
      <c r="U25" s="44"/>
      <c r="V25" s="44"/>
      <c r="W25" s="44"/>
      <c r="X25" s="39"/>
      <c r="Y25" s="39"/>
      <c r="Z25" s="16"/>
      <c r="AA25" s="16"/>
      <c r="AB25" s="16"/>
    </row>
    <row r="26" ht="25.5" customHeight="1" spans="2:28" x14ac:dyDescent="0.25">
      <c r="B26" s="16"/>
      <c r="C26" s="41"/>
      <c r="D26" s="39"/>
      <c r="E26" s="42"/>
      <c r="F26" s="39"/>
      <c r="G26" s="42"/>
      <c r="H26" s="39"/>
      <c r="I26" s="43" t="s">
        <v>46</v>
      </c>
      <c r="J26" s="44"/>
      <c r="K26" s="45"/>
      <c r="L26" s="44"/>
      <c r="M26" s="45"/>
      <c r="N26" s="44"/>
      <c r="O26" s="45"/>
      <c r="P26" s="44"/>
      <c r="Q26" s="45"/>
      <c r="R26" s="44"/>
      <c r="S26" s="45"/>
      <c r="T26" s="44"/>
      <c r="U26" s="45">
        <f>IF(K26&lt;M26,IF(S26=0,0,IF(S26&lt;K26,1,IF(S26&gt;Q26,5,IF(M26&lt;K26,1,IF(M26&lt;M26,2,IF(M26&lt;O26,3,IF(M26&lt;Q26,4,5))))+((S26-M26)/(O26-M26))*(O25-M25)))),IF(S26=0,0,IF(S26&gt;K26,1,IF(S26&lt;Q26,5,IF(M26&gt;K26,1,IF(M26&gt;M26,2,IF(M26&gt;O26,3,IF(M26&gt;Q26,4,5))))+((S26-M26)/(O26-M26))*(O25-M25)))))</f>
        <v>0</v>
      </c>
      <c r="V26" s="44"/>
      <c r="W26" s="45">
        <f>U26*C26</f>
        <v>0</v>
      </c>
      <c r="X26" s="39"/>
      <c r="Y26" s="42"/>
      <c r="Z26" s="42"/>
      <c r="AA26" s="42"/>
      <c r="AB26" s="16"/>
    </row>
    <row r="27" ht="25.5" customHeight="1" spans="2:28" x14ac:dyDescent="0.25">
      <c r="B27" s="16"/>
      <c r="C27" s="41"/>
      <c r="D27" s="39"/>
      <c r="E27" s="42"/>
      <c r="F27" s="39"/>
      <c r="G27" s="42"/>
      <c r="H27" s="39"/>
      <c r="I27" s="43"/>
      <c r="J27" s="44"/>
      <c r="K27" s="45"/>
      <c r="L27" s="44"/>
      <c r="M27" s="45"/>
      <c r="N27" s="44"/>
      <c r="O27" s="45"/>
      <c r="P27" s="44"/>
      <c r="Q27" s="45"/>
      <c r="R27" s="44"/>
      <c r="S27" s="45"/>
      <c r="T27" s="44"/>
      <c r="U27" s="45"/>
      <c r="V27" s="44"/>
      <c r="W27" s="45"/>
      <c r="X27" s="39"/>
      <c r="Y27" s="42"/>
      <c r="Z27" s="42"/>
      <c r="AA27" s="42"/>
      <c r="AB27" s="16"/>
    </row>
    <row r="28" ht="25.5" customHeight="1" spans="2:28" x14ac:dyDescent="0.25">
      <c r="B28" s="16"/>
      <c r="C28" s="41"/>
      <c r="D28" s="39"/>
      <c r="E28" s="42"/>
      <c r="F28" s="39"/>
      <c r="G28" s="42"/>
      <c r="H28" s="39"/>
      <c r="I28" s="43"/>
      <c r="J28" s="44"/>
      <c r="K28" s="45"/>
      <c r="L28" s="44"/>
      <c r="M28" s="45"/>
      <c r="N28" s="44"/>
      <c r="O28" s="45"/>
      <c r="P28" s="44"/>
      <c r="Q28" s="45"/>
      <c r="R28" s="44"/>
      <c r="S28" s="45"/>
      <c r="T28" s="44"/>
      <c r="U28" s="45"/>
      <c r="V28" s="44"/>
      <c r="W28" s="45"/>
      <c r="X28" s="39"/>
      <c r="Y28" s="42"/>
      <c r="Z28" s="42"/>
      <c r="AA28" s="42"/>
      <c r="AB28" s="16"/>
    </row>
    <row r="29" ht="15" customHeight="1" spans="2:28" x14ac:dyDescent="0.25">
      <c r="B29" s="16"/>
      <c r="C29" s="39"/>
      <c r="D29" s="39"/>
      <c r="E29" s="39"/>
      <c r="F29" s="39"/>
      <c r="G29" s="39"/>
      <c r="H29" s="39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39"/>
      <c r="Y29" s="39"/>
      <c r="Z29" s="16"/>
      <c r="AA29" s="16"/>
      <c r="AB29" s="16"/>
    </row>
    <row r="30" ht="5.25" customHeight="1" spans="3:25" x14ac:dyDescent="0.25">
      <c r="C30" s="46"/>
      <c r="D30" s="46"/>
      <c r="E30" s="46"/>
      <c r="F30" s="46"/>
      <c r="G30" s="46"/>
      <c r="H30" s="46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6"/>
      <c r="Y30" s="46"/>
    </row>
    <row r="31" ht="15" customHeight="1" spans="2:28" x14ac:dyDescent="0.25">
      <c r="B31" s="16"/>
      <c r="C31" s="38" t="s">
        <v>49</v>
      </c>
      <c r="D31" s="39"/>
      <c r="E31" s="39"/>
      <c r="F31" s="39"/>
      <c r="G31" s="39"/>
      <c r="H31" s="39"/>
      <c r="I31" s="40">
        <v>1</v>
      </c>
      <c r="J31" s="40"/>
      <c r="K31" s="40">
        <v>2</v>
      </c>
      <c r="L31" s="40"/>
      <c r="M31" s="40">
        <v>3</v>
      </c>
      <c r="N31" s="40"/>
      <c r="O31" s="40">
        <v>4</v>
      </c>
      <c r="P31" s="40"/>
      <c r="Q31" s="40">
        <v>5</v>
      </c>
      <c r="R31" s="44"/>
      <c r="S31" s="44"/>
      <c r="T31" s="44"/>
      <c r="U31" s="44"/>
      <c r="V31" s="44"/>
      <c r="W31" s="44"/>
      <c r="X31" s="39"/>
      <c r="Y31" s="39"/>
      <c r="Z31" s="16"/>
      <c r="AA31" s="16"/>
      <c r="AB31" s="16"/>
    </row>
    <row r="32" ht="25.5" customHeight="1" spans="2:28" x14ac:dyDescent="0.25">
      <c r="B32" s="16"/>
      <c r="C32" s="41"/>
      <c r="D32" s="39"/>
      <c r="E32" s="42"/>
      <c r="F32" s="39"/>
      <c r="G32" s="42"/>
      <c r="H32" s="39"/>
      <c r="I32" s="43" t="s">
        <v>46</v>
      </c>
      <c r="J32" s="44"/>
      <c r="K32" s="45"/>
      <c r="L32" s="44"/>
      <c r="M32" s="45"/>
      <c r="N32" s="44"/>
      <c r="O32" s="45"/>
      <c r="P32" s="44"/>
      <c r="Q32" s="45"/>
      <c r="R32" s="44"/>
      <c r="S32" s="45"/>
      <c r="T32" s="44"/>
      <c r="U32" s="45">
        <f>IF(K32&lt;M32,IF(S32=0,0,IF(S32&lt;K32,1,IF(S32&gt;Q32,5,IF(M32&lt;K32,1,IF(M32&lt;M32,2,IF(M32&lt;O32,3,IF(M32&lt;Q32,4,5))))+((S32-M32)/(O32-M32))*(O31-M31)))),IF(S32=0,0,IF(S32&gt;K32,1,IF(S32&lt;Q32,5,IF(M32&gt;K32,1,IF(M32&gt;M32,2,IF(M32&gt;O32,3,IF(M32&gt;Q32,4,5))))+((S32-M32)/(O32-M32))*(O31-M31)))))</f>
        <v>0</v>
      </c>
      <c r="V32" s="44"/>
      <c r="W32" s="45">
        <f>U32*C32</f>
        <v>0</v>
      </c>
      <c r="X32" s="39"/>
      <c r="Y32" s="42"/>
      <c r="Z32" s="42"/>
      <c r="AA32" s="42"/>
      <c r="AB32" s="16"/>
    </row>
    <row r="33" ht="25.5" customHeight="1" spans="2:28" x14ac:dyDescent="0.25">
      <c r="B33" s="16"/>
      <c r="C33" s="41"/>
      <c r="D33" s="39"/>
      <c r="E33" s="42"/>
      <c r="F33" s="39"/>
      <c r="G33" s="42"/>
      <c r="H33" s="39"/>
      <c r="I33" s="43"/>
      <c r="J33" s="44"/>
      <c r="K33" s="45"/>
      <c r="L33" s="44"/>
      <c r="M33" s="45"/>
      <c r="N33" s="44"/>
      <c r="O33" s="45"/>
      <c r="P33" s="44"/>
      <c r="Q33" s="45"/>
      <c r="R33" s="44"/>
      <c r="S33" s="45"/>
      <c r="T33" s="44"/>
      <c r="U33" s="45"/>
      <c r="V33" s="44"/>
      <c r="W33" s="45"/>
      <c r="X33" s="39"/>
      <c r="Y33" s="42"/>
      <c r="Z33" s="42"/>
      <c r="AA33" s="42"/>
      <c r="AB33" s="16"/>
    </row>
    <row r="34" ht="25.5" customHeight="1" spans="2:28" x14ac:dyDescent="0.25">
      <c r="B34" s="16"/>
      <c r="C34" s="41"/>
      <c r="D34" s="39"/>
      <c r="E34" s="42"/>
      <c r="F34" s="39"/>
      <c r="G34" s="42"/>
      <c r="H34" s="39"/>
      <c r="I34" s="43"/>
      <c r="J34" s="44"/>
      <c r="K34" s="45"/>
      <c r="L34" s="44"/>
      <c r="M34" s="45"/>
      <c r="N34" s="44"/>
      <c r="O34" s="45"/>
      <c r="P34" s="44"/>
      <c r="Q34" s="45"/>
      <c r="R34" s="44"/>
      <c r="S34" s="45"/>
      <c r="T34" s="44"/>
      <c r="U34" s="45"/>
      <c r="V34" s="44"/>
      <c r="W34" s="45"/>
      <c r="X34" s="39"/>
      <c r="Y34" s="42"/>
      <c r="Z34" s="42"/>
      <c r="AA34" s="42"/>
      <c r="AB34" s="16"/>
    </row>
    <row r="35" ht="15" customHeight="1" spans="2:28" x14ac:dyDescent="0.25">
      <c r="B35" s="16"/>
      <c r="C35" s="39"/>
      <c r="D35" s="39"/>
      <c r="E35" s="39"/>
      <c r="F35" s="39"/>
      <c r="G35" s="39"/>
      <c r="H35" s="39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39"/>
      <c r="Y35" s="39"/>
      <c r="Z35" s="16"/>
      <c r="AA35" s="16"/>
      <c r="AB35" s="16"/>
    </row>
    <row r="36" ht="5.25" customHeight="1" spans="3:25" x14ac:dyDescent="0.25">
      <c r="C36" s="46"/>
      <c r="D36" s="46"/>
      <c r="E36" s="46"/>
      <c r="F36" s="46"/>
      <c r="G36" s="46"/>
      <c r="H36" s="46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6"/>
      <c r="Y36" s="46"/>
    </row>
    <row r="37" ht="15" customHeight="1" spans="2:28" x14ac:dyDescent="0.25">
      <c r="B37" s="16"/>
      <c r="C37" s="38" t="s">
        <v>50</v>
      </c>
      <c r="D37" s="39"/>
      <c r="E37" s="39"/>
      <c r="F37" s="39"/>
      <c r="G37" s="39"/>
      <c r="H37" s="39"/>
      <c r="I37" s="40">
        <v>1</v>
      </c>
      <c r="J37" s="40"/>
      <c r="K37" s="40">
        <v>2</v>
      </c>
      <c r="L37" s="40"/>
      <c r="M37" s="40">
        <v>3</v>
      </c>
      <c r="N37" s="40"/>
      <c r="O37" s="40">
        <v>4</v>
      </c>
      <c r="P37" s="40"/>
      <c r="Q37" s="40">
        <v>5</v>
      </c>
      <c r="R37" s="44"/>
      <c r="S37" s="44"/>
      <c r="T37" s="44"/>
      <c r="U37" s="44"/>
      <c r="V37" s="44"/>
      <c r="W37" s="44"/>
      <c r="X37" s="39"/>
      <c r="Y37" s="39"/>
      <c r="Z37" s="16"/>
      <c r="AA37" s="16"/>
      <c r="AB37" s="16"/>
    </row>
    <row r="38" ht="25.5" customHeight="1" spans="2:28" x14ac:dyDescent="0.25">
      <c r="B38" s="16"/>
      <c r="C38" s="41"/>
      <c r="D38" s="39"/>
      <c r="E38" s="42"/>
      <c r="F38" s="39"/>
      <c r="G38" s="42"/>
      <c r="H38" s="39"/>
      <c r="I38" s="43" t="s">
        <v>46</v>
      </c>
      <c r="J38" s="44"/>
      <c r="K38" s="45"/>
      <c r="L38" s="44"/>
      <c r="M38" s="45"/>
      <c r="N38" s="44"/>
      <c r="O38" s="45"/>
      <c r="P38" s="44"/>
      <c r="Q38" s="45"/>
      <c r="R38" s="44"/>
      <c r="S38" s="45"/>
      <c r="T38" s="44"/>
      <c r="U38" s="45">
        <f>IF(K38&lt;M38,IF(S38=0,0,IF(S38&lt;K38,1,IF(S38&gt;Q38,5,IF(M38&lt;K38,1,IF(M38&lt;M38,2,IF(M38&lt;O38,3,IF(M38&lt;Q38,4,5))))+((S38-M38)/(O38-M38))*(O37-M37)))),IF(S38=0,0,IF(S38&gt;K38,1,IF(S38&lt;Q38,5,IF(M38&gt;K38,1,IF(M38&gt;M38,2,IF(M38&gt;O38,3,IF(M38&gt;Q38,4,5))))+((S38-M38)/(O38-M38))*(O37-M37)))))</f>
        <v>0</v>
      </c>
      <c r="V38" s="44"/>
      <c r="W38" s="45">
        <f>U38*C38</f>
        <v>0</v>
      </c>
      <c r="X38" s="39"/>
      <c r="Y38" s="42"/>
      <c r="Z38" s="42"/>
      <c r="AA38" s="42"/>
      <c r="AB38" s="16"/>
    </row>
    <row r="39" ht="25.5" customHeight="1" spans="2:28" x14ac:dyDescent="0.25">
      <c r="B39" s="16"/>
      <c r="C39" s="41"/>
      <c r="D39" s="39"/>
      <c r="E39" s="42"/>
      <c r="F39" s="39"/>
      <c r="G39" s="42"/>
      <c r="H39" s="39"/>
      <c r="I39" s="43"/>
      <c r="J39" s="44"/>
      <c r="K39" s="45"/>
      <c r="L39" s="44"/>
      <c r="M39" s="45"/>
      <c r="N39" s="44"/>
      <c r="O39" s="45"/>
      <c r="P39" s="44"/>
      <c r="Q39" s="45"/>
      <c r="R39" s="44"/>
      <c r="S39" s="45"/>
      <c r="T39" s="44"/>
      <c r="U39" s="45"/>
      <c r="V39" s="44"/>
      <c r="W39" s="45"/>
      <c r="X39" s="39"/>
      <c r="Y39" s="42"/>
      <c r="Z39" s="42"/>
      <c r="AA39" s="42"/>
      <c r="AB39" s="16"/>
    </row>
    <row r="40" ht="25.5" customHeight="1" spans="2:28" x14ac:dyDescent="0.25">
      <c r="B40" s="16"/>
      <c r="C40" s="41"/>
      <c r="D40" s="39"/>
      <c r="E40" s="42"/>
      <c r="F40" s="39"/>
      <c r="G40" s="42"/>
      <c r="H40" s="39"/>
      <c r="I40" s="43"/>
      <c r="J40" s="44"/>
      <c r="K40" s="45"/>
      <c r="L40" s="44"/>
      <c r="M40" s="45"/>
      <c r="N40" s="44"/>
      <c r="O40" s="45"/>
      <c r="P40" s="44"/>
      <c r="Q40" s="45"/>
      <c r="R40" s="44"/>
      <c r="S40" s="45"/>
      <c r="T40" s="44"/>
      <c r="U40" s="45"/>
      <c r="V40" s="44"/>
      <c r="W40" s="45"/>
      <c r="X40" s="39"/>
      <c r="Y40" s="42"/>
      <c r="Z40" s="42"/>
      <c r="AA40" s="42"/>
      <c r="AB40" s="16"/>
    </row>
    <row r="41" ht="15" customHeight="1" spans="2:28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9"/>
      <c r="Z41" s="16"/>
      <c r="AA41" s="16"/>
      <c r="AB41" s="16"/>
    </row>
    <row r="42" spans="3:5" x14ac:dyDescent="0.25">
      <c r="C42" s="48" t="s">
        <v>51</v>
      </c>
      <c r="D42" s="49" t="s">
        <v>52</v>
      </c>
      <c r="E42" s="50">
        <f>SUM(C14,C20,C26,C32,C38)</f>
        <v>1</v>
      </c>
    </row>
    <row r="43" spans="3:23" x14ac:dyDescent="0.25">
      <c r="C43" s="49"/>
      <c r="W43" s="49"/>
    </row>
    <row r="44" ht="15" customHeight="1" spans="3:23" x14ac:dyDescent="0.25">
      <c r="C44" s="51"/>
      <c r="D44" s="52"/>
      <c r="E44" s="52" t="s">
        <v>53</v>
      </c>
      <c r="F44" s="52"/>
      <c r="G44" s="52"/>
      <c r="H44" s="52"/>
      <c r="I44" s="52" t="s">
        <v>54</v>
      </c>
      <c r="J44" s="52"/>
      <c r="K44" s="52"/>
      <c r="L44" s="52"/>
      <c r="M44" s="52"/>
      <c r="P44" s="53"/>
      <c r="W44" s="54"/>
    </row>
    <row r="45" ht="50.25" customHeight="1" spans="3:23" x14ac:dyDescent="0.25">
      <c r="C45" s="55" t="s">
        <v>55</v>
      </c>
      <c r="D45" s="55"/>
      <c r="E45" s="56"/>
      <c r="F45" s="56"/>
      <c r="G45" s="57"/>
      <c r="H45" s="57"/>
      <c r="I45" s="56"/>
      <c r="J45" s="56"/>
      <c r="K45" s="56"/>
      <c r="L45" s="56"/>
      <c r="M45" s="58"/>
      <c r="N45" s="58"/>
      <c r="O45" s="58"/>
      <c r="P45" s="59"/>
      <c r="W45" s="54"/>
    </row>
    <row r="46" ht="50.25" customHeight="1" spans="3:16" x14ac:dyDescent="0.25">
      <c r="C46" s="55" t="s">
        <v>56</v>
      </c>
      <c r="D46" s="55"/>
      <c r="E46" s="60"/>
      <c r="F46" s="60"/>
      <c r="G46" s="57"/>
      <c r="H46" s="57"/>
      <c r="I46" s="56"/>
      <c r="J46" s="56"/>
      <c r="K46" s="56"/>
      <c r="L46" s="56"/>
      <c r="M46" s="58"/>
      <c r="N46" s="58"/>
      <c r="O46" s="58"/>
      <c r="P46" s="59"/>
    </row>
    <row r="47" ht="50.25" customHeight="1" spans="3:16" x14ac:dyDescent="0.25">
      <c r="C47" s="55" t="s">
        <v>57</v>
      </c>
      <c r="D47" s="55"/>
      <c r="E47" s="60"/>
      <c r="F47" s="60"/>
      <c r="G47" s="57"/>
      <c r="H47" s="57"/>
      <c r="I47" s="56"/>
      <c r="J47" s="56"/>
      <c r="K47" s="56"/>
      <c r="L47" s="56"/>
      <c r="M47" s="58"/>
      <c r="N47" s="58"/>
      <c r="O47" s="58"/>
      <c r="P47" s="59"/>
    </row>
    <row r="48" spans="3:16" x14ac:dyDescent="0.25"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</row>
  </sheetData>
  <mergeCells count="75">
    <mergeCell ref="R2:W2"/>
    <mergeCell ref="R3:W3"/>
    <mergeCell ref="R4:W4"/>
    <mergeCell ref="Y3:Y5"/>
    <mergeCell ref="R5:W5"/>
    <mergeCell ref="R6:W6"/>
    <mergeCell ref="I9:Q9"/>
    <mergeCell ref="Y9:AB11"/>
    <mergeCell ref="G9:G11"/>
    <mergeCell ref="S9:S11"/>
    <mergeCell ref="U9:U11"/>
    <mergeCell ref="W9:W11"/>
    <mergeCell ref="Y14:AA16"/>
    <mergeCell ref="C14:C16"/>
    <mergeCell ref="E14:E16"/>
    <mergeCell ref="G14:G16"/>
    <mergeCell ref="I14:I16"/>
    <mergeCell ref="K14:K16"/>
    <mergeCell ref="M14:M16"/>
    <mergeCell ref="O14:O16"/>
    <mergeCell ref="Q14:Q16"/>
    <mergeCell ref="S14:S16"/>
    <mergeCell ref="U14:U16"/>
    <mergeCell ref="W14:W16"/>
    <mergeCell ref="Y20:AA22"/>
    <mergeCell ref="C20:C22"/>
    <mergeCell ref="E20:E22"/>
    <mergeCell ref="G20:G22"/>
    <mergeCell ref="I20:I22"/>
    <mergeCell ref="K20:K22"/>
    <mergeCell ref="M20:M22"/>
    <mergeCell ref="O20:O22"/>
    <mergeCell ref="Q20:Q22"/>
    <mergeCell ref="S20:S22"/>
    <mergeCell ref="U20:U22"/>
    <mergeCell ref="W20:W22"/>
    <mergeCell ref="Y26:AA28"/>
    <mergeCell ref="C26:C28"/>
    <mergeCell ref="E26:E28"/>
    <mergeCell ref="G26:G28"/>
    <mergeCell ref="I26:I28"/>
    <mergeCell ref="K26:K28"/>
    <mergeCell ref="M26:M28"/>
    <mergeCell ref="O26:O28"/>
    <mergeCell ref="Q26:Q28"/>
    <mergeCell ref="S26:S28"/>
    <mergeCell ref="U26:U28"/>
    <mergeCell ref="W26:W28"/>
    <mergeCell ref="Y32:AA34"/>
    <mergeCell ref="C32:C34"/>
    <mergeCell ref="E32:E34"/>
    <mergeCell ref="G32:G34"/>
    <mergeCell ref="I32:I34"/>
    <mergeCell ref="K32:K34"/>
    <mergeCell ref="M32:M34"/>
    <mergeCell ref="O32:O34"/>
    <mergeCell ref="Q32:Q34"/>
    <mergeCell ref="S32:S34"/>
    <mergeCell ref="U32:U34"/>
    <mergeCell ref="W32:W34"/>
    <mergeCell ref="Y38:AA40"/>
    <mergeCell ref="C38:C40"/>
    <mergeCell ref="E38:E40"/>
    <mergeCell ref="G38:G40"/>
    <mergeCell ref="I38:I40"/>
    <mergeCell ref="K38:K40"/>
    <mergeCell ref="M38:M40"/>
    <mergeCell ref="O38:O40"/>
    <mergeCell ref="Q38:Q40"/>
    <mergeCell ref="S38:S40"/>
    <mergeCell ref="U38:U40"/>
    <mergeCell ref="W38:W40"/>
    <mergeCell ref="C45:D45"/>
    <mergeCell ref="C46:D46"/>
    <mergeCell ref="C47:D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9"/>
  <sheetFormatPr defaultRowHeight="15" outlineLevelRow="0" outlineLevelCol="0" x14ac:dyDescent="55"/>
  <cols>
    <col min="1" max="1" width="11" customWidth="1"/>
    <col min="2" max="2" width="5" customWidth="1"/>
    <col min="3" max="3" width="29" customWidth="1"/>
    <col min="4" max="4" width="4" customWidth="1"/>
    <col min="5" max="5" width="95" customWidth="1"/>
    <col min="6" max="6" width="4" customWidth="1"/>
    <col min="7" max="7" width="74" customWidth="1"/>
    <col min="8" max="8" width="4" customWidth="1"/>
    <col min="9" max="9" width="27" customWidth="1"/>
    <col min="10" max="10" width="2" customWidth="1"/>
    <col min="11" max="11" width="27" customWidth="1"/>
    <col min="12" max="12" width="2" customWidth="1"/>
    <col min="13" max="13" width="27" customWidth="1"/>
    <col min="14" max="14" width="2" customWidth="1"/>
    <col min="15" max="15" width="27" customWidth="1"/>
    <col min="16" max="16" width="2" customWidth="1"/>
    <col min="17" max="17" width="27" customWidth="1"/>
    <col min="18" max="18" width="4" customWidth="1"/>
    <col min="19" max="19" width="26" customWidth="1"/>
    <col min="20" max="20" width="4" customWidth="1"/>
    <col min="21" max="21" width="23" customWidth="1"/>
    <col min="22" max="22" width="4" customWidth="1"/>
    <col min="23" max="23" width="23" customWidth="1"/>
    <col min="24" max="24" width="4" customWidth="1"/>
    <col min="25" max="25" width="30" customWidth="1"/>
    <col min="26" max="26" width="4" customWidth="1"/>
    <col min="28" max="28" width="5" customWidth="1"/>
    <col min="29" max="16384" width="17" customWidth="1"/>
  </cols>
  <sheetData>
    <row r="2" ht="29.25" customHeight="1" spans="17:27" x14ac:dyDescent="0.25">
      <c r="Q2" s="12" t="s">
        <v>32</v>
      </c>
      <c r="R2" s="61"/>
      <c r="S2" s="61"/>
      <c r="T2" s="61"/>
      <c r="U2" s="61"/>
      <c r="V2" s="61"/>
      <c r="W2" s="61"/>
      <c r="Y2" s="62" t="s">
        <v>58</v>
      </c>
      <c r="Z2" s="62"/>
      <c r="AA2" s="62"/>
    </row>
    <row r="3" ht="29.25" customHeight="1" spans="17:27" x14ac:dyDescent="0.25">
      <c r="Q3" s="12" t="s">
        <v>15</v>
      </c>
      <c r="R3" s="63"/>
      <c r="S3" s="63"/>
      <c r="T3" s="63"/>
      <c r="U3" s="63"/>
      <c r="V3" s="63"/>
      <c r="W3" s="63"/>
      <c r="Y3" s="64">
        <f>W15+W21+W27+W33+W39</f>
        <v>0</v>
      </c>
      <c r="Z3" s="64"/>
      <c r="AA3" s="64"/>
    </row>
    <row r="4" ht="29.25" customHeight="1" spans="17:27" x14ac:dyDescent="0.25">
      <c r="Q4" s="12" t="s">
        <v>34</v>
      </c>
      <c r="R4" s="61"/>
      <c r="S4" s="61"/>
      <c r="T4" s="61"/>
      <c r="U4" s="61"/>
      <c r="V4" s="61"/>
      <c r="W4" s="61"/>
      <c r="Y4" s="64"/>
      <c r="Z4" s="64"/>
      <c r="AA4" s="64"/>
    </row>
    <row r="5" ht="29.25" customHeight="1" spans="17:27" x14ac:dyDescent="0.25">
      <c r="Q5" s="12" t="s">
        <v>35</v>
      </c>
      <c r="R5" s="63"/>
      <c r="S5" s="63"/>
      <c r="T5" s="63"/>
      <c r="U5" s="63"/>
      <c r="V5" s="63"/>
      <c r="W5" s="63"/>
      <c r="Y5" s="64"/>
      <c r="Z5" s="64"/>
      <c r="AA5" s="64"/>
    </row>
    <row r="6" ht="29.25" customHeight="1" spans="17:27" x14ac:dyDescent="0.25">
      <c r="Q6" s="12" t="s">
        <v>25</v>
      </c>
      <c r="R6" s="61"/>
      <c r="S6" s="61"/>
      <c r="T6" s="61"/>
      <c r="U6" s="61"/>
      <c r="V6" s="61"/>
      <c r="W6" s="61"/>
      <c r="Y6" s="65" t="str">
        <f>IF(Y3&gt;=5,"Excellent",IF(Y3&gt;=4,"Very Good",IF(Y3&gt;=3,"Good",IF(Y3&gt;=2,"Fair",IF(Y3&lt;2,"Poor")))))</f>
        <v>Poor</v>
      </c>
      <c r="Z6" s="65"/>
      <c r="AA6" s="65"/>
    </row>
    <row r="9" ht="26.25" customHeight="1" spans="2:28" x14ac:dyDescent="0.25">
      <c r="B9" s="16"/>
      <c r="C9" s="66" t="s">
        <v>36</v>
      </c>
      <c r="D9" s="37"/>
      <c r="E9" s="67" t="s">
        <v>37</v>
      </c>
      <c r="F9" s="68"/>
      <c r="G9" s="69" t="s">
        <v>38</v>
      </c>
      <c r="H9" s="68"/>
      <c r="I9" s="70" t="s">
        <v>39</v>
      </c>
      <c r="J9" s="70"/>
      <c r="K9" s="70"/>
      <c r="L9" s="70"/>
      <c r="M9" s="70"/>
      <c r="N9" s="70"/>
      <c r="O9" s="70"/>
      <c r="P9" s="70"/>
      <c r="Q9" s="70"/>
      <c r="R9" s="71"/>
      <c r="S9" s="69" t="s">
        <v>40</v>
      </c>
      <c r="T9" s="71"/>
      <c r="U9" s="69" t="s">
        <v>14</v>
      </c>
      <c r="V9" s="68"/>
      <c r="W9" s="69" t="s">
        <v>41</v>
      </c>
      <c r="X9" s="68"/>
      <c r="Y9" s="69" t="s">
        <v>42</v>
      </c>
      <c r="Z9" s="69"/>
      <c r="AA9" s="69"/>
      <c r="AB9" s="69"/>
    </row>
    <row r="10" ht="5.25" customHeight="1" spans="3:28" x14ac:dyDescent="0.25">
      <c r="C10" s="72"/>
      <c r="D10" s="73"/>
      <c r="E10" s="74"/>
      <c r="F10" s="74"/>
      <c r="G10" s="69"/>
      <c r="H10" s="74"/>
      <c r="I10" s="68"/>
      <c r="J10" s="68"/>
      <c r="K10" s="75"/>
      <c r="L10" s="75"/>
      <c r="M10" s="75"/>
      <c r="N10" s="75"/>
      <c r="O10" s="75"/>
      <c r="P10" s="75"/>
      <c r="Q10" s="75"/>
      <c r="R10" s="68"/>
      <c r="S10" s="69"/>
      <c r="T10" s="68"/>
      <c r="U10" s="69"/>
      <c r="V10" s="68"/>
      <c r="W10" s="69"/>
      <c r="X10" s="68"/>
      <c r="Y10" s="69"/>
      <c r="Z10" s="69"/>
      <c r="AA10" s="69"/>
      <c r="AB10" s="69"/>
    </row>
    <row r="11" ht="14.25" customHeight="1" spans="2:28" x14ac:dyDescent="0.25">
      <c r="B11" s="76" t="s">
        <v>43</v>
      </c>
      <c r="C11" s="76"/>
      <c r="D11" s="73"/>
      <c r="E11" s="69" t="s">
        <v>59</v>
      </c>
      <c r="F11" s="74"/>
      <c r="G11" s="69"/>
      <c r="H11" s="74"/>
      <c r="I11" s="69">
        <v>1</v>
      </c>
      <c r="J11" s="68"/>
      <c r="K11" s="69">
        <v>2</v>
      </c>
      <c r="L11" s="75"/>
      <c r="M11" s="69">
        <v>3</v>
      </c>
      <c r="N11" s="75"/>
      <c r="O11" s="69">
        <v>4</v>
      </c>
      <c r="P11" s="75"/>
      <c r="Q11" s="69">
        <v>5</v>
      </c>
      <c r="R11" s="68"/>
      <c r="S11" s="69"/>
      <c r="T11" s="68"/>
      <c r="U11" s="69"/>
      <c r="V11" s="68"/>
      <c r="W11" s="69"/>
      <c r="X11" s="68"/>
      <c r="Y11" s="69"/>
      <c r="Z11" s="69"/>
      <c r="AA11" s="69"/>
      <c r="AB11" s="69"/>
    </row>
    <row r="12" ht="18" customHeight="1" spans="2:28" x14ac:dyDescent="0.25">
      <c r="B12" s="76"/>
      <c r="C12" s="76"/>
      <c r="D12" s="37"/>
      <c r="E12" s="69"/>
      <c r="F12" s="74"/>
      <c r="G12" s="69"/>
      <c r="H12" s="74"/>
      <c r="I12" s="77" t="s">
        <v>60</v>
      </c>
      <c r="J12" s="78"/>
      <c r="K12" s="77" t="s">
        <v>61</v>
      </c>
      <c r="L12" s="79"/>
      <c r="M12" s="77" t="s">
        <v>62</v>
      </c>
      <c r="N12" s="78"/>
      <c r="O12" s="77" t="s">
        <v>63</v>
      </c>
      <c r="P12" s="79"/>
      <c r="Q12" s="77" t="s">
        <v>64</v>
      </c>
      <c r="R12" s="80"/>
      <c r="S12" s="69"/>
      <c r="T12" s="80"/>
      <c r="U12" s="69"/>
      <c r="V12" s="68"/>
      <c r="W12" s="69"/>
      <c r="X12" s="68"/>
      <c r="Y12" s="69"/>
      <c r="Z12" s="69"/>
      <c r="AA12" s="69"/>
      <c r="AB12" s="69"/>
    </row>
    <row r="13" ht="7.5" customHeight="1" spans="3:4" x14ac:dyDescent="0.25">
      <c r="C13" s="37"/>
      <c r="D13" s="37"/>
    </row>
    <row r="14" ht="15" customHeight="1" spans="2:28" x14ac:dyDescent="0.25">
      <c r="B14" s="16"/>
      <c r="C14" s="38" t="s">
        <v>45</v>
      </c>
      <c r="D14" s="39"/>
      <c r="E14" s="39"/>
      <c r="F14" s="39"/>
      <c r="G14" s="39"/>
      <c r="H14" s="39"/>
      <c r="I14" s="40">
        <v>1</v>
      </c>
      <c r="J14" s="40"/>
      <c r="K14" s="40">
        <v>2</v>
      </c>
      <c r="L14" s="40"/>
      <c r="M14" s="40">
        <v>3</v>
      </c>
      <c r="N14" s="40"/>
      <c r="O14" s="40">
        <v>4</v>
      </c>
      <c r="P14" s="40"/>
      <c r="Q14" s="40">
        <v>5</v>
      </c>
      <c r="R14" s="39"/>
      <c r="S14" s="39"/>
      <c r="T14" s="39"/>
      <c r="U14" s="39"/>
      <c r="V14" s="39"/>
      <c r="W14" s="39"/>
      <c r="X14" s="39"/>
      <c r="Y14" s="39"/>
      <c r="Z14" s="16"/>
      <c r="AA14" s="16"/>
      <c r="AB14" s="16"/>
    </row>
    <row r="15" ht="25.5" customHeight="1" spans="2:28" x14ac:dyDescent="0.25">
      <c r="B15" s="16"/>
      <c r="C15" s="81"/>
      <c r="D15" s="39"/>
      <c r="E15" s="37"/>
      <c r="F15" s="39"/>
      <c r="G15" s="37"/>
      <c r="H15" s="39"/>
      <c r="I15" s="82" t="s">
        <v>46</v>
      </c>
      <c r="J15" s="39"/>
      <c r="K15" s="37"/>
      <c r="L15" s="39"/>
      <c r="M15" s="37"/>
      <c r="N15" s="39"/>
      <c r="O15" s="37"/>
      <c r="P15" s="39"/>
      <c r="Q15" s="37"/>
      <c r="R15" s="39"/>
      <c r="S15" s="37"/>
      <c r="T15" s="39"/>
      <c r="U15" s="37"/>
      <c r="V15" s="39"/>
      <c r="W15" s="37">
        <f>U15*C15</f>
        <v>0</v>
      </c>
      <c r="X15" s="39"/>
      <c r="Y15" s="37"/>
      <c r="Z15" s="37"/>
      <c r="AA15" s="37"/>
      <c r="AB15" s="16"/>
    </row>
    <row r="16" ht="25.5" customHeight="1" spans="2:28" x14ac:dyDescent="0.25">
      <c r="B16" s="16"/>
      <c r="C16" s="81"/>
      <c r="D16" s="39"/>
      <c r="E16" s="37"/>
      <c r="F16" s="39"/>
      <c r="G16" s="37"/>
      <c r="H16" s="39"/>
      <c r="I16" s="82"/>
      <c r="J16" s="39"/>
      <c r="K16" s="37"/>
      <c r="L16" s="39"/>
      <c r="M16" s="37"/>
      <c r="N16" s="39"/>
      <c r="O16" s="37"/>
      <c r="P16" s="39"/>
      <c r="Q16" s="37"/>
      <c r="R16" s="39"/>
      <c r="S16" s="37"/>
      <c r="T16" s="39"/>
      <c r="U16" s="37"/>
      <c r="V16" s="39"/>
      <c r="W16" s="37"/>
      <c r="X16" s="39"/>
      <c r="Y16" s="37"/>
      <c r="Z16" s="37"/>
      <c r="AA16" s="37"/>
      <c r="AB16" s="16"/>
    </row>
    <row r="17" ht="25.5" customHeight="1" spans="2:28" x14ac:dyDescent="0.25">
      <c r="B17" s="16"/>
      <c r="C17" s="81"/>
      <c r="D17" s="39"/>
      <c r="E17" s="37"/>
      <c r="F17" s="39"/>
      <c r="G17" s="37"/>
      <c r="H17" s="39"/>
      <c r="I17" s="82"/>
      <c r="J17" s="39"/>
      <c r="K17" s="37"/>
      <c r="L17" s="39"/>
      <c r="M17" s="37"/>
      <c r="N17" s="39"/>
      <c r="O17" s="37"/>
      <c r="P17" s="39"/>
      <c r="Q17" s="37"/>
      <c r="R17" s="39"/>
      <c r="S17" s="37"/>
      <c r="T17" s="39"/>
      <c r="U17" s="37"/>
      <c r="V17" s="39"/>
      <c r="W17" s="37"/>
      <c r="X17" s="39"/>
      <c r="Y17" s="37"/>
      <c r="Z17" s="37"/>
      <c r="AA17" s="37"/>
      <c r="AB17" s="16"/>
    </row>
    <row r="18" ht="15" customHeight="1" spans="2:28" x14ac:dyDescent="0.25">
      <c r="B18" s="16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16"/>
      <c r="AA18" s="16"/>
      <c r="AB18" s="16"/>
    </row>
    <row r="19" ht="5.25" customHeight="1" spans="3:25" x14ac:dyDescent="0.25"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ht="15" customHeight="1" spans="2:28" x14ac:dyDescent="0.25">
      <c r="B20" s="16"/>
      <c r="C20" s="38" t="s">
        <v>47</v>
      </c>
      <c r="D20" s="39"/>
      <c r="E20" s="39"/>
      <c r="F20" s="39"/>
      <c r="G20" s="39"/>
      <c r="H20" s="39"/>
      <c r="I20" s="40"/>
      <c r="J20" s="40"/>
      <c r="K20" s="40"/>
      <c r="L20" s="40"/>
      <c r="M20" s="40"/>
      <c r="N20" s="40"/>
      <c r="O20" s="40"/>
      <c r="P20" s="40"/>
      <c r="Q20" s="40"/>
      <c r="R20" s="39"/>
      <c r="S20" s="39"/>
      <c r="T20" s="39"/>
      <c r="U20" s="39"/>
      <c r="V20" s="39"/>
      <c r="W20" s="39"/>
      <c r="X20" s="39"/>
      <c r="Y20" s="39"/>
      <c r="Z20" s="16"/>
      <c r="AA20" s="16"/>
      <c r="AB20" s="16"/>
    </row>
    <row r="21" ht="25.5" customHeight="1" spans="2:28" x14ac:dyDescent="0.25">
      <c r="B21" s="16"/>
      <c r="C21" s="81"/>
      <c r="D21" s="39"/>
      <c r="E21" s="37"/>
      <c r="F21" s="39"/>
      <c r="G21" s="37"/>
      <c r="H21" s="39"/>
      <c r="I21" s="82" t="s">
        <v>46</v>
      </c>
      <c r="J21" s="39"/>
      <c r="K21" s="37"/>
      <c r="L21" s="39"/>
      <c r="M21" s="37"/>
      <c r="N21" s="39"/>
      <c r="O21" s="37"/>
      <c r="P21" s="39"/>
      <c r="Q21" s="37"/>
      <c r="R21" s="39"/>
      <c r="S21" s="37"/>
      <c r="T21" s="39"/>
      <c r="U21" s="37"/>
      <c r="V21" s="39"/>
      <c r="W21" s="37">
        <f>U21*C21</f>
        <v>0</v>
      </c>
      <c r="X21" s="39"/>
      <c r="Y21" s="37"/>
      <c r="Z21" s="37"/>
      <c r="AA21" s="37"/>
      <c r="AB21" s="16"/>
    </row>
    <row r="22" ht="25.5" customHeight="1" spans="2:28" x14ac:dyDescent="0.25">
      <c r="B22" s="16"/>
      <c r="C22" s="81"/>
      <c r="D22" s="39"/>
      <c r="E22" s="37"/>
      <c r="F22" s="39"/>
      <c r="G22" s="37"/>
      <c r="H22" s="39"/>
      <c r="I22" s="82"/>
      <c r="J22" s="39"/>
      <c r="K22" s="37"/>
      <c r="L22" s="39"/>
      <c r="M22" s="37"/>
      <c r="N22" s="39"/>
      <c r="O22" s="37"/>
      <c r="P22" s="39"/>
      <c r="Q22" s="37"/>
      <c r="R22" s="39"/>
      <c r="S22" s="37"/>
      <c r="T22" s="39"/>
      <c r="U22" s="37"/>
      <c r="V22" s="39"/>
      <c r="W22" s="37"/>
      <c r="X22" s="39"/>
      <c r="Y22" s="37"/>
      <c r="Z22" s="37"/>
      <c r="AA22" s="37"/>
      <c r="AB22" s="16"/>
    </row>
    <row r="23" ht="25.5" customHeight="1" spans="2:28" x14ac:dyDescent="0.25">
      <c r="B23" s="16"/>
      <c r="C23" s="81"/>
      <c r="D23" s="39"/>
      <c r="E23" s="37"/>
      <c r="F23" s="39"/>
      <c r="G23" s="37"/>
      <c r="H23" s="39"/>
      <c r="I23" s="82"/>
      <c r="J23" s="39"/>
      <c r="K23" s="37"/>
      <c r="L23" s="39"/>
      <c r="M23" s="37"/>
      <c r="N23" s="39"/>
      <c r="O23" s="37"/>
      <c r="P23" s="39"/>
      <c r="Q23" s="37"/>
      <c r="R23" s="39"/>
      <c r="S23" s="37"/>
      <c r="T23" s="39"/>
      <c r="U23" s="37"/>
      <c r="V23" s="39"/>
      <c r="W23" s="37"/>
      <c r="X23" s="39"/>
      <c r="Y23" s="37"/>
      <c r="Z23" s="37"/>
      <c r="AA23" s="37"/>
      <c r="AB23" s="16"/>
    </row>
    <row r="24" ht="15" customHeight="1" spans="2:28" x14ac:dyDescent="0.25">
      <c r="B24" s="16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16"/>
      <c r="AA24" s="16"/>
      <c r="AB24" s="16"/>
    </row>
    <row r="25" ht="5.25" customHeight="1" spans="3:25" x14ac:dyDescent="0.25"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ht="15" customHeight="1" spans="2:28" x14ac:dyDescent="0.25">
      <c r="B26" s="16"/>
      <c r="C26" s="38" t="s">
        <v>48</v>
      </c>
      <c r="D26" s="39"/>
      <c r="E26" s="39"/>
      <c r="F26" s="39"/>
      <c r="G26" s="39"/>
      <c r="H26" s="39"/>
      <c r="I26" s="40">
        <v>1</v>
      </c>
      <c r="J26" s="40"/>
      <c r="K26" s="40">
        <v>2</v>
      </c>
      <c r="L26" s="40"/>
      <c r="M26" s="40">
        <v>3</v>
      </c>
      <c r="N26" s="40"/>
      <c r="O26" s="40">
        <v>4</v>
      </c>
      <c r="P26" s="40"/>
      <c r="Q26" s="40">
        <v>5</v>
      </c>
      <c r="R26" s="39"/>
      <c r="S26" s="39"/>
      <c r="T26" s="39"/>
      <c r="U26" s="39"/>
      <c r="V26" s="39"/>
      <c r="W26" s="39"/>
      <c r="X26" s="39"/>
      <c r="Y26" s="39"/>
      <c r="Z26" s="16"/>
      <c r="AA26" s="16"/>
      <c r="AB26" s="16"/>
    </row>
    <row r="27" ht="25.5" customHeight="1" spans="2:28" x14ac:dyDescent="0.25">
      <c r="B27" s="16"/>
      <c r="C27" s="81"/>
      <c r="D27" s="39"/>
      <c r="E27" s="37"/>
      <c r="F27" s="39"/>
      <c r="G27" s="37"/>
      <c r="H27" s="39"/>
      <c r="I27" s="82" t="s">
        <v>46</v>
      </c>
      <c r="J27" s="39"/>
      <c r="K27" s="37"/>
      <c r="L27" s="39"/>
      <c r="M27" s="37"/>
      <c r="N27" s="39"/>
      <c r="O27" s="37"/>
      <c r="P27" s="39"/>
      <c r="Q27" s="37"/>
      <c r="R27" s="39"/>
      <c r="S27" s="37"/>
      <c r="T27" s="39"/>
      <c r="U27" s="37"/>
      <c r="V27" s="39"/>
      <c r="W27" s="37">
        <f>U27*C27</f>
        <v>0</v>
      </c>
      <c r="X27" s="39"/>
      <c r="Y27" s="37"/>
      <c r="Z27" s="37"/>
      <c r="AA27" s="37"/>
      <c r="AB27" s="16"/>
    </row>
    <row r="28" ht="25.5" customHeight="1" spans="2:28" x14ac:dyDescent="0.25">
      <c r="B28" s="16"/>
      <c r="C28" s="81"/>
      <c r="D28" s="39"/>
      <c r="E28" s="37"/>
      <c r="F28" s="39"/>
      <c r="G28" s="37"/>
      <c r="H28" s="39"/>
      <c r="I28" s="82"/>
      <c r="J28" s="39"/>
      <c r="K28" s="37"/>
      <c r="L28" s="39"/>
      <c r="M28" s="37"/>
      <c r="N28" s="39"/>
      <c r="O28" s="37"/>
      <c r="P28" s="39"/>
      <c r="Q28" s="37"/>
      <c r="R28" s="39"/>
      <c r="S28" s="37"/>
      <c r="T28" s="39"/>
      <c r="U28" s="37"/>
      <c r="V28" s="39"/>
      <c r="W28" s="37"/>
      <c r="X28" s="39"/>
      <c r="Y28" s="37"/>
      <c r="Z28" s="37"/>
      <c r="AA28" s="37"/>
      <c r="AB28" s="16"/>
    </row>
    <row r="29" ht="25.5" customHeight="1" spans="2:28" x14ac:dyDescent="0.25">
      <c r="B29" s="16"/>
      <c r="C29" s="81"/>
      <c r="D29" s="39"/>
      <c r="E29" s="37"/>
      <c r="F29" s="39"/>
      <c r="G29" s="37"/>
      <c r="H29" s="39"/>
      <c r="I29" s="82"/>
      <c r="J29" s="39"/>
      <c r="K29" s="37"/>
      <c r="L29" s="39"/>
      <c r="M29" s="37"/>
      <c r="N29" s="39"/>
      <c r="O29" s="37"/>
      <c r="P29" s="39"/>
      <c r="Q29" s="37"/>
      <c r="R29" s="39"/>
      <c r="S29" s="37"/>
      <c r="T29" s="39"/>
      <c r="U29" s="37"/>
      <c r="V29" s="39"/>
      <c r="W29" s="37"/>
      <c r="X29" s="39"/>
      <c r="Y29" s="37"/>
      <c r="Z29" s="37"/>
      <c r="AA29" s="37"/>
      <c r="AB29" s="16"/>
    </row>
    <row r="30" ht="15" customHeight="1" spans="2:28" x14ac:dyDescent="0.25">
      <c r="B30" s="1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16"/>
      <c r="AA30" s="16"/>
      <c r="AB30" s="16"/>
    </row>
    <row r="31" ht="5.25" customHeight="1" spans="3:25" x14ac:dyDescent="0.25"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ht="15" customHeight="1" spans="2:28" x14ac:dyDescent="0.25">
      <c r="B32" s="16"/>
      <c r="C32" s="38" t="s">
        <v>49</v>
      </c>
      <c r="D32" s="39"/>
      <c r="E32" s="39"/>
      <c r="F32" s="39"/>
      <c r="G32" s="39"/>
      <c r="H32" s="39"/>
      <c r="I32" s="40">
        <v>1</v>
      </c>
      <c r="J32" s="40"/>
      <c r="K32" s="40">
        <v>2</v>
      </c>
      <c r="L32" s="40"/>
      <c r="M32" s="40">
        <v>3</v>
      </c>
      <c r="N32" s="40"/>
      <c r="O32" s="40">
        <v>4</v>
      </c>
      <c r="P32" s="40"/>
      <c r="Q32" s="40">
        <v>5</v>
      </c>
      <c r="R32" s="39"/>
      <c r="S32" s="39"/>
      <c r="T32" s="39"/>
      <c r="U32" s="39"/>
      <c r="V32" s="39"/>
      <c r="W32" s="39"/>
      <c r="X32" s="39"/>
      <c r="Y32" s="39"/>
      <c r="Z32" s="16"/>
      <c r="AA32" s="16"/>
      <c r="AB32" s="16"/>
    </row>
    <row r="33" ht="25.5" customHeight="1" spans="2:28" x14ac:dyDescent="0.25">
      <c r="B33" s="16"/>
      <c r="C33" s="81"/>
      <c r="D33" s="39"/>
      <c r="E33" s="37"/>
      <c r="F33" s="39"/>
      <c r="G33" s="37"/>
      <c r="H33" s="39"/>
      <c r="I33" s="82" t="s">
        <v>46</v>
      </c>
      <c r="J33" s="39"/>
      <c r="K33" s="37"/>
      <c r="L33" s="39"/>
      <c r="M33" s="37"/>
      <c r="N33" s="39"/>
      <c r="O33" s="37"/>
      <c r="P33" s="39"/>
      <c r="Q33" s="37"/>
      <c r="R33" s="39"/>
      <c r="S33" s="37"/>
      <c r="T33" s="39"/>
      <c r="U33" s="37"/>
      <c r="V33" s="39"/>
      <c r="W33" s="37">
        <f>U33*C33</f>
        <v>0</v>
      </c>
      <c r="X33" s="39"/>
      <c r="Y33" s="37"/>
      <c r="Z33" s="37"/>
      <c r="AA33" s="37"/>
      <c r="AB33" s="16"/>
    </row>
    <row r="34" ht="25.5" customHeight="1" spans="2:28" x14ac:dyDescent="0.25">
      <c r="B34" s="16"/>
      <c r="C34" s="81"/>
      <c r="D34" s="39"/>
      <c r="E34" s="37"/>
      <c r="F34" s="39"/>
      <c r="G34" s="37"/>
      <c r="H34" s="39"/>
      <c r="I34" s="82"/>
      <c r="J34" s="39"/>
      <c r="K34" s="37"/>
      <c r="L34" s="39"/>
      <c r="M34" s="37"/>
      <c r="N34" s="39"/>
      <c r="O34" s="37"/>
      <c r="P34" s="39"/>
      <c r="Q34" s="37"/>
      <c r="R34" s="39"/>
      <c r="S34" s="37"/>
      <c r="T34" s="39"/>
      <c r="U34" s="37"/>
      <c r="V34" s="39"/>
      <c r="W34" s="37"/>
      <c r="X34" s="39"/>
      <c r="Y34" s="37"/>
      <c r="Z34" s="37"/>
      <c r="AA34" s="37"/>
      <c r="AB34" s="16"/>
    </row>
    <row r="35" ht="25.5" customHeight="1" spans="2:28" x14ac:dyDescent="0.25">
      <c r="B35" s="16"/>
      <c r="C35" s="81"/>
      <c r="D35" s="39"/>
      <c r="E35" s="37"/>
      <c r="F35" s="39"/>
      <c r="G35" s="37"/>
      <c r="H35" s="39"/>
      <c r="I35" s="82"/>
      <c r="J35" s="39"/>
      <c r="K35" s="37"/>
      <c r="L35" s="39"/>
      <c r="M35" s="37"/>
      <c r="N35" s="39"/>
      <c r="O35" s="37"/>
      <c r="P35" s="39"/>
      <c r="Q35" s="37"/>
      <c r="R35" s="39"/>
      <c r="S35" s="37"/>
      <c r="T35" s="39"/>
      <c r="U35" s="37"/>
      <c r="V35" s="39"/>
      <c r="W35" s="37"/>
      <c r="X35" s="39"/>
      <c r="Y35" s="37"/>
      <c r="Z35" s="37"/>
      <c r="AA35" s="37"/>
      <c r="AB35" s="16"/>
    </row>
    <row r="36" ht="15" customHeight="1" spans="2:28" x14ac:dyDescent="0.25">
      <c r="B36" s="16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16"/>
      <c r="AA36" s="16"/>
      <c r="AB36" s="16"/>
    </row>
    <row r="37" ht="5.25" customHeight="1" spans="3:25" x14ac:dyDescent="0.25"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ht="15" customHeight="1" spans="2:28" x14ac:dyDescent="0.25">
      <c r="B38" s="16"/>
      <c r="C38" s="38" t="s">
        <v>50</v>
      </c>
      <c r="D38" s="39"/>
      <c r="E38" s="39"/>
      <c r="F38" s="39"/>
      <c r="G38" s="39"/>
      <c r="H38" s="39"/>
      <c r="I38" s="40">
        <v>1</v>
      </c>
      <c r="J38" s="40"/>
      <c r="K38" s="40">
        <v>2</v>
      </c>
      <c r="L38" s="40"/>
      <c r="M38" s="40">
        <v>3</v>
      </c>
      <c r="N38" s="40"/>
      <c r="O38" s="40">
        <v>4</v>
      </c>
      <c r="P38" s="40"/>
      <c r="Q38" s="40">
        <v>5</v>
      </c>
      <c r="R38" s="39"/>
      <c r="S38" s="39"/>
      <c r="T38" s="39"/>
      <c r="U38" s="39"/>
      <c r="V38" s="39"/>
      <c r="W38" s="39"/>
      <c r="X38" s="39"/>
      <c r="Y38" s="39"/>
      <c r="Z38" s="16"/>
      <c r="AA38" s="16"/>
      <c r="AB38" s="16"/>
    </row>
    <row r="39" ht="25.5" customHeight="1" spans="2:28" x14ac:dyDescent="0.25">
      <c r="B39" s="16"/>
      <c r="C39" s="81"/>
      <c r="D39" s="39"/>
      <c r="E39" s="37"/>
      <c r="F39" s="39"/>
      <c r="G39" s="37"/>
      <c r="H39" s="39"/>
      <c r="I39" s="82" t="s">
        <v>46</v>
      </c>
      <c r="J39" s="39"/>
      <c r="K39" s="37"/>
      <c r="L39" s="39"/>
      <c r="M39" s="37"/>
      <c r="N39" s="39"/>
      <c r="O39" s="37"/>
      <c r="P39" s="39"/>
      <c r="Q39" s="37"/>
      <c r="R39" s="39"/>
      <c r="S39" s="37"/>
      <c r="T39" s="39"/>
      <c r="U39" s="37"/>
      <c r="V39" s="39"/>
      <c r="W39" s="37">
        <f>U39*C39</f>
        <v>0</v>
      </c>
      <c r="X39" s="39"/>
      <c r="Y39" s="37"/>
      <c r="Z39" s="37"/>
      <c r="AA39" s="37"/>
      <c r="AB39" s="16"/>
    </row>
    <row r="40" ht="25.5" customHeight="1" spans="2:28" x14ac:dyDescent="0.25">
      <c r="B40" s="16"/>
      <c r="C40" s="81"/>
      <c r="D40" s="39"/>
      <c r="E40" s="37"/>
      <c r="F40" s="39"/>
      <c r="G40" s="37"/>
      <c r="H40" s="39"/>
      <c r="I40" s="82"/>
      <c r="J40" s="39"/>
      <c r="K40" s="37"/>
      <c r="L40" s="39"/>
      <c r="M40" s="37"/>
      <c r="N40" s="39"/>
      <c r="O40" s="37"/>
      <c r="P40" s="39"/>
      <c r="Q40" s="37"/>
      <c r="R40" s="39"/>
      <c r="S40" s="37"/>
      <c r="T40" s="39"/>
      <c r="U40" s="37"/>
      <c r="V40" s="39"/>
      <c r="W40" s="37"/>
      <c r="X40" s="39"/>
      <c r="Y40" s="37"/>
      <c r="Z40" s="37"/>
      <c r="AA40" s="37"/>
      <c r="AB40" s="16"/>
    </row>
    <row r="41" ht="25.5" customHeight="1" spans="2:28" x14ac:dyDescent="0.25">
      <c r="B41" s="16"/>
      <c r="C41" s="81"/>
      <c r="D41" s="39"/>
      <c r="E41" s="37"/>
      <c r="F41" s="39"/>
      <c r="G41" s="37"/>
      <c r="H41" s="39"/>
      <c r="I41" s="82"/>
      <c r="J41" s="39"/>
      <c r="K41" s="37"/>
      <c r="L41" s="39"/>
      <c r="M41" s="37"/>
      <c r="N41" s="39"/>
      <c r="O41" s="37"/>
      <c r="P41" s="39"/>
      <c r="Q41" s="37"/>
      <c r="R41" s="39"/>
      <c r="S41" s="37"/>
      <c r="T41" s="39"/>
      <c r="U41" s="37"/>
      <c r="V41" s="39"/>
      <c r="W41" s="37"/>
      <c r="X41" s="39"/>
      <c r="Y41" s="37"/>
      <c r="Z41" s="37"/>
      <c r="AA41" s="37"/>
      <c r="AB41" s="16"/>
    </row>
    <row r="42" ht="15" customHeight="1" spans="2:28" x14ac:dyDescent="0.2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39"/>
      <c r="Z42" s="16"/>
      <c r="AA42" s="16"/>
      <c r="AB42" s="16"/>
    </row>
    <row r="43" spans="3:5" x14ac:dyDescent="0.25">
      <c r="C43" s="12" t="s">
        <v>51</v>
      </c>
      <c r="D43" s="49" t="s">
        <v>52</v>
      </c>
      <c r="E43" s="83">
        <f>SUM(C15,C21,C27,C33,C39)</f>
        <v>0</v>
      </c>
    </row>
    <row r="44" spans="3:23" x14ac:dyDescent="0.25">
      <c r="C44" s="49"/>
      <c r="W44" s="49"/>
    </row>
    <row r="45" ht="15" customHeight="1" spans="3:25" x14ac:dyDescent="0.25">
      <c r="C45" s="51"/>
      <c r="D45" s="52"/>
      <c r="E45" s="52" t="s">
        <v>53</v>
      </c>
      <c r="F45" s="52"/>
      <c r="G45" s="52"/>
      <c r="H45" s="52"/>
      <c r="I45" s="52" t="s">
        <v>65</v>
      </c>
      <c r="J45" s="52"/>
      <c r="K45" s="52"/>
      <c r="L45" s="52"/>
      <c r="M45" s="52"/>
      <c r="P45" s="52"/>
      <c r="U45" s="52" t="s">
        <v>66</v>
      </c>
      <c r="V45" s="52"/>
      <c r="W45" s="52"/>
      <c r="X45" s="52"/>
      <c r="Y45" s="52"/>
    </row>
    <row r="46" ht="50.25" customHeight="1" spans="3:27" x14ac:dyDescent="0.25">
      <c r="C46" s="55" t="s">
        <v>67</v>
      </c>
      <c r="D46" s="55"/>
      <c r="E46" s="56"/>
      <c r="F46" s="56"/>
      <c r="G46" s="57"/>
      <c r="H46" s="57"/>
      <c r="I46" s="84"/>
      <c r="J46" s="84"/>
      <c r="K46" s="84"/>
      <c r="L46" s="84"/>
      <c r="M46" s="84"/>
      <c r="N46" s="84"/>
      <c r="O46" s="84"/>
      <c r="P46" s="57"/>
      <c r="U46" s="84"/>
      <c r="V46" s="84"/>
      <c r="W46" s="84"/>
      <c r="X46" s="84"/>
      <c r="Y46" s="84"/>
      <c r="Z46" s="84"/>
      <c r="AA46" s="84"/>
    </row>
    <row r="47" ht="50.25" customHeight="1" spans="3:27" x14ac:dyDescent="0.25">
      <c r="C47" s="55" t="s">
        <v>56</v>
      </c>
      <c r="D47" s="55"/>
      <c r="E47" s="60"/>
      <c r="F47" s="60"/>
      <c r="G47" s="57"/>
      <c r="H47" s="57"/>
      <c r="I47" s="85"/>
      <c r="J47" s="85"/>
      <c r="K47" s="85"/>
      <c r="L47" s="85"/>
      <c r="M47" s="85"/>
      <c r="N47" s="85"/>
      <c r="O47" s="85"/>
      <c r="P47" s="57"/>
      <c r="U47" s="85"/>
      <c r="V47" s="85"/>
      <c r="W47" s="85"/>
      <c r="X47" s="85"/>
      <c r="Y47" s="85"/>
      <c r="Z47" s="85"/>
      <c r="AA47" s="85"/>
    </row>
    <row r="48" ht="50.25" customHeight="1" spans="3:27" x14ac:dyDescent="0.25">
      <c r="C48" s="55" t="s">
        <v>68</v>
      </c>
      <c r="D48" s="55"/>
      <c r="E48" s="60"/>
      <c r="F48" s="60"/>
      <c r="G48" s="57"/>
      <c r="H48" s="57"/>
      <c r="I48" s="85"/>
      <c r="J48" s="85"/>
      <c r="K48" s="85"/>
      <c r="L48" s="85"/>
      <c r="M48" s="85"/>
      <c r="N48" s="85"/>
      <c r="O48" s="85"/>
      <c r="P48" s="57"/>
      <c r="U48" s="85"/>
      <c r="V48" s="85"/>
      <c r="W48" s="85"/>
      <c r="X48" s="85"/>
      <c r="Y48" s="85"/>
      <c r="Z48" s="85"/>
      <c r="AA48" s="85"/>
    </row>
    <row r="49" spans="3:16" x14ac:dyDescent="0.25"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</row>
  </sheetData>
  <mergeCells count="85">
    <mergeCell ref="R2:W2"/>
    <mergeCell ref="Y2:AA2"/>
    <mergeCell ref="R3:W3"/>
    <mergeCell ref="Y3:AA5"/>
    <mergeCell ref="R4:W4"/>
    <mergeCell ref="R5:W5"/>
    <mergeCell ref="R6:W6"/>
    <mergeCell ref="Y6:AA6"/>
    <mergeCell ref="I9:Q9"/>
    <mergeCell ref="Y9:AB12"/>
    <mergeCell ref="G9:G12"/>
    <mergeCell ref="S9:S12"/>
    <mergeCell ref="U9:U12"/>
    <mergeCell ref="W9:W12"/>
    <mergeCell ref="B11:C12"/>
    <mergeCell ref="E11:E12"/>
    <mergeCell ref="Y15:AA17"/>
    <mergeCell ref="C15:C17"/>
    <mergeCell ref="E15:E17"/>
    <mergeCell ref="G15:G17"/>
    <mergeCell ref="I15:I17"/>
    <mergeCell ref="K15:K17"/>
    <mergeCell ref="M15:M17"/>
    <mergeCell ref="O15:O17"/>
    <mergeCell ref="Q15:Q17"/>
    <mergeCell ref="S15:S17"/>
    <mergeCell ref="U15:U17"/>
    <mergeCell ref="W15:W17"/>
    <mergeCell ref="Y21:AA23"/>
    <mergeCell ref="C21:C23"/>
    <mergeCell ref="E21:E23"/>
    <mergeCell ref="G21:G23"/>
    <mergeCell ref="I21:I23"/>
    <mergeCell ref="K21:K23"/>
    <mergeCell ref="M21:M23"/>
    <mergeCell ref="O21:O23"/>
    <mergeCell ref="Q21:Q23"/>
    <mergeCell ref="S21:S23"/>
    <mergeCell ref="U21:U23"/>
    <mergeCell ref="W21:W23"/>
    <mergeCell ref="Y27:AA29"/>
    <mergeCell ref="C27:C29"/>
    <mergeCell ref="E27:E29"/>
    <mergeCell ref="G27:G29"/>
    <mergeCell ref="I27:I29"/>
    <mergeCell ref="K27:K29"/>
    <mergeCell ref="M27:M29"/>
    <mergeCell ref="O27:O29"/>
    <mergeCell ref="Q27:Q29"/>
    <mergeCell ref="S27:S29"/>
    <mergeCell ref="U27:U29"/>
    <mergeCell ref="W27:W29"/>
    <mergeCell ref="Y33:AA35"/>
    <mergeCell ref="C33:C35"/>
    <mergeCell ref="E33:E35"/>
    <mergeCell ref="G33:G35"/>
    <mergeCell ref="I33:I35"/>
    <mergeCell ref="K33:K35"/>
    <mergeCell ref="M33:M35"/>
    <mergeCell ref="O33:O35"/>
    <mergeCell ref="Q33:Q35"/>
    <mergeCell ref="S33:S35"/>
    <mergeCell ref="U33:U35"/>
    <mergeCell ref="W33:W35"/>
    <mergeCell ref="Y39:AA41"/>
    <mergeCell ref="C39:C41"/>
    <mergeCell ref="E39:E41"/>
    <mergeCell ref="G39:G41"/>
    <mergeCell ref="I39:I41"/>
    <mergeCell ref="K39:K41"/>
    <mergeCell ref="M39:M41"/>
    <mergeCell ref="O39:O41"/>
    <mergeCell ref="Q39:Q41"/>
    <mergeCell ref="S39:S41"/>
    <mergeCell ref="U39:U41"/>
    <mergeCell ref="W39:W41"/>
    <mergeCell ref="C46:D46"/>
    <mergeCell ref="I46:O46"/>
    <mergeCell ref="U46:AA46"/>
    <mergeCell ref="C47:D47"/>
    <mergeCell ref="I47:O47"/>
    <mergeCell ref="U47:AA47"/>
    <mergeCell ref="C48:D48"/>
    <mergeCell ref="I48:O48"/>
    <mergeCell ref="U48:AA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85"/>
  <sheetFormatPr defaultRowHeight="15" outlineLevelRow="0" outlineLevelCol="0" x14ac:dyDescent="55"/>
  <cols>
    <col min="2" max="2" width="6" customWidth="1"/>
    <col min="3" max="3" width="10" customWidth="1"/>
    <col min="4" max="4" width="3" customWidth="1"/>
    <col min="5" max="5" width="66" customWidth="1"/>
    <col min="6" max="6" width="3" customWidth="1"/>
    <col min="7" max="7" width="56" customWidth="1"/>
    <col min="8" max="11" width="59" customWidth="1"/>
    <col min="12" max="12" width="3" customWidth="1"/>
    <col min="13" max="13" width="27" customWidth="1"/>
    <col min="14" max="14" width="3" customWidth="1"/>
    <col min="15" max="15" width="139" customWidth="1"/>
    <col min="16" max="16" width="17" customWidth="1"/>
    <col min="17" max="17" width="24" customWidth="1"/>
    <col min="18" max="19" width="17" customWidth="1"/>
    <col min="20" max="20" width="15" customWidth="1"/>
    <col min="21" max="21" width="5" customWidth="1"/>
    <col min="22" max="16384" width="17" customWidth="1"/>
  </cols>
  <sheetData>
    <row r="3" ht="15" customHeight="1" spans="17:19" x14ac:dyDescent="0.25">
      <c r="Q3" s="72"/>
      <c r="S3" s="12"/>
    </row>
    <row r="4" ht="21" customHeight="1" spans="10:19" x14ac:dyDescent="0.25">
      <c r="J4" s="12" t="s">
        <v>11</v>
      </c>
      <c r="K4" s="86"/>
      <c r="L4" s="86"/>
      <c r="M4" s="86"/>
      <c r="O4" s="15" t="s">
        <v>33</v>
      </c>
      <c r="Q4" s="87"/>
      <c r="S4" s="12"/>
    </row>
    <row r="5" ht="21" customHeight="1" spans="10:19" x14ac:dyDescent="0.25">
      <c r="J5" s="12" t="s">
        <v>15</v>
      </c>
      <c r="K5" s="86"/>
      <c r="L5" s="86"/>
      <c r="M5" s="86"/>
      <c r="O5" s="17">
        <f>M83/G83</f>
        <v>3</v>
      </c>
      <c r="Q5" s="87"/>
      <c r="S5" s="12"/>
    </row>
    <row r="6" ht="21" customHeight="1" spans="10:19" x14ac:dyDescent="0.25">
      <c r="J6" s="12" t="s">
        <v>34</v>
      </c>
      <c r="K6" s="86"/>
      <c r="L6" s="86"/>
      <c r="M6" s="86"/>
      <c r="O6" s="17"/>
      <c r="P6" s="88">
        <f>O5</f>
        <v>3</v>
      </c>
      <c r="Q6" s="87"/>
      <c r="S6" s="12"/>
    </row>
    <row r="7" ht="21" customHeight="1" spans="10:19" x14ac:dyDescent="0.25">
      <c r="J7" s="12" t="s">
        <v>22</v>
      </c>
      <c r="K7" s="86"/>
      <c r="L7" s="86"/>
      <c r="M7" s="86"/>
      <c r="O7" s="17"/>
      <c r="S7" s="12"/>
    </row>
    <row r="8" ht="21" customHeight="1" spans="10:15" x14ac:dyDescent="0.25">
      <c r="J8" s="12" t="s">
        <v>25</v>
      </c>
      <c r="K8" s="86"/>
      <c r="L8" s="86"/>
      <c r="M8" s="86"/>
      <c r="O8" s="89"/>
    </row>
    <row r="11" spans="3:7" x14ac:dyDescent="0.25">
      <c r="C11" s="49" t="s">
        <v>69</v>
      </c>
      <c r="E11" s="49" t="s">
        <v>70</v>
      </c>
      <c r="F11" s="49"/>
      <c r="G11" s="49"/>
    </row>
    <row r="12" ht="24" customHeight="1" spans="4:15" x14ac:dyDescent="0.25">
      <c r="D12" s="90"/>
      <c r="E12" s="91" t="s">
        <v>71</v>
      </c>
      <c r="F12" s="91"/>
      <c r="G12" s="91"/>
      <c r="H12" s="91"/>
      <c r="I12" s="91"/>
      <c r="J12" s="91"/>
      <c r="K12" s="91"/>
      <c r="O12" s="92"/>
    </row>
    <row r="13" spans="2:15" x14ac:dyDescent="0.25">
      <c r="B13" s="93"/>
      <c r="C13" s="93"/>
      <c r="D13" s="49"/>
      <c r="E13" s="94" t="s">
        <v>72</v>
      </c>
      <c r="F13" s="49"/>
      <c r="G13" s="94" t="s">
        <v>73</v>
      </c>
      <c r="H13" s="94"/>
      <c r="I13" s="94"/>
      <c r="J13" s="94"/>
      <c r="K13" s="94"/>
      <c r="M13" s="94" t="s">
        <v>74</v>
      </c>
      <c r="O13" s="94" t="s">
        <v>75</v>
      </c>
    </row>
    <row r="14" spans="2:15" x14ac:dyDescent="0.25">
      <c r="B14" s="93"/>
      <c r="C14" s="93"/>
      <c r="D14" s="95"/>
      <c r="E14" s="93"/>
      <c r="F14" s="95"/>
      <c r="G14" s="93">
        <v>1</v>
      </c>
      <c r="H14" s="93">
        <v>2</v>
      </c>
      <c r="I14" s="93">
        <v>3</v>
      </c>
      <c r="J14" s="93">
        <v>4</v>
      </c>
      <c r="K14" s="93">
        <v>5</v>
      </c>
      <c r="M14" s="93"/>
      <c r="O14" s="93"/>
    </row>
    <row r="15" ht="16.5" customHeight="1" spans="2:15" x14ac:dyDescent="0.25">
      <c r="B15" s="12"/>
      <c r="C15" s="12"/>
      <c r="D15" s="49"/>
      <c r="E15" s="96"/>
      <c r="F15" s="49"/>
      <c r="G15" s="97" t="s">
        <v>76</v>
      </c>
      <c r="H15" s="97" t="s">
        <v>77</v>
      </c>
      <c r="I15" s="97" t="s">
        <v>78</v>
      </c>
      <c r="J15" s="97" t="s">
        <v>79</v>
      </c>
      <c r="K15" s="97" t="s">
        <v>80</v>
      </c>
      <c r="M15" s="98"/>
      <c r="O15" s="92"/>
    </row>
    <row r="16" spans="2:15" x14ac:dyDescent="0.25">
      <c r="B16" s="99">
        <f>IF(M16&gt;0,1,IF(M16=0,0))</f>
        <v>1</v>
      </c>
      <c r="C16" s="99"/>
      <c r="D16" s="98"/>
      <c r="E16" s="100"/>
      <c r="F16" s="98"/>
      <c r="G16" s="101" t="s">
        <v>81</v>
      </c>
      <c r="H16" s="101" t="s">
        <v>82</v>
      </c>
      <c r="I16" s="101" t="s">
        <v>83</v>
      </c>
      <c r="J16" s="101" t="s">
        <v>84</v>
      </c>
      <c r="K16" s="101" t="s">
        <v>85</v>
      </c>
      <c r="M16" s="100">
        <v>3</v>
      </c>
      <c r="O16" s="100"/>
    </row>
    <row r="17" spans="2:15" x14ac:dyDescent="0.25">
      <c r="B17" s="99"/>
      <c r="C17" s="99"/>
      <c r="D17" s="98"/>
      <c r="E17" s="100"/>
      <c r="F17" s="98"/>
      <c r="G17" s="101"/>
      <c r="H17" s="101"/>
      <c r="I17" s="101"/>
      <c r="J17" s="101"/>
      <c r="K17" s="101"/>
      <c r="M17" s="100"/>
      <c r="O17" s="100"/>
    </row>
    <row r="18" spans="2:15" x14ac:dyDescent="0.25">
      <c r="B18" s="99"/>
      <c r="C18" s="99"/>
      <c r="D18" s="98"/>
      <c r="E18" s="100"/>
      <c r="F18" s="98"/>
      <c r="G18" s="101"/>
      <c r="H18" s="101"/>
      <c r="I18" s="101"/>
      <c r="J18" s="101"/>
      <c r="K18" s="101"/>
      <c r="M18" s="100"/>
      <c r="O18" s="100"/>
    </row>
    <row r="19" ht="26.25" customHeight="1" spans="2:15" x14ac:dyDescent="0.25">
      <c r="B19" s="99"/>
      <c r="C19" s="99"/>
      <c r="D19" s="98"/>
      <c r="E19" s="100"/>
      <c r="F19" s="98"/>
      <c r="G19" s="101"/>
      <c r="H19" s="101"/>
      <c r="I19" s="101"/>
      <c r="J19" s="101"/>
      <c r="K19" s="101"/>
      <c r="M19" s="100"/>
      <c r="O19" s="100"/>
    </row>
    <row r="20" ht="4.5" customHeight="1" spans="2:15" x14ac:dyDescent="0.25">
      <c r="B20" s="98"/>
      <c r="C20" s="98"/>
      <c r="D20" s="98"/>
      <c r="E20" s="98"/>
      <c r="F20" s="98"/>
      <c r="G20" s="102"/>
      <c r="H20" s="102"/>
      <c r="I20" s="102"/>
      <c r="J20" s="102"/>
      <c r="K20" s="102"/>
      <c r="M20" s="98"/>
      <c r="O20" s="92"/>
    </row>
    <row r="21" ht="15" customHeight="1" spans="2:15" x14ac:dyDescent="0.25">
      <c r="B21" s="99">
        <f>IF(M21&gt;0,1,IF(M21=0,0))</f>
        <v>0</v>
      </c>
      <c r="C21" s="99"/>
      <c r="D21" s="98"/>
      <c r="E21" s="100"/>
      <c r="F21" s="98"/>
      <c r="G21" s="101" t="s">
        <v>81</v>
      </c>
      <c r="H21" s="101" t="s">
        <v>82</v>
      </c>
      <c r="I21" s="101" t="s">
        <v>83</v>
      </c>
      <c r="J21" s="101" t="s">
        <v>84</v>
      </c>
      <c r="K21" s="101" t="s">
        <v>85</v>
      </c>
      <c r="M21" s="100"/>
      <c r="O21" s="100"/>
    </row>
    <row r="22" ht="15.5" customHeight="1" spans="2:20" x14ac:dyDescent="0.25">
      <c r="B22" s="99"/>
      <c r="C22" s="99"/>
      <c r="D22" s="98"/>
      <c r="E22" s="100"/>
      <c r="F22" s="98"/>
      <c r="G22" s="101"/>
      <c r="H22" s="101"/>
      <c r="I22" s="101"/>
      <c r="J22" s="101"/>
      <c r="K22" s="101"/>
      <c r="L22" s="103"/>
      <c r="M22" s="100"/>
      <c r="N22" s="104"/>
      <c r="O22" s="100"/>
      <c r="P22" s="103"/>
      <c r="Q22" s="105"/>
      <c r="R22" s="105"/>
      <c r="S22" s="105"/>
      <c r="T22" s="106"/>
    </row>
    <row r="23" spans="2:15" x14ac:dyDescent="0.25">
      <c r="B23" s="99"/>
      <c r="C23" s="99"/>
      <c r="D23" s="98"/>
      <c r="E23" s="100"/>
      <c r="F23" s="98"/>
      <c r="G23" s="101"/>
      <c r="H23" s="101"/>
      <c r="I23" s="101"/>
      <c r="J23" s="101"/>
      <c r="K23" s="101"/>
      <c r="M23" s="100"/>
      <c r="O23" s="100"/>
    </row>
    <row r="24" ht="26.25" customHeight="1" spans="2:15" x14ac:dyDescent="0.25">
      <c r="B24" s="99"/>
      <c r="C24" s="99"/>
      <c r="D24" s="98"/>
      <c r="E24" s="100"/>
      <c r="F24" s="98"/>
      <c r="G24" s="101"/>
      <c r="H24" s="101"/>
      <c r="I24" s="101"/>
      <c r="J24" s="101"/>
      <c r="K24" s="101"/>
      <c r="M24" s="100"/>
      <c r="O24" s="100"/>
    </row>
    <row r="25" ht="4.5" customHeight="1" spans="2:15" x14ac:dyDescent="0.25">
      <c r="B25" s="98"/>
      <c r="C25" s="98"/>
      <c r="D25" s="98"/>
      <c r="E25" s="98"/>
      <c r="F25" s="98"/>
      <c r="G25" s="102"/>
      <c r="H25" s="102"/>
      <c r="I25" s="102"/>
      <c r="J25" s="102"/>
      <c r="K25" s="102"/>
      <c r="M25" s="98"/>
      <c r="O25" s="92"/>
    </row>
    <row r="26" ht="15" customHeight="1" spans="2:15" x14ac:dyDescent="0.25">
      <c r="B26" s="99">
        <f>IF(M26&gt;0,1,IF(M26=0,0))</f>
        <v>0</v>
      </c>
      <c r="C26" s="99"/>
      <c r="D26" s="98"/>
      <c r="E26" s="100"/>
      <c r="F26" s="98"/>
      <c r="G26" s="101" t="s">
        <v>81</v>
      </c>
      <c r="H26" s="101" t="s">
        <v>82</v>
      </c>
      <c r="I26" s="101" t="s">
        <v>83</v>
      </c>
      <c r="J26" s="101" t="s">
        <v>84</v>
      </c>
      <c r="K26" s="101" t="s">
        <v>85</v>
      </c>
      <c r="M26" s="100"/>
      <c r="O26" s="100"/>
    </row>
    <row r="27" spans="2:15" x14ac:dyDescent="0.25">
      <c r="B27" s="99"/>
      <c r="C27" s="99"/>
      <c r="D27" s="98"/>
      <c r="E27" s="100"/>
      <c r="F27" s="98"/>
      <c r="G27" s="101"/>
      <c r="H27" s="101"/>
      <c r="I27" s="101"/>
      <c r="J27" s="101"/>
      <c r="K27" s="101"/>
      <c r="M27" s="100"/>
      <c r="O27" s="100"/>
    </row>
    <row r="28" spans="2:15" x14ac:dyDescent="0.25">
      <c r="B28" s="99"/>
      <c r="C28" s="99"/>
      <c r="D28" s="98"/>
      <c r="E28" s="100"/>
      <c r="F28" s="98"/>
      <c r="G28" s="101"/>
      <c r="H28" s="101"/>
      <c r="I28" s="101"/>
      <c r="J28" s="101"/>
      <c r="K28" s="101"/>
      <c r="M28" s="100"/>
      <c r="O28" s="100"/>
    </row>
    <row r="29" ht="26.25" customHeight="1" spans="2:15" x14ac:dyDescent="0.25">
      <c r="B29" s="99"/>
      <c r="C29" s="99"/>
      <c r="D29" s="98"/>
      <c r="E29" s="100"/>
      <c r="F29" s="98"/>
      <c r="G29" s="101"/>
      <c r="H29" s="101"/>
      <c r="I29" s="101"/>
      <c r="J29" s="101"/>
      <c r="K29" s="101"/>
      <c r="M29" s="100"/>
      <c r="O29" s="100"/>
    </row>
    <row r="30" spans="13:15" x14ac:dyDescent="0.25">
      <c r="M30" s="98"/>
      <c r="O30" s="92"/>
    </row>
    <row r="31" spans="3:15" x14ac:dyDescent="0.25">
      <c r="C31" s="49" t="s">
        <v>86</v>
      </c>
      <c r="D31" s="49"/>
      <c r="E31" s="49" t="s">
        <v>87</v>
      </c>
      <c r="M31" s="98"/>
      <c r="O31" s="92"/>
    </row>
    <row r="32" spans="13:15" x14ac:dyDescent="0.25">
      <c r="M32" s="98"/>
      <c r="O32" s="92"/>
    </row>
    <row r="33" spans="2:15" x14ac:dyDescent="0.25">
      <c r="B33" s="93"/>
      <c r="C33" s="93"/>
      <c r="D33" s="49"/>
      <c r="E33" s="94" t="s">
        <v>72</v>
      </c>
      <c r="F33" s="49"/>
      <c r="G33" s="94" t="s">
        <v>73</v>
      </c>
      <c r="H33" s="94"/>
      <c r="I33" s="94"/>
      <c r="J33" s="94"/>
      <c r="K33" s="94"/>
      <c r="M33" s="94" t="s">
        <v>74</v>
      </c>
      <c r="O33" s="94" t="s">
        <v>75</v>
      </c>
    </row>
    <row r="34" spans="2:15" x14ac:dyDescent="0.25">
      <c r="B34" s="93"/>
      <c r="C34" s="93"/>
      <c r="D34" s="95"/>
      <c r="E34" s="93"/>
      <c r="F34" s="95"/>
      <c r="G34" s="93">
        <v>1</v>
      </c>
      <c r="H34" s="93">
        <v>2</v>
      </c>
      <c r="I34" s="93">
        <v>3</v>
      </c>
      <c r="J34" s="93">
        <v>4</v>
      </c>
      <c r="K34" s="93">
        <v>5</v>
      </c>
      <c r="M34" s="93"/>
      <c r="O34" s="93"/>
    </row>
    <row r="35" spans="2:15" x14ac:dyDescent="0.25">
      <c r="B35" s="107"/>
      <c r="C35" s="107"/>
      <c r="D35" s="12"/>
      <c r="E35" s="96"/>
      <c r="F35" s="12"/>
      <c r="G35" s="97" t="s">
        <v>76</v>
      </c>
      <c r="H35" s="97" t="s">
        <v>77</v>
      </c>
      <c r="I35" s="97" t="s">
        <v>78</v>
      </c>
      <c r="J35" s="97" t="s">
        <v>79</v>
      </c>
      <c r="K35" s="97" t="s">
        <v>80</v>
      </c>
      <c r="M35" s="98"/>
      <c r="O35" s="92"/>
    </row>
    <row r="36" ht="15" customHeight="1" spans="2:15" x14ac:dyDescent="0.25">
      <c r="B36" s="99">
        <f>IF(M36&gt;0,1,IF(M36=0,0))</f>
        <v>0</v>
      </c>
      <c r="C36" s="99"/>
      <c r="D36" s="98"/>
      <c r="E36" s="108" t="s">
        <v>88</v>
      </c>
      <c r="F36" s="98"/>
      <c r="G36" s="109" t="s">
        <v>89</v>
      </c>
      <c r="H36" s="109" t="s">
        <v>90</v>
      </c>
      <c r="I36" s="109" t="s">
        <v>91</v>
      </c>
      <c r="J36" s="109" t="s">
        <v>92</v>
      </c>
      <c r="K36" s="109" t="s">
        <v>93</v>
      </c>
      <c r="M36" s="100"/>
      <c r="O36" s="110"/>
    </row>
    <row r="37" spans="2:15" x14ac:dyDescent="0.25">
      <c r="B37" s="99"/>
      <c r="C37" s="99"/>
      <c r="D37" s="98"/>
      <c r="E37" s="108"/>
      <c r="F37" s="98"/>
      <c r="G37" s="109"/>
      <c r="H37" s="109"/>
      <c r="I37" s="109"/>
      <c r="J37" s="109"/>
      <c r="K37" s="109"/>
      <c r="M37" s="100"/>
      <c r="O37" s="110"/>
    </row>
    <row r="38" spans="2:15" x14ac:dyDescent="0.25">
      <c r="B38" s="99"/>
      <c r="C38" s="99"/>
      <c r="D38" s="98"/>
      <c r="E38" s="108"/>
      <c r="F38" s="98"/>
      <c r="G38" s="109"/>
      <c r="H38" s="109"/>
      <c r="I38" s="109"/>
      <c r="J38" s="109"/>
      <c r="K38" s="109"/>
      <c r="M38" s="100"/>
      <c r="O38" s="110"/>
    </row>
    <row r="39" spans="2:15" x14ac:dyDescent="0.25">
      <c r="B39" s="99"/>
      <c r="C39" s="99"/>
      <c r="D39" s="98"/>
      <c r="E39" s="108"/>
      <c r="F39" s="98"/>
      <c r="G39" s="111" t="s">
        <v>94</v>
      </c>
      <c r="H39" s="111" t="s">
        <v>94</v>
      </c>
      <c r="I39" s="111" t="s">
        <v>94</v>
      </c>
      <c r="J39" s="111" t="s">
        <v>94</v>
      </c>
      <c r="K39" s="111" t="s">
        <v>94</v>
      </c>
      <c r="M39" s="100"/>
      <c r="O39" s="110"/>
    </row>
    <row r="40" ht="31.5" customHeight="1" spans="2:15" x14ac:dyDescent="0.25">
      <c r="B40" s="99"/>
      <c r="C40" s="99"/>
      <c r="D40" s="98"/>
      <c r="E40" s="108"/>
      <c r="F40" s="98"/>
      <c r="G40" s="112" t="s">
        <v>95</v>
      </c>
      <c r="H40" s="112" t="s">
        <v>96</v>
      </c>
      <c r="I40" s="112" t="s">
        <v>97</v>
      </c>
      <c r="J40" s="112" t="s">
        <v>98</v>
      </c>
      <c r="K40" s="112" t="s">
        <v>99</v>
      </c>
      <c r="M40" s="100"/>
      <c r="O40" s="110"/>
    </row>
    <row r="41" ht="21" customHeight="1" spans="2:15" x14ac:dyDescent="0.25">
      <c r="B41" s="99"/>
      <c r="C41" s="99"/>
      <c r="D41" s="98"/>
      <c r="E41" s="108"/>
      <c r="F41" s="98"/>
      <c r="G41" s="113" t="s">
        <v>100</v>
      </c>
      <c r="H41" s="113" t="s">
        <v>101</v>
      </c>
      <c r="I41" s="113" t="s">
        <v>102</v>
      </c>
      <c r="J41" s="113" t="s">
        <v>103</v>
      </c>
      <c r="K41" s="113" t="s">
        <v>104</v>
      </c>
      <c r="M41" s="100"/>
      <c r="O41" s="110"/>
    </row>
    <row r="42" ht="31.5" customHeight="1" spans="2:15" x14ac:dyDescent="0.25">
      <c r="B42" s="99"/>
      <c r="C42" s="99"/>
      <c r="D42" s="98"/>
      <c r="E42" s="108"/>
      <c r="F42" s="98"/>
      <c r="G42" s="114" t="s">
        <v>105</v>
      </c>
      <c r="H42" s="114" t="s">
        <v>106</v>
      </c>
      <c r="I42" s="114" t="s">
        <v>107</v>
      </c>
      <c r="J42" s="114" t="s">
        <v>108</v>
      </c>
      <c r="K42" s="114" t="s">
        <v>109</v>
      </c>
      <c r="M42" s="100"/>
      <c r="O42" s="110"/>
    </row>
    <row r="43" ht="6" customHeight="1" spans="2:15" x14ac:dyDescent="0.25">
      <c r="B43" s="92"/>
      <c r="C43" s="92"/>
      <c r="G43" s="46"/>
      <c r="H43" s="46"/>
      <c r="I43" s="46"/>
      <c r="J43" s="46"/>
      <c r="K43" s="46"/>
      <c r="M43" s="98"/>
      <c r="O43" s="92"/>
    </row>
    <row r="44" ht="15" customHeight="1" spans="2:15" x14ac:dyDescent="0.25">
      <c r="B44" s="99">
        <f>IF(M44&gt;0,1,IF(M44=0,0))</f>
        <v>0</v>
      </c>
      <c r="C44" s="99"/>
      <c r="D44" s="98"/>
      <c r="E44" s="115" t="s">
        <v>110</v>
      </c>
      <c r="F44" s="98"/>
      <c r="G44" s="109" t="s">
        <v>111</v>
      </c>
      <c r="H44" s="109" t="s">
        <v>112</v>
      </c>
      <c r="I44" s="109" t="s">
        <v>113</v>
      </c>
      <c r="J44" s="109" t="s">
        <v>114</v>
      </c>
      <c r="K44" s="109" t="s">
        <v>115</v>
      </c>
      <c r="M44" s="100"/>
      <c r="O44" s="110"/>
    </row>
    <row r="45" spans="2:15" x14ac:dyDescent="0.25">
      <c r="B45" s="99"/>
      <c r="C45" s="99"/>
      <c r="D45" s="98"/>
      <c r="E45" s="115"/>
      <c r="F45" s="98"/>
      <c r="G45" s="109"/>
      <c r="H45" s="109"/>
      <c r="I45" s="109"/>
      <c r="J45" s="109"/>
      <c r="K45" s="109"/>
      <c r="M45" s="100"/>
      <c r="O45" s="110"/>
    </row>
    <row r="46" spans="2:15" x14ac:dyDescent="0.25">
      <c r="B46" s="99"/>
      <c r="C46" s="99"/>
      <c r="D46" s="98"/>
      <c r="E46" s="115"/>
      <c r="F46" s="98"/>
      <c r="G46" s="109"/>
      <c r="H46" s="109"/>
      <c r="I46" s="109"/>
      <c r="J46" s="109"/>
      <c r="K46" s="109"/>
      <c r="M46" s="100"/>
      <c r="O46" s="110"/>
    </row>
    <row r="47" spans="2:15" x14ac:dyDescent="0.25">
      <c r="B47" s="99"/>
      <c r="C47" s="99"/>
      <c r="D47" s="98"/>
      <c r="E47" s="115"/>
      <c r="F47" s="98"/>
      <c r="G47" s="111" t="s">
        <v>94</v>
      </c>
      <c r="H47" s="111" t="s">
        <v>94</v>
      </c>
      <c r="I47" s="111" t="s">
        <v>94</v>
      </c>
      <c r="J47" s="111" t="s">
        <v>94</v>
      </c>
      <c r="K47" s="111" t="s">
        <v>94</v>
      </c>
      <c r="M47" s="100"/>
      <c r="O47" s="110"/>
    </row>
    <row r="48" ht="31.5" customHeight="1" spans="2:15" x14ac:dyDescent="0.25">
      <c r="B48" s="99"/>
      <c r="C48" s="99"/>
      <c r="D48" s="98"/>
      <c r="E48" s="115"/>
      <c r="F48" s="98"/>
      <c r="G48" s="112" t="s">
        <v>116</v>
      </c>
      <c r="H48" s="112" t="s">
        <v>117</v>
      </c>
      <c r="I48" s="112" t="s">
        <v>118</v>
      </c>
      <c r="J48" s="112" t="s">
        <v>119</v>
      </c>
      <c r="K48" s="112" t="s">
        <v>120</v>
      </c>
      <c r="M48" s="100"/>
      <c r="O48" s="110"/>
    </row>
    <row r="49" ht="31.5" customHeight="1" spans="2:15" x14ac:dyDescent="0.25">
      <c r="B49" s="99"/>
      <c r="C49" s="99"/>
      <c r="D49" s="98"/>
      <c r="E49" s="115"/>
      <c r="F49" s="98"/>
      <c r="G49" s="113" t="s">
        <v>121</v>
      </c>
      <c r="H49" s="113" t="s">
        <v>122</v>
      </c>
      <c r="I49" s="113" t="s">
        <v>123</v>
      </c>
      <c r="J49" s="113" t="s">
        <v>124</v>
      </c>
      <c r="K49" s="113" t="s">
        <v>125</v>
      </c>
      <c r="M49" s="100"/>
      <c r="O49" s="110"/>
    </row>
    <row r="50" ht="42" customHeight="1" spans="2:15" x14ac:dyDescent="0.25">
      <c r="B50" s="99"/>
      <c r="C50" s="99"/>
      <c r="D50" s="98"/>
      <c r="E50" s="115"/>
      <c r="F50" s="98"/>
      <c r="G50" s="114" t="s">
        <v>126</v>
      </c>
      <c r="H50" s="114" t="s">
        <v>127</v>
      </c>
      <c r="I50" s="114" t="s">
        <v>128</v>
      </c>
      <c r="J50" s="114" t="s">
        <v>129</v>
      </c>
      <c r="K50" s="114" t="s">
        <v>130</v>
      </c>
      <c r="M50" s="100"/>
      <c r="O50" s="110"/>
    </row>
    <row r="51" ht="6" customHeight="1" spans="2:15" x14ac:dyDescent="0.25">
      <c r="B51" s="92"/>
      <c r="C51" s="92"/>
      <c r="G51" s="46"/>
      <c r="H51" s="46"/>
      <c r="I51" s="46"/>
      <c r="J51" s="46"/>
      <c r="K51" s="46"/>
      <c r="M51" s="98"/>
      <c r="O51" s="92"/>
    </row>
    <row r="52" spans="2:15" x14ac:dyDescent="0.25">
      <c r="B52" s="99">
        <f>IF(M52&gt;0,1,IF(M52=0,0))</f>
        <v>0</v>
      </c>
      <c r="C52" s="99"/>
      <c r="D52" s="98"/>
      <c r="E52" s="115" t="s">
        <v>131</v>
      </c>
      <c r="F52" s="98"/>
      <c r="G52" s="109" t="s">
        <v>132</v>
      </c>
      <c r="H52" s="109" t="s">
        <v>133</v>
      </c>
      <c r="I52" s="109" t="s">
        <v>134</v>
      </c>
      <c r="J52" s="109" t="s">
        <v>135</v>
      </c>
      <c r="K52" s="109" t="s">
        <v>136</v>
      </c>
      <c r="M52" s="100"/>
      <c r="O52" s="100"/>
    </row>
    <row r="53" spans="2:15" x14ac:dyDescent="0.25">
      <c r="B53" s="99"/>
      <c r="C53" s="99"/>
      <c r="D53" s="98"/>
      <c r="E53" s="115"/>
      <c r="F53" s="98"/>
      <c r="G53" s="109"/>
      <c r="H53" s="109"/>
      <c r="I53" s="109"/>
      <c r="J53" s="109"/>
      <c r="K53" s="109"/>
      <c r="M53" s="100"/>
      <c r="O53" s="100"/>
    </row>
    <row r="54" spans="2:15" x14ac:dyDescent="0.25">
      <c r="B54" s="99"/>
      <c r="C54" s="99"/>
      <c r="D54" s="98"/>
      <c r="E54" s="115"/>
      <c r="F54" s="98"/>
      <c r="G54" s="109"/>
      <c r="H54" s="109"/>
      <c r="I54" s="109"/>
      <c r="J54" s="109"/>
      <c r="K54" s="109"/>
      <c r="M54" s="100"/>
      <c r="O54" s="100"/>
    </row>
    <row r="55" spans="2:15" x14ac:dyDescent="0.25">
      <c r="B55" s="99"/>
      <c r="C55" s="99"/>
      <c r="D55" s="98"/>
      <c r="E55" s="115"/>
      <c r="F55" s="98"/>
      <c r="G55" s="111" t="s">
        <v>94</v>
      </c>
      <c r="H55" s="111" t="s">
        <v>94</v>
      </c>
      <c r="I55" s="111" t="s">
        <v>94</v>
      </c>
      <c r="J55" s="111" t="s">
        <v>94</v>
      </c>
      <c r="K55" s="111" t="s">
        <v>94</v>
      </c>
      <c r="M55" s="100"/>
      <c r="O55" s="100"/>
    </row>
    <row r="56" ht="31.5" customHeight="1" spans="2:15" x14ac:dyDescent="0.25">
      <c r="B56" s="99"/>
      <c r="C56" s="99"/>
      <c r="D56" s="98"/>
      <c r="E56" s="115"/>
      <c r="F56" s="98"/>
      <c r="G56" s="112" t="s">
        <v>137</v>
      </c>
      <c r="H56" s="112" t="s">
        <v>138</v>
      </c>
      <c r="I56" s="112" t="s">
        <v>139</v>
      </c>
      <c r="J56" s="112" t="s">
        <v>140</v>
      </c>
      <c r="K56" s="112" t="s">
        <v>141</v>
      </c>
      <c r="M56" s="100"/>
      <c r="O56" s="100"/>
    </row>
    <row r="57" ht="21" customHeight="1" spans="2:15" x14ac:dyDescent="0.25">
      <c r="B57" s="99"/>
      <c r="C57" s="99"/>
      <c r="D57" s="98"/>
      <c r="E57" s="115"/>
      <c r="F57" s="98"/>
      <c r="G57" s="113" t="s">
        <v>142</v>
      </c>
      <c r="H57" s="113" t="s">
        <v>143</v>
      </c>
      <c r="I57" s="113" t="s">
        <v>144</v>
      </c>
      <c r="J57" s="113" t="s">
        <v>145</v>
      </c>
      <c r="K57" s="113" t="s">
        <v>146</v>
      </c>
      <c r="M57" s="100"/>
      <c r="O57" s="100"/>
    </row>
    <row r="58" ht="21" customHeight="1" spans="2:15" x14ac:dyDescent="0.25">
      <c r="B58" s="99"/>
      <c r="C58" s="99"/>
      <c r="D58" s="98"/>
      <c r="E58" s="115"/>
      <c r="F58" s="98"/>
      <c r="G58" s="114" t="s">
        <v>147</v>
      </c>
      <c r="H58" s="114" t="s">
        <v>148</v>
      </c>
      <c r="I58" s="114" t="s">
        <v>149</v>
      </c>
      <c r="J58" s="114" t="s">
        <v>150</v>
      </c>
      <c r="K58" s="114" t="s">
        <v>151</v>
      </c>
      <c r="M58" s="100"/>
      <c r="O58" s="100"/>
    </row>
    <row r="59" ht="6" customHeight="1" spans="2:15" x14ac:dyDescent="0.25">
      <c r="B59" s="92"/>
      <c r="C59" s="92"/>
      <c r="G59" s="46"/>
      <c r="H59" s="46"/>
      <c r="I59" s="46"/>
      <c r="J59" s="46"/>
      <c r="K59" s="46"/>
      <c r="M59" s="98"/>
      <c r="O59" s="92"/>
    </row>
    <row r="60" ht="66" customHeight="1" spans="13:15" x14ac:dyDescent="0.25">
      <c r="M60" s="98"/>
      <c r="O60" s="92"/>
    </row>
    <row r="61" spans="3:15" x14ac:dyDescent="0.25">
      <c r="C61" s="49" t="s">
        <v>152</v>
      </c>
      <c r="D61" s="49"/>
      <c r="E61" s="49" t="s">
        <v>153</v>
      </c>
      <c r="M61" s="98"/>
      <c r="O61" s="92"/>
    </row>
    <row r="62" spans="13:15" x14ac:dyDescent="0.25">
      <c r="M62" s="98"/>
      <c r="O62" s="92"/>
    </row>
    <row r="63" spans="2:15" x14ac:dyDescent="0.25">
      <c r="B63" s="93"/>
      <c r="C63" s="93"/>
      <c r="D63" s="49"/>
      <c r="E63" s="94" t="s">
        <v>72</v>
      </c>
      <c r="F63" s="49"/>
      <c r="G63" s="94" t="s">
        <v>73</v>
      </c>
      <c r="H63" s="94"/>
      <c r="I63" s="94"/>
      <c r="J63" s="94"/>
      <c r="K63" s="94"/>
      <c r="M63" s="94" t="s">
        <v>74</v>
      </c>
      <c r="O63" s="94" t="s">
        <v>75</v>
      </c>
    </row>
    <row r="64" spans="2:15" x14ac:dyDescent="0.25">
      <c r="B64" s="93"/>
      <c r="C64" s="93"/>
      <c r="D64" s="95"/>
      <c r="E64" s="93"/>
      <c r="F64" s="95"/>
      <c r="G64" s="93">
        <v>1</v>
      </c>
      <c r="H64" s="93">
        <v>2</v>
      </c>
      <c r="I64" s="93">
        <v>3</v>
      </c>
      <c r="J64" s="93">
        <v>4</v>
      </c>
      <c r="K64" s="93">
        <v>5</v>
      </c>
      <c r="M64" s="93"/>
      <c r="O64" s="93"/>
    </row>
    <row r="65" spans="2:15" x14ac:dyDescent="0.25">
      <c r="B65" s="107"/>
      <c r="C65" s="107"/>
      <c r="D65" s="12"/>
      <c r="E65" s="96"/>
      <c r="F65" s="12"/>
      <c r="G65" s="97" t="s">
        <v>76</v>
      </c>
      <c r="H65" s="97" t="s">
        <v>77</v>
      </c>
      <c r="I65" s="97" t="s">
        <v>78</v>
      </c>
      <c r="J65" s="97" t="s">
        <v>79</v>
      </c>
      <c r="K65" s="97" t="s">
        <v>80</v>
      </c>
      <c r="M65" s="98"/>
      <c r="O65" s="92"/>
    </row>
    <row r="66" ht="15" customHeight="1" spans="2:15" x14ac:dyDescent="0.25">
      <c r="B66" s="99">
        <f>IF(M66&gt;0,1,IF(M66=0,0))</f>
        <v>0</v>
      </c>
      <c r="C66" s="99"/>
      <c r="D66" s="98"/>
      <c r="E66" s="115" t="s">
        <v>154</v>
      </c>
      <c r="F66" s="98"/>
      <c r="G66" s="109" t="s">
        <v>155</v>
      </c>
      <c r="H66" s="109" t="s">
        <v>156</v>
      </c>
      <c r="I66" s="109" t="s">
        <v>157</v>
      </c>
      <c r="J66" s="109" t="s">
        <v>158</v>
      </c>
      <c r="K66" s="109" t="s">
        <v>159</v>
      </c>
      <c r="M66" s="100"/>
      <c r="O66" s="100"/>
    </row>
    <row r="67" spans="2:15" x14ac:dyDescent="0.25">
      <c r="B67" s="99"/>
      <c r="C67" s="99"/>
      <c r="D67" s="98"/>
      <c r="E67" s="115"/>
      <c r="F67" s="98"/>
      <c r="G67" s="109"/>
      <c r="H67" s="109"/>
      <c r="I67" s="109"/>
      <c r="J67" s="109"/>
      <c r="K67" s="109"/>
      <c r="M67" s="100"/>
      <c r="O67" s="100"/>
    </row>
    <row r="68" spans="2:15" x14ac:dyDescent="0.25">
      <c r="B68" s="99"/>
      <c r="C68" s="99"/>
      <c r="D68" s="98"/>
      <c r="E68" s="115"/>
      <c r="F68" s="98"/>
      <c r="G68" s="109"/>
      <c r="H68" s="109"/>
      <c r="I68" s="109"/>
      <c r="J68" s="109"/>
      <c r="K68" s="109"/>
      <c r="M68" s="100"/>
      <c r="O68" s="100"/>
    </row>
    <row r="69" spans="2:15" x14ac:dyDescent="0.25">
      <c r="B69" s="99"/>
      <c r="C69" s="99"/>
      <c r="D69" s="98"/>
      <c r="E69" s="115"/>
      <c r="F69" s="98"/>
      <c r="G69" s="111" t="s">
        <v>94</v>
      </c>
      <c r="H69" s="111" t="s">
        <v>94</v>
      </c>
      <c r="I69" s="111" t="s">
        <v>94</v>
      </c>
      <c r="J69" s="111" t="s">
        <v>94</v>
      </c>
      <c r="K69" s="111" t="s">
        <v>94</v>
      </c>
      <c r="M69" s="100"/>
      <c r="O69" s="100"/>
    </row>
    <row r="70" ht="31.5" customHeight="1" spans="2:15" x14ac:dyDescent="0.25">
      <c r="B70" s="99"/>
      <c r="C70" s="99"/>
      <c r="D70" s="98"/>
      <c r="E70" s="115"/>
      <c r="F70" s="98"/>
      <c r="G70" s="112" t="s">
        <v>160</v>
      </c>
      <c r="H70" s="112" t="s">
        <v>161</v>
      </c>
      <c r="I70" s="112" t="s">
        <v>162</v>
      </c>
      <c r="J70" s="112" t="s">
        <v>163</v>
      </c>
      <c r="K70" s="112" t="s">
        <v>164</v>
      </c>
      <c r="M70" s="100"/>
      <c r="O70" s="100"/>
    </row>
    <row r="71" ht="31.5" customHeight="1" spans="2:15" x14ac:dyDescent="0.25">
      <c r="B71" s="99"/>
      <c r="C71" s="99"/>
      <c r="D71" s="98"/>
      <c r="E71" s="115"/>
      <c r="F71" s="98"/>
      <c r="G71" s="113" t="s">
        <v>165</v>
      </c>
      <c r="H71" s="113" t="s">
        <v>166</v>
      </c>
      <c r="I71" s="113" t="s">
        <v>167</v>
      </c>
      <c r="J71" s="113" t="s">
        <v>168</v>
      </c>
      <c r="K71" s="113" t="s">
        <v>169</v>
      </c>
      <c r="M71" s="100"/>
      <c r="O71" s="100"/>
    </row>
    <row r="72" ht="42" customHeight="1" spans="2:15" x14ac:dyDescent="0.25">
      <c r="B72" s="99"/>
      <c r="C72" s="99"/>
      <c r="D72" s="98"/>
      <c r="E72" s="115"/>
      <c r="F72" s="98"/>
      <c r="G72" s="114" t="s">
        <v>170</v>
      </c>
      <c r="H72" s="114" t="s">
        <v>171</v>
      </c>
      <c r="I72" s="114" t="s">
        <v>172</v>
      </c>
      <c r="J72" s="114" t="s">
        <v>173</v>
      </c>
      <c r="K72" s="114" t="s">
        <v>174</v>
      </c>
      <c r="M72" s="100"/>
      <c r="O72" s="100"/>
    </row>
    <row r="73" ht="5.25" customHeight="1" spans="2:15" x14ac:dyDescent="0.25">
      <c r="B73" s="92"/>
      <c r="C73" s="92"/>
      <c r="G73" s="46"/>
      <c r="H73" s="46"/>
      <c r="I73" s="46"/>
      <c r="J73" s="46"/>
      <c r="K73" s="46"/>
      <c r="M73" s="98"/>
      <c r="O73" s="92"/>
    </row>
    <row r="74" spans="2:15" x14ac:dyDescent="0.25">
      <c r="B74" s="99">
        <f>IF(M74&gt;0,1,IF(M74=0,0))</f>
        <v>0</v>
      </c>
      <c r="C74" s="99"/>
      <c r="D74" s="98"/>
      <c r="E74" s="115" t="s">
        <v>175</v>
      </c>
      <c r="F74" s="98"/>
      <c r="G74" s="109" t="s">
        <v>176</v>
      </c>
      <c r="H74" s="109" t="s">
        <v>177</v>
      </c>
      <c r="I74" s="109" t="s">
        <v>178</v>
      </c>
      <c r="J74" s="109" t="s">
        <v>179</v>
      </c>
      <c r="K74" s="109" t="s">
        <v>180</v>
      </c>
      <c r="M74" s="100"/>
      <c r="O74" s="110"/>
    </row>
    <row r="75" spans="2:15" x14ac:dyDescent="0.25">
      <c r="B75" s="99"/>
      <c r="C75" s="99"/>
      <c r="D75" s="98"/>
      <c r="E75" s="115"/>
      <c r="F75" s="98"/>
      <c r="G75" s="109"/>
      <c r="H75" s="109"/>
      <c r="I75" s="109"/>
      <c r="J75" s="109"/>
      <c r="K75" s="109"/>
      <c r="M75" s="100"/>
      <c r="O75" s="110"/>
    </row>
    <row r="76" ht="42" customHeight="1" spans="2:15" x14ac:dyDescent="0.25">
      <c r="B76" s="99"/>
      <c r="C76" s="99"/>
      <c r="D76" s="98"/>
      <c r="E76" s="115"/>
      <c r="F76" s="98"/>
      <c r="G76" s="109"/>
      <c r="H76" s="109"/>
      <c r="I76" s="109"/>
      <c r="J76" s="109"/>
      <c r="K76" s="109"/>
      <c r="M76" s="100"/>
      <c r="O76" s="110"/>
    </row>
    <row r="77" spans="2:15" x14ac:dyDescent="0.25">
      <c r="B77" s="99"/>
      <c r="C77" s="99"/>
      <c r="D77" s="98"/>
      <c r="E77" s="115"/>
      <c r="F77" s="98"/>
      <c r="G77" s="111" t="s">
        <v>94</v>
      </c>
      <c r="H77" s="111" t="s">
        <v>94</v>
      </c>
      <c r="I77" s="111" t="s">
        <v>94</v>
      </c>
      <c r="J77" s="111" t="s">
        <v>94</v>
      </c>
      <c r="K77" s="111" t="s">
        <v>94</v>
      </c>
      <c r="M77" s="100"/>
      <c r="O77" s="110"/>
    </row>
    <row r="78" ht="31.5" customHeight="1" spans="2:15" x14ac:dyDescent="0.25">
      <c r="B78" s="99"/>
      <c r="C78" s="99"/>
      <c r="D78" s="98"/>
      <c r="E78" s="115"/>
      <c r="F78" s="98"/>
      <c r="G78" s="112" t="s">
        <v>181</v>
      </c>
      <c r="H78" s="112" t="s">
        <v>182</v>
      </c>
      <c r="I78" s="112" t="s">
        <v>183</v>
      </c>
      <c r="J78" s="112" t="s">
        <v>184</v>
      </c>
      <c r="K78" s="112" t="s">
        <v>185</v>
      </c>
      <c r="M78" s="100"/>
      <c r="O78" s="110"/>
    </row>
    <row r="79" ht="31.5" customHeight="1" spans="2:15" x14ac:dyDescent="0.25">
      <c r="B79" s="99"/>
      <c r="C79" s="99"/>
      <c r="D79" s="98"/>
      <c r="E79" s="115"/>
      <c r="F79" s="98"/>
      <c r="G79" s="113" t="s">
        <v>186</v>
      </c>
      <c r="H79" s="113" t="s">
        <v>187</v>
      </c>
      <c r="I79" s="113" t="s">
        <v>188</v>
      </c>
      <c r="J79" s="113" t="s">
        <v>189</v>
      </c>
      <c r="K79" s="113" t="s">
        <v>190</v>
      </c>
      <c r="M79" s="100"/>
      <c r="O79" s="110"/>
    </row>
    <row r="80" ht="31.5" customHeight="1" spans="2:15" x14ac:dyDescent="0.25">
      <c r="B80" s="99"/>
      <c r="C80" s="99"/>
      <c r="D80" s="98"/>
      <c r="E80" s="115"/>
      <c r="F80" s="98"/>
      <c r="G80" s="114" t="s">
        <v>191</v>
      </c>
      <c r="H80" s="114" t="s">
        <v>192</v>
      </c>
      <c r="I80" s="114" t="s">
        <v>193</v>
      </c>
      <c r="J80" s="114" t="s">
        <v>194</v>
      </c>
      <c r="K80" s="114" t="s">
        <v>195</v>
      </c>
      <c r="M80" s="100"/>
      <c r="O80" s="110"/>
    </row>
    <row r="81" ht="5.25" customHeight="1" spans="2:15" x14ac:dyDescent="0.25">
      <c r="B81" s="92"/>
      <c r="C81" s="92"/>
      <c r="G81" s="46"/>
      <c r="H81" s="46"/>
      <c r="I81" s="46"/>
      <c r="J81" s="46"/>
      <c r="K81" s="46"/>
      <c r="M81" s="98"/>
      <c r="O81" s="92"/>
    </row>
    <row r="82" spans="13:13" x14ac:dyDescent="0.25">
      <c r="M82" s="98"/>
    </row>
    <row r="83" spans="2:13" x14ac:dyDescent="0.25">
      <c r="B83" s="48"/>
      <c r="C83" s="48"/>
      <c r="D83" s="48"/>
      <c r="E83" s="49" t="s">
        <v>196</v>
      </c>
      <c r="G83" s="116">
        <f>H86+B74+B66+B52+B44+B36+B26+B21+B16</f>
        <v>1</v>
      </c>
      <c r="K83" s="49" t="s">
        <v>197</v>
      </c>
      <c r="M83" s="116">
        <f>M74+M66+M52+M44+M36+M16+M21+M26</f>
        <v>3</v>
      </c>
    </row>
    <row r="84" spans="2:4" x14ac:dyDescent="0.25">
      <c r="B84" s="117"/>
      <c r="C84" s="117"/>
      <c r="D84" s="117"/>
    </row>
    <row r="85" spans="11:13" x14ac:dyDescent="0.25">
      <c r="K85" s="49"/>
      <c r="M85" s="73"/>
    </row>
  </sheetData>
  <mergeCells count="86">
    <mergeCell ref="K4:M4"/>
    <mergeCell ref="K5:M5"/>
    <mergeCell ref="K6:M6"/>
    <mergeCell ref="O5:O7"/>
    <mergeCell ref="K7:M7"/>
    <mergeCell ref="K8:M8"/>
    <mergeCell ref="E12:K12"/>
    <mergeCell ref="B13:C13"/>
    <mergeCell ref="G13:K13"/>
    <mergeCell ref="B16:C19"/>
    <mergeCell ref="E16:E19"/>
    <mergeCell ref="G16:G19"/>
    <mergeCell ref="H16:H19"/>
    <mergeCell ref="I16:I19"/>
    <mergeCell ref="J16:J19"/>
    <mergeCell ref="K16:K19"/>
    <mergeCell ref="M16:M19"/>
    <mergeCell ref="O16:O19"/>
    <mergeCell ref="B21:C24"/>
    <mergeCell ref="E21:E24"/>
    <mergeCell ref="G21:G24"/>
    <mergeCell ref="H21:H24"/>
    <mergeCell ref="I21:I24"/>
    <mergeCell ref="J21:J24"/>
    <mergeCell ref="K21:K24"/>
    <mergeCell ref="M21:M24"/>
    <mergeCell ref="O21:O24"/>
    <mergeCell ref="B26:C29"/>
    <mergeCell ref="E26:E29"/>
    <mergeCell ref="G26:G29"/>
    <mergeCell ref="H26:H29"/>
    <mergeCell ref="I26:I29"/>
    <mergeCell ref="J26:J29"/>
    <mergeCell ref="K26:K29"/>
    <mergeCell ref="M26:M29"/>
    <mergeCell ref="O26:O29"/>
    <mergeCell ref="B33:C33"/>
    <mergeCell ref="G33:K33"/>
    <mergeCell ref="B36:C42"/>
    <mergeCell ref="E36:E42"/>
    <mergeCell ref="G36:G38"/>
    <mergeCell ref="H36:H38"/>
    <mergeCell ref="I36:I38"/>
    <mergeCell ref="J36:J38"/>
    <mergeCell ref="K36:K38"/>
    <mergeCell ref="M36:M42"/>
    <mergeCell ref="O36:O42"/>
    <mergeCell ref="B44:C50"/>
    <mergeCell ref="E44:E50"/>
    <mergeCell ref="G44:G46"/>
    <mergeCell ref="H44:H46"/>
    <mergeCell ref="I44:I46"/>
    <mergeCell ref="J44:J46"/>
    <mergeCell ref="K44:K46"/>
    <mergeCell ref="M44:M50"/>
    <mergeCell ref="O44:O50"/>
    <mergeCell ref="B52:C58"/>
    <mergeCell ref="E52:E58"/>
    <mergeCell ref="G52:G54"/>
    <mergeCell ref="H52:H54"/>
    <mergeCell ref="I52:I54"/>
    <mergeCell ref="J52:J54"/>
    <mergeCell ref="K52:K54"/>
    <mergeCell ref="M52:M58"/>
    <mergeCell ref="O52:O58"/>
    <mergeCell ref="B63:C63"/>
    <mergeCell ref="G63:K63"/>
    <mergeCell ref="B66:C72"/>
    <mergeCell ref="E66:E72"/>
    <mergeCell ref="G66:G68"/>
    <mergeCell ref="H66:H68"/>
    <mergeCell ref="I66:I68"/>
    <mergeCell ref="J66:J68"/>
    <mergeCell ref="K66:K68"/>
    <mergeCell ref="M66:M72"/>
    <mergeCell ref="O66:O72"/>
    <mergeCell ref="B74:C80"/>
    <mergeCell ref="E74:E80"/>
    <mergeCell ref="G74:G76"/>
    <mergeCell ref="H74:H76"/>
    <mergeCell ref="I74:I76"/>
    <mergeCell ref="J74:J76"/>
    <mergeCell ref="K74:K76"/>
    <mergeCell ref="M74:M80"/>
    <mergeCell ref="O74:O80"/>
    <mergeCell ref="B84:D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9"/>
  <sheetFormatPr defaultRowHeight="15" outlineLevelRow="0" outlineLevelCol="0" x14ac:dyDescent="55"/>
  <cols>
    <col min="1" max="1" width="5" customWidth="1"/>
    <col min="2" max="2" width="10" customWidth="1"/>
    <col min="3" max="3" width="7" customWidth="1"/>
    <col min="4" max="4" width="8" customWidth="1"/>
    <col min="5" max="11" width="17" customWidth="1"/>
    <col min="12" max="12" width="43" customWidth="1"/>
    <col min="13" max="13" width="13" customWidth="1"/>
    <col min="14" max="14" width="17" customWidth="1"/>
    <col min="15" max="15" width="6" customWidth="1"/>
  </cols>
  <sheetData>
    <row r="2" spans="2:14" x14ac:dyDescent="0.25">
      <c r="B2" s="118"/>
      <c r="C2" s="119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1"/>
    </row>
    <row r="3" spans="2:14" x14ac:dyDescent="0.25">
      <c r="B3" s="122"/>
      <c r="N3" s="123"/>
    </row>
    <row r="4" spans="2:14" x14ac:dyDescent="0.25">
      <c r="B4" s="122"/>
      <c r="N4" s="123"/>
    </row>
    <row r="5" spans="2:14" x14ac:dyDescent="0.25">
      <c r="B5" s="122"/>
      <c r="N5" s="123"/>
    </row>
    <row r="6" spans="2:14" x14ac:dyDescent="0.25">
      <c r="B6" s="122"/>
      <c r="N6" s="123"/>
    </row>
    <row r="7" spans="2:14" x14ac:dyDescent="0.25">
      <c r="B7" s="122"/>
      <c r="N7" s="123"/>
    </row>
    <row r="8" spans="2:14" x14ac:dyDescent="0.25">
      <c r="B8" s="122"/>
      <c r="N8" s="123"/>
    </row>
    <row r="9" spans="2:14" x14ac:dyDescent="0.25">
      <c r="B9" s="122"/>
      <c r="N9" s="123"/>
    </row>
    <row r="10" spans="2:14" x14ac:dyDescent="0.25">
      <c r="B10" s="122"/>
      <c r="N10" s="123"/>
    </row>
    <row r="11" spans="2:14" x14ac:dyDescent="0.25">
      <c r="B11" s="122"/>
      <c r="N11" s="123"/>
    </row>
    <row r="12" spans="2:14" x14ac:dyDescent="0.25">
      <c r="B12" s="122"/>
      <c r="N12" s="123"/>
    </row>
    <row r="13" spans="2:14" x14ac:dyDescent="0.25">
      <c r="B13" s="122"/>
      <c r="N13" s="123"/>
    </row>
    <row r="14" spans="2:14" x14ac:dyDescent="0.25">
      <c r="B14" s="122"/>
      <c r="N14" s="123"/>
    </row>
    <row r="15" spans="2:14" x14ac:dyDescent="0.25">
      <c r="B15" s="122"/>
      <c r="N15" s="123"/>
    </row>
    <row r="16" spans="2:14" x14ac:dyDescent="0.25">
      <c r="B16" s="122"/>
      <c r="N16" s="123"/>
    </row>
    <row r="17" ht="24" customHeight="1" spans="2:14" x14ac:dyDescent="0.25">
      <c r="B17" s="122"/>
      <c r="N17" s="123"/>
    </row>
    <row r="18" ht="19.5" customHeight="1" spans="2:14" x14ac:dyDescent="0.25">
      <c r="B18" s="124" t="s">
        <v>198</v>
      </c>
      <c r="C18" s="125" t="s">
        <v>199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3"/>
    </row>
    <row r="19" ht="19.5" customHeight="1" spans="2:14" x14ac:dyDescent="0.25">
      <c r="B19" s="124"/>
      <c r="C19" s="125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3"/>
    </row>
    <row r="20" ht="17" customHeight="1" spans="2:14" x14ac:dyDescent="0.25">
      <c r="B20" s="127"/>
      <c r="C20" s="128" t="s">
        <v>200</v>
      </c>
      <c r="D20" s="129" t="s">
        <v>201</v>
      </c>
      <c r="E20" s="130"/>
      <c r="F20" s="130"/>
      <c r="G20" s="130"/>
      <c r="H20" s="130"/>
      <c r="I20" s="130"/>
      <c r="J20" s="130"/>
      <c r="K20" s="130"/>
      <c r="L20" s="130"/>
      <c r="M20" s="130"/>
      <c r="N20" s="123"/>
    </row>
    <row r="21" ht="21" customHeight="1" spans="2:18" x14ac:dyDescent="0.25">
      <c r="B21" s="131"/>
      <c r="C21" s="132"/>
      <c r="D21" s="132">
        <v>1</v>
      </c>
      <c r="E21" s="133" t="s">
        <v>202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4"/>
      <c r="P21" s="134"/>
      <c r="Q21" s="134"/>
      <c r="R21" s="134"/>
    </row>
    <row r="22" ht="21" customHeight="1" spans="2:18" x14ac:dyDescent="0.25">
      <c r="B22" s="131"/>
      <c r="C22" s="132"/>
      <c r="D22" s="132">
        <v>2</v>
      </c>
      <c r="E22" s="133" t="s">
        <v>203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4"/>
      <c r="P22" s="134"/>
      <c r="Q22" s="134"/>
      <c r="R22" s="134"/>
    </row>
    <row r="23" ht="37.5" customHeight="1" spans="2:18" x14ac:dyDescent="0.25">
      <c r="B23" s="131"/>
      <c r="C23" s="132"/>
      <c r="D23" s="132">
        <v>3</v>
      </c>
      <c r="E23" s="133" t="s">
        <v>204</v>
      </c>
      <c r="F23" s="133"/>
      <c r="G23" s="133"/>
      <c r="H23" s="133"/>
      <c r="I23" s="133"/>
      <c r="J23" s="133"/>
      <c r="K23" s="133"/>
      <c r="L23" s="133"/>
      <c r="M23" s="133"/>
      <c r="N23" s="133"/>
      <c r="O23" s="134"/>
      <c r="P23" s="134"/>
      <c r="Q23" s="134"/>
      <c r="R23" s="134"/>
    </row>
    <row r="24" ht="16.5" customHeight="1" spans="2:18" x14ac:dyDescent="0.25">
      <c r="B24" s="135"/>
      <c r="C24" s="132"/>
      <c r="D24" s="130"/>
      <c r="E24" s="134"/>
      <c r="F24" s="134"/>
      <c r="G24" s="134"/>
      <c r="H24" s="134"/>
      <c r="I24" s="134"/>
      <c r="J24" s="134"/>
      <c r="K24" s="134"/>
      <c r="L24" s="134"/>
      <c r="M24" s="134"/>
      <c r="N24" s="136"/>
      <c r="O24" s="134"/>
      <c r="P24" s="134"/>
      <c r="Q24" s="134"/>
      <c r="R24" s="134"/>
    </row>
    <row r="25" ht="17" customHeight="1" spans="2:14" x14ac:dyDescent="0.25">
      <c r="B25" s="135"/>
      <c r="C25" s="128" t="s">
        <v>205</v>
      </c>
      <c r="D25" s="129" t="s">
        <v>206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23"/>
    </row>
    <row r="26" ht="17" customHeight="1" spans="2:14" x14ac:dyDescent="0.25">
      <c r="B26" s="131"/>
      <c r="C26" s="132"/>
      <c r="D26" s="132">
        <v>1</v>
      </c>
      <c r="E26" s="137" t="s">
        <v>207</v>
      </c>
      <c r="F26" s="130"/>
      <c r="G26" s="130"/>
      <c r="H26" s="130"/>
      <c r="I26" s="130"/>
      <c r="J26" s="130"/>
      <c r="K26" s="130"/>
      <c r="L26" s="130"/>
      <c r="M26" s="130"/>
      <c r="N26" s="123"/>
    </row>
    <row r="27" ht="17" customHeight="1" spans="2:14" x14ac:dyDescent="0.25">
      <c r="B27" s="131"/>
      <c r="C27" s="132"/>
      <c r="D27" s="132">
        <v>2</v>
      </c>
      <c r="E27" s="137" t="s">
        <v>208</v>
      </c>
      <c r="F27" s="130"/>
      <c r="G27" s="130"/>
      <c r="H27" s="130"/>
      <c r="I27" s="130"/>
      <c r="J27" s="130"/>
      <c r="K27" s="130"/>
      <c r="L27" s="130"/>
      <c r="M27" s="130"/>
      <c r="N27" s="123"/>
    </row>
    <row r="28" ht="17" customHeight="1" spans="2:14" x14ac:dyDescent="0.25">
      <c r="B28" s="131"/>
      <c r="C28" s="132"/>
      <c r="D28" s="132">
        <v>3</v>
      </c>
      <c r="E28" s="137" t="s">
        <v>209</v>
      </c>
      <c r="F28" s="130"/>
      <c r="G28" s="130"/>
      <c r="H28" s="130"/>
      <c r="I28" s="130"/>
      <c r="J28" s="130"/>
      <c r="K28" s="130"/>
      <c r="L28" s="130"/>
      <c r="M28" s="130"/>
      <c r="N28" s="123"/>
    </row>
    <row r="29" ht="17" customHeight="1" spans="2:14" x14ac:dyDescent="0.25">
      <c r="B29" s="131"/>
      <c r="C29" s="132"/>
      <c r="D29" s="132">
        <v>4</v>
      </c>
      <c r="E29" s="137" t="s">
        <v>210</v>
      </c>
      <c r="F29" s="130"/>
      <c r="G29" s="130"/>
      <c r="H29" s="130"/>
      <c r="I29" s="130"/>
      <c r="J29" s="130"/>
      <c r="K29" s="130"/>
      <c r="L29" s="130"/>
      <c r="M29" s="130"/>
      <c r="N29" s="123"/>
    </row>
    <row r="30" ht="17" customHeight="1" spans="2:14" x14ac:dyDescent="0.25">
      <c r="B30" s="131"/>
      <c r="C30" s="132"/>
      <c r="D30" s="132">
        <v>5</v>
      </c>
      <c r="E30" s="137" t="s">
        <v>211</v>
      </c>
      <c r="F30" s="130"/>
      <c r="G30" s="130"/>
      <c r="H30" s="130"/>
      <c r="I30" s="130"/>
      <c r="J30" s="130"/>
      <c r="K30" s="130"/>
      <c r="L30" s="130"/>
      <c r="M30" s="130"/>
      <c r="N30" s="123"/>
    </row>
    <row r="31" ht="17" customHeight="1" spans="2:14" x14ac:dyDescent="0.25">
      <c r="B31" s="131"/>
      <c r="C31" s="132"/>
      <c r="D31" s="132">
        <v>6</v>
      </c>
      <c r="E31" s="137" t="s">
        <v>212</v>
      </c>
      <c r="F31" s="130"/>
      <c r="G31" s="130"/>
      <c r="H31" s="130"/>
      <c r="I31" s="130"/>
      <c r="J31" s="130"/>
      <c r="K31" s="130"/>
      <c r="L31" s="130"/>
      <c r="M31" s="130"/>
      <c r="N31" s="123"/>
    </row>
    <row r="32" ht="17" customHeight="1" spans="2:14" x14ac:dyDescent="0.25">
      <c r="B32" s="131"/>
      <c r="C32" s="132"/>
      <c r="D32" s="132">
        <v>7</v>
      </c>
      <c r="E32" s="137" t="s">
        <v>213</v>
      </c>
      <c r="F32" s="130"/>
      <c r="G32" s="130"/>
      <c r="H32" s="130"/>
      <c r="I32" s="130"/>
      <c r="J32" s="130"/>
      <c r="K32" s="130"/>
      <c r="L32" s="130"/>
      <c r="M32" s="130"/>
      <c r="N32" s="123"/>
    </row>
    <row r="33" ht="17" customHeight="1" spans="2:14" x14ac:dyDescent="0.25">
      <c r="B33" s="131"/>
      <c r="C33" s="132"/>
      <c r="D33" s="132">
        <v>8</v>
      </c>
      <c r="E33" s="137" t="s">
        <v>214</v>
      </c>
      <c r="F33" s="130"/>
      <c r="G33" s="130"/>
      <c r="H33" s="130"/>
      <c r="I33" s="130"/>
      <c r="J33" s="130"/>
      <c r="K33" s="130"/>
      <c r="L33" s="130"/>
      <c r="M33" s="130"/>
      <c r="N33" s="123"/>
    </row>
    <row r="34" ht="17" customHeight="1" spans="2:14" x14ac:dyDescent="0.25">
      <c r="B34" s="131"/>
      <c r="C34" s="132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23"/>
    </row>
    <row r="35" ht="19.5" customHeight="1" spans="2:14" x14ac:dyDescent="0.25">
      <c r="B35" s="138" t="s">
        <v>215</v>
      </c>
      <c r="C35" s="125" t="s">
        <v>216</v>
      </c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3"/>
    </row>
    <row r="36" ht="15" customHeight="1" spans="2:14" x14ac:dyDescent="0.25">
      <c r="B36" s="138"/>
      <c r="C36" s="125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3"/>
    </row>
    <row r="37" ht="17" customHeight="1" spans="2:14" x14ac:dyDescent="0.25">
      <c r="B37" s="135"/>
      <c r="C37" s="132">
        <v>1</v>
      </c>
      <c r="D37" s="130" t="s">
        <v>217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9"/>
    </row>
    <row r="38" ht="17" customHeight="1" spans="2:14" x14ac:dyDescent="0.25">
      <c r="B38" s="135"/>
      <c r="C38" s="132">
        <v>2</v>
      </c>
      <c r="D38" s="130" t="s">
        <v>218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9"/>
    </row>
    <row r="39" ht="17" customHeight="1" spans="2:14" x14ac:dyDescent="0.25">
      <c r="B39" s="135"/>
      <c r="C39" s="132">
        <v>3</v>
      </c>
      <c r="D39" s="130" t="s">
        <v>219</v>
      </c>
      <c r="E39" s="130"/>
      <c r="F39" s="130"/>
      <c r="G39" s="130"/>
      <c r="H39" s="130"/>
      <c r="I39" s="130"/>
      <c r="J39" s="130"/>
      <c r="K39" s="130"/>
      <c r="L39" s="130"/>
      <c r="M39" s="130"/>
      <c r="N39" s="139"/>
    </row>
    <row r="40" ht="17" customHeight="1" spans="2:14" x14ac:dyDescent="0.25">
      <c r="B40" s="135"/>
      <c r="C40" s="132">
        <v>4</v>
      </c>
      <c r="D40" s="130" t="s">
        <v>220</v>
      </c>
      <c r="E40" s="130"/>
      <c r="F40" s="130"/>
      <c r="G40" s="130"/>
      <c r="H40" s="130"/>
      <c r="I40" s="130"/>
      <c r="J40" s="130"/>
      <c r="K40" s="130"/>
      <c r="L40" s="130"/>
      <c r="M40" s="130"/>
      <c r="N40" s="139"/>
    </row>
    <row r="41" ht="17" customHeight="1" spans="2:14" x14ac:dyDescent="0.25">
      <c r="B41" s="135"/>
      <c r="C41" s="132"/>
      <c r="D41" s="130" t="s">
        <v>221</v>
      </c>
      <c r="E41" s="130" t="s">
        <v>222</v>
      </c>
      <c r="F41" s="130"/>
      <c r="G41" s="130"/>
      <c r="H41" s="130"/>
      <c r="I41" s="130"/>
      <c r="J41" s="130"/>
      <c r="K41" s="130"/>
      <c r="L41" s="130"/>
      <c r="M41" s="130"/>
      <c r="N41" s="140"/>
    </row>
    <row r="42" ht="17" customHeight="1" spans="2:14" x14ac:dyDescent="0.25">
      <c r="B42" s="135"/>
      <c r="C42" s="132"/>
      <c r="D42" s="130" t="s">
        <v>223</v>
      </c>
      <c r="E42" s="130" t="s">
        <v>224</v>
      </c>
      <c r="F42" s="130"/>
      <c r="G42" s="130"/>
      <c r="H42" s="130"/>
      <c r="I42" s="130"/>
      <c r="J42" s="130"/>
      <c r="K42" s="130"/>
      <c r="L42" s="130"/>
      <c r="M42" s="130"/>
      <c r="N42" s="140"/>
    </row>
    <row r="43" ht="17" customHeight="1" spans="2:14" x14ac:dyDescent="0.25">
      <c r="B43" s="135"/>
      <c r="C43" s="132"/>
      <c r="D43" s="130" t="s">
        <v>225</v>
      </c>
      <c r="E43" s="130" t="s">
        <v>226</v>
      </c>
      <c r="F43" s="130"/>
      <c r="G43" s="130"/>
      <c r="H43" s="130"/>
      <c r="I43" s="130"/>
      <c r="J43" s="130"/>
      <c r="K43" s="130"/>
      <c r="L43" s="130"/>
      <c r="M43" s="130"/>
      <c r="N43" s="140"/>
    </row>
    <row r="44" ht="17" customHeight="1" spans="2:14" x14ac:dyDescent="0.25">
      <c r="B44" s="135"/>
      <c r="C44" s="132"/>
      <c r="D44" s="130" t="s">
        <v>227</v>
      </c>
      <c r="E44" s="130" t="s">
        <v>228</v>
      </c>
      <c r="F44" s="130"/>
      <c r="G44" s="130"/>
      <c r="H44" s="130"/>
      <c r="I44" s="130"/>
      <c r="J44" s="130"/>
      <c r="K44" s="130"/>
      <c r="L44" s="130"/>
      <c r="M44" s="130"/>
      <c r="N44" s="140"/>
    </row>
    <row r="45" ht="17" customHeight="1" spans="2:14" x14ac:dyDescent="0.25">
      <c r="B45" s="135"/>
      <c r="C45" s="132">
        <v>5</v>
      </c>
      <c r="D45" s="132" t="s">
        <v>229</v>
      </c>
      <c r="E45" s="130"/>
      <c r="F45" s="130"/>
      <c r="G45" s="130"/>
      <c r="H45" s="130"/>
      <c r="I45" s="130"/>
      <c r="J45" s="130"/>
      <c r="K45" s="130"/>
      <c r="L45" s="130"/>
      <c r="M45" s="130"/>
      <c r="N45" s="140"/>
    </row>
    <row r="46" ht="17" customHeight="1" spans="2:14" x14ac:dyDescent="0.25">
      <c r="B46" s="141"/>
      <c r="C46" s="142">
        <v>6</v>
      </c>
      <c r="D46" s="142" t="s">
        <v>230</v>
      </c>
      <c r="E46" s="143"/>
      <c r="F46" s="143"/>
      <c r="G46" s="143"/>
      <c r="H46" s="143"/>
      <c r="I46" s="143"/>
      <c r="J46" s="143"/>
      <c r="K46" s="143"/>
      <c r="L46" s="143"/>
      <c r="M46" s="143"/>
      <c r="N46" s="144"/>
    </row>
    <row r="47" ht="17" customHeight="1" spans="2:13" x14ac:dyDescent="0.25">
      <c r="B47" s="130"/>
      <c r="C47" s="132"/>
      <c r="D47" s="130"/>
      <c r="E47" s="130"/>
      <c r="F47" s="130"/>
      <c r="G47" s="130"/>
      <c r="H47" s="130"/>
      <c r="I47" s="130"/>
      <c r="J47" s="130"/>
      <c r="K47" s="130"/>
      <c r="L47" s="130"/>
      <c r="M47" s="130"/>
    </row>
    <row r="48" ht="17" customHeight="1" spans="2:13" x14ac:dyDescent="0.25">
      <c r="B48" s="130"/>
      <c r="C48" s="132"/>
      <c r="D48" s="130"/>
      <c r="E48" s="130"/>
      <c r="F48" s="130"/>
      <c r="G48" s="130"/>
      <c r="H48" s="130"/>
      <c r="I48" s="130"/>
      <c r="J48" s="130"/>
      <c r="K48" s="130"/>
      <c r="L48" s="130"/>
      <c r="M48" s="130"/>
    </row>
    <row r="49" ht="17" customHeight="1" spans="2:13" x14ac:dyDescent="0.25">
      <c r="B49" s="130"/>
      <c r="C49" s="132"/>
      <c r="D49" s="130"/>
      <c r="E49" s="130"/>
      <c r="F49" s="130"/>
      <c r="G49" s="130"/>
      <c r="H49" s="130"/>
      <c r="I49" s="130"/>
      <c r="J49" s="130"/>
      <c r="K49" s="130"/>
      <c r="L49" s="130"/>
      <c r="M49" s="130"/>
    </row>
    <row r="50" ht="17" customHeight="1" spans="2:13" x14ac:dyDescent="0.25">
      <c r="B50" s="130"/>
      <c r="C50" s="132"/>
      <c r="D50" s="130"/>
      <c r="E50" s="130"/>
      <c r="F50" s="130"/>
      <c r="G50" s="130"/>
      <c r="H50" s="130"/>
      <c r="I50" s="130"/>
      <c r="J50" s="130"/>
      <c r="K50" s="130"/>
      <c r="L50" s="130"/>
      <c r="M50" s="130"/>
    </row>
    <row r="51" ht="17" customHeight="1" spans="2:13" x14ac:dyDescent="0.25">
      <c r="B51" s="130"/>
      <c r="C51" s="132"/>
      <c r="D51" s="130"/>
      <c r="E51" s="130"/>
      <c r="F51" s="130"/>
      <c r="G51" s="130"/>
      <c r="H51" s="130"/>
      <c r="I51" s="130"/>
      <c r="J51" s="130"/>
      <c r="K51" s="130"/>
      <c r="L51" s="130"/>
      <c r="M51" s="130"/>
    </row>
    <row r="52" ht="17" customHeight="1" spans="2:13" x14ac:dyDescent="0.25">
      <c r="B52" s="130"/>
      <c r="C52" s="132"/>
      <c r="D52" s="130"/>
      <c r="E52" s="130"/>
      <c r="F52" s="130"/>
      <c r="G52" s="130"/>
      <c r="H52" s="130"/>
      <c r="I52" s="130"/>
      <c r="J52" s="130"/>
      <c r="K52" s="130"/>
      <c r="L52" s="130"/>
      <c r="M52" s="130"/>
    </row>
    <row r="53" ht="17" customHeight="1" spans="2:13" x14ac:dyDescent="0.25">
      <c r="B53" s="130"/>
      <c r="C53" s="132"/>
      <c r="D53" s="130"/>
      <c r="E53" s="130"/>
      <c r="F53" s="130"/>
      <c r="G53" s="130"/>
      <c r="H53" s="130"/>
      <c r="I53" s="130"/>
      <c r="J53" s="130"/>
      <c r="K53" s="130"/>
      <c r="L53" s="130"/>
      <c r="M53" s="130"/>
    </row>
    <row r="54" ht="17" customHeight="1" spans="2:13" x14ac:dyDescent="0.25">
      <c r="B54" s="130"/>
      <c r="C54" s="132"/>
      <c r="D54" s="130"/>
      <c r="E54" s="130"/>
      <c r="F54" s="130"/>
      <c r="G54" s="130"/>
      <c r="H54" s="130"/>
      <c r="I54" s="130"/>
      <c r="J54" s="130"/>
      <c r="K54" s="130"/>
      <c r="L54" s="130"/>
      <c r="M54" s="130"/>
    </row>
    <row r="55" ht="17" customHeight="1" spans="2:13" x14ac:dyDescent="0.25">
      <c r="B55" s="130"/>
      <c r="C55" s="132"/>
      <c r="D55" s="130"/>
      <c r="E55" s="130"/>
      <c r="F55" s="130"/>
      <c r="G55" s="130"/>
      <c r="H55" s="130"/>
      <c r="I55" s="130"/>
      <c r="J55" s="130"/>
      <c r="K55" s="130"/>
      <c r="L55" s="130"/>
      <c r="M55" s="130"/>
    </row>
    <row r="56" ht="17" customHeight="1" spans="2:13" x14ac:dyDescent="0.25">
      <c r="B56" s="130"/>
      <c r="C56" s="132"/>
      <c r="D56" s="130"/>
      <c r="E56" s="130"/>
      <c r="F56" s="130"/>
      <c r="G56" s="130"/>
      <c r="H56" s="130"/>
      <c r="I56" s="130"/>
      <c r="J56" s="130"/>
      <c r="K56" s="130"/>
      <c r="L56" s="130"/>
      <c r="M56" s="130"/>
    </row>
    <row r="57" ht="17" customHeight="1" spans="2:13" x14ac:dyDescent="0.25">
      <c r="B57" s="130"/>
      <c r="C57" s="132"/>
      <c r="D57" s="130"/>
      <c r="E57" s="130"/>
      <c r="F57" s="130"/>
      <c r="G57" s="130"/>
      <c r="H57" s="130"/>
      <c r="I57" s="130"/>
      <c r="J57" s="130"/>
      <c r="K57" s="130"/>
      <c r="L57" s="130"/>
      <c r="M57" s="130"/>
    </row>
    <row r="58" ht="17" customHeight="1" spans="2:13" x14ac:dyDescent="0.25">
      <c r="B58" s="130"/>
      <c r="C58" s="132"/>
      <c r="D58" s="130"/>
      <c r="E58" s="130"/>
      <c r="F58" s="130"/>
      <c r="G58" s="130"/>
      <c r="H58" s="130"/>
      <c r="I58" s="130"/>
      <c r="J58" s="130"/>
      <c r="K58" s="130"/>
      <c r="L58" s="130"/>
      <c r="M58" s="130"/>
    </row>
    <row r="59" ht="17" customHeight="1" spans="2:13" x14ac:dyDescent="0.25">
      <c r="B59" s="130"/>
      <c r="C59" s="132"/>
      <c r="D59" s="130"/>
      <c r="E59" s="130"/>
      <c r="F59" s="130"/>
      <c r="G59" s="130"/>
      <c r="H59" s="130"/>
      <c r="I59" s="130"/>
      <c r="J59" s="130"/>
      <c r="K59" s="130"/>
      <c r="L59" s="130"/>
      <c r="M59" s="130"/>
    </row>
  </sheetData>
  <mergeCells count="3">
    <mergeCell ref="E21:N21"/>
    <mergeCell ref="E22:N22"/>
    <mergeCell ref="E23:N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FormatPr defaultRowHeight="15" outlineLevelRow="0" outlineLevelCol="0" x14ac:dyDescent="55"/>
  <cols>
    <col min="1" max="1" width="12" customWidth="1"/>
    <col min="2" max="2" width="21" customWidth="1"/>
    <col min="3" max="3" width="33" customWidth="1"/>
    <col min="4" max="4" width="11" customWidth="1"/>
    <col min="5" max="5" width="52" customWidth="1"/>
    <col min="6" max="6" width="68" customWidth="1"/>
    <col min="7" max="7" width="73" customWidth="1"/>
    <col min="8" max="8" width="19" customWidth="1"/>
    <col min="9" max="13" width="63" customWidth="1"/>
    <col min="14" max="14" width="57" customWidth="1"/>
    <col min="15" max="16" width="37" customWidth="1"/>
    <col min="17" max="17" width="48" customWidth="1"/>
    <col min="18" max="18" width="8" customWidth="1"/>
    <col min="19" max="19" width="39" customWidth="1"/>
    <col min="20" max="21" width="32" customWidth="1"/>
    <col min="22" max="23" width="3" customWidth="1"/>
    <col min="24" max="16384" width="17" customWidth="1"/>
  </cols>
  <sheetData>
    <row r="1" ht="27.5" customHeight="1" spans="2:23" x14ac:dyDescent="0.25">
      <c r="B1" s="145" t="s">
        <v>231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6"/>
      <c r="N1" s="147"/>
      <c r="O1" s="147"/>
      <c r="R1" s="148"/>
      <c r="S1" s="149"/>
      <c r="T1" s="150"/>
      <c r="U1" s="147"/>
      <c r="V1" s="151"/>
      <c r="W1" s="147"/>
    </row>
    <row r="2" ht="15.5" customHeight="1" spans="2:23" x14ac:dyDescent="0.25">
      <c r="B2" s="152" t="s">
        <v>232</v>
      </c>
      <c r="C2" s="153" t="s">
        <v>233</v>
      </c>
      <c r="D2" s="153"/>
      <c r="E2" s="153"/>
      <c r="H2" s="105"/>
      <c r="I2" s="105"/>
      <c r="J2" s="105"/>
      <c r="K2" s="105"/>
      <c r="L2" s="105"/>
      <c r="M2" s="105"/>
      <c r="N2" s="154"/>
      <c r="O2" s="154"/>
      <c r="R2" s="155"/>
      <c r="S2" s="155"/>
      <c r="T2" s="156"/>
      <c r="U2" s="154"/>
      <c r="V2" s="157"/>
      <c r="W2" s="154"/>
    </row>
    <row r="3" ht="16" customHeight="1" spans="3:23" x14ac:dyDescent="0.25">
      <c r="C3" s="105"/>
      <c r="D3" s="153"/>
      <c r="E3" s="153"/>
      <c r="H3" s="105"/>
      <c r="I3" s="105"/>
      <c r="J3" s="105"/>
      <c r="K3" s="105"/>
      <c r="L3" s="105"/>
      <c r="M3" s="105"/>
      <c r="N3" s="154"/>
      <c r="O3" s="154"/>
      <c r="P3" s="158"/>
      <c r="Q3" s="155"/>
      <c r="R3" s="155"/>
      <c r="S3" s="155"/>
      <c r="T3" s="156"/>
      <c r="U3" s="154"/>
      <c r="V3" s="157"/>
      <c r="W3" s="154"/>
    </row>
    <row r="4" ht="19" customHeight="1" spans="2:23" x14ac:dyDescent="0.25">
      <c r="B4" s="159" t="s">
        <v>234</v>
      </c>
      <c r="C4" s="159"/>
      <c r="D4" s="160" t="s">
        <v>52</v>
      </c>
      <c r="E4" s="160"/>
      <c r="F4" s="161"/>
      <c r="G4" s="162"/>
      <c r="H4" s="105"/>
      <c r="I4" s="105"/>
      <c r="J4" s="105"/>
      <c r="K4" s="105"/>
      <c r="L4" s="105"/>
      <c r="M4" s="105"/>
      <c r="N4" s="154"/>
      <c r="O4" s="163" t="s">
        <v>58</v>
      </c>
      <c r="P4" s="163"/>
      <c r="Q4" s="158"/>
      <c r="R4" s="158"/>
      <c r="S4" s="155"/>
      <c r="T4" s="156"/>
      <c r="U4" s="154"/>
      <c r="V4" s="157"/>
      <c r="W4" s="154"/>
    </row>
    <row r="5" ht="15.5" customHeight="1" spans="2:23" x14ac:dyDescent="0.25">
      <c r="B5" s="164" t="s">
        <v>235</v>
      </c>
      <c r="C5" s="164"/>
      <c r="D5" s="165" t="s">
        <v>52</v>
      </c>
      <c r="E5" s="165"/>
      <c r="G5" s="166"/>
      <c r="H5" s="105"/>
      <c r="I5" s="105"/>
      <c r="J5" s="105"/>
      <c r="K5" s="105"/>
      <c r="L5" s="105"/>
      <c r="M5" s="105"/>
      <c r="N5" s="154"/>
      <c r="O5" s="167">
        <f>P36</f>
        <v>5</v>
      </c>
      <c r="P5" s="167"/>
      <c r="Q5" s="158"/>
      <c r="R5" s="158"/>
      <c r="S5" s="155"/>
      <c r="T5" s="156"/>
      <c r="U5" s="154"/>
      <c r="V5" s="157"/>
      <c r="W5" s="154"/>
    </row>
    <row r="6" ht="20.15" customHeight="1" spans="2:22" x14ac:dyDescent="0.25">
      <c r="B6" s="164" t="s">
        <v>236</v>
      </c>
      <c r="C6" s="164"/>
      <c r="D6" s="165" t="s">
        <v>52</v>
      </c>
      <c r="E6" s="165"/>
      <c r="F6" s="168"/>
      <c r="G6" s="169"/>
      <c r="J6" s="170"/>
      <c r="K6" s="149"/>
      <c r="L6" s="171"/>
      <c r="M6" s="171"/>
      <c r="O6" s="167"/>
      <c r="P6" s="167"/>
      <c r="Q6" s="172"/>
      <c r="R6" s="172"/>
      <c r="S6" s="173"/>
      <c r="T6" s="173"/>
      <c r="V6" s="174"/>
    </row>
    <row r="7" ht="20.15" customHeight="1" spans="2:22" x14ac:dyDescent="0.25">
      <c r="B7" s="164" t="s">
        <v>237</v>
      </c>
      <c r="C7" s="164"/>
      <c r="D7" s="165" t="s">
        <v>52</v>
      </c>
      <c r="E7" s="165"/>
      <c r="F7" s="168"/>
      <c r="G7" s="169"/>
      <c r="J7" s="170"/>
      <c r="K7" s="149"/>
      <c r="L7" s="171"/>
      <c r="M7" s="171"/>
      <c r="O7" s="167"/>
      <c r="P7" s="167"/>
      <c r="Q7" s="172"/>
      <c r="R7" s="172"/>
      <c r="S7" s="173"/>
      <c r="T7" s="173"/>
      <c r="V7" s="174"/>
    </row>
    <row r="8" ht="20" customHeight="1" spans="2:22" x14ac:dyDescent="0.25">
      <c r="B8" s="175" t="s">
        <v>238</v>
      </c>
      <c r="C8" s="175"/>
      <c r="D8" s="176" t="s">
        <v>52</v>
      </c>
      <c r="E8" s="176"/>
      <c r="F8" s="177"/>
      <c r="G8" s="178"/>
      <c r="J8" s="170"/>
      <c r="K8" s="149"/>
      <c r="L8" s="147"/>
      <c r="M8" s="147"/>
      <c r="O8" s="179" t="str">
        <f>IF(P36&gt;=4.6,"Istimewa",IF(P36&gt;=3.6,"Sangat Memuaskan",IF(P36&gt;=2.6,"Memuaskan",IF(P36&gt;=2,"Kurang",IF(P36&lt;2,"Tidak Memuaskan")))))</f>
        <v>Istimewa</v>
      </c>
      <c r="P8" s="179"/>
      <c r="Q8" s="172"/>
      <c r="R8" s="172"/>
      <c r="S8" s="173"/>
      <c r="T8" s="173"/>
      <c r="V8" s="174"/>
    </row>
    <row r="9" ht="16.5" customHeight="1" spans="6:22" x14ac:dyDescent="0.25">
      <c r="F9" s="174"/>
      <c r="G9" s="180"/>
      <c r="J9" s="170"/>
      <c r="K9" s="149"/>
      <c r="L9" s="147"/>
      <c r="M9" s="147"/>
      <c r="O9" s="179"/>
      <c r="P9" s="179"/>
      <c r="Q9" s="181"/>
      <c r="R9" s="181"/>
      <c r="S9" s="181"/>
      <c r="T9" s="181"/>
      <c r="V9" s="174"/>
    </row>
    <row r="10" ht="20.15" customHeight="1" spans="6:22" x14ac:dyDescent="0.25">
      <c r="F10" s="180"/>
      <c r="G10" s="180"/>
      <c r="J10" s="170"/>
      <c r="K10" s="149"/>
      <c r="L10" s="171"/>
      <c r="M10" s="171"/>
      <c r="P10" s="174"/>
      <c r="Q10" s="181"/>
      <c r="R10" s="181"/>
      <c r="S10" s="181"/>
      <c r="T10" s="181"/>
      <c r="V10" s="174"/>
    </row>
    <row r="11" ht="20.15" customHeight="1" spans="2:22" x14ac:dyDescent="0.25">
      <c r="B11" s="182"/>
      <c r="F11" s="180"/>
      <c r="G11" s="180"/>
      <c r="J11" s="170"/>
      <c r="K11" s="149"/>
      <c r="L11" s="171"/>
      <c r="M11" s="171"/>
      <c r="R11" s="174"/>
      <c r="S11" s="181"/>
      <c r="T11" s="181"/>
      <c r="V11" s="174"/>
    </row>
    <row r="12" ht="36" customHeight="1" spans="2:22" x14ac:dyDescent="0.25">
      <c r="B12" s="183" t="s">
        <v>239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4"/>
      <c r="S12" s="185"/>
      <c r="T12" s="186"/>
      <c r="U12" s="187"/>
      <c r="V12" s="188"/>
    </row>
    <row r="13" ht="27.5" customHeight="1" spans="1:23" x14ac:dyDescent="0.25">
      <c r="A13" s="189"/>
      <c r="B13" s="190" t="s">
        <v>240</v>
      </c>
      <c r="C13" s="190" t="s">
        <v>241</v>
      </c>
      <c r="D13" s="190" t="s">
        <v>242</v>
      </c>
      <c r="E13" s="190"/>
      <c r="F13" s="190" t="s">
        <v>243</v>
      </c>
      <c r="G13" s="190" t="s">
        <v>244</v>
      </c>
      <c r="H13" s="190" t="s">
        <v>245</v>
      </c>
      <c r="I13" s="190" t="s">
        <v>246</v>
      </c>
      <c r="J13" s="190"/>
      <c r="K13" s="190"/>
      <c r="L13" s="190"/>
      <c r="M13" s="190"/>
      <c r="N13" s="190" t="s">
        <v>247</v>
      </c>
      <c r="O13" s="190" t="s">
        <v>248</v>
      </c>
      <c r="P13" s="190" t="s">
        <v>249</v>
      </c>
      <c r="Q13" s="191" t="s">
        <v>250</v>
      </c>
      <c r="R13" s="192"/>
      <c r="S13" s="193" t="s">
        <v>251</v>
      </c>
      <c r="T13" s="193" t="s">
        <v>252</v>
      </c>
      <c r="U13" s="193" t="s">
        <v>253</v>
      </c>
      <c r="V13" s="194"/>
      <c r="W13" s="195"/>
    </row>
    <row r="14" ht="13.5" customHeight="1" spans="1:23" x14ac:dyDescent="0.25">
      <c r="A14" s="196"/>
      <c r="B14" s="190"/>
      <c r="C14" s="190"/>
      <c r="D14" s="190"/>
      <c r="E14" s="190"/>
      <c r="F14" s="190"/>
      <c r="G14" s="190"/>
      <c r="H14" s="190"/>
      <c r="I14" s="190">
        <v>1</v>
      </c>
      <c r="J14" s="190">
        <v>2</v>
      </c>
      <c r="K14" s="190">
        <v>3</v>
      </c>
      <c r="L14" s="190">
        <v>4</v>
      </c>
      <c r="M14" s="190">
        <v>5</v>
      </c>
      <c r="N14" s="190"/>
      <c r="O14" s="190"/>
      <c r="P14" s="190"/>
      <c r="Q14" s="191"/>
      <c r="R14" s="192"/>
      <c r="S14" s="193"/>
      <c r="T14" s="193"/>
      <c r="U14" s="193"/>
      <c r="V14" s="194"/>
      <c r="W14" s="195"/>
    </row>
    <row r="15" ht="62" customHeight="1" spans="1:23" x14ac:dyDescent="0.25">
      <c r="A15" s="197"/>
      <c r="B15" s="198">
        <v>1</v>
      </c>
      <c r="C15" s="199" t="s">
        <v>254</v>
      </c>
      <c r="D15" s="199" t="s">
        <v>255</v>
      </c>
      <c r="E15" s="200" t="s">
        <v>256</v>
      </c>
      <c r="F15" s="201" t="s">
        <v>257</v>
      </c>
      <c r="G15" s="200" t="s">
        <v>258</v>
      </c>
      <c r="H15" s="202">
        <v>0.2</v>
      </c>
      <c r="I15" s="203" t="s">
        <v>259</v>
      </c>
      <c r="J15" s="203" t="s">
        <v>260</v>
      </c>
      <c r="K15" s="203" t="s">
        <v>261</v>
      </c>
      <c r="L15" s="203" t="s">
        <v>262</v>
      </c>
      <c r="M15" s="203" t="s">
        <v>263</v>
      </c>
      <c r="N15" s="203" t="s">
        <v>263</v>
      </c>
      <c r="O15" s="204">
        <v>5</v>
      </c>
      <c r="P15" s="198">
        <f>H15*O15</f>
        <v>1</v>
      </c>
      <c r="Q15" s="198" t="s">
        <v>264</v>
      </c>
      <c r="R15" s="205"/>
      <c r="S15" s="204" t="s">
        <v>265</v>
      </c>
      <c r="T15" s="206"/>
      <c r="U15" s="198"/>
      <c r="V15" s="207"/>
      <c r="W15" s="208"/>
    </row>
    <row r="16" ht="93" customHeight="1" spans="1:24" x14ac:dyDescent="0.25">
      <c r="A16" s="197"/>
      <c r="B16" s="198">
        <v>2</v>
      </c>
      <c r="C16" s="209" t="s">
        <v>266</v>
      </c>
      <c r="D16" s="209" t="s">
        <v>267</v>
      </c>
      <c r="E16" s="210" t="s">
        <v>268</v>
      </c>
      <c r="F16" s="210" t="s">
        <v>269</v>
      </c>
      <c r="G16" s="200" t="s">
        <v>270</v>
      </c>
      <c r="H16" s="211">
        <v>0.2</v>
      </c>
      <c r="I16" s="203" t="s">
        <v>271</v>
      </c>
      <c r="J16" s="203" t="s">
        <v>272</v>
      </c>
      <c r="K16" s="203" t="s">
        <v>273</v>
      </c>
      <c r="L16" s="203" t="s">
        <v>274</v>
      </c>
      <c r="M16" s="203" t="s">
        <v>275</v>
      </c>
      <c r="N16" s="203" t="s">
        <v>275</v>
      </c>
      <c r="O16" s="204">
        <v>5</v>
      </c>
      <c r="P16" s="198">
        <f>H16*O16</f>
        <v>1</v>
      </c>
      <c r="Q16" s="198" t="s">
        <v>264</v>
      </c>
      <c r="R16" s="205"/>
      <c r="S16" s="204" t="s">
        <v>276</v>
      </c>
      <c r="T16" s="206"/>
      <c r="U16" s="198"/>
      <c r="V16" s="207"/>
      <c r="W16" s="208"/>
      <c r="X16" s="208" t="s">
        <v>277</v>
      </c>
    </row>
    <row r="17" ht="62" customHeight="1" spans="1:23" x14ac:dyDescent="0.25">
      <c r="A17" s="197"/>
      <c r="B17" s="198">
        <v>3</v>
      </c>
      <c r="C17" s="212" t="s">
        <v>278</v>
      </c>
      <c r="D17" s="212" t="s">
        <v>279</v>
      </c>
      <c r="E17" s="200" t="s">
        <v>280</v>
      </c>
      <c r="F17" s="201" t="s">
        <v>281</v>
      </c>
      <c r="G17" s="200" t="s">
        <v>282</v>
      </c>
      <c r="H17" s="211">
        <v>0.2</v>
      </c>
      <c r="I17" s="203" t="s">
        <v>283</v>
      </c>
      <c r="J17" s="203" t="s">
        <v>284</v>
      </c>
      <c r="K17" s="203" t="s">
        <v>285</v>
      </c>
      <c r="L17" s="203" t="s">
        <v>286</v>
      </c>
      <c r="M17" s="203" t="s">
        <v>287</v>
      </c>
      <c r="N17" s="203" t="s">
        <v>287</v>
      </c>
      <c r="O17" s="204">
        <v>5</v>
      </c>
      <c r="P17" s="198">
        <f>H17*O17</f>
        <v>1</v>
      </c>
      <c r="Q17" s="198" t="s">
        <v>264</v>
      </c>
      <c r="R17" s="205"/>
      <c r="S17" s="204" t="s">
        <v>288</v>
      </c>
      <c r="T17" s="206"/>
      <c r="U17" s="198"/>
      <c r="V17" s="207"/>
      <c r="W17" s="208"/>
    </row>
    <row r="18" ht="77.5" customHeight="1" spans="1:23" x14ac:dyDescent="0.25">
      <c r="A18" s="197"/>
      <c r="B18" s="198">
        <v>4</v>
      </c>
      <c r="C18" s="212" t="s">
        <v>278</v>
      </c>
      <c r="D18" s="212" t="s">
        <v>289</v>
      </c>
      <c r="E18" s="200" t="s">
        <v>290</v>
      </c>
      <c r="F18" s="213" t="s">
        <v>291</v>
      </c>
      <c r="G18" s="200" t="s">
        <v>292</v>
      </c>
      <c r="H18" s="211">
        <v>0.2</v>
      </c>
      <c r="I18" s="203" t="s">
        <v>293</v>
      </c>
      <c r="J18" s="203" t="s">
        <v>294</v>
      </c>
      <c r="K18" s="203" t="s">
        <v>295</v>
      </c>
      <c r="L18" s="203" t="s">
        <v>296</v>
      </c>
      <c r="M18" s="203" t="s">
        <v>296</v>
      </c>
      <c r="N18" s="203" t="s">
        <v>296</v>
      </c>
      <c r="O18" s="203">
        <v>5</v>
      </c>
      <c r="P18" s="198">
        <f>H18*O18</f>
        <v>1</v>
      </c>
      <c r="Q18" s="198" t="s">
        <v>264</v>
      </c>
      <c r="R18" s="205"/>
      <c r="S18" s="204" t="s">
        <v>297</v>
      </c>
      <c r="T18" s="206"/>
      <c r="U18" s="198"/>
      <c r="V18" s="207"/>
      <c r="W18" s="208"/>
    </row>
    <row r="19" ht="119" customHeight="1" spans="1:23" x14ac:dyDescent="0.25">
      <c r="A19" s="197"/>
      <c r="B19" s="214">
        <v>5</v>
      </c>
      <c r="C19" s="215" t="s">
        <v>298</v>
      </c>
      <c r="D19" s="215" t="s">
        <v>299</v>
      </c>
      <c r="E19" s="201" t="s">
        <v>300</v>
      </c>
      <c r="F19" s="216" t="s">
        <v>301</v>
      </c>
      <c r="G19" s="210" t="s">
        <v>302</v>
      </c>
      <c r="H19" s="202">
        <v>0.2</v>
      </c>
      <c r="I19" s="203" t="s">
        <v>303</v>
      </c>
      <c r="J19" s="203" t="s">
        <v>304</v>
      </c>
      <c r="K19" s="203" t="s">
        <v>305</v>
      </c>
      <c r="L19" s="203" t="s">
        <v>306</v>
      </c>
      <c r="M19" s="202" t="s">
        <v>307</v>
      </c>
      <c r="N19" s="202" t="s">
        <v>307</v>
      </c>
      <c r="O19" s="204">
        <v>5</v>
      </c>
      <c r="P19" s="198">
        <f>H19*O19</f>
        <v>1</v>
      </c>
      <c r="Q19" s="198" t="s">
        <v>264</v>
      </c>
      <c r="R19" s="205"/>
      <c r="S19" s="217" t="s">
        <v>308</v>
      </c>
      <c r="T19" s="198"/>
      <c r="U19" s="198"/>
      <c r="V19" s="207"/>
      <c r="W19" s="208"/>
    </row>
    <row r="20" ht="19" customHeight="1" spans="2:23" x14ac:dyDescent="0.25">
      <c r="B20" s="208"/>
      <c r="C20" s="218"/>
      <c r="D20" s="219"/>
      <c r="E20" s="219"/>
      <c r="H20" s="220">
        <f>SUM(H15:H19)</f>
        <v>1</v>
      </c>
      <c r="I20" s="221"/>
      <c r="J20" s="221"/>
      <c r="K20" s="221"/>
      <c r="L20" s="221"/>
      <c r="M20" s="221"/>
      <c r="P20" s="222">
        <f>SUM(P15:P19)</f>
        <v>5</v>
      </c>
      <c r="W20" s="207"/>
    </row>
    <row r="21" ht="19" customHeight="1" spans="3:23" x14ac:dyDescent="0.25">
      <c r="C21" s="223"/>
      <c r="D21" s="224"/>
      <c r="E21" s="224"/>
      <c r="H21" s="225"/>
      <c r="I21" s="226"/>
      <c r="J21" s="226"/>
      <c r="K21" s="226"/>
      <c r="L21" s="226"/>
      <c r="M21" s="226"/>
      <c r="P21" s="225"/>
      <c r="W21" s="227"/>
    </row>
    <row r="22" ht="31" customHeight="1" spans="2:22" x14ac:dyDescent="0.25">
      <c r="B22" s="183" t="s">
        <v>309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228"/>
      <c r="S22" s="229"/>
      <c r="T22" s="230"/>
      <c r="U22" s="187"/>
      <c r="V22" s="188"/>
    </row>
    <row r="23" ht="27.5" customHeight="1" spans="1:23" x14ac:dyDescent="0.25">
      <c r="A23" s="231"/>
      <c r="B23" s="232" t="s">
        <v>240</v>
      </c>
      <c r="C23" s="233" t="s">
        <v>310</v>
      </c>
      <c r="D23" s="233"/>
      <c r="E23" s="233"/>
      <c r="F23" s="233" t="s">
        <v>311</v>
      </c>
      <c r="G23" s="233"/>
      <c r="H23" s="232" t="s">
        <v>245</v>
      </c>
      <c r="I23" s="232" t="s">
        <v>312</v>
      </c>
      <c r="J23" s="232"/>
      <c r="K23" s="232"/>
      <c r="L23" s="232"/>
      <c r="M23" s="232"/>
      <c r="N23" s="232" t="s">
        <v>313</v>
      </c>
      <c r="O23" s="232" t="s">
        <v>248</v>
      </c>
      <c r="P23" s="232" t="s">
        <v>249</v>
      </c>
      <c r="Q23" s="232" t="s">
        <v>314</v>
      </c>
      <c r="R23" s="234"/>
      <c r="S23" s="235" t="s">
        <v>251</v>
      </c>
      <c r="T23" s="235" t="s">
        <v>252</v>
      </c>
      <c r="U23" s="236" t="s">
        <v>253</v>
      </c>
      <c r="V23" s="237"/>
      <c r="W23" s="238"/>
    </row>
    <row r="24" ht="13.5" customHeight="1" spans="1:23" x14ac:dyDescent="0.25">
      <c r="A24" s="239"/>
      <c r="B24" s="232"/>
      <c r="C24" s="233"/>
      <c r="D24" s="233"/>
      <c r="E24" s="233"/>
      <c r="F24" s="233"/>
      <c r="G24" s="233"/>
      <c r="H24" s="232"/>
      <c r="I24" s="232">
        <v>1</v>
      </c>
      <c r="J24" s="232">
        <v>2</v>
      </c>
      <c r="K24" s="232">
        <v>3</v>
      </c>
      <c r="L24" s="232">
        <v>4</v>
      </c>
      <c r="M24" s="232">
        <v>5</v>
      </c>
      <c r="N24" s="232"/>
      <c r="O24" s="232"/>
      <c r="P24" s="232"/>
      <c r="Q24" s="232"/>
      <c r="R24" s="234"/>
      <c r="S24" s="235"/>
      <c r="T24" s="235"/>
      <c r="U24" s="236"/>
      <c r="V24" s="237"/>
      <c r="W24" s="238"/>
    </row>
    <row r="25" ht="21.5" customHeight="1" spans="2:22" x14ac:dyDescent="0.25">
      <c r="B25" s="240" t="s">
        <v>315</v>
      </c>
      <c r="C25" s="240"/>
      <c r="D25" s="240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28"/>
      <c r="S25" s="229"/>
      <c r="T25" s="230"/>
      <c r="U25" s="187"/>
      <c r="V25" s="188"/>
    </row>
    <row r="26" ht="124.5" customHeight="1" spans="1:23" x14ac:dyDescent="0.25">
      <c r="A26" s="241"/>
      <c r="B26" s="214">
        <v>1</v>
      </c>
      <c r="C26" s="242" t="s">
        <v>316</v>
      </c>
      <c r="D26" s="242"/>
      <c r="E26" s="242"/>
      <c r="F26" s="243" t="s">
        <v>317</v>
      </c>
      <c r="G26" s="243"/>
      <c r="H26" s="244">
        <v>0.2</v>
      </c>
      <c r="I26" s="245" t="s">
        <v>318</v>
      </c>
      <c r="J26" s="245" t="s">
        <v>319</v>
      </c>
      <c r="K26" s="203" t="s">
        <v>320</v>
      </c>
      <c r="L26" s="245" t="s">
        <v>321</v>
      </c>
      <c r="M26" s="245" t="s">
        <v>322</v>
      </c>
      <c r="N26" s="245" t="s">
        <v>322</v>
      </c>
      <c r="O26" s="246">
        <v>5</v>
      </c>
      <c r="P26" s="214">
        <f>H26*O26</f>
        <v>1</v>
      </c>
      <c r="Q26" s="214" t="s">
        <v>264</v>
      </c>
      <c r="R26" s="247"/>
      <c r="S26" s="248" t="s">
        <v>323</v>
      </c>
      <c r="T26" s="249"/>
      <c r="U26" s="250" t="s">
        <v>324</v>
      </c>
      <c r="W26" s="227"/>
    </row>
    <row r="27" ht="93.5" customHeight="1" spans="1:23" x14ac:dyDescent="0.25">
      <c r="A27" s="196"/>
      <c r="B27" s="198">
        <v>2</v>
      </c>
      <c r="C27" s="242" t="s">
        <v>325</v>
      </c>
      <c r="D27" s="242"/>
      <c r="E27" s="242"/>
      <c r="F27" s="251" t="s">
        <v>326</v>
      </c>
      <c r="G27" s="251"/>
      <c r="H27" s="211">
        <v>0.2</v>
      </c>
      <c r="I27" s="203" t="s">
        <v>327</v>
      </c>
      <c r="J27" s="203" t="s">
        <v>328</v>
      </c>
      <c r="K27" s="203" t="s">
        <v>329</v>
      </c>
      <c r="L27" s="203" t="s">
        <v>330</v>
      </c>
      <c r="M27" s="245" t="s">
        <v>331</v>
      </c>
      <c r="N27" s="245" t="s">
        <v>332</v>
      </c>
      <c r="O27" s="204">
        <v>5</v>
      </c>
      <c r="P27" s="214">
        <f>H27*O27</f>
        <v>1</v>
      </c>
      <c r="Q27" s="198" t="s">
        <v>264</v>
      </c>
      <c r="R27" s="247"/>
      <c r="S27" s="252" t="s">
        <v>333</v>
      </c>
      <c r="T27" s="253"/>
      <c r="U27" s="254" t="s">
        <v>324</v>
      </c>
      <c r="W27" s="195"/>
    </row>
    <row r="28" ht="20.5" customHeight="1" spans="2:22" x14ac:dyDescent="0.25">
      <c r="B28" s="240" t="s">
        <v>334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28"/>
      <c r="S28" s="229"/>
      <c r="T28" s="230"/>
      <c r="U28" s="187"/>
      <c r="V28" s="188"/>
    </row>
    <row r="29" ht="93" customHeight="1" spans="1:23" x14ac:dyDescent="0.25">
      <c r="A29" s="196"/>
      <c r="B29" s="198">
        <v>3</v>
      </c>
      <c r="C29" s="242" t="s">
        <v>335</v>
      </c>
      <c r="D29" s="242"/>
      <c r="E29" s="242"/>
      <c r="F29" s="255" t="s">
        <v>336</v>
      </c>
      <c r="G29" s="255"/>
      <c r="H29" s="202">
        <v>0.2</v>
      </c>
      <c r="I29" s="203" t="s">
        <v>337</v>
      </c>
      <c r="J29" s="203" t="s">
        <v>338</v>
      </c>
      <c r="K29" s="203" t="s">
        <v>339</v>
      </c>
      <c r="L29" s="245" t="s">
        <v>340</v>
      </c>
      <c r="M29" s="203" t="s">
        <v>341</v>
      </c>
      <c r="N29" s="203" t="s">
        <v>341</v>
      </c>
      <c r="O29" s="204">
        <v>5</v>
      </c>
      <c r="P29" s="214">
        <f>H29*O29</f>
        <v>1</v>
      </c>
      <c r="Q29" s="198" t="s">
        <v>264</v>
      </c>
      <c r="R29" s="247"/>
      <c r="S29" s="252" t="s">
        <v>323</v>
      </c>
      <c r="T29" s="253"/>
      <c r="U29" s="254" t="s">
        <v>324</v>
      </c>
      <c r="W29" s="195"/>
    </row>
    <row r="30" ht="109" customHeight="1" spans="1:23" x14ac:dyDescent="0.25">
      <c r="A30" s="196"/>
      <c r="B30" s="198">
        <v>4</v>
      </c>
      <c r="C30" s="256" t="s">
        <v>342</v>
      </c>
      <c r="D30" s="256"/>
      <c r="E30" s="256"/>
      <c r="F30" s="201" t="s">
        <v>343</v>
      </c>
      <c r="G30" s="201"/>
      <c r="H30" s="211">
        <v>0.2</v>
      </c>
      <c r="I30" s="203" t="s">
        <v>344</v>
      </c>
      <c r="J30" s="203" t="s">
        <v>345</v>
      </c>
      <c r="K30" s="257" t="s">
        <v>346</v>
      </c>
      <c r="L30" s="245" t="s">
        <v>347</v>
      </c>
      <c r="M30" s="203" t="s">
        <v>348</v>
      </c>
      <c r="N30" s="203" t="s">
        <v>349</v>
      </c>
      <c r="O30" s="204">
        <v>5</v>
      </c>
      <c r="P30" s="198">
        <f>H30*O30</f>
        <v>1</v>
      </c>
      <c r="Q30" s="198" t="s">
        <v>264</v>
      </c>
      <c r="R30" s="247"/>
      <c r="S30" s="252" t="s">
        <v>333</v>
      </c>
      <c r="T30" s="253"/>
      <c r="U30" s="254" t="s">
        <v>324</v>
      </c>
      <c r="W30" s="195"/>
    </row>
    <row r="31" ht="20.5" customHeight="1" spans="2:22" x14ac:dyDescent="0.25">
      <c r="B31" s="240" t="s">
        <v>350</v>
      </c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28"/>
      <c r="S31" s="229"/>
      <c r="T31" s="230"/>
      <c r="U31" s="187"/>
      <c r="V31" s="188"/>
    </row>
    <row r="32" ht="77.5" customHeight="1" spans="1:23" x14ac:dyDescent="0.25">
      <c r="A32" s="196"/>
      <c r="B32" s="198">
        <v>5</v>
      </c>
      <c r="C32" s="242" t="s">
        <v>351</v>
      </c>
      <c r="D32" s="242"/>
      <c r="E32" s="242"/>
      <c r="F32" s="255" t="s">
        <v>352</v>
      </c>
      <c r="G32" s="255"/>
      <c r="H32" s="211">
        <v>0.1</v>
      </c>
      <c r="I32" s="203" t="s">
        <v>353</v>
      </c>
      <c r="J32" s="203" t="s">
        <v>354</v>
      </c>
      <c r="K32" s="203" t="s">
        <v>355</v>
      </c>
      <c r="L32" s="203" t="s">
        <v>356</v>
      </c>
      <c r="M32" s="203" t="s">
        <v>357</v>
      </c>
      <c r="N32" s="203" t="s">
        <v>357</v>
      </c>
      <c r="O32" s="204">
        <v>5</v>
      </c>
      <c r="P32" s="214">
        <f>H32*O32</f>
        <v>0.5</v>
      </c>
      <c r="Q32" s="198" t="s">
        <v>264</v>
      </c>
      <c r="R32" s="247"/>
      <c r="S32" s="252" t="s">
        <v>323</v>
      </c>
      <c r="T32" s="253"/>
      <c r="U32" s="254" t="s">
        <v>324</v>
      </c>
      <c r="W32" s="195"/>
    </row>
    <row r="33" ht="109" customHeight="1" spans="1:23" x14ac:dyDescent="0.25">
      <c r="A33" s="196"/>
      <c r="B33" s="198">
        <v>6</v>
      </c>
      <c r="C33" s="242" t="s">
        <v>358</v>
      </c>
      <c r="D33" s="242"/>
      <c r="E33" s="242"/>
      <c r="F33" s="255" t="s">
        <v>359</v>
      </c>
      <c r="G33" s="255"/>
      <c r="H33" s="211">
        <v>0.1</v>
      </c>
      <c r="I33" s="203" t="s">
        <v>360</v>
      </c>
      <c r="J33" s="203" t="s">
        <v>361</v>
      </c>
      <c r="K33" s="203" t="s">
        <v>362</v>
      </c>
      <c r="L33" s="203" t="s">
        <v>363</v>
      </c>
      <c r="M33" s="203" t="s">
        <v>364</v>
      </c>
      <c r="N33" s="203" t="s">
        <v>364</v>
      </c>
      <c r="O33" s="204">
        <v>5</v>
      </c>
      <c r="P33" s="214">
        <f>H33*O33</f>
        <v>0.5</v>
      </c>
      <c r="Q33" s="198" t="s">
        <v>264</v>
      </c>
      <c r="R33" s="247"/>
      <c r="S33" s="252" t="s">
        <v>333</v>
      </c>
      <c r="T33" s="253"/>
      <c r="U33" s="254" t="s">
        <v>324</v>
      </c>
      <c r="W33" s="195"/>
    </row>
    <row r="34" ht="18.5" customHeight="1" spans="2:23" x14ac:dyDescent="0.25">
      <c r="B34" s="221"/>
      <c r="C34" s="258"/>
      <c r="D34" s="258"/>
      <c r="E34" s="258"/>
      <c r="F34" s="259"/>
      <c r="G34" s="259"/>
      <c r="H34" s="220">
        <f>H33+H32+H29+H27+H26+H30</f>
        <v>1</v>
      </c>
      <c r="I34" s="259"/>
      <c r="J34" s="259"/>
      <c r="K34" s="259"/>
      <c r="L34" s="259"/>
      <c r="M34" s="259"/>
      <c r="N34" s="260"/>
      <c r="O34" s="260"/>
      <c r="P34" s="222">
        <f>SUM(P26:P33)</f>
        <v>5</v>
      </c>
      <c r="Q34" s="221"/>
      <c r="R34" s="247"/>
      <c r="S34" s="261"/>
      <c r="T34" s="262"/>
      <c r="U34" s="263"/>
      <c r="W34" s="195"/>
    </row>
    <row r="35" ht="23" customHeight="1" spans="2:23" x14ac:dyDescent="0.25">
      <c r="B35" s="221"/>
      <c r="C35" s="258"/>
      <c r="D35" s="258"/>
      <c r="E35" s="258"/>
      <c r="F35" s="259"/>
      <c r="G35" s="259"/>
      <c r="H35" s="264"/>
      <c r="I35" s="259"/>
      <c r="J35" s="259"/>
      <c r="K35" s="259"/>
      <c r="L35" s="259"/>
      <c r="M35" s="259"/>
      <c r="N35" s="260"/>
      <c r="O35" s="260"/>
      <c r="P35" s="221"/>
      <c r="Q35" s="221"/>
      <c r="R35" s="247"/>
      <c r="S35" s="261"/>
      <c r="T35" s="262"/>
      <c r="U35" s="263"/>
      <c r="W35" s="195"/>
    </row>
    <row r="36" ht="16" customHeight="1" spans="2:23" x14ac:dyDescent="0.25">
      <c r="B36" s="265" t="s">
        <v>365</v>
      </c>
      <c r="C36" s="265"/>
      <c r="D36" s="265"/>
      <c r="E36" s="265"/>
      <c r="F36" s="259"/>
      <c r="G36" s="259"/>
      <c r="H36" s="264"/>
      <c r="I36" s="259"/>
      <c r="J36" s="259"/>
      <c r="K36" s="259"/>
      <c r="L36" s="259"/>
      <c r="M36" s="266" t="s">
        <v>366</v>
      </c>
      <c r="N36" s="266"/>
      <c r="O36" s="266"/>
      <c r="P36" s="267">
        <f>(0.6*P20)+(0.4*P34)</f>
        <v>5</v>
      </c>
      <c r="Q36" s="221"/>
      <c r="R36" s="247"/>
      <c r="S36" s="261"/>
      <c r="T36" s="262"/>
      <c r="U36" s="263"/>
      <c r="W36" s="195"/>
    </row>
    <row r="37" ht="18.5" customHeight="1" spans="2:23" x14ac:dyDescent="0.25">
      <c r="B37" s="268"/>
      <c r="C37" s="269" t="s">
        <v>367</v>
      </c>
      <c r="D37" s="270" t="s">
        <v>368</v>
      </c>
      <c r="E37" s="271"/>
      <c r="F37" s="259"/>
      <c r="G37" s="259"/>
      <c r="H37" s="264"/>
      <c r="I37" s="259"/>
      <c r="J37" s="259"/>
      <c r="K37" s="259"/>
      <c r="L37" s="259"/>
      <c r="M37" s="266"/>
      <c r="N37" s="266"/>
      <c r="O37" s="266"/>
      <c r="P37" s="267"/>
      <c r="Q37" s="221"/>
      <c r="R37" s="247"/>
      <c r="S37" s="261"/>
      <c r="T37" s="262"/>
      <c r="U37" s="263"/>
      <c r="W37" s="195"/>
    </row>
    <row r="38" ht="18" customHeight="1" spans="2:23" x14ac:dyDescent="0.25">
      <c r="B38" s="268"/>
      <c r="C38" s="269" t="s">
        <v>369</v>
      </c>
      <c r="D38" s="270" t="s">
        <v>370</v>
      </c>
      <c r="E38" s="271"/>
      <c r="F38" s="259"/>
      <c r="G38" s="259"/>
      <c r="H38" s="264"/>
      <c r="I38" s="259"/>
      <c r="J38" s="259"/>
      <c r="K38" s="259"/>
      <c r="L38" s="259"/>
      <c r="M38" s="259"/>
      <c r="N38" s="260"/>
      <c r="O38" s="260"/>
      <c r="P38" s="221"/>
      <c r="Q38" s="221"/>
      <c r="R38" s="247"/>
      <c r="S38" s="261"/>
      <c r="T38" s="262"/>
      <c r="U38" s="263"/>
      <c r="W38" s="195"/>
    </row>
    <row r="39" ht="18" customHeight="1" spans="2:23" x14ac:dyDescent="0.25">
      <c r="B39" s="268"/>
      <c r="C39" s="269" t="s">
        <v>371</v>
      </c>
      <c r="D39" s="270" t="s">
        <v>372</v>
      </c>
      <c r="E39" s="271"/>
      <c r="F39" s="259"/>
      <c r="G39" s="259"/>
      <c r="H39" s="264"/>
      <c r="I39" s="259"/>
      <c r="J39" s="259"/>
      <c r="K39" s="259"/>
      <c r="L39" s="259"/>
      <c r="M39" s="259"/>
      <c r="N39" s="260"/>
      <c r="O39" s="260"/>
      <c r="P39" s="221"/>
      <c r="Q39" s="221"/>
      <c r="R39" s="247"/>
      <c r="S39" s="261"/>
      <c r="T39" s="262"/>
      <c r="U39" s="263"/>
      <c r="W39" s="195"/>
    </row>
    <row r="40" ht="18" customHeight="1" spans="2:23" x14ac:dyDescent="0.25">
      <c r="B40" s="268"/>
      <c r="C40" s="269" t="s">
        <v>373</v>
      </c>
      <c r="D40" s="270" t="s">
        <v>374</v>
      </c>
      <c r="E40" s="271"/>
      <c r="F40" s="259"/>
      <c r="G40" s="259"/>
      <c r="H40" s="264"/>
      <c r="I40" s="259"/>
      <c r="J40" s="259"/>
      <c r="K40" s="259"/>
      <c r="L40" s="259"/>
      <c r="M40" s="259"/>
      <c r="N40" s="260"/>
      <c r="O40" s="260"/>
      <c r="P40" s="221"/>
      <c r="Q40" s="221"/>
      <c r="R40" s="247"/>
      <c r="S40" s="261"/>
      <c r="T40" s="262"/>
      <c r="U40" s="263"/>
      <c r="W40" s="195"/>
    </row>
    <row r="41" ht="18.5" customHeight="1" spans="2:23" x14ac:dyDescent="0.25">
      <c r="B41" s="272"/>
      <c r="C41" s="273" t="s">
        <v>375</v>
      </c>
      <c r="D41" s="274" t="s">
        <v>376</v>
      </c>
      <c r="E41" s="275"/>
      <c r="F41" s="259"/>
      <c r="G41" s="259"/>
      <c r="H41" s="264"/>
      <c r="I41" s="259"/>
      <c r="J41" s="259"/>
      <c r="K41" s="259"/>
      <c r="L41" s="259"/>
      <c r="M41" s="259"/>
      <c r="N41" s="260"/>
      <c r="O41" s="260"/>
      <c r="P41" s="221"/>
      <c r="Q41" s="221"/>
      <c r="R41" s="247"/>
      <c r="S41" s="261"/>
      <c r="T41" s="262"/>
      <c r="U41" s="263"/>
      <c r="W41" s="195"/>
    </row>
    <row r="42" ht="18" customHeight="1" spans="2:23" x14ac:dyDescent="0.25">
      <c r="B42" s="221"/>
      <c r="C42" s="258"/>
      <c r="D42" s="258"/>
      <c r="E42" s="258"/>
      <c r="F42" s="259"/>
      <c r="G42" s="259"/>
      <c r="H42" s="264"/>
      <c r="I42" s="259"/>
      <c r="J42" s="259"/>
      <c r="K42" s="259"/>
      <c r="L42" s="259"/>
      <c r="M42" s="259"/>
      <c r="N42" s="260"/>
      <c r="O42" s="260"/>
      <c r="P42" s="221"/>
      <c r="Q42" s="221"/>
      <c r="R42" s="247"/>
      <c r="S42" s="261"/>
      <c r="T42" s="262"/>
      <c r="U42" s="263"/>
      <c r="W42" s="195"/>
    </row>
    <row r="43" ht="18" customHeight="1" spans="2:23" x14ac:dyDescent="0.25">
      <c r="B43" s="221"/>
      <c r="C43" s="258"/>
      <c r="D43" s="258"/>
      <c r="E43" s="258"/>
      <c r="F43" s="259"/>
      <c r="G43" s="259"/>
      <c r="H43" s="264"/>
      <c r="I43" s="259"/>
      <c r="J43" s="259"/>
      <c r="K43" s="259"/>
      <c r="L43" s="259"/>
      <c r="M43" s="259"/>
      <c r="N43" s="260"/>
      <c r="O43" s="260"/>
      <c r="P43" s="221"/>
      <c r="Q43" s="221"/>
      <c r="R43" s="247"/>
      <c r="S43" s="261"/>
      <c r="T43" s="262"/>
      <c r="U43" s="263"/>
      <c r="W43" s="195"/>
    </row>
    <row r="44" ht="18" customHeight="1" spans="2:23" x14ac:dyDescent="0.25">
      <c r="B44" s="221"/>
      <c r="C44" s="258"/>
      <c r="D44" s="258"/>
      <c r="E44" s="258"/>
      <c r="F44" s="259"/>
      <c r="G44" s="259"/>
      <c r="H44" s="264"/>
      <c r="I44" s="259"/>
      <c r="J44" s="259"/>
      <c r="K44" s="259"/>
      <c r="L44" s="259"/>
      <c r="M44" s="259"/>
      <c r="N44" s="260"/>
      <c r="O44" s="260"/>
      <c r="P44" s="221"/>
      <c r="Q44" s="221"/>
      <c r="R44" s="247"/>
      <c r="S44" s="261"/>
      <c r="T44" s="262"/>
      <c r="U44" s="263"/>
      <c r="W44" s="195"/>
    </row>
    <row r="45" ht="14.5" customHeight="1" spans="11:22" x14ac:dyDescent="0.25">
      <c r="K45" s="174"/>
      <c r="R45" s="174"/>
      <c r="V45" s="174"/>
    </row>
    <row r="46" ht="14.5" customHeight="1" spans="11:22" x14ac:dyDescent="0.25">
      <c r="K46" s="174"/>
      <c r="R46" s="174"/>
      <c r="V46" s="174"/>
    </row>
    <row r="47" ht="14.5" customHeight="1" spans="22:22" x14ac:dyDescent="0.25">
      <c r="V47" s="174"/>
    </row>
  </sheetData>
  <mergeCells count="62">
    <mergeCell ref="B1:L1"/>
    <mergeCell ref="B4:C4"/>
    <mergeCell ref="O4:P4"/>
    <mergeCell ref="B5:C5"/>
    <mergeCell ref="D5:E5"/>
    <mergeCell ref="O5:P7"/>
    <mergeCell ref="B6:C6"/>
    <mergeCell ref="D6:E6"/>
    <mergeCell ref="S6:T8"/>
    <mergeCell ref="B7:C7"/>
    <mergeCell ref="D7:E7"/>
    <mergeCell ref="Q6:Q8"/>
    <mergeCell ref="B8:C8"/>
    <mergeCell ref="D8:E8"/>
    <mergeCell ref="O8:P9"/>
    <mergeCell ref="S9:T10"/>
    <mergeCell ref="B12:Q12"/>
    <mergeCell ref="D13:E14"/>
    <mergeCell ref="I13:M13"/>
    <mergeCell ref="B13:B14"/>
    <mergeCell ref="C13:C14"/>
    <mergeCell ref="F13:F14"/>
    <mergeCell ref="G13:G14"/>
    <mergeCell ref="H13:H14"/>
    <mergeCell ref="N13:N14"/>
    <mergeCell ref="O13:O14"/>
    <mergeCell ref="P13:P14"/>
    <mergeCell ref="Q13:Q14"/>
    <mergeCell ref="S13:S14"/>
    <mergeCell ref="T13:T14"/>
    <mergeCell ref="U13:U14"/>
    <mergeCell ref="B22:Q22"/>
    <mergeCell ref="C23:E24"/>
    <mergeCell ref="F23:G24"/>
    <mergeCell ref="I23:M23"/>
    <mergeCell ref="B23:B24"/>
    <mergeCell ref="H23:H24"/>
    <mergeCell ref="N23:N24"/>
    <mergeCell ref="O23:O24"/>
    <mergeCell ref="P23:P24"/>
    <mergeCell ref="Q23:Q24"/>
    <mergeCell ref="S23:S24"/>
    <mergeCell ref="T23:T24"/>
    <mergeCell ref="U23:U24"/>
    <mergeCell ref="B25:Q25"/>
    <mergeCell ref="C26:E26"/>
    <mergeCell ref="F26:G26"/>
    <mergeCell ref="C27:E27"/>
    <mergeCell ref="F27:G27"/>
    <mergeCell ref="B28:Q28"/>
    <mergeCell ref="C29:E29"/>
    <mergeCell ref="F29:G29"/>
    <mergeCell ref="C30:E30"/>
    <mergeCell ref="F30:G30"/>
    <mergeCell ref="B31:Q31"/>
    <mergeCell ref="C32:E32"/>
    <mergeCell ref="F32:G32"/>
    <mergeCell ref="C33:E33"/>
    <mergeCell ref="F33:G33"/>
    <mergeCell ref="B36:E36"/>
    <mergeCell ref="M36:O37"/>
    <mergeCell ref="P36:P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FormatPr defaultRowHeight="15" outlineLevelRow="0" outlineLevelCol="0" x14ac:dyDescent="55"/>
  <cols>
    <col min="1" max="1" width="5" customWidth="1"/>
    <col min="2" max="2" width="12" customWidth="1"/>
    <col min="3" max="3" width="62" customWidth="1"/>
    <col min="4" max="4" width="93" customWidth="1"/>
    <col min="5" max="5" width="134" customWidth="1"/>
    <col min="6" max="6" width="48" customWidth="1"/>
    <col min="7" max="7" width="17" customWidth="1"/>
    <col min="8" max="8" width="103" customWidth="1"/>
    <col min="9" max="9" width="6" customWidth="1"/>
    <col min="10" max="16384" width="17" customWidth="1"/>
  </cols>
  <sheetData>
    <row r="1" ht="29.25" customHeight="1" spans="2:13" x14ac:dyDescent="0.25">
      <c r="B1" s="276" t="s">
        <v>377</v>
      </c>
      <c r="C1" s="276"/>
      <c r="D1" s="276"/>
      <c r="E1" s="276"/>
      <c r="F1" s="276"/>
      <c r="G1" s="276"/>
      <c r="H1" s="276"/>
      <c r="I1" s="277"/>
      <c r="J1" s="278"/>
      <c r="K1" s="279"/>
      <c r="L1" s="279"/>
      <c r="M1" s="279"/>
    </row>
    <row r="2" ht="21.75" customHeight="1" spans="2:13" x14ac:dyDescent="0.25">
      <c r="B2" s="182" t="s">
        <v>378</v>
      </c>
      <c r="C2" s="182"/>
      <c r="D2" s="182" t="s">
        <v>379</v>
      </c>
      <c r="J2" s="149"/>
      <c r="K2" s="171"/>
      <c r="L2" s="171"/>
      <c r="M2" s="171"/>
    </row>
    <row r="4" ht="24.75" customHeight="1" spans="2:9" x14ac:dyDescent="0.25">
      <c r="B4" s="280" t="s">
        <v>234</v>
      </c>
      <c r="C4" s="281"/>
      <c r="D4" s="121" t="s">
        <v>52</v>
      </c>
      <c r="F4" s="12"/>
      <c r="G4" s="282"/>
      <c r="H4" s="282"/>
      <c r="I4" s="283"/>
    </row>
    <row r="5" ht="24.75" customHeight="1" spans="2:9" x14ac:dyDescent="0.25">
      <c r="B5" s="284" t="s">
        <v>235</v>
      </c>
      <c r="C5" s="182"/>
      <c r="D5" s="123" t="s">
        <v>52</v>
      </c>
      <c r="F5" s="12"/>
      <c r="G5" s="282"/>
      <c r="H5" s="282"/>
      <c r="I5" s="283"/>
    </row>
    <row r="6" ht="24.75" customHeight="1" spans="2:9" x14ac:dyDescent="0.25">
      <c r="B6" s="284" t="s">
        <v>236</v>
      </c>
      <c r="C6" s="182"/>
      <c r="D6" s="123" t="s">
        <v>52</v>
      </c>
      <c r="F6" s="12"/>
      <c r="G6" s="282"/>
      <c r="H6" s="282"/>
      <c r="I6" s="283"/>
    </row>
    <row r="7" ht="24.75" customHeight="1" spans="2:9" x14ac:dyDescent="0.25">
      <c r="B7" s="284" t="s">
        <v>237</v>
      </c>
      <c r="C7" s="182"/>
      <c r="D7" s="123" t="s">
        <v>52</v>
      </c>
      <c r="F7" s="12"/>
      <c r="G7" s="282"/>
      <c r="H7" s="282"/>
      <c r="I7" s="283"/>
    </row>
    <row r="8" ht="24.75" customHeight="1" spans="2:9" x14ac:dyDescent="0.25">
      <c r="B8" s="285" t="s">
        <v>238</v>
      </c>
      <c r="C8" s="286"/>
      <c r="D8" s="287" t="s">
        <v>52</v>
      </c>
      <c r="F8" s="12"/>
      <c r="G8" s="282"/>
      <c r="H8" s="282"/>
      <c r="I8" s="283"/>
    </row>
    <row r="9" ht="19.5" customHeight="1" spans="2:9" x14ac:dyDescent="0.25">
      <c r="B9" s="288"/>
      <c r="C9" s="289"/>
      <c r="D9" s="290"/>
      <c r="E9" s="290"/>
      <c r="F9" s="59"/>
      <c r="G9" s="59"/>
      <c r="H9" s="291"/>
      <c r="I9" s="291"/>
    </row>
    <row r="10" ht="49.5" customHeight="1" spans="2:9" x14ac:dyDescent="0.25">
      <c r="B10" s="292" t="s">
        <v>380</v>
      </c>
      <c r="C10" s="292"/>
      <c r="D10" s="292"/>
      <c r="E10" s="292"/>
      <c r="F10" s="292"/>
      <c r="G10" s="292"/>
      <c r="H10" s="292"/>
      <c r="I10" s="292"/>
    </row>
    <row r="11" ht="44.5" customHeight="1" spans="2:9" x14ac:dyDescent="0.25">
      <c r="B11" s="293" t="s">
        <v>381</v>
      </c>
      <c r="C11" s="294" t="s">
        <v>382</v>
      </c>
      <c r="D11" s="294" t="s">
        <v>383</v>
      </c>
      <c r="E11" s="294"/>
      <c r="F11" s="294" t="s">
        <v>384</v>
      </c>
      <c r="G11" s="295" t="s">
        <v>385</v>
      </c>
      <c r="H11" s="295"/>
      <c r="I11" s="296"/>
    </row>
    <row r="12" ht="34.5" customHeight="1" spans="2:9" x14ac:dyDescent="0.25">
      <c r="B12" s="297">
        <v>1</v>
      </c>
      <c r="C12" s="298"/>
      <c r="D12" s="299"/>
      <c r="E12" s="299"/>
      <c r="F12" s="297"/>
      <c r="G12" s="298"/>
      <c r="H12" s="298"/>
      <c r="I12" s="300"/>
    </row>
    <row r="13" ht="34.5" customHeight="1" spans="2:9" x14ac:dyDescent="0.25">
      <c r="B13" s="301">
        <v>2</v>
      </c>
      <c r="C13" s="302"/>
      <c r="D13" s="303"/>
      <c r="E13" s="303"/>
      <c r="F13" s="301"/>
      <c r="G13" s="304"/>
      <c r="H13" s="304"/>
      <c r="I13" s="300"/>
    </row>
    <row r="14" ht="34.5" customHeight="1" spans="2:9" x14ac:dyDescent="0.25">
      <c r="B14" s="301">
        <v>3</v>
      </c>
      <c r="C14" s="302"/>
      <c r="D14" s="303"/>
      <c r="E14" s="303"/>
      <c r="F14" s="301"/>
      <c r="G14" s="304"/>
      <c r="H14" s="304"/>
      <c r="I14" s="300"/>
    </row>
    <row r="15" ht="34.5" customHeight="1" spans="2:9" x14ac:dyDescent="0.25">
      <c r="B15" s="301">
        <v>4</v>
      </c>
      <c r="C15" s="302"/>
      <c r="D15" s="303"/>
      <c r="E15" s="303"/>
      <c r="F15" s="301"/>
      <c r="G15" s="304"/>
      <c r="H15" s="304"/>
      <c r="I15" s="300"/>
    </row>
    <row r="16" ht="34.5" customHeight="1" spans="2:9" x14ac:dyDescent="0.25">
      <c r="B16" s="301">
        <v>5</v>
      </c>
      <c r="C16" s="302"/>
      <c r="D16" s="303"/>
      <c r="E16" s="303"/>
      <c r="F16" s="301"/>
      <c r="G16" s="304"/>
      <c r="H16" s="304"/>
      <c r="I16" s="300"/>
    </row>
    <row r="17" ht="23.25" customHeight="1" spans="2:9" x14ac:dyDescent="0.25">
      <c r="B17" s="305"/>
      <c r="C17" s="306"/>
      <c r="D17" s="23"/>
      <c r="E17" s="23"/>
      <c r="F17" s="305"/>
      <c r="G17" s="307"/>
      <c r="H17" s="307"/>
      <c r="I17" s="307"/>
    </row>
    <row r="18" ht="45" customHeight="1" spans="2:9" x14ac:dyDescent="0.25">
      <c r="B18" s="292" t="s">
        <v>386</v>
      </c>
      <c r="C18" s="292"/>
      <c r="D18" s="292"/>
      <c r="E18" s="292"/>
      <c r="F18" s="292"/>
      <c r="G18" s="292"/>
      <c r="H18" s="292"/>
      <c r="I18" s="292"/>
    </row>
    <row r="19" ht="44.5" customHeight="1" spans="2:9" x14ac:dyDescent="0.25">
      <c r="B19" s="293" t="s">
        <v>381</v>
      </c>
      <c r="C19" s="294" t="s">
        <v>387</v>
      </c>
      <c r="D19" s="294" t="s">
        <v>388</v>
      </c>
      <c r="E19" s="294"/>
      <c r="F19" s="294" t="s">
        <v>384</v>
      </c>
      <c r="G19" s="308" t="s">
        <v>385</v>
      </c>
      <c r="H19" s="308"/>
      <c r="I19" s="296"/>
    </row>
    <row r="20" ht="34.5" customHeight="1" spans="2:9" x14ac:dyDescent="0.25">
      <c r="B20" s="297">
        <v>1</v>
      </c>
      <c r="C20" s="298"/>
      <c r="D20" s="299"/>
      <c r="E20" s="299"/>
      <c r="F20" s="297"/>
      <c r="G20" s="298"/>
      <c r="H20" s="298"/>
      <c r="I20" s="307"/>
    </row>
    <row r="21" ht="34.5" customHeight="1" spans="2:9" x14ac:dyDescent="0.25">
      <c r="B21" s="301">
        <v>2</v>
      </c>
      <c r="C21" s="302"/>
      <c r="D21" s="303"/>
      <c r="E21" s="303"/>
      <c r="F21" s="301"/>
      <c r="G21" s="304"/>
      <c r="H21" s="304"/>
      <c r="I21" s="307"/>
    </row>
    <row r="22" ht="34.5" customHeight="1" spans="2:9" x14ac:dyDescent="0.25">
      <c r="B22" s="301">
        <v>3</v>
      </c>
      <c r="C22" s="302"/>
      <c r="D22" s="303"/>
      <c r="E22" s="303"/>
      <c r="F22" s="301"/>
      <c r="G22" s="304"/>
      <c r="H22" s="304"/>
      <c r="I22" s="307"/>
    </row>
    <row r="23" ht="34.5" customHeight="1" spans="2:9" x14ac:dyDescent="0.25">
      <c r="B23" s="301">
        <v>4</v>
      </c>
      <c r="C23" s="302"/>
      <c r="D23" s="303"/>
      <c r="E23" s="303"/>
      <c r="F23" s="301"/>
      <c r="G23" s="304"/>
      <c r="H23" s="304"/>
      <c r="I23" s="307"/>
    </row>
    <row r="24" ht="34.5" customHeight="1" spans="2:9" x14ac:dyDescent="0.25">
      <c r="B24" s="301">
        <v>5</v>
      </c>
      <c r="C24" s="302"/>
      <c r="D24" s="303"/>
      <c r="E24" s="303"/>
      <c r="F24" s="301"/>
      <c r="G24" s="304"/>
      <c r="H24" s="304"/>
      <c r="I24" s="307"/>
    </row>
    <row r="25" ht="19.5" customHeight="1" spans="2:9" x14ac:dyDescent="0.25">
      <c r="B25" s="30"/>
      <c r="C25" s="30"/>
      <c r="D25" s="30"/>
      <c r="E25" s="30"/>
      <c r="F25" s="30"/>
      <c r="G25" s="30"/>
      <c r="H25" s="30"/>
      <c r="I25" s="30"/>
    </row>
    <row r="26" ht="19.5" customHeight="1" spans="2:9" x14ac:dyDescent="0.25">
      <c r="B26" s="309"/>
      <c r="C26" s="306"/>
      <c r="D26" s="309"/>
      <c r="E26" s="309"/>
      <c r="F26" s="309"/>
      <c r="G26" s="30"/>
      <c r="H26" s="309"/>
      <c r="I26" s="309"/>
    </row>
    <row r="27" ht="5" customHeight="1" spans="2:8" x14ac:dyDescent="0.25">
      <c r="B27" s="310"/>
      <c r="C27" s="311"/>
      <c r="D27" s="311"/>
      <c r="E27" s="312"/>
      <c r="F27" s="312"/>
      <c r="G27" s="312"/>
      <c r="H27" s="313"/>
    </row>
    <row r="28" ht="41" customHeight="1" spans="2:9" x14ac:dyDescent="0.25">
      <c r="B28" s="314" t="s">
        <v>389</v>
      </c>
      <c r="C28" s="314"/>
      <c r="D28" s="314"/>
      <c r="E28" s="314"/>
      <c r="F28" s="314"/>
      <c r="G28" s="314"/>
      <c r="H28" s="314"/>
      <c r="I28" s="315"/>
    </row>
    <row r="29" ht="45" customHeight="1" spans="2:9" x14ac:dyDescent="0.25">
      <c r="B29" s="316" t="s">
        <v>390</v>
      </c>
      <c r="C29" s="316"/>
      <c r="D29" s="317" t="s">
        <v>52</v>
      </c>
      <c r="E29" s="317"/>
      <c r="F29" s="318"/>
      <c r="G29" s="319"/>
      <c r="H29" s="319"/>
      <c r="I29" s="320"/>
    </row>
    <row r="30" ht="45" customHeight="1" spans="2:9" x14ac:dyDescent="0.25">
      <c r="B30" s="321" t="s">
        <v>391</v>
      </c>
      <c r="C30" s="321"/>
      <c r="D30" s="322" t="s">
        <v>52</v>
      </c>
      <c r="E30" s="323" t="s">
        <v>392</v>
      </c>
      <c r="F30" s="322" t="s">
        <v>52</v>
      </c>
      <c r="G30" s="322"/>
      <c r="H30" s="324"/>
      <c r="I30" s="325"/>
    </row>
    <row r="31" ht="45" customHeight="1" spans="2:9" x14ac:dyDescent="0.25">
      <c r="B31" s="321" t="s">
        <v>393</v>
      </c>
      <c r="C31" s="321"/>
      <c r="D31" s="322" t="s">
        <v>52</v>
      </c>
      <c r="E31" s="323" t="s">
        <v>392</v>
      </c>
      <c r="F31" s="322" t="s">
        <v>52</v>
      </c>
      <c r="G31" s="322"/>
      <c r="H31" s="324"/>
      <c r="I31" s="325"/>
    </row>
    <row r="32" ht="15" customHeight="1" spans="2:9" x14ac:dyDescent="0.25">
      <c r="B32" s="326"/>
      <c r="C32" s="327"/>
      <c r="D32" s="327"/>
      <c r="E32" s="327"/>
      <c r="F32" s="327"/>
      <c r="G32" s="327"/>
      <c r="H32" s="328"/>
      <c r="I32" s="329"/>
    </row>
    <row r="33" spans="3:3" x14ac:dyDescent="0.25">
      <c r="C33" s="30"/>
    </row>
    <row r="34" spans="3:3" x14ac:dyDescent="0.25">
      <c r="C34" s="30"/>
    </row>
    <row r="35" ht="30.75" customHeight="1" spans="2:8" x14ac:dyDescent="0.25">
      <c r="B35" s="330" t="s">
        <v>394</v>
      </c>
      <c r="C35" s="330"/>
      <c r="D35" s="137"/>
      <c r="E35" s="137"/>
      <c r="F35" s="137"/>
      <c r="G35" s="137"/>
      <c r="H35" s="137"/>
    </row>
    <row r="36" ht="21" customHeight="1" spans="1:8" x14ac:dyDescent="0.25">
      <c r="A36" s="331"/>
      <c r="B36" s="332" t="s">
        <v>395</v>
      </c>
      <c r="C36" s="332"/>
      <c r="D36" s="332"/>
      <c r="E36" s="332"/>
      <c r="F36" s="333"/>
      <c r="G36" s="333"/>
      <c r="H36" s="333"/>
    </row>
    <row r="37" ht="20" customHeight="1" spans="1:8" x14ac:dyDescent="0.25">
      <c r="A37" s="331"/>
      <c r="B37" s="334" t="s">
        <v>396</v>
      </c>
      <c r="C37" s="335" t="s">
        <v>397</v>
      </c>
      <c r="D37" s="335"/>
      <c r="E37" s="335"/>
      <c r="F37" s="333"/>
      <c r="G37" s="333"/>
      <c r="H37" s="333"/>
    </row>
    <row r="38" ht="20" customHeight="1" spans="1:8" x14ac:dyDescent="0.25">
      <c r="A38" s="331"/>
      <c r="B38" s="334" t="s">
        <v>396</v>
      </c>
      <c r="C38" s="335" t="s">
        <v>398</v>
      </c>
      <c r="D38" s="335"/>
      <c r="E38" s="335"/>
      <c r="F38" s="333"/>
      <c r="G38" s="333"/>
      <c r="H38" s="333"/>
    </row>
    <row r="39" ht="20" customHeight="1" spans="1:8" x14ac:dyDescent="0.25">
      <c r="A39" s="331"/>
      <c r="B39" s="334" t="s">
        <v>396</v>
      </c>
      <c r="C39" s="335" t="s">
        <v>399</v>
      </c>
      <c r="D39" s="335"/>
      <c r="E39" s="335"/>
      <c r="F39" s="333"/>
      <c r="G39" s="333"/>
      <c r="H39" s="333"/>
    </row>
    <row r="40" ht="20" customHeight="1" spans="1:8" x14ac:dyDescent="0.25">
      <c r="A40" s="331"/>
      <c r="B40" s="334" t="s">
        <v>396</v>
      </c>
      <c r="C40" s="335" t="s">
        <v>400</v>
      </c>
      <c r="D40" s="335"/>
      <c r="E40" s="335"/>
      <c r="F40" s="333"/>
      <c r="G40" s="333"/>
      <c r="H40" s="333"/>
    </row>
    <row r="41" ht="20" customHeight="1" spans="1:8" x14ac:dyDescent="0.25">
      <c r="A41" s="331"/>
      <c r="B41" s="334" t="s">
        <v>396</v>
      </c>
      <c r="C41" s="335" t="s">
        <v>401</v>
      </c>
      <c r="D41" s="335"/>
      <c r="E41" s="335"/>
      <c r="F41" s="333"/>
      <c r="G41" s="333"/>
      <c r="H41" s="333"/>
    </row>
    <row r="42" ht="20" customHeight="1" spans="1:8" x14ac:dyDescent="0.25">
      <c r="A42" s="331"/>
      <c r="B42" s="334" t="s">
        <v>396</v>
      </c>
      <c r="C42" s="335" t="s">
        <v>402</v>
      </c>
      <c r="D42" s="335"/>
      <c r="E42" s="335"/>
      <c r="F42" s="333"/>
      <c r="G42" s="333"/>
      <c r="H42" s="333"/>
    </row>
    <row r="43" ht="20" customHeight="1" spans="1:8" x14ac:dyDescent="0.25">
      <c r="A43" s="331"/>
      <c r="B43" s="334" t="s">
        <v>396</v>
      </c>
      <c r="C43" s="335" t="s">
        <v>403</v>
      </c>
      <c r="D43" s="335"/>
      <c r="E43" s="335"/>
      <c r="F43" s="333"/>
      <c r="G43" s="333"/>
      <c r="H43" s="333"/>
    </row>
    <row r="44" ht="20" customHeight="1" spans="1:8" x14ac:dyDescent="0.25">
      <c r="A44" s="331"/>
      <c r="B44" s="334" t="s">
        <v>396</v>
      </c>
      <c r="C44" s="335" t="s">
        <v>404</v>
      </c>
      <c r="D44" s="335"/>
      <c r="E44" s="335"/>
      <c r="F44" s="333"/>
      <c r="G44" s="333"/>
      <c r="H44" s="333"/>
    </row>
    <row r="45" ht="20" customHeight="1" spans="1:8" x14ac:dyDescent="0.25">
      <c r="A45" s="331"/>
      <c r="B45" s="334" t="s">
        <v>396</v>
      </c>
      <c r="C45" s="335" t="s">
        <v>405</v>
      </c>
      <c r="D45" s="335"/>
      <c r="E45" s="335"/>
      <c r="F45" s="333"/>
      <c r="G45" s="333"/>
      <c r="H45" s="333"/>
    </row>
    <row r="46" ht="20" customHeight="1" spans="1:8" x14ac:dyDescent="0.25">
      <c r="A46" s="331"/>
      <c r="B46" s="334" t="s">
        <v>396</v>
      </c>
      <c r="C46" s="335" t="s">
        <v>406</v>
      </c>
      <c r="D46" s="335"/>
      <c r="E46" s="335"/>
      <c r="F46" s="333"/>
      <c r="G46" s="333"/>
      <c r="H46" s="333"/>
    </row>
    <row r="47" ht="20" customHeight="1" spans="1:8" x14ac:dyDescent="0.25">
      <c r="A47" s="331"/>
      <c r="B47" s="334" t="s">
        <v>396</v>
      </c>
      <c r="C47" s="335" t="s">
        <v>407</v>
      </c>
      <c r="D47" s="335"/>
      <c r="E47" s="335"/>
      <c r="F47" s="333"/>
      <c r="G47" s="333"/>
      <c r="H47" s="333"/>
    </row>
    <row r="48" ht="20" customHeight="1" spans="1:8" x14ac:dyDescent="0.25">
      <c r="A48" s="331"/>
      <c r="B48" s="334" t="s">
        <v>396</v>
      </c>
      <c r="C48" s="335" t="s">
        <v>408</v>
      </c>
      <c r="D48" s="335"/>
      <c r="E48" s="335"/>
      <c r="F48" s="333"/>
      <c r="G48" s="333"/>
      <c r="H48" s="333"/>
    </row>
    <row r="49" ht="20" customHeight="1" spans="1:8" x14ac:dyDescent="0.25">
      <c r="A49" s="331"/>
      <c r="B49" s="334" t="s">
        <v>396</v>
      </c>
      <c r="C49" s="335" t="s">
        <v>409</v>
      </c>
      <c r="D49" s="335"/>
      <c r="E49" s="335"/>
      <c r="F49" s="333"/>
      <c r="G49" s="333"/>
      <c r="H49" s="333"/>
    </row>
    <row r="50" ht="20" customHeight="1" spans="1:8" x14ac:dyDescent="0.25">
      <c r="A50" s="331"/>
      <c r="B50" s="331"/>
      <c r="C50" s="335"/>
      <c r="D50" s="335"/>
      <c r="E50" s="335"/>
      <c r="F50" s="333"/>
      <c r="G50" s="333"/>
      <c r="H50" s="333"/>
    </row>
    <row r="51" ht="15.5" customHeight="1" spans="1:9" x14ac:dyDescent="0.25">
      <c r="A51" s="331"/>
      <c r="B51" s="332" t="s">
        <v>410</v>
      </c>
      <c r="C51" s="332"/>
      <c r="D51" s="332"/>
      <c r="E51" s="332"/>
      <c r="F51" s="333"/>
      <c r="G51" s="335"/>
      <c r="H51" s="335"/>
      <c r="I51" s="335"/>
    </row>
    <row r="52" ht="21" customHeight="1" spans="1:9" x14ac:dyDescent="0.25">
      <c r="A52" s="331"/>
      <c r="B52" s="334" t="s">
        <v>396</v>
      </c>
      <c r="C52" s="332" t="s">
        <v>411</v>
      </c>
      <c r="D52" s="332"/>
      <c r="E52" s="332"/>
      <c r="F52" s="332"/>
      <c r="G52" s="336"/>
      <c r="H52" s="336"/>
      <c r="I52" s="337"/>
    </row>
    <row r="53" ht="15.5" customHeight="1" spans="1:9" x14ac:dyDescent="0.25">
      <c r="A53" s="331"/>
      <c r="B53" s="334" t="s">
        <v>396</v>
      </c>
      <c r="C53" s="332" t="s">
        <v>412</v>
      </c>
      <c r="D53" s="332"/>
      <c r="E53" s="332"/>
      <c r="F53" s="332"/>
      <c r="G53" s="332"/>
      <c r="H53" s="332"/>
      <c r="I53" s="337"/>
    </row>
    <row r="54" ht="15.5" customHeight="1" spans="1:9" x14ac:dyDescent="0.25">
      <c r="A54" s="331"/>
      <c r="B54" s="334" t="s">
        <v>396</v>
      </c>
      <c r="C54" s="337" t="s">
        <v>413</v>
      </c>
      <c r="D54" s="337"/>
      <c r="E54" s="337"/>
      <c r="F54" s="337"/>
      <c r="G54" s="336"/>
      <c r="H54" s="336"/>
      <c r="I54" s="335"/>
    </row>
    <row r="55" ht="45.75" customHeight="1" spans="1:9" x14ac:dyDescent="0.25">
      <c r="A55" s="338"/>
      <c r="B55" s="338"/>
      <c r="C55" s="339"/>
      <c r="D55" s="335"/>
      <c r="E55" s="335"/>
      <c r="F55" s="340"/>
      <c r="G55" s="335"/>
      <c r="H55" s="335"/>
      <c r="I55" s="335"/>
    </row>
    <row r="56" spans="3:9" x14ac:dyDescent="0.25">
      <c r="C56" s="341"/>
      <c r="D56" s="342"/>
      <c r="E56" s="343"/>
      <c r="F56" s="344"/>
      <c r="G56" s="342"/>
      <c r="H56" s="342"/>
      <c r="I56" s="342"/>
    </row>
    <row r="57" spans="4:9" x14ac:dyDescent="0.25">
      <c r="D57" s="342"/>
      <c r="E57" s="343"/>
      <c r="F57" s="344"/>
      <c r="G57" s="342"/>
      <c r="H57" s="342"/>
      <c r="I57" s="342"/>
    </row>
    <row r="58" spans="3:9" x14ac:dyDescent="0.25">
      <c r="C58" s="341"/>
      <c r="D58" s="342"/>
      <c r="E58" s="343"/>
      <c r="F58" s="342"/>
      <c r="G58" s="342"/>
      <c r="H58" s="342"/>
      <c r="I58" s="342"/>
    </row>
  </sheetData>
  <mergeCells count="58">
    <mergeCell ref="B1:H1"/>
    <mergeCell ref="K1:M1"/>
    <mergeCell ref="K2:M2"/>
    <mergeCell ref="G4:H4"/>
    <mergeCell ref="G5:H5"/>
    <mergeCell ref="G6:H6"/>
    <mergeCell ref="G7:H7"/>
    <mergeCell ref="G8:H8"/>
    <mergeCell ref="B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B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B28:H28"/>
    <mergeCell ref="B29:C29"/>
    <mergeCell ref="G29:H29"/>
    <mergeCell ref="B30:C30"/>
    <mergeCell ref="B31:C31"/>
    <mergeCell ref="B35:C35"/>
    <mergeCell ref="B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B51:E51"/>
    <mergeCell ref="C52:F52"/>
    <mergeCell ref="C53:H53"/>
    <mergeCell ref="C54:F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5"/>
  <sheetFormatPr defaultRowHeight="15" outlineLevelRow="0" outlineLevelCol="0" x14ac:dyDescent="55"/>
  <cols>
    <col min="1" max="1" width="3" customWidth="1"/>
    <col min="2" max="2" width="5" customWidth="1"/>
    <col min="3" max="3" width="37" customWidth="1"/>
    <col min="4" max="4" width="21" customWidth="1"/>
    <col min="5" max="5" width="11" customWidth="1"/>
    <col min="6" max="6" width="49" customWidth="1"/>
    <col min="7" max="7" width="1" customWidth="1"/>
    <col min="8" max="14" width="16" customWidth="1"/>
    <col min="15" max="15" width="1" customWidth="1"/>
    <col min="16" max="16" width="31" customWidth="1"/>
    <col min="17" max="17" width="35" customWidth="1"/>
    <col min="18" max="18" width="29" customWidth="1"/>
    <col min="19" max="19" width="15" customWidth="1"/>
    <col min="20" max="20" width="13" customWidth="1"/>
    <col min="21" max="22" width="3" customWidth="1"/>
    <col min="23" max="23" width="25" customWidth="1"/>
    <col min="24" max="25" width="17" customWidth="1"/>
    <col min="26" max="26" width="44" customWidth="1"/>
    <col min="27" max="27" width="3" customWidth="1"/>
    <col min="28" max="16384" width="17" customWidth="1"/>
  </cols>
  <sheetData>
    <row r="1" ht="27.5" customHeight="1" spans="2:24" x14ac:dyDescent="0.25">
      <c r="B1" s="345" t="s">
        <v>414</v>
      </c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6"/>
      <c r="Q1" s="347"/>
      <c r="R1" s="149"/>
      <c r="S1" s="348"/>
      <c r="T1" s="349"/>
      <c r="U1" s="151"/>
      <c r="V1" s="349"/>
      <c r="W1" s="349"/>
      <c r="X1" s="349"/>
    </row>
    <row r="2" ht="18.5" customHeight="1" spans="2:26" x14ac:dyDescent="0.25">
      <c r="B2" s="350" t="s">
        <v>232</v>
      </c>
      <c r="D2" s="351"/>
      <c r="E2" s="352"/>
      <c r="F2" s="352"/>
      <c r="H2" s="351"/>
      <c r="I2" s="351"/>
      <c r="J2" s="351"/>
      <c r="K2" s="351"/>
      <c r="L2" s="351"/>
      <c r="M2" s="351"/>
      <c r="N2" s="351"/>
      <c r="R2" s="155"/>
      <c r="S2" s="353"/>
      <c r="T2" s="354"/>
      <c r="U2" s="157"/>
      <c r="V2" s="354"/>
      <c r="W2" s="354"/>
      <c r="X2" s="354"/>
      <c r="Z2" s="355" t="s">
        <v>58</v>
      </c>
    </row>
    <row r="3" ht="15.5" customHeight="1" spans="4:26" x14ac:dyDescent="0.25">
      <c r="D3" s="351"/>
      <c r="E3" s="352"/>
      <c r="F3" s="352"/>
      <c r="H3" s="351"/>
      <c r="I3" s="351"/>
      <c r="J3" s="351"/>
      <c r="K3" s="351"/>
      <c r="L3" s="351"/>
      <c r="M3" s="351"/>
      <c r="N3" s="351"/>
      <c r="R3" s="155"/>
      <c r="S3" s="353"/>
      <c r="T3" s="354"/>
      <c r="U3" s="157"/>
      <c r="V3" s="354"/>
      <c r="W3" s="354"/>
      <c r="X3" s="354"/>
      <c r="Z3" s="356">
        <f>Y13+Y14+Y15+Y16</f>
        <v>0</v>
      </c>
    </row>
    <row r="4" ht="20.15" customHeight="1" spans="2:26" x14ac:dyDescent="0.25">
      <c r="B4" s="357" t="s">
        <v>234</v>
      </c>
      <c r="C4" s="358"/>
      <c r="D4" s="359" t="s">
        <v>52</v>
      </c>
      <c r="E4" s="359"/>
      <c r="F4" s="360"/>
      <c r="K4" s="347"/>
      <c r="L4" s="149"/>
      <c r="M4" s="361"/>
      <c r="N4" s="361"/>
      <c r="P4" s="168"/>
      <c r="Q4" s="168"/>
      <c r="R4" s="362"/>
      <c r="S4" s="362"/>
      <c r="U4" s="174"/>
      <c r="V4" s="363"/>
      <c r="Z4" s="356"/>
    </row>
    <row r="5" ht="20.15" customHeight="1" spans="2:26" x14ac:dyDescent="0.25">
      <c r="B5" s="364" t="s">
        <v>235</v>
      </c>
      <c r="C5" s="365"/>
      <c r="D5" s="363" t="s">
        <v>52</v>
      </c>
      <c r="E5" s="363"/>
      <c r="F5" s="366"/>
      <c r="K5" s="347"/>
      <c r="L5" s="149"/>
      <c r="M5" s="361"/>
      <c r="N5" s="361"/>
      <c r="P5" s="168"/>
      <c r="Q5" s="168"/>
      <c r="R5" s="362"/>
      <c r="S5" s="362"/>
      <c r="U5" s="174"/>
      <c r="V5" s="363"/>
      <c r="Z5" s="356"/>
    </row>
    <row r="6" ht="20.15" customHeight="1" spans="2:26" x14ac:dyDescent="0.25">
      <c r="B6" s="364" t="s">
        <v>236</v>
      </c>
      <c r="C6" s="365"/>
      <c r="D6" s="363" t="s">
        <v>52</v>
      </c>
      <c r="E6" s="363"/>
      <c r="F6" s="366"/>
      <c r="K6" s="347"/>
      <c r="L6" s="149"/>
      <c r="M6" s="349"/>
      <c r="N6" s="349"/>
      <c r="P6" s="168"/>
      <c r="Q6" s="168"/>
      <c r="R6" s="362"/>
      <c r="S6" s="362"/>
      <c r="U6" s="174"/>
      <c r="V6" s="363"/>
      <c r="Z6" s="367" t="str">
        <f>IF(Z3&gt;=5,"Excellent",IF(Z3&gt;=4,"Very Good",IF(Z3&gt;=3,"Good",IF(Z3&gt;=2,"Fair",IF(Z3&lt;2,"Poor")))))</f>
        <v>Poor</v>
      </c>
    </row>
    <row r="7" ht="20.15" customHeight="1" spans="2:26" x14ac:dyDescent="0.25">
      <c r="B7" s="364" t="s">
        <v>237</v>
      </c>
      <c r="C7" s="365"/>
      <c r="D7" s="363" t="s">
        <v>52</v>
      </c>
      <c r="E7" s="363"/>
      <c r="F7" s="366"/>
      <c r="K7" s="347"/>
      <c r="L7" s="149"/>
      <c r="M7" s="349"/>
      <c r="N7" s="349"/>
      <c r="P7" s="174"/>
      <c r="Q7" s="180"/>
      <c r="R7" s="181"/>
      <c r="S7" s="181"/>
      <c r="U7" s="174"/>
      <c r="V7" s="363"/>
      <c r="Z7" s="367"/>
    </row>
    <row r="8" ht="20.15" customHeight="1" spans="2:22" x14ac:dyDescent="0.25">
      <c r="B8" s="368" t="s">
        <v>238</v>
      </c>
      <c r="C8" s="369"/>
      <c r="D8" s="370" t="s">
        <v>52</v>
      </c>
      <c r="E8" s="370"/>
      <c r="F8" s="371"/>
      <c r="K8" s="347"/>
      <c r="L8" s="149"/>
      <c r="M8" s="361"/>
      <c r="N8" s="361"/>
      <c r="P8" s="180"/>
      <c r="Q8" s="180"/>
      <c r="R8" s="181"/>
      <c r="S8" s="181"/>
      <c r="U8" s="174"/>
      <c r="V8" s="363"/>
    </row>
    <row r="9" ht="20.15" customHeight="1" spans="2:22" x14ac:dyDescent="0.25">
      <c r="B9" s="365"/>
      <c r="C9" s="365"/>
      <c r="D9" s="363"/>
      <c r="E9" s="363"/>
      <c r="K9" s="347"/>
      <c r="L9" s="149"/>
      <c r="M9" s="361"/>
      <c r="N9" s="361"/>
      <c r="P9" s="180"/>
      <c r="Q9" s="180"/>
      <c r="R9" s="181"/>
      <c r="S9" s="181"/>
      <c r="U9" s="174"/>
      <c r="V9" s="363"/>
    </row>
    <row r="10" ht="36" customHeight="1" spans="2:26" x14ac:dyDescent="0.25">
      <c r="B10" s="372" t="s">
        <v>415</v>
      </c>
      <c r="C10" s="372"/>
      <c r="D10" s="372"/>
      <c r="E10" s="372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188"/>
      <c r="V10" s="363"/>
      <c r="W10" s="373" t="s">
        <v>416</v>
      </c>
      <c r="X10" s="373"/>
      <c r="Y10" s="373"/>
      <c r="Z10" s="373"/>
    </row>
    <row r="11" ht="27.5" customHeight="1" spans="2:26" x14ac:dyDescent="0.25">
      <c r="B11" s="374" t="s">
        <v>417</v>
      </c>
      <c r="C11" s="374"/>
      <c r="D11" s="375" t="s">
        <v>241</v>
      </c>
      <c r="E11" s="376" t="s">
        <v>242</v>
      </c>
      <c r="F11" s="376"/>
      <c r="G11" s="377"/>
      <c r="H11" s="378" t="s">
        <v>418</v>
      </c>
      <c r="I11" s="379" t="s">
        <v>245</v>
      </c>
      <c r="J11" s="379" t="s">
        <v>246</v>
      </c>
      <c r="K11" s="379"/>
      <c r="L11" s="379"/>
      <c r="M11" s="379"/>
      <c r="N11" s="379"/>
      <c r="O11" s="377"/>
      <c r="P11" s="380" t="s">
        <v>243</v>
      </c>
      <c r="Q11" s="375" t="s">
        <v>244</v>
      </c>
      <c r="R11" s="375" t="s">
        <v>251</v>
      </c>
      <c r="S11" s="375" t="s">
        <v>252</v>
      </c>
      <c r="T11" s="381" t="s">
        <v>253</v>
      </c>
      <c r="U11" s="194"/>
      <c r="V11" s="382"/>
      <c r="W11" s="383" t="s">
        <v>247</v>
      </c>
      <c r="X11" s="384" t="s">
        <v>248</v>
      </c>
      <c r="Y11" s="384" t="s">
        <v>249</v>
      </c>
      <c r="Z11" s="385" t="s">
        <v>314</v>
      </c>
    </row>
    <row r="12" ht="13.5" customHeight="1" spans="2:26" x14ac:dyDescent="0.25">
      <c r="B12" s="374"/>
      <c r="C12" s="374"/>
      <c r="D12" s="375"/>
      <c r="E12" s="376"/>
      <c r="F12" s="376"/>
      <c r="G12" s="377"/>
      <c r="H12" s="378"/>
      <c r="I12" s="379"/>
      <c r="J12" s="386">
        <v>1</v>
      </c>
      <c r="K12" s="386">
        <v>2</v>
      </c>
      <c r="L12" s="386">
        <v>3</v>
      </c>
      <c r="M12" s="386">
        <v>4</v>
      </c>
      <c r="N12" s="387">
        <v>5</v>
      </c>
      <c r="O12" s="377"/>
      <c r="P12" s="380"/>
      <c r="Q12" s="375"/>
      <c r="R12" s="375"/>
      <c r="S12" s="375"/>
      <c r="T12" s="381"/>
      <c r="U12" s="194"/>
      <c r="V12" s="382"/>
      <c r="W12" s="383"/>
      <c r="X12" s="384"/>
      <c r="Y12" s="384"/>
      <c r="Z12" s="385"/>
    </row>
    <row r="13" ht="50" customHeight="1" spans="2:26" x14ac:dyDescent="0.25">
      <c r="B13" s="388"/>
      <c r="C13" s="389"/>
      <c r="D13" s="390" t="s">
        <v>254</v>
      </c>
      <c r="E13" s="391" t="s">
        <v>255</v>
      </c>
      <c r="F13" s="392"/>
      <c r="G13" s="393"/>
      <c r="H13" s="394"/>
      <c r="I13" s="394"/>
      <c r="J13" s="395"/>
      <c r="K13" s="396"/>
      <c r="L13" s="396"/>
      <c r="M13" s="396"/>
      <c r="N13" s="397"/>
      <c r="O13" s="393"/>
      <c r="P13" s="398"/>
      <c r="Q13" s="398"/>
      <c r="R13" s="399"/>
      <c r="S13" s="400"/>
      <c r="T13" s="400"/>
      <c r="V13" s="382"/>
      <c r="W13" s="398"/>
      <c r="X13" s="399"/>
      <c r="Y13" s="400">
        <f>I13*X13</f>
        <v>0</v>
      </c>
      <c r="Z13" s="400"/>
    </row>
    <row r="14" ht="50" customHeight="1" spans="2:26" x14ac:dyDescent="0.25">
      <c r="B14" s="401"/>
      <c r="C14" s="402"/>
      <c r="D14" s="403" t="s">
        <v>266</v>
      </c>
      <c r="E14" s="404" t="s">
        <v>267</v>
      </c>
      <c r="F14" s="405"/>
      <c r="G14" s="406"/>
      <c r="H14" s="407"/>
      <c r="I14" s="408"/>
      <c r="J14" s="409"/>
      <c r="K14" s="409"/>
      <c r="L14" s="409"/>
      <c r="M14" s="409"/>
      <c r="N14" s="409"/>
      <c r="O14" s="406"/>
      <c r="P14" s="410"/>
      <c r="Q14" s="411"/>
      <c r="R14" s="412"/>
      <c r="S14" s="413"/>
      <c r="T14" s="413"/>
      <c r="V14" s="382"/>
      <c r="W14" s="411"/>
      <c r="X14" s="412"/>
      <c r="Y14" s="400">
        <f>I14*X14</f>
        <v>0</v>
      </c>
      <c r="Z14" s="413"/>
    </row>
    <row r="15" ht="50" customHeight="1" spans="2:26" x14ac:dyDescent="0.25">
      <c r="B15" s="401"/>
      <c r="C15" s="402"/>
      <c r="D15" s="414" t="s">
        <v>278</v>
      </c>
      <c r="E15" s="415" t="s">
        <v>279</v>
      </c>
      <c r="F15" s="416"/>
      <c r="G15" s="417"/>
      <c r="H15" s="407"/>
      <c r="I15" s="408"/>
      <c r="J15" s="409"/>
      <c r="K15" s="409"/>
      <c r="L15" s="409"/>
      <c r="M15" s="409"/>
      <c r="N15" s="408"/>
      <c r="O15" s="417"/>
      <c r="P15" s="418"/>
      <c r="Q15" s="418"/>
      <c r="R15" s="419"/>
      <c r="S15" s="413"/>
      <c r="T15" s="413"/>
      <c r="V15" s="382"/>
      <c r="W15" s="418"/>
      <c r="X15" s="412"/>
      <c r="Y15" s="400">
        <f>I15*X15</f>
        <v>0</v>
      </c>
      <c r="Z15" s="413"/>
    </row>
    <row r="16" ht="50" customHeight="1" spans="2:26" x14ac:dyDescent="0.25">
      <c r="B16" s="401"/>
      <c r="C16" s="420"/>
      <c r="D16" s="421" t="s">
        <v>298</v>
      </c>
      <c r="E16" s="422" t="s">
        <v>419</v>
      </c>
      <c r="F16" s="423"/>
      <c r="G16" s="424"/>
      <c r="H16" s="409"/>
      <c r="I16" s="408"/>
      <c r="J16" s="425"/>
      <c r="K16" s="409"/>
      <c r="L16" s="409"/>
      <c r="M16" s="409"/>
      <c r="N16" s="426"/>
      <c r="O16" s="424"/>
      <c r="P16" s="410"/>
      <c r="Q16" s="418"/>
      <c r="R16" s="412"/>
      <c r="S16" s="413"/>
      <c r="T16" s="413"/>
      <c r="V16" s="382"/>
      <c r="W16" s="418"/>
      <c r="X16" s="412"/>
      <c r="Y16" s="400">
        <f>I16*X16</f>
        <v>0</v>
      </c>
      <c r="Z16" s="413"/>
    </row>
    <row r="17" spans="2:22" x14ac:dyDescent="0.25">
      <c r="B17" s="382"/>
      <c r="C17" s="427"/>
      <c r="D17" s="427"/>
      <c r="E17" s="428"/>
      <c r="F17" s="428"/>
      <c r="G17" s="427"/>
      <c r="H17" s="429"/>
      <c r="I17" s="430">
        <f>SUM(I15:I16,I13:I14)</f>
        <v>0</v>
      </c>
      <c r="J17" s="429"/>
      <c r="K17" s="429"/>
      <c r="L17" s="429"/>
      <c r="M17" s="429"/>
      <c r="N17" s="429"/>
      <c r="O17" s="427"/>
      <c r="V17" s="227"/>
    </row>
    <row r="18" spans="2:22" x14ac:dyDescent="0.25">
      <c r="B18" s="382"/>
      <c r="C18" s="427"/>
      <c r="D18" s="427"/>
      <c r="E18" s="428"/>
      <c r="F18" s="428"/>
      <c r="G18" s="427"/>
      <c r="H18" s="429"/>
      <c r="I18" s="429"/>
      <c r="J18" s="429"/>
      <c r="K18" s="429"/>
      <c r="L18" s="429"/>
      <c r="M18" s="429"/>
      <c r="N18" s="429"/>
      <c r="O18" s="427"/>
      <c r="V18" s="227"/>
    </row>
    <row r="19" ht="13.5" customHeight="1" spans="2:22" x14ac:dyDescent="0.25">
      <c r="B19" s="431" t="s">
        <v>394</v>
      </c>
      <c r="C19" s="432"/>
      <c r="D19" s="432"/>
      <c r="E19" s="433"/>
      <c r="F19" s="433"/>
      <c r="V19" s="148"/>
    </row>
    <row r="20" spans="2:22" x14ac:dyDescent="0.25">
      <c r="B20" s="382" t="s">
        <v>420</v>
      </c>
      <c r="C20" s="428" t="s">
        <v>421</v>
      </c>
      <c r="D20" s="428"/>
      <c r="E20" s="428"/>
      <c r="F20" s="428"/>
      <c r="H20" s="382"/>
      <c r="I20" s="382"/>
      <c r="J20" s="382"/>
      <c r="K20" s="427"/>
      <c r="L20" s="223"/>
      <c r="M20" s="434"/>
      <c r="N20" s="434"/>
      <c r="O20" s="434"/>
      <c r="P20" s="435"/>
      <c r="Q20" s="435"/>
      <c r="R20" s="435"/>
      <c r="S20" s="435"/>
      <c r="T20" s="227"/>
      <c r="V20" s="382"/>
    </row>
    <row r="21" ht="12.75" customHeight="1" spans="2:22" x14ac:dyDescent="0.25">
      <c r="B21" s="436" t="s">
        <v>422</v>
      </c>
      <c r="C21" s="434" t="s">
        <v>423</v>
      </c>
      <c r="D21" s="434"/>
      <c r="E21" s="434"/>
      <c r="F21" s="434"/>
      <c r="G21" s="436"/>
      <c r="H21" s="436"/>
      <c r="I21" s="382"/>
      <c r="J21" s="382"/>
      <c r="K21" s="427"/>
      <c r="L21" s="223"/>
      <c r="M21" s="434"/>
      <c r="N21" s="434"/>
      <c r="O21" s="434"/>
      <c r="P21" s="434"/>
      <c r="Q21" s="434"/>
      <c r="R21" s="434"/>
      <c r="S21" s="434"/>
      <c r="T21" s="227"/>
      <c r="V21" s="382"/>
    </row>
    <row r="22" ht="12.75" customHeight="1" spans="2:22" x14ac:dyDescent="0.25">
      <c r="B22" s="436" t="s">
        <v>424</v>
      </c>
      <c r="C22" s="434" t="s">
        <v>425</v>
      </c>
      <c r="D22" s="434"/>
      <c r="E22" s="434"/>
      <c r="F22" s="434"/>
      <c r="G22" s="434"/>
      <c r="H22" s="434"/>
      <c r="I22" s="382"/>
      <c r="J22" s="382"/>
      <c r="K22" s="427"/>
      <c r="L22" s="223"/>
      <c r="M22" s="434"/>
      <c r="N22" s="434"/>
      <c r="O22" s="434"/>
      <c r="P22" s="434"/>
      <c r="Q22" s="434"/>
      <c r="R22" s="434"/>
      <c r="S22" s="434"/>
      <c r="T22" s="227"/>
      <c r="V22" s="382"/>
    </row>
    <row r="23" ht="15" customHeight="1" spans="2:26" x14ac:dyDescent="0.25">
      <c r="B23" s="437"/>
      <c r="C23" s="428"/>
      <c r="D23" s="428"/>
      <c r="E23" s="428"/>
      <c r="F23" s="428"/>
      <c r="G23" s="437"/>
      <c r="H23" s="437"/>
      <c r="L23" s="174"/>
      <c r="O23" s="365"/>
      <c r="U23" s="174"/>
      <c r="V23" s="363"/>
      <c r="W23" s="438"/>
      <c r="X23" s="438"/>
      <c r="Y23" s="438"/>
      <c r="Z23" s="438"/>
    </row>
    <row r="24" ht="61" customHeight="1" spans="2:26" x14ac:dyDescent="0.25">
      <c r="B24" s="439" t="s">
        <v>426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40"/>
      <c r="V24" s="441"/>
      <c r="W24" s="439" t="s">
        <v>427</v>
      </c>
      <c r="X24" s="439"/>
      <c r="Y24" s="439"/>
      <c r="Z24" s="439"/>
    </row>
    <row r="25" ht="45" customHeight="1" spans="2:26" x14ac:dyDescent="0.25">
      <c r="B25" s="442" t="s">
        <v>428</v>
      </c>
      <c r="C25" s="442"/>
      <c r="D25" s="442"/>
      <c r="E25" s="443" t="s">
        <v>52</v>
      </c>
      <c r="F25" s="443"/>
      <c r="G25" s="444"/>
      <c r="H25" s="445"/>
      <c r="I25" s="446"/>
      <c r="J25" s="446"/>
      <c r="K25" s="446"/>
      <c r="L25" s="447"/>
      <c r="M25" s="448"/>
      <c r="N25" s="448"/>
      <c r="O25" s="444"/>
      <c r="P25" s="448"/>
      <c r="Q25" s="448"/>
      <c r="R25" s="448"/>
      <c r="S25" s="448"/>
      <c r="T25" s="449"/>
      <c r="U25" s="174"/>
      <c r="V25" s="363"/>
      <c r="W25" s="450" t="s">
        <v>428</v>
      </c>
      <c r="X25" s="451" t="s">
        <v>52</v>
      </c>
      <c r="Y25" s="443"/>
      <c r="Z25" s="452"/>
    </row>
    <row r="26" ht="45" customHeight="1" spans="2:26" x14ac:dyDescent="0.25">
      <c r="B26" s="453" t="s">
        <v>429</v>
      </c>
      <c r="C26" s="453"/>
      <c r="D26" s="453"/>
      <c r="E26" s="454" t="s">
        <v>52</v>
      </c>
      <c r="F26" s="455"/>
      <c r="G26" s="456"/>
      <c r="H26" s="457"/>
      <c r="I26" s="458"/>
      <c r="J26" s="458"/>
      <c r="K26" s="458"/>
      <c r="L26" s="459"/>
      <c r="M26" s="460"/>
      <c r="N26" s="460"/>
      <c r="O26" s="456"/>
      <c r="P26" s="460"/>
      <c r="Q26" s="460"/>
      <c r="R26" s="460"/>
      <c r="S26" s="460"/>
      <c r="T26" s="461"/>
      <c r="U26" s="174"/>
      <c r="V26" s="363"/>
      <c r="W26" s="462" t="s">
        <v>429</v>
      </c>
      <c r="X26" s="454" t="s">
        <v>52</v>
      </c>
      <c r="Y26" s="454"/>
      <c r="Z26" s="461"/>
    </row>
    <row r="27" ht="15" customHeight="1" spans="3:22" x14ac:dyDescent="0.25">
      <c r="C27" s="365"/>
      <c r="D27" s="365"/>
      <c r="L27" s="174"/>
      <c r="O27" s="365"/>
      <c r="U27" s="174"/>
      <c r="V27" s="363"/>
    </row>
    <row r="28" ht="5.25" customHeight="1" spans="2:26" x14ac:dyDescent="0.25">
      <c r="B28" s="463" t="s">
        <v>426</v>
      </c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463"/>
      <c r="N28" s="463"/>
      <c r="O28" s="463"/>
      <c r="P28" s="463"/>
      <c r="Q28" s="463"/>
      <c r="R28" s="463"/>
      <c r="S28" s="463"/>
      <c r="T28" s="463"/>
      <c r="U28" s="440"/>
      <c r="V28" s="363"/>
      <c r="W28" s="463" t="s">
        <v>430</v>
      </c>
      <c r="X28" s="463"/>
      <c r="Y28" s="463"/>
      <c r="Z28" s="463"/>
    </row>
    <row r="29" ht="39" customHeight="1" spans="2:26" x14ac:dyDescent="0.25"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463"/>
      <c r="N29" s="463"/>
      <c r="O29" s="463"/>
      <c r="P29" s="463"/>
      <c r="Q29" s="463"/>
      <c r="R29" s="463"/>
      <c r="S29" s="463"/>
      <c r="T29" s="463"/>
      <c r="U29" s="440"/>
      <c r="V29" s="363"/>
      <c r="W29" s="463"/>
      <c r="X29" s="463"/>
      <c r="Y29" s="463"/>
      <c r="Z29" s="463"/>
    </row>
    <row r="30" ht="45" customHeight="1" spans="2:26" x14ac:dyDescent="0.25">
      <c r="B30" s="442" t="s">
        <v>431</v>
      </c>
      <c r="C30" s="442"/>
      <c r="D30" s="442"/>
      <c r="E30" s="443" t="s">
        <v>52</v>
      </c>
      <c r="F30" s="443"/>
      <c r="G30" s="445"/>
      <c r="H30" s="445"/>
      <c r="I30" s="446"/>
      <c r="J30" s="446"/>
      <c r="K30" s="446"/>
      <c r="L30" s="447"/>
      <c r="M30" s="448"/>
      <c r="N30" s="448"/>
      <c r="O30" s="448"/>
      <c r="P30" s="448"/>
      <c r="Q30" s="448"/>
      <c r="R30" s="448"/>
      <c r="S30" s="448"/>
      <c r="T30" s="449"/>
      <c r="U30" s="464"/>
      <c r="V30" s="465"/>
      <c r="W30" s="466" t="s">
        <v>431</v>
      </c>
      <c r="X30" s="466"/>
      <c r="Y30" s="467" t="s">
        <v>52</v>
      </c>
      <c r="Z30" s="452"/>
    </row>
    <row r="31" ht="45" customHeight="1" spans="2:26" x14ac:dyDescent="0.25">
      <c r="B31" s="468" t="s">
        <v>391</v>
      </c>
      <c r="C31" s="468"/>
      <c r="D31" s="468"/>
      <c r="E31" s="469" t="s">
        <v>52</v>
      </c>
      <c r="F31" s="470"/>
      <c r="G31" s="471"/>
      <c r="H31" s="471"/>
      <c r="I31" s="472"/>
      <c r="J31" s="472"/>
      <c r="K31" s="472"/>
      <c r="L31" s="473"/>
      <c r="M31" s="474"/>
      <c r="N31" s="474"/>
      <c r="O31" s="474"/>
      <c r="P31" s="474"/>
      <c r="Q31" s="474"/>
      <c r="R31" s="474"/>
      <c r="S31" s="474"/>
      <c r="T31" s="475"/>
      <c r="U31" s="464"/>
      <c r="V31" s="465"/>
      <c r="W31" s="476" t="s">
        <v>391</v>
      </c>
      <c r="X31" s="476"/>
      <c r="Y31" s="477" t="s">
        <v>52</v>
      </c>
      <c r="Z31" s="475"/>
    </row>
    <row r="32" ht="45" customHeight="1" spans="2:26" x14ac:dyDescent="0.25">
      <c r="B32" s="453" t="s">
        <v>393</v>
      </c>
      <c r="C32" s="453"/>
      <c r="D32" s="453"/>
      <c r="E32" s="454" t="s">
        <v>52</v>
      </c>
      <c r="F32" s="455"/>
      <c r="G32" s="457"/>
      <c r="H32" s="478"/>
      <c r="I32" s="458"/>
      <c r="J32" s="458"/>
      <c r="K32" s="458"/>
      <c r="L32" s="459"/>
      <c r="M32" s="460"/>
      <c r="N32" s="460"/>
      <c r="O32" s="460"/>
      <c r="P32" s="460"/>
      <c r="Q32" s="460"/>
      <c r="R32" s="460"/>
      <c r="S32" s="460"/>
      <c r="T32" s="461"/>
      <c r="U32" s="464"/>
      <c r="V32" s="465"/>
      <c r="W32" s="479" t="s">
        <v>393</v>
      </c>
      <c r="X32" s="479"/>
      <c r="Y32" s="480" t="s">
        <v>52</v>
      </c>
      <c r="Z32" s="481"/>
    </row>
    <row r="33" ht="14.5" customHeight="1" spans="12:22" x14ac:dyDescent="0.25">
      <c r="L33" s="174"/>
      <c r="U33" s="174"/>
      <c r="V33" s="363"/>
    </row>
    <row r="34" ht="14.5" customHeight="1" spans="12:22" x14ac:dyDescent="0.25">
      <c r="L34" s="174"/>
      <c r="U34" s="174"/>
      <c r="V34" s="363"/>
    </row>
    <row r="35" ht="14.5" customHeight="1" spans="21:21" x14ac:dyDescent="0.25">
      <c r="U35" s="174"/>
    </row>
  </sheetData>
  <mergeCells count="37">
    <mergeCell ref="B1:M1"/>
    <mergeCell ref="R4:S6"/>
    <mergeCell ref="Z3:Z5"/>
    <mergeCell ref="R7:S8"/>
    <mergeCell ref="Z6:Z7"/>
    <mergeCell ref="B10:T10"/>
    <mergeCell ref="W10:Z10"/>
    <mergeCell ref="B11:C12"/>
    <mergeCell ref="E11:F12"/>
    <mergeCell ref="J11:N11"/>
    <mergeCell ref="D11:D12"/>
    <mergeCell ref="H11:H12"/>
    <mergeCell ref="I11:I12"/>
    <mergeCell ref="P11:P12"/>
    <mergeCell ref="Q11:Q12"/>
    <mergeCell ref="R11:R12"/>
    <mergeCell ref="S11:S12"/>
    <mergeCell ref="T11:T12"/>
    <mergeCell ref="W11:W12"/>
    <mergeCell ref="X11:X12"/>
    <mergeCell ref="Y11:Y12"/>
    <mergeCell ref="Z11:Z12"/>
    <mergeCell ref="C21:F21"/>
    <mergeCell ref="M21:S21"/>
    <mergeCell ref="C22:F22"/>
    <mergeCell ref="B24:T24"/>
    <mergeCell ref="W24:Z24"/>
    <mergeCell ref="B25:D25"/>
    <mergeCell ref="B26:D26"/>
    <mergeCell ref="B28:T29"/>
    <mergeCell ref="W28:Z29"/>
    <mergeCell ref="B30:D30"/>
    <mergeCell ref="W30:X30"/>
    <mergeCell ref="B31:D31"/>
    <mergeCell ref="W31:X31"/>
    <mergeCell ref="B32:D32"/>
    <mergeCell ref="W32:X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2" max="2" width="52" customWidth="1"/>
    <col min="3" max="3" width="38" customWidth="1"/>
    <col min="4" max="4" width="16" customWidth="1"/>
    <col min="5" max="5" width="25" customWidth="1"/>
    <col min="6" max="6" width="23" customWidth="1"/>
    <col min="7" max="7" width="29" customWidth="1"/>
    <col min="8" max="8" width="17" customWidth="1"/>
    <col min="9" max="9" width="23" customWidth="1"/>
    <col min="10" max="10" width="29" customWidth="1"/>
    <col min="11" max="11" width="25" customWidth="1"/>
  </cols>
  <sheetData>
    <row r="1" ht="34.5" customHeight="1" spans="1:11" x14ac:dyDescent="0.25">
      <c r="A1" s="482" t="s">
        <v>432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</row>
    <row r="2" spans="1:1" x14ac:dyDescent="0.25">
      <c r="A2" t="s">
        <v>433</v>
      </c>
    </row>
    <row r="4" ht="30" customHeight="1" spans="1:11" x14ac:dyDescent="0.25">
      <c r="A4" s="483" t="s">
        <v>240</v>
      </c>
      <c r="B4" s="484" t="s">
        <v>434</v>
      </c>
      <c r="C4" s="484" t="s">
        <v>435</v>
      </c>
      <c r="D4" s="484" t="s">
        <v>34</v>
      </c>
      <c r="E4" s="484" t="s">
        <v>436</v>
      </c>
      <c r="F4" s="485" t="s">
        <v>437</v>
      </c>
      <c r="G4" s="485"/>
      <c r="H4" s="486" t="s">
        <v>438</v>
      </c>
      <c r="I4" s="485" t="s">
        <v>439</v>
      </c>
      <c r="J4" s="485"/>
      <c r="K4" s="487" t="s">
        <v>440</v>
      </c>
    </row>
    <row r="5" ht="15" customHeight="1" spans="1:11" x14ac:dyDescent="0.25">
      <c r="A5" s="483"/>
      <c r="B5" s="484"/>
      <c r="C5" s="484"/>
      <c r="D5" s="484"/>
      <c r="E5" s="484"/>
      <c r="F5" s="488" t="s">
        <v>441</v>
      </c>
      <c r="G5" s="488" t="s">
        <v>442</v>
      </c>
      <c r="H5" s="486"/>
      <c r="I5" s="488" t="s">
        <v>441</v>
      </c>
      <c r="J5" s="488" t="s">
        <v>442</v>
      </c>
      <c r="K5" s="487"/>
    </row>
    <row r="6" spans="1:11" x14ac:dyDescent="0.25">
      <c r="A6" s="489"/>
      <c r="B6" s="490"/>
      <c r="C6" s="490"/>
      <c r="D6" s="490"/>
      <c r="E6" s="490"/>
      <c r="F6" s="490"/>
      <c r="G6" s="490"/>
      <c r="H6" s="491"/>
      <c r="I6" s="490"/>
      <c r="J6" s="490"/>
      <c r="K6" s="492"/>
    </row>
    <row r="7" spans="1:11" x14ac:dyDescent="0.25">
      <c r="A7" s="493"/>
      <c r="B7" s="494"/>
      <c r="C7" s="494"/>
      <c r="D7" s="494"/>
      <c r="E7" s="494"/>
      <c r="F7" s="494"/>
      <c r="G7" s="494"/>
      <c r="H7" s="495"/>
      <c r="I7" s="494"/>
      <c r="J7" s="494"/>
      <c r="K7" s="496"/>
    </row>
    <row r="8" spans="1:11" x14ac:dyDescent="0.25">
      <c r="A8" s="493"/>
      <c r="B8" s="494"/>
      <c r="C8" s="494"/>
      <c r="D8" s="494"/>
      <c r="E8" s="494"/>
      <c r="F8" s="494"/>
      <c r="G8" s="494"/>
      <c r="H8" s="495"/>
      <c r="I8" s="494"/>
      <c r="J8" s="494"/>
      <c r="K8" s="496"/>
    </row>
    <row r="9" spans="1:11" x14ac:dyDescent="0.25">
      <c r="A9" s="493"/>
      <c r="B9" s="494"/>
      <c r="C9" s="494"/>
      <c r="D9" s="494"/>
      <c r="E9" s="494"/>
      <c r="F9" s="494"/>
      <c r="G9" s="494"/>
      <c r="H9" s="495"/>
      <c r="I9" s="494"/>
      <c r="J9" s="494"/>
      <c r="K9" s="496"/>
    </row>
    <row r="10" spans="1:11" x14ac:dyDescent="0.25">
      <c r="A10" s="493"/>
      <c r="B10" s="494"/>
      <c r="C10" s="494"/>
      <c r="D10" s="494"/>
      <c r="E10" s="494"/>
      <c r="F10" s="494"/>
      <c r="G10" s="494"/>
      <c r="H10" s="495"/>
      <c r="I10" s="494"/>
      <c r="J10" s="494"/>
      <c r="K10" s="496"/>
    </row>
    <row r="11" spans="1:11" x14ac:dyDescent="0.25">
      <c r="A11" s="493"/>
      <c r="B11" s="494"/>
      <c r="C11" s="494"/>
      <c r="D11" s="494"/>
      <c r="E11" s="494"/>
      <c r="F11" s="494"/>
      <c r="G11" s="494"/>
      <c r="H11" s="495"/>
      <c r="I11" s="494"/>
      <c r="J11" s="494"/>
      <c r="K11" s="496"/>
    </row>
    <row r="12" spans="1:11" x14ac:dyDescent="0.25">
      <c r="A12" s="493"/>
      <c r="B12" s="494"/>
      <c r="C12" s="494"/>
      <c r="D12" s="494"/>
      <c r="E12" s="494"/>
      <c r="F12" s="494"/>
      <c r="G12" s="494"/>
      <c r="H12" s="495"/>
      <c r="I12" s="494"/>
      <c r="J12" s="494"/>
      <c r="K12" s="496"/>
    </row>
    <row r="13" spans="1:11" x14ac:dyDescent="0.25">
      <c r="A13" s="493"/>
      <c r="B13" s="494"/>
      <c r="C13" s="494"/>
      <c r="D13" s="494"/>
      <c r="E13" s="494"/>
      <c r="F13" s="494"/>
      <c r="G13" s="494"/>
      <c r="H13" s="495"/>
      <c r="I13" s="494"/>
      <c r="J13" s="494"/>
      <c r="K13" s="496"/>
    </row>
    <row r="14" spans="1:11" x14ac:dyDescent="0.25">
      <c r="A14" s="493"/>
      <c r="B14" s="494"/>
      <c r="C14" s="494"/>
      <c r="D14" s="494"/>
      <c r="E14" s="494"/>
      <c r="F14" s="494"/>
      <c r="G14" s="494"/>
      <c r="H14" s="495"/>
      <c r="I14" s="494"/>
      <c r="J14" s="494"/>
      <c r="K14" s="496"/>
    </row>
    <row r="15" spans="1:11" x14ac:dyDescent="0.25">
      <c r="A15" s="493"/>
      <c r="B15" s="494"/>
      <c r="C15" s="494"/>
      <c r="D15" s="494"/>
      <c r="E15" s="494"/>
      <c r="F15" s="494"/>
      <c r="G15" s="494"/>
      <c r="H15" s="495"/>
      <c r="I15" s="494"/>
      <c r="J15" s="494"/>
      <c r="K15" s="496"/>
    </row>
    <row r="16" spans="1:11" x14ac:dyDescent="0.25">
      <c r="A16" s="493"/>
      <c r="B16" s="494"/>
      <c r="C16" s="494"/>
      <c r="D16" s="494"/>
      <c r="E16" s="494"/>
      <c r="F16" s="494"/>
      <c r="G16" s="494"/>
      <c r="H16" s="495"/>
      <c r="I16" s="494"/>
      <c r="J16" s="494"/>
      <c r="K16" s="496"/>
    </row>
    <row r="17" spans="1:11" x14ac:dyDescent="0.25">
      <c r="A17" s="493"/>
      <c r="B17" s="494"/>
      <c r="C17" s="494"/>
      <c r="D17" s="494"/>
      <c r="E17" s="494"/>
      <c r="F17" s="494"/>
      <c r="G17" s="494"/>
      <c r="H17" s="495"/>
      <c r="I17" s="494"/>
      <c r="J17" s="494"/>
      <c r="K17" s="496"/>
    </row>
    <row r="18" ht="15" customHeight="1" spans="1:11" x14ac:dyDescent="0.25">
      <c r="A18" s="497"/>
      <c r="B18" s="498"/>
      <c r="C18" s="498"/>
      <c r="D18" s="498"/>
      <c r="E18" s="498"/>
      <c r="F18" s="498"/>
      <c r="G18" s="498"/>
      <c r="H18" s="499"/>
      <c r="I18" s="498"/>
      <c r="J18" s="498"/>
      <c r="K18" s="500"/>
    </row>
    <row r="20" spans="2:2" x14ac:dyDescent="0.25">
      <c r="B20" t="s">
        <v>443</v>
      </c>
    </row>
    <row r="22" spans="2:9" x14ac:dyDescent="0.25">
      <c r="B22" t="s">
        <v>444</v>
      </c>
      <c r="I22" t="s">
        <v>445</v>
      </c>
    </row>
    <row r="24" spans="2:9" x14ac:dyDescent="0.25">
      <c r="B24" s="501"/>
      <c r="I24" t="s">
        <v>446</v>
      </c>
    </row>
    <row r="25" spans="2:9" x14ac:dyDescent="0.25">
      <c r="B25" t="s">
        <v>447</v>
      </c>
      <c r="I25" t="s">
        <v>448</v>
      </c>
    </row>
  </sheetData>
  <mergeCells count="10">
    <mergeCell ref="A1:K1"/>
    <mergeCell ref="F4:G4"/>
    <mergeCell ref="I4:J4"/>
    <mergeCell ref="A4:A5"/>
    <mergeCell ref="B4:B5"/>
    <mergeCell ref="C4:C5"/>
    <mergeCell ref="D4:D5"/>
    <mergeCell ref="E4:E5"/>
    <mergeCell ref="H4:H5"/>
    <mergeCell ref="K4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FormatPr defaultRowHeight="15" outlineLevelRow="0" outlineLevelCol="0" x14ac:dyDescent="55"/>
  <cols>
    <col min="1" max="1" width="17" customWidth="1"/>
    <col min="2" max="3" width="22" customWidth="1"/>
    <col min="4" max="4" width="12" customWidth="1"/>
    <col min="5" max="6" width="22" customWidth="1"/>
    <col min="7" max="7" width="44" customWidth="1"/>
    <col min="8" max="8" width="22" customWidth="1"/>
    <col min="9" max="9" width="4" customWidth="1"/>
    <col min="10" max="10" width="40" customWidth="1"/>
    <col min="11" max="11" width="38" customWidth="1"/>
    <col min="12" max="12" width="4" customWidth="1"/>
    <col min="13" max="13" width="46" customWidth="1"/>
    <col min="14" max="14" width="22" customWidth="1"/>
    <col min="15" max="19" width="19" customWidth="1"/>
    <col min="20" max="16384" width="17" customWidth="1"/>
  </cols>
  <sheetData>
    <row r="1" spans="1:15" x14ac:dyDescent="0.25">
      <c r="A1" s="502"/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4"/>
    </row>
    <row r="2" spans="1:15" x14ac:dyDescent="0.25">
      <c r="A2" s="505"/>
      <c r="O2" s="506"/>
    </row>
    <row r="3" spans="1:15" x14ac:dyDescent="0.25">
      <c r="A3" s="505"/>
      <c r="O3" s="506"/>
    </row>
    <row r="4" spans="1:15" x14ac:dyDescent="0.25">
      <c r="A4" s="505"/>
      <c r="O4" s="506"/>
    </row>
    <row r="5" spans="1:15" x14ac:dyDescent="0.25">
      <c r="A5" s="505"/>
      <c r="O5" s="506"/>
    </row>
    <row r="6" spans="1:15" x14ac:dyDescent="0.25">
      <c r="A6" s="505"/>
      <c r="O6" s="506"/>
    </row>
    <row r="7" spans="1:15" x14ac:dyDescent="0.25">
      <c r="A7" s="505"/>
      <c r="O7" s="506"/>
    </row>
    <row r="8" spans="1:15" x14ac:dyDescent="0.25">
      <c r="A8" s="505"/>
      <c r="O8" s="506"/>
    </row>
    <row r="9" spans="1:15" x14ac:dyDescent="0.25">
      <c r="A9" s="505"/>
      <c r="O9" s="506"/>
    </row>
    <row r="10" spans="1:15" x14ac:dyDescent="0.25">
      <c r="A10" s="505"/>
      <c r="O10" s="506"/>
    </row>
    <row r="11" spans="1:15" x14ac:dyDescent="0.25">
      <c r="A11" s="505"/>
      <c r="O11" s="506"/>
    </row>
    <row r="12" spans="1:15" x14ac:dyDescent="0.25">
      <c r="A12" s="505"/>
      <c r="O12" s="506"/>
    </row>
    <row r="13" spans="1:15" x14ac:dyDescent="0.25">
      <c r="A13" s="505"/>
      <c r="O13" s="506"/>
    </row>
    <row r="14" spans="1:15" x14ac:dyDescent="0.25">
      <c r="A14" s="505"/>
      <c r="O14" s="506"/>
    </row>
    <row r="15" ht="26" customHeight="1" spans="1:15" x14ac:dyDescent="0.25">
      <c r="A15" s="505"/>
      <c r="B15" s="507" t="s">
        <v>449</v>
      </c>
      <c r="O15" s="506"/>
    </row>
    <row r="16" ht="27.75" customHeight="1" spans="1:15" x14ac:dyDescent="0.25">
      <c r="A16" s="505"/>
      <c r="H16" s="508"/>
      <c r="I16" s="508"/>
      <c r="J16" s="508"/>
      <c r="K16" s="508"/>
      <c r="L16" s="508"/>
      <c r="M16" s="508"/>
      <c r="N16" s="508"/>
      <c r="O16" s="506"/>
    </row>
    <row r="17" ht="21.5" customHeight="1" spans="1:15" x14ac:dyDescent="0.25">
      <c r="A17" s="505"/>
      <c r="B17" s="509" t="s">
        <v>450</v>
      </c>
      <c r="C17" s="509"/>
      <c r="E17" s="509" t="s">
        <v>451</v>
      </c>
      <c r="F17" s="509"/>
      <c r="H17" s="510"/>
      <c r="I17" s="511"/>
      <c r="J17" s="511"/>
      <c r="K17" s="511"/>
      <c r="L17" s="511"/>
      <c r="M17" s="511"/>
      <c r="N17" s="512"/>
      <c r="O17" s="506"/>
    </row>
    <row r="18" ht="21.5" customHeight="1" spans="1:15" x14ac:dyDescent="0.25">
      <c r="A18" s="505"/>
      <c r="B18" s="513">
        <f>'Bag 1 (KPI &amp; PA)'!AA4</f>
        <v>3</v>
      </c>
      <c r="C18" s="513"/>
      <c r="D18" s="49"/>
      <c r="E18" s="513">
        <f>'Bag 2 (Kompetensi)-Dev'!P6</f>
        <v>3</v>
      </c>
      <c r="F18" s="513"/>
      <c r="G18" s="49"/>
      <c r="H18" s="514"/>
      <c r="I18" s="515" t="s">
        <v>452</v>
      </c>
      <c r="J18" s="515"/>
      <c r="K18" s="516"/>
      <c r="L18" s="517" t="s">
        <v>453</v>
      </c>
      <c r="M18" s="517"/>
      <c r="N18" s="518"/>
      <c r="O18" s="506"/>
    </row>
    <row r="19" ht="15" customHeight="1" spans="1:15" x14ac:dyDescent="0.25">
      <c r="A19" s="505"/>
      <c r="B19" s="513"/>
      <c r="C19" s="513"/>
      <c r="D19" s="49"/>
      <c r="E19" s="513"/>
      <c r="F19" s="513"/>
      <c r="G19" s="49"/>
      <c r="H19" s="514"/>
      <c r="I19" s="519">
        <f>(B18*50%)+(E18*50%)</f>
        <v>3</v>
      </c>
      <c r="J19" s="519"/>
      <c r="K19" s="516"/>
      <c r="L19" s="520" t="str">
        <f>IF(I19&lt;2,"Poor",IF(I19&lt;3,"Fair",IF(I19&lt;4,"Good",IF(I19&lt;5,"Very Good",IF(I19=1,"Poor",IF(I19=2,"Fair",IF(I19=3,"Good",IF(I19=4,"Very Good",IF(I19&lt;=1,"Poor",IF(I19&gt;=5,"Excellent","False"))))))))))</f>
        <v>Good</v>
      </c>
      <c r="M19" s="520"/>
      <c r="N19" s="521"/>
      <c r="O19" s="506"/>
    </row>
    <row r="20" ht="15" customHeight="1" spans="1:15" x14ac:dyDescent="0.25">
      <c r="A20" s="505"/>
      <c r="B20" s="513"/>
      <c r="C20" s="513"/>
      <c r="D20" s="49"/>
      <c r="E20" s="513"/>
      <c r="F20" s="513"/>
      <c r="H20" s="514"/>
      <c r="I20" s="519"/>
      <c r="J20" s="519"/>
      <c r="K20" s="516"/>
      <c r="L20" s="520"/>
      <c r="M20" s="520"/>
      <c r="N20" s="521"/>
      <c r="O20" s="506"/>
    </row>
    <row r="21" ht="15.75" customHeight="1" spans="1:15" x14ac:dyDescent="0.25">
      <c r="A21" s="505"/>
      <c r="B21" s="513"/>
      <c r="C21" s="513"/>
      <c r="D21" s="49"/>
      <c r="E21" s="513"/>
      <c r="F21" s="513"/>
      <c r="G21" s="72"/>
      <c r="H21" s="514"/>
      <c r="I21" s="519"/>
      <c r="J21" s="519"/>
      <c r="K21" s="516"/>
      <c r="L21" s="520"/>
      <c r="M21" s="520"/>
      <c r="N21" s="521"/>
      <c r="O21" s="506"/>
    </row>
    <row r="22" spans="1:15" x14ac:dyDescent="0.25">
      <c r="A22" s="505"/>
      <c r="B22" s="513"/>
      <c r="C22" s="513"/>
      <c r="D22" s="49"/>
      <c r="E22" s="513"/>
      <c r="F22" s="513"/>
      <c r="G22" s="72"/>
      <c r="H22" s="514"/>
      <c r="I22" s="519"/>
      <c r="J22" s="519"/>
      <c r="K22" s="516"/>
      <c r="L22" s="516"/>
      <c r="M22" s="516"/>
      <c r="N22" s="518"/>
      <c r="O22" s="506"/>
    </row>
    <row r="23" spans="1:15" x14ac:dyDescent="0.25">
      <c r="A23" s="505"/>
      <c r="B23" s="513"/>
      <c r="C23" s="513"/>
      <c r="D23" s="49"/>
      <c r="E23" s="513"/>
      <c r="F23" s="513"/>
      <c r="G23" s="72"/>
      <c r="H23" s="514"/>
      <c r="I23" s="519"/>
      <c r="J23" s="519"/>
      <c r="K23" s="516"/>
      <c r="L23" s="516"/>
      <c r="M23" s="516"/>
      <c r="N23" s="518"/>
      <c r="O23" s="506"/>
    </row>
    <row r="24" ht="15" customHeight="1" spans="1:15" x14ac:dyDescent="0.25">
      <c r="A24" s="505"/>
      <c r="B24" s="513"/>
      <c r="C24" s="513"/>
      <c r="D24" s="49"/>
      <c r="E24" s="513"/>
      <c r="F24" s="513"/>
      <c r="G24" s="72"/>
      <c r="H24" s="522"/>
      <c r="I24" s="519"/>
      <c r="J24" s="519"/>
      <c r="K24" s="523"/>
      <c r="L24" s="523"/>
      <c r="M24" s="523"/>
      <c r="N24" s="524"/>
      <c r="O24" s="506"/>
    </row>
    <row r="25" spans="1:15" x14ac:dyDescent="0.25">
      <c r="A25" s="505"/>
      <c r="B25" s="525">
        <f>(B18)*1.2</f>
        <v>3.5999999999999996</v>
      </c>
      <c r="C25" s="526"/>
      <c r="D25" s="527"/>
      <c r="E25" s="525">
        <f>(E18)*1.2</f>
        <v>3.5999999999999996</v>
      </c>
      <c r="F25" s="72"/>
      <c r="G25" s="72"/>
      <c r="H25" s="522"/>
      <c r="I25" s="519"/>
      <c r="J25" s="519"/>
      <c r="K25" s="523"/>
      <c r="L25" s="523"/>
      <c r="M25" s="523"/>
      <c r="N25" s="524"/>
      <c r="O25" s="506"/>
    </row>
    <row r="26" ht="15" customHeight="1" spans="1:18" x14ac:dyDescent="0.25">
      <c r="A26" s="505"/>
      <c r="B26" s="528"/>
      <c r="C26" s="528"/>
      <c r="D26" s="528"/>
      <c r="E26" s="528"/>
      <c r="F26" s="528"/>
      <c r="G26" s="528"/>
      <c r="H26" s="522"/>
      <c r="I26" s="519"/>
      <c r="J26" s="519"/>
      <c r="K26" s="529"/>
      <c r="L26" s="529"/>
      <c r="M26" s="529"/>
      <c r="N26" s="530"/>
      <c r="O26" s="531"/>
      <c r="P26" s="528"/>
      <c r="Q26" s="528"/>
      <c r="R26" s="528"/>
    </row>
    <row r="27" spans="1:18" x14ac:dyDescent="0.25">
      <c r="A27" s="505"/>
      <c r="C27" s="532"/>
      <c r="D27" s="532"/>
      <c r="E27" s="528"/>
      <c r="F27" s="528"/>
      <c r="G27" s="528"/>
      <c r="H27" s="522"/>
      <c r="I27" s="533"/>
      <c r="J27" s="533"/>
      <c r="K27" s="533"/>
      <c r="L27" s="533"/>
      <c r="M27" s="533"/>
      <c r="N27" s="534"/>
      <c r="O27" s="531"/>
      <c r="P27" s="528"/>
      <c r="Q27" s="528"/>
      <c r="R27" s="528"/>
    </row>
    <row r="28" ht="15" customHeight="1" spans="1:18" x14ac:dyDescent="0.25">
      <c r="A28" s="505"/>
      <c r="C28" s="532"/>
      <c r="D28" s="532"/>
      <c r="E28" s="528"/>
      <c r="F28" s="528"/>
      <c r="G28" s="528"/>
      <c r="H28" s="535"/>
      <c r="I28" s="536"/>
      <c r="J28" s="536"/>
      <c r="K28" s="536"/>
      <c r="L28" s="536"/>
      <c r="M28" s="536"/>
      <c r="N28" s="537"/>
      <c r="O28" s="531"/>
      <c r="P28" s="528"/>
      <c r="Q28" s="528"/>
      <c r="R28" s="528"/>
    </row>
    <row r="29" ht="24.75" customHeight="1" spans="1:18" x14ac:dyDescent="0.25">
      <c r="A29" s="505"/>
      <c r="C29" s="532"/>
      <c r="D29" s="532"/>
      <c r="E29" s="528"/>
      <c r="F29" s="528"/>
      <c r="G29" s="528"/>
      <c r="M29" s="528"/>
      <c r="N29" s="528"/>
      <c r="O29" s="531"/>
      <c r="P29" s="528"/>
      <c r="Q29" s="528"/>
      <c r="R29" s="528"/>
    </row>
    <row r="30" ht="18" customHeight="1" spans="1:18" x14ac:dyDescent="0.25">
      <c r="A30" s="505"/>
      <c r="B30" s="528"/>
      <c r="C30" s="528"/>
      <c r="D30" s="528"/>
      <c r="E30" s="528"/>
      <c r="F30" s="528"/>
      <c r="G30" s="528"/>
      <c r="H30" s="528" t="s">
        <v>454</v>
      </c>
      <c r="I30" s="528"/>
      <c r="J30" s="528"/>
      <c r="K30" s="528"/>
      <c r="L30" s="528"/>
      <c r="M30" s="528"/>
      <c r="N30" s="528"/>
      <c r="O30" s="531"/>
      <c r="P30" s="528"/>
      <c r="Q30" s="528"/>
      <c r="R30" s="528"/>
    </row>
    <row r="31" ht="18" customHeight="1" spans="1:18" x14ac:dyDescent="0.25">
      <c r="A31" s="505"/>
      <c r="B31" s="538"/>
      <c r="C31" s="538"/>
      <c r="D31" s="538"/>
      <c r="E31" s="538"/>
      <c r="F31" s="538"/>
      <c r="G31" s="528"/>
      <c r="H31" s="532" t="s">
        <v>455</v>
      </c>
      <c r="I31" s="528"/>
      <c r="J31" s="528"/>
      <c r="K31" s="528"/>
      <c r="L31" s="528"/>
      <c r="M31" s="528"/>
      <c r="N31" s="528"/>
      <c r="O31" s="531"/>
      <c r="P31" s="528"/>
      <c r="Q31" s="528"/>
      <c r="R31" s="528"/>
    </row>
    <row r="32" ht="18" customHeight="1" spans="1:18" x14ac:dyDescent="0.25">
      <c r="A32" s="505"/>
      <c r="B32" s="538"/>
      <c r="C32" s="538"/>
      <c r="D32" s="538"/>
      <c r="E32" s="538"/>
      <c r="F32" s="538"/>
      <c r="G32" s="528"/>
      <c r="H32" s="532" t="s">
        <v>456</v>
      </c>
      <c r="I32" s="528"/>
      <c r="J32" s="528"/>
      <c r="K32" s="528"/>
      <c r="L32" s="528"/>
      <c r="M32" s="528"/>
      <c r="N32" s="528"/>
      <c r="O32" s="531"/>
      <c r="P32" s="528"/>
      <c r="Q32" s="528"/>
      <c r="R32" s="528"/>
    </row>
    <row r="33" ht="15" customHeight="1" spans="1:18" x14ac:dyDescent="0.25">
      <c r="A33" s="505"/>
      <c r="B33" s="538"/>
      <c r="C33" s="538"/>
      <c r="D33" s="538"/>
      <c r="E33" s="538"/>
      <c r="F33" s="538"/>
      <c r="G33" s="528"/>
      <c r="H33" s="528"/>
      <c r="I33" s="528"/>
      <c r="J33" s="528"/>
      <c r="K33" s="528"/>
      <c r="L33" s="528"/>
      <c r="M33" s="528"/>
      <c r="N33" s="528"/>
      <c r="O33" s="531"/>
      <c r="P33" s="528"/>
      <c r="Q33" s="528"/>
      <c r="R33" s="528"/>
    </row>
    <row r="34" ht="58.5" customHeight="1" spans="1:18" x14ac:dyDescent="0.25">
      <c r="A34" s="505"/>
      <c r="B34" s="538"/>
      <c r="C34" s="538"/>
      <c r="D34" s="538"/>
      <c r="E34" s="538"/>
      <c r="F34" s="538"/>
      <c r="G34" s="528"/>
      <c r="H34" s="528"/>
      <c r="I34" s="528"/>
      <c r="J34" s="528"/>
      <c r="K34" s="528"/>
      <c r="L34" s="528"/>
      <c r="M34" s="528"/>
      <c r="N34" s="528"/>
      <c r="O34" s="531"/>
      <c r="P34" s="528"/>
      <c r="Q34" s="528"/>
      <c r="R34" s="528"/>
    </row>
    <row r="35" ht="25.5" customHeight="1" spans="1:18" x14ac:dyDescent="0.25">
      <c r="A35" s="505"/>
      <c r="B35" s="539"/>
      <c r="C35" s="539"/>
      <c r="D35" s="539" t="s">
        <v>457</v>
      </c>
      <c r="E35" s="539"/>
      <c r="F35" s="539" t="s">
        <v>458</v>
      </c>
      <c r="G35" s="539"/>
      <c r="H35" s="539"/>
      <c r="I35" s="539" t="s">
        <v>459</v>
      </c>
      <c r="J35" s="539"/>
      <c r="K35" s="539"/>
      <c r="L35" s="539" t="s">
        <v>460</v>
      </c>
      <c r="M35" s="539"/>
      <c r="N35" s="539"/>
      <c r="O35" s="531"/>
      <c r="P35" s="528"/>
      <c r="Q35" s="528"/>
      <c r="R35" s="528"/>
    </row>
    <row r="36" ht="15" customHeight="1" spans="1:18" x14ac:dyDescent="0.25">
      <c r="A36" s="505"/>
      <c r="B36" s="540" t="s">
        <v>461</v>
      </c>
      <c r="C36" s="540"/>
      <c r="D36" s="541"/>
      <c r="E36" s="541"/>
      <c r="F36" s="541"/>
      <c r="G36" s="541"/>
      <c r="H36" s="541"/>
      <c r="I36" s="541"/>
      <c r="J36" s="541"/>
      <c r="K36" s="541"/>
      <c r="L36" s="541"/>
      <c r="M36" s="541"/>
      <c r="N36" s="541"/>
      <c r="O36" s="531"/>
      <c r="P36" s="528"/>
      <c r="Q36" s="528"/>
      <c r="R36" s="528"/>
    </row>
    <row r="37" ht="15" customHeight="1" spans="1:18" x14ac:dyDescent="0.25">
      <c r="A37" s="505"/>
      <c r="B37" s="540"/>
      <c r="C37" s="540"/>
      <c r="D37" s="541"/>
      <c r="E37" s="541"/>
      <c r="F37" s="541"/>
      <c r="G37" s="541"/>
      <c r="H37" s="541"/>
      <c r="I37" s="541"/>
      <c r="J37" s="541"/>
      <c r="K37" s="541"/>
      <c r="L37" s="541"/>
      <c r="M37" s="541"/>
      <c r="N37" s="541"/>
      <c r="O37" s="531"/>
      <c r="P37" s="528"/>
      <c r="Q37" s="528"/>
      <c r="R37" s="528"/>
    </row>
    <row r="38" ht="15" customHeight="1" spans="1:18" x14ac:dyDescent="0.25">
      <c r="A38" s="505"/>
      <c r="B38" s="540"/>
      <c r="C38" s="540"/>
      <c r="D38" s="541"/>
      <c r="E38" s="541"/>
      <c r="F38" s="541"/>
      <c r="G38" s="541"/>
      <c r="H38" s="541"/>
      <c r="I38" s="541"/>
      <c r="J38" s="541"/>
      <c r="K38" s="541"/>
      <c r="L38" s="541"/>
      <c r="M38" s="541"/>
      <c r="N38" s="541"/>
      <c r="O38" s="531"/>
      <c r="P38" s="528"/>
      <c r="Q38" s="528"/>
      <c r="R38" s="528"/>
    </row>
    <row r="39" ht="15" customHeight="1" spans="1:18" x14ac:dyDescent="0.25">
      <c r="A39" s="505"/>
      <c r="B39" s="540"/>
      <c r="C39" s="540"/>
      <c r="D39" s="541"/>
      <c r="E39" s="541"/>
      <c r="F39" s="541"/>
      <c r="G39" s="541"/>
      <c r="H39" s="541"/>
      <c r="I39" s="541"/>
      <c r="J39" s="541"/>
      <c r="K39" s="541"/>
      <c r="L39" s="541"/>
      <c r="M39" s="541"/>
      <c r="N39" s="541"/>
      <c r="O39" s="531"/>
      <c r="P39" s="528"/>
      <c r="Q39" s="528"/>
      <c r="R39" s="528"/>
    </row>
    <row r="40" ht="13.5" customHeight="1" spans="1:15" x14ac:dyDescent="0.25">
      <c r="A40" s="505"/>
      <c r="B40" s="540"/>
      <c r="C40" s="540"/>
      <c r="D40" s="541"/>
      <c r="E40" s="541"/>
      <c r="F40" s="541"/>
      <c r="G40" s="541"/>
      <c r="H40" s="541"/>
      <c r="I40" s="541"/>
      <c r="J40" s="541"/>
      <c r="K40" s="541"/>
      <c r="L40" s="541"/>
      <c r="M40" s="541"/>
      <c r="N40" s="541"/>
      <c r="O40" s="506"/>
    </row>
    <row r="41" ht="15" customHeight="1" spans="1:15" x14ac:dyDescent="0.25">
      <c r="A41" s="505"/>
      <c r="B41" s="540" t="s">
        <v>462</v>
      </c>
      <c r="C41" s="540"/>
      <c r="D41" s="541"/>
      <c r="E41" s="541"/>
      <c r="F41" s="541"/>
      <c r="G41" s="541"/>
      <c r="H41" s="541"/>
      <c r="I41" s="541"/>
      <c r="J41" s="541"/>
      <c r="K41" s="541"/>
      <c r="L41" s="541"/>
      <c r="M41" s="541"/>
      <c r="N41" s="541"/>
      <c r="O41" s="506"/>
    </row>
    <row r="42" ht="15" customHeight="1" spans="1:15" x14ac:dyDescent="0.25">
      <c r="A42" s="505"/>
      <c r="B42" s="540"/>
      <c r="C42" s="540"/>
      <c r="D42" s="541"/>
      <c r="E42" s="541"/>
      <c r="F42" s="541"/>
      <c r="G42" s="541"/>
      <c r="H42" s="541"/>
      <c r="I42" s="541"/>
      <c r="J42" s="541"/>
      <c r="K42" s="541"/>
      <c r="L42" s="541"/>
      <c r="M42" s="541"/>
      <c r="N42" s="541"/>
      <c r="O42" s="506"/>
    </row>
    <row r="43" ht="15" customHeight="1" spans="1:15" x14ac:dyDescent="0.25">
      <c r="A43" s="505"/>
      <c r="B43" s="540"/>
      <c r="C43" s="540"/>
      <c r="D43" s="541"/>
      <c r="E43" s="541"/>
      <c r="F43" s="541"/>
      <c r="G43" s="541"/>
      <c r="H43" s="541"/>
      <c r="I43" s="541"/>
      <c r="J43" s="541"/>
      <c r="K43" s="541"/>
      <c r="L43" s="541"/>
      <c r="M43" s="541"/>
      <c r="N43" s="541"/>
      <c r="O43" s="506"/>
    </row>
    <row r="44" ht="15" customHeight="1" spans="1:15" x14ac:dyDescent="0.25">
      <c r="A44" s="505"/>
      <c r="B44" s="540"/>
      <c r="C44" s="540"/>
      <c r="D44" s="541"/>
      <c r="E44" s="541"/>
      <c r="F44" s="541"/>
      <c r="G44" s="541"/>
      <c r="H44" s="541"/>
      <c r="I44" s="541"/>
      <c r="J44" s="541"/>
      <c r="K44" s="541"/>
      <c r="L44" s="541"/>
      <c r="M44" s="541"/>
      <c r="N44" s="541"/>
      <c r="O44" s="506"/>
    </row>
    <row r="45" ht="30" customHeight="1" spans="1:15" x14ac:dyDescent="0.25">
      <c r="A45" s="505"/>
      <c r="B45" s="540"/>
      <c r="C45" s="540"/>
      <c r="D45" s="541"/>
      <c r="E45" s="541"/>
      <c r="F45" s="541"/>
      <c r="G45" s="541"/>
      <c r="H45" s="541"/>
      <c r="I45" s="541"/>
      <c r="J45" s="541"/>
      <c r="K45" s="541"/>
      <c r="L45" s="541"/>
      <c r="M45" s="541"/>
      <c r="N45" s="541"/>
      <c r="O45" s="506"/>
    </row>
    <row r="46" spans="1:15" x14ac:dyDescent="0.25">
      <c r="A46" s="505"/>
      <c r="O46" s="506"/>
    </row>
    <row r="47" spans="1:15" x14ac:dyDescent="0.25">
      <c r="A47" s="505"/>
      <c r="O47" s="506"/>
    </row>
    <row r="48" spans="1:15" x14ac:dyDescent="0.25">
      <c r="A48" s="505"/>
      <c r="O48" s="506"/>
    </row>
    <row r="49" spans="1:15" x14ac:dyDescent="0.25">
      <c r="A49" s="505"/>
      <c r="O49" s="506"/>
    </row>
    <row r="50" spans="1:15" x14ac:dyDescent="0.25">
      <c r="A50" s="505"/>
      <c r="O50" s="506"/>
    </row>
    <row r="51" ht="15" customHeight="1" spans="1:15" x14ac:dyDescent="0.25">
      <c r="A51" s="505"/>
      <c r="B51" s="34"/>
      <c r="C51" s="34"/>
      <c r="D51" s="34"/>
      <c r="E51" s="34"/>
      <c r="F51" s="542"/>
      <c r="G51" s="542"/>
      <c r="H51" s="543"/>
      <c r="J51" s="543"/>
      <c r="K51" s="543"/>
      <c r="M51" s="543"/>
      <c r="N51" s="543"/>
      <c r="O51" s="506"/>
    </row>
    <row r="52" ht="15" customHeight="1" spans="1:15" x14ac:dyDescent="0.25">
      <c r="A52" s="505"/>
      <c r="B52" s="544"/>
      <c r="C52" s="545"/>
      <c r="D52" s="546"/>
      <c r="E52" s="546"/>
      <c r="F52" s="547" t="s">
        <v>463</v>
      </c>
      <c r="G52" s="547"/>
      <c r="H52" s="547"/>
      <c r="J52" s="548" t="s">
        <v>464</v>
      </c>
      <c r="K52" s="548"/>
      <c r="M52" s="548" t="s">
        <v>465</v>
      </c>
      <c r="N52" s="548"/>
      <c r="O52" s="506"/>
    </row>
    <row r="53" spans="1:15" x14ac:dyDescent="0.25">
      <c r="A53" s="505"/>
      <c r="B53" s="544"/>
      <c r="C53" s="545"/>
      <c r="D53" s="546"/>
      <c r="E53" s="546"/>
      <c r="F53" s="546"/>
      <c r="G53" s="546"/>
      <c r="O53" s="506"/>
    </row>
    <row r="54" ht="15" customHeight="1" spans="1:15" x14ac:dyDescent="0.25">
      <c r="A54" s="549"/>
      <c r="B54" s="550"/>
      <c r="C54" s="551"/>
      <c r="D54" s="551"/>
      <c r="E54" s="551"/>
      <c r="F54" s="551"/>
      <c r="G54" s="551"/>
      <c r="H54" s="508"/>
      <c r="I54" s="508"/>
      <c r="J54" s="508"/>
      <c r="K54" s="508"/>
      <c r="L54" s="508"/>
      <c r="M54" s="508"/>
      <c r="N54" s="508"/>
      <c r="O54" s="552"/>
    </row>
    <row r="55" spans="2:7" x14ac:dyDescent="0.25">
      <c r="B55" s="532"/>
      <c r="C55" s="553"/>
      <c r="D55" s="553"/>
      <c r="E55" s="553"/>
      <c r="F55" s="553"/>
      <c r="G55" s="553"/>
    </row>
    <row r="56" spans="2:8" x14ac:dyDescent="0.25">
      <c r="B56" s="532"/>
      <c r="C56" s="553"/>
      <c r="D56" s="553"/>
      <c r="E56" s="553"/>
      <c r="F56" s="553"/>
      <c r="G56" s="553"/>
      <c r="H56" s="554"/>
    </row>
    <row r="57" spans="2:8" x14ac:dyDescent="0.25">
      <c r="B57" s="532"/>
      <c r="C57" s="532"/>
      <c r="D57" s="283"/>
      <c r="E57" s="283"/>
      <c r="F57" s="283"/>
      <c r="G57" s="283"/>
      <c r="H57" s="554"/>
    </row>
  </sheetData>
  <mergeCells count="26">
    <mergeCell ref="B17:C17"/>
    <mergeCell ref="E17:F17"/>
    <mergeCell ref="B18:C24"/>
    <mergeCell ref="E18:F24"/>
    <mergeCell ref="I18:J18"/>
    <mergeCell ref="L18:M18"/>
    <mergeCell ref="I19:J26"/>
    <mergeCell ref="L19:M21"/>
    <mergeCell ref="B35:C35"/>
    <mergeCell ref="D35:E35"/>
    <mergeCell ref="F35:H35"/>
    <mergeCell ref="I35:K35"/>
    <mergeCell ref="L35:N35"/>
    <mergeCell ref="B36:C40"/>
    <mergeCell ref="D36:E40"/>
    <mergeCell ref="F36:H40"/>
    <mergeCell ref="I36:K40"/>
    <mergeCell ref="L36:N40"/>
    <mergeCell ref="B41:C45"/>
    <mergeCell ref="D41:E45"/>
    <mergeCell ref="F41:H45"/>
    <mergeCell ref="I41:K45"/>
    <mergeCell ref="L41:N45"/>
    <mergeCell ref="F52:H52"/>
    <mergeCell ref="J52:K52"/>
    <mergeCell ref="M52:N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Pedoman</vt:lpstr>
      <vt:lpstr>Cover</vt:lpstr>
      <vt:lpstr>Bag 1 (KPI &amp; PA)</vt:lpstr>
      <vt:lpstr>Bag 1 (KPI &amp; PA) strata</vt:lpstr>
      <vt:lpstr>Bag 2 (Kompetensi)-Dev</vt:lpstr>
      <vt:lpstr>MODAL SETELAH LOGIN KPI</vt:lpstr>
      <vt:lpstr>I. PM</vt:lpstr>
      <vt:lpstr>II. IDP</vt:lpstr>
      <vt:lpstr>I. KPI</vt:lpstr>
      <vt:lpstr>Rekapitulasi dan Checklist</vt:lpstr>
      <vt:lpstr>Bag 4 Final Rating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offline-excel</dc:creator>
  <dc:title/>
  <dc:subject/>
  <dc:description/>
  <cp:keywords/>
  <cp:category/>
  <cp:lastModifiedBy>Unknown</cp:lastModifiedBy>
  <dcterms:created xsi:type="dcterms:W3CDTF">2026-07-07T08:07:27Z</dcterms:created>
  <dcterms:modified xsi:type="dcterms:W3CDTF">2026-07-07T08:07:27Z</dcterms:modified>
</cp:coreProperties>
</file>